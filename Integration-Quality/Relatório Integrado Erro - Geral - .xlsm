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kontikturismo.sharepoint.com/sites/Relatorios/Documentos Compartilhados/Integrado Erro/"/>
    </mc:Choice>
  </mc:AlternateContent>
  <xr:revisionPtr revIDLastSave="1426" documentId="8_{2804471B-69DE-457E-A3E0-14C058DF5A98}" xr6:coauthVersionLast="47" xr6:coauthVersionMax="47" xr10:uidLastSave="{AC0DE624-271E-427B-9D03-9ECBBC22EEE3}"/>
  <bookViews>
    <workbookView xWindow="-120" yWindow="-120" windowWidth="29040" windowHeight="15840" xr2:uid="{1B3A9ADF-63A3-415E-A8D0-23252D547C7F}"/>
  </bookViews>
  <sheets>
    <sheet name="Dashboard" sheetId="12" r:id="rId1"/>
    <sheet name="Base" sheetId="1" r:id="rId2"/>
    <sheet name="Novo relatório" sheetId="17" r:id="rId3"/>
    <sheet name="Parâmetros" sheetId="6" r:id="rId4"/>
  </sheets>
  <definedNames>
    <definedName name="_xlnm._FilterDatabase" localSheetId="1" hidden="1">Base!$A$1:$Q$2086</definedName>
    <definedName name="_xlnm._FilterDatabase" localSheetId="2" hidden="1">'Novo relatório'!$A$1:$J$1828</definedName>
    <definedName name="_xlnm._FilterDatabase" localSheetId="3" hidden="1">Parâmetros!$A$1:$D$200</definedName>
    <definedName name="SegmentaçãodeDados_OBT">#N/A</definedName>
  </definedNames>
  <calcPr calcId="191028"/>
  <pivotCaches>
    <pivotCache cacheId="134" r:id="rId5"/>
    <pivotCache cacheId="139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62" i="1" l="1"/>
  <c r="M2162" i="1" s="1"/>
  <c r="Q2163" i="1"/>
  <c r="P2163" i="1" s="1"/>
  <c r="M2164" i="1"/>
  <c r="O2164" i="1" s="1"/>
  <c r="Q2164" i="1"/>
  <c r="P2164" i="1" s="1"/>
  <c r="Q2165" i="1"/>
  <c r="P2165" i="1" s="1"/>
  <c r="M2166" i="1"/>
  <c r="N2166" i="1" s="1"/>
  <c r="Q2166" i="1"/>
  <c r="P2166" i="1" s="1"/>
  <c r="M2167" i="1"/>
  <c r="N2167" i="1" s="1"/>
  <c r="P2167" i="1"/>
  <c r="Q2167" i="1"/>
  <c r="Q2168" i="1"/>
  <c r="M2168" i="1" s="1"/>
  <c r="P2169" i="1"/>
  <c r="Q2169" i="1"/>
  <c r="M2169" i="1" s="1"/>
  <c r="Q2170" i="1"/>
  <c r="P2170" i="1" s="1"/>
  <c r="Q2171" i="1"/>
  <c r="P2171" i="1" s="1"/>
  <c r="M2172" i="1"/>
  <c r="N2172" i="1" s="1"/>
  <c r="Q2172" i="1"/>
  <c r="P2172" i="1" s="1"/>
  <c r="M2173" i="1"/>
  <c r="N2173" i="1"/>
  <c r="P2173" i="1"/>
  <c r="Q2173" i="1"/>
  <c r="Q2174" i="1"/>
  <c r="M2174" i="1" s="1"/>
  <c r="N2174" i="1" s="1"/>
  <c r="P2175" i="1"/>
  <c r="Q2175" i="1"/>
  <c r="M2175" i="1" s="1"/>
  <c r="Q2176" i="1"/>
  <c r="Q2177" i="1"/>
  <c r="P2177" i="1" s="1"/>
  <c r="M2178" i="1"/>
  <c r="Q2178" i="1"/>
  <c r="P2178" i="1" s="1"/>
  <c r="M2179" i="1"/>
  <c r="N2179" i="1"/>
  <c r="P2179" i="1"/>
  <c r="Q2179" i="1"/>
  <c r="Q2180" i="1"/>
  <c r="M2180" i="1" s="1"/>
  <c r="N2180" i="1" s="1"/>
  <c r="P2181" i="1"/>
  <c r="Q2181" i="1"/>
  <c r="M2181" i="1" s="1"/>
  <c r="Q2182" i="1"/>
  <c r="Q2183" i="1"/>
  <c r="P2183" i="1" s="1"/>
  <c r="M2184" i="1"/>
  <c r="Q2184" i="1"/>
  <c r="P2184" i="1" s="1"/>
  <c r="M2185" i="1"/>
  <c r="N2185" i="1"/>
  <c r="P2185" i="1"/>
  <c r="Q2185" i="1"/>
  <c r="Q2186" i="1"/>
  <c r="M2186" i="1" s="1"/>
  <c r="N2186" i="1" s="1"/>
  <c r="P2187" i="1"/>
  <c r="Q2187" i="1"/>
  <c r="M2187" i="1" s="1"/>
  <c r="Q2188" i="1"/>
  <c r="Q2189" i="1"/>
  <c r="P2189" i="1" s="1"/>
  <c r="M2190" i="1"/>
  <c r="Q2190" i="1"/>
  <c r="P2190" i="1" s="1"/>
  <c r="M2191" i="1"/>
  <c r="N2191" i="1"/>
  <c r="P2191" i="1"/>
  <c r="Q2191" i="1"/>
  <c r="Q2192" i="1"/>
  <c r="M2192" i="1" s="1"/>
  <c r="N2192" i="1" s="1"/>
  <c r="M2193" i="1"/>
  <c r="N2193" i="1" s="1"/>
  <c r="P2193" i="1"/>
  <c r="Q2193" i="1"/>
  <c r="Q2194" i="1"/>
  <c r="Q2195" i="1"/>
  <c r="P2195" i="1" s="1"/>
  <c r="M2196" i="1"/>
  <c r="P2196" i="1"/>
  <c r="Q2196" i="1"/>
  <c r="M2197" i="1"/>
  <c r="N2197" i="1"/>
  <c r="P2197" i="1"/>
  <c r="Q2197" i="1"/>
  <c r="Q2198" i="1"/>
  <c r="M2199" i="1"/>
  <c r="N2199" i="1" s="1"/>
  <c r="P2199" i="1"/>
  <c r="Q2199" i="1"/>
  <c r="M2200" i="1"/>
  <c r="O2200" i="1" s="1"/>
  <c r="Q2200" i="1"/>
  <c r="P2200" i="1" s="1"/>
  <c r="Q2201" i="1"/>
  <c r="P2201" i="1" s="1"/>
  <c r="M2202" i="1"/>
  <c r="N2202" i="1" s="1"/>
  <c r="P2202" i="1"/>
  <c r="Q2202" i="1"/>
  <c r="Q2203" i="1"/>
  <c r="M2203" i="1" s="1"/>
  <c r="O2203" i="1" s="1"/>
  <c r="Q2204" i="1"/>
  <c r="M2205" i="1"/>
  <c r="P2205" i="1"/>
  <c r="Q2205" i="1"/>
  <c r="M2206" i="1"/>
  <c r="N2206" i="1" s="1"/>
  <c r="Q2206" i="1"/>
  <c r="P2206" i="1" s="1"/>
  <c r="Q2207" i="1"/>
  <c r="P2207" i="1" s="1"/>
  <c r="M2208" i="1"/>
  <c r="N2208" i="1" s="1"/>
  <c r="P2208" i="1"/>
  <c r="Q2208" i="1"/>
  <c r="Q2209" i="1"/>
  <c r="M2209" i="1" s="1"/>
  <c r="N2209" i="1" s="1"/>
  <c r="Q2210" i="1"/>
  <c r="M2211" i="1"/>
  <c r="P2211" i="1"/>
  <c r="Q2211" i="1"/>
  <c r="M2212" i="1"/>
  <c r="O2212" i="1" s="1"/>
  <c r="Q2212" i="1"/>
  <c r="P2212" i="1" s="1"/>
  <c r="Q2213" i="1"/>
  <c r="P2213" i="1" s="1"/>
  <c r="M2214" i="1"/>
  <c r="N2214" i="1" s="1"/>
  <c r="P2214" i="1"/>
  <c r="Q2214" i="1"/>
  <c r="Q2215" i="1"/>
  <c r="M2215" i="1" s="1"/>
  <c r="O2215" i="1" s="1"/>
  <c r="Q2216" i="1"/>
  <c r="M2217" i="1"/>
  <c r="P2217" i="1"/>
  <c r="Q2217" i="1"/>
  <c r="M2218" i="1"/>
  <c r="O2218" i="1" s="1"/>
  <c r="P2218" i="1"/>
  <c r="Q2218" i="1"/>
  <c r="Q2219" i="1"/>
  <c r="M2220" i="1"/>
  <c r="N2220" i="1" s="1"/>
  <c r="O2220" i="1"/>
  <c r="P2220" i="1"/>
  <c r="Q2220" i="1"/>
  <c r="Q2221" i="1"/>
  <c r="M2221" i="1" s="1"/>
  <c r="Q2222" i="1"/>
  <c r="M2223" i="1"/>
  <c r="N2223" i="1" s="1"/>
  <c r="P2223" i="1"/>
  <c r="Q2223" i="1"/>
  <c r="M2224" i="1"/>
  <c r="N2224" i="1" s="1"/>
  <c r="P2224" i="1"/>
  <c r="Q2224" i="1"/>
  <c r="Q2225" i="1"/>
  <c r="M2226" i="1"/>
  <c r="N2226" i="1" s="1"/>
  <c r="O2226" i="1"/>
  <c r="P2226" i="1"/>
  <c r="Q2226" i="1"/>
  <c r="Q2227" i="1"/>
  <c r="M2227" i="1" s="1"/>
  <c r="Q2228" i="1"/>
  <c r="M2229" i="1"/>
  <c r="N2229" i="1" s="1"/>
  <c r="O2229" i="1"/>
  <c r="P2229" i="1"/>
  <c r="Q2229" i="1"/>
  <c r="M2230" i="1"/>
  <c r="N2230" i="1" s="1"/>
  <c r="Q2230" i="1"/>
  <c r="P2230" i="1" s="1"/>
  <c r="Q2231" i="1"/>
  <c r="M2232" i="1"/>
  <c r="N2232" i="1" s="1"/>
  <c r="P2232" i="1"/>
  <c r="Q2232" i="1"/>
  <c r="Q2233" i="1"/>
  <c r="P2233" i="1" s="1"/>
  <c r="Q2234" i="1"/>
  <c r="M2235" i="1"/>
  <c r="N2235" i="1" s="1"/>
  <c r="P2235" i="1"/>
  <c r="Q2235" i="1"/>
  <c r="M2236" i="1"/>
  <c r="N2236" i="1" s="1"/>
  <c r="P2236" i="1"/>
  <c r="Q2236" i="1"/>
  <c r="Q2237" i="1"/>
  <c r="M2238" i="1"/>
  <c r="N2238" i="1" s="1"/>
  <c r="P2238" i="1"/>
  <c r="Q2238" i="1"/>
  <c r="Q2239" i="1"/>
  <c r="M2239" i="1" s="1"/>
  <c r="Q2240" i="1"/>
  <c r="M2241" i="1"/>
  <c r="N2241" i="1" s="1"/>
  <c r="P2241" i="1"/>
  <c r="Q2241" i="1"/>
  <c r="M2242" i="1"/>
  <c r="N2242" i="1"/>
  <c r="P2242" i="1"/>
  <c r="Q2242" i="1"/>
  <c r="Q2243" i="1"/>
  <c r="M2244" i="1"/>
  <c r="N2244" i="1" s="1"/>
  <c r="O2244" i="1"/>
  <c r="P2244" i="1"/>
  <c r="Q2244" i="1"/>
  <c r="Q2245" i="1"/>
  <c r="M2245" i="1" s="1"/>
  <c r="Q2246" i="1"/>
  <c r="M2247" i="1"/>
  <c r="N2247" i="1" s="1"/>
  <c r="P2247" i="1"/>
  <c r="Q2247" i="1"/>
  <c r="M2248" i="1"/>
  <c r="Q2248" i="1"/>
  <c r="P2248" i="1" s="1"/>
  <c r="Q2249" i="1"/>
  <c r="M2250" i="1"/>
  <c r="N2250" i="1" s="1"/>
  <c r="P2250" i="1"/>
  <c r="Q2250" i="1"/>
  <c r="Q2251" i="1"/>
  <c r="P2251" i="1" s="1"/>
  <c r="Q2252" i="1"/>
  <c r="M2253" i="1"/>
  <c r="N2253" i="1" s="1"/>
  <c r="P2253" i="1"/>
  <c r="Q2253" i="1"/>
  <c r="A2162" i="1"/>
  <c r="C2162" i="1" s="1"/>
  <c r="A28" i="17" s="1"/>
  <c r="A2163" i="1"/>
  <c r="C2163" i="1" s="1"/>
  <c r="A39" i="17" s="1"/>
  <c r="A2164" i="1"/>
  <c r="C2164" i="1"/>
  <c r="A2165" i="1"/>
  <c r="C2165" i="1"/>
  <c r="A2166" i="1"/>
  <c r="C2166" i="1"/>
  <c r="A2167" i="1"/>
  <c r="C2167" i="1"/>
  <c r="A2168" i="1"/>
  <c r="C2168" i="1"/>
  <c r="A2169" i="1"/>
  <c r="C2169" i="1"/>
  <c r="A2170" i="1"/>
  <c r="C2170" i="1"/>
  <c r="A2171" i="1"/>
  <c r="C2171" i="1"/>
  <c r="A2172" i="1"/>
  <c r="C2172" i="1"/>
  <c r="A2173" i="1"/>
  <c r="C2173" i="1"/>
  <c r="A2174" i="1"/>
  <c r="C2174" i="1"/>
  <c r="A2175" i="1"/>
  <c r="C2175" i="1"/>
  <c r="A2176" i="1"/>
  <c r="C2176" i="1"/>
  <c r="A2177" i="1"/>
  <c r="C2177" i="1"/>
  <c r="A2178" i="1"/>
  <c r="C2178" i="1"/>
  <c r="A2179" i="1"/>
  <c r="C2179" i="1"/>
  <c r="A2180" i="1"/>
  <c r="C2180" i="1"/>
  <c r="A2181" i="1"/>
  <c r="C2181" i="1"/>
  <c r="A2182" i="1"/>
  <c r="C2182" i="1"/>
  <c r="A2183" i="1"/>
  <c r="C2183" i="1"/>
  <c r="A2184" i="1"/>
  <c r="C2184" i="1"/>
  <c r="A2185" i="1"/>
  <c r="C2185" i="1"/>
  <c r="A2186" i="1"/>
  <c r="C2186" i="1"/>
  <c r="A2187" i="1"/>
  <c r="C2187" i="1"/>
  <c r="A2188" i="1"/>
  <c r="C2188" i="1"/>
  <c r="A2189" i="1"/>
  <c r="C2189" i="1"/>
  <c r="A2190" i="1"/>
  <c r="C2190" i="1"/>
  <c r="A2191" i="1"/>
  <c r="C2191" i="1"/>
  <c r="A2192" i="1"/>
  <c r="C2192" i="1"/>
  <c r="A2193" i="1"/>
  <c r="C2193" i="1"/>
  <c r="A2194" i="1"/>
  <c r="C2194" i="1"/>
  <c r="A2195" i="1"/>
  <c r="C2195" i="1"/>
  <c r="A2196" i="1"/>
  <c r="C2196" i="1"/>
  <c r="A2197" i="1"/>
  <c r="C2197" i="1"/>
  <c r="A2198" i="1"/>
  <c r="C2198" i="1"/>
  <c r="A2199" i="1"/>
  <c r="C2199" i="1"/>
  <c r="A2200" i="1"/>
  <c r="C2200" i="1"/>
  <c r="A2201" i="1"/>
  <c r="C2201" i="1"/>
  <c r="A2202" i="1"/>
  <c r="C2202" i="1"/>
  <c r="A2203" i="1"/>
  <c r="C2203" i="1"/>
  <c r="A2204" i="1"/>
  <c r="C2204" i="1"/>
  <c r="A2205" i="1"/>
  <c r="C2205" i="1"/>
  <c r="A2206" i="1"/>
  <c r="C2206" i="1"/>
  <c r="A2207" i="1"/>
  <c r="C2207" i="1" s="1"/>
  <c r="A971" i="17" s="1"/>
  <c r="A2208" i="1"/>
  <c r="C2208" i="1" s="1"/>
  <c r="A983" i="17" s="1"/>
  <c r="A2209" i="1"/>
  <c r="C2209" i="1" s="1"/>
  <c r="A1032" i="17" s="1"/>
  <c r="A2210" i="1"/>
  <c r="C2210" i="1" s="1"/>
  <c r="A1043" i="17" s="1"/>
  <c r="A2211" i="1"/>
  <c r="C2211" i="1" s="1"/>
  <c r="A1067" i="17" s="1"/>
  <c r="A2212" i="1"/>
  <c r="C2212" i="1" s="1"/>
  <c r="A1096" i="17" s="1"/>
  <c r="A2213" i="1"/>
  <c r="C2213" i="1" s="1"/>
  <c r="A1112" i="17" s="1"/>
  <c r="A2214" i="1"/>
  <c r="C2214" i="1" s="1"/>
  <c r="A1122" i="17" s="1"/>
  <c r="A2215" i="1"/>
  <c r="C2215" i="1" s="1"/>
  <c r="A1143" i="17" s="1"/>
  <c r="A2216" i="1"/>
  <c r="C2216" i="1" s="1"/>
  <c r="A1162" i="17" s="1"/>
  <c r="A2217" i="1"/>
  <c r="C2217" i="1" s="1"/>
  <c r="A1164" i="17" s="1"/>
  <c r="A2218" i="1"/>
  <c r="C2218" i="1" s="1"/>
  <c r="A1169" i="17" s="1"/>
  <c r="A2219" i="1"/>
  <c r="C2219" i="1" s="1"/>
  <c r="A1171" i="17" s="1"/>
  <c r="A2220" i="1"/>
  <c r="C2220" i="1" s="1"/>
  <c r="A1177" i="17" s="1"/>
  <c r="A2221" i="1"/>
  <c r="C2221" i="1" s="1"/>
  <c r="A1233" i="17" s="1"/>
  <c r="A2222" i="1"/>
  <c r="C2222" i="1" s="1"/>
  <c r="A1307" i="17" s="1"/>
  <c r="A2223" i="1"/>
  <c r="C2223" i="1" s="1"/>
  <c r="A1338" i="17" s="1"/>
  <c r="A2224" i="1"/>
  <c r="C2224" i="1" s="1"/>
  <c r="A1365" i="17" s="1"/>
  <c r="A2225" i="1"/>
  <c r="C2225" i="1" s="1"/>
  <c r="A1391" i="17" s="1"/>
  <c r="A2226" i="1"/>
  <c r="C2226" i="1" s="1"/>
  <c r="A1444" i="17" s="1"/>
  <c r="A2227" i="1"/>
  <c r="C2227" i="1" s="1"/>
  <c r="A1447" i="17" s="1"/>
  <c r="A2228" i="1"/>
  <c r="C2228" i="1" s="1"/>
  <c r="A1448" i="17" s="1"/>
  <c r="A2229" i="1"/>
  <c r="C2229" i="1" s="1"/>
  <c r="A1449" i="17" s="1"/>
  <c r="A2230" i="1"/>
  <c r="C2230" i="1" s="1"/>
  <c r="A1450" i="17" s="1"/>
  <c r="A2231" i="1"/>
  <c r="C2231" i="1" s="1"/>
  <c r="A1451" i="17" s="1"/>
  <c r="A2232" i="1"/>
  <c r="C2232" i="1" s="1"/>
  <c r="A1452" i="17" s="1"/>
  <c r="A2233" i="1"/>
  <c r="C2233" i="1" s="1"/>
  <c r="A1453" i="17" s="1"/>
  <c r="A2234" i="1"/>
  <c r="C2234" i="1" s="1"/>
  <c r="A1454" i="17" s="1"/>
  <c r="A2235" i="1"/>
  <c r="C2235" i="1" s="1"/>
  <c r="A1455" i="17" s="1"/>
  <c r="A2236" i="1"/>
  <c r="C2236" i="1" s="1"/>
  <c r="A1456" i="17" s="1"/>
  <c r="A2237" i="1"/>
  <c r="C2237" i="1" s="1"/>
  <c r="A1457" i="17" s="1"/>
  <c r="A2238" i="1"/>
  <c r="C2238" i="1" s="1"/>
  <c r="A1458" i="17" s="1"/>
  <c r="A2239" i="1"/>
  <c r="C2239" i="1" s="1"/>
  <c r="A1464" i="17" s="1"/>
  <c r="A2240" i="1"/>
  <c r="C2240" i="1" s="1"/>
  <c r="A1465" i="17" s="1"/>
  <c r="A2241" i="1"/>
  <c r="C2241" i="1" s="1"/>
  <c r="A1466" i="17" s="1"/>
  <c r="A2242" i="1"/>
  <c r="C2242" i="1" s="1"/>
  <c r="A1469" i="17" s="1"/>
  <c r="A2243" i="1"/>
  <c r="C2243" i="1" s="1"/>
  <c r="A1470" i="17" s="1"/>
  <c r="A2244" i="1"/>
  <c r="C2244" i="1" s="1"/>
  <c r="A1475" i="17" s="1"/>
  <c r="A2245" i="1"/>
  <c r="C2245" i="1" s="1"/>
  <c r="A1801" i="17" s="1"/>
  <c r="A2246" i="1"/>
  <c r="C2246" i="1" s="1"/>
  <c r="A1821" i="17" s="1"/>
  <c r="A2247" i="1"/>
  <c r="C2247" i="1" s="1"/>
  <c r="A1822" i="17" s="1"/>
  <c r="A2248" i="1"/>
  <c r="C2248" i="1" s="1"/>
  <c r="A1823" i="17" s="1"/>
  <c r="A2249" i="1"/>
  <c r="C2249" i="1" s="1"/>
  <c r="A1824" i="17" s="1"/>
  <c r="A2250" i="1"/>
  <c r="C2250" i="1" s="1"/>
  <c r="A1825" i="17" s="1"/>
  <c r="A2251" i="1"/>
  <c r="C2251" i="1" s="1"/>
  <c r="A1826" i="17" s="1"/>
  <c r="A2252" i="1"/>
  <c r="C2252" i="1" s="1"/>
  <c r="A1827" i="17" s="1"/>
  <c r="A2253" i="1"/>
  <c r="C2253" i="1" s="1"/>
  <c r="A1828" i="17" s="1"/>
  <c r="A68" i="17"/>
  <c r="A70" i="17"/>
  <c r="A97" i="17"/>
  <c r="A98" i="17"/>
  <c r="A137" i="17"/>
  <c r="A183" i="17"/>
  <c r="A214" i="17"/>
  <c r="A218" i="17"/>
  <c r="A242" i="17"/>
  <c r="A304" i="17"/>
  <c r="A310" i="17"/>
  <c r="A313" i="17"/>
  <c r="A320" i="17"/>
  <c r="A321" i="17"/>
  <c r="A341" i="17"/>
  <c r="A354" i="17"/>
  <c r="A365" i="17"/>
  <c r="A372" i="17"/>
  <c r="A394" i="17"/>
  <c r="A421" i="17"/>
  <c r="A432" i="17"/>
  <c r="A450" i="17"/>
  <c r="A451" i="17"/>
  <c r="A453" i="17"/>
  <c r="A456" i="17"/>
  <c r="A510" i="17"/>
  <c r="A528" i="17"/>
  <c r="A548" i="17"/>
  <c r="A557" i="17"/>
  <c r="A568" i="17"/>
  <c r="A577" i="17"/>
  <c r="A585" i="17"/>
  <c r="A592" i="17"/>
  <c r="A607" i="17"/>
  <c r="A608" i="17"/>
  <c r="A616" i="17"/>
  <c r="A737" i="17"/>
  <c r="A739" i="17"/>
  <c r="A786" i="17"/>
  <c r="A816" i="17"/>
  <c r="A831" i="17"/>
  <c r="A920" i="17"/>
  <c r="A927" i="17"/>
  <c r="Q2087" i="1"/>
  <c r="M2087" i="1" s="1"/>
  <c r="O2090" i="1" s="1"/>
  <c r="M2088" i="1"/>
  <c r="N2088" i="1" s="1"/>
  <c r="Q2088" i="1"/>
  <c r="P2088" i="1" s="1"/>
  <c r="M2089" i="1"/>
  <c r="O2089" i="1" s="1"/>
  <c r="N2089" i="1"/>
  <c r="Q2089" i="1"/>
  <c r="P2089" i="1" s="1"/>
  <c r="M2090" i="1"/>
  <c r="N2090" i="1"/>
  <c r="Q2090" i="1"/>
  <c r="P2090" i="1" s="1"/>
  <c r="M2091" i="1"/>
  <c r="N2091" i="1"/>
  <c r="O2091" i="1"/>
  <c r="P2091" i="1"/>
  <c r="Q2091" i="1"/>
  <c r="P2092" i="1"/>
  <c r="Q2092" i="1"/>
  <c r="M2092" i="1" s="1"/>
  <c r="N2092" i="1" s="1"/>
  <c r="Q2093" i="1"/>
  <c r="M2093" i="1" s="1"/>
  <c r="N2093" i="1" s="1"/>
  <c r="P2094" i="1"/>
  <c r="Q2094" i="1"/>
  <c r="M2094" i="1" s="1"/>
  <c r="Q2095" i="1"/>
  <c r="P2095" i="1" s="1"/>
  <c r="M2096" i="1"/>
  <c r="N2096" i="1"/>
  <c r="O2096" i="1"/>
  <c r="Q2096" i="1"/>
  <c r="P2096" i="1" s="1"/>
  <c r="M2097" i="1"/>
  <c r="N2097" i="1"/>
  <c r="P2097" i="1"/>
  <c r="Q2097" i="1"/>
  <c r="P2098" i="1"/>
  <c r="Q2098" i="1"/>
  <c r="M2098" i="1" s="1"/>
  <c r="N2098" i="1" s="1"/>
  <c r="O2099" i="1"/>
  <c r="P2099" i="1"/>
  <c r="Q2099" i="1"/>
  <c r="M2099" i="1" s="1"/>
  <c r="N2099" i="1" s="1"/>
  <c r="M2100" i="1"/>
  <c r="P2100" i="1"/>
  <c r="Q2100" i="1"/>
  <c r="M2101" i="1"/>
  <c r="O2101" i="1" s="1"/>
  <c r="Q2101" i="1"/>
  <c r="P2101" i="1" s="1"/>
  <c r="M2102" i="1"/>
  <c r="O2102" i="1" s="1"/>
  <c r="N2102" i="1"/>
  <c r="Q2102" i="1"/>
  <c r="P2102" i="1" s="1"/>
  <c r="M2103" i="1"/>
  <c r="N2103" i="1" s="1"/>
  <c r="P2103" i="1"/>
  <c r="Q2103" i="1"/>
  <c r="N2104" i="1"/>
  <c r="Q2104" i="1"/>
  <c r="M2104" i="1" s="1"/>
  <c r="Q2105" i="1"/>
  <c r="M2105" i="1" s="1"/>
  <c r="N2105" i="1" s="1"/>
  <c r="M2106" i="1"/>
  <c r="Q2106" i="1"/>
  <c r="P2106" i="1" s="1"/>
  <c r="Q2107" i="1"/>
  <c r="P2107" i="1" s="1"/>
  <c r="M2108" i="1"/>
  <c r="N2108" i="1" s="1"/>
  <c r="Q2108" i="1"/>
  <c r="P2108" i="1" s="1"/>
  <c r="M2109" i="1"/>
  <c r="N2109" i="1"/>
  <c r="O2109" i="1"/>
  <c r="P2109" i="1"/>
  <c r="Q2109" i="1"/>
  <c r="P2110" i="1"/>
  <c r="Q2110" i="1"/>
  <c r="M2110" i="1" s="1"/>
  <c r="N2110" i="1" s="1"/>
  <c r="Q2111" i="1"/>
  <c r="M2111" i="1" s="1"/>
  <c r="N2111" i="1" s="1"/>
  <c r="P2112" i="1"/>
  <c r="Q2112" i="1"/>
  <c r="M2112" i="1" s="1"/>
  <c r="Q2113" i="1"/>
  <c r="P2113" i="1" s="1"/>
  <c r="M2114" i="1"/>
  <c r="N2114" i="1"/>
  <c r="O2114" i="1"/>
  <c r="Q2114" i="1"/>
  <c r="P2114" i="1" s="1"/>
  <c r="M2115" i="1"/>
  <c r="O2115" i="1" s="1"/>
  <c r="N2115" i="1"/>
  <c r="P2115" i="1"/>
  <c r="Q2115" i="1"/>
  <c r="N2116" i="1"/>
  <c r="P2116" i="1"/>
  <c r="Q2116" i="1"/>
  <c r="M2116" i="1" s="1"/>
  <c r="O2117" i="1"/>
  <c r="P2117" i="1"/>
  <c r="Q2117" i="1"/>
  <c r="M2117" i="1" s="1"/>
  <c r="N2117" i="1" s="1"/>
  <c r="M2118" i="1"/>
  <c r="P2118" i="1"/>
  <c r="Q2118" i="1"/>
  <c r="M2119" i="1"/>
  <c r="O2119" i="1" s="1"/>
  <c r="Q2119" i="1"/>
  <c r="P2119" i="1" s="1"/>
  <c r="M2120" i="1"/>
  <c r="O2120" i="1" s="1"/>
  <c r="N2120" i="1"/>
  <c r="Q2120" i="1"/>
  <c r="P2120" i="1" s="1"/>
  <c r="M2121" i="1"/>
  <c r="N2121" i="1" s="1"/>
  <c r="P2121" i="1"/>
  <c r="Q2121" i="1"/>
  <c r="N2122" i="1"/>
  <c r="Q2122" i="1"/>
  <c r="M2122" i="1" s="1"/>
  <c r="Q2123" i="1"/>
  <c r="M2123" i="1" s="1"/>
  <c r="N2123" i="1" s="1"/>
  <c r="M2124" i="1"/>
  <c r="Q2124" i="1"/>
  <c r="P2124" i="1" s="1"/>
  <c r="Q2125" i="1"/>
  <c r="P2125" i="1" s="1"/>
  <c r="M2126" i="1"/>
  <c r="N2126" i="1" s="1"/>
  <c r="Q2126" i="1"/>
  <c r="P2126" i="1" s="1"/>
  <c r="M2127" i="1"/>
  <c r="N2127" i="1"/>
  <c r="O2127" i="1"/>
  <c r="P2127" i="1"/>
  <c r="Q2127" i="1"/>
  <c r="P2128" i="1"/>
  <c r="Q2128" i="1"/>
  <c r="M2128" i="1" s="1"/>
  <c r="N2128" i="1" s="1"/>
  <c r="Q2129" i="1"/>
  <c r="M2129" i="1" s="1"/>
  <c r="N2129" i="1" s="1"/>
  <c r="P2130" i="1"/>
  <c r="Q2130" i="1"/>
  <c r="M2130" i="1" s="1"/>
  <c r="Q2131" i="1"/>
  <c r="P2131" i="1" s="1"/>
  <c r="M2132" i="1"/>
  <c r="N2132" i="1"/>
  <c r="O2132" i="1"/>
  <c r="Q2132" i="1"/>
  <c r="P2132" i="1" s="1"/>
  <c r="M2133" i="1"/>
  <c r="O2133" i="1" s="1"/>
  <c r="N2133" i="1"/>
  <c r="P2133" i="1"/>
  <c r="Q2133" i="1"/>
  <c r="N2134" i="1"/>
  <c r="P2134" i="1"/>
  <c r="Q2134" i="1"/>
  <c r="M2134" i="1" s="1"/>
  <c r="O2135" i="1"/>
  <c r="P2135" i="1"/>
  <c r="Q2135" i="1"/>
  <c r="M2135" i="1" s="1"/>
  <c r="N2135" i="1" s="1"/>
  <c r="M2136" i="1"/>
  <c r="P2136" i="1"/>
  <c r="Q2136" i="1"/>
  <c r="M2137" i="1"/>
  <c r="O2137" i="1" s="1"/>
  <c r="N2137" i="1"/>
  <c r="Q2137" i="1"/>
  <c r="P2137" i="1" s="1"/>
  <c r="M2138" i="1"/>
  <c r="O2138" i="1" s="1"/>
  <c r="N2138" i="1"/>
  <c r="Q2138" i="1"/>
  <c r="P2138" i="1" s="1"/>
  <c r="M2139" i="1"/>
  <c r="N2139" i="1" s="1"/>
  <c r="P2139" i="1"/>
  <c r="Q2139" i="1"/>
  <c r="N2140" i="1"/>
  <c r="O2140" i="1"/>
  <c r="Q2140" i="1"/>
  <c r="M2140" i="1" s="1"/>
  <c r="Q2141" i="1"/>
  <c r="M2141" i="1" s="1"/>
  <c r="N2141" i="1" s="1"/>
  <c r="M2142" i="1"/>
  <c r="Q2142" i="1"/>
  <c r="P2142" i="1" s="1"/>
  <c r="Q2143" i="1"/>
  <c r="P2143" i="1" s="1"/>
  <c r="M2144" i="1"/>
  <c r="N2144" i="1" s="1"/>
  <c r="Q2144" i="1"/>
  <c r="P2144" i="1" s="1"/>
  <c r="M2145" i="1"/>
  <c r="N2145" i="1"/>
  <c r="P2145" i="1"/>
  <c r="Q2145" i="1"/>
  <c r="Q2146" i="1"/>
  <c r="M2146" i="1" s="1"/>
  <c r="N2146" i="1" s="1"/>
  <c r="Q2147" i="1"/>
  <c r="M2147" i="1" s="1"/>
  <c r="N2147" i="1" s="1"/>
  <c r="Q2148" i="1"/>
  <c r="P2148" i="1" s="1"/>
  <c r="Q2149" i="1"/>
  <c r="P2149" i="1" s="1"/>
  <c r="M2150" i="1"/>
  <c r="N2150" i="1"/>
  <c r="O2150" i="1"/>
  <c r="Q2150" i="1"/>
  <c r="P2150" i="1" s="1"/>
  <c r="M2151" i="1"/>
  <c r="N2151" i="1"/>
  <c r="P2151" i="1"/>
  <c r="Q2151" i="1"/>
  <c r="N2152" i="1"/>
  <c r="P2152" i="1"/>
  <c r="Q2152" i="1"/>
  <c r="M2152" i="1" s="1"/>
  <c r="O2153" i="1"/>
  <c r="P2153" i="1"/>
  <c r="Q2153" i="1"/>
  <c r="M2153" i="1" s="1"/>
  <c r="N2153" i="1" s="1"/>
  <c r="Q2154" i="1"/>
  <c r="M2154" i="1" s="1"/>
  <c r="M2155" i="1"/>
  <c r="O2155" i="1" s="1"/>
  <c r="Q2155" i="1"/>
  <c r="P2155" i="1" s="1"/>
  <c r="Q2156" i="1"/>
  <c r="P2156" i="1" s="1"/>
  <c r="M2157" i="1"/>
  <c r="N2157" i="1"/>
  <c r="P2157" i="1"/>
  <c r="Q2157" i="1"/>
  <c r="M2158" i="1"/>
  <c r="N2158" i="1" s="1"/>
  <c r="Q2158" i="1"/>
  <c r="P2158" i="1" s="1"/>
  <c r="N2159" i="1"/>
  <c r="Q2159" i="1"/>
  <c r="M2159" i="1" s="1"/>
  <c r="Q2160" i="1"/>
  <c r="P2160" i="1" s="1"/>
  <c r="Q2161" i="1"/>
  <c r="M2161" i="1" s="1"/>
  <c r="A2087" i="1"/>
  <c r="C2087" i="1" s="1"/>
  <c r="A3" i="17" s="1"/>
  <c r="A2088" i="1"/>
  <c r="C2088" i="1" s="1"/>
  <c r="A106" i="17" s="1"/>
  <c r="A2089" i="1"/>
  <c r="C2089" i="1" s="1"/>
  <c r="A130" i="17" s="1"/>
  <c r="A2090" i="1"/>
  <c r="C2090" i="1" s="1"/>
  <c r="A146" i="17" s="1"/>
  <c r="A2091" i="1"/>
  <c r="C2091" i="1" s="1"/>
  <c r="A159" i="17" s="1"/>
  <c r="A2092" i="1"/>
  <c r="C2092" i="1" s="1"/>
  <c r="A180" i="17" s="1"/>
  <c r="A2093" i="1"/>
  <c r="C2093" i="1" s="1"/>
  <c r="A208" i="17" s="1"/>
  <c r="A2094" i="1"/>
  <c r="C2094" i="1" s="1"/>
  <c r="A250" i="17" s="1"/>
  <c r="A2095" i="1"/>
  <c r="C2095" i="1" s="1"/>
  <c r="A254" i="17" s="1"/>
  <c r="A2096" i="1"/>
  <c r="C2096" i="1" s="1"/>
  <c r="A402" i="17" s="1"/>
  <c r="A2097" i="1"/>
  <c r="C2097" i="1" s="1"/>
  <c r="A522" i="17" s="1"/>
  <c r="A2098" i="1"/>
  <c r="C2098" i="1" s="1"/>
  <c r="A525" i="17" s="1"/>
  <c r="A2099" i="1"/>
  <c r="C2099" i="1" s="1"/>
  <c r="A564" i="17" s="1"/>
  <c r="A2100" i="1"/>
  <c r="C2100" i="1" s="1"/>
  <c r="A567" i="17" s="1"/>
  <c r="A2101" i="1"/>
  <c r="C2101" i="1" s="1"/>
  <c r="A609" i="17" s="1"/>
  <c r="A2102" i="1"/>
  <c r="C2102" i="1" s="1"/>
  <c r="A624" i="17" s="1"/>
  <c r="A2103" i="1"/>
  <c r="C2103" i="1" s="1"/>
  <c r="A625" i="17" s="1"/>
  <c r="A2104" i="1"/>
  <c r="C2104" i="1" s="1"/>
  <c r="A639" i="17" s="1"/>
  <c r="A2105" i="1"/>
  <c r="C2105" i="1" s="1"/>
  <c r="A804" i="17" s="1"/>
  <c r="A2106" i="1"/>
  <c r="C2106" i="1" s="1"/>
  <c r="A813" i="17" s="1"/>
  <c r="A2107" i="1"/>
  <c r="C2107" i="1" s="1"/>
  <c r="A900" i="17" s="1"/>
  <c r="A2108" i="1"/>
  <c r="C2108" i="1" s="1"/>
  <c r="A942" i="17" s="1"/>
  <c r="A2109" i="1"/>
  <c r="C2109" i="1" s="1"/>
  <c r="A947" i="17" s="1"/>
  <c r="A2110" i="1"/>
  <c r="C2110" i="1" s="1"/>
  <c r="A949" i="17" s="1"/>
  <c r="A2111" i="1"/>
  <c r="C2111" i="1" s="1"/>
  <c r="A977" i="17" s="1"/>
  <c r="A2112" i="1"/>
  <c r="C2112" i="1" s="1"/>
  <c r="A1054" i="17" s="1"/>
  <c r="A2113" i="1"/>
  <c r="C2113" i="1" s="1"/>
  <c r="A1128" i="17" s="1"/>
  <c r="A2114" i="1"/>
  <c r="C2114" i="1" s="1"/>
  <c r="A1130" i="17" s="1"/>
  <c r="A2115" i="1"/>
  <c r="C2115" i="1" s="1"/>
  <c r="A1137" i="17" s="1"/>
  <c r="A2116" i="1"/>
  <c r="C2116" i="1" s="1"/>
  <c r="A1145" i="17" s="1"/>
  <c r="A2117" i="1"/>
  <c r="C2117" i="1" s="1"/>
  <c r="A1186" i="17" s="1"/>
  <c r="A2118" i="1"/>
  <c r="C2118" i="1" s="1"/>
  <c r="A1216" i="17" s="1"/>
  <c r="A2119" i="1"/>
  <c r="C2119" i="1" s="1"/>
  <c r="A1219" i="17" s="1"/>
  <c r="A2120" i="1"/>
  <c r="C2120" i="1" s="1"/>
  <c r="A1224" i="17" s="1"/>
  <c r="A2121" i="1"/>
  <c r="C2121" i="1" s="1"/>
  <c r="A1225" i="17" s="1"/>
  <c r="A2122" i="1"/>
  <c r="C2122" i="1" s="1"/>
  <c r="A1236" i="17" s="1"/>
  <c r="A2123" i="1"/>
  <c r="C2123" i="1" s="1"/>
  <c r="A1247" i="17" s="1"/>
  <c r="A2124" i="1"/>
  <c r="C2124" i="1" s="1"/>
  <c r="A1282" i="17" s="1"/>
  <c r="A2125" i="1"/>
  <c r="C2125" i="1" s="1"/>
  <c r="A1355" i="17" s="1"/>
  <c r="A2126" i="1"/>
  <c r="C2126" i="1" s="1"/>
  <c r="A1486" i="17" s="1"/>
  <c r="A2127" i="1"/>
  <c r="C2127" i="1" s="1"/>
  <c r="A1820" i="17" s="1"/>
  <c r="A2128" i="1"/>
  <c r="C2128" i="1" s="1"/>
  <c r="A2129" i="1"/>
  <c r="C2129" i="1" s="1"/>
  <c r="A2130" i="1"/>
  <c r="C2130" i="1" s="1"/>
  <c r="A2131" i="1"/>
  <c r="C2131" i="1" s="1"/>
  <c r="A2132" i="1"/>
  <c r="C2132" i="1" s="1"/>
  <c r="A2133" i="1"/>
  <c r="C2133" i="1" s="1"/>
  <c r="A2134" i="1"/>
  <c r="C2134" i="1" s="1"/>
  <c r="A2135" i="1"/>
  <c r="C2135" i="1" s="1"/>
  <c r="A2136" i="1"/>
  <c r="C2136" i="1" s="1"/>
  <c r="A2137" i="1"/>
  <c r="C2137" i="1" s="1"/>
  <c r="A2138" i="1"/>
  <c r="C2138" i="1" s="1"/>
  <c r="A2139" i="1"/>
  <c r="C2139" i="1" s="1"/>
  <c r="A2140" i="1"/>
  <c r="C2140" i="1" s="1"/>
  <c r="A2141" i="1"/>
  <c r="C2141" i="1" s="1"/>
  <c r="A2142" i="1"/>
  <c r="C2142" i="1" s="1"/>
  <c r="A2143" i="1"/>
  <c r="C2143" i="1" s="1"/>
  <c r="A2144" i="1"/>
  <c r="C2144" i="1" s="1"/>
  <c r="A2145" i="1"/>
  <c r="C2145" i="1" s="1"/>
  <c r="A2146" i="1"/>
  <c r="C2146" i="1" s="1"/>
  <c r="A2147" i="1"/>
  <c r="C2147" i="1" s="1"/>
  <c r="A2148" i="1"/>
  <c r="C2148" i="1" s="1"/>
  <c r="A2149" i="1"/>
  <c r="C2149" i="1" s="1"/>
  <c r="A2150" i="1"/>
  <c r="C2150" i="1" s="1"/>
  <c r="A2151" i="1"/>
  <c r="C2151" i="1" s="1"/>
  <c r="A2152" i="1"/>
  <c r="C2152" i="1" s="1"/>
  <c r="A2153" i="1"/>
  <c r="C2153" i="1" s="1"/>
  <c r="A2154" i="1"/>
  <c r="C2154" i="1" s="1"/>
  <c r="A2155" i="1"/>
  <c r="C2155" i="1" s="1"/>
  <c r="A2156" i="1"/>
  <c r="C2156" i="1" s="1"/>
  <c r="A2157" i="1"/>
  <c r="C2157" i="1" s="1"/>
  <c r="A2158" i="1"/>
  <c r="C2158" i="1" s="1"/>
  <c r="A2159" i="1"/>
  <c r="C2159" i="1" s="1"/>
  <c r="A2160" i="1"/>
  <c r="C2160" i="1" s="1"/>
  <c r="A2161" i="1"/>
  <c r="C2161" i="1" s="1"/>
  <c r="Q2075" i="1"/>
  <c r="M2075" i="1" s="1"/>
  <c r="Q2081" i="1"/>
  <c r="P2081" i="1" s="1"/>
  <c r="Q2084" i="1"/>
  <c r="P2084" i="1" s="1"/>
  <c r="Q2085" i="1"/>
  <c r="P2085" i="1" s="1"/>
  <c r="Q2083" i="1"/>
  <c r="P2083" i="1" s="1"/>
  <c r="Q2082" i="1"/>
  <c r="M2082" i="1" s="1"/>
  <c r="Q2079" i="1"/>
  <c r="M2079" i="1" s="1"/>
  <c r="Q2078" i="1"/>
  <c r="M2078" i="1" s="1"/>
  <c r="N2078" i="1" s="1"/>
  <c r="Q2086" i="1"/>
  <c r="P2086" i="1" s="1"/>
  <c r="Q2076" i="1"/>
  <c r="P2076" i="1" s="1"/>
  <c r="Q2077" i="1"/>
  <c r="P2077" i="1" s="1"/>
  <c r="Q2080" i="1"/>
  <c r="P2080" i="1" s="1"/>
  <c r="A2075" i="1"/>
  <c r="C2075" i="1" s="1"/>
  <c r="A437" i="17" s="1"/>
  <c r="A2081" i="1"/>
  <c r="C2081" i="1" s="1"/>
  <c r="A533" i="17" s="1"/>
  <c r="A2084" i="1"/>
  <c r="C2084" i="1" s="1"/>
  <c r="A551" i="17" s="1"/>
  <c r="A2085" i="1"/>
  <c r="C2085" i="1" s="1"/>
  <c r="A865" i="17" s="1"/>
  <c r="A2083" i="1"/>
  <c r="C2083" i="1" s="1"/>
  <c r="A950" i="17" s="1"/>
  <c r="A2082" i="1"/>
  <c r="C2082" i="1" s="1"/>
  <c r="A1053" i="17" s="1"/>
  <c r="A2079" i="1"/>
  <c r="C2079" i="1" s="1"/>
  <c r="A1334" i="17" s="1"/>
  <c r="A2078" i="1"/>
  <c r="C2078" i="1" s="1"/>
  <c r="A1336" i="17" s="1"/>
  <c r="A2086" i="1"/>
  <c r="C2086" i="1" s="1"/>
  <c r="A2076" i="1"/>
  <c r="C2076" i="1" s="1"/>
  <c r="A1389" i="17" s="1"/>
  <c r="A2077" i="1"/>
  <c r="C2077" i="1" s="1"/>
  <c r="A1818" i="17" s="1"/>
  <c r="A2080" i="1"/>
  <c r="C2080" i="1" s="1"/>
  <c r="A1819" i="17" s="1"/>
  <c r="O2227" i="1" l="1"/>
  <c r="N2227" i="1"/>
  <c r="O2239" i="1"/>
  <c r="N2239" i="1"/>
  <c r="O2221" i="1"/>
  <c r="N2221" i="1"/>
  <c r="O2245" i="1"/>
  <c r="N2245" i="1"/>
  <c r="P2231" i="1"/>
  <c r="M2231" i="1"/>
  <c r="M2216" i="1"/>
  <c r="P2216" i="1"/>
  <c r="M2210" i="1"/>
  <c r="P2210" i="1"/>
  <c r="M2204" i="1"/>
  <c r="P2204" i="1"/>
  <c r="M2198" i="1"/>
  <c r="P2198" i="1"/>
  <c r="M2252" i="1"/>
  <c r="P2252" i="1"/>
  <c r="M2251" i="1"/>
  <c r="O2241" i="1"/>
  <c r="P2239" i="1"/>
  <c r="M2234" i="1"/>
  <c r="P2234" i="1"/>
  <c r="M2233" i="1"/>
  <c r="O2223" i="1"/>
  <c r="P2221" i="1"/>
  <c r="N2218" i="1"/>
  <c r="O2214" i="1"/>
  <c r="N2212" i="1"/>
  <c r="O2208" i="1"/>
  <c r="O2202" i="1"/>
  <c r="N2200" i="1"/>
  <c r="P2249" i="1"/>
  <c r="M2249" i="1"/>
  <c r="O2248" i="1"/>
  <c r="P2237" i="1"/>
  <c r="M2237" i="1"/>
  <c r="O2236" i="1"/>
  <c r="P2219" i="1"/>
  <c r="M2219" i="1"/>
  <c r="O2206" i="1"/>
  <c r="N2196" i="1"/>
  <c r="O2196" i="1"/>
  <c r="N2168" i="1"/>
  <c r="O2168" i="1"/>
  <c r="M2240" i="1"/>
  <c r="P2240" i="1"/>
  <c r="P2227" i="1"/>
  <c r="M2222" i="1"/>
  <c r="P2222" i="1"/>
  <c r="P2215" i="1"/>
  <c r="P2209" i="1"/>
  <c r="P2203" i="1"/>
  <c r="O2193" i="1"/>
  <c r="N2190" i="1"/>
  <c r="O2190" i="1"/>
  <c r="N2184" i="1"/>
  <c r="O2184" i="1"/>
  <c r="N2178" i="1"/>
  <c r="O2178" i="1"/>
  <c r="P2243" i="1"/>
  <c r="M2243" i="1"/>
  <c r="O2232" i="1"/>
  <c r="O2224" i="1"/>
  <c r="N2215" i="1"/>
  <c r="N2203" i="1"/>
  <c r="P2194" i="1"/>
  <c r="M2194" i="1"/>
  <c r="O2209" i="1"/>
  <c r="O2247" i="1"/>
  <c r="P2245" i="1"/>
  <c r="O2250" i="1"/>
  <c r="O2242" i="1"/>
  <c r="P2225" i="1"/>
  <c r="M2225" i="1"/>
  <c r="O2253" i="1"/>
  <c r="N2248" i="1"/>
  <c r="M2246" i="1"/>
  <c r="P2246" i="1"/>
  <c r="O2235" i="1"/>
  <c r="M2228" i="1"/>
  <c r="P2228" i="1"/>
  <c r="N2217" i="1"/>
  <c r="O2217" i="1"/>
  <c r="N2211" i="1"/>
  <c r="O2211" i="1"/>
  <c r="N2205" i="1"/>
  <c r="O2205" i="1"/>
  <c r="O2197" i="1"/>
  <c r="P2188" i="1"/>
  <c r="M2188" i="1"/>
  <c r="P2182" i="1"/>
  <c r="M2182" i="1"/>
  <c r="O2185" i="1" s="1"/>
  <c r="P2176" i="1"/>
  <c r="M2176" i="1"/>
  <c r="O2238" i="1"/>
  <c r="O2230" i="1"/>
  <c r="N2187" i="1"/>
  <c r="O2187" i="1"/>
  <c r="N2181" i="1"/>
  <c r="O2181" i="1"/>
  <c r="N2175" i="1"/>
  <c r="O2175" i="1"/>
  <c r="N2169" i="1"/>
  <c r="O2169" i="1"/>
  <c r="N2162" i="1"/>
  <c r="O2162" i="1"/>
  <c r="N2164" i="1"/>
  <c r="M2163" i="1"/>
  <c r="O2166" i="1"/>
  <c r="O2172" i="1"/>
  <c r="M2170" i="1"/>
  <c r="M2213" i="1"/>
  <c r="M2207" i="1"/>
  <c r="M2201" i="1"/>
  <c r="M2195" i="1"/>
  <c r="P2192" i="1"/>
  <c r="M2189" i="1"/>
  <c r="P2186" i="1"/>
  <c r="M2183" i="1"/>
  <c r="P2180" i="1"/>
  <c r="M2177" i="1"/>
  <c r="P2174" i="1"/>
  <c r="M2171" i="1"/>
  <c r="P2168" i="1"/>
  <c r="O2167" i="1"/>
  <c r="M2165" i="1"/>
  <c r="P2162" i="1"/>
  <c r="O2199" i="1"/>
  <c r="N2154" i="1"/>
  <c r="O2154" i="1"/>
  <c r="O2157" i="1"/>
  <c r="O2097" i="1"/>
  <c r="O2161" i="1"/>
  <c r="N2161" i="1"/>
  <c r="N2130" i="1"/>
  <c r="O2130" i="1"/>
  <c r="N2112" i="1"/>
  <c r="O2112" i="1"/>
  <c r="N2094" i="1"/>
  <c r="O2094" i="1"/>
  <c r="N2142" i="1"/>
  <c r="O2142" i="1"/>
  <c r="P2161" i="1"/>
  <c r="M2160" i="1"/>
  <c r="M2156" i="1"/>
  <c r="P2154" i="1"/>
  <c r="M2148" i="1"/>
  <c r="O2151" i="1" s="1"/>
  <c r="P2141" i="1"/>
  <c r="O2128" i="1"/>
  <c r="P2123" i="1"/>
  <c r="O2110" i="1"/>
  <c r="P2105" i="1"/>
  <c r="O2092" i="1"/>
  <c r="M2125" i="1"/>
  <c r="O2123" i="1"/>
  <c r="M2107" i="1"/>
  <c r="O2105" i="1"/>
  <c r="O2145" i="1"/>
  <c r="P2146" i="1"/>
  <c r="O2158" i="1"/>
  <c r="M2143" i="1"/>
  <c r="O2141" i="1"/>
  <c r="P2159" i="1"/>
  <c r="P2147" i="1"/>
  <c r="O2144" i="1"/>
  <c r="O2139" i="1"/>
  <c r="N2136" i="1"/>
  <c r="O2136" i="1"/>
  <c r="P2129" i="1"/>
  <c r="O2126" i="1"/>
  <c r="O2121" i="1"/>
  <c r="N2118" i="1"/>
  <c r="O2118" i="1"/>
  <c r="P2111" i="1"/>
  <c r="O2108" i="1"/>
  <c r="O2103" i="1"/>
  <c r="N2100" i="1"/>
  <c r="O2100" i="1"/>
  <c r="P2093" i="1"/>
  <c r="N2155" i="1"/>
  <c r="M2149" i="1"/>
  <c r="O2147" i="1"/>
  <c r="P2140" i="1"/>
  <c r="M2131" i="1"/>
  <c r="O2129" i="1"/>
  <c r="P2122" i="1"/>
  <c r="M2113" i="1"/>
  <c r="O2111" i="1"/>
  <c r="P2104" i="1"/>
  <c r="M2095" i="1"/>
  <c r="O2093" i="1"/>
  <c r="N2124" i="1"/>
  <c r="O2124" i="1"/>
  <c r="O2122" i="1"/>
  <c r="N2119" i="1"/>
  <c r="N2106" i="1"/>
  <c r="O2106" i="1"/>
  <c r="O2104" i="1"/>
  <c r="N2101" i="1"/>
  <c r="N2087" i="1"/>
  <c r="O2087" i="1"/>
  <c r="P2087" i="1"/>
  <c r="O2088" i="1"/>
  <c r="M2083" i="1"/>
  <c r="N2083" i="1" s="1"/>
  <c r="P2078" i="1"/>
  <c r="M2081" i="1"/>
  <c r="N2081" i="1" s="1"/>
  <c r="N2079" i="1"/>
  <c r="N2082" i="1"/>
  <c r="N2075" i="1"/>
  <c r="O2075" i="1"/>
  <c r="M2077" i="1"/>
  <c r="M2086" i="1"/>
  <c r="P2082" i="1"/>
  <c r="O2083" i="1"/>
  <c r="M2084" i="1"/>
  <c r="M2080" i="1"/>
  <c r="O2082" i="1" s="1"/>
  <c r="M2076" i="1"/>
  <c r="P2079" i="1"/>
  <c r="M2085" i="1"/>
  <c r="P2075" i="1"/>
  <c r="O2078" i="1"/>
  <c r="O2081" i="1"/>
  <c r="Q2040" i="1"/>
  <c r="M2040" i="1" s="1"/>
  <c r="Q2039" i="1"/>
  <c r="P2039" i="1" s="1"/>
  <c r="M2067" i="1"/>
  <c r="Q2067" i="1"/>
  <c r="P2067" i="1" s="1"/>
  <c r="Q2041" i="1"/>
  <c r="P2041" i="1" s="1"/>
  <c r="Q2060" i="1"/>
  <c r="M2060" i="1" s="1"/>
  <c r="Q2068" i="1"/>
  <c r="M2068" i="1" s="1"/>
  <c r="Q2059" i="1"/>
  <c r="M2059" i="1" s="1"/>
  <c r="Q2042" i="1"/>
  <c r="P2042" i="1" s="1"/>
  <c r="Q2049" i="1"/>
  <c r="P2049" i="1" s="1"/>
  <c r="Q2046" i="1"/>
  <c r="M2046" i="1" s="1"/>
  <c r="Q2048" i="1"/>
  <c r="M2048" i="1" s="1"/>
  <c r="Q2062" i="1"/>
  <c r="M2062" i="1" s="1"/>
  <c r="Q2056" i="1"/>
  <c r="P2056" i="1" s="1"/>
  <c r="Q2052" i="1"/>
  <c r="P2052" i="1" s="1"/>
  <c r="Q2044" i="1"/>
  <c r="M2044" i="1" s="1"/>
  <c r="N2044" i="1" s="1"/>
  <c r="M2043" i="1"/>
  <c r="Q2043" i="1"/>
  <c r="P2043" i="1" s="1"/>
  <c r="Q2074" i="1"/>
  <c r="M2074" i="1" s="1"/>
  <c r="P2050" i="1"/>
  <c r="Q2050" i="1"/>
  <c r="M2050" i="1" s="1"/>
  <c r="Q2053" i="1"/>
  <c r="P2053" i="1" s="1"/>
  <c r="Q2057" i="1"/>
  <c r="P2057" i="1" s="1"/>
  <c r="Q2063" i="1"/>
  <c r="M2063" i="1" s="1"/>
  <c r="N2063" i="1" s="1"/>
  <c r="Q2064" i="1"/>
  <c r="P2064" i="1" s="1"/>
  <c r="Q2058" i="1"/>
  <c r="M2058" i="1" s="1"/>
  <c r="Q2045" i="1"/>
  <c r="M2045" i="1" s="1"/>
  <c r="Q2047" i="1"/>
  <c r="P2047" i="1" s="1"/>
  <c r="Q2054" i="1"/>
  <c r="P2054" i="1" s="1"/>
  <c r="Q2051" i="1"/>
  <c r="M2051" i="1" s="1"/>
  <c r="N2051" i="1" s="1"/>
  <c r="Q2055" i="1"/>
  <c r="P2055" i="1" s="1"/>
  <c r="Q2073" i="1"/>
  <c r="M2073" i="1" s="1"/>
  <c r="Q2071" i="1"/>
  <c r="M2071" i="1" s="1"/>
  <c r="N2071" i="1" s="1"/>
  <c r="Q2070" i="1"/>
  <c r="P2070" i="1" s="1"/>
  <c r="Q2065" i="1"/>
  <c r="P2065" i="1" s="1"/>
  <c r="P2072" i="1"/>
  <c r="Q2072" i="1"/>
  <c r="M2072" i="1" s="1"/>
  <c r="N2072" i="1" s="1"/>
  <c r="Q2069" i="1"/>
  <c r="P2069" i="1" s="1"/>
  <c r="Q1796" i="1"/>
  <c r="M1796" i="1" s="1"/>
  <c r="P1824" i="1"/>
  <c r="Q1824" i="1"/>
  <c r="M1824" i="1" s="1"/>
  <c r="N1824" i="1" s="1"/>
  <c r="Q1853" i="1"/>
  <c r="P1853" i="1" s="1"/>
  <c r="Q1867" i="1"/>
  <c r="P1867" i="1" s="1"/>
  <c r="Q1882" i="1"/>
  <c r="M1882" i="1" s="1"/>
  <c r="N1882" i="1" s="1"/>
  <c r="Q1878" i="1"/>
  <c r="P1878" i="1" s="1"/>
  <c r="Q1907" i="1"/>
  <c r="M1907" i="1" s="1"/>
  <c r="Q1913" i="1"/>
  <c r="P1913" i="1" s="1"/>
  <c r="Q1930" i="1"/>
  <c r="P1930" i="1" s="1"/>
  <c r="Q1948" i="1"/>
  <c r="P1948" i="1" s="1"/>
  <c r="Q1986" i="1"/>
  <c r="M1986" i="1" s="1"/>
  <c r="N1986" i="1" s="1"/>
  <c r="Q1988" i="1"/>
  <c r="Q1997" i="1"/>
  <c r="M1997" i="1" s="1"/>
  <c r="Q2061" i="1"/>
  <c r="M2061" i="1" s="1"/>
  <c r="N2061" i="1" s="1"/>
  <c r="Q2066" i="1"/>
  <c r="P2066" i="1" s="1"/>
  <c r="A2040" i="1"/>
  <c r="C2040" i="1" s="1"/>
  <c r="A115" i="17" s="1"/>
  <c r="A2039" i="1"/>
  <c r="C2039" i="1" s="1"/>
  <c r="A202" i="17" s="1"/>
  <c r="A2067" i="1"/>
  <c r="C2067" i="1" s="1"/>
  <c r="A273" i="17" s="1"/>
  <c r="A2041" i="1"/>
  <c r="C2041" i="1" s="1"/>
  <c r="A349" i="17" s="1"/>
  <c r="A2060" i="1"/>
  <c r="C2060" i="1" s="1"/>
  <c r="A376" i="17" s="1"/>
  <c r="A2068" i="1"/>
  <c r="C2068" i="1" s="1"/>
  <c r="A410" i="17" s="1"/>
  <c r="A2059" i="1"/>
  <c r="C2059" i="1" s="1"/>
  <c r="A416" i="17" s="1"/>
  <c r="A2042" i="1"/>
  <c r="C2042" i="1" s="1"/>
  <c r="A419" i="17" s="1"/>
  <c r="A2049" i="1"/>
  <c r="C2049" i="1" s="1"/>
  <c r="A442" i="17" s="1"/>
  <c r="A2046" i="1"/>
  <c r="C2046" i="1" s="1"/>
  <c r="A498" i="17" s="1"/>
  <c r="A2048" i="1"/>
  <c r="C2048" i="1" s="1"/>
  <c r="A502" i="17" s="1"/>
  <c r="A2062" i="1"/>
  <c r="C2062" i="1" s="1"/>
  <c r="A506" i="17" s="1"/>
  <c r="A2056" i="1"/>
  <c r="C2056" i="1" s="1"/>
  <c r="A536" i="17" s="1"/>
  <c r="A2052" i="1"/>
  <c r="C2052" i="1" s="1"/>
  <c r="A554" i="17" s="1"/>
  <c r="A2044" i="1"/>
  <c r="C2044" i="1" s="1"/>
  <c r="A745" i="17" s="1"/>
  <c r="A2043" i="1"/>
  <c r="C2043" i="1" s="1"/>
  <c r="A841" i="17" s="1"/>
  <c r="A2074" i="1"/>
  <c r="C2074" i="1" s="1"/>
  <c r="A863" i="17" s="1"/>
  <c r="A2050" i="1"/>
  <c r="C2050" i="1" s="1"/>
  <c r="A930" i="17" s="1"/>
  <c r="A2053" i="1"/>
  <c r="C2053" i="1" s="1"/>
  <c r="A933" i="17" s="1"/>
  <c r="A2057" i="1"/>
  <c r="C2057" i="1" s="1"/>
  <c r="A990" i="17" s="1"/>
  <c r="A2063" i="1"/>
  <c r="C2063" i="1" s="1"/>
  <c r="A1035" i="17" s="1"/>
  <c r="A2064" i="1"/>
  <c r="C2064" i="1" s="1"/>
  <c r="A1052" i="17" s="1"/>
  <c r="A2058" i="1"/>
  <c r="C2058" i="1" s="1"/>
  <c r="A1074" i="17" s="1"/>
  <c r="A2045" i="1"/>
  <c r="C2045" i="1" s="1"/>
  <c r="A1135" i="17" s="1"/>
  <c r="A2047" i="1"/>
  <c r="C2047" i="1" s="1"/>
  <c r="A1151" i="17" s="1"/>
  <c r="A2054" i="1"/>
  <c r="C2054" i="1" s="1"/>
  <c r="A1152" i="17" s="1"/>
  <c r="A2051" i="1"/>
  <c r="C2051" i="1" s="1"/>
  <c r="A1153" i="17" s="1"/>
  <c r="A2055" i="1"/>
  <c r="C2055" i="1" s="1"/>
  <c r="A1158" i="17" s="1"/>
  <c r="A2073" i="1"/>
  <c r="C2073" i="1" s="1"/>
  <c r="A2071" i="1"/>
  <c r="C2071" i="1" s="1"/>
  <c r="A2070" i="1"/>
  <c r="C2070" i="1" s="1"/>
  <c r="A2065" i="1"/>
  <c r="C2065" i="1" s="1"/>
  <c r="A1375" i="17" s="1"/>
  <c r="A2072" i="1"/>
  <c r="C2072" i="1" s="1"/>
  <c r="A1388" i="17" s="1"/>
  <c r="A2069" i="1"/>
  <c r="C2069" i="1" s="1"/>
  <c r="A1796" i="1"/>
  <c r="C1796" i="1" s="1"/>
  <c r="A1803" i="17" s="1"/>
  <c r="A1824" i="1"/>
  <c r="C1824" i="1" s="1"/>
  <c r="A1804" i="17" s="1"/>
  <c r="A1853" i="1"/>
  <c r="C1853" i="1" s="1"/>
  <c r="A1805" i="17" s="1"/>
  <c r="A1867" i="1"/>
  <c r="C1867" i="1" s="1"/>
  <c r="A1806" i="17" s="1"/>
  <c r="A1882" i="1"/>
  <c r="C1882" i="1" s="1"/>
  <c r="A1807" i="17" s="1"/>
  <c r="A1878" i="1"/>
  <c r="C1878" i="1" s="1"/>
  <c r="A1808" i="17" s="1"/>
  <c r="A1907" i="1"/>
  <c r="C1907" i="1" s="1"/>
  <c r="A1809" i="17" s="1"/>
  <c r="A1913" i="1"/>
  <c r="C1913" i="1" s="1"/>
  <c r="A1810" i="17" s="1"/>
  <c r="A1930" i="1"/>
  <c r="C1930" i="1" s="1"/>
  <c r="A1811" i="17" s="1"/>
  <c r="A1948" i="1"/>
  <c r="C1948" i="1" s="1"/>
  <c r="A1812" i="17" s="1"/>
  <c r="A1986" i="1"/>
  <c r="C1986" i="1" s="1"/>
  <c r="A1813" i="17" s="1"/>
  <c r="A1988" i="1"/>
  <c r="C1988" i="1" s="1"/>
  <c r="A1814" i="17" s="1"/>
  <c r="A1997" i="1"/>
  <c r="C1997" i="1" s="1"/>
  <c r="A1815" i="17" s="1"/>
  <c r="A2061" i="1"/>
  <c r="C2061" i="1" s="1"/>
  <c r="A1816" i="17" s="1"/>
  <c r="A2066" i="1"/>
  <c r="C2066" i="1" s="1"/>
  <c r="A1817" i="17" s="1"/>
  <c r="Q1923" i="1"/>
  <c r="M1923" i="1" s="1"/>
  <c r="Q1953" i="1"/>
  <c r="P1953" i="1" s="1"/>
  <c r="Q1899" i="1"/>
  <c r="P1899" i="1" s="1"/>
  <c r="Q2012" i="1"/>
  <c r="P2012" i="1" s="1"/>
  <c r="Q1971" i="1"/>
  <c r="P1971" i="1" s="1"/>
  <c r="Q1871" i="1"/>
  <c r="M1871" i="1" s="1"/>
  <c r="Q1966" i="1"/>
  <c r="Q1848" i="1"/>
  <c r="M1848" i="1" s="1"/>
  <c r="N1848" i="1" s="1"/>
  <c r="Q1885" i="1"/>
  <c r="M1885" i="1" s="1"/>
  <c r="Q1955" i="1"/>
  <c r="Q1992" i="1"/>
  <c r="Q2032" i="1"/>
  <c r="M2032" i="1" s="1"/>
  <c r="Q1967" i="1"/>
  <c r="Q1890" i="1"/>
  <c r="Q1891" i="1"/>
  <c r="M1891" i="1" s="1"/>
  <c r="Q2004" i="1"/>
  <c r="Q1883" i="1"/>
  <c r="P1883" i="1" s="1"/>
  <c r="Q2026" i="1"/>
  <c r="M2026" i="1" s="1"/>
  <c r="Q1870" i="1"/>
  <c r="Q2013" i="1"/>
  <c r="M2013" i="1" s="1"/>
  <c r="N2013" i="1" s="1"/>
  <c r="Q1874" i="1"/>
  <c r="M1874" i="1" s="1"/>
  <c r="Q1868" i="1"/>
  <c r="Q1993" i="1"/>
  <c r="P1993" i="1" s="1"/>
  <c r="Q1972" i="1"/>
  <c r="M1972" i="1" s="1"/>
  <c r="Q1969" i="1"/>
  <c r="M2007" i="1"/>
  <c r="Q2007" i="1"/>
  <c r="P2007" i="1" s="1"/>
  <c r="Q1936" i="1"/>
  <c r="M1936" i="1" s="1"/>
  <c r="Q1903" i="1"/>
  <c r="P1888" i="1"/>
  <c r="Q1888" i="1"/>
  <c r="M1888" i="1" s="1"/>
  <c r="N1888" i="1" s="1"/>
  <c r="Q2008" i="1"/>
  <c r="M2008" i="1" s="1"/>
  <c r="Q1880" i="1"/>
  <c r="Q1942" i="1"/>
  <c r="Q1896" i="1"/>
  <c r="M1896" i="1" s="1"/>
  <c r="Q1897" i="1"/>
  <c r="Q1895" i="1"/>
  <c r="M1956" i="1"/>
  <c r="Q1956" i="1"/>
  <c r="P1956" i="1" s="1"/>
  <c r="Q1886" i="1"/>
  <c r="Q2023" i="1"/>
  <c r="P1990" i="1"/>
  <c r="Q1990" i="1"/>
  <c r="M1990" i="1" s="1"/>
  <c r="Q1991" i="1"/>
  <c r="Q1915" i="1"/>
  <c r="Q1872" i="1"/>
  <c r="P1872" i="1" s="1"/>
  <c r="Q1854" i="1"/>
  <c r="P1954" i="1"/>
  <c r="Q1954" i="1"/>
  <c r="M1954" i="1" s="1"/>
  <c r="N1954" i="1" s="1"/>
  <c r="Q1949" i="1"/>
  <c r="Q1978" i="1"/>
  <c r="Q1921" i="1"/>
  <c r="M1921" i="1" s="1"/>
  <c r="P1879" i="1"/>
  <c r="Q1879" i="1"/>
  <c r="M1879" i="1" s="1"/>
  <c r="O1879" i="1" s="1"/>
  <c r="Q2009" i="1"/>
  <c r="Q1889" i="1"/>
  <c r="P1889" i="1" s="1"/>
  <c r="Q1938" i="1"/>
  <c r="Q1989" i="1"/>
  <c r="M1893" i="1"/>
  <c r="N1893" i="1" s="1"/>
  <c r="Q1893" i="1"/>
  <c r="P1893" i="1" s="1"/>
  <c r="Q1998" i="1"/>
  <c r="Q1952" i="1"/>
  <c r="Q1973" i="1"/>
  <c r="P1973" i="1" s="1"/>
  <c r="Q1908" i="1"/>
  <c r="Q1974" i="1"/>
  <c r="Q2010" i="1"/>
  <c r="P2010" i="1" s="1"/>
  <c r="Q1994" i="1"/>
  <c r="P1994" i="1" s="1"/>
  <c r="Q1995" i="1"/>
  <c r="M1917" i="1"/>
  <c r="N1917" i="1" s="1"/>
  <c r="Q1917" i="1"/>
  <c r="P1917" i="1" s="1"/>
  <c r="Q1881" i="1"/>
  <c r="Q1980" i="1"/>
  <c r="Q2034" i="1"/>
  <c r="P2034" i="1" s="1"/>
  <c r="Q2011" i="1"/>
  <c r="M2011" i="1" s="1"/>
  <c r="Q1855" i="1"/>
  <c r="Q1975" i="1"/>
  <c r="P1975" i="1" s="1"/>
  <c r="Q1976" i="1"/>
  <c r="P1976" i="1" s="1"/>
  <c r="Q1918" i="1"/>
  <c r="Q1914" i="1"/>
  <c r="Q2000" i="1"/>
  <c r="M2000" i="1" s="1"/>
  <c r="Q1999" i="1"/>
  <c r="Q2003" i="1"/>
  <c r="M2003" i="1" s="1"/>
  <c r="N1846" i="1"/>
  <c r="Q1846" i="1"/>
  <c r="M1846" i="1" s="1"/>
  <c r="Q2022" i="1"/>
  <c r="M2001" i="1"/>
  <c r="N2001" i="1" s="1"/>
  <c r="Q2001" i="1"/>
  <c r="P2001" i="1" s="1"/>
  <c r="Q1927" i="1"/>
  <c r="P1927" i="1" s="1"/>
  <c r="Q2025" i="1"/>
  <c r="Q1864" i="1"/>
  <c r="P1864" i="1" s="1"/>
  <c r="Q1902" i="1"/>
  <c r="Q1941" i="1"/>
  <c r="Q1892" i="1"/>
  <c r="P1892" i="1" s="1"/>
  <c r="Q1919" i="1"/>
  <c r="Q1847" i="1"/>
  <c r="M1926" i="1"/>
  <c r="N1926" i="1" s="1"/>
  <c r="Q1926" i="1"/>
  <c r="P1926" i="1" s="1"/>
  <c r="Q1925" i="1"/>
  <c r="P1925" i="1" s="1"/>
  <c r="Q1859" i="1"/>
  <c r="M2028" i="1"/>
  <c r="P2028" i="1"/>
  <c r="Q2028" i="1"/>
  <c r="Q1860" i="1"/>
  <c r="M1860" i="1" s="1"/>
  <c r="Q1876" i="1"/>
  <c r="M1877" i="1"/>
  <c r="N1877" i="1" s="1"/>
  <c r="Q1877" i="1"/>
  <c r="P1877" i="1" s="1"/>
  <c r="Q1912" i="1"/>
  <c r="M1912" i="1" s="1"/>
  <c r="O1912" i="1" s="1"/>
  <c r="Q2027" i="1"/>
  <c r="Q2021" i="1"/>
  <c r="P2021" i="1" s="1"/>
  <c r="Q1856" i="1"/>
  <c r="M1856" i="1" s="1"/>
  <c r="Q1985" i="1"/>
  <c r="Q1858" i="1"/>
  <c r="M1858" i="1" s="1"/>
  <c r="Q1851" i="1"/>
  <c r="P1851" i="1" s="1"/>
  <c r="Q2017" i="1"/>
  <c r="Q1996" i="1"/>
  <c r="M1996" i="1" s="1"/>
  <c r="M1935" i="1"/>
  <c r="O1935" i="1" s="1"/>
  <c r="P1935" i="1"/>
  <c r="Q1935" i="1"/>
  <c r="Q1916" i="1"/>
  <c r="Q2037" i="1"/>
  <c r="M2037" i="1" s="1"/>
  <c r="Q1887" i="1"/>
  <c r="M1887" i="1" s="1"/>
  <c r="Q1865" i="1"/>
  <c r="Q1900" i="1"/>
  <c r="M1900" i="1" s="1"/>
  <c r="N1900" i="1" s="1"/>
  <c r="Q2038" i="1"/>
  <c r="P2038" i="1" s="1"/>
  <c r="Q1857" i="1"/>
  <c r="Q2014" i="1"/>
  <c r="M2014" i="1" s="1"/>
  <c r="N2014" i="1" s="1"/>
  <c r="Q2029" i="1"/>
  <c r="M2029" i="1" s="1"/>
  <c r="O2029" i="1" s="1"/>
  <c r="Q1909" i="1"/>
  <c r="Q1894" i="1"/>
  <c r="M1894" i="1" s="1"/>
  <c r="Q1898" i="1"/>
  <c r="M1898" i="1" s="1"/>
  <c r="Q1924" i="1"/>
  <c r="Q1884" i="1"/>
  <c r="M1884" i="1" s="1"/>
  <c r="Q1950" i="1"/>
  <c r="P1950" i="1" s="1"/>
  <c r="Q1940" i="1"/>
  <c r="Q1947" i="1"/>
  <c r="P1947" i="1" s="1"/>
  <c r="P2030" i="1"/>
  <c r="Q2030" i="1"/>
  <c r="M2030" i="1" s="1"/>
  <c r="Q1984" i="1"/>
  <c r="Q2002" i="1"/>
  <c r="P2002" i="1" s="1"/>
  <c r="Q1983" i="1"/>
  <c r="M1983" i="1" s="1"/>
  <c r="Q1928" i="1"/>
  <c r="Q1944" i="1"/>
  <c r="P1944" i="1" s="1"/>
  <c r="Q1982" i="1"/>
  <c r="P1982" i="1" s="1"/>
  <c r="Q1863" i="1"/>
  <c r="M1863" i="1" s="1"/>
  <c r="Q2033" i="1"/>
  <c r="P2033" i="1" s="1"/>
  <c r="P1977" i="1"/>
  <c r="Q1977" i="1"/>
  <c r="M1977" i="1" s="1"/>
  <c r="Q1951" i="1"/>
  <c r="P1951" i="1" s="1"/>
  <c r="Q1920" i="1"/>
  <c r="M1920" i="1" s="1"/>
  <c r="Q1901" i="1"/>
  <c r="M1901" i="1" s="1"/>
  <c r="Q1970" i="1"/>
  <c r="P1970" i="1" s="1"/>
  <c r="Q1968" i="1"/>
  <c r="P1968" i="1" s="1"/>
  <c r="Q2018" i="1"/>
  <c r="P2018" i="1" s="1"/>
  <c r="M2019" i="1"/>
  <c r="Q2019" i="1"/>
  <c r="P2019" i="1" s="1"/>
  <c r="Q1945" i="1"/>
  <c r="M1945" i="1" s="1"/>
  <c r="Q1866" i="1"/>
  <c r="M1866" i="1" s="1"/>
  <c r="Q1937" i="1"/>
  <c r="M1937" i="1" s="1"/>
  <c r="M1922" i="1"/>
  <c r="Q1922" i="1"/>
  <c r="P1922" i="1" s="1"/>
  <c r="Q1946" i="1"/>
  <c r="P1946" i="1" s="1"/>
  <c r="Q1861" i="1"/>
  <c r="P1861" i="1" s="1"/>
  <c r="Q1849" i="1"/>
  <c r="Q1850" i="1"/>
  <c r="P1850" i="1" s="1"/>
  <c r="Q2020" i="1"/>
  <c r="M2020" i="1" s="1"/>
  <c r="Q1987" i="1"/>
  <c r="P1987" i="1" s="1"/>
  <c r="Q1939" i="1"/>
  <c r="P1939" i="1" s="1"/>
  <c r="Q1965" i="1"/>
  <c r="Q2024" i="1"/>
  <c r="M2024" i="1" s="1"/>
  <c r="N2024" i="1" s="1"/>
  <c r="Q1852" i="1"/>
  <c r="M1852" i="1" s="1"/>
  <c r="Q1943" i="1"/>
  <c r="Q1869" i="1"/>
  <c r="P1869" i="1" s="1"/>
  <c r="M2005" i="1"/>
  <c r="Q2005" i="1"/>
  <c r="P2005" i="1" s="1"/>
  <c r="P1875" i="1"/>
  <c r="Q1875" i="1"/>
  <c r="M1875" i="1" s="1"/>
  <c r="O1875" i="1" s="1"/>
  <c r="Q2015" i="1"/>
  <c r="M2015" i="1" s="1"/>
  <c r="N2015" i="1" s="1"/>
  <c r="Q1905" i="1"/>
  <c r="M1905" i="1" s="1"/>
  <c r="Q2016" i="1"/>
  <c r="M2016" i="1" s="1"/>
  <c r="Q1904" i="1"/>
  <c r="M1911" i="1"/>
  <c r="N1911" i="1" s="1"/>
  <c r="P1911" i="1"/>
  <c r="Q1911" i="1"/>
  <c r="Q1934" i="1"/>
  <c r="M1934" i="1" s="1"/>
  <c r="Q1933" i="1"/>
  <c r="M1933" i="1" s="1"/>
  <c r="Q2035" i="1"/>
  <c r="P2035" i="1" s="1"/>
  <c r="Q1931" i="1"/>
  <c r="P1931" i="1" s="1"/>
  <c r="Q2006" i="1"/>
  <c r="P2006" i="1" s="1"/>
  <c r="Q2036" i="1"/>
  <c r="P2036" i="1" s="1"/>
  <c r="Q1964" i="1"/>
  <c r="Q1963" i="1"/>
  <c r="M1963" i="1" s="1"/>
  <c r="N1963" i="1" s="1"/>
  <c r="Q1962" i="1"/>
  <c r="M1962" i="1" s="1"/>
  <c r="Q1961" i="1"/>
  <c r="P1961" i="1" s="1"/>
  <c r="Q1960" i="1"/>
  <c r="P1960" i="1" s="1"/>
  <c r="P1959" i="1"/>
  <c r="Q1959" i="1"/>
  <c r="M1959" i="1" s="1"/>
  <c r="N1959" i="1" s="1"/>
  <c r="Q1932" i="1"/>
  <c r="P1932" i="1" s="1"/>
  <c r="Q1862" i="1"/>
  <c r="M1862" i="1" s="1"/>
  <c r="N1862" i="1" s="1"/>
  <c r="Q1873" i="1"/>
  <c r="M1873" i="1" s="1"/>
  <c r="Q1910" i="1"/>
  <c r="M1910" i="1" s="1"/>
  <c r="Q1929" i="1"/>
  <c r="P1929" i="1" s="1"/>
  <c r="Q1958" i="1"/>
  <c r="P1958" i="1" s="1"/>
  <c r="Q1957" i="1"/>
  <c r="M1957" i="1" s="1"/>
  <c r="Q1981" i="1"/>
  <c r="M1981" i="1" s="1"/>
  <c r="N1981" i="1" s="1"/>
  <c r="Q2031" i="1"/>
  <c r="Q1906" i="1"/>
  <c r="M1906" i="1" s="1"/>
  <c r="Q1979" i="1"/>
  <c r="P1979" i="1" s="1"/>
  <c r="A1923" i="1"/>
  <c r="C1923" i="1" s="1"/>
  <c r="A14" i="17" s="1"/>
  <c r="A1953" i="1"/>
  <c r="C1953" i="1" s="1"/>
  <c r="A20" i="17" s="1"/>
  <c r="A1899" i="1"/>
  <c r="C1899" i="1" s="1"/>
  <c r="A37" i="17" s="1"/>
  <c r="A2012" i="1"/>
  <c r="C2012" i="1" s="1"/>
  <c r="A51" i="17" s="1"/>
  <c r="A1971" i="1"/>
  <c r="C1971" i="1" s="1"/>
  <c r="A57" i="17" s="1"/>
  <c r="A1871" i="1"/>
  <c r="C1871" i="1" s="1"/>
  <c r="A61" i="17" s="1"/>
  <c r="A1966" i="1"/>
  <c r="C1966" i="1" s="1"/>
  <c r="A64" i="17" s="1"/>
  <c r="A1848" i="1"/>
  <c r="C1848" i="1" s="1"/>
  <c r="A71" i="17" s="1"/>
  <c r="A1885" i="1"/>
  <c r="C1885" i="1" s="1"/>
  <c r="A89" i="17" s="1"/>
  <c r="A1955" i="1"/>
  <c r="C1955" i="1" s="1"/>
  <c r="A91" i="17" s="1"/>
  <c r="A1992" i="1"/>
  <c r="C1992" i="1" s="1"/>
  <c r="A103" i="17" s="1"/>
  <c r="A2032" i="1"/>
  <c r="C2032" i="1" s="1"/>
  <c r="A110" i="17" s="1"/>
  <c r="A1967" i="1"/>
  <c r="C1967" i="1" s="1"/>
  <c r="A121" i="17" s="1"/>
  <c r="A1890" i="1"/>
  <c r="C1890" i="1" s="1"/>
  <c r="A123" i="17" s="1"/>
  <c r="A1891" i="1"/>
  <c r="C1891" i="1" s="1"/>
  <c r="A125" i="17" s="1"/>
  <c r="A2004" i="1"/>
  <c r="C2004" i="1" s="1"/>
  <c r="A134" i="17" s="1"/>
  <c r="A1883" i="1"/>
  <c r="C1883" i="1" s="1"/>
  <c r="A147" i="17" s="1"/>
  <c r="A2026" i="1"/>
  <c r="C2026" i="1" s="1"/>
  <c r="A188" i="17" s="1"/>
  <c r="A1870" i="1"/>
  <c r="C1870" i="1" s="1"/>
  <c r="A191" i="17" s="1"/>
  <c r="A2013" i="1"/>
  <c r="C2013" i="1" s="1"/>
  <c r="A193" i="17" s="1"/>
  <c r="A1874" i="1"/>
  <c r="C1874" i="1" s="1"/>
  <c r="A195" i="17" s="1"/>
  <c r="A1868" i="1"/>
  <c r="C1868" i="1" s="1"/>
  <c r="A197" i="17" s="1"/>
  <c r="A1993" i="1"/>
  <c r="C1993" i="1" s="1"/>
  <c r="A212" i="17" s="1"/>
  <c r="A1972" i="1"/>
  <c r="C1972" i="1" s="1"/>
  <c r="A216" i="17" s="1"/>
  <c r="A1969" i="1"/>
  <c r="C1969" i="1" s="1"/>
  <c r="A222" i="17" s="1"/>
  <c r="A2007" i="1"/>
  <c r="C2007" i="1" s="1"/>
  <c r="A226" i="17" s="1"/>
  <c r="A1936" i="1"/>
  <c r="C1936" i="1" s="1"/>
  <c r="A251" i="17" s="1"/>
  <c r="A1903" i="1"/>
  <c r="C1903" i="1" s="1"/>
  <c r="A253" i="17" s="1"/>
  <c r="A1888" i="1"/>
  <c r="C1888" i="1" s="1"/>
  <c r="A270" i="17" s="1"/>
  <c r="A2008" i="1"/>
  <c r="C2008" i="1" s="1"/>
  <c r="A271" i="17" s="1"/>
  <c r="A1880" i="1"/>
  <c r="C1880" i="1" s="1"/>
  <c r="A301" i="17" s="1"/>
  <c r="A1942" i="1"/>
  <c r="C1942" i="1" s="1"/>
  <c r="A308" i="17" s="1"/>
  <c r="A1896" i="1"/>
  <c r="C1896" i="1" s="1"/>
  <c r="A311" i="17" s="1"/>
  <c r="A1897" i="1"/>
  <c r="C1897" i="1" s="1"/>
  <c r="A312" i="17" s="1"/>
  <c r="A1895" i="1"/>
  <c r="C1895" i="1" s="1"/>
  <c r="A327" i="17" s="1"/>
  <c r="A1956" i="1"/>
  <c r="C1956" i="1" s="1"/>
  <c r="A333" i="17" s="1"/>
  <c r="A1886" i="1"/>
  <c r="C1886" i="1" s="1"/>
  <c r="A350" i="17" s="1"/>
  <c r="A2023" i="1"/>
  <c r="C2023" i="1" s="1"/>
  <c r="A363" i="17" s="1"/>
  <c r="A1990" i="1"/>
  <c r="C1990" i="1" s="1"/>
  <c r="A383" i="17" s="1"/>
  <c r="A1991" i="1"/>
  <c r="C1991" i="1" s="1"/>
  <c r="A384" i="17" s="1"/>
  <c r="A1915" i="1"/>
  <c r="C1915" i="1" s="1"/>
  <c r="A405" i="17" s="1"/>
  <c r="A1872" i="1"/>
  <c r="C1872" i="1" s="1"/>
  <c r="A408" i="17" s="1"/>
  <c r="A1854" i="1"/>
  <c r="C1854" i="1" s="1"/>
  <c r="A428" i="17" s="1"/>
  <c r="A1954" i="1"/>
  <c r="C1954" i="1" s="1"/>
  <c r="A429" i="17" s="1"/>
  <c r="A1949" i="1"/>
  <c r="C1949" i="1" s="1"/>
  <c r="A431" i="17" s="1"/>
  <c r="A1978" i="1"/>
  <c r="C1978" i="1" s="1"/>
  <c r="A495" i="17" s="1"/>
  <c r="A1921" i="1"/>
  <c r="C1921" i="1" s="1"/>
  <c r="A550" i="17" s="1"/>
  <c r="A1879" i="1"/>
  <c r="C1879" i="1" s="1"/>
  <c r="A556" i="17" s="1"/>
  <c r="A2009" i="1"/>
  <c r="C2009" i="1" s="1"/>
  <c r="A566" i="17" s="1"/>
  <c r="A1889" i="1"/>
  <c r="C1889" i="1" s="1"/>
  <c r="A575" i="17" s="1"/>
  <c r="A1938" i="1"/>
  <c r="C1938" i="1" s="1"/>
  <c r="A581" i="17" s="1"/>
  <c r="A1989" i="1"/>
  <c r="C1989" i="1" s="1"/>
  <c r="A582" i="17" s="1"/>
  <c r="A1893" i="1"/>
  <c r="C1893" i="1" s="1"/>
  <c r="A590" i="17" s="1"/>
  <c r="A1998" i="1"/>
  <c r="C1998" i="1" s="1"/>
  <c r="A594" i="17" s="1"/>
  <c r="A1952" i="1"/>
  <c r="C1952" i="1" s="1"/>
  <c r="A597" i="17" s="1"/>
  <c r="A1973" i="1"/>
  <c r="C1973" i="1" s="1"/>
  <c r="A611" i="17" s="1"/>
  <c r="A1908" i="1"/>
  <c r="C1908" i="1" s="1"/>
  <c r="A613" i="17" s="1"/>
  <c r="A1974" i="1"/>
  <c r="C1974" i="1" s="1"/>
  <c r="A614" i="17" s="1"/>
  <c r="A2010" i="1"/>
  <c r="C2010" i="1" s="1"/>
  <c r="A623" i="17" s="1"/>
  <c r="A1994" i="1"/>
  <c r="C1994" i="1" s="1"/>
  <c r="A626" i="17" s="1"/>
  <c r="A1995" i="1"/>
  <c r="C1995" i="1" s="1"/>
  <c r="A627" i="17" s="1"/>
  <c r="A1917" i="1"/>
  <c r="C1917" i="1" s="1"/>
  <c r="A663" i="17" s="1"/>
  <c r="A1881" i="1"/>
  <c r="C1881" i="1" s="1"/>
  <c r="A665" i="17" s="1"/>
  <c r="A1980" i="1"/>
  <c r="C1980" i="1" s="1"/>
  <c r="A669" i="17" s="1"/>
  <c r="A2034" i="1"/>
  <c r="C2034" i="1" s="1"/>
  <c r="A671" i="17" s="1"/>
  <c r="A2011" i="1"/>
  <c r="C2011" i="1" s="1"/>
  <c r="A681" i="17" s="1"/>
  <c r="A1855" i="1"/>
  <c r="C1855" i="1" s="1"/>
  <c r="A704" i="17" s="1"/>
  <c r="A1975" i="1"/>
  <c r="C1975" i="1" s="1"/>
  <c r="A717" i="17" s="1"/>
  <c r="A1976" i="1"/>
  <c r="C1976" i="1" s="1"/>
  <c r="A719" i="17" s="1"/>
  <c r="A1918" i="1"/>
  <c r="C1918" i="1" s="1"/>
  <c r="A722" i="17" s="1"/>
  <c r="A1914" i="1"/>
  <c r="C1914" i="1" s="1"/>
  <c r="A724" i="17" s="1"/>
  <c r="A2000" i="1"/>
  <c r="C2000" i="1" s="1"/>
  <c r="A725" i="17" s="1"/>
  <c r="A1999" i="1"/>
  <c r="C1999" i="1" s="1"/>
  <c r="A726" i="17" s="1"/>
  <c r="A2003" i="1"/>
  <c r="C2003" i="1" s="1"/>
  <c r="A735" i="17" s="1"/>
  <c r="A1846" i="1"/>
  <c r="C1846" i="1" s="1"/>
  <c r="A741" i="17" s="1"/>
  <c r="A2022" i="1"/>
  <c r="C2022" i="1" s="1"/>
  <c r="A749" i="17" s="1"/>
  <c r="A2001" i="1"/>
  <c r="C2001" i="1" s="1"/>
  <c r="A761" i="17" s="1"/>
  <c r="A1927" i="1"/>
  <c r="C1927" i="1" s="1"/>
  <c r="A769" i="17" s="1"/>
  <c r="A2025" i="1"/>
  <c r="C2025" i="1" s="1"/>
  <c r="A790" i="17" s="1"/>
  <c r="A1864" i="1"/>
  <c r="C1864" i="1" s="1"/>
  <c r="A793" i="17" s="1"/>
  <c r="A1902" i="1"/>
  <c r="C1902" i="1" s="1"/>
  <c r="A800" i="17" s="1"/>
  <c r="A1941" i="1"/>
  <c r="C1941" i="1" s="1"/>
  <c r="A803" i="17" s="1"/>
  <c r="A1892" i="1"/>
  <c r="C1892" i="1" s="1"/>
  <c r="A808" i="17" s="1"/>
  <c r="A1919" i="1"/>
  <c r="C1919" i="1" s="1"/>
  <c r="A812" i="17" s="1"/>
  <c r="A1847" i="1"/>
  <c r="C1847" i="1" s="1"/>
  <c r="A819" i="17" s="1"/>
  <c r="A1926" i="1"/>
  <c r="C1926" i="1" s="1"/>
  <c r="A821" i="17" s="1"/>
  <c r="A1925" i="1"/>
  <c r="C1925" i="1" s="1"/>
  <c r="A824" i="17" s="1"/>
  <c r="A1859" i="1"/>
  <c r="C1859" i="1" s="1"/>
  <c r="A832" i="17" s="1"/>
  <c r="A2028" i="1"/>
  <c r="C2028" i="1" s="1"/>
  <c r="A834" i="17" s="1"/>
  <c r="A1860" i="1"/>
  <c r="C1860" i="1" s="1"/>
  <c r="A840" i="17" s="1"/>
  <c r="A1876" i="1"/>
  <c r="C1876" i="1" s="1"/>
  <c r="A842" i="17" s="1"/>
  <c r="A1877" i="1"/>
  <c r="C1877" i="1" s="1"/>
  <c r="A843" i="17" s="1"/>
  <c r="A1912" i="1"/>
  <c r="C1912" i="1" s="1"/>
  <c r="A858" i="17" s="1"/>
  <c r="A2027" i="1"/>
  <c r="C2027" i="1" s="1"/>
  <c r="A860" i="17" s="1"/>
  <c r="A2021" i="1"/>
  <c r="C2021" i="1" s="1"/>
  <c r="A874" i="17" s="1"/>
  <c r="A1856" i="1"/>
  <c r="C1856" i="1" s="1"/>
  <c r="A910" i="17" s="1"/>
  <c r="A1985" i="1"/>
  <c r="C1985" i="1" s="1"/>
  <c r="A925" i="17" s="1"/>
  <c r="A1858" i="1"/>
  <c r="C1858" i="1" s="1"/>
  <c r="A932" i="17" s="1"/>
  <c r="A1851" i="1"/>
  <c r="C1851" i="1" s="1"/>
  <c r="A934" i="17" s="1"/>
  <c r="A2017" i="1"/>
  <c r="C2017" i="1" s="1"/>
  <c r="A935" i="17" s="1"/>
  <c r="A1996" i="1"/>
  <c r="C1996" i="1" s="1"/>
  <c r="A937" i="17" s="1"/>
  <c r="A1935" i="1"/>
  <c r="C1935" i="1" s="1"/>
  <c r="A948" i="17" s="1"/>
  <c r="A1916" i="1"/>
  <c r="C1916" i="1" s="1"/>
  <c r="A951" i="17" s="1"/>
  <c r="A2037" i="1"/>
  <c r="C2037" i="1" s="1"/>
  <c r="A962" i="17" s="1"/>
  <c r="A1887" i="1"/>
  <c r="C1887" i="1" s="1"/>
  <c r="A965" i="17" s="1"/>
  <c r="A1865" i="1"/>
  <c r="C1865" i="1" s="1"/>
  <c r="A967" i="17" s="1"/>
  <c r="A1900" i="1"/>
  <c r="C1900" i="1" s="1"/>
  <c r="A968" i="17" s="1"/>
  <c r="A2038" i="1"/>
  <c r="C2038" i="1" s="1"/>
  <c r="A970" i="17" s="1"/>
  <c r="A1857" i="1"/>
  <c r="C1857" i="1" s="1"/>
  <c r="A976" i="17" s="1"/>
  <c r="A2014" i="1"/>
  <c r="C2014" i="1" s="1"/>
  <c r="A979" i="17" s="1"/>
  <c r="A2029" i="1"/>
  <c r="C2029" i="1" s="1"/>
  <c r="A982" i="17" s="1"/>
  <c r="A1909" i="1"/>
  <c r="C1909" i="1" s="1"/>
  <c r="A992" i="17" s="1"/>
  <c r="A1894" i="1"/>
  <c r="C1894" i="1" s="1"/>
  <c r="A1006" i="17" s="1"/>
  <c r="A1898" i="1"/>
  <c r="C1898" i="1" s="1"/>
  <c r="A1007" i="17" s="1"/>
  <c r="A1924" i="1"/>
  <c r="C1924" i="1" s="1"/>
  <c r="A1016" i="17" s="1"/>
  <c r="A1884" i="1"/>
  <c r="C1884" i="1" s="1"/>
  <c r="A1036" i="17" s="1"/>
  <c r="A1950" i="1"/>
  <c r="C1950" i="1" s="1"/>
  <c r="A1042" i="17" s="1"/>
  <c r="A1940" i="1"/>
  <c r="C1940" i="1" s="1"/>
  <c r="A1049" i="17" s="1"/>
  <c r="A1947" i="1"/>
  <c r="C1947" i="1" s="1"/>
  <c r="A1055" i="17" s="1"/>
  <c r="A2030" i="1"/>
  <c r="C2030" i="1" s="1"/>
  <c r="A1081" i="17" s="1"/>
  <c r="A1984" i="1"/>
  <c r="C1984" i="1" s="1"/>
  <c r="A1085" i="17" s="1"/>
  <c r="A2002" i="1"/>
  <c r="C2002" i="1" s="1"/>
  <c r="A1090" i="17" s="1"/>
  <c r="A1983" i="1"/>
  <c r="C1983" i="1" s="1"/>
  <c r="A1098" i="17" s="1"/>
  <c r="A1928" i="1"/>
  <c r="C1928" i="1" s="1"/>
  <c r="A1105" i="17" s="1"/>
  <c r="A1944" i="1"/>
  <c r="C1944" i="1" s="1"/>
  <c r="A1115" i="17" s="1"/>
  <c r="A1982" i="1"/>
  <c r="C1982" i="1" s="1"/>
  <c r="A1118" i="17" s="1"/>
  <c r="A1863" i="1"/>
  <c r="C1863" i="1" s="1"/>
  <c r="A1148" i="17" s="1"/>
  <c r="A2033" i="1"/>
  <c r="C2033" i="1" s="1"/>
  <c r="A1163" i="17" s="1"/>
  <c r="A1977" i="1"/>
  <c r="C1977" i="1" s="1"/>
  <c r="A1168" i="17" s="1"/>
  <c r="A1951" i="1"/>
  <c r="C1951" i="1" s="1"/>
  <c r="A1170" i="17" s="1"/>
  <c r="A1920" i="1"/>
  <c r="C1920" i="1" s="1"/>
  <c r="A1173" i="17" s="1"/>
  <c r="A1901" i="1"/>
  <c r="C1901" i="1" s="1"/>
  <c r="A1179" i="17" s="1"/>
  <c r="A1970" i="1"/>
  <c r="C1970" i="1" s="1"/>
  <c r="A1180" i="17" s="1"/>
  <c r="A1968" i="1"/>
  <c r="C1968" i="1" s="1"/>
  <c r="A1184" i="17" s="1"/>
  <c r="A2018" i="1"/>
  <c r="C2018" i="1" s="1"/>
  <c r="A1202" i="17" s="1"/>
  <c r="A2019" i="1"/>
  <c r="C2019" i="1" s="1"/>
  <c r="A1207" i="17" s="1"/>
  <c r="A1945" i="1"/>
  <c r="C1945" i="1" s="1"/>
  <c r="A1218" i="17" s="1"/>
  <c r="A1866" i="1"/>
  <c r="C1866" i="1" s="1"/>
  <c r="A1222" i="17" s="1"/>
  <c r="A1937" i="1"/>
  <c r="C1937" i="1" s="1"/>
  <c r="A1235" i="17" s="1"/>
  <c r="A1922" i="1"/>
  <c r="C1922" i="1" s="1"/>
  <c r="A1253" i="17" s="1"/>
  <c r="A1946" i="1"/>
  <c r="C1946" i="1" s="1"/>
  <c r="A1274" i="17" s="1"/>
  <c r="A1861" i="1"/>
  <c r="C1861" i="1" s="1"/>
  <c r="A1276" i="17" s="1"/>
  <c r="A1849" i="1"/>
  <c r="C1849" i="1" s="1"/>
  <c r="A1284" i="17" s="1"/>
  <c r="A1850" i="1"/>
  <c r="C1850" i="1" s="1"/>
  <c r="A1285" i="17" s="1"/>
  <c r="A2020" i="1"/>
  <c r="C2020" i="1" s="1"/>
  <c r="A1294" i="17" s="1"/>
  <c r="A1987" i="1"/>
  <c r="C1987" i="1" s="1"/>
  <c r="A1301" i="17" s="1"/>
  <c r="A1939" i="1"/>
  <c r="C1939" i="1" s="1"/>
  <c r="A1303" i="17" s="1"/>
  <c r="A1965" i="1"/>
  <c r="C1965" i="1" s="1"/>
  <c r="A2024" i="1"/>
  <c r="C2024" i="1" s="1"/>
  <c r="A1325" i="17" s="1"/>
  <c r="A1852" i="1"/>
  <c r="C1852" i="1" s="1"/>
  <c r="A1332" i="17" s="1"/>
  <c r="A1943" i="1"/>
  <c r="C1943" i="1" s="1"/>
  <c r="A1359" i="17" s="1"/>
  <c r="A1869" i="1"/>
  <c r="C1869" i="1" s="1"/>
  <c r="A2005" i="1"/>
  <c r="C2005" i="1" s="1"/>
  <c r="A1360" i="17" s="1"/>
  <c r="A1875" i="1"/>
  <c r="C1875" i="1" s="1"/>
  <c r="A1361" i="17" s="1"/>
  <c r="A2015" i="1"/>
  <c r="C2015" i="1" s="1"/>
  <c r="A1362" i="17" s="1"/>
  <c r="A1905" i="1"/>
  <c r="C1905" i="1" s="1"/>
  <c r="A2016" i="1"/>
  <c r="C2016" i="1" s="1"/>
  <c r="A1387" i="17" s="1"/>
  <c r="A1904" i="1"/>
  <c r="C1904" i="1" s="1"/>
  <c r="A1911" i="1"/>
  <c r="C1911" i="1" s="1"/>
  <c r="A1934" i="1"/>
  <c r="C1934" i="1" s="1"/>
  <c r="A1933" i="1"/>
  <c r="C1933" i="1" s="1"/>
  <c r="A2035" i="1"/>
  <c r="C2035" i="1" s="1"/>
  <c r="A1931" i="1"/>
  <c r="C1931" i="1" s="1"/>
  <c r="A2006" i="1"/>
  <c r="C2006" i="1" s="1"/>
  <c r="A2036" i="1"/>
  <c r="C2036" i="1" s="1"/>
  <c r="A1964" i="1"/>
  <c r="C1964" i="1" s="1"/>
  <c r="A1438" i="17" s="1"/>
  <c r="A1963" i="1"/>
  <c r="C1963" i="1" s="1"/>
  <c r="A1439" i="17" s="1"/>
  <c r="A1962" i="1"/>
  <c r="C1962" i="1" s="1"/>
  <c r="A1440" i="17" s="1"/>
  <c r="A1961" i="1"/>
  <c r="C1961" i="1" s="1"/>
  <c r="A1441" i="17" s="1"/>
  <c r="A1960" i="1"/>
  <c r="C1960" i="1" s="1"/>
  <c r="A1442" i="17" s="1"/>
  <c r="A1959" i="1"/>
  <c r="C1959" i="1" s="1"/>
  <c r="A1443" i="17" s="1"/>
  <c r="A1932" i="1"/>
  <c r="C1932" i="1" s="1"/>
  <c r="A1445" i="17" s="1"/>
  <c r="A1862" i="1"/>
  <c r="C1862" i="1" s="1"/>
  <c r="A1873" i="1"/>
  <c r="C1873" i="1" s="1"/>
  <c r="A1910" i="1"/>
  <c r="C1910" i="1" s="1"/>
  <c r="A1929" i="1"/>
  <c r="C1929" i="1" s="1"/>
  <c r="A1460" i="17" s="1"/>
  <c r="A1958" i="1"/>
  <c r="C1958" i="1" s="1"/>
  <c r="A1461" i="17" s="1"/>
  <c r="A1957" i="1"/>
  <c r="C1957" i="1" s="1"/>
  <c r="A1462" i="17" s="1"/>
  <c r="A1981" i="1"/>
  <c r="C1981" i="1" s="1"/>
  <c r="A1463" i="17" s="1"/>
  <c r="A2031" i="1"/>
  <c r="C2031" i="1" s="1"/>
  <c r="A1467" i="17" s="1"/>
  <c r="A1906" i="1"/>
  <c r="C1906" i="1" s="1"/>
  <c r="A1979" i="1"/>
  <c r="C1979" i="1" s="1"/>
  <c r="A1485" i="17" s="1"/>
  <c r="Q1778" i="1"/>
  <c r="M1778" i="1" s="1"/>
  <c r="Q1774" i="1"/>
  <c r="P1774" i="1" s="1"/>
  <c r="M1775" i="1"/>
  <c r="Q1775" i="1"/>
  <c r="P1775" i="1" s="1"/>
  <c r="Q1770" i="1"/>
  <c r="P1770" i="1" s="1"/>
  <c r="Q1800" i="1"/>
  <c r="M1800" i="1" s="1"/>
  <c r="Q1801" i="1"/>
  <c r="M1801" i="1" s="1"/>
  <c r="Q1764" i="1"/>
  <c r="M1764" i="1" s="1"/>
  <c r="Q1760" i="1"/>
  <c r="P1760" i="1" s="1"/>
  <c r="Q1835" i="1"/>
  <c r="P1835" i="1" s="1"/>
  <c r="Q1834" i="1"/>
  <c r="P1834" i="1" s="1"/>
  <c r="Q1771" i="1"/>
  <c r="Q1830" i="1"/>
  <c r="M1830" i="1" s="1"/>
  <c r="Q1797" i="1"/>
  <c r="M1797" i="1" s="1"/>
  <c r="Q1799" i="1"/>
  <c r="P1799" i="1" s="1"/>
  <c r="Q1798" i="1"/>
  <c r="M1798" i="1" s="1"/>
  <c r="Q1829" i="1"/>
  <c r="P1829" i="1" s="1"/>
  <c r="Q1808" i="1"/>
  <c r="M1808" i="1" s="1"/>
  <c r="Q1772" i="1"/>
  <c r="M1772" i="1" s="1"/>
  <c r="Q1831" i="1"/>
  <c r="M1831" i="1" s="1"/>
  <c r="Q1838" i="1"/>
  <c r="P1838" i="1" s="1"/>
  <c r="Q1803" i="1"/>
  <c r="M1803" i="1" s="1"/>
  <c r="Q1809" i="1"/>
  <c r="P1809" i="1" s="1"/>
  <c r="Q1788" i="1"/>
  <c r="M1788" i="1" s="1"/>
  <c r="Q1787" i="1"/>
  <c r="M1787" i="1" s="1"/>
  <c r="Q1789" i="1"/>
  <c r="M1789" i="1" s="1"/>
  <c r="M1827" i="1"/>
  <c r="N1827" i="1" s="1"/>
  <c r="Q1827" i="1"/>
  <c r="P1827" i="1" s="1"/>
  <c r="Q1757" i="1"/>
  <c r="P1757" i="1" s="1"/>
  <c r="Q1786" i="1"/>
  <c r="P1786" i="1" s="1"/>
  <c r="P1802" i="1"/>
  <c r="Q1802" i="1"/>
  <c r="M1802" i="1" s="1"/>
  <c r="Q1844" i="1"/>
  <c r="M1844" i="1" s="1"/>
  <c r="Q1841" i="1"/>
  <c r="M1841" i="1" s="1"/>
  <c r="Q1845" i="1"/>
  <c r="P1845" i="1" s="1"/>
  <c r="Q1759" i="1"/>
  <c r="M1759" i="1" s="1"/>
  <c r="Q1777" i="1"/>
  <c r="P1777" i="1" s="1"/>
  <c r="Q1763" i="1"/>
  <c r="M1763" i="1" s="1"/>
  <c r="Q1758" i="1"/>
  <c r="M1758" i="1" s="1"/>
  <c r="Q1833" i="1"/>
  <c r="M1833" i="1" s="1"/>
  <c r="Q1837" i="1"/>
  <c r="Q1842" i="1"/>
  <c r="P1842" i="1" s="1"/>
  <c r="Q1836" i="1"/>
  <c r="P1836" i="1" s="1"/>
  <c r="Q1768" i="1"/>
  <c r="M1768" i="1" s="1"/>
  <c r="Q1773" i="1"/>
  <c r="M1773" i="1" s="1"/>
  <c r="Q1840" i="1"/>
  <c r="M1840" i="1" s="1"/>
  <c r="Q1807" i="1"/>
  <c r="P1807" i="1" s="1"/>
  <c r="Q1785" i="1"/>
  <c r="P1785" i="1" s="1"/>
  <c r="Q1832" i="1"/>
  <c r="P1832" i="1" s="1"/>
  <c r="Q1780" i="1"/>
  <c r="Q68" i="1"/>
  <c r="M68" i="1" s="1"/>
  <c r="Q1825" i="1"/>
  <c r="M1825" i="1" s="1"/>
  <c r="Q1804" i="1"/>
  <c r="P1804" i="1" s="1"/>
  <c r="Q1813" i="1"/>
  <c r="M1813" i="1" s="1"/>
  <c r="Q1779" i="1"/>
  <c r="P1779" i="1" s="1"/>
  <c r="Q1776" i="1"/>
  <c r="M1776" i="1" s="1"/>
  <c r="Q1805" i="1"/>
  <c r="M1805" i="1" s="1"/>
  <c r="Q1828" i="1"/>
  <c r="M1828" i="1" s="1"/>
  <c r="Q1810" i="1"/>
  <c r="P1810" i="1" s="1"/>
  <c r="M1816" i="1"/>
  <c r="Q1816" i="1"/>
  <c r="P1816" i="1" s="1"/>
  <c r="Q1839" i="1"/>
  <c r="P1839" i="1" s="1"/>
  <c r="Q1814" i="1"/>
  <c r="M1814" i="1" s="1"/>
  <c r="Q1811" i="1"/>
  <c r="M1811" i="1" s="1"/>
  <c r="Q1817" i="1"/>
  <c r="M1817" i="1" s="1"/>
  <c r="Q1826" i="1"/>
  <c r="P1826" i="1" s="1"/>
  <c r="Q1843" i="1"/>
  <c r="P1843" i="1" s="1"/>
  <c r="Q1769" i="1"/>
  <c r="P1769" i="1" s="1"/>
  <c r="Q1815" i="1"/>
  <c r="M1815" i="1" s="1"/>
  <c r="Q1818" i="1"/>
  <c r="M1818" i="1" s="1"/>
  <c r="Q1761" i="1"/>
  <c r="M1761" i="1" s="1"/>
  <c r="Q1762" i="1"/>
  <c r="P1762" i="1" s="1"/>
  <c r="Q1790" i="1"/>
  <c r="M1790" i="1" s="1"/>
  <c r="Q1767" i="1"/>
  <c r="P1767" i="1" s="1"/>
  <c r="Q1784" i="1"/>
  <c r="M1784" i="1" s="1"/>
  <c r="Q1782" i="1"/>
  <c r="M1782" i="1" s="1"/>
  <c r="Q1783" i="1"/>
  <c r="M1783" i="1" s="1"/>
  <c r="Q1823" i="1"/>
  <c r="Q1795" i="1"/>
  <c r="M1795" i="1" s="1"/>
  <c r="Q1806" i="1"/>
  <c r="P1806" i="1" s="1"/>
  <c r="Q1794" i="1"/>
  <c r="M1794" i="1" s="1"/>
  <c r="Q1793" i="1"/>
  <c r="M1793" i="1" s="1"/>
  <c r="Q1792" i="1"/>
  <c r="M1792" i="1" s="1"/>
  <c r="Q1791" i="1"/>
  <c r="P1791" i="1" s="1"/>
  <c r="M1756" i="1"/>
  <c r="Q1756" i="1"/>
  <c r="P1756" i="1" s="1"/>
  <c r="Q1781" i="1"/>
  <c r="P1781" i="1" s="1"/>
  <c r="Q1812" i="1"/>
  <c r="Q1822" i="1"/>
  <c r="M1822" i="1" s="1"/>
  <c r="Q1821" i="1"/>
  <c r="M1821" i="1" s="1"/>
  <c r="P1820" i="1"/>
  <c r="Q1820" i="1"/>
  <c r="M1820" i="1" s="1"/>
  <c r="N1820" i="1" s="1"/>
  <c r="Q1819" i="1"/>
  <c r="P1819" i="1" s="1"/>
  <c r="Q1765" i="1"/>
  <c r="P1765" i="1" s="1"/>
  <c r="Q1766" i="1"/>
  <c r="M1766" i="1" s="1"/>
  <c r="N1766" i="1" s="1"/>
  <c r="A1778" i="1"/>
  <c r="C1778" i="1" s="1"/>
  <c r="A23" i="17" s="1"/>
  <c r="A1774" i="1"/>
  <c r="C1774" i="1" s="1"/>
  <c r="A31" i="17" s="1"/>
  <c r="A1775" i="1"/>
  <c r="C1775" i="1" s="1"/>
  <c r="A33" i="17" s="1"/>
  <c r="A1770" i="1"/>
  <c r="C1770" i="1" s="1"/>
  <c r="A78" i="17" s="1"/>
  <c r="A1800" i="1"/>
  <c r="C1800" i="1" s="1"/>
  <c r="A83" i="17" s="1"/>
  <c r="A1801" i="1"/>
  <c r="C1801" i="1" s="1"/>
  <c r="A84" i="17" s="1"/>
  <c r="A1764" i="1"/>
  <c r="C1764" i="1" s="1"/>
  <c r="A85" i="17" s="1"/>
  <c r="A1760" i="1"/>
  <c r="C1760" i="1" s="1"/>
  <c r="A102" i="17" s="1"/>
  <c r="A1835" i="1"/>
  <c r="C1835" i="1" s="1"/>
  <c r="A108" i="17" s="1"/>
  <c r="A1834" i="1"/>
  <c r="C1834" i="1" s="1"/>
  <c r="A111" i="17" s="1"/>
  <c r="A1771" i="1"/>
  <c r="C1771" i="1" s="1"/>
  <c r="A128" i="17" s="1"/>
  <c r="A1830" i="1"/>
  <c r="C1830" i="1" s="1"/>
  <c r="A138" i="17" s="1"/>
  <c r="A1797" i="1"/>
  <c r="C1797" i="1" s="1"/>
  <c r="A176" i="17" s="1"/>
  <c r="A1799" i="1"/>
  <c r="C1799" i="1" s="1"/>
  <c r="A177" i="17" s="1"/>
  <c r="A1798" i="1"/>
  <c r="C1798" i="1" s="1"/>
  <c r="A178" i="17" s="1"/>
  <c r="A1829" i="1"/>
  <c r="C1829" i="1" s="1"/>
  <c r="A179" i="17" s="1"/>
  <c r="A1808" i="1"/>
  <c r="C1808" i="1" s="1"/>
  <c r="A181" i="17" s="1"/>
  <c r="A1772" i="1"/>
  <c r="C1772" i="1" s="1"/>
  <c r="A186" i="17" s="1"/>
  <c r="A1831" i="1"/>
  <c r="C1831" i="1" s="1"/>
  <c r="A215" i="17" s="1"/>
  <c r="A1838" i="1"/>
  <c r="C1838" i="1" s="1"/>
  <c r="A240" i="17" s="1"/>
  <c r="A1803" i="1"/>
  <c r="C1803" i="1" s="1"/>
  <c r="A244" i="17" s="1"/>
  <c r="A1809" i="1"/>
  <c r="C1809" i="1" s="1"/>
  <c r="A247" i="17" s="1"/>
  <c r="A1788" i="1"/>
  <c r="C1788" i="1" s="1"/>
  <c r="A294" i="17" s="1"/>
  <c r="A1787" i="1"/>
  <c r="C1787" i="1" s="1"/>
  <c r="A316" i="17" s="1"/>
  <c r="A1789" i="1"/>
  <c r="C1789" i="1" s="1"/>
  <c r="A322" i="17" s="1"/>
  <c r="A1827" i="1"/>
  <c r="C1827" i="1" s="1"/>
  <c r="A378" i="17" s="1"/>
  <c r="A1757" i="1"/>
  <c r="C1757" i="1" s="1"/>
  <c r="A379" i="17" s="1"/>
  <c r="A1786" i="1"/>
  <c r="C1786" i="1" s="1"/>
  <c r="A389" i="17" s="1"/>
  <c r="A1802" i="1"/>
  <c r="C1802" i="1" s="1"/>
  <c r="A390" i="17" s="1"/>
  <c r="A1844" i="1"/>
  <c r="C1844" i="1" s="1"/>
  <c r="A449" i="17" s="1"/>
  <c r="A1841" i="1"/>
  <c r="C1841" i="1" s="1"/>
  <c r="A457" i="17" s="1"/>
  <c r="A1845" i="1"/>
  <c r="C1845" i="1" s="1"/>
  <c r="A508" i="17" s="1"/>
  <c r="A1759" i="1"/>
  <c r="C1759" i="1" s="1"/>
  <c r="A512" i="17" s="1"/>
  <c r="A1777" i="1"/>
  <c r="C1777" i="1" s="1"/>
  <c r="A542" i="17" s="1"/>
  <c r="A1763" i="1"/>
  <c r="C1763" i="1" s="1"/>
  <c r="A547" i="17" s="1"/>
  <c r="A1758" i="1"/>
  <c r="C1758" i="1" s="1"/>
  <c r="A552" i="17" s="1"/>
  <c r="A1833" i="1"/>
  <c r="C1833" i="1" s="1"/>
  <c r="A642" i="17" s="1"/>
  <c r="A1837" i="1"/>
  <c r="C1837" i="1" s="1"/>
  <c r="A653" i="17" s="1"/>
  <c r="A1842" i="1"/>
  <c r="C1842" i="1" s="1"/>
  <c r="A656" i="17" s="1"/>
  <c r="A1836" i="1"/>
  <c r="C1836" i="1" s="1"/>
  <c r="A657" i="17" s="1"/>
  <c r="A1768" i="1"/>
  <c r="C1768" i="1" s="1"/>
  <c r="A682" i="17" s="1"/>
  <c r="A1773" i="1"/>
  <c r="C1773" i="1" s="1"/>
  <c r="A691" i="17" s="1"/>
  <c r="A1840" i="1"/>
  <c r="C1840" i="1" s="1"/>
  <c r="A721" i="17" s="1"/>
  <c r="A1807" i="1"/>
  <c r="C1807" i="1" s="1"/>
  <c r="A753" i="17" s="1"/>
  <c r="A1785" i="1"/>
  <c r="C1785" i="1" s="1"/>
  <c r="A783" i="17" s="1"/>
  <c r="A1832" i="1"/>
  <c r="C1832" i="1" s="1"/>
  <c r="A794" i="17" s="1"/>
  <c r="A1780" i="1"/>
  <c r="C1780" i="1" s="1"/>
  <c r="A795" i="17" s="1"/>
  <c r="A68" i="1"/>
  <c r="C68" i="1" s="1"/>
  <c r="A1825" i="1"/>
  <c r="C1825" i="1" s="1"/>
  <c r="A802" i="17" s="1"/>
  <c r="A1804" i="1"/>
  <c r="C1804" i="1" s="1"/>
  <c r="A903" i="17" s="1"/>
  <c r="A1813" i="1"/>
  <c r="C1813" i="1" s="1"/>
  <c r="A928" i="17" s="1"/>
  <c r="A1779" i="1"/>
  <c r="C1779" i="1" s="1"/>
  <c r="A972" i="17" s="1"/>
  <c r="A1776" i="1"/>
  <c r="C1776" i="1" s="1"/>
  <c r="A973" i="17" s="1"/>
  <c r="A1805" i="1"/>
  <c r="C1805" i="1" s="1"/>
  <c r="A989" i="17" s="1"/>
  <c r="A1828" i="1"/>
  <c r="C1828" i="1" s="1"/>
  <c r="A1002" i="17" s="1"/>
  <c r="A1810" i="1"/>
  <c r="C1810" i="1" s="1"/>
  <c r="A1076" i="17" s="1"/>
  <c r="A1816" i="1"/>
  <c r="C1816" i="1" s="1"/>
  <c r="A1117" i="17" s="1"/>
  <c r="A1839" i="1"/>
  <c r="C1839" i="1" s="1"/>
  <c r="A1185" i="17" s="1"/>
  <c r="A1814" i="1"/>
  <c r="C1814" i="1" s="1"/>
  <c r="A1197" i="17" s="1"/>
  <c r="A1811" i="1"/>
  <c r="C1811" i="1" s="1"/>
  <c r="A1200" i="17" s="1"/>
  <c r="A1817" i="1"/>
  <c r="C1817" i="1" s="1"/>
  <c r="A1201" i="17" s="1"/>
  <c r="A1826" i="1"/>
  <c r="C1826" i="1" s="1"/>
  <c r="A1211" i="17" s="1"/>
  <c r="A1843" i="1"/>
  <c r="C1843" i="1" s="1"/>
  <c r="A1223" i="17" s="1"/>
  <c r="A1769" i="1"/>
  <c r="C1769" i="1" s="1"/>
  <c r="A1228" i="17" s="1"/>
  <c r="A1815" i="1"/>
  <c r="C1815" i="1" s="1"/>
  <c r="A1232" i="17" s="1"/>
  <c r="A1818" i="1"/>
  <c r="C1818" i="1" s="1"/>
  <c r="A1243" i="17" s="1"/>
  <c r="A1761" i="1"/>
  <c r="C1761" i="1" s="1"/>
  <c r="A1244" i="17" s="1"/>
  <c r="A1762" i="1"/>
  <c r="C1762" i="1" s="1"/>
  <c r="A1283" i="17" s="1"/>
  <c r="A1790" i="1"/>
  <c r="C1790" i="1" s="1"/>
  <c r="A1302" i="17" s="1"/>
  <c r="A1767" i="1"/>
  <c r="C1767" i="1" s="1"/>
  <c r="A1311" i="17" s="1"/>
  <c r="A1784" i="1"/>
  <c r="C1784" i="1" s="1"/>
  <c r="A1315" i="17" s="1"/>
  <c r="A1782" i="1"/>
  <c r="C1782" i="1" s="1"/>
  <c r="A1783" i="1"/>
  <c r="C1783" i="1" s="1"/>
  <c r="A1326" i="17" s="1"/>
  <c r="A1823" i="1"/>
  <c r="C1823" i="1" s="1"/>
  <c r="A1795" i="1"/>
  <c r="C1795" i="1" s="1"/>
  <c r="A1350" i="17" s="1"/>
  <c r="A1806" i="1"/>
  <c r="C1806" i="1" s="1"/>
  <c r="A1356" i="17" s="1"/>
  <c r="A1794" i="1"/>
  <c r="C1794" i="1" s="1"/>
  <c r="A1793" i="1"/>
  <c r="C1793" i="1" s="1"/>
  <c r="A1792" i="1"/>
  <c r="C1792" i="1" s="1"/>
  <c r="A1791" i="1"/>
  <c r="C1791" i="1" s="1"/>
  <c r="A1756" i="1"/>
  <c r="C1756" i="1" s="1"/>
  <c r="A1781" i="1"/>
  <c r="C1781" i="1" s="1"/>
  <c r="A1385" i="17" s="1"/>
  <c r="A1812" i="1"/>
  <c r="C1812" i="1" s="1"/>
  <c r="A1434" i="17" s="1"/>
  <c r="A1822" i="1"/>
  <c r="C1822" i="1" s="1"/>
  <c r="A1821" i="1"/>
  <c r="C1821" i="1" s="1"/>
  <c r="A1820" i="1"/>
  <c r="C1820" i="1" s="1"/>
  <c r="A1435" i="17" s="1"/>
  <c r="A1819" i="1"/>
  <c r="C1819" i="1" s="1"/>
  <c r="A1765" i="1"/>
  <c r="C1765" i="1" s="1"/>
  <c r="A1766" i="1"/>
  <c r="C1766" i="1" s="1"/>
  <c r="Q1729" i="1"/>
  <c r="P1729" i="1" s="1"/>
  <c r="Q1674" i="1"/>
  <c r="M1674" i="1" s="1"/>
  <c r="P1674" i="1"/>
  <c r="Q1670" i="1"/>
  <c r="M1670" i="1" s="1"/>
  <c r="P1670" i="1"/>
  <c r="Q1647" i="1"/>
  <c r="M1647" i="1" s="1"/>
  <c r="Q1648" i="1"/>
  <c r="M1648" i="1" s="1"/>
  <c r="O1648" i="1" s="1"/>
  <c r="Q1649" i="1"/>
  <c r="P1649" i="1" s="1"/>
  <c r="Q1650" i="1"/>
  <c r="Q1715" i="1"/>
  <c r="M1715" i="1" s="1"/>
  <c r="Q1704" i="1"/>
  <c r="Q1661" i="1"/>
  <c r="M1661" i="1" s="1"/>
  <c r="O1661" i="1" s="1"/>
  <c r="Q1662" i="1"/>
  <c r="M1662" i="1" s="1"/>
  <c r="Q1751" i="1"/>
  <c r="P1751" i="1" s="1"/>
  <c r="Q1749" i="1"/>
  <c r="P1749" i="1" s="1"/>
  <c r="Q1737" i="1"/>
  <c r="Q1677" i="1"/>
  <c r="M1677" i="1" s="1"/>
  <c r="N1677" i="1" s="1"/>
  <c r="Q1678" i="1"/>
  <c r="M1678" i="1" s="1"/>
  <c r="Q1672" i="1"/>
  <c r="P1672" i="1" s="1"/>
  <c r="Q1651" i="1"/>
  <c r="P1651" i="1" s="1"/>
  <c r="Q1673" i="1"/>
  <c r="P1673" i="1" s="1"/>
  <c r="Q1652" i="1"/>
  <c r="M1652" i="1" s="1"/>
  <c r="Q1744" i="1"/>
  <c r="M1744" i="1" s="1"/>
  <c r="N1744" i="1" s="1"/>
  <c r="Q1745" i="1"/>
  <c r="M1745" i="1" s="1"/>
  <c r="Q1750" i="1"/>
  <c r="M1750" i="1" s="1"/>
  <c r="Q1746" i="1"/>
  <c r="P1746" i="1" s="1"/>
  <c r="Q1747" i="1"/>
  <c r="P1747" i="1" s="1"/>
  <c r="Q1748" i="1"/>
  <c r="M1748" i="1" s="1"/>
  <c r="Q1736" i="1"/>
  <c r="M1736" i="1" s="1"/>
  <c r="N1736" i="1" s="1"/>
  <c r="Q1719" i="1"/>
  <c r="M1719" i="1" s="1"/>
  <c r="N1719" i="1" s="1"/>
  <c r="Q1686" i="1"/>
  <c r="M1686" i="1" s="1"/>
  <c r="P1686" i="1"/>
  <c r="Q1676" i="1"/>
  <c r="P1676" i="1" s="1"/>
  <c r="Q1692" i="1"/>
  <c r="P1692" i="1" s="1"/>
  <c r="Q1687" i="1"/>
  <c r="M1687" i="1" s="1"/>
  <c r="Q1741" i="1"/>
  <c r="M1741" i="1" s="1"/>
  <c r="N1741" i="1" s="1"/>
  <c r="Q1663" i="1"/>
  <c r="Q1743" i="1"/>
  <c r="P1743" i="1" s="1"/>
  <c r="Q1712" i="1"/>
  <c r="P1712" i="1" s="1"/>
  <c r="Q1709" i="1"/>
  <c r="P1709" i="1" s="1"/>
  <c r="Q1708" i="1"/>
  <c r="P1708" i="1" s="1"/>
  <c r="Q1675" i="1"/>
  <c r="M1675" i="1" s="1"/>
  <c r="N1675" i="1" s="1"/>
  <c r="Q1730" i="1"/>
  <c r="M1730" i="1" s="1"/>
  <c r="N1730" i="1" s="1"/>
  <c r="Q1703" i="1"/>
  <c r="M1703" i="1" s="1"/>
  <c r="N1703" i="1" s="1"/>
  <c r="Q1721" i="1"/>
  <c r="P1721" i="1" s="1"/>
  <c r="Q1720" i="1"/>
  <c r="P1720" i="1" s="1"/>
  <c r="Q1644" i="1"/>
  <c r="P1644" i="1" s="1"/>
  <c r="Q1665" i="1"/>
  <c r="M1665" i="1" s="1"/>
  <c r="N1665" i="1" s="1"/>
  <c r="Q1739" i="1"/>
  <c r="Q1714" i="1"/>
  <c r="P1714" i="1" s="1"/>
  <c r="Q1685" i="1"/>
  <c r="P1685" i="1" s="1"/>
  <c r="Q1716" i="1"/>
  <c r="P1716" i="1" s="1"/>
  <c r="Q1653" i="1"/>
  <c r="M1653" i="1" s="1"/>
  <c r="Q1702" i="1"/>
  <c r="M1702" i="1" s="1"/>
  <c r="N1702" i="1" s="1"/>
  <c r="Q1666" i="1"/>
  <c r="M1666" i="1" s="1"/>
  <c r="Q1731" i="1"/>
  <c r="M1731" i="1" s="1"/>
  <c r="P1731" i="1"/>
  <c r="Q1755" i="1"/>
  <c r="Q1700" i="1"/>
  <c r="P1700" i="1" s="1"/>
  <c r="Q1699" i="1"/>
  <c r="P1699" i="1" s="1"/>
  <c r="Q1664" i="1"/>
  <c r="M1664" i="1" s="1"/>
  <c r="N1664" i="1" s="1"/>
  <c r="Q1754" i="1"/>
  <c r="M1754" i="1" s="1"/>
  <c r="N1754" i="1" s="1"/>
  <c r="Q1684" i="1"/>
  <c r="P1684" i="1" s="1"/>
  <c r="Q1733" i="1"/>
  <c r="P1733" i="1" s="1"/>
  <c r="Q1752" i="1"/>
  <c r="P1752" i="1" s="1"/>
  <c r="Q1697" i="1"/>
  <c r="P1697" i="1" s="1"/>
  <c r="Q1710" i="1"/>
  <c r="M1710" i="1" s="1"/>
  <c r="N1710" i="1" s="1"/>
  <c r="Q1753" i="1"/>
  <c r="Q1722" i="1"/>
  <c r="P1722" i="1" s="1"/>
  <c r="Q1723" i="1"/>
  <c r="Q1681" i="1"/>
  <c r="P1681" i="1" s="1"/>
  <c r="Q1645" i="1"/>
  <c r="P1645" i="1" s="1"/>
  <c r="M1645" i="1"/>
  <c r="Q1691" i="1"/>
  <c r="Q1693" i="1"/>
  <c r="M1693" i="1" s="1"/>
  <c r="Q1690" i="1"/>
  <c r="P1690" i="1" s="1"/>
  <c r="Q1711" i="1"/>
  <c r="P1711" i="1" s="1"/>
  <c r="Q1680" i="1"/>
  <c r="P1680" i="1" s="1"/>
  <c r="Q1728" i="1"/>
  <c r="P1728" i="1" s="1"/>
  <c r="Q1727" i="1"/>
  <c r="M1727" i="1" s="1"/>
  <c r="N1727" i="1" s="1"/>
  <c r="Q1725" i="1"/>
  <c r="M1725" i="1" s="1"/>
  <c r="Q1698" i="1"/>
  <c r="M1698" i="1" s="1"/>
  <c r="Q1671" i="1"/>
  <c r="P1671" i="1" s="1"/>
  <c r="Q1657" i="1"/>
  <c r="P1657" i="1" s="1"/>
  <c r="Q1667" i="1"/>
  <c r="P1667" i="1" s="1"/>
  <c r="Q1696" i="1"/>
  <c r="M1696" i="1" s="1"/>
  <c r="N1696" i="1" s="1"/>
  <c r="Q1695" i="1"/>
  <c r="M1695" i="1" s="1"/>
  <c r="Q1713" i="1"/>
  <c r="P1713" i="1" s="1"/>
  <c r="Q1724" i="1"/>
  <c r="P1724" i="1" s="1"/>
  <c r="Q1655" i="1"/>
  <c r="P1655" i="1" s="1"/>
  <c r="Q1705" i="1"/>
  <c r="P1705" i="1" s="1"/>
  <c r="Q1735" i="1"/>
  <c r="M1735" i="1" s="1"/>
  <c r="N1735" i="1" s="1"/>
  <c r="Q1682" i="1"/>
  <c r="M1682" i="1" s="1"/>
  <c r="Q1740" i="1"/>
  <c r="P1740" i="1" s="1"/>
  <c r="Q1732" i="1"/>
  <c r="P1732" i="1" s="1"/>
  <c r="Q1738" i="1"/>
  <c r="P1738" i="1" s="1"/>
  <c r="Q1668" i="1"/>
  <c r="P1668" i="1" s="1"/>
  <c r="Q1707" i="1"/>
  <c r="M1707" i="1" s="1"/>
  <c r="N1707" i="1" s="1"/>
  <c r="Q1706" i="1"/>
  <c r="M1706" i="1" s="1"/>
  <c r="Q1660" i="1"/>
  <c r="P1660" i="1" s="1"/>
  <c r="Q1717" i="1"/>
  <c r="P1717" i="1" s="1"/>
  <c r="Q1646" i="1"/>
  <c r="P1646" i="1" s="1"/>
  <c r="Q1701" i="1"/>
  <c r="P1701" i="1" s="1"/>
  <c r="Q1718" i="1"/>
  <c r="M1718" i="1" s="1"/>
  <c r="N1718" i="1" s="1"/>
  <c r="Q1742" i="1"/>
  <c r="M1742" i="1" s="1"/>
  <c r="Q1694" i="1"/>
  <c r="M1694" i="1" s="1"/>
  <c r="Q1679" i="1"/>
  <c r="Q1683" i="1"/>
  <c r="P1683" i="1" s="1"/>
  <c r="Q1658" i="1"/>
  <c r="M1658" i="1" s="1"/>
  <c r="Q1734" i="1"/>
  <c r="Q1726" i="1"/>
  <c r="M1726" i="1" s="1"/>
  <c r="N1726" i="1" s="1"/>
  <c r="Q1654" i="1"/>
  <c r="P1654" i="1" s="1"/>
  <c r="Q1659" i="1"/>
  <c r="P1659" i="1" s="1"/>
  <c r="Q1689" i="1"/>
  <c r="P1689" i="1" s="1"/>
  <c r="Q1688" i="1"/>
  <c r="P1688" i="1" s="1"/>
  <c r="Q1669" i="1"/>
  <c r="M1669" i="1" s="1"/>
  <c r="N1669" i="1" s="1"/>
  <c r="Q1656" i="1"/>
  <c r="M1656" i="1" s="1"/>
  <c r="A1729" i="1"/>
  <c r="C1729" i="1" s="1"/>
  <c r="A1802" i="17" s="1"/>
  <c r="A1674" i="1"/>
  <c r="C1674" i="1" s="1"/>
  <c r="A1800" i="17" s="1"/>
  <c r="A1670" i="1"/>
  <c r="C1670" i="1" s="1"/>
  <c r="A1476" i="17" s="1"/>
  <c r="A1647" i="1"/>
  <c r="C1647" i="1" s="1"/>
  <c r="A1474" i="17" s="1"/>
  <c r="A1648" i="1"/>
  <c r="C1648" i="1" s="1"/>
  <c r="A1473" i="17" s="1"/>
  <c r="A1649" i="1"/>
  <c r="C1649" i="1" s="1"/>
  <c r="A1472" i="17" s="1"/>
  <c r="A1650" i="1"/>
  <c r="C1650" i="1" s="1"/>
  <c r="A1471" i="17" s="1"/>
  <c r="A1715" i="1"/>
  <c r="C1715" i="1" s="1"/>
  <c r="A1704" i="1"/>
  <c r="C1704" i="1" s="1"/>
  <c r="A1661" i="1"/>
  <c r="C1661" i="1" s="1"/>
  <c r="A1437" i="17" s="1"/>
  <c r="A1662" i="1"/>
  <c r="C1662" i="1" s="1"/>
  <c r="A1436" i="17" s="1"/>
  <c r="A1751" i="1"/>
  <c r="C1751" i="1" s="1"/>
  <c r="A1749" i="1"/>
  <c r="C1749" i="1" s="1"/>
  <c r="A1737" i="1"/>
  <c r="C1737" i="1" s="1"/>
  <c r="A1677" i="1"/>
  <c r="C1677" i="1" s="1"/>
  <c r="A1678" i="1"/>
  <c r="C1678" i="1" s="1"/>
  <c r="A1431" i="17" s="1"/>
  <c r="A1672" i="1"/>
  <c r="C1672" i="1" s="1"/>
  <c r="A1429" i="17" s="1"/>
  <c r="A1651" i="1"/>
  <c r="C1651" i="1" s="1"/>
  <c r="A1428" i="17" s="1"/>
  <c r="A1673" i="1"/>
  <c r="C1673" i="1" s="1"/>
  <c r="A1427" i="17" s="1"/>
  <c r="A1652" i="1"/>
  <c r="C1652" i="1" s="1"/>
  <c r="A1418" i="17" s="1"/>
  <c r="A1744" i="1"/>
  <c r="C1744" i="1" s="1"/>
  <c r="A1745" i="1"/>
  <c r="C1745" i="1" s="1"/>
  <c r="A1750" i="1"/>
  <c r="C1750" i="1" s="1"/>
  <c r="A1746" i="1"/>
  <c r="C1746" i="1" s="1"/>
  <c r="A1747" i="1"/>
  <c r="C1747" i="1" s="1"/>
  <c r="A1748" i="1"/>
  <c r="C1748" i="1" s="1"/>
  <c r="A1736" i="1"/>
  <c r="C1736" i="1" s="1"/>
  <c r="A1719" i="1"/>
  <c r="C1719" i="1" s="1"/>
  <c r="A1384" i="17" s="1"/>
  <c r="A1686" i="1"/>
  <c r="C1686" i="1" s="1"/>
  <c r="A1369" i="17" s="1"/>
  <c r="A1676" i="1"/>
  <c r="C1676" i="1" s="1"/>
  <c r="A1692" i="1"/>
  <c r="C1692" i="1" s="1"/>
  <c r="A1354" i="17" s="1"/>
  <c r="A1687" i="1"/>
  <c r="C1687" i="1" s="1"/>
  <c r="A1741" i="1"/>
  <c r="C1741" i="1" s="1"/>
  <c r="A1343" i="17" s="1"/>
  <c r="A1663" i="1"/>
  <c r="C1663" i="1" s="1"/>
  <c r="A1324" i="17" s="1"/>
  <c r="A1743" i="1"/>
  <c r="C1743" i="1" s="1"/>
  <c r="A1270" i="17" s="1"/>
  <c r="A1712" i="1"/>
  <c r="C1712" i="1" s="1"/>
  <c r="A1268" i="17" s="1"/>
  <c r="A1709" i="1"/>
  <c r="C1709" i="1" s="1"/>
  <c r="A1260" i="17" s="1"/>
  <c r="A1708" i="1"/>
  <c r="C1708" i="1" s="1"/>
  <c r="A1259" i="17" s="1"/>
  <c r="A1675" i="1"/>
  <c r="C1675" i="1" s="1"/>
  <c r="A1227" i="17" s="1"/>
  <c r="A1730" i="1"/>
  <c r="C1730" i="1" s="1"/>
  <c r="A1206" i="17" s="1"/>
  <c r="A1703" i="1"/>
  <c r="C1703" i="1" s="1"/>
  <c r="A1172" i="17" s="1"/>
  <c r="A1721" i="1"/>
  <c r="C1721" i="1" s="1"/>
  <c r="A1108" i="17" s="1"/>
  <c r="A1720" i="1"/>
  <c r="C1720" i="1" s="1"/>
  <c r="A1107" i="17" s="1"/>
  <c r="A1644" i="1"/>
  <c r="C1644" i="1" s="1"/>
  <c r="A1106" i="17" s="1"/>
  <c r="A1665" i="1"/>
  <c r="C1665" i="1" s="1"/>
  <c r="A1092" i="17" s="1"/>
  <c r="A1739" i="1"/>
  <c r="C1739" i="1" s="1"/>
  <c r="A1069" i="17" s="1"/>
  <c r="A1714" i="1"/>
  <c r="C1714" i="1" s="1"/>
  <c r="A1025" i="17" s="1"/>
  <c r="A1685" i="1"/>
  <c r="C1685" i="1" s="1"/>
  <c r="A1001" i="17" s="1"/>
  <c r="A1716" i="1"/>
  <c r="C1716" i="1" s="1"/>
  <c r="A999" i="17" s="1"/>
  <c r="A1653" i="1"/>
  <c r="C1653" i="1" s="1"/>
  <c r="A998" i="17" s="1"/>
  <c r="A1702" i="1"/>
  <c r="C1702" i="1" s="1"/>
  <c r="A996" i="17" s="1"/>
  <c r="A1666" i="1"/>
  <c r="C1666" i="1" s="1"/>
  <c r="A993" i="17" s="1"/>
  <c r="A1731" i="1"/>
  <c r="C1731" i="1" s="1"/>
  <c r="A906" i="17" s="1"/>
  <c r="A1755" i="1"/>
  <c r="C1755" i="1" s="1"/>
  <c r="A891" i="17" s="1"/>
  <c r="A1700" i="1"/>
  <c r="C1700" i="1" s="1"/>
  <c r="A889" i="17" s="1"/>
  <c r="A1699" i="1"/>
  <c r="C1699" i="1" s="1"/>
  <c r="A887" i="17" s="1"/>
  <c r="A1664" i="1"/>
  <c r="C1664" i="1" s="1"/>
  <c r="A877" i="17" s="1"/>
  <c r="A1754" i="1"/>
  <c r="C1754" i="1" s="1"/>
  <c r="A853" i="17" s="1"/>
  <c r="A1684" i="1"/>
  <c r="C1684" i="1" s="1"/>
  <c r="A848" i="17" s="1"/>
  <c r="A1733" i="1"/>
  <c r="C1733" i="1" s="1"/>
  <c r="A846" i="17" s="1"/>
  <c r="A1752" i="1"/>
  <c r="C1752" i="1" s="1"/>
  <c r="A788" i="17" s="1"/>
  <c r="A1697" i="1"/>
  <c r="C1697" i="1" s="1"/>
  <c r="A712" i="17" s="1"/>
  <c r="A1710" i="1"/>
  <c r="C1710" i="1" s="1"/>
  <c r="A706" i="17" s="1"/>
  <c r="A1753" i="1"/>
  <c r="C1753" i="1" s="1"/>
  <c r="A702" i="17" s="1"/>
  <c r="A1722" i="1"/>
  <c r="C1722" i="1" s="1"/>
  <c r="A648" i="17" s="1"/>
  <c r="A1723" i="1"/>
  <c r="C1723" i="1" s="1"/>
  <c r="A643" i="17" s="1"/>
  <c r="A1681" i="1"/>
  <c r="C1681" i="1" s="1"/>
  <c r="A634" i="17" s="1"/>
  <c r="A1645" i="1"/>
  <c r="C1645" i="1" s="1"/>
  <c r="A631" i="17" s="1"/>
  <c r="A1691" i="1"/>
  <c r="C1691" i="1" s="1"/>
  <c r="A629" i="17" s="1"/>
  <c r="A1693" i="1"/>
  <c r="C1693" i="1" s="1"/>
  <c r="A628" i="17" s="1"/>
  <c r="A1690" i="1"/>
  <c r="C1690" i="1" s="1"/>
  <c r="A622" i="17" s="1"/>
  <c r="A1711" i="1"/>
  <c r="C1711" i="1" s="1"/>
  <c r="A604" i="17" s="1"/>
  <c r="A1680" i="1"/>
  <c r="C1680" i="1" s="1"/>
  <c r="A591" i="17" s="1"/>
  <c r="A1728" i="1"/>
  <c r="C1728" i="1" s="1"/>
  <c r="A544" i="17" s="1"/>
  <c r="A1727" i="1"/>
  <c r="C1727" i="1" s="1"/>
  <c r="A543" i="17" s="1"/>
  <c r="A1725" i="1"/>
  <c r="C1725" i="1" s="1"/>
  <c r="A540" i="17" s="1"/>
  <c r="A1698" i="1"/>
  <c r="C1698" i="1" s="1"/>
  <c r="A526" i="17" s="1"/>
  <c r="A1671" i="1"/>
  <c r="C1671" i="1" s="1"/>
  <c r="A519" i="17" s="1"/>
  <c r="A1657" i="1"/>
  <c r="C1657" i="1" s="1"/>
  <c r="A493" i="17" s="1"/>
  <c r="A1667" i="1"/>
  <c r="C1667" i="1" s="1"/>
  <c r="A485" i="17" s="1"/>
  <c r="A1696" i="1"/>
  <c r="C1696" i="1" s="1"/>
  <c r="A477" i="17" s="1"/>
  <c r="A1695" i="1"/>
  <c r="C1695" i="1" s="1"/>
  <c r="A474" i="17" s="1"/>
  <c r="A1713" i="1"/>
  <c r="C1713" i="1" s="1"/>
  <c r="A469" i="17" s="1"/>
  <c r="A1724" i="1"/>
  <c r="C1724" i="1" s="1"/>
  <c r="A464" i="17" s="1"/>
  <c r="A1655" i="1"/>
  <c r="C1655" i="1" s="1"/>
  <c r="A443" i="17" s="1"/>
  <c r="A1705" i="1"/>
  <c r="C1705" i="1" s="1"/>
  <c r="A440" i="17" s="1"/>
  <c r="A1735" i="1"/>
  <c r="C1735" i="1" s="1"/>
  <c r="A436" i="17" s="1"/>
  <c r="A1682" i="1"/>
  <c r="C1682" i="1" s="1"/>
  <c r="A422" i="17" s="1"/>
  <c r="A1740" i="1"/>
  <c r="C1740" i="1" s="1"/>
  <c r="A418" i="17" s="1"/>
  <c r="A1732" i="1"/>
  <c r="C1732" i="1" s="1"/>
  <c r="A404" i="17" s="1"/>
  <c r="A1738" i="1"/>
  <c r="C1738" i="1" s="1"/>
  <c r="A380" i="17" s="1"/>
  <c r="A1668" i="1"/>
  <c r="C1668" i="1" s="1"/>
  <c r="A355" i="17" s="1"/>
  <c r="A1707" i="1"/>
  <c r="C1707" i="1" s="1"/>
  <c r="A353" i="17" s="1"/>
  <c r="A1706" i="1"/>
  <c r="C1706" i="1" s="1"/>
  <c r="A352" i="17" s="1"/>
  <c r="A1660" i="1"/>
  <c r="C1660" i="1" s="1"/>
  <c r="A307" i="17" s="1"/>
  <c r="A1717" i="1"/>
  <c r="C1717" i="1" s="1"/>
  <c r="A280" i="17" s="1"/>
  <c r="A1646" i="1"/>
  <c r="C1646" i="1" s="1"/>
  <c r="A278" i="17" s="1"/>
  <c r="A1701" i="1"/>
  <c r="C1701" i="1" s="1"/>
  <c r="A272" i="17" s="1"/>
  <c r="A1718" i="1"/>
  <c r="C1718" i="1" s="1"/>
  <c r="A219" i="17" s="1"/>
  <c r="A1742" i="1"/>
  <c r="C1742" i="1" s="1"/>
  <c r="A217" i="17" s="1"/>
  <c r="A1694" i="1"/>
  <c r="C1694" i="1" s="1"/>
  <c r="A207" i="17" s="1"/>
  <c r="A1679" i="1"/>
  <c r="C1679" i="1" s="1"/>
  <c r="A167" i="17" s="1"/>
  <c r="A1683" i="1"/>
  <c r="C1683" i="1" s="1"/>
  <c r="A166" i="17" s="1"/>
  <c r="A1658" i="1"/>
  <c r="C1658" i="1" s="1"/>
  <c r="A165" i="17" s="1"/>
  <c r="A1734" i="1"/>
  <c r="C1734" i="1" s="1"/>
  <c r="A156" i="17" s="1"/>
  <c r="A1726" i="1"/>
  <c r="C1726" i="1" s="1"/>
  <c r="A141" i="17" s="1"/>
  <c r="A1654" i="1"/>
  <c r="C1654" i="1" s="1"/>
  <c r="A120" i="17" s="1"/>
  <c r="A1659" i="1"/>
  <c r="C1659" i="1" s="1"/>
  <c r="A73" i="17" s="1"/>
  <c r="A1689" i="1"/>
  <c r="C1689" i="1" s="1"/>
  <c r="A62" i="17" s="1"/>
  <c r="A1688" i="1"/>
  <c r="C1688" i="1" s="1"/>
  <c r="A56" i="17" s="1"/>
  <c r="A1669" i="1"/>
  <c r="C1669" i="1" s="1"/>
  <c r="A55" i="17" s="1"/>
  <c r="A1656" i="1"/>
  <c r="C1656" i="1" s="1"/>
  <c r="A13" i="17" s="1"/>
  <c r="Q1445" i="1"/>
  <c r="M1445" i="1" s="1"/>
  <c r="Q1441" i="1"/>
  <c r="P1441" i="1" s="1"/>
  <c r="Q1451" i="1"/>
  <c r="P1451" i="1" s="1"/>
  <c r="Q1562" i="1"/>
  <c r="P1562" i="1" s="1"/>
  <c r="Q1545" i="1"/>
  <c r="P1545" i="1" s="1"/>
  <c r="Q1502" i="1"/>
  <c r="M1502" i="1" s="1"/>
  <c r="Q1457" i="1"/>
  <c r="Q1403" i="1"/>
  <c r="M1403" i="1" s="1"/>
  <c r="Q1412" i="1"/>
  <c r="P1412" i="1" s="1"/>
  <c r="Q1481" i="1"/>
  <c r="P1481" i="1" s="1"/>
  <c r="Q1477" i="1"/>
  <c r="M1477" i="1" s="1"/>
  <c r="N1477" i="1" s="1"/>
  <c r="Q1463" i="1"/>
  <c r="M1463" i="1" s="1"/>
  <c r="Q1550" i="1"/>
  <c r="Q1395" i="1"/>
  <c r="P1395" i="1" s="1"/>
  <c r="Q1501" i="1"/>
  <c r="P1501" i="1" s="1"/>
  <c r="Q1584" i="1"/>
  <c r="P1584" i="1" s="1"/>
  <c r="Q1397" i="1"/>
  <c r="P1397" i="1" s="1"/>
  <c r="Q1556" i="1"/>
  <c r="Q1449" i="1"/>
  <c r="Q1555" i="1"/>
  <c r="M1555" i="1" s="1"/>
  <c r="Q1561" i="1"/>
  <c r="P1561" i="1" s="1"/>
  <c r="Q1529" i="1"/>
  <c r="P1529" i="1" s="1"/>
  <c r="Q1578" i="1"/>
  <c r="M1578" i="1" s="1"/>
  <c r="Q1552" i="1"/>
  <c r="Q1553" i="1"/>
  <c r="Q1543" i="1"/>
  <c r="M1543" i="1" s="1"/>
  <c r="Q1437" i="1"/>
  <c r="P1437" i="1" s="1"/>
  <c r="Q1554" i="1"/>
  <c r="P1554" i="1" s="1"/>
  <c r="P1526" i="1"/>
  <c r="Q1526" i="1"/>
  <c r="M1526" i="1" s="1"/>
  <c r="Q1406" i="1"/>
  <c r="Q1593" i="1"/>
  <c r="Q1576" i="1"/>
  <c r="M1576" i="1" s="1"/>
  <c r="Q1567" i="1"/>
  <c r="P1567" i="1" s="1"/>
  <c r="Q1408" i="1"/>
  <c r="P1408" i="1" s="1"/>
  <c r="Q1564" i="1"/>
  <c r="M1564" i="1" s="1"/>
  <c r="Q1517" i="1"/>
  <c r="Q1485" i="1"/>
  <c r="Q1516" i="1"/>
  <c r="M1516" i="1" s="1"/>
  <c r="Q1522" i="1"/>
  <c r="P1522" i="1" s="1"/>
  <c r="Q1527" i="1"/>
  <c r="M1527" i="1" s="1"/>
  <c r="Q1538" i="1"/>
  <c r="M1538" i="1" s="1"/>
  <c r="N1538" i="1" s="1"/>
  <c r="Q1536" i="1"/>
  <c r="M1536" i="1" s="1"/>
  <c r="Q1571" i="1"/>
  <c r="P1571" i="1" s="1"/>
  <c r="Q1582" i="1"/>
  <c r="M1582" i="1" s="1"/>
  <c r="Q1488" i="1"/>
  <c r="P1488" i="1" s="1"/>
  <c r="Q1446" i="1"/>
  <c r="M1446" i="1" s="1"/>
  <c r="N1446" i="1" s="1"/>
  <c r="Q1465" i="1"/>
  <c r="P1465" i="1" s="1"/>
  <c r="Q1460" i="1"/>
  <c r="M1460" i="1" s="1"/>
  <c r="Q1414" i="1"/>
  <c r="P1414" i="1" s="1"/>
  <c r="Q1417" i="1"/>
  <c r="P1417" i="1" s="1"/>
  <c r="Q1491" i="1"/>
  <c r="Q1492" i="1"/>
  <c r="P1492" i="1" s="1"/>
  <c r="Q1594" i="1"/>
  <c r="P1594" i="1" s="1"/>
  <c r="Q1546" i="1"/>
  <c r="M1546" i="1" s="1"/>
  <c r="N1546" i="1" s="1"/>
  <c r="Q1558" i="1"/>
  <c r="M1558" i="1" s="1"/>
  <c r="N1558" i="1" s="1"/>
  <c r="Q1549" i="1"/>
  <c r="P1549" i="1" s="1"/>
  <c r="Q1598" i="1"/>
  <c r="P1598" i="1" s="1"/>
  <c r="Q1599" i="1"/>
  <c r="M1599" i="1" s="1"/>
  <c r="Q1521" i="1"/>
  <c r="M1521" i="1" s="1"/>
  <c r="Q1456" i="1"/>
  <c r="Q1436" i="1"/>
  <c r="P1436" i="1" s="1"/>
  <c r="Q1542" i="1"/>
  <c r="M1542" i="1" s="1"/>
  <c r="Q1583" i="1"/>
  <c r="P1583" i="1" s="1"/>
  <c r="P1416" i="1"/>
  <c r="Q1416" i="1"/>
  <c r="M1416" i="1" s="1"/>
  <c r="Q1566" i="1"/>
  <c r="P1566" i="1" s="1"/>
  <c r="Q1422" i="1"/>
  <c r="Q1585" i="1"/>
  <c r="P1585" i="1" s="1"/>
  <c r="Q1482" i="1"/>
  <c r="M1482" i="1" s="1"/>
  <c r="Q1472" i="1"/>
  <c r="Q1396" i="1"/>
  <c r="P1396" i="1" s="1"/>
  <c r="Q1423" i="1"/>
  <c r="Q1418" i="1"/>
  <c r="M1418" i="1" s="1"/>
  <c r="Q1490" i="1"/>
  <c r="M1490" i="1" s="1"/>
  <c r="N1490" i="1" s="1"/>
  <c r="Q1439" i="1"/>
  <c r="P1439" i="1" s="1"/>
  <c r="Q1509" i="1"/>
  <c r="P1509" i="1" s="1"/>
  <c r="Q1433" i="1"/>
  <c r="P1433" i="1" s="1"/>
  <c r="Q1484" i="1"/>
  <c r="Q1483" i="1"/>
  <c r="Q1432" i="1"/>
  <c r="M1432" i="1" s="1"/>
  <c r="Q1413" i="1"/>
  <c r="M1413" i="1" s="1"/>
  <c r="Q1586" i="1"/>
  <c r="Q1448" i="1"/>
  <c r="M1448" i="1" s="1"/>
  <c r="Q1401" i="1"/>
  <c r="M1401" i="1" s="1"/>
  <c r="N1401" i="1" s="1"/>
  <c r="Q1510" i="1"/>
  <c r="M1510" i="1" s="1"/>
  <c r="N1510" i="1" s="1"/>
  <c r="Q1424" i="1"/>
  <c r="P1424" i="1" s="1"/>
  <c r="Q1589" i="1"/>
  <c r="M1589" i="1" s="1"/>
  <c r="Q1515" i="1"/>
  <c r="Q1514" i="1"/>
  <c r="P1514" i="1" s="1"/>
  <c r="Q1471" i="1"/>
  <c r="Q1447" i="1"/>
  <c r="Q1469" i="1"/>
  <c r="M1469" i="1" s="1"/>
  <c r="N1469" i="1" s="1"/>
  <c r="Q1409" i="1"/>
  <c r="Q1421" i="1"/>
  <c r="Q1410" i="1"/>
  <c r="M1410" i="1" s="1"/>
  <c r="Q1464" i="1"/>
  <c r="M1464" i="1" s="1"/>
  <c r="Q1461" i="1"/>
  <c r="Q1415" i="1"/>
  <c r="M1415" i="1" s="1"/>
  <c r="N1415" i="1" s="1"/>
  <c r="Q1394" i="1"/>
  <c r="M1394" i="1" s="1"/>
  <c r="O1394" i="1" s="1"/>
  <c r="Q1565" i="1"/>
  <c r="P1565" i="1" s="1"/>
  <c r="Q1467" i="1"/>
  <c r="M1467" i="1" s="1"/>
  <c r="N1467" i="1" s="1"/>
  <c r="Q1548" i="1"/>
  <c r="M1548" i="1" s="1"/>
  <c r="Q1532" i="1"/>
  <c r="M1532" i="1" s="1"/>
  <c r="N1532" i="1" s="1"/>
  <c r="Q1528" i="1"/>
  <c r="Q1574" i="1"/>
  <c r="M1574" i="1" s="1"/>
  <c r="Q1428" i="1"/>
  <c r="Q1596" i="1"/>
  <c r="M1596" i="1" s="1"/>
  <c r="Q1590" i="1"/>
  <c r="P1590" i="1" s="1"/>
  <c r="Q1506" i="1"/>
  <c r="M1506" i="1" s="1"/>
  <c r="N1506" i="1" s="1"/>
  <c r="Q1507" i="1"/>
  <c r="Q1603" i="1"/>
  <c r="P1603" i="1" s="1"/>
  <c r="Q1579" i="1"/>
  <c r="P1579" i="1" s="1"/>
  <c r="Q1568" i="1"/>
  <c r="M1568" i="1" s="1"/>
  <c r="Q1480" i="1"/>
  <c r="M1480" i="1" s="1"/>
  <c r="Q1595" i="1"/>
  <c r="Q1518" i="1"/>
  <c r="Q1404" i="1"/>
  <c r="M1404" i="1" s="1"/>
  <c r="Q1470" i="1"/>
  <c r="P1470" i="1" s="1"/>
  <c r="Q1393" i="1"/>
  <c r="M1393" i="1" s="1"/>
  <c r="Q1573" i="1"/>
  <c r="P1573" i="1" s="1"/>
  <c r="Q1400" i="1"/>
  <c r="Q1512" i="1"/>
  <c r="P1512" i="1" s="1"/>
  <c r="Q1459" i="1"/>
  <c r="P1459" i="1" s="1"/>
  <c r="Q1503" i="1"/>
  <c r="Q1597" i="1"/>
  <c r="Q1601" i="1"/>
  <c r="P1601" i="1" s="1"/>
  <c r="Q1438" i="1"/>
  <c r="M1438" i="1" s="1"/>
  <c r="N1438" i="1" s="1"/>
  <c r="Q1602" i="1"/>
  <c r="Q1493" i="1"/>
  <c r="P1493" i="1" s="1"/>
  <c r="Q1600" i="1"/>
  <c r="Q1442" i="1"/>
  <c r="P1442" i="1" s="1"/>
  <c r="Q1405" i="1"/>
  <c r="Q1577" i="1"/>
  <c r="M1577" i="1" s="1"/>
  <c r="N1577" i="1" s="1"/>
  <c r="Q1551" i="1"/>
  <c r="M1551" i="1" s="1"/>
  <c r="N1551" i="1" s="1"/>
  <c r="Q1487" i="1"/>
  <c r="P1487" i="1" s="1"/>
  <c r="Q1539" i="1"/>
  <c r="P1539" i="1" s="1"/>
  <c r="Q1444" i="1"/>
  <c r="P1444" i="1" s="1"/>
  <c r="Q1498" i="1"/>
  <c r="M1498" i="1" s="1"/>
  <c r="Q1537" i="1"/>
  <c r="Q1407" i="1"/>
  <c r="Q1572" i="1"/>
  <c r="M1572" i="1" s="1"/>
  <c r="Q1398" i="1"/>
  <c r="P1398" i="1" s="1"/>
  <c r="Q1575" i="1"/>
  <c r="P1575" i="1" s="1"/>
  <c r="Q1533" i="1"/>
  <c r="M1533" i="1" s="1"/>
  <c r="Q1580" i="1"/>
  <c r="M1580" i="1" s="1"/>
  <c r="N1580" i="1" s="1"/>
  <c r="Q1569" i="1"/>
  <c r="P1569" i="1" s="1"/>
  <c r="Q1420" i="1"/>
  <c r="P1420" i="1" s="1"/>
  <c r="Q1479" i="1"/>
  <c r="Q1591" i="1"/>
  <c r="M1591" i="1" s="1"/>
  <c r="O1591" i="1" s="1"/>
  <c r="Q1468" i="1"/>
  <c r="Q1592" i="1"/>
  <c r="M1592" i="1" s="1"/>
  <c r="N1592" i="1" s="1"/>
  <c r="Q1426" i="1"/>
  <c r="M1426" i="1" s="1"/>
  <c r="N1426" i="1" s="1"/>
  <c r="Q1462" i="1"/>
  <c r="P1462" i="1" s="1"/>
  <c r="Q1559" i="1"/>
  <c r="M1559" i="1" s="1"/>
  <c r="N1559" i="1" s="1"/>
  <c r="Q1452" i="1"/>
  <c r="P1452" i="1" s="1"/>
  <c r="Q1399" i="1"/>
  <c r="M1399" i="1" s="1"/>
  <c r="N1399" i="1" s="1"/>
  <c r="Q1581" i="1"/>
  <c r="M1581" i="1" s="1"/>
  <c r="Q1531" i="1"/>
  <c r="M1531" i="1" s="1"/>
  <c r="Q1560" i="1"/>
  <c r="Q1458" i="1"/>
  <c r="M1458" i="1" s="1"/>
  <c r="Q1499" i="1"/>
  <c r="M1499" i="1" s="1"/>
  <c r="Q1508" i="1"/>
  <c r="M1508" i="1" s="1"/>
  <c r="N1508" i="1" s="1"/>
  <c r="Q1504" i="1"/>
  <c r="P1504" i="1" s="1"/>
  <c r="Q1429" i="1"/>
  <c r="M1429" i="1" s="1"/>
  <c r="Q1450" i="1"/>
  <c r="P1450" i="1" s="1"/>
  <c r="Q1511" i="1"/>
  <c r="P1511" i="1" s="1"/>
  <c r="Q1443" i="1"/>
  <c r="P1443" i="1" s="1"/>
  <c r="Q1455" i="1"/>
  <c r="M1455" i="1" s="1"/>
  <c r="N1455" i="1" s="1"/>
  <c r="Q1563" i="1"/>
  <c r="M1563" i="1" s="1"/>
  <c r="Q1519" i="1"/>
  <c r="P1519" i="1" s="1"/>
  <c r="Q1440" i="1"/>
  <c r="P1440" i="1" s="1"/>
  <c r="Q1419" i="1"/>
  <c r="M1419" i="1" s="1"/>
  <c r="N1419" i="1" s="1"/>
  <c r="Q1489" i="1"/>
  <c r="P1489" i="1" s="1"/>
  <c r="Q1411" i="1"/>
  <c r="M1411" i="1" s="1"/>
  <c r="N1411" i="1" s="1"/>
  <c r="Q1486" i="1"/>
  <c r="M1486" i="1" s="1"/>
  <c r="Q1497" i="1"/>
  <c r="M1497" i="1" s="1"/>
  <c r="Q1637" i="1"/>
  <c r="Q1435" i="1"/>
  <c r="P1435" i="1" s="1"/>
  <c r="Q1466" i="1"/>
  <c r="M1466" i="1" s="1"/>
  <c r="Q1496" i="1"/>
  <c r="M1496" i="1" s="1"/>
  <c r="N1496" i="1" s="1"/>
  <c r="Q1557" i="1"/>
  <c r="P1557" i="1" s="1"/>
  <c r="Q1454" i="1"/>
  <c r="M1454" i="1" s="1"/>
  <c r="Q1541" i="1"/>
  <c r="P1541" i="1" s="1"/>
  <c r="Q1402" i="1"/>
  <c r="P1402" i="1" s="1"/>
  <c r="Q1500" i="1"/>
  <c r="Q1172" i="1"/>
  <c r="M1172" i="1" s="1"/>
  <c r="N1172" i="1" s="1"/>
  <c r="Q1434" i="1"/>
  <c r="M1434" i="1" s="1"/>
  <c r="Q1474" i="1"/>
  <c r="Q1547" i="1"/>
  <c r="P1547" i="1" s="1"/>
  <c r="Q1570" i="1"/>
  <c r="M1570" i="1" s="1"/>
  <c r="Q1587" i="1"/>
  <c r="P1587" i="1" s="1"/>
  <c r="Q1636" i="1"/>
  <c r="M1636" i="1" s="1"/>
  <c r="Q1431" i="1"/>
  <c r="M1431" i="1" s="1"/>
  <c r="Q1430" i="1"/>
  <c r="M1430" i="1" s="1"/>
  <c r="Q1473" i="1"/>
  <c r="P1473" i="1" s="1"/>
  <c r="Q1523" i="1"/>
  <c r="P1523" i="1" s="1"/>
  <c r="Q1544" i="1"/>
  <c r="M1544" i="1" s="1"/>
  <c r="Q1520" i="1"/>
  <c r="M1520" i="1" s="1"/>
  <c r="N1520" i="1" s="1"/>
  <c r="Q1494" i="1"/>
  <c r="P1494" i="1" s="1"/>
  <c r="Q1534" i="1"/>
  <c r="M1534" i="1" s="1"/>
  <c r="Q1475" i="1"/>
  <c r="P1475" i="1" s="1"/>
  <c r="Q1495" i="1"/>
  <c r="M1495" i="1" s="1"/>
  <c r="Q1525" i="1"/>
  <c r="Q1513" i="1"/>
  <c r="M1513" i="1" s="1"/>
  <c r="N1513" i="1" s="1"/>
  <c r="Q1524" i="1"/>
  <c r="M1524" i="1" s="1"/>
  <c r="Q1588" i="1"/>
  <c r="Q1425" i="1"/>
  <c r="P1425" i="1" s="1"/>
  <c r="Q1540" i="1"/>
  <c r="P1540" i="1" s="1"/>
  <c r="Q1453" i="1"/>
  <c r="P1453" i="1" s="1"/>
  <c r="Q1191" i="1"/>
  <c r="M1191" i="1" s="1"/>
  <c r="Q1169" i="1"/>
  <c r="M1169" i="1" s="1"/>
  <c r="Q1476" i="1"/>
  <c r="M1476" i="1" s="1"/>
  <c r="Q1427" i="1"/>
  <c r="P1427" i="1" s="1"/>
  <c r="Q1478" i="1"/>
  <c r="Q1505" i="1"/>
  <c r="P1505" i="1" s="1"/>
  <c r="Q1535" i="1"/>
  <c r="M1535" i="1" s="1"/>
  <c r="Q1530" i="1"/>
  <c r="M1530" i="1" s="1"/>
  <c r="Q1621" i="1"/>
  <c r="P1621" i="1" s="1"/>
  <c r="Q1622" i="1"/>
  <c r="P1622" i="1" s="1"/>
  <c r="Q1623" i="1"/>
  <c r="P1623" i="1" s="1"/>
  <c r="Q1626" i="1"/>
  <c r="P1626" i="1" s="1"/>
  <c r="Q1604" i="1"/>
  <c r="M1604" i="1" s="1"/>
  <c r="Q1605" i="1"/>
  <c r="M1605" i="1" s="1"/>
  <c r="Q1629" i="1"/>
  <c r="P1629" i="1" s="1"/>
  <c r="Q1630" i="1"/>
  <c r="Q1640" i="1"/>
  <c r="P1640" i="1" s="1"/>
  <c r="Q1624" i="1"/>
  <c r="M1624" i="1" s="1"/>
  <c r="Q1631" i="1"/>
  <c r="M1631" i="1" s="1"/>
  <c r="Q1606" i="1"/>
  <c r="M1606" i="1" s="1"/>
  <c r="Q1607" i="1"/>
  <c r="P1607" i="1" s="1"/>
  <c r="Q1608" i="1"/>
  <c r="P1608" i="1" s="1"/>
  <c r="Q1609" i="1"/>
  <c r="Q1610" i="1"/>
  <c r="M1610" i="1" s="1"/>
  <c r="Q1642" i="1"/>
  <c r="M1642" i="1" s="1"/>
  <c r="Q1611" i="1"/>
  <c r="M1611" i="1" s="1"/>
  <c r="Q1612" i="1"/>
  <c r="P1612" i="1" s="1"/>
  <c r="Q1613" i="1"/>
  <c r="P1613" i="1" s="1"/>
  <c r="Q1614" i="1"/>
  <c r="P1614" i="1" s="1"/>
  <c r="Q1615" i="1"/>
  <c r="P1615" i="1" s="1"/>
  <c r="Q1632" i="1"/>
  <c r="M1632" i="1" s="1"/>
  <c r="Q1616" i="1"/>
  <c r="M1616" i="1" s="1"/>
  <c r="Q1633" i="1"/>
  <c r="P1633" i="1" s="1"/>
  <c r="Q1634" i="1"/>
  <c r="Q1617" i="1"/>
  <c r="P1617" i="1" s="1"/>
  <c r="Q1618" i="1"/>
  <c r="M1618" i="1" s="1"/>
  <c r="N1618" i="1" s="1"/>
  <c r="Q1627" i="1"/>
  <c r="M1627" i="1" s="1"/>
  <c r="Q1628" i="1"/>
  <c r="M1628" i="1" s="1"/>
  <c r="Q1619" i="1"/>
  <c r="P1619" i="1" s="1"/>
  <c r="Q1620" i="1"/>
  <c r="P1620" i="1" s="1"/>
  <c r="Q1635" i="1"/>
  <c r="Q1641" i="1"/>
  <c r="P1641" i="1" s="1"/>
  <c r="Q1638" i="1"/>
  <c r="M1638" i="1" s="1"/>
  <c r="Q1639" i="1"/>
  <c r="M1639" i="1" s="1"/>
  <c r="Q1625" i="1"/>
  <c r="P1625" i="1" s="1"/>
  <c r="Q1643" i="1"/>
  <c r="P1643" i="1" s="1"/>
  <c r="A1445" i="1"/>
  <c r="C1445" i="1" s="1"/>
  <c r="A4" i="17" s="1"/>
  <c r="A1441" i="1"/>
  <c r="C1441" i="1" s="1"/>
  <c r="A15" i="17" s="1"/>
  <c r="A1451" i="1"/>
  <c r="C1451" i="1" s="1"/>
  <c r="A18" i="17" s="1"/>
  <c r="A1562" i="1"/>
  <c r="C1562" i="1" s="1"/>
  <c r="A19" i="17" s="1"/>
  <c r="A1545" i="1"/>
  <c r="C1545" i="1" s="1"/>
  <c r="A27" i="17" s="1"/>
  <c r="A1502" i="1"/>
  <c r="C1502" i="1" s="1"/>
  <c r="A32" i="17" s="1"/>
  <c r="A1457" i="1"/>
  <c r="C1457" i="1" s="1"/>
  <c r="A60" i="17" s="1"/>
  <c r="A1403" i="1"/>
  <c r="C1403" i="1" s="1"/>
  <c r="A75" i="17" s="1"/>
  <c r="A1412" i="1"/>
  <c r="C1412" i="1" s="1"/>
  <c r="A79" i="17" s="1"/>
  <c r="A1481" i="1"/>
  <c r="C1481" i="1" s="1"/>
  <c r="A88" i="17" s="1"/>
  <c r="A1477" i="1"/>
  <c r="C1477" i="1" s="1"/>
  <c r="A104" i="17" s="1"/>
  <c r="A1463" i="1"/>
  <c r="C1463" i="1" s="1"/>
  <c r="A127" i="17" s="1"/>
  <c r="A1550" i="1"/>
  <c r="C1550" i="1" s="1"/>
  <c r="A129" i="17" s="1"/>
  <c r="A1395" i="1"/>
  <c r="C1395" i="1" s="1"/>
  <c r="A136" i="17" s="1"/>
  <c r="A1501" i="1"/>
  <c r="C1501" i="1" s="1"/>
  <c r="A145" i="17" s="1"/>
  <c r="A1584" i="1"/>
  <c r="C1584" i="1" s="1"/>
  <c r="A149" i="17" s="1"/>
  <c r="A1397" i="1"/>
  <c r="C1397" i="1" s="1"/>
  <c r="A150" i="17" s="1"/>
  <c r="A1556" i="1"/>
  <c r="C1556" i="1" s="1"/>
  <c r="A157" i="17" s="1"/>
  <c r="A1449" i="1"/>
  <c r="C1449" i="1" s="1"/>
  <c r="A158" i="17" s="1"/>
  <c r="A1555" i="1"/>
  <c r="C1555" i="1" s="1"/>
  <c r="A163" i="17" s="1"/>
  <c r="A1561" i="1"/>
  <c r="C1561" i="1" s="1"/>
  <c r="A170" i="17" s="1"/>
  <c r="A1529" i="1"/>
  <c r="C1529" i="1" s="1"/>
  <c r="A184" i="17" s="1"/>
  <c r="A1578" i="1"/>
  <c r="C1578" i="1" s="1"/>
  <c r="A185" i="17" s="1"/>
  <c r="A1552" i="1"/>
  <c r="C1552" i="1" s="1"/>
  <c r="A187" i="17" s="1"/>
  <c r="A1553" i="1"/>
  <c r="C1553" i="1" s="1"/>
  <c r="A190" i="17" s="1"/>
  <c r="A1543" i="1"/>
  <c r="C1543" i="1" s="1"/>
  <c r="A196" i="17" s="1"/>
  <c r="A1437" i="1"/>
  <c r="C1437" i="1" s="1"/>
  <c r="A199" i="17" s="1"/>
  <c r="A1554" i="1"/>
  <c r="C1554" i="1" s="1"/>
  <c r="A203" i="17" s="1"/>
  <c r="A1526" i="1"/>
  <c r="C1526" i="1" s="1"/>
  <c r="A205" i="17" s="1"/>
  <c r="A1406" i="1"/>
  <c r="C1406" i="1" s="1"/>
  <c r="A206" i="17" s="1"/>
  <c r="A1593" i="1"/>
  <c r="C1593" i="1" s="1"/>
  <c r="A224" i="17" s="1"/>
  <c r="A1576" i="1"/>
  <c r="C1576" i="1" s="1"/>
  <c r="A233" i="17" s="1"/>
  <c r="A1567" i="1"/>
  <c r="C1567" i="1" s="1"/>
  <c r="A239" i="17" s="1"/>
  <c r="A1408" i="1"/>
  <c r="C1408" i="1" s="1"/>
  <c r="A243" i="17" s="1"/>
  <c r="A1564" i="1"/>
  <c r="C1564" i="1" s="1"/>
  <c r="A248" i="17" s="1"/>
  <c r="A1517" i="1"/>
  <c r="C1517" i="1" s="1"/>
  <c r="A249" i="17" s="1"/>
  <c r="A1485" i="1"/>
  <c r="C1485" i="1" s="1"/>
  <c r="A255" i="17" s="1"/>
  <c r="A1516" i="1"/>
  <c r="C1516" i="1" s="1"/>
  <c r="A261" i="17" s="1"/>
  <c r="A1522" i="1"/>
  <c r="C1522" i="1" s="1"/>
  <c r="A284" i="17" s="1"/>
  <c r="A1527" i="1"/>
  <c r="C1527" i="1" s="1"/>
  <c r="A285" i="17" s="1"/>
  <c r="A1538" i="1"/>
  <c r="C1538" i="1" s="1"/>
  <c r="A289" i="17" s="1"/>
  <c r="A1536" i="1"/>
  <c r="C1536" i="1" s="1"/>
  <c r="A290" i="17" s="1"/>
  <c r="A1571" i="1"/>
  <c r="C1571" i="1" s="1"/>
  <c r="A295" i="17" s="1"/>
  <c r="A1582" i="1"/>
  <c r="C1582" i="1" s="1"/>
  <c r="A300" i="17" s="1"/>
  <c r="A1488" i="1"/>
  <c r="C1488" i="1" s="1"/>
  <c r="A305" i="17" s="1"/>
  <c r="A1446" i="1"/>
  <c r="C1446" i="1" s="1"/>
  <c r="A324" i="17" s="1"/>
  <c r="A1465" i="1"/>
  <c r="C1465" i="1" s="1"/>
  <c r="A329" i="17" s="1"/>
  <c r="A1460" i="1"/>
  <c r="C1460" i="1" s="1"/>
  <c r="A337" i="17" s="1"/>
  <c r="A1414" i="1"/>
  <c r="C1414" i="1" s="1"/>
  <c r="A339" i="17" s="1"/>
  <c r="A1417" i="1"/>
  <c r="C1417" i="1" s="1"/>
  <c r="A343" i="17" s="1"/>
  <c r="A1491" i="1"/>
  <c r="C1491" i="1" s="1"/>
  <c r="A345" i="17" s="1"/>
  <c r="A1492" i="1"/>
  <c r="C1492" i="1" s="1"/>
  <c r="A358" i="17" s="1"/>
  <c r="A1594" i="1"/>
  <c r="C1594" i="1" s="1"/>
  <c r="A398" i="17" s="1"/>
  <c r="A1546" i="1"/>
  <c r="C1546" i="1" s="1"/>
  <c r="A401" i="17" s="1"/>
  <c r="A1558" i="1"/>
  <c r="C1558" i="1" s="1"/>
  <c r="A406" i="17" s="1"/>
  <c r="A1549" i="1"/>
  <c r="C1549" i="1" s="1"/>
  <c r="A415" i="17" s="1"/>
  <c r="A1598" i="1"/>
  <c r="C1598" i="1" s="1"/>
  <c r="A1599" i="1"/>
  <c r="C1599" i="1" s="1"/>
  <c r="A1521" i="1"/>
  <c r="C1521" i="1" s="1"/>
  <c r="A435" i="17" s="1"/>
  <c r="A1456" i="1"/>
  <c r="C1456" i="1" s="1"/>
  <c r="A452" i="17" s="1"/>
  <c r="A1436" i="1"/>
  <c r="C1436" i="1" s="1"/>
  <c r="A454" i="17" s="1"/>
  <c r="A1542" i="1"/>
  <c r="C1542" i="1" s="1"/>
  <c r="A467" i="17" s="1"/>
  <c r="A1583" i="1"/>
  <c r="C1583" i="1" s="1"/>
  <c r="A468" i="17" s="1"/>
  <c r="A1416" i="1"/>
  <c r="C1416" i="1" s="1"/>
  <c r="A470" i="17" s="1"/>
  <c r="A1566" i="1"/>
  <c r="C1566" i="1" s="1"/>
  <c r="A472" i="17" s="1"/>
  <c r="A1422" i="1"/>
  <c r="C1422" i="1" s="1"/>
  <c r="A481" i="17" s="1"/>
  <c r="A1585" i="1"/>
  <c r="C1585" i="1" s="1"/>
  <c r="A484" i="17" s="1"/>
  <c r="A1482" i="1"/>
  <c r="C1482" i="1" s="1"/>
  <c r="A492" i="17" s="1"/>
  <c r="A1472" i="1"/>
  <c r="C1472" i="1" s="1"/>
  <c r="A504" i="17" s="1"/>
  <c r="A1396" i="1"/>
  <c r="C1396" i="1" s="1"/>
  <c r="A505" i="17" s="1"/>
  <c r="A1423" i="1"/>
  <c r="C1423" i="1" s="1"/>
  <c r="A513" i="17" s="1"/>
  <c r="A1418" i="1"/>
  <c r="C1418" i="1" s="1"/>
  <c r="A534" i="17" s="1"/>
  <c r="A1490" i="1"/>
  <c r="C1490" i="1" s="1"/>
  <c r="A537" i="17" s="1"/>
  <c r="A1439" i="1"/>
  <c r="C1439" i="1" s="1"/>
  <c r="A541" i="17" s="1"/>
  <c r="A1509" i="1"/>
  <c r="C1509" i="1" s="1"/>
  <c r="A572" i="17" s="1"/>
  <c r="A1433" i="1"/>
  <c r="C1433" i="1" s="1"/>
  <c r="A579" i="17" s="1"/>
  <c r="A1484" i="1"/>
  <c r="C1484" i="1" s="1"/>
  <c r="A586" i="17" s="1"/>
  <c r="A1483" i="1"/>
  <c r="C1483" i="1" s="1"/>
  <c r="A599" i="17" s="1"/>
  <c r="A1432" i="1"/>
  <c r="C1432" i="1" s="1"/>
  <c r="A610" i="17" s="1"/>
  <c r="A1413" i="1"/>
  <c r="C1413" i="1" s="1"/>
  <c r="A632" i="17" s="1"/>
  <c r="A1586" i="1"/>
  <c r="C1586" i="1" s="1"/>
  <c r="A635" i="17" s="1"/>
  <c r="A1448" i="1"/>
  <c r="C1448" i="1" s="1"/>
  <c r="A636" i="17" s="1"/>
  <c r="A1401" i="1"/>
  <c r="C1401" i="1" s="1"/>
  <c r="A638" i="17" s="1"/>
  <c r="A1510" i="1"/>
  <c r="C1510" i="1" s="1"/>
  <c r="A641" i="17" s="1"/>
  <c r="A1424" i="1"/>
  <c r="C1424" i="1" s="1"/>
  <c r="A644" i="17" s="1"/>
  <c r="A1589" i="1"/>
  <c r="C1589" i="1" s="1"/>
  <c r="A670" i="17" s="1"/>
  <c r="A1515" i="1"/>
  <c r="C1515" i="1" s="1"/>
  <c r="A672" i="17" s="1"/>
  <c r="A1514" i="1"/>
  <c r="C1514" i="1" s="1"/>
  <c r="A673" i="17" s="1"/>
  <c r="A1471" i="1"/>
  <c r="C1471" i="1" s="1"/>
  <c r="A675" i="17" s="1"/>
  <c r="A1447" i="1"/>
  <c r="C1447" i="1" s="1"/>
  <c r="A683" i="17" s="1"/>
  <c r="A1469" i="1"/>
  <c r="C1469" i="1" s="1"/>
  <c r="A698" i="17" s="1"/>
  <c r="A1409" i="1"/>
  <c r="C1409" i="1" s="1"/>
  <c r="A705" i="17" s="1"/>
  <c r="A1421" i="1"/>
  <c r="C1421" i="1" s="1"/>
  <c r="A707" i="17" s="1"/>
  <c r="A1410" i="1"/>
  <c r="C1410" i="1" s="1"/>
  <c r="A710" i="17" s="1"/>
  <c r="A1464" i="1"/>
  <c r="C1464" i="1" s="1"/>
  <c r="A727" i="17" s="1"/>
  <c r="A1461" i="1"/>
  <c r="C1461" i="1" s="1"/>
  <c r="A731" i="17" s="1"/>
  <c r="A1415" i="1"/>
  <c r="C1415" i="1" s="1"/>
  <c r="A750" i="17" s="1"/>
  <c r="A1394" i="1"/>
  <c r="C1394" i="1" s="1"/>
  <c r="A752" i="17" s="1"/>
  <c r="A1565" i="1"/>
  <c r="C1565" i="1" s="1"/>
  <c r="A754" i="17" s="1"/>
  <c r="A1467" i="1"/>
  <c r="C1467" i="1" s="1"/>
  <c r="A755" i="17" s="1"/>
  <c r="A1548" i="1"/>
  <c r="C1548" i="1" s="1"/>
  <c r="A757" i="17" s="1"/>
  <c r="A1532" i="1"/>
  <c r="C1532" i="1" s="1"/>
  <c r="A787" i="17" s="1"/>
  <c r="A1528" i="1"/>
  <c r="C1528" i="1" s="1"/>
  <c r="A798" i="17" s="1"/>
  <c r="A1574" i="1"/>
  <c r="C1574" i="1" s="1"/>
  <c r="A799" i="17" s="1"/>
  <c r="A1428" i="1"/>
  <c r="C1428" i="1" s="1"/>
  <c r="A815" i="17" s="1"/>
  <c r="A1596" i="1"/>
  <c r="C1596" i="1" s="1"/>
  <c r="A1590" i="1"/>
  <c r="C1590" i="1" s="1"/>
  <c r="A826" i="17" s="1"/>
  <c r="A1506" i="1"/>
  <c r="C1506" i="1" s="1"/>
  <c r="A828" i="17" s="1"/>
  <c r="A1507" i="1"/>
  <c r="C1507" i="1" s="1"/>
  <c r="A829" i="17" s="1"/>
  <c r="A1603" i="1"/>
  <c r="C1603" i="1" s="1"/>
  <c r="A1579" i="1"/>
  <c r="C1579" i="1" s="1"/>
  <c r="A856" i="17" s="1"/>
  <c r="A1568" i="1"/>
  <c r="C1568" i="1" s="1"/>
  <c r="A862" i="17" s="1"/>
  <c r="A1480" i="1"/>
  <c r="C1480" i="1" s="1"/>
  <c r="A875" i="17" s="1"/>
  <c r="A1595" i="1"/>
  <c r="C1595" i="1" s="1"/>
  <c r="A880" i="17" s="1"/>
  <c r="A1518" i="1"/>
  <c r="C1518" i="1" s="1"/>
  <c r="A881" i="17" s="1"/>
  <c r="A1404" i="1"/>
  <c r="C1404" i="1" s="1"/>
  <c r="A883" i="17" s="1"/>
  <c r="A1470" i="1"/>
  <c r="C1470" i="1" s="1"/>
  <c r="A885" i="17" s="1"/>
  <c r="A1393" i="1"/>
  <c r="C1393" i="1" s="1"/>
  <c r="A886" i="17" s="1"/>
  <c r="A1573" i="1"/>
  <c r="C1573" i="1" s="1"/>
  <c r="A897" i="17" s="1"/>
  <c r="A1400" i="1"/>
  <c r="C1400" i="1" s="1"/>
  <c r="A904" i="17" s="1"/>
  <c r="A1512" i="1"/>
  <c r="C1512" i="1" s="1"/>
  <c r="A916" i="17" s="1"/>
  <c r="A1459" i="1"/>
  <c r="C1459" i="1" s="1"/>
  <c r="A917" i="17" s="1"/>
  <c r="A1503" i="1"/>
  <c r="C1503" i="1" s="1"/>
  <c r="A923" i="17" s="1"/>
  <c r="A1597" i="1"/>
  <c r="C1597" i="1" s="1"/>
  <c r="A1601" i="1"/>
  <c r="C1601" i="1" s="1"/>
  <c r="A1438" i="1"/>
  <c r="C1438" i="1" s="1"/>
  <c r="A946" i="17" s="1"/>
  <c r="A1602" i="1"/>
  <c r="C1602" i="1" s="1"/>
  <c r="A1493" i="1"/>
  <c r="C1493" i="1" s="1"/>
  <c r="A963" i="17" s="1"/>
  <c r="A1600" i="1"/>
  <c r="C1600" i="1" s="1"/>
  <c r="A1442" i="1"/>
  <c r="C1442" i="1" s="1"/>
  <c r="A975" i="17" s="1"/>
  <c r="A1405" i="1"/>
  <c r="C1405" i="1" s="1"/>
  <c r="A1000" i="17" s="1"/>
  <c r="A1577" i="1"/>
  <c r="C1577" i="1" s="1"/>
  <c r="A1026" i="17" s="1"/>
  <c r="A1551" i="1"/>
  <c r="C1551" i="1" s="1"/>
  <c r="A1027" i="17" s="1"/>
  <c r="A1487" i="1"/>
  <c r="C1487" i="1" s="1"/>
  <c r="A1030" i="17" s="1"/>
  <c r="A1539" i="1"/>
  <c r="C1539" i="1" s="1"/>
  <c r="A1062" i="17" s="1"/>
  <c r="A1444" i="1"/>
  <c r="C1444" i="1" s="1"/>
  <c r="A1064" i="17" s="1"/>
  <c r="A1498" i="1"/>
  <c r="C1498" i="1" s="1"/>
  <c r="A1066" i="17" s="1"/>
  <c r="A1537" i="1"/>
  <c r="C1537" i="1" s="1"/>
  <c r="A1072" i="17" s="1"/>
  <c r="A1407" i="1"/>
  <c r="C1407" i="1" s="1"/>
  <c r="A1073" i="17" s="1"/>
  <c r="A1572" i="1"/>
  <c r="C1572" i="1" s="1"/>
  <c r="A1077" i="17" s="1"/>
  <c r="A1398" i="1"/>
  <c r="C1398" i="1" s="1"/>
  <c r="A1079" i="17" s="1"/>
  <c r="A1575" i="1"/>
  <c r="C1575" i="1" s="1"/>
  <c r="A1080" i="17" s="1"/>
  <c r="A1533" i="1"/>
  <c r="C1533" i="1" s="1"/>
  <c r="A1084" i="17" s="1"/>
  <c r="A1580" i="1"/>
  <c r="C1580" i="1" s="1"/>
  <c r="A1091" i="17" s="1"/>
  <c r="A1569" i="1"/>
  <c r="C1569" i="1" s="1"/>
  <c r="A1094" i="17" s="1"/>
  <c r="A1420" i="1"/>
  <c r="C1420" i="1" s="1"/>
  <c r="A1101" i="17" s="1"/>
  <c r="A1479" i="1"/>
  <c r="C1479" i="1" s="1"/>
  <c r="A1116" i="17" s="1"/>
  <c r="A1591" i="1"/>
  <c r="C1591" i="1" s="1"/>
  <c r="A1123" i="17" s="1"/>
  <c r="A1468" i="1"/>
  <c r="C1468" i="1" s="1"/>
  <c r="A1124" i="17" s="1"/>
  <c r="A1592" i="1"/>
  <c r="C1592" i="1" s="1"/>
  <c r="A1129" i="17" s="1"/>
  <c r="A1426" i="1"/>
  <c r="C1426" i="1" s="1"/>
  <c r="A1136" i="17" s="1"/>
  <c r="A1462" i="1"/>
  <c r="C1462" i="1" s="1"/>
  <c r="A1156" i="17" s="1"/>
  <c r="A1559" i="1"/>
  <c r="C1559" i="1" s="1"/>
  <c r="A1161" i="17" s="1"/>
  <c r="A1452" i="1"/>
  <c r="C1452" i="1" s="1"/>
  <c r="A1165" i="17" s="1"/>
  <c r="A1399" i="1"/>
  <c r="C1399" i="1" s="1"/>
  <c r="A1174" i="17" s="1"/>
  <c r="A1581" i="1"/>
  <c r="C1581" i="1" s="1"/>
  <c r="A1175" i="17" s="1"/>
  <c r="A1531" i="1"/>
  <c r="C1531" i="1" s="1"/>
  <c r="A1183" i="17" s="1"/>
  <c r="A1560" i="1"/>
  <c r="C1560" i="1" s="1"/>
  <c r="A1203" i="17" s="1"/>
  <c r="A1458" i="1"/>
  <c r="C1458" i="1" s="1"/>
  <c r="A1209" i="17" s="1"/>
  <c r="A1499" i="1"/>
  <c r="C1499" i="1" s="1"/>
  <c r="A1217" i="17" s="1"/>
  <c r="A1508" i="1"/>
  <c r="C1508" i="1" s="1"/>
  <c r="A1226" i="17" s="1"/>
  <c r="A1504" i="1"/>
  <c r="C1504" i="1" s="1"/>
  <c r="A1238" i="17" s="1"/>
  <c r="A1429" i="1"/>
  <c r="C1429" i="1" s="1"/>
  <c r="A1241" i="17" s="1"/>
  <c r="A1450" i="1"/>
  <c r="C1450" i="1" s="1"/>
  <c r="A1248" i="17" s="1"/>
  <c r="A1511" i="1"/>
  <c r="C1511" i="1" s="1"/>
  <c r="A1249" i="17" s="1"/>
  <c r="A1443" i="1"/>
  <c r="C1443" i="1" s="1"/>
  <c r="A1251" i="17" s="1"/>
  <c r="A1455" i="1"/>
  <c r="C1455" i="1" s="1"/>
  <c r="A1258" i="17" s="1"/>
  <c r="A1563" i="1"/>
  <c r="C1563" i="1" s="1"/>
  <c r="A1269" i="17" s="1"/>
  <c r="A1519" i="1"/>
  <c r="C1519" i="1" s="1"/>
  <c r="A1271" i="17" s="1"/>
  <c r="A1440" i="1"/>
  <c r="C1440" i="1" s="1"/>
  <c r="A1273" i="17" s="1"/>
  <c r="A1419" i="1"/>
  <c r="C1419" i="1" s="1"/>
  <c r="A1286" i="17" s="1"/>
  <c r="A1489" i="1"/>
  <c r="C1489" i="1" s="1"/>
  <c r="A1304" i="17" s="1"/>
  <c r="A1411" i="1"/>
  <c r="C1411" i="1" s="1"/>
  <c r="A1313" i="17" s="1"/>
  <c r="A1486" i="1"/>
  <c r="C1486" i="1" s="1"/>
  <c r="A1318" i="17" s="1"/>
  <c r="A1497" i="1"/>
  <c r="C1497" i="1" s="1"/>
  <c r="A1319" i="17" s="1"/>
  <c r="A1637" i="1"/>
  <c r="C1637" i="1" s="1"/>
  <c r="A1321" i="17" s="1"/>
  <c r="A1435" i="1"/>
  <c r="C1435" i="1" s="1"/>
  <c r="A1322" i="17" s="1"/>
  <c r="A1466" i="1"/>
  <c r="C1466" i="1" s="1"/>
  <c r="A1496" i="1"/>
  <c r="C1496" i="1" s="1"/>
  <c r="A1323" i="17" s="1"/>
  <c r="A1557" i="1"/>
  <c r="C1557" i="1" s="1"/>
  <c r="A1454" i="1"/>
  <c r="C1454" i="1" s="1"/>
  <c r="A1335" i="17" s="1"/>
  <c r="A1541" i="1"/>
  <c r="C1541" i="1" s="1"/>
  <c r="A1340" i="17" s="1"/>
  <c r="A1402" i="1"/>
  <c r="C1402" i="1" s="1"/>
  <c r="A1344" i="17" s="1"/>
  <c r="A1500" i="1"/>
  <c r="C1500" i="1" s="1"/>
  <c r="A1172" i="1"/>
  <c r="C1172" i="1" s="1"/>
  <c r="A1349" i="17" s="1"/>
  <c r="A1434" i="1"/>
  <c r="C1434" i="1" s="1"/>
  <c r="A1474" i="1"/>
  <c r="C1474" i="1" s="1"/>
  <c r="A1547" i="1"/>
  <c r="C1547" i="1" s="1"/>
  <c r="A1570" i="1"/>
  <c r="C1570" i="1" s="1"/>
  <c r="A1357" i="17" s="1"/>
  <c r="A1587" i="1"/>
  <c r="C1587" i="1" s="1"/>
  <c r="A1358" i="17" s="1"/>
  <c r="A1636" i="1"/>
  <c r="C1636" i="1" s="1"/>
  <c r="A1364" i="17" s="1"/>
  <c r="A1431" i="1"/>
  <c r="C1431" i="1" s="1"/>
  <c r="A1430" i="1"/>
  <c r="C1430" i="1" s="1"/>
  <c r="A1473" i="1"/>
  <c r="C1473" i="1" s="1"/>
  <c r="A1523" i="1"/>
  <c r="C1523" i="1" s="1"/>
  <c r="A1544" i="1"/>
  <c r="C1544" i="1" s="1"/>
  <c r="A1380" i="17" s="1"/>
  <c r="A1520" i="1"/>
  <c r="C1520" i="1" s="1"/>
  <c r="A1386" i="17" s="1"/>
  <c r="A1494" i="1"/>
  <c r="C1494" i="1" s="1"/>
  <c r="A1395" i="17" s="1"/>
  <c r="A1534" i="1"/>
  <c r="C1534" i="1" s="1"/>
  <c r="A1475" i="1"/>
  <c r="C1475" i="1" s="1"/>
  <c r="A1400" i="17" s="1"/>
  <c r="A1495" i="1"/>
  <c r="C1495" i="1" s="1"/>
  <c r="A1402" i="17" s="1"/>
  <c r="A1525" i="1"/>
  <c r="C1525" i="1" s="1"/>
  <c r="A1406" i="17" s="1"/>
  <c r="A1513" i="1"/>
  <c r="C1513" i="1" s="1"/>
  <c r="A1524" i="1"/>
  <c r="C1524" i="1" s="1"/>
  <c r="A1588" i="1"/>
  <c r="C1588" i="1" s="1"/>
  <c r="A1425" i="1"/>
  <c r="C1425" i="1" s="1"/>
  <c r="A1432" i="17" s="1"/>
  <c r="A1540" i="1"/>
  <c r="C1540" i="1" s="1"/>
  <c r="A1453" i="1"/>
  <c r="C1453" i="1" s="1"/>
  <c r="A1191" i="1"/>
  <c r="C1191" i="1" s="1"/>
  <c r="A1761" i="17" s="1"/>
  <c r="A1169" i="1"/>
  <c r="C1169" i="1" s="1"/>
  <c r="A1775" i="17" s="1"/>
  <c r="A1476" i="1"/>
  <c r="C1476" i="1" s="1"/>
  <c r="A1787" i="17" s="1"/>
  <c r="A1427" i="1"/>
  <c r="C1427" i="1" s="1"/>
  <c r="A1795" i="17" s="1"/>
  <c r="A1478" i="1"/>
  <c r="C1478" i="1" s="1"/>
  <c r="A1796" i="17" s="1"/>
  <c r="A1505" i="1"/>
  <c r="C1505" i="1" s="1"/>
  <c r="A1797" i="17" s="1"/>
  <c r="A1535" i="1"/>
  <c r="C1535" i="1" s="1"/>
  <c r="A1798" i="17" s="1"/>
  <c r="A1530" i="1"/>
  <c r="C1530" i="1" s="1"/>
  <c r="A1799" i="17" s="1"/>
  <c r="A1621" i="1"/>
  <c r="C1621" i="1" s="1"/>
  <c r="A1622" i="1"/>
  <c r="C1622" i="1" s="1"/>
  <c r="A1623" i="1"/>
  <c r="C1623" i="1" s="1"/>
  <c r="A1626" i="1"/>
  <c r="C1626" i="1" s="1"/>
  <c r="A1604" i="1"/>
  <c r="C1604" i="1" s="1"/>
  <c r="A1605" i="1"/>
  <c r="C1605" i="1" s="1"/>
  <c r="A1629" i="1"/>
  <c r="C1629" i="1" s="1"/>
  <c r="A1630" i="1"/>
  <c r="C1630" i="1" s="1"/>
  <c r="A1640" i="1"/>
  <c r="C1640" i="1" s="1"/>
  <c r="A1624" i="1"/>
  <c r="C1624" i="1" s="1"/>
  <c r="A1631" i="1"/>
  <c r="C1631" i="1" s="1"/>
  <c r="A1606" i="1"/>
  <c r="C1606" i="1" s="1"/>
  <c r="A1607" i="1"/>
  <c r="C1607" i="1" s="1"/>
  <c r="A1608" i="1"/>
  <c r="C1608" i="1" s="1"/>
  <c r="A1609" i="1"/>
  <c r="C1609" i="1" s="1"/>
  <c r="A1610" i="1"/>
  <c r="C1610" i="1" s="1"/>
  <c r="A1642" i="1"/>
  <c r="C1642" i="1" s="1"/>
  <c r="A1611" i="1"/>
  <c r="C1611" i="1" s="1"/>
  <c r="A1612" i="1"/>
  <c r="C1612" i="1" s="1"/>
  <c r="A1613" i="1"/>
  <c r="C1613" i="1" s="1"/>
  <c r="A1614" i="1"/>
  <c r="C1614" i="1" s="1"/>
  <c r="A1615" i="1"/>
  <c r="C1615" i="1" s="1"/>
  <c r="A1632" i="1"/>
  <c r="C1632" i="1" s="1"/>
  <c r="A1616" i="1"/>
  <c r="C1616" i="1" s="1"/>
  <c r="A1633" i="1"/>
  <c r="C1633" i="1" s="1"/>
  <c r="A1634" i="1"/>
  <c r="C1634" i="1" s="1"/>
  <c r="A1617" i="1"/>
  <c r="C1617" i="1" s="1"/>
  <c r="A1618" i="1"/>
  <c r="C1618" i="1" s="1"/>
  <c r="A1627" i="1"/>
  <c r="C1627" i="1" s="1"/>
  <c r="A1628" i="1"/>
  <c r="C1628" i="1" s="1"/>
  <c r="A1619" i="1"/>
  <c r="C1619" i="1" s="1"/>
  <c r="A1620" i="1"/>
  <c r="C1620" i="1" s="1"/>
  <c r="A1635" i="1"/>
  <c r="C1635" i="1" s="1"/>
  <c r="A1641" i="1"/>
  <c r="C1641" i="1" s="1"/>
  <c r="A1638" i="1"/>
  <c r="C1638" i="1" s="1"/>
  <c r="A1639" i="1"/>
  <c r="C1639" i="1" s="1"/>
  <c r="A1625" i="1"/>
  <c r="C1625" i="1" s="1"/>
  <c r="A1643" i="1"/>
  <c r="C1643" i="1" s="1"/>
  <c r="Q516" i="1"/>
  <c r="P516" i="1" s="1"/>
  <c r="Q868" i="1"/>
  <c r="P868" i="1" s="1"/>
  <c r="Q1035" i="1"/>
  <c r="M1035" i="1" s="1"/>
  <c r="N1035" i="1" s="1"/>
  <c r="Q1036" i="1"/>
  <c r="M1036" i="1" s="1"/>
  <c r="Q1037" i="1"/>
  <c r="P1037" i="1" s="1"/>
  <c r="Q1038" i="1"/>
  <c r="M1038" i="1" s="1"/>
  <c r="Q1039" i="1"/>
  <c r="P1039" i="1" s="1"/>
  <c r="Q1040" i="1"/>
  <c r="M1040" i="1" s="1"/>
  <c r="N1040" i="1" s="1"/>
  <c r="Q1041" i="1"/>
  <c r="M1041" i="1" s="1"/>
  <c r="Q1042" i="1"/>
  <c r="M1042" i="1" s="1"/>
  <c r="Q1043" i="1"/>
  <c r="P1043" i="1" s="1"/>
  <c r="Q1044" i="1"/>
  <c r="M1044" i="1" s="1"/>
  <c r="Q1045" i="1"/>
  <c r="P1045" i="1" s="1"/>
  <c r="Q1046" i="1"/>
  <c r="M1046" i="1" s="1"/>
  <c r="O1046" i="1" s="1"/>
  <c r="Q1047" i="1"/>
  <c r="M1047" i="1" s="1"/>
  <c r="Q1048" i="1"/>
  <c r="M1048" i="1" s="1"/>
  <c r="Q1049" i="1"/>
  <c r="P1049" i="1" s="1"/>
  <c r="Q1050" i="1"/>
  <c r="M1050" i="1" s="1"/>
  <c r="Q1051" i="1"/>
  <c r="P1051" i="1" s="1"/>
  <c r="Q1052" i="1"/>
  <c r="M1052" i="1" s="1"/>
  <c r="N1052" i="1" s="1"/>
  <c r="Q1053" i="1"/>
  <c r="M1053" i="1" s="1"/>
  <c r="Q1054" i="1"/>
  <c r="M1054" i="1" s="1"/>
  <c r="Q1055" i="1"/>
  <c r="P1055" i="1" s="1"/>
  <c r="P1056" i="1"/>
  <c r="Q1056" i="1"/>
  <c r="M1056" i="1" s="1"/>
  <c r="Q1057" i="1"/>
  <c r="P1057" i="1" s="1"/>
  <c r="Q1058" i="1"/>
  <c r="M1058" i="1" s="1"/>
  <c r="N1058" i="1" s="1"/>
  <c r="Q1059" i="1"/>
  <c r="P1059" i="1" s="1"/>
  <c r="Q1060" i="1"/>
  <c r="M1060" i="1" s="1"/>
  <c r="Q1061" i="1"/>
  <c r="P1061" i="1" s="1"/>
  <c r="Q1062" i="1"/>
  <c r="M1062" i="1" s="1"/>
  <c r="Q1063" i="1"/>
  <c r="P1063" i="1" s="1"/>
  <c r="Q1064" i="1"/>
  <c r="M1064" i="1" s="1"/>
  <c r="Q1065" i="1"/>
  <c r="M1065" i="1" s="1"/>
  <c r="Q1066" i="1"/>
  <c r="M1066" i="1" s="1"/>
  <c r="O1066" i="1" s="1"/>
  <c r="Q1067" i="1"/>
  <c r="P1067" i="1" s="1"/>
  <c r="Q1068" i="1"/>
  <c r="M1068" i="1" s="1"/>
  <c r="Q1069" i="1"/>
  <c r="P1069" i="1" s="1"/>
  <c r="Q1070" i="1"/>
  <c r="M1070" i="1" s="1"/>
  <c r="Q1071" i="1"/>
  <c r="M1071" i="1" s="1"/>
  <c r="Q1072" i="1"/>
  <c r="M1072" i="1" s="1"/>
  <c r="Q1080" i="1"/>
  <c r="P1080" i="1" s="1"/>
  <c r="Q1081" i="1"/>
  <c r="P1081" i="1" s="1"/>
  <c r="Q1082" i="1"/>
  <c r="Q1083" i="1"/>
  <c r="M1083" i="1" s="1"/>
  <c r="Q1084" i="1"/>
  <c r="M1084" i="1" s="1"/>
  <c r="Q1085" i="1"/>
  <c r="M1085" i="1" s="1"/>
  <c r="O1085" i="1" s="1"/>
  <c r="Q1086" i="1"/>
  <c r="P1086" i="1" s="1"/>
  <c r="Q1087" i="1"/>
  <c r="P1087" i="1" s="1"/>
  <c r="Q1088" i="1"/>
  <c r="Q1089" i="1"/>
  <c r="M1089" i="1" s="1"/>
  <c r="O1089" i="1" s="1"/>
  <c r="Q1090" i="1"/>
  <c r="P1090" i="1" s="1"/>
  <c r="Q1091" i="1"/>
  <c r="Q1092" i="1"/>
  <c r="P1092" i="1" s="1"/>
  <c r="Q1093" i="1"/>
  <c r="P1093" i="1" s="1"/>
  <c r="Q1094" i="1"/>
  <c r="P1094" i="1" s="1"/>
  <c r="Q1095" i="1"/>
  <c r="Q1096" i="1"/>
  <c r="M1096" i="1" s="1"/>
  <c r="Q1097" i="1"/>
  <c r="Q1098" i="1"/>
  <c r="Q1099" i="1"/>
  <c r="Q1100" i="1"/>
  <c r="P1100" i="1" s="1"/>
  <c r="Q1101" i="1"/>
  <c r="Q1102" i="1"/>
  <c r="M1102" i="1" s="1"/>
  <c r="Q1103" i="1"/>
  <c r="Q1104" i="1"/>
  <c r="P1104" i="1" s="1"/>
  <c r="Q1106" i="1"/>
  <c r="P1106" i="1" s="1"/>
  <c r="Q1107" i="1"/>
  <c r="P1107" i="1" s="1"/>
  <c r="Q1108" i="1"/>
  <c r="Q1109" i="1"/>
  <c r="P1109" i="1" s="1"/>
  <c r="Q1110" i="1"/>
  <c r="Q1111" i="1"/>
  <c r="Q1112" i="1"/>
  <c r="M1112" i="1" s="1"/>
  <c r="Q1113" i="1"/>
  <c r="P1113" i="1" s="1"/>
  <c r="Q1114" i="1"/>
  <c r="M1114" i="1" s="1"/>
  <c r="N1114" i="1" s="1"/>
  <c r="Q1115" i="1"/>
  <c r="Q1116" i="1"/>
  <c r="M1116" i="1" s="1"/>
  <c r="Q1117" i="1"/>
  <c r="P1117" i="1" s="1"/>
  <c r="Q1118" i="1"/>
  <c r="Q1119" i="1"/>
  <c r="M1119" i="1" s="1"/>
  <c r="Q1120" i="1"/>
  <c r="M1120" i="1" s="1"/>
  <c r="Q1121" i="1"/>
  <c r="M1121" i="1" s="1"/>
  <c r="Q1122" i="1"/>
  <c r="P1122" i="1" s="1"/>
  <c r="Q1126" i="1"/>
  <c r="Q1124" i="1"/>
  <c r="Q1123" i="1"/>
  <c r="M1123" i="1" s="1"/>
  <c r="Q1125" i="1"/>
  <c r="Q1127" i="1"/>
  <c r="M1127" i="1" s="1"/>
  <c r="Q1128" i="1"/>
  <c r="M1128" i="1" s="1"/>
  <c r="Q1129" i="1"/>
  <c r="Q1130" i="1"/>
  <c r="P1130" i="1" s="1"/>
  <c r="Q1131" i="1"/>
  <c r="P1131" i="1" s="1"/>
  <c r="Q1132" i="1"/>
  <c r="Q1133" i="1"/>
  <c r="Q1134" i="1"/>
  <c r="Q1135" i="1"/>
  <c r="Q1136" i="1"/>
  <c r="Q1137" i="1"/>
  <c r="Q1138" i="1"/>
  <c r="Q1139" i="1"/>
  <c r="Q1141" i="1"/>
  <c r="Q1140" i="1"/>
  <c r="Q1143" i="1"/>
  <c r="P1143" i="1" s="1"/>
  <c r="Q1142" i="1"/>
  <c r="Q1144" i="1"/>
  <c r="Q1145" i="1"/>
  <c r="M1145" i="1" s="1"/>
  <c r="Q1146" i="1"/>
  <c r="M1146" i="1" s="1"/>
  <c r="Q1147" i="1"/>
  <c r="Q1148" i="1"/>
  <c r="M1148" i="1" s="1"/>
  <c r="Q1149" i="1"/>
  <c r="Q1152" i="1"/>
  <c r="Q1153" i="1"/>
  <c r="Q1150" i="1"/>
  <c r="Q1151" i="1"/>
  <c r="Q1154" i="1"/>
  <c r="M1154" i="1" s="1"/>
  <c r="Q1156" i="1"/>
  <c r="Q1155" i="1"/>
  <c r="Q1158" i="1"/>
  <c r="M1158" i="1" s="1"/>
  <c r="Q1157" i="1"/>
  <c r="M1157" i="1" s="1"/>
  <c r="Q1160" i="1"/>
  <c r="Q1159" i="1"/>
  <c r="P1159" i="1" s="1"/>
  <c r="Q1162" i="1"/>
  <c r="Q1161" i="1"/>
  <c r="Q1163" i="1"/>
  <c r="Q1164" i="1"/>
  <c r="M1164" i="1" s="1"/>
  <c r="N1164" i="1" s="1"/>
  <c r="Q1165" i="1"/>
  <c r="Q1166" i="1"/>
  <c r="Q1167" i="1"/>
  <c r="M1167" i="1" s="1"/>
  <c r="Q1168" i="1"/>
  <c r="Q1170" i="1"/>
  <c r="Q1171" i="1"/>
  <c r="Q1173" i="1"/>
  <c r="Q1174" i="1"/>
  <c r="P1174" i="1" s="1"/>
  <c r="Q1175" i="1"/>
  <c r="P1175" i="1" s="1"/>
  <c r="Q1176" i="1"/>
  <c r="M1176" i="1" s="1"/>
  <c r="Q1177" i="1"/>
  <c r="P1177" i="1" s="1"/>
  <c r="Q1178" i="1"/>
  <c r="Q1179" i="1"/>
  <c r="P1179" i="1" s="1"/>
  <c r="Q1180" i="1"/>
  <c r="M1180" i="1" s="1"/>
  <c r="Q1181" i="1"/>
  <c r="P1181" i="1" s="1"/>
  <c r="Q1182" i="1"/>
  <c r="M1182" i="1" s="1"/>
  <c r="N1182" i="1" s="1"/>
  <c r="Q1183" i="1"/>
  <c r="P1183" i="1" s="1"/>
  <c r="Q1184" i="1"/>
  <c r="Q1185" i="1"/>
  <c r="Q1186" i="1"/>
  <c r="P1186" i="1" s="1"/>
  <c r="Q1187" i="1"/>
  <c r="Q1188" i="1"/>
  <c r="M1188" i="1" s="1"/>
  <c r="Q1189" i="1"/>
  <c r="Q1190" i="1"/>
  <c r="Q1192" i="1"/>
  <c r="Q1194" i="1"/>
  <c r="P1194" i="1" s="1"/>
  <c r="Q1195" i="1"/>
  <c r="P1195" i="1" s="1"/>
  <c r="Q1193" i="1"/>
  <c r="P1193" i="1" s="1"/>
  <c r="Q1196" i="1"/>
  <c r="M1196" i="1" s="1"/>
  <c r="Q1197" i="1"/>
  <c r="Q1198" i="1"/>
  <c r="Q1199" i="1"/>
  <c r="Q1200" i="1"/>
  <c r="Q1201" i="1"/>
  <c r="M1201" i="1" s="1"/>
  <c r="Q1203" i="1"/>
  <c r="Q1202" i="1"/>
  <c r="Q1204" i="1"/>
  <c r="Q1207" i="1"/>
  <c r="Q1206" i="1"/>
  <c r="Q1205" i="1"/>
  <c r="P1205" i="1" s="1"/>
  <c r="Q1210" i="1"/>
  <c r="Q1208" i="1"/>
  <c r="M1208" i="1" s="1"/>
  <c r="Q1209" i="1"/>
  <c r="Q1211" i="1"/>
  <c r="Q1212" i="1"/>
  <c r="M1212" i="1" s="1"/>
  <c r="N1212" i="1" s="1"/>
  <c r="Q1213" i="1"/>
  <c r="Q1214" i="1"/>
  <c r="Q1216" i="1"/>
  <c r="P1216" i="1" s="1"/>
  <c r="Q1215" i="1"/>
  <c r="M1215" i="1" s="1"/>
  <c r="Q1217" i="1"/>
  <c r="M1217" i="1" s="1"/>
  <c r="Q1218" i="1"/>
  <c r="M1218" i="1" s="1"/>
  <c r="N1218" i="1" s="1"/>
  <c r="Q1219" i="1"/>
  <c r="Q1220" i="1"/>
  <c r="M1220" i="1" s="1"/>
  <c r="Q1221" i="1"/>
  <c r="Q1222" i="1"/>
  <c r="Q1223" i="1"/>
  <c r="Q1224" i="1"/>
  <c r="Q1225" i="1"/>
  <c r="M1225" i="1" s="1"/>
  <c r="Q1226" i="1"/>
  <c r="Q1227" i="1"/>
  <c r="Q1228" i="1"/>
  <c r="M1228" i="1" s="1"/>
  <c r="Q1230" i="1"/>
  <c r="Q1229" i="1"/>
  <c r="Q1232" i="1"/>
  <c r="M1232" i="1" s="1"/>
  <c r="Q1233" i="1"/>
  <c r="P1233" i="1" s="1"/>
  <c r="Q1231" i="1"/>
  <c r="Q1234" i="1"/>
  <c r="P1234" i="1" s="1"/>
  <c r="Q1235" i="1"/>
  <c r="Q1236" i="1"/>
  <c r="P1236" i="1" s="1"/>
  <c r="Q1238" i="1"/>
  <c r="Q1237" i="1"/>
  <c r="P1237" i="1" s="1"/>
  <c r="Q1239" i="1"/>
  <c r="M1239" i="1" s="1"/>
  <c r="N1239" i="1" s="1"/>
  <c r="Q1240" i="1"/>
  <c r="Q1241" i="1"/>
  <c r="Q1242" i="1"/>
  <c r="Q1243" i="1"/>
  <c r="Q1244" i="1"/>
  <c r="Q1245" i="1"/>
  <c r="Q1246" i="1"/>
  <c r="M1246" i="1" s="1"/>
  <c r="Q1247" i="1"/>
  <c r="M1247" i="1" s="1"/>
  <c r="Q1248" i="1"/>
  <c r="Q1250" i="1"/>
  <c r="Q1249" i="1"/>
  <c r="M1249" i="1" s="1"/>
  <c r="Q1252" i="1"/>
  <c r="Q1251" i="1"/>
  <c r="Q1253" i="1"/>
  <c r="P1253" i="1" s="1"/>
  <c r="Q1254" i="1"/>
  <c r="Q1255" i="1"/>
  <c r="P1255" i="1" s="1"/>
  <c r="Q1256" i="1"/>
  <c r="P1256" i="1" s="1"/>
  <c r="Q1257" i="1"/>
  <c r="M1257" i="1" s="1"/>
  <c r="Q1258" i="1"/>
  <c r="M1258" i="1" s="1"/>
  <c r="Q1259" i="1"/>
  <c r="Q1260" i="1"/>
  <c r="Q1262" i="1"/>
  <c r="P1262" i="1" s="1"/>
  <c r="Q1261" i="1"/>
  <c r="Q1263" i="1"/>
  <c r="Q1265" i="1"/>
  <c r="Q1264" i="1"/>
  <c r="M1264" i="1" s="1"/>
  <c r="Q1266" i="1"/>
  <c r="P1266" i="1" s="1"/>
  <c r="Q1267" i="1"/>
  <c r="Q1268" i="1"/>
  <c r="P1268" i="1" s="1"/>
  <c r="Q1269" i="1"/>
  <c r="Q1270" i="1"/>
  <c r="P1270" i="1" s="1"/>
  <c r="Q1271" i="1"/>
  <c r="Q1274" i="1"/>
  <c r="M1274" i="1" s="1"/>
  <c r="Q1275" i="1"/>
  <c r="P1275" i="1" s="1"/>
  <c r="Q1273" i="1"/>
  <c r="Q1272" i="1"/>
  <c r="P1272" i="1" s="1"/>
  <c r="Q1276" i="1"/>
  <c r="M1276" i="1" s="1"/>
  <c r="Q1277" i="1"/>
  <c r="Q1278" i="1"/>
  <c r="Q1279" i="1"/>
  <c r="P1279" i="1" s="1"/>
  <c r="Q1281" i="1"/>
  <c r="P1281" i="1" s="1"/>
  <c r="Q1280" i="1"/>
  <c r="M1280" i="1" s="1"/>
  <c r="Q1282" i="1"/>
  <c r="P1282" i="1" s="1"/>
  <c r="Q1283" i="1"/>
  <c r="P1283" i="1" s="1"/>
  <c r="Q1284" i="1"/>
  <c r="M1284" i="1" s="1"/>
  <c r="Q1285" i="1"/>
  <c r="P1285" i="1" s="1"/>
  <c r="Q1286" i="1"/>
  <c r="M1286" i="1" s="1"/>
  <c r="N1286" i="1" s="1"/>
  <c r="Q1287" i="1"/>
  <c r="P1287" i="1" s="1"/>
  <c r="Q1288" i="1"/>
  <c r="Q1289" i="1"/>
  <c r="M1289" i="1" s="1"/>
  <c r="Q1291" i="1"/>
  <c r="Q1290" i="1"/>
  <c r="Q1292" i="1"/>
  <c r="M1292" i="1" s="1"/>
  <c r="N1292" i="1" s="1"/>
  <c r="Q1293" i="1"/>
  <c r="M1293" i="1" s="1"/>
  <c r="O1293" i="1" s="1"/>
  <c r="Q1294" i="1"/>
  <c r="P1294" i="1" s="1"/>
  <c r="Q1296" i="1"/>
  <c r="Q1295" i="1"/>
  <c r="M1295" i="1" s="1"/>
  <c r="Q1297" i="1"/>
  <c r="M1297" i="1" s="1"/>
  <c r="N1297" i="1" s="1"/>
  <c r="Q1298" i="1"/>
  <c r="P1298" i="1" s="1"/>
  <c r="Q1299" i="1"/>
  <c r="Q1300" i="1"/>
  <c r="Q1301" i="1"/>
  <c r="P1301" i="1" s="1"/>
  <c r="Q1302" i="1"/>
  <c r="Q1303" i="1"/>
  <c r="Q1304" i="1"/>
  <c r="M1304" i="1" s="1"/>
  <c r="N1304" i="1" s="1"/>
  <c r="Q1305" i="1"/>
  <c r="Q1306" i="1"/>
  <c r="Q1307" i="1"/>
  <c r="M1307" i="1" s="1"/>
  <c r="Q1308" i="1"/>
  <c r="Q1309" i="1"/>
  <c r="Q1310" i="1"/>
  <c r="M1310" i="1" s="1"/>
  <c r="Q1311" i="1"/>
  <c r="M1311" i="1" s="1"/>
  <c r="Q1313" i="1"/>
  <c r="Q1312" i="1"/>
  <c r="M1312" i="1" s="1"/>
  <c r="N1312" i="1" s="1"/>
  <c r="Q1315" i="1"/>
  <c r="Q1314" i="1"/>
  <c r="M1314" i="1" s="1"/>
  <c r="Q1316" i="1"/>
  <c r="Q1317" i="1"/>
  <c r="M1317" i="1" s="1"/>
  <c r="Q1318" i="1"/>
  <c r="Q1319" i="1"/>
  <c r="M1319" i="1" s="1"/>
  <c r="Q1320" i="1"/>
  <c r="M1320" i="1" s="1"/>
  <c r="N1320" i="1" s="1"/>
  <c r="Q1321" i="1"/>
  <c r="P1321" i="1" s="1"/>
  <c r="Q1325" i="1"/>
  <c r="Q1322" i="1"/>
  <c r="P1322" i="1" s="1"/>
  <c r="Q1324" i="1"/>
  <c r="P1324" i="1" s="1"/>
  <c r="Q1323" i="1"/>
  <c r="M1323" i="1" s="1"/>
  <c r="Q1326" i="1"/>
  <c r="M1326" i="1" s="1"/>
  <c r="Q1328" i="1"/>
  <c r="P1328" i="1" s="1"/>
  <c r="Q1327" i="1"/>
  <c r="Q1329" i="1"/>
  <c r="M1329" i="1" s="1"/>
  <c r="N1329" i="1" s="1"/>
  <c r="Q1330" i="1"/>
  <c r="Q1331" i="1"/>
  <c r="Q1332" i="1"/>
  <c r="P1332" i="1" s="1"/>
  <c r="Q1334" i="1"/>
  <c r="M1334" i="1" s="1"/>
  <c r="Q1333" i="1"/>
  <c r="Q1335" i="1"/>
  <c r="Q1336" i="1"/>
  <c r="M1336" i="1" s="1"/>
  <c r="Q1337" i="1"/>
  <c r="Q1338" i="1"/>
  <c r="Q1340" i="1"/>
  <c r="Q1339" i="1"/>
  <c r="Q1342" i="1"/>
  <c r="Q1341" i="1"/>
  <c r="M1341" i="1" s="1"/>
  <c r="Q1343" i="1"/>
  <c r="P1343" i="1" s="1"/>
  <c r="Q1344" i="1"/>
  <c r="P1344" i="1" s="1"/>
  <c r="Q1345" i="1"/>
  <c r="Q1346" i="1"/>
  <c r="M1346" i="1" s="1"/>
  <c r="N1346" i="1" s="1"/>
  <c r="Q1347" i="1"/>
  <c r="P1347" i="1" s="1"/>
  <c r="Q1348" i="1"/>
  <c r="Q1349" i="1"/>
  <c r="Q1352" i="1"/>
  <c r="Q1350" i="1"/>
  <c r="Q1351" i="1"/>
  <c r="P1351" i="1" s="1"/>
  <c r="Q1353" i="1"/>
  <c r="Q1354" i="1"/>
  <c r="P1354" i="1" s="1"/>
  <c r="Q1355" i="1"/>
  <c r="Q1356" i="1"/>
  <c r="Q1357" i="1"/>
  <c r="Q1358" i="1"/>
  <c r="Q1359" i="1"/>
  <c r="P1359" i="1" s="1"/>
  <c r="Q1360" i="1"/>
  <c r="Q1361" i="1"/>
  <c r="Q1362" i="1"/>
  <c r="Q1363" i="1"/>
  <c r="P1363" i="1" s="1"/>
  <c r="Q1364" i="1"/>
  <c r="P1364" i="1" s="1"/>
  <c r="Q1365" i="1"/>
  <c r="M1365" i="1" s="1"/>
  <c r="Q1366" i="1"/>
  <c r="M1366" i="1" s="1"/>
  <c r="Q1367" i="1"/>
  <c r="Q1368" i="1"/>
  <c r="Q1369" i="1"/>
  <c r="Q1374" i="1"/>
  <c r="P1374" i="1" s="1"/>
  <c r="Q1370" i="1"/>
  <c r="M1370" i="1" s="1"/>
  <c r="Q1371" i="1"/>
  <c r="Q1373" i="1"/>
  <c r="P1373" i="1" s="1"/>
  <c r="Q1372" i="1"/>
  <c r="Q1375" i="1"/>
  <c r="P1375" i="1" s="1"/>
  <c r="Q1376" i="1"/>
  <c r="P1376" i="1" s="1"/>
  <c r="Q1377" i="1"/>
  <c r="M1377" i="1" s="1"/>
  <c r="Q1379" i="1"/>
  <c r="Q1378" i="1"/>
  <c r="P1378" i="1" s="1"/>
  <c r="Q1381" i="1"/>
  <c r="P1381" i="1" s="1"/>
  <c r="Q1380" i="1"/>
  <c r="P1380" i="1" s="1"/>
  <c r="Q1382" i="1"/>
  <c r="Q1383" i="1"/>
  <c r="M1383" i="1" s="1"/>
  <c r="Q1385" i="1"/>
  <c r="Q1384" i="1"/>
  <c r="P1384" i="1" s="1"/>
  <c r="Q1386" i="1"/>
  <c r="Q1387" i="1"/>
  <c r="Q1388" i="1"/>
  <c r="P1388" i="1" s="1"/>
  <c r="Q1389" i="1"/>
  <c r="M1389" i="1" s="1"/>
  <c r="Q1390" i="1"/>
  <c r="Q1391" i="1"/>
  <c r="Q1392" i="1"/>
  <c r="A516" i="1"/>
  <c r="C516" i="1" s="1"/>
  <c r="A868" i="1"/>
  <c r="C868" i="1" s="1"/>
  <c r="A1035" i="1"/>
  <c r="C1035" i="1" s="1"/>
  <c r="A1557" i="17" s="1"/>
  <c r="A1036" i="1"/>
  <c r="C1036" i="1" s="1"/>
  <c r="A1560" i="17" s="1"/>
  <c r="A1037" i="1"/>
  <c r="C1037" i="1" s="1"/>
  <c r="A1561" i="17" s="1"/>
  <c r="A1038" i="1"/>
  <c r="C1038" i="1" s="1"/>
  <c r="A1562" i="17" s="1"/>
  <c r="A1039" i="1"/>
  <c r="C1039" i="1" s="1"/>
  <c r="A1564" i="17" s="1"/>
  <c r="A1040" i="1"/>
  <c r="C1040" i="1" s="1"/>
  <c r="A1565" i="17" s="1"/>
  <c r="A1041" i="1"/>
  <c r="C1041" i="1" s="1"/>
  <c r="A1566" i="17" s="1"/>
  <c r="A1042" i="1"/>
  <c r="C1042" i="1" s="1"/>
  <c r="A1568" i="17" s="1"/>
  <c r="A1043" i="1"/>
  <c r="C1043" i="1" s="1"/>
  <c r="A1569" i="17" s="1"/>
  <c r="A1044" i="1"/>
  <c r="C1044" i="1" s="1"/>
  <c r="A1570" i="17" s="1"/>
  <c r="A1045" i="1"/>
  <c r="C1045" i="1" s="1"/>
  <c r="A1571" i="17" s="1"/>
  <c r="A1046" i="1"/>
  <c r="C1046" i="1" s="1"/>
  <c r="A1572" i="17" s="1"/>
  <c r="A1047" i="1"/>
  <c r="C1047" i="1" s="1"/>
  <c r="A1574" i="17" s="1"/>
  <c r="A1048" i="1"/>
  <c r="C1048" i="1" s="1"/>
  <c r="A1575" i="17" s="1"/>
  <c r="A1049" i="1"/>
  <c r="C1049" i="1" s="1"/>
  <c r="A1576" i="17" s="1"/>
  <c r="A1050" i="1"/>
  <c r="C1050" i="1" s="1"/>
  <c r="A1579" i="17" s="1"/>
  <c r="A1051" i="1"/>
  <c r="C1051" i="1" s="1"/>
  <c r="A1581" i="17" s="1"/>
  <c r="A1052" i="1"/>
  <c r="C1052" i="1" s="1"/>
  <c r="A1585" i="17" s="1"/>
  <c r="A1053" i="1"/>
  <c r="C1053" i="1" s="1"/>
  <c r="A1586" i="17" s="1"/>
  <c r="A1054" i="1"/>
  <c r="C1054" i="1" s="1"/>
  <c r="A1587" i="17" s="1"/>
  <c r="A1055" i="1"/>
  <c r="C1055" i="1" s="1"/>
  <c r="A1614" i="17" s="1"/>
  <c r="A1056" i="1"/>
  <c r="C1056" i="1" s="1"/>
  <c r="A1655" i="17" s="1"/>
  <c r="A1057" i="1"/>
  <c r="C1057" i="1" s="1"/>
  <c r="A1656" i="17" s="1"/>
  <c r="A1058" i="1"/>
  <c r="C1058" i="1" s="1"/>
  <c r="A1663" i="17" s="1"/>
  <c r="A1059" i="1"/>
  <c r="C1059" i="1" s="1"/>
  <c r="A1688" i="17" s="1"/>
  <c r="A1060" i="1"/>
  <c r="C1060" i="1" s="1"/>
  <c r="A1697" i="17" s="1"/>
  <c r="A1061" i="1"/>
  <c r="C1061" i="1" s="1"/>
  <c r="A1707" i="17" s="1"/>
  <c r="A1062" i="1"/>
  <c r="C1062" i="1" s="1"/>
  <c r="A1712" i="17" s="1"/>
  <c r="A1063" i="1"/>
  <c r="C1063" i="1" s="1"/>
  <c r="A1717" i="17" s="1"/>
  <c r="A1064" i="1"/>
  <c r="C1064" i="1" s="1"/>
  <c r="A1720" i="17" s="1"/>
  <c r="A1065" i="1"/>
  <c r="C1065" i="1" s="1"/>
  <c r="A1724" i="17" s="1"/>
  <c r="A1066" i="1"/>
  <c r="C1066" i="1" s="1"/>
  <c r="A1729" i="17" s="1"/>
  <c r="A1067" i="1"/>
  <c r="C1067" i="1" s="1"/>
  <c r="A1747" i="17" s="1"/>
  <c r="A1068" i="1"/>
  <c r="C1068" i="1" s="1"/>
  <c r="A1532" i="17" s="1"/>
  <c r="A1069" i="1"/>
  <c r="C1069" i="1" s="1"/>
  <c r="A1551" i="17" s="1"/>
  <c r="A1070" i="1"/>
  <c r="C1070" i="1" s="1"/>
  <c r="A1552" i="17" s="1"/>
  <c r="A1071" i="1"/>
  <c r="C1071" i="1" s="1"/>
  <c r="A1558" i="17" s="1"/>
  <c r="A1072" i="1"/>
  <c r="C1072" i="1" s="1"/>
  <c r="A1599" i="17" s="1"/>
  <c r="A1080" i="1"/>
  <c r="C1080" i="1" s="1"/>
  <c r="A1665" i="17" s="1"/>
  <c r="A1081" i="1"/>
  <c r="C1081" i="1" s="1"/>
  <c r="A1666" i="17" s="1"/>
  <c r="A1082" i="1"/>
  <c r="C1082" i="1" s="1"/>
  <c r="A1668" i="17" s="1"/>
  <c r="A1083" i="1"/>
  <c r="C1083" i="1" s="1"/>
  <c r="A1670" i="17" s="1"/>
  <c r="A1084" i="1"/>
  <c r="C1084" i="1" s="1"/>
  <c r="A1673" i="17" s="1"/>
  <c r="A1085" i="1"/>
  <c r="C1085" i="1" s="1"/>
  <c r="A1086" i="1"/>
  <c r="C1086" i="1" s="1"/>
  <c r="A1087" i="1"/>
  <c r="C1087" i="1" s="1"/>
  <c r="A1088" i="1"/>
  <c r="C1088" i="1" s="1"/>
  <c r="A1089" i="1"/>
  <c r="C1089" i="1" s="1"/>
  <c r="A1090" i="1"/>
  <c r="C1090" i="1" s="1"/>
  <c r="A1091" i="1"/>
  <c r="C1091" i="1" s="1"/>
  <c r="A1738" i="17" s="1"/>
  <c r="A1092" i="1"/>
  <c r="C1092" i="1" s="1"/>
  <c r="A1744" i="17" s="1"/>
  <c r="A1093" i="1"/>
  <c r="C1093" i="1" s="1"/>
  <c r="A1753" i="17" s="1"/>
  <c r="A1094" i="1"/>
  <c r="C1094" i="1" s="1"/>
  <c r="A1754" i="17" s="1"/>
  <c r="A1095" i="1"/>
  <c r="C1095" i="1" s="1"/>
  <c r="A1755" i="17" s="1"/>
  <c r="A1096" i="1"/>
  <c r="C1096" i="1" s="1"/>
  <c r="A1757" i="17" s="1"/>
  <c r="A1097" i="1"/>
  <c r="C1097" i="1" s="1"/>
  <c r="A1573" i="17" s="1"/>
  <c r="A1098" i="1"/>
  <c r="C1098" i="1" s="1"/>
  <c r="A1589" i="17" s="1"/>
  <c r="A1099" i="1"/>
  <c r="C1099" i="1" s="1"/>
  <c r="A1593" i="17" s="1"/>
  <c r="A1100" i="1"/>
  <c r="C1100" i="1" s="1"/>
  <c r="A1619" i="17" s="1"/>
  <c r="A1101" i="1"/>
  <c r="C1101" i="1" s="1"/>
  <c r="A1626" i="17" s="1"/>
  <c r="A1102" i="1"/>
  <c r="C1102" i="1" s="1"/>
  <c r="A1647" i="17" s="1"/>
  <c r="A1103" i="1"/>
  <c r="C1103" i="1" s="1"/>
  <c r="A1699" i="17" s="1"/>
  <c r="A1104" i="1"/>
  <c r="C1104" i="1" s="1"/>
  <c r="A1745" i="17" s="1"/>
  <c r="A1106" i="1"/>
  <c r="C1106" i="1" s="1"/>
  <c r="A1501" i="17" s="1"/>
  <c r="A1107" i="1"/>
  <c r="C1107" i="1" s="1"/>
  <c r="A1523" i="17" s="1"/>
  <c r="A1108" i="1"/>
  <c r="C1108" i="1" s="1"/>
  <c r="A1530" i="17" s="1"/>
  <c r="A1109" i="1"/>
  <c r="C1109" i="1" s="1"/>
  <c r="A1556" i="17" s="1"/>
  <c r="A1110" i="1"/>
  <c r="C1110" i="1" s="1"/>
  <c r="A1563" i="17" s="1"/>
  <c r="A1111" i="1"/>
  <c r="C1111" i="1" s="1"/>
  <c r="A1669" i="17" s="1"/>
  <c r="A1112" i="1"/>
  <c r="C1112" i="1" s="1"/>
  <c r="A1676" i="17" s="1"/>
  <c r="A1113" i="1"/>
  <c r="C1113" i="1" s="1"/>
  <c r="A1679" i="17" s="1"/>
  <c r="A1114" i="1"/>
  <c r="C1114" i="1" s="1"/>
  <c r="A1689" i="17" s="1"/>
  <c r="A1115" i="1"/>
  <c r="C1115" i="1" s="1"/>
  <c r="A1005" i="17" s="1"/>
  <c r="A1116" i="1"/>
  <c r="C1116" i="1" s="1"/>
  <c r="A549" i="17" s="1"/>
  <c r="A1117" i="1"/>
  <c r="C1117" i="1" s="1"/>
  <c r="A318" i="17" s="1"/>
  <c r="A1118" i="1"/>
  <c r="C1118" i="1" s="1"/>
  <c r="A210" i="17" s="1"/>
  <c r="A1119" i="1"/>
  <c r="C1119" i="1" s="1"/>
  <c r="A766" i="17" s="1"/>
  <c r="A1120" i="1"/>
  <c r="C1120" i="1" s="1"/>
  <c r="A954" i="17" s="1"/>
  <c r="A1121" i="1"/>
  <c r="C1121" i="1" s="1"/>
  <c r="A1010" i="17" s="1"/>
  <c r="A1122" i="1"/>
  <c r="C1122" i="1" s="1"/>
  <c r="A743" i="17" s="1"/>
  <c r="A1126" i="1"/>
  <c r="C1126" i="1" s="1"/>
  <c r="A1058" i="17" s="1"/>
  <c r="A1124" i="1"/>
  <c r="C1124" i="1" s="1"/>
  <c r="A463" i="17" s="1"/>
  <c r="A1123" i="1"/>
  <c r="C1123" i="1" s="1"/>
  <c r="A328" i="17" s="1"/>
  <c r="A1125" i="1"/>
  <c r="C1125" i="1" s="1"/>
  <c r="A833" i="17" s="1"/>
  <c r="A1127" i="1"/>
  <c r="C1127" i="1" s="1"/>
  <c r="A765" i="17" s="1"/>
  <c r="A1128" i="1"/>
  <c r="C1128" i="1" s="1"/>
  <c r="A279" i="17" s="1"/>
  <c r="A1129" i="1"/>
  <c r="C1129" i="1" s="1"/>
  <c r="A81" i="17" s="1"/>
  <c r="A1130" i="1"/>
  <c r="C1130" i="1" s="1"/>
  <c r="A980" i="17" s="1"/>
  <c r="A1131" i="1"/>
  <c r="C1131" i="1" s="1"/>
  <c r="A232" i="17" s="1"/>
  <c r="A1132" i="1"/>
  <c r="C1132" i="1" s="1"/>
  <c r="A744" i="17" s="1"/>
  <c r="A1133" i="1"/>
  <c r="C1133" i="1" s="1"/>
  <c r="A1278" i="17" s="1"/>
  <c r="A1134" i="1"/>
  <c r="C1134" i="1" s="1"/>
  <c r="A938" i="17" s="1"/>
  <c r="A1135" i="1"/>
  <c r="C1135" i="1" s="1"/>
  <c r="A1018" i="17" s="1"/>
  <c r="A1136" i="1"/>
  <c r="C1136" i="1" s="1"/>
  <c r="A1137" i="1"/>
  <c r="C1137" i="1" s="1"/>
  <c r="A1351" i="17" s="1"/>
  <c r="A1138" i="1"/>
  <c r="C1138" i="1" s="1"/>
  <c r="A1330" i="17" s="1"/>
  <c r="A1139" i="1"/>
  <c r="C1139" i="1" s="1"/>
  <c r="A1329" i="17" s="1"/>
  <c r="A1141" i="1"/>
  <c r="C1141" i="1" s="1"/>
  <c r="A685" i="17" s="1"/>
  <c r="A1140" i="1"/>
  <c r="C1140" i="1" s="1"/>
  <c r="A1056" i="17" s="1"/>
  <c r="A1143" i="1"/>
  <c r="C1143" i="1" s="1"/>
  <c r="A34" i="17" s="1"/>
  <c r="A1142" i="1"/>
  <c r="C1142" i="1" s="1"/>
  <c r="A1113" i="17" s="1"/>
  <c r="A1144" i="1"/>
  <c r="C1144" i="1" s="1"/>
  <c r="A105" i="17" s="1"/>
  <c r="A1145" i="1"/>
  <c r="C1145" i="1" s="1"/>
  <c r="A1104" i="17" s="1"/>
  <c r="A1146" i="1"/>
  <c r="C1146" i="1" s="1"/>
  <c r="A1372" i="17" s="1"/>
  <c r="A1147" i="1"/>
  <c r="C1147" i="1" s="1"/>
  <c r="A1182" i="17" s="1"/>
  <c r="A1148" i="1"/>
  <c r="C1148" i="1" s="1"/>
  <c r="A1333" i="17" s="1"/>
  <c r="A1149" i="1"/>
  <c r="C1149" i="1" s="1"/>
  <c r="A1152" i="1"/>
  <c r="C1152" i="1" s="1"/>
  <c r="A692" i="17" s="1"/>
  <c r="A1153" i="1"/>
  <c r="C1153" i="1" s="1"/>
  <c r="A1150" i="1"/>
  <c r="C1150" i="1" s="1"/>
  <c r="A466" i="17" s="1"/>
  <c r="A1151" i="1"/>
  <c r="C1151" i="1" s="1"/>
  <c r="A527" i="17" s="1"/>
  <c r="A1154" i="1"/>
  <c r="C1154" i="1" s="1"/>
  <c r="A1266" i="17" s="1"/>
  <c r="A1156" i="1"/>
  <c r="C1156" i="1" s="1"/>
  <c r="A26" i="17" s="1"/>
  <c r="A1155" i="1"/>
  <c r="C1155" i="1" s="1"/>
  <c r="A695" i="17" s="1"/>
  <c r="A1158" i="1"/>
  <c r="C1158" i="1" s="1"/>
  <c r="A801" i="17" s="1"/>
  <c r="A1157" i="1"/>
  <c r="C1157" i="1" s="1"/>
  <c r="A748" i="17" s="1"/>
  <c r="A1160" i="1"/>
  <c r="C1160" i="1" s="1"/>
  <c r="A446" i="17" s="1"/>
  <c r="A1159" i="1"/>
  <c r="C1159" i="1" s="1"/>
  <c r="A697" i="17" s="1"/>
  <c r="A1162" i="1"/>
  <c r="C1162" i="1" s="1"/>
  <c r="A29" i="17" s="1"/>
  <c r="A1161" i="1"/>
  <c r="C1161" i="1" s="1"/>
  <c r="A66" i="17" s="1"/>
  <c r="A1163" i="1"/>
  <c r="C1163" i="1" s="1"/>
  <c r="A228" i="17" s="1"/>
  <c r="A1164" i="1"/>
  <c r="C1164" i="1" s="1"/>
  <c r="A569" i="17" s="1"/>
  <c r="A1165" i="1"/>
  <c r="C1165" i="1" s="1"/>
  <c r="A227" i="17" s="1"/>
  <c r="A1166" i="1"/>
  <c r="C1166" i="1" s="1"/>
  <c r="A1721" i="17" s="1"/>
  <c r="A1167" i="1"/>
  <c r="C1167" i="1" s="1"/>
  <c r="A1722" i="17" s="1"/>
  <c r="A1168" i="1"/>
  <c r="C1168" i="1" s="1"/>
  <c r="A1723" i="17" s="1"/>
  <c r="A1170" i="1"/>
  <c r="C1170" i="1" s="1"/>
  <c r="A678" i="17" s="1"/>
  <c r="A1171" i="1"/>
  <c r="C1171" i="1" s="1"/>
  <c r="A1275" i="17" s="1"/>
  <c r="A1173" i="1"/>
  <c r="C1173" i="1" s="1"/>
  <c r="A74" i="17" s="1"/>
  <c r="A1174" i="1"/>
  <c r="C1174" i="1" s="1"/>
  <c r="A10" i="17" s="1"/>
  <c r="A1175" i="1"/>
  <c r="C1175" i="1" s="1"/>
  <c r="A393" i="17" s="1"/>
  <c r="A1176" i="1"/>
  <c r="C1176" i="1" s="1"/>
  <c r="A1300" i="17" s="1"/>
  <c r="A1177" i="1"/>
  <c r="C1177" i="1" s="1"/>
  <c r="A1482" i="17" s="1"/>
  <c r="A1178" i="1"/>
  <c r="C1178" i="1" s="1"/>
  <c r="A1299" i="17" s="1"/>
  <c r="A1179" i="1"/>
  <c r="C1179" i="1" s="1"/>
  <c r="A7" i="17" s="1"/>
  <c r="A1180" i="1"/>
  <c r="C1180" i="1" s="1"/>
  <c r="A1231" i="17" s="1"/>
  <c r="A1181" i="1"/>
  <c r="C1181" i="1" s="1"/>
  <c r="A1182" i="1"/>
  <c r="C1182" i="1" s="1"/>
  <c r="A646" i="17" s="1"/>
  <c r="A1183" i="1"/>
  <c r="C1183" i="1" s="1"/>
  <c r="A893" i="17" s="1"/>
  <c r="A1184" i="1"/>
  <c r="C1184" i="1" s="1"/>
  <c r="A342" i="17" s="1"/>
  <c r="A1185" i="1"/>
  <c r="C1185" i="1" s="1"/>
  <c r="A1041" i="17" s="1"/>
  <c r="A1186" i="1"/>
  <c r="C1186" i="1" s="1"/>
  <c r="A1022" i="17" s="1"/>
  <c r="A1187" i="1"/>
  <c r="C1187" i="1" s="1"/>
  <c r="A1479" i="17" s="1"/>
  <c r="A1188" i="1"/>
  <c r="C1188" i="1" s="1"/>
  <c r="A1483" i="17" s="1"/>
  <c r="A1189" i="1"/>
  <c r="C1189" i="1" s="1"/>
  <c r="A1484" i="17" s="1"/>
  <c r="A1190" i="1"/>
  <c r="C1190" i="1" s="1"/>
  <c r="A1784" i="17" s="1"/>
  <c r="A1192" i="1"/>
  <c r="C1192" i="1" s="1"/>
  <c r="A1331" i="17" s="1"/>
  <c r="A1194" i="1"/>
  <c r="C1194" i="1" s="1"/>
  <c r="A676" i="17" s="1"/>
  <c r="A1195" i="1"/>
  <c r="C1195" i="1" s="1"/>
  <c r="A679" i="17" s="1"/>
  <c r="A1193" i="1"/>
  <c r="C1193" i="1" s="1"/>
  <c r="A931" i="17" s="1"/>
  <c r="A1196" i="1"/>
  <c r="C1196" i="1" s="1"/>
  <c r="A677" i="17" s="1"/>
  <c r="A1197" i="1"/>
  <c r="C1197" i="1" s="1"/>
  <c r="A1020" i="17" s="1"/>
  <c r="A1198" i="1"/>
  <c r="C1198" i="1" s="1"/>
  <c r="A1199" i="1"/>
  <c r="C1199" i="1" s="1"/>
  <c r="A1200" i="1"/>
  <c r="C1200" i="1" s="1"/>
  <c r="A838" i="17" s="1"/>
  <c r="A1201" i="1"/>
  <c r="C1201" i="1" s="1"/>
  <c r="A192" i="17" s="1"/>
  <c r="A1203" i="1"/>
  <c r="C1203" i="1" s="1"/>
  <c r="A368" i="17" s="1"/>
  <c r="A1202" i="1"/>
  <c r="C1202" i="1" s="1"/>
  <c r="A836" i="17" s="1"/>
  <c r="A1204" i="1"/>
  <c r="C1204" i="1" s="1"/>
  <c r="A461" i="17" s="1"/>
  <c r="A1207" i="1"/>
  <c r="C1207" i="1" s="1"/>
  <c r="A50" i="17" s="1"/>
  <c r="A1206" i="1"/>
  <c r="C1206" i="1" s="1"/>
  <c r="A478" i="17" s="1"/>
  <c r="A1205" i="1"/>
  <c r="C1205" i="1" s="1"/>
  <c r="A1063" i="17" s="1"/>
  <c r="A1210" i="1"/>
  <c r="C1210" i="1" s="1"/>
  <c r="A882" i="17" s="1"/>
  <c r="A1208" i="1"/>
  <c r="C1208" i="1" s="1"/>
  <c r="A915" i="17" s="1"/>
  <c r="A1209" i="1"/>
  <c r="C1209" i="1" s="1"/>
  <c r="A941" i="17" s="1"/>
  <c r="A1211" i="1"/>
  <c r="C1211" i="1" s="1"/>
  <c r="A1374" i="17" s="1"/>
  <c r="A1212" i="1"/>
  <c r="C1212" i="1" s="1"/>
  <c r="A53" i="17" s="1"/>
  <c r="A1213" i="1"/>
  <c r="C1213" i="1" s="1"/>
  <c r="A899" i="17" s="1"/>
  <c r="A1214" i="1"/>
  <c r="C1214" i="1" s="1"/>
  <c r="A1295" i="17" s="1"/>
  <c r="A1216" i="1"/>
  <c r="C1216" i="1" s="1"/>
  <c r="A709" i="17" s="1"/>
  <c r="A1215" i="1"/>
  <c r="C1215" i="1" s="1"/>
  <c r="A1011" i="17" s="1"/>
  <c r="A1217" i="1"/>
  <c r="C1217" i="1" s="1"/>
  <c r="A80" i="17" s="1"/>
  <c r="A1218" i="1"/>
  <c r="C1218" i="1" s="1"/>
  <c r="A374" i="17" s="1"/>
  <c r="A1219" i="1"/>
  <c r="C1219" i="1" s="1"/>
  <c r="A1480" i="17" s="1"/>
  <c r="A1220" i="1"/>
  <c r="C1220" i="1" s="1"/>
  <c r="A119" i="17" s="1"/>
  <c r="A1221" i="1"/>
  <c r="C1221" i="1" s="1"/>
  <c r="A953" i="17" s="1"/>
  <c r="A1222" i="1"/>
  <c r="C1222" i="1" s="1"/>
  <c r="A117" i="17" s="1"/>
  <c r="A1223" i="1"/>
  <c r="C1223" i="1" s="1"/>
  <c r="A204" i="17" s="1"/>
  <c r="A1224" i="1"/>
  <c r="C1224" i="1" s="1"/>
  <c r="A221" i="17" s="1"/>
  <c r="A1225" i="1"/>
  <c r="C1225" i="1" s="1"/>
  <c r="A952" i="17" s="1"/>
  <c r="A1226" i="1"/>
  <c r="C1226" i="1" s="1"/>
  <c r="A859" i="17" s="1"/>
  <c r="A1227" i="1"/>
  <c r="C1227" i="1" s="1"/>
  <c r="A1409" i="17" s="1"/>
  <c r="A1228" i="1"/>
  <c r="C1228" i="1" s="1"/>
  <c r="A680" i="17" s="1"/>
  <c r="A1230" i="1"/>
  <c r="C1230" i="1" s="1"/>
  <c r="A69" i="17" s="1"/>
  <c r="A1229" i="1"/>
  <c r="C1229" i="1" s="1"/>
  <c r="A918" i="17" s="1"/>
  <c r="A1232" i="1"/>
  <c r="C1232" i="1" s="1"/>
  <c r="A211" i="17" s="1"/>
  <c r="A1233" i="1"/>
  <c r="C1233" i="1" s="1"/>
  <c r="A332" i="17" s="1"/>
  <c r="A1231" i="1"/>
  <c r="C1231" i="1" s="1"/>
  <c r="A991" i="17" s="1"/>
  <c r="A1234" i="1"/>
  <c r="C1234" i="1" s="1"/>
  <c r="A1413" i="17" s="1"/>
  <c r="A1235" i="1"/>
  <c r="C1235" i="1" s="1"/>
  <c r="A1065" i="17" s="1"/>
  <c r="A1236" i="1"/>
  <c r="C1236" i="1" s="1"/>
  <c r="A606" i="17" s="1"/>
  <c r="A1238" i="1"/>
  <c r="C1238" i="1" s="1"/>
  <c r="A385" i="17" s="1"/>
  <c r="A1237" i="1"/>
  <c r="C1237" i="1" s="1"/>
  <c r="A782" i="17" s="1"/>
  <c r="A1239" i="1"/>
  <c r="C1239" i="1" s="1"/>
  <c r="A1420" i="17" s="1"/>
  <c r="A1240" i="1"/>
  <c r="C1240" i="1" s="1"/>
  <c r="A45" i="17" s="1"/>
  <c r="A1241" i="1"/>
  <c r="C1241" i="1" s="1"/>
  <c r="A82" i="17" s="1"/>
  <c r="A1242" i="1"/>
  <c r="C1242" i="1" s="1"/>
  <c r="A1243" i="1"/>
  <c r="C1243" i="1" s="1"/>
  <c r="A1103" i="17" s="1"/>
  <c r="A1244" i="1"/>
  <c r="C1244" i="1" s="1"/>
  <c r="A40" i="17" s="1"/>
  <c r="A1245" i="1"/>
  <c r="C1245" i="1" s="1"/>
  <c r="A784" i="17" s="1"/>
  <c r="A1246" i="1"/>
  <c r="C1246" i="1" s="1"/>
  <c r="A447" i="17" s="1"/>
  <c r="A1247" i="1"/>
  <c r="C1247" i="1" s="1"/>
  <c r="A375" i="17" s="1"/>
  <c r="A1248" i="1"/>
  <c r="C1248" i="1" s="1"/>
  <c r="A425" i="17" s="1"/>
  <c r="A1250" i="1"/>
  <c r="C1250" i="1" s="1"/>
  <c r="A764" i="17" s="1"/>
  <c r="A1249" i="1"/>
  <c r="C1249" i="1" s="1"/>
  <c r="A1086" i="17" s="1"/>
  <c r="A1252" i="1"/>
  <c r="C1252" i="1" s="1"/>
  <c r="A317" i="17" s="1"/>
  <c r="A1251" i="1"/>
  <c r="C1251" i="1" s="1"/>
  <c r="A1134" i="17" s="1"/>
  <c r="A1253" i="1"/>
  <c r="C1253" i="1" s="1"/>
  <c r="A1037" i="17" s="1"/>
  <c r="A1254" i="1"/>
  <c r="C1254" i="1" s="1"/>
  <c r="A823" i="17" s="1"/>
  <c r="A1255" i="1"/>
  <c r="C1255" i="1" s="1"/>
  <c r="A1082" i="17" s="1"/>
  <c r="A1256" i="1"/>
  <c r="C1256" i="1" s="1"/>
  <c r="A174" i="17" s="1"/>
  <c r="A1257" i="1"/>
  <c r="C1257" i="1" s="1"/>
  <c r="A282" i="17" s="1"/>
  <c r="A1258" i="1"/>
  <c r="C1258" i="1" s="1"/>
  <c r="A268" i="17" s="1"/>
  <c r="A1259" i="1"/>
  <c r="C1259" i="1" s="1"/>
  <c r="A1320" i="17" s="1"/>
  <c r="A1260" i="1"/>
  <c r="C1260" i="1" s="1"/>
  <c r="A1262" i="1"/>
  <c r="C1262" i="1" s="1"/>
  <c r="A1416" i="17" s="1"/>
  <c r="A1261" i="1"/>
  <c r="C1261" i="1" s="1"/>
  <c r="A1417" i="17" s="1"/>
  <c r="A1263" i="1"/>
  <c r="C1263" i="1" s="1"/>
  <c r="A370" i="17" s="1"/>
  <c r="A1265" i="1"/>
  <c r="C1265" i="1" s="1"/>
  <c r="A655" i="17" s="1"/>
  <c r="A1264" i="1"/>
  <c r="C1264" i="1" s="1"/>
  <c r="A650" i="17" s="1"/>
  <c r="A1266" i="1"/>
  <c r="C1266" i="1" s="1"/>
  <c r="A1046" i="17" s="1"/>
  <c r="A1267" i="1"/>
  <c r="C1267" i="1" s="1"/>
  <c r="A164" i="17" s="1"/>
  <c r="A1268" i="1"/>
  <c r="C1268" i="1" s="1"/>
  <c r="A292" i="17" s="1"/>
  <c r="A1269" i="1"/>
  <c r="C1269" i="1" s="1"/>
  <c r="A154" i="17" s="1"/>
  <c r="A1270" i="1"/>
  <c r="C1270" i="1" s="1"/>
  <c r="A981" i="17" s="1"/>
  <c r="A1271" i="1"/>
  <c r="C1271" i="1" s="1"/>
  <c r="A674" i="17" s="1"/>
  <c r="A1274" i="1"/>
  <c r="C1274" i="1" s="1"/>
  <c r="A360" i="17" s="1"/>
  <c r="A1275" i="1"/>
  <c r="C1275" i="1" s="1"/>
  <c r="A912" i="17" s="1"/>
  <c r="A1273" i="1"/>
  <c r="C1273" i="1" s="1"/>
  <c r="A919" i="17" s="1"/>
  <c r="A1272" i="1"/>
  <c r="C1272" i="1" s="1"/>
  <c r="A1245" i="17" s="1"/>
  <c r="A1276" i="1"/>
  <c r="C1276" i="1" s="1"/>
  <c r="A497" i="17" s="1"/>
  <c r="A1277" i="1"/>
  <c r="C1277" i="1" s="1"/>
  <c r="A1021" i="17" s="1"/>
  <c r="A1278" i="1"/>
  <c r="C1278" i="1" s="1"/>
  <c r="A151" i="17" s="1"/>
  <c r="A1279" i="1"/>
  <c r="C1279" i="1" s="1"/>
  <c r="A1352" i="17" s="1"/>
  <c r="A1281" i="1"/>
  <c r="C1281" i="1" s="1"/>
  <c r="A693" i="17" s="1"/>
  <c r="A1280" i="1"/>
  <c r="C1280" i="1" s="1"/>
  <c r="A894" i="17" s="1"/>
  <c r="A1282" i="1"/>
  <c r="C1282" i="1" s="1"/>
  <c r="A845" i="17" s="1"/>
  <c r="A1283" i="1"/>
  <c r="C1283" i="1" s="1"/>
  <c r="A742" i="17" s="1"/>
  <c r="A1284" i="1"/>
  <c r="C1284" i="1" s="1"/>
  <c r="A1353" i="17" s="1"/>
  <c r="A1285" i="1"/>
  <c r="C1285" i="1" s="1"/>
  <c r="A1286" i="1"/>
  <c r="C1286" i="1" s="1"/>
  <c r="A1287" i="1"/>
  <c r="C1287" i="1" s="1"/>
  <c r="A621" i="17" s="1"/>
  <c r="A1288" i="1"/>
  <c r="C1288" i="1" s="1"/>
  <c r="A41" i="17" s="1"/>
  <c r="A1289" i="1"/>
  <c r="C1289" i="1" s="1"/>
  <c r="A479" i="17" s="1"/>
  <c r="A1291" i="1"/>
  <c r="C1291" i="1" s="1"/>
  <c r="A1100" i="17" s="1"/>
  <c r="A1290" i="1"/>
  <c r="C1290" i="1" s="1"/>
  <c r="A584" i="17" s="1"/>
  <c r="A1292" i="1"/>
  <c r="C1292" i="1" s="1"/>
  <c r="A1337" i="17" s="1"/>
  <c r="A1293" i="1"/>
  <c r="C1293" i="1" s="1"/>
  <c r="A1294" i="1"/>
  <c r="C1294" i="1" s="1"/>
  <c r="A1296" i="1"/>
  <c r="C1296" i="1" s="1"/>
  <c r="A1421" i="17" s="1"/>
  <c r="A1295" i="1"/>
  <c r="C1295" i="1" s="1"/>
  <c r="A1297" i="1"/>
  <c r="C1297" i="1" s="1"/>
  <c r="A578" i="17" s="1"/>
  <c r="A1298" i="1"/>
  <c r="C1298" i="1" s="1"/>
  <c r="A926" i="17" s="1"/>
  <c r="A1299" i="1"/>
  <c r="C1299" i="1" s="1"/>
  <c r="A30" i="17" s="1"/>
  <c r="A1300" i="1"/>
  <c r="C1300" i="1" s="1"/>
  <c r="A258" i="17" s="1"/>
  <c r="A1301" i="1"/>
  <c r="C1301" i="1" s="1"/>
  <c r="A411" i="17" s="1"/>
  <c r="A1302" i="1"/>
  <c r="C1302" i="1" s="1"/>
  <c r="A1003" i="17" s="1"/>
  <c r="A1303" i="1"/>
  <c r="C1303" i="1" s="1"/>
  <c r="A1057" i="17" s="1"/>
  <c r="A1304" i="1"/>
  <c r="C1304" i="1" s="1"/>
  <c r="A924" i="17" s="1"/>
  <c r="A1305" i="1"/>
  <c r="C1305" i="1" s="1"/>
  <c r="A1059" i="17" s="1"/>
  <c r="A1306" i="1"/>
  <c r="C1306" i="1" s="1"/>
  <c r="A1419" i="17" s="1"/>
  <c r="A1307" i="1"/>
  <c r="C1307" i="1" s="1"/>
  <c r="A1411" i="17" s="1"/>
  <c r="A1308" i="1"/>
  <c r="C1308" i="1" s="1"/>
  <c r="A1410" i="17" s="1"/>
  <c r="A1309" i="1"/>
  <c r="C1309" i="1" s="1"/>
  <c r="A884" i="17" s="1"/>
  <c r="A1310" i="1"/>
  <c r="C1310" i="1" s="1"/>
  <c r="A701" i="17" s="1"/>
  <c r="A1311" i="1"/>
  <c r="C1311" i="1" s="1"/>
  <c r="A46" i="17" s="1"/>
  <c r="A1313" i="1"/>
  <c r="C1313" i="1" s="1"/>
  <c r="A47" i="17" s="1"/>
  <c r="A1312" i="1"/>
  <c r="C1312" i="1" s="1"/>
  <c r="A48" i="17" s="1"/>
  <c r="A1315" i="1"/>
  <c r="C1315" i="1" s="1"/>
  <c r="A336" i="17" s="1"/>
  <c r="A1314" i="1"/>
  <c r="C1314" i="1" s="1"/>
  <c r="A1154" i="17" s="1"/>
  <c r="A1316" i="1"/>
  <c r="C1316" i="1" s="1"/>
  <c r="A1159" i="17" s="1"/>
  <c r="A1317" i="1"/>
  <c r="C1317" i="1" s="1"/>
  <c r="A399" i="17" s="1"/>
  <c r="A1318" i="1"/>
  <c r="C1318" i="1" s="1"/>
  <c r="A387" i="17" s="1"/>
  <c r="A1319" i="1"/>
  <c r="C1319" i="1" s="1"/>
  <c r="A388" i="17" s="1"/>
  <c r="A1320" i="1"/>
  <c r="C1320" i="1" s="1"/>
  <c r="A1788" i="17" s="1"/>
  <c r="A1321" i="1"/>
  <c r="C1321" i="1" s="1"/>
  <c r="A49" i="17" s="1"/>
  <c r="A1325" i="1"/>
  <c r="C1325" i="1" s="1"/>
  <c r="A302" i="17" s="1"/>
  <c r="A1322" i="1"/>
  <c r="C1322" i="1" s="1"/>
  <c r="A386" i="17" s="1"/>
  <c r="A1324" i="1"/>
  <c r="C1324" i="1" s="1"/>
  <c r="A997" i="17" s="1"/>
  <c r="A1323" i="1"/>
  <c r="C1323" i="1" s="1"/>
  <c r="A747" i="17" s="1"/>
  <c r="A1326" i="1"/>
  <c r="C1326" i="1" s="1"/>
  <c r="A369" i="17" s="1"/>
  <c r="A1328" i="1"/>
  <c r="C1328" i="1" s="1"/>
  <c r="A377" i="17" s="1"/>
  <c r="A1327" i="1"/>
  <c r="C1327" i="1" s="1"/>
  <c r="A810" i="17" s="1"/>
  <c r="A1329" i="1"/>
  <c r="C1329" i="1" s="1"/>
  <c r="A1376" i="17" s="1"/>
  <c r="A1330" i="1"/>
  <c r="C1330" i="1" s="1"/>
  <c r="A6" i="17" s="1"/>
  <c r="A1331" i="1"/>
  <c r="C1331" i="1" s="1"/>
  <c r="A1790" i="17" s="1"/>
  <c r="A1332" i="1"/>
  <c r="C1332" i="1" s="1"/>
  <c r="A1791" i="17" s="1"/>
  <c r="A1334" i="1"/>
  <c r="C1334" i="1" s="1"/>
  <c r="A299" i="17" s="1"/>
  <c r="A1333" i="1"/>
  <c r="C1333" i="1" s="1"/>
  <c r="A1792" i="17" s="1"/>
  <c r="A1335" i="1"/>
  <c r="C1335" i="1" s="1"/>
  <c r="A220" i="17" s="1"/>
  <c r="A1336" i="1"/>
  <c r="C1336" i="1" s="1"/>
  <c r="A602" i="17" s="1"/>
  <c r="A1337" i="1"/>
  <c r="C1337" i="1" s="1"/>
  <c r="A854" i="17" s="1"/>
  <c r="A1338" i="1"/>
  <c r="C1338" i="1" s="1"/>
  <c r="A587" i="17" s="1"/>
  <c r="A1340" i="1"/>
  <c r="C1340" i="1" s="1"/>
  <c r="A588" i="17" s="1"/>
  <c r="A1339" i="1"/>
  <c r="C1339" i="1" s="1"/>
  <c r="A589" i="17" s="1"/>
  <c r="A1342" i="1"/>
  <c r="C1342" i="1" s="1"/>
  <c r="A494" i="17" s="1"/>
  <c r="A1341" i="1"/>
  <c r="C1341" i="1" s="1"/>
  <c r="A1187" i="17" s="1"/>
  <c r="A1343" i="1"/>
  <c r="C1343" i="1" s="1"/>
  <c r="A281" i="17" s="1"/>
  <c r="A1344" i="1"/>
  <c r="C1344" i="1" s="1"/>
  <c r="A637" i="17" s="1"/>
  <c r="A1345" i="1"/>
  <c r="C1345" i="1" s="1"/>
  <c r="A287" i="17" s="1"/>
  <c r="A1346" i="1"/>
  <c r="C1346" i="1" s="1"/>
  <c r="A1339" i="17" s="1"/>
  <c r="A1347" i="1"/>
  <c r="C1347" i="1" s="1"/>
  <c r="A1348" i="1"/>
  <c r="C1348" i="1" s="1"/>
  <c r="A1349" i="1"/>
  <c r="C1349" i="1" s="1"/>
  <c r="A1423" i="17" s="1"/>
  <c r="A1352" i="1"/>
  <c r="C1352" i="1" s="1"/>
  <c r="A381" i="17" s="1"/>
  <c r="A1350" i="1"/>
  <c r="C1350" i="1" s="1"/>
  <c r="A771" i="17" s="1"/>
  <c r="A1351" i="1"/>
  <c r="C1351" i="1" s="1"/>
  <c r="A246" i="17" s="1"/>
  <c r="A1353" i="1"/>
  <c r="C1353" i="1" s="1"/>
  <c r="A1354" i="1"/>
  <c r="C1354" i="1" s="1"/>
  <c r="A1422" i="17" s="1"/>
  <c r="A1355" i="1"/>
  <c r="C1355" i="1" s="1"/>
  <c r="A1290" i="17" s="1"/>
  <c r="A1356" i="1"/>
  <c r="C1356" i="1" s="1"/>
  <c r="A1789" i="17" s="1"/>
  <c r="A1357" i="1"/>
  <c r="C1357" i="1" s="1"/>
  <c r="A796" i="17" s="1"/>
  <c r="A1358" i="1"/>
  <c r="C1358" i="1" s="1"/>
  <c r="A1433" i="17" s="1"/>
  <c r="A1359" i="1"/>
  <c r="C1359" i="1" s="1"/>
  <c r="A651" i="17" s="1"/>
  <c r="A1360" i="1"/>
  <c r="C1360" i="1" s="1"/>
  <c r="A1361" i="1"/>
  <c r="C1361" i="1" s="1"/>
  <c r="A532" i="17" s="1"/>
  <c r="A1362" i="1"/>
  <c r="C1362" i="1" s="1"/>
  <c r="A1265" i="17" s="1"/>
  <c r="A1363" i="1"/>
  <c r="C1363" i="1" s="1"/>
  <c r="A839" i="17" s="1"/>
  <c r="A1364" i="1"/>
  <c r="C1364" i="1" s="1"/>
  <c r="A1365" i="1"/>
  <c r="C1365" i="1" s="1"/>
  <c r="A1430" i="17" s="1"/>
  <c r="A1366" i="1"/>
  <c r="C1366" i="1" s="1"/>
  <c r="A1367" i="1"/>
  <c r="C1367" i="1" s="1"/>
  <c r="A1368" i="1"/>
  <c r="C1368" i="1" s="1"/>
  <c r="A122" i="17" s="1"/>
  <c r="A1369" i="1"/>
  <c r="C1369" i="1" s="1"/>
  <c r="A488" i="17" s="1"/>
  <c r="A1374" i="1"/>
  <c r="C1374" i="1" s="1"/>
  <c r="A1426" i="17" s="1"/>
  <c r="A1370" i="1"/>
  <c r="C1370" i="1" s="1"/>
  <c r="A391" i="17" s="1"/>
  <c r="A1371" i="1"/>
  <c r="C1371" i="1" s="1"/>
  <c r="A392" i="17" s="1"/>
  <c r="A1373" i="1"/>
  <c r="C1373" i="1" s="1"/>
  <c r="A483" i="17" s="1"/>
  <c r="A1372" i="1"/>
  <c r="C1372" i="1" s="1"/>
  <c r="A814" i="17" s="1"/>
  <c r="A1375" i="1"/>
  <c r="C1375" i="1" s="1"/>
  <c r="A789" i="17" s="1"/>
  <c r="A1376" i="1"/>
  <c r="C1376" i="1" s="1"/>
  <c r="A1377" i="1"/>
  <c r="C1377" i="1" s="1"/>
  <c r="A1379" i="1"/>
  <c r="C1379" i="1" s="1"/>
  <c r="A1424" i="17" s="1"/>
  <c r="A1378" i="1"/>
  <c r="C1378" i="1" s="1"/>
  <c r="A1425" i="17" s="1"/>
  <c r="A1381" i="1"/>
  <c r="C1381" i="1" s="1"/>
  <c r="A306" i="17" s="1"/>
  <c r="A1380" i="1"/>
  <c r="C1380" i="1" s="1"/>
  <c r="A700" i="17" s="1"/>
  <c r="A1382" i="1"/>
  <c r="C1382" i="1" s="1"/>
  <c r="A1023" i="17" s="1"/>
  <c r="A1383" i="1"/>
  <c r="C1383" i="1" s="1"/>
  <c r="A36" i="17" s="1"/>
  <c r="A1385" i="1"/>
  <c r="C1385" i="1" s="1"/>
  <c r="A509" i="17" s="1"/>
  <c r="A1384" i="1"/>
  <c r="C1384" i="1" s="1"/>
  <c r="A139" i="17" s="1"/>
  <c r="A1386" i="1"/>
  <c r="C1386" i="1" s="1"/>
  <c r="A424" i="17" s="1"/>
  <c r="A1387" i="1"/>
  <c r="C1387" i="1" s="1"/>
  <c r="A914" i="17" s="1"/>
  <c r="A1388" i="1"/>
  <c r="C1388" i="1" s="1"/>
  <c r="A647" i="17" s="1"/>
  <c r="A1389" i="1"/>
  <c r="C1389" i="1" s="1"/>
  <c r="A516" i="17" s="1"/>
  <c r="A1390" i="1"/>
  <c r="C1390" i="1" s="1"/>
  <c r="A1317" i="17" s="1"/>
  <c r="A1391" i="1"/>
  <c r="C1391" i="1" s="1"/>
  <c r="A1240" i="17" s="1"/>
  <c r="A1392" i="1"/>
  <c r="C1392" i="1" s="1"/>
  <c r="A652" i="17" s="1"/>
  <c r="Q1025" i="1"/>
  <c r="M1025" i="1" s="1"/>
  <c r="Q1026" i="1"/>
  <c r="M1026" i="1" s="1"/>
  <c r="Q1027" i="1"/>
  <c r="P1027" i="1" s="1"/>
  <c r="Q1028" i="1"/>
  <c r="P1028" i="1" s="1"/>
  <c r="Q1029" i="1"/>
  <c r="Q1030" i="1"/>
  <c r="M1030" i="1" s="1"/>
  <c r="Q1034" i="1"/>
  <c r="M1034" i="1" s="1"/>
  <c r="Q1033" i="1"/>
  <c r="Q1032" i="1"/>
  <c r="P1032" i="1" s="1"/>
  <c r="Q1031" i="1"/>
  <c r="P1031" i="1" s="1"/>
  <c r="Q1076" i="1"/>
  <c r="M1076" i="1" s="1"/>
  <c r="N1076" i="1" s="1"/>
  <c r="Q1077" i="1"/>
  <c r="M1077" i="1" s="1"/>
  <c r="Q1073" i="1"/>
  <c r="M1073" i="1" s="1"/>
  <c r="Q1075" i="1"/>
  <c r="P1075" i="1" s="1"/>
  <c r="Q1074" i="1"/>
  <c r="P1074" i="1" s="1"/>
  <c r="Q1105" i="1"/>
  <c r="P1105" i="1" s="1"/>
  <c r="Q1078" i="1"/>
  <c r="P1078" i="1" s="1"/>
  <c r="Q929" i="1"/>
  <c r="M929" i="1" s="1"/>
  <c r="Q1079" i="1"/>
  <c r="P1079" i="1" s="1"/>
  <c r="Q1017" i="1"/>
  <c r="P1017" i="1" s="1"/>
  <c r="Q1018" i="1"/>
  <c r="P1018" i="1" s="1"/>
  <c r="Q1019" i="1"/>
  <c r="M1019" i="1" s="1"/>
  <c r="Q1020" i="1"/>
  <c r="M1020" i="1" s="1"/>
  <c r="Q1021" i="1"/>
  <c r="M1021" i="1" s="1"/>
  <c r="Q1022" i="1"/>
  <c r="Q1023" i="1"/>
  <c r="P1023" i="1" s="1"/>
  <c r="Q1024" i="1"/>
  <c r="P1024" i="1" s="1"/>
  <c r="A1034" i="1"/>
  <c r="C1034" i="1" s="1"/>
  <c r="A12" i="17" s="1"/>
  <c r="A1033" i="1"/>
  <c r="C1033" i="1" s="1"/>
  <c r="A100" i="17" s="1"/>
  <c r="A1032" i="1"/>
  <c r="C1032" i="1" s="1"/>
  <c r="A116" i="17" s="1"/>
  <c r="A1031" i="1"/>
  <c r="C1031" i="1" s="1"/>
  <c r="A225" i="17" s="1"/>
  <c r="A1076" i="1"/>
  <c r="C1076" i="1" s="1"/>
  <c r="A490" i="17" s="1"/>
  <c r="A1077" i="1"/>
  <c r="C1077" i="1" s="1"/>
  <c r="A491" i="17" s="1"/>
  <c r="A1073" i="1"/>
  <c r="C1073" i="1" s="1"/>
  <c r="A871" i="17" s="1"/>
  <c r="A1075" i="1"/>
  <c r="C1075" i="1" s="1"/>
  <c r="A872" i="17" s="1"/>
  <c r="A1074" i="1"/>
  <c r="C1074" i="1" s="1"/>
  <c r="A873" i="17" s="1"/>
  <c r="A1105" i="1"/>
  <c r="C1105" i="1" s="1"/>
  <c r="A969" i="17" s="1"/>
  <c r="A1078" i="1"/>
  <c r="C1078" i="1" s="1"/>
  <c r="A1160" i="17" s="1"/>
  <c r="A929" i="1"/>
  <c r="C929" i="1" s="1"/>
  <c r="A1397" i="17" s="1"/>
  <c r="A1079" i="1"/>
  <c r="C1079" i="1" s="1"/>
  <c r="A1412" i="17" s="1"/>
  <c r="A1017" i="1"/>
  <c r="C1017" i="1" s="1"/>
  <c r="A1537" i="17" s="1"/>
  <c r="A1018" i="1"/>
  <c r="C1018" i="1" s="1"/>
  <c r="A1538" i="17" s="1"/>
  <c r="A1019" i="1"/>
  <c r="C1019" i="1" s="1"/>
  <c r="A1539" i="17" s="1"/>
  <c r="A1020" i="1"/>
  <c r="C1020" i="1" s="1"/>
  <c r="A1540" i="17" s="1"/>
  <c r="A1021" i="1"/>
  <c r="C1021" i="1" s="1"/>
  <c r="A1541" i="17" s="1"/>
  <c r="A1022" i="1"/>
  <c r="C1022" i="1" s="1"/>
  <c r="A1553" i="17" s="1"/>
  <c r="A1023" i="1"/>
  <c r="C1023" i="1" s="1"/>
  <c r="A1554" i="17" s="1"/>
  <c r="A1024" i="1"/>
  <c r="C1024" i="1" s="1"/>
  <c r="A1555" i="17" s="1"/>
  <c r="A1025" i="1"/>
  <c r="C1025" i="1" s="1"/>
  <c r="A1634" i="17" s="1"/>
  <c r="A1026" i="1"/>
  <c r="C1026" i="1" s="1"/>
  <c r="A1636" i="17" s="1"/>
  <c r="A1027" i="1"/>
  <c r="C1027" i="1" s="1"/>
  <c r="A1028" i="1"/>
  <c r="C1028" i="1" s="1"/>
  <c r="A1029" i="1"/>
  <c r="C1029" i="1" s="1"/>
  <c r="A1639" i="17" s="1"/>
  <c r="A1030" i="1"/>
  <c r="C1030" i="1" s="1"/>
  <c r="A1643" i="17" s="1"/>
  <c r="N2171" i="1" l="1"/>
  <c r="O2171" i="1"/>
  <c r="N2189" i="1"/>
  <c r="O2189" i="1"/>
  <c r="O2170" i="1"/>
  <c r="N2170" i="1"/>
  <c r="O2194" i="1"/>
  <c r="N2194" i="1"/>
  <c r="O2243" i="1"/>
  <c r="N2243" i="1"/>
  <c r="N2234" i="1"/>
  <c r="O2234" i="1"/>
  <c r="O2192" i="1"/>
  <c r="N2165" i="1"/>
  <c r="O2165" i="1"/>
  <c r="N2201" i="1"/>
  <c r="O2201" i="1"/>
  <c r="N2163" i="1"/>
  <c r="O2163" i="1"/>
  <c r="O2188" i="1"/>
  <c r="N2188" i="1"/>
  <c r="O2191" i="1"/>
  <c r="N2198" i="1"/>
  <c r="O2198" i="1"/>
  <c r="N2216" i="1"/>
  <c r="O2216" i="1"/>
  <c r="O2182" i="1"/>
  <c r="N2182" i="1"/>
  <c r="N2177" i="1"/>
  <c r="O2177" i="1"/>
  <c r="N2195" i="1"/>
  <c r="O2195" i="1"/>
  <c r="N2183" i="1"/>
  <c r="O2183" i="1"/>
  <c r="N2207" i="1"/>
  <c r="O2207" i="1"/>
  <c r="O2246" i="1"/>
  <c r="N2246" i="1"/>
  <c r="O2174" i="1"/>
  <c r="O2186" i="1"/>
  <c r="N2240" i="1"/>
  <c r="O2240" i="1"/>
  <c r="N2219" i="1"/>
  <c r="O2219" i="1"/>
  <c r="N2249" i="1"/>
  <c r="O2249" i="1"/>
  <c r="N2231" i="1"/>
  <c r="O2231" i="1"/>
  <c r="O2251" i="1"/>
  <c r="N2251" i="1"/>
  <c r="N2204" i="1"/>
  <c r="O2204" i="1"/>
  <c r="O2173" i="1"/>
  <c r="O2233" i="1"/>
  <c r="N2233" i="1"/>
  <c r="N2213" i="1"/>
  <c r="O2213" i="1"/>
  <c r="O2176" i="1"/>
  <c r="N2176" i="1"/>
  <c r="O2228" i="1"/>
  <c r="N2228" i="1"/>
  <c r="N2225" i="1"/>
  <c r="O2225" i="1"/>
  <c r="O2180" i="1"/>
  <c r="N2222" i="1"/>
  <c r="O2222" i="1"/>
  <c r="N2237" i="1"/>
  <c r="O2237" i="1"/>
  <c r="O2179" i="1"/>
  <c r="N2252" i="1"/>
  <c r="O2252" i="1"/>
  <c r="N2210" i="1"/>
  <c r="O2210" i="1"/>
  <c r="A1793" i="17"/>
  <c r="A1794" i="17"/>
  <c r="A1736" i="17"/>
  <c r="A1737" i="17"/>
  <c r="A1677" i="17"/>
  <c r="A1678" i="17"/>
  <c r="A1637" i="17"/>
  <c r="A1638" i="17"/>
  <c r="A1674" i="17"/>
  <c r="A1675" i="17"/>
  <c r="N2156" i="1"/>
  <c r="O2156" i="1"/>
  <c r="O2159" i="1"/>
  <c r="O2143" i="1"/>
  <c r="N2143" i="1"/>
  <c r="O2125" i="1"/>
  <c r="N2125" i="1"/>
  <c r="O2113" i="1"/>
  <c r="N2113" i="1"/>
  <c r="O2116" i="1"/>
  <c r="O2149" i="1"/>
  <c r="N2149" i="1"/>
  <c r="O2152" i="1"/>
  <c r="O2107" i="1"/>
  <c r="N2107" i="1"/>
  <c r="N2160" i="1"/>
  <c r="O2160" i="1"/>
  <c r="O2095" i="1"/>
  <c r="N2095" i="1"/>
  <c r="O2098" i="1"/>
  <c r="O2131" i="1"/>
  <c r="N2131" i="1"/>
  <c r="O2134" i="1"/>
  <c r="O2146" i="1"/>
  <c r="N2148" i="1"/>
  <c r="O2148" i="1"/>
  <c r="O1070" i="1"/>
  <c r="O1064" i="1"/>
  <c r="M1659" i="1"/>
  <c r="N1659" i="1" s="1"/>
  <c r="P1682" i="1"/>
  <c r="M1713" i="1"/>
  <c r="M1673" i="1"/>
  <c r="P1808" i="1"/>
  <c r="M1961" i="1"/>
  <c r="M2036" i="1"/>
  <c r="O2036" i="1" s="1"/>
  <c r="M1939" i="1"/>
  <c r="O1939" i="1" s="1"/>
  <c r="M1892" i="1"/>
  <c r="P2003" i="1"/>
  <c r="M1976" i="1"/>
  <c r="M2034" i="1"/>
  <c r="M1889" i="1"/>
  <c r="N1889" i="1" s="1"/>
  <c r="M1872" i="1"/>
  <c r="O1872" i="1" s="1"/>
  <c r="P2032" i="1"/>
  <c r="P1848" i="1"/>
  <c r="O1756" i="1"/>
  <c r="P1555" i="1"/>
  <c r="M1738" i="1"/>
  <c r="O1695" i="1"/>
  <c r="P1776" i="1"/>
  <c r="M1838" i="1"/>
  <c r="N1838" i="1" s="1"/>
  <c r="O2067" i="1"/>
  <c r="O2079" i="1"/>
  <c r="P1726" i="1"/>
  <c r="P1694" i="1"/>
  <c r="O1862" i="1"/>
  <c r="M1970" i="1"/>
  <c r="O1863" i="1" s="1"/>
  <c r="P1856" i="1"/>
  <c r="M1913" i="1"/>
  <c r="N1913" i="1" s="1"/>
  <c r="P2051" i="1"/>
  <c r="P1784" i="1"/>
  <c r="M1842" i="1"/>
  <c r="M2035" i="1"/>
  <c r="N2035" i="1" s="1"/>
  <c r="M2018" i="1"/>
  <c r="N2018" i="1" s="1"/>
  <c r="M1982" i="1"/>
  <c r="P2037" i="1"/>
  <c r="M1714" i="1"/>
  <c r="O1714" i="1" s="1"/>
  <c r="P1698" i="1"/>
  <c r="M1712" i="1"/>
  <c r="O1712" i="1" s="1"/>
  <c r="P1678" i="1"/>
  <c r="M1427" i="1"/>
  <c r="M1523" i="1"/>
  <c r="N1523" i="1" s="1"/>
  <c r="O1731" i="1"/>
  <c r="N1686" i="1"/>
  <c r="O1686" i="1"/>
  <c r="N1790" i="1"/>
  <c r="O1706" i="1"/>
  <c r="P1693" i="1"/>
  <c r="M1743" i="1"/>
  <c r="M1649" i="1"/>
  <c r="P1790" i="1"/>
  <c r="P1813" i="1"/>
  <c r="M1835" i="1"/>
  <c r="P1800" i="1"/>
  <c r="M2002" i="1"/>
  <c r="P1860" i="1"/>
  <c r="M1864" i="1"/>
  <c r="N1864" i="1" s="1"/>
  <c r="O1956" i="1"/>
  <c r="P2071" i="1"/>
  <c r="O1311" i="1"/>
  <c r="O1536" i="1"/>
  <c r="O1707" i="1"/>
  <c r="M1721" i="1"/>
  <c r="M1946" i="1"/>
  <c r="P1846" i="1"/>
  <c r="M2010" i="1"/>
  <c r="N2010" i="1" s="1"/>
  <c r="P2008" i="1"/>
  <c r="M1993" i="1"/>
  <c r="N1993" i="1" s="1"/>
  <c r="P2026" i="1"/>
  <c r="P1986" i="1"/>
  <c r="M2064" i="1"/>
  <c r="P1707" i="1"/>
  <c r="P1653" i="1"/>
  <c r="P1648" i="1"/>
  <c r="P1794" i="1"/>
  <c r="M1807" i="1"/>
  <c r="N1807" i="1" s="1"/>
  <c r="M1760" i="1"/>
  <c r="N1760" i="1" s="1"/>
  <c r="M1958" i="1"/>
  <c r="N1958" i="1" s="1"/>
  <c r="O2035" i="1"/>
  <c r="N1945" i="1"/>
  <c r="M1971" i="1"/>
  <c r="O1759" i="1"/>
  <c r="O1893" i="1"/>
  <c r="P1882" i="1"/>
  <c r="M2055" i="1"/>
  <c r="P2045" i="1"/>
  <c r="P2046" i="1"/>
  <c r="P2068" i="1"/>
  <c r="O1813" i="1"/>
  <c r="M1845" i="1"/>
  <c r="N1845" i="1" s="1"/>
  <c r="P1788" i="1"/>
  <c r="M1799" i="1"/>
  <c r="N1799" i="1" s="1"/>
  <c r="M1929" i="1"/>
  <c r="M1932" i="1"/>
  <c r="O1932" i="1" s="1"/>
  <c r="P2016" i="1"/>
  <c r="P1852" i="1"/>
  <c r="P1937" i="1"/>
  <c r="M1947" i="1"/>
  <c r="M2038" i="1"/>
  <c r="M2021" i="1"/>
  <c r="N2021" i="1" s="1"/>
  <c r="M1973" i="1"/>
  <c r="N1973" i="1" s="1"/>
  <c r="P1972" i="1"/>
  <c r="P1871" i="1"/>
  <c r="P1759" i="1"/>
  <c r="P1803" i="1"/>
  <c r="M1505" i="1"/>
  <c r="N1505" i="1" s="1"/>
  <c r="M1684" i="1"/>
  <c r="N1731" i="1"/>
  <c r="M1791" i="1"/>
  <c r="N1791" i="1" s="1"/>
  <c r="M1740" i="1"/>
  <c r="O1740" i="1" s="1"/>
  <c r="N1695" i="1"/>
  <c r="M1685" i="1"/>
  <c r="O1693" i="1" s="1"/>
  <c r="P1658" i="1"/>
  <c r="N1742" i="1"/>
  <c r="M1671" i="1"/>
  <c r="M1722" i="1"/>
  <c r="N1722" i="1" s="1"/>
  <c r="O1665" i="1"/>
  <c r="N1745" i="1"/>
  <c r="P1742" i="1"/>
  <c r="M1660" i="1"/>
  <c r="O1660" i="1" s="1"/>
  <c r="M1724" i="1"/>
  <c r="P1695" i="1"/>
  <c r="M1680" i="1"/>
  <c r="O1680" i="1" s="1"/>
  <c r="M1752" i="1"/>
  <c r="O1752" i="1" s="1"/>
  <c r="P1703" i="1"/>
  <c r="M1709" i="1"/>
  <c r="P1748" i="1"/>
  <c r="P1745" i="1"/>
  <c r="M1651" i="1"/>
  <c r="N1651" i="1" s="1"/>
  <c r="P1647" i="1"/>
  <c r="M1626" i="1"/>
  <c r="N1626" i="1" s="1"/>
  <c r="P1527" i="1"/>
  <c r="M1701" i="1"/>
  <c r="P1669" i="1"/>
  <c r="M1733" i="1"/>
  <c r="O1745" i="1" s="1"/>
  <c r="M1629" i="1"/>
  <c r="N1629" i="1" s="1"/>
  <c r="M1402" i="1"/>
  <c r="O1402" i="1" s="1"/>
  <c r="P1467" i="1"/>
  <c r="M1622" i="1"/>
  <c r="O1622" i="1" s="1"/>
  <c r="M1424" i="1"/>
  <c r="N1424" i="1" s="1"/>
  <c r="O1795" i="1"/>
  <c r="N1795" i="1"/>
  <c r="N1884" i="1"/>
  <c r="N1698" i="1"/>
  <c r="N2037" i="1"/>
  <c r="O2037" i="1"/>
  <c r="N1662" i="1"/>
  <c r="O1662" i="1"/>
  <c r="N1894" i="1"/>
  <c r="O1894" i="1"/>
  <c r="P1448" i="1"/>
  <c r="M1417" i="1"/>
  <c r="O1417" i="1" s="1"/>
  <c r="P1578" i="1"/>
  <c r="M1435" i="1"/>
  <c r="M1489" i="1"/>
  <c r="N1489" i="1" s="1"/>
  <c r="M1433" i="1"/>
  <c r="O1433" i="1" s="1"/>
  <c r="O1659" i="1"/>
  <c r="P1735" i="1"/>
  <c r="M1690" i="1"/>
  <c r="M1691" i="1"/>
  <c r="N1691" i="1" s="1"/>
  <c r="P1691" i="1"/>
  <c r="P1710" i="1"/>
  <c r="M1700" i="1"/>
  <c r="O1700" i="1" s="1"/>
  <c r="M1739" i="1"/>
  <c r="O1678" i="1" s="1"/>
  <c r="P1739" i="1"/>
  <c r="M1720" i="1"/>
  <c r="O1703" i="1"/>
  <c r="N1743" i="1"/>
  <c r="P1741" i="1"/>
  <c r="M1746" i="1"/>
  <c r="N1678" i="1"/>
  <c r="M1737" i="1"/>
  <c r="P1737" i="1"/>
  <c r="P1662" i="1"/>
  <c r="P1766" i="1"/>
  <c r="M1819" i="1"/>
  <c r="M1812" i="1"/>
  <c r="P1812" i="1"/>
  <c r="M1843" i="1"/>
  <c r="P1814" i="1"/>
  <c r="M1810" i="1"/>
  <c r="N1810" i="1" s="1"/>
  <c r="M1785" i="1"/>
  <c r="P1768" i="1"/>
  <c r="P1837" i="1"/>
  <c r="M1837" i="1"/>
  <c r="N1837" i="1" s="1"/>
  <c r="N1835" i="1"/>
  <c r="M1774" i="1"/>
  <c r="N1774" i="1" s="1"/>
  <c r="P2031" i="1"/>
  <c r="M2031" i="1"/>
  <c r="O1959" i="1"/>
  <c r="N2036" i="1"/>
  <c r="O1911" i="1"/>
  <c r="N1939" i="1"/>
  <c r="M1850" i="1"/>
  <c r="N1977" i="1"/>
  <c r="M1944" i="1"/>
  <c r="O2030" i="1"/>
  <c r="N2030" i="1"/>
  <c r="M1851" i="1"/>
  <c r="N1851" i="1" s="1"/>
  <c r="P2011" i="1"/>
  <c r="P1998" i="1"/>
  <c r="M1998" i="1"/>
  <c r="M1915" i="1"/>
  <c r="N1915" i="1" s="1"/>
  <c r="P1915" i="1"/>
  <c r="M1890" i="1"/>
  <c r="N1890" i="1" s="1"/>
  <c r="P1890" i="1"/>
  <c r="P1988" i="1"/>
  <c r="M1988" i="1"/>
  <c r="O2020" i="1" s="1"/>
  <c r="N2050" i="1"/>
  <c r="O2050" i="1"/>
  <c r="N1191" i="1"/>
  <c r="P1723" i="1"/>
  <c r="M1723" i="1"/>
  <c r="M1059" i="1"/>
  <c r="O1766" i="1"/>
  <c r="M1780" i="1"/>
  <c r="N1780" i="1" s="1"/>
  <c r="P1780" i="1"/>
  <c r="M1757" i="1"/>
  <c r="O1775" i="1" s="1"/>
  <c r="N1858" i="1"/>
  <c r="O1954" i="1"/>
  <c r="O2008" i="1"/>
  <c r="N2008" i="1"/>
  <c r="M1615" i="1"/>
  <c r="N1660" i="1"/>
  <c r="P1964" i="1"/>
  <c r="M1964" i="1"/>
  <c r="N2005" i="1"/>
  <c r="O2005" i="1"/>
  <c r="M1849" i="1"/>
  <c r="P1849" i="1"/>
  <c r="P1062" i="1"/>
  <c r="M1557" i="1"/>
  <c r="N1557" i="1" s="1"/>
  <c r="P1458" i="1"/>
  <c r="M1444" i="1"/>
  <c r="N1444" i="1" s="1"/>
  <c r="M1689" i="1"/>
  <c r="N1689" i="1" s="1"/>
  <c r="M1654" i="1"/>
  <c r="O1654" i="1" s="1"/>
  <c r="P1679" i="1"/>
  <c r="M1679" i="1"/>
  <c r="O1679" i="1" s="1"/>
  <c r="M1717" i="1"/>
  <c r="M1705" i="1"/>
  <c r="M1667" i="1"/>
  <c r="O1667" i="1" s="1"/>
  <c r="M1711" i="1"/>
  <c r="N1693" i="1"/>
  <c r="M1697" i="1"/>
  <c r="N1697" i="1" s="1"/>
  <c r="N1666" i="1"/>
  <c r="N1714" i="1"/>
  <c r="P1665" i="1"/>
  <c r="M1751" i="1"/>
  <c r="O1751" i="1" s="1"/>
  <c r="P1661" i="1"/>
  <c r="P1795" i="1"/>
  <c r="P1815" i="1"/>
  <c r="M1826" i="1"/>
  <c r="N1813" i="1"/>
  <c r="N1759" i="1"/>
  <c r="P1798" i="1"/>
  <c r="M1771" i="1"/>
  <c r="P1771" i="1"/>
  <c r="P1981" i="1"/>
  <c r="P1933" i="1"/>
  <c r="P1904" i="1"/>
  <c r="M1904" i="1"/>
  <c r="N1904" i="1" s="1"/>
  <c r="P1965" i="1"/>
  <c r="M1965" i="1"/>
  <c r="N1922" i="1"/>
  <c r="P1884" i="1"/>
  <c r="P1894" i="1"/>
  <c r="P2014" i="1"/>
  <c r="P1900" i="1"/>
  <c r="P1858" i="1"/>
  <c r="M1919" i="1"/>
  <c r="O1919" i="1" s="1"/>
  <c r="P1919" i="1"/>
  <c r="P2000" i="1"/>
  <c r="M1908" i="1"/>
  <c r="O1908" i="1" s="1"/>
  <c r="P1908" i="1"/>
  <c r="P1921" i="1"/>
  <c r="M1895" i="1"/>
  <c r="P1895" i="1"/>
  <c r="M1734" i="1"/>
  <c r="N1734" i="1" s="1"/>
  <c r="P1734" i="1"/>
  <c r="M1732" i="1"/>
  <c r="O1750" i="1" s="1"/>
  <c r="N1682" i="1"/>
  <c r="P1727" i="1"/>
  <c r="O1664" i="1"/>
  <c r="P1755" i="1"/>
  <c r="M1755" i="1"/>
  <c r="O1778" i="1" s="1"/>
  <c r="N1750" i="1"/>
  <c r="M1672" i="1"/>
  <c r="O1672" i="1" s="1"/>
  <c r="O1677" i="1"/>
  <c r="N1798" i="1"/>
  <c r="N1961" i="1"/>
  <c r="P1943" i="1"/>
  <c r="M1943" i="1"/>
  <c r="M1951" i="1"/>
  <c r="P1996" i="1"/>
  <c r="M1975" i="1"/>
  <c r="N2007" i="1"/>
  <c r="O2007" i="1"/>
  <c r="M1753" i="1"/>
  <c r="P1753" i="1"/>
  <c r="P1666" i="1"/>
  <c r="M1644" i="1"/>
  <c r="O1644" i="1" s="1"/>
  <c r="M1663" i="1"/>
  <c r="P1663" i="1"/>
  <c r="M1676" i="1"/>
  <c r="O1676" i="1" s="1"/>
  <c r="P1719" i="1"/>
  <c r="M1747" i="1"/>
  <c r="P1750" i="1"/>
  <c r="P1677" i="1"/>
  <c r="M1704" i="1"/>
  <c r="N1704" i="1" s="1"/>
  <c r="P1704" i="1"/>
  <c r="N1756" i="1"/>
  <c r="M1762" i="1"/>
  <c r="O1816" i="1"/>
  <c r="N1816" i="1"/>
  <c r="M1804" i="1"/>
  <c r="N1804" i="1" s="1"/>
  <c r="N1842" i="1"/>
  <c r="P1763" i="1"/>
  <c r="N2002" i="1"/>
  <c r="O2002" i="1"/>
  <c r="O2001" i="1"/>
  <c r="M1914" i="1"/>
  <c r="N1914" i="1" s="1"/>
  <c r="P1914" i="1"/>
  <c r="M2023" i="1"/>
  <c r="N2023" i="1" s="1"/>
  <c r="P2023" i="1"/>
  <c r="N2045" i="1"/>
  <c r="P1823" i="1"/>
  <c r="M1823" i="1"/>
  <c r="N1823" i="1" s="1"/>
  <c r="O1803" i="1"/>
  <c r="N1803" i="1"/>
  <c r="O1970" i="1"/>
  <c r="N1970" i="1"/>
  <c r="M1942" i="1"/>
  <c r="P1942" i="1"/>
  <c r="P1992" i="1"/>
  <c r="M1992" i="1"/>
  <c r="N1992" i="1" s="1"/>
  <c r="P2063" i="1"/>
  <c r="P2062" i="1"/>
  <c r="P2044" i="1"/>
  <c r="M2049" i="1"/>
  <c r="O2049" i="1" s="1"/>
  <c r="P1910" i="1"/>
  <c r="P1962" i="1"/>
  <c r="M1950" i="1"/>
  <c r="M1927" i="1"/>
  <c r="N1927" i="1" s="1"/>
  <c r="N1879" i="1"/>
  <c r="P2013" i="1"/>
  <c r="M1883" i="1"/>
  <c r="N1883" i="1" s="1"/>
  <c r="M1899" i="1"/>
  <c r="P2061" i="1"/>
  <c r="M1878" i="1"/>
  <c r="N2055" i="1"/>
  <c r="M2041" i="1"/>
  <c r="N2041" i="1" s="1"/>
  <c r="O1913" i="1"/>
  <c r="M2069" i="1"/>
  <c r="O1824" i="1"/>
  <c r="N2043" i="1"/>
  <c r="N2046" i="1"/>
  <c r="O2085" i="1"/>
  <c r="N2085" i="1"/>
  <c r="O2086" i="1"/>
  <c r="N2086" i="1"/>
  <c r="N2076" i="1"/>
  <c r="O2076" i="1"/>
  <c r="O2080" i="1"/>
  <c r="N2080" i="1"/>
  <c r="O2084" i="1"/>
  <c r="N2084" i="1"/>
  <c r="O2077" i="1"/>
  <c r="N2077" i="1"/>
  <c r="N2058" i="1"/>
  <c r="O2058" i="1"/>
  <c r="N2048" i="1"/>
  <c r="O2048" i="1"/>
  <c r="N2074" i="1"/>
  <c r="N2059" i="1"/>
  <c r="O2059" i="1"/>
  <c r="N1997" i="1"/>
  <c r="O1997" i="1"/>
  <c r="N2068" i="1"/>
  <c r="O2068" i="1"/>
  <c r="O1907" i="1"/>
  <c r="N1907" i="1"/>
  <c r="N2062" i="1"/>
  <c r="O2062" i="1"/>
  <c r="N1796" i="1"/>
  <c r="O1796" i="1"/>
  <c r="N2073" i="1"/>
  <c r="N2060" i="1"/>
  <c r="N2040" i="1"/>
  <c r="O2040" i="1"/>
  <c r="M2066" i="1"/>
  <c r="O1986" i="1"/>
  <c r="M1930" i="1"/>
  <c r="O1882" i="1"/>
  <c r="M1853" i="1"/>
  <c r="O2072" i="1"/>
  <c r="M2070" i="1"/>
  <c r="O2051" i="1"/>
  <c r="M2047" i="1"/>
  <c r="O2063" i="1"/>
  <c r="M2053" i="1"/>
  <c r="O2044" i="1"/>
  <c r="M2056" i="1"/>
  <c r="P1997" i="1"/>
  <c r="M1948" i="1"/>
  <c r="P1907" i="1"/>
  <c r="M1867" i="1"/>
  <c r="O1972" i="1" s="1"/>
  <c r="P1796" i="1"/>
  <c r="M2065" i="1"/>
  <c r="P2073" i="1"/>
  <c r="M2054" i="1"/>
  <c r="O2073" i="1" s="1"/>
  <c r="P2058" i="1"/>
  <c r="M2057" i="1"/>
  <c r="P2074" i="1"/>
  <c r="M2052" i="1"/>
  <c r="P2048" i="1"/>
  <c r="M2042" i="1"/>
  <c r="O2074" i="1" s="1"/>
  <c r="P2060" i="1"/>
  <c r="N2067" i="1"/>
  <c r="M2039" i="1"/>
  <c r="O2061" i="1"/>
  <c r="P2059" i="1"/>
  <c r="P2040" i="1"/>
  <c r="O2071" i="1"/>
  <c r="N1983" i="1"/>
  <c r="N1866" i="1"/>
  <c r="N1957" i="1"/>
  <c r="O1957" i="1"/>
  <c r="O1910" i="1"/>
  <c r="N1910" i="1"/>
  <c r="N1934" i="1"/>
  <c r="O1934" i="1"/>
  <c r="O2016" i="1"/>
  <c r="N2016" i="1"/>
  <c r="N1852" i="1"/>
  <c r="O1852" i="1"/>
  <c r="N2020" i="1"/>
  <c r="O1898" i="1"/>
  <c r="N1898" i="1"/>
  <c r="O1887" i="1"/>
  <c r="N1887" i="1"/>
  <c r="N1873" i="1"/>
  <c r="O1906" i="1"/>
  <c r="N1906" i="1"/>
  <c r="N1962" i="1"/>
  <c r="O1962" i="1"/>
  <c r="N1905" i="1"/>
  <c r="O1937" i="1"/>
  <c r="N1937" i="1"/>
  <c r="N1901" i="1"/>
  <c r="O1901" i="1"/>
  <c r="P1957" i="1"/>
  <c r="P1873" i="1"/>
  <c r="M1968" i="1"/>
  <c r="P1901" i="1"/>
  <c r="N1920" i="1"/>
  <c r="M1984" i="1"/>
  <c r="P1984" i="1"/>
  <c r="M1861" i="1"/>
  <c r="M1979" i="1"/>
  <c r="O2019" i="1" s="1"/>
  <c r="P1862" i="1"/>
  <c r="N1932" i="1"/>
  <c r="M2006" i="1"/>
  <c r="N1933" i="1"/>
  <c r="P2015" i="1"/>
  <c r="N1875" i="1"/>
  <c r="M1987" i="1"/>
  <c r="O1884" i="1" s="1"/>
  <c r="P1945" i="1"/>
  <c r="N2019" i="1"/>
  <c r="M2033" i="1"/>
  <c r="N1982" i="1"/>
  <c r="P1928" i="1"/>
  <c r="M1928" i="1"/>
  <c r="N1950" i="1"/>
  <c r="M1924" i="1"/>
  <c r="P1924" i="1"/>
  <c r="O2014" i="1"/>
  <c r="N2038" i="1"/>
  <c r="P1865" i="1"/>
  <c r="M1865" i="1"/>
  <c r="O2026" i="1" s="1"/>
  <c r="M1985" i="1"/>
  <c r="P1985" i="1"/>
  <c r="O1877" i="1"/>
  <c r="N1860" i="1"/>
  <c r="N2034" i="1"/>
  <c r="M1994" i="1"/>
  <c r="N1921" i="1"/>
  <c r="O1921" i="1"/>
  <c r="N1996" i="1"/>
  <c r="O1996" i="1"/>
  <c r="M1902" i="1"/>
  <c r="P1902" i="1"/>
  <c r="M2025" i="1"/>
  <c r="P2025" i="1"/>
  <c r="M1952" i="1"/>
  <c r="P1952" i="1"/>
  <c r="O1936" i="1"/>
  <c r="N1936" i="1"/>
  <c r="O1874" i="1"/>
  <c r="N1874" i="1"/>
  <c r="P1905" i="1"/>
  <c r="P2017" i="1"/>
  <c r="M2017" i="1"/>
  <c r="O1873" i="1" s="1"/>
  <c r="P1912" i="1"/>
  <c r="M1876" i="1"/>
  <c r="P1876" i="1"/>
  <c r="M1847" i="1"/>
  <c r="P1847" i="1"/>
  <c r="P1918" i="1"/>
  <c r="M1918" i="1"/>
  <c r="M1949" i="1"/>
  <c r="P1949" i="1"/>
  <c r="M1854" i="1"/>
  <c r="O1848" i="1" s="1"/>
  <c r="P1854" i="1"/>
  <c r="P1906" i="1"/>
  <c r="P2029" i="1"/>
  <c r="M1857" i="1"/>
  <c r="P1857" i="1"/>
  <c r="O1963" i="1"/>
  <c r="O2024" i="1"/>
  <c r="N1863" i="1"/>
  <c r="P1983" i="1"/>
  <c r="N2029" i="1"/>
  <c r="P1887" i="1"/>
  <c r="N1935" i="1"/>
  <c r="N1912" i="1"/>
  <c r="M1925" i="1"/>
  <c r="O1846" i="1" s="1"/>
  <c r="N2000" i="1"/>
  <c r="M1881" i="1"/>
  <c r="P1881" i="1"/>
  <c r="M1995" i="1"/>
  <c r="P1995" i="1"/>
  <c r="O1885" i="1"/>
  <c r="N1885" i="1"/>
  <c r="P2024" i="1"/>
  <c r="P2020" i="1"/>
  <c r="P1866" i="1"/>
  <c r="P1920" i="1"/>
  <c r="P1863" i="1"/>
  <c r="P1940" i="1"/>
  <c r="M1940" i="1"/>
  <c r="M1960" i="1"/>
  <c r="M1931" i="1"/>
  <c r="M1869" i="1"/>
  <c r="P1898" i="1"/>
  <c r="O1900" i="1"/>
  <c r="M1916" i="1"/>
  <c r="P1916" i="1"/>
  <c r="N2028" i="1"/>
  <c r="N1892" i="1"/>
  <c r="O1892" i="1"/>
  <c r="O1927" i="1"/>
  <c r="N2003" i="1"/>
  <c r="O2003" i="1"/>
  <c r="O1990" i="1"/>
  <c r="N1990" i="1"/>
  <c r="N1947" i="1"/>
  <c r="P1963" i="1"/>
  <c r="P1934" i="1"/>
  <c r="O1856" i="1"/>
  <c r="N1856" i="1"/>
  <c r="P1859" i="1"/>
  <c r="M1859" i="1"/>
  <c r="M1999" i="1"/>
  <c r="O1905" i="1" s="1"/>
  <c r="P1999" i="1"/>
  <c r="O1976" i="1"/>
  <c r="N1976" i="1"/>
  <c r="M1938" i="1"/>
  <c r="P1938" i="1"/>
  <c r="O1896" i="1"/>
  <c r="N1896" i="1"/>
  <c r="O1891" i="1"/>
  <c r="N1891" i="1"/>
  <c r="P1868" i="1"/>
  <c r="M1868" i="1"/>
  <c r="P2004" i="1"/>
  <c r="M2004" i="1"/>
  <c r="O1947" i="1" s="1"/>
  <c r="P1955" i="1"/>
  <c r="M1955" i="1"/>
  <c r="O1860" i="1" s="1"/>
  <c r="M1886" i="1"/>
  <c r="P1886" i="1"/>
  <c r="P1909" i="1"/>
  <c r="M1909" i="1"/>
  <c r="O2011" i="1" s="1"/>
  <c r="P2027" i="1"/>
  <c r="M2027" i="1"/>
  <c r="O1922" i="1" s="1"/>
  <c r="P2022" i="1"/>
  <c r="M2022" i="1"/>
  <c r="O1981" i="1" s="1"/>
  <c r="P1974" i="1"/>
  <c r="M1974" i="1"/>
  <c r="O1920" i="1" s="1"/>
  <c r="N1872" i="1"/>
  <c r="P1991" i="1"/>
  <c r="M1991" i="1"/>
  <c r="O1888" i="1"/>
  <c r="P1936" i="1"/>
  <c r="N1972" i="1"/>
  <c r="O2013" i="1"/>
  <c r="N2026" i="1"/>
  <c r="N2032" i="1"/>
  <c r="N1871" i="1"/>
  <c r="M1969" i="1"/>
  <c r="P1969" i="1"/>
  <c r="M1870" i="1"/>
  <c r="P1870" i="1"/>
  <c r="M1967" i="1"/>
  <c r="P1967" i="1"/>
  <c r="M1966" i="1"/>
  <c r="O1983" i="1" s="1"/>
  <c r="P1966" i="1"/>
  <c r="P1941" i="1"/>
  <c r="M1941" i="1"/>
  <c r="O1858" i="1" s="1"/>
  <c r="O1914" i="1"/>
  <c r="N2011" i="1"/>
  <c r="P1980" i="1"/>
  <c r="M1980" i="1"/>
  <c r="O1945" i="1" s="1"/>
  <c r="P1978" i="1"/>
  <c r="M1978" i="1"/>
  <c r="P1896" i="1"/>
  <c r="P1903" i="1"/>
  <c r="M1903" i="1"/>
  <c r="O1889" i="1" s="1"/>
  <c r="P1874" i="1"/>
  <c r="P1891" i="1"/>
  <c r="P1885" i="1"/>
  <c r="M1855" i="1"/>
  <c r="O2032" i="1" s="1"/>
  <c r="P1855" i="1"/>
  <c r="M2009" i="1"/>
  <c r="O1977" i="1" s="1"/>
  <c r="P2009" i="1"/>
  <c r="M1880" i="1"/>
  <c r="P1880" i="1"/>
  <c r="O1993" i="1"/>
  <c r="O1883" i="1"/>
  <c r="O1992" i="1"/>
  <c r="P1989" i="1"/>
  <c r="M1989" i="1"/>
  <c r="N1956" i="1"/>
  <c r="P1897" i="1"/>
  <c r="M1897" i="1"/>
  <c r="N1923" i="1"/>
  <c r="O1923" i="1"/>
  <c r="M1953" i="1"/>
  <c r="M2012" i="1"/>
  <c r="P1923" i="1"/>
  <c r="N1817" i="1"/>
  <c r="O1817" i="1"/>
  <c r="N1805" i="1"/>
  <c r="O1780" i="1"/>
  <c r="N1761" i="1"/>
  <c r="O1761" i="1"/>
  <c r="N1811" i="1"/>
  <c r="O1776" i="1"/>
  <c r="N1776" i="1"/>
  <c r="N1841" i="1"/>
  <c r="O1841" i="1"/>
  <c r="N1787" i="1"/>
  <c r="N1808" i="1"/>
  <c r="N1844" i="1"/>
  <c r="O1844" i="1"/>
  <c r="O1788" i="1"/>
  <c r="N1788" i="1"/>
  <c r="N1758" i="1"/>
  <c r="O1758" i="1"/>
  <c r="N1802" i="1"/>
  <c r="O1802" i="1"/>
  <c r="N1764" i="1"/>
  <c r="O1764" i="1"/>
  <c r="N1833" i="1"/>
  <c r="O1833" i="1"/>
  <c r="N1792" i="1"/>
  <c r="O1792" i="1"/>
  <c r="N1782" i="1"/>
  <c r="N1815" i="1"/>
  <c r="N1840" i="1"/>
  <c r="O1840" i="1"/>
  <c r="N1821" i="1"/>
  <c r="N1793" i="1"/>
  <c r="O1793" i="1"/>
  <c r="N1784" i="1"/>
  <c r="O1784" i="1"/>
  <c r="N1797" i="1"/>
  <c r="O1797" i="1"/>
  <c r="N1801" i="1"/>
  <c r="O1801" i="1"/>
  <c r="N1812" i="1"/>
  <c r="O1812" i="1"/>
  <c r="N1783" i="1"/>
  <c r="O1783" i="1"/>
  <c r="N1818" i="1"/>
  <c r="O1818" i="1"/>
  <c r="N1814" i="1"/>
  <c r="O1814" i="1"/>
  <c r="N1825" i="1"/>
  <c r="O1825" i="1"/>
  <c r="N1773" i="1"/>
  <c r="O1773" i="1"/>
  <c r="O1763" i="1"/>
  <c r="N1763" i="1"/>
  <c r="N1822" i="1"/>
  <c r="O1822" i="1"/>
  <c r="N1794" i="1"/>
  <c r="O1794" i="1"/>
  <c r="N1828" i="1"/>
  <c r="N68" i="1"/>
  <c r="O68" i="1"/>
  <c r="N1768" i="1"/>
  <c r="O1768" i="1"/>
  <c r="N1831" i="1"/>
  <c r="O1831" i="1"/>
  <c r="N1830" i="1"/>
  <c r="O1830" i="1"/>
  <c r="N1800" i="1"/>
  <c r="O1800" i="1"/>
  <c r="N1789" i="1"/>
  <c r="N1772" i="1"/>
  <c r="O1772" i="1"/>
  <c r="N1771" i="1"/>
  <c r="O1771" i="1"/>
  <c r="N1778" i="1"/>
  <c r="N1775" i="1"/>
  <c r="P1822" i="1"/>
  <c r="P1782" i="1"/>
  <c r="P68" i="1"/>
  <c r="P1830" i="1"/>
  <c r="P1793" i="1"/>
  <c r="P1811" i="1"/>
  <c r="P1773" i="1"/>
  <c r="P1844" i="1"/>
  <c r="P1772" i="1"/>
  <c r="P1801" i="1"/>
  <c r="M1765" i="1"/>
  <c r="P1821" i="1"/>
  <c r="M1781" i="1"/>
  <c r="P1792" i="1"/>
  <c r="M1806" i="1"/>
  <c r="P1783" i="1"/>
  <c r="M1767" i="1"/>
  <c r="P1761" i="1"/>
  <c r="M1769" i="1"/>
  <c r="O1798" i="1" s="1"/>
  <c r="P1817" i="1"/>
  <c r="M1839" i="1"/>
  <c r="O1815" i="1" s="1"/>
  <c r="P1828" i="1"/>
  <c r="M1779" i="1"/>
  <c r="P1825" i="1"/>
  <c r="M1832" i="1"/>
  <c r="P1840" i="1"/>
  <c r="M1836" i="1"/>
  <c r="O1811" i="1" s="1"/>
  <c r="P1833" i="1"/>
  <c r="M1777" i="1"/>
  <c r="P1841" i="1"/>
  <c r="M1786" i="1"/>
  <c r="O1787" i="1" s="1"/>
  <c r="P1789" i="1"/>
  <c r="M1809" i="1"/>
  <c r="O1842" i="1" s="1"/>
  <c r="P1831" i="1"/>
  <c r="M1829" i="1"/>
  <c r="O1805" i="1" s="1"/>
  <c r="P1797" i="1"/>
  <c r="M1834" i="1"/>
  <c r="P1764" i="1"/>
  <c r="M1770" i="1"/>
  <c r="P1778" i="1"/>
  <c r="P1818" i="1"/>
  <c r="P1805" i="1"/>
  <c r="P1758" i="1"/>
  <c r="P1787" i="1"/>
  <c r="O1820" i="1"/>
  <c r="O1826" i="1"/>
  <c r="O1838" i="1"/>
  <c r="O1774" i="1"/>
  <c r="O1791" i="1"/>
  <c r="O1810" i="1"/>
  <c r="O1807" i="1"/>
  <c r="O1799" i="1"/>
  <c r="N1709" i="1"/>
  <c r="O1709" i="1"/>
  <c r="O1687" i="1"/>
  <c r="N1687" i="1"/>
  <c r="O1719" i="1"/>
  <c r="O1704" i="1"/>
  <c r="N1647" i="1"/>
  <c r="O1647" i="1"/>
  <c r="N1701" i="1"/>
  <c r="N1713" i="1"/>
  <c r="N1671" i="1"/>
  <c r="P1664" i="1"/>
  <c r="N1700" i="1"/>
  <c r="O1653" i="1"/>
  <c r="N1653" i="1"/>
  <c r="P1675" i="1"/>
  <c r="M1692" i="1"/>
  <c r="N1748" i="1"/>
  <c r="P1652" i="1"/>
  <c r="O1652" i="1"/>
  <c r="N1652" i="1"/>
  <c r="N1661" i="1"/>
  <c r="O1670" i="1"/>
  <c r="N1670" i="1"/>
  <c r="N1694" i="1"/>
  <c r="N1717" i="1"/>
  <c r="N1658" i="1"/>
  <c r="N1738" i="1"/>
  <c r="O1705" i="1"/>
  <c r="N1705" i="1"/>
  <c r="N1680" i="1"/>
  <c r="O1645" i="1"/>
  <c r="N1645" i="1"/>
  <c r="N1656" i="1"/>
  <c r="M1646" i="1"/>
  <c r="N1706" i="1"/>
  <c r="N1740" i="1"/>
  <c r="N1724" i="1"/>
  <c r="O1696" i="1"/>
  <c r="M1657" i="1"/>
  <c r="N1725" i="1"/>
  <c r="N1690" i="1"/>
  <c r="N1723" i="1"/>
  <c r="M1688" i="1"/>
  <c r="P1718" i="1"/>
  <c r="M1668" i="1"/>
  <c r="O1718" i="1" s="1"/>
  <c r="P1696" i="1"/>
  <c r="M1728" i="1"/>
  <c r="M1699" i="1"/>
  <c r="N1720" i="1"/>
  <c r="M1708" i="1"/>
  <c r="N1712" i="1"/>
  <c r="N1673" i="1"/>
  <c r="O1673" i="1"/>
  <c r="P1715" i="1"/>
  <c r="P1656" i="1"/>
  <c r="M1683" i="1"/>
  <c r="O1713" i="1" s="1"/>
  <c r="P1706" i="1"/>
  <c r="M1655" i="1"/>
  <c r="O1742" i="1" s="1"/>
  <c r="P1725" i="1"/>
  <c r="O1691" i="1"/>
  <c r="M1681" i="1"/>
  <c r="P1754" i="1"/>
  <c r="M1716" i="1"/>
  <c r="O1697" i="1" s="1"/>
  <c r="P1730" i="1"/>
  <c r="N1676" i="1"/>
  <c r="P1736" i="1"/>
  <c r="O1744" i="1"/>
  <c r="M1749" i="1"/>
  <c r="N1715" i="1"/>
  <c r="O1674" i="1"/>
  <c r="N1674" i="1"/>
  <c r="P1702" i="1"/>
  <c r="N1644" i="1"/>
  <c r="P1687" i="1"/>
  <c r="P1744" i="1"/>
  <c r="P1650" i="1"/>
  <c r="M1650" i="1"/>
  <c r="N1648" i="1"/>
  <c r="N1649" i="1"/>
  <c r="M1729" i="1"/>
  <c r="O1748" i="1" s="1"/>
  <c r="P1570" i="1"/>
  <c r="O1559" i="1"/>
  <c r="P1591" i="1"/>
  <c r="M1321" i="1"/>
  <c r="O1321" i="1" s="1"/>
  <c r="N1410" i="1"/>
  <c r="M1575" i="1"/>
  <c r="P1596" i="1"/>
  <c r="M1514" i="1"/>
  <c r="O1514" i="1" s="1"/>
  <c r="M1436" i="1"/>
  <c r="M1549" i="1"/>
  <c r="O1549" i="1" s="1"/>
  <c r="P1477" i="1"/>
  <c r="P1502" i="1"/>
  <c r="O1618" i="1"/>
  <c r="N1591" i="1"/>
  <c r="O1580" i="1"/>
  <c r="P1572" i="1"/>
  <c r="M1442" i="1"/>
  <c r="O1546" i="1" s="1"/>
  <c r="M1573" i="1"/>
  <c r="N1573" i="1" s="1"/>
  <c r="P1574" i="1"/>
  <c r="P1410" i="1"/>
  <c r="M1585" i="1"/>
  <c r="N1585" i="1" s="1"/>
  <c r="P1116" i="1"/>
  <c r="M1625" i="1"/>
  <c r="N1625" i="1" s="1"/>
  <c r="P1495" i="1"/>
  <c r="M1443" i="1"/>
  <c r="N1413" i="1"/>
  <c r="M1396" i="1"/>
  <c r="O1396" i="1" s="1"/>
  <c r="M1492" i="1"/>
  <c r="P1536" i="1"/>
  <c r="O1495" i="1"/>
  <c r="N1495" i="1"/>
  <c r="N1568" i="1"/>
  <c r="N1458" i="1"/>
  <c r="M1301" i="1"/>
  <c r="O1301" i="1" s="1"/>
  <c r="M1641" i="1"/>
  <c r="O1641" i="1" s="1"/>
  <c r="M1620" i="1"/>
  <c r="P1618" i="1"/>
  <c r="M1617" i="1"/>
  <c r="M1614" i="1"/>
  <c r="O1614" i="1" s="1"/>
  <c r="M1607" i="1"/>
  <c r="N1607" i="1" s="1"/>
  <c r="N1624" i="1"/>
  <c r="O1626" i="1"/>
  <c r="M1540" i="1"/>
  <c r="M1473" i="1"/>
  <c r="O1473" i="1" s="1"/>
  <c r="N1435" i="1"/>
  <c r="M1511" i="1"/>
  <c r="P1559" i="1"/>
  <c r="O1438" i="1"/>
  <c r="P1393" i="1"/>
  <c r="P1480" i="1"/>
  <c r="P1506" i="1"/>
  <c r="N1527" i="1"/>
  <c r="P1543" i="1"/>
  <c r="N1427" i="1"/>
  <c r="P1568" i="1"/>
  <c r="P1401" i="1"/>
  <c r="M1566" i="1"/>
  <c r="N1566" i="1" s="1"/>
  <c r="P1542" i="1"/>
  <c r="P1599" i="1"/>
  <c r="P1403" i="1"/>
  <c r="M1633" i="1"/>
  <c r="N1633" i="1" s="1"/>
  <c r="M1613" i="1"/>
  <c r="P1610" i="1"/>
  <c r="M1621" i="1"/>
  <c r="N1621" i="1" s="1"/>
  <c r="M1453" i="1"/>
  <c r="N1453" i="1" s="1"/>
  <c r="M1494" i="1"/>
  <c r="O1596" i="1" s="1"/>
  <c r="M1519" i="1"/>
  <c r="O1399" i="1"/>
  <c r="M1601" i="1"/>
  <c r="M1603" i="1"/>
  <c r="O1535" i="1" s="1"/>
  <c r="P1413" i="1"/>
  <c r="P1418" i="1"/>
  <c r="P1446" i="1"/>
  <c r="P1516" i="1"/>
  <c r="M1561" i="1"/>
  <c r="M1451" i="1"/>
  <c r="M1131" i="1"/>
  <c r="M1067" i="1"/>
  <c r="N1067" i="1" s="1"/>
  <c r="M1130" i="1"/>
  <c r="N1130" i="1" s="1"/>
  <c r="P1070" i="1"/>
  <c r="M1619" i="1"/>
  <c r="N1619" i="1" s="1"/>
  <c r="M1608" i="1"/>
  <c r="P1624" i="1"/>
  <c r="M1640" i="1"/>
  <c r="M1623" i="1"/>
  <c r="N1623" i="1" s="1"/>
  <c r="P1419" i="1"/>
  <c r="M1504" i="1"/>
  <c r="N1504" i="1" s="1"/>
  <c r="N1217" i="1"/>
  <c r="M1193" i="1"/>
  <c r="P1158" i="1"/>
  <c r="M1643" i="1"/>
  <c r="O1656" i="1" s="1"/>
  <c r="M1612" i="1"/>
  <c r="M1587" i="1"/>
  <c r="N1587" i="1" s="1"/>
  <c r="O1419" i="1"/>
  <c r="M1539" i="1"/>
  <c r="N1539" i="1" s="1"/>
  <c r="P1548" i="1"/>
  <c r="P1394" i="1"/>
  <c r="P1635" i="1"/>
  <c r="M1635" i="1"/>
  <c r="P1634" i="1"/>
  <c r="M1634" i="1"/>
  <c r="N1610" i="1"/>
  <c r="O1610" i="1"/>
  <c r="P1609" i="1"/>
  <c r="M1609" i="1"/>
  <c r="P1630" i="1"/>
  <c r="M1630" i="1"/>
  <c r="P1478" i="1"/>
  <c r="M1478" i="1"/>
  <c r="P1588" i="1"/>
  <c r="M1588" i="1"/>
  <c r="P1525" i="1"/>
  <c r="M1525" i="1"/>
  <c r="N1636" i="1"/>
  <c r="O1636" i="1"/>
  <c r="N1570" i="1"/>
  <c r="O1570" i="1"/>
  <c r="P1474" i="1"/>
  <c r="M1474" i="1"/>
  <c r="P1500" i="1"/>
  <c r="M1500" i="1"/>
  <c r="O1568" i="1" s="1"/>
  <c r="P1637" i="1"/>
  <c r="M1637" i="1"/>
  <c r="P1560" i="1"/>
  <c r="M1560" i="1"/>
  <c r="P1468" i="1"/>
  <c r="M1468" i="1"/>
  <c r="O1413" i="1" s="1"/>
  <c r="M1407" i="1"/>
  <c r="P1407" i="1"/>
  <c r="P1405" i="1"/>
  <c r="M1405" i="1"/>
  <c r="M1597" i="1"/>
  <c r="O1597" i="1" s="1"/>
  <c r="P1597" i="1"/>
  <c r="M1400" i="1"/>
  <c r="O1463" i="1" s="1"/>
  <c r="P1400" i="1"/>
  <c r="N1393" i="1"/>
  <c r="O1393" i="1"/>
  <c r="M1518" i="1"/>
  <c r="P1518" i="1"/>
  <c r="N1480" i="1"/>
  <c r="M1507" i="1"/>
  <c r="O1410" i="1" s="1"/>
  <c r="P1507" i="1"/>
  <c r="O1574" i="1"/>
  <c r="N1574" i="1"/>
  <c r="O1548" i="1"/>
  <c r="N1548" i="1"/>
  <c r="P1421" i="1"/>
  <c r="M1421" i="1"/>
  <c r="P1484" i="1"/>
  <c r="M1484" i="1"/>
  <c r="N1484" i="1" s="1"/>
  <c r="N1418" i="1"/>
  <c r="O1418" i="1"/>
  <c r="M1422" i="1"/>
  <c r="N1422" i="1" s="1"/>
  <c r="P1422" i="1"/>
  <c r="N1521" i="1"/>
  <c r="O1521" i="1"/>
  <c r="N1599" i="1"/>
  <c r="O1599" i="1"/>
  <c r="O1582" i="1"/>
  <c r="N1582" i="1"/>
  <c r="N1416" i="1"/>
  <c r="M1397" i="1"/>
  <c r="O1397" i="1" s="1"/>
  <c r="M1395" i="1"/>
  <c r="N1395" i="1" s="1"/>
  <c r="M1545" i="1"/>
  <c r="M1414" i="1"/>
  <c r="N1414" i="1" s="1"/>
  <c r="P1576" i="1"/>
  <c r="M1412" i="1"/>
  <c r="P1521" i="1"/>
  <c r="M1594" i="1"/>
  <c r="N1594" i="1" s="1"/>
  <c r="P1582" i="1"/>
  <c r="N1536" i="1"/>
  <c r="P1564" i="1"/>
  <c r="M1501" i="1"/>
  <c r="O1501" i="1" s="1"/>
  <c r="N1502" i="1"/>
  <c r="M1452" i="1"/>
  <c r="M1420" i="1"/>
  <c r="O1420" i="1" s="1"/>
  <c r="M1398" i="1"/>
  <c r="O1502" i="1" s="1"/>
  <c r="O1551" i="1"/>
  <c r="M1493" i="1"/>
  <c r="O1589" i="1" s="1"/>
  <c r="N1394" i="1"/>
  <c r="M1439" i="1"/>
  <c r="O1439" i="1" s="1"/>
  <c r="P1546" i="1"/>
  <c r="M1437" i="1"/>
  <c r="N1437" i="1" s="1"/>
  <c r="O1497" i="1"/>
  <c r="N1497" i="1"/>
  <c r="N1581" i="1"/>
  <c r="O1430" i="1"/>
  <c r="N1430" i="1"/>
  <c r="N1486" i="1"/>
  <c r="N1498" i="1"/>
  <c r="O1498" i="1"/>
  <c r="N1642" i="1"/>
  <c r="O1642" i="1"/>
  <c r="N1616" i="1"/>
  <c r="O1616" i="1"/>
  <c r="N1605" i="1"/>
  <c r="O1605" i="1"/>
  <c r="O1476" i="1"/>
  <c r="N1476" i="1"/>
  <c r="N1431" i="1"/>
  <c r="O1431" i="1"/>
  <c r="N1499" i="1"/>
  <c r="O1499" i="1"/>
  <c r="N1589" i="1"/>
  <c r="N1627" i="1"/>
  <c r="O1534" i="1"/>
  <c r="N1534" i="1"/>
  <c r="N1524" i="1"/>
  <c r="O1524" i="1"/>
  <c r="N1632" i="1"/>
  <c r="O1632" i="1"/>
  <c r="N1604" i="1"/>
  <c r="O1604" i="1"/>
  <c r="N1169" i="1"/>
  <c r="O1169" i="1"/>
  <c r="N1466" i="1"/>
  <c r="O1429" i="1"/>
  <c r="N1429" i="1"/>
  <c r="N1533" i="1"/>
  <c r="O1533" i="1"/>
  <c r="N1631" i="1"/>
  <c r="N1434" i="1"/>
  <c r="O1434" i="1"/>
  <c r="N1639" i="1"/>
  <c r="O1639" i="1"/>
  <c r="N1611" i="1"/>
  <c r="O1611" i="1"/>
  <c r="N1530" i="1"/>
  <c r="O1530" i="1"/>
  <c r="N1638" i="1"/>
  <c r="O1638" i="1"/>
  <c r="N1535" i="1"/>
  <c r="N1628" i="1"/>
  <c r="O1628" i="1"/>
  <c r="N1606" i="1"/>
  <c r="O1606" i="1"/>
  <c r="N1544" i="1"/>
  <c r="N1454" i="1"/>
  <c r="N1563" i="1"/>
  <c r="O1563" i="1"/>
  <c r="O1531" i="1"/>
  <c r="N1531" i="1"/>
  <c r="P1479" i="1"/>
  <c r="M1479" i="1"/>
  <c r="O1469" i="1" s="1"/>
  <c r="P1638" i="1"/>
  <c r="P1627" i="1"/>
  <c r="P1486" i="1"/>
  <c r="P1632" i="1"/>
  <c r="P1604" i="1"/>
  <c r="P1429" i="1"/>
  <c r="P1499" i="1"/>
  <c r="P1581" i="1"/>
  <c r="P1592" i="1"/>
  <c r="P1498" i="1"/>
  <c r="P1600" i="1"/>
  <c r="M1600" i="1"/>
  <c r="P1577" i="1"/>
  <c r="M1602" i="1"/>
  <c r="P1602" i="1"/>
  <c r="M1459" i="1"/>
  <c r="M1470" i="1"/>
  <c r="N1596" i="1"/>
  <c r="P1532" i="1"/>
  <c r="M1565" i="1"/>
  <c r="P1589" i="1"/>
  <c r="P1510" i="1"/>
  <c r="M1483" i="1"/>
  <c r="O1464" i="1" s="1"/>
  <c r="P1483" i="1"/>
  <c r="M1456" i="1"/>
  <c r="P1456" i="1"/>
  <c r="P1631" i="1"/>
  <c r="P1454" i="1"/>
  <c r="P1466" i="1"/>
  <c r="P1415" i="1"/>
  <c r="P1464" i="1"/>
  <c r="P1469" i="1"/>
  <c r="P1586" i="1"/>
  <c r="M1586" i="1"/>
  <c r="P1432" i="1"/>
  <c r="P1490" i="1"/>
  <c r="P1423" i="1"/>
  <c r="M1423" i="1"/>
  <c r="M1487" i="1"/>
  <c r="O1577" i="1"/>
  <c r="P1642" i="1"/>
  <c r="P1169" i="1"/>
  <c r="P1513" i="1"/>
  <c r="P1534" i="1"/>
  <c r="P1544" i="1"/>
  <c r="P1431" i="1"/>
  <c r="P1172" i="1"/>
  <c r="P1455" i="1"/>
  <c r="P1639" i="1"/>
  <c r="P1628" i="1"/>
  <c r="P1616" i="1"/>
  <c r="P1611" i="1"/>
  <c r="P1606" i="1"/>
  <c r="P1605" i="1"/>
  <c r="P1530" i="1"/>
  <c r="O1513" i="1"/>
  <c r="M1462" i="1"/>
  <c r="O1592" i="1"/>
  <c r="P1533" i="1"/>
  <c r="P1476" i="1"/>
  <c r="M1425" i="1"/>
  <c r="P1524" i="1"/>
  <c r="P1520" i="1"/>
  <c r="P1430" i="1"/>
  <c r="M1547" i="1"/>
  <c r="O1458" i="1" s="1"/>
  <c r="P1434" i="1"/>
  <c r="P1496" i="1"/>
  <c r="P1497" i="1"/>
  <c r="M1440" i="1"/>
  <c r="P1563" i="1"/>
  <c r="P1508" i="1"/>
  <c r="P1531" i="1"/>
  <c r="P1503" i="1"/>
  <c r="M1503" i="1"/>
  <c r="O1404" i="1"/>
  <c r="N1404" i="1"/>
  <c r="M1595" i="1"/>
  <c r="O1411" i="1" s="1"/>
  <c r="P1595" i="1"/>
  <c r="P1482" i="1"/>
  <c r="N1542" i="1"/>
  <c r="P1535" i="1"/>
  <c r="M1569" i="1"/>
  <c r="O1454" i="1" s="1"/>
  <c r="M1537" i="1"/>
  <c r="P1537" i="1"/>
  <c r="O1532" i="1"/>
  <c r="M1447" i="1"/>
  <c r="O1446" i="1" s="1"/>
  <c r="P1447" i="1"/>
  <c r="M1509" i="1"/>
  <c r="O1629" i="1"/>
  <c r="O1520" i="1"/>
  <c r="O1587" i="1"/>
  <c r="O1508" i="1"/>
  <c r="P1426" i="1"/>
  <c r="N1572" i="1"/>
  <c r="P1404" i="1"/>
  <c r="M1579" i="1"/>
  <c r="O1581" i="1" s="1"/>
  <c r="P1428" i="1"/>
  <c r="M1428" i="1"/>
  <c r="P1191" i="1"/>
  <c r="M1475" i="1"/>
  <c r="P1636" i="1"/>
  <c r="M1541" i="1"/>
  <c r="P1411" i="1"/>
  <c r="M1450" i="1"/>
  <c r="P1399" i="1"/>
  <c r="P1580" i="1"/>
  <c r="P1551" i="1"/>
  <c r="N1442" i="1"/>
  <c r="P1438" i="1"/>
  <c r="M1512" i="1"/>
  <c r="M1590" i="1"/>
  <c r="P1528" i="1"/>
  <c r="M1528" i="1"/>
  <c r="O1572" i="1" s="1"/>
  <c r="P1409" i="1"/>
  <c r="M1409" i="1"/>
  <c r="P1471" i="1"/>
  <c r="M1471" i="1"/>
  <c r="O1401" i="1" s="1"/>
  <c r="N1448" i="1"/>
  <c r="N1396" i="1"/>
  <c r="N1482" i="1"/>
  <c r="N1464" i="1"/>
  <c r="P1515" i="1"/>
  <c r="M1515" i="1"/>
  <c r="O1506" i="1" s="1"/>
  <c r="N1432" i="1"/>
  <c r="M1465" i="1"/>
  <c r="M1485" i="1"/>
  <c r="P1485" i="1"/>
  <c r="P1558" i="1"/>
  <c r="M1488" i="1"/>
  <c r="P1538" i="1"/>
  <c r="M1517" i="1"/>
  <c r="P1517" i="1"/>
  <c r="N1526" i="1"/>
  <c r="N1578" i="1"/>
  <c r="O1578" i="1"/>
  <c r="P1472" i="1"/>
  <c r="M1472" i="1"/>
  <c r="O1482" i="1" s="1"/>
  <c r="M1598" i="1"/>
  <c r="P1460" i="1"/>
  <c r="M1571" i="1"/>
  <c r="O1538" i="1"/>
  <c r="M1522" i="1"/>
  <c r="M1593" i="1"/>
  <c r="P1593" i="1"/>
  <c r="M1461" i="1"/>
  <c r="P1461" i="1"/>
  <c r="M1583" i="1"/>
  <c r="O1523" i="1" s="1"/>
  <c r="N1417" i="1"/>
  <c r="N1460" i="1"/>
  <c r="M1406" i="1"/>
  <c r="P1406" i="1"/>
  <c r="M1556" i="1"/>
  <c r="P1556" i="1"/>
  <c r="P1491" i="1"/>
  <c r="M1491" i="1"/>
  <c r="O1448" i="1" s="1"/>
  <c r="M1567" i="1"/>
  <c r="O1496" i="1" s="1"/>
  <c r="M1552" i="1"/>
  <c r="P1552" i="1"/>
  <c r="N1516" i="1"/>
  <c r="N1564" i="1"/>
  <c r="O1564" i="1"/>
  <c r="P1463" i="1"/>
  <c r="N1463" i="1"/>
  <c r="N1576" i="1"/>
  <c r="O1576" i="1"/>
  <c r="N1543" i="1"/>
  <c r="O1543" i="1"/>
  <c r="N1555" i="1"/>
  <c r="N1403" i="1"/>
  <c r="O1403" i="1"/>
  <c r="M1553" i="1"/>
  <c r="P1553" i="1"/>
  <c r="M1449" i="1"/>
  <c r="P1449" i="1"/>
  <c r="M1550" i="1"/>
  <c r="P1550" i="1"/>
  <c r="M1457" i="1"/>
  <c r="P1457" i="1"/>
  <c r="O1477" i="1"/>
  <c r="N1445" i="1"/>
  <c r="O1445" i="1"/>
  <c r="M1441" i="1"/>
  <c r="M1408" i="1"/>
  <c r="O1526" i="1" s="1"/>
  <c r="M1554" i="1"/>
  <c r="M1529" i="1"/>
  <c r="O1467" i="1" s="1"/>
  <c r="M1584" i="1"/>
  <c r="O1455" i="1" s="1"/>
  <c r="M1481" i="1"/>
  <c r="M1562" i="1"/>
  <c r="O1486" i="1" s="1"/>
  <c r="P1445" i="1"/>
  <c r="M1255" i="1"/>
  <c r="N1255" i="1" s="1"/>
  <c r="P1249" i="1"/>
  <c r="P1289" i="1"/>
  <c r="M1234" i="1"/>
  <c r="N1234" i="1" s="1"/>
  <c r="M1378" i="1"/>
  <c r="N1378" i="1" s="1"/>
  <c r="M1344" i="1"/>
  <c r="N1344" i="1" s="1"/>
  <c r="P1201" i="1"/>
  <c r="M1186" i="1"/>
  <c r="O1186" i="1" s="1"/>
  <c r="M1177" i="1"/>
  <c r="N1177" i="1" s="1"/>
  <c r="P1167" i="1"/>
  <c r="P1157" i="1"/>
  <c r="M1117" i="1"/>
  <c r="N1117" i="1" s="1"/>
  <c r="M1018" i="1"/>
  <c r="O1077" i="1" s="1"/>
  <c r="P1182" i="1"/>
  <c r="M1354" i="1"/>
  <c r="M1388" i="1"/>
  <c r="O1297" i="1"/>
  <c r="M1272" i="1"/>
  <c r="P1112" i="1"/>
  <c r="M1105" i="1"/>
  <c r="N1105" i="1" s="1"/>
  <c r="M1351" i="1"/>
  <c r="M1328" i="1"/>
  <c r="P1319" i="1"/>
  <c r="P1307" i="1"/>
  <c r="P1264" i="1"/>
  <c r="M1262" i="1"/>
  <c r="P1228" i="1"/>
  <c r="P1212" i="1"/>
  <c r="P1188" i="1"/>
  <c r="O1114" i="1"/>
  <c r="N1085" i="1"/>
  <c r="P1208" i="1"/>
  <c r="P1180" i="1"/>
  <c r="M1074" i="1"/>
  <c r="M1376" i="1"/>
  <c r="M1359" i="1"/>
  <c r="N1319" i="1"/>
  <c r="M1294" i="1"/>
  <c r="N1294" i="1" s="1"/>
  <c r="M1270" i="1"/>
  <c r="M1256" i="1"/>
  <c r="P1247" i="1"/>
  <c r="M1179" i="1"/>
  <c r="N1179" i="1" s="1"/>
  <c r="P1176" i="1"/>
  <c r="P1148" i="1"/>
  <c r="M1143" i="1"/>
  <c r="P1123" i="1"/>
  <c r="N1121" i="1"/>
  <c r="M1106" i="1"/>
  <c r="N1072" i="1"/>
  <c r="M1069" i="1"/>
  <c r="N1069" i="1" s="1"/>
  <c r="P1046" i="1"/>
  <c r="N1323" i="1"/>
  <c r="P1317" i="1"/>
  <c r="P1292" i="1"/>
  <c r="M1268" i="1"/>
  <c r="P1258" i="1"/>
  <c r="M1017" i="1"/>
  <c r="O1017" i="1" s="1"/>
  <c r="M1384" i="1"/>
  <c r="N1384" i="1" s="1"/>
  <c r="M1381" i="1"/>
  <c r="P1280" i="1"/>
  <c r="P1239" i="1"/>
  <c r="P1225" i="1"/>
  <c r="P1215" i="1"/>
  <c r="O1212" i="1"/>
  <c r="M1031" i="1"/>
  <c r="M1283" i="1"/>
  <c r="N1247" i="1"/>
  <c r="M1237" i="1"/>
  <c r="O1237" i="1" s="1"/>
  <c r="P1217" i="1"/>
  <c r="N1046" i="1"/>
  <c r="M1175" i="1"/>
  <c r="O1175" i="1" s="1"/>
  <c r="P1164" i="1"/>
  <c r="P1145" i="1"/>
  <c r="P1128" i="1"/>
  <c r="M1109" i="1"/>
  <c r="N1109" i="1" s="1"/>
  <c r="M1049" i="1"/>
  <c r="N1049" i="1" s="1"/>
  <c r="M1174" i="1"/>
  <c r="N1174" i="1" s="1"/>
  <c r="P1154" i="1"/>
  <c r="P1146" i="1"/>
  <c r="P1114" i="1"/>
  <c r="P1096" i="1"/>
  <c r="P1085" i="1"/>
  <c r="N1070" i="1"/>
  <c r="P1052" i="1"/>
  <c r="N1019" i="1"/>
  <c r="P1391" i="1"/>
  <c r="M1391" i="1"/>
  <c r="M1382" i="1"/>
  <c r="P1382" i="1"/>
  <c r="P1358" i="1"/>
  <c r="M1358" i="1"/>
  <c r="O1358" i="1" s="1"/>
  <c r="M1281" i="1"/>
  <c r="N1281" i="1" s="1"/>
  <c r="M1222" i="1"/>
  <c r="O1222" i="1" s="1"/>
  <c r="P1222" i="1"/>
  <c r="P1337" i="1"/>
  <c r="M1337" i="1"/>
  <c r="P1019" i="1"/>
  <c r="P1386" i="1"/>
  <c r="M1386" i="1"/>
  <c r="N1386" i="1" s="1"/>
  <c r="M1373" i="1"/>
  <c r="N1373" i="1" s="1"/>
  <c r="N1365" i="1"/>
  <c r="M1363" i="1"/>
  <c r="P1357" i="1"/>
  <c r="M1357" i="1"/>
  <c r="N1357" i="1" s="1"/>
  <c r="M1023" i="1"/>
  <c r="M1380" i="1"/>
  <c r="M1375" i="1"/>
  <c r="N1311" i="1"/>
  <c r="N1289" i="1"/>
  <c r="N1257" i="1"/>
  <c r="M1250" i="1"/>
  <c r="P1250" i="1"/>
  <c r="P1030" i="1"/>
  <c r="P1026" i="1"/>
  <c r="P1368" i="1"/>
  <c r="M1368" i="1"/>
  <c r="P1365" i="1"/>
  <c r="M1349" i="1"/>
  <c r="P1349" i="1"/>
  <c r="M1347" i="1"/>
  <c r="P1334" i="1"/>
  <c r="P1309" i="1"/>
  <c r="M1309" i="1"/>
  <c r="O1312" i="1" s="1"/>
  <c r="P1306" i="1"/>
  <c r="M1306" i="1"/>
  <c r="P1227" i="1"/>
  <c r="M1227" i="1"/>
  <c r="P1223" i="1"/>
  <c r="M1223" i="1"/>
  <c r="N1223" i="1" s="1"/>
  <c r="P1022" i="1"/>
  <c r="M1022" i="1"/>
  <c r="N1022" i="1" s="1"/>
  <c r="M1078" i="1"/>
  <c r="P1076" i="1"/>
  <c r="M1392" i="1"/>
  <c r="P1392" i="1"/>
  <c r="P1390" i="1"/>
  <c r="M1390" i="1"/>
  <c r="P1353" i="1"/>
  <c r="M1353" i="1"/>
  <c r="M1343" i="1"/>
  <c r="P1340" i="1"/>
  <c r="M1340" i="1"/>
  <c r="M1327" i="1"/>
  <c r="P1327" i="1"/>
  <c r="M1322" i="1"/>
  <c r="P1311" i="1"/>
  <c r="M1032" i="1"/>
  <c r="P1029" i="1"/>
  <c r="M1029" i="1"/>
  <c r="N1029" i="1" s="1"/>
  <c r="M1024" i="1"/>
  <c r="M1079" i="1"/>
  <c r="N1079" i="1" s="1"/>
  <c r="M1075" i="1"/>
  <c r="N1075" i="1" s="1"/>
  <c r="P1033" i="1"/>
  <c r="M1033" i="1"/>
  <c r="N1033" i="1" s="1"/>
  <c r="M1374" i="1"/>
  <c r="M1364" i="1"/>
  <c r="P1348" i="1"/>
  <c r="M1348" i="1"/>
  <c r="P1318" i="1"/>
  <c r="M1318" i="1"/>
  <c r="N1318" i="1" s="1"/>
  <c r="P1296" i="1"/>
  <c r="M1296" i="1"/>
  <c r="P1288" i="1"/>
  <c r="M1288" i="1"/>
  <c r="N1288" i="1" s="1"/>
  <c r="M1285" i="1"/>
  <c r="O1289" i="1" s="1"/>
  <c r="N1274" i="1"/>
  <c r="P1257" i="1"/>
  <c r="M1231" i="1"/>
  <c r="P1231" i="1"/>
  <c r="M1204" i="1"/>
  <c r="P1204" i="1"/>
  <c r="P1274" i="1"/>
  <c r="M1243" i="1"/>
  <c r="O1247" i="1" s="1"/>
  <c r="P1243" i="1"/>
  <c r="P1170" i="1"/>
  <c r="M1170" i="1"/>
  <c r="M1324" i="1"/>
  <c r="N1324" i="1" s="1"/>
  <c r="M1235" i="1"/>
  <c r="O1239" i="1" s="1"/>
  <c r="P1235" i="1"/>
  <c r="N1176" i="1"/>
  <c r="M1210" i="1"/>
  <c r="P1210" i="1"/>
  <c r="P1137" i="1"/>
  <c r="M1137" i="1"/>
  <c r="M1261" i="1"/>
  <c r="P1261" i="1"/>
  <c r="P1211" i="1"/>
  <c r="M1211" i="1"/>
  <c r="P1189" i="1"/>
  <c r="M1189" i="1"/>
  <c r="P1162" i="1"/>
  <c r="M1162" i="1"/>
  <c r="O1220" i="1"/>
  <c r="N1220" i="1"/>
  <c r="P1206" i="1"/>
  <c r="M1206" i="1"/>
  <c r="M1203" i="1"/>
  <c r="P1203" i="1"/>
  <c r="M1198" i="1"/>
  <c r="N1198" i="1" s="1"/>
  <c r="P1198" i="1"/>
  <c r="P1136" i="1"/>
  <c r="M1136" i="1"/>
  <c r="N1136" i="1" s="1"/>
  <c r="P1333" i="1"/>
  <c r="M1333" i="1"/>
  <c r="O1292" i="1"/>
  <c r="P1284" i="1"/>
  <c r="N1280" i="1"/>
  <c r="M1279" i="1"/>
  <c r="P1246" i="1"/>
  <c r="P1242" i="1"/>
  <c r="M1242" i="1"/>
  <c r="O1246" i="1" s="1"/>
  <c r="P1220" i="1"/>
  <c r="M1144" i="1"/>
  <c r="N1144" i="1" s="1"/>
  <c r="P1144" i="1"/>
  <c r="P1134" i="1"/>
  <c r="M1134" i="1"/>
  <c r="N1134" i="1" s="1"/>
  <c r="N1249" i="1"/>
  <c r="O1249" i="1"/>
  <c r="N1228" i="1"/>
  <c r="N1208" i="1"/>
  <c r="O1208" i="1"/>
  <c r="P1156" i="1"/>
  <c r="M1156" i="1"/>
  <c r="M1142" i="1"/>
  <c r="O1142" i="1" s="1"/>
  <c r="P1142" i="1"/>
  <c r="M1122" i="1"/>
  <c r="N1122" i="1" s="1"/>
  <c r="P1120" i="1"/>
  <c r="M1093" i="1"/>
  <c r="O1093" i="1" s="1"/>
  <c r="M1090" i="1"/>
  <c r="N1090" i="1" s="1"/>
  <c r="M1087" i="1"/>
  <c r="O1087" i="1" s="1"/>
  <c r="P1084" i="1"/>
  <c r="M1081" i="1"/>
  <c r="O1081" i="1" s="1"/>
  <c r="P1068" i="1"/>
  <c r="P1065" i="1"/>
  <c r="P1058" i="1"/>
  <c r="P1054" i="1"/>
  <c r="M1051" i="1"/>
  <c r="N1051" i="1" s="1"/>
  <c r="P1048" i="1"/>
  <c r="N1054" i="1"/>
  <c r="P1121" i="1"/>
  <c r="P1119" i="1"/>
  <c r="M1100" i="1"/>
  <c r="N1100" i="1" s="1"/>
  <c r="M1092" i="1"/>
  <c r="N1092" i="1" s="1"/>
  <c r="P1089" i="1"/>
  <c r="P1083" i="1"/>
  <c r="P1064" i="1"/>
  <c r="P1050" i="1"/>
  <c r="P1047" i="1"/>
  <c r="P1044" i="1"/>
  <c r="P1040" i="1"/>
  <c r="P1127" i="1"/>
  <c r="N1127" i="1"/>
  <c r="M1113" i="1"/>
  <c r="N1113" i="1" s="1"/>
  <c r="M1107" i="1"/>
  <c r="N1107" i="1" s="1"/>
  <c r="P1102" i="1"/>
  <c r="P1071" i="1"/>
  <c r="P1387" i="1"/>
  <c r="M1387" i="1"/>
  <c r="P1372" i="1"/>
  <c r="M1372" i="1"/>
  <c r="P1369" i="1"/>
  <c r="M1369" i="1"/>
  <c r="P1362" i="1"/>
  <c r="M1362" i="1"/>
  <c r="O1362" i="1" s="1"/>
  <c r="M1360" i="1"/>
  <c r="N1360" i="1" s="1"/>
  <c r="P1360" i="1"/>
  <c r="M1355" i="1"/>
  <c r="N1355" i="1" s="1"/>
  <c r="P1355" i="1"/>
  <c r="P1339" i="1"/>
  <c r="M1339" i="1"/>
  <c r="N1339" i="1" s="1"/>
  <c r="O1334" i="1"/>
  <c r="N1334" i="1"/>
  <c r="P1330" i="1"/>
  <c r="M1330" i="1"/>
  <c r="N1317" i="1"/>
  <c r="N1307" i="1"/>
  <c r="P1302" i="1"/>
  <c r="M1302" i="1"/>
  <c r="P1299" i="1"/>
  <c r="M1299" i="1"/>
  <c r="O1299" i="1" s="1"/>
  <c r="P1267" i="1"/>
  <c r="M1267" i="1"/>
  <c r="O1264" i="1"/>
  <c r="N1264" i="1"/>
  <c r="N1256" i="1"/>
  <c r="P1251" i="1"/>
  <c r="M1251" i="1"/>
  <c r="N1251" i="1" s="1"/>
  <c r="P1248" i="1"/>
  <c r="M1248" i="1"/>
  <c r="N1246" i="1"/>
  <c r="N1225" i="1"/>
  <c r="P1200" i="1"/>
  <c r="M1200" i="1"/>
  <c r="M1199" i="1"/>
  <c r="P1199" i="1"/>
  <c r="M1173" i="1"/>
  <c r="O1176" i="1" s="1"/>
  <c r="P1173" i="1"/>
  <c r="N1167" i="1"/>
  <c r="M1152" i="1"/>
  <c r="N1152" i="1" s="1"/>
  <c r="P1152" i="1"/>
  <c r="M1149" i="1"/>
  <c r="P1149" i="1"/>
  <c r="N1148" i="1"/>
  <c r="M1135" i="1"/>
  <c r="P1135" i="1"/>
  <c r="P1129" i="1"/>
  <c r="M1129" i="1"/>
  <c r="O1129" i="1" s="1"/>
  <c r="P1124" i="1"/>
  <c r="M1124" i="1"/>
  <c r="O1121" i="1" s="1"/>
  <c r="M1126" i="1"/>
  <c r="N1126" i="1" s="1"/>
  <c r="P1126" i="1"/>
  <c r="P1115" i="1"/>
  <c r="M1115" i="1"/>
  <c r="N1115" i="1" s="1"/>
  <c r="P1111" i="1"/>
  <c r="M1111" i="1"/>
  <c r="N1111" i="1" s="1"/>
  <c r="M1108" i="1"/>
  <c r="P1108" i="1"/>
  <c r="P1099" i="1"/>
  <c r="M1099" i="1"/>
  <c r="O1099" i="1" s="1"/>
  <c r="M1095" i="1"/>
  <c r="P1095" i="1"/>
  <c r="P1273" i="1"/>
  <c r="M1273" i="1"/>
  <c r="M1184" i="1"/>
  <c r="P1184" i="1"/>
  <c r="M1125" i="1"/>
  <c r="P1125" i="1"/>
  <c r="O1050" i="1"/>
  <c r="N1050" i="1"/>
  <c r="N1128" i="1"/>
  <c r="O1128" i="1"/>
  <c r="M1101" i="1"/>
  <c r="O1101" i="1" s="1"/>
  <c r="P1101" i="1"/>
  <c r="M1094" i="1"/>
  <c r="P1082" i="1"/>
  <c r="M1082" i="1"/>
  <c r="N1065" i="1"/>
  <c r="O1065" i="1"/>
  <c r="N1089" i="1"/>
  <c r="P1042" i="1"/>
  <c r="P1038" i="1"/>
  <c r="M1057" i="1"/>
  <c r="N1062" i="1"/>
  <c r="N1044" i="1"/>
  <c r="M516" i="1"/>
  <c r="O516" i="1" s="1"/>
  <c r="N1068" i="1"/>
  <c r="N1064" i="1"/>
  <c r="P1036" i="1"/>
  <c r="P1278" i="1"/>
  <c r="M1278" i="1"/>
  <c r="M1224" i="1"/>
  <c r="O1228" i="1" s="1"/>
  <c r="P1224" i="1"/>
  <c r="P1219" i="1"/>
  <c r="M1219" i="1"/>
  <c r="P1244" i="1"/>
  <c r="M1244" i="1"/>
  <c r="P1226" i="1"/>
  <c r="M1226" i="1"/>
  <c r="O1225" i="1" s="1"/>
  <c r="N1215" i="1"/>
  <c r="O1215" i="1"/>
  <c r="M1352" i="1"/>
  <c r="P1352" i="1"/>
  <c r="M1313" i="1"/>
  <c r="O1310" i="1" s="1"/>
  <c r="P1313" i="1"/>
  <c r="O1284" i="1"/>
  <c r="N1284" i="1"/>
  <c r="N1389" i="1"/>
  <c r="P1383" i="1"/>
  <c r="M1361" i="1"/>
  <c r="O1365" i="1" s="1"/>
  <c r="P1361" i="1"/>
  <c r="M1303" i="1"/>
  <c r="O1307" i="1" s="1"/>
  <c r="P1303" i="1"/>
  <c r="P1271" i="1"/>
  <c r="M1271" i="1"/>
  <c r="P1229" i="1"/>
  <c r="M1229" i="1"/>
  <c r="N1196" i="1"/>
  <c r="M1371" i="1"/>
  <c r="P1371" i="1"/>
  <c r="N1366" i="1"/>
  <c r="O1366" i="1"/>
  <c r="N1336" i="1"/>
  <c r="O1314" i="1"/>
  <c r="N1314" i="1"/>
  <c r="P1300" i="1"/>
  <c r="M1300" i="1"/>
  <c r="N1295" i="1"/>
  <c r="O1295" i="1"/>
  <c r="P1213" i="1"/>
  <c r="M1213" i="1"/>
  <c r="O1217" i="1" s="1"/>
  <c r="M1379" i="1"/>
  <c r="P1379" i="1"/>
  <c r="N1370" i="1"/>
  <c r="P1366" i="1"/>
  <c r="M1335" i="1"/>
  <c r="P1335" i="1"/>
  <c r="O1326" i="1"/>
  <c r="N1326" i="1"/>
  <c r="P1325" i="1"/>
  <c r="M1325" i="1"/>
  <c r="P1315" i="1"/>
  <c r="M1315" i="1"/>
  <c r="O1323" i="1" s="1"/>
  <c r="M1385" i="1"/>
  <c r="O1389" i="1" s="1"/>
  <c r="P1385" i="1"/>
  <c r="N1377" i="1"/>
  <c r="P1370" i="1"/>
  <c r="M1350" i="1"/>
  <c r="P1350" i="1"/>
  <c r="N1341" i="1"/>
  <c r="P1338" i="1"/>
  <c r="M1338" i="1"/>
  <c r="P1305" i="1"/>
  <c r="M1305" i="1"/>
  <c r="N1276" i="1"/>
  <c r="N1383" i="1"/>
  <c r="P1377" i="1"/>
  <c r="M1356" i="1"/>
  <c r="P1356" i="1"/>
  <c r="M1342" i="1"/>
  <c r="O1346" i="1" s="1"/>
  <c r="P1342" i="1"/>
  <c r="M1291" i="1"/>
  <c r="P1291" i="1"/>
  <c r="P1389" i="1"/>
  <c r="M1367" i="1"/>
  <c r="P1367" i="1"/>
  <c r="M1345" i="1"/>
  <c r="O1341" i="1" s="1"/>
  <c r="P1345" i="1"/>
  <c r="M1331" i="1"/>
  <c r="P1331" i="1"/>
  <c r="P1277" i="1"/>
  <c r="M1277" i="1"/>
  <c r="O1280" i="1" s="1"/>
  <c r="P1265" i="1"/>
  <c r="M1265" i="1"/>
  <c r="P1259" i="1"/>
  <c r="M1259" i="1"/>
  <c r="P1241" i="1"/>
  <c r="M1241" i="1"/>
  <c r="P1209" i="1"/>
  <c r="M1209" i="1"/>
  <c r="N1201" i="1"/>
  <c r="N1188" i="1"/>
  <c r="M1183" i="1"/>
  <c r="M1161" i="1"/>
  <c r="P1161" i="1"/>
  <c r="P1187" i="1"/>
  <c r="M1187" i="1"/>
  <c r="M1181" i="1"/>
  <c r="M1178" i="1"/>
  <c r="P1178" i="1"/>
  <c r="P1153" i="1"/>
  <c r="M1153" i="1"/>
  <c r="M1263" i="1"/>
  <c r="P1263" i="1"/>
  <c r="P1260" i="1"/>
  <c r="M1260" i="1"/>
  <c r="N1258" i="1"/>
  <c r="M1253" i="1"/>
  <c r="M1240" i="1"/>
  <c r="P1240" i="1"/>
  <c r="M1236" i="1"/>
  <c r="M1233" i="1"/>
  <c r="P1218" i="1"/>
  <c r="M1216" i="1"/>
  <c r="P1196" i="1"/>
  <c r="M1192" i="1"/>
  <c r="O1196" i="1" s="1"/>
  <c r="P1192" i="1"/>
  <c r="O1180" i="1"/>
  <c r="N1180" i="1"/>
  <c r="P1133" i="1"/>
  <c r="M1133" i="1"/>
  <c r="P1155" i="1"/>
  <c r="M1155" i="1"/>
  <c r="O1154" i="1"/>
  <c r="N1154" i="1"/>
  <c r="M1252" i="1"/>
  <c r="P1252" i="1"/>
  <c r="P1310" i="1"/>
  <c r="M1308" i="1"/>
  <c r="P1308" i="1"/>
  <c r="P1295" i="1"/>
  <c r="P1286" i="1"/>
  <c r="P1276" i="1"/>
  <c r="P1269" i="1"/>
  <c r="M1269" i="1"/>
  <c r="M1266" i="1"/>
  <c r="P1346" i="1"/>
  <c r="P1341" i="1"/>
  <c r="P1336" i="1"/>
  <c r="P1329" i="1"/>
  <c r="P1326" i="1"/>
  <c r="P1320" i="1"/>
  <c r="P1314" i="1"/>
  <c r="N1310" i="1"/>
  <c r="M1298" i="1"/>
  <c r="P1293" i="1"/>
  <c r="M1290" i="1"/>
  <c r="P1290" i="1"/>
  <c r="M1287" i="1"/>
  <c r="O1329" i="1"/>
  <c r="O1320" i="1"/>
  <c r="P1312" i="1"/>
  <c r="P1304" i="1"/>
  <c r="N1293" i="1"/>
  <c r="M1282" i="1"/>
  <c r="O1286" i="1" s="1"/>
  <c r="M1275" i="1"/>
  <c r="P1254" i="1"/>
  <c r="M1254" i="1"/>
  <c r="O1258" i="1" s="1"/>
  <c r="M1245" i="1"/>
  <c r="P1245" i="1"/>
  <c r="P1238" i="1"/>
  <c r="M1238" i="1"/>
  <c r="O1232" i="1"/>
  <c r="N1232" i="1"/>
  <c r="M1230" i="1"/>
  <c r="P1230" i="1"/>
  <c r="M1214" i="1"/>
  <c r="O1218" i="1" s="1"/>
  <c r="P1214" i="1"/>
  <c r="M1332" i="1"/>
  <c r="O1336" i="1" s="1"/>
  <c r="P1323" i="1"/>
  <c r="P1316" i="1"/>
  <c r="M1316" i="1"/>
  <c r="O1304" i="1"/>
  <c r="P1297" i="1"/>
  <c r="P1232" i="1"/>
  <c r="P1221" i="1"/>
  <c r="M1221" i="1"/>
  <c r="P1207" i="1"/>
  <c r="M1207" i="1"/>
  <c r="M1202" i="1"/>
  <c r="P1202" i="1"/>
  <c r="M1190" i="1"/>
  <c r="P1190" i="1"/>
  <c r="P1166" i="1"/>
  <c r="M1166" i="1"/>
  <c r="O1167" i="1" s="1"/>
  <c r="P1118" i="1"/>
  <c r="M1118" i="1"/>
  <c r="M1205" i="1"/>
  <c r="M1197" i="1"/>
  <c r="P1197" i="1"/>
  <c r="M1195" i="1"/>
  <c r="P1185" i="1"/>
  <c r="M1185" i="1"/>
  <c r="O1188" i="1" s="1"/>
  <c r="P1171" i="1"/>
  <c r="M1171" i="1"/>
  <c r="M1165" i="1"/>
  <c r="P1165" i="1"/>
  <c r="P1151" i="1"/>
  <c r="M1151" i="1"/>
  <c r="N1123" i="1"/>
  <c r="O1123" i="1"/>
  <c r="M1194" i="1"/>
  <c r="O1164" i="1"/>
  <c r="N1157" i="1"/>
  <c r="O1157" i="1"/>
  <c r="N1146" i="1"/>
  <c r="O1146" i="1"/>
  <c r="P1141" i="1"/>
  <c r="M1141" i="1"/>
  <c r="M1139" i="1"/>
  <c r="P1139" i="1"/>
  <c r="M1150" i="1"/>
  <c r="P1150" i="1"/>
  <c r="M1147" i="1"/>
  <c r="O1148" i="1" s="1"/>
  <c r="P1147" i="1"/>
  <c r="N1145" i="1"/>
  <c r="O1145" i="1"/>
  <c r="M1138" i="1"/>
  <c r="P1138" i="1"/>
  <c r="N1119" i="1"/>
  <c r="P1168" i="1"/>
  <c r="M1168" i="1"/>
  <c r="P1160" i="1"/>
  <c r="M1160" i="1"/>
  <c r="N1158" i="1"/>
  <c r="P1140" i="1"/>
  <c r="M1140" i="1"/>
  <c r="O1120" i="1"/>
  <c r="N1120" i="1"/>
  <c r="M1132" i="1"/>
  <c r="P1132" i="1"/>
  <c r="N1096" i="1"/>
  <c r="O1096" i="1"/>
  <c r="M1097" i="1"/>
  <c r="P1097" i="1"/>
  <c r="M1103" i="1"/>
  <c r="P1103" i="1"/>
  <c r="M1159" i="1"/>
  <c r="M1110" i="1"/>
  <c r="P1110" i="1"/>
  <c r="N1116" i="1"/>
  <c r="O1112" i="1"/>
  <c r="N1112" i="1"/>
  <c r="P1098" i="1"/>
  <c r="M1098" i="1"/>
  <c r="M1163" i="1"/>
  <c r="P1163" i="1"/>
  <c r="N1102" i="1"/>
  <c r="O1102" i="1"/>
  <c r="N1083" i="1"/>
  <c r="O1083" i="1"/>
  <c r="N1071" i="1"/>
  <c r="O1071" i="1"/>
  <c r="N1047" i="1"/>
  <c r="O1047" i="1"/>
  <c r="N1041" i="1"/>
  <c r="O1041" i="1"/>
  <c r="M1091" i="1"/>
  <c r="P1091" i="1"/>
  <c r="N1053" i="1"/>
  <c r="O1053" i="1"/>
  <c r="P1088" i="1"/>
  <c r="M1088" i="1"/>
  <c r="N1084" i="1"/>
  <c r="O1084" i="1"/>
  <c r="P1060" i="1"/>
  <c r="N1060" i="1"/>
  <c r="P1053" i="1"/>
  <c r="N1042" i="1"/>
  <c r="M1039" i="1"/>
  <c r="O1030" i="1" s="1"/>
  <c r="M1037" i="1"/>
  <c r="M1080" i="1"/>
  <c r="P1066" i="1"/>
  <c r="O1058" i="1"/>
  <c r="M1055" i="1"/>
  <c r="O1048" i="1" s="1"/>
  <c r="O1040" i="1"/>
  <c r="N1036" i="1"/>
  <c r="N1066" i="1"/>
  <c r="M1063" i="1"/>
  <c r="O1056" i="1" s="1"/>
  <c r="N1048" i="1"/>
  <c r="M1045" i="1"/>
  <c r="O1038" i="1" s="1"/>
  <c r="P1041" i="1"/>
  <c r="M1104" i="1"/>
  <c r="M1086" i="1"/>
  <c r="P1072" i="1"/>
  <c r="M1061" i="1"/>
  <c r="O1054" i="1" s="1"/>
  <c r="O1059" i="1"/>
  <c r="N1056" i="1"/>
  <c r="M1043" i="1"/>
  <c r="O1036" i="1" s="1"/>
  <c r="N1038" i="1"/>
  <c r="O1035" i="1"/>
  <c r="P1035" i="1"/>
  <c r="M868" i="1"/>
  <c r="N1026" i="1"/>
  <c r="O1026" i="1"/>
  <c r="N1025" i="1"/>
  <c r="O1025" i="1"/>
  <c r="N1030" i="1"/>
  <c r="M1027" i="1"/>
  <c r="M1028" i="1"/>
  <c r="O1019" i="1" s="1"/>
  <c r="P1025" i="1"/>
  <c r="N929" i="1"/>
  <c r="O929" i="1"/>
  <c r="O1073" i="1"/>
  <c r="N1073" i="1"/>
  <c r="N1021" i="1"/>
  <c r="O1021" i="1"/>
  <c r="N1077" i="1"/>
  <c r="O1020" i="1"/>
  <c r="N1020" i="1"/>
  <c r="N1034" i="1"/>
  <c r="P1077" i="1"/>
  <c r="O1076" i="1"/>
  <c r="P1020" i="1"/>
  <c r="P929" i="1"/>
  <c r="P1034" i="1"/>
  <c r="P1073" i="1"/>
  <c r="P1021" i="1"/>
  <c r="Q989" i="1"/>
  <c r="P989" i="1" s="1"/>
  <c r="Q916" i="1"/>
  <c r="M916" i="1" s="1"/>
  <c r="Q924" i="1"/>
  <c r="Q895" i="1"/>
  <c r="Q896" i="1"/>
  <c r="M896" i="1" s="1"/>
  <c r="Q900" i="1"/>
  <c r="P900" i="1" s="1"/>
  <c r="Q882" i="1"/>
  <c r="Q963" i="1"/>
  <c r="Q972" i="1"/>
  <c r="M972" i="1" s="1"/>
  <c r="Q975" i="1"/>
  <c r="P975" i="1" s="1"/>
  <c r="Q867" i="1"/>
  <c r="Q947" i="1"/>
  <c r="Q860" i="1"/>
  <c r="Q816" i="1"/>
  <c r="P816" i="1" s="1"/>
  <c r="Q948" i="1"/>
  <c r="P948" i="1" s="1"/>
  <c r="Q913" i="1"/>
  <c r="P913" i="1" s="1"/>
  <c r="Q1004" i="1"/>
  <c r="P1004" i="1" s="1"/>
  <c r="Q1013" i="1"/>
  <c r="P1013" i="1" s="1"/>
  <c r="Q901" i="1"/>
  <c r="P901" i="1" s="1"/>
  <c r="Q875" i="1"/>
  <c r="P875" i="1" s="1"/>
  <c r="Q943" i="1"/>
  <c r="P943" i="1" s="1"/>
  <c r="Q864" i="1"/>
  <c r="P864" i="1" s="1"/>
  <c r="Q950" i="1"/>
  <c r="P950" i="1" s="1"/>
  <c r="Q861" i="1"/>
  <c r="P861" i="1" s="1"/>
  <c r="Q832" i="1"/>
  <c r="P832" i="1" s="1"/>
  <c r="Q984" i="1"/>
  <c r="P984" i="1" s="1"/>
  <c r="Q876" i="1"/>
  <c r="P876" i="1" s="1"/>
  <c r="Q823" i="1"/>
  <c r="Q936" i="1"/>
  <c r="P936" i="1" s="1"/>
  <c r="Q927" i="1"/>
  <c r="P927" i="1" s="1"/>
  <c r="Q964" i="1"/>
  <c r="M964" i="1" s="1"/>
  <c r="Q835" i="1"/>
  <c r="P835" i="1" s="1"/>
  <c r="Q897" i="1"/>
  <c r="P897" i="1" s="1"/>
  <c r="Q920" i="1"/>
  <c r="Q911" i="1"/>
  <c r="P911" i="1" s="1"/>
  <c r="Q906" i="1"/>
  <c r="P906" i="1" s="1"/>
  <c r="Q910" i="1"/>
  <c r="P910" i="1" s="1"/>
  <c r="Q934" i="1"/>
  <c r="P934" i="1" s="1"/>
  <c r="Q930" i="1"/>
  <c r="P930" i="1" s="1"/>
  <c r="Q931" i="1"/>
  <c r="Q1014" i="1"/>
  <c r="M1014" i="1" s="1"/>
  <c r="Q626" i="1"/>
  <c r="P626" i="1" s="1"/>
  <c r="Q918" i="1"/>
  <c r="P918" i="1" s="1"/>
  <c r="Q917" i="1"/>
  <c r="P917" i="1" s="1"/>
  <c r="Q922" i="1"/>
  <c r="Q921" i="1"/>
  <c r="P921" i="1" s="1"/>
  <c r="Q871" i="1"/>
  <c r="P871" i="1" s="1"/>
  <c r="Q903" i="1"/>
  <c r="Q904" i="1"/>
  <c r="Q855" i="1"/>
  <c r="P855" i="1" s="1"/>
  <c r="Q884" i="1"/>
  <c r="P884" i="1" s="1"/>
  <c r="Q880" i="1"/>
  <c r="P880" i="1" s="1"/>
  <c r="Q939" i="1"/>
  <c r="P939" i="1" s="1"/>
  <c r="Q933" i="1"/>
  <c r="P933" i="1" s="1"/>
  <c r="Q881" i="1"/>
  <c r="Q883" i="1"/>
  <c r="P883" i="1" s="1"/>
  <c r="Q838" i="1"/>
  <c r="P838" i="1" s="1"/>
  <c r="Q962" i="1"/>
  <c r="P962" i="1" s="1"/>
  <c r="Q988" i="1"/>
  <c r="P988" i="1" s="1"/>
  <c r="Q905" i="1"/>
  <c r="Q1001" i="1"/>
  <c r="P1001" i="1" s="1"/>
  <c r="Q992" i="1"/>
  <c r="M992" i="1" s="1"/>
  <c r="Q985" i="1"/>
  <c r="P985" i="1" s="1"/>
  <c r="Q973" i="1"/>
  <c r="Q957" i="1"/>
  <c r="Q821" i="1"/>
  <c r="Q956" i="1"/>
  <c r="P956" i="1" s="1"/>
  <c r="Q879" i="1"/>
  <c r="Q997" i="1"/>
  <c r="P997" i="1" s="1"/>
  <c r="Q1010" i="1"/>
  <c r="Q935" i="1"/>
  <c r="P935" i="1" s="1"/>
  <c r="Q1009" i="1"/>
  <c r="Q958" i="1"/>
  <c r="P958" i="1" s="1"/>
  <c r="Q971" i="1"/>
  <c r="P971" i="1" s="1"/>
  <c r="Q834" i="1"/>
  <c r="Q998" i="1"/>
  <c r="P998" i="1" s="1"/>
  <c r="Q820" i="1"/>
  <c r="Q945" i="1"/>
  <c r="Q878" i="1"/>
  <c r="Q970" i="1"/>
  <c r="Q859" i="1"/>
  <c r="Q894" i="1"/>
  <c r="Q1006" i="1"/>
  <c r="Q959" i="1"/>
  <c r="P959" i="1" s="1"/>
  <c r="Q960" i="1"/>
  <c r="Q1000" i="1"/>
  <c r="P1000" i="1" s="1"/>
  <c r="Q915" i="1"/>
  <c r="Q887" i="1"/>
  <c r="Q987" i="1"/>
  <c r="P987" i="1" s="1"/>
  <c r="Q977" i="1"/>
  <c r="P977" i="1" s="1"/>
  <c r="Q870" i="1"/>
  <c r="Q849" i="1"/>
  <c r="Q837" i="1"/>
  <c r="P837" i="1" s="1"/>
  <c r="Q846" i="1"/>
  <c r="Q825" i="1"/>
  <c r="Q827" i="1"/>
  <c r="Q844" i="1"/>
  <c r="Q949" i="1"/>
  <c r="Q940" i="1"/>
  <c r="Q591" i="1"/>
  <c r="P591" i="1" s="1"/>
  <c r="Q946" i="1"/>
  <c r="P946" i="1" s="1"/>
  <c r="Q986" i="1"/>
  <c r="P986" i="1" s="1"/>
  <c r="Q979" i="1"/>
  <c r="P979" i="1" s="1"/>
  <c r="Q909" i="1"/>
  <c r="Q829" i="1"/>
  <c r="P829" i="1" s="1"/>
  <c r="Q1007" i="1"/>
  <c r="Q902" i="1"/>
  <c r="P902" i="1" s="1"/>
  <c r="Q941" i="1"/>
  <c r="Q1015" i="1"/>
  <c r="P1015" i="1" s="1"/>
  <c r="Q980" i="1"/>
  <c r="Q919" i="1"/>
  <c r="Q853" i="1"/>
  <c r="P853" i="1" s="1"/>
  <c r="Q893" i="1"/>
  <c r="P893" i="1" s="1"/>
  <c r="Q856" i="1"/>
  <c r="P856" i="1" s="1"/>
  <c r="Q862" i="1"/>
  <c r="P862" i="1" s="1"/>
  <c r="Q863" i="1"/>
  <c r="P863" i="1" s="1"/>
  <c r="Q955" i="1"/>
  <c r="Q923" i="1"/>
  <c r="Q1012" i="1"/>
  <c r="Q953" i="1"/>
  <c r="Q951" i="1"/>
  <c r="Q1005" i="1"/>
  <c r="Q1003" i="1"/>
  <c r="P1003" i="1" s="1"/>
  <c r="Q990" i="1"/>
  <c r="Q1008" i="1"/>
  <c r="Q886" i="1"/>
  <c r="P886" i="1" s="1"/>
  <c r="Q912" i="1"/>
  <c r="Q872" i="1"/>
  <c r="P872" i="1" s="1"/>
  <c r="Q885" i="1"/>
  <c r="Q866" i="1"/>
  <c r="Q873" i="1"/>
  <c r="Q954" i="1"/>
  <c r="Q865" i="1"/>
  <c r="Q888" i="1"/>
  <c r="Q969" i="1"/>
  <c r="P969" i="1" s="1"/>
  <c r="Q965" i="1"/>
  <c r="P965" i="1" s="1"/>
  <c r="Q858" i="1"/>
  <c r="Q819" i="1"/>
  <c r="Q966" i="1"/>
  <c r="Q974" i="1"/>
  <c r="P974" i="1" s="1"/>
  <c r="Q981" i="1"/>
  <c r="P981" i="1" s="1"/>
  <c r="Q942" i="1"/>
  <c r="P942" i="1" s="1"/>
  <c r="Q899" i="1"/>
  <c r="Q994" i="1"/>
  <c r="Q937" i="1"/>
  <c r="Q1011" i="1"/>
  <c r="Q993" i="1"/>
  <c r="Q817" i="1"/>
  <c r="P817" i="1" s="1"/>
  <c r="Q944" i="1"/>
  <c r="Q854" i="1"/>
  <c r="P854" i="1" s="1"/>
  <c r="Q968" i="1"/>
  <c r="Q845" i="1"/>
  <c r="Q847" i="1"/>
  <c r="Q828" i="1"/>
  <c r="Q850" i="1"/>
  <c r="P850" i="1" s="1"/>
  <c r="Q836" i="1"/>
  <c r="Q851" i="1"/>
  <c r="Q857" i="1"/>
  <c r="Q840" i="1"/>
  <c r="Q316" i="1"/>
  <c r="Q914" i="1"/>
  <c r="Q907" i="1"/>
  <c r="Q999" i="1"/>
  <c r="P999" i="1" s="1"/>
  <c r="Q848" i="1"/>
  <c r="Q839" i="1"/>
  <c r="P839" i="1" s="1"/>
  <c r="Q831" i="1"/>
  <c r="Q826" i="1"/>
  <c r="P826" i="1" s="1"/>
  <c r="Q967" i="1"/>
  <c r="P967" i="1" s="1"/>
  <c r="Q824" i="1"/>
  <c r="P824" i="1" s="1"/>
  <c r="Q818" i="1"/>
  <c r="Q822" i="1"/>
  <c r="P822" i="1" s="1"/>
  <c r="Q926" i="1"/>
  <c r="Q1002" i="1"/>
  <c r="Q841" i="1"/>
  <c r="Q908" i="1"/>
  <c r="P908" i="1" s="1"/>
  <c r="Q852" i="1"/>
  <c r="P852" i="1" s="1"/>
  <c r="Q830" i="1"/>
  <c r="Q877" i="1"/>
  <c r="P877" i="1" s="1"/>
  <c r="Q842" i="1"/>
  <c r="Q928" i="1"/>
  <c r="Q874" i="1"/>
  <c r="P874" i="1" s="1"/>
  <c r="Q976" i="1"/>
  <c r="Q991" i="1"/>
  <c r="M991" i="1" s="1"/>
  <c r="N991" i="1" s="1"/>
  <c r="Q961" i="1"/>
  <c r="P961" i="1" s="1"/>
  <c r="Q995" i="1"/>
  <c r="P995" i="1" s="1"/>
  <c r="Q996" i="1"/>
  <c r="Q938" i="1"/>
  <c r="P938" i="1" s="1"/>
  <c r="Q1016" i="1"/>
  <c r="P1016" i="1" s="1"/>
  <c r="Q891" i="1"/>
  <c r="P891" i="1" s="1"/>
  <c r="Q674" i="1"/>
  <c r="P674" i="1" s="1"/>
  <c r="Q725" i="1"/>
  <c r="Q952" i="1"/>
  <c r="Q890" i="1"/>
  <c r="P890" i="1" s="1"/>
  <c r="Q889" i="1"/>
  <c r="Q978" i="1"/>
  <c r="Q892" i="1"/>
  <c r="P892" i="1" s="1"/>
  <c r="Q925" i="1"/>
  <c r="Q833" i="1"/>
  <c r="Q932" i="1"/>
  <c r="Q843" i="1"/>
  <c r="P843" i="1" s="1"/>
  <c r="Q869" i="1"/>
  <c r="Q898" i="1"/>
  <c r="Q982" i="1"/>
  <c r="P982" i="1" s="1"/>
  <c r="Q983" i="1"/>
  <c r="P983" i="1" s="1"/>
  <c r="A989" i="1"/>
  <c r="C989" i="1" s="1"/>
  <c r="A9" i="17" s="1"/>
  <c r="A916" i="1"/>
  <c r="C916" i="1" s="1"/>
  <c r="A11" i="17" s="1"/>
  <c r="A924" i="1"/>
  <c r="C924" i="1" s="1"/>
  <c r="A17" i="17" s="1"/>
  <c r="A895" i="1"/>
  <c r="C895" i="1" s="1"/>
  <c r="A24" i="17" s="1"/>
  <c r="A896" i="1"/>
  <c r="C896" i="1" s="1"/>
  <c r="A25" i="17" s="1"/>
  <c r="A900" i="1"/>
  <c r="C900" i="1" s="1"/>
  <c r="A43" i="17" s="1"/>
  <c r="A882" i="1"/>
  <c r="C882" i="1" s="1"/>
  <c r="A44" i="17" s="1"/>
  <c r="A963" i="1"/>
  <c r="C963" i="1" s="1"/>
  <c r="A54" i="17" s="1"/>
  <c r="A972" i="1"/>
  <c r="C972" i="1" s="1"/>
  <c r="A58" i="17" s="1"/>
  <c r="A975" i="1"/>
  <c r="C975" i="1" s="1"/>
  <c r="A63" i="17" s="1"/>
  <c r="A867" i="1"/>
  <c r="C867" i="1" s="1"/>
  <c r="A77" i="17" s="1"/>
  <c r="A947" i="1"/>
  <c r="C947" i="1" s="1"/>
  <c r="A90" i="17" s="1"/>
  <c r="A860" i="1"/>
  <c r="C860" i="1" s="1"/>
  <c r="A99" i="17" s="1"/>
  <c r="A816" i="1"/>
  <c r="C816" i="1" s="1"/>
  <c r="A113" i="17" s="1"/>
  <c r="A948" i="1"/>
  <c r="C948" i="1" s="1"/>
  <c r="A118" i="17" s="1"/>
  <c r="A913" i="1"/>
  <c r="C913" i="1" s="1"/>
  <c r="A124" i="17" s="1"/>
  <c r="A1004" i="1"/>
  <c r="C1004" i="1" s="1"/>
  <c r="A126" i="17" s="1"/>
  <c r="A1013" i="1"/>
  <c r="C1013" i="1" s="1"/>
  <c r="A131" i="17" s="1"/>
  <c r="A901" i="1"/>
  <c r="C901" i="1" s="1"/>
  <c r="A135" i="17" s="1"/>
  <c r="A875" i="1"/>
  <c r="C875" i="1" s="1"/>
  <c r="A140" i="17" s="1"/>
  <c r="A943" i="1"/>
  <c r="C943" i="1" s="1"/>
  <c r="A144" i="17" s="1"/>
  <c r="A864" i="1"/>
  <c r="C864" i="1" s="1"/>
  <c r="A152" i="17" s="1"/>
  <c r="A950" i="1"/>
  <c r="C950" i="1" s="1"/>
  <c r="A155" i="17" s="1"/>
  <c r="A861" i="1"/>
  <c r="C861" i="1" s="1"/>
  <c r="A160" i="17" s="1"/>
  <c r="A832" i="1"/>
  <c r="C832" i="1" s="1"/>
  <c r="A161" i="17" s="1"/>
  <c r="A984" i="1"/>
  <c r="C984" i="1" s="1"/>
  <c r="A194" i="17" s="1"/>
  <c r="A876" i="1"/>
  <c r="C876" i="1" s="1"/>
  <c r="A198" i="17" s="1"/>
  <c r="A823" i="1"/>
  <c r="C823" i="1" s="1"/>
  <c r="A936" i="1"/>
  <c r="C936" i="1" s="1"/>
  <c r="A209" i="17" s="1"/>
  <c r="A927" i="1"/>
  <c r="C927" i="1" s="1"/>
  <c r="A213" i="17" s="1"/>
  <c r="A964" i="1"/>
  <c r="C964" i="1" s="1"/>
  <c r="A229" i="17" s="1"/>
  <c r="A835" i="1"/>
  <c r="C835" i="1" s="1"/>
  <c r="A231" i="17" s="1"/>
  <c r="A897" i="1"/>
  <c r="C897" i="1" s="1"/>
  <c r="A252" i="17" s="1"/>
  <c r="A920" i="1"/>
  <c r="C920" i="1" s="1"/>
  <c r="A277" i="17" s="1"/>
  <c r="A911" i="1"/>
  <c r="C911" i="1" s="1"/>
  <c r="A286" i="17" s="1"/>
  <c r="A906" i="1"/>
  <c r="C906" i="1" s="1"/>
  <c r="A291" i="17" s="1"/>
  <c r="A910" i="1"/>
  <c r="C910" i="1" s="1"/>
  <c r="A293" i="17" s="1"/>
  <c r="A934" i="1"/>
  <c r="C934" i="1" s="1"/>
  <c r="A296" i="17" s="1"/>
  <c r="A930" i="1"/>
  <c r="C930" i="1" s="1"/>
  <c r="A297" i="17" s="1"/>
  <c r="A931" i="1"/>
  <c r="C931" i="1" s="1"/>
  <c r="A298" i="17" s="1"/>
  <c r="A1014" i="1"/>
  <c r="C1014" i="1" s="1"/>
  <c r="A315" i="17" s="1"/>
  <c r="A626" i="1"/>
  <c r="C626" i="1" s="1"/>
  <c r="A918" i="1"/>
  <c r="C918" i="1" s="1"/>
  <c r="A319" i="17" s="1"/>
  <c r="A917" i="1"/>
  <c r="C917" i="1" s="1"/>
  <c r="A323" i="17" s="1"/>
  <c r="A922" i="1"/>
  <c r="C922" i="1" s="1"/>
  <c r="A325" i="17" s="1"/>
  <c r="A921" i="1"/>
  <c r="C921" i="1" s="1"/>
  <c r="A326" i="17" s="1"/>
  <c r="A871" i="1"/>
  <c r="C871" i="1" s="1"/>
  <c r="A356" i="17" s="1"/>
  <c r="A903" i="1"/>
  <c r="C903" i="1" s="1"/>
  <c r="A362" i="17" s="1"/>
  <c r="A904" i="1"/>
  <c r="C904" i="1" s="1"/>
  <c r="A364" i="17" s="1"/>
  <c r="A855" i="1"/>
  <c r="C855" i="1" s="1"/>
  <c r="A366" i="17" s="1"/>
  <c r="A884" i="1"/>
  <c r="C884" i="1" s="1"/>
  <c r="A367" i="17" s="1"/>
  <c r="A880" i="1"/>
  <c r="C880" i="1" s="1"/>
  <c r="A382" i="17" s="1"/>
  <c r="A939" i="1"/>
  <c r="C939" i="1" s="1"/>
  <c r="A409" i="17" s="1"/>
  <c r="A933" i="1"/>
  <c r="C933" i="1" s="1"/>
  <c r="A412" i="17" s="1"/>
  <c r="A881" i="1"/>
  <c r="C881" i="1" s="1"/>
  <c r="A417" i="17" s="1"/>
  <c r="A883" i="1"/>
  <c r="C883" i="1" s="1"/>
  <c r="A420" i="17" s="1"/>
  <c r="A838" i="1"/>
  <c r="C838" i="1" s="1"/>
  <c r="A426" i="17" s="1"/>
  <c r="A962" i="1"/>
  <c r="C962" i="1" s="1"/>
  <c r="A441" i="17" s="1"/>
  <c r="A988" i="1"/>
  <c r="C988" i="1" s="1"/>
  <c r="A486" i="17" s="1"/>
  <c r="A905" i="1"/>
  <c r="C905" i="1" s="1"/>
  <c r="A489" i="17" s="1"/>
  <c r="A1001" i="1"/>
  <c r="C1001" i="1" s="1"/>
  <c r="A503" i="17" s="1"/>
  <c r="A992" i="1"/>
  <c r="C992" i="1" s="1"/>
  <c r="A518" i="17" s="1"/>
  <c r="A985" i="1"/>
  <c r="C985" i="1" s="1"/>
  <c r="A523" i="17" s="1"/>
  <c r="A973" i="1"/>
  <c r="C973" i="1" s="1"/>
  <c r="A524" i="17" s="1"/>
  <c r="A957" i="1"/>
  <c r="C957" i="1" s="1"/>
  <c r="A530" i="17" s="1"/>
  <c r="A821" i="1"/>
  <c r="C821" i="1" s="1"/>
  <c r="A531" i="17" s="1"/>
  <c r="A956" i="1"/>
  <c r="C956" i="1" s="1"/>
  <c r="A535" i="17" s="1"/>
  <c r="A879" i="1"/>
  <c r="C879" i="1" s="1"/>
  <c r="A538" i="17" s="1"/>
  <c r="A997" i="1"/>
  <c r="C997" i="1" s="1"/>
  <c r="A553" i="17" s="1"/>
  <c r="A1010" i="1"/>
  <c r="C1010" i="1" s="1"/>
  <c r="A555" i="17" s="1"/>
  <c r="A935" i="1"/>
  <c r="C935" i="1" s="1"/>
  <c r="A558" i="17" s="1"/>
  <c r="A1009" i="1"/>
  <c r="C1009" i="1" s="1"/>
  <c r="A559" i="17" s="1"/>
  <c r="A958" i="1"/>
  <c r="C958" i="1" s="1"/>
  <c r="A561" i="17" s="1"/>
  <c r="A971" i="1"/>
  <c r="C971" i="1" s="1"/>
  <c r="A570" i="17" s="1"/>
  <c r="A834" i="1"/>
  <c r="C834" i="1" s="1"/>
  <c r="A593" i="17" s="1"/>
  <c r="A998" i="1"/>
  <c r="C998" i="1" s="1"/>
  <c r="A595" i="17" s="1"/>
  <c r="A820" i="1"/>
  <c r="C820" i="1" s="1"/>
  <c r="A596" i="17" s="1"/>
  <c r="A945" i="1"/>
  <c r="C945" i="1" s="1"/>
  <c r="A603" i="17" s="1"/>
  <c r="A878" i="1"/>
  <c r="C878" i="1" s="1"/>
  <c r="A612" i="17" s="1"/>
  <c r="A970" i="1"/>
  <c r="C970" i="1" s="1"/>
  <c r="A615" i="17" s="1"/>
  <c r="A859" i="1"/>
  <c r="C859" i="1" s="1"/>
  <c r="A619" i="17" s="1"/>
  <c r="A894" i="1"/>
  <c r="C894" i="1" s="1"/>
  <c r="A620" i="17" s="1"/>
  <c r="A1006" i="1"/>
  <c r="C1006" i="1" s="1"/>
  <c r="A659" i="17" s="1"/>
  <c r="A959" i="1"/>
  <c r="C959" i="1" s="1"/>
  <c r="A660" i="17" s="1"/>
  <c r="A960" i="1"/>
  <c r="C960" i="1" s="1"/>
  <c r="A661" i="17" s="1"/>
  <c r="A1000" i="1"/>
  <c r="C1000" i="1" s="1"/>
  <c r="A662" i="17" s="1"/>
  <c r="A915" i="1"/>
  <c r="C915" i="1" s="1"/>
  <c r="A666" i="17" s="1"/>
  <c r="A887" i="1"/>
  <c r="C887" i="1" s="1"/>
  <c r="A668" i="17" s="1"/>
  <c r="A987" i="1"/>
  <c r="C987" i="1" s="1"/>
  <c r="A688" i="17" s="1"/>
  <c r="A977" i="1"/>
  <c r="C977" i="1" s="1"/>
  <c r="A689" i="17" s="1"/>
  <c r="A870" i="1"/>
  <c r="C870" i="1" s="1"/>
  <c r="A690" i="17" s="1"/>
  <c r="A849" i="1"/>
  <c r="C849" i="1" s="1"/>
  <c r="A694" i="17" s="1"/>
  <c r="A837" i="1"/>
  <c r="C837" i="1" s="1"/>
  <c r="A696" i="17" s="1"/>
  <c r="A846" i="1"/>
  <c r="C846" i="1" s="1"/>
  <c r="A703" i="17" s="1"/>
  <c r="A825" i="1"/>
  <c r="C825" i="1" s="1"/>
  <c r="A708" i="17" s="1"/>
  <c r="A827" i="1"/>
  <c r="C827" i="1" s="1"/>
  <c r="A711" i="17" s="1"/>
  <c r="A844" i="1"/>
  <c r="C844" i="1" s="1"/>
  <c r="A716" i="17" s="1"/>
  <c r="A949" i="1"/>
  <c r="C949" i="1" s="1"/>
  <c r="A718" i="17" s="1"/>
  <c r="A940" i="1"/>
  <c r="C940" i="1" s="1"/>
  <c r="A723" i="17" s="1"/>
  <c r="A591" i="1"/>
  <c r="C591" i="1" s="1"/>
  <c r="A946" i="1"/>
  <c r="C946" i="1" s="1"/>
  <c r="A728" i="17" s="1"/>
  <c r="A986" i="1"/>
  <c r="C986" i="1" s="1"/>
  <c r="A736" i="17" s="1"/>
  <c r="A979" i="1"/>
  <c r="C979" i="1" s="1"/>
  <c r="A738" i="17" s="1"/>
  <c r="A909" i="1"/>
  <c r="C909" i="1" s="1"/>
  <c r="A740" i="17" s="1"/>
  <c r="A829" i="1"/>
  <c r="C829" i="1" s="1"/>
  <c r="A751" i="17" s="1"/>
  <c r="A1007" i="1"/>
  <c r="C1007" i="1" s="1"/>
  <c r="A768" i="17" s="1"/>
  <c r="A902" i="1"/>
  <c r="C902" i="1" s="1"/>
  <c r="A770" i="17" s="1"/>
  <c r="A941" i="1"/>
  <c r="C941" i="1" s="1"/>
  <c r="A773" i="17" s="1"/>
  <c r="A1015" i="1"/>
  <c r="C1015" i="1" s="1"/>
  <c r="A774" i="17" s="1"/>
  <c r="A980" i="1"/>
  <c r="C980" i="1" s="1"/>
  <c r="A775" i="17" s="1"/>
  <c r="A919" i="1"/>
  <c r="C919" i="1" s="1"/>
  <c r="A776" i="17" s="1"/>
  <c r="A853" i="1"/>
  <c r="C853" i="1" s="1"/>
  <c r="A777" i="17" s="1"/>
  <c r="A893" i="1"/>
  <c r="C893" i="1" s="1"/>
  <c r="A778" i="17" s="1"/>
  <c r="A856" i="1"/>
  <c r="C856" i="1" s="1"/>
  <c r="A779" i="17" s="1"/>
  <c r="A862" i="1"/>
  <c r="C862" i="1" s="1"/>
  <c r="A780" i="17" s="1"/>
  <c r="A863" i="1"/>
  <c r="C863" i="1" s="1"/>
  <c r="A781" i="17" s="1"/>
  <c r="A955" i="1"/>
  <c r="C955" i="1" s="1"/>
  <c r="A792" i="17" s="1"/>
  <c r="A923" i="1"/>
  <c r="C923" i="1" s="1"/>
  <c r="A817" i="17" s="1"/>
  <c r="A1012" i="1"/>
  <c r="C1012" i="1" s="1"/>
  <c r="A822" i="17" s="1"/>
  <c r="A953" i="1"/>
  <c r="C953" i="1" s="1"/>
  <c r="A835" i="17" s="1"/>
  <c r="A951" i="1"/>
  <c r="C951" i="1" s="1"/>
  <c r="A837" i="17" s="1"/>
  <c r="A1005" i="1"/>
  <c r="C1005" i="1" s="1"/>
  <c r="A851" i="17" s="1"/>
  <c r="A1003" i="1"/>
  <c r="C1003" i="1" s="1"/>
  <c r="A852" i="17" s="1"/>
  <c r="A990" i="1"/>
  <c r="C990" i="1" s="1"/>
  <c r="A855" i="17" s="1"/>
  <c r="A1008" i="1"/>
  <c r="C1008" i="1" s="1"/>
  <c r="A864" i="17" s="1"/>
  <c r="A886" i="1"/>
  <c r="C886" i="1" s="1"/>
  <c r="A876" i="17" s="1"/>
  <c r="A912" i="1"/>
  <c r="C912" i="1" s="1"/>
  <c r="A879" i="17" s="1"/>
  <c r="A872" i="1"/>
  <c r="C872" i="1" s="1"/>
  <c r="A907" i="17" s="1"/>
  <c r="A885" i="1"/>
  <c r="C885" i="1" s="1"/>
  <c r="A908" i="17" s="1"/>
  <c r="A866" i="1"/>
  <c r="C866" i="1" s="1"/>
  <c r="A922" i="17" s="1"/>
  <c r="A873" i="1"/>
  <c r="C873" i="1" s="1"/>
  <c r="A936" i="17" s="1"/>
  <c r="A954" i="1"/>
  <c r="C954" i="1" s="1"/>
  <c r="A939" i="17" s="1"/>
  <c r="A865" i="1"/>
  <c r="C865" i="1" s="1"/>
  <c r="A943" i="17" s="1"/>
  <c r="A888" i="1"/>
  <c r="C888" i="1" s="1"/>
  <c r="A944" i="17" s="1"/>
  <c r="A969" i="1"/>
  <c r="C969" i="1" s="1"/>
  <c r="A945" i="17" s="1"/>
  <c r="A965" i="1"/>
  <c r="C965" i="1" s="1"/>
  <c r="A964" i="17" s="1"/>
  <c r="A858" i="1"/>
  <c r="C858" i="1" s="1"/>
  <c r="A966" i="17" s="1"/>
  <c r="A819" i="1"/>
  <c r="C819" i="1" s="1"/>
  <c r="A978" i="17" s="1"/>
  <c r="A966" i="1"/>
  <c r="C966" i="1" s="1"/>
  <c r="A984" i="17" s="1"/>
  <c r="A974" i="1"/>
  <c r="C974" i="1" s="1"/>
  <c r="A987" i="17" s="1"/>
  <c r="A981" i="1"/>
  <c r="C981" i="1" s="1"/>
  <c r="A1008" i="17" s="1"/>
  <c r="A942" i="1"/>
  <c r="C942" i="1" s="1"/>
  <c r="A1009" i="17" s="1"/>
  <c r="A899" i="1"/>
  <c r="C899" i="1" s="1"/>
  <c r="A1019" i="17" s="1"/>
  <c r="A994" i="1"/>
  <c r="C994" i="1" s="1"/>
  <c r="A1024" i="17" s="1"/>
  <c r="A937" i="1"/>
  <c r="C937" i="1" s="1"/>
  <c r="A1033" i="17" s="1"/>
  <c r="A1011" i="1"/>
  <c r="C1011" i="1" s="1"/>
  <c r="A1034" i="17" s="1"/>
  <c r="A993" i="1"/>
  <c r="C993" i="1" s="1"/>
  <c r="A1044" i="17" s="1"/>
  <c r="A817" i="1"/>
  <c r="C817" i="1" s="1"/>
  <c r="A1048" i="17" s="1"/>
  <c r="A944" i="1"/>
  <c r="C944" i="1" s="1"/>
  <c r="A1061" i="17" s="1"/>
  <c r="A854" i="1"/>
  <c r="C854" i="1" s="1"/>
  <c r="A1070" i="17" s="1"/>
  <c r="A968" i="1"/>
  <c r="C968" i="1" s="1"/>
  <c r="A1071" i="17" s="1"/>
  <c r="A845" i="1"/>
  <c r="C845" i="1" s="1"/>
  <c r="A1075" i="17" s="1"/>
  <c r="A847" i="1"/>
  <c r="C847" i="1" s="1"/>
  <c r="A1078" i="17" s="1"/>
  <c r="A828" i="1"/>
  <c r="C828" i="1" s="1"/>
  <c r="A1083" i="17" s="1"/>
  <c r="A850" i="1"/>
  <c r="C850" i="1" s="1"/>
  <c r="A1093" i="17" s="1"/>
  <c r="A836" i="1"/>
  <c r="C836" i="1" s="1"/>
  <c r="A1095" i="17" s="1"/>
  <c r="A851" i="1"/>
  <c r="C851" i="1" s="1"/>
  <c r="A1097" i="17" s="1"/>
  <c r="A857" i="1"/>
  <c r="C857" i="1" s="1"/>
  <c r="A1099" i="17" s="1"/>
  <c r="A840" i="1"/>
  <c r="C840" i="1" s="1"/>
  <c r="A1102" i="17" s="1"/>
  <c r="A316" i="1"/>
  <c r="C316" i="1" s="1"/>
  <c r="A914" i="1"/>
  <c r="C914" i="1" s="1"/>
  <c r="A1119" i="17" s="1"/>
  <c r="A907" i="1"/>
  <c r="C907" i="1" s="1"/>
  <c r="A1120" i="17" s="1"/>
  <c r="A999" i="1"/>
  <c r="C999" i="1" s="1"/>
  <c r="A1121" i="17" s="1"/>
  <c r="A848" i="1"/>
  <c r="C848" i="1" s="1"/>
  <c r="A1125" i="17" s="1"/>
  <c r="A839" i="1"/>
  <c r="C839" i="1" s="1"/>
  <c r="A1131" i="17" s="1"/>
  <c r="A831" i="1"/>
  <c r="C831" i="1" s="1"/>
  <c r="A1133" i="17" s="1"/>
  <c r="A826" i="1"/>
  <c r="C826" i="1" s="1"/>
  <c r="A1138" i="17" s="1"/>
  <c r="A967" i="1"/>
  <c r="C967" i="1" s="1"/>
  <c r="A1144" i="17" s="1"/>
  <c r="A824" i="1"/>
  <c r="C824" i="1" s="1"/>
  <c r="A1146" i="17" s="1"/>
  <c r="A818" i="1"/>
  <c r="C818" i="1" s="1"/>
  <c r="A1149" i="17" s="1"/>
  <c r="A822" i="1"/>
  <c r="C822" i="1" s="1"/>
  <c r="A926" i="1"/>
  <c r="C926" i="1" s="1"/>
  <c r="A1166" i="17" s="1"/>
  <c r="A1002" i="1"/>
  <c r="C1002" i="1" s="1"/>
  <c r="A1176" i="17" s="1"/>
  <c r="A841" i="1"/>
  <c r="C841" i="1" s="1"/>
  <c r="A1191" i="17" s="1"/>
  <c r="A908" i="1"/>
  <c r="C908" i="1" s="1"/>
  <c r="A1192" i="17" s="1"/>
  <c r="A852" i="1"/>
  <c r="C852" i="1" s="1"/>
  <c r="A1193" i="17" s="1"/>
  <c r="A830" i="1"/>
  <c r="C830" i="1" s="1"/>
  <c r="A1196" i="17" s="1"/>
  <c r="A877" i="1"/>
  <c r="C877" i="1" s="1"/>
  <c r="A1213" i="17" s="1"/>
  <c r="A842" i="1"/>
  <c r="C842" i="1" s="1"/>
  <c r="A1214" i="17" s="1"/>
  <c r="A928" i="1"/>
  <c r="C928" i="1" s="1"/>
  <c r="A1250" i="17" s="1"/>
  <c r="A874" i="1"/>
  <c r="C874" i="1" s="1"/>
  <c r="A1254" i="17" s="1"/>
  <c r="A976" i="1"/>
  <c r="C976" i="1" s="1"/>
  <c r="A1262" i="17" s="1"/>
  <c r="A991" i="1"/>
  <c r="C991" i="1" s="1"/>
  <c r="A1263" i="17" s="1"/>
  <c r="A961" i="1"/>
  <c r="C961" i="1" s="1"/>
  <c r="A1267" i="17" s="1"/>
  <c r="A995" i="1"/>
  <c r="C995" i="1" s="1"/>
  <c r="A1292" i="17" s="1"/>
  <c r="A996" i="1"/>
  <c r="C996" i="1" s="1"/>
  <c r="A1296" i="17" s="1"/>
  <c r="A938" i="1"/>
  <c r="C938" i="1" s="1"/>
  <c r="A1308" i="17" s="1"/>
  <c r="A1016" i="1"/>
  <c r="C1016" i="1" s="1"/>
  <c r="A1327" i="17" s="1"/>
  <c r="A891" i="1"/>
  <c r="C891" i="1" s="1"/>
  <c r="A1328" i="17" s="1"/>
  <c r="A674" i="1"/>
  <c r="C674" i="1" s="1"/>
  <c r="A1341" i="17" s="1"/>
  <c r="A725" i="1"/>
  <c r="C725" i="1" s="1"/>
  <c r="A1342" i="17" s="1"/>
  <c r="A952" i="1"/>
  <c r="C952" i="1" s="1"/>
  <c r="A1366" i="17" s="1"/>
  <c r="A890" i="1"/>
  <c r="C890" i="1" s="1"/>
  <c r="A1370" i="17" s="1"/>
  <c r="A889" i="1"/>
  <c r="C889" i="1" s="1"/>
  <c r="A1371" i="17" s="1"/>
  <c r="A978" i="1"/>
  <c r="C978" i="1" s="1"/>
  <c r="A1373" i="17" s="1"/>
  <c r="A892" i="1"/>
  <c r="C892" i="1" s="1"/>
  <c r="A1377" i="17" s="1"/>
  <c r="A925" i="1"/>
  <c r="C925" i="1" s="1"/>
  <c r="A1378" i="17" s="1"/>
  <c r="A833" i="1"/>
  <c r="C833" i="1" s="1"/>
  <c r="A1379" i="17" s="1"/>
  <c r="A932" i="1"/>
  <c r="C932" i="1" s="1"/>
  <c r="A1383" i="17" s="1"/>
  <c r="A843" i="1"/>
  <c r="C843" i="1" s="1"/>
  <c r="A869" i="1"/>
  <c r="C869" i="1" s="1"/>
  <c r="A1414" i="17" s="1"/>
  <c r="A898" i="1"/>
  <c r="C898" i="1" s="1"/>
  <c r="A1415" i="17" s="1"/>
  <c r="A982" i="1"/>
  <c r="C982" i="1" s="1"/>
  <c r="A983" i="1"/>
  <c r="C983" i="1" s="1"/>
  <c r="Q780" i="1"/>
  <c r="Q720" i="1"/>
  <c r="Q738" i="1"/>
  <c r="Q717" i="1"/>
  <c r="Q714" i="1"/>
  <c r="Q757" i="1"/>
  <c r="P757" i="1" s="1"/>
  <c r="Q771" i="1"/>
  <c r="Q803" i="1"/>
  <c r="Q764" i="1"/>
  <c r="Q786" i="1"/>
  <c r="P786" i="1" s="1"/>
  <c r="Q769" i="1"/>
  <c r="Q711" i="1"/>
  <c r="P711" i="1" s="1"/>
  <c r="Q762" i="1"/>
  <c r="P762" i="1" s="1"/>
  <c r="Q766" i="1"/>
  <c r="Q768" i="1"/>
  <c r="P768" i="1" s="1"/>
  <c r="Q789" i="1"/>
  <c r="P789" i="1" s="1"/>
  <c r="Q790" i="1"/>
  <c r="P790" i="1" s="1"/>
  <c r="Q747" i="1"/>
  <c r="P747" i="1" s="1"/>
  <c r="Q744" i="1"/>
  <c r="P744" i="1" s="1"/>
  <c r="Q727" i="1"/>
  <c r="P727" i="1" s="1"/>
  <c r="Q741" i="1"/>
  <c r="Q813" i="1"/>
  <c r="Q809" i="1"/>
  <c r="P809" i="1" s="1"/>
  <c r="Q776" i="1"/>
  <c r="P776" i="1" s="1"/>
  <c r="Q783" i="1"/>
  <c r="P783" i="1" s="1"/>
  <c r="Q773" i="1"/>
  <c r="P773" i="1" s="1"/>
  <c r="Q746" i="1"/>
  <c r="P746" i="1" s="1"/>
  <c r="Q715" i="1"/>
  <c r="P715" i="1" s="1"/>
  <c r="Q730" i="1"/>
  <c r="P730" i="1" s="1"/>
  <c r="Q740" i="1"/>
  <c r="P740" i="1" s="1"/>
  <c r="Q733" i="1"/>
  <c r="P733" i="1" s="1"/>
  <c r="Q774" i="1"/>
  <c r="P774" i="1" s="1"/>
  <c r="Q721" i="1"/>
  <c r="P721" i="1" s="1"/>
  <c r="Q778" i="1"/>
  <c r="Q722" i="1"/>
  <c r="P722" i="1" s="1"/>
  <c r="Q745" i="1"/>
  <c r="P745" i="1" s="1"/>
  <c r="Q713" i="1"/>
  <c r="P713" i="1" s="1"/>
  <c r="Q734" i="1"/>
  <c r="P734" i="1" s="1"/>
  <c r="Q791" i="1"/>
  <c r="Q739" i="1"/>
  <c r="Q767" i="1"/>
  <c r="P767" i="1" s="1"/>
  <c r="Q761" i="1"/>
  <c r="P761" i="1" s="1"/>
  <c r="Q799" i="1"/>
  <c r="Q736" i="1"/>
  <c r="P736" i="1" s="1"/>
  <c r="Q798" i="1"/>
  <c r="P798" i="1" s="1"/>
  <c r="Q794" i="1"/>
  <c r="P794" i="1" s="1"/>
  <c r="Q792" i="1"/>
  <c r="Q797" i="1"/>
  <c r="Q729" i="1"/>
  <c r="P729" i="1" s="1"/>
  <c r="Q728" i="1"/>
  <c r="Q793" i="1"/>
  <c r="P793" i="1" s="1"/>
  <c r="Q712" i="1"/>
  <c r="P712" i="1" s="1"/>
  <c r="Q737" i="1"/>
  <c r="P737" i="1" s="1"/>
  <c r="Q716" i="1"/>
  <c r="Q814" i="1"/>
  <c r="Q755" i="1"/>
  <c r="P755" i="1" s="1"/>
  <c r="Q750" i="1"/>
  <c r="Q777" i="1"/>
  <c r="P777" i="1" s="1"/>
  <c r="Q801" i="1"/>
  <c r="P801" i="1" s="1"/>
  <c r="Q782" i="1"/>
  <c r="Q802" i="1"/>
  <c r="Q788" i="1"/>
  <c r="P788" i="1" s="1"/>
  <c r="Q781" i="1"/>
  <c r="Q718" i="1"/>
  <c r="Q772" i="1"/>
  <c r="Q812" i="1"/>
  <c r="Q811" i="1"/>
  <c r="P811" i="1" s="1"/>
  <c r="Q808" i="1"/>
  <c r="Q743" i="1"/>
  <c r="P743" i="1" s="1"/>
  <c r="Q754" i="1"/>
  <c r="P754" i="1" s="1"/>
  <c r="Q749" i="1"/>
  <c r="Q807" i="1"/>
  <c r="Q770" i="1"/>
  <c r="Q805" i="1"/>
  <c r="Q732" i="1"/>
  <c r="Q806" i="1"/>
  <c r="Q751" i="1"/>
  <c r="P751" i="1" s="1"/>
  <c r="Q765" i="1"/>
  <c r="Q810" i="1"/>
  <c r="P810" i="1" s="1"/>
  <c r="Q787" i="1"/>
  <c r="P787" i="1" s="1"/>
  <c r="Q731" i="1"/>
  <c r="P731" i="1" s="1"/>
  <c r="Q785" i="1"/>
  <c r="P785" i="1" s="1"/>
  <c r="Q796" i="1"/>
  <c r="P796" i="1" s="1"/>
  <c r="Q804" i="1"/>
  <c r="P804" i="1" s="1"/>
  <c r="Q815" i="1"/>
  <c r="Q758" i="1"/>
  <c r="P758" i="1" s="1"/>
  <c r="Q779" i="1"/>
  <c r="P779" i="1" s="1"/>
  <c r="Q742" i="1"/>
  <c r="Q756" i="1"/>
  <c r="P756" i="1" s="1"/>
  <c r="Q719" i="1"/>
  <c r="P719" i="1" s="1"/>
  <c r="Q759" i="1"/>
  <c r="P759" i="1" s="1"/>
  <c r="Q724" i="1"/>
  <c r="P724" i="1" s="1"/>
  <c r="Q723" i="1"/>
  <c r="P723" i="1" s="1"/>
  <c r="Q748" i="1"/>
  <c r="P748" i="1" s="1"/>
  <c r="Q735" i="1"/>
  <c r="Q775" i="1"/>
  <c r="P775" i="1" s="1"/>
  <c r="Q760" i="1"/>
  <c r="Q763" i="1"/>
  <c r="P763" i="1" s="1"/>
  <c r="Q753" i="1"/>
  <c r="P753" i="1" s="1"/>
  <c r="Q752" i="1"/>
  <c r="P752" i="1" s="1"/>
  <c r="Q800" i="1"/>
  <c r="P800" i="1" s="1"/>
  <c r="Q726" i="1"/>
  <c r="P726" i="1" s="1"/>
  <c r="Q710" i="1"/>
  <c r="P710" i="1" s="1"/>
  <c r="Q784" i="1"/>
  <c r="Q795" i="1"/>
  <c r="A780" i="1"/>
  <c r="C780" i="1" s="1"/>
  <c r="A22" i="17" s="1"/>
  <c r="A720" i="1"/>
  <c r="C720" i="1" s="1"/>
  <c r="A52" i="17" s="1"/>
  <c r="A738" i="1"/>
  <c r="C738" i="1" s="1"/>
  <c r="A67" i="17" s="1"/>
  <c r="A717" i="1"/>
  <c r="C717" i="1" s="1"/>
  <c r="A86" i="17" s="1"/>
  <c r="A714" i="1"/>
  <c r="C714" i="1" s="1"/>
  <c r="A87" i="17" s="1"/>
  <c r="A757" i="1"/>
  <c r="C757" i="1" s="1"/>
  <c r="A94" i="17" s="1"/>
  <c r="A771" i="1"/>
  <c r="C771" i="1" s="1"/>
  <c r="A112" i="17" s="1"/>
  <c r="A803" i="1"/>
  <c r="C803" i="1" s="1"/>
  <c r="A132" i="17" s="1"/>
  <c r="A764" i="1"/>
  <c r="C764" i="1" s="1"/>
  <c r="A162" i="17" s="1"/>
  <c r="A786" i="1"/>
  <c r="C786" i="1" s="1"/>
  <c r="A182" i="17" s="1"/>
  <c r="A769" i="1"/>
  <c r="C769" i="1" s="1"/>
  <c r="A200" i="17" s="1"/>
  <c r="A711" i="1"/>
  <c r="C711" i="1" s="1"/>
  <c r="A201" i="17" s="1"/>
  <c r="A762" i="1"/>
  <c r="C762" i="1" s="1"/>
  <c r="A245" i="17" s="1"/>
  <c r="A766" i="1"/>
  <c r="C766" i="1" s="1"/>
  <c r="A257" i="17" s="1"/>
  <c r="A768" i="1"/>
  <c r="C768" i="1" s="1"/>
  <c r="A262" i="17" s="1"/>
  <c r="A789" i="1"/>
  <c r="C789" i="1" s="1"/>
  <c r="A267" i="17" s="1"/>
  <c r="A790" i="1"/>
  <c r="C790" i="1" s="1"/>
  <c r="A288" i="17" s="1"/>
  <c r="A747" i="1"/>
  <c r="C747" i="1" s="1"/>
  <c r="A330" i="17" s="1"/>
  <c r="A744" i="1"/>
  <c r="C744" i="1" s="1"/>
  <c r="A335" i="17" s="1"/>
  <c r="A727" i="1"/>
  <c r="C727" i="1" s="1"/>
  <c r="A351" i="17" s="1"/>
  <c r="A741" i="1"/>
  <c r="C741" i="1" s="1"/>
  <c r="A357" i="17" s="1"/>
  <c r="A813" i="1"/>
  <c r="C813" i="1" s="1"/>
  <c r="A359" i="17" s="1"/>
  <c r="A809" i="1"/>
  <c r="C809" i="1" s="1"/>
  <c r="A361" i="17" s="1"/>
  <c r="A776" i="1"/>
  <c r="C776" i="1" s="1"/>
  <c r="A395" i="17" s="1"/>
  <c r="A783" i="1"/>
  <c r="C783" i="1" s="1"/>
  <c r="A397" i="17" s="1"/>
  <c r="A773" i="1"/>
  <c r="C773" i="1" s="1"/>
  <c r="A400" i="17" s="1"/>
  <c r="A746" i="1"/>
  <c r="C746" i="1" s="1"/>
  <c r="A403" i="17" s="1"/>
  <c r="A715" i="1"/>
  <c r="C715" i="1" s="1"/>
  <c r="A427" i="17" s="1"/>
  <c r="A730" i="1"/>
  <c r="C730" i="1" s="1"/>
  <c r="A471" i="17" s="1"/>
  <c r="A740" i="1"/>
  <c r="C740" i="1" s="1"/>
  <c r="A473" i="17" s="1"/>
  <c r="A733" i="1"/>
  <c r="C733" i="1" s="1"/>
  <c r="A501" i="17" s="1"/>
  <c r="A774" i="1"/>
  <c r="C774" i="1" s="1"/>
  <c r="A511" i="17" s="1"/>
  <c r="A721" i="1"/>
  <c r="C721" i="1" s="1"/>
  <c r="A514" i="17" s="1"/>
  <c r="A778" i="1"/>
  <c r="C778" i="1" s="1"/>
  <c r="A515" i="17" s="1"/>
  <c r="A722" i="1"/>
  <c r="C722" i="1" s="1"/>
  <c r="A517" i="17" s="1"/>
  <c r="A745" i="1"/>
  <c r="C745" i="1" s="1"/>
  <c r="A529" i="17" s="1"/>
  <c r="A713" i="1"/>
  <c r="C713" i="1" s="1"/>
  <c r="A539" i="17" s="1"/>
  <c r="A734" i="1"/>
  <c r="C734" i="1" s="1"/>
  <c r="A565" i="17" s="1"/>
  <c r="A791" i="1"/>
  <c r="C791" i="1" s="1"/>
  <c r="A600" i="17" s="1"/>
  <c r="A739" i="1"/>
  <c r="C739" i="1" s="1"/>
  <c r="A618" i="17" s="1"/>
  <c r="A767" i="1"/>
  <c r="C767" i="1" s="1"/>
  <c r="A630" i="17" s="1"/>
  <c r="A761" i="1"/>
  <c r="C761" i="1" s="1"/>
  <c r="A658" i="17" s="1"/>
  <c r="A799" i="1"/>
  <c r="C799" i="1" s="1"/>
  <c r="A667" i="17" s="1"/>
  <c r="A736" i="1"/>
  <c r="C736" i="1" s="1"/>
  <c r="A686" i="17" s="1"/>
  <c r="A798" i="1"/>
  <c r="C798" i="1" s="1"/>
  <c r="A720" i="17" s="1"/>
  <c r="A794" i="1"/>
  <c r="C794" i="1" s="1"/>
  <c r="A732" i="17" s="1"/>
  <c r="A792" i="1"/>
  <c r="C792" i="1" s="1"/>
  <c r="A759" i="17" s="1"/>
  <c r="A797" i="1"/>
  <c r="C797" i="1" s="1"/>
  <c r="A762" i="17" s="1"/>
  <c r="A729" i="1"/>
  <c r="C729" i="1" s="1"/>
  <c r="A797" i="17" s="1"/>
  <c r="A728" i="1"/>
  <c r="C728" i="1" s="1"/>
  <c r="A809" i="17" s="1"/>
  <c r="A793" i="1"/>
  <c r="C793" i="1" s="1"/>
  <c r="A818" i="17" s="1"/>
  <c r="A712" i="1"/>
  <c r="C712" i="1" s="1"/>
  <c r="A844" i="17" s="1"/>
  <c r="A737" i="1"/>
  <c r="C737" i="1" s="1"/>
  <c r="A849" i="17" s="1"/>
  <c r="A716" i="1"/>
  <c r="C716" i="1" s="1"/>
  <c r="A896" i="17" s="1"/>
  <c r="A814" i="1"/>
  <c r="C814" i="1" s="1"/>
  <c r="A905" i="17" s="1"/>
  <c r="A755" i="1"/>
  <c r="C755" i="1" s="1"/>
  <c r="A909" i="17" s="1"/>
  <c r="A750" i="1"/>
  <c r="C750" i="1" s="1"/>
  <c r="A921" i="17" s="1"/>
  <c r="A777" i="1"/>
  <c r="C777" i="1" s="1"/>
  <c r="A929" i="17" s="1"/>
  <c r="A801" i="1"/>
  <c r="C801" i="1" s="1"/>
  <c r="A958" i="17" s="1"/>
  <c r="A782" i="1"/>
  <c r="C782" i="1" s="1"/>
  <c r="A994" i="17" s="1"/>
  <c r="A802" i="1"/>
  <c r="C802" i="1" s="1"/>
  <c r="A995" i="17" s="1"/>
  <c r="A788" i="1"/>
  <c r="C788" i="1" s="1"/>
  <c r="A781" i="1"/>
  <c r="C781" i="1" s="1"/>
  <c r="A1017" i="17" s="1"/>
  <c r="A718" i="1"/>
  <c r="C718" i="1" s="1"/>
  <c r="A1029" i="17" s="1"/>
  <c r="A772" i="1"/>
  <c r="C772" i="1" s="1"/>
  <c r="A1031" i="17" s="1"/>
  <c r="A812" i="1"/>
  <c r="C812" i="1" s="1"/>
  <c r="A1045" i="17" s="1"/>
  <c r="A811" i="1"/>
  <c r="C811" i="1" s="1"/>
  <c r="A1050" i="17" s="1"/>
  <c r="A808" i="1"/>
  <c r="C808" i="1" s="1"/>
  <c r="A1051" i="17" s="1"/>
  <c r="A743" i="1"/>
  <c r="C743" i="1" s="1"/>
  <c r="A1060" i="17" s="1"/>
  <c r="A754" i="1"/>
  <c r="C754" i="1" s="1"/>
  <c r="A1109" i="17" s="1"/>
  <c r="A749" i="1"/>
  <c r="C749" i="1" s="1"/>
  <c r="A1111" i="17" s="1"/>
  <c r="A807" i="1"/>
  <c r="C807" i="1" s="1"/>
  <c r="A1114" i="17" s="1"/>
  <c r="A770" i="1"/>
  <c r="C770" i="1" s="1"/>
  <c r="A1140" i="17" s="1"/>
  <c r="A805" i="1"/>
  <c r="C805" i="1" s="1"/>
  <c r="A1155" i="17" s="1"/>
  <c r="A732" i="1"/>
  <c r="C732" i="1" s="1"/>
  <c r="A1157" i="17" s="1"/>
  <c r="A806" i="1"/>
  <c r="C806" i="1" s="1"/>
  <c r="A1167" i="17" s="1"/>
  <c r="A751" i="1"/>
  <c r="C751" i="1" s="1"/>
  <c r="A1181" i="17" s="1"/>
  <c r="A765" i="1"/>
  <c r="C765" i="1" s="1"/>
  <c r="A1190" i="17" s="1"/>
  <c r="A810" i="1"/>
  <c r="C810" i="1" s="1"/>
  <c r="A1194" i="17" s="1"/>
  <c r="A787" i="1"/>
  <c r="C787" i="1" s="1"/>
  <c r="A1195" i="17" s="1"/>
  <c r="A731" i="1"/>
  <c r="C731" i="1" s="1"/>
  <c r="A1198" i="17" s="1"/>
  <c r="A785" i="1"/>
  <c r="C785" i="1" s="1"/>
  <c r="A1234" i="17" s="1"/>
  <c r="A796" i="1"/>
  <c r="C796" i="1" s="1"/>
  <c r="A1237" i="17" s="1"/>
  <c r="A804" i="1"/>
  <c r="C804" i="1" s="1"/>
  <c r="A1242" i="17" s="1"/>
  <c r="A815" i="1"/>
  <c r="C815" i="1" s="1"/>
  <c r="A1246" i="17" s="1"/>
  <c r="A758" i="1"/>
  <c r="C758" i="1" s="1"/>
  <c r="A1252" i="17" s="1"/>
  <c r="A779" i="1"/>
  <c r="C779" i="1" s="1"/>
  <c r="A1288" i="17" s="1"/>
  <c r="A742" i="1"/>
  <c r="C742" i="1" s="1"/>
  <c r="A1289" i="17" s="1"/>
  <c r="A756" i="1"/>
  <c r="C756" i="1" s="1"/>
  <c r="A1293" i="17" s="1"/>
  <c r="A719" i="1"/>
  <c r="C719" i="1" s="1"/>
  <c r="A1314" i="17" s="1"/>
  <c r="A759" i="1"/>
  <c r="C759" i="1" s="1"/>
  <c r="A1316" i="17" s="1"/>
  <c r="A724" i="1"/>
  <c r="C724" i="1" s="1"/>
  <c r="A1345" i="17" s="1"/>
  <c r="A723" i="1"/>
  <c r="C723" i="1" s="1"/>
  <c r="A1346" i="17" s="1"/>
  <c r="A748" i="1"/>
  <c r="C748" i="1" s="1"/>
  <c r="A1368" i="17" s="1"/>
  <c r="A735" i="1"/>
  <c r="C735" i="1" s="1"/>
  <c r="A1382" i="17" s="1"/>
  <c r="A775" i="1"/>
  <c r="C775" i="1" s="1"/>
  <c r="A760" i="1"/>
  <c r="C760" i="1" s="1"/>
  <c r="A1405" i="17" s="1"/>
  <c r="A763" i="1"/>
  <c r="C763" i="1" s="1"/>
  <c r="A1446" i="17" s="1"/>
  <c r="A753" i="1"/>
  <c r="C753" i="1" s="1"/>
  <c r="A1459" i="17" s="1"/>
  <c r="A752" i="1"/>
  <c r="C752" i="1" s="1"/>
  <c r="A1468" i="17" s="1"/>
  <c r="A800" i="1"/>
  <c r="C800" i="1" s="1"/>
  <c r="A1477" i="17" s="1"/>
  <c r="A726" i="1"/>
  <c r="C726" i="1" s="1"/>
  <c r="A1478" i="17" s="1"/>
  <c r="A710" i="1"/>
  <c r="C710" i="1" s="1"/>
  <c r="A1481" i="17" s="1"/>
  <c r="A784" i="1"/>
  <c r="C784" i="1" s="1"/>
  <c r="A1782" i="17" s="1"/>
  <c r="A795" i="1"/>
  <c r="C795" i="1" s="1"/>
  <c r="A1783" i="17" s="1"/>
  <c r="Q3" i="1"/>
  <c r="P3" i="1" s="1"/>
  <c r="Q4" i="1"/>
  <c r="P4" i="1" s="1"/>
  <c r="Q5" i="1"/>
  <c r="P5" i="1" s="1"/>
  <c r="Q6" i="1"/>
  <c r="P6" i="1" s="1"/>
  <c r="Q7" i="1"/>
  <c r="P7" i="1" s="1"/>
  <c r="Q8" i="1"/>
  <c r="P8" i="1" s="1"/>
  <c r="Q9" i="1"/>
  <c r="P9" i="1" s="1"/>
  <c r="Q10" i="1"/>
  <c r="P10" i="1" s="1"/>
  <c r="Q11" i="1"/>
  <c r="P11" i="1" s="1"/>
  <c r="Q12" i="1"/>
  <c r="P12" i="1" s="1"/>
  <c r="Q13" i="1"/>
  <c r="P13" i="1" s="1"/>
  <c r="Q14" i="1"/>
  <c r="P14" i="1" s="1"/>
  <c r="Q15" i="1"/>
  <c r="P15" i="1" s="1"/>
  <c r="Q16" i="1"/>
  <c r="P16" i="1" s="1"/>
  <c r="Q17" i="1"/>
  <c r="P17" i="1" s="1"/>
  <c r="Q18" i="1"/>
  <c r="P18" i="1" s="1"/>
  <c r="Q19" i="1"/>
  <c r="P19" i="1" s="1"/>
  <c r="Q20" i="1"/>
  <c r="P20" i="1" s="1"/>
  <c r="Q21" i="1"/>
  <c r="P21" i="1" s="1"/>
  <c r="Q22" i="1"/>
  <c r="P22" i="1" s="1"/>
  <c r="Q23" i="1"/>
  <c r="P23" i="1" s="1"/>
  <c r="Q24" i="1"/>
  <c r="P24" i="1" s="1"/>
  <c r="Q25" i="1"/>
  <c r="P25" i="1" s="1"/>
  <c r="Q26" i="1"/>
  <c r="P26" i="1" s="1"/>
  <c r="Q27" i="1"/>
  <c r="P27" i="1" s="1"/>
  <c r="Q28" i="1"/>
  <c r="P28" i="1" s="1"/>
  <c r="Q29" i="1"/>
  <c r="P29" i="1" s="1"/>
  <c r="Q30" i="1"/>
  <c r="P30" i="1" s="1"/>
  <c r="Q31" i="1"/>
  <c r="P31" i="1" s="1"/>
  <c r="Q32" i="1"/>
  <c r="P32" i="1" s="1"/>
  <c r="Q33" i="1"/>
  <c r="P33" i="1" s="1"/>
  <c r="Q34" i="1"/>
  <c r="P34" i="1" s="1"/>
  <c r="Q35" i="1"/>
  <c r="P35" i="1" s="1"/>
  <c r="Q36" i="1"/>
  <c r="P36" i="1" s="1"/>
  <c r="Q37" i="1"/>
  <c r="P37" i="1" s="1"/>
  <c r="Q38" i="1"/>
  <c r="P38" i="1" s="1"/>
  <c r="Q39" i="1"/>
  <c r="P39" i="1" s="1"/>
  <c r="Q40" i="1"/>
  <c r="P40" i="1" s="1"/>
  <c r="Q41" i="1"/>
  <c r="P41" i="1" s="1"/>
  <c r="Q42" i="1"/>
  <c r="P42" i="1" s="1"/>
  <c r="Q43" i="1"/>
  <c r="P43" i="1" s="1"/>
  <c r="Q44" i="1"/>
  <c r="P44" i="1" s="1"/>
  <c r="Q45" i="1"/>
  <c r="P45" i="1" s="1"/>
  <c r="Q46" i="1"/>
  <c r="P46" i="1" s="1"/>
  <c r="Q47" i="1"/>
  <c r="P47" i="1" s="1"/>
  <c r="Q48" i="1"/>
  <c r="P48" i="1" s="1"/>
  <c r="Q49" i="1"/>
  <c r="P49" i="1" s="1"/>
  <c r="Q50" i="1"/>
  <c r="P50" i="1" s="1"/>
  <c r="Q51" i="1"/>
  <c r="P51" i="1" s="1"/>
  <c r="Q52" i="1"/>
  <c r="P52" i="1" s="1"/>
  <c r="Q53" i="1"/>
  <c r="P53" i="1" s="1"/>
  <c r="Q54" i="1"/>
  <c r="P54" i="1" s="1"/>
  <c r="Q55" i="1"/>
  <c r="P55" i="1" s="1"/>
  <c r="Q56" i="1"/>
  <c r="P56" i="1" s="1"/>
  <c r="Q57" i="1"/>
  <c r="P57" i="1" s="1"/>
  <c r="Q58" i="1"/>
  <c r="P58" i="1" s="1"/>
  <c r="Q59" i="1"/>
  <c r="P59" i="1" s="1"/>
  <c r="Q60" i="1"/>
  <c r="P60" i="1" s="1"/>
  <c r="Q61" i="1"/>
  <c r="P61" i="1" s="1"/>
  <c r="Q62" i="1"/>
  <c r="P62" i="1" s="1"/>
  <c r="Q63" i="1"/>
  <c r="P63" i="1" s="1"/>
  <c r="Q64" i="1"/>
  <c r="P64" i="1" s="1"/>
  <c r="Q65" i="1"/>
  <c r="P65" i="1" s="1"/>
  <c r="Q66" i="1"/>
  <c r="P66" i="1" s="1"/>
  <c r="Q67" i="1"/>
  <c r="P67" i="1" s="1"/>
  <c r="Q69" i="1"/>
  <c r="P69" i="1" s="1"/>
  <c r="Q70" i="1"/>
  <c r="P70" i="1" s="1"/>
  <c r="Q71" i="1"/>
  <c r="P71" i="1" s="1"/>
  <c r="Q72" i="1"/>
  <c r="P72" i="1" s="1"/>
  <c r="Q73" i="1"/>
  <c r="P73" i="1" s="1"/>
  <c r="Q74" i="1"/>
  <c r="P74" i="1" s="1"/>
  <c r="Q75" i="1"/>
  <c r="P75" i="1" s="1"/>
  <c r="Q76" i="1"/>
  <c r="P76" i="1" s="1"/>
  <c r="Q77" i="1"/>
  <c r="P77" i="1" s="1"/>
  <c r="Q78" i="1"/>
  <c r="P78" i="1" s="1"/>
  <c r="Q79" i="1"/>
  <c r="P79" i="1" s="1"/>
  <c r="Q80" i="1"/>
  <c r="P80" i="1" s="1"/>
  <c r="Q81" i="1"/>
  <c r="P81" i="1" s="1"/>
  <c r="Q82" i="1"/>
  <c r="P82" i="1" s="1"/>
  <c r="Q83" i="1"/>
  <c r="P83" i="1" s="1"/>
  <c r="Q84" i="1"/>
  <c r="P84" i="1" s="1"/>
  <c r="Q85" i="1"/>
  <c r="P85" i="1" s="1"/>
  <c r="Q86" i="1"/>
  <c r="P86" i="1" s="1"/>
  <c r="Q87" i="1"/>
  <c r="P87" i="1" s="1"/>
  <c r="Q88" i="1"/>
  <c r="P88" i="1" s="1"/>
  <c r="Q89" i="1"/>
  <c r="P89" i="1" s="1"/>
  <c r="Q90" i="1"/>
  <c r="P90" i="1" s="1"/>
  <c r="Q91" i="1"/>
  <c r="P91" i="1" s="1"/>
  <c r="Q92" i="1"/>
  <c r="P92" i="1" s="1"/>
  <c r="Q93" i="1"/>
  <c r="P93" i="1" s="1"/>
  <c r="Q94" i="1"/>
  <c r="P94" i="1" s="1"/>
  <c r="Q95" i="1"/>
  <c r="P95" i="1" s="1"/>
  <c r="Q96" i="1"/>
  <c r="P96" i="1" s="1"/>
  <c r="Q97" i="1"/>
  <c r="P97" i="1" s="1"/>
  <c r="Q98" i="1"/>
  <c r="P98" i="1" s="1"/>
  <c r="Q99" i="1"/>
  <c r="P99" i="1" s="1"/>
  <c r="Q100" i="1"/>
  <c r="P100" i="1" s="1"/>
  <c r="Q101" i="1"/>
  <c r="P101" i="1" s="1"/>
  <c r="Q102" i="1"/>
  <c r="P102" i="1" s="1"/>
  <c r="Q103" i="1"/>
  <c r="P103" i="1" s="1"/>
  <c r="Q104" i="1"/>
  <c r="P104" i="1" s="1"/>
  <c r="Q105" i="1"/>
  <c r="P105" i="1" s="1"/>
  <c r="Q106" i="1"/>
  <c r="P106" i="1" s="1"/>
  <c r="Q107" i="1"/>
  <c r="P107" i="1" s="1"/>
  <c r="Q108" i="1"/>
  <c r="P108" i="1" s="1"/>
  <c r="Q109" i="1"/>
  <c r="P109" i="1" s="1"/>
  <c r="Q110" i="1"/>
  <c r="P110" i="1" s="1"/>
  <c r="Q111" i="1"/>
  <c r="P111" i="1" s="1"/>
  <c r="Q112" i="1"/>
  <c r="P112" i="1" s="1"/>
  <c r="Q113" i="1"/>
  <c r="P113" i="1" s="1"/>
  <c r="Q114" i="1"/>
  <c r="P114" i="1" s="1"/>
  <c r="Q115" i="1"/>
  <c r="P115" i="1" s="1"/>
  <c r="Q116" i="1"/>
  <c r="P116" i="1" s="1"/>
  <c r="Q117" i="1"/>
  <c r="P117" i="1" s="1"/>
  <c r="Q118" i="1"/>
  <c r="P118" i="1" s="1"/>
  <c r="Q119" i="1"/>
  <c r="P119" i="1" s="1"/>
  <c r="Q120" i="1"/>
  <c r="P120" i="1" s="1"/>
  <c r="Q121" i="1"/>
  <c r="P121" i="1" s="1"/>
  <c r="Q122" i="1"/>
  <c r="P122" i="1" s="1"/>
  <c r="Q123" i="1"/>
  <c r="P123" i="1" s="1"/>
  <c r="Q124" i="1"/>
  <c r="P124" i="1" s="1"/>
  <c r="Q125" i="1"/>
  <c r="P125" i="1" s="1"/>
  <c r="Q126" i="1"/>
  <c r="P126" i="1" s="1"/>
  <c r="Q127" i="1"/>
  <c r="P127" i="1" s="1"/>
  <c r="Q128" i="1"/>
  <c r="P128" i="1" s="1"/>
  <c r="Q129" i="1"/>
  <c r="P129" i="1" s="1"/>
  <c r="Q130" i="1"/>
  <c r="P130" i="1" s="1"/>
  <c r="Q131" i="1"/>
  <c r="P131" i="1" s="1"/>
  <c r="Q132" i="1"/>
  <c r="P132" i="1" s="1"/>
  <c r="Q133" i="1"/>
  <c r="P133" i="1" s="1"/>
  <c r="Q134" i="1"/>
  <c r="P134" i="1" s="1"/>
  <c r="Q135" i="1"/>
  <c r="P135" i="1" s="1"/>
  <c r="Q136" i="1"/>
  <c r="P136" i="1" s="1"/>
  <c r="Q137" i="1"/>
  <c r="P137" i="1" s="1"/>
  <c r="Q138" i="1"/>
  <c r="P138" i="1" s="1"/>
  <c r="Q139" i="1"/>
  <c r="P139" i="1" s="1"/>
  <c r="Q140" i="1"/>
  <c r="P140" i="1" s="1"/>
  <c r="Q141" i="1"/>
  <c r="P141" i="1" s="1"/>
  <c r="Q142" i="1"/>
  <c r="P142" i="1" s="1"/>
  <c r="Q143" i="1"/>
  <c r="P143" i="1" s="1"/>
  <c r="Q144" i="1"/>
  <c r="P144" i="1" s="1"/>
  <c r="Q145" i="1"/>
  <c r="P145" i="1" s="1"/>
  <c r="Q146" i="1"/>
  <c r="P146" i="1" s="1"/>
  <c r="Q147" i="1"/>
  <c r="P147" i="1" s="1"/>
  <c r="Q148" i="1"/>
  <c r="P148" i="1" s="1"/>
  <c r="Q149" i="1"/>
  <c r="P149" i="1" s="1"/>
  <c r="Q150" i="1"/>
  <c r="P150" i="1" s="1"/>
  <c r="Q151" i="1"/>
  <c r="P151" i="1" s="1"/>
  <c r="Q152" i="1"/>
  <c r="P152" i="1" s="1"/>
  <c r="Q153" i="1"/>
  <c r="P153" i="1" s="1"/>
  <c r="Q154" i="1"/>
  <c r="P154" i="1" s="1"/>
  <c r="Q155" i="1"/>
  <c r="P155" i="1" s="1"/>
  <c r="Q156" i="1"/>
  <c r="P156" i="1" s="1"/>
  <c r="Q157" i="1"/>
  <c r="P157" i="1" s="1"/>
  <c r="Q158" i="1"/>
  <c r="P158" i="1" s="1"/>
  <c r="Q159" i="1"/>
  <c r="P159" i="1" s="1"/>
  <c r="Q160" i="1"/>
  <c r="P160" i="1" s="1"/>
  <c r="Q161" i="1"/>
  <c r="P161" i="1" s="1"/>
  <c r="Q162" i="1"/>
  <c r="P162" i="1" s="1"/>
  <c r="Q163" i="1"/>
  <c r="P163" i="1" s="1"/>
  <c r="Q164" i="1"/>
  <c r="P164" i="1" s="1"/>
  <c r="Q165" i="1"/>
  <c r="P165" i="1" s="1"/>
  <c r="Q166" i="1"/>
  <c r="P166" i="1" s="1"/>
  <c r="Q167" i="1"/>
  <c r="P167" i="1" s="1"/>
  <c r="Q168" i="1"/>
  <c r="P168" i="1" s="1"/>
  <c r="Q169" i="1"/>
  <c r="P169" i="1" s="1"/>
  <c r="Q170" i="1"/>
  <c r="P170" i="1" s="1"/>
  <c r="Q171" i="1"/>
  <c r="P171" i="1" s="1"/>
  <c r="Q172" i="1"/>
  <c r="P172" i="1" s="1"/>
  <c r="Q173" i="1"/>
  <c r="P173" i="1" s="1"/>
  <c r="Q174" i="1"/>
  <c r="P174" i="1" s="1"/>
  <c r="Q175" i="1"/>
  <c r="P175" i="1" s="1"/>
  <c r="Q176" i="1"/>
  <c r="P176" i="1" s="1"/>
  <c r="Q177" i="1"/>
  <c r="P177" i="1" s="1"/>
  <c r="Q178" i="1"/>
  <c r="P178" i="1" s="1"/>
  <c r="Q179" i="1"/>
  <c r="P179" i="1" s="1"/>
  <c r="Q180" i="1"/>
  <c r="P180" i="1" s="1"/>
  <c r="Q181" i="1"/>
  <c r="Q182" i="1"/>
  <c r="P182" i="1" s="1"/>
  <c r="Q183" i="1"/>
  <c r="Q184" i="1"/>
  <c r="P184" i="1" s="1"/>
  <c r="Q185" i="1"/>
  <c r="P185" i="1" s="1"/>
  <c r="Q186" i="1"/>
  <c r="P186" i="1" s="1"/>
  <c r="Q187" i="1"/>
  <c r="P187" i="1" s="1"/>
  <c r="Q188" i="1"/>
  <c r="P188" i="1" s="1"/>
  <c r="Q189" i="1"/>
  <c r="P189" i="1" s="1"/>
  <c r="Q190" i="1"/>
  <c r="P190" i="1" s="1"/>
  <c r="Q191" i="1"/>
  <c r="Q192" i="1"/>
  <c r="P192" i="1" s="1"/>
  <c r="Q193" i="1"/>
  <c r="P193" i="1" s="1"/>
  <c r="Q194" i="1"/>
  <c r="P194" i="1" s="1"/>
  <c r="Q195" i="1"/>
  <c r="P195" i="1" s="1"/>
  <c r="Q196" i="1"/>
  <c r="P196" i="1" s="1"/>
  <c r="Q197" i="1"/>
  <c r="P197" i="1" s="1"/>
  <c r="Q198" i="1"/>
  <c r="Q199" i="1"/>
  <c r="P199" i="1" s="1"/>
  <c r="Q200" i="1"/>
  <c r="P200" i="1" s="1"/>
  <c r="Q201" i="1"/>
  <c r="P201" i="1" s="1"/>
  <c r="Q202" i="1"/>
  <c r="P202" i="1" s="1"/>
  <c r="Q203" i="1"/>
  <c r="P203" i="1" s="1"/>
  <c r="Q205" i="1"/>
  <c r="P205" i="1" s="1"/>
  <c r="Q206" i="1"/>
  <c r="P206" i="1" s="1"/>
  <c r="Q207" i="1"/>
  <c r="Q208" i="1"/>
  <c r="P208" i="1" s="1"/>
  <c r="Q209" i="1"/>
  <c r="P209" i="1" s="1"/>
  <c r="Q210" i="1"/>
  <c r="P210" i="1" s="1"/>
  <c r="Q211" i="1"/>
  <c r="P211" i="1" s="1"/>
  <c r="Q212" i="1"/>
  <c r="P212" i="1" s="1"/>
  <c r="Q213" i="1"/>
  <c r="P213" i="1" s="1"/>
  <c r="Q214" i="1"/>
  <c r="P214" i="1" s="1"/>
  <c r="Q215" i="1"/>
  <c r="P215" i="1" s="1"/>
  <c r="Q216" i="1"/>
  <c r="P216" i="1" s="1"/>
  <c r="Q217" i="1"/>
  <c r="P217" i="1" s="1"/>
  <c r="Q218" i="1"/>
  <c r="P218" i="1" s="1"/>
  <c r="Q219" i="1"/>
  <c r="Q220" i="1"/>
  <c r="P220" i="1" s="1"/>
  <c r="Q221" i="1"/>
  <c r="P221" i="1" s="1"/>
  <c r="Q222" i="1"/>
  <c r="P222" i="1" s="1"/>
  <c r="Q223" i="1"/>
  <c r="P223" i="1" s="1"/>
  <c r="Q224" i="1"/>
  <c r="Q225" i="1"/>
  <c r="P225" i="1" s="1"/>
  <c r="Q226" i="1"/>
  <c r="Q227" i="1"/>
  <c r="P227" i="1" s="1"/>
  <c r="Q228" i="1"/>
  <c r="Q229" i="1"/>
  <c r="P229" i="1" s="1"/>
  <c r="Q230" i="1"/>
  <c r="P230" i="1" s="1"/>
  <c r="Q231" i="1"/>
  <c r="P231" i="1" s="1"/>
  <c r="Q232" i="1"/>
  <c r="P232" i="1" s="1"/>
  <c r="Q233" i="1"/>
  <c r="P233" i="1" s="1"/>
  <c r="Q234" i="1"/>
  <c r="P234" i="1" s="1"/>
  <c r="Q235" i="1"/>
  <c r="P235" i="1" s="1"/>
  <c r="Q236" i="1"/>
  <c r="P236" i="1" s="1"/>
  <c r="Q237" i="1"/>
  <c r="P237" i="1" s="1"/>
  <c r="Q238" i="1"/>
  <c r="P238" i="1" s="1"/>
  <c r="Q239" i="1"/>
  <c r="P239" i="1" s="1"/>
  <c r="Q240" i="1"/>
  <c r="P240" i="1" s="1"/>
  <c r="Q241" i="1"/>
  <c r="P241" i="1" s="1"/>
  <c r="Q242" i="1"/>
  <c r="P242" i="1" s="1"/>
  <c r="Q243" i="1"/>
  <c r="Q244" i="1"/>
  <c r="P244" i="1" s="1"/>
  <c r="Q245" i="1"/>
  <c r="P245" i="1" s="1"/>
  <c r="Q246" i="1"/>
  <c r="P246" i="1" s="1"/>
  <c r="Q247" i="1"/>
  <c r="P247" i="1" s="1"/>
  <c r="Q248" i="1"/>
  <c r="P248" i="1" s="1"/>
  <c r="Q249" i="1"/>
  <c r="P249" i="1" s="1"/>
  <c r="Q250" i="1"/>
  <c r="P250" i="1" s="1"/>
  <c r="Q251" i="1"/>
  <c r="P251" i="1" s="1"/>
  <c r="Q252" i="1"/>
  <c r="P252" i="1" s="1"/>
  <c r="Q253" i="1"/>
  <c r="P253" i="1" s="1"/>
  <c r="Q254" i="1"/>
  <c r="Q255" i="1"/>
  <c r="P255" i="1" s="1"/>
  <c r="Q256" i="1"/>
  <c r="P256" i="1" s="1"/>
  <c r="Q257" i="1"/>
  <c r="P257" i="1" s="1"/>
  <c r="Q258" i="1"/>
  <c r="Q259" i="1"/>
  <c r="P259" i="1" s="1"/>
  <c r="Q260" i="1"/>
  <c r="P260" i="1" s="1"/>
  <c r="Q261" i="1"/>
  <c r="P261" i="1" s="1"/>
  <c r="Q262" i="1"/>
  <c r="P262" i="1" s="1"/>
  <c r="Q263" i="1"/>
  <c r="P263" i="1" s="1"/>
  <c r="Q264" i="1"/>
  <c r="P264" i="1" s="1"/>
  <c r="Q265" i="1"/>
  <c r="P265" i="1" s="1"/>
  <c r="Q266" i="1"/>
  <c r="P266" i="1" s="1"/>
  <c r="Q267" i="1"/>
  <c r="P267" i="1" s="1"/>
  <c r="Q268" i="1"/>
  <c r="P268" i="1" s="1"/>
  <c r="Q269" i="1"/>
  <c r="P269" i="1" s="1"/>
  <c r="Q270" i="1"/>
  <c r="P270" i="1" s="1"/>
  <c r="Q271" i="1"/>
  <c r="P271" i="1" s="1"/>
  <c r="Q272" i="1"/>
  <c r="P272" i="1" s="1"/>
  <c r="Q273" i="1"/>
  <c r="P273" i="1" s="1"/>
  <c r="Q274" i="1"/>
  <c r="P274" i="1" s="1"/>
  <c r="Q275" i="1"/>
  <c r="P275" i="1" s="1"/>
  <c r="Q276" i="1"/>
  <c r="P276" i="1" s="1"/>
  <c r="Q278" i="1"/>
  <c r="Q279" i="1"/>
  <c r="P279" i="1" s="1"/>
  <c r="Q280" i="1"/>
  <c r="Q281" i="1"/>
  <c r="P281" i="1" s="1"/>
  <c r="Q282" i="1"/>
  <c r="P282" i="1" s="1"/>
  <c r="Q283" i="1"/>
  <c r="P283" i="1" s="1"/>
  <c r="Q284" i="1"/>
  <c r="Q285" i="1"/>
  <c r="P285" i="1" s="1"/>
  <c r="Q286" i="1"/>
  <c r="P286" i="1" s="1"/>
  <c r="Q287" i="1"/>
  <c r="P287" i="1" s="1"/>
  <c r="Q288" i="1"/>
  <c r="P288" i="1" s="1"/>
  <c r="Q289" i="1"/>
  <c r="P289" i="1" s="1"/>
  <c r="Q290" i="1"/>
  <c r="P290" i="1" s="1"/>
  <c r="Q291" i="1"/>
  <c r="P291" i="1" s="1"/>
  <c r="Q292" i="1"/>
  <c r="P292" i="1" s="1"/>
  <c r="Q293" i="1"/>
  <c r="P293" i="1" s="1"/>
  <c r="Q294" i="1"/>
  <c r="P294" i="1" s="1"/>
  <c r="Q295" i="1"/>
  <c r="P295" i="1" s="1"/>
  <c r="Q296" i="1"/>
  <c r="P296" i="1" s="1"/>
  <c r="Q297" i="1"/>
  <c r="Q298" i="1"/>
  <c r="P298" i="1" s="1"/>
  <c r="Q299" i="1"/>
  <c r="P299" i="1" s="1"/>
  <c r="Q300" i="1"/>
  <c r="P300" i="1" s="1"/>
  <c r="Q301" i="1"/>
  <c r="P301" i="1" s="1"/>
  <c r="Q302" i="1"/>
  <c r="P302" i="1" s="1"/>
  <c r="Q303" i="1"/>
  <c r="P303" i="1" s="1"/>
  <c r="Q304" i="1"/>
  <c r="Q305" i="1"/>
  <c r="P305" i="1" s="1"/>
  <c r="Q306" i="1"/>
  <c r="Q307" i="1"/>
  <c r="P307" i="1" s="1"/>
  <c r="Q308" i="1"/>
  <c r="Q309" i="1"/>
  <c r="P309" i="1" s="1"/>
  <c r="Q310" i="1"/>
  <c r="P310" i="1" s="1"/>
  <c r="Q311" i="1"/>
  <c r="P311" i="1" s="1"/>
  <c r="Q312" i="1"/>
  <c r="P312" i="1" s="1"/>
  <c r="Q313" i="1"/>
  <c r="Q314" i="1"/>
  <c r="P314" i="1" s="1"/>
  <c r="Q315" i="1"/>
  <c r="P315" i="1" s="1"/>
  <c r="Q317" i="1"/>
  <c r="P317" i="1" s="1"/>
  <c r="Q318" i="1"/>
  <c r="P318" i="1" s="1"/>
  <c r="Q319" i="1"/>
  <c r="P319" i="1" s="1"/>
  <c r="Q320" i="1"/>
  <c r="P320" i="1" s="1"/>
  <c r="Q321" i="1"/>
  <c r="P321" i="1" s="1"/>
  <c r="Q322" i="1"/>
  <c r="P322" i="1" s="1"/>
  <c r="Q323" i="1"/>
  <c r="P323" i="1" s="1"/>
  <c r="Q324" i="1"/>
  <c r="P324" i="1" s="1"/>
  <c r="Q325" i="1"/>
  <c r="P325" i="1" s="1"/>
  <c r="Q326" i="1"/>
  <c r="P326" i="1" s="1"/>
  <c r="Q327" i="1"/>
  <c r="P327" i="1" s="1"/>
  <c r="Q328" i="1"/>
  <c r="P328" i="1" s="1"/>
  <c r="Q329" i="1"/>
  <c r="P329" i="1" s="1"/>
  <c r="Q330" i="1"/>
  <c r="P330" i="1" s="1"/>
  <c r="Q331" i="1"/>
  <c r="P331" i="1" s="1"/>
  <c r="Q332" i="1"/>
  <c r="P332" i="1" s="1"/>
  <c r="Q333" i="1"/>
  <c r="P333" i="1" s="1"/>
  <c r="Q334" i="1"/>
  <c r="P334" i="1" s="1"/>
  <c r="Q335" i="1"/>
  <c r="P335" i="1" s="1"/>
  <c r="Q336" i="1"/>
  <c r="P336" i="1" s="1"/>
  <c r="Q337" i="1"/>
  <c r="P337" i="1" s="1"/>
  <c r="Q338" i="1"/>
  <c r="P338" i="1" s="1"/>
  <c r="Q339" i="1"/>
  <c r="P339" i="1" s="1"/>
  <c r="Q340" i="1"/>
  <c r="P340" i="1" s="1"/>
  <c r="Q341" i="1"/>
  <c r="P341" i="1" s="1"/>
  <c r="Q342" i="1"/>
  <c r="Q343" i="1"/>
  <c r="P343" i="1" s="1"/>
  <c r="Q344" i="1"/>
  <c r="P344" i="1" s="1"/>
  <c r="Q345" i="1"/>
  <c r="Q346" i="1"/>
  <c r="P346" i="1" s="1"/>
  <c r="Q347" i="1"/>
  <c r="P347" i="1" s="1"/>
  <c r="Q348" i="1"/>
  <c r="P348" i="1" s="1"/>
  <c r="Q349" i="1"/>
  <c r="P349" i="1" s="1"/>
  <c r="Q350" i="1"/>
  <c r="P350" i="1" s="1"/>
  <c r="Q351" i="1"/>
  <c r="P351" i="1" s="1"/>
  <c r="Q352" i="1"/>
  <c r="P352" i="1" s="1"/>
  <c r="Q353" i="1"/>
  <c r="P353" i="1" s="1"/>
  <c r="Q354" i="1"/>
  <c r="P354" i="1" s="1"/>
  <c r="Q355" i="1"/>
  <c r="P355" i="1" s="1"/>
  <c r="Q356" i="1"/>
  <c r="P356" i="1" s="1"/>
  <c r="Q357" i="1"/>
  <c r="P357" i="1" s="1"/>
  <c r="Q358" i="1"/>
  <c r="P358" i="1" s="1"/>
  <c r="Q359" i="1"/>
  <c r="P359" i="1" s="1"/>
  <c r="Q360" i="1"/>
  <c r="P360" i="1" s="1"/>
  <c r="Q361" i="1"/>
  <c r="P361" i="1" s="1"/>
  <c r="Q362" i="1"/>
  <c r="P362" i="1" s="1"/>
  <c r="Q363" i="1"/>
  <c r="P363" i="1" s="1"/>
  <c r="Q364" i="1"/>
  <c r="P364" i="1" s="1"/>
  <c r="Q365" i="1"/>
  <c r="P365" i="1" s="1"/>
  <c r="Q366" i="1"/>
  <c r="P366" i="1" s="1"/>
  <c r="Q367" i="1"/>
  <c r="P367" i="1" s="1"/>
  <c r="Q368" i="1"/>
  <c r="P368" i="1" s="1"/>
  <c r="Q369" i="1"/>
  <c r="P369" i="1" s="1"/>
  <c r="Q370" i="1"/>
  <c r="P370" i="1" s="1"/>
  <c r="Q371" i="1"/>
  <c r="P371" i="1" s="1"/>
  <c r="Q372" i="1"/>
  <c r="P372" i="1" s="1"/>
  <c r="Q373" i="1"/>
  <c r="P373" i="1" s="1"/>
  <c r="Q374" i="1"/>
  <c r="P374" i="1" s="1"/>
  <c r="Q375" i="1"/>
  <c r="P375" i="1" s="1"/>
  <c r="Q376" i="1"/>
  <c r="P376" i="1" s="1"/>
  <c r="Q377" i="1"/>
  <c r="Q378" i="1"/>
  <c r="P378" i="1" s="1"/>
  <c r="Q379" i="1"/>
  <c r="P379" i="1" s="1"/>
  <c r="Q380" i="1"/>
  <c r="P380" i="1" s="1"/>
  <c r="Q381" i="1"/>
  <c r="P381" i="1" s="1"/>
  <c r="Q382" i="1"/>
  <c r="P382" i="1" s="1"/>
  <c r="Q383" i="1"/>
  <c r="P383" i="1" s="1"/>
  <c r="Q384" i="1"/>
  <c r="P384" i="1" s="1"/>
  <c r="Q385" i="1"/>
  <c r="P385" i="1" s="1"/>
  <c r="Q386" i="1"/>
  <c r="P386" i="1" s="1"/>
  <c r="Q387" i="1"/>
  <c r="P387" i="1" s="1"/>
  <c r="Q388" i="1"/>
  <c r="P388" i="1" s="1"/>
  <c r="Q389" i="1"/>
  <c r="P389" i="1" s="1"/>
  <c r="Q390" i="1"/>
  <c r="P390" i="1" s="1"/>
  <c r="Q391" i="1"/>
  <c r="P391" i="1" s="1"/>
  <c r="Q392" i="1"/>
  <c r="P392" i="1" s="1"/>
  <c r="Q393" i="1"/>
  <c r="P393" i="1" s="1"/>
  <c r="Q394" i="1"/>
  <c r="P394" i="1" s="1"/>
  <c r="Q395" i="1"/>
  <c r="P395" i="1" s="1"/>
  <c r="Q396" i="1"/>
  <c r="P396" i="1" s="1"/>
  <c r="Q397" i="1"/>
  <c r="P397" i="1" s="1"/>
  <c r="Q398" i="1"/>
  <c r="P398" i="1" s="1"/>
  <c r="Q399" i="1"/>
  <c r="P399" i="1" s="1"/>
  <c r="Q400" i="1"/>
  <c r="P400" i="1" s="1"/>
  <c r="Q401" i="1"/>
  <c r="P401" i="1" s="1"/>
  <c r="Q402" i="1"/>
  <c r="P402" i="1" s="1"/>
  <c r="Q403" i="1"/>
  <c r="P403" i="1" s="1"/>
  <c r="Q404" i="1"/>
  <c r="P404" i="1" s="1"/>
  <c r="Q405" i="1"/>
  <c r="P405" i="1" s="1"/>
  <c r="Q406" i="1"/>
  <c r="P406" i="1" s="1"/>
  <c r="Q407" i="1"/>
  <c r="P407" i="1" s="1"/>
  <c r="Q408" i="1"/>
  <c r="P408" i="1" s="1"/>
  <c r="Q409" i="1"/>
  <c r="P409" i="1" s="1"/>
  <c r="Q410" i="1"/>
  <c r="P410" i="1" s="1"/>
  <c r="Q411" i="1"/>
  <c r="P411" i="1" s="1"/>
  <c r="Q412" i="1"/>
  <c r="Q413" i="1"/>
  <c r="P413" i="1" s="1"/>
  <c r="Q414" i="1"/>
  <c r="P414" i="1" s="1"/>
  <c r="Q415" i="1"/>
  <c r="P415" i="1" s="1"/>
  <c r="Q416" i="1"/>
  <c r="P416" i="1" s="1"/>
  <c r="Q417" i="1"/>
  <c r="P417" i="1" s="1"/>
  <c r="Q418" i="1"/>
  <c r="P418" i="1" s="1"/>
  <c r="Q419" i="1"/>
  <c r="P419" i="1" s="1"/>
  <c r="Q420" i="1"/>
  <c r="P420" i="1" s="1"/>
  <c r="Q421" i="1"/>
  <c r="P421" i="1" s="1"/>
  <c r="Q422" i="1"/>
  <c r="P422" i="1" s="1"/>
  <c r="Q423" i="1"/>
  <c r="P423" i="1" s="1"/>
  <c r="Q424" i="1"/>
  <c r="P424" i="1" s="1"/>
  <c r="Q425" i="1"/>
  <c r="P425" i="1" s="1"/>
  <c r="Q426" i="1"/>
  <c r="P426" i="1" s="1"/>
  <c r="Q427" i="1"/>
  <c r="P427" i="1" s="1"/>
  <c r="Q428" i="1"/>
  <c r="P428" i="1" s="1"/>
  <c r="Q429" i="1"/>
  <c r="P429" i="1" s="1"/>
  <c r="Q430" i="1"/>
  <c r="P430" i="1" s="1"/>
  <c r="Q431" i="1"/>
  <c r="P431" i="1" s="1"/>
  <c r="Q432" i="1"/>
  <c r="P432" i="1" s="1"/>
  <c r="Q433" i="1"/>
  <c r="P433" i="1" s="1"/>
  <c r="Q434" i="1"/>
  <c r="P434" i="1" s="1"/>
  <c r="Q435" i="1"/>
  <c r="P435" i="1" s="1"/>
  <c r="Q436" i="1"/>
  <c r="P436" i="1" s="1"/>
  <c r="Q437" i="1"/>
  <c r="P437" i="1" s="1"/>
  <c r="Q438" i="1"/>
  <c r="P438" i="1" s="1"/>
  <c r="Q439" i="1"/>
  <c r="P439" i="1" s="1"/>
  <c r="Q440" i="1"/>
  <c r="Q441" i="1"/>
  <c r="P441" i="1" s="1"/>
  <c r="Q442" i="1"/>
  <c r="P442" i="1" s="1"/>
  <c r="Q443" i="1"/>
  <c r="P443" i="1" s="1"/>
  <c r="Q444" i="1"/>
  <c r="P444" i="1" s="1"/>
  <c r="Q445" i="1"/>
  <c r="Q446" i="1"/>
  <c r="P446" i="1" s="1"/>
  <c r="Q447" i="1"/>
  <c r="P447" i="1" s="1"/>
  <c r="Q448" i="1"/>
  <c r="P448" i="1" s="1"/>
  <c r="Q449" i="1"/>
  <c r="P449" i="1" s="1"/>
  <c r="Q450" i="1"/>
  <c r="P450" i="1" s="1"/>
  <c r="Q451" i="1"/>
  <c r="P451" i="1" s="1"/>
  <c r="Q452" i="1"/>
  <c r="P452" i="1" s="1"/>
  <c r="Q453" i="1"/>
  <c r="P453" i="1" s="1"/>
  <c r="Q454" i="1"/>
  <c r="P454" i="1" s="1"/>
  <c r="Q455" i="1"/>
  <c r="P455" i="1" s="1"/>
  <c r="Q456" i="1"/>
  <c r="P456" i="1" s="1"/>
  <c r="Q457" i="1"/>
  <c r="P457" i="1" s="1"/>
  <c r="Q458" i="1"/>
  <c r="P458" i="1" s="1"/>
  <c r="Q459" i="1"/>
  <c r="P459" i="1" s="1"/>
  <c r="Q460" i="1"/>
  <c r="P460" i="1" s="1"/>
  <c r="Q461" i="1"/>
  <c r="P461" i="1" s="1"/>
  <c r="Q462" i="1"/>
  <c r="Q463" i="1"/>
  <c r="P463" i="1" s="1"/>
  <c r="Q464" i="1"/>
  <c r="P464" i="1" s="1"/>
  <c r="Q465" i="1"/>
  <c r="P465" i="1" s="1"/>
  <c r="Q466" i="1"/>
  <c r="P466" i="1" s="1"/>
  <c r="Q467" i="1"/>
  <c r="P467" i="1" s="1"/>
  <c r="Q468" i="1"/>
  <c r="Q469" i="1"/>
  <c r="P469" i="1" s="1"/>
  <c r="Q470" i="1"/>
  <c r="P470" i="1" s="1"/>
  <c r="Q471" i="1"/>
  <c r="Q472" i="1"/>
  <c r="P472" i="1" s="1"/>
  <c r="Q473" i="1"/>
  <c r="P473" i="1" s="1"/>
  <c r="Q474" i="1"/>
  <c r="P474" i="1" s="1"/>
  <c r="Q475" i="1"/>
  <c r="P475" i="1" s="1"/>
  <c r="Q476" i="1"/>
  <c r="P476" i="1" s="1"/>
  <c r="Q477" i="1"/>
  <c r="P477" i="1" s="1"/>
  <c r="Q478" i="1"/>
  <c r="P478" i="1" s="1"/>
  <c r="Q479" i="1"/>
  <c r="P479" i="1" s="1"/>
  <c r="Q480" i="1"/>
  <c r="P480" i="1" s="1"/>
  <c r="Q481" i="1"/>
  <c r="P481" i="1" s="1"/>
  <c r="Q482" i="1"/>
  <c r="P482" i="1" s="1"/>
  <c r="Q483" i="1"/>
  <c r="P483" i="1" s="1"/>
  <c r="Q484" i="1"/>
  <c r="P484" i="1" s="1"/>
  <c r="Q485" i="1"/>
  <c r="P485" i="1" s="1"/>
  <c r="Q486" i="1"/>
  <c r="P486" i="1" s="1"/>
  <c r="Q487" i="1"/>
  <c r="P487" i="1" s="1"/>
  <c r="Q488" i="1"/>
  <c r="P488" i="1" s="1"/>
  <c r="Q489" i="1"/>
  <c r="P489" i="1" s="1"/>
  <c r="Q490" i="1"/>
  <c r="Q491" i="1"/>
  <c r="P491" i="1" s="1"/>
  <c r="Q492" i="1"/>
  <c r="P492" i="1" s="1"/>
  <c r="Q493" i="1"/>
  <c r="P493" i="1" s="1"/>
  <c r="Q494" i="1"/>
  <c r="P494" i="1" s="1"/>
  <c r="Q495" i="1"/>
  <c r="P495" i="1" s="1"/>
  <c r="Q496" i="1"/>
  <c r="P496" i="1" s="1"/>
  <c r="Q497" i="1"/>
  <c r="P497" i="1" s="1"/>
  <c r="Q498" i="1"/>
  <c r="P498" i="1" s="1"/>
  <c r="Q499" i="1"/>
  <c r="P499" i="1" s="1"/>
  <c r="Q500" i="1"/>
  <c r="P500" i="1" s="1"/>
  <c r="Q501" i="1"/>
  <c r="P501" i="1" s="1"/>
  <c r="Q502" i="1"/>
  <c r="P502" i="1" s="1"/>
  <c r="Q503" i="1"/>
  <c r="P503" i="1" s="1"/>
  <c r="Q504" i="1"/>
  <c r="P504" i="1" s="1"/>
  <c r="Q505" i="1"/>
  <c r="P505" i="1" s="1"/>
  <c r="Q506" i="1"/>
  <c r="P506" i="1" s="1"/>
  <c r="Q507" i="1"/>
  <c r="P507" i="1" s="1"/>
  <c r="Q508" i="1"/>
  <c r="P508" i="1" s="1"/>
  <c r="Q509" i="1"/>
  <c r="P509" i="1" s="1"/>
  <c r="Q510" i="1"/>
  <c r="P510" i="1" s="1"/>
  <c r="Q511" i="1"/>
  <c r="P511" i="1" s="1"/>
  <c r="Q512" i="1"/>
  <c r="P512" i="1" s="1"/>
  <c r="Q513" i="1"/>
  <c r="P513" i="1" s="1"/>
  <c r="Q514" i="1"/>
  <c r="P514" i="1" s="1"/>
  <c r="Q515" i="1"/>
  <c r="Q517" i="1"/>
  <c r="P517" i="1" s="1"/>
  <c r="Q518" i="1"/>
  <c r="P518" i="1" s="1"/>
  <c r="Q519" i="1"/>
  <c r="P519" i="1" s="1"/>
  <c r="Q520" i="1"/>
  <c r="P520" i="1" s="1"/>
  <c r="Q521" i="1"/>
  <c r="Q522" i="1"/>
  <c r="P522" i="1" s="1"/>
  <c r="Q523" i="1"/>
  <c r="P523" i="1" s="1"/>
  <c r="Q524" i="1"/>
  <c r="P524" i="1" s="1"/>
  <c r="Q525" i="1"/>
  <c r="Q526" i="1"/>
  <c r="P526" i="1" s="1"/>
  <c r="Q527" i="1"/>
  <c r="P527" i="1" s="1"/>
  <c r="Q528" i="1"/>
  <c r="P528" i="1" s="1"/>
  <c r="Q529" i="1"/>
  <c r="P529" i="1" s="1"/>
  <c r="Q530" i="1"/>
  <c r="P530" i="1" s="1"/>
  <c r="Q531" i="1"/>
  <c r="P531" i="1" s="1"/>
  <c r="Q532" i="1"/>
  <c r="P532" i="1" s="1"/>
  <c r="Q533" i="1"/>
  <c r="P533" i="1" s="1"/>
  <c r="Q534" i="1"/>
  <c r="P534" i="1" s="1"/>
  <c r="Q535" i="1"/>
  <c r="P535" i="1" s="1"/>
  <c r="Q536" i="1"/>
  <c r="P536" i="1" s="1"/>
  <c r="Q537" i="1"/>
  <c r="P537" i="1" s="1"/>
  <c r="Q538" i="1"/>
  <c r="P538" i="1" s="1"/>
  <c r="Q539" i="1"/>
  <c r="P539" i="1" s="1"/>
  <c r="Q540" i="1"/>
  <c r="P540" i="1" s="1"/>
  <c r="Q541" i="1"/>
  <c r="Q542" i="1"/>
  <c r="P542" i="1" s="1"/>
  <c r="Q543" i="1"/>
  <c r="P543" i="1" s="1"/>
  <c r="Q544" i="1"/>
  <c r="Q545" i="1"/>
  <c r="P545" i="1" s="1"/>
  <c r="Q546" i="1"/>
  <c r="P546" i="1" s="1"/>
  <c r="Q547" i="1"/>
  <c r="P547" i="1" s="1"/>
  <c r="Q548" i="1"/>
  <c r="Q549" i="1"/>
  <c r="P549" i="1" s="1"/>
  <c r="Q550" i="1"/>
  <c r="Q551" i="1"/>
  <c r="P551" i="1" s="1"/>
  <c r="Q552" i="1"/>
  <c r="P552" i="1" s="1"/>
  <c r="Q553" i="1"/>
  <c r="Q554" i="1"/>
  <c r="P554" i="1" s="1"/>
  <c r="Q555" i="1"/>
  <c r="P555" i="1" s="1"/>
  <c r="Q592" i="1"/>
  <c r="P592" i="1" s="1"/>
  <c r="Q687" i="1"/>
  <c r="Q677" i="1"/>
  <c r="Q658" i="1"/>
  <c r="Q579" i="1"/>
  <c r="P579" i="1" s="1"/>
  <c r="Q655" i="1"/>
  <c r="P655" i="1" s="1"/>
  <c r="Q606" i="1"/>
  <c r="Q705" i="1"/>
  <c r="Q699" i="1"/>
  <c r="P699" i="1" s="1"/>
  <c r="Q684" i="1"/>
  <c r="Q676" i="1"/>
  <c r="Q562" i="1"/>
  <c r="Q563" i="1"/>
  <c r="Q646" i="1"/>
  <c r="P646" i="1" s="1"/>
  <c r="Q594" i="1"/>
  <c r="P594" i="1" s="1"/>
  <c r="Q670" i="1"/>
  <c r="Q700" i="1"/>
  <c r="P700" i="1" s="1"/>
  <c r="Q577" i="1"/>
  <c r="Q706" i="1"/>
  <c r="P706" i="1" s="1"/>
  <c r="Q633" i="1"/>
  <c r="Q605" i="1"/>
  <c r="P605" i="1" s="1"/>
  <c r="Q672" i="1"/>
  <c r="P672" i="1" s="1"/>
  <c r="Q585" i="1"/>
  <c r="P585" i="1" s="1"/>
  <c r="Q665" i="1"/>
  <c r="P665" i="1" s="1"/>
  <c r="Q600" i="1"/>
  <c r="P600" i="1" s="1"/>
  <c r="Q602" i="1"/>
  <c r="Q685" i="1"/>
  <c r="P685" i="1" s="1"/>
  <c r="Q703" i="1"/>
  <c r="P703" i="1" s="1"/>
  <c r="Q701" i="1"/>
  <c r="P701" i="1" s="1"/>
  <c r="Q622" i="1"/>
  <c r="P622" i="1" s="1"/>
  <c r="Q583" i="1"/>
  <c r="Q689" i="1"/>
  <c r="Q580" i="1"/>
  <c r="P580" i="1" s="1"/>
  <c r="Q581" i="1"/>
  <c r="P581" i="1" s="1"/>
  <c r="Q631" i="1"/>
  <c r="P631" i="1" s="1"/>
  <c r="Q599" i="1"/>
  <c r="Q277" i="1"/>
  <c r="P277" i="1" s="1"/>
  <c r="Q604" i="1"/>
  <c r="P604" i="1" s="1"/>
  <c r="Q704" i="1"/>
  <c r="Q656" i="1"/>
  <c r="Q709" i="1"/>
  <c r="P709" i="1" s="1"/>
  <c r="Q708" i="1"/>
  <c r="Q688" i="1"/>
  <c r="Q662" i="1"/>
  <c r="P662" i="1" s="1"/>
  <c r="Q694" i="1"/>
  <c r="Q702" i="1"/>
  <c r="Q578" i="1"/>
  <c r="Q659" i="1"/>
  <c r="P659" i="1" s="1"/>
  <c r="Q571" i="1"/>
  <c r="Q575" i="1"/>
  <c r="Q590" i="1"/>
  <c r="Q678" i="1"/>
  <c r="P678" i="1" s="1"/>
  <c r="Q566" i="1"/>
  <c r="P566" i="1" s="1"/>
  <c r="Q567" i="1"/>
  <c r="Q613" i="1"/>
  <c r="P613" i="1" s="1"/>
  <c r="Q614" i="1"/>
  <c r="P614" i="1" s="1"/>
  <c r="Q680" i="1"/>
  <c r="P680" i="1" s="1"/>
  <c r="Q596" i="1"/>
  <c r="Q629" i="1"/>
  <c r="P629" i="1" s="1"/>
  <c r="Q681" i="1"/>
  <c r="P681" i="1" s="1"/>
  <c r="Q616" i="1"/>
  <c r="Q572" i="1"/>
  <c r="P572" i="1" s="1"/>
  <c r="Q645" i="1"/>
  <c r="Q617" i="1"/>
  <c r="Q641" i="1"/>
  <c r="P641" i="1" s="1"/>
  <c r="Q621" i="1"/>
  <c r="P621" i="1" s="1"/>
  <c r="Q669" i="1"/>
  <c r="Q643" i="1"/>
  <c r="Q595" i="1"/>
  <c r="P595" i="1" s="1"/>
  <c r="Q650" i="1"/>
  <c r="P650" i="1" s="1"/>
  <c r="Q652" i="1"/>
  <c r="P652" i="1" s="1"/>
  <c r="Q651" i="1"/>
  <c r="P651" i="1" s="1"/>
  <c r="Q593" i="1"/>
  <c r="P593" i="1" s="1"/>
  <c r="Q587" i="1"/>
  <c r="P587" i="1" s="1"/>
  <c r="Q588" i="1"/>
  <c r="Q603" i="1"/>
  <c r="P603" i="1" s="1"/>
  <c r="Q654" i="1"/>
  <c r="P654" i="1" s="1"/>
  <c r="Q653" i="1"/>
  <c r="P653" i="1" s="1"/>
  <c r="Q204" i="1"/>
  <c r="Q642" i="1"/>
  <c r="P642" i="1" s="1"/>
  <c r="Q611" i="1"/>
  <c r="Q582" i="1"/>
  <c r="P582" i="1" s="1"/>
  <c r="Q610" i="1"/>
  <c r="Q574" i="1"/>
  <c r="Q573" i="1"/>
  <c r="P573" i="1" s="1"/>
  <c r="Q660" i="1"/>
  <c r="Q624" i="1"/>
  <c r="P624" i="1" s="1"/>
  <c r="Q693" i="1"/>
  <c r="Q707" i="1"/>
  <c r="Q607" i="1"/>
  <c r="P607" i="1" s="1"/>
  <c r="Q570" i="1"/>
  <c r="Q615" i="1"/>
  <c r="P615" i="1" s="1"/>
  <c r="Q695" i="1"/>
  <c r="Q612" i="1"/>
  <c r="P612" i="1" s="1"/>
  <c r="Q686" i="1"/>
  <c r="Q647" i="1"/>
  <c r="P647" i="1" s="1"/>
  <c r="Q697" i="1"/>
  <c r="Q619" i="1"/>
  <c r="P619" i="1" s="1"/>
  <c r="Q609" i="1"/>
  <c r="P609" i="1" s="1"/>
  <c r="Q564" i="1"/>
  <c r="P564" i="1" s="1"/>
  <c r="Q565" i="1"/>
  <c r="P565" i="1" s="1"/>
  <c r="Q682" i="1"/>
  <c r="Q627" i="1"/>
  <c r="Q598" i="1"/>
  <c r="P598" i="1" s="1"/>
  <c r="Q632" i="1"/>
  <c r="Q675" i="1"/>
  <c r="Q636" i="1"/>
  <c r="P636" i="1" s="1"/>
  <c r="Q623" i="1"/>
  <c r="P623" i="1" s="1"/>
  <c r="Q635" i="1"/>
  <c r="Q638" i="1"/>
  <c r="P638" i="1" s="1"/>
  <c r="Q668" i="1"/>
  <c r="P668" i="1" s="1"/>
  <c r="Q648" i="1"/>
  <c r="P648" i="1" s="1"/>
  <c r="Q649" i="1"/>
  <c r="P649" i="1" s="1"/>
  <c r="Q666" i="1"/>
  <c r="P666" i="1" s="1"/>
  <c r="Q625" i="1"/>
  <c r="Q639" i="1"/>
  <c r="Q640" i="1"/>
  <c r="P640" i="1" s="1"/>
  <c r="Q667" i="1"/>
  <c r="Q601" i="1"/>
  <c r="P601" i="1" s="1"/>
  <c r="Q671" i="1"/>
  <c r="P671" i="1" s="1"/>
  <c r="Q644" i="1"/>
  <c r="Q618" i="1"/>
  <c r="P618" i="1" s="1"/>
  <c r="Q584" i="1"/>
  <c r="Q589" i="1"/>
  <c r="Q664" i="1"/>
  <c r="Q568" i="1"/>
  <c r="Q628" i="1"/>
  <c r="P628" i="1" s="1"/>
  <c r="Q637" i="1"/>
  <c r="Q692" i="1"/>
  <c r="P692" i="1" s="1"/>
  <c r="Q691" i="1"/>
  <c r="P691" i="1" s="1"/>
  <c r="Q630" i="1"/>
  <c r="Q661" i="1"/>
  <c r="P661" i="1" s="1"/>
  <c r="Q634" i="1"/>
  <c r="Q657" i="1"/>
  <c r="P657" i="1" s="1"/>
  <c r="Q663" i="1"/>
  <c r="Q620" i="1"/>
  <c r="Q569" i="1"/>
  <c r="Q576" i="1"/>
  <c r="Q683" i="1"/>
  <c r="P683" i="1" s="1"/>
  <c r="Q698" i="1"/>
  <c r="P698" i="1" s="1"/>
  <c r="Q690" i="1"/>
  <c r="Q679" i="1"/>
  <c r="P679" i="1" s="1"/>
  <c r="Q597" i="1"/>
  <c r="Q696" i="1"/>
  <c r="P696" i="1" s="1"/>
  <c r="Q673" i="1"/>
  <c r="Q556" i="1"/>
  <c r="P556" i="1" s="1"/>
  <c r="Q557" i="1"/>
  <c r="Q558" i="1"/>
  <c r="Q559" i="1"/>
  <c r="P559" i="1" s="1"/>
  <c r="Q560" i="1"/>
  <c r="P560" i="1" s="1"/>
  <c r="Q561" i="1"/>
  <c r="Q586" i="1"/>
  <c r="Q608" i="1"/>
  <c r="P608" i="1" s="1"/>
  <c r="Q2" i="1"/>
  <c r="A592" i="1"/>
  <c r="C592" i="1" s="1"/>
  <c r="A8" i="17" s="1"/>
  <c r="A687" i="1"/>
  <c r="C687" i="1" s="1"/>
  <c r="A16" i="17" s="1"/>
  <c r="A677" i="1"/>
  <c r="C677" i="1" s="1"/>
  <c r="A21" i="17" s="1"/>
  <c r="A658" i="1"/>
  <c r="C658" i="1" s="1"/>
  <c r="A35" i="17" s="1"/>
  <c r="A579" i="1"/>
  <c r="C579" i="1" s="1"/>
  <c r="A38" i="17" s="1"/>
  <c r="A655" i="1"/>
  <c r="C655" i="1" s="1"/>
  <c r="A42" i="17" s="1"/>
  <c r="A606" i="1"/>
  <c r="C606" i="1" s="1"/>
  <c r="A72" i="17" s="1"/>
  <c r="A705" i="1"/>
  <c r="C705" i="1" s="1"/>
  <c r="A93" i="17" s="1"/>
  <c r="A699" i="1"/>
  <c r="C699" i="1" s="1"/>
  <c r="A101" i="17" s="1"/>
  <c r="A684" i="1"/>
  <c r="C684" i="1" s="1"/>
  <c r="A107" i="17" s="1"/>
  <c r="A676" i="1"/>
  <c r="C676" i="1" s="1"/>
  <c r="A133" i="17" s="1"/>
  <c r="A562" i="1"/>
  <c r="C562" i="1" s="1"/>
  <c r="A142" i="17" s="1"/>
  <c r="A563" i="1"/>
  <c r="C563" i="1" s="1"/>
  <c r="A143" i="17" s="1"/>
  <c r="A646" i="1"/>
  <c r="C646" i="1" s="1"/>
  <c r="A148" i="17" s="1"/>
  <c r="A594" i="1"/>
  <c r="C594" i="1" s="1"/>
  <c r="A153" i="17" s="1"/>
  <c r="A670" i="1"/>
  <c r="C670" i="1" s="1"/>
  <c r="A700" i="1"/>
  <c r="C700" i="1" s="1"/>
  <c r="A171" i="17" s="1"/>
  <c r="A577" i="1"/>
  <c r="C577" i="1" s="1"/>
  <c r="A172" i="17" s="1"/>
  <c r="A706" i="1"/>
  <c r="C706" i="1" s="1"/>
  <c r="A189" i="17" s="1"/>
  <c r="A633" i="1"/>
  <c r="C633" i="1" s="1"/>
  <c r="A230" i="17" s="1"/>
  <c r="A605" i="1"/>
  <c r="C605" i="1" s="1"/>
  <c r="A234" i="17" s="1"/>
  <c r="A672" i="1"/>
  <c r="C672" i="1" s="1"/>
  <c r="A236" i="17" s="1"/>
  <c r="A585" i="1"/>
  <c r="C585" i="1" s="1"/>
  <c r="A238" i="17" s="1"/>
  <c r="A665" i="1"/>
  <c r="C665" i="1" s="1"/>
  <c r="A241" i="17" s="1"/>
  <c r="A600" i="1"/>
  <c r="C600" i="1" s="1"/>
  <c r="A256" i="17" s="1"/>
  <c r="A602" i="1"/>
  <c r="C602" i="1" s="1"/>
  <c r="A263" i="17" s="1"/>
  <c r="A685" i="1"/>
  <c r="C685" i="1" s="1"/>
  <c r="A265" i="17" s="1"/>
  <c r="A703" i="1"/>
  <c r="C703" i="1" s="1"/>
  <c r="A269" i="17" s="1"/>
  <c r="A701" i="1"/>
  <c r="C701" i="1" s="1"/>
  <c r="A275" i="17" s="1"/>
  <c r="A622" i="1"/>
  <c r="C622" i="1" s="1"/>
  <c r="A314" i="17" s="1"/>
  <c r="A583" i="1"/>
  <c r="C583" i="1" s="1"/>
  <c r="A331" i="17" s="1"/>
  <c r="A689" i="1"/>
  <c r="C689" i="1" s="1"/>
  <c r="A334" i="17" s="1"/>
  <c r="A580" i="1"/>
  <c r="C580" i="1" s="1"/>
  <c r="A338" i="17" s="1"/>
  <c r="A581" i="1"/>
  <c r="C581" i="1" s="1"/>
  <c r="A340" i="17" s="1"/>
  <c r="A631" i="1"/>
  <c r="C631" i="1" s="1"/>
  <c r="A344" i="17" s="1"/>
  <c r="A599" i="1"/>
  <c r="C599" i="1" s="1"/>
  <c r="A346" i="17" s="1"/>
  <c r="A277" i="1"/>
  <c r="C277" i="1" s="1"/>
  <c r="A604" i="1"/>
  <c r="C604" i="1" s="1"/>
  <c r="A371" i="17" s="1"/>
  <c r="A704" i="1"/>
  <c r="C704" i="1" s="1"/>
  <c r="A373" i="17" s="1"/>
  <c r="A656" i="1"/>
  <c r="C656" i="1" s="1"/>
  <c r="A396" i="17" s="1"/>
  <c r="A709" i="1"/>
  <c r="C709" i="1" s="1"/>
  <c r="A430" i="17" s="1"/>
  <c r="A708" i="1"/>
  <c r="C708" i="1" s="1"/>
  <c r="A438" i="17" s="1"/>
  <c r="A688" i="1"/>
  <c r="C688" i="1" s="1"/>
  <c r="A439" i="17" s="1"/>
  <c r="A662" i="1"/>
  <c r="C662" i="1" s="1"/>
  <c r="A444" i="17" s="1"/>
  <c r="A694" i="1"/>
  <c r="C694" i="1" s="1"/>
  <c r="A459" i="17" s="1"/>
  <c r="A702" i="1"/>
  <c r="C702" i="1" s="1"/>
  <c r="A460" i="17" s="1"/>
  <c r="A578" i="1"/>
  <c r="C578" i="1" s="1"/>
  <c r="A475" i="17" s="1"/>
  <c r="A659" i="1"/>
  <c r="C659" i="1" s="1"/>
  <c r="A480" i="17" s="1"/>
  <c r="A571" i="1"/>
  <c r="C571" i="1" s="1"/>
  <c r="A575" i="1"/>
  <c r="C575" i="1" s="1"/>
  <c r="A487" i="17" s="1"/>
  <c r="A590" i="1"/>
  <c r="C590" i="1" s="1"/>
  <c r="A496" i="17" s="1"/>
  <c r="A678" i="1"/>
  <c r="C678" i="1" s="1"/>
  <c r="A499" i="17" s="1"/>
  <c r="A566" i="1"/>
  <c r="C566" i="1" s="1"/>
  <c r="A520" i="17" s="1"/>
  <c r="A567" i="1"/>
  <c r="C567" i="1" s="1"/>
  <c r="A521" i="17" s="1"/>
  <c r="A613" i="1"/>
  <c r="C613" i="1" s="1"/>
  <c r="A545" i="17" s="1"/>
  <c r="A614" i="1"/>
  <c r="C614" i="1" s="1"/>
  <c r="A546" i="17" s="1"/>
  <c r="A680" i="1"/>
  <c r="C680" i="1" s="1"/>
  <c r="A563" i="17" s="1"/>
  <c r="A596" i="1"/>
  <c r="C596" i="1" s="1"/>
  <c r="A576" i="17" s="1"/>
  <c r="A629" i="1"/>
  <c r="C629" i="1" s="1"/>
  <c r="A583" i="17" s="1"/>
  <c r="A681" i="1"/>
  <c r="C681" i="1" s="1"/>
  <c r="A598" i="17" s="1"/>
  <c r="A616" i="1"/>
  <c r="C616" i="1" s="1"/>
  <c r="A601" i="17" s="1"/>
  <c r="A572" i="1"/>
  <c r="C572" i="1" s="1"/>
  <c r="A605" i="17" s="1"/>
  <c r="A645" i="1"/>
  <c r="C645" i="1" s="1"/>
  <c r="A617" i="17" s="1"/>
  <c r="A617" i="1"/>
  <c r="C617" i="1" s="1"/>
  <c r="A640" i="17" s="1"/>
  <c r="A641" i="1"/>
  <c r="C641" i="1" s="1"/>
  <c r="A645" i="17" s="1"/>
  <c r="A621" i="1"/>
  <c r="C621" i="1" s="1"/>
  <c r="A654" i="17" s="1"/>
  <c r="A669" i="1"/>
  <c r="C669" i="1" s="1"/>
  <c r="A643" i="1"/>
  <c r="C643" i="1" s="1"/>
  <c r="A684" i="17" s="1"/>
  <c r="A595" i="1"/>
  <c r="C595" i="1" s="1"/>
  <c r="A687" i="17" s="1"/>
  <c r="A650" i="1"/>
  <c r="C650" i="1" s="1"/>
  <c r="A713" i="17" s="1"/>
  <c r="A652" i="1"/>
  <c r="C652" i="1" s="1"/>
  <c r="A714" i="17" s="1"/>
  <c r="A651" i="1"/>
  <c r="C651" i="1" s="1"/>
  <c r="A715" i="17" s="1"/>
  <c r="A593" i="1"/>
  <c r="C593" i="1" s="1"/>
  <c r="A729" i="17" s="1"/>
  <c r="A587" i="1"/>
  <c r="C587" i="1" s="1"/>
  <c r="A733" i="17" s="1"/>
  <c r="A588" i="1"/>
  <c r="C588" i="1" s="1"/>
  <c r="A734" i="17" s="1"/>
  <c r="A603" i="1"/>
  <c r="C603" i="1" s="1"/>
  <c r="A746" i="17" s="1"/>
  <c r="A654" i="1"/>
  <c r="C654" i="1" s="1"/>
  <c r="A756" i="17" s="1"/>
  <c r="A653" i="1"/>
  <c r="C653" i="1" s="1"/>
  <c r="A758" i="17" s="1"/>
  <c r="A204" i="1"/>
  <c r="C204" i="1" s="1"/>
  <c r="A642" i="1"/>
  <c r="C642" i="1" s="1"/>
  <c r="A760" i="17" s="1"/>
  <c r="A611" i="1"/>
  <c r="C611" i="1" s="1"/>
  <c r="A763" i="17" s="1"/>
  <c r="A582" i="1"/>
  <c r="C582" i="1" s="1"/>
  <c r="A767" i="17" s="1"/>
  <c r="A610" i="1"/>
  <c r="C610" i="1" s="1"/>
  <c r="A772" i="17" s="1"/>
  <c r="A574" i="1"/>
  <c r="C574" i="1" s="1"/>
  <c r="A785" i="17" s="1"/>
  <c r="A573" i="1"/>
  <c r="C573" i="1" s="1"/>
  <c r="A791" i="17" s="1"/>
  <c r="A660" i="1"/>
  <c r="C660" i="1" s="1"/>
  <c r="A805" i="17" s="1"/>
  <c r="A624" i="1"/>
  <c r="C624" i="1" s="1"/>
  <c r="A811" i="17" s="1"/>
  <c r="A693" i="1"/>
  <c r="C693" i="1" s="1"/>
  <c r="A820" i="17" s="1"/>
  <c r="A707" i="1"/>
  <c r="C707" i="1" s="1"/>
  <c r="A827" i="17" s="1"/>
  <c r="A607" i="1"/>
  <c r="C607" i="1" s="1"/>
  <c r="A847" i="17" s="1"/>
  <c r="A570" i="1"/>
  <c r="C570" i="1" s="1"/>
  <c r="A850" i="17" s="1"/>
  <c r="A615" i="1"/>
  <c r="C615" i="1" s="1"/>
  <c r="A861" i="17" s="1"/>
  <c r="A695" i="1"/>
  <c r="C695" i="1" s="1"/>
  <c r="A866" i="17" s="1"/>
  <c r="A612" i="1"/>
  <c r="C612" i="1" s="1"/>
  <c r="A867" i="17" s="1"/>
  <c r="A686" i="1"/>
  <c r="C686" i="1" s="1"/>
  <c r="A868" i="17" s="1"/>
  <c r="A647" i="1"/>
  <c r="C647" i="1" s="1"/>
  <c r="A869" i="17" s="1"/>
  <c r="A697" i="1"/>
  <c r="C697" i="1" s="1"/>
  <c r="A878" i="17" s="1"/>
  <c r="A619" i="1"/>
  <c r="C619" i="1" s="1"/>
  <c r="A911" i="17" s="1"/>
  <c r="A609" i="1"/>
  <c r="C609" i="1" s="1"/>
  <c r="A913" i="17" s="1"/>
  <c r="A564" i="1"/>
  <c r="C564" i="1" s="1"/>
  <c r="A955" i="17" s="1"/>
  <c r="A565" i="1"/>
  <c r="C565" i="1" s="1"/>
  <c r="A956" i="17" s="1"/>
  <c r="A682" i="1"/>
  <c r="C682" i="1" s="1"/>
  <c r="A974" i="17" s="1"/>
  <c r="A627" i="1"/>
  <c r="C627" i="1" s="1"/>
  <c r="A1012" i="17" s="1"/>
  <c r="A598" i="1"/>
  <c r="C598" i="1" s="1"/>
  <c r="A1013" i="17" s="1"/>
  <c r="A632" i="1"/>
  <c r="C632" i="1" s="1"/>
  <c r="A1014" i="17" s="1"/>
  <c r="A675" i="1"/>
  <c r="C675" i="1" s="1"/>
  <c r="A1015" i="17" s="1"/>
  <c r="A636" i="1"/>
  <c r="C636" i="1" s="1"/>
  <c r="A1038" i="17" s="1"/>
  <c r="A623" i="1"/>
  <c r="C623" i="1" s="1"/>
  <c r="A635" i="1"/>
  <c r="C635" i="1" s="1"/>
  <c r="A1047" i="17" s="1"/>
  <c r="A638" i="1"/>
  <c r="C638" i="1" s="1"/>
  <c r="A668" i="1"/>
  <c r="C668" i="1" s="1"/>
  <c r="A1068" i="17" s="1"/>
  <c r="A648" i="1"/>
  <c r="C648" i="1" s="1"/>
  <c r="A1088" i="17" s="1"/>
  <c r="A649" i="1"/>
  <c r="C649" i="1" s="1"/>
  <c r="A1089" i="17" s="1"/>
  <c r="A666" i="1"/>
  <c r="C666" i="1" s="1"/>
  <c r="A1132" i="17" s="1"/>
  <c r="A625" i="1"/>
  <c r="C625" i="1" s="1"/>
  <c r="A1139" i="17" s="1"/>
  <c r="A639" i="1"/>
  <c r="C639" i="1" s="1"/>
  <c r="A1141" i="17" s="1"/>
  <c r="A640" i="1"/>
  <c r="C640" i="1" s="1"/>
  <c r="A1142" i="17" s="1"/>
  <c r="A667" i="1"/>
  <c r="C667" i="1" s="1"/>
  <c r="A601" i="1"/>
  <c r="C601" i="1" s="1"/>
  <c r="A1150" i="17" s="1"/>
  <c r="A671" i="1"/>
  <c r="C671" i="1" s="1"/>
  <c r="A1178" i="17" s="1"/>
  <c r="A644" i="1"/>
  <c r="C644" i="1" s="1"/>
  <c r="A1188" i="17" s="1"/>
  <c r="A618" i="1"/>
  <c r="C618" i="1" s="1"/>
  <c r="A1204" i="17" s="1"/>
  <c r="A584" i="1"/>
  <c r="C584" i="1" s="1"/>
  <c r="A1208" i="17" s="1"/>
  <c r="A589" i="1"/>
  <c r="C589" i="1" s="1"/>
  <c r="A1210" i="17" s="1"/>
  <c r="A664" i="1"/>
  <c r="C664" i="1" s="1"/>
  <c r="A1215" i="17" s="1"/>
  <c r="A568" i="1"/>
  <c r="C568" i="1" s="1"/>
  <c r="A1220" i="17" s="1"/>
  <c r="A628" i="1"/>
  <c r="C628" i="1" s="1"/>
  <c r="A1239" i="17" s="1"/>
  <c r="A637" i="1"/>
  <c r="C637" i="1" s="1"/>
  <c r="A1255" i="17" s="1"/>
  <c r="A692" i="1"/>
  <c r="C692" i="1" s="1"/>
  <c r="A1256" i="17" s="1"/>
  <c r="A691" i="1"/>
  <c r="C691" i="1" s="1"/>
  <c r="A1264" i="17" s="1"/>
  <c r="A630" i="1"/>
  <c r="C630" i="1" s="1"/>
  <c r="A1272" i="17" s="1"/>
  <c r="A661" i="1"/>
  <c r="C661" i="1" s="1"/>
  <c r="A1277" i="17" s="1"/>
  <c r="A634" i="1"/>
  <c r="C634" i="1" s="1"/>
  <c r="A1279" i="17" s="1"/>
  <c r="A657" i="1"/>
  <c r="C657" i="1" s="1"/>
  <c r="A1280" i="17" s="1"/>
  <c r="A663" i="1"/>
  <c r="C663" i="1" s="1"/>
  <c r="A1281" i="17" s="1"/>
  <c r="A620" i="1"/>
  <c r="C620" i="1" s="1"/>
  <c r="A1291" i="17" s="1"/>
  <c r="A569" i="1"/>
  <c r="C569" i="1" s="1"/>
  <c r="A1305" i="17" s="1"/>
  <c r="A576" i="1"/>
  <c r="C576" i="1" s="1"/>
  <c r="A1312" i="17" s="1"/>
  <c r="A683" i="1"/>
  <c r="C683" i="1" s="1"/>
  <c r="A698" i="1"/>
  <c r="C698" i="1" s="1"/>
  <c r="A1363" i="17" s="1"/>
  <c r="A690" i="1"/>
  <c r="C690" i="1" s="1"/>
  <c r="A1367" i="17" s="1"/>
  <c r="A679" i="1"/>
  <c r="C679" i="1" s="1"/>
  <c r="A1399" i="17" s="1"/>
  <c r="A597" i="1"/>
  <c r="C597" i="1" s="1"/>
  <c r="A1403" i="17" s="1"/>
  <c r="A696" i="1"/>
  <c r="C696" i="1" s="1"/>
  <c r="A1408" i="17" s="1"/>
  <c r="A673" i="1"/>
  <c r="C673" i="1" s="1"/>
  <c r="A1404" i="17" s="1"/>
  <c r="A556" i="1"/>
  <c r="C556" i="1" s="1"/>
  <c r="A1621" i="17" s="1"/>
  <c r="A557" i="1"/>
  <c r="C557" i="1" s="1"/>
  <c r="A1623" i="17" s="1"/>
  <c r="A558" i="1"/>
  <c r="C558" i="1" s="1"/>
  <c r="A1627" i="17" s="1"/>
  <c r="A559" i="1"/>
  <c r="C559" i="1" s="1"/>
  <c r="A1629" i="17" s="1"/>
  <c r="A560" i="1"/>
  <c r="C560" i="1" s="1"/>
  <c r="A1630" i="17" s="1"/>
  <c r="A561" i="1"/>
  <c r="C561" i="1" s="1"/>
  <c r="A1779" i="17" s="1"/>
  <c r="A586" i="1"/>
  <c r="C586" i="1" s="1"/>
  <c r="A1780" i="17" s="1"/>
  <c r="A608" i="1"/>
  <c r="C608" i="1" s="1"/>
  <c r="A1781" i="17" s="1"/>
  <c r="A496" i="1"/>
  <c r="C496" i="1" s="1"/>
  <c r="A76" i="17" s="1"/>
  <c r="A504" i="1"/>
  <c r="C504" i="1" s="1"/>
  <c r="A92" i="17" s="1"/>
  <c r="A508" i="1"/>
  <c r="C508" i="1" s="1"/>
  <c r="A95" i="17" s="1"/>
  <c r="A509" i="1"/>
  <c r="C509" i="1" s="1"/>
  <c r="A96" i="17" s="1"/>
  <c r="A534" i="1"/>
  <c r="C534" i="1" s="1"/>
  <c r="A109" i="17" s="1"/>
  <c r="A553" i="1"/>
  <c r="C553" i="1" s="1"/>
  <c r="A175" i="17" s="1"/>
  <c r="A492" i="1"/>
  <c r="C492" i="1" s="1"/>
  <c r="A223" i="17" s="1"/>
  <c r="A529" i="1"/>
  <c r="C529" i="1" s="1"/>
  <c r="A237" i="17" s="1"/>
  <c r="A487" i="1"/>
  <c r="C487" i="1" s="1"/>
  <c r="A259" i="17" s="1"/>
  <c r="A488" i="1"/>
  <c r="C488" i="1" s="1"/>
  <c r="A260" i="17" s="1"/>
  <c r="A531" i="1"/>
  <c r="C531" i="1" s="1"/>
  <c r="A264" i="17" s="1"/>
  <c r="A530" i="1"/>
  <c r="C530" i="1" s="1"/>
  <c r="A266" i="17" s="1"/>
  <c r="A555" i="1"/>
  <c r="C555" i="1" s="1"/>
  <c r="A283" i="17" s="1"/>
  <c r="A528" i="1"/>
  <c r="C528" i="1" s="1"/>
  <c r="A309" i="17" s="1"/>
  <c r="A541" i="1"/>
  <c r="C541" i="1" s="1"/>
  <c r="A347" i="17" s="1"/>
  <c r="A486" i="1"/>
  <c r="C486" i="1" s="1"/>
  <c r="A348" i="17" s="1"/>
  <c r="A551" i="1"/>
  <c r="C551" i="1" s="1"/>
  <c r="A407" i="17" s="1"/>
  <c r="A524" i="1"/>
  <c r="C524" i="1" s="1"/>
  <c r="A413" i="17" s="1"/>
  <c r="A525" i="1"/>
  <c r="C525" i="1" s="1"/>
  <c r="A414" i="17" s="1"/>
  <c r="A257" i="1"/>
  <c r="C257" i="1" s="1"/>
  <c r="A514" i="1"/>
  <c r="C514" i="1" s="1"/>
  <c r="A510" i="1"/>
  <c r="C510" i="1" s="1"/>
  <c r="A448" i="17" s="1"/>
  <c r="A527" i="1"/>
  <c r="C527" i="1" s="1"/>
  <c r="A455" i="17" s="1"/>
  <c r="A535" i="1"/>
  <c r="C535" i="1" s="1"/>
  <c r="A458" i="17" s="1"/>
  <c r="A490" i="1"/>
  <c r="C490" i="1" s="1"/>
  <c r="A462" i="17" s="1"/>
  <c r="A493" i="1"/>
  <c r="C493" i="1" s="1"/>
  <c r="A465" i="17" s="1"/>
  <c r="A495" i="1"/>
  <c r="C495" i="1" s="1"/>
  <c r="A476" i="17" s="1"/>
  <c r="A498" i="1"/>
  <c r="C498" i="1" s="1"/>
  <c r="A482" i="17" s="1"/>
  <c r="A511" i="1"/>
  <c r="C511" i="1" s="1"/>
  <c r="A500" i="17" s="1"/>
  <c r="A526" i="1"/>
  <c r="C526" i="1" s="1"/>
  <c r="A507" i="17" s="1"/>
  <c r="A545" i="1"/>
  <c r="C545" i="1" s="1"/>
  <c r="A560" i="17" s="1"/>
  <c r="A548" i="1"/>
  <c r="C548" i="1" s="1"/>
  <c r="A562" i="17" s="1"/>
  <c r="A546" i="1"/>
  <c r="C546" i="1" s="1"/>
  <c r="A574" i="17" s="1"/>
  <c r="A550" i="1"/>
  <c r="C550" i="1" s="1"/>
  <c r="A580" i="17" s="1"/>
  <c r="A532" i="1"/>
  <c r="C532" i="1" s="1"/>
  <c r="A633" i="17" s="1"/>
  <c r="A537" i="1"/>
  <c r="C537" i="1" s="1"/>
  <c r="A649" i="17" s="1"/>
  <c r="A552" i="1"/>
  <c r="C552" i="1" s="1"/>
  <c r="A664" i="17" s="1"/>
  <c r="A503" i="1"/>
  <c r="C503" i="1" s="1"/>
  <c r="A699" i="17" s="1"/>
  <c r="A258" i="1"/>
  <c r="C258" i="1" s="1"/>
  <c r="A500" i="1"/>
  <c r="C500" i="1" s="1"/>
  <c r="A533" i="1"/>
  <c r="C533" i="1" s="1"/>
  <c r="A806" i="17" s="1"/>
  <c r="A549" i="1"/>
  <c r="C549" i="1" s="1"/>
  <c r="A547" i="1"/>
  <c r="C547" i="1" s="1"/>
  <c r="A825" i="17" s="1"/>
  <c r="A502" i="1"/>
  <c r="C502" i="1" s="1"/>
  <c r="A830" i="17" s="1"/>
  <c r="A499" i="1"/>
  <c r="C499" i="1" s="1"/>
  <c r="A857" i="17" s="1"/>
  <c r="A542" i="1"/>
  <c r="C542" i="1" s="1"/>
  <c r="A870" i="17" s="1"/>
  <c r="A515" i="1"/>
  <c r="C515" i="1" s="1"/>
  <c r="A940" i="17" s="1"/>
  <c r="A520" i="1"/>
  <c r="C520" i="1" s="1"/>
  <c r="A957" i="17" s="1"/>
  <c r="A543" i="1"/>
  <c r="C543" i="1" s="1"/>
  <c r="A959" i="17" s="1"/>
  <c r="A544" i="1"/>
  <c r="C544" i="1" s="1"/>
  <c r="A960" i="17" s="1"/>
  <c r="A554" i="1"/>
  <c r="C554" i="1" s="1"/>
  <c r="A961" i="17" s="1"/>
  <c r="A538" i="1"/>
  <c r="C538" i="1" s="1"/>
  <c r="A988" i="17" s="1"/>
  <c r="A513" i="1"/>
  <c r="C513" i="1" s="1"/>
  <c r="A1004" i="17" s="1"/>
  <c r="A501" i="1"/>
  <c r="C501" i="1" s="1"/>
  <c r="A1039" i="17" s="1"/>
  <c r="A497" i="1"/>
  <c r="C497" i="1" s="1"/>
  <c r="A1040" i="17" s="1"/>
  <c r="A512" i="1"/>
  <c r="C512" i="1" s="1"/>
  <c r="A1110" i="17" s="1"/>
  <c r="A266" i="1"/>
  <c r="C266" i="1" s="1"/>
  <c r="A519" i="1"/>
  <c r="C519" i="1" s="1"/>
  <c r="A1189" i="17" s="1"/>
  <c r="A517" i="1"/>
  <c r="C517" i="1" s="1"/>
  <c r="A1199" i="17" s="1"/>
  <c r="A521" i="1"/>
  <c r="C521" i="1" s="1"/>
  <c r="A1205" i="17" s="1"/>
  <c r="A518" i="1"/>
  <c r="C518" i="1" s="1"/>
  <c r="A1212" i="17" s="1"/>
  <c r="A238" i="1"/>
  <c r="C238" i="1" s="1"/>
  <c r="A536" i="1"/>
  <c r="C536" i="1" s="1"/>
  <c r="A1221" i="17" s="1"/>
  <c r="A506" i="1"/>
  <c r="C506" i="1" s="1"/>
  <c r="A1229" i="17" s="1"/>
  <c r="A507" i="1"/>
  <c r="C507" i="1" s="1"/>
  <c r="A1230" i="17" s="1"/>
  <c r="A522" i="1"/>
  <c r="C522" i="1" s="1"/>
  <c r="A1287" i="17" s="1"/>
  <c r="A523" i="1"/>
  <c r="C523" i="1" s="1"/>
  <c r="A1298" i="17" s="1"/>
  <c r="A494" i="1"/>
  <c r="C494" i="1" s="1"/>
  <c r="A1309" i="17" s="1"/>
  <c r="A491" i="1"/>
  <c r="C491" i="1" s="1"/>
  <c r="A1310" i="17" s="1"/>
  <c r="A540" i="1"/>
  <c r="C540" i="1" s="1"/>
  <c r="A1348" i="17" s="1"/>
  <c r="A505" i="1"/>
  <c r="C505" i="1" s="1"/>
  <c r="A1347" i="17" s="1"/>
  <c r="A539" i="1"/>
  <c r="C539" i="1" s="1"/>
  <c r="A1398" i="17" s="1"/>
  <c r="A303" i="1"/>
  <c r="C303" i="1" s="1"/>
  <c r="A1760" i="17" s="1"/>
  <c r="A354" i="1"/>
  <c r="C354" i="1" s="1"/>
  <c r="A1762" i="17" s="1"/>
  <c r="A356" i="1"/>
  <c r="C356" i="1" s="1"/>
  <c r="A1763" i="17" s="1"/>
  <c r="A363" i="1"/>
  <c r="C363" i="1" s="1"/>
  <c r="A1764" i="17" s="1"/>
  <c r="A367" i="1"/>
  <c r="C367" i="1" s="1"/>
  <c r="A1765" i="17" s="1"/>
  <c r="A368" i="1"/>
  <c r="C368" i="1" s="1"/>
  <c r="A1766" i="17" s="1"/>
  <c r="A384" i="1"/>
  <c r="C384" i="1" s="1"/>
  <c r="A1767" i="17" s="1"/>
  <c r="A383" i="1"/>
  <c r="C383" i="1" s="1"/>
  <c r="A1768" i="17" s="1"/>
  <c r="A419" i="1"/>
  <c r="C419" i="1" s="1"/>
  <c r="A1769" i="17" s="1"/>
  <c r="A420" i="1"/>
  <c r="C420" i="1" s="1"/>
  <c r="A1770" i="17" s="1"/>
  <c r="A429" i="1"/>
  <c r="C429" i="1" s="1"/>
  <c r="A1771" i="17" s="1"/>
  <c r="A430" i="1"/>
  <c r="C430" i="1" s="1"/>
  <c r="A1772" i="17" s="1"/>
  <c r="A456" i="1"/>
  <c r="C456" i="1" s="1"/>
  <c r="A1773" i="17" s="1"/>
  <c r="A471" i="1"/>
  <c r="C471" i="1" s="1"/>
  <c r="A1774" i="17" s="1"/>
  <c r="A485" i="1"/>
  <c r="C485" i="1" s="1"/>
  <c r="A1776" i="17" s="1"/>
  <c r="A484" i="1"/>
  <c r="C484" i="1" s="1"/>
  <c r="A1777" i="17" s="1"/>
  <c r="A489" i="1"/>
  <c r="C489" i="1" s="1"/>
  <c r="A1778" i="17" s="1"/>
  <c r="A324" i="1"/>
  <c r="C324" i="1" s="1"/>
  <c r="A1401" i="17" s="1"/>
  <c r="A351" i="1"/>
  <c r="C351" i="1" s="1"/>
  <c r="A1396" i="17" s="1"/>
  <c r="A278" i="1"/>
  <c r="C278" i="1" s="1"/>
  <c r="A1393" i="17" s="1"/>
  <c r="A394" i="1"/>
  <c r="C394" i="1" s="1"/>
  <c r="A1381" i="17" s="1"/>
  <c r="A262" i="1"/>
  <c r="C262" i="1" s="1"/>
  <c r="A1407" i="17" s="1"/>
  <c r="A295" i="1"/>
  <c r="C295" i="1" s="1"/>
  <c r="A1394" i="17" s="1"/>
  <c r="A296" i="1"/>
  <c r="C296" i="1" s="1"/>
  <c r="A1392" i="17" s="1"/>
  <c r="A297" i="1"/>
  <c r="C297" i="1" s="1"/>
  <c r="A1390" i="17" s="1"/>
  <c r="A350" i="1"/>
  <c r="C350" i="1" s="1"/>
  <c r="A379" i="1"/>
  <c r="C379" i="1" s="1"/>
  <c r="A414" i="1"/>
  <c r="C414" i="1" s="1"/>
  <c r="A401" i="1"/>
  <c r="C401" i="1" s="1"/>
  <c r="A361" i="1"/>
  <c r="C361" i="1" s="1"/>
  <c r="A483" i="1"/>
  <c r="C483" i="1" s="1"/>
  <c r="A1306" i="17" s="1"/>
  <c r="A332" i="1"/>
  <c r="C332" i="1" s="1"/>
  <c r="A290" i="1"/>
  <c r="C290" i="1" s="1"/>
  <c r="A473" i="1"/>
  <c r="C473" i="1" s="1"/>
  <c r="A1297" i="17" s="1"/>
  <c r="A340" i="1"/>
  <c r="C340" i="1" s="1"/>
  <c r="A261" i="1"/>
  <c r="C261" i="1" s="1"/>
  <c r="A480" i="1"/>
  <c r="C480" i="1" s="1"/>
  <c r="A1261" i="17" s="1"/>
  <c r="A482" i="1"/>
  <c r="C482" i="1" s="1"/>
  <c r="A1257" i="17" s="1"/>
  <c r="A304" i="1"/>
  <c r="C304" i="1" s="1"/>
  <c r="A380" i="1"/>
  <c r="C380" i="1" s="1"/>
  <c r="A299" i="1"/>
  <c r="C299" i="1" s="1"/>
  <c r="A415" i="1"/>
  <c r="C415" i="1" s="1"/>
  <c r="A306" i="1"/>
  <c r="C306" i="1" s="1"/>
  <c r="A318" i="1"/>
  <c r="C318" i="1" s="1"/>
  <c r="A400" i="1"/>
  <c r="C400" i="1" s="1"/>
  <c r="A391" i="1"/>
  <c r="C391" i="1" s="1"/>
  <c r="A285" i="1"/>
  <c r="C285" i="1" s="1"/>
  <c r="A410" i="1"/>
  <c r="C410" i="1" s="1"/>
  <c r="A359" i="1"/>
  <c r="C359" i="1" s="1"/>
  <c r="A282" i="1"/>
  <c r="C282" i="1" s="1"/>
  <c r="A288" i="1"/>
  <c r="C288" i="1" s="1"/>
  <c r="A362" i="1"/>
  <c r="C362" i="1" s="1"/>
  <c r="A413" i="1"/>
  <c r="C413" i="1" s="1"/>
  <c r="A310" i="1"/>
  <c r="C310" i="1" s="1"/>
  <c r="A453" i="1"/>
  <c r="C453" i="1" s="1"/>
  <c r="A441" i="1"/>
  <c r="C441" i="1" s="1"/>
  <c r="A1147" i="17" s="1"/>
  <c r="A395" i="1"/>
  <c r="C395" i="1" s="1"/>
  <c r="A311" i="1"/>
  <c r="C311" i="1" s="1"/>
  <c r="A459" i="1"/>
  <c r="C459" i="1" s="1"/>
  <c r="A1127" i="17" s="1"/>
  <c r="A476" i="1"/>
  <c r="C476" i="1" s="1"/>
  <c r="A1126" i="17" s="1"/>
  <c r="A355" i="1"/>
  <c r="C355" i="1" s="1"/>
  <c r="A284" i="1"/>
  <c r="C284" i="1" s="1"/>
  <c r="A396" i="1"/>
  <c r="C396" i="1" s="1"/>
  <c r="A397" i="1"/>
  <c r="C397" i="1" s="1"/>
  <c r="A358" i="1"/>
  <c r="C358" i="1" s="1"/>
  <c r="A455" i="1"/>
  <c r="C455" i="1" s="1"/>
  <c r="A1087" i="17" s="1"/>
  <c r="A329" i="1"/>
  <c r="C329" i="1" s="1"/>
  <c r="A348" i="1"/>
  <c r="C348" i="1" s="1"/>
  <c r="A346" i="1"/>
  <c r="C346" i="1" s="1"/>
  <c r="A378" i="1"/>
  <c r="C378" i="1" s="1"/>
  <c r="A347" i="1"/>
  <c r="C347" i="1" s="1"/>
  <c r="A444" i="1"/>
  <c r="C444" i="1" s="1"/>
  <c r="A1028" i="17" s="1"/>
  <c r="A259" i="1"/>
  <c r="C259" i="1" s="1"/>
  <c r="A398" i="1"/>
  <c r="C398" i="1" s="1"/>
  <c r="A385" i="1"/>
  <c r="C385" i="1" s="1"/>
  <c r="A289" i="1"/>
  <c r="C289" i="1" s="1"/>
  <c r="A369" i="1"/>
  <c r="C369" i="1" s="1"/>
  <c r="A440" i="1"/>
  <c r="C440" i="1" s="1"/>
  <c r="A986" i="17" s="1"/>
  <c r="A439" i="1"/>
  <c r="C439" i="1" s="1"/>
  <c r="A985" i="17" s="1"/>
  <c r="A291" i="1"/>
  <c r="C291" i="1" s="1"/>
  <c r="A286" i="1"/>
  <c r="C286" i="1" s="1"/>
  <c r="A393" i="1"/>
  <c r="C393" i="1" s="1"/>
  <c r="A326" i="1"/>
  <c r="C326" i="1" s="1"/>
  <c r="A433" i="1"/>
  <c r="C433" i="1" s="1"/>
  <c r="A477" i="1"/>
  <c r="C477" i="1" s="1"/>
  <c r="A269" i="1"/>
  <c r="C269" i="1" s="1"/>
  <c r="A275" i="1"/>
  <c r="C275" i="1" s="1"/>
  <c r="A407" i="1"/>
  <c r="C407" i="1" s="1"/>
  <c r="A265" i="1"/>
  <c r="C265" i="1" s="1"/>
  <c r="A264" i="1"/>
  <c r="C264" i="1" s="1"/>
  <c r="A422" i="1"/>
  <c r="C422" i="1" s="1"/>
  <c r="A313" i="1"/>
  <c r="C313" i="1" s="1"/>
  <c r="A405" i="1"/>
  <c r="C405" i="1" s="1"/>
  <c r="A357" i="1"/>
  <c r="C357" i="1" s="1"/>
  <c r="A448" i="1"/>
  <c r="C448" i="1" s="1"/>
  <c r="A902" i="17" s="1"/>
  <c r="A446" i="1"/>
  <c r="C446" i="1" s="1"/>
  <c r="A901" i="17" s="1"/>
  <c r="A465" i="1"/>
  <c r="C465" i="1" s="1"/>
  <c r="A898" i="17" s="1"/>
  <c r="A464" i="1"/>
  <c r="C464" i="1" s="1"/>
  <c r="A895" i="17" s="1"/>
  <c r="A462" i="1"/>
  <c r="C462" i="1" s="1"/>
  <c r="A892" i="17" s="1"/>
  <c r="A461" i="1"/>
  <c r="C461" i="1" s="1"/>
  <c r="A890" i="17" s="1"/>
  <c r="A479" i="1"/>
  <c r="C479" i="1" s="1"/>
  <c r="A888" i="17" s="1"/>
  <c r="A434" i="1"/>
  <c r="C434" i="1" s="1"/>
  <c r="A260" i="1"/>
  <c r="C260" i="1" s="1"/>
  <c r="A402" i="1"/>
  <c r="C402" i="1" s="1"/>
  <c r="A404" i="1"/>
  <c r="C404" i="1" s="1"/>
  <c r="A416" i="1"/>
  <c r="C416" i="1" s="1"/>
  <c r="A274" i="1"/>
  <c r="C274" i="1" s="1"/>
  <c r="A372" i="1"/>
  <c r="C372" i="1" s="1"/>
  <c r="A386" i="1"/>
  <c r="C386" i="1" s="1"/>
  <c r="A406" i="1"/>
  <c r="C406" i="1" s="1"/>
  <c r="A432" i="1"/>
  <c r="C432" i="1" s="1"/>
  <c r="A366" i="1"/>
  <c r="C366" i="1" s="1"/>
  <c r="A337" i="1"/>
  <c r="C337" i="1" s="1"/>
  <c r="A272" i="1"/>
  <c r="C272" i="1" s="1"/>
  <c r="A424" i="1"/>
  <c r="C424" i="1" s="1"/>
  <c r="A452" i="1"/>
  <c r="C452" i="1" s="1"/>
  <c r="A807" i="17" s="1"/>
  <c r="A271" i="1"/>
  <c r="C271" i="1" s="1"/>
  <c r="A267" i="1"/>
  <c r="C267" i="1" s="1"/>
  <c r="A352" i="1"/>
  <c r="C352" i="1" s="1"/>
  <c r="A392" i="1"/>
  <c r="C392" i="1" s="1"/>
  <c r="A321" i="1"/>
  <c r="C321" i="1" s="1"/>
  <c r="A463" i="1"/>
  <c r="C463" i="1" s="1"/>
  <c r="A730" i="17" s="1"/>
  <c r="A342" i="1"/>
  <c r="C342" i="1" s="1"/>
  <c r="A411" i="1"/>
  <c r="C411" i="1" s="1"/>
  <c r="A253" i="1"/>
  <c r="C253" i="1" s="1"/>
  <c r="A349" i="1"/>
  <c r="C349" i="1" s="1"/>
  <c r="A315" i="1"/>
  <c r="C315" i="1" s="1"/>
  <c r="A345" i="1"/>
  <c r="C345" i="1" s="1"/>
  <c r="A423" i="1"/>
  <c r="C423" i="1" s="1"/>
  <c r="A292" i="1"/>
  <c r="C292" i="1" s="1"/>
  <c r="A382" i="1"/>
  <c r="C382" i="1" s="1"/>
  <c r="A412" i="1"/>
  <c r="C412" i="1" s="1"/>
  <c r="A373" i="1"/>
  <c r="C373" i="1" s="1"/>
  <c r="A374" i="1"/>
  <c r="C374" i="1" s="1"/>
  <c r="A375" i="1"/>
  <c r="C375" i="1" s="1"/>
  <c r="A294" i="1"/>
  <c r="C294" i="1" s="1"/>
  <c r="A376" i="1"/>
  <c r="C376" i="1" s="1"/>
  <c r="A388" i="1"/>
  <c r="C388" i="1" s="1"/>
  <c r="A421" i="1"/>
  <c r="C421" i="1" s="1"/>
  <c r="A333" i="1"/>
  <c r="C333" i="1" s="1"/>
  <c r="A334" i="1"/>
  <c r="C334" i="1" s="1"/>
  <c r="A309" i="1"/>
  <c r="C309" i="1" s="1"/>
  <c r="A341" i="1"/>
  <c r="C341" i="1" s="1"/>
  <c r="A381" i="1"/>
  <c r="C381" i="1" s="1"/>
  <c r="A447" i="1"/>
  <c r="C447" i="1" s="1"/>
  <c r="A450" i="1"/>
  <c r="C450" i="1" s="1"/>
  <c r="A365" i="1"/>
  <c r="C365" i="1" s="1"/>
  <c r="A371" i="1"/>
  <c r="C371" i="1" s="1"/>
  <c r="A474" i="1"/>
  <c r="C474" i="1" s="1"/>
  <c r="A573" i="17" s="1"/>
  <c r="A442" i="1"/>
  <c r="C442" i="1" s="1"/>
  <c r="A571" i="17" s="1"/>
  <c r="A435" i="1"/>
  <c r="C435" i="1" s="1"/>
  <c r="A339" i="1"/>
  <c r="C339" i="1" s="1"/>
  <c r="A377" i="1"/>
  <c r="C377" i="1" s="1"/>
  <c r="A273" i="1"/>
  <c r="C273" i="1" s="1"/>
  <c r="A431" i="1"/>
  <c r="C431" i="1" s="1"/>
  <c r="A293" i="1"/>
  <c r="C293" i="1" s="1"/>
  <c r="A305" i="1"/>
  <c r="C305" i="1" s="1"/>
  <c r="A336" i="1"/>
  <c r="C336" i="1" s="1"/>
  <c r="A323" i="1"/>
  <c r="C323" i="1" s="1"/>
  <c r="A300" i="1"/>
  <c r="C300" i="1" s="1"/>
  <c r="A314" i="1"/>
  <c r="C314" i="1" s="1"/>
  <c r="A399" i="1"/>
  <c r="C399" i="1" s="1"/>
  <c r="A426" i="1"/>
  <c r="C426" i="1" s="1"/>
  <c r="A287" i="1"/>
  <c r="C287" i="1" s="1"/>
  <c r="A445" i="1"/>
  <c r="C445" i="1" s="1"/>
  <c r="A460" i="1"/>
  <c r="C460" i="1" s="1"/>
  <c r="A445" i="17" s="1"/>
  <c r="A449" i="1"/>
  <c r="C449" i="1" s="1"/>
  <c r="A276" i="17" s="1"/>
  <c r="A458" i="1"/>
  <c r="C458" i="1" s="1"/>
  <c r="A434" i="17" s="1"/>
  <c r="A470" i="1"/>
  <c r="C470" i="1" s="1"/>
  <c r="A433" i="17" s="1"/>
  <c r="A279" i="1"/>
  <c r="C279" i="1" s="1"/>
  <c r="A364" i="1"/>
  <c r="C364" i="1" s="1"/>
  <c r="A472" i="1"/>
  <c r="C472" i="1" s="1"/>
  <c r="A423" i="17" s="1"/>
  <c r="A268" i="1"/>
  <c r="C268" i="1" s="1"/>
  <c r="A389" i="1"/>
  <c r="C389" i="1" s="1"/>
  <c r="A387" i="1"/>
  <c r="C387" i="1" s="1"/>
  <c r="A370" i="1"/>
  <c r="C370" i="1" s="1"/>
  <c r="A338" i="1"/>
  <c r="C338" i="1" s="1"/>
  <c r="A312" i="1"/>
  <c r="C312" i="1" s="1"/>
  <c r="A330" i="1"/>
  <c r="C330" i="1" s="1"/>
  <c r="A425" i="1"/>
  <c r="C425" i="1" s="1"/>
  <c r="A270" i="1"/>
  <c r="C270" i="1" s="1"/>
  <c r="A353" i="1"/>
  <c r="C353" i="1" s="1"/>
  <c r="A443" i="1"/>
  <c r="C443" i="1" s="1"/>
  <c r="A303" i="17" s="1"/>
  <c r="A298" i="1"/>
  <c r="C298" i="1" s="1"/>
  <c r="A328" i="1"/>
  <c r="C328" i="1" s="1"/>
  <c r="A451" i="1"/>
  <c r="C451" i="1" s="1"/>
  <c r="A274" i="17" s="1"/>
  <c r="A428" i="1"/>
  <c r="C428" i="1" s="1"/>
  <c r="A308" i="1"/>
  <c r="C308" i="1" s="1"/>
  <c r="A307" i="1"/>
  <c r="C307" i="1" s="1"/>
  <c r="A276" i="1"/>
  <c r="C276" i="1" s="1"/>
  <c r="A281" i="1"/>
  <c r="C281" i="1" s="1"/>
  <c r="A466" i="1"/>
  <c r="C466" i="1" s="1"/>
  <c r="A235" i="17" s="1"/>
  <c r="A409" i="1"/>
  <c r="C409" i="1" s="1"/>
  <c r="A436" i="1"/>
  <c r="C436" i="1" s="1"/>
  <c r="A454" i="1"/>
  <c r="C454" i="1" s="1"/>
  <c r="A114" i="17" s="1"/>
  <c r="A263" i="1"/>
  <c r="C263" i="1" s="1"/>
  <c r="A417" i="1"/>
  <c r="C417" i="1" s="1"/>
  <c r="A317" i="1"/>
  <c r="C317" i="1" s="1"/>
  <c r="A360" i="1"/>
  <c r="C360" i="1" s="1"/>
  <c r="A418" i="1"/>
  <c r="C418" i="1" s="1"/>
  <c r="A319" i="1"/>
  <c r="C319" i="1" s="1"/>
  <c r="A343" i="1"/>
  <c r="C343" i="1" s="1"/>
  <c r="A427" i="1"/>
  <c r="C427" i="1" s="1"/>
  <c r="A327" i="1"/>
  <c r="C327" i="1" s="1"/>
  <c r="A331" i="1"/>
  <c r="C331" i="1" s="1"/>
  <c r="A475" i="1"/>
  <c r="C475" i="1" s="1"/>
  <c r="A173" i="17" s="1"/>
  <c r="A478" i="1"/>
  <c r="C478" i="1" s="1"/>
  <c r="A169" i="17" s="1"/>
  <c r="A481" i="1"/>
  <c r="C481" i="1" s="1"/>
  <c r="A168" i="17" s="1"/>
  <c r="A283" i="1"/>
  <c r="C283" i="1" s="1"/>
  <c r="A280" i="1"/>
  <c r="C280" i="1" s="1"/>
  <c r="A325" i="1"/>
  <c r="C325" i="1" s="1"/>
  <c r="A438" i="1"/>
  <c r="C438" i="1" s="1"/>
  <c r="A437" i="1"/>
  <c r="C437" i="1" s="1"/>
  <c r="A403" i="1"/>
  <c r="C403" i="1" s="1"/>
  <c r="A302" i="1"/>
  <c r="C302" i="1" s="1"/>
  <c r="A390" i="1"/>
  <c r="C390" i="1" s="1"/>
  <c r="A335" i="1"/>
  <c r="C335" i="1" s="1"/>
  <c r="A408" i="1"/>
  <c r="C408" i="1" s="1"/>
  <c r="A322" i="1"/>
  <c r="C322" i="1" s="1"/>
  <c r="A344" i="1"/>
  <c r="C344" i="1" s="1"/>
  <c r="A301" i="1"/>
  <c r="C301" i="1" s="1"/>
  <c r="A457" i="1"/>
  <c r="C457" i="1" s="1"/>
  <c r="A65" i="17" s="1"/>
  <c r="A468" i="1"/>
  <c r="C468" i="1" s="1"/>
  <c r="A59" i="17" s="1"/>
  <c r="A320" i="1"/>
  <c r="C320" i="1" s="1"/>
  <c r="A467" i="1"/>
  <c r="C467" i="1" s="1"/>
  <c r="A5" i="17" s="1"/>
  <c r="A469" i="1"/>
  <c r="C469" i="1" s="1"/>
  <c r="A247" i="1"/>
  <c r="C247" i="1" s="1"/>
  <c r="A249" i="1"/>
  <c r="C249" i="1" s="1"/>
  <c r="A255" i="1"/>
  <c r="C255" i="1" s="1"/>
  <c r="A241" i="1"/>
  <c r="C241" i="1" s="1"/>
  <c r="A250" i="1"/>
  <c r="C250" i="1" s="1"/>
  <c r="A256" i="1"/>
  <c r="C256" i="1" s="1"/>
  <c r="A243" i="1"/>
  <c r="C243" i="1" s="1"/>
  <c r="A248" i="1"/>
  <c r="C248" i="1" s="1"/>
  <c r="A251" i="1"/>
  <c r="C251" i="1" s="1"/>
  <c r="A229" i="1"/>
  <c r="C229" i="1" s="1"/>
  <c r="A230" i="1"/>
  <c r="C230" i="1" s="1"/>
  <c r="A245" i="1"/>
  <c r="C245" i="1" s="1"/>
  <c r="A244" i="1"/>
  <c r="C244" i="1" s="1"/>
  <c r="A233" i="1"/>
  <c r="C233" i="1" s="1"/>
  <c r="A246" i="1"/>
  <c r="C246" i="1" s="1"/>
  <c r="A254" i="1"/>
  <c r="C254" i="1" s="1"/>
  <c r="A252" i="1"/>
  <c r="C252" i="1" s="1"/>
  <c r="A240" i="1"/>
  <c r="C240" i="1" s="1"/>
  <c r="A242" i="1"/>
  <c r="C242" i="1" s="1"/>
  <c r="A226" i="1"/>
  <c r="C226" i="1" s="1"/>
  <c r="A236" i="1"/>
  <c r="C236" i="1" s="1"/>
  <c r="A205" i="1"/>
  <c r="C205" i="1" s="1"/>
  <c r="A215" i="1"/>
  <c r="C215" i="1" s="1"/>
  <c r="A213" i="1"/>
  <c r="C213" i="1" s="1"/>
  <c r="A228" i="1"/>
  <c r="C228" i="1" s="1"/>
  <c r="A216" i="1"/>
  <c r="C216" i="1" s="1"/>
  <c r="A227" i="1"/>
  <c r="C227" i="1" s="1"/>
  <c r="A211" i="1"/>
  <c r="C211" i="1" s="1"/>
  <c r="A219" i="1"/>
  <c r="C219" i="1" s="1"/>
  <c r="A237" i="1"/>
  <c r="C237" i="1" s="1"/>
  <c r="A218" i="1"/>
  <c r="C218" i="1" s="1"/>
  <c r="A214" i="1"/>
  <c r="C214" i="1" s="1"/>
  <c r="A208" i="1"/>
  <c r="C208" i="1" s="1"/>
  <c r="A206" i="1"/>
  <c r="C206" i="1" s="1"/>
  <c r="A207" i="1"/>
  <c r="C207" i="1" s="1"/>
  <c r="A217" i="1"/>
  <c r="C217" i="1" s="1"/>
  <c r="A222" i="1"/>
  <c r="C222" i="1" s="1"/>
  <c r="A212" i="1"/>
  <c r="C212" i="1" s="1"/>
  <c r="A223" i="1"/>
  <c r="C223" i="1" s="1"/>
  <c r="A231" i="1"/>
  <c r="C231" i="1" s="1"/>
  <c r="A224" i="1"/>
  <c r="C224" i="1" s="1"/>
  <c r="A225" i="1"/>
  <c r="C225" i="1" s="1"/>
  <c r="A210" i="1"/>
  <c r="C210" i="1" s="1"/>
  <c r="A234" i="1"/>
  <c r="C234" i="1" s="1"/>
  <c r="A239" i="1"/>
  <c r="C239" i="1" s="1"/>
  <c r="A221" i="1"/>
  <c r="C221" i="1" s="1"/>
  <c r="A232" i="1"/>
  <c r="C232" i="1" s="1"/>
  <c r="A220" i="1"/>
  <c r="C220" i="1" s="1"/>
  <c r="A209" i="1"/>
  <c r="C209" i="1" s="1"/>
  <c r="A1758" i="17" s="1"/>
  <c r="A235" i="1"/>
  <c r="C235" i="1" s="1"/>
  <c r="A1759" i="17" s="1"/>
  <c r="A203" i="1"/>
  <c r="C203" i="1" s="1"/>
  <c r="A178" i="1"/>
  <c r="C178" i="1" s="1"/>
  <c r="A1640" i="17" s="1"/>
  <c r="A188" i="1"/>
  <c r="C188" i="1" s="1"/>
  <c r="A1710" i="17" s="1"/>
  <c r="A183" i="1"/>
  <c r="C183" i="1" s="1"/>
  <c r="A1739" i="17" s="1"/>
  <c r="A185" i="1"/>
  <c r="C185" i="1" s="1"/>
  <c r="A1740" i="17" s="1"/>
  <c r="A186" i="1"/>
  <c r="C186" i="1" s="1"/>
  <c r="A1741" i="17" s="1"/>
  <c r="A189" i="1"/>
  <c r="C189" i="1" s="1"/>
  <c r="A1742" i="17" s="1"/>
  <c r="A190" i="1"/>
  <c r="C190" i="1" s="1"/>
  <c r="A1743" i="17" s="1"/>
  <c r="A191" i="1"/>
  <c r="C191" i="1" s="1"/>
  <c r="A1746" i="17" s="1"/>
  <c r="A194" i="1"/>
  <c r="C194" i="1" s="1"/>
  <c r="A1748" i="17" s="1"/>
  <c r="A195" i="1"/>
  <c r="C195" i="1" s="1"/>
  <c r="A1749" i="17" s="1"/>
  <c r="A196" i="1"/>
  <c r="C196" i="1" s="1"/>
  <c r="A1750" i="17" s="1"/>
  <c r="A197" i="1"/>
  <c r="C197" i="1" s="1"/>
  <c r="A1751" i="17" s="1"/>
  <c r="A198" i="1"/>
  <c r="C198" i="1" s="1"/>
  <c r="A1752" i="17" s="1"/>
  <c r="A202" i="1"/>
  <c r="C202" i="1" s="1"/>
  <c r="A1756" i="17" s="1"/>
  <c r="A200" i="1"/>
  <c r="C200" i="1" s="1"/>
  <c r="A199" i="1"/>
  <c r="C199" i="1" s="1"/>
  <c r="A201" i="1"/>
  <c r="C201" i="1" s="1"/>
  <c r="A184" i="1"/>
  <c r="C184" i="1" s="1"/>
  <c r="A187" i="1"/>
  <c r="C187" i="1" s="1"/>
  <c r="A192" i="1"/>
  <c r="C192" i="1" s="1"/>
  <c r="A193" i="1"/>
  <c r="C193" i="1" s="1"/>
  <c r="M180" i="1"/>
  <c r="A175" i="1"/>
  <c r="C175" i="1" s="1"/>
  <c r="A1706" i="17" s="1"/>
  <c r="A170" i="1"/>
  <c r="C170" i="1" s="1"/>
  <c r="A1725" i="17" s="1"/>
  <c r="A171" i="1"/>
  <c r="C171" i="1" s="1"/>
  <c r="A1726" i="17" s="1"/>
  <c r="A172" i="1"/>
  <c r="C172" i="1" s="1"/>
  <c r="A1727" i="17" s="1"/>
  <c r="A173" i="1"/>
  <c r="C173" i="1" s="1"/>
  <c r="A1728" i="17" s="1"/>
  <c r="A176" i="1"/>
  <c r="C176" i="1" s="1"/>
  <c r="A1730" i="17" s="1"/>
  <c r="A177" i="1"/>
  <c r="C177" i="1" s="1"/>
  <c r="A1731" i="17" s="1"/>
  <c r="A179" i="1"/>
  <c r="C179" i="1" s="1"/>
  <c r="A1732" i="17" s="1"/>
  <c r="A180" i="1"/>
  <c r="C180" i="1" s="1"/>
  <c r="A1733" i="17" s="1"/>
  <c r="A181" i="1"/>
  <c r="C181" i="1" s="1"/>
  <c r="A1734" i="17" s="1"/>
  <c r="A182" i="1"/>
  <c r="C182" i="1" s="1"/>
  <c r="A1735" i="17" s="1"/>
  <c r="A174" i="1"/>
  <c r="C174" i="1" s="1"/>
  <c r="A1785" i="17" l="1"/>
  <c r="A1786" i="17"/>
  <c r="N1452" i="1"/>
  <c r="O1416" i="1"/>
  <c r="O1849" i="1"/>
  <c r="O1871" i="1"/>
  <c r="N1615" i="1"/>
  <c r="O1631" i="1"/>
  <c r="O1432" i="1"/>
  <c r="O1415" i="1"/>
  <c r="N1762" i="1"/>
  <c r="O1760" i="1"/>
  <c r="N1747" i="1"/>
  <c r="O1715" i="1"/>
  <c r="N1826" i="1"/>
  <c r="O1782" i="1"/>
  <c r="O1527" i="1"/>
  <c r="O1666" i="1"/>
  <c r="O1736" i="1"/>
  <c r="N1268" i="1"/>
  <c r="O1274" i="1"/>
  <c r="N1612" i="1"/>
  <c r="O1612" i="1"/>
  <c r="N1059" i="1"/>
  <c r="O1052" i="1"/>
  <c r="N1998" i="1"/>
  <c r="O1998" i="1"/>
  <c r="O2015" i="1"/>
  <c r="O1737" i="1"/>
  <c r="N1737" i="1"/>
  <c r="O1344" i="1"/>
  <c r="O1412" i="1"/>
  <c r="O1116" i="1"/>
  <c r="O1276" i="1"/>
  <c r="O1390" i="1"/>
  <c r="O1363" i="1"/>
  <c r="O1351" i="1"/>
  <c r="O1354" i="1"/>
  <c r="O1555" i="1"/>
  <c r="O1542" i="1"/>
  <c r="O1558" i="1"/>
  <c r="O1561" i="1"/>
  <c r="N1752" i="1"/>
  <c r="O1804" i="1"/>
  <c r="O1808" i="1"/>
  <c r="O1789" i="1"/>
  <c r="O1828" i="1"/>
  <c r="O2010" i="1"/>
  <c r="O2034" i="1"/>
  <c r="O1950" i="1"/>
  <c r="O1727" i="1"/>
  <c r="O1651" i="1"/>
  <c r="O1669" i="1"/>
  <c r="O2045" i="1"/>
  <c r="O1743" i="1"/>
  <c r="O1933" i="1"/>
  <c r="O1062" i="1"/>
  <c r="O1427" i="1"/>
  <c r="O1624" i="1"/>
  <c r="O1068" i="1"/>
  <c r="O1723" i="1"/>
  <c r="O1720" i="1"/>
  <c r="O1435" i="1"/>
  <c r="O2000" i="1"/>
  <c r="O1790" i="1"/>
  <c r="O1982" i="1"/>
  <c r="O1042" i="1"/>
  <c r="O1060" i="1"/>
  <c r="O1106" i="1"/>
  <c r="O1018" i="1"/>
  <c r="O1510" i="1"/>
  <c r="O1675" i="1"/>
  <c r="O1725" i="1"/>
  <c r="O2018" i="1"/>
  <c r="O1044" i="1"/>
  <c r="O2043" i="1"/>
  <c r="O1961" i="1"/>
  <c r="O2064" i="1"/>
  <c r="O1694" i="1"/>
  <c r="O1191" i="1"/>
  <c r="O1170" i="1"/>
  <c r="O1182" i="1"/>
  <c r="O1383" i="1"/>
  <c r="O1201" i="1"/>
  <c r="O1353" i="1"/>
  <c r="O1172" i="1"/>
  <c r="O1131" i="1"/>
  <c r="O1821" i="1"/>
  <c r="O1158" i="1"/>
  <c r="O1377" i="1"/>
  <c r="O1317" i="1"/>
  <c r="O1347" i="1"/>
  <c r="O1143" i="1"/>
  <c r="O1257" i="1"/>
  <c r="O1388" i="1"/>
  <c r="O1490" i="1"/>
  <c r="O1426" i="1"/>
  <c r="O1544" i="1"/>
  <c r="O1466" i="1"/>
  <c r="O1627" i="1"/>
  <c r="O1444" i="1"/>
  <c r="O1451" i="1"/>
  <c r="N1402" i="1"/>
  <c r="O1436" i="1"/>
  <c r="O1702" i="1"/>
  <c r="O1735" i="1"/>
  <c r="O1658" i="1"/>
  <c r="O1827" i="1"/>
  <c r="O2028" i="1"/>
  <c r="N1908" i="1"/>
  <c r="O1864" i="1"/>
  <c r="O1663" i="1"/>
  <c r="O1701" i="1"/>
  <c r="O1649" i="1"/>
  <c r="O1127" i="1"/>
  <c r="O1072" i="1"/>
  <c r="O1741" i="1"/>
  <c r="O1119" i="1"/>
  <c r="O1575" i="1"/>
  <c r="O2060" i="1"/>
  <c r="N2064" i="1"/>
  <c r="O2038" i="1"/>
  <c r="O1929" i="1"/>
  <c r="N1929" i="1"/>
  <c r="N1946" i="1"/>
  <c r="O1946" i="1"/>
  <c r="O1835" i="1"/>
  <c r="O1075" i="1"/>
  <c r="N1131" i="1"/>
  <c r="O1370" i="1"/>
  <c r="O1255" i="1"/>
  <c r="N1018" i="1"/>
  <c r="O1381" i="1"/>
  <c r="O1117" i="1"/>
  <c r="O1424" i="1"/>
  <c r="O1480" i="1"/>
  <c r="O1505" i="1"/>
  <c r="N1575" i="1"/>
  <c r="O1492" i="1"/>
  <c r="O1442" i="1"/>
  <c r="N1751" i="1"/>
  <c r="O1866" i="1"/>
  <c r="O1899" i="1"/>
  <c r="O1958" i="1"/>
  <c r="O1717" i="1"/>
  <c r="O1710" i="1"/>
  <c r="O1690" i="1"/>
  <c r="O2021" i="1"/>
  <c r="O1724" i="1"/>
  <c r="O1671" i="1"/>
  <c r="O1721" i="1"/>
  <c r="N1721" i="1"/>
  <c r="O1319" i="1"/>
  <c r="O1204" i="1"/>
  <c r="O1256" i="1"/>
  <c r="O1516" i="1"/>
  <c r="O1489" i="1"/>
  <c r="N1492" i="1"/>
  <c r="N1622" i="1"/>
  <c r="N1672" i="1"/>
  <c r="O1722" i="1"/>
  <c r="O1845" i="1"/>
  <c r="N1899" i="1"/>
  <c r="O1915" i="1"/>
  <c r="O1851" i="1"/>
  <c r="N1971" i="1"/>
  <c r="O1971" i="1"/>
  <c r="O2055" i="1"/>
  <c r="O1754" i="1"/>
  <c r="O1539" i="1"/>
  <c r="O1973" i="1"/>
  <c r="O2041" i="1"/>
  <c r="N1667" i="1"/>
  <c r="O1726" i="1"/>
  <c r="O1689" i="1"/>
  <c r="O1698" i="1"/>
  <c r="O1738" i="1"/>
  <c r="O1917" i="1"/>
  <c r="O1926" i="1"/>
  <c r="O1460" i="1"/>
  <c r="O1730" i="1"/>
  <c r="O1682" i="1"/>
  <c r="O2046" i="1"/>
  <c r="O1422" i="1"/>
  <c r="O1747" i="1"/>
  <c r="N1129" i="1"/>
  <c r="O1395" i="1"/>
  <c r="O1557" i="1"/>
  <c r="N1849" i="1"/>
  <c r="N1684" i="1"/>
  <c r="O1684" i="1"/>
  <c r="O1685" i="1"/>
  <c r="N1685" i="1"/>
  <c r="O1126" i="1"/>
  <c r="N1614" i="1"/>
  <c r="N1301" i="1"/>
  <c r="N1451" i="1"/>
  <c r="N1436" i="1"/>
  <c r="N1679" i="1"/>
  <c r="O1823" i="1"/>
  <c r="N1919" i="1"/>
  <c r="O1890" i="1"/>
  <c r="O1625" i="1"/>
  <c r="O1566" i="1"/>
  <c r="M184" i="1"/>
  <c r="O184" i="1" s="1"/>
  <c r="O1130" i="1"/>
  <c r="O1067" i="1"/>
  <c r="N1381" i="1"/>
  <c r="O1573" i="1"/>
  <c r="O1357" i="1"/>
  <c r="N1321" i="1"/>
  <c r="O1594" i="1"/>
  <c r="N1641" i="1"/>
  <c r="O1733" i="1"/>
  <c r="N1733" i="1"/>
  <c r="N1473" i="1"/>
  <c r="O1633" i="1"/>
  <c r="O1504" i="1"/>
  <c r="M202" i="1"/>
  <c r="O1079" i="1"/>
  <c r="O1111" i="1"/>
  <c r="N1351" i="1"/>
  <c r="M282" i="1"/>
  <c r="O282" i="1" s="1"/>
  <c r="M366" i="1"/>
  <c r="N366" i="1" s="1"/>
  <c r="N1597" i="1"/>
  <c r="O1615" i="1"/>
  <c r="N1942" i="1"/>
  <c r="O1942" i="1"/>
  <c r="N1895" i="1"/>
  <c r="O1895" i="1"/>
  <c r="O1843" i="1"/>
  <c r="N1843" i="1"/>
  <c r="O1109" i="1"/>
  <c r="N1561" i="1"/>
  <c r="O1619" i="1"/>
  <c r="N1549" i="1"/>
  <c r="O1585" i="1"/>
  <c r="N1654" i="1"/>
  <c r="O1837" i="1"/>
  <c r="O1904" i="1"/>
  <c r="O1878" i="1"/>
  <c r="N1878" i="1"/>
  <c r="N1951" i="1"/>
  <c r="O1951" i="1"/>
  <c r="O1757" i="1"/>
  <c r="N1757" i="1"/>
  <c r="O1988" i="1"/>
  <c r="N1988" i="1"/>
  <c r="N1944" i="1"/>
  <c r="O1944" i="1"/>
  <c r="O1373" i="1"/>
  <c r="O1384" i="1"/>
  <c r="N1353" i="1"/>
  <c r="O1281" i="1"/>
  <c r="O1437" i="1"/>
  <c r="N1397" i="1"/>
  <c r="O1453" i="1"/>
  <c r="N1433" i="1"/>
  <c r="N1663" i="1"/>
  <c r="O1734" i="1"/>
  <c r="O1762" i="1"/>
  <c r="N1753" i="1"/>
  <c r="O1753" i="1"/>
  <c r="O1943" i="1"/>
  <c r="N1943" i="1"/>
  <c r="O1732" i="1"/>
  <c r="N1732" i="1"/>
  <c r="N1965" i="1"/>
  <c r="O1965" i="1"/>
  <c r="N2031" i="1"/>
  <c r="O2031" i="1"/>
  <c r="O1621" i="1"/>
  <c r="N1514" i="1"/>
  <c r="O2023" i="1"/>
  <c r="N2049" i="1"/>
  <c r="O2069" i="1"/>
  <c r="N2069" i="1"/>
  <c r="N1755" i="1"/>
  <c r="O1755" i="1"/>
  <c r="N1850" i="1"/>
  <c r="O1850" i="1"/>
  <c r="O1785" i="1"/>
  <c r="N1785" i="1"/>
  <c r="O1819" i="1"/>
  <c r="N1819" i="1"/>
  <c r="O1746" i="1"/>
  <c r="N1746" i="1"/>
  <c r="N1964" i="1"/>
  <c r="O1964" i="1"/>
  <c r="N1739" i="1"/>
  <c r="O1739" i="1"/>
  <c r="N1975" i="1"/>
  <c r="O1975" i="1"/>
  <c r="O1711" i="1"/>
  <c r="N1711" i="1"/>
  <c r="O1867" i="1"/>
  <c r="N1867" i="1"/>
  <c r="O2053" i="1"/>
  <c r="N2053" i="1"/>
  <c r="N1853" i="1"/>
  <c r="O1853" i="1"/>
  <c r="N2042" i="1"/>
  <c r="O2042" i="1"/>
  <c r="N1948" i="1"/>
  <c r="O1948" i="1"/>
  <c r="N2047" i="1"/>
  <c r="O2047" i="1"/>
  <c r="O1930" i="1"/>
  <c r="N1930" i="1"/>
  <c r="N2057" i="1"/>
  <c r="O2057" i="1"/>
  <c r="O2054" i="1"/>
  <c r="N2054" i="1"/>
  <c r="N2039" i="1"/>
  <c r="O2039" i="1"/>
  <c r="O2052" i="1"/>
  <c r="N2052" i="1"/>
  <c r="O2065" i="1"/>
  <c r="N2065" i="1"/>
  <c r="N2056" i="1"/>
  <c r="O2056" i="1"/>
  <c r="N2070" i="1"/>
  <c r="O2070" i="1"/>
  <c r="N2066" i="1"/>
  <c r="O2066" i="1"/>
  <c r="N1897" i="1"/>
  <c r="O1897" i="1"/>
  <c r="O2009" i="1"/>
  <c r="N2009" i="1"/>
  <c r="O1980" i="1"/>
  <c r="N1980" i="1"/>
  <c r="N1870" i="1"/>
  <c r="O1870" i="1"/>
  <c r="N1991" i="1"/>
  <c r="O1991" i="1"/>
  <c r="N1886" i="1"/>
  <c r="O1886" i="1"/>
  <c r="O1938" i="1"/>
  <c r="N1938" i="1"/>
  <c r="O1931" i="1"/>
  <c r="N1931" i="1"/>
  <c r="O1925" i="1"/>
  <c r="N1925" i="1"/>
  <c r="O1949" i="1"/>
  <c r="N1949" i="1"/>
  <c r="O1876" i="1"/>
  <c r="N1876" i="1"/>
  <c r="N2025" i="1"/>
  <c r="O2025" i="1"/>
  <c r="O2012" i="1"/>
  <c r="N2012" i="1"/>
  <c r="N1903" i="1"/>
  <c r="O1903" i="1"/>
  <c r="O2027" i="1"/>
  <c r="N2027" i="1"/>
  <c r="O1955" i="1"/>
  <c r="N1955" i="1"/>
  <c r="O1960" i="1"/>
  <c r="N1960" i="1"/>
  <c r="N1918" i="1"/>
  <c r="O1918" i="1"/>
  <c r="O1994" i="1"/>
  <c r="N1994" i="1"/>
  <c r="O1985" i="1"/>
  <c r="N1985" i="1"/>
  <c r="N2033" i="1"/>
  <c r="O2033" i="1"/>
  <c r="O1979" i="1"/>
  <c r="N1979" i="1"/>
  <c r="N1953" i="1"/>
  <c r="O1953" i="1"/>
  <c r="N1966" i="1"/>
  <c r="O1966" i="1"/>
  <c r="N1969" i="1"/>
  <c r="O1969" i="1"/>
  <c r="O1916" i="1"/>
  <c r="N1916" i="1"/>
  <c r="O1940" i="1"/>
  <c r="N1940" i="1"/>
  <c r="N1995" i="1"/>
  <c r="O1995" i="1"/>
  <c r="N2017" i="1"/>
  <c r="O2017" i="1"/>
  <c r="O1902" i="1"/>
  <c r="N1902" i="1"/>
  <c r="N1924" i="1"/>
  <c r="O1924" i="1"/>
  <c r="N1861" i="1"/>
  <c r="O1861" i="1"/>
  <c r="O1968" i="1"/>
  <c r="N1968" i="1"/>
  <c r="N1989" i="1"/>
  <c r="O1989" i="1"/>
  <c r="O1880" i="1"/>
  <c r="N1880" i="1"/>
  <c r="O1855" i="1"/>
  <c r="N1855" i="1"/>
  <c r="N1974" i="1"/>
  <c r="O1974" i="1"/>
  <c r="O1909" i="1"/>
  <c r="N1909" i="1"/>
  <c r="O2004" i="1"/>
  <c r="N2004" i="1"/>
  <c r="N1865" i="1"/>
  <c r="O1865" i="1"/>
  <c r="N1978" i="1"/>
  <c r="O1978" i="1"/>
  <c r="O1941" i="1"/>
  <c r="N1941" i="1"/>
  <c r="N1967" i="1"/>
  <c r="O1967" i="1"/>
  <c r="O1999" i="1"/>
  <c r="N1999" i="1"/>
  <c r="O1881" i="1"/>
  <c r="N1881" i="1"/>
  <c r="O1857" i="1"/>
  <c r="N1857" i="1"/>
  <c r="N1854" i="1"/>
  <c r="O1854" i="1"/>
  <c r="N1847" i="1"/>
  <c r="O1847" i="1"/>
  <c r="O1952" i="1"/>
  <c r="N1952" i="1"/>
  <c r="N1928" i="1"/>
  <c r="O1928" i="1"/>
  <c r="N2006" i="1"/>
  <c r="O2006" i="1"/>
  <c r="N2022" i="1"/>
  <c r="O2022" i="1"/>
  <c r="O1868" i="1"/>
  <c r="N1868" i="1"/>
  <c r="N1859" i="1"/>
  <c r="O1859" i="1"/>
  <c r="N1869" i="1"/>
  <c r="O1869" i="1"/>
  <c r="N1987" i="1"/>
  <c r="O1987" i="1"/>
  <c r="O1984" i="1"/>
  <c r="N1984" i="1"/>
  <c r="N1829" i="1"/>
  <c r="O1829" i="1"/>
  <c r="N1777" i="1"/>
  <c r="O1777" i="1"/>
  <c r="N1779" i="1"/>
  <c r="O1779" i="1"/>
  <c r="N1767" i="1"/>
  <c r="O1767" i="1"/>
  <c r="O1765" i="1"/>
  <c r="N1765" i="1"/>
  <c r="N1770" i="1"/>
  <c r="O1770" i="1"/>
  <c r="N1809" i="1"/>
  <c r="O1809" i="1"/>
  <c r="O1836" i="1"/>
  <c r="N1836" i="1"/>
  <c r="O1839" i="1"/>
  <c r="N1839" i="1"/>
  <c r="O1806" i="1"/>
  <c r="N1806" i="1"/>
  <c r="N1834" i="1"/>
  <c r="O1834" i="1"/>
  <c r="O1786" i="1"/>
  <c r="N1786" i="1"/>
  <c r="N1832" i="1"/>
  <c r="O1832" i="1"/>
  <c r="N1769" i="1"/>
  <c r="O1769" i="1"/>
  <c r="N1781" i="1"/>
  <c r="O1781" i="1"/>
  <c r="O1681" i="1"/>
  <c r="N1681" i="1"/>
  <c r="O1699" i="1"/>
  <c r="N1699" i="1"/>
  <c r="O1728" i="1"/>
  <c r="N1728" i="1"/>
  <c r="O1708" i="1"/>
  <c r="N1708" i="1"/>
  <c r="O1668" i="1"/>
  <c r="N1668" i="1"/>
  <c r="O1657" i="1"/>
  <c r="N1657" i="1"/>
  <c r="N1650" i="1"/>
  <c r="O1650" i="1"/>
  <c r="O1683" i="1"/>
  <c r="N1683" i="1"/>
  <c r="O1688" i="1"/>
  <c r="N1688" i="1"/>
  <c r="O1729" i="1"/>
  <c r="N1729" i="1"/>
  <c r="N1749" i="1"/>
  <c r="O1749" i="1"/>
  <c r="O1716" i="1"/>
  <c r="N1716" i="1"/>
  <c r="O1655" i="1"/>
  <c r="N1655" i="1"/>
  <c r="O1646" i="1"/>
  <c r="N1646" i="1"/>
  <c r="O1692" i="1"/>
  <c r="N1692" i="1"/>
  <c r="O1177" i="1"/>
  <c r="M251" i="1"/>
  <c r="N1237" i="1"/>
  <c r="M393" i="1"/>
  <c r="N393" i="1" s="1"/>
  <c r="O1033" i="1"/>
  <c r="O1029" i="1"/>
  <c r="O1324" i="1"/>
  <c r="O1251" i="1"/>
  <c r="M555" i="1"/>
  <c r="M173" i="1"/>
  <c r="N173" i="1" s="1"/>
  <c r="O1339" i="1"/>
  <c r="N1362" i="1"/>
  <c r="O1198" i="1"/>
  <c r="O1179" i="1"/>
  <c r="N1443" i="1"/>
  <c r="O1443" i="1"/>
  <c r="N1222" i="1"/>
  <c r="M208" i="1"/>
  <c r="O208" i="1" s="1"/>
  <c r="O1022" i="1"/>
  <c r="O1069" i="1"/>
  <c r="O1318" i="1"/>
  <c r="N1358" i="1"/>
  <c r="N1106" i="1"/>
  <c r="O1105" i="1"/>
  <c r="N1501" i="1"/>
  <c r="N1101" i="1"/>
  <c r="O1360" i="1"/>
  <c r="N1390" i="1"/>
  <c r="N1347" i="1"/>
  <c r="O1386" i="1"/>
  <c r="N1420" i="1"/>
  <c r="O1607" i="1"/>
  <c r="N1640" i="1"/>
  <c r="O1640" i="1"/>
  <c r="O1613" i="1"/>
  <c r="N1613" i="1"/>
  <c r="N1500" i="1"/>
  <c r="O1500" i="1"/>
  <c r="O1623" i="1"/>
  <c r="O1635" i="1"/>
  <c r="N1635" i="1"/>
  <c r="N1193" i="1"/>
  <c r="O1193" i="1"/>
  <c r="O1519" i="1"/>
  <c r="N1519" i="1"/>
  <c r="O1540" i="1"/>
  <c r="N1540" i="1"/>
  <c r="N1617" i="1"/>
  <c r="O1617" i="1"/>
  <c r="O1474" i="1"/>
  <c r="N1474" i="1"/>
  <c r="N1478" i="1"/>
  <c r="O1478" i="1"/>
  <c r="O1378" i="1"/>
  <c r="N1170" i="1"/>
  <c r="O1414" i="1"/>
  <c r="M370" i="1"/>
  <c r="O370" i="1" s="1"/>
  <c r="N1017" i="1"/>
  <c r="O1107" i="1"/>
  <c r="O1100" i="1"/>
  <c r="N1204" i="1"/>
  <c r="N1405" i="1"/>
  <c r="O1405" i="1"/>
  <c r="M431" i="1"/>
  <c r="O1113" i="1"/>
  <c r="O1288" i="1"/>
  <c r="N1143" i="1"/>
  <c r="N1388" i="1"/>
  <c r="O1268" i="1"/>
  <c r="O1234" i="1"/>
  <c r="O1484" i="1"/>
  <c r="N1439" i="1"/>
  <c r="N1186" i="1"/>
  <c r="N1142" i="1"/>
  <c r="O1223" i="1"/>
  <c r="O1092" i="1"/>
  <c r="N1087" i="1"/>
  <c r="O1144" i="1"/>
  <c r="O1174" i="1"/>
  <c r="O1294" i="1"/>
  <c r="M231" i="1"/>
  <c r="M416" i="1"/>
  <c r="O1049" i="1"/>
  <c r="O1152" i="1"/>
  <c r="N1175" i="1"/>
  <c r="N1354" i="1"/>
  <c r="N1412" i="1"/>
  <c r="O1452" i="1"/>
  <c r="O1608" i="1"/>
  <c r="N1608" i="1"/>
  <c r="N1494" i="1"/>
  <c r="O1494" i="1"/>
  <c r="O1511" i="1"/>
  <c r="N1511" i="1"/>
  <c r="O1620" i="1"/>
  <c r="N1620" i="1"/>
  <c r="O1603" i="1"/>
  <c r="N1603" i="1"/>
  <c r="N1525" i="1"/>
  <c r="O1525" i="1"/>
  <c r="N1609" i="1"/>
  <c r="O1609" i="1"/>
  <c r="O1643" i="1"/>
  <c r="N1643" i="1"/>
  <c r="O1601" i="1"/>
  <c r="N1601" i="1"/>
  <c r="O1493" i="1"/>
  <c r="N1493" i="1"/>
  <c r="O1398" i="1"/>
  <c r="N1398" i="1"/>
  <c r="N1545" i="1"/>
  <c r="O1545" i="1"/>
  <c r="N1421" i="1"/>
  <c r="O1421" i="1"/>
  <c r="N1507" i="1"/>
  <c r="O1507" i="1"/>
  <c r="N1518" i="1"/>
  <c r="O1518" i="1"/>
  <c r="N1400" i="1"/>
  <c r="O1400" i="1"/>
  <c r="N1407" i="1"/>
  <c r="O1407" i="1"/>
  <c r="O1468" i="1"/>
  <c r="N1468" i="1"/>
  <c r="O1560" i="1"/>
  <c r="N1560" i="1"/>
  <c r="O1637" i="1"/>
  <c r="N1637" i="1"/>
  <c r="O1588" i="1"/>
  <c r="N1588" i="1"/>
  <c r="O1630" i="1"/>
  <c r="N1630" i="1"/>
  <c r="O1634" i="1"/>
  <c r="N1634" i="1"/>
  <c r="N1554" i="1"/>
  <c r="O1554" i="1"/>
  <c r="O1488" i="1"/>
  <c r="N1488" i="1"/>
  <c r="O1471" i="1"/>
  <c r="N1471" i="1"/>
  <c r="O1579" i="1"/>
  <c r="N1579" i="1"/>
  <c r="N1440" i="1"/>
  <c r="O1440" i="1"/>
  <c r="O1462" i="1"/>
  <c r="N1462" i="1"/>
  <c r="N1600" i="1"/>
  <c r="O1600" i="1"/>
  <c r="N1408" i="1"/>
  <c r="O1408" i="1"/>
  <c r="N1537" i="1"/>
  <c r="O1537" i="1"/>
  <c r="N1503" i="1"/>
  <c r="O1503" i="1"/>
  <c r="O1562" i="1"/>
  <c r="N1562" i="1"/>
  <c r="N1457" i="1"/>
  <c r="O1457" i="1"/>
  <c r="N1598" i="1"/>
  <c r="O1598" i="1"/>
  <c r="O1565" i="1"/>
  <c r="N1565" i="1"/>
  <c r="N1479" i="1"/>
  <c r="O1479" i="1"/>
  <c r="N1481" i="1"/>
  <c r="O1481" i="1"/>
  <c r="O1567" i="1"/>
  <c r="N1567" i="1"/>
  <c r="O1556" i="1"/>
  <c r="N1556" i="1"/>
  <c r="O1583" i="1"/>
  <c r="N1583" i="1"/>
  <c r="O1472" i="1"/>
  <c r="N1472" i="1"/>
  <c r="N1515" i="1"/>
  <c r="O1515" i="1"/>
  <c r="O1586" i="1"/>
  <c r="N1586" i="1"/>
  <c r="O1483" i="1"/>
  <c r="N1483" i="1"/>
  <c r="O1409" i="1"/>
  <c r="N1409" i="1"/>
  <c r="N1475" i="1"/>
  <c r="O1475" i="1"/>
  <c r="N1569" i="1"/>
  <c r="O1569" i="1"/>
  <c r="N1425" i="1"/>
  <c r="O1425" i="1"/>
  <c r="N1584" i="1"/>
  <c r="O1584" i="1"/>
  <c r="N1550" i="1"/>
  <c r="O1550" i="1"/>
  <c r="O1491" i="1"/>
  <c r="N1491" i="1"/>
  <c r="N1571" i="1"/>
  <c r="O1571" i="1"/>
  <c r="O1517" i="1"/>
  <c r="N1517" i="1"/>
  <c r="N1528" i="1"/>
  <c r="O1528" i="1"/>
  <c r="N1450" i="1"/>
  <c r="O1450" i="1"/>
  <c r="N1428" i="1"/>
  <c r="O1428" i="1"/>
  <c r="O1447" i="1"/>
  <c r="N1447" i="1"/>
  <c r="O1595" i="1"/>
  <c r="N1595" i="1"/>
  <c r="N1547" i="1"/>
  <c r="O1547" i="1"/>
  <c r="O1487" i="1"/>
  <c r="N1487" i="1"/>
  <c r="N1602" i="1"/>
  <c r="O1602" i="1"/>
  <c r="N1449" i="1"/>
  <c r="O1449" i="1"/>
  <c r="N1465" i="1"/>
  <c r="O1465" i="1"/>
  <c r="N1590" i="1"/>
  <c r="O1590" i="1"/>
  <c r="N1541" i="1"/>
  <c r="O1541" i="1"/>
  <c r="N1456" i="1"/>
  <c r="O1456" i="1"/>
  <c r="O1459" i="1"/>
  <c r="N1459" i="1"/>
  <c r="N1593" i="1"/>
  <c r="O1593" i="1"/>
  <c r="O1509" i="1"/>
  <c r="N1509" i="1"/>
  <c r="N1441" i="1"/>
  <c r="O1441" i="1"/>
  <c r="N1553" i="1"/>
  <c r="O1553" i="1"/>
  <c r="O1552" i="1"/>
  <c r="N1552" i="1"/>
  <c r="O1522" i="1"/>
  <c r="N1522" i="1"/>
  <c r="N1512" i="1"/>
  <c r="O1512" i="1"/>
  <c r="N1529" i="1"/>
  <c r="O1529" i="1"/>
  <c r="O1406" i="1"/>
  <c r="N1406" i="1"/>
  <c r="N1461" i="1"/>
  <c r="O1461" i="1"/>
  <c r="N1485" i="1"/>
  <c r="O1485" i="1"/>
  <c r="N1423" i="1"/>
  <c r="O1423" i="1"/>
  <c r="O1470" i="1"/>
  <c r="N1470" i="1"/>
  <c r="O1272" i="1"/>
  <c r="N1272" i="1"/>
  <c r="M174" i="1"/>
  <c r="M196" i="1"/>
  <c r="O196" i="1" s="1"/>
  <c r="M269" i="1"/>
  <c r="N1081" i="1"/>
  <c r="M176" i="1"/>
  <c r="O176" i="1" s="1"/>
  <c r="M203" i="1"/>
  <c r="M217" i="1"/>
  <c r="O1051" i="1"/>
  <c r="O1122" i="1"/>
  <c r="O1090" i="1"/>
  <c r="N1299" i="1"/>
  <c r="O1376" i="1"/>
  <c r="N1376" i="1"/>
  <c r="O1270" i="1"/>
  <c r="N1270" i="1"/>
  <c r="O1074" i="1"/>
  <c r="N1074" i="1"/>
  <c r="M235" i="1"/>
  <c r="M230" i="1"/>
  <c r="M283" i="1"/>
  <c r="O283" i="1" s="1"/>
  <c r="M209" i="1"/>
  <c r="M229" i="1"/>
  <c r="M331" i="1"/>
  <c r="O331" i="1" s="1"/>
  <c r="N1099" i="1"/>
  <c r="O1355" i="1"/>
  <c r="N1031" i="1"/>
  <c r="O1328" i="1"/>
  <c r="N1328" i="1"/>
  <c r="M319" i="1"/>
  <c r="O1262" i="1"/>
  <c r="N1262" i="1"/>
  <c r="O1283" i="1"/>
  <c r="N1283" i="1"/>
  <c r="O1359" i="1"/>
  <c r="N1359" i="1"/>
  <c r="O1364" i="1"/>
  <c r="N1364" i="1"/>
  <c r="O1343" i="1"/>
  <c r="N1343" i="1"/>
  <c r="N1392" i="1"/>
  <c r="O1392" i="1"/>
  <c r="O1349" i="1"/>
  <c r="N1349" i="1"/>
  <c r="N1391" i="1"/>
  <c r="O1391" i="1"/>
  <c r="M179" i="1"/>
  <c r="O179" i="1" s="1"/>
  <c r="O1200" i="1"/>
  <c r="N1200" i="1"/>
  <c r="O1369" i="1"/>
  <c r="N1369" i="1"/>
  <c r="O1206" i="1"/>
  <c r="N1206" i="1"/>
  <c r="M197" i="1"/>
  <c r="N516" i="1"/>
  <c r="O1115" i="1"/>
  <c r="O1136" i="1"/>
  <c r="N1184" i="1"/>
  <c r="O1184" i="1"/>
  <c r="N1242" i="1"/>
  <c r="O1242" i="1"/>
  <c r="O1211" i="1"/>
  <c r="N1211" i="1"/>
  <c r="O1374" i="1"/>
  <c r="N1374" i="1"/>
  <c r="O1322" i="1"/>
  <c r="N1322" i="1"/>
  <c r="N1309" i="1"/>
  <c r="O1309" i="1"/>
  <c r="O1337" i="1"/>
  <c r="N1337" i="1"/>
  <c r="N1162" i="1"/>
  <c r="O1162" i="1"/>
  <c r="N1235" i="1"/>
  <c r="O1235" i="1"/>
  <c r="O1285" i="1"/>
  <c r="N1285" i="1"/>
  <c r="N1024" i="1"/>
  <c r="O1024" i="1"/>
  <c r="N1078" i="1"/>
  <c r="O1078" i="1"/>
  <c r="O1368" i="1"/>
  <c r="N1368" i="1"/>
  <c r="O1250" i="1"/>
  <c r="N1250" i="1"/>
  <c r="O1023" i="1"/>
  <c r="N1023" i="1"/>
  <c r="O1273" i="1"/>
  <c r="N1273" i="1"/>
  <c r="O1372" i="1"/>
  <c r="N1372" i="1"/>
  <c r="O1387" i="1"/>
  <c r="N1387" i="1"/>
  <c r="M188" i="1"/>
  <c r="N188" i="1" s="1"/>
  <c r="M214" i="1"/>
  <c r="O214" i="1" s="1"/>
  <c r="M287" i="1"/>
  <c r="M311" i="1"/>
  <c r="O1108" i="1"/>
  <c r="N1108" i="1"/>
  <c r="O1156" i="1"/>
  <c r="N1156" i="1"/>
  <c r="O1243" i="1"/>
  <c r="N1243" i="1"/>
  <c r="N1348" i="1"/>
  <c r="O1348" i="1"/>
  <c r="N1327" i="1"/>
  <c r="O1327" i="1"/>
  <c r="O1227" i="1"/>
  <c r="N1227" i="1"/>
  <c r="M507" i="1"/>
  <c r="O507" i="1" s="1"/>
  <c r="N1093" i="1"/>
  <c r="O1134" i="1"/>
  <c r="O1302" i="1"/>
  <c r="N1302" i="1"/>
  <c r="N1363" i="1"/>
  <c r="N1279" i="1"/>
  <c r="O1279" i="1"/>
  <c r="O1333" i="1"/>
  <c r="N1333" i="1"/>
  <c r="N1261" i="1"/>
  <c r="O1261" i="1"/>
  <c r="O1210" i="1"/>
  <c r="N1210" i="1"/>
  <c r="N1231" i="1"/>
  <c r="O1231" i="1"/>
  <c r="N1340" i="1"/>
  <c r="O1340" i="1"/>
  <c r="O1375" i="1"/>
  <c r="N1375" i="1"/>
  <c r="N1173" i="1"/>
  <c r="O1173" i="1"/>
  <c r="O1199" i="1"/>
  <c r="N1199" i="1"/>
  <c r="N1203" i="1"/>
  <c r="O1203" i="1"/>
  <c r="O1189" i="1"/>
  <c r="N1189" i="1"/>
  <c r="O1137" i="1"/>
  <c r="N1137" i="1"/>
  <c r="O1296" i="1"/>
  <c r="N1296" i="1"/>
  <c r="N1032" i="1"/>
  <c r="N1306" i="1"/>
  <c r="O1306" i="1"/>
  <c r="N1380" i="1"/>
  <c r="O1380" i="1"/>
  <c r="N1382" i="1"/>
  <c r="O1382" i="1"/>
  <c r="N1057" i="1"/>
  <c r="O1057" i="1"/>
  <c r="N1082" i="1"/>
  <c r="O1082" i="1"/>
  <c r="N1094" i="1"/>
  <c r="O1094" i="1"/>
  <c r="N1125" i="1"/>
  <c r="O1125" i="1"/>
  <c r="O1095" i="1"/>
  <c r="N1095" i="1"/>
  <c r="O1124" i="1"/>
  <c r="N1124" i="1"/>
  <c r="N1135" i="1"/>
  <c r="O1135" i="1"/>
  <c r="O1149" i="1"/>
  <c r="N1149" i="1"/>
  <c r="O1248" i="1"/>
  <c r="N1248" i="1"/>
  <c r="N1267" i="1"/>
  <c r="O1267" i="1"/>
  <c r="N1330" i="1"/>
  <c r="O1330" i="1"/>
  <c r="O1226" i="1"/>
  <c r="N1226" i="1"/>
  <c r="N1244" i="1"/>
  <c r="O1244" i="1"/>
  <c r="O1278" i="1"/>
  <c r="N1278" i="1"/>
  <c r="N1086" i="1"/>
  <c r="O1086" i="1"/>
  <c r="O1103" i="1"/>
  <c r="N1103" i="1"/>
  <c r="N1151" i="1"/>
  <c r="O1151" i="1"/>
  <c r="O1118" i="1"/>
  <c r="N1118" i="1"/>
  <c r="N1282" i="1"/>
  <c r="O1282" i="1"/>
  <c r="N1298" i="1"/>
  <c r="O1298" i="1"/>
  <c r="N1350" i="1"/>
  <c r="O1350" i="1"/>
  <c r="N1325" i="1"/>
  <c r="O1325" i="1"/>
  <c r="N1361" i="1"/>
  <c r="O1361" i="1"/>
  <c r="N1104" i="1"/>
  <c r="O1104" i="1"/>
  <c r="N1133" i="1"/>
  <c r="O1133" i="1"/>
  <c r="N1385" i="1"/>
  <c r="O1385" i="1"/>
  <c r="N1335" i="1"/>
  <c r="O1335" i="1"/>
  <c r="N1080" i="1"/>
  <c r="O1080" i="1"/>
  <c r="N1163" i="1"/>
  <c r="O1163" i="1"/>
  <c r="N1147" i="1"/>
  <c r="O1147" i="1"/>
  <c r="O1238" i="1"/>
  <c r="N1238" i="1"/>
  <c r="N1192" i="1"/>
  <c r="O1192" i="1"/>
  <c r="O1253" i="1"/>
  <c r="N1253" i="1"/>
  <c r="O1181" i="1"/>
  <c r="N1181" i="1"/>
  <c r="O1331" i="1"/>
  <c r="N1331" i="1"/>
  <c r="N1379" i="1"/>
  <c r="O1379" i="1"/>
  <c r="N1229" i="1"/>
  <c r="O1229" i="1"/>
  <c r="N1045" i="1"/>
  <c r="O1045" i="1"/>
  <c r="N1098" i="1"/>
  <c r="O1098" i="1"/>
  <c r="O1275" i="1"/>
  <c r="N1275" i="1"/>
  <c r="N1187" i="1"/>
  <c r="O1187" i="1"/>
  <c r="O1209" i="1"/>
  <c r="N1209" i="1"/>
  <c r="N1277" i="1"/>
  <c r="O1277" i="1"/>
  <c r="N1367" i="1"/>
  <c r="O1367" i="1"/>
  <c r="N1291" i="1"/>
  <c r="O1291" i="1"/>
  <c r="N1303" i="1"/>
  <c r="O1303" i="1"/>
  <c r="O868" i="1"/>
  <c r="N868" i="1"/>
  <c r="N1061" i="1"/>
  <c r="O1061" i="1"/>
  <c r="N1037" i="1"/>
  <c r="O1037" i="1"/>
  <c r="N1159" i="1"/>
  <c r="O1159" i="1"/>
  <c r="O1160" i="1"/>
  <c r="N1160" i="1"/>
  <c r="O1138" i="1"/>
  <c r="N1138" i="1"/>
  <c r="O1139" i="1"/>
  <c r="N1139" i="1"/>
  <c r="O1171" i="1"/>
  <c r="N1171" i="1"/>
  <c r="N1197" i="1"/>
  <c r="O1197" i="1"/>
  <c r="O1166" i="1"/>
  <c r="N1166" i="1"/>
  <c r="N1207" i="1"/>
  <c r="O1207" i="1"/>
  <c r="N1290" i="1"/>
  <c r="O1290" i="1"/>
  <c r="O1266" i="1"/>
  <c r="N1266" i="1"/>
  <c r="O1153" i="1"/>
  <c r="N1153" i="1"/>
  <c r="N1345" i="1"/>
  <c r="O1345" i="1"/>
  <c r="N1315" i="1"/>
  <c r="O1315" i="1"/>
  <c r="N1300" i="1"/>
  <c r="O1300" i="1"/>
  <c r="N1271" i="1"/>
  <c r="O1271" i="1"/>
  <c r="N1219" i="1"/>
  <c r="O1219" i="1"/>
  <c r="N1063" i="1"/>
  <c r="O1063" i="1"/>
  <c r="N1088" i="1"/>
  <c r="O1088" i="1"/>
  <c r="N1168" i="1"/>
  <c r="O1168" i="1"/>
  <c r="N1185" i="1"/>
  <c r="O1185" i="1"/>
  <c r="N1221" i="1"/>
  <c r="O1221" i="1"/>
  <c r="O1254" i="1"/>
  <c r="N1254" i="1"/>
  <c r="N1213" i="1"/>
  <c r="O1213" i="1"/>
  <c r="N1043" i="1"/>
  <c r="O1043" i="1"/>
  <c r="O1110" i="1"/>
  <c r="N1110" i="1"/>
  <c r="N1140" i="1"/>
  <c r="O1140" i="1"/>
  <c r="N1240" i="1"/>
  <c r="O1240" i="1"/>
  <c r="O1178" i="1"/>
  <c r="N1178" i="1"/>
  <c r="N1356" i="1"/>
  <c r="O1356" i="1"/>
  <c r="O1305" i="1"/>
  <c r="N1305" i="1"/>
  <c r="N1371" i="1"/>
  <c r="O1371" i="1"/>
  <c r="N1352" i="1"/>
  <c r="O1352" i="1"/>
  <c r="N1224" i="1"/>
  <c r="O1224" i="1"/>
  <c r="O1097" i="1"/>
  <c r="N1097" i="1"/>
  <c r="N1150" i="1"/>
  <c r="O1150" i="1"/>
  <c r="N1195" i="1"/>
  <c r="O1195" i="1"/>
  <c r="N1316" i="1"/>
  <c r="O1316" i="1"/>
  <c r="O1214" i="1"/>
  <c r="N1214" i="1"/>
  <c r="O1287" i="1"/>
  <c r="N1287" i="1"/>
  <c r="N1252" i="1"/>
  <c r="O1252" i="1"/>
  <c r="O1233" i="1"/>
  <c r="N1233" i="1"/>
  <c r="N1263" i="1"/>
  <c r="O1263" i="1"/>
  <c r="N1161" i="1"/>
  <c r="O1161" i="1"/>
  <c r="O1132" i="1"/>
  <c r="N1132" i="1"/>
  <c r="O1194" i="1"/>
  <c r="N1194" i="1"/>
  <c r="O1165" i="1"/>
  <c r="N1165" i="1"/>
  <c r="N1202" i="1"/>
  <c r="O1202" i="1"/>
  <c r="O1236" i="1"/>
  <c r="N1236" i="1"/>
  <c r="O1259" i="1"/>
  <c r="N1259" i="1"/>
  <c r="N1055" i="1"/>
  <c r="O1055" i="1"/>
  <c r="O1039" i="1"/>
  <c r="N1039" i="1"/>
  <c r="O1091" i="1"/>
  <c r="N1091" i="1"/>
  <c r="O1141" i="1"/>
  <c r="N1141" i="1"/>
  <c r="N1205" i="1"/>
  <c r="O1205" i="1"/>
  <c r="N1190" i="1"/>
  <c r="O1190" i="1"/>
  <c r="N1332" i="1"/>
  <c r="O1332" i="1"/>
  <c r="O1230" i="1"/>
  <c r="N1230" i="1"/>
  <c r="N1245" i="1"/>
  <c r="O1245" i="1"/>
  <c r="N1269" i="1"/>
  <c r="O1269" i="1"/>
  <c r="N1308" i="1"/>
  <c r="O1308" i="1"/>
  <c r="O1155" i="1"/>
  <c r="N1155" i="1"/>
  <c r="O1216" i="1"/>
  <c r="N1216" i="1"/>
  <c r="N1260" i="1"/>
  <c r="O1260" i="1"/>
  <c r="N1183" i="1"/>
  <c r="O1183" i="1"/>
  <c r="O1241" i="1"/>
  <c r="N1241" i="1"/>
  <c r="N1265" i="1"/>
  <c r="O1265" i="1"/>
  <c r="N1342" i="1"/>
  <c r="O1342" i="1"/>
  <c r="N1338" i="1"/>
  <c r="O1338" i="1"/>
  <c r="N1313" i="1"/>
  <c r="O1313" i="1"/>
  <c r="O1027" i="1"/>
  <c r="N1027" i="1"/>
  <c r="N1028" i="1"/>
  <c r="O1028" i="1"/>
  <c r="M234" i="1"/>
  <c r="M321" i="1"/>
  <c r="M222" i="1"/>
  <c r="M451" i="1"/>
  <c r="M452" i="1"/>
  <c r="M238" i="1"/>
  <c r="O238" i="1" s="1"/>
  <c r="M443" i="1"/>
  <c r="N443" i="1" s="1"/>
  <c r="M190" i="1"/>
  <c r="M171" i="1"/>
  <c r="O171" i="1" s="1"/>
  <c r="M187" i="1"/>
  <c r="M199" i="1"/>
  <c r="O199" i="1" s="1"/>
  <c r="M240" i="1"/>
  <c r="O240" i="1" s="1"/>
  <c r="M322" i="1"/>
  <c r="M200" i="1"/>
  <c r="M178" i="1"/>
  <c r="N178" i="1" s="1"/>
  <c r="M245" i="1"/>
  <c r="M551" i="1"/>
  <c r="O551" i="1" s="1"/>
  <c r="M239" i="1"/>
  <c r="O239" i="1" s="1"/>
  <c r="M417" i="1"/>
  <c r="M389" i="1"/>
  <c r="M253" i="1"/>
  <c r="O253" i="1" s="1"/>
  <c r="M480" i="1"/>
  <c r="M186" i="1"/>
  <c r="M248" i="1"/>
  <c r="O248" i="1" s="1"/>
  <c r="M320" i="1"/>
  <c r="M428" i="1"/>
  <c r="N428" i="1" s="1"/>
  <c r="M364" i="1"/>
  <c r="O364" i="1" s="1"/>
  <c r="M411" i="1"/>
  <c r="N411" i="1" s="1"/>
  <c r="M326" i="1"/>
  <c r="O326" i="1" s="1"/>
  <c r="M340" i="1"/>
  <c r="M354" i="1"/>
  <c r="M281" i="1"/>
  <c r="M388" i="1"/>
  <c r="O388" i="1" s="1"/>
  <c r="M383" i="1"/>
  <c r="M510" i="1"/>
  <c r="N510" i="1" s="1"/>
  <c r="M213" i="1"/>
  <c r="O213" i="1" s="1"/>
  <c r="M247" i="1"/>
  <c r="O247" i="1" s="1"/>
  <c r="M268" i="1"/>
  <c r="M410" i="1"/>
  <c r="M290" i="1"/>
  <c r="O290" i="1" s="1"/>
  <c r="M456" i="1"/>
  <c r="O456" i="1" s="1"/>
  <c r="M531" i="1"/>
  <c r="O531" i="1" s="1"/>
  <c r="M221" i="1"/>
  <c r="M263" i="1"/>
  <c r="M353" i="1"/>
  <c r="N353" i="1" s="1"/>
  <c r="M450" i="1"/>
  <c r="M448" i="1"/>
  <c r="O448" i="1" s="1"/>
  <c r="M259" i="1"/>
  <c r="O259" i="1" s="1"/>
  <c r="M285" i="1"/>
  <c r="M483" i="1"/>
  <c r="M552" i="1"/>
  <c r="O552" i="1" s="1"/>
  <c r="M504" i="1"/>
  <c r="N504" i="1" s="1"/>
  <c r="M338" i="1"/>
  <c r="M264" i="1"/>
  <c r="O264" i="1" s="1"/>
  <c r="M401" i="1"/>
  <c r="N401" i="1" s="1"/>
  <c r="M419" i="1"/>
  <c r="N419" i="1" s="1"/>
  <c r="M495" i="1"/>
  <c r="N495" i="1" s="1"/>
  <c r="M513" i="1"/>
  <c r="M380" i="1"/>
  <c r="M997" i="1"/>
  <c r="M911" i="1"/>
  <c r="M409" i="1"/>
  <c r="M449" i="1"/>
  <c r="O449" i="1" s="1"/>
  <c r="M365" i="1"/>
  <c r="N365" i="1" s="1"/>
  <c r="M542" i="1"/>
  <c r="O542" i="1" s="1"/>
  <c r="M592" i="1"/>
  <c r="M985" i="1"/>
  <c r="M861" i="1"/>
  <c r="N861" i="1" s="1"/>
  <c r="M246" i="1"/>
  <c r="O246" i="1" s="1"/>
  <c r="M250" i="1"/>
  <c r="M327" i="1"/>
  <c r="N327" i="1" s="1"/>
  <c r="M465" i="1"/>
  <c r="O465" i="1" s="1"/>
  <c r="M529" i="1"/>
  <c r="M492" i="1"/>
  <c r="M880" i="1"/>
  <c r="N880" i="1" s="1"/>
  <c r="M601" i="1"/>
  <c r="N601" i="1" s="1"/>
  <c r="M505" i="1"/>
  <c r="N505" i="1" s="1"/>
  <c r="M520" i="1"/>
  <c r="M300" i="1"/>
  <c r="M260" i="1"/>
  <c r="N260" i="1" s="1"/>
  <c r="M477" i="1"/>
  <c r="M459" i="1"/>
  <c r="M394" i="1"/>
  <c r="N394" i="1" s="1"/>
  <c r="M523" i="1"/>
  <c r="N523" i="1" s="1"/>
  <c r="M257" i="1"/>
  <c r="M508" i="1"/>
  <c r="M794" i="1"/>
  <c r="M874" i="1"/>
  <c r="M314" i="1"/>
  <c r="O314" i="1" s="1"/>
  <c r="M386" i="1"/>
  <c r="M357" i="1"/>
  <c r="M289" i="1"/>
  <c r="M310" i="1"/>
  <c r="M318" i="1"/>
  <c r="M538" i="1"/>
  <c r="N538" i="1" s="1"/>
  <c r="M679" i="1"/>
  <c r="O679" i="1" s="1"/>
  <c r="M699" i="1"/>
  <c r="M565" i="1"/>
  <c r="N565" i="1" s="1"/>
  <c r="M621" i="1"/>
  <c r="M615" i="1"/>
  <c r="M613" i="1"/>
  <c r="M893" i="1"/>
  <c r="M691" i="1"/>
  <c r="M624" i="1"/>
  <c r="N624" i="1" s="1"/>
  <c r="M685" i="1"/>
  <c r="M642" i="1"/>
  <c r="M654" i="1"/>
  <c r="M608" i="1"/>
  <c r="N608" i="1" s="1"/>
  <c r="M661" i="1"/>
  <c r="M668" i="1"/>
  <c r="M614" i="1"/>
  <c r="M585" i="1"/>
  <c r="N585" i="1" s="1"/>
  <c r="M804" i="1"/>
  <c r="M755" i="1"/>
  <c r="M793" i="1"/>
  <c r="M730" i="1"/>
  <c r="M715" i="1"/>
  <c r="M892" i="1"/>
  <c r="N892" i="1" s="1"/>
  <c r="M938" i="1"/>
  <c r="M877" i="1"/>
  <c r="M824" i="1"/>
  <c r="M974" i="1"/>
  <c r="N974" i="1" s="1"/>
  <c r="M965" i="1"/>
  <c r="N965" i="1" s="1"/>
  <c r="M886" i="1"/>
  <c r="M560" i="1"/>
  <c r="N560" i="1" s="1"/>
  <c r="M628" i="1"/>
  <c r="N628" i="1" s="1"/>
  <c r="M603" i="1"/>
  <c r="M581" i="1"/>
  <c r="M762" i="1"/>
  <c r="M850" i="1"/>
  <c r="M837" i="1"/>
  <c r="O837" i="1" s="1"/>
  <c r="M564" i="1"/>
  <c r="O564" i="1" s="1"/>
  <c r="M798" i="1"/>
  <c r="N798" i="1" s="1"/>
  <c r="M983" i="1"/>
  <c r="N983" i="1" s="1"/>
  <c r="M683" i="1"/>
  <c r="N683" i="1" s="1"/>
  <c r="M701" i="1"/>
  <c r="M594" i="1"/>
  <c r="N594" i="1" s="1"/>
  <c r="M800" i="1"/>
  <c r="N800" i="1" s="1"/>
  <c r="M748" i="1"/>
  <c r="N748" i="1" s="1"/>
  <c r="M733" i="1"/>
  <c r="N733" i="1" s="1"/>
  <c r="M740" i="1"/>
  <c r="M757" i="1"/>
  <c r="P643" i="1"/>
  <c r="M643" i="1"/>
  <c r="N643" i="1" s="1"/>
  <c r="P898" i="1"/>
  <c r="M898" i="1"/>
  <c r="N898" i="1" s="1"/>
  <c r="M647" i="1"/>
  <c r="M600" i="1"/>
  <c r="M743" i="1"/>
  <c r="M801" i="1"/>
  <c r="O801" i="1" s="1"/>
  <c r="P814" i="1"/>
  <c r="M814" i="1"/>
  <c r="N814" i="1" s="1"/>
  <c r="M623" i="1"/>
  <c r="O623" i="1" s="1"/>
  <c r="M580" i="1"/>
  <c r="M672" i="1"/>
  <c r="M579" i="1"/>
  <c r="O579" i="1" s="1"/>
  <c r="P578" i="1"/>
  <c r="M578" i="1"/>
  <c r="M890" i="1"/>
  <c r="M1016" i="1"/>
  <c r="O1031" i="1" s="1"/>
  <c r="M995" i="1"/>
  <c r="M1003" i="1"/>
  <c r="O1003" i="1" s="1"/>
  <c r="M998" i="1"/>
  <c r="M958" i="1"/>
  <c r="N958" i="1" s="1"/>
  <c r="M977" i="1"/>
  <c r="O977" i="1" s="1"/>
  <c r="M854" i="1"/>
  <c r="N854" i="1" s="1"/>
  <c r="M817" i="1"/>
  <c r="M862" i="1"/>
  <c r="M902" i="1"/>
  <c r="M829" i="1"/>
  <c r="M1000" i="1"/>
  <c r="M666" i="1"/>
  <c r="M566" i="1"/>
  <c r="O566" i="1" s="1"/>
  <c r="M665" i="1"/>
  <c r="M811" i="1"/>
  <c r="M722" i="1"/>
  <c r="M698" i="1"/>
  <c r="O698" i="1" s="1"/>
  <c r="M607" i="1"/>
  <c r="N607" i="1" s="1"/>
  <c r="M587" i="1"/>
  <c r="N587" i="1" s="1"/>
  <c r="M671" i="1"/>
  <c r="M638" i="1"/>
  <c r="N638" i="1" s="1"/>
  <c r="M609" i="1"/>
  <c r="M582" i="1"/>
  <c r="N582" i="1" s="1"/>
  <c r="M652" i="1"/>
  <c r="N652" i="1" s="1"/>
  <c r="M680" i="1"/>
  <c r="M604" i="1"/>
  <c r="M703" i="1"/>
  <c r="O703" i="1" s="1"/>
  <c r="M605" i="1"/>
  <c r="M745" i="1"/>
  <c r="M790" i="1"/>
  <c r="N790" i="1" s="1"/>
  <c r="P869" i="1"/>
  <c r="M869" i="1"/>
  <c r="P833" i="1"/>
  <c r="M833" i="1"/>
  <c r="N833" i="1" s="1"/>
  <c r="P976" i="1"/>
  <c r="M976" i="1"/>
  <c r="P968" i="1"/>
  <c r="M968" i="1"/>
  <c r="P937" i="1"/>
  <c r="M937" i="1"/>
  <c r="P899" i="1"/>
  <c r="M899" i="1"/>
  <c r="P990" i="1"/>
  <c r="M990" i="1"/>
  <c r="P825" i="1"/>
  <c r="M825" i="1"/>
  <c r="P849" i="1"/>
  <c r="M849" i="1"/>
  <c r="P894" i="1"/>
  <c r="M894" i="1"/>
  <c r="P878" i="1"/>
  <c r="M878" i="1"/>
  <c r="N878" i="1" s="1"/>
  <c r="P821" i="1"/>
  <c r="M821" i="1"/>
  <c r="O821" i="1" s="1"/>
  <c r="P805" i="1"/>
  <c r="M805" i="1"/>
  <c r="P807" i="1"/>
  <c r="M807" i="1"/>
  <c r="P781" i="1"/>
  <c r="M781" i="1"/>
  <c r="P799" i="1"/>
  <c r="M799" i="1"/>
  <c r="P716" i="1"/>
  <c r="M716" i="1"/>
  <c r="P795" i="1"/>
  <c r="M795" i="1"/>
  <c r="P780" i="1"/>
  <c r="M780" i="1"/>
  <c r="P586" i="1"/>
  <c r="M586" i="1"/>
  <c r="P561" i="1"/>
  <c r="M561" i="1"/>
  <c r="P558" i="1"/>
  <c r="M558" i="1"/>
  <c r="N558" i="1" s="1"/>
  <c r="P597" i="1"/>
  <c r="M597" i="1"/>
  <c r="P686" i="1"/>
  <c r="M686" i="1"/>
  <c r="P669" i="1"/>
  <c r="M669" i="1"/>
  <c r="N669" i="1" s="1"/>
  <c r="P617" i="1"/>
  <c r="M617" i="1"/>
  <c r="P575" i="1"/>
  <c r="M575" i="1"/>
  <c r="O575" i="1" s="1"/>
  <c r="P702" i="1"/>
  <c r="M702" i="1"/>
  <c r="N702" i="1" s="1"/>
  <c r="P689" i="1"/>
  <c r="M689" i="1"/>
  <c r="P577" i="1"/>
  <c r="M577" i="1"/>
  <c r="P670" i="1"/>
  <c r="M670" i="1"/>
  <c r="O670" i="1" s="1"/>
  <c r="P606" i="1"/>
  <c r="M606" i="1"/>
  <c r="N606" i="1" s="1"/>
  <c r="P658" i="1"/>
  <c r="M658" i="1"/>
  <c r="N658" i="1" s="1"/>
  <c r="P550" i="1"/>
  <c r="M550" i="1"/>
  <c r="N550" i="1" s="1"/>
  <c r="P544" i="1"/>
  <c r="M544" i="1"/>
  <c r="N544" i="1" s="1"/>
  <c r="P440" i="1"/>
  <c r="M440" i="1"/>
  <c r="P377" i="1"/>
  <c r="M377" i="1"/>
  <c r="O377" i="1" s="1"/>
  <c r="P308" i="1"/>
  <c r="M308" i="1"/>
  <c r="P304" i="1"/>
  <c r="M304" i="1"/>
  <c r="P219" i="1"/>
  <c r="M219" i="1"/>
  <c r="O219" i="1" s="1"/>
  <c r="P207" i="1"/>
  <c r="M207" i="1"/>
  <c r="N207" i="1" s="1"/>
  <c r="P191" i="1"/>
  <c r="M191" i="1"/>
  <c r="O191" i="1" s="1"/>
  <c r="M262" i="1"/>
  <c r="O262" i="1" s="1"/>
  <c r="P557" i="1"/>
  <c r="M557" i="1"/>
  <c r="P634" i="1"/>
  <c r="M634" i="1"/>
  <c r="P639" i="1"/>
  <c r="M639" i="1"/>
  <c r="P627" i="1"/>
  <c r="M627" i="1"/>
  <c r="P645" i="1"/>
  <c r="M645" i="1"/>
  <c r="N645" i="1" s="1"/>
  <c r="P596" i="1"/>
  <c r="M596" i="1"/>
  <c r="P583" i="1"/>
  <c r="M583" i="1"/>
  <c r="O583" i="1" s="1"/>
  <c r="P541" i="1"/>
  <c r="M541" i="1"/>
  <c r="N541" i="1" s="1"/>
  <c r="P345" i="1"/>
  <c r="M345" i="1"/>
  <c r="N345" i="1" s="1"/>
  <c r="P313" i="1"/>
  <c r="M313" i="1"/>
  <c r="P284" i="1"/>
  <c r="M284" i="1"/>
  <c r="O284" i="1" s="1"/>
  <c r="P243" i="1"/>
  <c r="M243" i="1"/>
  <c r="N243" i="1" s="1"/>
  <c r="P224" i="1"/>
  <c r="M224" i="1"/>
  <c r="P718" i="1"/>
  <c r="M718" i="1"/>
  <c r="P792" i="1"/>
  <c r="M792" i="1"/>
  <c r="P664" i="1"/>
  <c r="M664" i="1"/>
  <c r="N664" i="1" s="1"/>
  <c r="P610" i="1"/>
  <c r="M610" i="1"/>
  <c r="O610" i="1" s="1"/>
  <c r="P588" i="1"/>
  <c r="M588" i="1"/>
  <c r="N588" i="1" s="1"/>
  <c r="P599" i="1"/>
  <c r="M599" i="1"/>
  <c r="N599" i="1" s="1"/>
  <c r="M237" i="1"/>
  <c r="O237" i="1" s="1"/>
  <c r="M233" i="1"/>
  <c r="O233" i="1" s="1"/>
  <c r="M396" i="1"/>
  <c r="M414" i="1"/>
  <c r="O414" i="1" s="1"/>
  <c r="P720" i="1"/>
  <c r="M720" i="1"/>
  <c r="N720" i="1" s="1"/>
  <c r="M256" i="1"/>
  <c r="M406" i="1"/>
  <c r="M464" i="1"/>
  <c r="M369" i="1"/>
  <c r="N369" i="1" s="1"/>
  <c r="M662" i="1"/>
  <c r="O662" i="1" s="1"/>
  <c r="P620" i="1"/>
  <c r="M620" i="1"/>
  <c r="O620" i="1" s="1"/>
  <c r="P584" i="1"/>
  <c r="M584" i="1"/>
  <c r="P635" i="1"/>
  <c r="M635" i="1"/>
  <c r="N635" i="1" s="1"/>
  <c r="P675" i="1"/>
  <c r="M675" i="1"/>
  <c r="P682" i="1"/>
  <c r="M682" i="1"/>
  <c r="N682" i="1" s="1"/>
  <c r="P687" i="1"/>
  <c r="M687" i="1"/>
  <c r="P765" i="1"/>
  <c r="M765" i="1"/>
  <c r="P741" i="1"/>
  <c r="M741" i="1"/>
  <c r="N741" i="1" s="1"/>
  <c r="M756" i="1"/>
  <c r="O756" i="1" s="1"/>
  <c r="P815" i="1"/>
  <c r="M815" i="1"/>
  <c r="N815" i="1" s="1"/>
  <c r="P951" i="1"/>
  <c r="M951" i="1"/>
  <c r="O951" i="1" s="1"/>
  <c r="P848" i="1"/>
  <c r="M848" i="1"/>
  <c r="P845" i="1"/>
  <c r="M845" i="1"/>
  <c r="N845" i="1" s="1"/>
  <c r="P1005" i="1"/>
  <c r="M1005" i="1"/>
  <c r="P919" i="1"/>
  <c r="M919" i="1"/>
  <c r="N919" i="1" s="1"/>
  <c r="P889" i="1"/>
  <c r="M889" i="1"/>
  <c r="P980" i="1"/>
  <c r="M980" i="1"/>
  <c r="P813" i="1"/>
  <c r="M813" i="1"/>
  <c r="O813" i="1" s="1"/>
  <c r="P857" i="1"/>
  <c r="M857" i="1"/>
  <c r="P562" i="1"/>
  <c r="M562" i="1"/>
  <c r="O562" i="1" s="1"/>
  <c r="P728" i="1"/>
  <c r="M728" i="1"/>
  <c r="P926" i="1"/>
  <c r="M926" i="1"/>
  <c r="P866" i="1"/>
  <c r="M866" i="1"/>
  <c r="P923" i="1"/>
  <c r="M923" i="1"/>
  <c r="P770" i="1"/>
  <c r="M770" i="1"/>
  <c r="P1007" i="1"/>
  <c r="M1007" i="1"/>
  <c r="N1007" i="1" s="1"/>
  <c r="P831" i="1"/>
  <c r="M831" i="1"/>
  <c r="N831" i="1" s="1"/>
  <c r="P879" i="1"/>
  <c r="M879" i="1"/>
  <c r="P953" i="1"/>
  <c r="M953" i="1"/>
  <c r="O953" i="1" s="1"/>
  <c r="P1009" i="1"/>
  <c r="M1009" i="1"/>
  <c r="O1009" i="1" s="1"/>
  <c r="P830" i="1"/>
  <c r="M830" i="1"/>
  <c r="N830" i="1" s="1"/>
  <c r="P993" i="1"/>
  <c r="M993" i="1"/>
  <c r="P912" i="1"/>
  <c r="M912" i="1"/>
  <c r="P834" i="1"/>
  <c r="M834" i="1"/>
  <c r="N834" i="1" s="1"/>
  <c r="P859" i="1"/>
  <c r="M859" i="1"/>
  <c r="P960" i="1"/>
  <c r="M960" i="1"/>
  <c r="M884" i="1"/>
  <c r="N884" i="1" s="1"/>
  <c r="M871" i="1"/>
  <c r="N871" i="1" s="1"/>
  <c r="M822" i="1"/>
  <c r="N822" i="1" s="1"/>
  <c r="M967" i="1"/>
  <c r="P828" i="1"/>
  <c r="M828" i="1"/>
  <c r="N828" i="1" s="1"/>
  <c r="M979" i="1"/>
  <c r="P970" i="1"/>
  <c r="M970" i="1"/>
  <c r="M918" i="1"/>
  <c r="N918" i="1" s="1"/>
  <c r="M936" i="1"/>
  <c r="M875" i="1"/>
  <c r="M673" i="1"/>
  <c r="N673" i="1" s="1"/>
  <c r="P673" i="1"/>
  <c r="M690" i="1"/>
  <c r="N690" i="1" s="1"/>
  <c r="P690" i="1"/>
  <c r="M576" i="1"/>
  <c r="N576" i="1" s="1"/>
  <c r="P576" i="1"/>
  <c r="M569" i="1"/>
  <c r="O569" i="1" s="1"/>
  <c r="P569" i="1"/>
  <c r="M663" i="1"/>
  <c r="P663" i="1"/>
  <c r="M630" i="1"/>
  <c r="P630" i="1"/>
  <c r="M637" i="1"/>
  <c r="O637" i="1" s="1"/>
  <c r="P637" i="1"/>
  <c r="M568" i="1"/>
  <c r="N568" i="1" s="1"/>
  <c r="P568" i="1"/>
  <c r="M589" i="1"/>
  <c r="P589" i="1"/>
  <c r="M644" i="1"/>
  <c r="N644" i="1" s="1"/>
  <c r="P644" i="1"/>
  <c r="M667" i="1"/>
  <c r="O667" i="1" s="1"/>
  <c r="P667" i="1"/>
  <c r="M625" i="1"/>
  <c r="N625" i="1" s="1"/>
  <c r="P625" i="1"/>
  <c r="M632" i="1"/>
  <c r="N632" i="1" s="1"/>
  <c r="P632" i="1"/>
  <c r="M697" i="1"/>
  <c r="P697" i="1"/>
  <c r="M695" i="1"/>
  <c r="P695" i="1"/>
  <c r="M570" i="1"/>
  <c r="O570" i="1" s="1"/>
  <c r="P570" i="1"/>
  <c r="M707" i="1"/>
  <c r="P707" i="1"/>
  <c r="M693" i="1"/>
  <c r="O693" i="1" s="1"/>
  <c r="P693" i="1"/>
  <c r="M660" i="1"/>
  <c r="N660" i="1" s="1"/>
  <c r="P660" i="1"/>
  <c r="M574" i="1"/>
  <c r="N574" i="1" s="1"/>
  <c r="P574" i="1"/>
  <c r="M611" i="1"/>
  <c r="P611" i="1"/>
  <c r="M204" i="1"/>
  <c r="O204" i="1" s="1"/>
  <c r="P204" i="1"/>
  <c r="M616" i="1"/>
  <c r="P616" i="1"/>
  <c r="M567" i="1"/>
  <c r="N567" i="1" s="1"/>
  <c r="P567" i="1"/>
  <c r="M590" i="1"/>
  <c r="N590" i="1" s="1"/>
  <c r="P590" i="1"/>
  <c r="M571" i="1"/>
  <c r="N571" i="1" s="1"/>
  <c r="P571" i="1"/>
  <c r="M694" i="1"/>
  <c r="N694" i="1" s="1"/>
  <c r="P694" i="1"/>
  <c r="M688" i="1"/>
  <c r="P688" i="1"/>
  <c r="M708" i="1"/>
  <c r="P708" i="1"/>
  <c r="M656" i="1"/>
  <c r="N656" i="1" s="1"/>
  <c r="P656" i="1"/>
  <c r="M704" i="1"/>
  <c r="O704" i="1" s="1"/>
  <c r="P704" i="1"/>
  <c r="M602" i="1"/>
  <c r="P602" i="1"/>
  <c r="M633" i="1"/>
  <c r="P633" i="1"/>
  <c r="M563" i="1"/>
  <c r="N563" i="1" s="1"/>
  <c r="P563" i="1"/>
  <c r="M676" i="1"/>
  <c r="O676" i="1" s="1"/>
  <c r="P676" i="1"/>
  <c r="M684" i="1"/>
  <c r="P684" i="1"/>
  <c r="M705" i="1"/>
  <c r="O705" i="1" s="1"/>
  <c r="P705" i="1"/>
  <c r="M677" i="1"/>
  <c r="P677" i="1"/>
  <c r="M553" i="1"/>
  <c r="P553" i="1"/>
  <c r="M548" i="1"/>
  <c r="P548" i="1"/>
  <c r="M525" i="1"/>
  <c r="N525" i="1" s="1"/>
  <c r="P525" i="1"/>
  <c r="M521" i="1"/>
  <c r="O521" i="1" s="1"/>
  <c r="P521" i="1"/>
  <c r="M515" i="1"/>
  <c r="O515" i="1" s="1"/>
  <c r="P515" i="1"/>
  <c r="M490" i="1"/>
  <c r="P490" i="1"/>
  <c r="M471" i="1"/>
  <c r="P471" i="1"/>
  <c r="M468" i="1"/>
  <c r="N468" i="1" s="1"/>
  <c r="P468" i="1"/>
  <c r="M462" i="1"/>
  <c r="N462" i="1" s="1"/>
  <c r="P462" i="1"/>
  <c r="M445" i="1"/>
  <c r="P445" i="1"/>
  <c r="M412" i="1"/>
  <c r="N412" i="1" s="1"/>
  <c r="P412" i="1"/>
  <c r="M342" i="1"/>
  <c r="N342" i="1" s="1"/>
  <c r="P342" i="1"/>
  <c r="M306" i="1"/>
  <c r="P306" i="1"/>
  <c r="M297" i="1"/>
  <c r="O297" i="1" s="1"/>
  <c r="P297" i="1"/>
  <c r="M280" i="1"/>
  <c r="P280" i="1"/>
  <c r="M278" i="1"/>
  <c r="P278" i="1"/>
  <c r="M258" i="1"/>
  <c r="O258" i="1" s="1"/>
  <c r="P258" i="1"/>
  <c r="M254" i="1"/>
  <c r="P254" i="1"/>
  <c r="M228" i="1"/>
  <c r="P228" i="1"/>
  <c r="M226" i="1"/>
  <c r="O226" i="1" s="1"/>
  <c r="P226" i="1"/>
  <c r="M198" i="1"/>
  <c r="O198" i="1" s="1"/>
  <c r="P198" i="1"/>
  <c r="M183" i="1"/>
  <c r="P183" i="1"/>
  <c r="M181" i="1"/>
  <c r="O181" i="1" s="1"/>
  <c r="P181" i="1"/>
  <c r="M784" i="1"/>
  <c r="N784" i="1" s="1"/>
  <c r="P784" i="1"/>
  <c r="M760" i="1"/>
  <c r="N760" i="1" s="1"/>
  <c r="P760" i="1"/>
  <c r="M735" i="1"/>
  <c r="O735" i="1" s="1"/>
  <c r="P735" i="1"/>
  <c r="M742" i="1"/>
  <c r="P742" i="1"/>
  <c r="M806" i="1"/>
  <c r="N806" i="1" s="1"/>
  <c r="P806" i="1"/>
  <c r="M732" i="1"/>
  <c r="P732" i="1"/>
  <c r="M749" i="1"/>
  <c r="P749" i="1"/>
  <c r="M808" i="1"/>
  <c r="N808" i="1" s="1"/>
  <c r="P808" i="1"/>
  <c r="M812" i="1"/>
  <c r="O812" i="1" s="1"/>
  <c r="P812" i="1"/>
  <c r="M772" i="1"/>
  <c r="P772" i="1"/>
  <c r="M802" i="1"/>
  <c r="P802" i="1"/>
  <c r="M782" i="1"/>
  <c r="O782" i="1" s="1"/>
  <c r="P782" i="1"/>
  <c r="M750" i="1"/>
  <c r="N750" i="1" s="1"/>
  <c r="P750" i="1"/>
  <c r="M797" i="1"/>
  <c r="P797" i="1"/>
  <c r="M739" i="1"/>
  <c r="N739" i="1" s="1"/>
  <c r="P739" i="1"/>
  <c r="M791" i="1"/>
  <c r="N791" i="1" s="1"/>
  <c r="P791" i="1"/>
  <c r="M778" i="1"/>
  <c r="P778" i="1"/>
  <c r="M766" i="1"/>
  <c r="N766" i="1" s="1"/>
  <c r="P766" i="1"/>
  <c r="M769" i="1"/>
  <c r="N769" i="1" s="1"/>
  <c r="P769" i="1"/>
  <c r="M764" i="1"/>
  <c r="P764" i="1"/>
  <c r="M803" i="1"/>
  <c r="O803" i="1" s="1"/>
  <c r="P803" i="1"/>
  <c r="M771" i="1"/>
  <c r="N771" i="1" s="1"/>
  <c r="P771" i="1"/>
  <c r="M714" i="1"/>
  <c r="O714" i="1" s="1"/>
  <c r="P714" i="1"/>
  <c r="M717" i="1"/>
  <c r="P717" i="1"/>
  <c r="M738" i="1"/>
  <c r="N738" i="1" s="1"/>
  <c r="P738" i="1"/>
  <c r="P932" i="1"/>
  <c r="M932" i="1"/>
  <c r="O932" i="1" s="1"/>
  <c r="M925" i="1"/>
  <c r="O925" i="1" s="1"/>
  <c r="P925" i="1"/>
  <c r="M725" i="1"/>
  <c r="P725" i="1"/>
  <c r="M996" i="1"/>
  <c r="P996" i="1"/>
  <c r="P928" i="1"/>
  <c r="M928" i="1"/>
  <c r="M842" i="1"/>
  <c r="P842" i="1"/>
  <c r="M841" i="1"/>
  <c r="N841" i="1" s="1"/>
  <c r="P841" i="1"/>
  <c r="P1002" i="1"/>
  <c r="M1002" i="1"/>
  <c r="M818" i="1"/>
  <c r="P818" i="1"/>
  <c r="P907" i="1"/>
  <c r="M907" i="1"/>
  <c r="O907" i="1" s="1"/>
  <c r="M914" i="1"/>
  <c r="N914" i="1" s="1"/>
  <c r="P914" i="1"/>
  <c r="M316" i="1"/>
  <c r="N316" i="1" s="1"/>
  <c r="P316" i="1"/>
  <c r="M840" i="1"/>
  <c r="P840" i="1"/>
  <c r="M851" i="1"/>
  <c r="P851" i="1"/>
  <c r="M836" i="1"/>
  <c r="O836" i="1" s="1"/>
  <c r="P836" i="1"/>
  <c r="M847" i="1"/>
  <c r="P847" i="1"/>
  <c r="M944" i="1"/>
  <c r="P944" i="1"/>
  <c r="M1011" i="1"/>
  <c r="P1011" i="1"/>
  <c r="M994" i="1"/>
  <c r="P994" i="1"/>
  <c r="M966" i="1"/>
  <c r="P966" i="1"/>
  <c r="M819" i="1"/>
  <c r="N819" i="1" s="1"/>
  <c r="P819" i="1"/>
  <c r="M858" i="1"/>
  <c r="N858" i="1" s="1"/>
  <c r="P858" i="1"/>
  <c r="M888" i="1"/>
  <c r="P888" i="1"/>
  <c r="M865" i="1"/>
  <c r="N865" i="1" s="1"/>
  <c r="P865" i="1"/>
  <c r="M954" i="1"/>
  <c r="N954" i="1" s="1"/>
  <c r="P954" i="1"/>
  <c r="M873" i="1"/>
  <c r="P873" i="1"/>
  <c r="M885" i="1"/>
  <c r="N885" i="1" s="1"/>
  <c r="P885" i="1"/>
  <c r="M1008" i="1"/>
  <c r="N1008" i="1" s="1"/>
  <c r="P1008" i="1"/>
  <c r="M1012" i="1"/>
  <c r="P1012" i="1"/>
  <c r="P955" i="1"/>
  <c r="M955" i="1"/>
  <c r="M909" i="1"/>
  <c r="N909" i="1" s="1"/>
  <c r="P909" i="1"/>
  <c r="P940" i="1"/>
  <c r="M940" i="1"/>
  <c r="P949" i="1"/>
  <c r="M949" i="1"/>
  <c r="O949" i="1" s="1"/>
  <c r="M844" i="1"/>
  <c r="P844" i="1"/>
  <c r="M846" i="1"/>
  <c r="O846" i="1" s="1"/>
  <c r="P846" i="1"/>
  <c r="P870" i="1"/>
  <c r="M870" i="1"/>
  <c r="N870" i="1" s="1"/>
  <c r="M887" i="1"/>
  <c r="N887" i="1" s="1"/>
  <c r="P887" i="1"/>
  <c r="M915" i="1"/>
  <c r="O915" i="1" s="1"/>
  <c r="P915" i="1"/>
  <c r="M1006" i="1"/>
  <c r="N1006" i="1" s="1"/>
  <c r="P1006" i="1"/>
  <c r="M945" i="1"/>
  <c r="P945" i="1"/>
  <c r="P820" i="1"/>
  <c r="M820" i="1"/>
  <c r="O820" i="1" s="1"/>
  <c r="P957" i="1"/>
  <c r="M957" i="1"/>
  <c r="P905" i="1"/>
  <c r="M905" i="1"/>
  <c r="M827" i="1"/>
  <c r="O827" i="1" s="1"/>
  <c r="P827" i="1"/>
  <c r="M973" i="1"/>
  <c r="N973" i="1" s="1"/>
  <c r="P973" i="1"/>
  <c r="M988" i="1"/>
  <c r="N988" i="1" s="1"/>
  <c r="M939" i="1"/>
  <c r="M903" i="1"/>
  <c r="O903" i="1" s="1"/>
  <c r="P903" i="1"/>
  <c r="M910" i="1"/>
  <c r="M882" i="1"/>
  <c r="O882" i="1" s="1"/>
  <c r="P882" i="1"/>
  <c r="P991" i="1"/>
  <c r="P916" i="1"/>
  <c r="M1010" i="1"/>
  <c r="O1010" i="1" s="1"/>
  <c r="P1010" i="1"/>
  <c r="M881" i="1"/>
  <c r="N881" i="1" s="1"/>
  <c r="P881" i="1"/>
  <c r="M823" i="1"/>
  <c r="O823" i="1" s="1"/>
  <c r="P823" i="1"/>
  <c r="M864" i="1"/>
  <c r="M901" i="1"/>
  <c r="N901" i="1" s="1"/>
  <c r="M860" i="1"/>
  <c r="N860" i="1" s="1"/>
  <c r="P860" i="1"/>
  <c r="M895" i="1"/>
  <c r="P895" i="1"/>
  <c r="M922" i="1"/>
  <c r="N922" i="1" s="1"/>
  <c r="P922" i="1"/>
  <c r="M931" i="1"/>
  <c r="O931" i="1" s="1"/>
  <c r="P931" i="1"/>
  <c r="M948" i="1"/>
  <c r="N948" i="1" s="1"/>
  <c r="M947" i="1"/>
  <c r="N947" i="1" s="1"/>
  <c r="P947" i="1"/>
  <c r="M975" i="1"/>
  <c r="O975" i="1" s="1"/>
  <c r="M900" i="1"/>
  <c r="N900" i="1" s="1"/>
  <c r="M924" i="1"/>
  <c r="N924" i="1" s="1"/>
  <c r="P924" i="1"/>
  <c r="M867" i="1"/>
  <c r="N867" i="1" s="1"/>
  <c r="P867" i="1"/>
  <c r="P972" i="1"/>
  <c r="M978" i="1"/>
  <c r="N978" i="1" s="1"/>
  <c r="P978" i="1"/>
  <c r="M952" i="1"/>
  <c r="O952" i="1" s="1"/>
  <c r="P952" i="1"/>
  <c r="M941" i="1"/>
  <c r="P941" i="1"/>
  <c r="M904" i="1"/>
  <c r="N904" i="1" s="1"/>
  <c r="P904" i="1"/>
  <c r="M920" i="1"/>
  <c r="P920" i="1"/>
  <c r="M963" i="1"/>
  <c r="P963" i="1"/>
  <c r="P992" i="1"/>
  <c r="P1014" i="1"/>
  <c r="P964" i="1"/>
  <c r="P896" i="1"/>
  <c r="N234" i="1"/>
  <c r="N1014" i="1"/>
  <c r="O1014" i="1"/>
  <c r="N202" i="1"/>
  <c r="O202" i="1"/>
  <c r="N357" i="1"/>
  <c r="O393" i="1"/>
  <c r="M982" i="1"/>
  <c r="O982" i="1" s="1"/>
  <c r="M891" i="1"/>
  <c r="O891" i="1" s="1"/>
  <c r="M852" i="1"/>
  <c r="M674" i="1"/>
  <c r="O674" i="1" s="1"/>
  <c r="M999" i="1"/>
  <c r="O999" i="1" s="1"/>
  <c r="M856" i="1"/>
  <c r="O856" i="1" s="1"/>
  <c r="M843" i="1"/>
  <c r="O843" i="1" s="1"/>
  <c r="M961" i="1"/>
  <c r="O961" i="1" s="1"/>
  <c r="M872" i="1"/>
  <c r="O872" i="1" s="1"/>
  <c r="M959" i="1"/>
  <c r="M826" i="1"/>
  <c r="O826" i="1" s="1"/>
  <c r="M908" i="1"/>
  <c r="O908" i="1" s="1"/>
  <c r="M839" i="1"/>
  <c r="O839" i="1" s="1"/>
  <c r="M942" i="1"/>
  <c r="O942" i="1" s="1"/>
  <c r="M591" i="1"/>
  <c r="M981" i="1"/>
  <c r="M969" i="1"/>
  <c r="M971" i="1"/>
  <c r="M986" i="1"/>
  <c r="O986" i="1" s="1"/>
  <c r="M1015" i="1"/>
  <c r="O1032" i="1" s="1"/>
  <c r="M987" i="1"/>
  <c r="M853" i="1"/>
  <c r="M946" i="1"/>
  <c r="O946" i="1" s="1"/>
  <c r="M897" i="1"/>
  <c r="O897" i="1" s="1"/>
  <c r="M921" i="1"/>
  <c r="O921" i="1" s="1"/>
  <c r="M835" i="1"/>
  <c r="M863" i="1"/>
  <c r="M1001" i="1"/>
  <c r="M934" i="1"/>
  <c r="M906" i="1"/>
  <c r="O906" i="1" s="1"/>
  <c r="N992" i="1"/>
  <c r="M933" i="1"/>
  <c r="M935" i="1"/>
  <c r="O935" i="1" s="1"/>
  <c r="M956" i="1"/>
  <c r="M962" i="1"/>
  <c r="O962" i="1" s="1"/>
  <c r="M838" i="1"/>
  <c r="O838" i="1" s="1"/>
  <c r="M917" i="1"/>
  <c r="O917" i="1" s="1"/>
  <c r="M927" i="1"/>
  <c r="O927" i="1" s="1"/>
  <c r="M883" i="1"/>
  <c r="O883" i="1" s="1"/>
  <c r="M855" i="1"/>
  <c r="M930" i="1"/>
  <c r="O930" i="1" s="1"/>
  <c r="M1013" i="1"/>
  <c r="M1004" i="1"/>
  <c r="O1004" i="1" s="1"/>
  <c r="M816" i="1"/>
  <c r="O816" i="1" s="1"/>
  <c r="N964" i="1"/>
  <c r="M832" i="1"/>
  <c r="O832" i="1" s="1"/>
  <c r="M943" i="1"/>
  <c r="O943" i="1" s="1"/>
  <c r="M913" i="1"/>
  <c r="M984" i="1"/>
  <c r="N972" i="1"/>
  <c r="M626" i="1"/>
  <c r="O626" i="1" s="1"/>
  <c r="M950" i="1"/>
  <c r="M876" i="1"/>
  <c r="N916" i="1"/>
  <c r="N896" i="1"/>
  <c r="M989" i="1"/>
  <c r="O989" i="1" s="1"/>
  <c r="M779" i="1"/>
  <c r="O779" i="1" s="1"/>
  <c r="M758" i="1"/>
  <c r="M726" i="1"/>
  <c r="M775" i="1"/>
  <c r="M763" i="1"/>
  <c r="M753" i="1"/>
  <c r="O753" i="1" s="1"/>
  <c r="M785" i="1"/>
  <c r="O785" i="1" s="1"/>
  <c r="M752" i="1"/>
  <c r="M731" i="1"/>
  <c r="O731" i="1" s="1"/>
  <c r="M759" i="1"/>
  <c r="M788" i="1"/>
  <c r="O788" i="1" s="1"/>
  <c r="M777" i="1"/>
  <c r="O777" i="1" s="1"/>
  <c r="M724" i="1"/>
  <c r="O724" i="1" s="1"/>
  <c r="M796" i="1"/>
  <c r="M787" i="1"/>
  <c r="O787" i="1" s="1"/>
  <c r="M710" i="1"/>
  <c r="O710" i="1" s="1"/>
  <c r="M719" i="1"/>
  <c r="O719" i="1" s="1"/>
  <c r="M723" i="1"/>
  <c r="O723" i="1" s="1"/>
  <c r="M810" i="1"/>
  <c r="M751" i="1"/>
  <c r="M754" i="1"/>
  <c r="M761" i="1"/>
  <c r="M767" i="1"/>
  <c r="O767" i="1" s="1"/>
  <c r="M712" i="1"/>
  <c r="M713" i="1"/>
  <c r="M729" i="1"/>
  <c r="O729" i="1" s="1"/>
  <c r="M737" i="1"/>
  <c r="O737" i="1" s="1"/>
  <c r="M783" i="1"/>
  <c r="M809" i="1"/>
  <c r="M789" i="1"/>
  <c r="M734" i="1"/>
  <c r="O734" i="1" s="1"/>
  <c r="M721" i="1"/>
  <c r="M774" i="1"/>
  <c r="M744" i="1"/>
  <c r="O744" i="1" s="1"/>
  <c r="M711" i="1"/>
  <c r="O711" i="1" s="1"/>
  <c r="M773" i="1"/>
  <c r="M776" i="1"/>
  <c r="M768" i="1"/>
  <c r="M727" i="1"/>
  <c r="M747" i="1"/>
  <c r="O747" i="1" s="1"/>
  <c r="M746" i="1"/>
  <c r="O746" i="1" s="1"/>
  <c r="M786" i="1"/>
  <c r="O786" i="1" s="1"/>
  <c r="M736" i="1"/>
  <c r="M556" i="1"/>
  <c r="M640" i="1"/>
  <c r="O640" i="1" s="1"/>
  <c r="M692" i="1"/>
  <c r="M559" i="1"/>
  <c r="O559" i="1" s="1"/>
  <c r="M649" i="1"/>
  <c r="O649" i="1" s="1"/>
  <c r="M619" i="1"/>
  <c r="M653" i="1"/>
  <c r="M618" i="1"/>
  <c r="O618" i="1" s="1"/>
  <c r="M657" i="1"/>
  <c r="O657" i="1" s="1"/>
  <c r="M636" i="1"/>
  <c r="O636" i="1" s="1"/>
  <c r="M696" i="1"/>
  <c r="O696" i="1" s="1"/>
  <c r="M598" i="1"/>
  <c r="M573" i="1"/>
  <c r="M593" i="1"/>
  <c r="O593" i="1" s="1"/>
  <c r="M650" i="1"/>
  <c r="O650" i="1" s="1"/>
  <c r="M651" i="1"/>
  <c r="O651" i="1" s="1"/>
  <c r="M648" i="1"/>
  <c r="O648" i="1" s="1"/>
  <c r="M612" i="1"/>
  <c r="M641" i="1"/>
  <c r="M678" i="1"/>
  <c r="O678" i="1" s="1"/>
  <c r="M595" i="1"/>
  <c r="M629" i="1"/>
  <c r="O629" i="1" s="1"/>
  <c r="M709" i="1"/>
  <c r="O709" i="1" s="1"/>
  <c r="M622" i="1"/>
  <c r="O622" i="1" s="1"/>
  <c r="M277" i="1"/>
  <c r="M681" i="1"/>
  <c r="O681" i="1" s="1"/>
  <c r="M572" i="1"/>
  <c r="O572" i="1" s="1"/>
  <c r="M659" i="1"/>
  <c r="M646" i="1"/>
  <c r="M631" i="1"/>
  <c r="O631" i="1" s="1"/>
  <c r="M706" i="1"/>
  <c r="M700" i="1"/>
  <c r="O700" i="1" s="1"/>
  <c r="M655" i="1"/>
  <c r="O655" i="1" s="1"/>
  <c r="M405" i="1"/>
  <c r="O405" i="1" s="1"/>
  <c r="M348" i="1"/>
  <c r="M501" i="1"/>
  <c r="M526" i="1"/>
  <c r="M539" i="1"/>
  <c r="M545" i="1"/>
  <c r="M478" i="1"/>
  <c r="M185" i="1"/>
  <c r="O185" i="1" s="1"/>
  <c r="M296" i="1"/>
  <c r="M489" i="1"/>
  <c r="M535" i="1"/>
  <c r="M395" i="1"/>
  <c r="M429" i="1"/>
  <c r="O429" i="1" s="1"/>
  <c r="M420" i="1"/>
  <c r="M517" i="1"/>
  <c r="M503" i="1"/>
  <c r="M189" i="1"/>
  <c r="O189" i="1" s="1"/>
  <c r="M502" i="1"/>
  <c r="M500" i="1"/>
  <c r="M506" i="1"/>
  <c r="M547" i="1"/>
  <c r="M537" i="1"/>
  <c r="M488" i="1"/>
  <c r="M363" i="1"/>
  <c r="M512" i="1"/>
  <c r="M298" i="1"/>
  <c r="O298" i="1" s="1"/>
  <c r="M378" i="1"/>
  <c r="M329" i="1"/>
  <c r="M266" i="1"/>
  <c r="M497" i="1"/>
  <c r="M533" i="1"/>
  <c r="M362" i="1"/>
  <c r="M430" i="1"/>
  <c r="M494" i="1"/>
  <c r="O494" i="1" s="1"/>
  <c r="M498" i="1"/>
  <c r="M534" i="1"/>
  <c r="M294" i="1"/>
  <c r="M272" i="1"/>
  <c r="O272" i="1" s="1"/>
  <c r="M413" i="1"/>
  <c r="O413" i="1" s="1"/>
  <c r="M384" i="1"/>
  <c r="M337" i="1"/>
  <c r="M453" i="1"/>
  <c r="M276" i="1"/>
  <c r="M339" i="1"/>
  <c r="O339" i="1" s="1"/>
  <c r="M392" i="1"/>
  <c r="M265" i="1"/>
  <c r="O265" i="1" s="1"/>
  <c r="M291" i="1"/>
  <c r="O291" i="1" s="1"/>
  <c r="M484" i="1"/>
  <c r="O484" i="1" s="1"/>
  <c r="M467" i="1"/>
  <c r="M275" i="1"/>
  <c r="O275" i="1" s="1"/>
  <c r="M455" i="1"/>
  <c r="O455" i="1" s="1"/>
  <c r="M355" i="1"/>
  <c r="M485" i="1"/>
  <c r="O485" i="1" s="1"/>
  <c r="N529" i="1"/>
  <c r="M491" i="1"/>
  <c r="O491" i="1" s="1"/>
  <c r="M549" i="1"/>
  <c r="O549" i="1" s="1"/>
  <c r="M511" i="1"/>
  <c r="M528" i="1"/>
  <c r="M540" i="1"/>
  <c r="O540" i="1" s="1"/>
  <c r="M519" i="1"/>
  <c r="O519" i="1" s="1"/>
  <c r="M499" i="1"/>
  <c r="M486" i="1"/>
  <c r="O486" i="1" s="1"/>
  <c r="M518" i="1"/>
  <c r="O518" i="1" s="1"/>
  <c r="M546" i="1"/>
  <c r="M524" i="1"/>
  <c r="O524" i="1" s="1"/>
  <c r="M356" i="1"/>
  <c r="M536" i="1"/>
  <c r="M543" i="1"/>
  <c r="O543" i="1" s="1"/>
  <c r="M532" i="1"/>
  <c r="M514" i="1"/>
  <c r="M509" i="1"/>
  <c r="O509" i="1" s="1"/>
  <c r="M368" i="1"/>
  <c r="M367" i="1"/>
  <c r="O367" i="1" s="1"/>
  <c r="M554" i="1"/>
  <c r="O554" i="1" s="1"/>
  <c r="M527" i="1"/>
  <c r="M487" i="1"/>
  <c r="O487" i="1" s="1"/>
  <c r="M303" i="1"/>
  <c r="O303" i="1" s="1"/>
  <c r="M522" i="1"/>
  <c r="O522" i="1" s="1"/>
  <c r="M493" i="1"/>
  <c r="O493" i="1" s="1"/>
  <c r="M530" i="1"/>
  <c r="O530" i="1" s="1"/>
  <c r="M496" i="1"/>
  <c r="O496" i="1" s="1"/>
  <c r="M421" i="1"/>
  <c r="O421" i="1" s="1"/>
  <c r="M344" i="1"/>
  <c r="M330" i="1"/>
  <c r="M424" i="1"/>
  <c r="M352" i="1"/>
  <c r="M379" i="1"/>
  <c r="M481" i="1"/>
  <c r="M436" i="1"/>
  <c r="M387" i="1"/>
  <c r="O387" i="1" s="1"/>
  <c r="M470" i="1"/>
  <c r="M305" i="1"/>
  <c r="O305" i="1" s="1"/>
  <c r="M381" i="1"/>
  <c r="M309" i="1"/>
  <c r="M372" i="1"/>
  <c r="O372" i="1" s="1"/>
  <c r="M404" i="1"/>
  <c r="O404" i="1" s="1"/>
  <c r="M479" i="1"/>
  <c r="O479" i="1" s="1"/>
  <c r="M439" i="1"/>
  <c r="M398" i="1"/>
  <c r="M441" i="1"/>
  <c r="M425" i="1"/>
  <c r="O425" i="1" s="1"/>
  <c r="M474" i="1"/>
  <c r="M374" i="1"/>
  <c r="O374" i="1" s="1"/>
  <c r="M423" i="1"/>
  <c r="O423" i="1" s="1"/>
  <c r="M391" i="1"/>
  <c r="M400" i="1"/>
  <c r="O400" i="1" s="1"/>
  <c r="M359" i="1"/>
  <c r="M469" i="1"/>
  <c r="M415" i="1"/>
  <c r="O415" i="1" s="1"/>
  <c r="M325" i="1"/>
  <c r="O325" i="1" s="1"/>
  <c r="M307" i="1"/>
  <c r="O307" i="1" s="1"/>
  <c r="M288" i="1"/>
  <c r="O288" i="1" s="1"/>
  <c r="M261" i="1"/>
  <c r="M361" i="1"/>
  <c r="M194" i="1"/>
  <c r="O194" i="1" s="1"/>
  <c r="M301" i="1"/>
  <c r="O301" i="1" s="1"/>
  <c r="M360" i="1"/>
  <c r="M279" i="1"/>
  <c r="M432" i="1"/>
  <c r="M422" i="1"/>
  <c r="M225" i="1"/>
  <c r="M437" i="1"/>
  <c r="O437" i="1" s="1"/>
  <c r="M438" i="1"/>
  <c r="M466" i="1"/>
  <c r="O466" i="1" s="1"/>
  <c r="M328" i="1"/>
  <c r="O328" i="1" s="1"/>
  <c r="M399" i="1"/>
  <c r="O399" i="1" s="1"/>
  <c r="M336" i="1"/>
  <c r="O336" i="1" s="1"/>
  <c r="M463" i="1"/>
  <c r="O463" i="1" s="1"/>
  <c r="M461" i="1"/>
  <c r="M346" i="1"/>
  <c r="O346" i="1" s="1"/>
  <c r="M312" i="1"/>
  <c r="O312" i="1" s="1"/>
  <c r="M349" i="1"/>
  <c r="O349" i="1" s="1"/>
  <c r="M271" i="1"/>
  <c r="O271" i="1" s="1"/>
  <c r="M407" i="1"/>
  <c r="M408" i="1"/>
  <c r="M403" i="1"/>
  <c r="M435" i="1"/>
  <c r="M371" i="1"/>
  <c r="M397" i="1"/>
  <c r="O397" i="1" s="1"/>
  <c r="M335" i="1"/>
  <c r="M475" i="1"/>
  <c r="O475" i="1" s="1"/>
  <c r="M472" i="1"/>
  <c r="M458" i="1"/>
  <c r="M334" i="1"/>
  <c r="O334" i="1" s="1"/>
  <c r="M292" i="1"/>
  <c r="O292" i="1" s="1"/>
  <c r="M302" i="1"/>
  <c r="M195" i="1"/>
  <c r="M343" i="1"/>
  <c r="M418" i="1"/>
  <c r="M317" i="1"/>
  <c r="O317" i="1" s="1"/>
  <c r="M454" i="1"/>
  <c r="M270" i="1"/>
  <c r="O270" i="1" s="1"/>
  <c r="M341" i="1"/>
  <c r="M373" i="1"/>
  <c r="O373" i="1" s="1"/>
  <c r="M444" i="1"/>
  <c r="O444" i="1" s="1"/>
  <c r="M482" i="1"/>
  <c r="O482" i="1" s="1"/>
  <c r="M473" i="1"/>
  <c r="M332" i="1"/>
  <c r="M324" i="1"/>
  <c r="M299" i="1"/>
  <c r="O299" i="1" s="1"/>
  <c r="M350" i="1"/>
  <c r="M295" i="1"/>
  <c r="M351" i="1"/>
  <c r="O351" i="1" s="1"/>
  <c r="M447" i="1"/>
  <c r="O447" i="1" s="1"/>
  <c r="M323" i="1"/>
  <c r="M293" i="1"/>
  <c r="O293" i="1" s="1"/>
  <c r="M333" i="1"/>
  <c r="O333" i="1" s="1"/>
  <c r="M274" i="1"/>
  <c r="M402" i="1"/>
  <c r="O402" i="1" s="1"/>
  <c r="M433" i="1"/>
  <c r="M273" i="1"/>
  <c r="M376" i="1"/>
  <c r="O376" i="1" s="1"/>
  <c r="M434" i="1"/>
  <c r="O434" i="1" s="1"/>
  <c r="M446" i="1"/>
  <c r="O446" i="1" s="1"/>
  <c r="M347" i="1"/>
  <c r="M457" i="1"/>
  <c r="N370" i="1"/>
  <c r="M460" i="1"/>
  <c r="M375" i="1"/>
  <c r="O375" i="1" s="1"/>
  <c r="M267" i="1"/>
  <c r="O267" i="1" s="1"/>
  <c r="M358" i="1"/>
  <c r="O358" i="1" s="1"/>
  <c r="M390" i="1"/>
  <c r="M427" i="1"/>
  <c r="M426" i="1"/>
  <c r="O426" i="1" s="1"/>
  <c r="M442" i="1"/>
  <c r="O442" i="1" s="1"/>
  <c r="M382" i="1"/>
  <c r="O382" i="1" s="1"/>
  <c r="M315" i="1"/>
  <c r="M286" i="1"/>
  <c r="M476" i="1"/>
  <c r="O476" i="1" s="1"/>
  <c r="M385" i="1"/>
  <c r="O385" i="1" s="1"/>
  <c r="N282" i="1"/>
  <c r="M242" i="1"/>
  <c r="M223" i="1"/>
  <c r="M232" i="1"/>
  <c r="O232" i="1" s="1"/>
  <c r="M212" i="1"/>
  <c r="M218" i="1"/>
  <c r="O218" i="1" s="1"/>
  <c r="M227" i="1"/>
  <c r="O227" i="1" s="1"/>
  <c r="M215" i="1"/>
  <c r="O215" i="1" s="1"/>
  <c r="M252" i="1"/>
  <c r="O252" i="1" s="1"/>
  <c r="M244" i="1"/>
  <c r="M249" i="1"/>
  <c r="N251" i="1"/>
  <c r="M255" i="1"/>
  <c r="O255" i="1" s="1"/>
  <c r="M241" i="1"/>
  <c r="O241" i="1" s="1"/>
  <c r="M211" i="1"/>
  <c r="O211" i="1" s="1"/>
  <c r="M210" i="1"/>
  <c r="M205" i="1"/>
  <c r="O205" i="1" s="1"/>
  <c r="M206" i="1"/>
  <c r="M220" i="1"/>
  <c r="O220" i="1" s="1"/>
  <c r="N208" i="1"/>
  <c r="M216" i="1"/>
  <c r="M236" i="1"/>
  <c r="O236" i="1" s="1"/>
  <c r="N180" i="1"/>
  <c r="N203" i="1"/>
  <c r="M201" i="1"/>
  <c r="O201" i="1" s="1"/>
  <c r="M192" i="1"/>
  <c r="O192" i="1" s="1"/>
  <c r="M193" i="1"/>
  <c r="M175" i="1"/>
  <c r="O175" i="1" s="1"/>
  <c r="M182" i="1"/>
  <c r="M172" i="1"/>
  <c r="O172" i="1" s="1"/>
  <c r="M170" i="1"/>
  <c r="M177" i="1"/>
  <c r="M157" i="1"/>
  <c r="M168" i="1"/>
  <c r="M162" i="1"/>
  <c r="M164" i="1"/>
  <c r="M165" i="1"/>
  <c r="M169" i="1"/>
  <c r="A157" i="1"/>
  <c r="C157" i="1" s="1"/>
  <c r="A163" i="1"/>
  <c r="C163" i="1" s="1"/>
  <c r="A158" i="1"/>
  <c r="C158" i="1" s="1"/>
  <c r="A1549" i="17" s="1"/>
  <c r="A166" i="1"/>
  <c r="C166" i="1" s="1"/>
  <c r="A1671" i="17" s="1"/>
  <c r="A159" i="1"/>
  <c r="C159" i="1" s="1"/>
  <c r="A1708" i="17" s="1"/>
  <c r="A160" i="1"/>
  <c r="C160" i="1" s="1"/>
  <c r="A1709" i="17" s="1"/>
  <c r="A161" i="1"/>
  <c r="C161" i="1" s="1"/>
  <c r="A1711" i="17" s="1"/>
  <c r="A162" i="1"/>
  <c r="C162" i="1" s="1"/>
  <c r="A1713" i="17" s="1"/>
  <c r="A164" i="1"/>
  <c r="C164" i="1" s="1"/>
  <c r="A1714" i="17" s="1"/>
  <c r="A165" i="1"/>
  <c r="C165" i="1" s="1"/>
  <c r="A1715" i="17" s="1"/>
  <c r="A167" i="1"/>
  <c r="C167" i="1" s="1"/>
  <c r="A1716" i="17" s="1"/>
  <c r="A168" i="1"/>
  <c r="C168" i="1" s="1"/>
  <c r="A1718" i="17" s="1"/>
  <c r="A169" i="1"/>
  <c r="C169" i="1" s="1"/>
  <c r="A1719" i="17" s="1"/>
  <c r="M154" i="1"/>
  <c r="M153" i="1"/>
  <c r="O153" i="1" s="1"/>
  <c r="M136" i="1"/>
  <c r="M137" i="1"/>
  <c r="M139" i="1"/>
  <c r="M141" i="1"/>
  <c r="M145" i="1"/>
  <c r="M144" i="1"/>
  <c r="M147" i="1"/>
  <c r="M148" i="1"/>
  <c r="M152" i="1"/>
  <c r="A154" i="1"/>
  <c r="C154" i="1" s="1"/>
  <c r="A155" i="1"/>
  <c r="C155" i="1" s="1"/>
  <c r="A156" i="1"/>
  <c r="C156" i="1" s="1"/>
  <c r="A153" i="1"/>
  <c r="C153" i="1" s="1"/>
  <c r="A130" i="1"/>
  <c r="C130" i="1" s="1"/>
  <c r="A1659" i="17" s="1"/>
  <c r="A136" i="1"/>
  <c r="C136" i="1" s="1"/>
  <c r="A1684" i="17" s="1"/>
  <c r="A137" i="1"/>
  <c r="C137" i="1" s="1"/>
  <c r="A1691" i="17" s="1"/>
  <c r="A140" i="1"/>
  <c r="C140" i="1" s="1"/>
  <c r="A1692" i="17" s="1"/>
  <c r="A139" i="1"/>
  <c r="C139" i="1" s="1"/>
  <c r="A1693" i="17" s="1"/>
  <c r="A141" i="1"/>
  <c r="C141" i="1" s="1"/>
  <c r="A1694" i="17" s="1"/>
  <c r="A143" i="1"/>
  <c r="C143" i="1" s="1"/>
  <c r="A1695" i="17" s="1"/>
  <c r="A145" i="1"/>
  <c r="C145" i="1" s="1"/>
  <c r="A1696" i="17" s="1"/>
  <c r="A144" i="1"/>
  <c r="C144" i="1" s="1"/>
  <c r="A1698" i="17" s="1"/>
  <c r="A146" i="1"/>
  <c r="C146" i="1" s="1"/>
  <c r="A1700" i="17" s="1"/>
  <c r="A147" i="1"/>
  <c r="C147" i="1" s="1"/>
  <c r="A1701" i="17" s="1"/>
  <c r="A148" i="1"/>
  <c r="C148" i="1" s="1"/>
  <c r="A1702" i="17" s="1"/>
  <c r="A150" i="1"/>
  <c r="C150" i="1" s="1"/>
  <c r="A1703" i="17" s="1"/>
  <c r="A151" i="1"/>
  <c r="C151" i="1" s="1"/>
  <c r="A1704" i="17" s="1"/>
  <c r="A152" i="1"/>
  <c r="C152" i="1" s="1"/>
  <c r="A1705" i="17" s="1"/>
  <c r="M149" i="1"/>
  <c r="O149" i="1" s="1"/>
  <c r="A149" i="1"/>
  <c r="C149" i="1" s="1"/>
  <c r="A1548" i="17" s="1"/>
  <c r="M132" i="1"/>
  <c r="A132" i="1"/>
  <c r="C132" i="1" s="1"/>
  <c r="A142" i="1"/>
  <c r="C142" i="1" s="1"/>
  <c r="A138" i="1"/>
  <c r="C138" i="1" s="1"/>
  <c r="A1547" i="17" s="1"/>
  <c r="M135" i="1"/>
  <c r="A135" i="1"/>
  <c r="C135" i="1" s="1"/>
  <c r="A1546" i="17" s="1"/>
  <c r="A131" i="1"/>
  <c r="C131" i="1" s="1"/>
  <c r="A1685" i="17" s="1"/>
  <c r="A134" i="1"/>
  <c r="C134" i="1" s="1"/>
  <c r="A1687" i="17" s="1"/>
  <c r="A133" i="1"/>
  <c r="C133" i="1" s="1"/>
  <c r="A1690" i="17" s="1"/>
  <c r="M125" i="1"/>
  <c r="M128" i="1"/>
  <c r="A127" i="1"/>
  <c r="C127" i="1" s="1"/>
  <c r="A1545" i="17" s="1"/>
  <c r="A126" i="1"/>
  <c r="C126" i="1" s="1"/>
  <c r="A1672" i="17" s="1"/>
  <c r="A129" i="1"/>
  <c r="C129" i="1" s="1"/>
  <c r="A1682" i="17" s="1"/>
  <c r="A125" i="1"/>
  <c r="C125" i="1" s="1"/>
  <c r="A1683" i="17" s="1"/>
  <c r="A128" i="1"/>
  <c r="C128" i="1" s="1"/>
  <c r="A1686" i="17" s="1"/>
  <c r="M109" i="1"/>
  <c r="M110" i="1"/>
  <c r="O110" i="1" s="1"/>
  <c r="M116" i="1"/>
  <c r="M118" i="1"/>
  <c r="M120" i="1"/>
  <c r="O120" i="1" s="1"/>
  <c r="M119" i="1"/>
  <c r="O119" i="1" s="1"/>
  <c r="M121" i="1"/>
  <c r="O121" i="1" s="1"/>
  <c r="M123" i="1"/>
  <c r="A109" i="1"/>
  <c r="C109" i="1" s="1"/>
  <c r="A1506" i="17" s="1"/>
  <c r="A110" i="1"/>
  <c r="C110" i="1" s="1"/>
  <c r="A1598" i="17" s="1"/>
  <c r="A111" i="1"/>
  <c r="C111" i="1" s="1"/>
  <c r="A1604" i="17" s="1"/>
  <c r="A112" i="1"/>
  <c r="C112" i="1" s="1"/>
  <c r="A1613" i="17" s="1"/>
  <c r="A113" i="1"/>
  <c r="C113" i="1" s="1"/>
  <c r="A1633" i="17" s="1"/>
  <c r="A114" i="1"/>
  <c r="C114" i="1" s="1"/>
  <c r="A1635" i="17" s="1"/>
  <c r="A115" i="1"/>
  <c r="C115" i="1" s="1"/>
  <c r="A1641" i="17" s="1"/>
  <c r="A117" i="1"/>
  <c r="C117" i="1" s="1"/>
  <c r="A1657" i="17" s="1"/>
  <c r="A116" i="1"/>
  <c r="C116" i="1" s="1"/>
  <c r="A1658" i="17" s="1"/>
  <c r="A118" i="1"/>
  <c r="C118" i="1" s="1"/>
  <c r="A1660" i="17" s="1"/>
  <c r="A120" i="1"/>
  <c r="C120" i="1" s="1"/>
  <c r="A1661" i="17" s="1"/>
  <c r="A119" i="1"/>
  <c r="C119" i="1" s="1"/>
  <c r="A1662" i="17" s="1"/>
  <c r="A121" i="1"/>
  <c r="C121" i="1" s="1"/>
  <c r="A1664" i="17" s="1"/>
  <c r="A122" i="1"/>
  <c r="C122" i="1" s="1"/>
  <c r="A1667" i="17" s="1"/>
  <c r="A123" i="1"/>
  <c r="C123" i="1" s="1"/>
  <c r="A1680" i="17" s="1"/>
  <c r="A124" i="1"/>
  <c r="C124" i="1" s="1"/>
  <c r="A1681" i="17" s="1"/>
  <c r="P2" i="1"/>
  <c r="M108" i="1"/>
  <c r="M95" i="1"/>
  <c r="A108" i="1"/>
  <c r="C108" i="1" s="1"/>
  <c r="A88" i="1"/>
  <c r="C88" i="1" s="1"/>
  <c r="A1487" i="17" s="1"/>
  <c r="A89" i="1"/>
  <c r="C89" i="1" s="1"/>
  <c r="A1488" i="17" s="1"/>
  <c r="A90" i="1"/>
  <c r="C90" i="1" s="1"/>
  <c r="A1489" i="17" s="1"/>
  <c r="A91" i="1"/>
  <c r="C91" i="1" s="1"/>
  <c r="A1490" i="17" s="1"/>
  <c r="A92" i="1"/>
  <c r="C92" i="1" s="1"/>
  <c r="A1491" i="17" s="1"/>
  <c r="A93" i="1"/>
  <c r="C93" i="1" s="1"/>
  <c r="A1492" i="17" s="1"/>
  <c r="A94" i="1"/>
  <c r="C94" i="1" s="1"/>
  <c r="A1493" i="17" s="1"/>
  <c r="A106" i="1"/>
  <c r="C106" i="1" s="1"/>
  <c r="A1543" i="17" s="1"/>
  <c r="A107" i="1"/>
  <c r="C107" i="1" s="1"/>
  <c r="A1544" i="17" s="1"/>
  <c r="A95" i="1"/>
  <c r="C95" i="1" s="1"/>
  <c r="A1550" i="17" s="1"/>
  <c r="A96" i="1"/>
  <c r="C96" i="1" s="1"/>
  <c r="A1559" i="17" s="1"/>
  <c r="A97" i="1"/>
  <c r="C97" i="1" s="1"/>
  <c r="A1567" i="17" s="1"/>
  <c r="A98" i="1"/>
  <c r="C98" i="1" s="1"/>
  <c r="A1577" i="17" s="1"/>
  <c r="A99" i="1"/>
  <c r="C99" i="1" s="1"/>
  <c r="A1578" i="17" s="1"/>
  <c r="A100" i="1"/>
  <c r="C100" i="1" s="1"/>
  <c r="A1580" i="17" s="1"/>
  <c r="A101" i="1"/>
  <c r="C101" i="1" s="1"/>
  <c r="A1582" i="17" s="1"/>
  <c r="A102" i="1"/>
  <c r="C102" i="1" s="1"/>
  <c r="A103" i="1"/>
  <c r="C103" i="1" s="1"/>
  <c r="A104" i="1"/>
  <c r="C104" i="1" s="1"/>
  <c r="A1653" i="17" s="1"/>
  <c r="A105" i="1"/>
  <c r="C105" i="1" s="1"/>
  <c r="A1654" i="17" s="1"/>
  <c r="A1583" i="17" l="1"/>
  <c r="A1584" i="17"/>
  <c r="O1012" i="1"/>
  <c r="O386" i="1"/>
  <c r="O109" i="1"/>
  <c r="O169" i="1"/>
  <c r="N176" i="1"/>
  <c r="O427" i="1"/>
  <c r="O472" i="1"/>
  <c r="O344" i="1"/>
  <c r="O727" i="1"/>
  <c r="O774" i="1"/>
  <c r="O726" i="1"/>
  <c r="O406" i="1"/>
  <c r="O718" i="1"/>
  <c r="O477" i="1"/>
  <c r="O410" i="1"/>
  <c r="O222" i="1"/>
  <c r="O416" i="1"/>
  <c r="O431" i="1"/>
  <c r="O136" i="1"/>
  <c r="O164" i="1"/>
  <c r="O170" i="1"/>
  <c r="O193" i="1"/>
  <c r="O216" i="1"/>
  <c r="O315" i="1"/>
  <c r="O347" i="1"/>
  <c r="O433" i="1"/>
  <c r="O332" i="1"/>
  <c r="O302" i="1"/>
  <c r="O335" i="1"/>
  <c r="O407" i="1"/>
  <c r="O438" i="1"/>
  <c r="O360" i="1"/>
  <c r="O391" i="1"/>
  <c r="O398" i="1"/>
  <c r="O381" i="1"/>
  <c r="O379" i="1"/>
  <c r="O527" i="1"/>
  <c r="O532" i="1"/>
  <c r="O511" i="1"/>
  <c r="O296" i="1"/>
  <c r="O612" i="1"/>
  <c r="O598" i="1"/>
  <c r="O619" i="1"/>
  <c r="O736" i="1"/>
  <c r="O776" i="1"/>
  <c r="O713" i="1"/>
  <c r="O810" i="1"/>
  <c r="O863" i="1"/>
  <c r="O987" i="1"/>
  <c r="O591" i="1"/>
  <c r="O852" i="1"/>
  <c r="O963" i="1"/>
  <c r="O940" i="1"/>
  <c r="O928" i="1"/>
  <c r="O889" i="1"/>
  <c r="O224" i="1"/>
  <c r="O313" i="1"/>
  <c r="O557" i="1"/>
  <c r="O811" i="1"/>
  <c r="O998" i="1"/>
  <c r="O661" i="1"/>
  <c r="O691" i="1"/>
  <c r="O357" i="1"/>
  <c r="O257" i="1"/>
  <c r="O300" i="1"/>
  <c r="O529" i="1"/>
  <c r="O285" i="1"/>
  <c r="O221" i="1"/>
  <c r="O354" i="1"/>
  <c r="O320" i="1"/>
  <c r="O417" i="1"/>
  <c r="O234" i="1"/>
  <c r="O287" i="1"/>
  <c r="O197" i="1"/>
  <c r="O235" i="1"/>
  <c r="O203" i="1"/>
  <c r="O251" i="1"/>
  <c r="O780" i="1"/>
  <c r="O340" i="1"/>
  <c r="O145" i="1"/>
  <c r="O168" i="1"/>
  <c r="O295" i="1"/>
  <c r="O763" i="1"/>
  <c r="O995" i="1"/>
  <c r="O804" i="1"/>
  <c r="O380" i="1"/>
  <c r="O186" i="1"/>
  <c r="O992" i="1"/>
  <c r="O548" i="1"/>
  <c r="O997" i="1"/>
  <c r="O154" i="1"/>
  <c r="O182" i="1"/>
  <c r="O274" i="1"/>
  <c r="O536" i="1"/>
  <c r="O596" i="1"/>
  <c r="O452" i="1"/>
  <c r="O229" i="1"/>
  <c r="O157" i="1"/>
  <c r="O206" i="1"/>
  <c r="O460" i="1"/>
  <c r="N416" i="1"/>
  <c r="O350" i="1"/>
  <c r="O418" i="1"/>
  <c r="O435" i="1"/>
  <c r="O422" i="1"/>
  <c r="O469" i="1"/>
  <c r="O474" i="1"/>
  <c r="O368" i="1"/>
  <c r="O356" i="1"/>
  <c r="O453" i="1"/>
  <c r="O497" i="1"/>
  <c r="O395" i="1"/>
  <c r="O783" i="1"/>
  <c r="O761" i="1"/>
  <c r="O759" i="1"/>
  <c r="O775" i="1"/>
  <c r="O1013" i="1"/>
  <c r="O1034" i="1"/>
  <c r="O971" i="1"/>
  <c r="O353" i="1"/>
  <c r="O844" i="1"/>
  <c r="O994" i="1"/>
  <c r="O996" i="1"/>
  <c r="O764" i="1"/>
  <c r="O778" i="1"/>
  <c r="O802" i="1"/>
  <c r="O183" i="1"/>
  <c r="O228" i="1"/>
  <c r="O278" i="1"/>
  <c r="O306" i="1"/>
  <c r="O445" i="1"/>
  <c r="O471" i="1"/>
  <c r="O553" i="1"/>
  <c r="O684" i="1"/>
  <c r="O633" i="1"/>
  <c r="O611" i="1"/>
  <c r="O695" i="1"/>
  <c r="O589" i="1"/>
  <c r="O630" i="1"/>
  <c r="O584" i="1"/>
  <c r="O464" i="1"/>
  <c r="O396" i="1"/>
  <c r="O304" i="1"/>
  <c r="O440" i="1"/>
  <c r="O577" i="1"/>
  <c r="O686" i="1"/>
  <c r="O849" i="1"/>
  <c r="O976" i="1"/>
  <c r="O580" i="1"/>
  <c r="O600" i="1"/>
  <c r="O757" i="1"/>
  <c r="O701" i="1"/>
  <c r="O850" i="1"/>
  <c r="O886" i="1"/>
  <c r="O615" i="1"/>
  <c r="O874" i="1"/>
  <c r="O459" i="1"/>
  <c r="O250" i="1"/>
  <c r="O450" i="1"/>
  <c r="O383" i="1"/>
  <c r="O480" i="1"/>
  <c r="O245" i="1"/>
  <c r="O187" i="1"/>
  <c r="O451" i="1"/>
  <c r="O209" i="1"/>
  <c r="O269" i="1"/>
  <c r="O180" i="1"/>
  <c r="O966" i="1"/>
  <c r="O671" i="1"/>
  <c r="O128" i="1"/>
  <c r="O343" i="1"/>
  <c r="O403" i="1"/>
  <c r="O436" i="1"/>
  <c r="O754" i="1"/>
  <c r="O876" i="1"/>
  <c r="O934" i="1"/>
  <c r="O969" i="1"/>
  <c r="O957" i="1"/>
  <c r="O955" i="1"/>
  <c r="O993" i="1"/>
  <c r="O647" i="1"/>
  <c r="O173" i="1"/>
  <c r="O148" i="1"/>
  <c r="O137" i="1"/>
  <c r="O165" i="1"/>
  <c r="O177" i="1"/>
  <c r="N184" i="1"/>
  <c r="O210" i="1"/>
  <c r="O244" i="1"/>
  <c r="O286" i="1"/>
  <c r="O390" i="1"/>
  <c r="O457" i="1"/>
  <c r="O273" i="1"/>
  <c r="O341" i="1"/>
  <c r="O195" i="1"/>
  <c r="O461" i="1"/>
  <c r="N331" i="1"/>
  <c r="O279" i="1"/>
  <c r="O441" i="1"/>
  <c r="O481" i="1"/>
  <c r="O514" i="1"/>
  <c r="O546" i="1"/>
  <c r="O528" i="1"/>
  <c r="O355" i="1"/>
  <c r="O503" i="1"/>
  <c r="O489" i="1"/>
  <c r="O706" i="1"/>
  <c r="O277" i="1"/>
  <c r="O653" i="1"/>
  <c r="O556" i="1"/>
  <c r="O768" i="1"/>
  <c r="O721" i="1"/>
  <c r="O751" i="1"/>
  <c r="O796" i="1"/>
  <c r="O752" i="1"/>
  <c r="O758" i="1"/>
  <c r="O950" i="1"/>
  <c r="O956" i="1"/>
  <c r="O853" i="1"/>
  <c r="N240" i="1"/>
  <c r="O1011" i="1"/>
  <c r="O818" i="1"/>
  <c r="O842" i="1"/>
  <c r="O725" i="1"/>
  <c r="O749" i="1"/>
  <c r="O742" i="1"/>
  <c r="O254" i="1"/>
  <c r="O280" i="1"/>
  <c r="O490" i="1"/>
  <c r="O677" i="1"/>
  <c r="O602" i="1"/>
  <c r="O708" i="1"/>
  <c r="O616" i="1"/>
  <c r="O707" i="1"/>
  <c r="O697" i="1"/>
  <c r="O256" i="1"/>
  <c r="O308" i="1"/>
  <c r="O689" i="1"/>
  <c r="O597" i="1"/>
  <c r="O586" i="1"/>
  <c r="O807" i="1"/>
  <c r="O829" i="1"/>
  <c r="O508" i="1"/>
  <c r="O492" i="1"/>
  <c r="O409" i="1"/>
  <c r="O483" i="1"/>
  <c r="O263" i="1"/>
  <c r="O268" i="1"/>
  <c r="O281" i="1"/>
  <c r="O389" i="1"/>
  <c r="O200" i="1"/>
  <c r="O190" i="1"/>
  <c r="O311" i="1"/>
  <c r="O217" i="1"/>
  <c r="O174" i="1"/>
  <c r="O555" i="1"/>
  <c r="O964" i="1"/>
  <c r="O499" i="1"/>
  <c r="O294" i="1"/>
  <c r="O659" i="1"/>
  <c r="O809" i="1"/>
  <c r="O984" i="1"/>
  <c r="O910" i="1"/>
  <c r="O772" i="1"/>
  <c r="O663" i="1"/>
  <c r="O970" i="1"/>
  <c r="O675" i="1"/>
  <c r="O617" i="1"/>
  <c r="O937" i="1"/>
  <c r="O722" i="1"/>
  <c r="O578" i="1"/>
  <c r="O581" i="1"/>
  <c r="O730" i="1"/>
  <c r="O668" i="1"/>
  <c r="O321" i="1"/>
  <c r="O230" i="1"/>
  <c r="O231" i="1"/>
  <c r="O330" i="1"/>
  <c r="O595" i="1"/>
  <c r="O692" i="1"/>
  <c r="O913" i="1"/>
  <c r="O366" i="1"/>
  <c r="O941" i="1"/>
  <c r="O864" i="1"/>
  <c r="O1002" i="1"/>
  <c r="O879" i="1"/>
  <c r="O770" i="1"/>
  <c r="O857" i="1"/>
  <c r="O627" i="1"/>
  <c r="O793" i="1"/>
  <c r="O985" i="1"/>
  <c r="O911" i="1"/>
  <c r="O322" i="1"/>
  <c r="O319" i="1"/>
  <c r="O847" i="1"/>
  <c r="O513" i="1"/>
  <c r="O888" i="1"/>
  <c r="O944" i="1"/>
  <c r="O851" i="1"/>
  <c r="O717" i="1"/>
  <c r="O732" i="1"/>
  <c r="O688" i="1"/>
  <c r="O687" i="1"/>
  <c r="O805" i="1"/>
  <c r="O894" i="1"/>
  <c r="O990" i="1"/>
  <c r="O968" i="1"/>
  <c r="O604" i="1"/>
  <c r="O665" i="1"/>
  <c r="O877" i="1"/>
  <c r="O893" i="1"/>
  <c r="O592" i="1"/>
  <c r="O666" i="1"/>
  <c r="O323" i="1"/>
  <c r="O641" i="1"/>
  <c r="O573" i="1"/>
  <c r="O855" i="1"/>
  <c r="O1001" i="1"/>
  <c r="O981" i="1"/>
  <c r="O959" i="1"/>
  <c r="O991" i="1"/>
  <c r="O895" i="1"/>
  <c r="O939" i="1"/>
  <c r="O905" i="1"/>
  <c r="O875" i="1"/>
  <c r="O960" i="1"/>
  <c r="O912" i="1"/>
  <c r="O728" i="1"/>
  <c r="O848" i="1"/>
  <c r="O639" i="1"/>
  <c r="O680" i="1"/>
  <c r="O938" i="1"/>
  <c r="O338" i="1"/>
  <c r="O972" i="1"/>
  <c r="O936" i="1"/>
  <c r="O916" i="1"/>
  <c r="O797" i="1"/>
  <c r="O646" i="1"/>
  <c r="O773" i="1"/>
  <c r="O789" i="1"/>
  <c r="O712" i="1"/>
  <c r="O933" i="1"/>
  <c r="O835" i="1"/>
  <c r="O1015" i="1"/>
  <c r="O967" i="1"/>
  <c r="O859" i="1"/>
  <c r="O866" i="1"/>
  <c r="O980" i="1"/>
  <c r="O1005" i="1"/>
  <c r="O634" i="1"/>
  <c r="O1000" i="1"/>
  <c r="O614" i="1"/>
  <c r="O685" i="1"/>
  <c r="O794" i="1"/>
  <c r="O896" i="1"/>
  <c r="N231" i="1"/>
  <c r="N190" i="1"/>
  <c r="N555" i="1"/>
  <c r="N230" i="1"/>
  <c r="N389" i="1"/>
  <c r="N452" i="1"/>
  <c r="N813" i="1"/>
  <c r="O510" i="1"/>
  <c r="N171" i="1"/>
  <c r="N615" i="1"/>
  <c r="N222" i="1"/>
  <c r="N187" i="1"/>
  <c r="N196" i="1"/>
  <c r="N283" i="1"/>
  <c r="N263" i="1"/>
  <c r="N174" i="1"/>
  <c r="N209" i="1"/>
  <c r="N431" i="1"/>
  <c r="N322" i="1"/>
  <c r="N319" i="1"/>
  <c r="N197" i="1"/>
  <c r="N235" i="1"/>
  <c r="N320" i="1"/>
  <c r="N179" i="1"/>
  <c r="N217" i="1"/>
  <c r="N229" i="1"/>
  <c r="N248" i="1"/>
  <c r="N507" i="1"/>
  <c r="N269" i="1"/>
  <c r="O443" i="1"/>
  <c r="O188" i="1"/>
  <c r="N451" i="1"/>
  <c r="N326" i="1"/>
  <c r="N186" i="1"/>
  <c r="N311" i="1"/>
  <c r="N340" i="1"/>
  <c r="N250" i="1"/>
  <c r="N287" i="1"/>
  <c r="N417" i="1"/>
  <c r="N410" i="1"/>
  <c r="N449" i="1"/>
  <c r="N383" i="1"/>
  <c r="O538" i="1"/>
  <c r="N245" i="1"/>
  <c r="O601" i="1"/>
  <c r="N285" i="1"/>
  <c r="N513" i="1"/>
  <c r="N268" i="1"/>
  <c r="O565" i="1"/>
  <c r="O495" i="1"/>
  <c r="N214" i="1"/>
  <c r="N247" i="1"/>
  <c r="N480" i="1"/>
  <c r="N338" i="1"/>
  <c r="N259" i="1"/>
  <c r="N238" i="1"/>
  <c r="N661" i="1"/>
  <c r="N691" i="1"/>
  <c r="N221" i="1"/>
  <c r="O178" i="1"/>
  <c r="N388" i="1"/>
  <c r="O428" i="1"/>
  <c r="N200" i="1"/>
  <c r="N199" i="1"/>
  <c r="N239" i="1"/>
  <c r="N290" i="1"/>
  <c r="N448" i="1"/>
  <c r="N253" i="1"/>
  <c r="N321" i="1"/>
  <c r="N477" i="1"/>
  <c r="N551" i="1"/>
  <c r="N354" i="1"/>
  <c r="O861" i="1"/>
  <c r="O880" i="1"/>
  <c r="N483" i="1"/>
  <c r="N364" i="1"/>
  <c r="N264" i="1"/>
  <c r="N492" i="1"/>
  <c r="N894" i="1"/>
  <c r="O411" i="1"/>
  <c r="N450" i="1"/>
  <c r="N531" i="1"/>
  <c r="N592" i="1"/>
  <c r="O401" i="1"/>
  <c r="O643" i="1"/>
  <c r="O365" i="1"/>
  <c r="N877" i="1"/>
  <c r="N552" i="1"/>
  <c r="O327" i="1"/>
  <c r="N213" i="1"/>
  <c r="N456" i="1"/>
  <c r="N380" i="1"/>
  <c r="N985" i="1"/>
  <c r="N191" i="1"/>
  <c r="N893" i="1"/>
  <c r="N440" i="1"/>
  <c r="N465" i="1"/>
  <c r="N281" i="1"/>
  <c r="N508" i="1"/>
  <c r="N997" i="1"/>
  <c r="N886" i="1"/>
  <c r="N542" i="1"/>
  <c r="O504" i="1"/>
  <c r="N707" i="1"/>
  <c r="O419" i="1"/>
  <c r="O260" i="1"/>
  <c r="N671" i="1"/>
  <c r="N314" i="1"/>
  <c r="N911" i="1"/>
  <c r="N821" i="1"/>
  <c r="N977" i="1"/>
  <c r="O664" i="1"/>
  <c r="O560" i="1"/>
  <c r="N409" i="1"/>
  <c r="N246" i="1"/>
  <c r="O644" i="1"/>
  <c r="N698" i="1"/>
  <c r="O607" i="1"/>
  <c r="N579" i="1"/>
  <c r="N793" i="1"/>
  <c r="O814" i="1"/>
  <c r="N414" i="1"/>
  <c r="N915" i="1"/>
  <c r="O833" i="1"/>
  <c r="N665" i="1"/>
  <c r="N680" i="1"/>
  <c r="N849" i="1"/>
  <c r="N990" i="1"/>
  <c r="N998" i="1"/>
  <c r="N689" i="1"/>
  <c r="N693" i="1"/>
  <c r="N859" i="1"/>
  <c r="O207" i="1"/>
  <c r="N515" i="1"/>
  <c r="N620" i="1"/>
  <c r="O658" i="1"/>
  <c r="O576" i="1"/>
  <c r="N952" i="1"/>
  <c r="N1002" i="1"/>
  <c r="N575" i="1"/>
  <c r="O694" i="1"/>
  <c r="O892" i="1"/>
  <c r="O599" i="1"/>
  <c r="N406" i="1"/>
  <c r="N687" i="1"/>
  <c r="N686" i="1"/>
  <c r="O594" i="1"/>
  <c r="O898" i="1"/>
  <c r="N617" i="1"/>
  <c r="O523" i="1"/>
  <c r="N685" i="1"/>
  <c r="N857" i="1"/>
  <c r="N445" i="1"/>
  <c r="N794" i="1"/>
  <c r="O635" i="1"/>
  <c r="N300" i="1"/>
  <c r="O909" i="1"/>
  <c r="N668" i="1"/>
  <c r="O740" i="1"/>
  <c r="N740" i="1"/>
  <c r="O715" i="1"/>
  <c r="N715" i="1"/>
  <c r="N318" i="1"/>
  <c r="O318" i="1"/>
  <c r="N237" i="1"/>
  <c r="N805" i="1"/>
  <c r="N874" i="1"/>
  <c r="N561" i="1"/>
  <c r="O561" i="1"/>
  <c r="O795" i="1"/>
  <c r="N795" i="1"/>
  <c r="O798" i="1"/>
  <c r="N899" i="1"/>
  <c r="O899" i="1"/>
  <c r="N762" i="1"/>
  <c r="O762" i="1"/>
  <c r="O613" i="1"/>
  <c r="N613" i="1"/>
  <c r="N699" i="1"/>
  <c r="O699" i="1"/>
  <c r="O310" i="1"/>
  <c r="N310" i="1"/>
  <c r="O781" i="1"/>
  <c r="N781" i="1"/>
  <c r="N621" i="1"/>
  <c r="O621" i="1"/>
  <c r="N289" i="1"/>
  <c r="O289" i="1"/>
  <c r="O520" i="1"/>
  <c r="N520" i="1"/>
  <c r="N308" i="1"/>
  <c r="N936" i="1"/>
  <c r="N976" i="1"/>
  <c r="O394" i="1"/>
  <c r="N614" i="1"/>
  <c r="O840" i="1"/>
  <c r="N840" i="1"/>
  <c r="N817" i="1"/>
  <c r="O817" i="1"/>
  <c r="N890" i="1"/>
  <c r="O890" i="1"/>
  <c r="N521" i="1"/>
  <c r="N257" i="1"/>
  <c r="N611" i="1"/>
  <c r="N679" i="1"/>
  <c r="N647" i="1"/>
  <c r="O974" i="1"/>
  <c r="O505" i="1"/>
  <c r="O582" i="1"/>
  <c r="O608" i="1"/>
  <c r="N730" i="1"/>
  <c r="O924" i="1"/>
  <c r="O412" i="1"/>
  <c r="O624" i="1"/>
  <c r="N670" i="1"/>
  <c r="N581" i="1"/>
  <c r="N596" i="1"/>
  <c r="N879" i="1"/>
  <c r="N722" i="1"/>
  <c r="O790" i="1"/>
  <c r="O682" i="1"/>
  <c r="N801" i="1"/>
  <c r="O878" i="1"/>
  <c r="N938" i="1"/>
  <c r="O550" i="1"/>
  <c r="N564" i="1"/>
  <c r="N386" i="1"/>
  <c r="O854" i="1"/>
  <c r="O834" i="1"/>
  <c r="N304" i="1"/>
  <c r="N623" i="1"/>
  <c r="N875" i="1"/>
  <c r="N937" i="1"/>
  <c r="O831" i="1"/>
  <c r="N1003" i="1"/>
  <c r="O748" i="1"/>
  <c r="O571" i="1"/>
  <c r="N742" i="1"/>
  <c r="O585" i="1"/>
  <c r="N586" i="1"/>
  <c r="N224" i="1"/>
  <c r="N459" i="1"/>
  <c r="N602" i="1"/>
  <c r="N666" i="1"/>
  <c r="N812" i="1"/>
  <c r="N811" i="1"/>
  <c r="N829" i="1"/>
  <c r="N903" i="1"/>
  <c r="N717" i="1"/>
  <c r="N254" i="1"/>
  <c r="O558" i="1"/>
  <c r="O965" i="1"/>
  <c r="N996" i="1"/>
  <c r="O567" i="1"/>
  <c r="O828" i="1"/>
  <c r="N993" i="1"/>
  <c r="O884" i="1"/>
  <c r="N471" i="1"/>
  <c r="N667" i="1"/>
  <c r="O918" i="1"/>
  <c r="O819" i="1"/>
  <c r="N695" i="1"/>
  <c r="N548" i="1"/>
  <c r="N764" i="1"/>
  <c r="N888" i="1"/>
  <c r="N928" i="1"/>
  <c r="O750" i="1"/>
  <c r="N616" i="1"/>
  <c r="N684" i="1"/>
  <c r="O1007" i="1"/>
  <c r="O806" i="1"/>
  <c r="O568" i="1"/>
  <c r="O914" i="1"/>
  <c r="N905" i="1"/>
  <c r="N802" i="1"/>
  <c r="N708" i="1"/>
  <c r="N944" i="1"/>
  <c r="O845" i="1"/>
  <c r="O1006" i="1"/>
  <c r="O791" i="1"/>
  <c r="O769" i="1"/>
  <c r="O656" i="1"/>
  <c r="O771" i="1"/>
  <c r="O983" i="1"/>
  <c r="O760" i="1"/>
  <c r="N610" i="1"/>
  <c r="O867" i="1"/>
  <c r="N823" i="1"/>
  <c r="O590" i="1"/>
  <c r="N940" i="1"/>
  <c r="O563" i="1"/>
  <c r="N181" i="1"/>
  <c r="N256" i="1"/>
  <c r="N233" i="1"/>
  <c r="N278" i="1"/>
  <c r="N306" i="1"/>
  <c r="N284" i="1"/>
  <c r="N553" i="1"/>
  <c r="N705" i="1"/>
  <c r="N663" i="1"/>
  <c r="N677" i="1"/>
  <c r="N864" i="1"/>
  <c r="N951" i="1"/>
  <c r="N818" i="1"/>
  <c r="N963" i="1"/>
  <c r="N637" i="1"/>
  <c r="O765" i="1"/>
  <c r="N765" i="1"/>
  <c r="O745" i="1"/>
  <c r="N745" i="1"/>
  <c r="O605" i="1"/>
  <c r="N605" i="1"/>
  <c r="O609" i="1"/>
  <c r="N609" i="1"/>
  <c r="O902" i="1"/>
  <c r="N902" i="1"/>
  <c r="O672" i="1"/>
  <c r="N672" i="1"/>
  <c r="N743" i="1"/>
  <c r="O743" i="1"/>
  <c r="O603" i="1"/>
  <c r="N603" i="1"/>
  <c r="N824" i="1"/>
  <c r="O824" i="1"/>
  <c r="O755" i="1"/>
  <c r="N755" i="1"/>
  <c r="O654" i="1"/>
  <c r="N654" i="1"/>
  <c r="N642" i="1"/>
  <c r="O642" i="1"/>
  <c r="N183" i="1"/>
  <c r="N490" i="1"/>
  <c r="N604" i="1"/>
  <c r="N580" i="1"/>
  <c r="N804" i="1"/>
  <c r="N807" i="1"/>
  <c r="O587" i="1"/>
  <c r="N600" i="1"/>
  <c r="O638" i="1"/>
  <c r="O800" i="1"/>
  <c r="O574" i="1"/>
  <c r="O628" i="1"/>
  <c r="N873" i="1"/>
  <c r="O873" i="1"/>
  <c r="O825" i="1"/>
  <c r="N825" i="1"/>
  <c r="O869" i="1"/>
  <c r="N869" i="1"/>
  <c r="N862" i="1"/>
  <c r="O862" i="1"/>
  <c r="N566" i="1"/>
  <c r="N837" i="1"/>
  <c r="N995" i="1"/>
  <c r="O919" i="1"/>
  <c r="O669" i="1"/>
  <c r="N703" i="1"/>
  <c r="N701" i="1"/>
  <c r="N968" i="1"/>
  <c r="N1016" i="1"/>
  <c r="O1016" i="1"/>
  <c r="N627" i="1"/>
  <c r="N714" i="1"/>
  <c r="N967" i="1"/>
  <c r="N866" i="1"/>
  <c r="O815" i="1"/>
  <c r="O683" i="1"/>
  <c r="O673" i="1"/>
  <c r="O720" i="1"/>
  <c r="O830" i="1"/>
  <c r="O462" i="1"/>
  <c r="N226" i="1"/>
  <c r="N464" i="1"/>
  <c r="N697" i="1"/>
  <c r="N578" i="1"/>
  <c r="N803" i="1"/>
  <c r="N970" i="1"/>
  <c r="N925" i="1"/>
  <c r="N847" i="1"/>
  <c r="N851" i="1"/>
  <c r="N757" i="1"/>
  <c r="O900" i="1"/>
  <c r="O841" i="1"/>
  <c r="N749" i="1"/>
  <c r="N583" i="1"/>
  <c r="N280" i="1"/>
  <c r="N979" i="1"/>
  <c r="O979" i="1"/>
  <c r="O923" i="1"/>
  <c r="N923" i="1"/>
  <c r="O926" i="1"/>
  <c r="N926" i="1"/>
  <c r="N639" i="1"/>
  <c r="N718" i="1"/>
  <c r="N1000" i="1"/>
  <c r="N941" i="1"/>
  <c r="O733" i="1"/>
  <c r="N297" i="1"/>
  <c r="O948" i="1"/>
  <c r="N895" i="1"/>
  <c r="O988" i="1"/>
  <c r="N728" i="1"/>
  <c r="O652" i="1"/>
  <c r="O345" i="1"/>
  <c r="N846" i="1"/>
  <c r="N975" i="1"/>
  <c r="N557" i="1"/>
  <c r="O871" i="1"/>
  <c r="O901" i="1"/>
  <c r="O544" i="1"/>
  <c r="N1011" i="1"/>
  <c r="N725" i="1"/>
  <c r="O870" i="1"/>
  <c r="O954" i="1"/>
  <c r="O958" i="1"/>
  <c r="O316" i="1"/>
  <c r="O978" i="1"/>
  <c r="O606" i="1"/>
  <c r="O541" i="1"/>
  <c r="N675" i="1"/>
  <c r="N949" i="1"/>
  <c r="N850" i="1"/>
  <c r="O885" i="1"/>
  <c r="O922" i="1"/>
  <c r="O881" i="1"/>
  <c r="N994" i="1"/>
  <c r="N198" i="1"/>
  <c r="N228" i="1"/>
  <c r="O741" i="1"/>
  <c r="N910" i="1"/>
  <c r="N1010" i="1"/>
  <c r="N1009" i="1"/>
  <c r="O243" i="1"/>
  <c r="O645" i="1"/>
  <c r="N939" i="1"/>
  <c r="N957" i="1"/>
  <c r="N912" i="1"/>
  <c r="N770" i="1"/>
  <c r="N589" i="1"/>
  <c r="N797" i="1"/>
  <c r="N732" i="1"/>
  <c r="N960" i="1"/>
  <c r="N882" i="1"/>
  <c r="N772" i="1"/>
  <c r="N258" i="1"/>
  <c r="N630" i="1"/>
  <c r="N836" i="1"/>
  <c r="O738" i="1"/>
  <c r="O739" i="1"/>
  <c r="O887" i="1"/>
  <c r="N778" i="1"/>
  <c r="N204" i="1"/>
  <c r="N570" i="1"/>
  <c r="O690" i="1"/>
  <c r="N1005" i="1"/>
  <c r="O904" i="1"/>
  <c r="O632" i="1"/>
  <c r="O716" i="1"/>
  <c r="N716" i="1"/>
  <c r="N562" i="1"/>
  <c r="N889" i="1"/>
  <c r="N688" i="1"/>
  <c r="N584" i="1"/>
  <c r="N780" i="1"/>
  <c r="N782" i="1"/>
  <c r="N844" i="1"/>
  <c r="N980" i="1"/>
  <c r="N827" i="1"/>
  <c r="O858" i="1"/>
  <c r="N820" i="1"/>
  <c r="N932" i="1"/>
  <c r="O799" i="1"/>
  <c r="N799" i="1"/>
  <c r="O342" i="1"/>
  <c r="O468" i="1"/>
  <c r="O784" i="1"/>
  <c r="O660" i="1"/>
  <c r="O702" i="1"/>
  <c r="O369" i="1"/>
  <c r="O945" i="1"/>
  <c r="N945" i="1"/>
  <c r="O792" i="1"/>
  <c r="N792" i="1"/>
  <c r="N313" i="1"/>
  <c r="N262" i="1"/>
  <c r="N633" i="1"/>
  <c r="N569" i="1"/>
  <c r="N955" i="1"/>
  <c r="O973" i="1"/>
  <c r="O865" i="1"/>
  <c r="O808" i="1"/>
  <c r="O947" i="1"/>
  <c r="N219" i="1"/>
  <c r="N377" i="1"/>
  <c r="N676" i="1"/>
  <c r="N577" i="1"/>
  <c r="N704" i="1"/>
  <c r="N634" i="1"/>
  <c r="N597" i="1"/>
  <c r="N735" i="1"/>
  <c r="N907" i="1"/>
  <c r="N848" i="1"/>
  <c r="N842" i="1"/>
  <c r="O525" i="1"/>
  <c r="O625" i="1"/>
  <c r="O588" i="1"/>
  <c r="O766" i="1"/>
  <c r="O1008" i="1"/>
  <c r="O822" i="1"/>
  <c r="O860" i="1"/>
  <c r="N396" i="1"/>
  <c r="N662" i="1"/>
  <c r="N756" i="1"/>
  <c r="N931" i="1"/>
  <c r="N966" i="1"/>
  <c r="N953" i="1"/>
  <c r="N1012" i="1"/>
  <c r="O920" i="1"/>
  <c r="N920" i="1"/>
  <c r="N324" i="1"/>
  <c r="O324" i="1"/>
  <c r="N432" i="1"/>
  <c r="O432" i="1"/>
  <c r="N512" i="1"/>
  <c r="O512" i="1"/>
  <c r="N547" i="1"/>
  <c r="O547" i="1"/>
  <c r="N478" i="1"/>
  <c r="O478" i="1"/>
  <c r="N348" i="1"/>
  <c r="O348" i="1"/>
  <c r="N249" i="1"/>
  <c r="O249" i="1"/>
  <c r="N223" i="1"/>
  <c r="O223" i="1"/>
  <c r="N371" i="1"/>
  <c r="O371" i="1"/>
  <c r="N225" i="1"/>
  <c r="O225" i="1"/>
  <c r="N337" i="1"/>
  <c r="O337" i="1"/>
  <c r="N266" i="1"/>
  <c r="O266" i="1"/>
  <c r="N363" i="1"/>
  <c r="O363" i="1"/>
  <c r="N506" i="1"/>
  <c r="O506" i="1"/>
  <c r="N535" i="1"/>
  <c r="O535" i="1"/>
  <c r="N545" i="1"/>
  <c r="O545" i="1"/>
  <c r="N473" i="1"/>
  <c r="O473" i="1"/>
  <c r="N361" i="1"/>
  <c r="O361" i="1"/>
  <c r="N276" i="1"/>
  <c r="O276" i="1"/>
  <c r="N430" i="1"/>
  <c r="O430" i="1"/>
  <c r="N488" i="1"/>
  <c r="O488" i="1"/>
  <c r="N212" i="1"/>
  <c r="O212" i="1"/>
  <c r="N242" i="1"/>
  <c r="O242" i="1"/>
  <c r="N454" i="1"/>
  <c r="O454" i="1"/>
  <c r="N261" i="1"/>
  <c r="O261" i="1"/>
  <c r="N359" i="1"/>
  <c r="O359" i="1"/>
  <c r="N470" i="1"/>
  <c r="O470" i="1"/>
  <c r="N424" i="1"/>
  <c r="O424" i="1"/>
  <c r="N384" i="1"/>
  <c r="O384" i="1"/>
  <c r="N329" i="1"/>
  <c r="O329" i="1"/>
  <c r="N500" i="1"/>
  <c r="O500" i="1"/>
  <c r="N517" i="1"/>
  <c r="O517" i="1"/>
  <c r="N539" i="1"/>
  <c r="O539" i="1"/>
  <c r="N408" i="1"/>
  <c r="O408" i="1"/>
  <c r="N534" i="1"/>
  <c r="O534" i="1"/>
  <c r="N362" i="1"/>
  <c r="O362" i="1"/>
  <c r="N378" i="1"/>
  <c r="O378" i="1"/>
  <c r="N502" i="1"/>
  <c r="O502" i="1"/>
  <c r="N526" i="1"/>
  <c r="O526" i="1"/>
  <c r="N458" i="1"/>
  <c r="O458" i="1"/>
  <c r="N439" i="1"/>
  <c r="O439" i="1"/>
  <c r="N309" i="1"/>
  <c r="O309" i="1"/>
  <c r="N352" i="1"/>
  <c r="O352" i="1"/>
  <c r="N467" i="1"/>
  <c r="O467" i="1"/>
  <c r="N392" i="1"/>
  <c r="O392" i="1"/>
  <c r="N498" i="1"/>
  <c r="O498" i="1"/>
  <c r="N533" i="1"/>
  <c r="O533" i="1"/>
  <c r="N537" i="1"/>
  <c r="O537" i="1"/>
  <c r="N420" i="1"/>
  <c r="O420" i="1"/>
  <c r="N501" i="1"/>
  <c r="O501" i="1"/>
  <c r="N934" i="1"/>
  <c r="N984" i="1"/>
  <c r="N1013" i="1"/>
  <c r="N897" i="1"/>
  <c r="N591" i="1"/>
  <c r="N843" i="1"/>
  <c r="N674" i="1"/>
  <c r="N989" i="1"/>
  <c r="N950" i="1"/>
  <c r="N626" i="1"/>
  <c r="N930" i="1"/>
  <c r="N906" i="1"/>
  <c r="N1001" i="1"/>
  <c r="N863" i="1"/>
  <c r="N921" i="1"/>
  <c r="N839" i="1"/>
  <c r="N872" i="1"/>
  <c r="N835" i="1"/>
  <c r="N876" i="1"/>
  <c r="N832" i="1"/>
  <c r="N956" i="1"/>
  <c r="N933" i="1"/>
  <c r="N853" i="1"/>
  <c r="N971" i="1"/>
  <c r="N908" i="1"/>
  <c r="N959" i="1"/>
  <c r="N961" i="1"/>
  <c r="N891" i="1"/>
  <c r="N982" i="1"/>
  <c r="N856" i="1"/>
  <c r="N913" i="1"/>
  <c r="N855" i="1"/>
  <c r="N962" i="1"/>
  <c r="N987" i="1"/>
  <c r="N883" i="1"/>
  <c r="N927" i="1"/>
  <c r="N917" i="1"/>
  <c r="N1015" i="1"/>
  <c r="N969" i="1"/>
  <c r="N826" i="1"/>
  <c r="N852" i="1"/>
  <c r="N816" i="1"/>
  <c r="N838" i="1"/>
  <c r="N943" i="1"/>
  <c r="N1004" i="1"/>
  <c r="N935" i="1"/>
  <c r="N946" i="1"/>
  <c r="N986" i="1"/>
  <c r="N981" i="1"/>
  <c r="N942" i="1"/>
  <c r="N999" i="1"/>
  <c r="N779" i="1"/>
  <c r="N754" i="1"/>
  <c r="N710" i="1"/>
  <c r="N777" i="1"/>
  <c r="N758" i="1"/>
  <c r="N773" i="1"/>
  <c r="N737" i="1"/>
  <c r="N751" i="1"/>
  <c r="N721" i="1"/>
  <c r="N713" i="1"/>
  <c r="N712" i="1"/>
  <c r="N761" i="1"/>
  <c r="N810" i="1"/>
  <c r="N796" i="1"/>
  <c r="N759" i="1"/>
  <c r="N775" i="1"/>
  <c r="N786" i="1"/>
  <c r="N747" i="1"/>
  <c r="N768" i="1"/>
  <c r="N789" i="1"/>
  <c r="N746" i="1"/>
  <c r="N727" i="1"/>
  <c r="N776" i="1"/>
  <c r="N744" i="1"/>
  <c r="N752" i="1"/>
  <c r="N726" i="1"/>
  <c r="N774" i="1"/>
  <c r="N783" i="1"/>
  <c r="N729" i="1"/>
  <c r="N711" i="1"/>
  <c r="N767" i="1"/>
  <c r="N719" i="1"/>
  <c r="N788" i="1"/>
  <c r="N731" i="1"/>
  <c r="N785" i="1"/>
  <c r="N736" i="1"/>
  <c r="N734" i="1"/>
  <c r="N809" i="1"/>
  <c r="N723" i="1"/>
  <c r="N787" i="1"/>
  <c r="N724" i="1"/>
  <c r="N753" i="1"/>
  <c r="N763" i="1"/>
  <c r="N298" i="1"/>
  <c r="N272" i="1"/>
  <c r="N189" i="1"/>
  <c r="N185" i="1"/>
  <c r="N296" i="1"/>
  <c r="N413" i="1"/>
  <c r="N405" i="1"/>
  <c r="N395" i="1"/>
  <c r="N429" i="1"/>
  <c r="N441" i="1"/>
  <c r="N503" i="1"/>
  <c r="N444" i="1"/>
  <c r="N349" i="1"/>
  <c r="N391" i="1"/>
  <c r="N494" i="1"/>
  <c r="N489" i="1"/>
  <c r="N593" i="1"/>
  <c r="N696" i="1"/>
  <c r="N655" i="1"/>
  <c r="N572" i="1"/>
  <c r="N277" i="1"/>
  <c r="N648" i="1"/>
  <c r="N653" i="1"/>
  <c r="N595" i="1"/>
  <c r="N657" i="1"/>
  <c r="N646" i="1"/>
  <c r="N700" i="1"/>
  <c r="N678" i="1"/>
  <c r="N612" i="1"/>
  <c r="N573" i="1"/>
  <c r="N629" i="1"/>
  <c r="N598" i="1"/>
  <c r="N618" i="1"/>
  <c r="N649" i="1"/>
  <c r="N692" i="1"/>
  <c r="N631" i="1"/>
  <c r="N559" i="1"/>
  <c r="N706" i="1"/>
  <c r="N709" i="1"/>
  <c r="N659" i="1"/>
  <c r="N619" i="1"/>
  <c r="N640" i="1"/>
  <c r="N681" i="1"/>
  <c r="N622" i="1"/>
  <c r="N641" i="1"/>
  <c r="N651" i="1"/>
  <c r="N650" i="1"/>
  <c r="N636" i="1"/>
  <c r="N556" i="1"/>
  <c r="N355" i="1"/>
  <c r="N344" i="1"/>
  <c r="N497" i="1"/>
  <c r="N453" i="1"/>
  <c r="N455" i="1"/>
  <c r="N275" i="1"/>
  <c r="N294" i="1"/>
  <c r="N407" i="1"/>
  <c r="N339" i="1"/>
  <c r="N379" i="1"/>
  <c r="N481" i="1"/>
  <c r="N404" i="1"/>
  <c r="N325" i="1"/>
  <c r="N381" i="1"/>
  <c r="N194" i="1"/>
  <c r="N295" i="1"/>
  <c r="N328" i="1"/>
  <c r="N291" i="1"/>
  <c r="N288" i="1"/>
  <c r="N265" i="1"/>
  <c r="N421" i="1"/>
  <c r="N334" i="1"/>
  <c r="N307" i="1"/>
  <c r="N485" i="1"/>
  <c r="N484" i="1"/>
  <c r="N218" i="1"/>
  <c r="N463" i="1"/>
  <c r="N330" i="1"/>
  <c r="N368" i="1"/>
  <c r="N486" i="1"/>
  <c r="N511" i="1"/>
  <c r="N540" i="1"/>
  <c r="N487" i="1"/>
  <c r="N554" i="1"/>
  <c r="N518" i="1"/>
  <c r="N532" i="1"/>
  <c r="N536" i="1"/>
  <c r="N356" i="1"/>
  <c r="N493" i="1"/>
  <c r="N522" i="1"/>
  <c r="N527" i="1"/>
  <c r="N524" i="1"/>
  <c r="N519" i="1"/>
  <c r="N549" i="1"/>
  <c r="N367" i="1"/>
  <c r="N509" i="1"/>
  <c r="N499" i="1"/>
  <c r="N496" i="1"/>
  <c r="N530" i="1"/>
  <c r="N303" i="1"/>
  <c r="N514" i="1"/>
  <c r="N543" i="1"/>
  <c r="N546" i="1"/>
  <c r="N528" i="1"/>
  <c r="N491" i="1"/>
  <c r="N372" i="1"/>
  <c r="N474" i="1"/>
  <c r="N415" i="1"/>
  <c r="N398" i="1"/>
  <c r="N425" i="1"/>
  <c r="N472" i="1"/>
  <c r="N232" i="1"/>
  <c r="N336" i="1"/>
  <c r="N436" i="1"/>
  <c r="N292" i="1"/>
  <c r="N422" i="1"/>
  <c r="N335" i="1"/>
  <c r="N482" i="1"/>
  <c r="N400" i="1"/>
  <c r="N479" i="1"/>
  <c r="N387" i="1"/>
  <c r="N244" i="1"/>
  <c r="N469" i="1"/>
  <c r="N350" i="1"/>
  <c r="N374" i="1"/>
  <c r="N271" i="1"/>
  <c r="N360" i="1"/>
  <c r="N475" i="1"/>
  <c r="N423" i="1"/>
  <c r="N403" i="1"/>
  <c r="N299" i="1"/>
  <c r="N270" i="1"/>
  <c r="N305" i="1"/>
  <c r="N317" i="1"/>
  <c r="N373" i="1"/>
  <c r="N399" i="1"/>
  <c r="N351" i="1"/>
  <c r="N418" i="1"/>
  <c r="N346" i="1"/>
  <c r="N466" i="1"/>
  <c r="N437" i="1"/>
  <c r="N332" i="1"/>
  <c r="N341" i="1"/>
  <c r="N397" i="1"/>
  <c r="N438" i="1"/>
  <c r="N312" i="1"/>
  <c r="N279" i="1"/>
  <c r="N301" i="1"/>
  <c r="N461" i="1"/>
  <c r="N435" i="1"/>
  <c r="N195" i="1"/>
  <c r="N302" i="1"/>
  <c r="N343" i="1"/>
  <c r="N442" i="1"/>
  <c r="N427" i="1"/>
  <c r="N460" i="1"/>
  <c r="N273" i="1"/>
  <c r="N402" i="1"/>
  <c r="N476" i="1"/>
  <c r="N315" i="1"/>
  <c r="N434" i="1"/>
  <c r="N376" i="1"/>
  <c r="N433" i="1"/>
  <c r="N382" i="1"/>
  <c r="N358" i="1"/>
  <c r="N375" i="1"/>
  <c r="N347" i="1"/>
  <c r="N274" i="1"/>
  <c r="N390" i="1"/>
  <c r="N457" i="1"/>
  <c r="N293" i="1"/>
  <c r="N286" i="1"/>
  <c r="N267" i="1"/>
  <c r="N323" i="1"/>
  <c r="N447" i="1"/>
  <c r="N385" i="1"/>
  <c r="N426" i="1"/>
  <c r="N446" i="1"/>
  <c r="N333" i="1"/>
  <c r="N227" i="1"/>
  <c r="N252" i="1"/>
  <c r="N215" i="1"/>
  <c r="N241" i="1"/>
  <c r="N255" i="1"/>
  <c r="N211" i="1"/>
  <c r="N205" i="1"/>
  <c r="N210" i="1"/>
  <c r="N206" i="1"/>
  <c r="N220" i="1"/>
  <c r="N216" i="1"/>
  <c r="N236" i="1"/>
  <c r="N121" i="1"/>
  <c r="N118" i="1"/>
  <c r="N132" i="1"/>
  <c r="N149" i="1"/>
  <c r="N148" i="1"/>
  <c r="N139" i="1"/>
  <c r="N136" i="1"/>
  <c r="N153" i="1"/>
  <c r="N169" i="1"/>
  <c r="N164" i="1"/>
  <c r="N175" i="1"/>
  <c r="N193" i="1"/>
  <c r="N192" i="1"/>
  <c r="N201" i="1"/>
  <c r="N177" i="1"/>
  <c r="N170" i="1"/>
  <c r="N182" i="1"/>
  <c r="N172" i="1"/>
  <c r="M160" i="1"/>
  <c r="O160" i="1" s="1"/>
  <c r="M159" i="1"/>
  <c r="M166" i="1"/>
  <c r="O166" i="1" s="1"/>
  <c r="M158" i="1"/>
  <c r="O158" i="1" s="1"/>
  <c r="M163" i="1"/>
  <c r="O163" i="1" s="1"/>
  <c r="M167" i="1"/>
  <c r="O167" i="1" s="1"/>
  <c r="M161" i="1"/>
  <c r="O161" i="1" s="1"/>
  <c r="N162" i="1"/>
  <c r="N157" i="1"/>
  <c r="N168" i="1"/>
  <c r="N165" i="1"/>
  <c r="M150" i="1"/>
  <c r="O150" i="1" s="1"/>
  <c r="N145" i="1"/>
  <c r="N141" i="1"/>
  <c r="N137" i="1"/>
  <c r="N154" i="1"/>
  <c r="N152" i="1"/>
  <c r="N147" i="1"/>
  <c r="M140" i="1"/>
  <c r="O140" i="1" s="1"/>
  <c r="N144" i="1"/>
  <c r="M155" i="1"/>
  <c r="O155" i="1" s="1"/>
  <c r="M151" i="1"/>
  <c r="O151" i="1" s="1"/>
  <c r="M146" i="1"/>
  <c r="O146" i="1" s="1"/>
  <c r="M143" i="1"/>
  <c r="M130" i="1"/>
  <c r="O130" i="1" s="1"/>
  <c r="M156" i="1"/>
  <c r="M138" i="1"/>
  <c r="O138" i="1" s="1"/>
  <c r="M142" i="1"/>
  <c r="O142" i="1" s="1"/>
  <c r="M129" i="1"/>
  <c r="O129" i="1" s="1"/>
  <c r="M133" i="1"/>
  <c r="O133" i="1" s="1"/>
  <c r="M131" i="1"/>
  <c r="O131" i="1" s="1"/>
  <c r="N135" i="1"/>
  <c r="M134" i="1"/>
  <c r="N128" i="1"/>
  <c r="N125" i="1"/>
  <c r="M127" i="1"/>
  <c r="M126" i="1"/>
  <c r="O126" i="1" s="1"/>
  <c r="M112" i="1"/>
  <c r="O112" i="1" s="1"/>
  <c r="M114" i="1"/>
  <c r="O114" i="1" s="1"/>
  <c r="M106" i="1"/>
  <c r="O106" i="1" s="1"/>
  <c r="M111" i="1"/>
  <c r="O111" i="1" s="1"/>
  <c r="M124" i="1"/>
  <c r="O124" i="1" s="1"/>
  <c r="M93" i="1"/>
  <c r="O93" i="1" s="1"/>
  <c r="M117" i="1"/>
  <c r="O117" i="1" s="1"/>
  <c r="M94" i="1"/>
  <c r="N119" i="1"/>
  <c r="M113" i="1"/>
  <c r="O113" i="1" s="1"/>
  <c r="M91" i="1"/>
  <c r="M90" i="1"/>
  <c r="O90" i="1" s="1"/>
  <c r="N110" i="1"/>
  <c r="N123" i="1"/>
  <c r="N120" i="1"/>
  <c r="M122" i="1"/>
  <c r="O122" i="1" s="1"/>
  <c r="N116" i="1"/>
  <c r="M115" i="1"/>
  <c r="O115" i="1" s="1"/>
  <c r="N109" i="1"/>
  <c r="M105" i="1"/>
  <c r="N108" i="1"/>
  <c r="M96" i="1"/>
  <c r="O96" i="1" s="1"/>
  <c r="M101" i="1"/>
  <c r="M98" i="1"/>
  <c r="O98" i="1" s="1"/>
  <c r="M92" i="1"/>
  <c r="M88" i="1"/>
  <c r="M100" i="1"/>
  <c r="O100" i="1" s="1"/>
  <c r="M89" i="1"/>
  <c r="M107" i="1"/>
  <c r="O108" i="1" s="1"/>
  <c r="N95" i="1"/>
  <c r="M102" i="1"/>
  <c r="M97" i="1"/>
  <c r="O97" i="1" s="1"/>
  <c r="M103" i="1"/>
  <c r="O103" i="1" s="1"/>
  <c r="M99" i="1"/>
  <c r="M104" i="1"/>
  <c r="M83" i="1"/>
  <c r="M86" i="1"/>
  <c r="A85" i="1"/>
  <c r="C85" i="1" s="1"/>
  <c r="A1648" i="17" s="1"/>
  <c r="A83" i="1"/>
  <c r="C83" i="1" s="1"/>
  <c r="A1649" i="17" s="1"/>
  <c r="A84" i="1"/>
  <c r="C84" i="1" s="1"/>
  <c r="A1650" i="17" s="1"/>
  <c r="A87" i="1"/>
  <c r="C87" i="1" s="1"/>
  <c r="A1651" i="17" s="1"/>
  <c r="A86" i="1"/>
  <c r="C86" i="1" s="1"/>
  <c r="A1652" i="17" s="1"/>
  <c r="A82" i="1"/>
  <c r="C82" i="1" s="1"/>
  <c r="A1542" i="17" s="1"/>
  <c r="M81" i="1"/>
  <c r="A81" i="1"/>
  <c r="C81" i="1" s="1"/>
  <c r="A1628" i="17" s="1"/>
  <c r="A78" i="1"/>
  <c r="C78" i="1" s="1"/>
  <c r="A1644" i="17" s="1"/>
  <c r="A79" i="1"/>
  <c r="C79" i="1" s="1"/>
  <c r="A1645" i="17" s="1"/>
  <c r="A80" i="1"/>
  <c r="C80" i="1" s="1"/>
  <c r="A1646" i="17" s="1"/>
  <c r="O104" i="1" l="1"/>
  <c r="O101" i="1"/>
  <c r="O91" i="1"/>
  <c r="O99" i="1"/>
  <c r="O89" i="1"/>
  <c r="O125" i="1"/>
  <c r="O147" i="1"/>
  <c r="O139" i="1"/>
  <c r="O132" i="1"/>
  <c r="O105" i="1"/>
  <c r="O94" i="1"/>
  <c r="O134" i="1"/>
  <c r="O118" i="1"/>
  <c r="O135" i="1"/>
  <c r="O116" i="1"/>
  <c r="O83" i="1"/>
  <c r="O86" i="1"/>
  <c r="O102" i="1"/>
  <c r="O92" i="1"/>
  <c r="O156" i="1"/>
  <c r="O159" i="1"/>
  <c r="O152" i="1"/>
  <c r="O95" i="1"/>
  <c r="O107" i="1"/>
  <c r="O127" i="1"/>
  <c r="O143" i="1"/>
  <c r="O141" i="1"/>
  <c r="O162" i="1"/>
  <c r="O123" i="1"/>
  <c r="O144" i="1"/>
  <c r="N90" i="1"/>
  <c r="N91" i="1"/>
  <c r="N133" i="1"/>
  <c r="N129" i="1"/>
  <c r="N161" i="1"/>
  <c r="N163" i="1"/>
  <c r="N160" i="1"/>
  <c r="N167" i="1"/>
  <c r="N159" i="1"/>
  <c r="N158" i="1"/>
  <c r="N166" i="1"/>
  <c r="N138" i="1"/>
  <c r="N155" i="1"/>
  <c r="N150" i="1"/>
  <c r="N140" i="1"/>
  <c r="N130" i="1"/>
  <c r="N146" i="1"/>
  <c r="N156" i="1"/>
  <c r="N143" i="1"/>
  <c r="N151" i="1"/>
  <c r="N142" i="1"/>
  <c r="N131" i="1"/>
  <c r="N114" i="1"/>
  <c r="N106" i="1"/>
  <c r="N134" i="1"/>
  <c r="N124" i="1"/>
  <c r="N112" i="1"/>
  <c r="N126" i="1"/>
  <c r="N127" i="1"/>
  <c r="N94" i="1"/>
  <c r="N93" i="1"/>
  <c r="N111" i="1"/>
  <c r="N105" i="1"/>
  <c r="N113" i="1"/>
  <c r="N117" i="1"/>
  <c r="N122" i="1"/>
  <c r="N115" i="1"/>
  <c r="N89" i="1"/>
  <c r="N101" i="1"/>
  <c r="N107" i="1"/>
  <c r="N98" i="1"/>
  <c r="N83" i="1"/>
  <c r="N103" i="1"/>
  <c r="N104" i="1"/>
  <c r="N97" i="1"/>
  <c r="N88" i="1"/>
  <c r="N96" i="1"/>
  <c r="N102" i="1"/>
  <c r="N100" i="1"/>
  <c r="N92" i="1"/>
  <c r="N81" i="1"/>
  <c r="N86" i="1"/>
  <c r="N99" i="1"/>
  <c r="M87" i="1"/>
  <c r="O87" i="1" s="1"/>
  <c r="M85" i="1"/>
  <c r="M82" i="1"/>
  <c r="O82" i="1" s="1"/>
  <c r="M84" i="1"/>
  <c r="O84" i="1" s="1"/>
  <c r="M80" i="1"/>
  <c r="M79" i="1"/>
  <c r="M78" i="1"/>
  <c r="A77" i="1"/>
  <c r="C77" i="1" s="1"/>
  <c r="A1642" i="17" s="1"/>
  <c r="O79" i="1" l="1"/>
  <c r="O80" i="1"/>
  <c r="O81" i="1"/>
  <c r="O88" i="1"/>
  <c r="O85" i="1"/>
  <c r="N79" i="1"/>
  <c r="N84" i="1"/>
  <c r="N82" i="1"/>
  <c r="N87" i="1"/>
  <c r="N78" i="1"/>
  <c r="N80" i="1"/>
  <c r="N85" i="1"/>
  <c r="M77" i="1"/>
  <c r="O78" i="1" s="1"/>
  <c r="A23" i="1"/>
  <c r="C23" i="1" s="1"/>
  <c r="A33" i="1"/>
  <c r="C33" i="1" s="1"/>
  <c r="A38" i="1"/>
  <c r="C38" i="1" s="1"/>
  <c r="A37" i="1"/>
  <c r="C37" i="1" s="1"/>
  <c r="A36" i="1"/>
  <c r="C36" i="1" s="1"/>
  <c r="A35" i="1"/>
  <c r="C35" i="1" s="1"/>
  <c r="A3" i="1"/>
  <c r="C3" i="1" s="1"/>
  <c r="A6" i="1"/>
  <c r="C6" i="1" s="1"/>
  <c r="A1495" i="17" s="1"/>
  <c r="A8" i="1"/>
  <c r="C8" i="1" s="1"/>
  <c r="A1496" i="17" s="1"/>
  <c r="A12" i="1"/>
  <c r="C12" i="1" s="1"/>
  <c r="A1497" i="17" s="1"/>
  <c r="A13" i="1"/>
  <c r="C13" i="1" s="1"/>
  <c r="A1498" i="17" s="1"/>
  <c r="A14" i="1"/>
  <c r="C14" i="1" s="1"/>
  <c r="A1499" i="17" s="1"/>
  <c r="A15" i="1"/>
  <c r="C15" i="1" s="1"/>
  <c r="A1500" i="17" s="1"/>
  <c r="A16" i="1"/>
  <c r="C16" i="1" s="1"/>
  <c r="A1502" i="17" s="1"/>
  <c r="A17" i="1"/>
  <c r="C17" i="1" s="1"/>
  <c r="A1503" i="17" s="1"/>
  <c r="A19" i="1"/>
  <c r="C19" i="1" s="1"/>
  <c r="A20" i="1"/>
  <c r="C20" i="1" s="1"/>
  <c r="A21" i="1"/>
  <c r="C21" i="1" s="1"/>
  <c r="A1507" i="17" s="1"/>
  <c r="A22" i="1"/>
  <c r="C22" i="1" s="1"/>
  <c r="A1508" i="17" s="1"/>
  <c r="A24" i="1"/>
  <c r="C24" i="1" s="1"/>
  <c r="A1509" i="17" s="1"/>
  <c r="A25" i="1"/>
  <c r="C25" i="1" s="1"/>
  <c r="A1510" i="17" s="1"/>
  <c r="A26" i="1"/>
  <c r="C26" i="1" s="1"/>
  <c r="A1511" i="17" s="1"/>
  <c r="A27" i="1"/>
  <c r="C27" i="1" s="1"/>
  <c r="A1512" i="17" s="1"/>
  <c r="A28" i="1"/>
  <c r="C28" i="1" s="1"/>
  <c r="A1513" i="17" s="1"/>
  <c r="A31" i="1"/>
  <c r="C31" i="1" s="1"/>
  <c r="A1514" i="17" s="1"/>
  <c r="A39" i="1"/>
  <c r="C39" i="1" s="1"/>
  <c r="A1515" i="17" s="1"/>
  <c r="A45" i="1"/>
  <c r="C45" i="1" s="1"/>
  <c r="A1516" i="17" s="1"/>
  <c r="A43" i="1"/>
  <c r="C43" i="1" s="1"/>
  <c r="A1517" i="17" s="1"/>
  <c r="A46" i="1"/>
  <c r="C46" i="1" s="1"/>
  <c r="A1518" i="17" s="1"/>
  <c r="A44" i="1"/>
  <c r="C44" i="1" s="1"/>
  <c r="A1519" i="17" s="1"/>
  <c r="A47" i="1"/>
  <c r="C47" i="1" s="1"/>
  <c r="A1520" i="17" s="1"/>
  <c r="A50" i="1"/>
  <c r="C50" i="1" s="1"/>
  <c r="A1521" i="17" s="1"/>
  <c r="A51" i="1"/>
  <c r="C51" i="1" s="1"/>
  <c r="A1522" i="17" s="1"/>
  <c r="A53" i="1"/>
  <c r="C53" i="1" s="1"/>
  <c r="A1524" i="17" s="1"/>
  <c r="A54" i="1"/>
  <c r="C54" i="1" s="1"/>
  <c r="A1525" i="17" s="1"/>
  <c r="A57" i="1"/>
  <c r="C57" i="1" s="1"/>
  <c r="A1526" i="17" s="1"/>
  <c r="A58" i="1"/>
  <c r="C58" i="1" s="1"/>
  <c r="A1527" i="17" s="1"/>
  <c r="A59" i="1"/>
  <c r="C59" i="1" s="1"/>
  <c r="A1528" i="17" s="1"/>
  <c r="A60" i="1"/>
  <c r="C60" i="1" s="1"/>
  <c r="A1529" i="17" s="1"/>
  <c r="A61" i="1"/>
  <c r="C61" i="1" s="1"/>
  <c r="A1531" i="17" s="1"/>
  <c r="A66" i="1"/>
  <c r="C66" i="1" s="1"/>
  <c r="A1533" i="17" s="1"/>
  <c r="A69" i="1"/>
  <c r="C69" i="1" s="1"/>
  <c r="A1534" i="17" s="1"/>
  <c r="A75" i="1"/>
  <c r="C75" i="1" s="1"/>
  <c r="A1535" i="17" s="1"/>
  <c r="A76" i="1"/>
  <c r="C76" i="1" s="1"/>
  <c r="A1536" i="17" s="1"/>
  <c r="A2" i="1"/>
  <c r="C2" i="1" s="1"/>
  <c r="A1588" i="17" s="1"/>
  <c r="A4" i="1"/>
  <c r="C4" i="1" s="1"/>
  <c r="A5" i="1"/>
  <c r="C5" i="1" s="1"/>
  <c r="A7" i="1"/>
  <c r="C7" i="1" s="1"/>
  <c r="A1592" i="17" s="1"/>
  <c r="A9" i="1"/>
  <c r="C9" i="1" s="1"/>
  <c r="A1594" i="17" s="1"/>
  <c r="A10" i="1"/>
  <c r="C10" i="1" s="1"/>
  <c r="A1595" i="17" s="1"/>
  <c r="A11" i="1"/>
  <c r="C11" i="1" s="1"/>
  <c r="A1596" i="17" s="1"/>
  <c r="A18" i="1"/>
  <c r="C18" i="1" s="1"/>
  <c r="A1597" i="17" s="1"/>
  <c r="A29" i="1"/>
  <c r="C29" i="1" s="1"/>
  <c r="A1600" i="17" s="1"/>
  <c r="A30" i="1"/>
  <c r="C30" i="1" s="1"/>
  <c r="A1601" i="17" s="1"/>
  <c r="A32" i="1"/>
  <c r="C32" i="1" s="1"/>
  <c r="A1602" i="17" s="1"/>
  <c r="A34" i="1"/>
  <c r="C34" i="1" s="1"/>
  <c r="A1603" i="17" s="1"/>
  <c r="A40" i="1"/>
  <c r="C40" i="1" s="1"/>
  <c r="A1605" i="17" s="1"/>
  <c r="A41" i="1"/>
  <c r="C41" i="1" s="1"/>
  <c r="A1606" i="17" s="1"/>
  <c r="A42" i="1"/>
  <c r="C42" i="1" s="1"/>
  <c r="A1607" i="17" s="1"/>
  <c r="A48" i="1"/>
  <c r="C48" i="1" s="1"/>
  <c r="A1608" i="17" s="1"/>
  <c r="A49" i="1"/>
  <c r="C49" i="1" s="1"/>
  <c r="A1609" i="17" s="1"/>
  <c r="A52" i="1"/>
  <c r="C52" i="1" s="1"/>
  <c r="A1610" i="17" s="1"/>
  <c r="A55" i="1"/>
  <c r="C55" i="1" s="1"/>
  <c r="A1611" i="17" s="1"/>
  <c r="A56" i="1"/>
  <c r="C56" i="1" s="1"/>
  <c r="A1612" i="17" s="1"/>
  <c r="A62" i="1"/>
  <c r="C62" i="1" s="1"/>
  <c r="A1615" i="17" s="1"/>
  <c r="A63" i="1"/>
  <c r="C63" i="1" s="1"/>
  <c r="A64" i="1"/>
  <c r="C64" i="1" s="1"/>
  <c r="A65" i="1"/>
  <c r="C65" i="1" s="1"/>
  <c r="A1618" i="17" s="1"/>
  <c r="A67" i="1"/>
  <c r="C67" i="1" s="1"/>
  <c r="A1620" i="17" s="1"/>
  <c r="A70" i="1"/>
  <c r="C70" i="1" s="1"/>
  <c r="A1622" i="17" s="1"/>
  <c r="A71" i="1"/>
  <c r="C71" i="1" s="1"/>
  <c r="A1624" i="17" s="1"/>
  <c r="A72" i="1"/>
  <c r="C72" i="1" s="1"/>
  <c r="A1625" i="17" s="1"/>
  <c r="A73" i="1"/>
  <c r="C73" i="1" s="1"/>
  <c r="A1631" i="17" s="1"/>
  <c r="A74" i="1"/>
  <c r="C74" i="1" s="1"/>
  <c r="A1632" i="17" s="1"/>
  <c r="A1590" i="17" l="1"/>
  <c r="A1591" i="17"/>
  <c r="A1504" i="17"/>
  <c r="A1505" i="17"/>
  <c r="A2" i="17"/>
  <c r="A1494" i="17"/>
  <c r="A1617" i="17"/>
  <c r="A1616" i="17"/>
  <c r="N77" i="1"/>
  <c r="M23" i="1"/>
  <c r="O23" i="1" s="1"/>
  <c r="M37" i="1"/>
  <c r="O37" i="1" s="1"/>
  <c r="M36" i="1"/>
  <c r="O36" i="1" s="1"/>
  <c r="M3" i="1"/>
  <c r="O3" i="1" s="1"/>
  <c r="M12" i="1"/>
  <c r="O12" i="1" s="1"/>
  <c r="M15" i="1"/>
  <c r="O15" i="1" s="1"/>
  <c r="M19" i="1"/>
  <c r="O19" i="1" s="1"/>
  <c r="M21" i="1"/>
  <c r="O21" i="1" s="1"/>
  <c r="M25" i="1"/>
  <c r="O25" i="1" s="1"/>
  <c r="M28" i="1"/>
  <c r="O28" i="1" s="1"/>
  <c r="M46" i="1"/>
  <c r="O46" i="1" s="1"/>
  <c r="M51" i="1"/>
  <c r="O51" i="1" s="1"/>
  <c r="M57" i="1"/>
  <c r="O57" i="1" s="1"/>
  <c r="M58" i="1"/>
  <c r="O58" i="1" s="1"/>
  <c r="M59" i="1"/>
  <c r="O59" i="1" s="1"/>
  <c r="M60" i="1"/>
  <c r="O60" i="1" s="1"/>
  <c r="M66" i="1"/>
  <c r="O66" i="1" s="1"/>
  <c r="M69" i="1"/>
  <c r="O69" i="1" s="1"/>
  <c r="M75" i="1"/>
  <c r="M76" i="1"/>
  <c r="O76" i="1" s="1"/>
  <c r="M2" i="1"/>
  <c r="O2" i="1" s="1"/>
  <c r="M5" i="1"/>
  <c r="O5" i="1" s="1"/>
  <c r="M9" i="1"/>
  <c r="O9" i="1" s="1"/>
  <c r="M10" i="1"/>
  <c r="O10" i="1" s="1"/>
  <c r="M11" i="1"/>
  <c r="O11" i="1" s="1"/>
  <c r="M18" i="1"/>
  <c r="O18" i="1" s="1"/>
  <c r="M29" i="1"/>
  <c r="O29" i="1" s="1"/>
  <c r="M30" i="1"/>
  <c r="O30" i="1" s="1"/>
  <c r="M32" i="1"/>
  <c r="O32" i="1" s="1"/>
  <c r="M34" i="1"/>
  <c r="O34" i="1" s="1"/>
  <c r="M40" i="1"/>
  <c r="O40" i="1" s="1"/>
  <c r="M42" i="1"/>
  <c r="O42" i="1" s="1"/>
  <c r="M55" i="1"/>
  <c r="O55" i="1" s="1"/>
  <c r="M63" i="1"/>
  <c r="O63" i="1" s="1"/>
  <c r="M64" i="1"/>
  <c r="O64" i="1" s="1"/>
  <c r="M65" i="1"/>
  <c r="O65" i="1" s="1"/>
  <c r="M70" i="1"/>
  <c r="O70" i="1" s="1"/>
  <c r="M71" i="1"/>
  <c r="O71" i="1" s="1"/>
  <c r="O77" i="1" l="1"/>
  <c r="N34" i="1"/>
  <c r="N66" i="1"/>
  <c r="N36" i="1"/>
  <c r="N32" i="1"/>
  <c r="N11" i="1"/>
  <c r="N46" i="1"/>
  <c r="N37" i="1"/>
  <c r="N63" i="1"/>
  <c r="N19" i="1"/>
  <c r="N71" i="1"/>
  <c r="N55" i="1"/>
  <c r="N30" i="1"/>
  <c r="N10" i="1"/>
  <c r="N60" i="1"/>
  <c r="N28" i="1"/>
  <c r="N15" i="1"/>
  <c r="N23" i="1"/>
  <c r="N18" i="1"/>
  <c r="N51" i="1"/>
  <c r="N70" i="1"/>
  <c r="N42" i="1"/>
  <c r="N29" i="1"/>
  <c r="N9" i="1"/>
  <c r="N76" i="1"/>
  <c r="N59" i="1"/>
  <c r="N25" i="1"/>
  <c r="N12" i="1"/>
  <c r="N65" i="1"/>
  <c r="N40" i="1"/>
  <c r="N5" i="1"/>
  <c r="N75" i="1"/>
  <c r="N58" i="1"/>
  <c r="N21" i="1"/>
  <c r="N3" i="1"/>
  <c r="N64" i="1"/>
  <c r="N2" i="1"/>
  <c r="N69" i="1"/>
  <c r="N57" i="1"/>
  <c r="M74" i="1"/>
  <c r="O74" i="1" s="1"/>
  <c r="M4" i="1"/>
  <c r="O4" i="1" s="1"/>
  <c r="M53" i="1"/>
  <c r="O53" i="1" s="1"/>
  <c r="M54" i="1"/>
  <c r="O54" i="1" s="1"/>
  <c r="M45" i="1"/>
  <c r="O45" i="1" s="1"/>
  <c r="M72" i="1"/>
  <c r="O72" i="1" s="1"/>
  <c r="M52" i="1"/>
  <c r="O52" i="1" s="1"/>
  <c r="M61" i="1"/>
  <c r="O61" i="1" s="1"/>
  <c r="M73" i="1"/>
  <c r="O73" i="1" s="1"/>
  <c r="M44" i="1"/>
  <c r="O44" i="1" s="1"/>
  <c r="M17" i="1"/>
  <c r="O17" i="1" s="1"/>
  <c r="M24" i="1"/>
  <c r="O24" i="1" s="1"/>
  <c r="M39" i="1"/>
  <c r="O39" i="1" s="1"/>
  <c r="M50" i="1"/>
  <c r="O50" i="1" s="1"/>
  <c r="M14" i="1"/>
  <c r="O14" i="1" s="1"/>
  <c r="M41" i="1"/>
  <c r="O41" i="1" s="1"/>
  <c r="M56" i="1"/>
  <c r="O56" i="1" s="1"/>
  <c r="M62" i="1"/>
  <c r="O62" i="1" s="1"/>
  <c r="M48" i="1"/>
  <c r="O48" i="1" s="1"/>
  <c r="M67" i="1"/>
  <c r="O67" i="1" s="1"/>
  <c r="M27" i="1"/>
  <c r="O27" i="1" s="1"/>
  <c r="M49" i="1"/>
  <c r="O49" i="1" s="1"/>
  <c r="M7" i="1"/>
  <c r="O7" i="1" s="1"/>
  <c r="M8" i="1"/>
  <c r="O8" i="1" s="1"/>
  <c r="M43" i="1"/>
  <c r="O43" i="1" s="1"/>
  <c r="M26" i="1"/>
  <c r="O26" i="1" s="1"/>
  <c r="M20" i="1"/>
  <c r="O20" i="1" s="1"/>
  <c r="M6" i="1"/>
  <c r="O6" i="1" s="1"/>
  <c r="M38" i="1"/>
  <c r="O38" i="1" s="1"/>
  <c r="M47" i="1"/>
  <c r="O47" i="1" s="1"/>
  <c r="M31" i="1"/>
  <c r="O31" i="1" s="1"/>
  <c r="M22" i="1"/>
  <c r="O22" i="1" s="1"/>
  <c r="M16" i="1"/>
  <c r="O16" i="1" s="1"/>
  <c r="M13" i="1"/>
  <c r="O13" i="1" s="1"/>
  <c r="M35" i="1"/>
  <c r="O35" i="1" s="1"/>
  <c r="M33" i="1"/>
  <c r="O33" i="1" s="1"/>
  <c r="O75" i="1" l="1"/>
  <c r="N61" i="1"/>
  <c r="N22" i="1"/>
  <c r="N31" i="1"/>
  <c r="N26" i="1"/>
  <c r="N56" i="1"/>
  <c r="N17" i="1"/>
  <c r="N54" i="1"/>
  <c r="N33" i="1"/>
  <c r="N47" i="1"/>
  <c r="N43" i="1"/>
  <c r="N27" i="1"/>
  <c r="N41" i="1"/>
  <c r="N44" i="1"/>
  <c r="N72" i="1"/>
  <c r="N53" i="1"/>
  <c r="N62" i="1"/>
  <c r="N35" i="1"/>
  <c r="N38" i="1"/>
  <c r="N8" i="1"/>
  <c r="N67" i="1"/>
  <c r="N14" i="1"/>
  <c r="N16" i="1"/>
  <c r="N13" i="1"/>
  <c r="N6" i="1"/>
  <c r="N7" i="1"/>
  <c r="N48" i="1"/>
  <c r="N50" i="1"/>
  <c r="N73" i="1"/>
  <c r="N45" i="1"/>
  <c r="N4" i="1"/>
  <c r="N39" i="1"/>
  <c r="N20" i="1"/>
  <c r="N49" i="1"/>
  <c r="N24" i="1"/>
  <c r="N52" i="1"/>
  <c r="N74" i="1"/>
</calcChain>
</file>

<file path=xl/sharedStrings.xml><?xml version="1.0" encoding="utf-8"?>
<sst xmlns="http://schemas.openxmlformats.org/spreadsheetml/2006/main" count="19631" uniqueCount="2765">
  <si>
    <t>RESOLVIDO?</t>
  </si>
  <si>
    <t>SITUAÇÃO</t>
  </si>
  <si>
    <t>HANDLE</t>
  </si>
  <si>
    <t>OBT</t>
  </si>
  <si>
    <t>DATARESERVA</t>
  </si>
  <si>
    <t>CODIGORESERVA</t>
  </si>
  <si>
    <t>RLOCCIA</t>
  </si>
  <si>
    <t>MENSAGEM</t>
  </si>
  <si>
    <t>DATAENVIO</t>
  </si>
  <si>
    <t>DATAREENVIO</t>
  </si>
  <si>
    <t>TIPOERRO</t>
  </si>
  <si>
    <t>MOTIVO DO ERRO</t>
  </si>
  <si>
    <t>TMS</t>
  </si>
  <si>
    <t>PENDENTE</t>
  </si>
  <si>
    <t>OUTROS</t>
  </si>
  <si>
    <t>ASSENTO / BAGAGEM</t>
  </si>
  <si>
    <t>Preenchendo XML Serviço-&gt; Preenchendo XML-&gt; Montando accounting aereo 2-&gt;Não foi informado o Localizador do Assento/Bagagem!</t>
  </si>
  <si>
    <t>NOME</t>
  </si>
  <si>
    <t>CLIENTE</t>
  </si>
  <si>
    <t>FORNECEDOR</t>
  </si>
  <si>
    <t>Inserindo PNR - Accountings - TurVendas - Não foi possível localizar o contrato do fornecedor H3</t>
  </si>
  <si>
    <t>ANÁLISE DE CASOS  -  INTEGRADO ERRO  -  SITUAÇÃO X RESPONSABILIDADE</t>
  </si>
  <si>
    <t>Contagem de RESPONSÁVEL</t>
  </si>
  <si>
    <t>Rótulos de Linha</t>
  </si>
  <si>
    <t>GOVER</t>
  </si>
  <si>
    <t>LEMONTECH</t>
  </si>
  <si>
    <t>SABRE</t>
  </si>
  <si>
    <t>Total Geral</t>
  </si>
  <si>
    <t>(Vários itens)</t>
  </si>
  <si>
    <t>CONTABILIZAR NO PORTAL</t>
  </si>
  <si>
    <t>INDEFINIDO</t>
  </si>
  <si>
    <t>TOP 5 - MAIORES OFENSORES</t>
  </si>
  <si>
    <t>QUALIDADE DOS DADOS</t>
  </si>
  <si>
    <t>TIPO DE ERRO</t>
  </si>
  <si>
    <t>OPERAÇÕES / SUPORTE KCS</t>
  </si>
  <si>
    <t>SISTEMA</t>
  </si>
  <si>
    <t>CLIENTE NÃO IDENTIFICADO</t>
  </si>
  <si>
    <t>REMARK - CNPJ</t>
  </si>
  <si>
    <t>OUT OF MEMORY</t>
  </si>
  <si>
    <t>REMARK - DATA INCORRETA</t>
  </si>
  <si>
    <t>CÓD. CLIENTE DIVERGENTE</t>
  </si>
  <si>
    <t>TAG - ITEM VEÍCULO</t>
  </si>
  <si>
    <t>CANAL DE VENDA NÃO IDENTIFICADO</t>
  </si>
  <si>
    <t>FORNECEDOR NÃO LOCALIZADO</t>
  </si>
  <si>
    <t>SUPORTE OBT</t>
  </si>
  <si>
    <t>FORMATO DE TEXTO</t>
  </si>
  <si>
    <t>RLOC NÃO INFORMADO</t>
  </si>
  <si>
    <t>VENDA CANCELADA</t>
  </si>
  <si>
    <t>COTAÇÃO</t>
  </si>
  <si>
    <t>Nº DO VOO</t>
  </si>
  <si>
    <t>TAG - ITEM AEREO</t>
  </si>
  <si>
    <t>CENTRO DE CUSTO</t>
  </si>
  <si>
    <t>TAG - ITEM HOTEL</t>
  </si>
  <si>
    <t>BANDEIRA DO CARTÃO</t>
  </si>
  <si>
    <t>SUPORTE BENNER</t>
  </si>
  <si>
    <t>CONFIGURAÇÃO OBT/ BENNER</t>
  </si>
  <si>
    <t>ERRO DE SQL</t>
  </si>
  <si>
    <t>EMISSOR DE CÓDIGO</t>
  </si>
  <si>
    <t>OBS.</t>
  </si>
  <si>
    <t>DETALHES DO ERRO</t>
  </si>
  <si>
    <t>CATEGORIA DO ERRO</t>
  </si>
  <si>
    <t>RESPONSÁVEL</t>
  </si>
  <si>
    <t>PROC TXT</t>
  </si>
  <si>
    <t>CONTABILIZAR</t>
  </si>
  <si>
    <t>ConverterPagamentosRemark-&gt;Input string was not in a correct format.&lt;-MontarAccountinsHotel&lt;-ProcessarHotel&lt;-ProcessarItemFila[b]</t>
  </si>
  <si>
    <t>FORMA PAGAMENTO/RECEB</t>
  </si>
  <si>
    <t>Duplicidade</t>
  </si>
  <si>
    <t>PreencherPnr-&gt;Não foi encontrado nenhum item veículo para o localizador Duplicidade</t>
  </si>
  <si>
    <t>SHZRFS</t>
  </si>
  <si>
    <t>PreencherPnr-&gt;Não foi encontrado nenhum item veículo para o localizador SHZRFS</t>
  </si>
  <si>
    <t>cotacao</t>
  </si>
  <si>
    <t>PreencherPnr-&gt;Não foi encontrado nenhum item veículo para o localizador cotacao</t>
  </si>
  <si>
    <t>OPBSKN</t>
  </si>
  <si>
    <t>PreencherPnr-&gt;Não foi encontrado nenhum item veículo para o localizador OPBSKN</t>
  </si>
  <si>
    <t>HLGZQH</t>
  </si>
  <si>
    <t>PreencherPnr-&gt;Não foi encontrado nenhum item veículo para o localizador HLGZQH</t>
  </si>
  <si>
    <t>Inserindo PNR - Accountings - TurVendas - Não foi possível localizar o contrato do fornecedor 73717</t>
  </si>
  <si>
    <t>PreencherPnr-&gt;Foi identificado um localizador sem código.</t>
  </si>
  <si>
    <t>NIGKEX</t>
  </si>
  <si>
    <t>PreencherPnr-&gt;Não foi encontrado nenhum item veículo para o localizador NIGKEX</t>
  </si>
  <si>
    <t>GDSP6494Z6A</t>
  </si>
  <si>
    <t>PreencherPnr-&gt;Não foi encontrado nenhum item veículo para o localizador GDSP6494Z6A</t>
  </si>
  <si>
    <t>Preenchendo XML Hotel-&gt; Preenchendo XML-&gt; Montando accounting hotel-&gt;Solicitação de hotel referente a esta cotação não foi encontrada (Id Cotação: 2)</t>
  </si>
  <si>
    <t>Código de cliente não identificado&lt;-ObterCliente&lt;-MontarPnrBase&lt;-ProcessarAereo&lt;-ProcessarItemFila[b]</t>
  </si>
  <si>
    <t>ConverterPagamentosRemark-&gt;String was not recognized as a valid DateTime.&lt;-MontarAccountinsHotel&lt;-ProcessarHotel&lt;-ProcessarItemFila[b]</t>
  </si>
  <si>
    <t>Código de cliente não identificado&lt;-ObterCliente&lt;-MontarPnrBase&lt;-MontarPnr&lt;-ProcessarHotel&lt;-ProcessarItemFila[b]</t>
  </si>
  <si>
    <t>Inserindo PNR - Accountings - TurVendas - Não foi possível localizar o contrato do fornecedor 48522</t>
  </si>
  <si>
    <t>OXFWMW</t>
  </si>
  <si>
    <t>PreencherPnr-&gt;Não foi encontrado nenhum item veículo para o localizador OXFWMW</t>
  </si>
  <si>
    <t>KXSJRU</t>
  </si>
  <si>
    <t>PreencherPnr-&gt;Não foi encontrado nenhum item veículo para o localizador KXSJRU</t>
  </si>
  <si>
    <t>OHZMNZ</t>
  </si>
  <si>
    <t>PreencherPnr-&gt;Não foi encontrado nenhum item veículo para o localizador OHZMNZ</t>
  </si>
  <si>
    <t>ORKOQU</t>
  </si>
  <si>
    <t>PreencherPnr-&gt;Não foi encontrado nenhum item veículo para o localizador ORKOQU</t>
  </si>
  <si>
    <t>Inserindo PNR - Accountings - TurVendas - Não foi possível localizar o contrato do fornecedor ID</t>
  </si>
  <si>
    <t>Inserindo PNR - Accountings - TurVendas - Não foi possível localizar o contrato do fornecedor JT</t>
  </si>
  <si>
    <t>GDUWFL</t>
  </si>
  <si>
    <t>PreencherPnr-&gt;Não foi encontrado nenhum item veículo para o localizador GDUWFL</t>
  </si>
  <si>
    <t>NKRBKN</t>
  </si>
  <si>
    <t>PreencherPnr-&gt;Não foi encontrado nenhum item veículo para o localizador NKRBKN</t>
  </si>
  <si>
    <t>ConverterPagamentosRemark-&gt;The string was not recognized as a valid DateTime. There is an unknown word starting at index 0.&lt;-MontarAccountinsHotel&lt;-ProcessarHotel&lt;-ProcessarItemFila[b]</t>
  </si>
  <si>
    <t>Inserindo PNR - Accountings - TurVendas - Não foi possível localizar o contrato do fornecedor 36539</t>
  </si>
  <si>
    <t>Inserindo Accounting Hotel - (ExecSQL) - Not a legal OleAut date</t>
  </si>
  <si>
    <t>Inserindo Accounting Carro - (ExecSQL) - Ocorreu o erro 'SqlDateTime overflow. Must be between 1/1/1753 12:00:00 AM and 12/31/9999 11:59:59 PM.' na execução do comando SQL.</t>
  </si>
  <si>
    <t>40659382BR1</t>
  </si>
  <si>
    <t>PreencherPnr-&gt;Não foi encontrado nenhum item veículo para o localizador 40659382BR1</t>
  </si>
  <si>
    <t>40660188BR2</t>
  </si>
  <si>
    <t>PreencherPnr-&gt;Não foi encontrado nenhum item veículo para o localizador 40660188BR2</t>
  </si>
  <si>
    <t>KVTMRM</t>
  </si>
  <si>
    <t>PreencherPnr-&gt;Não foi encontrado nenhum item veículo para o localizador KVTMRM</t>
  </si>
  <si>
    <t>OMMDBX</t>
  </si>
  <si>
    <t>PreencherPnr-&gt;Não foi encontrado nenhum item veículo para o localizador OMMDBX</t>
  </si>
  <si>
    <t>Preenchendo XML Serviço-&gt; Preenchendo XML-&gt; Montando accounting aereo 15-&gt;Input string was not in a correct format.</t>
  </si>
  <si>
    <t>Inserindo Accounting Carro - (ExecSQL) - Not a legal OleAut date</t>
  </si>
  <si>
    <t>KGIOUB</t>
  </si>
  <si>
    <t>PreencherPnr-&gt;Não foi encontrado nenhum item veículo para o localizador KGIOUB</t>
  </si>
  <si>
    <t>OATUHN</t>
  </si>
  <si>
    <t>PreencherPnr-&gt;Não foi encontrado nenhum item veículo para o localizador OATUHN</t>
  </si>
  <si>
    <t>CXSKGB</t>
  </si>
  <si>
    <t>PreencherPnr-&gt;Não foi encontrado nenhum item veículo para o localizador CXSKGB</t>
  </si>
  <si>
    <t>STPSQY</t>
  </si>
  <si>
    <t>PreencherPnr-&gt;Não foi encontrado nenhum item veículo para o localizador STPSQY</t>
  </si>
  <si>
    <t>CWVQKA</t>
  </si>
  <si>
    <t>PreencherPnr-&gt;Não foi encontrado nenhum item veículo para o localizador CWVQKA</t>
  </si>
  <si>
    <t>ONMWHU</t>
  </si>
  <si>
    <t>PreencherPnr-&gt;Não foi encontrado nenhum item veículo para o localizador ONMWHU</t>
  </si>
  <si>
    <t>NAUNKK</t>
  </si>
  <si>
    <t>PreencherPnr-&gt;Não foi encontrado nenhum item veículo para o localizador NAUNKK</t>
  </si>
  <si>
    <t>MV1JTMMBT5BR</t>
  </si>
  <si>
    <t>PreencherPnr-&gt;Não foi encontrado nenhum item veículo para o localizador MV1JTMMBT5BR</t>
  </si>
  <si>
    <t>NMKPEL</t>
  </si>
  <si>
    <t>PreencherPnr-&gt;Não foi encontrado nenhum item veículo para o localizador NMKPEL</t>
  </si>
  <si>
    <t>LIRUPJ</t>
  </si>
  <si>
    <t>PreencherPnr-&gt;Não foi encontrado nenhum item veículo para o localizador LIRUPJ</t>
  </si>
  <si>
    <t>HZYOFE</t>
  </si>
  <si>
    <t>PreencherPnr-&gt;Não foi encontrado nenhum item veículo para o localizador HZYOFE</t>
  </si>
  <si>
    <t>HGFWUD</t>
  </si>
  <si>
    <t>PreencherPnr-&gt;Não foi encontrado nenhum item veículo para o localizador HGFWUD</t>
  </si>
  <si>
    <t>CQPANM</t>
  </si>
  <si>
    <t>PreencherPnr-&gt;Não foi encontrado nenhum item veículo para o localizador CQPANM</t>
  </si>
  <si>
    <t>Código de cliente não identificado&lt;-ObterCliente&lt;-MontarPnrBase&lt;-MontarPnr&lt;-ProcessarCarro&lt;-ProcessarItemFila[b]</t>
  </si>
  <si>
    <t>LPZGUM</t>
  </si>
  <si>
    <t>PreencherPnr-&gt;Não foi encontrado nenhum item veículo para o localizador LPZGUM</t>
  </si>
  <si>
    <t>CBSPVW</t>
  </si>
  <si>
    <t>PreencherPnr-&gt;Não foi encontrado nenhum item veículo para o localizador CBSPVW</t>
  </si>
  <si>
    <t>IDNZGQ</t>
  </si>
  <si>
    <t>PreencherPnr-&gt;Não foi encontrado nenhum item veículo para o localizador IDNZGQ</t>
  </si>
  <si>
    <t>NRDLCF</t>
  </si>
  <si>
    <t>PreencherPnr-&gt;Não foi encontrado nenhum item veículo para o localizador NRDLCF</t>
  </si>
  <si>
    <t>DRNNDX</t>
  </si>
  <si>
    <t>PreencherPnr-&gt;Não foi encontrado nenhum item veículo para o localizador DRNNDX</t>
  </si>
  <si>
    <t>MREZSO</t>
  </si>
  <si>
    <t>PreencherPnr-&gt;Não foi encontrado nenhum item veículo para o localizador MREZSO</t>
  </si>
  <si>
    <t>GECASW</t>
  </si>
  <si>
    <t>PreencherPnr-&gt;Não foi encontrado nenhum item veículo para o localizador GECASW</t>
  </si>
  <si>
    <t>AIDQYR</t>
  </si>
  <si>
    <t>PreencherPnr-&gt;Não foi encontrado nenhum item veículo para o localizador AIDQYR</t>
  </si>
  <si>
    <t>Preenchendo XML Hotel-&gt; Preenchendo XML-&gt; Montando accounting hotel-&gt;Solicitação de hotel referente a esta cotação não foi encontrada (Id Cotação: 1)</t>
  </si>
  <si>
    <t>GDS</t>
  </si>
  <si>
    <t>PreencherPnr-&gt;Não foi encontrado nenhum item veículo para o localizador GDS</t>
  </si>
  <si>
    <t>AVBDQZHNU</t>
  </si>
  <si>
    <t>PreencherPnr-&gt;Não foi encontrado nenhum item veículo para o localizador AVBDQZHNU</t>
  </si>
  <si>
    <t>H4345248</t>
  </si>
  <si>
    <t>PreencherPnr-&gt;Não foi encontrado nenhum item veículo para o localizador H4345248</t>
  </si>
  <si>
    <t>Inserindo PNR - Accountings - TurVendas - Não foi possível localizar o contrato do fornecedor 35713</t>
  </si>
  <si>
    <t>Inserindo PNR - Accountings - TurVendas - Não foi possível localizar o contrato do fornecedor 49032</t>
  </si>
  <si>
    <t>HRXSNM</t>
  </si>
  <si>
    <t>PreencherPnr-&gt;Não foi encontrado nenhum item veículo para o localizador HRXSNM</t>
  </si>
  <si>
    <t>Não localizado cliente código [0000286569].&lt;-ObterCliente&lt;-MontarPnrBase&lt;-ProcessarAereo&lt;-ProcessarItemFila[b]</t>
  </si>
  <si>
    <t>FHISKW</t>
  </si>
  <si>
    <t xml:space="preserve">PreencherPnr-&gt;Número de voo informado é inválido:  886_ </t>
  </si>
  <si>
    <t>AZPSSY</t>
  </si>
  <si>
    <t>PreencherPnr-&gt;Não foi encontrado nenhum item veículo para o localizador AZPSSY</t>
  </si>
  <si>
    <t>Não localizado cliente código [1155066174].&lt;-ObterCliente&lt;-MontarPnrBase&lt;-ProcessarAereo&lt;-ProcessarItemFila[b]</t>
  </si>
  <si>
    <t>Código de fornecedor não identificado&lt;-BuscarFornecedor&lt;-ConverterClsAereoParaPnrs&lt;-ProcessarAereo&lt;-ProcessarItemFila[b]</t>
  </si>
  <si>
    <t>ELTWWD</t>
  </si>
  <si>
    <t>PreencherPnr-&gt;Não foi encontrado nenhum item aéreo para o localizador ELTWWD</t>
  </si>
  <si>
    <t>UM4IWT</t>
  </si>
  <si>
    <t>PreencherPnr-&gt;Não foi encontrado nenhum item aéreo para o localizador UM4IWT</t>
  </si>
  <si>
    <t>DHUYRS01</t>
  </si>
  <si>
    <t>PreencherPnr-&gt;AlterarAccountingCustom-&gt; Erro: AlterarAccounting-&gt; Erro: GetOrInsertReferencial1-&gt; Erro: O tamanho máximo do campo "Código" é 60 caracteres.</t>
  </si>
  <si>
    <t>KXUQKN</t>
  </si>
  <si>
    <t>MXFLFG</t>
  </si>
  <si>
    <t>PreencherPnr-&gt;Não foi encontrado nenhum item veículo para o localizador MXFLFG</t>
  </si>
  <si>
    <t>FALHIQ</t>
  </si>
  <si>
    <t>PreencherPnr-&gt;Não foi encontrado nenhum item veículo para o localizador FALHIQ</t>
  </si>
  <si>
    <t>GAIPCO</t>
  </si>
  <si>
    <t>PreencherPnr-&gt;Não foi encontrado nenhum item veículo para o localizador GAIPCO</t>
  </si>
  <si>
    <t>174312986-12462</t>
  </si>
  <si>
    <t>PreencherPnr-&gt;'long' does not contain a definition for 'toString2'</t>
  </si>
  <si>
    <t>174320998-58961</t>
  </si>
  <si>
    <t>174321223-94863</t>
  </si>
  <si>
    <t>174321247-90421</t>
  </si>
  <si>
    <t>174322061-30048</t>
  </si>
  <si>
    <t>HGW3FC</t>
  </si>
  <si>
    <t>PreencherPnr-&gt;Código do cliente não informado! (SolicitacaoDTO.UnidadeCodigoIntegracao)</t>
  </si>
  <si>
    <t>Inserindo PNR - Accountings - TurVendas - Não foi possível localizar o contrato do fornecedor 41773</t>
  </si>
  <si>
    <t>localiza</t>
  </si>
  <si>
    <t>PreencherPnr-&gt;Não foi encontrado nenhum item veículo para o localizador localiza</t>
  </si>
  <si>
    <t>FAOJQC</t>
  </si>
  <si>
    <t>PreencherPnr-&gt;Não foi encontrado nenhum item veículo para o localizador FAOJQC</t>
  </si>
  <si>
    <t>MREHBG0</t>
  </si>
  <si>
    <t>Inserindo PNR - Accountings - TurVendas - Não foi possível localizar o contrato do fornecedor GH</t>
  </si>
  <si>
    <t>OEEEGG</t>
  </si>
  <si>
    <t>Inserindo PNR - Accountings - TurVendas - Não foi possível localizar o contrato do fornecedor 9V</t>
  </si>
  <si>
    <t>BNCGWK01</t>
  </si>
  <si>
    <t>Inserindo Trecho - Parâmetro Fornecedor - TurVendas - Não foi possível localizar o contrato do fornecedor AG</t>
  </si>
  <si>
    <t>JIWNUW</t>
  </si>
  <si>
    <t>Inserindo PNR - Accountings - TurVendas - Não foi possível localizar o contrato do fornecedor 9K</t>
  </si>
  <si>
    <t>MKBDQU</t>
  </si>
  <si>
    <t>Inserindo PNR - Accountings - TurVendas - Não foi possível localizar o contrato do fornecedor G3_</t>
  </si>
  <si>
    <t>Inserindo PNR - Accountings - TurVendas - Não foi possível localizar o contrato do fornecedor PS</t>
  </si>
  <si>
    <t>Inserindo Trecho - Parâmetro Fornecedor - TurVendas - Não foi possível localizar o contrato do fornecedor OA</t>
  </si>
  <si>
    <t>174502243-49481</t>
  </si>
  <si>
    <t>OVPAIQ</t>
  </si>
  <si>
    <t>PreencherPnr-&gt;Não foi encontrado nenhum item veículo para o localizador OVPAIQ</t>
  </si>
  <si>
    <t>IPTOUU</t>
  </si>
  <si>
    <t>PreencherPnr-&gt;Não foi encontrado nenhum item veículo para o localizador IPTOUU</t>
  </si>
  <si>
    <t>SUQABQ</t>
  </si>
  <si>
    <t>PreencherPnr-&gt;Não foi encontrado nenhum item veículo para o localizador SUQABQ</t>
  </si>
  <si>
    <t>HSOASG</t>
  </si>
  <si>
    <t>PreencherPnr-&gt;Não foi encontrado nenhum item veículo para o localizador HSOASG</t>
  </si>
  <si>
    <t>GXGNAJ</t>
  </si>
  <si>
    <t>PreencherPnr-&gt;Não foi encontrado nenhum item veículo para o localizador GXGNAJ</t>
  </si>
  <si>
    <t>DJMMUF</t>
  </si>
  <si>
    <t>PreencherPnr-&gt;Não foi encontrado nenhum item veículo para o localizador DJMMUF</t>
  </si>
  <si>
    <t>JGBTVX</t>
  </si>
  <si>
    <t>PreencherPnr-&gt;Não foi encontrado nenhum item veículo para o localizador JGBTVX</t>
  </si>
  <si>
    <t>HUHXPC</t>
  </si>
  <si>
    <t>PreencherPnr-&gt;Não foi encontrado nenhum item veículo para o localizador HUHXPC</t>
  </si>
  <si>
    <t>IXQPBK</t>
  </si>
  <si>
    <t>PreencherPnr-&gt;Não foi encontrado nenhum item veículo para o localizador IXQPBK</t>
  </si>
  <si>
    <t>NWPLQE</t>
  </si>
  <si>
    <t>PreencherPnr-&gt;Não foi encontrado nenhum item veículo para o localizador NWPLQE</t>
  </si>
  <si>
    <t>ILHTJX</t>
  </si>
  <si>
    <t>PreencherPnr-&gt;Não foi encontrado nenhum item veículo para o localizador ILHTJX</t>
  </si>
  <si>
    <t>AV57MEW594A</t>
  </si>
  <si>
    <t>PreencherPnr-&gt;Não foi encontrado nenhum item veículo para o localizador AV57MEW594A</t>
  </si>
  <si>
    <t>DLSTWY</t>
  </si>
  <si>
    <t>PreencherPnr-&gt;PreencherAccountingCustom-&gt; Erro: PreencherAccounting-&gt; Erro: Centro de custo não informado!</t>
  </si>
  <si>
    <t>GUCVNI</t>
  </si>
  <si>
    <t>Inserindo PNR - Accountings - TurVendas - Não foi possível localizar o contrato do fornecedor KK</t>
  </si>
  <si>
    <t>OHIORU</t>
  </si>
  <si>
    <t>PreencherPnr-&gt;AlterarAccountingCustom-&gt; Erro: AlterarAccounting-&gt; Erro: Administradora não encontrada para Bandeira: Hipercard</t>
  </si>
  <si>
    <t>LOCALIZA</t>
  </si>
  <si>
    <t>PreencherPnr-&gt;Não foi encontrado nenhum item veículo para o localizador LOCALIZA</t>
  </si>
  <si>
    <t>Inserindo Trecho - Parâmetro Fornecedor - TurVendas - Não foi possível localizar o contrato do fornecedor DR</t>
  </si>
  <si>
    <t>MV1MG00DWIBR</t>
  </si>
  <si>
    <t>PreencherPnr-&gt;Não foi encontrado nenhum item veículo para o localizador MV1MG00DWIBR</t>
  </si>
  <si>
    <t>JTWMGR</t>
  </si>
  <si>
    <t>Inserindo Trecho - Parâmetro Fornecedor - TurVendas - Não foi possível localizar o contrato do fornecedor CC</t>
  </si>
  <si>
    <t>C4229746</t>
  </si>
  <si>
    <t>PreencherPnr-&gt;Não foi encontrado nenhum item veículo para o localizador C4229746</t>
  </si>
  <si>
    <t>MV1RRKSO6QBR</t>
  </si>
  <si>
    <t>PreencherPnr-&gt;Não foi encontrado nenhum item veículo para o localizador MV1RRKSO6QBR</t>
  </si>
  <si>
    <t>AVB4PDW9TA</t>
  </si>
  <si>
    <t>PreencherPnr-&gt;Não foi encontrado nenhum item veículo para o localizador AVB4PDW9TA</t>
  </si>
  <si>
    <t>-</t>
  </si>
  <si>
    <t>PreencherPnr-&gt;Não foi encontrado nenhum item veículo para o localizador -</t>
  </si>
  <si>
    <t>MV1JPSIG9IBR</t>
  </si>
  <si>
    <t>PreencherPnr-&gt;Não foi encontrado nenhum item veículo para o localizador MV1JPSIG9IBR</t>
  </si>
  <si>
    <t>SOMENTE-COTACAO</t>
  </si>
  <si>
    <t>PreencherPnr-&gt;Não foi encontrado nenhum item veículo para o localizador SOMENTE-COTACAO</t>
  </si>
  <si>
    <t>IXPLRS</t>
  </si>
  <si>
    <t>PreencherPnr-&gt;Não foi encontrado nenhum item veículo para o localizador IXPLRS</t>
  </si>
  <si>
    <t>WBJZBV</t>
  </si>
  <si>
    <t>PreencherPnr-&gt;Não foi encontrado nenhum item veículo para o localizador WBJZBV</t>
  </si>
  <si>
    <t>PreencherPnr-&gt;PreencherAccountingCustom-&gt; Erro: PreencherAccounting-&gt; Erro: Object reference not set to an instance of an object.</t>
  </si>
  <si>
    <t>HQAXGW</t>
  </si>
  <si>
    <t>PreencherPnr-&gt;Não foi encontrado nenhum item veículo para o localizador HQAXGW</t>
  </si>
  <si>
    <t>174900754-13150</t>
  </si>
  <si>
    <t>b2bsemdisponibilidade--hotelapenaspagamentodireto</t>
  </si>
  <si>
    <t>ERRO: Cancelamento de Venda: Não há PNR no sistema para cancelar, venda não inserida!</t>
  </si>
  <si>
    <t xml:space="preserve">CANCELAMENTO </t>
  </si>
  <si>
    <t>HOMO77</t>
  </si>
  <si>
    <t>HOMO79</t>
  </si>
  <si>
    <t>HOMO80</t>
  </si>
  <si>
    <t>TESTE80</t>
  </si>
  <si>
    <t>TESTE81</t>
  </si>
  <si>
    <t>CGEBHA</t>
  </si>
  <si>
    <t xml:space="preserve">PreencherPnr-&gt;Número de voo informado é inválido:  507_ </t>
  </si>
  <si>
    <t>ZTLTMX</t>
  </si>
  <si>
    <t xml:space="preserve">PreencherPnr-&gt;Número de voo informado é inválido:  858_ </t>
  </si>
  <si>
    <t>YRLEHW</t>
  </si>
  <si>
    <t xml:space="preserve">PreencherPnr-&gt;Número de voo informado é inválido:  149_ </t>
  </si>
  <si>
    <t>GKLWSE</t>
  </si>
  <si>
    <t xml:space="preserve">PreencherPnr-&gt;Número de voo informado é inválido:  '    </t>
  </si>
  <si>
    <t>ARONVL</t>
  </si>
  <si>
    <t>PreencherPnr-&gt;Não foi encontrado nenhum item veículo para o localizador ARONVL</t>
  </si>
  <si>
    <t>MV4H1FIAASPBR</t>
  </si>
  <si>
    <t>PreencherPnr-&gt;Não foi encontrado nenhum item veículo para o localizador MV4H1FIAASPBR</t>
  </si>
  <si>
    <t>MV1OKA0QESBR</t>
  </si>
  <si>
    <t>PreencherPnr-&gt;Não foi encontrado nenhum item veículo para o localizador MV1OKA0QESBR</t>
  </si>
  <si>
    <t>AVO2QML9JA</t>
  </si>
  <si>
    <t>PreencherPnr-&gt;Não foi encontrado nenhum item veículo para o localizador AVO2QML9JA</t>
  </si>
  <si>
    <t>AQGVRD</t>
  </si>
  <si>
    <t>PreencherPnr-&gt;Não foi encontrado nenhum item veículo para o localizador AQGVRD</t>
  </si>
  <si>
    <t>MQIRNV</t>
  </si>
  <si>
    <t>PreencherPnr-&gt;Não foi encontrado nenhum item veículo para o localizador MQIRNV</t>
  </si>
  <si>
    <t>AVD5R353AMA</t>
  </si>
  <si>
    <t>PreencherPnr-&gt;Não foi encontrado nenhum item veículo para o localizador AVD5R353AMA</t>
  </si>
  <si>
    <t>OYOYCS</t>
  </si>
  <si>
    <t>PreencherPnr-&gt;Não foi encontrado nenhum item veículo para o localizador OYOYCS</t>
  </si>
  <si>
    <t>Inserindo PNR - Accountings - TurVendas - Não foi possível localizar o contrato do fornecedor 68264</t>
  </si>
  <si>
    <t>LOVZLX</t>
  </si>
  <si>
    <t>PreencherPnr-&gt;Não foi encontrado nenhum item veículo para o localizador LOVZLX</t>
  </si>
  <si>
    <t>H4396084</t>
  </si>
  <si>
    <t>h4396009</t>
  </si>
  <si>
    <t>EXLVZJ</t>
  </si>
  <si>
    <t>PreencherPnr-&gt;Não foi encontrado nenhum item veículo para o localizador EXLVZJ</t>
  </si>
  <si>
    <t>Inserindo PNR - Accountings - TurVendas - Não foi possível localizar o contrato do fornecedor 53845</t>
  </si>
  <si>
    <t>H4397177</t>
  </si>
  <si>
    <t>H4397290</t>
  </si>
  <si>
    <t>Out of memory&lt;-MontarAccountingsHotel&lt;-ProcessarHotel&lt;-ProcessarItemFila[b]</t>
  </si>
  <si>
    <t>Out of memory&lt;-ConverterClsAereoParaPnrs&lt;-ProcessarAereo&lt;-ProcessarItemFila[b]</t>
  </si>
  <si>
    <t>Out of memory&lt;-MontarAccountingsCarro&lt;-ProcessarCarro&lt;-ProcessarItemFila[b]</t>
  </si>
  <si>
    <t>PreencherPnr-&gt;AlterarAccountingCustom-&gt; Erro: AlterarAccounting-&gt; Erro: Canal de venda com descrição  KON-OPE-RIO-PVI-BTC RJ não encontrado!</t>
  </si>
  <si>
    <t>h4397188</t>
  </si>
  <si>
    <t>Cliente não informado! (solicitacao.codigoCliente)</t>
  </si>
  <si>
    <t>H4398776</t>
  </si>
  <si>
    <t>IQHGRE</t>
  </si>
  <si>
    <t>MI21SP</t>
  </si>
  <si>
    <t>ACPRGA</t>
  </si>
  <si>
    <t>PreencherPnr-&gt;Não foi encontrado nenhum item veículo para o localizador ACPRGA</t>
  </si>
  <si>
    <t>AQYSGX</t>
  </si>
  <si>
    <t>PreencherPnr-&gt;Não foi encontrado nenhum item veículo para o localizador AQYSGX</t>
  </si>
  <si>
    <t>OWDWAO</t>
  </si>
  <si>
    <t>PreencherPnr-&gt;Não foi encontrado nenhum item veículo para o localizador OWDWAO</t>
  </si>
  <si>
    <t>H4398712</t>
  </si>
  <si>
    <t>H383530</t>
  </si>
  <si>
    <t>HBJKKX</t>
  </si>
  <si>
    <t>PreencherPnr-&gt;Não foi encontrado nenhum item veículo para o localizador HBJKKX</t>
  </si>
  <si>
    <t>H4399504</t>
  </si>
  <si>
    <t>H4395564</t>
  </si>
  <si>
    <t>H4401280</t>
  </si>
  <si>
    <t>Atualizando PNR - Accountings Carro - Ocorreu o erro 'The DELETE statement conflicted with the REFERENCE constraint "FK_4574_57066". The conflict occurred in database "Corporativo", table "dbo.VM_INFCTRL", column 'ACCOUNTING'.</t>
  </si>
  <si>
    <t>WWZQJQ</t>
  </si>
  <si>
    <t>PreencherPnr-&gt;Não foi encontrado nenhum item veículo para o localizador WWZQJQ</t>
  </si>
  <si>
    <t>h4402198</t>
  </si>
  <si>
    <t>175461272-15805</t>
  </si>
  <si>
    <t>H4399891</t>
  </si>
  <si>
    <t>Inserindo PNR - Accountings - TurVendas - Não foi possível localizar o contrato do fornecedor 9681</t>
  </si>
  <si>
    <t>ILDWFB</t>
  </si>
  <si>
    <t>PreencherPnr-&gt;Não foi encontrado nenhum item veículo para o localizador ILDWFB</t>
  </si>
  <si>
    <t>Inserindo PNR - Accountings - TurVendas - Não foi possível localizar o contrato do fornecedor 5591</t>
  </si>
  <si>
    <t>175591146-90021</t>
  </si>
  <si>
    <t>NDVVPL</t>
  </si>
  <si>
    <t>PreencherPnr-&gt;Não foi encontrado nenhum item veículo para o localizador NDVVPL</t>
  </si>
  <si>
    <t>H4407869</t>
  </si>
  <si>
    <t>KTESTE3</t>
  </si>
  <si>
    <t>PreencherPnr-&gt;Não foi encontrado nenhum item veículo para o localizador KTESTE3</t>
  </si>
  <si>
    <t>PreencherPnr-&gt;AlterarAccountingCustom-&gt; Erro: AlterarAccounting-&gt; Erro: Canal de venda com descrição FCM-OPE-SAO-PVI-BTC CONCUR-TRAFIGUR não encontrado!</t>
  </si>
  <si>
    <t>Preenchendo XML Aéreo-&gt; Preenchendo XML-&gt; Montando accounting aereo-&gt;Montando trecho da accounting-&gt;Input string was not in a correct format.</t>
  </si>
  <si>
    <t>IFHMQZ</t>
  </si>
  <si>
    <t>PreencherPnr-&gt;Não foi encontrado nenhum item veículo para o localizador IFHMQZ</t>
  </si>
  <si>
    <t>NAVEHM</t>
  </si>
  <si>
    <t>PreencherPnr-&gt;Não foi encontrado nenhum item veículo para o localizador NAVEHM</t>
  </si>
  <si>
    <t>AUBHQG</t>
  </si>
  <si>
    <t>DJZAQH</t>
  </si>
  <si>
    <t>COTACAO</t>
  </si>
  <si>
    <t>PreencherPnr-&gt;Não foi encontrado nenhum item veículo para o localizador COTACAO</t>
  </si>
  <si>
    <t>DHJLZK</t>
  </si>
  <si>
    <t>PreencherPnr-&gt;Não foi encontrado nenhum item veículo para o localizador DHJLZK</t>
  </si>
  <si>
    <t>FKDCUC</t>
  </si>
  <si>
    <t>PreencherPnr-&gt;Não foi encontrado nenhum item veículo para o localizador FKDCUC</t>
  </si>
  <si>
    <t>SBORGF</t>
  </si>
  <si>
    <t>Inserindo Trecho - Parâmetro Fornecedor - TurVendas - Não foi possível localizar o contrato do fornecedor IX</t>
  </si>
  <si>
    <t>GNXWHH</t>
  </si>
  <si>
    <t>PreencherPnr-&gt;Não foi encontrado nenhum item veículo para o localizador GNXWHH</t>
  </si>
  <si>
    <t>175876429-04601</t>
  </si>
  <si>
    <t>FJMENM</t>
  </si>
  <si>
    <t>ARJRKY</t>
  </si>
  <si>
    <t>PreencherPnr-&gt;Não foi encontrado nenhum item veículo para o localizador ARJRKY</t>
  </si>
  <si>
    <t>Verificando Anexos - Could not convert variant of type (Null) into type (OleStr)</t>
  </si>
  <si>
    <t>Inserindo PNR - Accountings - TurVendas - Não foi possível localizar o contrato do fornecedor 57724</t>
  </si>
  <si>
    <t>175885546-57751</t>
  </si>
  <si>
    <t>JASIGN</t>
  </si>
  <si>
    <t>PreencherPnr-&gt;Não foi encontrado nenhum item veículo para o localizador JASIGN</t>
  </si>
  <si>
    <t>ANKDKT</t>
  </si>
  <si>
    <t>PreencherPnr-&gt;Não foi encontrado nenhum item veículo para o localizador ANKDKT</t>
  </si>
  <si>
    <t>Ocorreu o erro 'Transaction (Process ID 489) was deadlocked on lock resources with another process and has been chosen as the deadlock victim. Rerun the transaction.' na execução do comando SQL.&lt;-ImportarCliente&lt;-ProcessarHotel&lt;-ProcessarItemFila[b]</t>
  </si>
  <si>
    <t>MSHCHI</t>
  </si>
  <si>
    <t>PreencherPnr-&gt;Não foi encontrado nenhum item veículo para o localizador MSHCHI</t>
  </si>
  <si>
    <t>GQVEJL</t>
  </si>
  <si>
    <t>PreencherPnr-&gt;Não foi encontrado nenhum item veículo para o localizador GQVEJL</t>
  </si>
  <si>
    <t>Emissor de código  não encontrado!</t>
  </si>
  <si>
    <t>MEKYDJ</t>
  </si>
  <si>
    <t>PreencherPnr-&gt;Não foi encontrado nenhum item hotel para o localizador MEKYDJ</t>
  </si>
  <si>
    <t>GNDNMS</t>
  </si>
  <si>
    <t>PreencherPnr-&gt;Não foi encontrado nenhum item veículo para o localizador GNDNMS</t>
  </si>
  <si>
    <t>h4398274</t>
  </si>
  <si>
    <t>Inserindo PNR - Accountings - TurVendas - Não foi possível localizar o contrato do fornecedor 4062</t>
  </si>
  <si>
    <t>Inserindo PNR - Accountings - TurVendas - Não foi possível localizar o contrato do fornecedor H84698</t>
  </si>
  <si>
    <t>Não localizado cliente com CNPJ [820120000135].&lt;-ObterCliente&lt;-MontarPnrBase&lt;-ProcessarAereo&lt;-ProcessarItemFila[b]</t>
  </si>
  <si>
    <t>Não localizado cliente com CNPJ [2877632000406].&lt;-ObterCliente&lt;-MontarPnrBase&lt;-ProcessarAereo&lt;-ProcessarItemFila[b]</t>
  </si>
  <si>
    <t>Não localizado cliente código [1234567890].&lt;-ObterCliente&lt;-MontarPnrBase&lt;-ProcessarAereo&lt;-ProcessarItemFila[b]</t>
  </si>
  <si>
    <t>Preenchendo XML Hotel-&gt; Preenchendo XML-&gt; Montando accounting hotel-&gt;Montando pagamentos da accounting hotel-&gt;Recuperando cartão no WS-&gt;The request failed with HTTP status 502: Bad Gateway.</t>
  </si>
  <si>
    <t>Não localizado cliente com CNPJ [3334170000109].&lt;-ObterCliente&lt;-MontarPnrBase&lt;-ProcessarAereo&lt;-ProcessarItemFila[b]</t>
  </si>
  <si>
    <t>EJOWOS</t>
  </si>
  <si>
    <t>PreencherPnr-&gt;Não foi encontrado nenhum item veículo para o localizador EJOWOS</t>
  </si>
  <si>
    <t>OMPHYI</t>
  </si>
  <si>
    <t>PreencherPnr-&gt;Não foi encontrado nenhum item veículo para o localizador OMPHYI</t>
  </si>
  <si>
    <t>Não localizado cliente com CNPJ [8435509000179].&lt;-ObterCliente&lt;-MontarPnrBase&lt;-ProcessarAereo&lt;-ProcessarItemFila[b]</t>
  </si>
  <si>
    <t>Não localizado cliente código [0000035405].&lt;-ObterCliente&lt;-MontarPnrBase&lt;-ProcessarAereo&lt;-ProcessarItemFila[b]</t>
  </si>
  <si>
    <t>Não localizado cliente com CNPJ [3001068000183].&lt;-ObterCliente&lt;-MontarPnrBase&lt;-ProcessarAereo&lt;-ProcessarItemFila[b]</t>
  </si>
  <si>
    <t>Não localizado cliente com CNPJ [3988220000163].&lt;-ObterCliente&lt;-MontarPnrBase&lt;-ProcessarAereo&lt;-ProcessarItemFila[b]</t>
  </si>
  <si>
    <t>Inserindo PNR - Accountings - TurVendas - Não foi possível localizar o contrato do fornecedor 37832</t>
  </si>
  <si>
    <t>Não localizado cliente código [0000050269].&lt;-ObterCliente&lt;-MontarPnrBase&lt;-ProcessarAereo&lt;-ProcessarItemFila[b]</t>
  </si>
  <si>
    <t>Não localizado cliente código [0000035945].&lt;-ObterCliente&lt;-MontarPnrBase&lt;-ProcessarAereo&lt;-ProcessarItemFila[b]</t>
  </si>
  <si>
    <t>Não localizado cliente código [0000063625].&lt;-ObterCliente&lt;-MontarPnrBase&lt;-ProcessarAereo&lt;-ProcessarItemFila[b]</t>
  </si>
  <si>
    <t>Não localizado cliente com CNPJ [271682000177].&lt;-ObterCliente&lt;-MontarPnrBase&lt;-ProcessarAereo&lt;-ProcessarItemFila[b]</t>
  </si>
  <si>
    <t>Preenchendo XML Hotel-&gt; Preenchendo XML-&gt; Montando accounting hotel-&gt;Solicitação de hotel referente a esta cotação não foi encontrada (Id Cotação: 5)</t>
  </si>
  <si>
    <t>15249749-51274121</t>
  </si>
  <si>
    <t>MKUUTX-2</t>
  </si>
  <si>
    <t>Inserindo PNR - Accountings - TurVendas - Não foi possível localizar o contrato do fornecedor J2</t>
  </si>
  <si>
    <t>Inserindo Accounting Servico - Parâmetro Consolidador - TurVendas - Não foi possível localizar o contrato do fornecedor CLICKBUS</t>
  </si>
  <si>
    <t>STATUS</t>
  </si>
  <si>
    <t>IMOVWL</t>
  </si>
  <si>
    <t>Atualizando PNR - Accountings - '' is not a valid integer value</t>
  </si>
  <si>
    <t>FSOOKV</t>
  </si>
  <si>
    <t>PreencherPnr-&gt;Não foi encontrado nenhum item veículo para o localizador FSOOKV</t>
  </si>
  <si>
    <t>AHTSHM</t>
  </si>
  <si>
    <t>PreencherPnr-&gt;AlterarAccountingCustom-&gt; Erro: AlterarAccounting-&gt; Erro: Forma pagamento Cartão Convênio-&gt; Não foi possível determinar a validade do cartão, favor verificar os dados do cartão &lt;ItemAereoRAVDTO&gt;.</t>
  </si>
  <si>
    <t>JEYUFO</t>
  </si>
  <si>
    <t>PreencherPnr-&gt;Não foi encontrado nenhum item veículo para o localizador JEYUFO</t>
  </si>
  <si>
    <t>CDRXNS</t>
  </si>
  <si>
    <t>PreencherPnr-&gt;Não foi encontrado nenhum item veículo para o localizador CDRXNS</t>
  </si>
  <si>
    <t>HHLKQH</t>
  </si>
  <si>
    <t>PreencherPnr-&gt;Não foi encontrado nenhum item veículo para o localizador HHLKQH</t>
  </si>
  <si>
    <t>UOJBIC</t>
  </si>
  <si>
    <t>PreencherPnr-&gt;Não foi encontrado nenhum item veículo para o localizador UOJBIC</t>
  </si>
  <si>
    <t>AEURWI</t>
  </si>
  <si>
    <t>PreencherPnr-&gt;Não foi encontrado nenhum item hotel para o localizador AEURWI</t>
  </si>
  <si>
    <t>CATEGORIA DE ERRO</t>
  </si>
  <si>
    <t>RESPONSABILIDADE</t>
  </si>
  <si>
    <t>RESPOSÁVEL</t>
  </si>
  <si>
    <t>MOTIVO ERRO</t>
  </si>
  <si>
    <t>Preenchendo XML Rodoviário-&gt; Preenchendo XML-&gt; Consultando Agente-&gt; Consultando Agente-&gt; O agente Alexandre de Almeida Pardo está inativo.</t>
  </si>
  <si>
    <t>AGENTE INATIVO</t>
  </si>
  <si>
    <t>AGENTE DE VENDAS INATIVO NO BENNER</t>
  </si>
  <si>
    <t>Preenchendo XML Rodoviário-&gt; Preenchendo XML-&gt; Montando accounting rodoviário-&gt;Consultando Agente-&gt; Consultando Agente-&gt; O agente Alexandre de Almeida Pardo está inativo.</t>
  </si>
  <si>
    <t>CAMPO OBSERVAÇÃO PREENCHIDO INCORRETAMENTE</t>
  </si>
  <si>
    <t>Preenchendo XML Rodoviário-&gt; Preenchendo XML-&gt; Consultando Agente-&gt; Consultando Agente-&gt; O agente Edmilson Pereira Simas está inativo.</t>
  </si>
  <si>
    <t>ERRO NO OBT, TAG OU PRRENCHIMENTO DO CARTÃO</t>
  </si>
  <si>
    <t>Preenchendo XML Rodoviário-&gt; Preenchendo XML-&gt; Montando accounting rodoviário-&gt;Consultando Agente-&gt; Consultando Agente-&gt; O agente Edmilson Pereira Simas está inativo.</t>
  </si>
  <si>
    <t>CENTRO DE CUSTO NÃO INFORMADO NA RESERVA</t>
  </si>
  <si>
    <t>Preenchendo XML Serviço-&gt; Preenchendo XML-&gt; Montando accounting aereo 3-&gt;Reserva 1F não encontrada para importar assento/bagagem!</t>
  </si>
  <si>
    <t>DK DE CLIENTE NÃO PREENCIDO / CLIENTE NÃO CONFIGURADO NO OBT</t>
  </si>
  <si>
    <t>Preenchendo XML Serviço-&gt; Preenchendo XML-&gt; Montando accounting aereo 3-&gt;Reserva 2F não encontrada para importar assento/bagagem!</t>
  </si>
  <si>
    <t>REMARK U*INFOPAG-CC/REC-CC</t>
  </si>
  <si>
    <t>TAG &lt;XPTO&gt; PRENCHIDA INCORRETAMENTE</t>
  </si>
  <si>
    <t>Preenchendo XML Serviço-&gt; Preenchendo XML-&gt; Montando accounting aereo 3-&gt;Reserva BAGAGE não encontrada para importar assento/bagagem!</t>
  </si>
  <si>
    <t>AUSENCIA DE REFERENCIA</t>
  </si>
  <si>
    <t>CÓDIGO DIFERENTE DO CADASTRADO NO BENNER (CLIENTE X GRUPO)</t>
  </si>
  <si>
    <t>Preenchendo XML Serviço-&gt; Preenchendo XML-&gt; Montando accounting aereo 3-&gt;Reserva CONFIR não encontrada para importar assento/bagagem!</t>
  </si>
  <si>
    <t>Preenchendo XML Serviço-&gt; Preenchendo XML-&gt; Montando accounting aereo 3-&gt;Reserva EDLLVM não encontrada para importar assento/bagagem!</t>
  </si>
  <si>
    <t>Preenchendo XML Serviço-&gt; Preenchendo XML-&gt; Montando accounting aereo 3-&gt;Reserva EWLRUH não encontrada para importar assento/bagagem!</t>
  </si>
  <si>
    <t>ERRO NA IMPORTAÇÃO/MODIFICAÇÃO DAS INFOMAÇÕES</t>
  </si>
  <si>
    <t>Preenchendo XML Serviço-&gt; Preenchendo XML-&gt; Montando accounting aereo 3-&gt;Reserva LOC-GQ não encontrada para importar assento/bagagem!</t>
  </si>
  <si>
    <t>TEXTO FORA DO PADRÃO ACEITO NO CAMPO</t>
  </si>
  <si>
    <t>Preenchendo XML Serviço-&gt; Preenchendo XML-&gt; Montando accounting aereo 3-&gt;Reserva LOC-PP não encontrada para importar assento/bagagem!</t>
  </si>
  <si>
    <t>ERRO NO REMARK</t>
  </si>
  <si>
    <t>CONTRATO INATIVO, INCORRETO OU NÃO CADASTRADO</t>
  </si>
  <si>
    <t>Preenchendo XML Serviço-&gt; Preenchendo XML-&gt; Montando accounting aereo 3-&gt;Reserva Bg não encontrada para importar assento/bagagem!</t>
  </si>
  <si>
    <t>ERRO NO XML</t>
  </si>
  <si>
    <t>Código [100014] Mensagem [Problemas ao abrir a reserva.] Detalhes Mensagem [Authentication failedAuthentication failed]&lt;-ConsultarReserva&lt;-ProcessarItemFila[b]</t>
  </si>
  <si>
    <t>AUTENTICAÇÃO - LIBERAÇÃO PCC</t>
  </si>
  <si>
    <t>Nº DE CARACTERES EXCEDIDO</t>
  </si>
  <si>
    <t>EXCEDEU O Nº DE CARACTERES NO CAMPO FINALIDADE (60)</t>
  </si>
  <si>
    <t>Código [3019] Mensagem [Não foi possível carregar os dados da reserva. Por favor verifique se o localizador é SABRE.] Detalhes Mensagem [Authentication failedAuthentication failed]&lt;-ConsultarReserva&lt;-ProcessarItemFila[b]</t>
  </si>
  <si>
    <t>Nº DO VOO NÃO PREENCHIDO OU INCORRETO NA RESERVA</t>
  </si>
  <si>
    <t>PreencherPnr-&gt;'Benner.Turismo.Integracao.WSGover.ItemHotelDTO' does not contain a definition for 'NumeroAutorizacaoDebito'</t>
  </si>
  <si>
    <t>AUTORIZAÇÃO DÉBITO</t>
  </si>
  <si>
    <t>PAGAMENTO NÃO INFORMADO</t>
  </si>
  <si>
    <t>ERRO NA TAG COM A FORMA DE PAGAMENTO</t>
  </si>
  <si>
    <r>
      <t xml:space="preserve">REMARK </t>
    </r>
    <r>
      <rPr>
        <b/>
        <sz val="11"/>
        <color theme="1"/>
        <rFont val="Calibri"/>
        <family val="2"/>
        <scheme val="minor"/>
      </rPr>
      <t>U*INFOPAG-CC/REC-CC</t>
    </r>
    <r>
      <rPr>
        <sz val="11"/>
        <color theme="1"/>
        <rFont val="Calibri"/>
        <family val="2"/>
        <scheme val="minor"/>
      </rPr>
      <t xml:space="preserve"> PREENCHIDO INCORRETAMENTE</t>
    </r>
  </si>
  <si>
    <t>PreencherPnr-&gt;AlterarAccountingCustom-&gt; Erro: AlterarAccounting-&gt; Erro: Administradora não encontrada para Bandeira: Indefinido</t>
  </si>
  <si>
    <t>RLOC NÃO PREENCHIDO NA RESERVA</t>
  </si>
  <si>
    <t>Montando accounting aereo-&gt;Bilhete/Rloc não informado! (aereoBilhete.bilhete)</t>
  </si>
  <si>
    <t>BILHETE / RLOC NÃO INFORMADO</t>
  </si>
  <si>
    <t>PreencherPnr-&gt;AlterarAccountingCustom-&gt; Erro: AlterarAccounting-&gt; Erro: Canal de venda com descrição KON-OPE-SAO-PVI- SIGDO KOPPERS não encontrado!</t>
  </si>
  <si>
    <t>CANAL DE VENDA</t>
  </si>
  <si>
    <t>RESERVA CANCELADA NO OBT</t>
  </si>
  <si>
    <t>SOBRECARGA NA MÉMORIA DO SERVIDOR</t>
  </si>
  <si>
    <t>Não localizado cliente código [0000049975].&lt;-ObterCliente&lt;-MontarPnrBase&lt;-ProcessarAereo&lt;-ProcessarItemFila[b]</t>
  </si>
  <si>
    <t>Não localizado cliente código [0000054931].&lt;-ObterCliente&lt;-MontarPnrBase&lt;-ProcessarAereo&lt;-ProcessarItemFila[b]</t>
  </si>
  <si>
    <t>Não localizado cliente código [0000063750].&lt;-ObterCliente&lt;-MontarPnrBase&lt;-ProcessarAereo&lt;-ProcessarItemFila[b]</t>
  </si>
  <si>
    <t>Não localizado cliente código [0000072678].&lt;-ObterCliente&lt;-MontarPnrBase&lt;-ProcessarAereo&lt;-ProcessarItemFila[b]</t>
  </si>
  <si>
    <t>Não localizado cliente código [0000074836].&lt;-ObterCliente&lt;-MontarPnrBase&lt;-ProcessarAereo&lt;-ProcessarItemFila[b]</t>
  </si>
  <si>
    <t>Não localizado cliente código [0000074839].&lt;-ObterCliente&lt;-MontarPnrBase&lt;-MontarPnr&lt;-ProcessarHotel&lt;-ProcessarItemFila[b]</t>
  </si>
  <si>
    <t>Não localizado cliente código [0000074839].&lt;-ObterCliente&lt;-MontarPnrBase&lt;-ProcessarAereo&lt;-ProcessarItemFila[b]</t>
  </si>
  <si>
    <t>Montando accounting aereo-&gt;Montando pagamentos da accounting-&gt;Verificando cartão Agência no Benner-&gt;Object reference not set to an instance of an object.</t>
  </si>
  <si>
    <t>Montando pagamentos da accounting-&gt;Verificando cartão Agência no Benner-&gt;Object reference not set to an instance of an object.</t>
  </si>
  <si>
    <t>Montando pagamentos da accounting-&gt;Verificando cartão Agência no Benner-&gt;Referência de objeto não definida para uma instância de um objeto.</t>
  </si>
  <si>
    <t>Preenchendo XML Aéreo-&gt; Preenchendo XML-&gt; Consultando Agente-&gt; Object reference not set to an instance of an object.</t>
  </si>
  <si>
    <t>Preenchendo XML Aéreo-&gt; Preenchendo XML-&gt; Montando accounting aereo-&gt;Consultando Agente-&gt; Object reference not set to an instance of an object.</t>
  </si>
  <si>
    <t>Preenchendo XML Hotel-&gt; Preenchendo XML-&gt; Consultando Agente-&gt; Object reference not set to an instance of an object.</t>
  </si>
  <si>
    <t>Preenchendo XML Hotel-&gt; Preenchendo XML-&gt; Consultando Agente-&gt; Referência de objeto não definida para uma instância de um objeto.</t>
  </si>
  <si>
    <t>PreencherPnr-&gt;Object reference not set to an instance of an object.</t>
  </si>
  <si>
    <t>Atualizando PNR - Accountings Servico - TurVendas - Não foi possível localizar o contrato do fornecedor QUEROP</t>
  </si>
  <si>
    <t>Fornecedor [X1] não cadastrado no sistema&lt;-BuscarFornecedor&lt;-ConverterClsAereoParaPnrs&lt;-ProcessarAereo&lt;-ProcessarItemFila[b]</t>
  </si>
  <si>
    <t>Inserindo Accounting Servico - ParÃ¢metro Consolidador - TurVendas - Não foi possível localizar o contrato do fornecedor CLICKBUS</t>
  </si>
  <si>
    <t>Inserindo PNR - Accountings - TurVendas - Não foi possível localizar o contrato do fornecedor 20745</t>
  </si>
  <si>
    <t>Inserindo PNR - Accountings - TurVendas - Não foi possível localizar o contrato do fornecedor 29550</t>
  </si>
  <si>
    <t>Inserindo PNR - Accountings - TurVendas - Não foi possível localizar o contrato do fornecedor 31292</t>
  </si>
  <si>
    <t>Inserindo PNR - Accountings - TurVendas - Não foi possível localizar o contrato do fornecedor 33314</t>
  </si>
  <si>
    <t>Inserindo PNR - Accountings - TurVendas - Não foi possível localizar o contrato do fornecedor 34472</t>
  </si>
  <si>
    <t>Inserindo PNR - Accountings - TurVendas - Não foi possível localizar o contrato do fornecedor 3675</t>
  </si>
  <si>
    <t>Inserindo PNR - Accountings - TurVendas - Não foi possível localizar o contrato do fornecedor 3767</t>
  </si>
  <si>
    <t>Inserindo PNR - Accountings - TurVendas - Não foi possível localizar o contrato do fornecedor 38293</t>
  </si>
  <si>
    <t>Inserindo PNR - Accountings - TurVendas - Não foi possível localizar o contrato do fornecedor 43144</t>
  </si>
  <si>
    <t>Inserindo PNR - Accountings - TurVendas - Não foi possível localizar o contrato do fornecedor 4785</t>
  </si>
  <si>
    <t>Inserindo PNR - Accountings - TurVendas - Não foi possível localizar o contrato do fornecedor 47885</t>
  </si>
  <si>
    <t>Inserindo PNR - Accountings - TurVendas - Não foi possível localizar o contrato do fornecedor 51349</t>
  </si>
  <si>
    <t>Inserindo PNR - Accountings - TurVendas - Não foi possível localizar o contrato do fornecedor 54086</t>
  </si>
  <si>
    <t>Inserindo PNR - Accountings - TurVendas - Não foi possível localizar o contrato do fornecedor 57560</t>
  </si>
  <si>
    <t>Inserindo PNR - Accountings - TurVendas - Não foi possível localizar o contrato do fornecedor 6219</t>
  </si>
  <si>
    <t>Inserindo PNR - Accountings - TurVendas - Não foi possível localizar o contrato do fornecedor 73051</t>
  </si>
  <si>
    <t>Inserindo PNR - Accountings - TurVendas - Não foi possível localizar o contrato do fornecedor 8080</t>
  </si>
  <si>
    <t>Inserindo PNR - Accountings - TurVendas - Não foi possível localizar o contrato do fornecedor 84698</t>
  </si>
  <si>
    <t>Inserindo PNR - Accountings - TurVendas - Não foi possível localizar o contrato do fornecedor 9818</t>
  </si>
  <si>
    <t>Inserindo PNR - Accountings - TurVendas - Não foi possível localizar o contrato do fornecedor G1</t>
  </si>
  <si>
    <t>Inserindo PNR - Accountings - TurVendas - Não foi possível localizar o contrato do fornecedor G2</t>
  </si>
  <si>
    <t>Inserindo PNR - Accountings - TurVendas - Não foi possível localizar o contrato do fornecedor NX</t>
  </si>
  <si>
    <t>Inserindo PNR - Accountings - TurVendas - Não foi possível localizar o contrato do fornecedor O6</t>
  </si>
  <si>
    <t>Inserindo PNR - Accountings - TurVendas - Não foi possível localizar o contrato do fornecedor R4</t>
  </si>
  <si>
    <t>Inserindo PNR - Accountings - TurVendas - Não foi possível localizar o contrato do fornecedor UP</t>
  </si>
  <si>
    <t>Inserindo PNR - Accountings - TurVendas - Não foi possível localizar o contrato do fornecedor ZY</t>
  </si>
  <si>
    <t>Inserindo Trecho - ParÃ¢metro Fornecedor - TurVendas - Não foi possível localizar o contrato do fornecedor CC</t>
  </si>
  <si>
    <t>Inserindo Trecho - ParÃ¢metro Fornecedor - TurVendas - Não foi possível localizar o contrato do fornecedor DR</t>
  </si>
  <si>
    <t>Inserindo Trecho - ParÃ¢metro Fornecedor - TurVendas - Não foi possível localizar o contrato do fornecedor G1</t>
  </si>
  <si>
    <t>Inserindo Trecho - ParÃ¢metro Fornecedor - TurVendas - Não foi possível localizar o contrato do fornecedor O6</t>
  </si>
  <si>
    <t>Inserindo Trecho - ParÃ¢metro Fornecedor - TurVendas - Não foi possível localizar o contrato do fornecedor Q9</t>
  </si>
  <si>
    <t>Inserindo Trecho - ParÃ¢metro Fornecedor - TurVendas - Não foi possível localizar o contrato do fornecedor YY</t>
  </si>
  <si>
    <t>Inserindo Trecho - Parâmetro Fornecedor - TurVendas - Não foi possível localizar o contrato do fornecedor G1</t>
  </si>
  <si>
    <t>Inserindo Trecho - Parâmetro Fornecedor - TurVendas - Não foi possível localizar o contrato do fornecedor GQ</t>
  </si>
  <si>
    <t>Inserindo Trecho - Parâmetro Fornecedor - TurVendas - Não foi possível localizar o contrato do fornecedor ID</t>
  </si>
  <si>
    <t>Inserindo Trecho - Parâmetro Fornecedor - TurVendas - Não foi possível localizar o contrato do fornecedor O6</t>
  </si>
  <si>
    <t>Inserindo Trecho - Parâmetro Fornecedor - TurVendas - Não foi possível localizar o contrato do fornecedor WK</t>
  </si>
  <si>
    <t>Verificando Formas Pagamento/Recebimento - Inserindo ParÃ¢metros - TurVendas - Não foi possível localizar o contrato do fornecedor 41773</t>
  </si>
  <si>
    <t>Verificando Formas Pagamento/Recebimento - Inserindo ParÃ¢metros - TurVendas - Não foi possível localizar o contrato do fornecedor 6219</t>
  </si>
  <si>
    <t>Verificando Formas Pagamento/Recebimento - Inserindo Parâmetros - TurVendas - Não foi possível localizar o contrato do fornecedor 49032</t>
  </si>
  <si>
    <t>Inserindo PNR - Accountings - TurVendas - Não foi possível localizar o contrato do fornecedor 33543</t>
  </si>
  <si>
    <t>Verificando Anexos - Ocorreu o erro 'The UPDATE statement conflicted with the FOREIGN KEY constraint "FK_2929_90669". The conflict occurred in database "Corporativo", table "dbo.GN_PESSOAS", column 'HANDLE'.</t>
  </si>
  <si>
    <t>Verificando Formas Pagto/Rec - (ExecSQL) - Ocorreu o erro 'The UPDATE statement conflicted with the FOREIGN KEY constraint "FK_2929_90669". The conflict occurred in database "Corporativo", table "dbo.GN_PESSOAS", column 'HANDLE'.</t>
  </si>
  <si>
    <t>Verificando Anexos - Ocorreu o erro 'The column name 'K9_JUSTIFICATIVAPREDEFINIDA' is specified more than once in the SET clause or column list of an INSERT. A column cannot be assigned more than one value in the same clause. Modify the clause to make sure that a column is updated only once. If this statement updates or inserts columns into a view, column aliasing can conceal the duplication in your code.' na execução do comando SQL.</t>
  </si>
  <si>
    <t>WS Retorno-&gt;SV 12690099 nao foi encontrada para a credencial passada ou pode nao estar com Status de Concluida, Cancelado</t>
  </si>
  <si>
    <t>Informações de controle - Could not convert variant of type (Null) into type (OleStr)</t>
  </si>
  <si>
    <t>Input string was not in a correct format.&lt;-informacoesAdicionais&lt;-ConverterClsAereoParaPnrs&lt;-ProcessarAereo&lt;-ProcessarItemFila[b]</t>
  </si>
  <si>
    <t>Preenchendo XML Serviço-&gt; Preenchendo XML-&gt; Montando accounting aereo-&gt;Input string was not in a correct format.</t>
  </si>
  <si>
    <t>PreencherPnr-&gt;Input string was not in a correct format.</t>
  </si>
  <si>
    <t>Verificando Anexos - Could not convert variant of type (OleStr) into type (Integer)</t>
  </si>
  <si>
    <t>Verificando Formas Pagto/Rec - (ExecSQL) - Could not convert variant of type (OleStr) into type (Integer)</t>
  </si>
  <si>
    <t>Preenchendo XML Serviço-&gt; Preenchendo XML-&gt; Montando accounting aereo 3-&gt;Reserva cartao não encontrada para importar assento/bagagem!</t>
  </si>
  <si>
    <t xml:space="preserve">PreencherPnr-&gt;Número de voo informado é inválido:  859_ </t>
  </si>
  <si>
    <t>Exception of type 'System.OutOfMemoryException' was thrown.&lt;-ConverterClsAereoParaPnrs&lt;-ProcessarAereo&lt;-ProcessarItemFila[b]</t>
  </si>
  <si>
    <t>Exception of type 'System.OutOfMemoryException' was thrown.&lt;-MontarAccountingsHotel&lt;-ProcessarHotel&lt;-ProcessarItemFila[b]</t>
  </si>
  <si>
    <t>Montando accounting aereo-&gt;Montando pagamentos da accounting-&gt;Pagamento não informado!</t>
  </si>
  <si>
    <t>Length cannot be less than zero.</t>
  </si>
  <si>
    <t>PARÂMETRO INCORRETO</t>
  </si>
  <si>
    <t>Inserindo Accounting - (ExecSQL) - Not a legal OleAut date</t>
  </si>
  <si>
    <t>Preenchendo XML Aéreo-&gt; Preenchendo XML-&gt; Montando accounting aereo-&gt;Montando pagamentos da accounting-&gt;Recuperando cartão no WS-&gt;0031-Usuário (integracao.benner) / IP (201.46.31.11) bloqueado para acesso ao webservice.</t>
  </si>
  <si>
    <t>REPROCESSADO - PAPP03</t>
  </si>
  <si>
    <t>Inserindo Accounting - Tour Code não encontrado! Favor verificar se o mesmo está digitado corretamente.</t>
  </si>
  <si>
    <t>TOUR CODE</t>
  </si>
  <si>
    <t>PreencherPnr-&gt;AlterarAccountingCustom-&gt; Erro: AlterarAccounting-&gt; Erro: Valor não pode ser nulo.</t>
  </si>
  <si>
    <t>VALOR NULO</t>
  </si>
  <si>
    <t>ERRO: Cancelamento de Venda: NÃ£o hÃ¡ PNR no sistema para cancelar, venda nÃ£o inserida!</t>
  </si>
  <si>
    <t>Inserindo PNR - Accountings - TurVendas - Não foi possível localizar o contrato do fornecedor G3</t>
  </si>
  <si>
    <t>Atualizando PNR - (ExecSQL) - Ocorreu o erro 'Transaction (Process ID 69) was deadlocked on lock resources with another process and has been chosen as the deadlock victim. Rerun the transaction.' na execução do comando SQL.</t>
  </si>
  <si>
    <t>Verificando Formas Pagamento/Recebimento - Inserindo Parâmetros - TurVendas - Não foi possível localizar o contrato do fornecedor 48142</t>
  </si>
  <si>
    <t>WS Retorno-&gt;SV 14723024 nao foi encontrada para a credencial passada ou pode nao estar com Status de Concluida, Cancelado</t>
  </si>
  <si>
    <t>Preenchendo XML Serviço-&gt; Preenchendo XML-&gt; Montando accounting aereo 3-&gt;Reserva JQ não encontrada para importar assento/bagagem!</t>
  </si>
  <si>
    <t>Inserindo PNR - Accountings - TurVendas - Não foi possível localizar o contrato do fornecedor 48142</t>
  </si>
  <si>
    <t>Verificando Formas Pagto/Rec - (ExecSQL) - TurVendas - Não foi possível localizar o contrato do fornecedor H84698</t>
  </si>
  <si>
    <t>Verificando Formas Pagto/Rec - (ExecSQL) - TurVendas - Não foi possível localizar o contrato do fornecedor 9681</t>
  </si>
  <si>
    <t>CNPJ do cliente não informado no Remark (CLIENTE PGT-CL-)!&lt;-ObterCliente&lt;-MontarPnrBase&lt;-ProcessarAereo&lt;-ProcessarItemFila[b]</t>
  </si>
  <si>
    <t>Não localizado cliente com CNPJ [9108301000108].&lt;-ObterCliente&lt;-MontarPnrBase&lt;-ProcessarAereo&lt;-ProcessarItemFila[b]</t>
  </si>
  <si>
    <t>Não localizado cliente com CNPJ [1281360000171].&lt;-ObterCliente&lt;-MontarPnrBase&lt;-ProcessarAereo&lt;-ProcessarItemFila[b]</t>
  </si>
  <si>
    <t>Object reference not set to an instance of an object.&lt;-GetTrechosAccounting&lt;-ConverterClsAereoParaPnrs&lt;-ProcessarAereo&lt;-ProcessarItemFila[b]</t>
  </si>
  <si>
    <t>Não localizado cliente com CNPJ [5413409000153].&lt;-ObterCliente&lt;-MontarPnrBase&lt;-ProcessarAereo&lt;-ProcessarItemFila[b]</t>
  </si>
  <si>
    <t>LPMHGP</t>
  </si>
  <si>
    <t>PreencherPnr-&gt;Não foi encontrado nenhum item hotel para o localizador LPMHGP</t>
  </si>
  <si>
    <t>FPUYSW</t>
  </si>
  <si>
    <t>PreencherPnr-&gt;Não foi encontrado nenhum item veículo para o localizador FPUYSW</t>
  </si>
  <si>
    <t>QTQZWP</t>
  </si>
  <si>
    <t>PreencherPnr-&gt;Não foi encontrado nenhum item veículo para o localizador QTQZWP</t>
  </si>
  <si>
    <t>Inserindo Accounting - (ExecSQL) - Could not convert variant of type (Null) into type (OleStr)</t>
  </si>
  <si>
    <t>Não localizado cliente com CNPJ [4120966000113].&lt;-ObterCliente&lt;-MontarPnrBase&lt;-ProcessarAereo&lt;-ProcessarItemFila[b]</t>
  </si>
  <si>
    <t>NJOYAB</t>
  </si>
  <si>
    <t>Error in deserializing body of reply message for operation 'pesquisarSolicitacao'.</t>
  </si>
  <si>
    <t>Erro durante a desserialização do corpo da mensagem de resposta para a operação 'pesquisarSolicitacao'.</t>
  </si>
  <si>
    <t>15461643-22100850</t>
  </si>
  <si>
    <t>FFIFJB</t>
  </si>
  <si>
    <t>Inserindo Trecho - Parâmetro Fornecedor - TurVendas - Não foi possível localizar o contrato do fornecedor BG</t>
  </si>
  <si>
    <t>15461803-22100918</t>
  </si>
  <si>
    <t>OYFZXC</t>
  </si>
  <si>
    <t>KGSIXA</t>
  </si>
  <si>
    <t>KLJKWG</t>
  </si>
  <si>
    <t>NPPTYC</t>
  </si>
  <si>
    <t>PreencherPnr-&gt;Não foi encontrado nenhum item veículo para o localizador NPPTYC</t>
  </si>
  <si>
    <t>IILHRF</t>
  </si>
  <si>
    <t>PreencherPnr-&gt;Não foi encontrado nenhum item veículo para o localizador IILHRF</t>
  </si>
  <si>
    <t>IPZQLE</t>
  </si>
  <si>
    <t>PreencherPnr-&gt;Não foi encontrado nenhum item veículo para o localizador IPZQLE</t>
  </si>
  <si>
    <t>DLTHOB</t>
  </si>
  <si>
    <t>YJHHDB</t>
  </si>
  <si>
    <t>JXZGRF</t>
  </si>
  <si>
    <t>PreencherPnr-&gt;Não foi encontrado nenhum item veículo para o localizador JXZGRF</t>
  </si>
  <si>
    <t>GTATMK</t>
  </si>
  <si>
    <t xml:space="preserve">PreencherPnr-&gt;Número de voo informado é inválido:  811_ </t>
  </si>
  <si>
    <t>KBHJXL</t>
  </si>
  <si>
    <t>PreencherPnr-&gt;Não foi encontrado nenhum item veículo para o localizador KBHJXL</t>
  </si>
  <si>
    <t>OSKLEW</t>
  </si>
  <si>
    <t>CJWVDB</t>
  </si>
  <si>
    <t>PreencherPnr-&gt;Não foi encontrado nenhum item veículo para o localizador CJWVDB</t>
  </si>
  <si>
    <t>YICZYO</t>
  </si>
  <si>
    <t>PreencherPnr-&gt;Não foi encontrado nenhum item veículo para o localizador YICZYO</t>
  </si>
  <si>
    <t>Preenchendo XML Hotel-&gt; Preenchendo XML-&gt; Montando accounting hotel-&gt;Montando pagamentos da accounting hotel-&gt;Recuperando cartão no WS-&gt;0031-Usuário (integracao.benner) / IP (152.67.57.97) bloqueado para acesso ao webservice.</t>
  </si>
  <si>
    <t>Não localizado cliente código [0000583808].&lt;-ObterCliente&lt;-MontarPnrBase&lt;-ProcessarAereo&lt;-ProcessarItemFila[b]</t>
  </si>
  <si>
    <t>Não localizado cliente com CNPJ [8373694000114].&lt;-ObterCliente&lt;-MontarPnrBase&lt;-ProcessarAereo&lt;-ProcessarItemFila[b]</t>
  </si>
  <si>
    <t>Inserindo Accounting - (ExecSQL) - List index out of bounds (0)</t>
  </si>
  <si>
    <t>Preenchendo XML Hotel-&gt; Preenchendo XML-&gt; Montando accounting hotel-&gt;Montando pagamentos da accounting hotel-&gt;Recuperando cartão no WS-&gt;Server was unable to process request. ---&gt; store procedure: Interface_Controle_Detalhe_Proc : Execution Timeout Expired.  The timeout period elapsed prior to completion of the operation or the server is not responding.</t>
  </si>
  <si>
    <t>GDSSO536WA</t>
  </si>
  <si>
    <t>PreencherPnr-&gt;Não foi encontrado nenhum item veículo para o localizador GDSSO536WA</t>
  </si>
  <si>
    <t>JKBW7G</t>
  </si>
  <si>
    <t>MV1MG3BRW9BR</t>
  </si>
  <si>
    <t>PreencherPnr-&gt;Não foi encontrado nenhum item veículo para o localizador MV1MG3BRW9BR</t>
  </si>
  <si>
    <t>IPMYYP</t>
  </si>
  <si>
    <t>IPMYYPT</t>
  </si>
  <si>
    <t>Não localizado cliente com CNPJ [5763921000120].&lt;-ObterCliente&lt;-MontarPnrBase&lt;-ProcessarAereo&lt;-ProcessarItemFila[b]</t>
  </si>
  <si>
    <t>Verificando Trechos - Excluindo Trechos - Could not convert variant of type (Null) into type (OleStr)</t>
  </si>
  <si>
    <t>MS1GGB</t>
  </si>
  <si>
    <t>AIQESC</t>
  </si>
  <si>
    <t>AMARDB</t>
  </si>
  <si>
    <t>EHTKVM</t>
  </si>
  <si>
    <t>ENGZYJ</t>
  </si>
  <si>
    <t>EUTTIY</t>
  </si>
  <si>
    <t>FSKBYM</t>
  </si>
  <si>
    <t>GAGAFI</t>
  </si>
  <si>
    <t>Não localizado cliente com CNPJ [1359916000448].&lt;-ObterCliente&lt;-MontarPnrBase&lt;-ProcessarAereo&lt;-ProcessarItemFila[b]</t>
  </si>
  <si>
    <t>GDGWUZ</t>
  </si>
  <si>
    <t>GKBODBT</t>
  </si>
  <si>
    <t>GKBODB</t>
  </si>
  <si>
    <t>GUNBRT</t>
  </si>
  <si>
    <t>JBZRVR</t>
  </si>
  <si>
    <t>JSJVJZ</t>
  </si>
  <si>
    <t>KEKNGQ</t>
  </si>
  <si>
    <t>LIJMMNT</t>
  </si>
  <si>
    <t>LIJMMN</t>
  </si>
  <si>
    <t>LSXAFH</t>
  </si>
  <si>
    <t>Não localizado cliente código [0000583831].&lt;-ObterCliente&lt;-MontarPnrBase&lt;-ProcessarAereo&lt;-ProcessarItemFila[b]</t>
  </si>
  <si>
    <t>MBNRUR</t>
  </si>
  <si>
    <t>MYVOHV</t>
  </si>
  <si>
    <t>NLVWVH</t>
  </si>
  <si>
    <t>NZYYBU</t>
  </si>
  <si>
    <t>ONGSPV</t>
  </si>
  <si>
    <t>QRHXNJ</t>
  </si>
  <si>
    <t>SGPKRI</t>
  </si>
  <si>
    <t>SKXKWN</t>
  </si>
  <si>
    <t>UHTJGE</t>
  </si>
  <si>
    <t>UKDWJY</t>
  </si>
  <si>
    <t>WAZJZD</t>
  </si>
  <si>
    <t>WJCWXC</t>
  </si>
  <si>
    <t>WPBPFS</t>
  </si>
  <si>
    <t>YERPNN</t>
  </si>
  <si>
    <t>AEHJHM</t>
  </si>
  <si>
    <t>AVIJYE</t>
  </si>
  <si>
    <t>CBMTVY</t>
  </si>
  <si>
    <t>CRAOZC</t>
  </si>
  <si>
    <t>Não localizado cliente código [0000028612].&lt;-ObterCliente&lt;-MontarPnrBase&lt;-ProcessarAereo&lt;-ProcessarItemFila[b]</t>
  </si>
  <si>
    <t>DYCDMO</t>
  </si>
  <si>
    <t>EICIHZ</t>
  </si>
  <si>
    <t>ENPBBR</t>
  </si>
  <si>
    <t>HCLCNYT</t>
  </si>
  <si>
    <t>HCLCNY</t>
  </si>
  <si>
    <t>IEMKHB</t>
  </si>
  <si>
    <t>ISWSUH</t>
  </si>
  <si>
    <t>JSTSCW</t>
  </si>
  <si>
    <t>QSKFWM</t>
  </si>
  <si>
    <t>UBGCGY</t>
  </si>
  <si>
    <t>UOIBUJ</t>
  </si>
  <si>
    <t>UZXREBT</t>
  </si>
  <si>
    <t>UZXREB</t>
  </si>
  <si>
    <t>YQDVXO</t>
  </si>
  <si>
    <t>CONTRATO FORNECEDOR</t>
  </si>
  <si>
    <t>TAGS DE DETALHAMENTO DO SERVIÇO NÃO ENVIADO NO XML</t>
  </si>
  <si>
    <t>AAQMIO</t>
  </si>
  <si>
    <t>ACEZKD</t>
  </si>
  <si>
    <t>AUOZUQ</t>
  </si>
  <si>
    <t>AXHITO</t>
  </si>
  <si>
    <t>Não localizado cliente com CNPJ [357038000116].&lt;-ObterCliente&lt;-MontarPnrBase&lt;-ProcessarAereo&lt;-ProcessarItemFila[b]</t>
  </si>
  <si>
    <t>AZLBHP</t>
  </si>
  <si>
    <t>CDVMNIT</t>
  </si>
  <si>
    <t>CDVMNI</t>
  </si>
  <si>
    <t>CFOVVN</t>
  </si>
  <si>
    <t>CLLQQF</t>
  </si>
  <si>
    <t>CJUXHJ</t>
  </si>
  <si>
    <t>CHVGBM</t>
  </si>
  <si>
    <t>CGJJJY</t>
  </si>
  <si>
    <t>COPUFF</t>
  </si>
  <si>
    <t>CGCPGM</t>
  </si>
  <si>
    <t>CCDFAX</t>
  </si>
  <si>
    <t>CZXTHP</t>
  </si>
  <si>
    <t>CAUHKT</t>
  </si>
  <si>
    <t>AZBJEL</t>
  </si>
  <si>
    <t>Não localizado cliente código [0000392619].&lt;-ObterCliente&lt;-MontarPnrBase&lt;-ProcessarAereo&lt;-ProcessarItemFila[b]</t>
  </si>
  <si>
    <t>AVSCANT</t>
  </si>
  <si>
    <t>AVSCAN</t>
  </si>
  <si>
    <t>DQLRDD</t>
  </si>
  <si>
    <t>DRAAHXT</t>
  </si>
  <si>
    <t>DRAAHX</t>
  </si>
  <si>
    <t>DSRKKQT</t>
  </si>
  <si>
    <t>DSRKKQ</t>
  </si>
  <si>
    <t>ALWGDU</t>
  </si>
  <si>
    <t>DYAUIW</t>
  </si>
  <si>
    <t>AGRZCQ</t>
  </si>
  <si>
    <t>Não localizado cliente com CNPJ [4611797000114].&lt;-ObterCliente&lt;-MontarPnrBase&lt;-ProcessarAereo&lt;-ProcessarItemFila[b]</t>
  </si>
  <si>
    <t>EBRLWS</t>
  </si>
  <si>
    <t>ACGUKN</t>
  </si>
  <si>
    <t>ABHWYV</t>
  </si>
  <si>
    <t>AABYOR</t>
  </si>
  <si>
    <t>CLQLHO</t>
  </si>
  <si>
    <t>EMSSFQT</t>
  </si>
  <si>
    <t>EMSSFQ</t>
  </si>
  <si>
    <t>CPWOGUT</t>
  </si>
  <si>
    <t>CPWOGU</t>
  </si>
  <si>
    <t>CPWSOQ</t>
  </si>
  <si>
    <t>CSZRYR</t>
  </si>
  <si>
    <t>CVELRT</t>
  </si>
  <si>
    <t>EXWEUZ</t>
  </si>
  <si>
    <t>EYHOWO</t>
  </si>
  <si>
    <t>FCFVHA</t>
  </si>
  <si>
    <t>DBLLXKT</t>
  </si>
  <si>
    <t>DBLLXK</t>
  </si>
  <si>
    <t>DBNKSR</t>
  </si>
  <si>
    <t>FJFWIE</t>
  </si>
  <si>
    <t>FJTULD</t>
  </si>
  <si>
    <t>FPKFJP</t>
  </si>
  <si>
    <t>FQORIY</t>
  </si>
  <si>
    <t>FREVEG</t>
  </si>
  <si>
    <t>DTKUXX</t>
  </si>
  <si>
    <t>FXEFLN</t>
  </si>
  <si>
    <t>FXUENR</t>
  </si>
  <si>
    <t>FYRNLY</t>
  </si>
  <si>
    <t>Não localizado cliente código [0000000].&lt;-ObterCliente&lt;-MontarPnrBase&lt;-ProcessarAereo&lt;-ProcessarItemFila[b]</t>
  </si>
  <si>
    <t>DZCQSR</t>
  </si>
  <si>
    <t>EAXFFY</t>
  </si>
  <si>
    <t>ELTFNE</t>
  </si>
  <si>
    <t>EOCEVT</t>
  </si>
  <si>
    <t>Inserindo PNR - Accountings - TurVendas - Não foi possível localizar o contrato do fornecedor 7C</t>
  </si>
  <si>
    <t>EVLOQK</t>
  </si>
  <si>
    <t>FFZEHM</t>
  </si>
  <si>
    <t>Não localizado cliente código [0000028635].&lt;-ObterCliente&lt;-MontarPnrBase&lt;-ProcessarAereo&lt;-ProcessarItemFila[b]</t>
  </si>
  <si>
    <t>HHLWQFT</t>
  </si>
  <si>
    <t>HHLWQF</t>
  </si>
  <si>
    <t>Não localizado cliente código [0000059700].&lt;-ObterCliente&lt;-MontarPnrBase&lt;-MontarPnr&lt;-ProcessarHotel&lt;-ProcessarItemFila[b]</t>
  </si>
  <si>
    <t>HJRDEL</t>
  </si>
  <si>
    <t>HKODEU</t>
  </si>
  <si>
    <t>HLGZZX</t>
  </si>
  <si>
    <t>HLXQAT</t>
  </si>
  <si>
    <t>FKQXRT</t>
  </si>
  <si>
    <t>HPIGHD</t>
  </si>
  <si>
    <t>FLMMGB</t>
  </si>
  <si>
    <t>HTZKRQ</t>
  </si>
  <si>
    <t>Não localizado cliente código [1145032332].&lt;-ObterCliente&lt;-MontarPnrBase&lt;-ProcessarAereo&lt;-ProcessarItemFila[b]</t>
  </si>
  <si>
    <t>FLXPZG</t>
  </si>
  <si>
    <t>FMXGWU</t>
  </si>
  <si>
    <t>IFCIXLT</t>
  </si>
  <si>
    <t>IFCIXL</t>
  </si>
  <si>
    <t>GHJZQG</t>
  </si>
  <si>
    <t>IHZJKP</t>
  </si>
  <si>
    <t>GIUBOM</t>
  </si>
  <si>
    <t>ILHKHA</t>
  </si>
  <si>
    <t>ILMQQU</t>
  </si>
  <si>
    <t>GPFDGF</t>
  </si>
  <si>
    <t>EJCREZ</t>
  </si>
  <si>
    <t>IWEHWV</t>
  </si>
  <si>
    <t>IYOHBB</t>
  </si>
  <si>
    <t>JFZXVV</t>
  </si>
  <si>
    <t>JGEOTY</t>
  </si>
  <si>
    <t>JHCLJY</t>
  </si>
  <si>
    <t>JHKJUV</t>
  </si>
  <si>
    <t>GVVGZU</t>
  </si>
  <si>
    <t>JKTSYZ</t>
  </si>
  <si>
    <t>JMBPBI</t>
  </si>
  <si>
    <t>JMRRLN</t>
  </si>
  <si>
    <t>JQZYNT</t>
  </si>
  <si>
    <t>JSOGFX</t>
  </si>
  <si>
    <t>JSPQSP</t>
  </si>
  <si>
    <t>JTRDJI</t>
  </si>
  <si>
    <t>HCPGHI</t>
  </si>
  <si>
    <t>KHSFPE</t>
  </si>
  <si>
    <t>KNPVJI</t>
  </si>
  <si>
    <t>KOXXSW</t>
  </si>
  <si>
    <t>KSNWEJ</t>
  </si>
  <si>
    <t>KTHILP</t>
  </si>
  <si>
    <t>KUKFBP</t>
  </si>
  <si>
    <t>Não localizado cliente com CNPJ [8896745000192].&lt;-ObterCliente&lt;-MontarPnrBase&lt;-ProcessarAereo&lt;-ProcessarItemFila[b]</t>
  </si>
  <si>
    <t>KWYRSS</t>
  </si>
  <si>
    <t>HDBMFFT</t>
  </si>
  <si>
    <t>HDBMFF</t>
  </si>
  <si>
    <t>HFZIQG</t>
  </si>
  <si>
    <t>LASKHU</t>
  </si>
  <si>
    <t>LBFUZO</t>
  </si>
  <si>
    <t>HOGPDAT</t>
  </si>
  <si>
    <t>HOGPDA</t>
  </si>
  <si>
    <t>HSVMDA</t>
  </si>
  <si>
    <t>LFKDWG</t>
  </si>
  <si>
    <t>HXTINU</t>
  </si>
  <si>
    <t>IAOAUQ</t>
  </si>
  <si>
    <t>LKJQKO</t>
  </si>
  <si>
    <t>LKXCLM</t>
  </si>
  <si>
    <t>LXDZVU</t>
  </si>
  <si>
    <t>Não localizado cliente com CNPJ [1930685000138].&lt;-ObterCliente&lt;-MontarPnrBase&lt;-ProcessarAereo&lt;-ProcessarItemFila[b]</t>
  </si>
  <si>
    <t>LZSGSJ</t>
  </si>
  <si>
    <t>IHPKQU</t>
  </si>
  <si>
    <t>MHLXAU</t>
  </si>
  <si>
    <t>MNLCVW</t>
  </si>
  <si>
    <t>MOFRAB</t>
  </si>
  <si>
    <t>MQOODP</t>
  </si>
  <si>
    <t>IUSOQS</t>
  </si>
  <si>
    <t>MTAIMO</t>
  </si>
  <si>
    <t>JHRUVT</t>
  </si>
  <si>
    <t>MZIBMB</t>
  </si>
  <si>
    <t>NGDESO</t>
  </si>
  <si>
    <t>NHVFLR</t>
  </si>
  <si>
    <t>NHWQLX</t>
  </si>
  <si>
    <t>Não localizado cliente com CNPJ [JTI PROCESSADORA].&lt;-ObterCliente&lt;-MontarPnrBase&lt;-ProcessarAereo&lt;-ProcessarItemFila[b]</t>
  </si>
  <si>
    <t>NJFSLJ</t>
  </si>
  <si>
    <t>NJSGPB</t>
  </si>
  <si>
    <t>NKEXRV</t>
  </si>
  <si>
    <t>NPPYHO</t>
  </si>
  <si>
    <t>NQXWBLT</t>
  </si>
  <si>
    <t>NQXWBL</t>
  </si>
  <si>
    <t>NSTUMAT</t>
  </si>
  <si>
    <t>NSTUMA</t>
  </si>
  <si>
    <t>Não localizado cliente código [HA04100203].&lt;-ObterCliente&lt;-MontarPnrBase&lt;-MontarPnr&lt;-ProcessarHotel&lt;-ProcessarItemFila[b]</t>
  </si>
  <si>
    <t>NUKBZS</t>
  </si>
  <si>
    <t>Não localizado cliente com CNPJ [2379828000128].&lt;-ObterCliente&lt;-MontarPnrBase&lt;-ProcessarAereo&lt;-ProcessarItemFila[b]</t>
  </si>
  <si>
    <t>NUSKYF</t>
  </si>
  <si>
    <t>NVLYSO</t>
  </si>
  <si>
    <t>NVOYAB</t>
  </si>
  <si>
    <t>NXCDYO</t>
  </si>
  <si>
    <t>NYDJRP</t>
  </si>
  <si>
    <t>NZVUAC</t>
  </si>
  <si>
    <t>KXLBQA</t>
  </si>
  <si>
    <t>OAFPQC</t>
  </si>
  <si>
    <t>Não localizado cliente código [2145032332].&lt;-ObterCliente&lt;-MontarPnrBase&lt;-ProcessarAereo&lt;-ProcessarItemFila[b]</t>
  </si>
  <si>
    <t>OCFFCP</t>
  </si>
  <si>
    <t>OGVEWLT</t>
  </si>
  <si>
    <t>OGVEWL</t>
  </si>
  <si>
    <t>OIFUVBT</t>
  </si>
  <si>
    <t>OIFUVB</t>
  </si>
  <si>
    <t>LFVQRC</t>
  </si>
  <si>
    <t>OLTSRA</t>
  </si>
  <si>
    <t>OSYDER</t>
  </si>
  <si>
    <t>OTBHHS</t>
  </si>
  <si>
    <t>OXVWIL</t>
  </si>
  <si>
    <t>QBJAPU</t>
  </si>
  <si>
    <t>MEUYDY</t>
  </si>
  <si>
    <t>QILLPV</t>
  </si>
  <si>
    <t>QKKCWB</t>
  </si>
  <si>
    <t>QLWOZL</t>
  </si>
  <si>
    <t>Não localizado cliente com CNPJ [2016507000169].&lt;-ObterCliente&lt;-MontarPnrBase&lt;-ProcessarAereo&lt;-ProcessarItemFila[b]</t>
  </si>
  <si>
    <t>QLWOZLT</t>
  </si>
  <si>
    <t>Não localizado cliente com CNPJ [2016507000169].&lt;-ObterCliente&lt;-MontarPnrBase&lt;-MontarPnr&lt;-ProcessarHotel&lt;-ProcessarItemFila[b]</t>
  </si>
  <si>
    <t>QMCWDO</t>
  </si>
  <si>
    <t>QMHCKV</t>
  </si>
  <si>
    <t>MJUNAW</t>
  </si>
  <si>
    <t>QNBIKV</t>
  </si>
  <si>
    <t>MRVHRY</t>
  </si>
  <si>
    <t>SEHTJL</t>
  </si>
  <si>
    <t>SEHUHK</t>
  </si>
  <si>
    <t>IZCREW</t>
  </si>
  <si>
    <t>SHKZPE</t>
  </si>
  <si>
    <t>SLRCML</t>
  </si>
  <si>
    <t>SWHFMW</t>
  </si>
  <si>
    <t>UAABCN</t>
  </si>
  <si>
    <t>NWKESQ</t>
  </si>
  <si>
    <t>UELNUI</t>
  </si>
  <si>
    <t>UEVQXQ</t>
  </si>
  <si>
    <t>UGZZJJT</t>
  </si>
  <si>
    <t>UGZZJJ</t>
  </si>
  <si>
    <t>NXPDYQ</t>
  </si>
  <si>
    <t>UNOHSI</t>
  </si>
  <si>
    <t>UNWTBI</t>
  </si>
  <si>
    <t>OHQQHX</t>
  </si>
  <si>
    <t>OJJJLX-1</t>
  </si>
  <si>
    <t>OJJJLX</t>
  </si>
  <si>
    <t>Não localizado cliente código [E000000002].&lt;-ObterCliente&lt;-MontarPnrBase&lt;-ProcessarAereo&lt;-ProcessarItemFila[b]</t>
  </si>
  <si>
    <t>UTJAJO</t>
  </si>
  <si>
    <t>UTYPGA</t>
  </si>
  <si>
    <t>UUIZQN</t>
  </si>
  <si>
    <t>UWQAVF</t>
  </si>
  <si>
    <t>UXWBMBT</t>
  </si>
  <si>
    <t>UXWBMB</t>
  </si>
  <si>
    <t>Não localizado cliente com CNPJ [357038000116].&lt;-ObterCliente&lt;-MontarPnrBase&lt;-MontarPnr&lt;-ProcessarHotel&lt;-ProcessarItemFila[b]</t>
  </si>
  <si>
    <t>UZPNOR</t>
  </si>
  <si>
    <t>QAYJCP</t>
  </si>
  <si>
    <t>WACORB</t>
  </si>
  <si>
    <t>WAZGSU</t>
  </si>
  <si>
    <t>QEIUFZ</t>
  </si>
  <si>
    <t>WFAFCE</t>
  </si>
  <si>
    <t>WMDPKX</t>
  </si>
  <si>
    <t>WVKYLD</t>
  </si>
  <si>
    <t>WXEOGL</t>
  </si>
  <si>
    <t>MVNHCP</t>
  </si>
  <si>
    <t>YAORMN</t>
  </si>
  <si>
    <t>YASJAS</t>
  </si>
  <si>
    <t>YEHCVD</t>
  </si>
  <si>
    <t>YJEKLS</t>
  </si>
  <si>
    <t>YJYGUX</t>
  </si>
  <si>
    <t>SYAKEDT</t>
  </si>
  <si>
    <t>SYAKED</t>
  </si>
  <si>
    <t>Não localizado cliente código [EP0CLNT100].&lt;-ObterCliente&lt;-MontarPnrBase&lt;-MontarPnr&lt;-ProcessarHotel&lt;-ProcessarItemFila[b]</t>
  </si>
  <si>
    <t>YMZGRO</t>
  </si>
  <si>
    <t>YUZFFS</t>
  </si>
  <si>
    <t>YVOMEQ</t>
  </si>
  <si>
    <t>YVYRPN</t>
  </si>
  <si>
    <t>YXEKUC</t>
  </si>
  <si>
    <t>WCGDBG</t>
  </si>
  <si>
    <t>WPQICB</t>
  </si>
  <si>
    <t>SVRVZL</t>
  </si>
  <si>
    <t>YKODDWT</t>
  </si>
  <si>
    <t>YKODDW</t>
  </si>
  <si>
    <t>Preenchendo XML Carro-&gt; Preenchendo XML-&gt; Montando accounting carro-&gt;Fornecedor com o código 415368  informado nos campos gerenciais não encontrado!</t>
  </si>
  <si>
    <t>Preenchendo XML Serviço-&gt; Preenchendo XML-&gt; Montando accounting aereo 3-&gt;Reserva KOXXSW não encontrada para importar assento/bagagem!</t>
  </si>
  <si>
    <t>Preenchendo XML Serviço-&gt; Preenchendo XML-&gt; Montando accounting aereo 3-&gt;Reserva REGULA não encontrada para importar assento/bagagem!</t>
  </si>
  <si>
    <t>Preenchendo XML Serviço-&gt; Preenchendo XML-&gt; Montando accounting aereo 3-&gt;Reserva AWQUUX não encontrada para importar assento/bagagem!</t>
  </si>
  <si>
    <t>MVBHOT</t>
  </si>
  <si>
    <t>Inserindo PNR - Accountings - TurVendas - Não foi possível localizar o contrato do fornecedor PK</t>
  </si>
  <si>
    <t>MQRPIO</t>
  </si>
  <si>
    <t>GBVKPF</t>
  </si>
  <si>
    <t>PreencherPnr-&gt;Não foi encontrado nenhum item veículo para o localizador GBVKPF</t>
  </si>
  <si>
    <t>MMMMMN</t>
  </si>
  <si>
    <t>PreencherPnr-&gt;Não foi encontrado nenhum item veículo para o localizador MMMMMN</t>
  </si>
  <si>
    <t>MZCSZD</t>
  </si>
  <si>
    <t>HRJNKU</t>
  </si>
  <si>
    <t>PreencherPnr-&gt;Não foi encontrado nenhum item hotel para o localizador HRJNKU</t>
  </si>
  <si>
    <t>GCOMJU</t>
  </si>
  <si>
    <t>PreencherPnr-&gt;Não foi encontrado nenhum item hotel para o localizador GCOMJU</t>
  </si>
  <si>
    <t>AYQNSL</t>
  </si>
  <si>
    <t>PreencherPnr-&gt;Não foi encontrado nenhum item hotel para o localizador AYQNSL</t>
  </si>
  <si>
    <t>FCOTPH</t>
  </si>
  <si>
    <t>UVBIBW</t>
  </si>
  <si>
    <t>PreencherPnr-&gt;Não foi encontrado nenhum item hotel para o localizador UVBIBW</t>
  </si>
  <si>
    <t>OWGGAN</t>
  </si>
  <si>
    <t>PreencherPnr-&gt;Não foi encontrado nenhum item hotel para o localizador OWGGAN</t>
  </si>
  <si>
    <t>CEOWMR</t>
  </si>
  <si>
    <t>CJXUIO</t>
  </si>
  <si>
    <t>CKLTDA</t>
  </si>
  <si>
    <t>CKLTDAT</t>
  </si>
  <si>
    <t>COJPJG</t>
  </si>
  <si>
    <t>DUZZYC</t>
  </si>
  <si>
    <t>EQZXVH</t>
  </si>
  <si>
    <t>EYAPGE</t>
  </si>
  <si>
    <t>FGSLJO</t>
  </si>
  <si>
    <t>FGSLJOT</t>
  </si>
  <si>
    <t>FIAPWL</t>
  </si>
  <si>
    <t>FIKLGM</t>
  </si>
  <si>
    <t>FNTSNU</t>
  </si>
  <si>
    <t>FVCFEV</t>
  </si>
  <si>
    <t>GHFCVP</t>
  </si>
  <si>
    <t>GHIPSO</t>
  </si>
  <si>
    <t>HAZEIY</t>
  </si>
  <si>
    <t>HDPKYW</t>
  </si>
  <si>
    <t>HDPKYWT</t>
  </si>
  <si>
    <t>HNOLOP</t>
  </si>
  <si>
    <t>HNOURN</t>
  </si>
  <si>
    <t>HQDPEQ</t>
  </si>
  <si>
    <t>HSIUFO</t>
  </si>
  <si>
    <t>HSVJFW</t>
  </si>
  <si>
    <t>HTUNHX</t>
  </si>
  <si>
    <t>HUQFYQ</t>
  </si>
  <si>
    <t>HYUYIL</t>
  </si>
  <si>
    <t>HZSBPW</t>
  </si>
  <si>
    <t>IKIRAO</t>
  </si>
  <si>
    <t>IMKVLQ</t>
  </si>
  <si>
    <t>JEIUVM</t>
  </si>
  <si>
    <t>JEMGPD</t>
  </si>
  <si>
    <t>JHMVXX</t>
  </si>
  <si>
    <t>JKFHDQ</t>
  </si>
  <si>
    <t>KFLCJA</t>
  </si>
  <si>
    <t>KLAYIL</t>
  </si>
  <si>
    <t>Não localizado cliente com CNPJ [7687005000183].&lt;-ObterCliente&lt;-MontarPnrBase&lt;-ProcessarAereo&lt;-ProcessarItemFila[b]</t>
  </si>
  <si>
    <t>KORGTZ</t>
  </si>
  <si>
    <t>LDWMXN</t>
  </si>
  <si>
    <t>LJSFPG</t>
  </si>
  <si>
    <t>MBZVMD</t>
  </si>
  <si>
    <t>MNKKDC</t>
  </si>
  <si>
    <t>MSSEKI</t>
  </si>
  <si>
    <t>MVAEML</t>
  </si>
  <si>
    <t>MWFBTY</t>
  </si>
  <si>
    <t>NGYEWPT</t>
  </si>
  <si>
    <t>NGYEWP</t>
  </si>
  <si>
    <t>NLYOWP</t>
  </si>
  <si>
    <t>OPLIAH</t>
  </si>
  <si>
    <t>OYKQDM</t>
  </si>
  <si>
    <t>OYZJWE</t>
  </si>
  <si>
    <t>OYZJWET</t>
  </si>
  <si>
    <t>QANKRK</t>
  </si>
  <si>
    <t>QMKNFV</t>
  </si>
  <si>
    <t>QSOOTH</t>
  </si>
  <si>
    <t>SIYQIY</t>
  </si>
  <si>
    <t>SJSPYG</t>
  </si>
  <si>
    <t>UFPCJG</t>
  </si>
  <si>
    <t>UGLOOI</t>
  </si>
  <si>
    <t>WJABJZT</t>
  </si>
  <si>
    <t>WJABJZ</t>
  </si>
  <si>
    <t>WNRWXV</t>
  </si>
  <si>
    <t>WPVPRG</t>
  </si>
  <si>
    <t>WTPHXZ</t>
  </si>
  <si>
    <t>WWGJCI</t>
  </si>
  <si>
    <t>WXEXDW</t>
  </si>
  <si>
    <t>WZFEJW</t>
  </si>
  <si>
    <t>WZFEJWT</t>
  </si>
  <si>
    <t>YSZAED</t>
  </si>
  <si>
    <t>YVBKIY</t>
  </si>
  <si>
    <t>YYNIHH</t>
  </si>
  <si>
    <t>YYTSKB</t>
  </si>
  <si>
    <t>Preenchendo XML Serviço-&gt; Preenchendo XML-&gt; Montando accounting aereo 3-&gt;Reserva confir não encontrada para importar assento/bagagem!</t>
  </si>
  <si>
    <t>PreencherPnr-&gt;Forma pagamento Cartão-&gt; Não foi possível determinar a validade do cartão, favor verificar os dados do cartão &lt;Id&gt;1341225&lt;/Id&gt;.</t>
  </si>
  <si>
    <t>PreencherPnr-&gt;Forma pagamento Cartão-&gt; Não foi possível determinar a validade do cartão, favor verificar os dados do cartão &lt;Id&gt;1341224&lt;/Id&gt;.</t>
  </si>
  <si>
    <t>PreencherPnr-&gt;Forma pagamento Cartão-&gt; Não foi possível determinar a validade do cartão, favor verificar os dados do cartão &lt;Id&gt;1341226&lt;/Id&gt;.</t>
  </si>
  <si>
    <t>PreencherPnr-&gt;Forma pagamento Cartão-&gt; Não foi possível determinar a validade do cartão, favor verificar os dados do cartão &lt;Id&gt;1341227&lt;/Id&gt;.</t>
  </si>
  <si>
    <t>PreencherPnr-&gt;Forma pagamento Cartão-&gt; Não foi possível determinar a validade do cartão, favor verificar os dados do cartão &lt;Id&gt;1341228&lt;/Id&gt;.</t>
  </si>
  <si>
    <t>PreencherPnr-&gt;Forma pagamento Cartão-&gt; Não foi possível determinar a validade do cartão, favor verificar os dados do cartão &lt;Id&gt;1348612&lt;/Id&gt;.</t>
  </si>
  <si>
    <t>PreencherPnr-&gt;Forma pagamento Cartão-&gt; Não foi possível determinar a validade do cartão, favor verificar os dados do cartão &lt;Id&gt;1354419&lt;/Id&gt;.</t>
  </si>
  <si>
    <t>PreencherPnr-&gt;Forma pagamento Cartão-&gt; Não foi possível determinar a validade do cartão, favor verificar os dados do cartão &lt;Id&gt;1356663&lt;/Id&gt;.</t>
  </si>
  <si>
    <t>PreencherPnr-&gt;Forma pagamento Cartão-&gt; Não foi possível determinar a validade do cartão, favor verificar os dados do cartão &lt;Id&gt;1363012&lt;/Id&gt;.</t>
  </si>
  <si>
    <t>PreencherPnr-&gt;Forma pagamento Cartão-&gt; Não foi possível determinar a validade do cartão, favor verificar os dados do cartão &lt;Id&gt;1364515&lt;/Id&gt;.</t>
  </si>
  <si>
    <t>PreencherPnr-&gt;Forma pagamento Cartão-&gt; Não foi possível determinar a validade do cartão, favor verificar os dados do cartão &lt;Id&gt;1369816&lt;/Id&gt;.</t>
  </si>
  <si>
    <t>PreencherPnr-&gt;Forma pagamento Cartão-&gt; Não foi possível determinar a validade do cartão, favor verificar os dados do cartão &lt;Id&gt;1119076&lt;/Id&gt;.</t>
  </si>
  <si>
    <t>PreencherPnr-&gt;Forma pagamento Cartão-&gt; Não foi possível determinar a validade do cartão, favor verificar os dados do cartão &lt;Id&gt;1408359&lt;/Id&gt;.</t>
  </si>
  <si>
    <t>FADKXQ</t>
  </si>
  <si>
    <t>PreencherPnr-&gt;Não foi encontrado nenhum item hotel para o localizador FADKXQ</t>
  </si>
  <si>
    <t>HUQZHG</t>
  </si>
  <si>
    <t>PreencherPnr-&gt;Não foi encontrado nenhum item hotel para o localizador HUQZHG</t>
  </si>
  <si>
    <t>2025</t>
  </si>
  <si>
    <t>jan</t>
  </si>
  <si>
    <t>fev</t>
  </si>
  <si>
    <t>mar</t>
  </si>
  <si>
    <t>abr</t>
  </si>
  <si>
    <t>mai</t>
  </si>
  <si>
    <t>jun</t>
  </si>
  <si>
    <t>Rótulos de Coluna</t>
  </si>
  <si>
    <t xml:space="preserve"> </t>
  </si>
  <si>
    <t>Contagem de OBT</t>
  </si>
  <si>
    <t>ERROS DE INTEGRAÇÃO AO DECORRER DOS MESES - POR OBT</t>
  </si>
  <si>
    <t>ACYHCY</t>
  </si>
  <si>
    <t>AHCRLF</t>
  </si>
  <si>
    <t>ALDUPY</t>
  </si>
  <si>
    <t>Não localizado cliente código [0004224627].&lt;-ObterCliente&lt;-MontarPnrBase&lt;-ProcessarAereo&lt;-ProcessarItemFila[b]</t>
  </si>
  <si>
    <t>ANUDNH</t>
  </si>
  <si>
    <t>APGOAC</t>
  </si>
  <si>
    <t>Não localizado cliente com CNPJ [NAO PRECISA CONTABILIZAR-GOVER].&lt;-ObterCliente&lt;-MontarPnrBase&lt;-ProcessarAereo&lt;-ProcessarItemFila[b]</t>
  </si>
  <si>
    <t>AQFEWZ</t>
  </si>
  <si>
    <t>Não localizado cliente com CNPJ [JTI PROCESSAODORA].&lt;-ObterCliente&lt;-MontarPnrBase&lt;-ProcessarAereo&lt;-ProcessarItemFila[b]</t>
  </si>
  <si>
    <t>Não localizado cliente código [0004223565].&lt;-ObterCliente&lt;-MontarPnrBase&lt;-ProcessarAereo&lt;-ProcessarItemFila[b]</t>
  </si>
  <si>
    <t>CCFFIH</t>
  </si>
  <si>
    <t>CKDSCH</t>
  </si>
  <si>
    <t>CMCGPE</t>
  </si>
  <si>
    <t>Verificando Anexos - TurVendas - Não foi possível localizar o contrato do fornecedor ID</t>
  </si>
  <si>
    <t>CNRUIK</t>
  </si>
  <si>
    <t>CZPMZC</t>
  </si>
  <si>
    <t>Não localizado cliente código [0123456789].&lt;-ObterCliente&lt;-MontarPnrBase&lt;-ProcessarAereo&lt;-ProcessarItemFila[b]</t>
  </si>
  <si>
    <t>DFORNZ</t>
  </si>
  <si>
    <t>DFORNZT</t>
  </si>
  <si>
    <t>DHQJBE</t>
  </si>
  <si>
    <t>DJEMYO</t>
  </si>
  <si>
    <t>DPBYRV</t>
  </si>
  <si>
    <t>DRUJXG</t>
  </si>
  <si>
    <t>DSMEXW</t>
  </si>
  <si>
    <t>EDKFVS</t>
  </si>
  <si>
    <t>EVPVJF</t>
  </si>
  <si>
    <t>EXQTQO</t>
  </si>
  <si>
    <t>EXZKLY</t>
  </si>
  <si>
    <t>EYBDXGT</t>
  </si>
  <si>
    <t>EYBDXG</t>
  </si>
  <si>
    <t>EYQXFA</t>
  </si>
  <si>
    <t>FEZMYF</t>
  </si>
  <si>
    <t>Não localizado cliente código [0000071840].&lt;-ObterCliente&lt;-MontarPnrBase&lt;-ProcessarAereo&lt;-ProcessarItemFila[b]</t>
  </si>
  <si>
    <t>FHTAMY</t>
  </si>
  <si>
    <t>FIKJCN</t>
  </si>
  <si>
    <t>FJEAWQ</t>
  </si>
  <si>
    <t>FKAZGG</t>
  </si>
  <si>
    <t>FWADDV</t>
  </si>
  <si>
    <t>GAXXQUT</t>
  </si>
  <si>
    <t>GAXXQU</t>
  </si>
  <si>
    <t>GCAMSUT</t>
  </si>
  <si>
    <t>GCAMSU</t>
  </si>
  <si>
    <t>Não localizado cliente código [HA02000504].&lt;-ObterCliente&lt;-MontarPnrBase&lt;-MontarPnr&lt;-ProcessarHotel&lt;-ProcessarItemFila[b]</t>
  </si>
  <si>
    <t>GEIXFX</t>
  </si>
  <si>
    <t>GEQPNB</t>
  </si>
  <si>
    <t>GGPDNR</t>
  </si>
  <si>
    <t>GGSJCXT</t>
  </si>
  <si>
    <t>GGSJCX</t>
  </si>
  <si>
    <t>GJDKDG</t>
  </si>
  <si>
    <t>GNMERM</t>
  </si>
  <si>
    <t>Não localizado cliente código [0000053687].&lt;-ObterCliente&lt;-MontarPnrBase&lt;-ProcessarAereo&lt;-ProcessarItemFila[b]</t>
  </si>
  <si>
    <t>GOEDJH</t>
  </si>
  <si>
    <t>GVGWNU</t>
  </si>
  <si>
    <t>HKPTKYT</t>
  </si>
  <si>
    <t>HKPTKY</t>
  </si>
  <si>
    <t>HNTILI</t>
  </si>
  <si>
    <t>HNUIXI</t>
  </si>
  <si>
    <t>HPBPUWT</t>
  </si>
  <si>
    <t>HPBPUW</t>
  </si>
  <si>
    <t>HTKYKJ</t>
  </si>
  <si>
    <t>HTMFOF</t>
  </si>
  <si>
    <t>HYLJFF</t>
  </si>
  <si>
    <t>HZITWL</t>
  </si>
  <si>
    <t>Não localizado cliente código [0000026561].&lt;-ObterCliente&lt;-MontarPnrBase&lt;-ProcessarAereo&lt;-ProcessarItemFila[b]</t>
  </si>
  <si>
    <t>HZQVZT</t>
  </si>
  <si>
    <t>IDZTDB</t>
  </si>
  <si>
    <t>IIRJWA</t>
  </si>
  <si>
    <t>IKIIOOT</t>
  </si>
  <si>
    <t>IKIIOO</t>
  </si>
  <si>
    <t>IQMLDW</t>
  </si>
  <si>
    <t>IQMLDWT</t>
  </si>
  <si>
    <t>IYLSEQ</t>
  </si>
  <si>
    <t>Não localizado cliente código [0000068439].&lt;-ObterCliente&lt;-MontarPnrBase&lt;-ProcessarAereo&lt;-ProcessarItemFila[b]</t>
  </si>
  <si>
    <t>IYLSEQC</t>
  </si>
  <si>
    <t>Não localizado cliente código [0000068439].&lt;-ObterCliente&lt;-MontarPnrBase&lt;-MontarPnr&lt;-ProcessarCarro&lt;-ProcessarItemFila[b]</t>
  </si>
  <si>
    <t>JEOZXH</t>
  </si>
  <si>
    <t>JHWGAE</t>
  </si>
  <si>
    <t>JLUORM</t>
  </si>
  <si>
    <t>JQBDUB</t>
  </si>
  <si>
    <t>JRFRQQ</t>
  </si>
  <si>
    <t>Não localizado cliente com CNPJ [JTI DISTRIBUIDORA NOVA CONCEICAO].&lt;-ObterCliente&lt;-MontarPnrBase&lt;-ProcessarAereo&lt;-ProcessarItemFila[b]</t>
  </si>
  <si>
    <t>JUCUSU</t>
  </si>
  <si>
    <t>JYPNBE</t>
  </si>
  <si>
    <t>Não localizado cliente código [0004220155].&lt;-ObterCliente&lt;-MontarPnrBase&lt;-ProcessarAereo&lt;-ProcessarItemFila[b]</t>
  </si>
  <si>
    <t>KHVHXP</t>
  </si>
  <si>
    <t>Não localizado cliente código [0000063134].&lt;-ObterCliente&lt;-MontarPnrBase&lt;-ProcessarAereo&lt;-ProcessarItemFila[b]</t>
  </si>
  <si>
    <t>KKAMPO</t>
  </si>
  <si>
    <t>KMHQOT</t>
  </si>
  <si>
    <t>KVEHVA</t>
  </si>
  <si>
    <t>KWNJXG</t>
  </si>
  <si>
    <t>KXCVAX</t>
  </si>
  <si>
    <t>LHUMDA</t>
  </si>
  <si>
    <t>LHUMDAC</t>
  </si>
  <si>
    <t>Não localizado cliente com CNPJ [2016507000169].&lt;-ObterCliente&lt;-MontarPnrBase&lt;-MontarPnr&lt;-ProcessarCarro&lt;-ProcessarItemFila[b]</t>
  </si>
  <si>
    <t>LHUMDAT</t>
  </si>
  <si>
    <t>LJZQKY</t>
  </si>
  <si>
    <t>LMWRAM</t>
  </si>
  <si>
    <t>LMWRAMT</t>
  </si>
  <si>
    <t>LRNISG</t>
  </si>
  <si>
    <t>LWHUVH</t>
  </si>
  <si>
    <t>LWXQNR</t>
  </si>
  <si>
    <t>MAIKUS</t>
  </si>
  <si>
    <t>MAMCPR</t>
  </si>
  <si>
    <t>MAZDKUT</t>
  </si>
  <si>
    <t>MAZDKU</t>
  </si>
  <si>
    <t>MCKGNE</t>
  </si>
  <si>
    <t>MDHQQIT</t>
  </si>
  <si>
    <t>MDHQQI</t>
  </si>
  <si>
    <t>MIVKIH</t>
  </si>
  <si>
    <t>MKDIUJ</t>
  </si>
  <si>
    <t>MNHWCOT</t>
  </si>
  <si>
    <t>MNHWCO</t>
  </si>
  <si>
    <t>MOYDXS</t>
  </si>
  <si>
    <t>Não localizado cliente com CNPJ [JTIPROCESSADORA].&lt;-ObterCliente&lt;-MontarPnrBase&lt;-ProcessarAereo&lt;-ProcessarItemFila[b]</t>
  </si>
  <si>
    <t>MTIPLY</t>
  </si>
  <si>
    <t>MVVDUZ</t>
  </si>
  <si>
    <t>NDHQDW</t>
  </si>
  <si>
    <t>NENXNT</t>
  </si>
  <si>
    <t>NJFSJT</t>
  </si>
  <si>
    <t>NKUUUB</t>
  </si>
  <si>
    <t>NLJSBWT</t>
  </si>
  <si>
    <t>NLJSBW</t>
  </si>
  <si>
    <t>NLKYTN</t>
  </si>
  <si>
    <t>Não localizado cliente com CNPJ [1924579000141].&lt;-ObterCliente&lt;-MontarPnrBase&lt;-ProcessarAereo&lt;-ProcessarItemFila[b]</t>
  </si>
  <si>
    <t>NLQKDQ</t>
  </si>
  <si>
    <t>NNWMJU</t>
  </si>
  <si>
    <t>OEKGUV</t>
  </si>
  <si>
    <t>OEYAXTT</t>
  </si>
  <si>
    <t>OEYAXT</t>
  </si>
  <si>
    <t>Não localizado cliente código [SA04130104].&lt;-ObterCliente&lt;-MontarPnrBase&lt;-MontarPnr&lt;-ProcessarHotel&lt;-ProcessarItemFila[b]</t>
  </si>
  <si>
    <t>OXRETB</t>
  </si>
  <si>
    <t>OXRETBT</t>
  </si>
  <si>
    <t>QFCPMW</t>
  </si>
  <si>
    <t>QWAVQA</t>
  </si>
  <si>
    <t>QWBIMLT</t>
  </si>
  <si>
    <t>QWBIML</t>
  </si>
  <si>
    <t>QWDQJX</t>
  </si>
  <si>
    <t>QWVNCK</t>
  </si>
  <si>
    <t>Não localizado cliente código [0004222573].&lt;-ObterCliente&lt;-MontarPnrBase&lt;-ProcessarAereo&lt;-ProcessarItemFila[b]</t>
  </si>
  <si>
    <t>SIVDEA</t>
  </si>
  <si>
    <t>SKOCPA</t>
  </si>
  <si>
    <t>SLJROX</t>
  </si>
  <si>
    <t>SLWODO</t>
  </si>
  <si>
    <t>SVDIOWT</t>
  </si>
  <si>
    <t>SVDIOW</t>
  </si>
  <si>
    <t>UABCUX</t>
  </si>
  <si>
    <t>UABCUXT</t>
  </si>
  <si>
    <t>UPHYER</t>
  </si>
  <si>
    <t>URNYEQ</t>
  </si>
  <si>
    <t>USEUZL</t>
  </si>
  <si>
    <t>USEUZLT</t>
  </si>
  <si>
    <t>Não localizado cliente código [0000050269].&lt;-ObterCliente&lt;-MontarPnrBase&lt;-MontarPnr&lt;-ProcessarHotel&lt;-ProcessarItemFila[b]</t>
  </si>
  <si>
    <t>USUXZM</t>
  </si>
  <si>
    <t>UVIGBN</t>
  </si>
  <si>
    <t>WFQTFT</t>
  </si>
  <si>
    <t>WITHBK</t>
  </si>
  <si>
    <t>WPVNZZ</t>
  </si>
  <si>
    <t>WRSYAOT</t>
  </si>
  <si>
    <t>WRSYAO</t>
  </si>
  <si>
    <t>WSOUSW</t>
  </si>
  <si>
    <t>WUCAZJ</t>
  </si>
  <si>
    <t>WWWGQQT</t>
  </si>
  <si>
    <t>WWWGQQ</t>
  </si>
  <si>
    <t>YEMZUR</t>
  </si>
  <si>
    <t>Não localizado cliente código [0000068777].&lt;-ObterCliente&lt;-MontarPnrBase&lt;-ProcessarAereo&lt;-ProcessarItemFila[b]</t>
  </si>
  <si>
    <t>Não localizado cliente código [0000068777].&lt;-ObterCliente&lt;-MontarPnrBase&lt;-MontarPnr&lt;-ProcessarHotel&lt;-ProcessarItemFila[b]</t>
  </si>
  <si>
    <t>YIGVHL</t>
  </si>
  <si>
    <t>YJAGFH</t>
  </si>
  <si>
    <t>YLCCRMT</t>
  </si>
  <si>
    <t>YLCCRM</t>
  </si>
  <si>
    <t>Verificando Formas Pagto/Rec - (ExecSQL) - TurVendas - Não foi possível localizar o contrato do fornecedor 49032</t>
  </si>
  <si>
    <t>YOSPEB</t>
  </si>
  <si>
    <t>YQAFTIT</t>
  </si>
  <si>
    <t>YQAFTI</t>
  </si>
  <si>
    <t>YRETYI</t>
  </si>
  <si>
    <t>YRGZIH</t>
  </si>
  <si>
    <t>YRIGMJ</t>
  </si>
  <si>
    <t>YTVDGG</t>
  </si>
  <si>
    <t>YWZPKQ</t>
  </si>
  <si>
    <t>YZETKE</t>
  </si>
  <si>
    <t>Preenchendo XML Serviço-&gt; Preenchendo XML-&gt; Montando accounting aereo 3-&gt;Reserva NI8319 não encontrada para importar assento/bagagem!</t>
  </si>
  <si>
    <t>AGENTE</t>
  </si>
  <si>
    <t>Preenchendo XML Serviço-&gt; Preenchendo XML-&gt; Montando accounting aereo 3-&gt;Reserva Assent não encontrada para importar assento/bagagem!</t>
  </si>
  <si>
    <t>Preenchendo XML Serviço-&gt; Preenchendo XML-&gt; Montando accounting aereo 3-&gt;Reserva 3MR445 não encontrada para importar assento/bagagem!</t>
  </si>
  <si>
    <t>Preenchendo XML Serviço-&gt; Preenchendo XML-&gt; Montando accounting aereo 3-&gt;Reserva F4 não encontrada para importar assento/bagagem!</t>
  </si>
  <si>
    <t>Preenchendo XML Serviço-&gt; Preenchendo XML-&gt; Montando accounting aereo 3-&gt;Reserva 141252 não encontrada para importar assento/bagagem!</t>
  </si>
  <si>
    <t>YR3PRH</t>
  </si>
  <si>
    <t>Inserindo Trecho - Parâmetro Fornecedor - TurVendas - Não foi possível localizar o contrato do fornecedor YU</t>
  </si>
  <si>
    <t>YQRTHV</t>
  </si>
  <si>
    <t>PreencherPnr-&gt;Não foi encontrado nenhum item veículo para o localizador YQRTHV</t>
  </si>
  <si>
    <t>#N/D</t>
  </si>
  <si>
    <t>NOVA MENSAGEM</t>
  </si>
  <si>
    <t>TAG &lt;CARTAOVALIDADE&gt; NÃO ENVIADA</t>
  </si>
  <si>
    <t>FORMA PAGTO/RECTO</t>
  </si>
  <si>
    <t>CANCELAMENTO</t>
  </si>
  <si>
    <t>ALOEYST</t>
  </si>
  <si>
    <t>ALOEYS</t>
  </si>
  <si>
    <t>AVDUWC</t>
  </si>
  <si>
    <t>CAJDCPT</t>
  </si>
  <si>
    <t>CAJDCP</t>
  </si>
  <si>
    <t>CGJYDX</t>
  </si>
  <si>
    <t>CIQSSD</t>
  </si>
  <si>
    <t>CKFOBVT</t>
  </si>
  <si>
    <t>CKFOBV</t>
  </si>
  <si>
    <t>CPSIPH</t>
  </si>
  <si>
    <t>CZKLVP</t>
  </si>
  <si>
    <t>DMQHOW</t>
  </si>
  <si>
    <t>EAAIYV</t>
  </si>
  <si>
    <t>EGJXNY</t>
  </si>
  <si>
    <t>EGPAXO</t>
  </si>
  <si>
    <t>EZSSZB</t>
  </si>
  <si>
    <t>FGHEJM</t>
  </si>
  <si>
    <t>FHKRKR</t>
  </si>
  <si>
    <t>FIOUWH</t>
  </si>
  <si>
    <t>FOHAWL</t>
  </si>
  <si>
    <t>GADTBOT</t>
  </si>
  <si>
    <t>GADTBO</t>
  </si>
  <si>
    <t>GCGCCAT</t>
  </si>
  <si>
    <t>GCGCCA</t>
  </si>
  <si>
    <t>GJCFQR</t>
  </si>
  <si>
    <t>GKDAKWT</t>
  </si>
  <si>
    <t>GKDAKW</t>
  </si>
  <si>
    <t>GKQFBMT</t>
  </si>
  <si>
    <t>GKQFBM</t>
  </si>
  <si>
    <t>GKZVXN</t>
  </si>
  <si>
    <t>GVEXXF</t>
  </si>
  <si>
    <t>GVOIXVT</t>
  </si>
  <si>
    <t>GVOIXV</t>
  </si>
  <si>
    <t>GXEFUP</t>
  </si>
  <si>
    <t>Não localizado cliente código [0000050257].&lt;-ObterCliente&lt;-MontarPnrBase&lt;-ProcessarAereo&lt;-ProcessarItemFila[b]</t>
  </si>
  <si>
    <t>GYZPBQT</t>
  </si>
  <si>
    <t>GYZPBQ</t>
  </si>
  <si>
    <t>HJHDEI</t>
  </si>
  <si>
    <t>HXKUYP</t>
  </si>
  <si>
    <t>HYERVUT</t>
  </si>
  <si>
    <t>HYERVU</t>
  </si>
  <si>
    <t>IKPZXA</t>
  </si>
  <si>
    <t>INMRBJ</t>
  </si>
  <si>
    <t>IOZZEU</t>
  </si>
  <si>
    <t>IPEZPW</t>
  </si>
  <si>
    <t>IQJANG</t>
  </si>
  <si>
    <t>ITCGOTT</t>
  </si>
  <si>
    <t>ITCGOT</t>
  </si>
  <si>
    <t>IVSPTG</t>
  </si>
  <si>
    <t>JFGKFX</t>
  </si>
  <si>
    <t>JREXYM</t>
  </si>
  <si>
    <t>JYQXNYT</t>
  </si>
  <si>
    <t>JYQXNY</t>
  </si>
  <si>
    <t>KDFPXC</t>
  </si>
  <si>
    <t>KNCURY</t>
  </si>
  <si>
    <t>KPZKNN</t>
  </si>
  <si>
    <t>Não localizado cliente com CNPJ [50534767JTI PROCESSADORA].&lt;-ObterCliente&lt;-MontarPnrBase&lt;-ProcessarAereo&lt;-ProcessarItemFila[b]</t>
  </si>
  <si>
    <t>KWUUFF</t>
  </si>
  <si>
    <t>LIUSOH</t>
  </si>
  <si>
    <t>LMDXYJ</t>
  </si>
  <si>
    <t>LZHNHD</t>
  </si>
  <si>
    <t>MARBLL</t>
  </si>
  <si>
    <t>MLICTN</t>
  </si>
  <si>
    <t>MNWIWX</t>
  </si>
  <si>
    <t>MRRDDP</t>
  </si>
  <si>
    <t>NCGGOV</t>
  </si>
  <si>
    <t>NDPAWN</t>
  </si>
  <si>
    <t>NVMXCH</t>
  </si>
  <si>
    <t>NZNXPCT</t>
  </si>
  <si>
    <t>NZNXPC</t>
  </si>
  <si>
    <t>ODLSWS</t>
  </si>
  <si>
    <t>OIPKMST</t>
  </si>
  <si>
    <t>OIPKMS</t>
  </si>
  <si>
    <t>OKSIAE</t>
  </si>
  <si>
    <t>OYQXOR</t>
  </si>
  <si>
    <t>QOUNYNT</t>
  </si>
  <si>
    <t>QOUNYN</t>
  </si>
  <si>
    <t>QOWHXJ</t>
  </si>
  <si>
    <t>QPLQKI</t>
  </si>
  <si>
    <t>QXLJOKT</t>
  </si>
  <si>
    <t>QXLJOK</t>
  </si>
  <si>
    <t>SENELJ</t>
  </si>
  <si>
    <t>SEZRSM</t>
  </si>
  <si>
    <t>SLBWYST</t>
  </si>
  <si>
    <t>SLBWYS</t>
  </si>
  <si>
    <t>SMMLPTT</t>
  </si>
  <si>
    <t>SMMLPT</t>
  </si>
  <si>
    <t>SMWDNX</t>
  </si>
  <si>
    <t>SPWZVZT</t>
  </si>
  <si>
    <t>SPWZVZ</t>
  </si>
  <si>
    <t>UFKYRD</t>
  </si>
  <si>
    <t>UGBUWET</t>
  </si>
  <si>
    <t>UGBUWE</t>
  </si>
  <si>
    <t>UHDXBL</t>
  </si>
  <si>
    <t>UROGQE</t>
  </si>
  <si>
    <t>UXNWDH</t>
  </si>
  <si>
    <t>UXYOFE</t>
  </si>
  <si>
    <t>WDUOAS</t>
  </si>
  <si>
    <t>WFXBMP</t>
  </si>
  <si>
    <t>WJBHLP</t>
  </si>
  <si>
    <t>WKZYLB</t>
  </si>
  <si>
    <t>Não localizado cliente com CNPJ [61338844001537].&lt;-ObterCliente&lt;-MontarPnrBase&lt;-ProcessarAereo&lt;-ProcessarItemFila[b]</t>
  </si>
  <si>
    <t>WLBKTM</t>
  </si>
  <si>
    <t>WNITGG</t>
  </si>
  <si>
    <t>YBJPITT</t>
  </si>
  <si>
    <t>YBJPIT</t>
  </si>
  <si>
    <t>YDODMO</t>
  </si>
  <si>
    <t>YFABFI</t>
  </si>
  <si>
    <t>Não localizado cliente código [0000471515].&lt;-ObterCliente&lt;-MontarPnrBase&lt;-ProcessarAereo&lt;-ProcessarItemFila[b]</t>
  </si>
  <si>
    <t>YFQUMP</t>
  </si>
  <si>
    <t>YHYKCIT</t>
  </si>
  <si>
    <t>YHYKCI</t>
  </si>
  <si>
    <t>YTJUSS</t>
  </si>
  <si>
    <t>YTMSMZT</t>
  </si>
  <si>
    <t>YTMSMZ</t>
  </si>
  <si>
    <t>YTWPCIT</t>
  </si>
  <si>
    <t>YTWPCI</t>
  </si>
  <si>
    <t>YZVKKQ</t>
  </si>
  <si>
    <t>YZXRVMT</t>
  </si>
  <si>
    <t>YZXRVM</t>
  </si>
  <si>
    <t>Preenchendo XML Serviço-&gt; Preenchendo XML-&gt; Montando accounting aereo 3-&gt;Reserva ASSENT não encontrada para importar assento/bagagem!</t>
  </si>
  <si>
    <t>Preenchendo XML Serviço-&gt; Preenchendo XML-&gt; Montando accounting aereo 3-&gt;Reserva 127442 não encontrada para importar assento/bagagem!</t>
  </si>
  <si>
    <t>16028724-22311748</t>
  </si>
  <si>
    <t>SGJBDT</t>
  </si>
  <si>
    <t>PreencherPnr-&gt;AlterarAccountingCustom-&gt; Erro: AlterarAccounting-&gt; Erro: Canal de venda com descrição POSTO SHELL não encontrado!</t>
  </si>
  <si>
    <t>ADKDNS</t>
  </si>
  <si>
    <t>AEPPSQ</t>
  </si>
  <si>
    <t>AIERDC</t>
  </si>
  <si>
    <t>ALYJBZ</t>
  </si>
  <si>
    <t>ALYJRJ</t>
  </si>
  <si>
    <t>ASCTHVT</t>
  </si>
  <si>
    <t>ASCTHV</t>
  </si>
  <si>
    <t>ASJMFN</t>
  </si>
  <si>
    <t>AWCBZUT</t>
  </si>
  <si>
    <t>AWCBZU</t>
  </si>
  <si>
    <t>AXAVXA</t>
  </si>
  <si>
    <t>AZJHHET</t>
  </si>
  <si>
    <t>AZJHHE</t>
  </si>
  <si>
    <t>Inserindo PNR - Accountings - TurVendas - Não foi possível localizar o contrato do fornecedor 34817</t>
  </si>
  <si>
    <t>CESHHN</t>
  </si>
  <si>
    <t>CJLWKN</t>
  </si>
  <si>
    <t>CKZXRP</t>
  </si>
  <si>
    <t>CPTVZYT</t>
  </si>
  <si>
    <t>CPTVZY</t>
  </si>
  <si>
    <t>CTMCXW</t>
  </si>
  <si>
    <t>CVWGTB</t>
  </si>
  <si>
    <t>CWGVSL</t>
  </si>
  <si>
    <t>CZBUGDT</t>
  </si>
  <si>
    <t>CZBUGD</t>
  </si>
  <si>
    <t>DAFBAKT</t>
  </si>
  <si>
    <t>DAFBAK</t>
  </si>
  <si>
    <t>DDRQBF</t>
  </si>
  <si>
    <t>DFSLIE</t>
  </si>
  <si>
    <t>DJEATW</t>
  </si>
  <si>
    <t>DLHCEYT</t>
  </si>
  <si>
    <t>DLHCEY</t>
  </si>
  <si>
    <t>DMKMLI</t>
  </si>
  <si>
    <t>Não localizado cliente código [0000068435].&lt;-ObterCliente&lt;-MontarPnrBase&lt;-ProcessarAereo&lt;-ProcessarItemFila[b]</t>
  </si>
  <si>
    <t>DMNUOK</t>
  </si>
  <si>
    <t>EEYOTK</t>
  </si>
  <si>
    <t>Não localizado cliente código [0000069078].&lt;-ObterCliente&lt;-MontarPnrBase&lt;-ProcessarAereo&lt;-ProcessarItemFila[b]</t>
  </si>
  <si>
    <t>EFNQPY</t>
  </si>
  <si>
    <t>ELPFFE</t>
  </si>
  <si>
    <t>EMXXVB</t>
  </si>
  <si>
    <t>ENUPHAT</t>
  </si>
  <si>
    <t>ENUPHA</t>
  </si>
  <si>
    <t>EVLAVUT</t>
  </si>
  <si>
    <t>EVLAVU</t>
  </si>
  <si>
    <t>EVUJUT</t>
  </si>
  <si>
    <t>FDTDIU</t>
  </si>
  <si>
    <t>FKSGCO</t>
  </si>
  <si>
    <t>FODNXL</t>
  </si>
  <si>
    <t>FOVNNI</t>
  </si>
  <si>
    <t>FPDJHG</t>
  </si>
  <si>
    <t>FPYUFK</t>
  </si>
  <si>
    <t>FQAHFG</t>
  </si>
  <si>
    <t>FQAHFGC</t>
  </si>
  <si>
    <t>Não localizado cliente código [0000050269].&lt;-ObterCliente&lt;-MontarPnrBase&lt;-MontarPnr&lt;-ProcessarCarro&lt;-ProcessarItemFila[b]</t>
  </si>
  <si>
    <t>FWBZEM</t>
  </si>
  <si>
    <t>FXNLYW</t>
  </si>
  <si>
    <t>FXRKTL</t>
  </si>
  <si>
    <t>FYBUAZ</t>
  </si>
  <si>
    <t>FZAGKX</t>
  </si>
  <si>
    <t>FZMMVK</t>
  </si>
  <si>
    <t>GJQTHOT</t>
  </si>
  <si>
    <t>GJQTHO</t>
  </si>
  <si>
    <t>GLDPFL</t>
  </si>
  <si>
    <t>GLRBEM</t>
  </si>
  <si>
    <t>GMHDRN</t>
  </si>
  <si>
    <t>GMIMMK</t>
  </si>
  <si>
    <t>GRILFA</t>
  </si>
  <si>
    <t>HBXSPY</t>
  </si>
  <si>
    <t>HDBMVA</t>
  </si>
  <si>
    <t>HFDGEZ</t>
  </si>
  <si>
    <t>HGXYIF</t>
  </si>
  <si>
    <t>HITPZGT</t>
  </si>
  <si>
    <t>HITPZG</t>
  </si>
  <si>
    <t>HOKQHOT</t>
  </si>
  <si>
    <t>HOKQHO</t>
  </si>
  <si>
    <t>IDWFDK</t>
  </si>
  <si>
    <t>IFSWFW</t>
  </si>
  <si>
    <t>IMCJRH</t>
  </si>
  <si>
    <t>IQJAPO</t>
  </si>
  <si>
    <t>IRNHGI</t>
  </si>
  <si>
    <t>IRPDCE</t>
  </si>
  <si>
    <t>ITDSFRT</t>
  </si>
  <si>
    <t>ITDSFR</t>
  </si>
  <si>
    <t>ITJFTH</t>
  </si>
  <si>
    <t>IUFOVVT</t>
  </si>
  <si>
    <t>IUFOVV</t>
  </si>
  <si>
    <t>IVPCZQ</t>
  </si>
  <si>
    <t>JBGUKPT</t>
  </si>
  <si>
    <t>JBGUKP</t>
  </si>
  <si>
    <t>JCZBFQT</t>
  </si>
  <si>
    <t>JCZBFQ</t>
  </si>
  <si>
    <t>JEDQJX</t>
  </si>
  <si>
    <t>JEHXSUT</t>
  </si>
  <si>
    <t>JEHXSU</t>
  </si>
  <si>
    <t>JELMXHT</t>
  </si>
  <si>
    <t>JELMXH</t>
  </si>
  <si>
    <t>JGBIBH</t>
  </si>
  <si>
    <t>JOQSEU</t>
  </si>
  <si>
    <t>JPHXZOT</t>
  </si>
  <si>
    <t>JPHXZO</t>
  </si>
  <si>
    <t>JPSQEGT</t>
  </si>
  <si>
    <t>JPSQEG</t>
  </si>
  <si>
    <t>JSXUIC</t>
  </si>
  <si>
    <t>JXNBBH</t>
  </si>
  <si>
    <t>JXYVQH</t>
  </si>
  <si>
    <t>JZLHWJ</t>
  </si>
  <si>
    <t>JZLSFA</t>
  </si>
  <si>
    <t>KNHHVW</t>
  </si>
  <si>
    <t>KNPLFP</t>
  </si>
  <si>
    <t>KNPLFPT</t>
  </si>
  <si>
    <t>KNQQIK</t>
  </si>
  <si>
    <t>KPXEOB</t>
  </si>
  <si>
    <t>KSHSUR</t>
  </si>
  <si>
    <t>KXJOYE</t>
  </si>
  <si>
    <t>KXWEDQT</t>
  </si>
  <si>
    <t>KXWEDQ</t>
  </si>
  <si>
    <t>KYBRMG</t>
  </si>
  <si>
    <t>LBYAFH</t>
  </si>
  <si>
    <t>LCITVFT</t>
  </si>
  <si>
    <t>LCITVF</t>
  </si>
  <si>
    <t>LFAPRV</t>
  </si>
  <si>
    <t>LGGVGV</t>
  </si>
  <si>
    <t>LHHLOX</t>
  </si>
  <si>
    <t>LHVSCV</t>
  </si>
  <si>
    <t>LIILHZT</t>
  </si>
  <si>
    <t>LIILHZ</t>
  </si>
  <si>
    <t>LJJIGK</t>
  </si>
  <si>
    <t>LJNBFQ</t>
  </si>
  <si>
    <t>LJXJXZ</t>
  </si>
  <si>
    <t>LOTBUA</t>
  </si>
  <si>
    <t>LOYMOJ</t>
  </si>
  <si>
    <t>LPQOYH</t>
  </si>
  <si>
    <t>LUVDJST</t>
  </si>
  <si>
    <t>LUVDJS</t>
  </si>
  <si>
    <t>MCOJVC</t>
  </si>
  <si>
    <t>MCYIBXT</t>
  </si>
  <si>
    <t>MCYIBX</t>
  </si>
  <si>
    <t>MDUIQJ</t>
  </si>
  <si>
    <t>MDVFEN</t>
  </si>
  <si>
    <t>MDXLCI</t>
  </si>
  <si>
    <t>MEFBCY</t>
  </si>
  <si>
    <t>MEZZEF</t>
  </si>
  <si>
    <t>MFCVPG</t>
  </si>
  <si>
    <t>MFIMZW</t>
  </si>
  <si>
    <t>MFWGAQ</t>
  </si>
  <si>
    <t>MFWGAQT</t>
  </si>
  <si>
    <t>MKJMNGT</t>
  </si>
  <si>
    <t>MKJMNG</t>
  </si>
  <si>
    <t>MRNJFA</t>
  </si>
  <si>
    <t>MUIDOUT</t>
  </si>
  <si>
    <t>MUIDOU</t>
  </si>
  <si>
    <t>MZBPBNT</t>
  </si>
  <si>
    <t>MZBPBN</t>
  </si>
  <si>
    <t>MZVDSCT</t>
  </si>
  <si>
    <t>MZVDSC</t>
  </si>
  <si>
    <t>NERRZB</t>
  </si>
  <si>
    <t>NEWKQA</t>
  </si>
  <si>
    <t>NGHTJJ</t>
  </si>
  <si>
    <t>NKNUIE</t>
  </si>
  <si>
    <t>NNLTYZ</t>
  </si>
  <si>
    <t>NNWROO</t>
  </si>
  <si>
    <t>OCQSJT</t>
  </si>
  <si>
    <t>Não localizado cliente código [0000068440].&lt;-ObterCliente&lt;-MontarPnrBase&lt;-ProcessarAereo&lt;-ProcessarItemFila[b]</t>
  </si>
  <si>
    <t>OCZBOU</t>
  </si>
  <si>
    <t>OIWLZE</t>
  </si>
  <si>
    <t>OOKFDY</t>
  </si>
  <si>
    <t>OOWLTPT</t>
  </si>
  <si>
    <t>OOWLTP</t>
  </si>
  <si>
    <t>OQYIXA</t>
  </si>
  <si>
    <t>OQYNMN</t>
  </si>
  <si>
    <t>ORAUGI</t>
  </si>
  <si>
    <t>QBZNBET</t>
  </si>
  <si>
    <t>QBZNBE</t>
  </si>
  <si>
    <t>QCUJEE</t>
  </si>
  <si>
    <t>QGLEFUT</t>
  </si>
  <si>
    <t>QGLEFU</t>
  </si>
  <si>
    <t>QLOETRT</t>
  </si>
  <si>
    <t>QLOETR</t>
  </si>
  <si>
    <t>QMACQJ</t>
  </si>
  <si>
    <t>QUAEFX</t>
  </si>
  <si>
    <t>QUBNWZ</t>
  </si>
  <si>
    <t>QYEKIQT</t>
  </si>
  <si>
    <t>QYEKIQ</t>
  </si>
  <si>
    <t>SAYZZK</t>
  </si>
  <si>
    <t>SHAFOY</t>
  </si>
  <si>
    <t>SHKHIXT</t>
  </si>
  <si>
    <t>SHKHIX</t>
  </si>
  <si>
    <t>SKZPFV</t>
  </si>
  <si>
    <t>SLYJNMT</t>
  </si>
  <si>
    <t>SLYJNM</t>
  </si>
  <si>
    <t>SQBENY</t>
  </si>
  <si>
    <t>SWCRTD</t>
  </si>
  <si>
    <t>SWFPFV</t>
  </si>
  <si>
    <t>SXOFEP</t>
  </si>
  <si>
    <t>SXSZQK</t>
  </si>
  <si>
    <t>SZOYOO</t>
  </si>
  <si>
    <t>UBHGVV</t>
  </si>
  <si>
    <t>UCBWIHT</t>
  </si>
  <si>
    <t>UCBWIH</t>
  </si>
  <si>
    <t>UCKBQX</t>
  </si>
  <si>
    <t>UCQZPS</t>
  </si>
  <si>
    <t>UDCTYZ</t>
  </si>
  <si>
    <t>UIMUOD</t>
  </si>
  <si>
    <t>UJZRJC</t>
  </si>
  <si>
    <t>UKYBCI</t>
  </si>
  <si>
    <t>ULKWVXT</t>
  </si>
  <si>
    <t>ULKWVX</t>
  </si>
  <si>
    <t>UNGBMW</t>
  </si>
  <si>
    <t>UOBPZR</t>
  </si>
  <si>
    <t>UPIQIAT</t>
  </si>
  <si>
    <t>UPIQIA</t>
  </si>
  <si>
    <t>UQORJQ</t>
  </si>
  <si>
    <t>USZMRY</t>
  </si>
  <si>
    <t>UTIVDFT</t>
  </si>
  <si>
    <t>UTIVDF</t>
  </si>
  <si>
    <t>UUMPKWT</t>
  </si>
  <si>
    <t>UUMPKW</t>
  </si>
  <si>
    <t>WCLVBF</t>
  </si>
  <si>
    <t>WDNZOFT</t>
  </si>
  <si>
    <t>WDNZOF</t>
  </si>
  <si>
    <t>WFMACT</t>
  </si>
  <si>
    <t>WJCCDN</t>
  </si>
  <si>
    <t>WKHWXS</t>
  </si>
  <si>
    <t>WKONBP</t>
  </si>
  <si>
    <t>WMOMKWT</t>
  </si>
  <si>
    <t>WMOMKW</t>
  </si>
  <si>
    <t>WTQLKO</t>
  </si>
  <si>
    <t>WTYGUZ</t>
  </si>
  <si>
    <t>YGSHEA</t>
  </si>
  <si>
    <t>YIFHCI</t>
  </si>
  <si>
    <t>YJYWFZT</t>
  </si>
  <si>
    <t>YJYWFZ</t>
  </si>
  <si>
    <t>YKUKDZ</t>
  </si>
  <si>
    <t>YMBPHE</t>
  </si>
  <si>
    <t>YTVYQG</t>
  </si>
  <si>
    <t>YUGMGHT</t>
  </si>
  <si>
    <t>YUGMGH</t>
  </si>
  <si>
    <t>YYKKPP</t>
  </si>
  <si>
    <t>Preenchendo XML Serviço-&gt; Preenchendo XML-&gt; Montando accounting aereo 3-&gt;Reserva 685469 não encontrada para importar assento/bagagem!</t>
  </si>
  <si>
    <t>Preenchendo XML Aéreo-&gt; Preenchendo XML-&gt; Nullable object must have a value.</t>
  </si>
  <si>
    <t>Inserindo PNR - Accountings - TurVendas - Não foi possível localizar o contrato do fornecedor F3</t>
  </si>
  <si>
    <t>Preenchendo XML Serviço-&gt; Preenchendo XML-&gt; Montando accounting aereo 3-&gt;Reserva Latamc não encontrada para importar assento/bagagem!</t>
  </si>
  <si>
    <t>PreencherPnr-&gt;Forma pagamento Cartão-&gt; Não foi possível determinar a validade do cartão, favor verificar os dados do cartão &lt;Id&gt;1436701&lt;/Id&gt;.</t>
  </si>
  <si>
    <t>PreencherPnr-&gt;Forma pagamento Cartão-&gt; Não foi possível determinar a validade do cartão, favor verificar os dados do cartão &lt;Id&gt;1436703&lt;/Id&gt;.</t>
  </si>
  <si>
    <t>PreencherPnr-&gt;Forma pagamento Cartão-&gt; Não foi possível determinar a validade do cartão, favor verificar os dados do cartão &lt;Id&gt;1436702&lt;/Id&gt;.</t>
  </si>
  <si>
    <t>PreencherPnr-&gt;Forma pagamento Cartão-&gt; Não foi possível determinar a validade do cartão, favor verificar os dados do cartão &lt;Id&gt;1436644&lt;/Id&gt;.</t>
  </si>
  <si>
    <t>PreencherPnr-&gt;Forma pagamento Cartão-&gt; Não foi possível determinar a validade do cartão, favor verificar os dados do cartão &lt;Id&gt;1436645&lt;/Id&gt;.</t>
  </si>
  <si>
    <t>PreencherPnr-&gt;Forma pagamento Cartão-&gt; Não foi possível determinar a validade do cartão, favor verificar os dados do cartão &lt;Id&gt;1436704&lt;/Id&gt;.</t>
  </si>
  <si>
    <t>PreencherPnr-&gt;Forma pagamento Cartão-&gt; Não foi possível determinar a validade do cartão, favor verificar os dados do cartão &lt;Id&gt;1436705&lt;/Id&gt;.</t>
  </si>
  <si>
    <t>PreencherPnr-&gt;Forma pagamento Cartão-&gt; Não foi possível determinar a validade do cartão, favor verificar os dados do cartão &lt;Id&gt;1436648&lt;/Id&gt;.</t>
  </si>
  <si>
    <t>PreencherPnr-&gt;Forma pagamento Cartão-&gt; Não foi possível determinar a validade do cartão, favor verificar os dados do cartão &lt;Id&gt;1436699&lt;/Id&gt;.</t>
  </si>
  <si>
    <t>PreencherPnr-&gt;Forma pagamento Cartão-&gt; Não foi possível determinar a validade do cartão, favor verificar os dados do cartão &lt;Id&gt;1436647&lt;/Id&gt;.</t>
  </si>
  <si>
    <t>PreencherPnr-&gt;Forma pagamento Cartão-&gt; Não foi possível determinar a validade do cartão, favor verificar os dados do cartão &lt;Id&gt;1436706&lt;/Id&gt;.</t>
  </si>
  <si>
    <t>PreencherPnr-&gt;Forma pagamento Cartão-&gt; Não foi possível determinar a validade do cartão, favor verificar os dados do cartão &lt;Id&gt;1436646&lt;/Id&gt;.</t>
  </si>
  <si>
    <t>AV78TIX364A</t>
  </si>
  <si>
    <t>PreencherPnr-&gt;Não foi encontrado nenhum item veículo para o localizador AV78TIX364A</t>
  </si>
  <si>
    <t>PERCENTUAL DE ERROS</t>
  </si>
  <si>
    <t>QUALIDADE X ERRO SISTEMICO</t>
  </si>
  <si>
    <t>VOLUME</t>
  </si>
  <si>
    <t>CLFARVT</t>
  </si>
  <si>
    <t>CLFARV</t>
  </si>
  <si>
    <t>CSIJVBT</t>
  </si>
  <si>
    <t>CSIJVB</t>
  </si>
  <si>
    <t>ESBZSQ</t>
  </si>
  <si>
    <t>DADOS DO CARTÃO</t>
  </si>
  <si>
    <t>AEZWNW</t>
  </si>
  <si>
    <t>IGJZGD</t>
  </si>
  <si>
    <t>IGJZGDT</t>
  </si>
  <si>
    <t>NMBRIP</t>
  </si>
  <si>
    <t>NMBRIPC</t>
  </si>
  <si>
    <t>NMBRIPT</t>
  </si>
  <si>
    <t>QDDWUH</t>
  </si>
  <si>
    <t>Inserindo PNR - Accountings - TurVendas - Não foi possível localizar o contrato do fornecedor X1</t>
  </si>
  <si>
    <t>WBUWXNT</t>
  </si>
  <si>
    <t>WBUWXN</t>
  </si>
  <si>
    <t>ACQDWE</t>
  </si>
  <si>
    <t>ACQUWA</t>
  </si>
  <si>
    <t>AELHTE</t>
  </si>
  <si>
    <t>AMAHOI</t>
  </si>
  <si>
    <t>AMTLNZT</t>
  </si>
  <si>
    <t>AMTLNZ</t>
  </si>
  <si>
    <t>AMVNEJT</t>
  </si>
  <si>
    <t>AMVNEJ</t>
  </si>
  <si>
    <t>ANRJBDT</t>
  </si>
  <si>
    <t>ANRJBD</t>
  </si>
  <si>
    <t>AOOTWF</t>
  </si>
  <si>
    <t>APSUYI</t>
  </si>
  <si>
    <t>AQACMG</t>
  </si>
  <si>
    <t>ASTLWKT</t>
  </si>
  <si>
    <t>ASTLWK</t>
  </si>
  <si>
    <t>ASWIRC</t>
  </si>
  <si>
    <t>ASWIRCC</t>
  </si>
  <si>
    <t>ASWIRCT</t>
  </si>
  <si>
    <t>ATIKXT</t>
  </si>
  <si>
    <t>AUOFTV</t>
  </si>
  <si>
    <t>AWBJTZ</t>
  </si>
  <si>
    <t>Não localizado cliente com CNPJ [8684547000165].&lt;-ObterCliente&lt;-MontarPnrBase&lt;-ProcessarAereo&lt;-ProcessarItemFila[b]</t>
  </si>
  <si>
    <t>AZNOXVT</t>
  </si>
  <si>
    <t>AZNOXV</t>
  </si>
  <si>
    <t>CALNOD</t>
  </si>
  <si>
    <t>CDMPJT</t>
  </si>
  <si>
    <t>CFMUVWT</t>
  </si>
  <si>
    <t>CFMUVW</t>
  </si>
  <si>
    <t>CFQZUDT</t>
  </si>
  <si>
    <t>CFQZUD</t>
  </si>
  <si>
    <t>CFSYRLT</t>
  </si>
  <si>
    <t>CFSYRL</t>
  </si>
  <si>
    <t>CGHSYW</t>
  </si>
  <si>
    <t>CNBCKTT</t>
  </si>
  <si>
    <t>CNBCKT</t>
  </si>
  <si>
    <t>CTDAIP</t>
  </si>
  <si>
    <t>CUDIDDT</t>
  </si>
  <si>
    <t>CUDIDD</t>
  </si>
  <si>
    <t>CVNKJS</t>
  </si>
  <si>
    <t>DCWOUU</t>
  </si>
  <si>
    <t>DJDTAW</t>
  </si>
  <si>
    <t>DKCHWS</t>
  </si>
  <si>
    <t>DOEMED</t>
  </si>
  <si>
    <t>DUROZP</t>
  </si>
  <si>
    <t>DWGEUZ</t>
  </si>
  <si>
    <t>EEIXVR</t>
  </si>
  <si>
    <t>EJEVHK</t>
  </si>
  <si>
    <t>ENEAVP</t>
  </si>
  <si>
    <t>ENETZP</t>
  </si>
  <si>
    <t>EQBRDL</t>
  </si>
  <si>
    <t>EQFNWZ</t>
  </si>
  <si>
    <t>ESVYHN</t>
  </si>
  <si>
    <t>EUGCEQT</t>
  </si>
  <si>
    <t>EUGCEQ</t>
  </si>
  <si>
    <t>EWOFNZ</t>
  </si>
  <si>
    <t>EZUUBB</t>
  </si>
  <si>
    <t>EZWEFL</t>
  </si>
  <si>
    <t>FGKRIC</t>
  </si>
  <si>
    <t>FJCWSU</t>
  </si>
  <si>
    <t>FLSDLC</t>
  </si>
  <si>
    <t>FNGNJB</t>
  </si>
  <si>
    <t>FNTLRP</t>
  </si>
  <si>
    <t>FOFVSI</t>
  </si>
  <si>
    <t>FPAGSL</t>
  </si>
  <si>
    <t>FQCBIA</t>
  </si>
  <si>
    <t>FQXXSZ</t>
  </si>
  <si>
    <t>Não localizado cliente código [0000071989].&lt;-ObterCliente&lt;-MontarPnrBase&lt;-ProcessarAereo&lt;-ProcessarItemFila[b]</t>
  </si>
  <si>
    <t>FTGGRB</t>
  </si>
  <si>
    <t>FXIWRE</t>
  </si>
  <si>
    <t>FXMPUB</t>
  </si>
  <si>
    <t>FZZBSH</t>
  </si>
  <si>
    <t>GBBXTS</t>
  </si>
  <si>
    <t>GCKJYR</t>
  </si>
  <si>
    <t>GFVFAD</t>
  </si>
  <si>
    <t>GKQHAY</t>
  </si>
  <si>
    <t>GMKRKS</t>
  </si>
  <si>
    <t>GNGAIN</t>
  </si>
  <si>
    <t>GNIKWK</t>
  </si>
  <si>
    <t>GOIXRQT</t>
  </si>
  <si>
    <t>GOIXRQ</t>
  </si>
  <si>
    <t>GOXTON</t>
  </si>
  <si>
    <t>GPXXXX</t>
  </si>
  <si>
    <t>GRGJEA</t>
  </si>
  <si>
    <t>GSIXAV</t>
  </si>
  <si>
    <t>GSKUFS</t>
  </si>
  <si>
    <t>GSVJEG</t>
  </si>
  <si>
    <t>GSVJEGT</t>
  </si>
  <si>
    <t>GTTQOK</t>
  </si>
  <si>
    <t>GTWZQK</t>
  </si>
  <si>
    <t>GUKNCN</t>
  </si>
  <si>
    <t>GXDMEE</t>
  </si>
  <si>
    <t>HBZZWF</t>
  </si>
  <si>
    <t>HIAMMF</t>
  </si>
  <si>
    <t>HIKQNI</t>
  </si>
  <si>
    <t>HPPZEST</t>
  </si>
  <si>
    <t>HPPZES</t>
  </si>
  <si>
    <t>HPTFQOT</t>
  </si>
  <si>
    <t>HPTFQO</t>
  </si>
  <si>
    <t>HTONOH</t>
  </si>
  <si>
    <t>HUDZBX</t>
  </si>
  <si>
    <t>HUTWNY</t>
  </si>
  <si>
    <t>HYVNRZ</t>
  </si>
  <si>
    <t>HZHPBD</t>
  </si>
  <si>
    <t>IBDIHT</t>
  </si>
  <si>
    <t>IEDMCV</t>
  </si>
  <si>
    <t>IHRKFH</t>
  </si>
  <si>
    <t>IIXSWD</t>
  </si>
  <si>
    <t>INHAHZ</t>
  </si>
  <si>
    <t>IQHEAK</t>
  </si>
  <si>
    <t>ISPKJB</t>
  </si>
  <si>
    <t>ITPGHX</t>
  </si>
  <si>
    <t>JAKIMG</t>
  </si>
  <si>
    <t>JFXVWRT</t>
  </si>
  <si>
    <t>JFXVWR</t>
  </si>
  <si>
    <t>JINSRK</t>
  </si>
  <si>
    <t>JMKASA</t>
  </si>
  <si>
    <t>Não localizado cliente código [0000068873].&lt;-ObterCliente&lt;-MontarPnrBase&lt;-ProcessarAereo&lt;-ProcessarItemFila[b]</t>
  </si>
  <si>
    <t>JOCUVI</t>
  </si>
  <si>
    <t>JOCUVIC</t>
  </si>
  <si>
    <t>JOCUVIT</t>
  </si>
  <si>
    <t>JRRGJI</t>
  </si>
  <si>
    <t>JUSFLH</t>
  </si>
  <si>
    <t>JZOFNV</t>
  </si>
  <si>
    <t>KGWTGR</t>
  </si>
  <si>
    <t>KKEGCF</t>
  </si>
  <si>
    <t>KKHRCI</t>
  </si>
  <si>
    <t>KKRXBY</t>
  </si>
  <si>
    <t>KLEUMP</t>
  </si>
  <si>
    <t>KLEUMPT</t>
  </si>
  <si>
    <t>KLHVTK</t>
  </si>
  <si>
    <t>KMIILV</t>
  </si>
  <si>
    <t>KUZISQ</t>
  </si>
  <si>
    <t>KVETAUT</t>
  </si>
  <si>
    <t>KVETAU</t>
  </si>
  <si>
    <t>KVJHZD</t>
  </si>
  <si>
    <t>KVKIXUT</t>
  </si>
  <si>
    <t>KVKIXU</t>
  </si>
  <si>
    <t>KVOJEZT</t>
  </si>
  <si>
    <t>KVOJEZ</t>
  </si>
  <si>
    <t>KVRBSKT</t>
  </si>
  <si>
    <t>KVRBSK</t>
  </si>
  <si>
    <t>KWSGHNT</t>
  </si>
  <si>
    <t>KWSGHN</t>
  </si>
  <si>
    <t>KYOCYO</t>
  </si>
  <si>
    <t>KYWXBOT</t>
  </si>
  <si>
    <t>KYWXBO</t>
  </si>
  <si>
    <t>LCELIN</t>
  </si>
  <si>
    <t>LCMZIYT</t>
  </si>
  <si>
    <t>LCMZIY</t>
  </si>
  <si>
    <t>LEJTLY</t>
  </si>
  <si>
    <t>LEKKYR</t>
  </si>
  <si>
    <t>LGLITNT</t>
  </si>
  <si>
    <t>LGLITN</t>
  </si>
  <si>
    <t>LQOAIX</t>
  </si>
  <si>
    <t>LQQZUU</t>
  </si>
  <si>
    <t>LQSKHC</t>
  </si>
  <si>
    <t>LRQMNK</t>
  </si>
  <si>
    <t>LSWQDI</t>
  </si>
  <si>
    <t>LUKVXL</t>
  </si>
  <si>
    <t>MBBEDJ</t>
  </si>
  <si>
    <t>MCAYRT</t>
  </si>
  <si>
    <t>MCCWAP</t>
  </si>
  <si>
    <t>MDHEQV</t>
  </si>
  <si>
    <t>MGIBJI</t>
  </si>
  <si>
    <t>MIEATET</t>
  </si>
  <si>
    <t>MIEATE</t>
  </si>
  <si>
    <t>MJVGJS</t>
  </si>
  <si>
    <t>MLBXFL</t>
  </si>
  <si>
    <t>MMNUMJ</t>
  </si>
  <si>
    <t>MOQDRT</t>
  </si>
  <si>
    <t>MQTBAK</t>
  </si>
  <si>
    <t>MUUQWJ</t>
  </si>
  <si>
    <t>MXLBEJ</t>
  </si>
  <si>
    <t>MZUVME</t>
  </si>
  <si>
    <t>MZZXAN</t>
  </si>
  <si>
    <t>NAHEMZT</t>
  </si>
  <si>
    <t>NAHEMZ</t>
  </si>
  <si>
    <t>NCNBUGT</t>
  </si>
  <si>
    <t>NCNBUG</t>
  </si>
  <si>
    <t>NFZLWQ</t>
  </si>
  <si>
    <t>NIFGKW</t>
  </si>
  <si>
    <t>NOSLYE</t>
  </si>
  <si>
    <t>NPEMMT</t>
  </si>
  <si>
    <t>NUYZFQ</t>
  </si>
  <si>
    <t>NVHLNQT</t>
  </si>
  <si>
    <t>NVHLNQ</t>
  </si>
  <si>
    <t>NWARGH</t>
  </si>
  <si>
    <t>OEPUAW</t>
  </si>
  <si>
    <t>OFHWOR</t>
  </si>
  <si>
    <t>OGFJTM</t>
  </si>
  <si>
    <t>OHHGQV</t>
  </si>
  <si>
    <t>OHLZVR</t>
  </si>
  <si>
    <t>OJNZYT</t>
  </si>
  <si>
    <t>OJUPMP</t>
  </si>
  <si>
    <t>OLCTUXT</t>
  </si>
  <si>
    <t>OLCTUX</t>
  </si>
  <si>
    <t>OOTBDZ</t>
  </si>
  <si>
    <t>OQKPXZ</t>
  </si>
  <si>
    <t>OWRJHC</t>
  </si>
  <si>
    <t>OWVTWD</t>
  </si>
  <si>
    <t>OXQZMC</t>
  </si>
  <si>
    <t>QHPOJA</t>
  </si>
  <si>
    <t>QHSBGW</t>
  </si>
  <si>
    <t>QNPDJQ</t>
  </si>
  <si>
    <t>QPQNDZ</t>
  </si>
  <si>
    <t>QSGKYN</t>
  </si>
  <si>
    <t>QTJFVDT</t>
  </si>
  <si>
    <t>QTJFVD</t>
  </si>
  <si>
    <t>QUOLIM</t>
  </si>
  <si>
    <t>QVNEMIT</t>
  </si>
  <si>
    <t>QVNEMI</t>
  </si>
  <si>
    <t>QXXUSH</t>
  </si>
  <si>
    <t>Não localizado cliente código [0000068957].&lt;-ObterCliente&lt;-MontarPnrBase&lt;-ProcessarAereo&lt;-ProcessarItemFila[b]</t>
  </si>
  <si>
    <t>QYJSQQ</t>
  </si>
  <si>
    <t>QYNVCS</t>
  </si>
  <si>
    <t>Não localizado cliente com CNPJ [2295585000140].&lt;-ObterCliente&lt;-MontarPnrBase&lt;-ProcessarAereo&lt;-ProcessarItemFila[b]</t>
  </si>
  <si>
    <t>SAEUXO</t>
  </si>
  <si>
    <t>SAWUEC</t>
  </si>
  <si>
    <t>SINCNIT</t>
  </si>
  <si>
    <t>SINCNI</t>
  </si>
  <si>
    <t>SKJKSO</t>
  </si>
  <si>
    <t>SLDJDZT</t>
  </si>
  <si>
    <t>SLDJDZ</t>
  </si>
  <si>
    <t>SOCCSBT</t>
  </si>
  <si>
    <t>SOCCSB</t>
  </si>
  <si>
    <t>SOFLQH</t>
  </si>
  <si>
    <t>SOHZTL</t>
  </si>
  <si>
    <t>SPTUTV</t>
  </si>
  <si>
    <t>SQZMWF</t>
  </si>
  <si>
    <t>STBRVD</t>
  </si>
  <si>
    <t>SZKBQS</t>
  </si>
  <si>
    <t>SZVRLP</t>
  </si>
  <si>
    <t>UCQZWT</t>
  </si>
  <si>
    <t>UDIXAP</t>
  </si>
  <si>
    <t>UDUIFD</t>
  </si>
  <si>
    <t>UGUICRT</t>
  </si>
  <si>
    <t>UGUICR</t>
  </si>
  <si>
    <t>UPLYKT</t>
  </si>
  <si>
    <t>UXCOZC</t>
  </si>
  <si>
    <t>UYQRIS</t>
  </si>
  <si>
    <t>WGAFMD</t>
  </si>
  <si>
    <t>WIBTPD</t>
  </si>
  <si>
    <t>WZVOPC</t>
  </si>
  <si>
    <t>YEQEXQ</t>
  </si>
  <si>
    <t>YFQJUA</t>
  </si>
  <si>
    <t>YLOPCH</t>
  </si>
  <si>
    <t>YLVUEP</t>
  </si>
  <si>
    <t>YPIYOXT</t>
  </si>
  <si>
    <t>YPIYOX</t>
  </si>
  <si>
    <t>YQHIZJ</t>
  </si>
  <si>
    <t>YQZHUA</t>
  </si>
  <si>
    <t>YTSNQKT</t>
  </si>
  <si>
    <t>YTSNQK</t>
  </si>
  <si>
    <t>Inserindo PNR - Accountings - TurVendas - Não foi possível localizar o contrato do fornecedor H57225</t>
  </si>
  <si>
    <t>YUDRLET</t>
  </si>
  <si>
    <t>YUDRLE</t>
  </si>
  <si>
    <t>YVDDAIT</t>
  </si>
  <si>
    <t>YVDDAI</t>
  </si>
  <si>
    <t>YVFPPXT</t>
  </si>
  <si>
    <t>YVFPPX</t>
  </si>
  <si>
    <t>Preenchendo XML Carro-&gt; Preenchendo XML-&gt; Montando accounting carro-&gt;Fornecedor com o código 55806  informado nos campos gerenciais não encontrado!</t>
  </si>
  <si>
    <t>Preenchendo XML Serviço-&gt; Preenchendo XML-&gt; Montando accounting aereo 3-&gt;Reserva KIRLOB não encontrada para importar assento/bagagem!</t>
  </si>
  <si>
    <t>Preenchendo XML Serviço-&gt; Preenchendo XML-&gt; Montando accounting aereo 3-&gt;Reserva GOJFNR não encontrada para importar assento/bagagem!</t>
  </si>
  <si>
    <t>Preenchendo XML Serviço-&gt; Preenchendo XML-&gt; Montando accounting aereo 3-&gt;Reserva 5F não encontrada para importar assento/bagagem!</t>
  </si>
  <si>
    <t>Inserindo PNR - Accountings - TurVendas - Não foi possível localizar o contrato do fornecedor XZ</t>
  </si>
  <si>
    <t>Preenchendo XML Serviço-&gt; Preenchendo XML-&gt; Montando accounting aereo 3-&gt;Reserva LOC-DA não encontrada para importar assento/bagagem!</t>
  </si>
  <si>
    <t>Preenchendo XML Serviço-&gt; Preenchendo XML-&gt; Montando accounting aereo 3-&gt;Reserva LA9574 não encontrada para importar assento/bagagem!</t>
  </si>
  <si>
    <t>Preenchendo XML Serviço-&gt; Preenchendo XML-&gt; Montando accounting aereo 3-&gt;Reserva KXMSTR não encontrada para importar assento/bagagem!</t>
  </si>
  <si>
    <t>Preenchendo XML Carro-&gt; Preenchendo XML-&gt; Montando accounting carro-&gt;Fornecedor com o código 68417  informado nos campos gerenciais não encontrado!</t>
  </si>
  <si>
    <t>16188715-13019913</t>
  </si>
  <si>
    <t>16205902-13034612</t>
  </si>
  <si>
    <t>16216889-13040243</t>
  </si>
  <si>
    <t>FQYRZU</t>
  </si>
  <si>
    <t>OXVNUE</t>
  </si>
  <si>
    <t>MVIURV</t>
  </si>
  <si>
    <t>TIKSWW01</t>
  </si>
  <si>
    <t>ISOAIR</t>
  </si>
  <si>
    <t>Inserindo Trecho - Parâmetro Fornecedor - TurVendas - Não foi possível localizar o contrato do fornecedor BT</t>
  </si>
  <si>
    <t>movida</t>
  </si>
  <si>
    <t>PreencherPnr-&gt;Não foi encontrado nenhum item veículo para o localizador movida</t>
  </si>
  <si>
    <t>COTACAO-LOCALIZA</t>
  </si>
  <si>
    <t>PreencherPnr-&gt;Não foi encontrado nenhum item veículo para o localizador COTACAO-LOCALIZA</t>
  </si>
  <si>
    <t>LOFHFV</t>
  </si>
  <si>
    <t>XHPMKF</t>
  </si>
  <si>
    <t>ABUSWN</t>
  </si>
  <si>
    <t>AGXIVO</t>
  </si>
  <si>
    <t>AIKEGX</t>
  </si>
  <si>
    <t>AKPJXS</t>
  </si>
  <si>
    <t>AMEVQDT</t>
  </si>
  <si>
    <t>AMEVQD</t>
  </si>
  <si>
    <t>ANGSCK</t>
  </si>
  <si>
    <t>AXOOPP</t>
  </si>
  <si>
    <t>CEJLXN</t>
  </si>
  <si>
    <t>CFFCUP</t>
  </si>
  <si>
    <t>CITLHL</t>
  </si>
  <si>
    <t>CMTOOHT</t>
  </si>
  <si>
    <t>CMTOOH</t>
  </si>
  <si>
    <t>CWIFYL</t>
  </si>
  <si>
    <t>CYWJVS</t>
  </si>
  <si>
    <t>DAKGLY</t>
  </si>
  <si>
    <t>DGMTDN</t>
  </si>
  <si>
    <t>DITHJC</t>
  </si>
  <si>
    <t>DIYANR</t>
  </si>
  <si>
    <t>DLQSEF</t>
  </si>
  <si>
    <t>DLYQKX</t>
  </si>
  <si>
    <t>DMRFNT</t>
  </si>
  <si>
    <t>DRMTFC</t>
  </si>
  <si>
    <t>ECBUTP</t>
  </si>
  <si>
    <t>ECEXHE</t>
  </si>
  <si>
    <t>ECWKRU</t>
  </si>
  <si>
    <t>EDXQJF</t>
  </si>
  <si>
    <t>EFFUIW</t>
  </si>
  <si>
    <t>EFRBWL</t>
  </si>
  <si>
    <t>EHUTTL</t>
  </si>
  <si>
    <t>ELJHVJ</t>
  </si>
  <si>
    <t>ELMZFQT</t>
  </si>
  <si>
    <t>ELMZFQ</t>
  </si>
  <si>
    <t>ERMVUI</t>
  </si>
  <si>
    <t>EXBEON</t>
  </si>
  <si>
    <t>EYDDXD</t>
  </si>
  <si>
    <t>EZPFPE</t>
  </si>
  <si>
    <t>FBWEME</t>
  </si>
  <si>
    <t>FCYVZN</t>
  </si>
  <si>
    <t>FEHTBM</t>
  </si>
  <si>
    <t>FHGYUV</t>
  </si>
  <si>
    <t>FNYKVH</t>
  </si>
  <si>
    <t>FNZHMG</t>
  </si>
  <si>
    <t>FOROHS</t>
  </si>
  <si>
    <t>FOUZLL</t>
  </si>
  <si>
    <t>Não localizado cliente código [0000049977].&lt;-ObterCliente&lt;-MontarPnrBase&lt;-ProcessarAereo&lt;-ProcessarItemFila[b]</t>
  </si>
  <si>
    <t>FPNCDR</t>
  </si>
  <si>
    <t>FQLHQO</t>
  </si>
  <si>
    <t>FTCFZC</t>
  </si>
  <si>
    <t>FYCZAJ</t>
  </si>
  <si>
    <t>GADGPL</t>
  </si>
  <si>
    <t>GCYBKL</t>
  </si>
  <si>
    <t>GEOIKX</t>
  </si>
  <si>
    <t>GGCFKT</t>
  </si>
  <si>
    <t>GGQHNL</t>
  </si>
  <si>
    <t>GKEHGZ</t>
  </si>
  <si>
    <t>GWMYPX</t>
  </si>
  <si>
    <t>GXFGMK</t>
  </si>
  <si>
    <t>HATWUY</t>
  </si>
  <si>
    <t>HDQRUD</t>
  </si>
  <si>
    <t>HJIPVET</t>
  </si>
  <si>
    <t>HJIPVE</t>
  </si>
  <si>
    <t>HJLLBZT</t>
  </si>
  <si>
    <t>HJLLBZ</t>
  </si>
  <si>
    <t>HMGABI</t>
  </si>
  <si>
    <t>HQTHKE</t>
  </si>
  <si>
    <t>HSDDYI</t>
  </si>
  <si>
    <t>HWDVLN</t>
  </si>
  <si>
    <t>HWKUSK</t>
  </si>
  <si>
    <t>HXHTSF</t>
  </si>
  <si>
    <t>HXWWJNT</t>
  </si>
  <si>
    <t>HXWWJN</t>
  </si>
  <si>
    <t>HZNZPM</t>
  </si>
  <si>
    <t>ICEIJK</t>
  </si>
  <si>
    <t>IGTKEZ</t>
  </si>
  <si>
    <t>IMFKLN</t>
  </si>
  <si>
    <t>IMGRPF</t>
  </si>
  <si>
    <t>IOLCEN</t>
  </si>
  <si>
    <t>ITXMPH</t>
  </si>
  <si>
    <t>IVDCUQ</t>
  </si>
  <si>
    <t>IWUOPZ</t>
  </si>
  <si>
    <t>JGKOZZT</t>
  </si>
  <si>
    <t>JGKOZZ</t>
  </si>
  <si>
    <t>JJIEVZ</t>
  </si>
  <si>
    <t>JNTUBFT</t>
  </si>
  <si>
    <t>JNTUBF</t>
  </si>
  <si>
    <t>JQETJV</t>
  </si>
  <si>
    <t>JWXZAI</t>
  </si>
  <si>
    <t>KEYLSA</t>
  </si>
  <si>
    <t>KGEAQH</t>
  </si>
  <si>
    <t>KGNCGR</t>
  </si>
  <si>
    <t>KHKWEQ</t>
  </si>
  <si>
    <t>KJEJXPT</t>
  </si>
  <si>
    <t>KJEJXP</t>
  </si>
  <si>
    <t>KJXDVO</t>
  </si>
  <si>
    <t>KSRJCX</t>
  </si>
  <si>
    <t>KTKYHL</t>
  </si>
  <si>
    <t>KURNAI</t>
  </si>
  <si>
    <t>KVBFQC</t>
  </si>
  <si>
    <t>KWJVLN</t>
  </si>
  <si>
    <t>LDPSVQ</t>
  </si>
  <si>
    <t>LFQSKQ</t>
  </si>
  <si>
    <t>LGAWUU</t>
  </si>
  <si>
    <t>LGVUHX</t>
  </si>
  <si>
    <t>LJOILP</t>
  </si>
  <si>
    <t>LLHJNQ</t>
  </si>
  <si>
    <t>LUQRWU</t>
  </si>
  <si>
    <t>LUWANST</t>
  </si>
  <si>
    <t>LUWANS</t>
  </si>
  <si>
    <t>LVPHIVT</t>
  </si>
  <si>
    <t>LVPHIV</t>
  </si>
  <si>
    <t>Verificando Formas Pagamento/Recebimento - Inserindo Parâmetros - TurVendas - Não foi possível localizar o contrato do fornecedor 49298</t>
  </si>
  <si>
    <t>LVVZGW</t>
  </si>
  <si>
    <t>LWPPXE</t>
  </si>
  <si>
    <t>MJCKAU</t>
  </si>
  <si>
    <t>MMJMWS</t>
  </si>
  <si>
    <t>MMLJGF</t>
  </si>
  <si>
    <t>MRGFSB</t>
  </si>
  <si>
    <t>MVIYZXT</t>
  </si>
  <si>
    <t>MVIYZX</t>
  </si>
  <si>
    <t>MVPWGB</t>
  </si>
  <si>
    <t>MWCRJP</t>
  </si>
  <si>
    <t>MWCRJPT</t>
  </si>
  <si>
    <t>Não localizado cliente código [0000068873].&lt;-ObterCliente&lt;-MontarPnrBase&lt;-MontarPnr&lt;-ProcessarHotel&lt;-ProcessarItemFila[b]</t>
  </si>
  <si>
    <t>MYCXEMT</t>
  </si>
  <si>
    <t>MYCXEM</t>
  </si>
  <si>
    <t>NGXARX</t>
  </si>
  <si>
    <t>NJMTAA</t>
  </si>
  <si>
    <t>NNAGKD</t>
  </si>
  <si>
    <t>NOPXAN</t>
  </si>
  <si>
    <t>NOQIXU</t>
  </si>
  <si>
    <t>NOYQBS</t>
  </si>
  <si>
    <t>NQIPVW</t>
  </si>
  <si>
    <t>NQPMGT</t>
  </si>
  <si>
    <t>NVNXZK</t>
  </si>
  <si>
    <t>NYSNLT</t>
  </si>
  <si>
    <t>OGTGOA</t>
  </si>
  <si>
    <t>OHGXUMT</t>
  </si>
  <si>
    <t>OHGXUM</t>
  </si>
  <si>
    <t>OIXRMY</t>
  </si>
  <si>
    <t>OOCCTOT</t>
  </si>
  <si>
    <t>OOCCTO</t>
  </si>
  <si>
    <t>OOYDUUT</t>
  </si>
  <si>
    <t>OOYDUU</t>
  </si>
  <si>
    <t>OTESLA</t>
  </si>
  <si>
    <t>QAJXFBT</t>
  </si>
  <si>
    <t>QAJXFB</t>
  </si>
  <si>
    <t>QBEJIG</t>
  </si>
  <si>
    <t>Não localizado cliente código [0000387475].&lt;-ObterCliente&lt;-MontarPnrBase&lt;-ProcessarAereo&lt;-ProcessarItemFila[b]</t>
  </si>
  <si>
    <t>QCQAFNT</t>
  </si>
  <si>
    <t>QCQAFN</t>
  </si>
  <si>
    <t>QGAFWN</t>
  </si>
  <si>
    <t>QRKRAF</t>
  </si>
  <si>
    <t>SBRARU</t>
  </si>
  <si>
    <t>SCODNW</t>
  </si>
  <si>
    <t>SERGQG</t>
  </si>
  <si>
    <t>SQZFKNT</t>
  </si>
  <si>
    <t>SQZFKN</t>
  </si>
  <si>
    <t>SSDRCS</t>
  </si>
  <si>
    <t>STLUEFT</t>
  </si>
  <si>
    <t>STLUEF</t>
  </si>
  <si>
    <t>SWGBYS</t>
  </si>
  <si>
    <t>SWLEDHT</t>
  </si>
  <si>
    <t>SWLEDH</t>
  </si>
  <si>
    <t>SXSYCT</t>
  </si>
  <si>
    <t>SYGPGE</t>
  </si>
  <si>
    <t>SYOIFJ</t>
  </si>
  <si>
    <t>SZPOSS</t>
  </si>
  <si>
    <t>UAGZKS</t>
  </si>
  <si>
    <t>UBXSOPT</t>
  </si>
  <si>
    <t>UBXSOP</t>
  </si>
  <si>
    <t>Inserindo PNR - Accountings - TurVendas - Não foi possível localizar o contrato do fornecedor 49298</t>
  </si>
  <si>
    <t>UDARRK</t>
  </si>
  <si>
    <t>UHPZOT</t>
  </si>
  <si>
    <t>UNCBDXT</t>
  </si>
  <si>
    <t>UNCBDX</t>
  </si>
  <si>
    <t>UNEMOW</t>
  </si>
  <si>
    <t>UNWVRQ</t>
  </si>
  <si>
    <t>UQGYGT</t>
  </si>
  <si>
    <t>UXWXIG</t>
  </si>
  <si>
    <t>WBYDIA</t>
  </si>
  <si>
    <t>WDDHQB</t>
  </si>
  <si>
    <t>WFJRVW</t>
  </si>
  <si>
    <t>WFJWEJ</t>
  </si>
  <si>
    <t>WGNHVA</t>
  </si>
  <si>
    <t>WPHTIU</t>
  </si>
  <si>
    <t>WRVMOS</t>
  </si>
  <si>
    <t>WVXCXNT</t>
  </si>
  <si>
    <t>WVXCXN</t>
  </si>
  <si>
    <t>WYPHIGT</t>
  </si>
  <si>
    <t>WYPHIG</t>
  </si>
  <si>
    <t>YEKHNQ</t>
  </si>
  <si>
    <t>YETAEH</t>
  </si>
  <si>
    <t>YGKPHK</t>
  </si>
  <si>
    <t>YGLCSW</t>
  </si>
  <si>
    <t>YGSNXQ</t>
  </si>
  <si>
    <t>YJNQOM</t>
  </si>
  <si>
    <t>YMPHNY</t>
  </si>
  <si>
    <t>YOFUDM</t>
  </si>
  <si>
    <t>YPCLGR</t>
  </si>
  <si>
    <t>YSLAXJ</t>
  </si>
  <si>
    <t>YVWUBC</t>
  </si>
  <si>
    <t>YZMGBB</t>
  </si>
  <si>
    <t>Preenchendo XML Carro-&gt; Preenchendo XML-&gt; Montando accounting carro-&gt;Fornecedor com o código 70934  informado nos campos gerenciais não encontrado!</t>
  </si>
  <si>
    <t>Preenchendo XML Serviço-&gt; Preenchendo XML-&gt; Montando accounting aereo 3-&gt;Reserva GENIAL não encontrada para importar assento/bagagem!</t>
  </si>
  <si>
    <t>Preenchendo XML Aéreo-&gt; Preenchendo XML-&gt; Montando accounting aereo-&gt;Número do bilhete não identificado</t>
  </si>
  <si>
    <t>Preenchendo XML Rodoviário-&gt; Preenchendo XML-&gt; Montando accounting rodoviário-&gt;Fornecedor com o apelido VAIDEBUS não encontrado, ou existe mais de um Fornecedor com o mesmo apelido.</t>
  </si>
  <si>
    <t>Preenchendo XML Serviço-&gt; Preenchendo XML-&gt; Montando accounting aereo 3-&gt;Reserva 29328 não encontrada para importar assento/bagagem!</t>
  </si>
  <si>
    <t>Preenchendo XML Serviço-&gt; Preenchendo XML-&gt; Montando accounting aereo 3-&gt;Reserva 29415 não encontrada para importar assento/bagagem!</t>
  </si>
  <si>
    <t>Preenchendo XML Serviço-&gt; Preenchendo XML-&gt; Montando accounting aereo 3-&gt;Reserva 30046 não encontrada para importar assento/bagagem!</t>
  </si>
  <si>
    <t>Inserindo Trecho - Parâmetro Fornecedor - TurVendas - Não foi possível localizar o contrato do fornecedor XZ</t>
  </si>
  <si>
    <t>PreencherPnr-&gt;Forma pagamento Cartão-&gt; Não foi possível determinar a validade do cartão, favor verificar os dados do cartão &lt;Id&gt;1452239&lt;/Id&gt;.</t>
  </si>
  <si>
    <t>GAKODN</t>
  </si>
  <si>
    <t>DSRJVM</t>
  </si>
  <si>
    <t>IPJNTX</t>
  </si>
  <si>
    <t>KMZINT</t>
  </si>
  <si>
    <t>AKJVHX</t>
  </si>
  <si>
    <t>JJ6I5Z</t>
  </si>
  <si>
    <t>DKV37T</t>
  </si>
  <si>
    <t>MPMKJN</t>
  </si>
  <si>
    <t>JH6BRF</t>
  </si>
  <si>
    <t>YFFAHA</t>
  </si>
  <si>
    <t>JLSNTU</t>
  </si>
  <si>
    <t>QSXQGM</t>
  </si>
  <si>
    <t>WPW18X</t>
  </si>
  <si>
    <t>MGDBXA</t>
  </si>
  <si>
    <t>QTDWGB</t>
  </si>
  <si>
    <t>MEMWHJ</t>
  </si>
  <si>
    <t>YMPRQG</t>
  </si>
  <si>
    <t>NNI72N</t>
  </si>
  <si>
    <t>MFDABY</t>
  </si>
  <si>
    <t>NHWWKX</t>
  </si>
  <si>
    <t>NHOXVH</t>
  </si>
  <si>
    <t>MAXVMM</t>
  </si>
  <si>
    <t>NLJ1WW</t>
  </si>
  <si>
    <t>NEONFY</t>
  </si>
  <si>
    <t>FNKCTA</t>
  </si>
  <si>
    <t>NNQWMP</t>
  </si>
  <si>
    <t>MRISTG</t>
  </si>
  <si>
    <t>FW4FXN</t>
  </si>
  <si>
    <t>IMVJUM</t>
  </si>
  <si>
    <t>SGN4UI</t>
  </si>
  <si>
    <t>QAGZOA</t>
  </si>
  <si>
    <t>HJCIPC</t>
  </si>
  <si>
    <t>RGJW7F</t>
  </si>
  <si>
    <t>ZLV19G</t>
  </si>
  <si>
    <t>GLFTUG</t>
  </si>
  <si>
    <t>LLZY7G</t>
  </si>
  <si>
    <t>LOCQWV</t>
  </si>
  <si>
    <t>NKVFTJ</t>
  </si>
  <si>
    <t>AFCXRWT</t>
  </si>
  <si>
    <t>AFCXRW</t>
  </si>
  <si>
    <t>AWMHXQ</t>
  </si>
  <si>
    <t>AWUTOO</t>
  </si>
  <si>
    <t>AZHJHS</t>
  </si>
  <si>
    <t>CCPOTG</t>
  </si>
  <si>
    <t>CUGXYD</t>
  </si>
  <si>
    <t>DEKNCM</t>
  </si>
  <si>
    <t>DLJQIQ</t>
  </si>
  <si>
    <t>DOODZGT</t>
  </si>
  <si>
    <t>DOODZG</t>
  </si>
  <si>
    <t>DOQMAC</t>
  </si>
  <si>
    <t>DQCXTTT</t>
  </si>
  <si>
    <t>DQCXTT</t>
  </si>
  <si>
    <t>EMBCEZT</t>
  </si>
  <si>
    <t>EMBCEZ</t>
  </si>
  <si>
    <t>EPJDCP</t>
  </si>
  <si>
    <t>EPZSDY</t>
  </si>
  <si>
    <t>FJPDTJC</t>
  </si>
  <si>
    <t>FJPDTJ</t>
  </si>
  <si>
    <t>FKYGNPT</t>
  </si>
  <si>
    <t>FKYGNP</t>
  </si>
  <si>
    <t>Verificando Formas Pagto/Rec - (ExecSQL) - TurVendas - Não foi possível localizar o contrato do fornecedor 49298</t>
  </si>
  <si>
    <t>FMNSEI</t>
  </si>
  <si>
    <t>FTVUUM</t>
  </si>
  <si>
    <t>GJDRSC</t>
  </si>
  <si>
    <t>GJDRSCT</t>
  </si>
  <si>
    <t>Não localizado cliente código [1234567890].&lt;-ObterCliente&lt;-MontarPnrBase&lt;-MontarPnr&lt;-ProcessarHotel&lt;-ProcessarItemFila[b]</t>
  </si>
  <si>
    <t>GJQKCT</t>
  </si>
  <si>
    <t>GREUME</t>
  </si>
  <si>
    <t>GZUBWR</t>
  </si>
  <si>
    <t>HFFYPR</t>
  </si>
  <si>
    <t>HHCSID</t>
  </si>
  <si>
    <t>HMJFEQT</t>
  </si>
  <si>
    <t>HMJFEQ</t>
  </si>
  <si>
    <t>HOEKNNT</t>
  </si>
  <si>
    <t>HOEKNN</t>
  </si>
  <si>
    <t>HPANFST</t>
  </si>
  <si>
    <t>HPANFS</t>
  </si>
  <si>
    <t>HUNLLG</t>
  </si>
  <si>
    <t>HXEWCA</t>
  </si>
  <si>
    <t>HYHZOE</t>
  </si>
  <si>
    <t>HYVHPX</t>
  </si>
  <si>
    <t>IDSIIH</t>
  </si>
  <si>
    <t>IHIKIA</t>
  </si>
  <si>
    <t>IQJKHR</t>
  </si>
  <si>
    <t>ISOTZE</t>
  </si>
  <si>
    <t>IWDKZX</t>
  </si>
  <si>
    <t>IXTEFI</t>
  </si>
  <si>
    <t>IYEJCS</t>
  </si>
  <si>
    <t>JOLFUE</t>
  </si>
  <si>
    <t>JTANCZ</t>
  </si>
  <si>
    <t>JZVCWX</t>
  </si>
  <si>
    <t>KBGWRJ</t>
  </si>
  <si>
    <t>KBVOFC</t>
  </si>
  <si>
    <t>KEVMZLT</t>
  </si>
  <si>
    <t>KEVMZL</t>
  </si>
  <si>
    <t>KFTTZB</t>
  </si>
  <si>
    <t>KJPOIU</t>
  </si>
  <si>
    <t>KKOXEG</t>
  </si>
  <si>
    <t>LEYHYD</t>
  </si>
  <si>
    <t>LFXPYL</t>
  </si>
  <si>
    <t>LHIFJE</t>
  </si>
  <si>
    <t>MJPZQL</t>
  </si>
  <si>
    <t>NCTJQI</t>
  </si>
  <si>
    <t>NDJJIO</t>
  </si>
  <si>
    <t>Inserindo PNR - Accountings - TurVendas - Não foi possível localizar o contrato do fornecedor KG</t>
  </si>
  <si>
    <t>NFTYSX</t>
  </si>
  <si>
    <t>NNVAPE</t>
  </si>
  <si>
    <t>NRKQRZ</t>
  </si>
  <si>
    <t>NSUETG</t>
  </si>
  <si>
    <t>NUPULL</t>
  </si>
  <si>
    <t>OAWTJF</t>
  </si>
  <si>
    <t>QOOUUA</t>
  </si>
  <si>
    <t>QPDNBH</t>
  </si>
  <si>
    <t>QQIAVR</t>
  </si>
  <si>
    <t>QRGAAH</t>
  </si>
  <si>
    <t>QROUJJ</t>
  </si>
  <si>
    <t>SBQZHD</t>
  </si>
  <si>
    <t>SVMNRI</t>
  </si>
  <si>
    <t>UAPHRH</t>
  </si>
  <si>
    <t>UEDZOVT</t>
  </si>
  <si>
    <t>UEDZOV</t>
  </si>
  <si>
    <t>UFFGYP</t>
  </si>
  <si>
    <t>UFFGYPT</t>
  </si>
  <si>
    <t>WFEEEL</t>
  </si>
  <si>
    <t>WQAPPO</t>
  </si>
  <si>
    <t>WYZLEE</t>
  </si>
  <si>
    <t>Não localizado cliente código [082264].&lt;-ObterCliente&lt;-MontarPnrBase&lt;-ProcessarAereo&lt;-ProcessarItemFila[b]</t>
  </si>
  <si>
    <t>YJWLFP</t>
  </si>
  <si>
    <t>YJWLFPT</t>
  </si>
  <si>
    <t>YMDUEG</t>
  </si>
  <si>
    <t>YNGYDQ</t>
  </si>
  <si>
    <t>Preenchendo XML Carro-&gt; Preenchendo XML-&gt; Montando accounting carro-&gt;Fornecedor com o código 5414  informado nos campos gerenciais não encontrado!</t>
  </si>
  <si>
    <t>Preenchendo XML Serviço-&gt; Preenchendo XML-&gt; Montando accounting aereo 3-&gt;Reserva 30731 não encontrada para importar assento/bagagem!</t>
  </si>
  <si>
    <t>Inserindo Accounting Servico - Parâmetro Consolidador - TurVendas - Não foi possível localizar o contrato do fornecedor 64192</t>
  </si>
  <si>
    <t>NPBYMK</t>
  </si>
  <si>
    <t>MV1MG4IQ1NBR</t>
  </si>
  <si>
    <t>ALPBSO</t>
  </si>
  <si>
    <t>Não localizado cliente com CNPJ [819201000115].&lt;-ObterCliente&lt;-MontarPnrBase&lt;-ProcessarAereo&lt;-ProcessarItemFila[b]</t>
  </si>
  <si>
    <t>ANFUQB</t>
  </si>
  <si>
    <t>ANKRCQ</t>
  </si>
  <si>
    <t>CFCHKM</t>
  </si>
  <si>
    <t>CFVHXG</t>
  </si>
  <si>
    <t>Não localizado cliente código [0000068875].&lt;-ObterCliente&lt;-MontarPnrBase&lt;-ProcessarAereo&lt;-ProcessarItemFila[b]</t>
  </si>
  <si>
    <t>CFVHXGT</t>
  </si>
  <si>
    <t>Não localizado cliente código [0000068875].&lt;-ObterCliente&lt;-MontarPnrBase&lt;-MontarPnr&lt;-ProcessarHotel&lt;-ProcessarItemFila[b]</t>
  </si>
  <si>
    <t>CFZFPV</t>
  </si>
  <si>
    <t>CMOYCP</t>
  </si>
  <si>
    <t>CNUFCB</t>
  </si>
  <si>
    <t>CPBLGU</t>
  </si>
  <si>
    <t>CYJQNZ</t>
  </si>
  <si>
    <t>DCTDJTT</t>
  </si>
  <si>
    <t>DCTDJT</t>
  </si>
  <si>
    <t>DVVZDE</t>
  </si>
  <si>
    <t>DVVZDEC</t>
  </si>
  <si>
    <t>DVVZDET</t>
  </si>
  <si>
    <t>DWCEUN</t>
  </si>
  <si>
    <t>DYMWEP</t>
  </si>
  <si>
    <t>ECIEST</t>
  </si>
  <si>
    <t>EOYOFH</t>
  </si>
  <si>
    <t>EYIZVN</t>
  </si>
  <si>
    <t>EZSHFG</t>
  </si>
  <si>
    <t>FABYPP</t>
  </si>
  <si>
    <t>FPELMB</t>
  </si>
  <si>
    <t>FWTODY</t>
  </si>
  <si>
    <t>FXYNSU</t>
  </si>
  <si>
    <t>GQJCDD</t>
  </si>
  <si>
    <t>GQLNXC</t>
  </si>
  <si>
    <t>GTKUIC</t>
  </si>
  <si>
    <t>GTLJPP</t>
  </si>
  <si>
    <t>HQGYZQ</t>
  </si>
  <si>
    <t>HSRCNE</t>
  </si>
  <si>
    <t>IMRSGH</t>
  </si>
  <si>
    <t>INVIGB</t>
  </si>
  <si>
    <t>IXFJHL</t>
  </si>
  <si>
    <t>IZNPUQ</t>
  </si>
  <si>
    <t>JBAABI</t>
  </si>
  <si>
    <t>KJMEHT</t>
  </si>
  <si>
    <t>KLZXWF</t>
  </si>
  <si>
    <t>KMLMJH</t>
  </si>
  <si>
    <t>KMPICM</t>
  </si>
  <si>
    <t>KWJHHR</t>
  </si>
  <si>
    <t>KYIETR</t>
  </si>
  <si>
    <t>LIWVHD</t>
  </si>
  <si>
    <t>LVBWUU</t>
  </si>
  <si>
    <t>MHCSUS</t>
  </si>
  <si>
    <t>MKVLFS</t>
  </si>
  <si>
    <t>MKZMWI</t>
  </si>
  <si>
    <t>MLGVIUT</t>
  </si>
  <si>
    <t>MLGVIU</t>
  </si>
  <si>
    <t>MMSRIB</t>
  </si>
  <si>
    <t>NYGURI</t>
  </si>
  <si>
    <t>OKRQXN</t>
  </si>
  <si>
    <t>QDZECS</t>
  </si>
  <si>
    <t>QEYSEA</t>
  </si>
  <si>
    <t>QMUPBV</t>
  </si>
  <si>
    <t>QSDABQ</t>
  </si>
  <si>
    <t>SXSFYQ</t>
  </si>
  <si>
    <t>UJEFCF</t>
  </si>
  <si>
    <t>WHBERT</t>
  </si>
  <si>
    <t>WNIAKM</t>
  </si>
  <si>
    <t>WNVRAG</t>
  </si>
  <si>
    <t>WOZEZT</t>
  </si>
  <si>
    <t>WTDDUY</t>
  </si>
  <si>
    <t>WXSQDI</t>
  </si>
  <si>
    <t>WZCTIZ</t>
  </si>
  <si>
    <t>YBEXVB</t>
  </si>
  <si>
    <t>YFCMAE</t>
  </si>
  <si>
    <t>YFMFAW</t>
  </si>
  <si>
    <t>YRWXYZ</t>
  </si>
  <si>
    <t>YVUENO</t>
  </si>
  <si>
    <t>YZAEKNT</t>
  </si>
  <si>
    <t>YZAEKN</t>
  </si>
  <si>
    <t>YZVUYB</t>
  </si>
  <si>
    <t>Preenchendo XML Serviço-&gt; Preenchendo XML-&gt; Montando accounting aereo 3-&gt;Reserva 0EJDRV não encontrada para importar assento/bagagem!</t>
  </si>
  <si>
    <t>Preenchendo XML Serviço-&gt; Preenchendo XML-&gt; Montando accounting aereo 3-&gt;Reserva DK7DJJ não encontrada para importar assento/bagagem!</t>
  </si>
  <si>
    <t>Preenchendo XML Serviço-&gt; Preenchendo XML-&gt; Montando accounting aereo 3-&gt;Reserva MS5SWR não encontrada para importar assento/bagagem!</t>
  </si>
  <si>
    <t>Preenchendo XML Serviço-&gt; Preenchendo XML-&gt; Montando accounting aereo 3-&gt;Reserva KMPGVD não encontrada para importar assento/bagagem!</t>
  </si>
  <si>
    <t>Preenchendo XML Serviço-&gt; Preenchendo XML-&gt; Montando accounting aereo 3-&gt;Reserva FMIU8A não encontrada para importar assento/bagagem!</t>
  </si>
  <si>
    <t>Preenchendo XML Rodoviário-&gt; Preenchendo XML-&gt; Montando accounting rodoviário-&gt;AlterarAccounting-&gt;Buscar Usuário-&gt;Server was unable to process request. ---&gt; store procedure: Interface_Controle_Detalhe_Proc : Execution Timeout Expired.  The timeout period elapsed prior to completion of the operation or the server is not responding.</t>
  </si>
  <si>
    <t>AFWVQD</t>
  </si>
  <si>
    <t>ALDTZS</t>
  </si>
  <si>
    <t>AOZSPW</t>
  </si>
  <si>
    <t>AUSPRW</t>
  </si>
  <si>
    <t>AWZYFU</t>
  </si>
  <si>
    <t>AYVJRM</t>
  </si>
  <si>
    <t>AZJMPD</t>
  </si>
  <si>
    <t>CCAWON</t>
  </si>
  <si>
    <t>CJGUDU</t>
  </si>
  <si>
    <t>CJUVGP</t>
  </si>
  <si>
    <t>CMSCKYT</t>
  </si>
  <si>
    <t>CMSCKY</t>
  </si>
  <si>
    <t>COKVRO</t>
  </si>
  <si>
    <t>CURZJY</t>
  </si>
  <si>
    <t>CVSBYQ</t>
  </si>
  <si>
    <t>CVYMBO</t>
  </si>
  <si>
    <t>DADMJB</t>
  </si>
  <si>
    <t>DHHSAE</t>
  </si>
  <si>
    <t>Inserindo PNR - Accountings - TurVendas - Não foi possível localizar o contrato do fornecedor IX</t>
  </si>
  <si>
    <t>EDEKTW</t>
  </si>
  <si>
    <t>EEIXMD</t>
  </si>
  <si>
    <t>EEQRAF</t>
  </si>
  <si>
    <t>EFEAHG</t>
  </si>
  <si>
    <t>EFGFFPT</t>
  </si>
  <si>
    <t>EFGFFP</t>
  </si>
  <si>
    <t>ENLKNYT</t>
  </si>
  <si>
    <t>ENLKNY</t>
  </si>
  <si>
    <t>EPDRXU</t>
  </si>
  <si>
    <t>EQLTUT</t>
  </si>
  <si>
    <t>ESIVMD</t>
  </si>
  <si>
    <t>FDPCDP</t>
  </si>
  <si>
    <t>FEBAFR</t>
  </si>
  <si>
    <t>FJIECA</t>
  </si>
  <si>
    <t>FJINTU</t>
  </si>
  <si>
    <t>FQLYCF</t>
  </si>
  <si>
    <t>FURGEL</t>
  </si>
  <si>
    <t>FVUQNI</t>
  </si>
  <si>
    <t>FVUQNIT</t>
  </si>
  <si>
    <t>Não localizado cliente com CNPJ [9108301000108].&lt;-ObterCliente&lt;-MontarPnrBase&lt;-MontarPnr&lt;-ProcessarHotel&lt;-ProcessarItemFila[b]</t>
  </si>
  <si>
    <t>FZUDMZ</t>
  </si>
  <si>
    <t>GBNIZY</t>
  </si>
  <si>
    <t>GHNLGC</t>
  </si>
  <si>
    <t>GLMBWA</t>
  </si>
  <si>
    <t>Não localizado cliente código [0000625887].&lt;-ObterCliente&lt;-MontarPnrBase&lt;-ProcessarAereo&lt;-ProcessarItemFila[b]</t>
  </si>
  <si>
    <t>GSIISP</t>
  </si>
  <si>
    <t>GSIISPT</t>
  </si>
  <si>
    <t>HAHEZX</t>
  </si>
  <si>
    <t>HBMPZQT</t>
  </si>
  <si>
    <t>HBMPZQ</t>
  </si>
  <si>
    <t>HJXYEW</t>
  </si>
  <si>
    <t>HJZVSS</t>
  </si>
  <si>
    <t>HKQVXVT</t>
  </si>
  <si>
    <t>HKQVXV</t>
  </si>
  <si>
    <t>IHUMWP</t>
  </si>
  <si>
    <t>JAVMHY</t>
  </si>
  <si>
    <t>JDFQHTT</t>
  </si>
  <si>
    <t>JDFQHT</t>
  </si>
  <si>
    <t>JFLIFJ</t>
  </si>
  <si>
    <t>JHURPA</t>
  </si>
  <si>
    <t>JKXHHH</t>
  </si>
  <si>
    <t>JLRKPX</t>
  </si>
  <si>
    <t>JOKQKNT</t>
  </si>
  <si>
    <t>JOKQKN</t>
  </si>
  <si>
    <t>JPASFK</t>
  </si>
  <si>
    <t>JPVAERT</t>
  </si>
  <si>
    <t>JPVAER</t>
  </si>
  <si>
    <t>JXGTYL</t>
  </si>
  <si>
    <t>JXXLPXT</t>
  </si>
  <si>
    <t>JXXLPX</t>
  </si>
  <si>
    <t>Inserindo PNR - Accountings - TurVendas - Não foi possível localizar o contrato do fornecedor 85644</t>
  </si>
  <si>
    <t>JXXQEH</t>
  </si>
  <si>
    <t>JZWMSH</t>
  </si>
  <si>
    <t>KBFGOE</t>
  </si>
  <si>
    <t>Não localizado cliente com CNPJ [JTI DISTRIBUIDORA].&lt;-ObterCliente&lt;-MontarPnrBase&lt;-ProcessarAereo&lt;-ProcessarItemFila[b]</t>
  </si>
  <si>
    <t>KBFGOET</t>
  </si>
  <si>
    <t>Não localizado cliente com CNPJ [JTI DISTRIBUIDORA].&lt;-ObterCliente&lt;-MontarPnrBase&lt;-MontarPnr&lt;-ProcessarHotel&lt;-ProcessarItemFila[b]</t>
  </si>
  <si>
    <t>KNXWBG</t>
  </si>
  <si>
    <t>KPHLNO</t>
  </si>
  <si>
    <t>KSLZJF</t>
  </si>
  <si>
    <t>KSRJGE</t>
  </si>
  <si>
    <t>KWBPUF</t>
  </si>
  <si>
    <t>LFEZXS</t>
  </si>
  <si>
    <t>LIIBOM</t>
  </si>
  <si>
    <t>LIRCLY</t>
  </si>
  <si>
    <t>LJCWCT</t>
  </si>
  <si>
    <t>LJKMAM</t>
  </si>
  <si>
    <t>LJKSZF</t>
  </si>
  <si>
    <t>LJLDGS</t>
  </si>
  <si>
    <t>LNQLTV</t>
  </si>
  <si>
    <t>LPRGLQ</t>
  </si>
  <si>
    <t>LUQHWC</t>
  </si>
  <si>
    <t>MANPYD</t>
  </si>
  <si>
    <t>MCXTBN</t>
  </si>
  <si>
    <t>MJZOLHT</t>
  </si>
  <si>
    <t>MJZOLH</t>
  </si>
  <si>
    <t>MKRKFZ</t>
  </si>
  <si>
    <t>MMLSPZ</t>
  </si>
  <si>
    <t>MNAAYG</t>
  </si>
  <si>
    <t>Não localizado cliente código [0000541708].&lt;-ObterCliente&lt;-MontarPnrBase&lt;-ProcessarAereo&lt;-ProcessarItemFila[b]</t>
  </si>
  <si>
    <t>MNPBBT</t>
  </si>
  <si>
    <t>MPYZBF</t>
  </si>
  <si>
    <t>MRTYWJ</t>
  </si>
  <si>
    <t>MUBJTO</t>
  </si>
  <si>
    <t>MUZQPW</t>
  </si>
  <si>
    <t>MXIKDU</t>
  </si>
  <si>
    <t>MYVPYI</t>
  </si>
  <si>
    <t>NASFQD</t>
  </si>
  <si>
    <t>NBPGSC</t>
  </si>
  <si>
    <t>NBPGSCT</t>
  </si>
  <si>
    <t>NHHTCO</t>
  </si>
  <si>
    <t>NIRLVE</t>
  </si>
  <si>
    <t>NMJTKM</t>
  </si>
  <si>
    <t>ODNFYL</t>
  </si>
  <si>
    <t>OJUEAA</t>
  </si>
  <si>
    <t>OMGOVD</t>
  </si>
  <si>
    <t>ONKGLN</t>
  </si>
  <si>
    <t>ONSUYB</t>
  </si>
  <si>
    <t>Não localizado cliente código [0000084716].&lt;-ObterCliente&lt;-MontarPnrBase&lt;-ProcessarAereo&lt;-ProcessarItemFila[b]</t>
  </si>
  <si>
    <t>OOOSTD</t>
  </si>
  <si>
    <t>OUAPZMT</t>
  </si>
  <si>
    <t>OUAPZM</t>
  </si>
  <si>
    <t>Inserindo PNR - Accountings - TurVendas - Não foi possível localizar o contrato do fornecedor 55080</t>
  </si>
  <si>
    <t>OUWBXL</t>
  </si>
  <si>
    <t>QAXQEN</t>
  </si>
  <si>
    <t>QCCWCZ</t>
  </si>
  <si>
    <t>QCWGEU</t>
  </si>
  <si>
    <t>QCWRCC</t>
  </si>
  <si>
    <t>QDLEBT</t>
  </si>
  <si>
    <t>QGAHCP</t>
  </si>
  <si>
    <t>QHONWTT</t>
  </si>
  <si>
    <t>QHONWT</t>
  </si>
  <si>
    <t>QIMVNH</t>
  </si>
  <si>
    <t>QOJSHVT</t>
  </si>
  <si>
    <t>QOJSHV</t>
  </si>
  <si>
    <t>QTNBFM</t>
  </si>
  <si>
    <t>QTXNAS</t>
  </si>
  <si>
    <t>QXHVLN</t>
  </si>
  <si>
    <t>SIJZJE</t>
  </si>
  <si>
    <t>SKOYMZ</t>
  </si>
  <si>
    <t>SMDKBB</t>
  </si>
  <si>
    <t>SNYFJE</t>
  </si>
  <si>
    <t>SZFTYM</t>
  </si>
  <si>
    <t>SZPVQF</t>
  </si>
  <si>
    <t>UAGXAH</t>
  </si>
  <si>
    <t>UCLOEY</t>
  </si>
  <si>
    <t>UDXLZR</t>
  </si>
  <si>
    <t>UHJVAB</t>
  </si>
  <si>
    <t>UJLYNR</t>
  </si>
  <si>
    <t>UTOACV</t>
  </si>
  <si>
    <t>WCVQUB</t>
  </si>
  <si>
    <t>WEELPU</t>
  </si>
  <si>
    <t>WFDBRZ</t>
  </si>
  <si>
    <t>WFFYFR</t>
  </si>
  <si>
    <t>WFROCT</t>
  </si>
  <si>
    <t>WFUHQK</t>
  </si>
  <si>
    <t>WGNTDF</t>
  </si>
  <si>
    <t>WPFIHV</t>
  </si>
  <si>
    <t>WQYMZG</t>
  </si>
  <si>
    <t>WWDSFC</t>
  </si>
  <si>
    <t>WXIMVP</t>
  </si>
  <si>
    <t>YCBFGW</t>
  </si>
  <si>
    <t>YIDTXX</t>
  </si>
  <si>
    <t>YPINYR</t>
  </si>
  <si>
    <t>YPKPYE</t>
  </si>
  <si>
    <t>YSBRSL</t>
  </si>
  <si>
    <t>YSBRSLT</t>
  </si>
  <si>
    <t>YUBQUI</t>
  </si>
  <si>
    <t>YVRICA</t>
  </si>
  <si>
    <t>YVVJQV</t>
  </si>
  <si>
    <t>Preenchendo XML Serviço-&gt; Preenchendo XML-&gt; Montando accounting aereo 3-&gt;Reserva MELOYX não encontrada para importar assento/bagagem!</t>
  </si>
  <si>
    <t>Preenchendo XML Serviço-&gt; Preenchendo XML-&gt; Montando accounting aereo 3-&gt;Reserva ITQMAF não encontrada para importar assento/bagagem!</t>
  </si>
  <si>
    <t>Preenchendo XML Serviço-&gt; Preenchendo XML-&gt; Consultando Agente-&gt; Consultando Agente-&gt; O agente LEONARDO BARBOSA DA SILVA está inativo.</t>
  </si>
  <si>
    <t>Inserindo PNR - Accountings - TurVendas - Não foi possível localizar o contrato do fornecedor Q9</t>
  </si>
  <si>
    <t>Preenchendo XML Carro-&gt; Preenchendo XML-&gt; Montando accounting carro-&gt;Fornecedor com o código 32628  informado nos campos gerenciais não encontrado!</t>
  </si>
  <si>
    <t>16491198-52892962</t>
  </si>
  <si>
    <t>WS Retorno-&gt;SV 16491198 nao foi encontrada para a credencial passada ou pode nao estar com Status de Concluida, Cancelado</t>
  </si>
  <si>
    <t>16675652-53159719</t>
  </si>
  <si>
    <t>Inserindo PNR - Accountings - TurVendas - Não foi possível localizar o contrato do fornecedor UN</t>
  </si>
  <si>
    <t>DWUHWB-CF-9401SF229054</t>
  </si>
  <si>
    <t>PreencherPnr-&gt;Forma pagamento Cartão-&gt; Não foi possível determinar a validade do cartão, favor verificar os dados do cartão &lt;Id&gt;1499156&lt;/Id&gt;.</t>
  </si>
  <si>
    <t>Inserindo PNR - Accountings - TurVendas - Não foi possível localizar o contrato do fornecedor QZ</t>
  </si>
  <si>
    <t>DWAZEY01</t>
  </si>
  <si>
    <t>Inserindo PNR - Accountings - TurVendas - Não foi possível localizar o contrato do fornecedor QV</t>
  </si>
  <si>
    <t>TMYJKG</t>
  </si>
  <si>
    <t>CQAPIO</t>
  </si>
  <si>
    <t>Inserindo PNR - Accountings - TurVendas - Não foi possível localizar o contrato do fornecedor ZV</t>
  </si>
  <si>
    <t>EGTNLL</t>
  </si>
  <si>
    <t>FJQVZPT</t>
  </si>
  <si>
    <t>FJQVZP</t>
  </si>
  <si>
    <t>GHIPVZ</t>
  </si>
  <si>
    <t>GPWEIU</t>
  </si>
  <si>
    <t>HBZPZNT</t>
  </si>
  <si>
    <t>HBZPZN</t>
  </si>
  <si>
    <t>HEPPUP</t>
  </si>
  <si>
    <t>Não localizado cliente código [0000012345].&lt;-ObterCliente&lt;-MontarPnrBase&lt;-ProcessarAereo&lt;-ProcessarItemFila[b]</t>
  </si>
  <si>
    <t>HGBIQB</t>
  </si>
  <si>
    <t>HOSRRA</t>
  </si>
  <si>
    <t>IJOUJM</t>
  </si>
  <si>
    <t>ILHMLN</t>
  </si>
  <si>
    <t>IMKEST</t>
  </si>
  <si>
    <t>IUHEAI</t>
  </si>
  <si>
    <t>JCFVXI</t>
  </si>
  <si>
    <t>LRDVJC</t>
  </si>
  <si>
    <t>Inserindo Trecho - Parâmetro Fornecedor - TurVendas - Não foi possível localizar o contrato do fornecedor ZV</t>
  </si>
  <si>
    <t>NBLVCB</t>
  </si>
  <si>
    <t>NKDDSVT</t>
  </si>
  <si>
    <t>NKDDSV</t>
  </si>
  <si>
    <t>OKYJAL</t>
  </si>
  <si>
    <t>OMNLUO</t>
  </si>
  <si>
    <t>QNCMTK</t>
  </si>
  <si>
    <t>SHQDMU</t>
  </si>
  <si>
    <t>SMWPRD</t>
  </si>
  <si>
    <t>SWPPAB</t>
  </si>
  <si>
    <t>UPVPZB</t>
  </si>
  <si>
    <t>UWKOXR</t>
  </si>
  <si>
    <t>UWMIBQ</t>
  </si>
  <si>
    <t>UWZJEG</t>
  </si>
  <si>
    <t>UYAIQM</t>
  </si>
  <si>
    <t>Preenchendo XML Serviço-&gt; Preenchendo XML-&gt; Montando accounting aereo 3-&gt;Reserva HGMDAT não encontrada para importar assento/bagagem!</t>
  </si>
  <si>
    <t>Preenchendo XML Serviço-&gt; Preenchendo XML-&gt; Montando accounting aereo 3-&gt;Reserva 33960 não encontrada para importar assento/bagagem!</t>
  </si>
  <si>
    <t>QKSOOR</t>
  </si>
  <si>
    <t>Inserindo Trecho - Parâmetro Fornecedor - TurVendas - Não foi possível localizar o contrato do fornecedor BV</t>
  </si>
  <si>
    <t>Verificando Formas Pagto/Rec - (ExecSQL) - Ocorreu o erro 'The UPDATE statement conflicted with the FOREIGN KEY constraint "FK_2929_90669". The conflict occurred in database "Corporativo", table "dbo.GN_PESSOAS", column 'HANDLE'.The statement has been terminated.' na execução do comando SQL.</t>
  </si>
  <si>
    <t>HNEBZF</t>
  </si>
  <si>
    <t>ITPHEGT</t>
  </si>
  <si>
    <t>ITPHEG</t>
  </si>
  <si>
    <t>JAZWLO</t>
  </si>
  <si>
    <t>NKRGSI</t>
  </si>
  <si>
    <t>OURNHMT</t>
  </si>
  <si>
    <t>OURNHM</t>
  </si>
  <si>
    <t>SNECMLT</t>
  </si>
  <si>
    <t>SNECML</t>
  </si>
  <si>
    <t>DBUNMN</t>
  </si>
  <si>
    <t>PreencherPnr-&gt;Não foi encontrado nenhum item veículo para o localizador DBUNMN</t>
  </si>
  <si>
    <t>ABBJZI</t>
  </si>
  <si>
    <t>CNGGIS</t>
  </si>
  <si>
    <t>CYYWCZ</t>
  </si>
  <si>
    <t>DGUEXWT</t>
  </si>
  <si>
    <t>DGUEXW</t>
  </si>
  <si>
    <t>DMEQWO</t>
  </si>
  <si>
    <t>DXENFE</t>
  </si>
  <si>
    <t>EMBNURT</t>
  </si>
  <si>
    <t>EMBNUR</t>
  </si>
  <si>
    <t>FDHAAH</t>
  </si>
  <si>
    <t>FEBGCO</t>
  </si>
  <si>
    <t>GYOJNS</t>
  </si>
  <si>
    <t>IQPSYS</t>
  </si>
  <si>
    <t>ISMEPST</t>
  </si>
  <si>
    <t>ISMEPS</t>
  </si>
  <si>
    <t>JEXGRG</t>
  </si>
  <si>
    <t>JFPVPZ</t>
  </si>
  <si>
    <t>JWAKUC</t>
  </si>
  <si>
    <t>KAVQHA</t>
  </si>
  <si>
    <t>KAVQHAT</t>
  </si>
  <si>
    <t>KHOLYET</t>
  </si>
  <si>
    <t>KHOLYE</t>
  </si>
  <si>
    <t>Inserindo PNR - Accountings - TurVendas - Não foi possível localizar o contrato do fornecedor 63925</t>
  </si>
  <si>
    <t>MNCWOX</t>
  </si>
  <si>
    <t>MQNWYJ</t>
  </si>
  <si>
    <t>NWWAQY</t>
  </si>
  <si>
    <t>OQQIFB</t>
  </si>
  <si>
    <t>OTWBEKT</t>
  </si>
  <si>
    <t>OTWBEK</t>
  </si>
  <si>
    <t>OUHCRT</t>
  </si>
  <si>
    <t>QGEBET</t>
  </si>
  <si>
    <t>SNOIHET</t>
  </si>
  <si>
    <t>SNOIHE</t>
  </si>
  <si>
    <t>UNWTCI</t>
  </si>
  <si>
    <t>UNZVGR</t>
  </si>
  <si>
    <t>UQOBYN</t>
  </si>
  <si>
    <t>UTDYTM</t>
  </si>
  <si>
    <t>WHZBZN</t>
  </si>
  <si>
    <t>WVNDDO</t>
  </si>
  <si>
    <t>WWHTVGT</t>
  </si>
  <si>
    <t>WWHTVG</t>
  </si>
  <si>
    <t>WYGAWH</t>
  </si>
  <si>
    <t>WYLMWF</t>
  </si>
  <si>
    <t>YCJXLH</t>
  </si>
  <si>
    <t>YGDMYX</t>
  </si>
  <si>
    <t>YRWWXF</t>
  </si>
  <si>
    <t>Preenchendo XML Serviço-&gt; Preenchendo XML-&gt; Montando accounting aereo 3-&gt;Reserva 957445 não encontrada para importar assento/bagagem!</t>
  </si>
  <si>
    <t>16765383-53289924</t>
  </si>
  <si>
    <t>XXXXX-83</t>
  </si>
  <si>
    <t>Inserindo PNR - Accountings - TurVendas - Não foi possível localizar o contrato do fornecedor 0A</t>
  </si>
  <si>
    <t>ULGBMJ</t>
  </si>
  <si>
    <t>Inserindo Trecho - Parâmetro Fornecedor - TurVendas - Não foi possível localizar o contrato do fornecedor A</t>
  </si>
  <si>
    <t>FRRMNB</t>
  </si>
  <si>
    <t>JRMV7B</t>
  </si>
  <si>
    <t>ULQPFW</t>
  </si>
  <si>
    <t>WE53UR</t>
  </si>
  <si>
    <t>UNFHQD</t>
  </si>
  <si>
    <t>YI5Q4C</t>
  </si>
  <si>
    <t>MKHRHJ</t>
  </si>
  <si>
    <t>XWRMYA</t>
  </si>
  <si>
    <t>JRS4TR</t>
  </si>
  <si>
    <t>SJKQXP</t>
  </si>
  <si>
    <t>AWLIFX</t>
  </si>
  <si>
    <t>FKFJQJ</t>
  </si>
  <si>
    <t>UI1UTF</t>
  </si>
  <si>
    <t>ZW6BXD</t>
  </si>
  <si>
    <t>IMYMMD</t>
  </si>
  <si>
    <t>ENZ1RQ</t>
  </si>
  <si>
    <t>TDTRKB</t>
  </si>
  <si>
    <t>HFGKRY</t>
  </si>
  <si>
    <t>ZGW2PY</t>
  </si>
  <si>
    <t>OEQK7L</t>
  </si>
  <si>
    <t>RRRLRE</t>
  </si>
  <si>
    <t>WMSE2D</t>
  </si>
  <si>
    <t>CEEV2Y</t>
  </si>
  <si>
    <t>IPHZGX</t>
  </si>
  <si>
    <t>YWYWUQ</t>
  </si>
  <si>
    <t>AGQ6VF</t>
  </si>
  <si>
    <t>YIG77C</t>
  </si>
  <si>
    <t>DK39XZ</t>
  </si>
  <si>
    <t>HFBCKY</t>
  </si>
  <si>
    <t>JRSNGB</t>
  </si>
  <si>
    <t>OK33SM</t>
  </si>
  <si>
    <t>BQSV4B</t>
  </si>
  <si>
    <t>IJ652Z</t>
  </si>
  <si>
    <t>CONTRATO INATIVO OU DIVERGENTE</t>
  </si>
  <si>
    <t>AMGYZMT</t>
  </si>
  <si>
    <t>AMGYZM</t>
  </si>
  <si>
    <t>APISAS</t>
  </si>
  <si>
    <t>CAKSZR</t>
  </si>
  <si>
    <t>CBIXUTT</t>
  </si>
  <si>
    <t>CBIXUT</t>
  </si>
  <si>
    <t>CKLXOT</t>
  </si>
  <si>
    <t>CKOKLF</t>
  </si>
  <si>
    <t>DBODBJ</t>
  </si>
  <si>
    <t>EATCBMT</t>
  </si>
  <si>
    <t>EATCBM</t>
  </si>
  <si>
    <t>EODFJN</t>
  </si>
  <si>
    <t>EPKUOV</t>
  </si>
  <si>
    <t>EZBUAC</t>
  </si>
  <si>
    <t>FRHCAV</t>
  </si>
  <si>
    <t>FVFNHX</t>
  </si>
  <si>
    <t>FVVCNA</t>
  </si>
  <si>
    <t>FXSQDL</t>
  </si>
  <si>
    <t>FXSQDLT</t>
  </si>
  <si>
    <t>GFKYWQ</t>
  </si>
  <si>
    <t>Inserindo PNR - Accountings - TurVendas - Não foi possível localizar o contrato do fornecedor 2I</t>
  </si>
  <si>
    <t>GJPFQX</t>
  </si>
  <si>
    <t>GLVFDU</t>
  </si>
  <si>
    <t>GNWWCQ</t>
  </si>
  <si>
    <t>GUSOROT</t>
  </si>
  <si>
    <t>GUSORO</t>
  </si>
  <si>
    <t>HHATIF</t>
  </si>
  <si>
    <t>HKUWJET</t>
  </si>
  <si>
    <t>HKUWJE</t>
  </si>
  <si>
    <t>HQKDWH</t>
  </si>
  <si>
    <t>HQKDWHT</t>
  </si>
  <si>
    <t>HRFBRH</t>
  </si>
  <si>
    <t>HSLNQW</t>
  </si>
  <si>
    <t>INJLSU</t>
  </si>
  <si>
    <t>ITBPJN</t>
  </si>
  <si>
    <t>JAKAOB</t>
  </si>
  <si>
    <t>JDOIAO</t>
  </si>
  <si>
    <t>JFXHOUT</t>
  </si>
  <si>
    <t>JFXHOU</t>
  </si>
  <si>
    <t>JIFXFUT</t>
  </si>
  <si>
    <t>JIFXFU</t>
  </si>
  <si>
    <t>JNAKHR</t>
  </si>
  <si>
    <t>JOLMEA</t>
  </si>
  <si>
    <t>JVAHLS</t>
  </si>
  <si>
    <t>JVBPNMT</t>
  </si>
  <si>
    <t>JVBPNM</t>
  </si>
  <si>
    <t>JYFXTHT</t>
  </si>
  <si>
    <t>JYFXTH</t>
  </si>
  <si>
    <t>LOWPRU</t>
  </si>
  <si>
    <t>LPLQUTT</t>
  </si>
  <si>
    <t>LPLQUT</t>
  </si>
  <si>
    <t>Verificando Formas Pagto/Rec - (ExecSQL) - Ocorreu o erro 'The column name 'K9_CENTROCUSTOPAX' is specified more than once in the SET clause or column list of an INSERT. A column cannot be assigned more than one value in the same clause. Modify the clause to make sure that a column is updated only once. If this statement updates or inserts columns into a view, column aliasing can conceal the duplication in your code.' na execução do comando SQL.</t>
  </si>
  <si>
    <t>MIXHZK</t>
  </si>
  <si>
    <t>MRKGIS</t>
  </si>
  <si>
    <t>MXCERET</t>
  </si>
  <si>
    <t>MXCERE</t>
  </si>
  <si>
    <t>OHUGIE</t>
  </si>
  <si>
    <t>OKRJJE</t>
  </si>
  <si>
    <t>QDQBXC</t>
  </si>
  <si>
    <t>QKAUTGT</t>
  </si>
  <si>
    <t>QKAUTG</t>
  </si>
  <si>
    <t>SFNBWAT</t>
  </si>
  <si>
    <t>SFNBWA</t>
  </si>
  <si>
    <t>SKQDVQ</t>
  </si>
  <si>
    <t>STSPYF</t>
  </si>
  <si>
    <t>UCFAJI</t>
  </si>
  <si>
    <t>UGGWVM</t>
  </si>
  <si>
    <t>ULYFDT</t>
  </si>
  <si>
    <t>USRZHI</t>
  </si>
  <si>
    <t>WCCSBVT</t>
  </si>
  <si>
    <t>WCCSBV</t>
  </si>
  <si>
    <t>WDALBTT</t>
  </si>
  <si>
    <t>WDALBT</t>
  </si>
  <si>
    <t>WENQEL</t>
  </si>
  <si>
    <t>WFDDAB</t>
  </si>
  <si>
    <t>WFMEXXT</t>
  </si>
  <si>
    <t>WFMEXX</t>
  </si>
  <si>
    <t>YBGARGT</t>
  </si>
  <si>
    <t>YBGARG</t>
  </si>
  <si>
    <t>YXFQHQ</t>
  </si>
  <si>
    <t>Preenchendo XML Hotel-&gt; Preenchendo XML-&gt; Consultando Agente-&gt; Consultando Agente-&gt; O agente Leonardo Lima Bento está inativo.</t>
  </si>
  <si>
    <t>Preenchendo XML Serviço-&gt; Preenchendo XML-&gt; Montando accounting aereo 3-&gt;Reserva USRZHI não encontrada para importar assento/bagagem!</t>
  </si>
  <si>
    <t>Inserindo Accounting Servico - Parâmetro Consolidador - TurVendas - Não foi possível localizar o contrato do fornecedor QUEROP</t>
  </si>
  <si>
    <t>Preenchendo XML Serviço-&gt; Preenchendo XML-&gt; Montando accounting aereo 3-&gt;Reserva Confir não encontrada para importar assento/bagagem!</t>
  </si>
  <si>
    <t>MJF95Z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</si>
</sst>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C2BA5"/>
        <bgColor indexed="64"/>
      </patternFill>
    </fill>
    <fill>
      <patternFill patternType="solid">
        <fgColor rgb="FF29C9A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pivotButton="1"/>
    <xf numFmtId="0" fontId="1" fillId="2" borderId="0" xfId="0" applyFont="1" applyFill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3" fillId="3" borderId="0" xfId="0" applyFont="1" applyFill="1"/>
    <xf numFmtId="0" fontId="2" fillId="0" borderId="0" xfId="0" applyFont="1" applyAlignment="1">
      <alignment horizontal="left"/>
    </xf>
    <xf numFmtId="0" fontId="1" fillId="4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1" fillId="6" borderId="0" xfId="0" applyFont="1" applyFill="1" applyAlignment="1">
      <alignment horizontal="left" wrapText="1"/>
    </xf>
    <xf numFmtId="0" fontId="1" fillId="6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vertical="center"/>
    </xf>
    <xf numFmtId="0" fontId="0" fillId="0" borderId="0" xfId="0" applyAlignment="1">
      <alignment horizontal="left" indent="1"/>
    </xf>
    <xf numFmtId="0" fontId="3" fillId="9" borderId="0" xfId="0" applyFont="1" applyFill="1" applyAlignment="1">
      <alignment horizontal="left"/>
    </xf>
    <xf numFmtId="0" fontId="1" fillId="10" borderId="0" xfId="0" applyFont="1" applyFill="1" applyAlignment="1">
      <alignment horizontal="centerContinuous" vertical="top"/>
    </xf>
    <xf numFmtId="0" fontId="0" fillId="11" borderId="0" xfId="0" applyFill="1" applyAlignment="1">
      <alignment horizontal="left"/>
    </xf>
    <xf numFmtId="0" fontId="0" fillId="11" borderId="0" xfId="0" applyFill="1"/>
    <xf numFmtId="0" fontId="0" fillId="10" borderId="0" xfId="0" applyFill="1" applyAlignment="1">
      <alignment horizontal="left"/>
    </xf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/>
    </xf>
    <xf numFmtId="0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0" fontId="3" fillId="9" borderId="0" xfId="0" applyNumberFormat="1" applyFont="1" applyFill="1" applyAlignment="1">
      <alignment horizontal="center"/>
    </xf>
    <xf numFmtId="0" fontId="0" fillId="11" borderId="0" xfId="0" applyNumberFormat="1" applyFill="1" applyAlignment="1">
      <alignment horizontal="center"/>
    </xf>
  </cellXfs>
  <cellStyles count="1">
    <cellStyle name="Normal" xfId="0" builtinId="0"/>
  </cellStyles>
  <dxfs count="72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ill>
        <patternFill>
          <bgColor theme="0" tint="-0.14999847407452621"/>
        </patternFill>
      </fill>
    </dxf>
    <dxf>
      <font>
        <b val="0"/>
      </font>
    </dxf>
    <dxf>
      <alignment horizontal="right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>
          <bgColor rgb="FF29C9A3"/>
        </patternFill>
      </fill>
    </dxf>
    <dxf>
      <fill>
        <patternFill>
          <bgColor rgb="FF29C9A3"/>
        </patternFill>
      </fill>
    </dxf>
    <dxf>
      <fill>
        <patternFill>
          <bgColor rgb="FF29C9A3"/>
        </patternFill>
      </fill>
    </dxf>
    <dxf>
      <fill>
        <patternFill>
          <bgColor rgb="FF29C9A3"/>
        </patternFill>
      </fill>
    </dxf>
    <dxf>
      <fill>
        <patternFill>
          <bgColor rgb="FF29C9A3"/>
        </patternFill>
      </fill>
    </dxf>
    <dxf>
      <fill>
        <patternFill>
          <bgColor rgb="FF29C9A3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>
          <bgColor rgb="FF9C2BA5"/>
        </patternFill>
      </fill>
    </dxf>
    <dxf>
      <fill>
        <patternFill>
          <bgColor rgb="FF9C2BA5"/>
        </patternFill>
      </fill>
    </dxf>
    <dxf>
      <fill>
        <patternFill>
          <bgColor rgb="FF9C2BA5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color theme="0"/>
      </font>
    </dxf>
    <dxf>
      <font>
        <color theme="0"/>
      </font>
    </dxf>
    <dxf>
      <fill>
        <patternFill patternType="solid">
          <bgColor rgb="FF0066CC"/>
        </patternFill>
      </fill>
    </dxf>
    <dxf>
      <fill>
        <patternFill patternType="solid">
          <bgColor rgb="FF0066CC"/>
        </patternFill>
      </fill>
    </dxf>
    <dxf>
      <fill>
        <patternFill patternType="solid">
          <bgColor rgb="FF0066CC"/>
        </patternFill>
      </fill>
    </dxf>
    <dxf>
      <fill>
        <patternFill patternType="solid">
          <bgColor rgb="FF0066CC"/>
        </patternFill>
      </fill>
    </dxf>
    <dxf>
      <fill>
        <patternFill patternType="solid">
          <bgColor rgb="FF0066CC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29C9A3"/>
      <color rgb="FF9C2BA5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[Relatório Integrado Erro - Geral - Copia.xlsm]Dashboard!Tabela dinâmica3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rgbClr val="29C9A3"/>
          </a:solidFill>
          <a:ln>
            <a:noFill/>
          </a:ln>
          <a:effectLst/>
        </c:spPr>
      </c:pivotFmt>
      <c:pivotFmt>
        <c:idx val="3"/>
        <c:spPr>
          <a:solidFill>
            <a:srgbClr val="9C2BA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3319219101846532E-2"/>
          <c:y val="0.17024282119296083"/>
          <c:w val="0.42768465179279141"/>
          <c:h val="0.68767402992889604"/>
        </c:manualLayout>
      </c:layout>
      <c:doughnutChart>
        <c:varyColors val="1"/>
        <c:ser>
          <c:idx val="0"/>
          <c:order val="0"/>
          <c:tx>
            <c:strRef>
              <c:f>Dashboard!$I$4</c:f>
              <c:strCache>
                <c:ptCount val="1"/>
                <c:pt idx="0">
                  <c:v>Total</c:v>
                </c:pt>
              </c:strCache>
            </c:strRef>
          </c:tx>
          <c:spPr>
            <a:effectLst/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B4A-4883-8A23-E9F41516D977}"/>
              </c:ext>
            </c:extLst>
          </c:dPt>
          <c:dPt>
            <c:idx val="1"/>
            <c:bubble3D val="0"/>
            <c:spPr>
              <a:solidFill>
                <a:srgbClr val="9C2B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98-48F2-B559-38D1678DDB40}"/>
              </c:ext>
            </c:extLst>
          </c:dPt>
          <c:dPt>
            <c:idx val="2"/>
            <c:bubble3D val="0"/>
            <c:spPr>
              <a:solidFill>
                <a:srgbClr val="29C9A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A-4883-8A23-E9F41516D97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Dashboard!$H$5:$H$8</c:f>
              <c:strCache>
                <c:ptCount val="3"/>
                <c:pt idx="0">
                  <c:v>INDEFINIDO</c:v>
                </c:pt>
                <c:pt idx="1">
                  <c:v>QUALIDADE DOS DADOS</c:v>
                </c:pt>
                <c:pt idx="2">
                  <c:v>SISTEMA</c:v>
                </c:pt>
              </c:strCache>
            </c:strRef>
          </c:cat>
          <c:val>
            <c:numRef>
              <c:f>Dashboard!$I$5:$I$8</c:f>
              <c:numCache>
                <c:formatCode>General</c:formatCode>
                <c:ptCount val="3"/>
                <c:pt idx="0">
                  <c:v>593</c:v>
                </c:pt>
                <c:pt idx="1">
                  <c:v>1142</c:v>
                </c:pt>
                <c:pt idx="2">
                  <c:v>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A-4883-8A23-E9F41516D97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002579834979024"/>
          <c:y val="0.35678383672636399"/>
          <c:w val="0.44151813144177487"/>
          <c:h val="0.3679954483588169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[Relatório Integrado Erro - Geral - Copia.xlsm]Dashboard!Tabela dinâmica4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29C9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C2BA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9C2BA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9290752827504255E-2"/>
          <c:y val="8.8542300183540104E-2"/>
          <c:w val="0.77964415113687513"/>
          <c:h val="0.739789831520469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Dashboard!$M$3:$M$4</c:f>
              <c:strCache>
                <c:ptCount val="1"/>
                <c:pt idx="0">
                  <c:v>GOVER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Dashboard!$L$5:$L$12</c:f>
              <c:multiLvlStrCache>
                <c:ptCount val="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Dashboard!$M$5:$M$12</c:f>
              <c:numCache>
                <c:formatCode>General</c:formatCode>
                <c:ptCount val="6"/>
                <c:pt idx="0">
                  <c:v>14</c:v>
                </c:pt>
                <c:pt idx="1">
                  <c:v>13</c:v>
                </c:pt>
                <c:pt idx="2">
                  <c:v>91</c:v>
                </c:pt>
                <c:pt idx="3">
                  <c:v>52</c:v>
                </c:pt>
                <c:pt idx="4">
                  <c:v>15</c:v>
                </c:pt>
                <c:pt idx="5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F-4C52-A44B-84F6F6B692BF}"/>
            </c:ext>
          </c:extLst>
        </c:ser>
        <c:ser>
          <c:idx val="1"/>
          <c:order val="1"/>
          <c:tx>
            <c:strRef>
              <c:f>Dashboard!$N$3:$N$4</c:f>
              <c:strCache>
                <c:ptCount val="1"/>
                <c:pt idx="0">
                  <c:v>LEMONTECH</c:v>
                </c:pt>
              </c:strCache>
            </c:strRef>
          </c:tx>
          <c:spPr>
            <a:solidFill>
              <a:srgbClr val="29C9A3"/>
            </a:solidFill>
            <a:ln>
              <a:noFill/>
            </a:ln>
            <a:effectLst/>
          </c:spPr>
          <c:invertIfNegative val="0"/>
          <c:cat>
            <c:multiLvlStrRef>
              <c:f>Dashboard!$L$5:$L$12</c:f>
              <c:multiLvlStrCache>
                <c:ptCount val="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Dashboard!$N$5:$N$12</c:f>
              <c:numCache>
                <c:formatCode>General</c:formatCode>
                <c:ptCount val="6"/>
                <c:pt idx="1">
                  <c:v>1</c:v>
                </c:pt>
                <c:pt idx="2">
                  <c:v>3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5-45CB-BC7B-0F84745A8F99}"/>
            </c:ext>
          </c:extLst>
        </c:ser>
        <c:ser>
          <c:idx val="2"/>
          <c:order val="2"/>
          <c:tx>
            <c:strRef>
              <c:f>Dashboard!$O$3:$O$4</c:f>
              <c:strCache>
                <c:ptCount val="1"/>
                <c:pt idx="0">
                  <c:v>SABRE</c:v>
                </c:pt>
              </c:strCache>
            </c:strRef>
          </c:tx>
          <c:spPr>
            <a:solidFill>
              <a:srgbClr val="9C2BA5"/>
            </a:solidFill>
            <a:ln>
              <a:noFill/>
            </a:ln>
            <a:effectLst/>
          </c:spPr>
          <c:invertIfNegative val="0"/>
          <c:cat>
            <c:multiLvlStrRef>
              <c:f>Dashboard!$L$5:$L$12</c:f>
              <c:multiLvlStrCache>
                <c:ptCount val="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Dashboard!$O$5:$O$12</c:f>
              <c:numCache>
                <c:formatCode>General</c:formatCode>
                <c:ptCount val="6"/>
                <c:pt idx="0">
                  <c:v>218</c:v>
                </c:pt>
                <c:pt idx="1">
                  <c:v>304</c:v>
                </c:pt>
                <c:pt idx="2">
                  <c:v>380</c:v>
                </c:pt>
                <c:pt idx="3">
                  <c:v>250</c:v>
                </c:pt>
                <c:pt idx="4">
                  <c:v>301</c:v>
                </c:pt>
                <c:pt idx="5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5-45CB-BC7B-0F84745A8F99}"/>
            </c:ext>
          </c:extLst>
        </c:ser>
        <c:ser>
          <c:idx val="3"/>
          <c:order val="3"/>
          <c:tx>
            <c:strRef>
              <c:f>Dashboard!$P$3:$P$4</c:f>
              <c:strCache>
                <c:ptCount val="1"/>
                <c:pt idx="0">
                  <c:v>TMS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Dashboard!$L$5:$L$12</c:f>
              <c:multiLvlStrCache>
                <c:ptCount val="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Dashboard!$P$5:$P$12</c:f>
              <c:numCache>
                <c:formatCode>General</c:formatCode>
                <c:ptCount val="6"/>
                <c:pt idx="0">
                  <c:v>8</c:v>
                </c:pt>
                <c:pt idx="1">
                  <c:v>21</c:v>
                </c:pt>
                <c:pt idx="2">
                  <c:v>48</c:v>
                </c:pt>
                <c:pt idx="3">
                  <c:v>66</c:v>
                </c:pt>
                <c:pt idx="4">
                  <c:v>68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A5-45CB-BC7B-0F84745A8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6187071"/>
        <c:axId val="426188511"/>
      </c:barChart>
      <c:catAx>
        <c:axId val="42618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88511"/>
        <c:crosses val="autoZero"/>
        <c:auto val="1"/>
        <c:lblAlgn val="ctr"/>
        <c:lblOffset val="100"/>
        <c:noMultiLvlLbl val="0"/>
      </c:catAx>
      <c:valAx>
        <c:axId val="42618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8707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555626</xdr:colOff>
      <xdr:row>2</xdr:row>
      <xdr:rowOff>180975</xdr:rowOff>
    </xdr:from>
    <xdr:to>
      <xdr:col>9</xdr:col>
      <xdr:colOff>119593</xdr:colOff>
      <xdr:row>12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F0E682-7BC2-64A1-32F0-35AB4CBE9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25</xdr:row>
          <xdr:rowOff>85725</xdr:rowOff>
        </xdr:from>
        <xdr:to>
          <xdr:col>8</xdr:col>
          <xdr:colOff>981075</xdr:colOff>
          <xdr:row>28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372478</xdr:colOff>
      <xdr:row>1</xdr:row>
      <xdr:rowOff>23810</xdr:rowOff>
    </xdr:from>
    <xdr:to>
      <xdr:col>17</xdr:col>
      <xdr:colOff>66675</xdr:colOff>
      <xdr:row>24</xdr:row>
      <xdr:rowOff>57149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589E36-21A9-97A4-EFE0-4A7523111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295275</xdr:colOff>
      <xdr:row>1</xdr:row>
      <xdr:rowOff>19050</xdr:rowOff>
    </xdr:from>
    <xdr:to>
      <xdr:col>22</xdr:col>
      <xdr:colOff>238125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BT">
              <a:extLst>
                <a:ext uri="{FF2B5EF4-FFF2-40B4-BE49-F238E27FC236}">
                  <a16:creationId xmlns:a16="http://schemas.microsoft.com/office/drawing/2014/main" id="{162B49C9-970A-DC92-2DC0-F871E73E26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25800" y="209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Vitor Moreira" refreshedDate="45825.716488194441" createdVersion="8" refreshedVersion="8" minRefreshableVersion="3" recordCount="2253" xr:uid="{1D1B5DCF-769F-4A43-8BC4-F6708F87651D}">
  <cacheSource type="worksheet">
    <worksheetSource ref="A1:Q1048576" sheet="Base"/>
  </cacheSource>
  <cacheFields count="20">
    <cacheField name="RESOLVIDO?" numFmtId="0">
      <sharedItems containsBlank="1"/>
    </cacheField>
    <cacheField name="OBS." numFmtId="0">
      <sharedItems containsBlank="1"/>
    </cacheField>
    <cacheField name="SITUAÇÃO" numFmtId="0">
      <sharedItems containsBlank="1" count="5">
        <s v="CONTABILIZAR NO PORTAL"/>
        <s v="RESOLVIDO"/>
        <s v="PENDENTE"/>
        <m/>
        <s v="AGUARDANDO FORNECEDOR" u="1"/>
      </sharedItems>
    </cacheField>
    <cacheField name="HANDLE" numFmtId="0">
      <sharedItems containsString="0" containsBlank="1" containsNumber="1" containsInteger="1" minValue="2438691" maxValue="3486189"/>
    </cacheField>
    <cacheField name="OBT" numFmtId="0">
      <sharedItems containsBlank="1" count="5">
        <s v="GOVER"/>
        <s v="TMS"/>
        <s v="SABRE"/>
        <s v="LEMONTECH"/>
        <m/>
      </sharedItems>
    </cacheField>
    <cacheField name="DATARESERVA" numFmtId="0">
      <sharedItems containsNonDate="0" containsDate="1" containsString="0" containsBlank="1" minDate="2023-04-10T19:13:00" maxDate="2025-06-16T17:36:00"/>
    </cacheField>
    <cacheField name="CODIGORESERVA" numFmtId="0">
      <sharedItems containsBlank="1" containsMixedTypes="1" containsNumber="1" containsInteger="1" minValue="17" maxValue="4552535"/>
    </cacheField>
    <cacheField name="RLOCCIA" numFmtId="0">
      <sharedItems containsBlank="1" containsMixedTypes="1" containsNumber="1" containsInteger="1" minValue="17" maxValue="52892962"/>
    </cacheField>
    <cacheField name="MENSAGEM" numFmtId="0">
      <sharedItems containsBlank="1" longText="1"/>
    </cacheField>
    <cacheField name="DATAENVIO" numFmtId="0">
      <sharedItems containsNonDate="0" containsDate="1" containsString="0" containsBlank="1" minDate="2024-01-04T16:07:00" maxDate="2025-06-17T10:37:00" count="2843">
        <d v="2024-01-04T16:07:00"/>
        <d v="2024-01-05T18:46:00"/>
        <d v="2024-01-19T09:45:00"/>
        <d v="2024-01-19T15:37:00"/>
        <d v="2024-01-24T22:53:00"/>
        <d v="2024-01-31T10:58:00"/>
        <d v="2024-01-31T17:45:00"/>
        <d v="2024-02-01T12:58:00"/>
        <d v="2024-02-14T15:48:00"/>
        <d v="2024-02-16T08:25:00"/>
        <d v="2024-02-16T11:07:00"/>
        <d v="2024-02-19T14:07:00"/>
        <d v="2024-02-19T18:01:00"/>
        <d v="2024-02-21T10:04:00"/>
        <d v="2024-02-23T09:55:00"/>
        <d v="2024-02-28T18:31:00"/>
        <d v="2024-03-07T17:07:00"/>
        <d v="2024-03-08T14:16:00"/>
        <d v="2024-03-08T15:28:00"/>
        <d v="2024-03-08T21:16:00"/>
        <d v="2024-03-14T09:28:00"/>
        <d v="2024-03-15T09:37:00"/>
        <d v="2024-03-16T09:10:00"/>
        <d v="2024-03-19T08:43:00"/>
        <d v="2024-03-19T13:22:00"/>
        <d v="2024-03-22T10:07:00"/>
        <d v="2024-03-22T10:43:00"/>
        <d v="2024-03-22T15:01:00"/>
        <d v="2024-03-26T12:31:00"/>
        <d v="2024-03-26T15:05:00"/>
        <d v="2024-03-28T15:58:00"/>
        <d v="2024-03-28T21:51:00"/>
        <d v="2024-03-28T21:52:00"/>
        <d v="2024-04-03T10:13:00"/>
        <d v="2024-04-03T17:37:00"/>
        <d v="2024-04-04T15:40:00"/>
        <d v="2024-04-04T17:02:00"/>
        <d v="2024-04-05T16:14:00"/>
        <d v="2024-04-09T10:13:00"/>
        <d v="2024-04-10T13:58:00"/>
        <d v="2024-04-11T11:07:00"/>
        <d v="2024-04-12T17:46:00"/>
        <d v="2024-04-18T08:45:00"/>
        <d v="2024-04-18T16:31:00"/>
        <d v="2024-04-19T09:28:00"/>
        <d v="2024-04-23T11:28:00"/>
        <d v="2024-05-02T08:52:00"/>
        <d v="2024-05-06T12:10:00"/>
        <d v="2024-05-08T14:38:00"/>
        <d v="2024-05-09T17:11:00"/>
        <d v="2024-05-20T14:44:00"/>
        <d v="2024-05-21T15:20:00"/>
        <d v="2024-05-21T15:28:00"/>
        <d v="2024-05-29T17:17:00"/>
        <d v="2024-06-03T17:46:00"/>
        <d v="2024-06-04T12:48:00"/>
        <d v="2024-06-05T02:50:00"/>
        <d v="2024-06-07T12:37:00"/>
        <d v="2024-06-11T12:34:00"/>
        <d v="2024-06-16T11:16:00"/>
        <d v="2024-06-20T14:26:00"/>
        <d v="2024-06-24T19:15:00"/>
        <d v="2024-06-26T10:24:00"/>
        <d v="2024-06-27T11:21:00"/>
        <d v="2024-07-09T00:04:00"/>
        <d v="2024-07-15T10:04:00"/>
        <d v="2024-07-15T14:16:00"/>
        <d v="2024-07-19T16:24:00"/>
        <d v="2024-07-22T11:27:00"/>
        <d v="2024-07-23T15:13:00"/>
        <d v="2024-07-24T15:13:00"/>
        <d v="2024-07-25T11:28:00"/>
        <d v="2024-07-30T18:29:00"/>
        <d v="2024-08-01T10:44:00"/>
        <d v="2024-08-01T16:17:00"/>
        <d v="2024-08-05T17:19:00"/>
        <d v="2024-08-05T17:38:00"/>
        <d v="2024-08-06T09:49:00"/>
        <d v="2024-08-08T16:31:00"/>
        <d v="2024-08-08T16:33:00"/>
        <d v="2024-08-12T08:54:00"/>
        <d v="2024-08-13T13:34:00"/>
        <d v="2024-08-15T11:43:00"/>
        <d v="2024-08-15T16:14:00"/>
        <d v="2024-08-16T16:52:00"/>
        <d v="2024-08-20T15:55:00"/>
        <d v="2024-08-20T15:58:00"/>
        <d v="2024-08-23T15:48:00"/>
        <d v="2024-08-23T19:06:00"/>
        <d v="2024-08-26T11:54:00"/>
        <d v="2024-08-26T17:28:00"/>
        <d v="2024-08-26T17:56:00"/>
        <d v="2024-08-27T07:42:00"/>
        <d v="2024-08-29T11:55:00"/>
        <d v="2024-09-02T09:49:00"/>
        <d v="2024-09-02T10:27:00"/>
        <d v="2024-09-02T13:43:00"/>
        <d v="2024-09-03T11:29:00"/>
        <d v="2024-09-03T13:32:00"/>
        <d v="2024-09-04T15:06:00"/>
        <d v="2024-09-04T17:55:00"/>
        <d v="2024-09-06T15:23:00"/>
        <d v="2024-09-06T16:17:00"/>
        <m/>
        <d v="2024-09-09T15:22:00"/>
        <d v="2024-09-10T09:34:00"/>
        <d v="2024-09-10T09:38:00"/>
        <d v="2024-09-10T15:49:00"/>
        <d v="2024-09-11T08:46:00"/>
        <d v="2024-09-13T18:24:00"/>
        <d v="2024-09-16T11:44:00"/>
        <d v="2024-09-16T12:14:00"/>
        <d v="2024-09-17T12:25:00"/>
        <d v="2024-09-18T18:38:00"/>
        <d v="2024-09-23T11:04:00"/>
        <d v="2024-09-24T13:44:00"/>
        <d v="2024-09-27T14:44:00"/>
        <d v="2024-09-27T20:34:00"/>
        <d v="2024-09-30T08:34:00"/>
        <d v="2024-09-30T10:34:00"/>
        <d v="2024-09-30T11:32:00"/>
        <d v="2024-09-30T15:55:00"/>
        <d v="2024-09-30T16:06:00"/>
        <d v="2024-09-30T16:15:00"/>
        <d v="2024-10-01T10:54:00"/>
        <d v="2024-10-01T18:16:00"/>
        <d v="2024-10-01T23:00:00"/>
        <d v="2024-10-02T17:29:00"/>
        <d v="2024-10-03T10:02:00"/>
        <d v="2024-10-04T14:25:00"/>
        <d v="2024-10-04T15:35:00"/>
        <d v="2024-10-08T18:25:00"/>
        <d v="2024-10-11T08:34:00"/>
        <d v="2024-10-16T12:59:00"/>
        <d v="2024-10-17T14:56:00"/>
        <d v="2024-10-17T15:40:00"/>
        <d v="2024-10-17T17:47:00"/>
        <d v="2024-10-21T18:25:00"/>
        <d v="2024-10-22T22:18:00"/>
        <d v="2024-10-23T11:44:00"/>
        <d v="2024-10-25T09:04:00"/>
        <d v="2024-10-25T16:47:00"/>
        <d v="2024-10-25T16:55:00"/>
        <d v="2024-10-28T11:05:00"/>
        <d v="2024-10-29T14:02:00"/>
        <d v="2024-10-31T15:05:00"/>
        <d v="2024-11-01T11:21:00"/>
        <d v="2024-11-03T14:23:00"/>
        <d v="2024-11-05T16:46:00"/>
        <d v="2024-11-05T18:14:00"/>
        <d v="2024-11-07T15:25:00"/>
        <d v="2024-11-08T15:14:00"/>
        <d v="2024-11-11T10:12:00"/>
        <d v="2024-11-18T11:03:00"/>
        <d v="2024-11-19T15:14:00"/>
        <d v="2024-11-25T16:04:00"/>
        <d v="2024-11-27T11:50:00"/>
        <d v="2024-11-27T11:54:00"/>
        <d v="2024-11-29T11:05:00"/>
        <d v="2024-12-03T12:54:00"/>
        <d v="2024-12-03T16:00:00"/>
        <d v="2024-12-04T18:45:00"/>
        <d v="2024-12-05T22:27:00"/>
        <d v="2024-12-06T18:28:00"/>
        <d v="2024-12-09T17:24:00"/>
        <d v="2024-12-10T15:25:00"/>
        <d v="2024-12-13T11:06:00"/>
        <d v="2024-12-13T17:35:00"/>
        <d v="2024-12-17T11:55:00"/>
        <d v="2024-12-31T16:48:00"/>
        <d v="2025-01-02T15:33:00"/>
        <d v="2025-01-02T15:34:00"/>
        <d v="2025-01-02T15:35:00"/>
        <d v="2025-01-02T18:05:00"/>
        <d v="2025-01-03T11:34:00"/>
        <d v="2025-01-03T17:03:00"/>
        <d v="2025-01-03T18:03:00"/>
        <d v="2025-01-03T18:06:00"/>
        <d v="2025-01-03T20:18:00"/>
        <d v="2025-01-06T11:19:00"/>
        <d v="2025-01-06T16:03:00"/>
        <d v="2025-01-06T19:36:00"/>
        <d v="2025-01-06T20:33:00"/>
        <d v="2025-01-06T20:34:00"/>
        <d v="2025-01-06T20:35:00"/>
        <d v="2025-01-06T20:36:00"/>
        <d v="2025-01-07T09:20:00"/>
        <d v="2025-01-07T17:21:00"/>
        <d v="2025-01-07T17:49:00"/>
        <d v="2025-01-07T20:34:00"/>
        <d v="2025-01-07T20:35:00"/>
        <d v="2025-01-08T09:04:00"/>
        <d v="2025-01-08T15:49:00"/>
        <d v="2025-01-08T15:50:00"/>
        <d v="2025-01-08T15:52:00"/>
        <d v="2025-01-08T18:04:00"/>
        <d v="2025-01-08T20:33:00"/>
        <d v="2025-01-08T20:34:00"/>
        <d v="2025-01-08T20:36:00"/>
        <d v="2025-01-09T11:17:00"/>
        <d v="2025-01-09T14:49:00"/>
        <d v="2025-01-09T14:55:00"/>
        <d v="2025-01-09T16:04:00"/>
        <d v="2025-01-09T16:35:00"/>
        <d v="2025-01-09T19:49:00"/>
        <d v="2025-01-09T19:50:00"/>
        <d v="2025-01-09T20:17:00"/>
        <d v="2025-01-10T10:17:00"/>
        <d v="2025-01-10T11:33:00"/>
        <d v="2025-01-10T11:34:00"/>
        <d v="2025-01-10T13:20:00"/>
        <d v="2025-01-10T14:07:00"/>
        <d v="2025-01-10T16:06:00"/>
        <d v="2025-01-10T16:36:00"/>
        <d v="2025-01-10T18:16:00"/>
        <d v="2025-01-10T18:49:00"/>
        <d v="2025-01-10T18:58:00"/>
        <d v="2025-01-10T18:59:00"/>
        <d v="2025-01-10T19:00:00"/>
        <d v="2025-01-10T19:01:00"/>
        <d v="2025-01-10T19:03:00"/>
        <d v="2025-01-10T19:04:00"/>
        <d v="2025-01-10T19:07:00"/>
        <d v="2025-01-10T20:35:00"/>
        <d v="2025-01-10T20:49:00"/>
        <d v="2025-01-13T12:05:00"/>
        <d v="2025-01-13T12:06:00"/>
        <d v="2025-01-13T13:32:00"/>
        <d v="2025-01-13T14:19:00"/>
        <d v="2025-01-13T14:20:00"/>
        <d v="2025-01-13T17:18:00"/>
        <d v="2025-01-13T17:19:00"/>
        <d v="2025-01-13T20:20:00"/>
        <d v="2025-01-13T20:21:00"/>
        <d v="2025-01-13T20:22:00"/>
        <d v="2025-01-14T09:21:00"/>
        <d v="2025-01-14T11:02:00"/>
        <d v="2025-01-14T16:20:00"/>
        <d v="2025-01-14T16:21:00"/>
        <d v="2025-01-14T17:50:00"/>
        <d v="2025-01-14T18:19:00"/>
        <d v="2025-01-14T18:45:00"/>
        <d v="2025-01-14T20:18:00"/>
        <d v="2025-01-15T11:34:00"/>
        <d v="2025-01-15T17:20:00"/>
        <d v="2025-01-15T17:21:00"/>
        <d v="2025-01-15T17:25:00"/>
        <d v="2025-01-15T17:28:00"/>
        <d v="2025-01-15T17:29:00"/>
        <d v="2025-01-15T17:51:00"/>
        <d v="2025-01-15T18:35:00"/>
        <d v="2025-01-15T19:35:00"/>
        <d v="2025-01-15T20:49:00"/>
        <d v="2025-01-15T20:50:00"/>
        <d v="2025-01-15T20:51:00"/>
        <d v="2025-01-16T10:10:00"/>
        <d v="2025-01-16T20:48:00"/>
        <d v="2025-01-16T20:49:00"/>
        <d v="2025-01-16T20:50:00"/>
        <d v="2025-01-16T20:52:00"/>
        <d v="2025-01-16T20:53:00"/>
        <d v="2025-01-16T20:54:00"/>
        <d v="2025-01-17T11:53:00"/>
        <d v="2025-01-17T15:32:00"/>
        <d v="2025-01-17T16:05:00"/>
        <d v="2025-01-17T16:33:00"/>
        <d v="2025-01-17T16:50:00"/>
        <d v="2025-01-17T20:35:00"/>
        <d v="2025-01-17T20:36:00"/>
        <d v="2025-01-17T20:37:00"/>
        <d v="2025-01-17T20:38:00"/>
        <d v="2025-01-17T20:40:00"/>
        <d v="2025-01-17T20:41:00"/>
        <d v="2025-01-20T15:02:00"/>
        <d v="2025-01-20T17:06:00"/>
        <d v="2025-01-20T18:21:00"/>
        <d v="2025-01-20T18:24:00"/>
        <d v="2025-01-20T18:25:00"/>
        <d v="2025-01-21T12:45:00"/>
        <d v="2025-01-21T16:20:00"/>
        <d v="2025-01-21T18:06:00"/>
        <d v="2025-01-21T20:35:00"/>
        <d v="2025-01-21T20:36:00"/>
        <d v="2025-01-22T11:34:00"/>
        <d v="2025-01-22T14:50:00"/>
        <d v="2025-01-22T16:14:00"/>
        <d v="2025-01-22T16:18:00"/>
        <d v="2025-01-22T16:20:00"/>
        <d v="2025-01-22T16:44:00"/>
        <d v="2025-01-22T16:54:00"/>
        <d v="2025-01-22T20:18:00"/>
        <d v="2025-01-22T20:19:00"/>
        <d v="2025-01-22T20:20:00"/>
        <d v="2025-01-22T20:21:00"/>
        <d v="2025-01-22T20:22:00"/>
        <d v="2025-01-23T10:34:00"/>
        <d v="2025-01-23T11:47:00"/>
        <d v="2025-01-23T11:49:00"/>
        <d v="2025-01-23T15:35:00"/>
        <d v="2025-01-23T15:50:00"/>
        <d v="2025-01-23T16:14:00"/>
        <d v="2025-01-23T16:28:00"/>
        <d v="2025-01-23T17:48:00"/>
        <d v="2025-01-23T17:49:00"/>
        <d v="2025-01-23T17:50:00"/>
        <d v="2025-01-23T19:48:00"/>
        <d v="2025-01-23T19:49:00"/>
        <d v="2025-01-23T19:50:00"/>
        <d v="2025-01-24T11:50:00"/>
        <d v="2025-01-24T13:36:00"/>
        <d v="2025-01-24T17:24:00"/>
        <d v="2025-01-24T20:37:00"/>
        <d v="2025-01-24T20:38:00"/>
        <d v="2025-01-24T20:41:00"/>
        <d v="2025-01-24T20:42:00"/>
        <d v="2025-01-27T14:34:00"/>
        <d v="2025-01-27T14:35:00"/>
        <d v="2025-01-27T14:36:00"/>
        <d v="2025-01-27T16:33:00"/>
        <d v="2025-01-27T16:48:00"/>
        <d v="2025-01-27T17:34:00"/>
        <d v="2025-01-27T17:35:00"/>
        <d v="2025-01-27T19:04:00"/>
        <d v="2025-01-27T20:34:00"/>
        <d v="2025-01-28T16:03:00"/>
        <d v="2025-01-28T16:04:00"/>
        <d v="2025-01-28T16:07:00"/>
        <d v="2025-01-28T17:06:00"/>
        <d v="2025-01-28T18:05:00"/>
        <d v="2025-01-28T18:06:00"/>
        <d v="2025-01-28T19:20:00"/>
        <d v="2025-01-28T19:33:00"/>
        <d v="2025-01-29T15:04:00"/>
        <d v="2025-01-29T16:34:00"/>
        <d v="2025-01-30T17:35:00"/>
        <d v="2025-01-30T18:47:00"/>
        <d v="2025-01-30T18:49:00"/>
        <d v="2025-01-30T18:51:00"/>
        <d v="2025-01-30T18:52:00"/>
        <d v="2025-01-30T19:48:00"/>
        <d v="2025-01-30T19:49:00"/>
        <d v="2025-01-31T09:04:00"/>
        <d v="2025-01-31T09:14:00"/>
        <d v="2025-01-31T09:18:00"/>
        <d v="2025-01-31T11:18:00"/>
        <d v="2025-01-31T11:48:00"/>
        <d v="2025-01-31T14:49:00"/>
        <d v="2025-01-31T15:17:00"/>
        <d v="2025-01-31T15:18:00"/>
        <d v="2025-01-31T18:03:00"/>
        <d v="2025-01-31T18:35:00"/>
        <d v="2025-01-31T20:17:00"/>
        <d v="2025-01-31T20:20:00"/>
        <d v="2025-01-31T20:21:00"/>
        <d v="2025-02-03T12:06:00"/>
        <d v="2025-02-03T13:22:00"/>
        <d v="2025-02-03T14:48:00"/>
        <d v="2025-02-03T14:49:00"/>
        <d v="2025-02-03T14:50:00"/>
        <d v="2025-02-03T14:51:00"/>
        <d v="2025-02-03T15:20:00"/>
        <d v="2025-02-03T16:24:00"/>
        <d v="2025-02-03T18:35:00"/>
        <d v="2025-02-03T18:36:00"/>
        <d v="2025-02-03T20:03:00"/>
        <d v="2025-02-03T20:05:00"/>
        <d v="2025-02-03T20:06:00"/>
        <d v="2025-02-03T20:07:00"/>
        <d v="2025-02-03T20:08:00"/>
        <d v="2025-02-03T20:09:00"/>
        <d v="2025-02-03T20:10:00"/>
        <d v="2025-02-03T20:11:00"/>
        <d v="2025-02-04T09:14:00"/>
        <d v="2025-02-04T12:21:00"/>
        <d v="2025-02-04T12:35:00"/>
        <d v="2025-02-04T15:10:00"/>
        <d v="2025-02-04T16:25:00"/>
        <d v="2025-02-04T17:30:00"/>
        <d v="2025-02-04T17:34:00"/>
        <d v="2025-02-04T17:51:00"/>
        <d v="2025-02-04T19:36:00"/>
        <d v="2025-02-04T21:05:00"/>
        <d v="2025-02-04T21:06:00"/>
        <d v="2025-02-04T21:09:00"/>
        <d v="2025-02-05T09:24:00"/>
        <d v="2025-02-05T09:35:00"/>
        <d v="2025-02-05T09:43:00"/>
        <d v="2025-02-05T10:18:00"/>
        <d v="2025-02-05T10:36:00"/>
        <d v="2025-02-05T13:03:00"/>
        <d v="2025-02-05T14:07:00"/>
        <d v="2025-02-05T14:08:00"/>
        <d v="2025-02-05T14:09:00"/>
        <d v="2025-02-05T14:11:00"/>
        <d v="2025-02-05T17:07:00"/>
        <d v="2025-02-05T18:06:00"/>
        <d v="2025-02-05T18:14:00"/>
        <d v="2025-02-05T18:26:00"/>
        <d v="2025-02-05T18:52:00"/>
        <d v="2025-02-05T19:47:00"/>
        <d v="2025-02-05T19:50:00"/>
        <d v="2025-02-05T22:51:00"/>
        <d v="2025-02-06T10:55:00"/>
        <d v="2025-02-06T11:05:00"/>
        <d v="2025-02-06T11:06:00"/>
        <d v="2025-02-06T12:14:00"/>
        <d v="2025-02-06T16:02:00"/>
        <d v="2025-02-06T16:03:00"/>
        <d v="2025-02-06T16:05:00"/>
        <d v="2025-02-06T16:06:00"/>
        <d v="2025-02-06T16:07:00"/>
        <d v="2025-02-06T19:50:00"/>
        <d v="2025-02-06T21:56:00"/>
        <d v="2025-02-06T22:00:00"/>
        <d v="2025-02-06T22:01:00"/>
        <d v="2025-02-07T11:51:00"/>
        <d v="2025-02-07T15:53:00"/>
        <d v="2025-02-07T15:54:00"/>
        <d v="2025-02-07T15:55:00"/>
        <d v="2025-02-07T17:19:00"/>
        <d v="2025-02-07T18:52:00"/>
        <d v="2025-02-07T20:49:00"/>
        <d v="2025-02-07T20:50:00"/>
        <d v="2025-02-07T20:51:00"/>
        <d v="2025-02-07T23:21:00"/>
        <d v="2025-02-07T23:42:00"/>
        <d v="2025-02-10T08:48:00"/>
        <d v="2025-02-10T11:32:00"/>
        <d v="2025-02-10T16:51:00"/>
        <d v="2025-02-10T20:33:00"/>
        <d v="2025-02-10T20:34:00"/>
        <d v="2025-02-10T20:35:00"/>
        <d v="2025-02-10T20:36:00"/>
        <d v="2025-02-10T20:38:00"/>
        <d v="2025-02-10T20:39:00"/>
        <d v="2025-02-10T20:41:00"/>
        <d v="2025-02-11T00:18:00"/>
        <d v="2025-02-11T10:34:00"/>
        <d v="2025-02-11T11:35:00"/>
        <d v="2025-02-11T12:06:00"/>
        <d v="2025-02-11T16:36:00"/>
        <d v="2025-02-11T17:08:00"/>
        <d v="2025-02-11T17:09:00"/>
        <d v="2025-02-11T18:47:00"/>
        <d v="2025-02-11T20:48:00"/>
        <d v="2025-02-11T20:49:00"/>
        <d v="2025-02-11T20:50:00"/>
        <d v="2025-02-11T20:51:00"/>
        <d v="2025-02-11T20:52:00"/>
        <d v="2025-02-11T20:53:00"/>
        <d v="2025-02-11T20:55:00"/>
        <d v="2025-02-12T11:34:00"/>
        <d v="2025-02-12T12:33:00"/>
        <d v="2025-02-12T13:25:00"/>
        <d v="2025-02-12T16:38:00"/>
        <d v="2025-02-13T12:20:00"/>
        <d v="2025-02-13T12:23:00"/>
        <d v="2025-02-13T12:25:00"/>
        <d v="2025-02-13T12:28:00"/>
        <d v="2025-02-13T12:29:00"/>
        <d v="2025-02-13T12:30:00"/>
        <d v="2025-02-13T13:18:00"/>
        <d v="2025-02-13T18:34:00"/>
        <d v="2025-02-13T18:48:00"/>
        <d v="2025-02-14T00:48:00"/>
        <d v="2025-02-14T00:49:00"/>
        <d v="2025-02-14T00:52:00"/>
        <d v="2025-02-14T00:53:00"/>
        <d v="2025-02-14T00:55:00"/>
        <d v="2025-02-14T06:23:00"/>
        <d v="2025-02-14T10:20:00"/>
        <d v="2025-02-14T11:06:00"/>
        <d v="2025-02-14T12:19:00"/>
        <d v="2025-02-14T12:33:00"/>
        <d v="2025-02-14T17:04:00"/>
        <d v="2025-02-14T17:05:00"/>
        <d v="2025-02-14T18:07:00"/>
        <d v="2025-02-14T18:18:00"/>
        <d v="2025-02-14T18:33:00"/>
        <d v="2025-02-14T18:34:00"/>
        <d v="2025-02-14T21:33:00"/>
        <d v="2025-02-14T21:34:00"/>
        <d v="2025-02-14T21:35:00"/>
        <d v="2025-02-14T21:36:00"/>
        <d v="2025-02-14T21:37:00"/>
        <d v="2025-02-17T09:33:00"/>
        <d v="2025-02-17T10:19:00"/>
        <d v="2025-02-17T10:33:00"/>
        <d v="2025-02-17T10:49:00"/>
        <d v="2025-02-17T11:04:00"/>
        <d v="2025-02-17T13:35:00"/>
        <d v="2025-02-17T15:21:00"/>
        <d v="2025-02-17T15:22:00"/>
        <d v="2025-02-17T15:23:00"/>
        <d v="2025-02-17T18:05:00"/>
        <d v="2025-02-17T18:08:00"/>
        <d v="2025-02-17T18:37:00"/>
        <d v="2025-02-17T18:53:00"/>
        <d v="2025-02-17T19:06:00"/>
        <d v="2025-02-17T19:07:00"/>
        <d v="2025-02-17T21:34:00"/>
        <d v="2025-02-17T21:35:00"/>
        <d v="2025-02-17T21:36:00"/>
        <d v="2025-02-17T21:37:00"/>
        <d v="2025-02-18T11:34:00"/>
        <d v="2025-02-18T11:51:00"/>
        <d v="2025-02-18T19:21:00"/>
        <d v="2025-02-19T08:19:00"/>
        <d v="2025-02-19T08:21:00"/>
        <d v="2025-02-19T09:05:00"/>
        <d v="2025-02-19T09:49:00"/>
        <d v="2025-02-19T12:08:00"/>
        <d v="2025-02-19T13:21:00"/>
        <d v="2025-02-19T19:03:00"/>
        <d v="2025-02-19T19:04:00"/>
        <d v="2025-02-19T20:32:00"/>
        <d v="2025-02-20T10:00:00"/>
        <d v="2025-02-20T13:04:00"/>
        <d v="2025-02-20T13:05:00"/>
        <d v="2025-02-20T13:10:00"/>
        <d v="2025-02-20T14:48:00"/>
        <d v="2025-02-20T15:34:00"/>
        <d v="2025-02-20T20:19:00"/>
        <d v="2025-02-20T20:20:00"/>
        <d v="2025-02-20T22:02:00"/>
        <d v="2025-02-21T08:18:00"/>
        <d v="2025-02-21T12:34:00"/>
        <d v="2025-02-21T12:36:00"/>
        <d v="2025-02-21T14:03:00"/>
        <d v="2025-02-21T14:05:00"/>
        <d v="2025-02-21T14:21:00"/>
        <d v="2025-02-21T17:29:00"/>
        <d v="2025-02-21T18:20:00"/>
        <d v="2025-02-24T10:33:00"/>
        <d v="2025-02-24T10:35:00"/>
        <d v="2025-02-24T10:41:00"/>
        <d v="2025-02-24T10:50:00"/>
        <d v="2025-02-24T11:00:00"/>
        <d v="2025-02-24T15:46:00"/>
        <d v="2025-02-24T23:00:00"/>
        <d v="2025-02-25T09:39:00"/>
        <d v="2025-02-25T09:40:00"/>
        <d v="2025-02-25T09:41:00"/>
        <d v="2025-02-25T09:42:00"/>
        <d v="2025-02-25T09:43:00"/>
        <d v="2025-02-25T09:44:00"/>
        <d v="2025-02-25T09:45:00"/>
        <d v="2025-02-25T09:46:00"/>
        <d v="2025-02-25T10:06:00"/>
        <d v="2025-02-25T11:01:00"/>
        <d v="2025-02-25T13:04:00"/>
        <d v="2025-02-25T13:05:00"/>
        <d v="2025-02-25T13:06:00"/>
        <d v="2025-02-25T17:48:00"/>
        <d v="2025-02-25T20:18:00"/>
        <d v="2025-02-25T20:19:00"/>
        <d v="2025-02-25T20:21:00"/>
        <d v="2025-02-26T11:56:00"/>
        <d v="2025-02-26T12:07:00"/>
        <d v="2025-02-26T13:47:00"/>
        <d v="2025-02-26T13:51:00"/>
        <d v="2025-02-26T13:52:00"/>
        <d v="2025-02-26T15:03:00"/>
        <d v="2025-02-26T15:05:00"/>
        <d v="2025-02-26T16:03:00"/>
        <d v="2025-02-26T16:17:00"/>
        <d v="2025-02-26T17:21:00"/>
        <d v="2025-02-26T18:17:00"/>
        <d v="2025-02-26T20:33:00"/>
        <d v="2025-02-26T20:35:00"/>
        <d v="2025-02-27T09:33:00"/>
        <d v="2025-02-27T12:37:00"/>
        <d v="2025-02-27T15:47:00"/>
        <d v="2025-02-27T17:20:00"/>
        <d v="2025-02-27T19:03:00"/>
        <d v="2025-02-27T19:09:00"/>
        <d v="2025-02-27T19:17:00"/>
        <d v="2025-02-27T19:18:00"/>
        <d v="2025-02-27T19:48:00"/>
        <d v="2025-02-28T00:28:00"/>
        <d v="2025-02-28T10:17:00"/>
        <d v="2025-02-28T13:07:00"/>
        <d v="2025-02-28T16:03:00"/>
        <d v="2025-02-28T17:19:00"/>
        <d v="2025-02-28T17:20:00"/>
        <d v="2025-02-28T17:22:00"/>
        <d v="2025-02-28T17:24:00"/>
        <d v="2025-02-28T17:25:00"/>
        <d v="2025-02-28T18:13:00"/>
        <d v="2025-02-28T18:50:00"/>
        <d v="2025-02-28T19:05:00"/>
        <d v="2025-02-28T19:06:00"/>
        <d v="2025-02-28T19:08:00"/>
        <d v="2025-03-05T09:26:00"/>
        <d v="2025-03-05T12:42:00"/>
        <d v="2025-03-05T15:48:00"/>
        <d v="2025-03-05T15:51:00"/>
        <d v="2025-03-05T15:52:00"/>
        <d v="2025-03-05T16:29:00"/>
        <d v="2025-03-05T17:48:00"/>
        <d v="2025-03-05T19:09:00"/>
        <d v="2025-03-05T20:32:00"/>
        <d v="2025-03-05T20:33:00"/>
        <d v="2025-03-05T20:34:00"/>
        <d v="2025-03-05T21:18:00"/>
        <d v="2025-03-05T21:19:00"/>
        <d v="2025-03-05T21:22:00"/>
        <d v="2025-03-05T21:25:00"/>
        <d v="2025-03-06T07:36:00"/>
        <d v="2025-03-06T09:49:00"/>
        <d v="2025-03-06T09:50:00"/>
        <d v="2025-03-06T13:06:00"/>
        <d v="2025-03-06T17:18:00"/>
        <d v="2025-03-06T17:19:00"/>
        <d v="2025-03-06T18:08:00"/>
        <d v="2025-03-06T18:37:00"/>
        <d v="2025-03-06T19:04:00"/>
        <d v="2025-03-07T11:03:00"/>
        <d v="2025-03-07T12:21:00"/>
        <d v="2025-03-07T12:22:00"/>
        <d v="2025-03-07T12:23:00"/>
        <d v="2025-03-07T13:04:00"/>
        <d v="2025-03-07T13:18:00"/>
        <d v="2025-03-07T14:47:00"/>
        <d v="2025-03-07T15:23:00"/>
        <d v="2025-03-07T15:49:00"/>
        <d v="2025-03-07T16:48:00"/>
        <d v="2025-03-07T18:04:00"/>
        <d v="2025-03-07T18:18:00"/>
        <d v="2025-03-07T19:37:00"/>
        <d v="2025-03-07T20:32:00"/>
        <d v="2025-03-07T20:47:00"/>
        <d v="2025-03-07T20:49:00"/>
        <d v="2025-03-07T20:51:00"/>
        <d v="2025-03-07T20:52:00"/>
        <d v="2025-03-07T20:53:00"/>
        <d v="2025-03-07T20:54:00"/>
        <d v="2025-03-07T20:55:00"/>
        <d v="2025-03-07T20:56:00"/>
        <d v="2025-03-10T10:18:00"/>
        <d v="2025-03-10T12:33:00"/>
        <d v="2025-03-10T13:51:00"/>
        <d v="2025-03-10T13:52:00"/>
        <d v="2025-03-10T15:43:00"/>
        <d v="2025-03-10T17:34:00"/>
        <d v="2025-03-10T19:33:00"/>
        <d v="2025-03-10T20:03:00"/>
        <d v="2025-03-10T20:19:00"/>
        <d v="2025-03-10T20:21:00"/>
        <d v="2025-03-10T20:22:00"/>
        <d v="2025-03-10T20:23:00"/>
        <d v="2025-03-10T20:24:00"/>
        <d v="2025-03-10T20:25:00"/>
        <d v="2025-03-10T20:26:00"/>
        <d v="2025-03-10T22:41:00"/>
        <d v="2025-03-10T23:14:00"/>
        <d v="2025-03-11T09:37:00"/>
        <d v="2025-03-11T11:32:00"/>
        <d v="2025-03-11T11:33:00"/>
        <d v="2025-03-11T12:18:00"/>
        <d v="2025-03-11T15:33:00"/>
        <d v="2025-03-11T15:52:00"/>
        <d v="2025-03-11T16:04:00"/>
        <d v="2025-03-11T16:05:00"/>
        <d v="2025-03-11T19:17:00"/>
        <d v="2025-03-11T20:33:00"/>
        <d v="2025-03-11T20:34:00"/>
        <d v="2025-03-11T20:35:00"/>
        <d v="2025-03-11T20:36:00"/>
        <d v="2025-03-11T20:37:00"/>
        <d v="2025-03-11T20:39:00"/>
        <d v="2025-03-11T20:40:00"/>
        <d v="2025-03-12T10:44:00"/>
        <d v="2025-03-12T12:48:00"/>
        <d v="2025-03-12T12:49:00"/>
        <d v="2025-03-12T13:03:00"/>
        <d v="2025-03-12T15:52:00"/>
        <d v="2025-03-12T16:02:00"/>
        <d v="2025-03-12T17:24:00"/>
        <d v="2025-03-12T18:32:00"/>
        <d v="2025-03-12T20:09:00"/>
        <d v="2025-03-12T20:10:00"/>
        <d v="2025-03-12T20:11:00"/>
        <d v="2025-03-12T20:12:00"/>
        <d v="2025-03-12T20:14:00"/>
        <d v="2025-03-12T20:15:00"/>
        <d v="2025-03-12T20:16:00"/>
        <d v="2025-03-12T20:17:00"/>
        <d v="2025-03-13T09:33:00"/>
        <d v="2025-03-13T09:34:00"/>
        <d v="2025-03-13T12:13:00"/>
        <d v="2025-03-13T12:18:00"/>
        <d v="2025-03-13T13:19:00"/>
        <d v="2025-03-13T14:18:00"/>
        <d v="2025-03-13T16:03:00"/>
        <d v="2025-03-13T16:50:00"/>
        <d v="2025-03-13T18:03:00"/>
        <d v="2025-03-13T18:04:00"/>
        <d v="2025-03-13T19:04:00"/>
        <d v="2025-03-13T20:34:00"/>
        <d v="2025-03-13T20:35:00"/>
        <d v="2025-03-13T20:36:00"/>
        <d v="2025-03-13T20:39:00"/>
        <d v="2025-03-13T20:42:00"/>
        <d v="2025-03-13T20:44:00"/>
        <d v="2025-03-14T07:48:00"/>
        <d v="2025-03-14T10:52:00"/>
        <d v="2025-03-14T11:08:00"/>
        <d v="2025-03-14T11:18:00"/>
        <d v="2025-03-14T12:20:00"/>
        <d v="2025-03-14T13:35:00"/>
        <d v="2025-03-14T13:38:00"/>
        <d v="2025-03-14T15:44:00"/>
        <d v="2025-03-14T16:49:00"/>
        <d v="2025-03-14T17:49:00"/>
        <d v="2025-03-14T17:53:00"/>
        <d v="2025-03-14T17:54:00"/>
        <d v="2025-03-14T19:51:00"/>
        <d v="2025-03-14T20:03:00"/>
        <d v="2025-03-14T20:04:00"/>
        <d v="2025-03-14T20:05:00"/>
        <d v="2025-03-14T20:07:00"/>
        <d v="2025-03-17T08:49:00"/>
        <d v="2025-03-17T15:19:00"/>
        <d v="2025-03-17T15:50:00"/>
        <d v="2025-03-17T17:36:00"/>
        <d v="2025-03-17T17:38:00"/>
        <d v="2025-03-17T17:39:00"/>
        <d v="2025-03-17T17:40:00"/>
        <d v="2025-03-17T17:41:00"/>
        <d v="2025-03-17T17:42:00"/>
        <d v="2025-03-17T17:43:00"/>
        <d v="2025-03-17T18:06:00"/>
        <d v="2025-03-17T19:36:00"/>
        <d v="2025-03-17T19:37:00"/>
        <d v="2025-03-17T19:38:00"/>
        <d v="2025-03-18T11:12:00"/>
        <d v="2025-03-18T11:14:00"/>
        <d v="2025-03-18T11:15:00"/>
        <d v="2025-03-18T11:36:00"/>
        <d v="2025-03-18T11:37:00"/>
        <d v="2025-03-18T12:06:00"/>
        <d v="2025-03-18T12:07:00"/>
        <d v="2025-03-18T12:08:00"/>
        <d v="2025-03-18T12:09:00"/>
        <d v="2025-03-18T12:22:00"/>
        <d v="2025-03-18T12:25:00"/>
        <d v="2025-03-18T12:49:00"/>
        <d v="2025-03-18T13:17:00"/>
        <d v="2025-03-18T14:05:00"/>
        <d v="2025-03-18T15:15:00"/>
        <d v="2025-03-18T15:19:00"/>
        <d v="2025-03-18T15:22:00"/>
        <d v="2025-03-18T15:24:00"/>
        <d v="2025-03-18T15:25:00"/>
        <d v="2025-03-18T16:21:00"/>
        <d v="2025-03-18T18:49:00"/>
        <d v="2025-03-18T18:50:00"/>
        <d v="2025-03-18T18:53:00"/>
        <d v="2025-03-18T18:54:00"/>
        <d v="2025-03-18T18:55:00"/>
        <d v="2025-03-18T18:56:00"/>
        <d v="2025-03-18T18:57:00"/>
        <d v="2025-03-18T19:49:00"/>
        <d v="2025-03-18T20:18:00"/>
        <d v="2025-03-18T20:19:00"/>
        <d v="2025-03-18T20:20:00"/>
        <d v="2025-03-19T12:49:00"/>
        <d v="2025-03-19T13:20:00"/>
        <d v="2025-03-19T13:22:00"/>
        <d v="2025-03-19T13:51:00"/>
        <d v="2025-03-19T15:34:00"/>
        <d v="2025-03-19T15:35:00"/>
        <d v="2025-03-19T15:49:00"/>
        <d v="2025-03-19T16:09:00"/>
        <d v="2025-03-19T19:24:00"/>
        <d v="2025-03-19T19:47:00"/>
        <d v="2025-03-19T20:05:00"/>
        <d v="2025-03-19T20:20:00"/>
        <d v="2025-03-19T20:22:00"/>
        <d v="2025-03-19T20:23:00"/>
        <d v="2025-03-19T20:25:00"/>
        <d v="2025-03-20T10:05:00"/>
        <d v="2025-03-20T10:06:00"/>
        <d v="2025-03-20T10:21:00"/>
        <d v="2025-03-20T10:41:00"/>
        <d v="2025-03-20T11:06:00"/>
        <d v="2025-03-20T11:38:00"/>
        <d v="2025-03-20T15:53:00"/>
        <d v="2025-03-20T15:55:00"/>
        <d v="2025-03-20T15:59:00"/>
        <d v="2025-03-20T16:05:00"/>
        <d v="2025-03-20T17:02:00"/>
        <d v="2025-03-20T17:49:00"/>
        <d v="2025-03-20T19:06:00"/>
        <d v="2025-03-20T19:07:00"/>
        <d v="2025-03-20T19:08:00"/>
        <d v="2025-03-20T19:09:00"/>
        <d v="2025-03-20T19:10:00"/>
        <d v="2025-03-20T20:33:00"/>
        <d v="2025-03-20T20:35:00"/>
        <d v="2025-03-21T09:02:00"/>
        <d v="2025-03-21T09:03:00"/>
        <d v="2025-03-21T10:36:00"/>
        <d v="2025-03-21T11:22:00"/>
        <d v="2025-03-21T14:31:00"/>
        <d v="2025-03-21T14:50:00"/>
        <d v="2025-03-21T17:49:00"/>
        <d v="2025-03-21T19:50:00"/>
        <d v="2025-03-21T20:03:00"/>
        <d v="2025-03-21T20:35:00"/>
        <d v="2025-03-21T20:36:00"/>
        <d v="2025-03-21T20:39:00"/>
        <d v="2025-03-21T20:40:00"/>
        <d v="2025-03-21T20:41:00"/>
        <d v="2025-03-22T01:27:00"/>
        <d v="2025-03-23T13:31:00"/>
        <d v="2025-03-24T12:52:00"/>
        <d v="2025-03-24T13:09:00"/>
        <d v="2025-03-24T15:16:00"/>
        <d v="2025-03-24T15:20:00"/>
        <d v="2025-03-24T16:22:00"/>
        <d v="2025-03-24T16:52:00"/>
        <d v="2025-03-24T20:18:00"/>
        <d v="2025-03-24T20:19:00"/>
        <d v="2025-03-24T20:21:00"/>
        <d v="2025-03-24T20:23:00"/>
        <d v="2025-03-24T21:10:00"/>
        <d v="2025-03-25T09:49:00"/>
        <d v="2025-03-25T11:35:00"/>
        <d v="2025-03-25T11:36:00"/>
        <d v="2025-03-25T15:21:00"/>
        <d v="2025-03-25T17:49:00"/>
        <d v="2025-03-25T18:36:00"/>
        <d v="2025-03-25T20:19:00"/>
        <d v="2025-03-25T20:27:00"/>
        <d v="2025-03-25T22:47:00"/>
        <d v="2025-03-26T04:28:00"/>
        <d v="2025-03-26T09:32:00"/>
        <d v="2025-03-26T09:46:00"/>
        <d v="2025-03-26T09:47:00"/>
        <d v="2025-03-26T10:03:00"/>
        <d v="2025-03-26T11:33:00"/>
        <d v="2025-03-26T11:48:00"/>
        <d v="2025-03-26T11:49:00"/>
        <d v="2025-03-26T12:33:00"/>
        <d v="2025-03-26T13:02:00"/>
        <d v="2025-03-26T18:07:00"/>
        <d v="2025-03-26T18:08:00"/>
        <d v="2025-03-26T18:09:00"/>
        <d v="2025-03-26T18:11:00"/>
        <d v="2025-03-26T18:15:00"/>
        <d v="2025-03-26T21:44:00"/>
        <d v="2025-03-27T15:09:00"/>
        <d v="2025-03-27T16:49:00"/>
        <d v="2025-03-27T16:53:00"/>
        <d v="2025-03-27T17:06:00"/>
        <d v="2025-03-27T20:17:00"/>
        <d v="2025-03-27T20:18:00"/>
        <d v="2025-03-27T20:20:00"/>
        <d v="2025-03-27T20:22:00"/>
        <d v="2025-03-28T08:04:00"/>
        <d v="2025-03-28T08:05:00"/>
        <d v="2025-03-28T08:06:00"/>
        <d v="2025-03-28T09:31:00"/>
        <d v="2025-03-28T09:49:00"/>
        <d v="2025-03-28T11:32:00"/>
        <d v="2025-03-28T12:31:00"/>
        <d v="2025-03-28T13:31:00"/>
        <d v="2025-03-28T15:23:00"/>
        <d v="2025-03-28T16:28:00"/>
        <d v="2025-03-28T16:29:00"/>
        <d v="2025-03-28T20:35:00"/>
        <d v="2025-03-28T20:36:00"/>
        <d v="2025-03-28T20:39:00"/>
        <d v="2025-03-28T22:45:00"/>
        <d v="2025-03-31T10:35:00"/>
        <d v="2025-03-31T10:36:00"/>
        <d v="2025-03-31T11:31:00"/>
        <d v="2025-03-31T11:35:00"/>
        <d v="2025-03-31T11:46:00"/>
        <d v="2025-03-31T14:47:00"/>
        <d v="2025-03-31T14:48:00"/>
        <d v="2025-03-31T14:49:00"/>
        <d v="2025-03-31T18:06:00"/>
        <d v="2025-03-31T18:10:00"/>
        <d v="2025-03-31T18:11:00"/>
        <d v="2025-03-31T18:19:00"/>
        <d v="2025-03-31T20:33:00"/>
        <d v="2025-04-01T12:17:00"/>
        <d v="2025-04-01T13:01:00"/>
        <d v="2025-04-01T14:49:00"/>
        <d v="2025-04-01T14:50:00"/>
        <d v="2025-04-01T17:25:00"/>
        <d v="2025-04-01T18:09:00"/>
        <d v="2025-04-01T20:17:00"/>
        <d v="2025-04-01T20:19:00"/>
        <d v="2025-04-02T14:06:00"/>
        <d v="2025-04-02T14:08:00"/>
        <d v="2025-04-02T18:14:00"/>
        <d v="2025-04-02T19:48:00"/>
        <d v="2025-04-03T09:54:00"/>
        <d v="2025-04-03T11:17:00"/>
        <d v="2025-04-03T11:18:00"/>
        <d v="2025-04-03T11:47:00"/>
        <d v="2025-04-03T14:33:00"/>
        <d v="2025-04-03T16:22:00"/>
        <d v="2025-04-03T17:47:00"/>
        <d v="2025-04-03T17:48:00"/>
        <d v="2025-04-03T18:47:00"/>
        <d v="2025-04-03T18:54:00"/>
        <d v="2025-04-03T19:02:00"/>
        <d v="2025-04-03T20:17:00"/>
        <d v="2025-04-03T23:54:00"/>
        <d v="2025-04-03T23:58:00"/>
        <d v="2025-04-04T16:48:00"/>
        <d v="2025-04-04T17:05:00"/>
        <d v="2025-04-04T18:18:00"/>
        <d v="2025-04-04T19:20:00"/>
        <d v="2025-04-07T08:21:00"/>
        <d v="2025-04-07T12:40:00"/>
        <d v="2025-04-07T13:19:00"/>
        <d v="2025-04-07T15:02:00"/>
        <d v="2025-04-07T17:17:00"/>
        <d v="2025-04-07T18:43:00"/>
        <d v="2025-04-07T18:44:00"/>
        <d v="2025-04-07T18:45:00"/>
        <d v="2025-04-07T18:49:00"/>
        <d v="2025-04-07T18:50:00"/>
        <d v="2025-04-07T18:52:00"/>
        <d v="2025-04-07T19:33:00"/>
        <d v="2025-04-07T19:36:00"/>
        <d v="2025-04-07T20:02:00"/>
        <d v="2025-04-07T20:17:00"/>
        <d v="2025-04-08T17:21:00"/>
        <d v="2025-04-08T17:23:00"/>
        <d v="2025-04-08T18:18:00"/>
        <d v="2025-04-08T18:22:00"/>
        <d v="2025-04-08T18:35:00"/>
        <d v="2025-04-08T19:57:00"/>
        <d v="2025-04-08T20:03:00"/>
        <d v="2025-04-08T20:04:00"/>
        <d v="2025-04-09T17:32:00"/>
        <d v="2025-04-09T17:49:00"/>
        <d v="2025-04-09T19:03:00"/>
        <d v="2025-04-09T19:04:00"/>
        <d v="2025-04-09T19:05:00"/>
        <d v="2025-04-09T20:46:00"/>
        <d v="2025-04-09T20:47:00"/>
        <d v="2025-04-09T20:53:00"/>
        <d v="2025-04-09T21:02:00"/>
        <d v="2025-04-09T21:04:00"/>
        <d v="2025-04-10T09:31:00"/>
        <d v="2025-04-10T12:46:00"/>
        <d v="2025-04-10T13:03:00"/>
        <d v="2025-04-10T13:17:00"/>
        <d v="2025-04-10T13:23:00"/>
        <d v="2025-04-10T14:35:00"/>
        <d v="2025-04-10T16:18:00"/>
        <d v="2025-04-10T16:19:00"/>
        <d v="2025-04-10T18:34:00"/>
        <d v="2025-04-10T18:37:00"/>
        <d v="2025-04-10T20:17:00"/>
        <d v="2025-04-10T20:18:00"/>
        <d v="2025-04-10T21:31:00"/>
        <d v="2025-04-11T13:08:00"/>
        <d v="2025-04-11T13:58:00"/>
        <d v="2025-04-11T18:05:00"/>
        <d v="2025-04-11T19:05:00"/>
        <d v="2025-04-11T19:31:00"/>
        <d v="2025-04-11T19:32:00"/>
        <d v="2025-04-11T20:21:00"/>
        <d v="2025-04-11T20:22:00"/>
        <d v="2025-04-11T20:31:00"/>
        <d v="2025-04-11T20:48:00"/>
        <d v="2025-04-11T21:05:00"/>
        <d v="2025-04-13T17:32:00"/>
        <d v="2025-04-13T17:33:00"/>
        <d v="2025-04-13T17:34:00"/>
        <d v="2025-04-13T17:36:00"/>
        <d v="2025-04-13T17:37:00"/>
        <d v="2025-04-13T17:38:00"/>
        <d v="2025-04-14T12:19:00"/>
        <d v="2025-04-14T15:27:00"/>
        <d v="2025-04-14T16:07:00"/>
        <d v="2025-04-14T16:47:00"/>
        <d v="2025-04-14T16:48:00"/>
        <d v="2025-04-14T16:50:00"/>
        <d v="2025-04-14T16:51:00"/>
        <d v="2025-04-14T18:16:00"/>
        <d v="2025-04-14T19:47:00"/>
        <d v="2025-04-14T19:49:00"/>
        <d v="2025-04-14T20:17:00"/>
        <d v="2025-04-14T20:18:00"/>
        <d v="2025-04-15T12:03:00"/>
        <d v="2025-04-15T16:26:00"/>
        <d v="2025-04-15T17:06:00"/>
        <d v="2025-04-15T18:32:00"/>
        <d v="2025-04-15T21:02:00"/>
        <d v="2025-04-15T21:38:00"/>
        <d v="2025-04-15T22:05:00"/>
        <d v="2025-04-16T09:11:00"/>
        <d v="2025-04-16T09:14:00"/>
        <d v="2025-04-16T11:46:00"/>
        <d v="2025-04-16T13:04:00"/>
        <d v="2025-04-16T13:48:00"/>
        <d v="2025-04-16T13:49:00"/>
        <d v="2025-04-16T14:46:00"/>
        <d v="2025-04-16T14:47:00"/>
        <d v="2025-04-16T16:56:00"/>
        <d v="2025-04-16T20:32:00"/>
        <d v="2025-04-16T20:34:00"/>
        <d v="2025-04-16T20:35:00"/>
        <d v="2025-04-16T21:58:00"/>
        <d v="2025-04-17T09:04:00"/>
        <d v="2025-04-17T17:35:00"/>
        <d v="2025-04-17T17:40:00"/>
        <d v="2025-04-17T17:51:00"/>
        <d v="2025-04-17T18:16:00"/>
        <d v="2025-04-17T19:08:00"/>
        <d v="2025-04-17T19:09:00"/>
        <d v="2025-04-17T20:33:00"/>
        <d v="2025-04-20T15:13:00"/>
        <d v="2025-04-22T08:05:00"/>
        <d v="2025-04-22T09:02:00"/>
        <d v="2025-04-22T10:52:00"/>
        <d v="2025-04-22T12:03:00"/>
        <d v="2025-04-22T12:27:00"/>
        <d v="2025-04-22T15:03:00"/>
        <d v="2025-04-22T17:19:00"/>
        <d v="2025-04-22T17:20:00"/>
        <d v="2025-04-22T17:32:00"/>
        <d v="2025-04-22T17:33:00"/>
        <d v="2025-04-22T18:03:00"/>
        <d v="2025-04-22T18:18:00"/>
        <d v="2025-04-22T18:26:00"/>
        <d v="2025-04-22T18:37:00"/>
        <d v="2025-04-22T19:22:00"/>
        <d v="2025-04-22T20:02:00"/>
        <d v="2025-04-22T20:03:00"/>
        <d v="2025-04-23T00:34:00"/>
        <d v="2025-04-23T08:31:00"/>
        <d v="2025-04-23T10:34:00"/>
        <d v="2025-04-23T12:18:00"/>
        <d v="2025-04-23T12:26:00"/>
        <d v="2025-04-23T16:15:00"/>
        <d v="2025-04-23T16:35:00"/>
        <d v="2025-04-23T16:36:00"/>
        <d v="2025-04-23T16:46:00"/>
        <d v="2025-04-23T17:58:00"/>
        <d v="2025-04-23T18:46:00"/>
        <d v="2025-04-23T19:48:00"/>
        <d v="2025-04-23T20:33:00"/>
        <d v="2025-04-24T06:16:00"/>
        <d v="2025-04-24T17:35:00"/>
        <d v="2025-04-24T18:32:00"/>
        <d v="2025-04-24T19:03:00"/>
        <d v="2025-04-24T19:07:00"/>
        <d v="2025-04-24T19:09:00"/>
        <d v="2025-04-24T19:10:00"/>
        <d v="2025-04-24T19:11:00"/>
        <d v="2025-04-24T19:12:00"/>
        <d v="2025-04-24T19:14:00"/>
        <d v="2025-04-24T19:29:00"/>
        <d v="2025-04-24T20:19:00"/>
        <d v="2025-04-25T11:34:00"/>
        <d v="2025-04-25T11:35:00"/>
        <d v="2025-04-25T11:36:00"/>
        <d v="2025-04-25T13:36:00"/>
        <d v="2025-04-25T14:01:00"/>
        <d v="2025-04-25T16:08:00"/>
        <d v="2025-04-25T16:37:00"/>
        <d v="2025-04-25T18:07:00"/>
        <d v="2025-04-25T19:31:00"/>
        <d v="2025-04-25T19:36:00"/>
        <d v="2025-04-25T19:37:00"/>
        <d v="2025-04-25T19:38:00"/>
        <d v="2025-04-25T19:39:00"/>
        <d v="2025-04-28T11:50:00"/>
        <d v="2025-04-28T12:26:00"/>
        <d v="2025-04-28T13:35:00"/>
        <d v="2025-04-28T13:46:00"/>
        <d v="2025-04-28T14:17:00"/>
        <d v="2025-04-28T15:50:00"/>
        <d v="2025-04-28T15:51:00"/>
        <d v="2025-04-28T17:23:00"/>
        <d v="2025-04-28T18:19:00"/>
        <d v="2025-04-28T18:34:00"/>
        <d v="2025-04-28T18:49:00"/>
        <d v="2025-04-28T19:18:00"/>
        <d v="2025-04-28T21:04:00"/>
        <d v="2025-04-28T21:14:00"/>
        <d v="2025-04-28T21:24:00"/>
        <d v="2025-04-28T21:33:00"/>
        <d v="2025-04-28T21:34:00"/>
        <d v="2025-04-28T21:54:00"/>
        <d v="2025-04-28T22:15:00"/>
        <d v="2025-04-29T00:05:00"/>
        <d v="2025-04-29T01:54:00"/>
        <d v="2025-04-29T02:05:00"/>
        <d v="2025-04-29T02:46:00"/>
        <d v="2025-04-29T07:34:00"/>
        <d v="2025-04-29T07:54:00"/>
        <d v="2025-04-29T08:15:00"/>
        <d v="2025-04-29T08:37:00"/>
        <d v="2025-04-29T11:50:00"/>
        <d v="2025-04-29T13:50:00"/>
        <d v="2025-04-29T14:15:00"/>
        <d v="2025-04-29T14:16:00"/>
        <d v="2025-04-29T14:29:00"/>
        <d v="2025-04-29T15:21:00"/>
        <d v="2025-04-29T15:48:00"/>
        <d v="2025-04-29T15:49:00"/>
        <d v="2025-04-29T17:01:00"/>
        <d v="2025-04-29T17:07:00"/>
        <d v="2025-04-29T17:24:00"/>
        <d v="2025-04-29T17:46:00"/>
        <d v="2025-04-29T19:06:00"/>
        <d v="2025-04-29T20:03:00"/>
        <d v="2025-04-29T20:04:00"/>
        <d v="2025-04-29T20:05:00"/>
        <d v="2025-04-29T21:11:00"/>
        <d v="2025-04-29T21:47:00"/>
        <d v="2025-04-29T21:48:00"/>
        <d v="2025-04-30T11:20:00"/>
        <d v="2025-04-30T12:03:00"/>
        <d v="2025-04-30T14:58:00"/>
        <d v="2025-04-30T15:50:00"/>
        <d v="2025-04-30T15:52:00"/>
        <d v="2025-04-30T15:55:00"/>
        <d v="2025-04-30T18:00:00"/>
        <d v="2025-04-30T20:17:00"/>
        <d v="2025-04-30T20:56:00"/>
        <d v="2025-04-30T21:18:00"/>
        <d v="2025-04-30T21:20:00"/>
        <d v="2025-05-02T12:46:00"/>
        <d v="2025-05-02T14:33:00"/>
        <d v="2025-05-02T14:34:00"/>
        <d v="2025-05-02T15:06:00"/>
        <d v="2025-05-02T17:46:00"/>
        <d v="2025-05-02T18:50:00"/>
        <d v="2025-05-02T20:59:00"/>
        <d v="2025-05-02T22:03:00"/>
        <d v="2025-05-03T19:03:00"/>
        <d v="2025-05-03T19:04:00"/>
        <d v="2025-05-05T10:02:00"/>
        <d v="2025-05-05T11:19:00"/>
        <d v="2025-05-05T11:46:00"/>
        <d v="2025-05-05T12:03:00"/>
        <d v="2025-05-05T14:03:00"/>
        <d v="2025-05-05T15:47:00"/>
        <d v="2025-05-05T17:02:00"/>
        <d v="2025-05-05T20:01:00"/>
        <d v="2025-05-05T20:02:00"/>
        <d v="2025-05-05T21:57:00"/>
        <d v="2025-05-06T08:46:00"/>
        <d v="2025-05-06T11:04:00"/>
        <d v="2025-05-06T12:03:00"/>
        <d v="2025-05-06T12:48:00"/>
        <d v="2025-05-06T13:18:00"/>
        <d v="2025-05-06T13:47:00"/>
        <d v="2025-05-06T15:32:00"/>
        <d v="2025-05-06T15:48:00"/>
        <d v="2025-05-06T16:14:00"/>
        <d v="2025-05-06T16:18:00"/>
        <d v="2025-05-06T17:38:00"/>
        <d v="2025-05-06T17:47:00"/>
        <d v="2025-05-06T18:32:00"/>
        <d v="2025-05-06T18:33:00"/>
        <d v="2025-05-06T18:34:00"/>
        <d v="2025-05-06T19:03:00"/>
        <d v="2025-05-06T20:16:00"/>
        <d v="2025-05-06T20:17:00"/>
        <d v="2025-05-07T09:46:00"/>
        <d v="2025-05-07T12:04:00"/>
        <d v="2025-05-07T12:05:00"/>
        <d v="2025-05-07T12:17:00"/>
        <d v="2025-05-07T13:04:00"/>
        <d v="2025-05-07T13:32:00"/>
        <d v="2025-05-07T18:26:00"/>
        <d v="2025-05-07T18:38:00"/>
        <d v="2025-05-07T18:47:00"/>
        <d v="2025-05-07T18:48:00"/>
        <d v="2025-05-07T18:54:00"/>
        <d v="2025-05-07T20:32:00"/>
        <d v="2025-05-07T23:03:00"/>
        <d v="2025-05-07T23:04:00"/>
        <d v="2025-05-07T23:12:00"/>
        <d v="2025-05-08T11:21:00"/>
        <d v="2025-05-08T11:32:00"/>
        <d v="2025-05-08T13:04:00"/>
        <d v="2025-05-08T13:05:00"/>
        <d v="2025-05-08T13:08:00"/>
        <d v="2025-05-08T20:03:00"/>
        <d v="2025-05-08T20:05:00"/>
        <d v="2025-05-08T20:07:00"/>
        <d v="2025-05-08T20:08:00"/>
        <d v="2025-05-08T22:57:00"/>
        <d v="2025-05-09T11:11:00"/>
        <d v="2025-05-09T11:30:00"/>
        <d v="2025-05-09T12:16:00"/>
        <d v="2025-05-09T13:32:00"/>
        <d v="2025-05-09T13:33:00"/>
        <d v="2025-05-09T13:35:00"/>
        <d v="2025-05-09T16:32:00"/>
        <d v="2025-05-09T16:33:00"/>
        <d v="2025-05-09T16:35:00"/>
        <d v="2025-05-09T16:36:00"/>
        <d v="2025-05-09T17:08:00"/>
        <d v="2025-05-09T18:02:00"/>
        <d v="2025-05-09T18:28:00"/>
        <d v="2025-05-09T18:32:00"/>
        <d v="2025-05-09T20:17:00"/>
        <d v="2025-05-09T20:18:00"/>
        <d v="2025-05-09T20:20:00"/>
        <d v="2025-05-09T20:21:00"/>
        <d v="2025-05-09T23:19:00"/>
        <d v="2025-05-09T23:20:00"/>
        <d v="2025-05-10T00:07:00"/>
        <d v="2025-05-11T17:33:00"/>
        <d v="2025-05-12T08:47:00"/>
        <d v="2025-05-12T10:47:00"/>
        <d v="2025-05-12T14:17:00"/>
        <d v="2025-05-12T14:22:00"/>
        <d v="2025-05-12T15:47:00"/>
        <d v="2025-05-12T18:14:00"/>
        <d v="2025-05-12T18:33:00"/>
        <d v="2025-05-12T18:34:00"/>
        <d v="2025-05-12T18:35:00"/>
        <d v="2025-05-12T19:48:00"/>
        <d v="2025-05-12T20:47:00"/>
        <d v="2025-05-12T20:48:00"/>
        <d v="2025-05-13T01:00:00"/>
        <d v="2025-05-13T13:31:00"/>
        <d v="2025-05-13T16:54:00"/>
        <d v="2025-05-13T18:01:00"/>
        <d v="2025-05-13T18:04:00"/>
        <d v="2025-05-13T18:05:00"/>
        <d v="2025-05-13T18:09:00"/>
        <d v="2025-05-13T20:48:00"/>
        <d v="2025-05-13T20:49:00"/>
        <d v="2025-05-13T20:50:00"/>
        <d v="2025-05-13T20:51:00"/>
        <d v="2025-05-13T20:52:00"/>
        <d v="2025-05-13T20:53:00"/>
        <d v="2025-05-14T13:19:00"/>
        <d v="2025-05-14T13:22:00"/>
        <d v="2025-05-14T17:24:00"/>
        <d v="2025-05-14T19:03:00"/>
        <d v="2025-05-14T19:04:00"/>
        <d v="2025-05-14T19:06:00"/>
        <d v="2025-05-14T19:33:00"/>
        <d v="2025-05-14T20:02:00"/>
        <d v="2025-05-14T23:14:00"/>
        <d v="2025-05-15T13:37:00"/>
        <d v="2025-05-15T13:51:00"/>
        <d v="2025-05-15T18:20:00"/>
        <d v="2025-05-15T18:22:00"/>
        <d v="2025-05-15T18:26:00"/>
        <d v="2025-05-15T18:27:00"/>
        <d v="2025-05-15T18:28:00"/>
        <d v="2025-05-15T19:13:00"/>
        <d v="2025-05-15T20:33:00"/>
        <d v="2025-05-15T20:34:00"/>
        <d v="2025-05-16T09:24:00"/>
        <d v="2025-05-16T13:31:00"/>
        <d v="2025-05-16T13:57:00"/>
        <d v="2025-05-16T17:04:00"/>
        <d v="2025-05-16T18:03:00"/>
        <d v="2025-05-16T18:31:00"/>
        <d v="2025-05-16T19:31:00"/>
        <d v="2025-05-16T19:48:00"/>
        <d v="2025-05-16T20:20:00"/>
        <d v="2025-05-19T08:47:00"/>
        <d v="2025-05-19T10:14:00"/>
        <d v="2025-05-19T11:08:00"/>
        <d v="2025-05-19T11:20:00"/>
        <d v="2025-05-19T11:34:00"/>
        <d v="2025-05-19T12:20:00"/>
        <d v="2025-05-19T13:24:00"/>
        <d v="2025-05-19T13:26:00"/>
        <d v="2025-05-19T13:27:00"/>
        <d v="2025-05-19T13:28:00"/>
        <d v="2025-05-19T13:29:00"/>
        <d v="2025-05-19T13:30:00"/>
        <d v="2025-05-19T13:32:00"/>
        <d v="2025-05-19T13:49:00"/>
        <d v="2025-05-19T17:51:00"/>
        <d v="2025-05-19T18:20:00"/>
        <d v="2025-05-19T18:21:00"/>
        <d v="2025-05-19T18:22:00"/>
        <d v="2025-05-19T19:19:00"/>
        <d v="2025-05-19T20:49:00"/>
        <d v="2025-05-19T21:11:00"/>
        <d v="2025-05-19T21:19:00"/>
        <d v="2025-05-20T11:24:00"/>
        <d v="2025-05-20T11:25:00"/>
        <d v="2025-05-20T11:50:00"/>
        <d v="2025-05-20T14:02:00"/>
        <d v="2025-05-20T14:49:00"/>
        <d v="2025-05-20T15:18:00"/>
        <d v="2025-05-20T15:23:00"/>
        <d v="2025-05-20T16:35:00"/>
        <d v="2025-05-20T17:22:00"/>
        <d v="2025-05-20T17:23:00"/>
        <d v="2025-05-20T17:24:00"/>
        <d v="2025-05-20T17:25:00"/>
        <d v="2025-05-20T17:26:00"/>
        <d v="2025-05-20T17:28:00"/>
        <d v="2025-05-20T18:34:00"/>
        <d v="2025-05-20T18:35:00"/>
        <d v="2025-05-20T20:19:00"/>
        <d v="2025-05-20T20:21:00"/>
        <d v="2025-05-20T20:52:00"/>
        <d v="2025-05-20T21:54:00"/>
        <d v="2025-05-20T22:01:00"/>
        <d v="2025-05-20T22:38:00"/>
        <d v="2025-05-21T09:08:00"/>
        <d v="2025-05-21T11:31:00"/>
        <d v="2025-05-21T13:06:00"/>
        <d v="2025-05-21T13:19:00"/>
        <d v="2025-05-21T13:37:00"/>
        <d v="2025-05-21T13:49:00"/>
        <d v="2025-05-21T15:08:00"/>
        <d v="2025-05-21T16:50:00"/>
        <d v="2025-05-21T17:49:00"/>
        <d v="2025-05-21T17:50:00"/>
        <d v="2025-05-21T17:51:00"/>
        <d v="2025-05-21T17:54:00"/>
        <d v="2025-05-21T18:46:00"/>
        <d v="2025-05-21T18:49:00"/>
        <d v="2025-05-21T20:34:00"/>
        <d v="2025-05-22T10:51:00"/>
        <d v="2025-05-22T11:20:00"/>
        <d v="2025-05-22T14:05:00"/>
        <d v="2025-05-22T15:26:00"/>
        <d v="2025-05-22T15:27:00"/>
        <d v="2025-05-22T15:45:00"/>
        <d v="2025-05-22T15:46:00"/>
        <d v="2025-05-22T16:13:00"/>
        <d v="2025-05-22T16:19:00"/>
        <d v="2025-05-22T16:20:00"/>
        <d v="2025-05-22T16:22:00"/>
        <d v="2025-05-22T17:34:00"/>
        <d v="2025-05-22T17:35:00"/>
        <d v="2025-05-22T17:36:00"/>
        <d v="2025-05-22T21:05:00"/>
        <d v="2025-05-22T21:06:00"/>
        <d v="2025-05-23T09:03:00"/>
        <d v="2025-05-23T14:31:00"/>
        <d v="2025-05-23T18:14:00"/>
        <d v="2025-05-23T19:34:00"/>
        <d v="2025-05-23T19:36:00"/>
        <d v="2025-05-23T19:52:00"/>
        <d v="2025-05-23T20:17:00"/>
        <d v="2025-05-23T20:34:00"/>
        <d v="2025-05-23T21:07:00"/>
        <d v="2025-05-26T08:35:00"/>
        <d v="2025-05-26T09:16:00"/>
        <d v="2025-05-26T10:05:00"/>
        <d v="2025-05-26T12:05:00"/>
        <d v="2025-05-26T12:06:00"/>
        <d v="2025-05-26T14:01:00"/>
        <d v="2025-05-26T22:14:00"/>
        <d v="2025-05-27T10:18:00"/>
        <d v="2025-05-27T10:20:00"/>
        <d v="2025-05-27T10:21:00"/>
        <d v="2025-05-27T11:22:00"/>
        <d v="2025-05-27T11:37:00"/>
        <d v="2025-05-27T12:33:00"/>
        <d v="2025-05-27T16:34:00"/>
        <d v="2025-05-27T16:35:00"/>
        <d v="2025-05-27T16:37:00"/>
        <d v="2025-05-27T16:38:00"/>
        <d v="2025-05-27T17:47:00"/>
        <d v="2025-05-27T18:32:00"/>
        <d v="2025-05-27T18:34:00"/>
        <d v="2025-05-27T20:32:00"/>
        <d v="2025-05-27T20:33:00"/>
        <d v="2025-05-27T20:35:00"/>
        <d v="2025-05-28T11:49:00"/>
        <d v="2025-05-28T11:56:00"/>
        <d v="2025-05-28T16:02:00"/>
        <d v="2025-05-28T17:47:00"/>
        <d v="2025-05-28T19:03:00"/>
        <d v="2025-05-28T19:07:00"/>
        <d v="2025-05-28T19:08:00"/>
        <d v="2025-05-28T19:25:00"/>
        <d v="2025-05-28T20:17:00"/>
        <d v="2025-05-29T11:03:00"/>
        <d v="2025-05-29T12:06:00"/>
        <d v="2025-05-29T12:27:00"/>
        <d v="2025-05-29T12:49:00"/>
        <d v="2025-05-29T14:47:00"/>
        <d v="2025-05-29T17:03:00"/>
        <d v="2025-05-29T18:47:00"/>
        <d v="2025-05-29T19:06:00"/>
        <d v="2025-05-30T10:23:00"/>
        <d v="2025-05-30T12:03:00"/>
        <d v="2025-05-30T12:49:00"/>
        <d v="2025-05-30T15:04:00"/>
        <d v="2025-05-30T15:05:00"/>
        <d v="2025-05-30T15:06:00"/>
        <d v="2025-05-30T15:07:00"/>
        <d v="2025-05-30T15:08:00"/>
        <d v="2025-05-30T15:37:00"/>
        <d v="2025-05-30T18:44:00"/>
        <d v="2025-05-30T19:03:00"/>
        <d v="2025-05-30T19:17:00"/>
        <d v="2025-05-30T19:21:00"/>
        <d v="2025-05-31T00:27:00"/>
        <d v="2025-06-01T15:04:00"/>
        <d v="2025-06-02T09:31:00"/>
        <d v="2025-06-02T10:32:00"/>
        <d v="2025-06-02T13:14:00"/>
        <d v="2025-06-02T13:28:00"/>
        <d v="2025-06-02T13:29:00"/>
        <d v="2025-06-02T13:36:00"/>
        <d v="2025-06-02T13:58:00"/>
        <d v="2025-06-02T15:03:00"/>
        <d v="2025-06-02T19:48:00"/>
        <d v="2025-06-02T19:51:00"/>
        <d v="2025-06-02T20:14:00"/>
        <d v="2025-06-02T20:29:00"/>
        <d v="2025-06-03T09:08:00"/>
        <d v="2025-06-03T10:03:00"/>
        <d v="2025-06-03T10:17:00"/>
        <d v="2025-06-03T10:21:00"/>
        <d v="2025-06-03T12:47:00"/>
        <d v="2025-06-03T12:49:00"/>
        <d v="2025-06-03T13:55:00"/>
        <d v="2025-06-05T11:47:00"/>
        <d v="2025-06-04T20:04:00"/>
        <d v="2025-06-05T10:33:00"/>
        <d v="2025-06-05T11:32:00"/>
        <d v="2025-06-06T10:17:00"/>
        <d v="2025-06-05T11:04:00"/>
        <d v="2025-06-05T11:46:00"/>
        <d v="2025-06-05T17:46:00"/>
        <d v="2025-06-03T18:32:00"/>
        <d v="2025-06-05T11:48:00"/>
        <d v="2025-06-04T20:03:00"/>
        <d v="2025-06-05T15:02:00"/>
        <d v="2025-06-05T10:01:00"/>
        <d v="2025-06-05T19:46:00"/>
        <d v="2025-06-05T19:32:00"/>
        <d v="2025-06-05T16:17:00"/>
        <d v="2025-06-06T11:19:00"/>
        <d v="2025-06-04T11:47:00"/>
        <d v="2025-06-05T18:17:00"/>
        <d v="2025-06-05T13:02:00"/>
        <d v="2025-06-06T12:03:00"/>
        <d v="2025-06-05T18:31:00"/>
        <d v="2025-06-04T09:31:00"/>
        <d v="2025-06-03T15:32:00"/>
        <d v="2025-06-05T18:47:00"/>
        <d v="2025-06-04T15:27:00"/>
        <d v="2025-06-05T16:04:00"/>
        <d v="2025-06-03T22:44:00"/>
        <d v="2025-06-05T15:56:00"/>
        <d v="2025-06-06T00:06:00"/>
        <d v="2025-06-05T16:25:00"/>
        <d v="2025-06-05T11:36:00"/>
        <d v="2025-06-05T13:46:00"/>
        <d v="2025-06-05T10:18:00"/>
        <d v="2025-06-05T11:26:00"/>
        <d v="2025-06-05T16:06:00"/>
        <d v="2025-06-05T19:24:00"/>
        <d v="2025-06-05T19:25:00"/>
        <d v="2025-06-05T12:07:00"/>
        <d v="2025-06-05T18:35:00"/>
        <d v="2025-06-05T18:15:00"/>
        <d v="2025-06-05T17:26:00"/>
        <d v="2025-06-05T18:07:00"/>
        <d v="2025-06-06T11:15:00"/>
        <d v="2025-06-05T19:05:00"/>
        <d v="2025-06-05T16:56:00"/>
        <d v="2025-06-05T19:14:00"/>
        <d v="2025-06-05T21:14:00"/>
        <d v="2025-06-05T19:54:00"/>
        <d v="2025-06-06T11:46:00"/>
        <d v="2025-06-06T10:55:00"/>
        <d v="2025-06-06T11:26:00"/>
        <d v="2025-06-09T17:47:00"/>
        <d v="2025-06-11T19:32:00"/>
        <d v="2025-06-06T13:02:00"/>
        <d v="2025-06-09T15:50:00"/>
        <d v="2025-06-10T17:46:00"/>
        <d v="2025-06-13T20:32:00"/>
        <d v="2025-06-09T19:32:00"/>
        <d v="2025-06-06T14:46:00"/>
        <d v="2025-06-11T17:02:00"/>
        <d v="2025-06-11T15:02:00"/>
        <d v="2025-06-10T16:17:00"/>
        <d v="2025-06-12T20:16:00"/>
        <d v="2025-06-10T11:38:00"/>
        <d v="2025-06-06T17:06:00"/>
        <d v="2025-06-12T19:31:00"/>
        <d v="2025-06-06T18:18:00"/>
        <d v="2025-06-06T15:17:00"/>
        <d v="2025-06-06T13:47:00"/>
        <d v="2025-06-09T12:46:00"/>
        <d v="2025-06-13T14:17:00"/>
        <d v="2025-06-12T14:47:00"/>
        <d v="2025-06-12T15:17:00"/>
        <d v="2025-06-11T11:32:00"/>
        <d v="2025-06-12T11:48:00"/>
        <d v="2025-06-06T18:33:00"/>
        <d v="2025-06-12T17:02:00"/>
        <d v="2025-06-10T15:17:00"/>
        <d v="2025-06-10T19:46:00"/>
        <d v="2025-06-16T11:32:00"/>
        <d v="2025-06-13T17:47:00"/>
        <d v="2025-06-09T17:32:00"/>
        <d v="2025-06-11T11:36:00"/>
        <d v="2025-06-06T18:02:00"/>
        <d v="2025-06-11T11:22:00"/>
        <d v="2025-06-16T16:04:00"/>
        <d v="2025-06-16T13:16:00"/>
        <d v="2025-06-11T13:32:00"/>
        <d v="2025-06-09T12:04:00"/>
        <d v="2025-06-09T09:49:00"/>
        <d v="2025-06-06T14:32:00"/>
        <d v="2025-06-16T19:33:00"/>
        <d v="2025-06-12T20:17:00"/>
        <d v="2025-06-10T16:18:00"/>
        <d v="2025-06-10T19:47:00"/>
        <d v="2025-06-12T12:02:00"/>
        <d v="2025-06-13T16:47:00"/>
        <d v="2025-06-06T22:05:00"/>
        <d v="2025-06-12T10:58:00"/>
        <d v="2025-06-17T08:15:00"/>
        <d v="2025-06-09T18:02:00"/>
        <d v="2025-06-15T02:27:00"/>
        <d v="2025-06-17T10:37:00"/>
        <d v="2025-06-17T10:28:00"/>
        <d v="2025-06-17T10:05:00"/>
        <d v="2025-06-17T09:59:00"/>
        <d v="2025-06-17T09:57:00"/>
        <d v="2025-06-17T09:53:00"/>
        <d v="2025-06-17T09:37:00"/>
        <d v="2025-06-17T09:33:00"/>
        <d v="2025-06-17T09:29:00"/>
        <d v="2025-06-17T09:24:00"/>
        <d v="2025-06-17T08:31:00"/>
        <d v="2025-06-17T04:01:00"/>
        <d v="2025-06-17T03:59:00"/>
        <d v="2025-06-17T03:57:00"/>
        <d v="2025-06-16T19:09:00"/>
        <d v="2025-06-16T18:32:00"/>
        <d v="2025-06-16T16:20:00"/>
        <d v="2025-06-12T17:15:00"/>
        <d v="2025-06-10T11:47:00"/>
        <d v="2025-06-06T22:46:00"/>
        <d v="2025-06-07T18:24:00"/>
        <d v="2025-06-07T20:24:00"/>
        <d v="2025-06-09T19:54:00"/>
        <d v="2025-06-12T20:54:00"/>
        <d v="2025-06-13T19:44:00"/>
        <d v="2024-10-07T21:54:00" u="1"/>
        <d v="2024-10-28T15:09:00" u="1"/>
        <d v="2024-10-29T18:23:00" u="1"/>
        <d v="2024-11-04T21:04:00" u="1"/>
        <d v="2024-11-08T20:28:00" u="1"/>
        <d v="2024-11-12T08:35:00" u="1"/>
        <d v="2024-11-18T18:41:00" u="1"/>
        <d v="2024-11-18T18:43:00" u="1"/>
        <d v="2024-11-19T08:49:00" u="1"/>
        <d v="2024-11-21T11:56:00" u="1"/>
        <d v="2024-11-26T19:36:00" u="1"/>
        <d v="2024-12-03T11:20:00" u="1"/>
        <d v="2024-12-03T11:21:00" u="1"/>
        <d v="2024-12-03T17:23:00" u="1"/>
        <d v="2024-12-03T21:52:00" u="1"/>
        <d v="2024-12-03T21:54:00" u="1"/>
        <d v="2024-12-05T10:37:00" u="1"/>
        <d v="2024-12-16T18:34:00" u="1"/>
        <d v="2024-12-17T11:37:00" u="1"/>
        <d v="2024-12-18T13:49:00" u="1"/>
        <d v="2024-12-18T15:33:00" u="1"/>
        <d v="2024-12-18T16:35:00" u="1"/>
        <d v="2024-12-18T19:20:00" u="1"/>
        <d v="2024-12-18T19:21:00" u="1"/>
        <d v="2024-12-18T19:22:00" u="1"/>
        <d v="2024-12-18T19:23:00" u="1"/>
        <d v="2024-12-18T19:24:00" u="1"/>
        <d v="2024-12-18T19:25:00" u="1"/>
        <d v="2024-12-18T19:26:00" u="1"/>
        <d v="2024-12-18T20:19:00" u="1"/>
        <d v="2024-12-19T09:20:00" u="1"/>
        <d v="2024-12-19T11:18:00" u="1"/>
        <d v="2024-12-19T11:49:00" u="1"/>
        <d v="2024-12-19T13:35:00" u="1"/>
        <d v="2024-12-19T16:33:00" u="1"/>
        <d v="2024-12-19T18:19:00" u="1"/>
        <d v="2024-12-19T20:19:00" u="1"/>
        <d v="2024-12-20T13:49:00" u="1"/>
        <d v="2024-12-20T13:50:00" u="1"/>
        <d v="2024-12-20T20:18:00" u="1"/>
        <d v="2024-12-20T20:19:00" u="1"/>
        <d v="2024-12-23T16:05:00" u="1"/>
        <d v="2024-12-23T19:50:00" u="1"/>
        <d v="2024-12-23T19:51:00" u="1"/>
        <d v="2024-12-23T19:52:00" u="1"/>
        <d v="2024-12-24T11:18:00" u="1"/>
        <d v="2024-12-26T18:18:00" u="1"/>
        <d v="2024-12-26T19:33:00" u="1"/>
        <d v="2024-12-26T19:34:00" u="1"/>
        <d v="2024-12-27T14:49:00" u="1"/>
        <d v="2024-12-27T15:49:00" u="1"/>
        <d v="2024-12-27T16:19:00" u="1"/>
        <d v="2024-12-27T17:06:00" u="1"/>
        <d v="2024-12-27T18:49:00" u="1"/>
        <d v="2024-12-30T14:19:00" u="1"/>
        <d v="2025-01-06T10:49:00" u="1"/>
        <d v="2025-01-06T11:18:00" u="1"/>
        <d v="2025-01-24T20:34:00" u="1"/>
        <d v="2025-01-24T20:35:00" u="1"/>
        <d v="2025-01-24T20:36:00" u="1"/>
        <d v="2025-01-24T20:39:00" u="1"/>
        <d v="2025-01-24T20:40:00" u="1"/>
        <d v="2025-01-28T19:34:00" u="1"/>
        <d v="2025-01-29T16:20:00" u="1"/>
        <d v="2025-01-30T18:48:00" u="1"/>
        <d v="2025-01-31T20:19:00" u="1"/>
        <d v="2024-12-12T11:19:00" u="1"/>
        <d v="2024-11-28T12:27:00" u="1"/>
        <d v="2024-10-15T19:54:00" u="1"/>
        <d v="2024-11-28T22:07:00" u="1"/>
        <d v="2024-11-27T16:22:00" u="1"/>
        <d v="2024-11-01T20:05:00" u="1"/>
        <d v="2024-11-28T12:24:00" u="1"/>
        <d v="2024-11-12T08:36:00" u="1"/>
        <d v="2025-03-05T21:27:00" u="1"/>
        <d v="2025-03-05T21:28:00" u="1"/>
        <d v="2025-03-05T17:09:00" u="1"/>
        <d v="2025-02-26T12:20:00" u="1"/>
        <d v="2024-11-14T09:29:00" u="1"/>
        <d v="2025-03-06T13:12:00" u="1"/>
        <d v="2024-12-03T11:16:00" u="1"/>
        <d v="2025-03-06T13:11:00" u="1"/>
        <d v="2025-02-25T20:20:00" u="1"/>
        <d v="2025-02-26T12:01:00" u="1"/>
        <d v="2025-03-12T13:22:00" u="1"/>
        <d v="2025-03-14T13:09:00" u="1"/>
        <d v="2025-03-13T13:23:00" u="1"/>
        <d v="2025-03-12T12:52:00" u="1"/>
        <d v="2025-03-13T13:08:00" u="1"/>
        <d v="2025-03-11T17:09:00" u="1"/>
        <d v="2025-03-10T17:11:00" u="1"/>
        <d v="2025-03-11T13:52:00" u="1"/>
        <d v="2024-10-31T19:52:00" u="1"/>
        <d v="2025-03-14T17:10:00" u="1"/>
        <d v="2025-03-12T17:11:00" u="1"/>
        <d v="2025-03-12T13:07:00" u="1"/>
        <d v="2025-03-11T20:38:00" u="1"/>
        <d v="2025-03-12T13:08:00" u="1"/>
        <d v="2024-10-31T19:53:00" u="1"/>
        <d v="2025-03-12T17:10:00" u="1"/>
        <d v="2025-03-13T13:24:00" u="1"/>
        <d v="2025-03-17T13:11:00" u="1"/>
        <d v="2025-03-17T15:26:00" u="1"/>
        <d v="2025-03-13T13:10:00" u="1"/>
        <d v="2025-03-14T13:10:00" u="1"/>
        <d v="2025-03-11T17:08:00" u="1"/>
        <d v="2025-03-11T13:08:00" u="1"/>
        <d v="2025-03-14T19:16:00" u="1"/>
        <d v="2024-10-30T09:37:00" u="1"/>
        <d v="2025-03-13T12:53:00" u="1"/>
        <d v="2025-03-11T13:07:00" u="1"/>
        <d v="2025-03-12T22:16:00" u="1"/>
        <d v="2024-10-26T10:22:00" u="1"/>
        <d v="2024-12-03T11:08:00" u="1"/>
        <d v="2025-03-18T17:11:00" u="1"/>
        <d v="2025-03-18T17:12:00" u="1"/>
        <d v="2025-03-19T00:18:00" u="1"/>
        <d v="2025-03-19T10:47:00" u="1"/>
        <d v="2025-03-19T13:09:00" u="1"/>
        <d v="2025-03-19T15:19:00" u="1"/>
        <d v="2025-03-19T17:13:00" u="1"/>
        <d v="2025-03-19T17:14:00" u="1"/>
        <d v="2025-03-19T20:24:00" u="1"/>
        <d v="2025-03-20T12:47:00" u="1"/>
        <d v="2025-03-20T12:51:00" u="1"/>
        <d v="2025-03-24T09:46:00" u="1"/>
        <d v="2025-03-24T11:38:00" u="1"/>
        <d v="2025-03-25T11:31:00" u="1"/>
        <d v="2025-03-25T18:35:00" u="1"/>
        <d v="2025-03-27T17:15:00" u="1"/>
        <d v="2025-03-27T17:34:00" u="1"/>
        <d v="2025-03-28T08:03:00" u="1"/>
        <d v="2025-03-28T08:07:00" u="1"/>
        <d v="2025-03-28T13:32:00" u="1"/>
        <d v="2025-03-28T19:02:00" u="1"/>
        <d v="2025-03-31T16:46:00" u="1"/>
        <d v="2025-04-01T09:47:00" u="1"/>
        <d v="2025-04-02T11:46:00" u="1"/>
        <d v="2025-04-02T16:21:00" u="1"/>
        <d v="2025-04-03T13:22:00" u="1"/>
        <d v="2025-04-04T16:35:00" u="1"/>
        <d v="2025-04-07T09:34:00" u="1"/>
        <d v="2025-04-08T19:18:00" u="1"/>
        <d v="2025-04-09T01:12:00" u="1"/>
        <d v="2025-04-09T07:13:00" u="1"/>
        <d v="2025-04-09T13:29:00" u="1"/>
        <d v="2025-04-09T13:41:00" u="1"/>
        <d v="2025-04-09T13:42:00" u="1"/>
        <d v="2024-07-24T18:35:00" u="1"/>
        <d v="2024-09-24T10:35:00" u="1"/>
        <d v="2024-10-01T14:46:00" u="1"/>
        <d v="2024-10-01T18:47:00" u="1"/>
        <d v="2024-10-04T09:26:00" u="1"/>
        <d v="2024-10-11T08:54:00" u="1"/>
        <d v="2024-10-29T17:54:00" u="1"/>
        <d v="2024-10-31T10:26:00" u="1"/>
        <d v="2024-11-04T11:04:00" u="1"/>
        <d v="2024-11-19T19:13:00" u="1"/>
        <d v="2024-11-28T09:44:00" u="1"/>
        <d v="2024-11-28T11:54:00" u="1"/>
        <d v="2024-11-29T16:34:00" u="1"/>
        <d v="2024-11-29T17:44:00" u="1"/>
        <d v="2024-11-29T19:54:00" u="1"/>
        <d v="2024-12-02T18:44:00" u="1"/>
        <d v="2024-12-03T09:34:00" u="1"/>
        <d v="2024-12-03T12:24:00" u="1"/>
        <d v="2024-12-03T16:14:00" u="1"/>
        <d v="2024-12-04T15:54:00" u="1"/>
        <d v="2024-12-04T16:35:00" u="1"/>
        <d v="2024-12-04T17:25:00" u="1"/>
        <d v="2024-12-05T12:07:00" u="1"/>
        <d v="2024-12-05T18:26:00" u="1"/>
        <d v="2024-12-06T12:16:00" u="1"/>
        <d v="2024-12-06T13:25:00" u="1"/>
        <d v="2024-12-06T17:58:00" u="1"/>
        <d v="2024-12-09T09:05:00" u="1"/>
        <d v="2024-12-09T17:34:00" u="1"/>
        <d v="2024-12-10T14:54:00" u="1"/>
        <d v="2024-12-10T16:25:00" u="1"/>
        <d v="2024-12-10T16:26:00" u="1"/>
        <d v="2024-12-11T14:58:00" u="1"/>
        <d v="2024-12-13T15:34:00" u="1"/>
        <d v="2024-12-13T17:06:00" u="1"/>
        <d v="2024-12-16T08:54:00" u="1"/>
        <d v="2024-12-17T09:14:00" u="1"/>
        <d v="2024-12-17T12:06:00" u="1"/>
        <d v="2024-12-17T15:35:00" u="1"/>
        <d v="2024-12-17T15:44:00" u="1"/>
        <d v="2024-12-18T11:36:00" u="1"/>
        <d v="2024-12-18T11:54:00" u="1"/>
        <d v="2024-12-18T12:53:00" u="1"/>
        <d v="2024-12-18T15:25:00" u="1"/>
        <d v="2024-12-18T15:45:00" u="1"/>
        <d v="2024-12-19T13:24:00" u="1"/>
        <d v="2024-12-19T15:54:00" u="1"/>
        <d v="2024-12-19T17:54:00" u="1"/>
        <d v="2024-12-19T18:05:00" u="1"/>
        <d v="2024-12-20T11:05:00" u="1"/>
        <d v="2024-12-20T16:14:00" u="1"/>
        <d v="2024-12-20T16:23:00" u="1"/>
        <d v="2024-12-20T16:34:00" u="1"/>
        <d v="2024-12-23T09:13:00" u="1"/>
        <d v="2024-12-23T12:24:00" u="1"/>
        <d v="2024-12-23T12:34:00" u="1"/>
        <d v="2024-12-23T12:43:00" u="1"/>
        <d v="2024-12-26T12:54:00" u="1"/>
        <d v="2024-12-27T12:34:00" u="1"/>
        <d v="2025-01-06T16:54:00" u="1"/>
        <d v="2025-01-06T17:05:00" u="1"/>
        <d v="2025-01-07T13:35:00" u="1"/>
        <d v="2025-01-09T12:25:00" u="1"/>
        <d v="2025-01-13T17:06:00" u="1"/>
        <d v="2025-01-16T16:51:00" u="1"/>
        <d v="2025-01-16T22:56:00" u="1"/>
        <d v="2025-01-23T18:41:00" u="1"/>
        <d v="2025-01-31T11:35:00" u="1"/>
        <d v="2025-01-31T12:14:00" u="1"/>
        <d v="2025-01-31T14:54:00" u="1"/>
        <d v="2025-02-03T09:35:00" u="1"/>
        <d v="2025-02-03T16:55:00" u="1"/>
        <d v="2025-02-04T21:44:00" u="1"/>
        <d v="2025-02-06T09:35:00" u="1"/>
        <d v="2025-02-06T16:34:00" u="1"/>
        <d v="2025-02-10T13:04:00" u="1"/>
        <d v="2025-02-10T13:05:00" u="1"/>
        <d v="2024-10-07T08:38:00" u="1"/>
        <d v="2025-02-17T21:32:00" u="1"/>
        <d v="2025-02-13T14:04:00" u="1"/>
        <d v="2025-02-18T15:51:00" u="1"/>
        <d v="2025-02-21T22:41:00" u="1"/>
        <d v="2025-02-11T12:49:00" u="1"/>
        <d v="2025-02-20T15:36:00" u="1"/>
        <d v="2025-02-17T21:11:00" u="1"/>
        <d v="2025-02-24T14:45:00" u="1"/>
        <d v="2025-02-14T17:44:00" u="1"/>
        <d v="2025-02-20T15:25:00" u="1"/>
        <d v="2025-02-12T15:05:00" u="1"/>
        <d v="2025-02-13T09:53:00" u="1"/>
        <d v="2025-02-13T17:44:00" u="1"/>
        <d v="2025-02-18T11:07:00" u="1"/>
        <d v="2025-02-13T11:54:00" u="1"/>
        <d v="2025-02-12T13:05:00" u="1"/>
        <d v="2025-02-12T16:45:00" u="1"/>
        <d v="2025-02-12T16:35:00" u="1"/>
        <d v="2025-02-12T19:24:00" u="1"/>
        <d v="2025-02-12T17:06:00" u="1"/>
        <d v="2025-02-14T11:05:00" u="1"/>
        <d v="2025-02-12T11:45:00" u="1"/>
        <d v="2025-02-13T18:05:00" u="1"/>
        <d v="2025-02-13T13:44:00" u="1"/>
        <d v="2025-02-13T14:24:00" u="1"/>
        <d v="2025-02-12T12:24:00" u="1"/>
        <d v="2025-02-24T15:15:00" u="1"/>
        <d v="2025-02-12T14:55:00" u="1"/>
        <d v="2025-02-12T17:17:00" u="1"/>
        <d v="2025-02-12T10:45:00" u="1"/>
        <d v="2025-02-12T11:37:00" u="1"/>
        <d v="2025-02-20T14:56:00" u="1"/>
        <d v="2025-02-12T16:56:00" u="1"/>
        <d v="2025-02-13T12:24:00" u="1"/>
        <d v="2025-02-12T18:45:00" u="1"/>
        <d v="2025-02-13T18:54:00" u="1"/>
        <d v="2025-02-14T17:24:00" u="1"/>
        <d v="2025-02-12T11:56:00" u="1"/>
        <d v="2025-02-13T10:14:00" u="1"/>
        <d v="2025-02-12T09:57:00" u="1"/>
        <d v="2025-02-12T10:07:00" u="1"/>
        <d v="2025-02-13T10:44:00" u="1"/>
        <d v="2025-02-12T15:25:00" u="1"/>
        <d v="2025-02-18T09:49:00" u="1"/>
        <d v="2025-02-12T12:15:00" u="1"/>
        <d v="2025-02-14T10:56:00" u="1"/>
        <d v="2025-02-13T09:14:00" u="1"/>
        <d v="2025-02-13T09:04:00" u="1"/>
        <d v="2025-02-14T09:15:00" u="1"/>
        <d v="2025-02-18T10:56:00" u="1"/>
        <d v="2025-02-14T10:15:00" u="1"/>
        <d v="2025-02-14T18:44:00" u="1"/>
        <d v="2025-02-14T10:44:00" u="1"/>
        <d v="2025-02-14T17:14:00" u="1"/>
        <d v="2025-02-14T15:15:00" u="1"/>
        <d v="2025-02-18T14:26:00" u="1"/>
        <d v="2025-02-14T17:34:00" u="1"/>
        <d v="2025-02-14T12:24:00" u="1"/>
        <d v="2025-02-14T10:05:00" u="1"/>
        <d v="2025-02-14T15:54:00" u="1"/>
        <d v="2025-02-14T12:35:00" u="1"/>
        <d v="2025-02-19T14:49:00" u="1"/>
        <d v="2025-02-14T12:55:00" u="1"/>
        <d v="2025-02-14T11:37:00" u="1"/>
        <d v="2025-02-14T10:16:00" u="1"/>
        <d v="2025-02-14T17:54:00" u="1"/>
        <d v="2025-02-14T16:36:00" u="1"/>
        <d v="2025-02-14T18:14:00" u="1"/>
        <d v="2025-02-14T11:25:00" u="1"/>
        <d v="2025-02-14T18:05:00" u="1"/>
        <d v="2025-02-19T12:38:00" u="1"/>
        <d v="2025-02-14T18:24:00" u="1"/>
        <d v="2025-02-21T09:57:00" u="1"/>
        <d v="2025-02-14T19:04:00" u="1"/>
        <d v="2025-02-14T16:54:00" u="1"/>
        <d v="2025-02-14T16:06:00" u="1"/>
        <d v="2025-02-14T15:45:00" u="1"/>
        <d v="2025-02-18T09:50:00" u="1"/>
        <d v="2025-02-14T16:45:00" u="1"/>
        <d v="2025-02-14T18:53:00" u="1"/>
        <d v="2025-02-18T17:47:00" u="1"/>
        <d v="2025-02-18T17:57:00" u="1"/>
        <d v="2025-02-19T10:25:00" u="1"/>
        <d v="2025-02-18T11:56:00" u="1"/>
        <d v="2025-02-18T10:36:00" u="1"/>
        <d v="2025-02-18T14:07:00" u="1"/>
        <d v="2025-02-18T09:51:00" u="1"/>
        <d v="2025-02-18T10:13:00" u="1"/>
        <d v="2025-02-18T12:06:00" u="1"/>
        <d v="2025-02-20T15:37:00" u="1"/>
        <d v="2025-02-18T10:14:00" u="1"/>
        <d v="2025-02-18T11:08:00" u="1"/>
        <d v="2025-02-18T10:47:00" u="1"/>
        <d v="2025-02-18T11:45:00" u="1"/>
        <d v="2025-02-18T11:17:00" u="1"/>
        <d v="2025-02-18T10:15:00" u="1"/>
        <d v="2025-02-18T10:16:00" u="1"/>
        <d v="2025-02-21T12:35:00" u="1"/>
        <d v="2025-02-18T13:55:00" u="1"/>
        <d v="2025-02-18T10:17:00" u="1"/>
        <d v="2025-02-18T15:59:00" u="1"/>
        <d v="2025-02-18T17:01:00" u="1"/>
        <d v="2025-02-18T10:18:00" u="1"/>
        <d v="2025-02-18T13:35:00" u="1"/>
        <d v="2025-02-18T10:19:00" u="1"/>
        <d v="2025-02-19T13:26:00" u="1"/>
        <d v="2025-02-18T10:20:00" u="1"/>
        <d v="2025-02-18T10:37:00" u="1"/>
        <d v="2025-02-19T10:47:00" u="1"/>
        <d v="2025-02-19T10:16:00" u="1"/>
        <d v="2025-02-18T10:21:00" u="1"/>
        <d v="2025-02-18T18:53:00" u="1"/>
        <d v="2025-02-24T11:40:00" u="1"/>
        <d v="2025-02-21T14:37:00" u="1"/>
        <d v="2025-02-18T17:19:00" u="1"/>
        <d v="2025-02-18T11:38:00" u="1"/>
        <d v="2025-02-18T10:22:00" u="1"/>
        <d v="2025-02-19T14:18:00" u="1"/>
        <d v="2025-02-18T19:12:00" u="1"/>
        <d v="2025-02-21T17:37:00" u="1"/>
        <d v="2025-02-18T18:36:00" u="1"/>
        <d v="2025-02-19T12:45:00" u="1"/>
        <d v="2025-02-18T16:00:00" u="1"/>
        <d v="2025-02-18T10:23:00" u="1"/>
        <d v="2025-02-18T14:27:00" u="1"/>
        <d v="2025-02-18T13:07:00" u="1"/>
        <d v="2025-02-18T17:39:00" u="1"/>
        <d v="2025-02-18T12:26:00" u="1"/>
        <d v="2025-02-18T14:51:00" u="1"/>
        <d v="2025-02-18T16:39:00" u="1"/>
        <d v="2025-02-19T12:54:00" u="1"/>
        <d v="2025-02-18T10:26:00" u="1"/>
        <d v="2025-02-18T10:57:00" u="1"/>
        <d v="2025-02-20T14:57:00" u="1"/>
        <d v="2025-02-20T17:27:00" u="1"/>
        <d v="2025-02-19T14:08:00" u="1"/>
        <d v="2025-02-18T11:09:00" u="1"/>
        <d v="2025-02-18T15:28:00" u="1"/>
        <d v="2025-02-18T17:02:00" u="1"/>
        <d v="2025-02-18T19:13:00" u="1"/>
        <d v="2025-02-18T19:30:00" u="1"/>
        <d v="2025-02-18T13:47:00" u="1"/>
        <d v="2025-02-19T13:35:00" u="1"/>
        <d v="2025-02-19T13:45:00" u="1"/>
        <d v="2025-02-19T11:07:00" u="1"/>
        <d v="2025-02-20T17:45:00" u="1"/>
        <d v="2025-02-19T09:26:00" u="1"/>
        <d v="2025-02-20T15:46:00" u="1"/>
        <d v="2025-02-20T18:35:00" u="1"/>
        <d v="2025-02-20T19:05:00" u="1"/>
        <d v="2025-02-18T18:37:00" u="1"/>
        <d v="2025-02-20T16:37:00" u="1"/>
        <d v="2025-02-20T15:07:00" u="1"/>
        <d v="2025-02-19T09:45:00" u="1"/>
        <d v="2025-02-20T15:26:00" u="1"/>
        <d v="2025-02-19T09:55:00" u="1"/>
        <d v="2025-02-20T16:47:00" u="1"/>
        <d v="2025-02-19T12:25:00" u="1"/>
        <d v="2025-02-19T12:15:00" u="1"/>
        <d v="2025-02-20T15:08:00" u="1"/>
        <d v="2025-02-19T13:06:00" u="1"/>
        <d v="2025-02-24T09:05:00" u="1"/>
        <d v="2025-02-20T15:09:00" u="1"/>
        <d v="2025-02-20T17:35:00" u="1"/>
        <d v="2025-02-20T15:10:00" u="1"/>
        <d v="2025-02-20T15:11:00" u="1"/>
        <d v="2025-02-21T16:58:00" u="1"/>
        <d v="2025-02-21T16:39:00" u="1"/>
        <d v="2025-02-21T17:08:00" u="1"/>
        <d v="2025-02-21T17:26:00" u="1"/>
        <d v="2025-02-24T10:27:00" u="1"/>
        <d v="2025-02-24T10:09:00" u="1"/>
        <d v="2025-02-21T11:19:00" u="1"/>
        <d v="2025-02-20T15:14:00" u="1"/>
        <d v="2025-02-20T15:57:00" u="1"/>
        <d v="2025-02-20T16:08:00" u="1"/>
        <d v="2025-02-21T10:25:00" u="1"/>
        <d v="2025-02-20T17:16:00" u="1"/>
        <d v="2025-02-20T16:28:00" u="1"/>
        <d v="2025-02-20T18:55:00" u="1"/>
        <d v="2025-02-21T16:47:00" u="1"/>
        <d v="2025-02-20T15:15:00" u="1"/>
        <d v="2025-02-20T15:16:00" u="1"/>
        <d v="2025-02-24T11:21:00" u="1"/>
        <d v="2025-02-24T17:25:00" u="1"/>
        <d v="2025-02-20T16:17:00" u="1"/>
        <d v="2025-02-20T17:07:00" u="1"/>
        <d v="2025-02-20T16:56:00" u="1"/>
        <d v="2025-02-20T18:17:00" u="1"/>
        <d v="2025-02-21T09:59:00" u="1"/>
        <d v="2025-02-21T17:18:00" u="1"/>
        <d v="2025-02-21T17:47:00" u="1"/>
        <d v="2025-02-21T10:46:00" u="1"/>
        <d v="2025-02-20T15:47:00" u="1"/>
        <d v="2025-02-21T13:06:00" u="1"/>
        <d v="2025-02-21T10:15:00" u="1"/>
        <d v="2025-02-21T14:38:00" u="1"/>
        <d v="2025-02-21T14:46:00" u="1"/>
        <d v="2025-02-20T18:36:00" u="1"/>
        <d v="2025-02-20T18:07:00" u="1"/>
        <d v="2025-02-21T08:45:00" u="1"/>
        <d v="2025-02-20T19:15:00" u="1"/>
        <d v="2025-02-21T08:06:00" u="1"/>
        <d v="2025-02-24T12:59:00" u="1"/>
        <d v="2025-02-24T08:24:00" u="1"/>
        <d v="2025-02-24T15:24:00" u="1"/>
        <d v="2025-02-25T09:34:00" u="1"/>
        <d v="2025-02-21T16:09:00" u="1"/>
        <d v="2025-02-21T17:56:00" u="1"/>
        <d v="2025-02-21T14:58:00" u="1"/>
        <d v="2025-02-21T13:47:00" u="1"/>
        <d v="2025-02-24T11:41:00" u="1"/>
        <d v="2025-02-21T11:36:00" u="1"/>
        <d v="2025-02-21T12:28:00" u="1"/>
        <d v="2025-02-24T12:37:00" u="1"/>
        <d v="2025-02-24T12:28:00" u="1"/>
        <d v="2025-02-21T16:18:00" u="1"/>
        <d v="2025-02-21T15:18:00" u="1"/>
        <d v="2025-02-24T09:55:00" u="1"/>
        <d v="2025-02-24T09:25:00" u="1"/>
        <d v="2025-02-21T17:38:00" u="1"/>
        <d v="2025-02-24T11:59:00" u="1"/>
        <d v="2025-02-24T15:56:00" u="1"/>
        <d v="2025-02-21T15:46:00" u="1"/>
        <d v="2025-02-24T16:25:00" u="1"/>
        <d v="2025-02-24T10:40:00" u="1"/>
        <d v="2025-02-24T11:42:00" u="1"/>
        <d v="2025-02-21T19:55:00" u="1"/>
        <d v="2025-02-24T14:46:00" u="1"/>
        <d v="2025-02-24T19:05:00" u="1"/>
        <d v="2025-02-24T09:15:00" u="1"/>
        <d v="2025-02-21T18:30:00" u="1"/>
        <d v="2025-02-24T17:45:00" u="1"/>
        <d v="2025-02-24T17:55:00" u="1"/>
        <d v="2025-02-24T17:26:00" u="1"/>
        <d v="2025-02-24T17:34:00" u="1"/>
        <d v="2025-02-24T13:17:00" u="1"/>
        <d v="2025-02-24T13:47:00" u="1"/>
        <d v="2025-02-25T08:54:00" u="1"/>
        <d v="2025-02-24T18:06:00" u="1"/>
        <d v="2025-02-25T09:25:00" u="1"/>
        <d v="2025-02-24T15:06:00" u="1"/>
        <d v="2025-02-24T17:06:00" u="1"/>
        <d v="2025-02-24T09:36:00" u="1"/>
        <d v="2025-02-24T12:48:00" u="1"/>
        <d v="2025-02-24T19:14:00" u="1"/>
        <d v="2025-02-24T13:39:00" u="1"/>
        <d v="2025-02-24T18:25:00" u="1"/>
        <d v="2025-02-25T08:35:00" u="1"/>
        <d v="2025-02-24T18:54:00" u="1"/>
        <d v="2025-02-25T09:06:00" u="1"/>
        <d v="2025-02-24T16:47:00" u="1"/>
        <d v="2025-02-24T15:47:00" u="1"/>
        <d v="2025-02-24T15:36:00" u="1"/>
        <d v="2025-02-24T16:15:00" u="1"/>
        <d v="2025-02-24T14:55:00" u="1"/>
        <d v="2025-02-25T09:35:00" u="1"/>
        <d v="2025-02-24T17:17:00" u="1"/>
        <d v="2025-02-24T14:27:00" u="1"/>
        <d v="2025-02-24T16:26:00" u="1"/>
        <d v="2025-02-25T09:15:00" u="1"/>
        <d v="2025-02-26T11:47:00" u="1"/>
        <d v="2025-02-27T18:41:00" u="1"/>
        <d v="2025-02-26T12:03:00" u="1"/>
        <d v="2025-02-26T18:21:00" u="1"/>
        <d v="2025-02-27T12:36:00" u="1"/>
        <d v="2025-02-27T18:44:00" u="1"/>
        <d v="2025-02-25T15:02:00" u="1"/>
        <d v="2025-02-26T10:03:00" u="1"/>
        <d v="2025-02-26T15:37:00" u="1"/>
        <d v="2025-02-26T16:37:00" u="1"/>
        <d v="2025-02-27T10:18:00" u="1"/>
        <d v="2025-02-27T18:16:00" u="1"/>
        <d v="2025-03-05T11:15:00" u="1"/>
        <d v="2025-02-25T13:36:00" u="1"/>
        <d v="2025-02-25T14:45:00" u="1"/>
        <d v="2025-02-25T16:55:00" u="1"/>
        <d v="2025-02-25T17:54:00" u="1"/>
        <d v="2025-02-25T12:45:00" u="1"/>
        <d v="2025-02-27T15:55:00" u="1"/>
        <d v="2025-03-06T10:49:00" u="1"/>
        <d v="2025-02-25T12:06:00" u="1"/>
        <d v="2025-02-25T17:25:00" u="1"/>
        <d v="2025-02-26T11:26:00" u="1"/>
        <d v="2025-02-25T16:26:00" u="1"/>
        <d v="2025-02-26T15:38:00" u="1"/>
        <d v="2025-02-25T11:16:00" u="1"/>
        <d v="2025-02-25T18:35:00" u="1"/>
        <d v="2025-02-25T12:25:00" u="1"/>
        <d v="2025-02-25T11:45:00" u="1"/>
        <d v="2025-02-25T14:05:00" u="1"/>
        <d v="2025-02-26T17:35:00" u="1"/>
        <d v="2025-02-25T10:46:00" u="1"/>
        <d v="2025-02-26T17:16:00" u="1"/>
        <d v="2025-02-25T15:35:00" u="1"/>
        <d v="2025-02-25T10:36:00" u="1"/>
        <d v="2025-03-06T15:37:00" u="1"/>
        <d v="2025-02-25T12:36:00" u="1"/>
        <d v="2025-02-25T10:55:00" u="1"/>
        <d v="2025-02-26T16:46:00" u="1"/>
        <d v="2025-02-26T18:26:00" u="1"/>
        <d v="2025-02-25T11:54:00" u="1"/>
        <d v="2025-02-26T09:24:00" u="1"/>
        <d v="2025-02-25T16:46:00" u="1"/>
        <d v="2025-02-25T17:15:00" u="1"/>
        <d v="2025-02-26T17:45:00" u="1"/>
        <d v="2025-03-06T09:38:00" u="1"/>
        <d v="2025-02-25T15:55:00" u="1"/>
        <d v="2025-02-27T16:05:00" u="1"/>
        <d v="2025-02-25T17:55:00" u="1"/>
        <d v="2025-02-25T19:45:00" u="1"/>
        <d v="2025-02-25T15:06:00" u="1"/>
        <d v="2025-02-25T15:15:00" u="1"/>
        <d v="2025-02-26T10:58:00" u="1"/>
        <d v="2025-02-25T19:55:00" u="1"/>
        <d v="2025-02-25T12:55:00" u="1"/>
        <d v="2025-02-25T15:25:00" u="1"/>
        <d v="2025-02-25T16:37:00" u="1"/>
        <d v="2025-02-27T16:56:00" u="1"/>
        <d v="2025-02-25T14:55:00" u="1"/>
        <d v="2025-02-26T16:06:00" u="1"/>
        <d v="2025-02-27T14:16:00" u="1"/>
        <d v="2025-02-26T10:16:00" u="1"/>
        <d v="2025-02-28T13:08:00" u="1"/>
        <d v="2025-02-26T15:07:00" u="1"/>
        <d v="2025-02-25T15:26:00" u="1"/>
        <d v="2025-02-25T18:25:00" u="1"/>
        <d v="2025-02-25T17:36:00" u="1"/>
        <d v="2025-02-28T10:45:00" u="1"/>
        <d v="2025-02-26T08:55:00" u="1"/>
        <d v="2025-02-27T08:55:00" u="1"/>
        <d v="2025-02-27T12:46:00" u="1"/>
        <d v="2025-02-26T11:19:00" u="1"/>
        <d v="2025-02-26T21:25:00" u="1"/>
        <d v="2025-03-05T14:52:00" u="1"/>
        <d v="2025-03-05T17:18:00" u="1"/>
        <d v="2025-02-27T17:17:00" u="1"/>
        <d v="2025-02-26T13:18:00" u="1"/>
        <d v="2025-02-26T09:36:00" u="1"/>
        <d v="2025-02-28T08:54:00" u="1"/>
        <d v="2025-02-27T17:28:00" u="1"/>
        <d v="2025-03-03T17:35:00" u="1"/>
        <d v="2025-02-28T11:27:00" u="1"/>
        <d v="2025-02-26T09:25:00" u="1"/>
        <d v="2025-02-26T09:56:00" u="1"/>
        <d v="2025-02-26T15:47:00" u="1"/>
        <d v="2025-02-26T12:28:00" u="1"/>
        <d v="2025-02-27T09:47:00" u="1"/>
        <d v="2025-02-27T10:19:00" u="1"/>
        <d v="2025-02-28T11:56:00" u="1"/>
        <d v="2025-02-27T10:38:00" u="1"/>
        <d v="2025-02-27T09:55:00" u="1"/>
        <d v="2025-03-06T15:17:00" u="1"/>
        <d v="2025-02-26T14:56:00" u="1"/>
        <d v="2025-02-26T15:16:00" u="1"/>
        <d v="2025-02-28T12:16:00" u="1"/>
        <d v="2025-03-05T11:56:00" u="1"/>
        <d v="2025-02-26T16:55:00" u="1"/>
        <d v="2025-03-03T09:35:00" u="1"/>
        <d v="2025-02-27T15:27:00" u="1"/>
        <d v="2025-02-27T11:38:00" u="1"/>
        <d v="2025-02-26T16:26:00" u="1"/>
        <d v="2025-02-27T18:08:00" u="1"/>
        <d v="2025-02-26T18:06:00" u="1"/>
        <d v="2025-02-27T13:47:00" u="1"/>
        <d v="2025-02-28T12:28:00" u="1"/>
        <d v="2025-02-28T11:46:00" u="1"/>
        <d v="2025-02-27T10:08:00" u="1"/>
        <d v="2025-02-26T18:15:00" u="1"/>
        <d v="2025-02-27T11:50:00" u="1"/>
        <d v="2025-02-27T14:45:00" u="1"/>
        <d v="2025-02-27T09:37:00" u="1"/>
        <d v="2025-03-03T09:46:00" u="1"/>
        <d v="2025-02-27T12:27:00" u="1"/>
        <d v="2025-02-27T15:36:00" u="1"/>
        <d v="2025-02-27T10:56:00" u="1"/>
        <d v="2025-02-27T09:16:00" u="1"/>
        <d v="2025-02-28T09:37:00" u="1"/>
        <d v="2025-02-27T12:11:00" u="1"/>
        <d v="2025-02-28T09:06:00" u="1"/>
        <d v="2025-02-27T11:09:00" u="1"/>
        <d v="2025-02-28T13:17:00" u="1"/>
        <d v="2025-02-28T09:16:00" u="1"/>
        <d v="2025-02-28T09:56:00" u="1"/>
        <d v="2025-02-27T16:16:00" u="1"/>
        <d v="2025-03-06T14:38:00" u="1"/>
        <d v="2025-02-27T16:38:00" u="1"/>
        <d v="2025-02-28T18:46:00" u="1"/>
        <d v="2025-02-27T17:47:00" u="1"/>
        <d v="2025-02-27T16:46:00" u="1"/>
        <d v="2025-03-05T10:36:00" u="1"/>
        <d v="2025-02-27T13:56:00" u="1"/>
        <d v="2025-02-28T16:56:00" u="1"/>
        <d v="2025-02-27T12:38:00" u="1"/>
        <d v="2025-02-27T18:55:00" u="1"/>
        <d v="2025-02-27T17:36:00" u="1"/>
        <d v="2025-02-28T15:56:00" u="1"/>
        <d v="2025-03-05T11:57:00" u="1"/>
        <d v="2025-02-28T19:35:00" u="1"/>
        <d v="2025-02-28T19:25:00" u="1"/>
        <d v="2025-03-06T14:27:00" u="1"/>
        <d v="2025-02-27T18:26:00" u="1"/>
        <d v="2025-02-27T18:17:00" u="1"/>
        <d v="2025-02-28T15:08:00" u="1"/>
        <d v="2025-02-27T18:09:00" u="1"/>
        <d v="2025-02-28T16:38:00" u="1"/>
        <d v="2025-03-05T11:36:00" u="1"/>
        <d v="2025-03-03T10:06:00" u="1"/>
        <d v="2025-02-28T12:47:00" u="1"/>
        <d v="2025-02-28T15:48:00" u="1"/>
        <d v="2025-02-28T19:07:00" u="1"/>
        <d v="2025-02-28T10:36:00" u="1"/>
        <d v="2025-02-28T11:38:00" u="1"/>
        <d v="2025-02-28T17:46:00" u="1"/>
        <d v="2025-02-28T16:28:00" u="1"/>
        <d v="2025-02-28T17:18:00" u="1"/>
        <d v="2025-02-28T15:17:00" u="1"/>
        <d v="2025-03-05T19:16:00" u="1"/>
        <d v="2025-02-28T18:16:00" u="1"/>
        <d v="2025-02-28T17:07:00" u="1"/>
        <d v="2025-02-28T17:56:00" u="1"/>
        <d v="2025-03-06T15:27:00" u="1"/>
        <d v="2025-03-03T13:56:00" u="1"/>
        <d v="2025-03-03T15:15:00" u="1"/>
        <d v="2025-03-05T09:56:00" u="1"/>
        <d v="2025-03-03T14:35:00" u="1"/>
        <d v="2025-03-05T11:46:00" u="1"/>
        <d v="2025-03-05T12:14:00" u="1"/>
        <d v="2025-03-05T18:56:00" u="1"/>
        <d v="2025-03-03T17:25:00" u="1"/>
        <d v="2025-03-03T16:06:00" u="1"/>
        <d v="2025-03-03T16:45:00" u="1"/>
        <d v="2025-03-05T15:12:00" u="1"/>
        <d v="2025-03-06T09:18:00" u="1"/>
        <d v="2025-03-06T11:30:00" u="1"/>
        <d v="2025-03-06T08:57:00" u="1"/>
        <d v="2025-03-05T11:07:00" u="1"/>
        <d v="2025-03-05T16:09:00" u="1"/>
        <d v="2025-03-05T19:07:00" u="1"/>
        <d v="2025-03-05T19:26:00" u="1"/>
        <d v="2025-03-05T17:57:00" u="1"/>
        <d v="2025-03-05T14:11:00" u="1"/>
        <d v="2025-03-05T18:27:00" u="1"/>
        <d v="2025-03-06T10:51:00" u="1"/>
        <d v="2025-03-05T16:58:00" u="1"/>
        <d v="2025-03-06T09:58:00" u="1"/>
        <d v="2025-03-06T10:10:00" u="1"/>
        <d v="2025-03-06T11:11:00" u="1"/>
        <d v="2025-03-05T11:16:00" u="1"/>
        <d v="2025-03-06T09:08:00" u="1"/>
        <d v="2025-03-06T15:18:00" u="1"/>
        <d v="2025-03-05T15:49:00" u="1"/>
        <d v="2025-03-06T14:09:00" u="1"/>
        <d v="2025-03-05T17:37:00" u="1"/>
        <d v="2025-03-06T08:48:00" u="1"/>
        <d v="2025-03-06T08:37:00" u="1"/>
        <d v="2025-03-06T09:28:00" u="1"/>
        <d v="2025-03-06T13:19:00" u="1"/>
        <d v="2025-03-13T18:20:00" u="1"/>
        <d v="2025-03-12T17:52:00" u="1"/>
        <d v="2025-02-26T11:51:00" u="1"/>
        <d v="2025-02-26T12:05:00" u="1"/>
        <d v="2025-02-26T11:43:00" u="1"/>
        <d v="2025-03-13T18:30:00" u="1"/>
        <d v="2025-03-11T17:28:00" u="1"/>
        <d v="2025-03-17T17:05:00" u="1"/>
        <d v="2025-03-12T19:47:00" u="1"/>
        <d v="2025-03-07T18:08:00" u="1"/>
        <d v="2025-03-17T17:19:00" u="1"/>
        <d v="2025-03-14T18:35:00" u="1"/>
        <d v="2025-03-07T17:37:00" u="1"/>
        <d v="2025-03-07T10:49:00" u="1"/>
        <d v="2025-03-06T16:40:00" u="1"/>
        <d v="2025-03-06T16:17:00" u="1"/>
        <d v="2025-03-10T19:11:00" u="1"/>
        <d v="2025-03-07T17:09:00" u="1"/>
        <d v="2025-03-10T10:51:00" u="1"/>
        <d v="2025-03-07T09:49:00" u="1"/>
        <d v="2025-03-14T08:18:00" u="1"/>
        <d v="2025-03-07T19:56:00" u="1"/>
        <d v="2025-03-06T17:28:00" u="1"/>
        <d v="2025-03-15T11:54:00" u="1"/>
        <d v="2025-03-07T17:48:00" u="1"/>
        <d v="2025-03-07T09:38:00" u="1"/>
        <d v="2025-03-06T16:57:00" u="1"/>
        <d v="2025-03-10T12:58:00" u="1"/>
        <d v="2025-03-10T19:12:00" u="1"/>
        <d v="2025-03-06T18:27:00" u="1"/>
        <d v="2025-03-07T16:10:00" u="1"/>
        <d v="2025-03-07T13:41:00" u="1"/>
        <d v="2025-03-07T11:10:00" u="1"/>
        <d v="2025-03-06T18:47:00" u="1"/>
        <d v="2025-03-11T07:36:00" u="1"/>
        <d v="2025-03-06T16:58:00" u="1"/>
        <d v="2025-03-13T13:34:00" u="1"/>
        <d v="2025-03-13T19:15:00" u="1"/>
        <d v="2025-03-13T18:37:00" u="1"/>
        <d v="2025-03-07T15:40:00" u="1"/>
        <d v="2025-03-07T18:09:00" u="1"/>
        <d v="2025-03-06T18:56:00" u="1"/>
        <d v="2025-03-07T19:36:00" u="1"/>
        <d v="2025-03-07T12:09:00" u="1"/>
        <d v="2025-03-11T09:33:00" u="1"/>
        <d v="2025-03-18T09:09:00" u="1"/>
        <d v="2025-03-11T16:53:00" u="1"/>
        <d v="2025-03-07T10:50:00" u="1"/>
        <d v="2025-03-07T10:11:00" u="1"/>
        <d v="2025-03-07T08:48:00" u="1"/>
        <d v="2025-03-07T13:58:00" u="1"/>
        <d v="2025-03-10T13:15:00" u="1"/>
        <d v="2025-03-07T16:29:00" u="1"/>
        <d v="2025-03-07T12:39:00" u="1"/>
        <d v="2025-03-06T17:48:00" u="1"/>
        <d v="2025-03-11T10:53:00" u="1"/>
        <d v="2025-03-07T08:36:00" u="1"/>
        <d v="2025-03-07T13:42:00" u="1"/>
        <d v="2025-03-07T14:29:00" u="1"/>
        <d v="2025-03-10T19:40:00" u="1"/>
        <d v="2025-03-11T07:50:00" u="1"/>
        <d v="2025-03-11T08:10:00" u="1"/>
        <d v="2025-03-07T15:58:00" u="1"/>
        <d v="2025-03-13T18:08:00" u="1"/>
        <d v="2025-03-07T19:26:00" u="1"/>
        <d v="2025-03-10T09:30:00" u="1"/>
        <d v="2025-03-10T21:58:00" u="1"/>
        <d v="2025-03-07T18:28:00" u="1"/>
        <d v="2025-03-07T15:01:00" u="1"/>
        <d v="2025-03-07T12:40:00" u="1"/>
        <d v="2025-03-07T11:52:00" u="1"/>
        <d v="2025-03-07T19:09:00" u="1"/>
        <d v="2025-03-11T09:55:00" u="1"/>
        <d v="2025-03-07T17:10:00" u="1"/>
        <d v="2025-03-07T13:00:00" u="1"/>
        <d v="2025-03-07T14:13:00" u="1"/>
        <d v="2025-03-10T13:40:00" u="1"/>
        <d v="2025-03-10T18:50:00" u="1"/>
        <d v="2025-03-10T14:58:00" u="1"/>
        <d v="2025-03-07T17:38:00" u="1"/>
        <d v="2025-03-13T17:20:00" u="1"/>
        <d v="2025-03-10T15:31:00" u="1"/>
        <d v="2025-03-10T15:54:00" u="1"/>
        <d v="2025-03-10T13:29:00" u="1"/>
        <d v="2025-03-14T15:27:00" u="1"/>
        <d v="2025-03-07T17:57:00" u="1"/>
        <d v="2025-03-13T19:46:00" u="1"/>
        <d v="2025-03-11T10:12:00" u="1"/>
        <d v="2025-03-10T14:13:00" u="1"/>
        <d v="2025-03-10T13:59:00" u="1"/>
        <d v="2025-03-11T12:48:00" u="1"/>
        <d v="2025-03-10T17:14:00" u="1"/>
        <d v="2025-03-12T19:18:00" u="1"/>
        <d v="2025-03-10T09:10:00" u="1"/>
        <d v="2025-03-11T15:11:00" u="1"/>
        <d v="2025-03-12T13:57:00" u="1"/>
        <d v="2025-03-12T09:19:00" u="1"/>
        <d v="2025-03-11T14:59:00" u="1"/>
        <d v="2025-03-14T14:07:00" u="1"/>
        <d v="2025-03-10T16:14:00" u="1"/>
        <d v="2025-03-10T17:15:00" u="1"/>
        <d v="2025-03-12T14:28:00" u="1"/>
        <d v="2025-03-13T11:15:00" u="1"/>
        <d v="2025-03-10T12:23:00" u="1"/>
        <d v="2025-03-11T18:10:00" u="1"/>
        <d v="2025-03-10T10:52:00" u="1"/>
        <d v="2025-03-12T12:10:00" u="1"/>
        <d v="2025-03-13T12:15:00" u="1"/>
        <d v="2025-03-10T10:12:00" u="1"/>
        <d v="2025-03-11T12:30:00" u="1"/>
        <d v="2025-03-10T16:53:00" u="1"/>
        <d v="2025-03-13T09:58:00" u="1"/>
        <d v="2025-03-10T19:13:00" u="1"/>
        <d v="2025-03-12T09:40:00" u="1"/>
        <d v="2025-03-10T17:36:00" u="1"/>
        <d v="2025-03-12T11:32:00" u="1"/>
        <d v="2025-03-12T15:28:00" u="1"/>
        <d v="2025-03-11T18:38:00" u="1"/>
        <d v="2025-03-10T17:37:00" u="1"/>
        <d v="2025-03-13T14:14:00" u="1"/>
        <d v="2025-03-13T16:39:00" u="1"/>
        <d v="2025-03-17T20:11:00" u="1"/>
        <d v="2025-03-11T10:54:00" u="1"/>
        <d v="2025-03-12T16:10:00" u="1"/>
        <d v="2025-03-17T09:15:00" u="1"/>
        <d v="2025-03-11T17:12:00" u="1"/>
        <d v="2025-03-10T18:30:00" u="1"/>
        <d v="2025-03-12T11:50:00" u="1"/>
        <d v="2025-03-12T15:59:00" u="1"/>
        <d v="2025-03-17T15:13:00" u="1"/>
        <d v="2025-03-12T10:21:00" u="1"/>
        <d v="2025-03-10T17:52:00" u="1"/>
        <d v="2025-03-12T18:49:00" u="1"/>
        <d v="2025-03-11T12:13:00" u="1"/>
        <d v="2025-03-10T18:51:00" u="1"/>
        <d v="2025-03-13T18:29:00" u="1"/>
        <d v="2025-03-12T10:41:00" u="1"/>
        <d v="2025-03-13T10:13:00" u="1"/>
        <d v="2025-03-14T12:27:00" u="1"/>
        <d v="2025-03-11T18:27:00" u="1"/>
        <d v="2025-03-14T12:10:00" u="1"/>
        <d v="2025-03-14T13:11:00" u="1"/>
        <d v="2025-03-11T15:30:00" u="1"/>
        <d v="2025-03-11T13:27:00" u="1"/>
        <d v="2025-03-12T08:28:00" u="1"/>
        <d v="2025-03-11T21:07:00" u="1"/>
        <d v="2025-03-12T19:08:00" u="1"/>
        <d v="2025-03-12T11:12:00" u="1"/>
        <d v="2025-03-11T17:49:00" u="1"/>
        <d v="2025-03-14T11:50:00" u="1"/>
        <d v="2025-03-13T12:34:00" u="1"/>
        <d v="2025-03-11T19:27:00" u="1"/>
        <d v="2025-03-17T20:26:00" u="1"/>
        <d v="2025-03-14T13:27:00" u="1"/>
        <d v="2025-03-17T20:36:00" u="1"/>
        <d v="2025-03-12T08:58:00" u="1"/>
        <d v="2025-03-13T10:32:00" u="1"/>
        <d v="2025-03-11T15:50:00" u="1"/>
        <d v="2025-03-11T18:28:00" u="1"/>
        <d v="2025-03-11T17:30:00" u="1"/>
        <d v="2025-03-12T10:00:00" u="1"/>
        <d v="2025-03-12T14:09:00" u="1"/>
        <d v="2025-03-13T15:31:00" u="1"/>
        <d v="2025-03-12T17:13:00" u="1"/>
        <d v="2025-03-17T17:20:00" u="1"/>
        <d v="2025-03-12T16:54:00" u="1"/>
        <d v="2025-03-12T15:49:00" u="1"/>
        <d v="2025-03-17T11:25:00" u="1"/>
        <d v="2025-03-17T19:15:00" u="1"/>
        <d v="2025-03-17T16:51:00" u="1"/>
        <d v="2025-03-14T16:56:00" u="1"/>
        <d v="2025-03-14T15:58:00" u="1"/>
        <d v="2025-03-14T09:11:00" u="1"/>
        <d v="2025-03-13T13:54:00" u="1"/>
        <d v="2025-03-12T19:09:00" u="1"/>
        <d v="2025-03-12T18:10:00" u="1"/>
        <d v="2025-03-14T08:29:00" u="1"/>
        <d v="2025-03-17T11:10:00" u="1"/>
        <d v="2025-03-13T15:48:00" u="1"/>
        <d v="2025-03-17T16:17:00" u="1"/>
        <d v="2025-03-14T18:07:00" u="1"/>
        <d v="2025-03-13T16:29:00" u="1"/>
        <d v="2025-03-13T10:51:00" u="1"/>
        <d v="2025-03-13T16:40:00" u="1"/>
        <d v="2025-03-14T10:51:00" u="1"/>
        <d v="2025-03-13T00:08:00" u="1"/>
        <d v="2025-03-13T08:57:00" u="1"/>
        <d v="2025-03-14T15:17:00" u="1"/>
        <d v="2025-03-18T10:27:00" u="1"/>
        <d v="2025-03-17T17:59:00" u="1"/>
        <d v="2025-03-17T18:16:00" u="1"/>
        <d v="2025-03-14T14:37:00" u="1"/>
        <d v="2025-03-13T17:39:00" u="1"/>
        <d v="2025-03-18T09:26:00" u="1"/>
        <d v="2025-03-13T16:09:00" u="1"/>
        <d v="2025-03-14T08:38:00" u="1"/>
        <d v="2025-03-17T14:16:00" u="1"/>
        <d v="2025-03-14T10:31:00" u="1"/>
        <d v="2025-03-17T12:20:00" u="1"/>
        <d v="2025-03-14T15:28:00" u="1"/>
        <d v="2025-03-14T18:17:00" u="1"/>
        <d v="2025-03-14T16:37:00" u="1"/>
        <d v="2025-03-14T11:13:00" u="1"/>
        <d v="2025-03-17T10:07:00" u="1"/>
        <d v="2025-03-17T18:38:00" u="1"/>
        <d v="2025-03-18T09:59:00" u="1"/>
        <d v="2025-03-17T11:48:00" u="1"/>
        <d v="2025-03-14T18:36:00" u="1"/>
        <d v="2025-03-17T09:07:00" u="1"/>
        <d v="2025-03-14T17:17:00" u="1"/>
        <d v="2025-03-17T20:37:00" u="1"/>
        <d v="2025-03-14T17:57:00" u="1"/>
        <d v="2025-03-17T12:39:00" u="1"/>
        <d v="2025-03-14T17:48:00" u="1"/>
        <d v="2025-03-14T19:14:00" u="1"/>
        <d v="2025-03-17T15:29:00" u="1"/>
        <d v="2025-03-17T10:49:00" u="1"/>
        <d v="2025-03-17T14:39:00" u="1"/>
        <d v="2025-03-18T10:28:00" u="1"/>
        <d v="2025-03-17T16:52:00" u="1"/>
        <d v="2025-03-18T10:29:00" u="1"/>
        <d v="2025-03-17T16:30:00" u="1"/>
        <d v="2025-03-17T13:47:00" u="1"/>
        <d v="2025-03-18T08:57:00" u="1"/>
        <d v="2025-03-17T15:51:00" u="1"/>
        <d v="2025-03-18T08:47:00" u="1"/>
        <d v="2025-03-17T13:36:00" u="1"/>
        <d v="2025-03-18T09:10:00" u="1"/>
        <d v="2025-03-18T10:44:00" u="1"/>
        <d v="2025-03-17T17:21:00" u="1"/>
        <d v="2025-03-18T10:01:00" u="1"/>
        <d v="2025-03-18T13:53:00" u="1"/>
        <d v="2025-03-18T11:39:00" u="1"/>
        <d v="2025-03-18T11:07:00" u="1"/>
        <d v="2025-03-18T12:28:00" u="1"/>
        <d v="2025-03-18T12:37:00" u="1"/>
        <d v="2025-03-18T14:25:00" u="1"/>
        <d v="2025-03-18T13:37:00" u="1"/>
        <d v="2025-03-18T12:10:00" u="1"/>
        <d v="2025-03-18T15:08:00" u="1"/>
        <d v="2025-03-18T14:57:00" u="1"/>
        <d v="2025-03-18T11:40:00" u="1"/>
        <d v="2025-03-18T11:27:00" u="1"/>
        <d v="2024-02-20T14:25:00" u="1"/>
        <d v="2024-02-20T14:34:00" u="1"/>
        <d v="2024-06-11T16:14:00" u="1"/>
        <d v="2024-07-29T18:48:00" u="1"/>
        <d v="2024-07-30T15:32:00" u="1"/>
        <d v="2024-07-30T15:55:00" u="1"/>
        <d v="2024-07-30T15:56:00" u="1"/>
        <d v="2024-08-13T18:25:00" u="1"/>
        <d v="2024-08-20T14:09:00" u="1"/>
        <d v="2024-08-21T09:41:00" u="1"/>
        <d v="2024-08-27T15:04:00" u="1"/>
        <d v="2024-08-28T14:01:00" u="1"/>
        <d v="2024-08-28T14:28:00" u="1"/>
        <d v="2024-08-29T11:38:00" u="1"/>
        <d v="2024-08-29T13:24:00" u="1"/>
        <d v="2024-08-30T10:02:00" u="1"/>
        <d v="2024-08-30T15:31:00" u="1"/>
        <d v="2024-08-30T15:50:00" u="1"/>
        <d v="2024-08-30T17:46:00" u="1"/>
        <d v="2024-09-13T11:44:00" u="1"/>
        <d v="2024-09-23T11:34:00" u="1"/>
        <d v="2024-09-24T12:16:00" u="1"/>
        <d v="2024-09-24T15:56:00" u="1"/>
        <d v="2024-09-30T09:44:00" u="1"/>
        <d v="2024-10-08T16:47:00" u="1"/>
        <d v="2024-10-09T11:34:00" u="1"/>
        <d v="2024-10-23T19:53:00" u="1"/>
        <d v="2024-10-24T10:53:00" u="1"/>
        <d v="2024-10-29T09:33:00" u="1"/>
        <d v="2024-10-30T15:44:00" u="1"/>
        <d v="2024-11-14T17:56:00" u="1"/>
        <d v="2024-11-14T18:03:00" u="1"/>
        <d v="2024-11-28T15:54:00" u="1"/>
        <d v="2024-12-03T14:44:00" u="1"/>
        <d v="2024-12-09T10:15:00" u="1"/>
        <d v="2024-12-11T14:46:00" u="1"/>
        <d v="2024-12-13T10:55:00" u="1"/>
        <d v="2024-12-13T13:25:00" u="1"/>
        <d v="2024-12-17T17:38:00" u="1"/>
        <d v="2025-01-06T08:43:00" u="1"/>
        <d v="2025-01-06T18:08:00" u="1"/>
        <d v="2025-01-09T17:19:00" u="1"/>
        <d v="2025-01-10T17:37:00" u="1"/>
        <d v="2025-01-13T13:04:00" u="1"/>
        <d v="2025-01-14T09:19:00" u="1"/>
        <d v="2025-01-14T09:34:00" u="1"/>
        <d v="2025-01-15T18:19:00" u="1"/>
        <d v="2025-01-17T08:36:00" u="1"/>
        <d v="2025-01-17T13:09:00" u="1"/>
        <d v="2025-01-17T17:35:00" u="1"/>
        <d v="2025-01-18T12:04:00" u="1"/>
        <d v="2025-01-21T17:07:00" u="1"/>
        <d v="2025-01-21T19:32:00" u="1"/>
        <d v="2025-01-22T09:35:00" u="1"/>
        <d v="2025-01-22T09:49:00" u="1"/>
        <d v="2025-01-22T10:05:00" u="1"/>
        <d v="2025-01-22T16:49:00" u="1"/>
        <d v="2025-01-23T16:49:00" u="1"/>
        <d v="2025-01-24T10:04:00" u="1"/>
        <d v="2025-01-27T09:34:00" u="1"/>
        <d v="2025-01-27T09:49:00" u="1"/>
        <d v="2025-01-27T14:18:00" u="1"/>
        <d v="2025-01-27T16:21:00" u="1"/>
        <d v="2025-01-27T18:48:00" u="1"/>
        <d v="2025-01-28T09:50:00" u="1"/>
        <d v="2025-01-29T15:20:00" u="1"/>
        <d v="2025-01-29T17:06:00" u="1"/>
        <d v="2025-01-30T14:50:00" u="1"/>
        <d v="2025-02-03T11:06:00" u="1"/>
        <d v="2025-02-03T15:47:00" u="1"/>
        <d v="2025-02-05T16:21:00" u="1"/>
        <d v="2025-02-06T13:36:00" u="1"/>
        <d v="2025-02-06T17:45:00" u="1"/>
        <d v="2025-02-07T11:20:00" u="1"/>
        <d v="2025-02-10T16:21:00" u="1"/>
        <d v="2025-02-17T08:21:00" u="1"/>
        <d v="2025-02-11T17:22:00" u="1"/>
        <d v="2025-02-13T12:16:00" u="1"/>
        <d v="2025-02-19T14:52:00" u="1"/>
        <d v="2025-02-24T09:50:00" u="1"/>
        <d v="2025-02-13T18:52:00" u="1"/>
        <d v="2025-03-05T12:41:00" u="1"/>
        <d v="2025-03-18T08:18:00" u="1"/>
        <d v="2025-03-13T15:21:00" u="1"/>
        <d v="2025-03-14T10:56:00" u="1"/>
        <d v="2025-03-06T16:46:00" u="1"/>
        <d v="2025-03-18T06:03:00" u="1"/>
        <d v="2024-12-23T15:02:00" u="1"/>
        <d v="2024-12-24T08:47:00" u="1"/>
        <d v="2025-01-02T11:32:00" u="1"/>
        <d v="2025-01-06T16:50:00" u="1"/>
        <d v="2025-01-08T12:34:00" u="1"/>
        <d v="2025-01-08T19:35:00" u="1"/>
        <d v="2025-01-09T14:53:00" u="1"/>
        <d v="2025-01-10T14:05:00" u="1"/>
        <d v="2025-01-15T13:06:00" u="1"/>
        <d v="2025-01-15T15:48:00" u="1"/>
        <d v="2025-01-16T17:08:00" u="1"/>
        <d v="2025-01-17T11:50:00" u="1"/>
        <d v="2025-01-21T12:22:00" u="1"/>
        <d v="2025-01-21T16:37:00" u="1"/>
        <d v="2025-01-22T11:49:00" u="1"/>
        <d v="2025-01-22T14:32:00" u="1"/>
        <d v="2025-01-25T17:05:00" u="1"/>
        <d v="2025-01-27T09:01:00" u="1"/>
        <d v="2025-01-28T08:49:00" u="1"/>
        <d v="2025-01-28T11:20:00" u="1"/>
        <d v="2025-01-28T18:31:00" u="1"/>
        <d v="2025-01-29T11:06:00" u="1"/>
        <d v="2025-01-30T15:49:00" u="1"/>
        <d v="2025-01-30T17:22:00" u="1"/>
        <d v="2025-01-31T12:36:00" u="1"/>
        <d v="2025-01-31T19:21:00" u="1"/>
        <d v="2025-02-03T18:46:00" u="1"/>
        <d v="2025-02-03T19:06:00" u="1"/>
        <d v="2025-02-03T19:35:00" u="1"/>
        <d v="2025-02-05T18:13:00" u="1"/>
        <d v="2025-02-07T13:35:00" u="1"/>
        <d v="2025-02-18T12:01:00" u="1"/>
        <d v="2025-02-14T16:38:00" u="1"/>
        <d v="2025-02-18T13:09:00" u="1"/>
        <d v="2025-02-18T17:11:00" u="1"/>
        <d v="2025-02-18T17:12:00" u="1"/>
        <d v="2025-02-25T09:36:00" u="1"/>
        <d v="2025-02-19T17:10:00" u="1"/>
        <d v="2025-02-19T16:21:00" u="1"/>
        <d v="2025-02-24T10:05:00" u="1"/>
        <d v="2025-02-19T19:20:00" u="1"/>
        <d v="2025-02-18T12:53:00" u="1"/>
        <d v="2025-02-17T16:08:00" u="1"/>
        <d v="2025-02-20T19:06:00" u="1"/>
        <d v="2025-02-19T13:10:00" u="1"/>
        <d v="2025-02-17T15:17:00" u="1"/>
        <d v="2025-02-19T19:35:00" u="1"/>
        <d v="2025-02-13T17:51:00" u="1"/>
        <d v="2025-02-14T13:02:00" u="1"/>
        <d v="2025-02-24T16:36:00" u="1"/>
        <d v="2025-02-13T10:47:00" u="1"/>
        <d v="2025-02-24T13:09:00" u="1"/>
        <d v="2025-02-24T16:50:00" u="1"/>
        <d v="2025-02-18T17:13:00" u="1"/>
        <d v="2025-02-17T11:07:00" u="1"/>
        <d v="2025-02-21T15:31:00" u="1"/>
        <d v="2025-02-21T17:10:00" u="1"/>
        <d v="2025-02-21T17:09:00" u="1"/>
        <d v="2025-02-20T17:12:00" u="1"/>
        <d v="2025-02-11T16:01:00" u="1"/>
        <d v="2025-02-24T11:39:00" u="1"/>
        <d v="2025-02-24T16:51:00" u="1"/>
        <d v="2025-02-28T17:30:00" u="1"/>
        <d v="2025-02-28T17:08:00" u="1"/>
        <d v="2025-02-28T13:06:00" u="1"/>
        <d v="2025-03-05T13:07:00" u="1"/>
        <d v="2025-03-06T12:53:00" u="1"/>
        <d v="2025-02-28T17:51:00" u="1"/>
        <d v="2025-03-05T17:08:00" u="1"/>
        <d v="2025-02-27T14:52:00" u="1"/>
        <d v="2025-02-28T17:52:00" u="1"/>
        <d v="2025-02-27T09:38:00" u="1"/>
        <d v="2025-02-28T17:31:00" u="1"/>
        <d v="2025-02-25T13:11:00" u="1"/>
        <d v="2025-02-25T18:21:00" u="1"/>
        <d v="2025-02-27T10:49:00" u="1"/>
        <d v="2025-03-06T07:21:00" u="1"/>
        <d v="2025-02-26T10:00:00" u="1"/>
        <d v="2025-02-26T17:22:00" u="1"/>
        <d v="2025-02-28T17:29:00" u="1"/>
        <d v="2025-02-28T12:36:00" u="1"/>
        <d v="2025-03-03T13:06:00" u="1"/>
        <d v="2025-02-27T16:36:00" u="1"/>
        <d v="2025-02-28T17:09:00" u="1"/>
        <d v="2025-02-27T13:23:00" u="1"/>
        <d v="2025-02-26T17:08:00" u="1"/>
        <d v="2025-03-06T13:13:00" u="1"/>
        <d v="2025-03-06T12:37:00" u="1"/>
        <d v="2025-02-25T15:07:00" u="1"/>
        <d v="2025-02-26T13:07:00" u="1"/>
        <d v="2025-03-12T11:33:00" u="1"/>
        <d v="2025-03-07T13:08:00" u="1"/>
        <d v="2025-03-12T20:01:00" u="1"/>
        <d v="2025-03-06T17:12:00" u="1"/>
        <d v="2025-03-10T09:55:00" u="1"/>
        <d v="2025-03-10T10:19:00" u="1"/>
        <d v="2025-03-10T13:10:00" u="1"/>
        <d v="2025-03-07T16:39:00" u="1"/>
        <d v="2025-03-11T18:18:00" u="1"/>
        <d v="2025-03-12T12:47:00" u="1"/>
        <d v="2025-03-06T17:11:00" u="1"/>
        <d v="2025-03-10T13:11:00" u="1"/>
        <d v="2025-03-10T13:24:00" u="1"/>
        <d v="2025-03-14T20:46:00" u="1"/>
        <d v="2025-03-10T13:56:00" u="1"/>
        <d v="2025-03-12T14:02:00" u="1"/>
        <d v="2025-03-07T16:38:00" u="1"/>
        <d v="2025-03-12T18:01:00" u="1"/>
        <d v="2025-03-10T13:23:00" u="1"/>
        <d v="2025-03-12T20:06:00" u="1"/>
        <d v="2025-03-13T07:37:00" u="1"/>
        <d v="2025-03-07T17:13:00" u="1"/>
        <d v="2025-03-11T08:37:00" u="1"/>
        <d v="2024-07-17T09:37:00" u="1"/>
        <d v="2024-07-17T14:52:00" u="1"/>
        <d v="2024-07-17T15:10:00" u="1"/>
        <d v="2024-07-18T10:23:00" u="1"/>
        <d v="2024-07-19T16:42:00" u="1"/>
        <d v="2024-08-30T18:28:00" u="1"/>
        <d v="2024-09-03T11:57:00" u="1"/>
        <d v="2024-09-16T13:33:00" u="1"/>
        <d v="2024-09-19T19:01:00" u="1"/>
        <d v="2024-09-19T19:16:00" u="1"/>
        <d v="2024-09-23T20:33:00" u="1"/>
        <d v="2024-09-23T20:39:00" u="1"/>
        <d v="2024-10-07T13:24:00" u="1"/>
        <d v="2024-10-24T19:04:00" u="1"/>
        <d v="2024-10-30T21:57:00" u="1"/>
        <d v="2024-11-08T12:14:00" u="1"/>
        <d v="2024-11-13T00:58:00" u="1"/>
        <d v="2024-11-13T20:08:00" u="1"/>
        <d v="2024-11-22T23:11:00" u="1"/>
        <d v="2024-11-23T16:16:00" u="1"/>
        <d v="2024-11-25T17:11:00" u="1"/>
        <d v="2024-11-25T23:33:00" u="1"/>
        <d v="2024-11-26T11:09:00" u="1"/>
        <d v="2024-11-26T11:26:00" u="1"/>
        <d v="2024-11-26T17:34:00" u="1"/>
        <d v="2024-11-29T19:57:00" u="1"/>
        <d v="2024-11-29T19:58:00" u="1"/>
        <d v="2024-12-06T15:45:00" u="1"/>
        <d v="2024-12-06T20:41:00" u="1"/>
        <d v="2024-12-09T15:56:00" u="1"/>
        <d v="2024-12-09T16:08:00" u="1"/>
        <d v="2024-12-09T21:57:00" u="1"/>
        <d v="2024-12-11T17:30:00" u="1"/>
        <d v="2024-12-11T17:31:00" u="1"/>
        <d v="2024-12-12T17:18:00" u="1"/>
        <d v="2024-12-19T19:05:00" u="1"/>
        <d v="2024-12-20T19:29:00" u="1"/>
        <d v="2024-12-31T16:53:00" u="1"/>
        <d v="2025-01-06T12:49:00" u="1"/>
        <d v="2025-01-08T19:36:00" u="1"/>
        <d v="2025-01-13T22:13:00" u="1"/>
        <d v="2025-01-16T17:37:00" u="1"/>
        <d v="2025-02-05T16:48:00" u="1"/>
        <d v="2025-02-05T22:45:00" u="1"/>
        <d v="2025-02-05T22:46:00" u="1"/>
        <d v="2025-02-06T23:02:00" u="1"/>
        <d v="2025-02-06T23:04:00" u="1"/>
        <d v="2025-02-10T12:31:00" u="1"/>
        <d v="2025-02-19T09:15:00" u="1"/>
        <d v="2025-02-14T20:09:00" u="1"/>
        <d v="2025-02-14T20:08:00" u="1"/>
        <d v="2025-02-12T19:09:00" u="1"/>
        <d v="2025-02-14T14:06:00" u="1"/>
        <d v="2025-02-13T19:27:00" u="1"/>
        <d v="2025-02-17T20:49:00" u="1"/>
        <d v="2025-02-17T20:48:00" u="1"/>
        <d v="2025-02-18T15:25:00" u="1"/>
        <d v="2025-02-20T15:56:00" u="1"/>
        <d v="2025-02-21T22:12:00" u="1"/>
        <d v="2025-02-21T22:11:00" u="1"/>
        <d v="2025-02-21T22:06:00" u="1"/>
        <d v="2025-02-21T22:05:00" u="1"/>
        <d v="2025-02-24T17:09:00" u="1"/>
        <d v="2025-02-07T14:17:00" u="1"/>
        <d v="2025-02-11T12:42:00" u="1"/>
        <d v="2025-02-11T18:55:00" u="1"/>
        <d v="2025-02-13T19:31:00" u="1"/>
        <d v="2025-02-14T13:51:00" u="1"/>
        <d v="2025-02-13T19:29:00" u="1"/>
        <d v="2025-02-21T17:40:00" u="1"/>
        <d v="2025-02-25T18:14:00" u="1"/>
        <d v="2025-02-27T19:05:00" u="1"/>
        <d v="2025-02-26T17:44:00" u="1"/>
        <d v="2025-02-26T23:39:00" u="1"/>
        <d v="2025-02-27T12:03:00" u="1"/>
        <d v="2025-02-27T12:02:00" u="1"/>
        <d v="2025-02-27T12:01:00" u="1"/>
        <d v="2025-02-27T18:10:00" u="1"/>
        <d v="2025-02-28T06:09:00" u="1"/>
        <d v="2025-02-28T00:01:00" u="1"/>
        <d v="2025-02-28T00:00:00" u="1"/>
        <d v="2025-03-05T20:02:00" u="1"/>
        <d v="2025-03-05T20:01:00" u="1"/>
        <d v="2025-03-05T20:00:00" u="1"/>
        <d v="2025-03-05T19:59:00" u="1"/>
        <d v="2025-03-06T14:24:00" u="1"/>
        <d v="2025-02-27T18:46:00" u="1"/>
        <d v="2024-01-31T22:01:00" u="1"/>
        <d v="2024-05-23T22:23:00" u="1"/>
        <d v="2024-06-20T19:18:00" u="1"/>
        <d v="2024-09-11T16:19:00" u="1"/>
        <d v="2024-09-12T23:10:00" u="1"/>
        <d v="2024-09-13T11:27:00" u="1"/>
        <d v="2024-10-11T21:00:00" u="1"/>
        <d v="2024-10-14T15:19:00" u="1"/>
        <d v="2024-10-21T09:41:00" u="1"/>
        <d v="2024-10-26T02:39:00" u="1"/>
        <d v="2024-11-07T19:13:00" u="1"/>
        <d v="2024-11-08T00:20:00" u="1"/>
        <d v="2024-11-08T12:29:00" u="1"/>
        <d v="2024-11-14T14:00:00" u="1"/>
        <d v="2024-11-14T20:30:00" u="1"/>
        <d v="2024-11-26T23:37:00" u="1"/>
        <d v="2024-11-28T19:47:00" u="1"/>
        <d v="2024-11-29T06:22:00" u="1"/>
        <d v="2024-11-29T06:23:00" u="1"/>
        <d v="2024-12-03T15:09:00" u="1"/>
        <d v="2024-12-03T15:12:00" u="1"/>
        <d v="2024-12-09T11:58:00" u="1"/>
        <d v="2024-12-09T11:59:00" u="1"/>
        <d v="2024-12-09T12:00:00" u="1"/>
        <d v="2025-01-07T19:51:00" u="1"/>
        <d v="2025-01-15T11:04:00" u="1"/>
        <d v="2025-01-17T12:17:00" u="1"/>
        <d v="2025-01-20T11:42:00" u="1"/>
        <d v="2025-01-23T12:51:00" u="1"/>
        <d v="2025-01-31T21:13:00" u="1"/>
        <d v="2025-02-05T10:52:00" u="1"/>
        <d v="2025-02-05T11:55:00" u="1"/>
        <d v="2025-02-05T16:41:00" u="1"/>
        <d v="2025-02-06T17:53:00" u="1"/>
        <d v="2025-02-06T21:57:00" u="1"/>
        <d v="2025-02-06T22:50:00" u="1"/>
        <d v="2025-02-10T19:34:00" u="1"/>
        <d v="2025-02-10T19:43:00" u="1"/>
        <d v="2025-02-10T19:44:00" u="1"/>
        <d v="2025-02-10T20:37:00" u="1"/>
        <d v="2025-02-24T15:07:00" u="1"/>
        <d v="2025-02-24T17:10:00" u="1"/>
        <d v="2025-02-24T17:18:00" u="1"/>
        <d v="2025-02-21T17:23:00" u="1"/>
        <d v="2025-02-24T13:08:00" u="1"/>
        <d v="2025-02-25T09:37:00" u="1"/>
        <d v="2025-02-24T17:01:00" u="1"/>
        <d v="2025-02-21T17:24:00" u="1"/>
        <d v="2025-02-24T19:02:00" u="1"/>
        <d v="2025-02-20T22:13:00" u="1"/>
        <d v="2025-02-21T22:59:00" u="1"/>
        <d v="2025-02-24T18:02:00" u="1"/>
        <d v="2025-02-24T23:19:00" u="1"/>
        <d v="2025-02-21T17:52:00" u="1"/>
        <d v="2025-02-13T20:19:00" u="1"/>
        <d v="2025-02-21T17:51:00" u="1"/>
        <d v="2025-02-21T09:58:00" u="1"/>
        <d v="2025-02-21T09:56:00" u="1"/>
        <d v="2025-02-21T16:30:00" u="1"/>
        <d v="2025-02-20T22:23:00" u="1"/>
        <d v="2025-02-21T22:54:00" u="1"/>
        <d v="2025-02-24T17:57:00" u="1"/>
        <d v="2025-02-24T23:18:00" u="1"/>
        <d v="2025-02-21T10:06:00" u="1"/>
        <d v="2025-02-24T23:14:00" u="1"/>
        <d v="2025-02-24T11:29:00" u="1"/>
        <d v="2025-02-21T16:15:00" u="1"/>
        <d v="2025-02-21T17:41:00" u="1"/>
        <d v="2025-02-24T17:53:00" u="1"/>
        <d v="2025-02-20T21:43:00" u="1"/>
      </sharedItems>
      <fieldGroup par="19"/>
    </cacheField>
    <cacheField name="DATAREENVIO" numFmtId="0">
      <sharedItems containsNonDate="0" containsDate="1" containsString="0" containsBlank="1" minDate="2024-03-11T22:13:00" maxDate="2025-06-17T10:36:00"/>
    </cacheField>
    <cacheField name="TIPOERRO" numFmtId="0">
      <sharedItems containsBlank="1"/>
    </cacheField>
    <cacheField name="MOTIVO DO ERRO" numFmtId="0">
      <sharedItems containsBlank="1" count="40">
        <s v="TAG - ITEM VEÍCULO"/>
        <s v="RLOC NÃO INFORMADO"/>
        <s v="FORMATO DE TEXTO"/>
        <s v="REMARK - DATA INCORRETA"/>
        <s v="TAG - ITEM AEREO"/>
        <s v="DADOS DO CARTÃO"/>
        <s v="VENDA CANCELADA"/>
        <s v="ERRO DE SQL"/>
        <s v="CENTRO DE CUSTO"/>
        <s v="TAG - ITEM HOTEL"/>
        <s v="CONTRATO FORNECEDOR"/>
        <s v="ERRO NO XML"/>
        <s v="REMARK - CNPJ"/>
        <s v="CÓD. CLIENTE DIVERGENTE"/>
        <s v="CLIENTE NÃO IDENTIFICADO"/>
        <s v="ASSENTO / BAGAGEM"/>
        <s v="CONFIGURAÇÃO OBT/ BENNER"/>
        <s v="NOVA MENSAGEM"/>
        <s v="Nº DE CARACTERES EXCEDIDO"/>
        <s v="Nº DO VOO"/>
        <s v="BANDEIRA DO CARTÃO"/>
        <s v="CANAL DE VENDA NÃO IDENTIFICADO"/>
        <s v="COTAÇÃO"/>
        <s v="EMISSOR DE CÓDIGO"/>
        <m/>
        <s v="AGENTE INATIVO" u="1"/>
        <s v="INDEFINIDO" u="1"/>
        <s v="VALIDADE CARTÃO" u="1"/>
        <s v="PAGAMENTO NÃO INFORMADO" u="1"/>
        <s v="CONTRATO NÃO LOCALIZADO" u="1"/>
        <s v="OUT OF MEMORY" u="1"/>
        <s v="ERRO NO REMARK" u="1"/>
        <s v="FORNECEDOR NÃO LOCALIZADO" u="1"/>
        <s v="PARÂMETRO INCORRETO" u="1"/>
        <s v="CNPJ INCORRETO" u="1"/>
        <s v="ITEM VEÍCULO" u="1"/>
        <s v="REMARK: DATA INCORRETA" u="1"/>
        <s v="TAG ITEM AEREO" u="1"/>
        <s v="FORMA PAGAMENTO/RECEB" u="1"/>
        <s v="CAMPO VAZIO" u="1"/>
      </sharedItems>
    </cacheField>
    <cacheField name="DETALHES DO ERRO" numFmtId="0">
      <sharedItems containsBlank="1"/>
    </cacheField>
    <cacheField name="CATEGORIA DO ERRO" numFmtId="0">
      <sharedItems containsBlank="1"/>
    </cacheField>
    <cacheField name="RESPONSÁVEL" numFmtId="0">
      <sharedItems containsBlank="1" count="6">
        <s v="SUPORTE OBT"/>
        <s v="OPERAÇÕES / SUPORTE KCS"/>
        <s v="SUPORTE BENNER"/>
        <e v="#N/A"/>
        <m/>
        <s v="OPERAÇÕES" u="1"/>
      </sharedItems>
    </cacheField>
    <cacheField name="PROC TXT" numFmtId="0">
      <sharedItems containsBlank="1" containsMixedTypes="1" containsNumber="1" containsInteger="1" minValue="1" maxValue="163"/>
    </cacheField>
    <cacheField name="Meses (DATAENVIO)" numFmtId="0" databaseField="0">
      <fieldGroup base="9">
        <rangePr groupBy="months" startDate="2024-01-04T16:07:00" endDate="2025-06-17T10:37:00"/>
        <groupItems count="14">
          <s v="&lt;04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06/2025"/>
        </groupItems>
      </fieldGroup>
    </cacheField>
    <cacheField name="Trimestres (DATAENVIO)" numFmtId="0" databaseField="0">
      <fieldGroup base="9">
        <rangePr groupBy="quarters" startDate="2024-01-04T16:07:00" endDate="2025-06-17T10:37:00"/>
        <groupItems count="6">
          <s v="&lt;04/01/2024"/>
          <s v="Trim1"/>
          <s v="Trim2"/>
          <s v="Trim3"/>
          <s v="Trim4"/>
          <s v="&gt;17/06/2025"/>
        </groupItems>
      </fieldGroup>
    </cacheField>
    <cacheField name="Anos (DATAENVIO)" numFmtId="0" databaseField="0">
      <fieldGroup base="9">
        <rangePr groupBy="years" startDate="2024-01-04T16:07:00" endDate="2025-06-17T10:37:00"/>
        <groupItems count="4">
          <s v="&lt;04/01/2024"/>
          <s v="2024"/>
          <s v="2025"/>
          <s v="&gt;17/06/2025"/>
        </groupItems>
      </fieldGroup>
    </cacheField>
  </cacheFields>
  <extLst>
    <ext xmlns:x14="http://schemas.microsoft.com/office/spreadsheetml/2009/9/main" uri="{725AE2AE-9491-48be-B2B4-4EB974FC3084}">
      <x14:pivotCacheDefinition pivotCacheId="83662335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Vitor Moreira" refreshedDate="45825.71649097222" createdVersion="8" refreshedVersion="8" minRefreshableVersion="3" recordCount="2253" xr:uid="{2A22C057-9C3A-4940-AEF6-37D6595BF181}">
  <cacheSource type="worksheet">
    <worksheetSource ref="D1:Q1048576" sheet="Base"/>
  </cacheSource>
  <cacheFields count="17">
    <cacheField name="HANDLE" numFmtId="0">
      <sharedItems containsString="0" containsBlank="1" containsNumber="1" containsInteger="1" minValue="2438691" maxValue="3486189"/>
    </cacheField>
    <cacheField name="OBT" numFmtId="0">
      <sharedItems containsBlank="1"/>
    </cacheField>
    <cacheField name="DATARESERVA" numFmtId="0">
      <sharedItems containsNonDate="0" containsDate="1" containsString="0" containsBlank="1" minDate="2023-04-10T19:13:00" maxDate="2025-06-16T17:36:00" count="5915">
        <d v="2024-01-03T15:12:00"/>
        <d v="2024-01-05T18:43:00"/>
        <d v="2024-01-17T16:04:00"/>
        <d v="2024-01-19T15:32:00"/>
        <d v="2024-01-24T16:05:00"/>
        <d v="2024-01-31T10:52:00"/>
        <d v="2024-01-30T09:14:00"/>
        <d v="2024-02-01T12:47:00"/>
        <d v="2024-02-14T15:34:00"/>
        <d v="2024-02-16T08:21:00"/>
        <d v="2024-02-16T11:01:00"/>
        <d v="2024-02-19T14:01:00"/>
        <d v="2024-02-19T18:00:00"/>
        <d v="2024-02-21T09:57:00"/>
        <d v="2024-02-23T09:48:00"/>
        <d v="2024-02-27T09:57:00"/>
        <d v="2024-03-04T14:13:00"/>
        <d v="2024-03-08T14:08:00"/>
        <d v="2024-03-08T15:18:00"/>
        <d v="2024-03-08T19:43:00"/>
        <d v="2024-03-14T09:21:00"/>
        <d v="2024-03-15T08:53:00"/>
        <d v="2024-03-16T08:52:00"/>
        <d v="2024-03-19T08:32:00"/>
        <d v="2024-03-19T13:15:00"/>
        <d v="2024-03-21T15:05:00"/>
        <d v="2024-03-22T10:28:00"/>
        <d v="2024-03-22T14:57:00"/>
        <d v="2024-03-25T15:04:00"/>
        <d v="2024-03-26T10:21:00"/>
        <d v="2024-03-27T18:00:00"/>
        <d v="2024-03-28T20:16:00"/>
        <d v="2024-03-28T20:21:00"/>
        <d v="2024-03-28T20:24:00"/>
        <d v="2024-03-28T20:30:00"/>
        <d v="2024-04-03T10:03:00"/>
        <d v="2024-04-03T17:09:00"/>
        <d v="2024-04-04T15:32:00"/>
        <d v="2024-04-04T16:54:00"/>
        <d v="2024-04-05T16:02:00"/>
        <d v="2024-04-09T10:06:00"/>
        <d v="2024-04-05T09:33:00"/>
        <d v="2024-04-08T08:02:00"/>
        <d v="2024-04-11T11:01:00"/>
        <d v="2024-04-12T17:39:00"/>
        <d v="2024-04-15T15:37:00"/>
        <d v="2024-04-18T16:25:00"/>
        <d v="2024-04-19T09:07:00"/>
        <d v="2024-04-22T17:17:00"/>
        <d v="2024-04-24T14:08:00"/>
        <d v="2024-05-06T11:48:00"/>
        <d v="2024-05-08T14:28:00"/>
        <d v="2024-05-09T16:46:00"/>
        <d v="2024-05-20T14:10:00"/>
        <d v="2024-05-21T15:10:00"/>
        <d v="2024-05-21T15:13:00"/>
        <d v="2024-05-21T15:24:00"/>
        <d v="2024-05-29T14:23:00"/>
        <d v="2024-06-03T17:35:00"/>
        <d v="2024-06-04T10:18:00"/>
        <d v="2024-06-04T10:34:00"/>
        <d v="2024-06-06T15:56:00"/>
        <d v="2024-06-10T17:18:00"/>
        <d v="2025-05-13T07:29:00"/>
        <d v="2024-06-20T14:16:00"/>
        <d v="2024-06-24T18:49:00"/>
        <d v="2024-06-26T10:12:00"/>
        <d v="2024-06-27T11:05:00"/>
        <d v="2024-07-08T09:36:00"/>
        <d v="2024-07-08T09:41:00"/>
        <d v="2024-07-15T09:55:00"/>
        <d v="2024-07-15T14:08:00"/>
        <d v="2024-07-19T11:21:00"/>
        <d v="2024-07-19T16:33:00"/>
        <d v="2024-07-23T15:05:00"/>
        <d v="2024-07-23T17:59:00"/>
        <d v="2024-07-04T09:15:00"/>
        <d v="2024-07-26T08:58:00"/>
        <d v="2024-08-01T10:34:00"/>
        <d v="2024-08-01T16:10:00"/>
        <d v="2024-07-29T14:52:00"/>
        <d v="2024-08-05T17:34:00"/>
        <d v="2024-08-05T13:17:00"/>
        <d v="2023-10-11T16:32:00"/>
        <d v="2023-10-18T14:40:00"/>
        <d v="2023-10-18T14:42:00"/>
        <d v="2023-10-18T14:44:00"/>
        <d v="2023-10-18T14:51:00"/>
        <d v="2023-11-05T10:32:00"/>
        <d v="2023-12-08T12:34:00"/>
        <d v="2023-04-10T19:13:00"/>
        <d v="2023-10-06T17:19:00"/>
        <d v="2023-10-26T08:35:00"/>
        <d v="2023-11-18T13:26:00"/>
        <d v="2023-11-19T20:54:00"/>
        <d v="2023-11-29T21:52:00"/>
        <d v="2023-12-12T10:18:00"/>
        <d v="2023-12-20T11:24:00"/>
        <d v="2024-08-12T08:48:00"/>
        <d v="2024-08-13T13:23:00"/>
        <d v="2024-08-15T11:35:00"/>
        <d v="2024-08-15T16:04:00"/>
        <d v="2024-01-03T16:43:00"/>
        <d v="2024-03-07T16:33:00"/>
        <d v="2024-03-09T09:53:00"/>
        <d v="2024-03-28T12:33:00"/>
        <d v="2024-05-21T21:38:00"/>
        <d v="2024-07-08T17:50:00"/>
        <d v="2024-07-11T10:34:00"/>
        <d v="2024-07-19T09:08:00"/>
        <d v="2024-08-23T15:40:00"/>
        <d v="2024-08-23T10:11:00"/>
        <d v="2024-08-26T11:43:00"/>
        <d v="2024-08-26T15:21:00"/>
        <d v="2024-08-26T14:31:00"/>
        <d v="2024-08-27T07:39:00"/>
        <d v="2024-08-28T09:24:00"/>
        <d v="2024-09-02T09:32:00"/>
        <d v="2024-09-02T10:18:00"/>
        <d v="2024-09-02T13:28:00"/>
        <d v="2024-08-30T11:24:00"/>
        <d v="2024-08-22T08:33:00"/>
        <d v="2024-09-04T15:01:00"/>
        <d v="2024-09-02T10:25:00"/>
        <d v="2024-08-26T08:57:00"/>
        <d v="2024-09-04T10:29:00"/>
        <d v="2024-08-30T16:55:00"/>
        <d v="2024-09-09T15:11:00"/>
        <d v="2024-09-05T10:55:00"/>
        <d v="2024-09-09T16:20:00"/>
        <d v="2024-09-02T15:15:00"/>
        <d v="2024-09-11T08:28:00"/>
        <d v="2024-09-13T15:43:00"/>
        <d v="2024-09-16T11:33:00"/>
        <d v="2024-09-16T08:55:00"/>
        <d v="2024-09-17T12:15:00"/>
        <d v="2024-09-18T17:56:00"/>
        <d v="2024-09-23T10:56:00"/>
        <d v="2024-09-24T13:39:00"/>
        <d v="2024-09-23T11:36:00"/>
        <d v="2024-09-27T20:28:00"/>
        <d v="2024-09-30T08:30:00"/>
        <d v="2024-09-30T10:24:00"/>
        <d v="2024-09-25T11:19:00"/>
        <d v="2024-09-30T15:46:00"/>
        <d v="2024-09-30T15:57:00"/>
        <d v="2024-09-30T16:09:00"/>
        <d v="2024-10-01T09:25:00"/>
        <d v="2024-10-01T15:11:00"/>
        <d v="2024-10-01T18:15:00"/>
        <d v="2024-10-01T18:18:00"/>
        <d v="2024-10-02T11:07:00"/>
        <d v="2024-09-26T00:10:00"/>
        <d v="2024-10-04T14:19:00"/>
        <d v="2024-10-04T15:26:00"/>
        <d v="2024-10-08T14:20:00"/>
        <d v="2024-10-11T08:25:00"/>
        <d v="2024-07-04T09:44:00"/>
        <d v="2024-10-17T14:30:00"/>
        <d v="2024-10-17T15:25:00"/>
        <d v="2024-08-29T15:39:00"/>
        <d v="2024-10-21T18:15:00"/>
        <d v="2024-10-22T21:15:00"/>
        <d v="2024-10-23T11:34:00"/>
        <d v="2024-10-25T08:56:00"/>
        <d v="2024-10-25T16:39:00"/>
        <d v="2024-10-25T16:44:00"/>
        <d v="2024-10-28T10:50:00"/>
        <d v="2024-10-29T12:11:00"/>
        <d v="2024-10-03T11:51:00"/>
        <d v="2024-11-01T11:06:00"/>
        <d v="2024-11-01T17:43:00"/>
        <d v="2024-07-15T17:14:00"/>
        <d v="2024-11-04T19:23:00"/>
        <d v="2024-11-07T12:26:00"/>
        <d v="2024-11-08T15:07:00"/>
        <d v="2024-11-11T09:59:00"/>
        <d v="2024-11-18T10:52:00"/>
        <d v="2024-11-18T11:54:00"/>
        <d v="2024-11-19T15:06:00"/>
        <d v="2024-11-22T14:57:00"/>
        <d v="2024-11-26T12:27:00"/>
        <d v="2024-10-07T12:21:00"/>
        <d v="2024-11-27T09:39:00"/>
        <d v="2024-11-28T10:14:00"/>
        <d v="2024-12-02T19:39:00"/>
        <d v="2024-11-28T11:17:00"/>
        <d v="2024-11-28T11:28:00"/>
        <d v="2024-12-04T14:07:00"/>
        <d v="2024-12-04T18:58:00"/>
        <d v="2024-12-06T15:32:00"/>
        <d v="2024-12-09T14:51:00"/>
        <d v="2024-12-10T09:30:00"/>
        <d v="2024-12-13T10:19:00"/>
        <d v="2024-12-13T10:10:00"/>
        <d v="2024-12-13T15:32:00"/>
        <d v="2024-12-17T00:31:00"/>
        <d v="2024-12-31T12:22:00"/>
        <d v="2025-02-20T17:11:00"/>
        <d v="2025-01-02T12:24:00"/>
        <d v="2025-01-02T15:00:00"/>
        <d v="2025-01-03T08:29:00"/>
        <d v="2025-01-02T08:50:00"/>
        <d v="2025-01-03T15:02:00"/>
        <d v="2025-01-03T14:52:00"/>
        <d v="2025-01-03T17:09:00"/>
        <d v="2025-01-06T08:12:00"/>
        <d v="2025-01-06T12:53:00"/>
        <d v="2025-01-06T17:25:00"/>
        <d v="2025-01-08T08:37:00"/>
        <d v="2025-01-07T14:13:00"/>
        <d v="2025-01-07T14:47:00"/>
        <d v="2025-01-07T17:31:00"/>
        <d v="2025-01-08T04:57:00"/>
        <d v="2025-01-08T08:54:00"/>
        <d v="2025-01-08T12:46:00"/>
        <d v="2025-01-08T13:46:00"/>
        <d v="2025-02-07T13:36:00"/>
        <d v="2025-01-08T15:00:00"/>
        <d v="2025-01-08T17:19:00"/>
        <d v="2025-01-09T08:48:00"/>
        <d v="2025-01-09T11:44:00"/>
        <d v="2025-01-09T12:59:00"/>
        <d v="2025-01-09T13:26:00"/>
        <d v="2025-01-09T16:34:00"/>
        <d v="2025-01-31T17:03:00"/>
        <d v="2025-01-09T17:16:00"/>
        <d v="2025-01-10T07:09:00"/>
        <d v="2025-02-06T10:30:00"/>
        <d v="2025-02-06T10:08:00"/>
        <d v="2025-01-10T08:26:00"/>
        <d v="2025-01-10T10:17:00"/>
        <d v="2025-01-10T11:31:00"/>
        <d v="2025-01-10T12:57:00"/>
        <d v="2025-01-10T13:00:00"/>
        <d v="2025-01-10T13:27:00"/>
        <d v="2025-02-10T17:31:00"/>
        <d v="2025-01-10T15:44:00"/>
        <d v="2025-02-24T07:22:00"/>
        <d v="2025-01-10T17:52:00"/>
        <d v="2025-01-10T17:32:00"/>
        <d v="2025-01-13T08:50:00"/>
        <d v="2025-01-13T10:25:00"/>
        <d v="2025-01-13T11:05:00"/>
        <d v="2025-01-13T11:08:00"/>
        <d v="2025-01-13T17:08:00"/>
        <d v="2025-01-14T06:58:00"/>
        <d v="2025-01-13T17:29:00"/>
        <d v="2025-01-14T09:12:00"/>
        <d v="2025-01-14T09:11:00"/>
        <d v="2025-01-14T09:10:00"/>
        <d v="2025-01-14T13:15:00"/>
        <d v="2025-01-14T14:36:00"/>
        <d v="2025-01-14T15:11:00"/>
        <d v="2025-01-10T10:54:00"/>
        <d v="2025-01-20T17:21:00"/>
        <d v="2025-01-14T17:05:00"/>
        <d v="2025-01-15T08:20:00"/>
        <d v="2025-01-15T14:14:00"/>
        <d v="2025-01-15T14:23:00"/>
        <d v="2025-01-15T14:44:00"/>
        <d v="2025-01-15T15:28:00"/>
        <d v="2025-03-07T17:41:00"/>
        <d v="2025-01-15T17:33:00"/>
        <d v="2025-01-17T17:29:00"/>
        <d v="2025-01-16T09:24:00"/>
        <d v="2025-01-16T17:35:00"/>
        <d v="2025-01-17T08:35:00"/>
        <d v="2025-01-17T12:56:00"/>
        <d v="2025-01-17T13:19:00"/>
        <d v="2025-01-17T13:41:00"/>
        <d v="2025-01-20T15:11:00"/>
        <d v="2025-01-20T14:04:00"/>
        <d v="2025-01-20T12:04:00"/>
        <d v="2025-01-21T12:39:00"/>
        <d v="2025-01-21T13:04:00"/>
        <d v="2025-01-21T15:03:00"/>
        <d v="2025-01-21T17:17:00"/>
        <d v="2025-01-22T06:52:00"/>
        <d v="2025-01-22T08:29:00"/>
        <d v="2025-01-22T11:45:00"/>
        <d v="2025-01-22T16:03:00"/>
        <d v="2025-01-22T13:05:00"/>
        <d v="2025-01-22T16:30:00"/>
        <d v="2025-01-22T16:36:00"/>
        <d v="2025-01-22T17:15:00"/>
        <d v="2025-01-23T08:44:00"/>
        <d v="2025-01-23T14:37:00"/>
        <d v="2025-01-23T12:44:00"/>
        <d v="2025-01-23T16:08:00"/>
        <d v="2025-01-23T11:05:00"/>
        <d v="2025-01-23T16:35:00"/>
        <d v="2025-01-24T17:24:00"/>
        <d v="2025-01-24T11:01:00"/>
        <d v="2025-01-24T14:12:00"/>
        <d v="2025-01-27T11:22:00"/>
        <d v="2025-01-31T11:27:00"/>
        <d v="2025-01-27T13:18:00"/>
        <d v="2025-01-27T14:19:00"/>
        <d v="2025-01-27T16:12:00"/>
        <d v="2025-01-27T15:52:00"/>
        <d v="2025-01-28T13:00:00"/>
        <d v="2025-01-28T06:36:00"/>
        <d v="2025-02-03T17:01:00"/>
        <d v="2025-01-28T12:50:00"/>
        <d v="2025-01-28T15:01:00"/>
        <d v="2025-01-28T16:06:00"/>
        <d v="2025-01-29T06:26:00"/>
        <d v="2025-01-29T10:15:00"/>
        <d v="2025-01-29T14:07:00"/>
        <d v="2025-01-30T14:29:00"/>
        <d v="2025-01-30T15:33:00"/>
        <d v="2025-01-30T16:43:00"/>
        <d v="2025-01-30T18:10:00"/>
        <d v="2025-01-30T18:16:00"/>
        <d v="2025-01-31T06:06:00"/>
        <d v="2025-01-31T08:15:00"/>
        <d v="2025-01-31T08:39:00"/>
        <d v="2025-01-31T11:36:00"/>
        <d v="2025-01-31T12:15:00"/>
        <d v="2025-02-04T14:00:00"/>
        <d v="2025-02-03T09:01:00"/>
        <d v="2025-02-03T11:32:00"/>
        <d v="2025-02-03T12:12:00"/>
        <d v="2025-02-03T11:13:00"/>
        <d v="2025-02-04T07:53:00"/>
        <d v="2025-02-03T17:39:00"/>
        <d v="2025-02-04T08:43:00"/>
        <d v="2025-02-04T09:22:00"/>
        <d v="2025-02-04T11:55:00"/>
        <d v="2025-02-04T13:08:00"/>
        <d v="2025-02-04T13:43:00"/>
        <d v="2025-02-04T13:55:00"/>
        <d v="2025-02-04T15:53:00"/>
        <d v="2025-02-04T17:19:00"/>
        <d v="2025-02-04T20:37:00"/>
        <d v="2025-02-04T19:08:00"/>
        <d v="2025-02-05T09:31:00"/>
        <d v="2025-02-05T06:18:00"/>
        <d v="2025-02-05T10:16:00"/>
        <d v="2025-02-05T08:23:00"/>
        <d v="2025-02-05T12:49:00"/>
        <d v="2025-02-05T10:38:00"/>
        <d v="2025-02-05T13:31:00"/>
        <d v="2025-02-05T19:09:00"/>
        <d v="2025-02-05T14:27:00"/>
        <d v="2025-02-07T05:38:00"/>
        <d v="2025-02-09T07:46:00"/>
        <d v="2025-02-05T14:55:00"/>
        <d v="2025-02-05T15:48:00"/>
        <d v="2025-02-06T06:34:00"/>
        <d v="2025-02-06T09:36:00"/>
        <d v="2025-02-06T07:30:00"/>
        <d v="2025-02-06T11:22:00"/>
        <d v="2025-02-10T14:15:00"/>
        <d v="2025-03-24T14:10:00"/>
        <d v="2025-02-06T13:16:00"/>
        <d v="2025-02-06T16:45:00"/>
        <d v="2025-02-07T06:30:00"/>
        <d v="2025-02-07T06:31:00"/>
        <d v="2025-02-07T08:42:00"/>
        <d v="2025-02-07T12:46:00"/>
        <d v="2025-02-07T17:21:00"/>
        <d v="2025-02-07T19:17:00"/>
        <d v="2025-02-07T17:32:00"/>
        <d v="2025-02-10T05:40:00"/>
        <d v="2025-02-10T08:26:00"/>
        <d v="2025-02-10T13:44:00"/>
        <d v="2025-02-10T21:06:00"/>
        <d v="2024-06-21T18:44:00"/>
        <d v="2024-06-25T14:24:00"/>
        <d v="2024-06-28T10:35:00"/>
        <d v="2024-07-04T10:13:00"/>
        <d v="2024-07-04T16:18:00"/>
        <d v="2025-02-11T11:00:00"/>
        <d v="2025-02-11T08:51:00"/>
        <d v="2025-02-11T13:31:00"/>
        <d v="2025-02-11T14:01:00"/>
        <d v="2025-02-11T15:34:00"/>
        <d v="2025-02-11T17:42:00"/>
        <d v="2025-02-14T14:10:00"/>
        <d v="2025-02-12T08:58:00"/>
        <d v="2025-02-12T09:22:00"/>
        <d v="2025-02-13T15:44:00"/>
        <d v="2025-02-12T09:50:00"/>
        <d v="2025-02-12T13:31:00"/>
        <d v="2025-02-25T06:27:00"/>
        <d v="2025-02-13T09:11:00"/>
        <d v="2025-02-13T09:20:00"/>
        <d v="2025-02-14T08:03:00"/>
        <d v="2025-02-13T21:33:00"/>
        <d v="2025-02-14T09:53:00"/>
        <d v="2025-02-17T12:05:00"/>
        <d v="2025-02-13T19:05:00"/>
        <d v="2025-02-14T07:05:00"/>
        <d v="2025-02-14T09:31:00"/>
        <d v="2025-02-14T09:32:00"/>
        <d v="2025-02-17T07:44:00"/>
        <d v="2025-02-14T14:00:00"/>
        <d v="2025-02-17T07:42:00"/>
        <d v="2025-02-17T07:31:00"/>
        <d v="2025-02-14T18:22:00"/>
        <d v="2025-02-17T07:36:00"/>
        <d v="2025-02-17T07:43:00"/>
        <d v="2025-02-17T07:39:00"/>
        <d v="2025-02-17T06:43:00"/>
        <d v="2025-02-17T06:32:00"/>
        <d v="2025-02-17T07:25:00"/>
        <d v="2025-02-17T07:47:00"/>
        <d v="2025-02-17T10:20:00"/>
        <d v="2025-02-21T09:29:00"/>
        <d v="2025-02-18T09:08:00"/>
        <d v="2025-02-17T14:54:00"/>
        <d v="2025-02-17T15:29:00"/>
        <d v="2025-02-17T15:41:00"/>
        <d v="2025-02-17T15:50:00"/>
        <d v="2025-02-18T07:39:00"/>
        <d v="2025-02-18T07:40:00"/>
        <d v="2025-02-17T18:29:00"/>
        <d v="2025-02-18T08:36:00"/>
        <d v="2025-02-18T16:14:00"/>
        <d v="2025-02-19T05:13:00"/>
        <d v="2025-02-19T05:57:00"/>
        <d v="2025-02-18T12:13:00"/>
        <d v="2025-02-19T08:57:00"/>
        <d v="2025-02-19T10:10:00"/>
        <d v="2025-02-20T05:07:00"/>
        <d v="2025-02-19T15:58:00"/>
        <d v="2025-02-19T17:24:00"/>
        <d v="2025-02-19T12:25:00"/>
        <d v="2025-01-09T19:05:00"/>
        <d v="2025-02-20T09:54:00"/>
        <d v="2025-02-21T05:20:00"/>
        <d v="2025-02-20T10:01:00"/>
        <d v="2025-02-20T11:45:00"/>
        <d v="2025-02-20T12:25:00"/>
        <d v="2025-02-21T05:18:00"/>
        <d v="2025-02-20T18:14:00"/>
        <d v="2025-02-21T05:17:00"/>
        <d v="2025-02-24T11:56:00"/>
        <d v="2025-02-21T10:54:00"/>
        <d v="2025-02-21T11:16:00"/>
        <d v="2025-02-21T10:32:00"/>
        <d v="2025-02-21T15:14:00"/>
        <d v="2025-02-24T10:14:00"/>
        <d v="2025-02-24T15:16:00"/>
        <d v="2025-02-24T18:28:00"/>
        <d v="2025-02-25T07:03:00"/>
        <d v="2025-02-25T09:59:00"/>
        <d v="2025-02-25T09:52:00"/>
        <d v="2025-02-25T13:43:00"/>
        <d v="2025-02-25T13:44:00"/>
        <d v="2025-02-25T17:03:00"/>
        <d v="2024-07-01T12:46:00"/>
        <d v="2024-07-01T12:51:00"/>
        <d v="2024-06-27T19:50:00"/>
        <d v="2024-11-25T09:52:00"/>
        <d v="2025-02-26T13:06:00"/>
        <d v="2025-02-26T10:37:00"/>
        <d v="2025-02-26T14:37:00"/>
        <d v="2025-02-26T14:48:00"/>
        <d v="2025-02-26T11:48:00"/>
        <d v="2025-03-05T18:12:00"/>
        <d v="2025-02-26T14:07:00"/>
        <d v="2025-02-26T15:57:00"/>
        <d v="2025-02-27T07:31:00"/>
        <d v="2025-02-27T07:00:00"/>
        <d v="2025-02-27T06:22:00"/>
        <d v="2025-02-27T06:23:00"/>
        <d v="2025-02-27T06:24:00"/>
        <d v="2025-02-27T06:25:00"/>
        <d v="2025-02-27T11:05:00"/>
        <d v="2025-02-27T12:36:00"/>
        <d v="2025-02-27T14:15:00"/>
        <d v="2025-02-27T15:12:00"/>
        <d v="2025-02-27T15:20:00"/>
        <d v="2025-02-27T16:33:00"/>
        <d v="2025-02-27T16:34:00"/>
        <d v="2025-02-27T17:52:00"/>
        <d v="2025-02-28T09:18:00"/>
        <d v="2025-02-28T14:06:00"/>
        <d v="2025-02-28T16:24:00"/>
        <d v="2025-02-28T16:06:00"/>
        <d v="2025-02-28T15:37:00"/>
        <d v="2025-02-28T15:47:00"/>
        <d v="2025-02-28T15:55:00"/>
        <d v="2025-03-05T06:58:00"/>
        <d v="2025-02-28T15:58:00"/>
        <d v="2025-02-28T15:59:00"/>
        <d v="2025-03-05T09:17:00"/>
        <d v="2025-03-05T07:06:00"/>
        <d v="2025-03-05T12:36:00"/>
        <d v="2025-03-06T06:48:00"/>
        <d v="2025-03-06T07:07:00"/>
        <d v="2025-03-06T07:12:00"/>
        <d v="2025-03-05T16:18:00"/>
        <d v="2025-03-05T14:42:00"/>
        <d v="2025-03-05T17:23:00"/>
        <d v="2025-03-06T12:27:00"/>
        <d v="2025-03-05T13:47:00"/>
        <d v="2025-03-06T07:14:00"/>
        <d v="2025-03-06T06:35:00"/>
        <d v="2025-03-06T06:36:00"/>
        <d v="2025-03-06T06:37:00"/>
        <d v="2025-03-06T09:51:00"/>
        <d v="2025-03-06T14:12:00"/>
        <d v="2025-03-06T14:13:00"/>
        <d v="2025-03-06T14:17:00"/>
        <d v="2025-03-07T16:05:00"/>
        <d v="2025-03-06T15:33:00"/>
        <d v="2025-03-06T15:35:00"/>
        <d v="2025-03-06T15:56:00"/>
        <d v="2025-03-07T07:58:00"/>
        <d v="2025-03-07T09:04:00"/>
        <d v="2025-03-07T09:53:00"/>
        <d v="2025-03-07T10:03:00"/>
        <d v="2025-03-07T10:04:00"/>
        <d v="2025-03-07T11:37:00"/>
        <d v="2025-03-07T13:19:00"/>
        <d v="2025-03-07T12:39:00"/>
        <d v="2025-03-07T16:19:00"/>
        <d v="2025-03-07T15:01:00"/>
        <d v="2025-03-07T15:10:00"/>
        <d v="2025-03-10T10:22:00"/>
        <d v="2025-03-10T15:26:00"/>
        <d v="2025-03-10T15:27:00"/>
        <d v="2025-03-07T17:26:00"/>
        <d v="2025-03-10T14:59:00"/>
        <d v="2025-03-11T09:04:00"/>
        <d v="2025-03-11T09:10:00"/>
        <d v="2025-03-11T09:21:00"/>
        <d v="2025-03-11T09:42:00"/>
        <d v="2025-03-11T18:30:00"/>
        <d v="2025-03-13T08:36:00"/>
        <d v="2025-03-10T10:18:00"/>
        <d v="2025-03-10T11:32:00"/>
        <d v="2025-03-18T16:43:00"/>
        <d v="2025-03-10T14:14:00"/>
        <d v="2025-03-10T17:23:00"/>
        <d v="2025-03-11T09:54:00"/>
        <d v="2025-03-11T17:21:00"/>
        <d v="2025-03-11T17:37:00"/>
        <d v="2025-03-11T11:28:00"/>
        <d v="2025-03-11T10:30:00"/>
        <d v="2025-03-11T11:30:00"/>
        <d v="2025-03-10T18:10:00"/>
        <d v="2025-03-10T19:07:00"/>
        <d v="2025-03-10T19:09:00"/>
        <d v="2025-03-10T15:52:00"/>
        <d v="2025-03-10T11:31:00"/>
        <d v="2025-03-11T09:17:00"/>
        <d v="2025-03-11T09:18:00"/>
        <d v="2025-03-12T10:00:00"/>
        <d v="2025-03-11T10:09:00"/>
        <d v="2025-03-11T11:14:00"/>
        <d v="2025-03-11T13:52:00"/>
        <d v="2025-03-11T13:53:00"/>
        <d v="2025-03-11T17:14:00"/>
        <d v="2025-03-12T14:29:00"/>
        <d v="2025-03-12T10:07:00"/>
        <d v="2025-03-12T14:34:00"/>
        <d v="2025-03-12T14:35:00"/>
        <d v="2025-03-12T14:39:00"/>
        <d v="2025-03-12T14:49:00"/>
        <d v="2025-03-12T09:42:00"/>
        <d v="2025-03-12T10:42:00"/>
        <d v="2025-03-12T09:56:00"/>
        <d v="2025-03-11T12:00:00"/>
        <d v="2025-03-12T10:44:00"/>
        <d v="2025-03-12T10:45:00"/>
        <d v="2025-03-13T07:34:00"/>
        <d v="2025-01-13T16:17:00"/>
        <d v="2025-03-12T13:54:00"/>
        <d v="2025-03-13T07:54:00"/>
        <d v="2025-03-13T08:57:00"/>
        <d v="2025-03-12T18:04:00"/>
        <d v="2025-03-13T14:29:00"/>
        <d v="2025-03-13T14:36:00"/>
        <d v="2025-03-13T15:12:00"/>
        <d v="2025-03-13T09:45:00"/>
        <d v="2025-03-13T15:18:00"/>
        <d v="2025-03-13T15:19:00"/>
        <d v="2025-03-13T07:22:00"/>
        <m/>
        <d v="2025-03-13T10:12:00"/>
        <d v="2025-03-13T10:13:00"/>
        <d v="2025-03-13T11:13:00"/>
        <d v="2025-03-13T12:13:00"/>
        <d v="2025-03-13T13:49:00"/>
        <d v="2025-03-14T09:48:00"/>
        <d v="2025-03-13T15:58:00"/>
        <d v="2025-03-13T15:59:00"/>
        <d v="2025-03-13T16:56:00"/>
        <d v="2025-03-14T13:28:00"/>
        <d v="2025-03-13T18:22:00"/>
        <d v="2025-03-14T13:49:00"/>
        <d v="2025-03-14T13:50:00"/>
        <d v="2025-03-14T05:34:00"/>
        <d v="2025-03-14T08:51:00"/>
        <d v="2025-03-14T08:52:00"/>
        <d v="2025-03-07T18:52:00"/>
        <d v="2025-03-17T10:50:00"/>
        <d v="2025-03-17T10:29:00"/>
        <d v="2025-03-14T11:21:00"/>
        <d v="2025-03-13T08:24:00"/>
        <d v="2025-03-14T14:45:00"/>
        <d v="2025-03-14T15:47:00"/>
        <d v="2025-03-17T12:44:00"/>
        <d v="2025-03-17T08:17:00"/>
        <d v="2025-03-14T17:53:00"/>
        <d v="2025-03-17T06:41:00"/>
        <d v="2025-03-17T13:18:00"/>
        <d v="2025-03-17T15:30:00"/>
        <d v="2025-03-17T15:59:00"/>
        <d v="2025-03-17T16:00:00"/>
        <d v="2025-03-17T16:04:00"/>
        <d v="2025-03-17T17:31:00"/>
        <d v="2025-03-17T13:59:00"/>
        <d v="2024-07-17T09:33:00"/>
        <d v="2024-07-17T14:44:00"/>
        <d v="2024-07-17T15:02:00"/>
        <d v="2024-07-17T15:04:00"/>
        <d v="2024-07-17T16:23:00"/>
        <d v="2023-06-13T16:55:00"/>
        <d v="2023-06-19T18:51:00"/>
        <d v="2023-06-20T18:18:00"/>
        <d v="2024-07-10T17:31:00"/>
        <d v="2024-07-11T19:18:00"/>
        <d v="2024-07-12T11:18:00"/>
        <d v="2024-07-12T11:24:00"/>
        <d v="2024-07-19T15:12:00"/>
        <d v="2025-03-18T09:56:00"/>
        <d v="2025-03-18T09:34:00"/>
        <d v="2023-10-04T16:27:00"/>
        <d v="2023-10-10T15:07:00"/>
        <d v="2023-10-10T19:06:00"/>
        <d v="2023-10-11T15:32:00"/>
        <d v="2023-10-17T09:08:00"/>
        <d v="2023-10-18T16:16:00"/>
        <d v="2023-10-25T17:06:00"/>
        <d v="2023-10-26T19:38:00"/>
        <d v="2023-10-26T19:45:00"/>
        <d v="2023-11-06T09:27:00"/>
        <d v="2023-11-14T10:25:00"/>
        <d v="2023-11-14T13:21:00"/>
        <d v="2023-11-16T16:47:00"/>
        <d v="2023-11-16T19:31:00"/>
        <d v="2023-11-17T15:08:00"/>
        <d v="2023-11-27T09:49:00"/>
        <d v="2023-12-01T11:19:00"/>
        <d v="2023-12-20T11:31:00"/>
        <d v="2023-12-26T13:45:00"/>
        <d v="2023-12-27T15:09:00"/>
        <d v="2024-05-28T11:28:00"/>
        <d v="2024-08-20T16:52:00"/>
        <d v="2024-08-22T22:39:00"/>
        <d v="2024-08-26T15:37:00"/>
        <d v="2024-09-05T16:44:00"/>
        <d v="2024-09-24T12:00:00"/>
        <d v="2024-10-03T13:20:00"/>
        <d v="2024-10-08T16:21:00"/>
        <d v="2024-10-22T09:12:00"/>
        <d v="2024-10-23T19:25:00"/>
        <d v="2024-10-24T10:44:00"/>
        <d v="2024-10-29T16:50:00"/>
        <d v="2024-12-03T15:28:00"/>
        <d v="2024-05-29T14:49:00"/>
        <d v="2023-04-28T12:48:00"/>
        <d v="2023-05-03T11:28:00"/>
        <d v="2023-10-05T10:26:00"/>
        <d v="2024-03-20T22:13:00"/>
        <d v="2025-03-18T10:38:00"/>
        <d v="2025-03-18T10:34:00"/>
        <d v="2025-03-18T11:03:00"/>
        <d v="2024-08-27T09:31:00"/>
        <d v="2024-08-28T09:13:00"/>
        <d v="2024-08-28T10:35:00"/>
        <d v="2024-08-29T09:14:00"/>
        <d v="2024-08-30T12:08:00"/>
        <d v="2024-08-30T15:24:00"/>
        <d v="2024-08-30T15:28:00"/>
        <d v="2024-11-14T17:33:00"/>
        <d v="2024-11-14T17:49:00"/>
        <d v="2024-11-28T14:55:00"/>
        <d v="2024-12-11T13:35:00"/>
        <d v="2024-12-13T08:40:00"/>
        <d v="2024-12-13T08:42:00"/>
        <d v="2024-12-17T15:31:00"/>
        <d v="2023-11-14T13:22:00"/>
        <d v="2024-01-08T16:01:00"/>
        <d v="2024-01-29T14:50:00"/>
        <d v="2024-06-07T10:03:00"/>
        <d v="2024-06-28T09:27:00"/>
        <d v="2024-07-26T16:15:00"/>
        <d v="2024-09-27T12:38:00"/>
        <d v="2024-11-29T09:02:00"/>
        <d v="2025-03-18T13:18:00"/>
        <d v="2024-02-20T11:02:00"/>
        <d v="2024-04-24T10:29:00"/>
        <d v="2024-05-29T13:16:00"/>
        <d v="2023-06-26T11:02:00"/>
        <d v="2023-10-16T10:28:00"/>
        <d v="2024-08-29T09:04:00"/>
        <d v="2024-08-30T15:27:00"/>
        <d v="2024-08-30T16:54:00"/>
        <d v="2024-09-06T12:50:00"/>
        <d v="2025-03-18T14:10:00"/>
        <d v="2025-03-19T11:45:00"/>
        <d v="2025-03-19T11:52:00"/>
        <d v="2025-03-19T13:11:00"/>
        <d v="2025-03-19T13:12:00"/>
        <d v="2025-03-19T09:09:00"/>
        <d v="2025-03-19T13:13:00"/>
        <d v="2025-03-19T13:14:00"/>
        <d v="2025-03-18T17:37:00"/>
        <d v="2025-03-18T18:15:00"/>
        <d v="2025-03-19T13:40:00"/>
        <d v="2025-03-19T10:48:00"/>
        <d v="2025-03-19T18:10:00"/>
        <d v="2025-03-19T09:23:00"/>
        <d v="2025-03-19T11:50:00"/>
        <d v="2025-03-19T11:51:00"/>
        <d v="2025-03-19T13:27:00"/>
        <d v="2025-03-20T10:11:00"/>
        <d v="2025-03-19T18:00:00"/>
        <d v="2025-03-19T17:43:00"/>
        <d v="2025-03-19T15:28:00"/>
        <d v="2025-03-20T13:41:00"/>
        <d v="2025-03-20T10:35:00"/>
        <d v="2025-04-09T11:16:00"/>
        <d v="2025-03-20T08:15:00"/>
        <d v="2025-03-20T07:50:00"/>
        <d v="2025-03-20T07:52:00"/>
        <d v="2025-03-20T08:17:00"/>
        <d v="2024-10-24T10:29:00"/>
        <d v="2024-10-24T10:33:00"/>
        <d v="2024-10-24T10:36:00"/>
        <d v="2025-02-04T18:54:00"/>
        <d v="2025-03-20T09:23:00"/>
        <d v="2025-02-18T10:38:00"/>
        <d v="2025-03-20T13:51:00"/>
        <d v="2025-03-17T21:37:00"/>
        <d v="2025-03-20T15:38:00"/>
        <d v="2025-03-20T17:00:00"/>
        <d v="2025-03-21T10:53:00"/>
        <d v="2025-03-21T18:29:00"/>
        <d v="2025-03-20T18:20:00"/>
        <d v="2025-03-20T15:19:00"/>
        <d v="2025-03-19T16:12:00"/>
        <d v="2025-03-20T17:28:00"/>
        <d v="2025-03-12T15:47:00"/>
        <d v="2025-01-13T16:49:00"/>
        <d v="2025-03-21T10:40:00"/>
        <d v="2025-03-21T12:41:00"/>
        <d v="2025-03-21T14:29:00"/>
        <d v="2025-03-21T15:26:00"/>
        <d v="2025-03-24T07:56:00"/>
        <d v="2025-03-21T19:33:00"/>
        <d v="2024-09-24T15:58:00"/>
        <d v="2025-03-24T10:46:00"/>
        <d v="2025-03-24T10:56:00"/>
        <d v="2025-03-24T11:01:00"/>
        <d v="2025-03-24T11:02:00"/>
        <d v="2025-03-24T11:10:00"/>
        <d v="2025-03-24T13:10:00"/>
        <d v="2025-03-25T06:14:00"/>
        <d v="2025-03-24T18:07:00"/>
        <d v="2025-03-25T07:18:00"/>
        <d v="2025-03-24T16:06:00"/>
        <d v="2025-03-25T07:48:00"/>
        <d v="2025-03-25T09:29:00"/>
        <d v="2025-03-25T09:38:00"/>
        <d v="2025-03-28T05:49:00"/>
        <d v="2025-03-25T16:17:00"/>
        <d v="2025-03-26T09:41:00"/>
        <d v="2025-03-25T18:08:00"/>
        <d v="2025-03-25T17:45:00"/>
        <d v="2025-03-25T18:42:00"/>
        <d v="2025-03-26T09:43:00"/>
        <d v="2025-03-26T07:31:00"/>
        <d v="2025-03-26T07:45:00"/>
        <d v="2025-03-26T07:50:00"/>
        <d v="2025-03-26T09:33:00"/>
        <d v="2025-03-26T10:22:00"/>
        <d v="2025-03-26T10:54:00"/>
        <d v="2025-03-26T15:54:00"/>
        <d v="2025-03-28T10:36:00"/>
        <d v="2025-03-26T15:21:00"/>
        <d v="2025-03-27T13:10:00"/>
        <d v="2025-03-27T14:16:00"/>
        <d v="2025-03-27T14:14:00"/>
        <d v="2025-03-27T08:38:00"/>
        <d v="2025-04-07T06:15:00"/>
        <d v="2025-03-27T09:03:00"/>
        <d v="2025-03-27T11:23:00"/>
        <d v="2025-03-28T09:51:00"/>
        <d v="2025-03-28T14:49:00"/>
        <d v="2025-03-28T14:50:00"/>
        <d v="2025-03-27T18:09:00"/>
        <d v="2025-03-28T17:43:00"/>
        <d v="2025-03-28T07:21:00"/>
        <d v="2025-03-28T09:36:00"/>
        <d v="2025-03-28T09:25:00"/>
        <d v="2025-03-28T10:19:00"/>
        <d v="2025-03-28T11:28:00"/>
        <d v="2025-03-28T13:18:00"/>
        <d v="2025-03-28T15:11:00"/>
        <d v="2025-03-28T15:09:00"/>
        <d v="2025-03-28T18:19:00"/>
        <d v="2025-03-31T09:55:00"/>
        <d v="2025-03-31T10:56:00"/>
        <d v="2025-03-31T14:30:00"/>
        <d v="2025-03-28T18:38:00"/>
        <d v="2025-03-31T07:22:00"/>
        <d v="2025-03-31T07:24:00"/>
        <d v="2025-03-31T07:23:00"/>
        <d v="2025-03-31T07:20:00"/>
        <d v="2025-03-31T09:29:00"/>
        <d v="2025-03-31T09:34:00"/>
        <d v="2025-03-31T12:41:00"/>
        <d v="2025-03-31T13:43:00"/>
        <d v="2025-03-31T14:19:00"/>
        <d v="2025-03-31T16:15:00"/>
        <d v="2025-03-31T16:07:00"/>
        <d v="2025-03-31T18:17:00"/>
        <d v="2025-04-01T10:12:00"/>
        <d v="2025-04-02T15:42:00"/>
        <d v="2025-04-01T15:53:00"/>
        <d v="2025-04-01T12:44:00"/>
        <d v="2025-04-01T15:09:00"/>
        <d v="2025-03-31T10:31:00"/>
        <d v="2025-04-01T18:14:00"/>
        <d v="2025-04-02T14:24:00"/>
        <d v="2025-04-02T12:00:00"/>
        <d v="2025-04-02T16:26:00"/>
        <d v="2025-04-02T17:36:00"/>
        <d v="2025-04-01T13:12:00"/>
        <d v="2025-04-01T15:43:00"/>
        <d v="2025-04-03T10:31:00"/>
        <d v="2025-04-03T09:06:00"/>
        <d v="2025-04-04T08:01:00"/>
        <d v="2025-04-03T09:36:00"/>
        <d v="2025-04-03T12:18:00"/>
        <d v="2025-04-03T14:13:00"/>
        <d v="2025-04-03T15:38:00"/>
        <d v="2025-04-03T15:19:00"/>
        <d v="2025-04-03T10:57:00"/>
        <d v="2025-04-03T17:04:00"/>
        <d v="2025-04-03T18:04:00"/>
        <d v="2025-04-03T18:40:00"/>
        <d v="2025-04-03T17:22:00"/>
        <d v="2025-04-04T14:42:00"/>
        <d v="2025-03-31T10:49:00"/>
        <d v="2025-04-04T16:13:00"/>
        <d v="2025-04-04T13:53:00"/>
        <d v="2025-04-07T12:17:00"/>
        <d v="2025-04-07T11:05:00"/>
        <d v="2025-04-07T13:01:00"/>
        <d v="2025-04-07T15:07:00"/>
        <d v="2025-04-07T15:35:00"/>
        <d v="2025-04-07T15:23:00"/>
        <d v="2025-04-07T15:48:00"/>
        <d v="2025-04-07T16:02:00"/>
        <d v="2025-04-07T16:43:00"/>
        <d v="2025-04-07T13:48:00"/>
        <d v="2025-04-07T15:16:00"/>
        <d v="2025-04-07T15:18:00"/>
        <d v="2025-04-07T14:08:00"/>
        <d v="2025-04-07T14:06:00"/>
        <d v="2025-04-07T17:55:00"/>
        <d v="2025-04-07T18:10:00"/>
        <d v="2025-04-08T15:13:00"/>
        <d v="2025-04-09T11:42:00"/>
        <d v="2025-04-09T10:12:00"/>
        <d v="2025-04-08T16:08:00"/>
        <d v="2025-04-09T09:22:00"/>
        <d v="2025-04-09T12:12:00"/>
        <d v="2025-04-09T12:11:00"/>
        <d v="2025-04-08T15:31:00"/>
        <d v="2025-04-09T11:43:00"/>
        <d v="2025-04-08T18:00:00"/>
        <d v="2025-04-09T18:50:00"/>
        <d v="2025-04-09T15:43:00"/>
        <d v="2025-04-09T16:54:00"/>
        <d v="2025-04-09T18:45:00"/>
        <d v="2025-04-09T17:30:00"/>
        <d v="2025-04-10T07:21:00"/>
        <d v="2025-04-10T10:36:00"/>
        <d v="2025-04-11T16:40:00"/>
        <d v="2025-04-10T11:03:00"/>
        <d v="2025-04-10T11:10:00"/>
        <d v="2025-04-10T12:29:00"/>
        <d v="2025-04-10T14:07:00"/>
        <d v="2025-04-10T16:28:00"/>
        <d v="2025-04-11T13:29:00"/>
        <d v="2025-04-11T12:52:00"/>
        <d v="2025-04-10T18:03:00"/>
        <d v="2025-04-10T19:29:00"/>
        <d v="2025-04-11T11:04:00"/>
        <d v="2025-04-11T11:05:00"/>
        <d v="2025-04-11T12:51:00"/>
        <d v="2025-04-11T15:52:00"/>
        <d v="2025-04-07T08:52:00"/>
        <d v="2025-04-14T10:09:00"/>
        <d v="2025-04-11T17:24:00"/>
        <d v="2025-04-11T14:21:00"/>
        <d v="2025-04-11T14:26:00"/>
        <d v="2025-04-11T18:16:00"/>
        <d v="2025-04-11T19:09:00"/>
        <d v="2025-04-11T17:56:00"/>
        <d v="2025-04-13T15:19:00"/>
        <d v="2025-04-14T10:15:00"/>
        <d v="2025-04-14T09:34:00"/>
        <d v="2025-04-14T10:30:00"/>
        <d v="2025-04-14T14:46:00"/>
        <d v="2025-04-14T16:03:00"/>
        <d v="2025-04-14T17:38:00"/>
        <d v="2025-04-14T18:15:00"/>
        <d v="2025-04-15T09:59:00"/>
        <d v="2025-04-15T14:44:00"/>
        <d v="2025-04-16T09:01:00"/>
        <d v="2025-04-16T14:25:00"/>
        <d v="2025-04-15T18:50:00"/>
        <d v="2025-04-15T19:08:00"/>
        <d v="2025-04-15T17:27:00"/>
        <d v="2025-04-16T09:07:00"/>
        <d v="2025-03-24T11:21:00"/>
        <d v="2025-04-16T09:44:00"/>
        <d v="2025-04-15T11:29:00"/>
        <d v="2025-04-17T10:57:00"/>
        <d v="2025-04-16T11:34:00"/>
        <d v="2025-04-16T12:38:00"/>
        <d v="2025-04-16T12:42:00"/>
        <d v="2025-04-16T11:04:00"/>
        <d v="2025-04-16T18:18:00"/>
        <d v="2025-04-16T18:17:00"/>
        <d v="2025-04-16T16:52:00"/>
        <d v="2025-04-17T12:58:00"/>
        <d v="2025-04-17T15:45:00"/>
        <d v="2025-04-22T07:52:00"/>
        <d v="2025-04-22T07:54:00"/>
        <d v="2025-04-17T14:33:00"/>
        <d v="2025-04-17T16:50:00"/>
        <d v="2025-04-17T18:27:00"/>
        <d v="2025-04-20T14:54:00"/>
        <d v="2025-04-22T05:52:00"/>
        <d v="2025-04-22T06:50:00"/>
        <d v="2025-04-22T15:36:00"/>
        <d v="2025-04-22T15:35:00"/>
        <d v="2025-04-22T15:38:00"/>
        <d v="2025-04-22T09:47:00"/>
        <d v="2025-04-22T11:26:00"/>
        <d v="2025-04-23T06:43:00"/>
        <d v="2025-04-22T17:53:00"/>
        <d v="2025-04-23T06:38:00"/>
        <d v="2025-04-23T06:39:00"/>
        <d v="2025-04-22T15:12:00"/>
        <d v="2025-04-22T16:05:00"/>
        <d v="2025-04-23T13:54:00"/>
        <d v="2025-04-22T15:18:00"/>
        <d v="2025-04-22T14:49:00"/>
        <d v="2025-04-22T14:58:00"/>
        <d v="2025-04-22T17:52:00"/>
        <d v="2025-04-24T16:48:00"/>
        <d v="2025-04-23T00:05:00"/>
        <d v="2025-04-23T06:29:00"/>
        <d v="2025-04-23T08:23:00"/>
        <d v="2025-04-23T10:13:00"/>
        <d v="2025-04-23T11:23:00"/>
        <d v="2025-04-22T08:48:00"/>
        <d v="2025-04-23T14:24:00"/>
        <d v="2025-04-23T14:44:00"/>
        <d v="2025-04-23T16:50:00"/>
        <d v="2025-04-23T18:44:00"/>
        <d v="2025-04-23T17:32:00"/>
        <d v="2025-04-23T18:29:00"/>
        <d v="2025-04-24T00:22:00"/>
        <d v="2025-04-24T15:32:00"/>
        <d v="2025-04-25T06:53:00"/>
        <d v="2025-04-24T16:40:00"/>
        <d v="2025-04-24T14:37:00"/>
        <d v="2025-04-24T18:15:00"/>
        <d v="2025-04-28T11:27:00"/>
        <d v="2025-04-25T09:24:00"/>
        <d v="2025-04-25T12:09:00"/>
        <d v="2025-04-25T11:55:00"/>
        <d v="2025-04-25T14:04:00"/>
        <d v="2025-04-25T14:30:00"/>
        <d v="2025-04-25T16:01:00"/>
        <d v="2025-04-25T13:21:00"/>
        <d v="2025-04-25T17:19:00"/>
        <d v="2025-04-28T09:37:00"/>
        <d v="2025-03-26T17:35:00"/>
        <d v="2025-04-28T11:44:00"/>
        <d v="2025-04-28T11:30:00"/>
        <d v="2025-04-28T12:48:00"/>
        <d v="2025-04-28T12:49:00"/>
        <d v="2025-04-28T13:41:00"/>
        <d v="2025-04-28T15:06:00"/>
        <d v="2025-04-28T16:14:00"/>
        <d v="2025-04-28T16:34:00"/>
        <d v="2025-04-28T16:48:00"/>
        <d v="2025-04-29T06:36:00"/>
        <d v="2025-04-28T09:11:00"/>
        <d v="2025-04-28T12:51:00"/>
        <d v="2025-04-28T13:06:00"/>
        <d v="2025-04-28T13:34:00"/>
        <d v="2025-04-28T13:57:00"/>
        <d v="2025-04-28T14:24:00"/>
        <d v="2025-04-28T14:39:00"/>
        <d v="2025-04-28T15:14:00"/>
        <d v="2025-04-28T15:19:00"/>
        <d v="2025-04-28T15:32:00"/>
        <d v="2025-04-28T16:08:00"/>
        <d v="2025-04-28T16:54:00"/>
        <d v="2025-04-28T17:16:00"/>
        <d v="2025-04-28T17:40:00"/>
        <d v="2025-04-28T18:21:00"/>
        <d v="2025-04-25T17:37:00"/>
        <d v="2025-04-27T01:21:00"/>
        <d v="2025-04-28T11:34:00"/>
        <d v="2025-04-28T21:22:00"/>
        <d v="2025-04-28T09:10:00"/>
        <d v="2025-04-28T17:32:00"/>
        <d v="2025-04-28T10:06:00"/>
        <d v="2025-04-28T11:57:00"/>
        <d v="2025-04-28T15:59:00"/>
        <d v="2025-04-28T16:24:00"/>
        <d v="2025-04-28T18:34:00"/>
        <d v="2025-04-28T16:49:00"/>
        <d v="2025-04-28T18:00:00"/>
        <d v="2025-04-28T20:30:00"/>
        <d v="2025-04-28T10:48:00"/>
        <d v="2025-04-28T20:25:00"/>
        <d v="2025-04-28T14:03:00"/>
        <d v="2025-04-28T22:37:00"/>
        <d v="2025-04-29T09:36:00"/>
        <d v="2025-04-29T09:37:00"/>
        <d v="2025-04-29T16:34:00"/>
        <d v="2025-04-29T11:40:00"/>
        <d v="2025-04-29T11:41:00"/>
        <d v="2025-04-29T11:42:00"/>
        <d v="2025-04-29T11:43:00"/>
        <d v="2025-04-29T13:10:00"/>
        <d v="2025-04-29T09:33:00"/>
        <d v="2025-04-29T13:43:00"/>
        <d v="2025-04-29T16:26:00"/>
        <d v="2025-05-06T14:53:00"/>
        <d v="2025-04-29T15:03:00"/>
        <d v="2025-05-02T12:34:00"/>
        <d v="2025-04-29T16:54:00"/>
        <d v="2025-04-29T18:00:00"/>
        <d v="2025-04-29T17:50:00"/>
        <d v="2025-04-29T17:43:00"/>
        <d v="2025-04-29T16:18:00"/>
        <d v="2025-04-29T19:32:00"/>
        <d v="2025-04-30T09:10:00"/>
        <d v="2025-04-30T10:31:00"/>
        <d v="2025-04-30T08:41:00"/>
        <d v="2025-05-02T09:28:00"/>
        <d v="2025-04-30T10:29:00"/>
        <d v="2025-04-30T11:45:00"/>
        <d v="2025-04-30T17:34:00"/>
        <d v="2025-04-30T18:06:00"/>
        <d v="2025-04-30T17:38:00"/>
        <d v="2025-04-30T16:49:00"/>
        <d v="2025-04-30T14:44:00"/>
        <d v="2025-05-02T10:45:00"/>
        <d v="2025-05-02T12:29:00"/>
        <d v="2025-05-05T09:19:00"/>
        <d v="2025-05-05T08:55:00"/>
        <d v="2025-05-02T16:53:00"/>
        <d v="2025-05-02T17:00:00"/>
        <d v="2025-05-02T18:39:00"/>
        <d v="2025-05-03T16:50:00"/>
        <d v="2025-05-05T09:12:00"/>
        <d v="2025-05-05T09:42:00"/>
        <d v="2025-05-02T09:19:00"/>
        <d v="2025-05-05T09:39:00"/>
        <d v="2025-05-05T09:50:00"/>
        <d v="2025-05-05T11:53:00"/>
        <d v="2025-05-05T13:42:00"/>
        <d v="2025-05-05T15:15:00"/>
        <d v="2025-05-05T18:00:00"/>
        <d v="2025-05-05T19:13:00"/>
        <d v="2025-05-06T12:02:00"/>
        <d v="2025-05-06T08:54:00"/>
        <d v="2025-05-06T13:46:00"/>
        <d v="2025-05-06T10:33:00"/>
        <d v="2025-05-06T11:06:00"/>
        <d v="2025-05-06T11:44:00"/>
        <d v="2025-05-06T13:31:00"/>
        <d v="2025-05-06T13:39:00"/>
        <d v="2025-05-06T14:17:00"/>
        <d v="2025-05-06T14:05:00"/>
        <d v="2025-05-07T09:51:00"/>
        <d v="2025-05-06T12:44:00"/>
        <d v="2025-05-06T16:20:00"/>
        <d v="2025-05-06T16:24:00"/>
        <d v="2025-05-06T17:39:00"/>
        <d v="2025-05-06T16:48:00"/>
        <d v="2025-05-06T18:05:00"/>
        <d v="2025-05-06T09:05:00"/>
        <d v="2025-05-07T09:58:00"/>
        <d v="2025-05-07T11:09:00"/>
        <d v="2025-05-07T10:14:00"/>
        <d v="2025-05-08T09:42:00"/>
        <d v="2025-05-07T10:58:00"/>
        <d v="2025-05-07T11:20:00"/>
        <d v="2025-05-07T13:12:00"/>
        <d v="2025-05-07T11:02:00"/>
        <d v="2025-05-07T16:37:00"/>
        <d v="2025-05-07T14:08:00"/>
        <d v="2025-05-07T18:19:00"/>
        <d v="2025-05-07T18:32:00"/>
        <d v="2025-05-07T18:29:00"/>
        <d v="2025-05-07T18:24:00"/>
        <d v="2025-05-07T18:20:00"/>
        <d v="2025-05-07T18:15:00"/>
        <d v="2025-05-07T18:25:00"/>
        <d v="2025-05-08T08:48:00"/>
        <d v="2025-05-08T09:54:00"/>
        <d v="2025-05-08T10:54:00"/>
        <d v="2025-05-08T16:22:00"/>
        <d v="2025-05-08T17:52:00"/>
        <d v="2025-05-08T18:05:00"/>
        <d v="2025-05-09T10:37:00"/>
        <d v="2025-05-09T09:16:00"/>
        <d v="2025-05-09T10:11:00"/>
        <d v="2025-05-09T11:30:00"/>
        <d v="2025-05-12T10:12:00"/>
        <d v="2025-05-12T10:09:00"/>
        <d v="2025-05-09T14:21:00"/>
        <d v="2025-05-09T15:01:00"/>
        <d v="2025-05-09T12:49:00"/>
        <d v="2025-05-09T13:40:00"/>
        <d v="2025-05-09T14:46:00"/>
        <d v="2025-05-09T18:06:00"/>
        <d v="2025-05-09T18:29:00"/>
        <d v="2025-05-09T18:24:00"/>
        <d v="2025-05-09T18:18:00"/>
        <d v="2025-05-09T18:11:00"/>
        <d v="2025-05-09T19:12:00"/>
        <d v="2025-05-11T12:15:00"/>
        <d v="2025-05-12T11:34:00"/>
        <d v="2025-05-12T08:45:00"/>
        <d v="2025-05-12T12:05:00"/>
        <d v="2025-05-12T12:08:00"/>
        <d v="2025-05-12T12:10:00"/>
        <d v="2025-05-13T18:35:00"/>
        <d v="2025-05-12T17:19:00"/>
        <d v="2025-05-12T16:22:00"/>
        <d v="2025-05-12T13:47:00"/>
        <d v="2025-05-12T18:34:00"/>
        <d v="2025-05-12T18:58:00"/>
        <d v="2025-05-12T18:52:00"/>
        <d v="2025-05-12T18:48:00"/>
        <d v="2025-05-12T18:39:00"/>
        <d v="2025-05-13T12:19:00"/>
        <d v="2025-05-12T12:31:00"/>
        <d v="2025-05-13T15:49:00"/>
        <d v="2025-05-13T15:51:00"/>
        <d v="2025-05-13T16:04:00"/>
        <d v="2025-05-14T11:14:00"/>
        <d v="2025-05-14T17:51:00"/>
        <d v="2025-05-14T16:48:00"/>
        <d v="2025-05-14T17:31:00"/>
        <d v="2025-05-14T17:49:00"/>
        <d v="2025-05-14T22:53:00"/>
        <d v="2025-05-15T11:30:00"/>
        <d v="2025-05-15T11:37:00"/>
        <d v="2025-05-15T16:04:00"/>
        <d v="2025-05-16T09:46:00"/>
        <d v="2025-05-15T14:55:00"/>
        <d v="2025-05-15T18:16:00"/>
        <d v="2025-05-15T10:31:00"/>
        <d v="2025-05-16T11:24:00"/>
        <d v="2025-05-16T10:50:00"/>
        <d v="2025-05-16T14:57:00"/>
        <d v="2025-05-16T15:50:00"/>
        <d v="2025-05-16T16:23:00"/>
        <d v="2025-05-16T16:29:00"/>
        <d v="2025-05-19T11:16:00"/>
        <d v="2025-05-16T17:23:00"/>
        <d v="2025-05-20T11:32:00"/>
        <d v="2025-05-16T09:17:00"/>
        <d v="2025-05-19T08:58:00"/>
        <d v="2025-05-19T10:22:00"/>
        <d v="2025-05-15T12:05:00"/>
        <d v="2025-05-27T08:22:00"/>
        <d v="2025-05-19T11:45:00"/>
        <d v="2025-05-19T13:47:00"/>
        <d v="2025-05-20T07:07:00"/>
        <d v="2025-05-19T16:13:00"/>
        <d v="2025-05-19T16:14:00"/>
        <d v="2025-05-20T07:04:00"/>
        <d v="2025-05-19T16:15:00"/>
        <d v="2025-05-19T17:15:00"/>
        <d v="2025-05-19T18:33:00"/>
        <d v="2025-05-19T18:53:00"/>
        <d v="2025-05-19T16:53:00"/>
        <d v="2025-05-20T11:24:00"/>
        <d v="2025-05-19T19:45:00"/>
        <d v="2025-05-20T09:31:00"/>
        <d v="2025-05-20T11:54:00"/>
        <d v="2025-05-20T10:27:00"/>
        <d v="2025-05-20T09:09:00"/>
        <d v="2025-05-20T15:04:00"/>
        <d v="2025-05-22T12:49:00"/>
        <d v="2025-05-20T18:16:00"/>
        <d v="2025-05-20T14:50:00"/>
        <d v="2025-05-20T21:38:00"/>
        <d v="2025-05-20T15:12:00"/>
        <d v="2025-05-20T16:59:00"/>
        <d v="2025-05-21T08:21:00"/>
        <d v="2025-05-21T08:17:00"/>
        <d v="2025-05-21T09:26:00"/>
        <d v="2025-05-21T11:00:00"/>
        <d v="2025-05-21T11:08:00"/>
        <d v="2025-05-21T11:30:00"/>
        <d v="2025-05-21T11:42:00"/>
        <d v="2025-05-21T13:04:00"/>
        <d v="2025-05-21T16:42:00"/>
        <d v="2025-05-21T15:39:00"/>
        <d v="2025-05-21T17:39:00"/>
        <d v="2025-05-21T16:44:00"/>
        <d v="2025-05-22T11:34:00"/>
        <d v="2025-05-21T18:26:00"/>
        <d v="2025-05-22T09:57:00"/>
        <d v="2025-05-22T09:11:00"/>
        <d v="2025-05-22T12:01:00"/>
        <d v="2025-05-22T09:42:00"/>
        <d v="2025-05-22T09:47:00"/>
        <d v="2025-05-22T10:00:00"/>
        <d v="2025-05-22T09:52:00"/>
        <d v="2025-05-22T09:56:00"/>
        <d v="2025-05-22T09:48:00"/>
        <d v="2025-05-22T09:54:00"/>
        <d v="2025-05-22T09:46:00"/>
        <d v="2025-05-22T12:18:00"/>
        <d v="2025-05-22T14:12:00"/>
        <d v="2025-05-22T14:14:00"/>
        <d v="2025-05-22T14:15:00"/>
        <d v="2025-05-22T15:24:00"/>
        <d v="2025-05-23T09:54:00"/>
        <d v="2025-05-22T15:28:00"/>
        <d v="2025-05-22T18:50:00"/>
        <d v="2025-05-22T16:21:00"/>
        <d v="2025-05-23T12:20:00"/>
        <d v="2025-05-23T14:17:00"/>
        <d v="2025-05-23T17:20:00"/>
        <d v="2025-05-26T06:31:00"/>
        <d v="2025-05-23T17:39:00"/>
        <d v="2025-05-23T17:43:00"/>
        <d v="2025-05-23T13:58:00"/>
        <d v="2025-05-23T18:20:00"/>
        <d v="2025-05-23T16:46:00"/>
        <d v="2025-05-26T06:34:00"/>
        <d v="2025-05-26T07:19:00"/>
        <d v="2025-05-26T08:01:00"/>
        <d v="2025-05-26T09:59:00"/>
        <d v="2025-05-27T07:42:00"/>
        <d v="2025-05-26T22:01:00"/>
        <d v="2025-05-27T08:04:00"/>
        <d v="2025-05-27T09:43:00"/>
        <d v="2025-05-27T09:33:00"/>
        <d v="2025-05-27T14:21:00"/>
        <d v="2025-05-28T14:53:00"/>
        <d v="2025-05-27T15:44:00"/>
        <d v="2025-05-27T14:08:00"/>
        <d v="2025-05-27T15:40:00"/>
        <d v="2025-05-27T18:27:00"/>
        <d v="2025-05-28T15:33:00"/>
        <d v="2025-05-28T08:59:00"/>
        <d v="2025-05-28T13:58:00"/>
        <d v="2025-05-28T16:52:00"/>
        <d v="2025-05-28T18:15:00"/>
        <d v="2025-05-28T14:54:00"/>
        <d v="2025-05-28T18:08:00"/>
        <d v="2025-05-29T10:39:00"/>
        <d v="2025-05-29T08:59:00"/>
        <d v="2025-05-29T10:20:00"/>
        <d v="2025-05-29T12:46:00"/>
        <d v="2025-05-29T14:49:00"/>
        <d v="2025-05-29T16:45:00"/>
        <d v="2025-05-30T09:16:00"/>
        <d v="2025-05-29T16:41:00"/>
        <d v="2025-05-30T08:08:00"/>
        <d v="2025-05-30T09:51:00"/>
        <d v="2025-05-30T12:53:00"/>
        <d v="2025-05-30T13:28:00"/>
        <d v="2025-05-29T15:25:00"/>
        <d v="2025-05-30T16:55:00"/>
        <d v="2025-05-30T17:15:00"/>
        <d v="2025-05-30T19:48:00"/>
        <d v="2025-05-30T20:14:00"/>
        <d v="2025-06-02T07:22:00"/>
        <d v="2025-06-02T08:20:00"/>
        <d v="2025-06-02T12:35:00"/>
        <d v="2025-06-02T11:59:00"/>
        <d v="2025-06-02T12:21:00"/>
        <d v="2025-06-02T09:58:00"/>
        <d v="2025-06-02T12:57:00"/>
        <d v="2025-06-02T12:47:00"/>
        <d v="2025-06-03T08:39:00"/>
        <d v="2025-06-02T13:55:00"/>
        <d v="2025-06-02T20:03:00"/>
        <d v="2025-06-02T17:48:00"/>
        <d v="2025-06-02T18:23:00"/>
        <d v="2025-06-03T08:45:00"/>
        <d v="2025-06-03T07:55:00"/>
        <d v="2025-06-03T08:10:00"/>
        <d v="2025-06-03T08:20:00"/>
        <d v="2025-06-03T10:41:00"/>
        <d v="2025-06-03T10:42:00"/>
        <d v="2025-06-03T10:49:00"/>
        <d v="2025-06-05T09:39:00"/>
        <d v="2025-06-04T17:55:00"/>
        <d v="2025-06-05T08:22:00"/>
        <d v="2025-06-05T09:22:00"/>
        <d v="2025-06-06T08:12:00"/>
        <d v="2025-06-05T08:57:00"/>
        <d v="2025-06-05T15:33:00"/>
        <d v="2025-06-03T16:27:00"/>
        <d v="2025-06-05T12:59:00"/>
        <d v="2025-06-05T07:53:00"/>
        <d v="2025-06-05T17:42:00"/>
        <d v="2025-06-05T17:17:00"/>
        <d v="2025-06-05T14:10:00"/>
        <d v="2025-06-06T09:05:00"/>
        <d v="2025-06-04T09:44:00"/>
        <d v="2025-06-05T16:38:00"/>
        <d v="2025-06-05T11:01:00"/>
        <d v="2025-06-06T10:00:00"/>
        <d v="2025-06-05T16:28:00"/>
        <d v="2025-06-04T07:27:00"/>
        <d v="2025-06-03T13:19:00"/>
        <d v="2025-06-05T16:45:00"/>
        <d v="2025-06-04T11:49:00"/>
        <d v="2025-06-03T18:20:00"/>
        <d v="2025-06-03T19:01:00"/>
        <d v="2025-06-04T18:11:00"/>
        <d v="2025-06-05T08:44:00"/>
        <d v="2025-06-05T08:55:00"/>
        <d v="2025-06-05T09:07:00"/>
        <d v="2025-06-05T09:10:00"/>
        <d v="2025-06-05T09:21:00"/>
        <d v="2025-06-05T09:23:00"/>
        <d v="2025-06-05T09:31:00"/>
        <d v="2025-06-05T09:44:00"/>
        <d v="2025-06-05T09:53:00"/>
        <d v="2025-06-05T10:03:00"/>
        <d v="2025-06-05T10:35:00"/>
        <d v="2025-06-05T10:52:00"/>
        <d v="2025-06-05T12:02:00"/>
        <d v="2025-06-05T14:37:00"/>
        <d v="2025-06-05T14:54:00"/>
        <d v="2025-06-05T15:04:00"/>
        <d v="2025-06-05T15:05:00"/>
        <d v="2025-06-05T15:56:00"/>
        <d v="2025-06-05T16:02:00"/>
        <d v="2025-06-05T16:05:00"/>
        <d v="2025-06-05T16:06:00"/>
        <d v="2025-06-05T16:40:00"/>
        <d v="2025-06-05T16:57:00"/>
        <d v="2025-06-05T17:55:00"/>
        <d v="2025-06-05T18:15:00"/>
        <d v="2025-06-05T18:28:00"/>
        <d v="2025-06-05T18:29:00"/>
        <d v="2025-06-06T09:43:00"/>
        <d v="2025-06-06T09:44:00"/>
        <d v="2025-06-06T09:55:00"/>
        <d v="2025-06-09T15:43:00"/>
        <d v="2025-06-11T17:23:00"/>
        <d v="2025-06-06T10:47:00"/>
        <d v="2025-06-09T15:51:00"/>
        <d v="2025-06-10T17:40:00"/>
        <d v="2025-06-13T18:29:00"/>
        <d v="2025-06-09T17:26:00"/>
        <d v="2025-06-11T12:25:00"/>
        <d v="2025-06-11T14:54:00"/>
        <d v="2025-06-11T12:56:00"/>
        <d v="2025-06-10T14:10:00"/>
        <d v="2025-06-13T08:45:00"/>
        <d v="2025-06-10T09:24:00"/>
        <d v="2025-06-06T14:55:00"/>
        <d v="2025-06-12T17:45:00"/>
        <d v="2025-06-12T09:47:00"/>
        <d v="2025-06-06T13:10:00"/>
        <d v="2025-06-06T11:37:00"/>
        <d v="2025-06-09T10:33:00"/>
        <d v="2025-06-13T12:11:00"/>
        <d v="2025-06-12T12:35:00"/>
        <d v="2025-06-12T13:09:00"/>
        <d v="2025-06-11T09:51:00"/>
        <d v="2025-06-12T09:41:00"/>
        <d v="2025-06-06T16:22:00"/>
        <d v="2025-06-12T14:49:00"/>
        <d v="2025-06-10T13:05:00"/>
        <d v="2025-06-10T17:41:00"/>
        <d v="2025-06-16T09:27:00"/>
        <d v="2025-06-13T15:45:00"/>
        <d v="2025-06-09T15:40:00"/>
        <d v="2025-06-16T09:25:00"/>
        <d v="2025-06-13T12:06:00"/>
        <d v="2025-06-11T09:28:00"/>
        <d v="2025-06-06T15:56:00"/>
        <d v="2025-06-11T09:11:00"/>
        <d v="2025-06-16T14:03:00"/>
        <d v="2025-06-16T11:06:00"/>
        <d v="2025-06-11T11:26:00"/>
        <d v="2025-06-09T10:02:00"/>
        <d v="2025-06-09T07:47:00"/>
        <d v="2025-06-06T12:28:00"/>
        <d v="2025-06-16T17:23:00"/>
        <d v="2025-06-12T18:14:00"/>
        <d v="2025-06-13T15:39:00"/>
        <d v="2025-06-16T09:20:00"/>
        <d v="2025-06-13T14:46:00"/>
        <d v="2025-06-11T14:47:00"/>
        <d v="2025-06-06T16:14:00"/>
        <d v="2025-06-11T11:18:00"/>
        <d v="2025-06-16T17:36:00"/>
        <d v="2025-06-09T12:36:00"/>
        <d v="2025-06-13T17:21:00"/>
        <d v="2025-06-16T15:03:00"/>
        <d v="2025-06-16T12:36:00"/>
        <d v="2025-06-16T13:30:00"/>
        <d v="2025-06-16T13:52:00"/>
        <d v="2025-06-16T14:15:00"/>
        <d v="2025-06-16T15:04:00"/>
        <d v="2025-06-16T15:08:00"/>
        <d v="2025-06-16T16:43:00"/>
        <d v="2025-06-16T16:46:00"/>
        <d v="2025-06-16T16:52:00"/>
        <d v="2025-06-16T15:55:00"/>
        <d v="2025-06-16T12:54:00"/>
        <d v="2025-06-16T10:39:00"/>
        <d v="2025-05-02T17:13:00"/>
        <d v="2025-06-05T16:23:00"/>
        <d v="2025-06-06T22:31:00"/>
        <d v="2025-06-07T18:09:00"/>
        <d v="2025-06-07T19:45:00"/>
        <d v="2025-06-09T19:41:00"/>
        <d v="2025-06-10T10:21:00"/>
        <d v="2025-06-10T14:33:00"/>
        <d v="2025-06-13T19:31:00"/>
        <d v="2025-01-13T06:47:00" u="1"/>
        <d v="2025-01-22T09:37:00" u="1"/>
        <d v="2025-01-27T17:27:00" u="1"/>
        <d v="2025-02-06T09:44:00" u="1"/>
        <d v="2024-12-17T08:34:00" u="1"/>
        <d v="2024-12-18T10:44:00" u="1"/>
        <d v="2024-12-18T16:13:00" u="1"/>
        <d v="2024-12-18T13:23:00" u="1"/>
        <d v="2024-12-30T16:28:00" u="1"/>
        <d v="2024-12-19T09:46:00" u="1"/>
        <d v="2024-12-18T17:14:00" u="1"/>
        <d v="2024-12-26T10:50:00" u="1"/>
        <d v="2024-12-19T08:38:00" u="1"/>
        <d v="2024-12-19T11:43:00" u="1"/>
        <d v="2024-12-19T17:13:00" u="1"/>
        <d v="2025-01-31T13:32:00" u="1"/>
        <d v="2024-12-20T10:44:00" u="1"/>
        <d v="2024-12-20T17:09:00" u="1"/>
        <d v="2024-12-23T12:59:00" u="1"/>
        <d v="2024-12-23T16:42:00" u="1"/>
        <d v="2024-12-26T07:52:00" u="1"/>
        <d v="2024-12-24T08:15:00" u="1"/>
        <d v="2024-12-26T15:14:00" u="1"/>
        <d v="2024-12-26T16:23:00" u="1"/>
        <d v="2024-12-27T15:14:00" u="1"/>
        <d v="2024-12-27T11:40:00" u="1"/>
        <d v="2024-12-27T12:37:00" u="1"/>
        <d v="2024-12-27T13:06:00" u="1"/>
        <d v="2024-12-27T14:00:00" u="1"/>
        <d v="2024-12-27T15:37:00" u="1"/>
        <d v="2024-12-30T11:06:00" u="1"/>
        <d v="2025-01-06T07:41:00" u="1"/>
        <d v="2025-01-28T16:19:00" u="1"/>
        <d v="2025-01-29T13:15:00" u="1"/>
        <d v="2025-03-05T14:07:00" u="1"/>
        <d v="2025-02-26T09:15:00" u="1"/>
        <d v="2025-03-05T15:59:00" u="1"/>
        <d v="2025-03-06T10:01:00" u="1"/>
        <d v="2025-03-06T10:00:00" u="1"/>
        <d v="2025-03-06T10:03:00" u="1"/>
        <d v="2024-07-05T13:34:00" u="1"/>
        <d v="2024-07-05T13:43:00" u="1"/>
        <d v="2025-03-12T11:13:00" u="1"/>
        <d v="2025-03-14T11:01:00" u="1"/>
        <d v="2025-03-13T11:09:00" u="1"/>
        <d v="2025-03-12T10:50:00" u="1"/>
        <d v="2025-03-13T11:00:00" u="1"/>
        <d v="2025-03-11T15:02:00" u="1"/>
        <d v="2025-03-10T15:02:00" u="1"/>
        <d v="2025-03-11T11:49:00" u="1"/>
        <d v="2025-03-13T09:51:00" u="1"/>
        <d v="2025-03-14T15:02:00" u="1"/>
        <d v="2025-03-12T15:04:00" u="1"/>
        <d v="2025-03-13T11:01:00" u="1"/>
        <d v="2025-03-12T15:05:00" u="1"/>
        <d v="2025-03-14T11:02:00" u="1"/>
        <d v="2025-03-12T11:00:00" u="1"/>
        <d v="2025-03-14T15:00:00" u="1"/>
        <d v="2025-03-12T11:02:00" u="1"/>
        <d v="2025-03-14T15:01:00" u="1"/>
        <d v="2025-03-10T15:03:00" u="1"/>
        <d v="2025-03-10T15:04:00" u="1"/>
        <d v="2025-03-14T11:00:00" u="1"/>
        <d v="2025-03-12T15:03:00" u="1"/>
        <d v="2025-03-14T15:03:00" u="1"/>
        <d v="2025-03-11T15:04:00" u="1"/>
        <d v="2025-03-17T11:01:00" u="1"/>
        <d v="2025-03-10T15:01:00" u="1"/>
        <d v="2025-03-17T13:12:00" u="1"/>
        <d v="2025-03-10T15:00:00" u="1"/>
        <d v="2025-03-13T11:07:00" u="1"/>
        <d v="2025-03-12T15:02:00" u="1"/>
        <d v="2025-03-12T11:10:00" u="1"/>
        <d v="2025-03-14T11:03:00" u="1"/>
        <d v="2025-03-14T11:05:00" u="1"/>
        <d v="2025-03-14T11:04:00" u="1"/>
        <d v="2025-03-14T11:06:00" u="1"/>
        <d v="2025-03-11T15:00:00" u="1"/>
        <d v="2025-03-11T11:01:00" u="1"/>
        <d v="2025-03-11T11:00:00" u="1"/>
        <d v="2025-03-14T15:04:00" u="1"/>
        <d v="2025-03-14T17:01:00" u="1"/>
        <d v="2025-03-13T10:40:00" u="1"/>
        <d v="2025-03-12T16:19:00" u="1"/>
        <d v="2025-03-12T16:23:00" u="1"/>
        <d v="2025-03-20T17:18:00" u="1"/>
        <d v="2025-03-18T15:00:00" u="1"/>
        <d v="2025-03-18T15:01:00" u="1"/>
        <d v="2025-03-18T15:02:00" u="1"/>
        <d v="2025-03-18T15:04:00" u="1"/>
        <d v="2025-03-18T15:06:00" u="1"/>
        <d v="2025-03-18T15:08:00" u="1"/>
        <d v="2025-03-18T15:09:00" u="1"/>
        <d v="2025-03-18T15:10:00" u="1"/>
        <d v="2025-03-18T18:20:00" u="1"/>
        <d v="2025-03-19T08:36:00" u="1"/>
        <d v="2025-03-19T11:00:00" u="1"/>
        <d v="2025-03-19T11:01:00" u="1"/>
        <d v="2025-03-19T15:02:00" u="1"/>
        <d v="2025-03-19T15:04:00" u="1"/>
        <d v="2025-03-19T15:05:00" u="1"/>
        <d v="2025-03-19T15:06:00" u="1"/>
        <d v="2025-03-19T15:08:00" u="1"/>
        <d v="2025-03-20T10:41:00" u="1"/>
        <d v="2025-03-20T10:21:00" u="1"/>
        <d v="2025-03-20T10:51:00" u="1"/>
        <d v="2025-03-24T09:01:00" u="1"/>
        <d v="2025-03-24T09:35:00" u="1"/>
        <d v="2025-03-25T09:17:00" u="1"/>
        <d v="2025-03-27T13:39:00" u="1"/>
        <d v="2025-03-29T11:00:00" u="1"/>
        <d v="2025-03-28T11:29:00" u="1"/>
        <d v="2025-03-31T14:48:00" u="1"/>
        <d v="2025-03-31T15:31:00" u="1"/>
        <d v="2025-04-01T07:36:00" u="1"/>
        <d v="2025-04-02T09:34:00" u="1"/>
        <d v="2025-04-02T14:18:00" u="1"/>
        <d v="2025-04-03T11:06:00" u="1"/>
        <d v="2025-04-04T14:20:00" u="1"/>
        <d v="2025-04-07T07:28:00" u="1"/>
        <d v="2025-04-08T18:44:00" u="1"/>
        <d v="2025-04-08T18:56:00" u="1"/>
        <d v="2025-04-08T19:09:00" u="1"/>
        <d v="2025-04-09T03:11:00" u="1"/>
        <d v="2025-04-09T03:44:00" u="1"/>
        <d v="2025-04-09T04:58:00" u="1"/>
        <d v="2025-04-09T05:36:00" u="1"/>
        <d v="2025-04-09T05:46:00" u="1"/>
        <d v="2025-04-09T11:17:00" u="1"/>
        <d v="2025-04-09T11:27:00" u="1"/>
        <d v="2025-04-09T07:43:00" u="1"/>
        <d v="2025-04-09T07:47:00" u="1"/>
        <d v="2024-07-24T16:28:00" u="1"/>
        <d v="2024-09-23T16:44:00" u="1"/>
        <d v="2024-09-30T10:14:00" u="1"/>
        <d v="2024-10-02T19:02:00" u="1"/>
        <d v="2024-10-08T15:10:00" u="1"/>
        <d v="2024-10-29T12:48:00" u="1"/>
        <d v="2024-10-24T11:59:00" u="1"/>
        <d v="2024-10-30T08:32:00" u="1"/>
        <d v="2024-11-19T15:38:00" u="1"/>
        <d v="2024-11-25T18:02:00" u="1"/>
        <d v="2024-11-27T17:53:00" u="1"/>
        <d v="2024-11-29T14:15:00" u="1"/>
        <d v="2024-11-29T14:24:00" u="1"/>
        <d v="2024-11-26T16:43:00" u="1"/>
        <d v="2024-11-26T16:46:00" u="1"/>
        <d v="2024-12-02T09:23:00" u="1"/>
        <d v="2024-12-02T08:42:00" u="1"/>
        <d v="2024-12-03T08:31:00" u="1"/>
        <d v="2024-12-03T13:23:00" u="1"/>
        <d v="2024-12-04T08:54:00" u="1"/>
        <d v="2024-12-03T12:07:00" u="1"/>
        <d v="2024-12-04T08:42:00" u="1"/>
        <d v="2024-12-04T08:23:00" u="1"/>
        <d v="2024-12-05T17:19:00" u="1"/>
        <d v="2024-12-06T09:24:00" u="1"/>
        <d v="2024-12-05T17:14:00" u="1"/>
        <d v="2024-12-06T14:06:00" u="1"/>
        <d v="2024-12-06T14:05:00" u="1"/>
        <d v="2024-12-09T13:55:00" u="1"/>
        <d v="2024-12-10T10:39:00" u="1"/>
        <d v="2024-12-09T13:37:00" u="1"/>
        <d v="2024-12-10T14:48:00" u="1"/>
        <d v="2024-12-11T08:50:00" u="1"/>
        <d v="2024-12-13T10:57:00" u="1"/>
        <d v="2024-12-13T09:37:00" u="1"/>
        <d v="2024-12-13T17:26:00" u="1"/>
        <d v="2024-12-16T11:53:00" u="1"/>
        <d v="2024-12-16T15:39:00" u="1"/>
        <d v="2024-12-16T13:25:00" u="1"/>
        <d v="2024-12-17T09:10:00" u="1"/>
        <d v="2024-12-16T09:17:00" u="1"/>
        <d v="2024-12-17T09:08:00" u="1"/>
        <d v="2024-12-16T09:30:00" u="1"/>
        <d v="2024-12-18T12:19:00" u="1"/>
        <d v="2024-12-18T14:52:00" u="1"/>
        <d v="2024-12-18T12:41:00" u="1"/>
        <d v="2024-12-18T14:14:00" u="1"/>
        <d v="2024-12-19T14:25:00" u="1"/>
        <d v="2024-12-19T10:09:00" u="1"/>
        <d v="2024-12-19T08:29:00" u="1"/>
        <d v="2024-12-19T11:45:00" u="1"/>
        <d v="2024-12-19T08:43:00" u="1"/>
        <d v="2024-12-20T14:28:00" u="1"/>
        <d v="2024-12-19T16:48:00" u="1"/>
        <d v="2024-12-17T16:48:00" u="1"/>
        <d v="2024-12-19T08:47:00" u="1"/>
        <d v="2024-12-21T12:07:00" u="1"/>
        <d v="2024-12-20T10:59:00" u="1"/>
        <d v="2024-12-20T11:10:00" u="1"/>
        <d v="2024-12-23T10:19:00" u="1"/>
        <d v="2024-12-26T11:11:00" u="1"/>
        <d v="2025-01-06T09:37:00" u="1"/>
        <d v="2025-01-06T09:38:00" u="1"/>
        <d v="2025-01-06T09:59:00" u="1"/>
        <d v="2025-01-07T09:30:00" u="1"/>
        <d v="2025-01-09T11:02:00" u="1"/>
        <d v="2025-01-08T07:09:00" u="1"/>
        <d v="2025-01-16T10:04:00" u="1"/>
        <d v="2025-01-16T18:49:00" u="1"/>
        <d v="2025-01-23T17:59:00" u="1"/>
        <d v="2025-01-29T10:10:00" u="1"/>
        <d v="2025-01-31T08:24:00" u="1"/>
        <d v="2025-01-30T12:33:00" u="1"/>
        <d v="2025-01-30T09:21:00" u="1"/>
        <d v="2025-01-30T16:00:00" u="1"/>
        <d v="2025-02-06T07:40:00" u="1"/>
        <d v="2025-02-05T11:35:00" u="1"/>
        <d v="2025-02-10T10:35:00" u="1"/>
        <d v="2025-02-10T10:32:00" u="1"/>
        <d v="2025-02-17T16:19:00" u="1"/>
        <d v="2025-02-13T12:37:00" u="1"/>
        <d v="2025-02-21T18:30:00" u="1"/>
        <d v="2025-02-11T07:54:00" u="1"/>
        <d v="2025-02-20T15:18:00" u="1"/>
        <d v="2025-02-17T17:23:00" u="1"/>
        <d v="2025-01-21T18:13:00" u="1"/>
        <d v="2025-02-05T15:00:00" u="1"/>
        <d v="2025-02-07T10:21:00" u="1"/>
        <d v="2025-02-10T08:40:00" u="1"/>
        <d v="2025-02-10T11:27:00" u="1"/>
        <d v="2025-02-10T11:28:00" u="1"/>
        <d v="2025-02-10T17:20:00" u="1"/>
        <d v="2025-02-11T08:36:00" u="1"/>
        <d v="2025-02-11T08:59:00" u="1"/>
        <d v="2025-02-11T09:00:00" u="1"/>
        <d v="2025-02-11T09:04:00" u="1"/>
        <d v="2025-02-11T09:11:00" u="1"/>
        <d v="2025-02-11T09:15:00" u="1"/>
        <d v="2025-02-11T09:19:00" u="1"/>
        <d v="2025-02-11T09:49:00" u="1"/>
        <d v="2025-02-11T12:02:00" u="1"/>
        <d v="2025-02-11T12:17:00" u="1"/>
        <d v="2025-02-11T14:26:00" u="1"/>
        <d v="2025-02-11T14:36:00" u="1"/>
        <d v="2025-02-11T16:04:00" u="1"/>
        <d v="2025-02-11T16:17:00" u="1"/>
        <d v="2025-02-11T16:23:00" u="1"/>
        <d v="2025-02-11T16:24:00" u="1"/>
        <d v="2025-02-11T16:41:00" u="1"/>
        <d v="2025-02-11T17:04:00" u="1"/>
        <d v="2025-02-11T17:23:00" u="1"/>
        <d v="2025-02-11T17:25:00" u="1"/>
        <d v="2025-02-11T17:51:00" u="1"/>
        <d v="2025-02-11T18:06:00" u="1"/>
        <d v="2025-02-11T18:14:00" u="1"/>
        <d v="2025-02-11T20:46:00" u="1"/>
        <d v="2025-02-12T08:08:00" u="1"/>
        <d v="2025-02-12T08:45:00" u="1"/>
        <d v="2025-02-12T08:55:00" u="1"/>
        <d v="2025-02-12T08:56:00" u="1"/>
        <d v="2025-02-12T09:02:00" u="1"/>
        <d v="2025-02-12T09:06:00" u="1"/>
        <d v="2025-02-12T09:08:00" u="1"/>
        <d v="2025-02-12T09:09:00" u="1"/>
        <d v="2025-02-12T09:21:00" u="1"/>
        <d v="2025-02-12T09:47:00" u="1"/>
        <d v="2025-02-12T10:07:00" u="1"/>
        <d v="2025-02-12T10:08:00" u="1"/>
        <d v="2025-02-12T10:10:00" u="1"/>
        <d v="2025-02-12T10:13:00" u="1"/>
        <d v="2025-02-12T10:50:00" u="1"/>
        <d v="2025-02-12T10:54:00" u="1"/>
        <d v="2025-02-12T11:00:00" u="1"/>
        <d v="2025-02-12T11:15:00" u="1"/>
        <d v="2025-02-12T12:02:00" u="1"/>
        <d v="2025-02-12T12:09:00" u="1"/>
        <d v="2025-02-12T15:18:00" u="1"/>
        <d v="2025-02-12T15:45:00" u="1"/>
        <d v="2025-02-12T16:40:00" u="1"/>
        <d v="2025-02-12T19:08:00" u="1"/>
        <d v="2025-02-13T09:33:00" u="1"/>
        <d v="2025-02-13T09:44:00" u="1"/>
        <d v="2025-02-13T09:54:00" u="1"/>
        <d v="2025-02-13T10:38:00" u="1"/>
        <d v="2025-02-13T13:01:00" u="1"/>
        <d v="2025-02-13T13:04:00" u="1"/>
        <d v="2025-02-13T13:08:00" u="1"/>
        <d v="2025-02-13T13:41:00" u="1"/>
        <d v="2025-02-13T13:56:00" u="1"/>
        <d v="2025-02-13T14:39:00" u="1"/>
        <d v="2025-02-13T14:57:00" u="1"/>
        <d v="2025-02-13T15:39:00" u="1"/>
        <d v="2025-02-13T15:41:00" u="1"/>
        <d v="2025-02-13T15:52:00" u="1"/>
        <d v="2025-02-13T16:02:00" u="1"/>
        <d v="2025-02-13T16:24:00" u="1"/>
        <d v="2025-02-13T16:25:00" u="1"/>
        <d v="2025-02-13T17:26:00" u="1"/>
        <d v="2025-02-13T17:32:00" u="1"/>
        <d v="2025-02-13T17:45:00" u="1"/>
        <d v="2025-02-13T17:47:00" u="1"/>
        <d v="2025-02-13T17:53:00" u="1"/>
        <d v="2025-02-13T20:07:00" u="1"/>
        <d v="2025-02-14T08:17:00" u="1"/>
        <d v="2025-02-14T08:49:00" u="1"/>
        <d v="2025-02-14T09:08:00" u="1"/>
        <d v="2025-02-14T09:16:00" u="1"/>
        <d v="2025-02-14T09:30:00" u="1"/>
        <d v="2025-02-14T09:37:00" u="1"/>
        <d v="2025-02-14T09:41:00" u="1"/>
        <d v="2025-02-14T09:45:00" u="1"/>
        <d v="2025-02-14T09:46:00" u="1"/>
        <d v="2025-02-14T10:22:00" u="1"/>
        <d v="2025-02-14T10:31:00" u="1"/>
        <d v="2025-02-14T10:36:00" u="1"/>
        <d v="2025-02-14T10:50:00" u="1"/>
        <d v="2025-02-14T10:58:00" u="1"/>
        <d v="2025-02-14T11:06:00" u="1"/>
        <d v="2025-02-14T11:32:00" u="1"/>
        <d v="2025-02-14T11:59:00" u="1"/>
        <d v="2025-02-14T12:06:00" u="1"/>
        <d v="2025-02-14T12:08:00" u="1"/>
        <d v="2025-02-14T12:10:00" u="1"/>
        <d v="2025-02-14T12:18:00" u="1"/>
        <d v="2025-02-14T12:19:00" u="1"/>
        <d v="2025-02-14T12:21:00" u="1"/>
        <d v="2025-02-14T12:22:00" u="1"/>
        <d v="2025-02-14T13:07:00" u="1"/>
        <d v="2025-02-14T13:59:00" u="1"/>
        <d v="2025-02-14T14:33:00" u="1"/>
        <d v="2025-02-14T14:42:00" u="1"/>
        <d v="2025-02-14T14:46:00" u="1"/>
        <d v="2025-02-14T14:57:00" u="1"/>
        <d v="2025-02-14T14:59:00" u="1"/>
        <d v="2025-02-14T15:07:00" u="1"/>
        <d v="2025-02-14T15:09:00" u="1"/>
        <d v="2025-02-14T15:11:00" u="1"/>
        <d v="2025-02-14T15:52:00" u="1"/>
        <d v="2025-02-14T16:17:00" u="1"/>
        <d v="2025-02-14T16:24:00" u="1"/>
        <d v="2025-02-14T16:25:00" u="1"/>
        <d v="2025-02-14T16:26:00" u="1"/>
        <d v="2025-02-14T16:30:00" u="1"/>
        <d v="2025-02-14T17:05:00" u="1"/>
        <d v="2025-02-14T17:15:00" u="1"/>
        <d v="2025-02-14T17:29:00" u="1"/>
        <d v="2025-02-14T17:31:00" u="1"/>
        <d v="2025-02-14T17:39:00" u="1"/>
        <d v="2025-02-14T18:16:00" u="1"/>
        <d v="2025-02-14T18:42:00" u="1"/>
        <d v="2025-02-14T18:58:00" u="1"/>
        <d v="2025-02-14T19:04:00" u="1"/>
        <d v="2025-02-15T17:22:00" u="1"/>
        <d v="2025-02-15T17:25:00" u="1"/>
        <d v="2025-02-16T17:03:00" u="1"/>
        <d v="2025-02-16T20:15:00" u="1"/>
        <d v="2025-02-16T20:44:00" u="1"/>
        <d v="2025-02-17T06:47:00" u="1"/>
        <d v="2025-02-17T07:05:00" u="1"/>
        <d v="2025-02-17T07:06:00" u="1"/>
        <d v="2025-02-17T07:14:00" u="1"/>
        <d v="2025-02-17T07:22:00" u="1"/>
        <d v="2025-02-17T07:29:00" u="1"/>
        <d v="2025-02-17T07:34:00" u="1"/>
        <d v="2025-02-17T07:50:00" u="1"/>
        <d v="2025-02-17T08:08:00" u="1"/>
        <d v="2025-02-17T08:13:00" u="1"/>
        <d v="2025-02-17T08:27:00" u="1"/>
        <d v="2025-02-17T08:39:00" u="1"/>
        <d v="2025-02-17T08:40:00" u="1"/>
        <d v="2025-02-17T08:43:00" u="1"/>
        <d v="2025-02-17T08:50:00" u="1"/>
        <d v="2025-02-17T09:06:00" u="1"/>
        <d v="2025-02-17T09:08:00" u="1"/>
        <d v="2025-02-17T09:09:00" u="1"/>
        <d v="2025-02-17T09:21:00" u="1"/>
        <d v="2025-02-17T09:23:00" u="1"/>
        <d v="2025-02-17T09:25:00" u="1"/>
        <d v="2025-02-17T09:26:00" u="1"/>
        <d v="2025-02-17T09:29:00" u="1"/>
        <d v="2025-02-17T09:43:00" u="1"/>
        <d v="2025-02-17T09:47:00" u="1"/>
        <d v="2025-02-17T09:49:00" u="1"/>
        <d v="2025-02-17T09:50:00" u="1"/>
        <d v="2025-02-17T09:54:00" u="1"/>
        <d v="2025-02-17T10:03:00" u="1"/>
        <d v="2025-02-17T10:06:00" u="1"/>
        <d v="2025-02-17T10:07:00" u="1"/>
        <d v="2025-02-17T10:14:00" u="1"/>
        <d v="2025-02-17T10:26:00" u="1"/>
        <d v="2025-02-17T10:29:00" u="1"/>
        <d v="2025-02-17T10:40:00" u="1"/>
        <d v="2025-02-17T10:42:00" u="1"/>
        <d v="2025-02-17T10:51:00" u="1"/>
        <d v="2025-02-17T10:52:00" u="1"/>
        <d v="2025-02-17T11:04:00" u="1"/>
        <d v="2025-02-17T11:05:00" u="1"/>
        <d v="2025-02-17T11:07:00" u="1"/>
        <d v="2025-02-17T11:11:00" u="1"/>
        <d v="2025-02-17T11:12:00" u="1"/>
        <d v="2025-02-17T11:13:00" u="1"/>
        <d v="2025-02-17T11:15:00" u="1"/>
        <d v="2025-02-17T11:35:00" u="1"/>
        <d v="2025-02-17T11:38:00" u="1"/>
        <d v="2025-02-17T11:40:00" u="1"/>
        <d v="2025-02-17T11:43:00" u="1"/>
        <d v="2025-02-17T11:44:00" u="1"/>
        <d v="2025-02-17T11:46:00" u="1"/>
        <d v="2025-02-17T11:48:00" u="1"/>
        <d v="2025-02-17T11:49:00" u="1"/>
        <d v="2025-02-17T11:54:00" u="1"/>
        <d v="2025-02-17T11:55:00" u="1"/>
        <d v="2025-02-17T11:57:00" u="1"/>
        <d v="2025-02-17T12:00:00" u="1"/>
        <d v="2025-02-17T12:41:00" u="1"/>
        <d v="2025-02-17T13:22:00" u="1"/>
        <d v="2025-02-17T13:45:00" u="1"/>
        <d v="2025-02-17T13:46:00" u="1"/>
        <d v="2025-02-17T13:47:00" u="1"/>
        <d v="2025-02-17T13:49:00" u="1"/>
        <d v="2025-02-17T13:50:00" u="1"/>
        <d v="2025-02-17T13:52:00" u="1"/>
        <d v="2025-02-17T13:54:00" u="1"/>
        <d v="2025-02-17T13:56:00" u="1"/>
        <d v="2025-02-17T13:58:00" u="1"/>
        <d v="2025-02-17T14:00:00" u="1"/>
        <d v="2025-02-17T14:02:00" u="1"/>
        <d v="2025-02-17T14:07:00" u="1"/>
        <d v="2025-02-17T14:09:00" u="1"/>
        <d v="2025-02-17T14:11:00" u="1"/>
        <d v="2025-02-17T14:13:00" u="1"/>
        <d v="2025-02-17T14:15:00" u="1"/>
        <d v="2025-02-17T14:17:00" u="1"/>
        <d v="2025-02-17T14:19:00" u="1"/>
        <d v="2025-02-17T14:21:00" u="1"/>
        <d v="2025-02-17T14:23:00" u="1"/>
        <d v="2025-02-17T14:24:00" u="1"/>
        <d v="2025-02-17T14:34:00" u="1"/>
        <d v="2025-02-17T14:46:00" u="1"/>
        <d v="2025-02-17T14:51:00" u="1"/>
        <d v="2025-02-17T15:09:00" u="1"/>
        <d v="2025-02-17T15:21:00" u="1"/>
        <d v="2025-02-17T15:25:00" u="1"/>
        <d v="2025-02-17T15:31:00" u="1"/>
        <d v="2025-02-17T15:36:00" u="1"/>
        <d v="2025-02-17T15:43:00" u="1"/>
        <d v="2025-02-17T15:45:00" u="1"/>
        <d v="2025-02-17T15:46:00" u="1"/>
        <d v="2025-02-17T15:49:00" u="1"/>
        <d v="2025-02-17T15:55:00" u="1"/>
        <d v="2025-02-17T15:57:00" u="1"/>
        <d v="2025-02-17T16:07:00" u="1"/>
        <d v="2025-02-17T16:17:00" u="1"/>
        <d v="2025-02-17T16:18:00" u="1"/>
        <d v="2025-02-17T16:29:00" u="1"/>
        <d v="2025-02-17T16:30:00" u="1"/>
        <d v="2025-02-17T16:31:00" u="1"/>
        <d v="2025-02-17T16:37:00" u="1"/>
        <d v="2025-02-17T16:41:00" u="1"/>
        <d v="2025-02-17T16:47:00" u="1"/>
        <d v="2025-02-17T16:54:00" u="1"/>
        <d v="2025-02-17T17:15:00" u="1"/>
        <d v="2025-02-17T17:52:00" u="1"/>
        <d v="2025-02-17T17:54:00" u="1"/>
        <d v="2025-02-17T18:01:00" u="1"/>
        <d v="2025-02-17T18:11:00" u="1"/>
        <d v="2025-02-17T21:30:00" u="1"/>
        <d v="2025-02-18T06:16:00" u="1"/>
        <d v="2025-02-18T06:57:00" u="1"/>
        <d v="2025-02-18T07:38:00" u="1"/>
        <d v="2025-02-18T07:59:00" u="1"/>
        <d v="2025-02-18T08:16:00" u="1"/>
        <d v="2025-02-18T08:17:00" u="1"/>
        <d v="2025-02-18T08:30:00" u="1"/>
        <d v="2025-02-18T08:33:00" u="1"/>
        <d v="2025-02-18T09:03:00" u="1"/>
        <d v="2025-02-18T09:04:00" u="1"/>
        <d v="2025-02-18T09:15:00" u="1"/>
        <d v="2025-02-18T09:48:00" u="1"/>
        <d v="2025-02-18T09:50:00" u="1"/>
        <d v="2025-02-18T10:11:00" u="1"/>
        <d v="2025-02-18T10:21:00" u="1"/>
        <d v="2025-02-18T10:43:00" u="1"/>
        <d v="2025-02-18T10:55:00" u="1"/>
        <d v="2025-02-18T10:56:00" u="1"/>
        <d v="2025-02-18T11:21:00" u="1"/>
        <d v="2025-02-18T11:34:00" u="1"/>
        <d v="2025-02-18T11:35:00" u="1"/>
        <d v="2025-02-18T11:48:00" u="1"/>
        <d v="2025-02-18T12:30:00" u="1"/>
        <d v="2025-02-18T12:41:00" u="1"/>
        <d v="2025-02-18T12:52:00" u="1"/>
        <d v="2025-02-18T13:57:00" u="1"/>
        <d v="2025-02-18T14:18:00" u="1"/>
        <d v="2025-02-18T14:29:00" u="1"/>
        <d v="2025-02-18T14:38:00" u="1"/>
        <d v="2025-02-18T14:39:00" u="1"/>
        <d v="2025-02-18T14:43:00" u="1"/>
        <d v="2025-02-18T14:51:00" u="1"/>
        <d v="2025-02-18T14:58:00" u="1"/>
        <d v="2025-02-18T15:09:00" u="1"/>
        <d v="2025-02-18T15:11:00" u="1"/>
        <d v="2025-02-18T15:14:00" u="1"/>
        <d v="2025-02-18T15:50:00" u="1"/>
        <d v="2025-02-18T16:00:00" u="1"/>
        <d v="2025-02-18T16:04:00" u="1"/>
        <d v="2025-02-18T16:17:00" u="1"/>
        <d v="2025-02-18T16:19:00" u="1"/>
        <d v="2025-02-18T16:33:00" u="1"/>
        <d v="2025-02-18T16:53:00" u="1"/>
        <d v="2025-02-18T17:02:00" u="1"/>
        <d v="2025-02-18T17:25:00" u="1"/>
        <d v="2025-02-18T17:27:00" u="1"/>
        <d v="2025-02-18T17:28:00" u="1"/>
        <d v="2025-02-18T18:00:00" u="1"/>
        <d v="2025-02-18T18:23:00" u="1"/>
        <d v="2025-02-18T18:32:00" u="1"/>
        <d v="2025-02-18T19:20:00" u="1"/>
        <d v="2025-02-18T19:21:00" u="1"/>
        <d v="2025-02-18T20:22:00" u="1"/>
        <d v="2025-02-18T22:49:00" u="1"/>
        <d v="2025-02-19T07:42:00" u="1"/>
        <d v="2025-02-19T07:45:00" u="1"/>
        <d v="2025-02-19T09:11:00" u="1"/>
        <d v="2025-02-19T09:31:00" u="1"/>
        <d v="2025-02-19T09:32:00" u="1"/>
        <d v="2025-02-19T09:33:00" u="1"/>
        <d v="2025-02-19T09:35:00" u="1"/>
        <d v="2025-02-19T09:38:00" u="1"/>
        <d v="2025-02-19T09:47:00" u="1"/>
        <d v="2025-02-19T10:58:00" u="1"/>
        <d v="2025-02-19T11:09:00" u="1"/>
        <d v="2025-02-19T12:30:00" u="1"/>
        <d v="2025-02-19T12:34:00" u="1"/>
        <d v="2025-02-19T13:01:00" u="1"/>
        <d v="2025-02-19T13:10:00" u="1"/>
        <d v="2025-02-19T13:12:00" u="1"/>
        <d v="2025-02-19T13:16:00" u="1"/>
        <d v="2025-02-19T13:20:00" u="1"/>
        <d v="2025-02-19T13:33:00" u="1"/>
        <d v="2025-02-19T13:56:00" u="1"/>
        <d v="2025-02-19T14:14:00" u="1"/>
        <d v="2025-02-19T14:19:00" u="1"/>
        <d v="2025-02-19T14:44:00" u="1"/>
        <d v="2025-02-19T14:45:00" u="1"/>
        <d v="2025-02-19T15:04:00" u="1"/>
        <d v="2025-02-19T16:00:00" u="1"/>
        <d v="2025-02-19T16:03:00" u="1"/>
        <d v="2025-02-19T16:05:00" u="1"/>
        <d v="2025-02-19T16:20:00" u="1"/>
        <d v="2025-02-19T16:27:00" u="1"/>
        <d v="2025-02-19T16:29:00" u="1"/>
        <d v="2025-02-19T16:30:00" u="1"/>
        <d v="2025-02-19T16:33:00" u="1"/>
        <d v="2025-02-19T16:35:00" u="1"/>
        <d v="2025-02-19T17:49:00" u="1"/>
        <d v="2025-02-19T17:52:00" u="1"/>
        <d v="2025-02-19T18:07:00" u="1"/>
        <d v="2025-02-19T19:06:00" u="1"/>
        <d v="2025-02-19T19:10:00" u="1"/>
        <d v="2025-02-19T19:11:00" u="1"/>
        <d v="2025-02-20T08:14:00" u="1"/>
        <d v="2025-02-20T08:37:00" u="1"/>
        <d v="2025-02-20T08:44:00" u="1"/>
        <d v="2025-02-20T09:02:00" u="1"/>
        <d v="2025-02-20T09:11:00" u="1"/>
        <d v="2025-02-20T09:22:00" u="1"/>
        <d v="2025-02-20T09:28:00" u="1"/>
        <d v="2025-02-20T09:46:00" u="1"/>
        <d v="2025-02-20T10:05:00" u="1"/>
        <d v="2025-02-20T10:20:00" u="1"/>
        <d v="2025-02-20T10:21:00" u="1"/>
        <d v="2025-02-20T10:23:00" u="1"/>
        <d v="2025-02-20T10:25:00" u="1"/>
        <d v="2025-02-20T10:32:00" u="1"/>
        <d v="2025-02-20T10:54:00" u="1"/>
        <d v="2025-02-20T11:18:00" u="1"/>
        <d v="2025-02-20T11:21:00" u="1"/>
        <d v="2025-02-20T11:38:00" u="1"/>
        <d v="2025-02-20T11:47:00" u="1"/>
        <d v="2025-02-20T11:48:00" u="1"/>
        <d v="2025-02-20T11:49:00" u="1"/>
        <d v="2025-02-20T11:51:00" u="1"/>
        <d v="2025-02-20T12:09:00" u="1"/>
        <d v="2025-02-20T12:17:00" u="1"/>
        <d v="2025-02-20T13:30:00" u="1"/>
        <d v="2025-02-20T13:57:00" u="1"/>
        <d v="2025-02-20T14:14:00" u="1"/>
        <d v="2025-02-20T14:47:00" u="1"/>
        <d v="2025-02-20T15:00:00" u="1"/>
        <d v="2025-02-20T15:27:00" u="1"/>
        <d v="2025-02-20T15:32:00" u="1"/>
        <d v="2025-02-20T15:33:00" u="1"/>
        <d v="2025-02-20T15:37:00" u="1"/>
        <d v="2025-02-20T15:38:00" u="1"/>
        <d v="2025-02-20T15:42:00" u="1"/>
        <d v="2025-02-20T15:56:00" u="1"/>
        <d v="2025-02-20T15:59:00" u="1"/>
        <d v="2025-02-20T16:02:00" u="1"/>
        <d v="2025-02-20T16:05:00" u="1"/>
        <d v="2025-02-20T16:26:00" u="1"/>
        <d v="2025-02-20T16:30:00" u="1"/>
        <d v="2025-02-20T17:50:00" u="1"/>
        <d v="2025-02-20T18:11:00" u="1"/>
        <d v="2025-02-20T19:56:00" u="1"/>
        <d v="2025-02-20T22:03:00" u="1"/>
        <d v="2025-02-21T08:46:00" u="1"/>
        <d v="2025-02-21T08:47:00" u="1"/>
        <d v="2025-02-21T08:48:00" u="1"/>
        <d v="2025-02-21T08:58:00" u="1"/>
        <d v="2025-02-21T09:09:00" u="1"/>
        <d v="2025-02-21T09:12:00" u="1"/>
        <d v="2025-02-21T09:20:00" u="1"/>
        <d v="2025-02-21T09:39:00" u="1"/>
        <d v="2025-02-21T09:47:00" u="1"/>
        <d v="2025-02-21T09:51:00" u="1"/>
        <d v="2025-02-21T10:02:00" u="1"/>
        <d v="2025-02-21T11:15:00" u="1"/>
        <d v="2025-02-21T11:19:00" u="1"/>
        <d v="2025-02-21T11:28:00" u="1"/>
        <d v="2025-02-21T12:10:00" u="1"/>
        <d v="2025-02-21T12:15:00" u="1"/>
        <d v="2025-02-21T12:19:00" u="1"/>
        <d v="2025-02-21T12:32:00" u="1"/>
        <d v="2025-02-21T12:50:00" u="1"/>
        <d v="2025-02-21T13:37:00" u="1"/>
        <d v="2025-02-21T13:46:00" u="1"/>
        <d v="2025-02-21T13:48:00" u="1"/>
        <d v="2025-02-21T14:22:00" u="1"/>
        <d v="2025-02-21T14:42:00" u="1"/>
        <d v="2025-02-21T14:44:00" u="1"/>
        <d v="2025-02-21T15:04:00" u="1"/>
        <d v="2025-02-21T15:13:00" u="1"/>
        <d v="2025-02-21T15:24:00" u="1"/>
        <d v="2025-02-21T15:29:00" u="1"/>
        <d v="2025-02-21T15:35:00" u="1"/>
        <d v="2025-02-21T16:10:00" u="1"/>
        <d v="2025-02-21T16:11:00" u="1"/>
        <d v="2025-02-21T16:12:00" u="1"/>
        <d v="2025-02-21T16:17:00" u="1"/>
        <d v="2025-02-21T16:57:00" u="1"/>
        <d v="2025-02-21T17:06:00" u="1"/>
        <d v="2025-02-21T17:09:00" u="1"/>
        <d v="2025-02-21T17:13:00" u="1"/>
        <d v="2025-02-21T17:17:00" u="1"/>
        <d v="2025-02-21T17:28:00" u="1"/>
        <d v="2025-02-21T17:32:00" u="1"/>
        <d v="2025-02-21T17:49:00" u="1"/>
        <d v="2025-02-21T18:14:00" u="1"/>
        <d v="2025-02-21T18:34:00" u="1"/>
        <d v="2025-02-22T15:09:00" u="1"/>
        <d v="2025-02-22T16:44:00" u="1"/>
        <d v="2025-02-23T14:34:00" u="1"/>
        <d v="2025-02-24T06:26:00" u="1"/>
        <d v="2025-02-24T06:28:00" u="1"/>
        <d v="2025-02-24T06:35:00" u="1"/>
        <d v="2025-02-24T06:38:00" u="1"/>
        <d v="2025-02-24T08:18:00" u="1"/>
        <d v="2025-02-24T08:22:00" u="1"/>
        <d v="2025-02-24T08:29:00" u="1"/>
        <d v="2025-02-24T08:37:00" u="1"/>
        <d v="2025-02-24T08:38:00" u="1"/>
        <d v="2025-02-24T08:39:00" u="1"/>
        <d v="2025-02-24T08:42:00" u="1"/>
        <d v="2025-02-24T08:43:00" u="1"/>
        <d v="2025-02-24T08:45:00" u="1"/>
        <d v="2025-02-24T08:47:00" u="1"/>
        <d v="2025-02-24T09:07:00" u="1"/>
        <d v="2025-02-24T09:09:00" u="1"/>
        <d v="2025-02-24T09:12:00" u="1"/>
        <d v="2025-02-24T09:13:00" u="1"/>
        <d v="2025-02-24T09:14:00" u="1"/>
        <d v="2025-02-24T09:17:00" u="1"/>
        <d v="2025-02-24T09:18:00" u="1"/>
        <d v="2025-02-24T09:20:00" u="1"/>
        <d v="2025-02-24T09:27:00" u="1"/>
        <d v="2025-02-24T09:28:00" u="1"/>
        <d v="2025-02-24T09:35:00" u="1"/>
        <d v="2025-02-24T09:41:00" u="1"/>
        <d v="2025-02-24T09:50:00" u="1"/>
        <d v="2025-02-24T09:54:00" u="1"/>
        <d v="2025-02-24T10:08:00" u="1"/>
        <d v="2025-02-24T10:11:00" u="1"/>
        <d v="2025-02-24T10:13:00" u="1"/>
        <d v="2025-02-24T10:16:00" u="1"/>
        <d v="2025-02-24T10:17:00" u="1"/>
        <d v="2025-02-24T10:18:00" u="1"/>
        <d v="2025-02-24T10:19:00" u="1"/>
        <d v="2025-02-24T10:21:00" u="1"/>
        <d v="2025-02-24T10:22:00" u="1"/>
        <d v="2025-02-24T10:25:00" u="1"/>
        <d v="2025-02-24T10:29:00" u="1"/>
        <d v="2025-02-24T10:56:00" u="1"/>
        <d v="2025-02-24T11:00:00" u="1"/>
        <d v="2025-02-24T11:13:00" u="1"/>
        <d v="2025-02-24T11:26:00" u="1"/>
        <d v="2025-02-24T11:28:00" u="1"/>
        <d v="2025-02-24T11:30:00" u="1"/>
        <d v="2025-02-24T11:31:00" u="1"/>
        <d v="2025-02-24T11:33:00" u="1"/>
        <d v="2025-02-24T11:39:00" u="1"/>
        <d v="2025-02-24T11:40:00" u="1"/>
        <d v="2025-02-24T11:48:00" u="1"/>
        <d v="2025-02-24T11:53:00" u="1"/>
        <d v="2025-02-24T12:12:00" u="1"/>
        <d v="2025-02-24T12:27:00" u="1"/>
        <d v="2025-02-24T12:32:00" u="1"/>
        <d v="2025-02-24T12:35:00" u="1"/>
        <d v="2025-02-24T12:45:00" u="1"/>
        <d v="2025-02-24T13:14:00" u="1"/>
        <d v="2025-02-24T13:18:00" u="1"/>
        <d v="2025-02-24T13:59:00" u="1"/>
        <d v="2025-02-24T14:19:00" u="1"/>
        <d v="2025-02-24T14:44:00" u="1"/>
        <d v="2025-02-24T15:43:00" u="1"/>
        <d v="2025-02-24T16:01:00" u="1"/>
        <d v="2025-02-24T16:08:00" u="1"/>
        <d v="2025-02-24T17:06:00" u="1"/>
        <d v="2025-02-24T17:33:00" u="1"/>
        <d v="2025-02-26T09:28:00" u="1"/>
        <d v="2025-02-26T09:32:00" u="1"/>
        <d v="2025-02-27T13:04:00" u="1"/>
        <d v="2024-11-14T13:23:00" u="1"/>
        <d v="2025-02-26T16:18:00" u="1"/>
        <d v="2025-02-27T09:42:00" u="1"/>
        <d v="2025-02-27T09:44:00" u="1"/>
        <d v="2025-02-27T09:40:00" u="1"/>
        <d v="2025-02-27T12:07:00" u="1"/>
        <d v="2025-02-27T15:39:00" u="1"/>
        <d v="2024-06-11T16:55:00" u="1"/>
        <d v="2024-07-30T16:32:00" u="1"/>
        <d v="2025-02-25T14:22:00" u="1"/>
        <d v="2025-02-26T09:09:00" u="1"/>
        <d v="2025-02-10T11:15:00" u="1"/>
        <d v="2025-02-13T15:30:00" u="1"/>
        <d v="2025-02-14T18:49:00" u="1"/>
        <d v="2025-02-18T11:08:00" u="1"/>
        <d v="2025-02-18T17:19:00" u="1"/>
        <d v="2025-02-18T20:26:00" u="1"/>
        <d v="2025-02-19T12:24:00" u="1"/>
        <d v="2025-02-19T12:52:00" u="1"/>
        <d v="2025-02-21T08:51:00" u="1"/>
        <d v="2025-02-21T09:17:00" u="1"/>
        <d v="2025-02-21T10:03:00" u="1"/>
        <d v="2025-02-21T10:09:00" u="1"/>
        <d v="2025-02-21T13:40:00" u="1"/>
        <d v="2025-02-21T15:33:00" u="1"/>
        <d v="2025-02-21T15:42:00" u="1"/>
        <d v="2025-02-21T16:48:00" u="1"/>
        <d v="2025-02-21T17:35:00" u="1"/>
        <d v="2025-02-21T18:23:00" u="1"/>
        <d v="2025-02-24T09:16:00" u="1"/>
        <d v="2025-02-24T09:21:00" u="1"/>
        <d v="2025-02-24T09:59:00" u="1"/>
        <d v="2025-02-24T10:02:00" u="1"/>
        <d v="2025-02-24T10:09:00" u="1"/>
        <d v="2025-02-24T10:24:00" u="1"/>
        <d v="2025-02-24T10:26:00" u="1"/>
        <d v="2025-02-24T10:28:00" u="1"/>
        <d v="2025-02-24T10:33:00" u="1"/>
        <d v="2025-02-24T11:16:00" u="1"/>
        <d v="2025-02-24T11:32:00" u="1"/>
        <d v="2025-02-24T11:49:00" u="1"/>
        <d v="2025-02-24T12:37:00" u="1"/>
        <d v="2025-02-24T13:38:00" u="1"/>
        <d v="2025-02-24T13:51:00" u="1"/>
        <d v="2025-02-24T14:04:00" u="1"/>
        <d v="2025-02-24T14:31:00" u="1"/>
        <d v="2025-02-24T15:20:00" u="1"/>
        <d v="2025-02-24T16:13:00" u="1"/>
        <d v="2025-02-24T16:18:00" u="1"/>
        <d v="2025-02-24T16:30:00" u="1"/>
        <d v="2025-02-24T17:29:00" u="1"/>
        <d v="2025-02-24T17:38:00" u="1"/>
        <d v="2025-02-24T18:39:00" u="1"/>
        <d v="2025-02-24T22:56:00" u="1"/>
        <d v="2025-02-25T07:56:00" u="1"/>
        <d v="2025-02-25T08:25:00" u="1"/>
        <d v="2025-02-25T08:26:00" u="1"/>
        <d v="2025-02-25T09:02:00" u="1"/>
        <d v="2025-02-25T09:29:00" u="1"/>
        <d v="2025-02-25T09:42:00" u="1"/>
        <d v="2025-02-25T10:33:00" u="1"/>
        <d v="2025-02-25T10:34:00" u="1"/>
        <d v="2025-02-25T10:37:00" u="1"/>
        <d v="2025-02-25T10:39:00" u="1"/>
        <d v="2025-02-25T10:44:00" u="1"/>
        <d v="2025-02-25T10:57:00" u="1"/>
        <d v="2025-02-25T11:23:00" u="1"/>
        <d v="2025-02-25T11:24:00" u="1"/>
        <d v="2025-02-25T11:33:00" u="1"/>
        <d v="2025-02-25T11:39:00" u="1"/>
        <d v="2025-02-25T11:49:00" u="1"/>
        <d v="2025-02-25T12:02:00" u="1"/>
        <d v="2025-02-25T12:52:00" u="1"/>
        <d v="2025-02-25T12:59:00" u="1"/>
        <d v="2025-02-25T13:18:00" u="1"/>
        <d v="2025-02-25T13:28:00" u="1"/>
        <d v="2025-02-25T13:59:00" u="1"/>
        <d v="2025-02-25T14:03:00" u="1"/>
        <d v="2025-02-25T14:32:00" u="1"/>
        <d v="2025-02-25T14:39:00" u="1"/>
        <d v="2025-02-25T14:46:00" u="1"/>
        <d v="2025-02-25T14:52:00" u="1"/>
        <d v="2025-02-25T14:58:00" u="1"/>
        <d v="2025-02-25T14:59:00" u="1"/>
        <d v="2025-02-25T15:12:00" u="1"/>
        <d v="2025-02-25T15:17:00" u="1"/>
        <d v="2025-02-25T15:21:00" u="1"/>
        <d v="2025-02-25T15:30:00" u="1"/>
        <d v="2025-02-25T15:42:00" u="1"/>
        <d v="2025-02-25T15:47:00" u="1"/>
        <d v="2025-02-25T15:59:00" u="1"/>
        <d v="2025-02-25T16:06:00" u="1"/>
        <d v="2025-02-25T16:18:00" u="1"/>
        <d v="2025-02-25T16:20:00" u="1"/>
        <d v="2025-02-25T16:22:00" u="1"/>
        <d v="2025-02-25T16:26:00" u="1"/>
        <d v="2025-02-25T16:27:00" u="1"/>
        <d v="2025-02-25T16:28:00" u="1"/>
        <d v="2025-02-25T16:30:00" u="1"/>
        <d v="2025-02-25T16:31:00" u="1"/>
        <d v="2025-02-25T16:33:00" u="1"/>
        <d v="2025-02-25T16:35:00" u="1"/>
        <d v="2025-02-25T16:38:00" u="1"/>
        <d v="2025-02-25T16:59:00" u="1"/>
        <d v="2025-02-25T17:21:00" u="1"/>
        <d v="2025-02-25T17:22:00" u="1"/>
        <d v="2025-02-25T18:36:00" u="1"/>
        <d v="2025-02-25T18:38:00" u="1"/>
        <d v="2025-02-25T18:41:00" u="1"/>
        <d v="2025-02-25T18:54:00" u="1"/>
        <d v="2025-02-25T19:49:00" u="1"/>
        <d v="2025-02-26T08:42:00" u="1"/>
        <d v="2025-02-26T09:07:00" u="1"/>
        <d v="2025-02-26T09:16:00" u="1"/>
        <d v="2025-02-26T09:20:00" u="1"/>
        <d v="2025-02-26T10:04:00" u="1"/>
        <d v="2025-02-26T10:07:00" u="1"/>
        <d v="2025-02-26T10:12:00" u="1"/>
        <d v="2025-02-26T10:23:00" u="1"/>
        <d v="2025-02-26T10:40:00" u="1"/>
        <d v="2025-02-26T11:00:00" u="1"/>
        <d v="2025-02-26T11:04:00" u="1"/>
        <d v="2025-02-26T11:19:00" u="1"/>
        <d v="2025-02-26T11:25:00" u="1"/>
        <d v="2025-02-26T11:27:00" u="1"/>
        <d v="2025-02-26T11:35:00" u="1"/>
        <d v="2025-02-26T11:44:00" u="1"/>
        <d v="2025-02-26T12:04:00" u="1"/>
        <d v="2025-02-26T12:09:00" u="1"/>
        <d v="2025-02-26T12:14:00" u="1"/>
        <d v="2025-02-26T12:38:00" u="1"/>
        <d v="2025-02-26T13:20:00" u="1"/>
        <d v="2025-02-26T13:21:00" u="1"/>
        <d v="2025-02-26T14:05:00" u="1"/>
        <d v="2025-02-26T14:16:00" u="1"/>
        <d v="2025-02-26T14:31:00" u="1"/>
        <d v="2025-02-26T14:38:00" u="1"/>
        <d v="2025-02-26T14:57:00" u="1"/>
        <d v="2025-02-26T15:18:00" u="1"/>
        <d v="2025-02-26T15:32:00" u="1"/>
        <d v="2025-02-26T15:37:00" u="1"/>
        <d v="2025-02-26T15:40:00" u="1"/>
        <d v="2025-02-26T15:41:00" u="1"/>
        <d v="2025-02-26T15:43:00" u="1"/>
        <d v="2025-02-26T15:44:00" u="1"/>
        <d v="2025-02-26T15:45:00" u="1"/>
        <d v="2025-02-26T15:47:00" u="1"/>
        <d v="2025-02-26T15:48:00" u="1"/>
        <d v="2025-02-26T15:49:00" u="1"/>
        <d v="2025-02-26T15:51:00" u="1"/>
        <d v="2025-02-26T15:54:00" u="1"/>
        <d v="2025-02-26T16:08:00" u="1"/>
        <d v="2025-02-26T16:12:00" u="1"/>
        <d v="2025-02-26T16:19:00" u="1"/>
        <d v="2025-02-26T16:24:00" u="1"/>
        <d v="2025-02-26T16:31:00" u="1"/>
        <d v="2025-02-26T16:40:00" u="1"/>
        <d v="2025-02-26T16:51:00" u="1"/>
        <d v="2025-02-26T17:00:00" u="1"/>
        <d v="2025-02-26T19:59:00" u="1"/>
        <d v="2025-02-26T20:02:00" u="1"/>
        <d v="2025-02-27T06:31:00" u="1"/>
        <d v="2025-02-27T07:21:00" u="1"/>
        <d v="2025-02-27T08:15:00" u="1"/>
        <d v="2025-02-27T08:27:00" u="1"/>
        <d v="2025-02-27T08:29:00" u="1"/>
        <d v="2025-02-27T08:31:00" u="1"/>
        <d v="2025-02-27T08:33:00" u="1"/>
        <d v="2025-02-27T08:36:00" u="1"/>
        <d v="2025-02-27T08:42:00" u="1"/>
        <d v="2025-02-27T09:13:00" u="1"/>
        <d v="2025-02-27T09:48:00" u="1"/>
        <d v="2025-02-27T10:03:00" u="1"/>
        <d v="2025-02-27T10:15:00" u="1"/>
        <d v="2025-02-27T10:20:00" u="1"/>
        <d v="2025-02-27T10:28:00" u="1"/>
        <d v="2025-02-27T10:29:00" u="1"/>
        <d v="2025-02-27T10:40:00" u="1"/>
        <d v="2025-02-27T10:58:00" u="1"/>
        <d v="2025-02-27T10:59:00" u="1"/>
        <d v="2025-02-27T11:00:00" u="1"/>
        <d v="2025-02-27T12:42:00" u="1"/>
        <d v="2025-02-27T12:50:00" u="1"/>
        <d v="2025-02-27T12:51:00" u="1"/>
        <d v="2025-02-27T13:05:00" u="1"/>
        <d v="2025-02-27T13:39:00" u="1"/>
        <d v="2025-02-27T14:59:00" u="1"/>
        <d v="2025-02-27T15:00:00" u="1"/>
        <d v="2025-02-27T15:26:00" u="1"/>
        <d v="2025-02-27T15:50:00" u="1"/>
        <d v="2025-02-27T15:55:00" u="1"/>
        <d v="2025-02-27T16:00:00" u="1"/>
        <d v="2025-02-27T16:02:00" u="1"/>
        <d v="2025-02-27T16:18:00" u="1"/>
        <d v="2025-02-27T16:26:00" u="1"/>
        <d v="2025-02-27T16:55:00" u="1"/>
        <d v="2025-02-27T17:33:00" u="1"/>
        <d v="2025-02-27T17:51:00" u="1"/>
        <d v="2025-02-28T07:58:00" u="1"/>
        <d v="2025-02-28T08:31:00" u="1"/>
        <d v="2025-02-28T08:57:00" u="1"/>
        <d v="2025-02-28T09:04:00" u="1"/>
        <d v="2025-02-28T09:22:00" u="1"/>
        <d v="2025-02-28T09:46:00" u="1"/>
        <d v="2025-02-28T09:56:00" u="1"/>
        <d v="2025-02-28T10:48:00" u="1"/>
        <d v="2025-02-28T11:37:00" u="1"/>
        <d v="2025-02-28T12:06:00" u="1"/>
        <d v="2025-02-28T13:11:00" u="1"/>
        <d v="2025-02-28T13:15:00" u="1"/>
        <d v="2025-02-28T13:52:00" u="1"/>
        <d v="2025-02-28T13:53:00" u="1"/>
        <d v="2025-02-28T14:23:00" u="1"/>
        <d v="2025-02-28T14:51:00" u="1"/>
        <d v="2025-02-28T15:38:00" u="1"/>
        <d v="2025-02-28T15:53:00" u="1"/>
        <d v="2025-02-28T16:01:00" u="1"/>
        <d v="2025-02-28T16:16:00" u="1"/>
        <d v="2025-02-28T16:32:00" u="1"/>
        <d v="2025-02-28T16:45:00" u="1"/>
        <d v="2025-02-28T17:07:00" u="1"/>
        <d v="2025-02-28T17:12:00" u="1"/>
        <d v="2025-02-28T17:19:00" u="1"/>
        <d v="2025-03-01T09:52:00" u="1"/>
        <d v="2025-03-01T11:12:00" u="1"/>
        <d v="2025-03-02T14:35:00" u="1"/>
        <d v="2025-03-03T08:16:00" u="1"/>
        <d v="2025-03-03T09:56:00" u="1"/>
        <d v="2025-03-03T10:55:00" u="1"/>
        <d v="2025-03-03T14:28:00" u="1"/>
        <d v="2025-03-03T16:22:00" u="1"/>
        <d v="2025-03-04T08:14:00" u="1"/>
        <d v="2025-03-04T09:25:00" u="1"/>
        <d v="2025-03-04T09:27:00" u="1"/>
        <d v="2025-03-04T09:33:00" u="1"/>
        <d v="2025-03-04T10:46:00" u="1"/>
        <d v="2025-03-04T10:48:00" u="1"/>
        <d v="2025-03-04T10:53:00" u="1"/>
        <d v="2025-03-04T10:56:00" u="1"/>
        <d v="2025-03-04T20:08:00" u="1"/>
        <d v="2025-03-05T07:54:00" u="1"/>
        <d v="2025-03-05T08:04:00" u="1"/>
        <d v="2025-03-05T08:26:00" u="1"/>
        <d v="2025-03-05T08:32:00" u="1"/>
        <d v="2025-03-05T08:34:00" u="1"/>
        <d v="2025-03-05T08:37:00" u="1"/>
        <d v="2025-03-05T08:40:00" u="1"/>
        <d v="2025-03-05T08:44:00" u="1"/>
        <d v="2025-03-05T09:04:00" u="1"/>
        <d v="2025-03-05T09:16:00" u="1"/>
        <d v="2025-03-05T09:19:00" u="1"/>
        <d v="2025-03-05T09:20:00" u="1"/>
        <d v="2025-03-05T09:21:00" u="1"/>
        <d v="2025-03-05T09:23:00" u="1"/>
        <d v="2025-03-05T09:27:00" u="1"/>
        <d v="2025-03-05T09:29:00" u="1"/>
        <d v="2025-03-05T09:30:00" u="1"/>
        <d v="2025-03-05T10:57:00" u="1"/>
        <d v="2025-03-05T11:36:00" u="1"/>
        <d v="2025-03-05T11:43:00" u="1"/>
        <d v="2025-03-05T12:20:00" u="1"/>
        <d v="2025-03-05T12:37:00" u="1"/>
        <d v="2025-03-05T13:33:00" u="1"/>
        <d v="2025-03-05T13:56:00" u="1"/>
        <d v="2025-03-05T14:35:00" u="1"/>
        <d v="2025-03-05T14:51:00" u="1"/>
        <d v="2025-03-05T15:30:00" u="1"/>
        <d v="2025-03-05T16:24:00" u="1"/>
        <d v="2025-03-05T17:25:00" u="1"/>
        <d v="2025-03-05T17:31:00" u="1"/>
        <d v="2025-03-06T08:19:00" u="1"/>
        <d v="2025-03-06T10:55:00" u="1"/>
        <d v="2025-03-13T13:16:00" u="1"/>
        <d v="2025-03-12T11:49:00" u="1"/>
        <d v="2024-09-13T09:41:00" u="1"/>
        <d v="2024-11-07T11:04:00" u="1"/>
        <d v="2024-09-12T17:45:00" u="1"/>
        <d v="2025-03-13T10:57:00" u="1"/>
        <d v="2025-03-11T14:55:00" u="1"/>
        <d v="2025-03-17T08:13:00" u="1"/>
        <d v="2025-02-24T13:50:00" u="1"/>
        <d v="2025-02-25T13:49:00" u="1"/>
        <d v="2025-02-25T14:50:00" u="1"/>
        <d v="2025-02-26T08:55:00" u="1"/>
        <d v="2025-02-26T11:57:00" u="1"/>
        <d v="2025-02-26T14:10:00" u="1"/>
        <d v="2025-02-27T10:18:00" u="1"/>
        <d v="2025-02-27T18:08:00" u="1"/>
        <d v="2025-02-28T09:37:00" u="1"/>
        <d v="2025-02-28T13:50:00" u="1"/>
        <d v="2025-02-28T16:13:00" u="1"/>
        <d v="2025-02-28T16:56:00" u="1"/>
        <d v="2025-03-03T15:05:00" u="1"/>
        <d v="2025-03-03T15:27:00" u="1"/>
        <d v="2025-03-04T12:42:00" u="1"/>
        <d v="2025-03-05T09:10:00" u="1"/>
        <d v="2025-03-05T10:27:00" u="1"/>
        <d v="2025-03-05T13:26:00" u="1"/>
        <d v="2025-03-05T13:28:00" u="1"/>
        <d v="2025-03-05T14:27:00" u="1"/>
        <d v="2025-03-05T15:03:00" u="1"/>
        <d v="2025-03-05T15:51:00" u="1"/>
        <d v="2025-03-05T16:06:00" u="1"/>
        <d v="2025-03-05T16:10:00" u="1"/>
        <d v="2025-03-05T17:06:00" u="1"/>
        <d v="2025-03-05T17:14:00" u="1"/>
        <d v="2025-03-05T19:23:00" u="1"/>
        <d v="2025-03-05T22:31:00" u="1"/>
        <d v="2025-03-06T07:42:00" u="1"/>
        <d v="2025-03-06T08:54:00" u="1"/>
        <d v="2025-03-06T09:05:00" u="1"/>
        <d v="2025-03-06T09:08:00" u="1"/>
        <d v="2025-03-06T09:09:00" u="1"/>
        <d v="2025-03-06T09:22:00" u="1"/>
        <d v="2025-03-06T09:36:00" u="1"/>
        <d v="2025-03-06T09:53:00" u="1"/>
        <d v="2025-03-06T09:58:00" u="1"/>
        <d v="2025-03-06T10:10:00" u="1"/>
        <d v="2025-03-06T10:13:00" u="1"/>
        <d v="2025-03-06T10:37:00" u="1"/>
        <d v="2025-03-06T10:57:00" u="1"/>
        <d v="2025-03-06T11:14:00" u="1"/>
        <d v="2025-03-06T11:20:00" u="1"/>
        <d v="2025-03-06T11:41:00" u="1"/>
        <d v="2025-03-06T11:49:00" u="1"/>
        <d v="2025-03-06T12:03:00" u="1"/>
        <d v="2025-03-06T12:07:00" u="1"/>
        <d v="2025-03-06T12:10:00" u="1"/>
        <d v="2025-03-06T12:42:00" u="1"/>
        <d v="2025-03-06T13:11:00" u="1"/>
        <d v="2025-03-06T13:27:00" u="1"/>
        <d v="2025-03-06T13:56:00" u="1"/>
        <d v="2025-03-06T14:16:00" u="1"/>
        <d v="2025-03-06T14:26:00" u="1"/>
        <d v="2025-03-06T14:34:00" u="1"/>
        <d v="2025-03-06T14:41:00" u="1"/>
        <d v="2025-03-06T15:19:00" u="1"/>
        <d v="2025-03-06T15:37:00" u="1"/>
        <d v="2025-03-06T16:13:00" u="1"/>
        <d v="2025-03-06T16:15:00" u="1"/>
        <d v="2025-03-06T16:20:00" u="1"/>
        <d v="2025-03-06T16:23:00" u="1"/>
        <d v="2025-03-06T16:57:00" u="1"/>
        <d v="2025-03-06T16:59:00" u="1"/>
        <d v="2025-03-06T17:46:00" u="1"/>
        <d v="2025-03-06T17:48:00" u="1"/>
        <d v="2025-03-06T17:49:00" u="1"/>
        <d v="2025-03-06T17:55:00" u="1"/>
        <d v="2025-03-06T17:57:00" u="1"/>
        <d v="2025-03-06T18:01:00" u="1"/>
        <d v="2025-03-06T18:34:00" u="1"/>
        <d v="2025-03-06T18:44:00" u="1"/>
        <d v="2025-03-06T20:34:00" u="1"/>
        <d v="2025-03-06T21:19:00" u="1"/>
        <d v="2025-03-07T08:40:00" u="1"/>
        <d v="2025-03-07T08:49:00" u="1"/>
        <d v="2025-03-07T09:01:00" u="1"/>
        <d v="2025-03-07T09:23:00" u="1"/>
        <d v="2025-03-07T09:28:00" u="1"/>
        <d v="2025-03-07T09:51:00" u="1"/>
        <d v="2025-03-07T10:16:00" u="1"/>
        <d v="2025-03-07T10:17:00" u="1"/>
        <d v="2025-03-07T10:20:00" u="1"/>
        <d v="2025-03-07T10:24:00" u="1"/>
        <d v="2025-03-07T10:26:00" u="1"/>
        <d v="2025-03-07T10:32:00" u="1"/>
        <d v="2025-03-07T10:51:00" u="1"/>
        <d v="2025-03-07T11:00:00" u="1"/>
        <d v="2025-03-07T11:10:00" u="1"/>
        <d v="2025-03-07T11:13:00" u="1"/>
        <d v="2025-03-07T11:17:00" u="1"/>
        <d v="2025-03-07T11:18:00" u="1"/>
        <d v="2025-03-07T11:31:00" u="1"/>
        <d v="2025-03-07T11:33:00" u="1"/>
        <d v="2025-03-07T11:54:00" u="1"/>
        <d v="2025-03-07T12:31:00" u="1"/>
        <d v="2025-03-07T12:32:00" u="1"/>
        <d v="2025-03-07T13:12:00" u="1"/>
        <d v="2025-03-07T13:43:00" u="1"/>
        <d v="2025-03-07T13:45:00" u="1"/>
        <d v="2025-03-07T13:48:00" u="1"/>
        <d v="2025-03-07T13:50:00" u="1"/>
        <d v="2025-03-07T14:05:00" u="1"/>
        <d v="2025-03-07T14:06:00" u="1"/>
        <d v="2025-03-07T14:17:00" u="1"/>
        <d v="2025-03-07T14:29:00" u="1"/>
        <d v="2025-03-07T14:53:00" u="1"/>
        <d v="2025-03-07T14:54:00" u="1"/>
        <d v="2025-03-07T14:57:00" u="1"/>
        <d v="2025-03-07T15:09:00" u="1"/>
        <d v="2025-03-07T15:13:00" u="1"/>
        <d v="2025-03-07T15:19:00" u="1"/>
        <d v="2025-03-07T15:29:00" u="1"/>
        <d v="2025-03-07T15:32:00" u="1"/>
        <d v="2025-03-07T15:45:00" u="1"/>
        <d v="2025-03-07T15:53:00" u="1"/>
        <d v="2025-03-07T16:42:00" u="1"/>
        <d v="2025-03-07T16:49:00" u="1"/>
        <d v="2025-03-07T16:53:00" u="1"/>
        <d v="2025-03-07T17:39:00" u="1"/>
        <d v="2025-03-07T17:55:00" u="1"/>
        <d v="2025-03-07T18:16:00" u="1"/>
        <d v="2025-03-07T18:49:00" u="1"/>
        <d v="2025-03-08T10:07:00" u="1"/>
        <d v="2025-03-08T10:11:00" u="1"/>
        <d v="2025-03-08T11:58:00" u="1"/>
        <d v="2025-03-09T20:26:00" u="1"/>
        <d v="2025-03-09T21:47:00" u="1"/>
        <d v="2025-03-10T07:48:00" u="1"/>
        <d v="2025-03-10T07:50:00" u="1"/>
        <d v="2025-03-10T08:10:00" u="1"/>
        <d v="2025-03-10T08:29:00" u="1"/>
        <d v="2025-03-10T08:45:00" u="1"/>
        <d v="2025-03-10T08:47:00" u="1"/>
        <d v="2025-03-10T08:54:00" u="1"/>
        <d v="2025-03-10T09:05:00" u="1"/>
        <d v="2025-03-10T09:08:00" u="1"/>
        <d v="2025-03-10T09:37:00" u="1"/>
        <d v="2025-03-10T09:45:00" u="1"/>
        <d v="2025-03-10T09:56:00" u="1"/>
        <d v="2025-03-10T09:58:00" u="1"/>
        <d v="2025-03-10T10:01:00" u="1"/>
        <d v="2025-03-10T10:02:00" u="1"/>
        <d v="2025-03-10T10:04:00" u="1"/>
        <d v="2025-03-10T10:09:00" u="1"/>
        <d v="2025-03-10T10:30:00" u="1"/>
        <d v="2025-03-10T10:39:00" u="1"/>
        <d v="2025-03-10T10:42:00" u="1"/>
        <d v="2025-03-10T10:47:00" u="1"/>
        <d v="2025-03-10T10:49:00" u="1"/>
        <d v="2025-03-10T11:05:00" u="1"/>
        <d v="2025-03-10T11:16:00" u="1"/>
        <d v="2025-03-10T11:18:00" u="1"/>
        <d v="2025-03-10T11:23:00" u="1"/>
        <d v="2025-03-10T11:39:00" u="1"/>
        <d v="2025-03-10T11:41:00" u="1"/>
        <d v="2025-03-10T11:46:00" u="1"/>
        <d v="2025-03-10T12:00:00" u="1"/>
        <d v="2025-03-10T12:11:00" u="1"/>
        <d v="2025-03-10T12:34:00" u="1"/>
        <d v="2025-03-10T12:52:00" u="1"/>
        <d v="2025-03-10T13:59:00" u="1"/>
        <d v="2025-03-10T14:19:00" u="1"/>
        <d v="2025-03-10T14:23:00" u="1"/>
        <d v="2025-03-10T14:32:00" u="1"/>
        <d v="2025-03-10T14:37:00" u="1"/>
        <d v="2025-03-10T14:54:00" u="1"/>
        <d v="2025-03-10T15:10:00" u="1"/>
        <d v="2025-03-10T15:13:00" u="1"/>
        <d v="2025-03-10T15:22:00" u="1"/>
        <d v="2025-03-10T15:24:00" u="1"/>
        <d v="2025-03-10T15:29:00" u="1"/>
        <d v="2025-03-10T15:35:00" u="1"/>
        <d v="2025-03-10T15:47:00" u="1"/>
        <d v="2025-03-10T15:57:00" u="1"/>
        <d v="2025-03-10T16:05:00" u="1"/>
        <d v="2025-03-10T16:22:00" u="1"/>
        <d v="2025-03-10T16:25:00" u="1"/>
        <d v="2025-03-10T16:34:00" u="1"/>
        <d v="2025-03-10T16:47:00" u="1"/>
        <d v="2025-03-10T17:00:00" u="1"/>
        <d v="2025-03-10T17:09:00" u="1"/>
        <d v="2025-03-10T17:15:00" u="1"/>
        <d v="2025-03-10T17:17:00" u="1"/>
        <d v="2025-03-10T17:20:00" u="1"/>
        <d v="2025-03-10T17:24:00" u="1"/>
        <d v="2025-03-10T19:55:00" u="1"/>
        <d v="2025-03-11T08:49:00" u="1"/>
        <d v="2025-03-11T08:52:00" u="1"/>
        <d v="2025-03-11T08:54:00" u="1"/>
        <d v="2025-03-11T09:13:00" u="1"/>
        <d v="2025-03-11T10:05:00" u="1"/>
        <d v="2025-03-11T10:12:00" u="1"/>
        <d v="2025-03-11T10:15:00" u="1"/>
        <d v="2025-03-11T10:37:00" u="1"/>
        <d v="2025-03-11T10:46:00" u="1"/>
        <d v="2025-03-11T10:47:00" u="1"/>
        <d v="2025-03-11T11:09:00" u="1"/>
        <d v="2025-03-11T11:18:00" u="1"/>
        <d v="2025-03-11T11:24:00" u="1"/>
        <d v="2025-03-11T11:41:00" u="1"/>
        <d v="2025-03-11T11:50:00" u="1"/>
        <d v="2025-03-11T12:43:00" u="1"/>
        <d v="2025-03-11T13:24:00" u="1"/>
        <d v="2025-03-11T13:28:00" u="1"/>
        <d v="2025-03-11T13:39:00" u="1"/>
        <d v="2025-03-11T14:15:00" u="1"/>
        <d v="2025-03-11T14:23:00" u="1"/>
        <d v="2025-03-11T14:24:00" u="1"/>
        <d v="2025-03-11T14:25:00" u="1"/>
        <d v="2025-03-11T14:51:00" u="1"/>
        <d v="2025-03-11T15:05:00" u="1"/>
        <d v="2025-03-11T15:11:00" u="1"/>
        <d v="2025-03-11T15:20:00" u="1"/>
        <d v="2025-03-11T15:41:00" u="1"/>
        <d v="2025-03-11T15:53:00" u="1"/>
        <d v="2025-03-11T15:54:00" u="1"/>
        <d v="2025-03-11T16:02:00" u="1"/>
        <d v="2025-03-11T16:06:00" u="1"/>
        <d v="2025-03-11T16:07:00" u="1"/>
        <d v="2025-03-11T16:10:00" u="1"/>
        <d v="2025-03-11T16:14:00" u="1"/>
        <d v="2025-03-11T16:21:00" u="1"/>
        <d v="2025-03-11T16:22:00" u="1"/>
        <d v="2025-03-11T16:57:00" u="1"/>
        <d v="2025-03-11T17:00:00" u="1"/>
        <d v="2025-03-11T20:08:00" u="1"/>
        <d v="2025-03-12T08:33:00" u="1"/>
        <d v="2025-03-12T08:35:00" u="1"/>
        <d v="2025-03-12T09:15:00" u="1"/>
        <d v="2025-03-12T09:28:00" u="1"/>
        <d v="2025-03-12T09:37:00" u="1"/>
        <d v="2025-03-12T09:45:00" u="1"/>
        <d v="2025-03-12T09:48:00" u="1"/>
        <d v="2025-03-12T10:12:00" u="1"/>
        <d v="2025-03-12T10:43:00" u="1"/>
        <d v="2025-03-12T10:53:00" u="1"/>
        <d v="2025-03-12T11:32:00" u="1"/>
        <d v="2025-03-12T11:37:00" u="1"/>
        <d v="2025-03-12T12:02:00" u="1"/>
        <d v="2025-03-12T12:25:00" u="1"/>
        <d v="2025-03-12T13:39:00" u="1"/>
        <d v="2025-03-12T13:48:00" u="1"/>
        <d v="2025-03-12T14:10:00" u="1"/>
        <d v="2025-03-12T14:32:00" u="1"/>
        <d v="2025-03-12T15:01:00" u="1"/>
        <d v="2025-03-12T16:05:00" u="1"/>
        <d v="2025-03-12T16:26:00" u="1"/>
        <d v="2025-03-12T17:17:00" u="1"/>
        <d v="2025-03-12T17:21:00" u="1"/>
        <d v="2025-03-12T18:16:00" u="1"/>
        <d v="2025-03-12T19:01:00" u="1"/>
        <d v="2025-03-12T23:49:00" u="1"/>
        <d v="2025-03-13T08:02:00" u="1"/>
        <d v="2025-03-13T08:54:00" u="1"/>
        <d v="2025-03-13T09:20:00" u="1"/>
        <d v="2025-03-13T09:54:00" u="1"/>
        <d v="2025-03-13T10:30:00" u="1"/>
        <d v="2025-03-13T11:35:00" u="1"/>
        <d v="2025-03-13T12:17:00" u="1"/>
        <d v="2025-03-13T13:44:00" u="1"/>
        <d v="2025-03-13T14:27:00" u="1"/>
        <d v="2025-03-13T14:37:00" u="1"/>
        <d v="2025-03-13T14:42:00" u="1"/>
        <d v="2025-03-13T15:38:00" u="1"/>
        <d v="2025-03-13T16:25:00" u="1"/>
        <d v="2025-03-13T16:41:00" u="1"/>
        <d v="2025-03-13T16:50:00" u="1"/>
        <d v="2025-03-13T17:43:00" u="1"/>
        <d v="2025-03-13T18:09:00" u="1"/>
        <d v="2025-03-13T18:28:00" u="1"/>
        <d v="2025-03-13T18:55:00" u="1"/>
        <d v="2025-03-13T18:57:00" u="1"/>
        <d v="2025-03-13T19:02:00" u="1"/>
        <d v="2025-03-14T08:49:00" u="1"/>
        <d v="2025-03-14T09:24:00" u="1"/>
        <d v="2025-03-14T10:20:00" u="1"/>
        <d v="2025-03-14T10:41:00" u="1"/>
        <d v="2025-03-14T10:44:00" u="1"/>
        <d v="2025-03-14T10:54:00" u="1"/>
        <d v="2025-03-14T11:17:00" u="1"/>
        <d v="2025-03-14T11:33:00" u="1"/>
        <d v="2025-03-14T11:35:00" u="1"/>
        <d v="2025-03-14T11:50:00" u="1"/>
        <d v="2025-03-14T12:05:00" u="1"/>
        <d v="2025-03-14T12:22:00" u="1"/>
        <d v="2025-03-14T12:27:00" u="1"/>
        <d v="2025-03-14T12:33:00" u="1"/>
        <d v="2025-03-14T12:39:00" u="1"/>
        <d v="2025-03-14T14:11:00" u="1"/>
        <d v="2025-03-14T15:27:00" u="1"/>
        <d v="2025-03-14T15:35:00" u="1"/>
        <d v="2025-03-14T15:38:00" u="1"/>
        <d v="2025-03-14T16:11:00" u="1"/>
        <d v="2025-03-14T16:36:00" u="1"/>
        <d v="2025-03-14T18:30:00" u="1"/>
        <d v="2025-03-17T08:15:00" u="1"/>
        <d v="2025-03-17T08:16:00" u="1"/>
        <d v="2025-03-17T08:18:00" u="1"/>
        <d v="2025-03-17T08:20:00" u="1"/>
        <d v="2025-03-17T08:24:00" u="1"/>
        <d v="2025-03-17T08:40:00" u="1"/>
        <d v="2025-03-17T08:49:00" u="1"/>
        <d v="2025-03-17T09:01:00" u="1"/>
        <d v="2025-03-17T09:32:00" u="1"/>
        <d v="2025-03-17T09:44:00" u="1"/>
        <d v="2025-03-17T09:48:00" u="1"/>
        <d v="2025-03-17T09:52:00" u="1"/>
        <d v="2025-03-17T10:23:00" u="1"/>
        <d v="2025-03-17T10:25:00" u="1"/>
        <d v="2025-03-17T10:26:00" u="1"/>
        <d v="2025-03-17T10:28:00" u="1"/>
        <d v="2025-03-17T10:31:00" u="1"/>
        <d v="2025-03-17T10:39:00" u="1"/>
        <d v="2025-03-17T10:42:00" u="1"/>
        <d v="2025-03-17T10:43:00" u="1"/>
        <d v="2025-03-17T10:45:00" u="1"/>
        <d v="2025-03-17T11:29:00" u="1"/>
        <d v="2025-03-17T11:36:00" u="1"/>
        <d v="2025-03-17T11:55:00" u="1"/>
        <d v="2025-03-17T11:56:00" u="1"/>
        <d v="2025-03-17T12:52:00" u="1"/>
        <d v="2025-03-17T14:20:00" u="1"/>
        <d v="2025-03-17T14:34:00" u="1"/>
        <d v="2025-03-17T14:37:00" u="1"/>
        <d v="2025-03-17T14:55:00" u="1"/>
        <d v="2025-03-17T15:13:00" u="1"/>
        <d v="2025-03-17T15:48:00" u="1"/>
        <d v="2025-03-17T16:11:00" u="1"/>
        <d v="2025-03-17T17:43:00" u="1"/>
        <d v="2025-03-17T18:18:00" u="1"/>
        <d v="2025-03-18T10:33:00" u="1"/>
        <d v="2025-03-06T11:00:00" u="1"/>
        <d v="2025-03-07T17:29:00" u="1"/>
        <d v="2025-03-13T14:06:00" u="1"/>
        <d v="2025-03-14T13:26:00" u="1"/>
        <d v="2025-03-14T14:14:00" u="1"/>
        <d v="2025-03-17T07:28:00" u="1"/>
        <d v="2025-03-17T08:55:00" u="1"/>
        <d v="2025-03-17T09:27:00" u="1"/>
        <d v="2025-03-17T11:33:00" u="1"/>
        <d v="2025-03-17T12:06:00" u="1"/>
        <d v="2025-03-17T12:09:00" u="1"/>
        <d v="2025-03-17T14:47:00" u="1"/>
        <d v="2025-03-17T16:21:00" u="1"/>
        <d v="2025-03-17T16:25:00" u="1"/>
        <d v="2025-03-18T08:59:00" u="1"/>
        <d v="2025-03-18T10:25:00" u="1"/>
        <d v="2025-03-18T10:39:00" u="1"/>
        <d v="2024-02-20T10:53:00" u="1"/>
        <d v="2024-02-20T11:11:00" u="1"/>
        <d v="2024-08-13T10:57:00" u="1"/>
        <d v="2024-08-29T16:52:00" u="1"/>
        <d v="2024-08-21T11:35:00" u="1"/>
        <d v="2025-01-06T14:50:00" u="1"/>
        <d v="2025-01-09T14:09:00" u="1"/>
        <d v="2025-01-10T14:22:00" u="1"/>
        <d v="2025-01-13T09:54:00" u="1"/>
        <d v="2025-01-14T06:03:00" u="1"/>
        <d v="2025-01-14T06:28:00" u="1"/>
        <d v="2025-01-14T06:33:00" u="1"/>
        <d v="2025-01-15T15:08:00" u="1"/>
        <d v="2025-01-17T05:20:00" u="1"/>
        <d v="2025-01-17T09:55:00" u="1"/>
        <d v="2025-01-17T14:28:00" u="1"/>
        <d v="2025-01-18T08:47:00" u="1"/>
        <d v="2025-01-21T13:54:00" u="1"/>
        <d v="2025-01-21T16:20:00" u="1"/>
        <d v="2025-01-22T06:33:00" u="1"/>
        <d v="2025-01-22T06:37:00" u="1"/>
        <d v="2025-01-22T06:50:00" u="1"/>
        <d v="2025-01-22T13:35:00" u="1"/>
        <d v="2025-01-23T13:36:00" u="1"/>
        <d v="2025-01-24T06:55:00" u="1"/>
        <d v="2025-01-27T06:31:00" u="1"/>
        <d v="2025-01-27T06:40:00" u="1"/>
        <d v="2025-01-27T11:10:00" u="1"/>
        <d v="2025-01-27T13:19:00" u="1"/>
        <d v="2025-01-27T15:37:00" u="1"/>
        <d v="2025-01-28T14:16:00" u="1"/>
        <d v="2025-01-29T12:07:00" u="1"/>
        <d v="2025-02-04T07:58:00" u="1"/>
        <d v="2025-01-30T11:12:00" u="1"/>
        <d v="2025-01-30T11:49:00" u="1"/>
        <d v="2025-02-03T08:02:00" u="1"/>
        <d v="2025-02-03T13:14:00" u="1"/>
        <d v="2025-02-04T16:12:00" u="1"/>
        <d v="2025-02-06T08:02:00" u="1"/>
        <d v="2025-02-06T14:25:00" u="1"/>
        <d v="2025-02-07T08:12:00" u="1"/>
        <d v="2025-02-10T13:09:00" u="1"/>
        <d v="2025-02-17T08:57:00" u="1"/>
        <d v="2025-02-11T14:55:00" u="1"/>
        <d v="2025-02-13T09:02:00" u="1"/>
        <d v="2025-02-19T11:46:00" u="1"/>
        <d v="2025-02-24T06:39:00" u="1"/>
        <d v="2025-02-13T15:49:00" u="1"/>
        <d v="2025-03-05T06:59:00" u="1"/>
        <d v="2025-03-18T06:07:00" u="1"/>
        <d v="2025-03-13T13:11:00" u="1"/>
        <d v="2025-03-14T08:46:00" u="1"/>
        <d v="2025-03-06T13:35:00" u="1"/>
        <d v="2025-03-17T18:29:00" u="1"/>
        <d v="2024-12-23T11:47:00" u="1"/>
        <d v="2024-12-24T05:45:00" u="1"/>
        <d v="2025-01-02T08:28:00" u="1"/>
        <d v="2025-01-06T16:31:00" u="1"/>
        <d v="2025-01-08T09:25:00" u="1"/>
        <d v="2025-01-08T16:23:00" u="1"/>
        <d v="2025-01-10T11:00:00" u="1"/>
        <d v="2025-01-10T11:10:00" u="1"/>
        <d v="2025-01-16T10:01:00" u="1"/>
        <d v="2025-01-15T12:34:00" u="1"/>
        <d v="2025-01-16T14:01:00" u="1"/>
        <d v="2025-01-21T09:15:00" u="1"/>
        <d v="2025-01-21T13:36:00" u="1"/>
        <d v="2025-01-30T12:41:00" u="1"/>
        <d v="2025-01-22T11:25:00" u="1"/>
        <d v="2025-01-27T05:56:00" u="1"/>
        <d v="2025-01-27T05:45:00" u="1"/>
        <d v="2025-01-28T14:20:00" u="1"/>
        <d v="2025-01-28T14:17:00" u="1"/>
        <d v="2025-01-28T15:29:00" u="1"/>
        <d v="2025-01-28T16:09:00" u="1"/>
        <d v="2025-01-29T13:32:00" u="1"/>
        <d v="2025-01-29T13:33:00" u="1"/>
        <d v="2025-01-30T14:25:00" u="1"/>
        <d v="2025-01-31T16:16:00" u="1"/>
        <d v="2025-02-04T12:09:00" u="1"/>
        <d v="2025-02-03T15:51:00" u="1"/>
        <d v="2025-02-04T11:31:00" u="1"/>
        <d v="2025-02-05T12:51:00" u="1"/>
        <d v="2025-02-07T05:39:00" u="1"/>
        <d v="2025-02-07T05:36:00" u="1"/>
        <d v="2025-02-05T13:45:00" u="1"/>
        <d v="2025-02-10T13:34:00" u="1"/>
        <d v="2025-02-18T08:52:00" u="1"/>
        <d v="2025-02-14T13:26:00" u="1"/>
        <d v="2025-02-18T10:04:00" u="1"/>
        <d v="2025-02-18T14:01:00" u="1"/>
        <d v="2025-02-18T14:02:00" u="1"/>
        <d v="2025-02-19T14:02:00" u="1"/>
        <d v="2025-02-19T14:04:00" u="1"/>
        <d v="2025-02-24T10:01:00" u="1"/>
        <d v="2025-02-19T16:14:00" u="1"/>
        <d v="2025-02-17T13:03:00" u="1"/>
        <d v="2025-02-20T15:54:00" u="1"/>
        <d v="2025-02-19T10:09:00" u="1"/>
        <d v="2025-02-19T14:03:00" u="1"/>
        <d v="2025-02-21T07:16:00" u="1"/>
        <d v="2025-02-19T16:25:00" u="1"/>
        <d v="2025-02-19T16:08:00" u="1"/>
        <d v="2025-02-14T12:51:00" u="1"/>
        <d v="2025-02-21T07:18:00" u="1"/>
        <d v="2025-02-24T13:21:00" u="1"/>
        <d v="2025-02-14T08:36:00" u="1"/>
        <d v="2025-02-24T10:04:00" u="1"/>
        <d v="2025-02-18T14:06:00" u="1"/>
        <d v="2025-02-24T13:22:00" u="1"/>
        <d v="2025-02-17T08:04:00" u="1"/>
        <d v="2025-02-21T14:21:00" u="1"/>
        <d v="2025-02-24T09:47:00" u="1"/>
        <d v="2025-02-21T14:00:00" u="1"/>
        <d v="2025-02-20T14:01:00" u="1"/>
        <d v="2025-02-18T14:04:00" u="1"/>
        <d v="2025-02-11T12:57:00" u="1"/>
        <d v="2025-02-24T08:34:00" u="1"/>
        <d v="2025-02-20T14:00:00" u="1"/>
        <d v="2025-02-24T13:41:00" u="1"/>
        <d v="2025-02-19T14:01:00" u="1"/>
        <d v="2025-03-06T10:04:00" u="1"/>
        <d v="2025-02-28T14:18:00" u="1"/>
        <d v="2025-02-28T14:05:00" u="1"/>
        <d v="2025-02-28T10:00:00" u="1"/>
        <d v="2025-03-05T10:01:00" u="1"/>
        <d v="2025-03-06T09:42:00" u="1"/>
        <d v="2025-02-28T14:34:00" u="1"/>
        <d v="2025-02-28T14:32:00" u="1"/>
        <d v="2025-03-05T10:03:00" u="1"/>
        <d v="2025-02-28T14:37:00" u="1"/>
        <d v="2025-03-05T14:04:00" u="1"/>
        <d v="2025-03-05T14:01:00" u="1"/>
        <d v="2025-02-27T11:51:00" u="1"/>
        <d v="2025-02-28T14:17:00" u="1"/>
        <d v="2025-02-28T14:46:00" u="1"/>
        <d v="2025-02-28T14:39:00" u="1"/>
        <d v="2025-02-27T06:27:00" u="1"/>
        <d v="2025-02-28T14:20:00" u="1"/>
        <d v="2025-02-28T14:04:00" u="1"/>
        <d v="2025-02-28T05:53:00" u="1"/>
        <d v="2025-02-25T10:00:00" u="1"/>
        <d v="2025-03-05T10:02:00" u="1"/>
        <d v="2025-03-05T14:02:00" u="1"/>
        <d v="2025-02-28T14:33:00" u="1"/>
        <d v="2025-02-27T07:45:00" u="1"/>
        <d v="2025-03-06T04:16:00" u="1"/>
        <d v="2025-02-26T06:58:00" u="1"/>
        <d v="2025-02-26T14:14:00" u="1"/>
        <d v="2025-02-28T14:01:00" u="1"/>
        <d v="2025-02-28T14:12:00" u="1"/>
        <d v="2025-02-28T09:31:00" u="1"/>
        <d v="2025-02-28T09:29:00" u="1"/>
        <d v="2025-03-03T10:00:00" u="1"/>
        <d v="2025-02-28T14:19:00" u="1"/>
        <d v="2025-02-28T09:27:00" u="1"/>
        <d v="2025-02-28T14:14:00" u="1"/>
        <d v="2025-02-27T13:21:00" u="1"/>
        <d v="2025-02-28T14:07:00" u="1"/>
        <d v="2025-03-05T14:03:00" u="1"/>
        <d v="2025-03-05T14:06:00" u="1"/>
        <d v="2025-02-28T09:28:00" u="1"/>
        <d v="2025-02-28T14:02:00" u="1"/>
        <d v="2025-02-26T14:00:00" u="1"/>
        <d v="2025-03-06T10:06:00" u="1"/>
        <d v="2025-02-28T14:38:00" u="1"/>
        <d v="2025-03-06T09:26:00" u="1"/>
        <d v="2025-03-06T10:07:00" u="1"/>
        <d v="2025-02-27T06:26:00" u="1"/>
        <d v="2025-02-28T14:16:00" u="1"/>
        <d v="2025-02-27T13:26:00" u="1"/>
        <d v="2025-02-28T14:03:00" u="1"/>
        <d v="2025-02-26T10:02:00" u="1"/>
        <d v="2025-03-13T07:14:00" u="1"/>
        <d v="2025-03-12T17:48:00" u="1"/>
        <d v="2025-03-06T14:04:00" u="1"/>
        <d v="2025-03-10T11:00:00" u="1"/>
        <d v="2025-03-07T13:36:00" u="1"/>
        <d v="2025-03-07T10:00:00" u="1"/>
        <d v="2025-03-13T07:16:00" u="1"/>
        <d v="2025-03-06T14:01:00" u="1"/>
        <d v="2025-03-10T11:02:00" u="1"/>
        <d v="2025-03-10T11:12:00" u="1"/>
        <d v="2025-03-07T10:01:00" u="1"/>
        <d v="2025-03-14T18:41:00" u="1"/>
        <d v="2025-03-10T11:42:00" u="1"/>
        <d v="2025-03-12T11:58:00" u="1"/>
        <d v="2025-03-13T07:15:00" u="1"/>
        <d v="2025-03-06T14:00:00" u="1"/>
        <d v="2025-03-06T14:03:00" u="1"/>
        <d v="2025-03-12T15:58:00" u="1"/>
        <d v="2025-03-10T11:11:00" u="1"/>
        <d v="2025-03-12T17:53:00" u="1"/>
        <d v="2025-03-12T15:59:00" u="1"/>
        <d v="2025-03-10T11:06:00" u="1"/>
        <d v="2025-03-13T05:23:00" u="1"/>
        <d v="2025-03-10T11:13:00" u="1"/>
        <d v="2025-03-07T14:02:00" u="1"/>
        <d v="2025-03-11T06:25:00" u="1"/>
        <d v="2024-08-30T17:57:00" u="1"/>
        <d v="2024-08-06T11:00:00" u="1"/>
        <d v="2024-09-16T11:08:00" u="1"/>
        <d v="2024-09-19T15:31:00" u="1"/>
        <d v="2024-09-19T15:39:00" u="1"/>
        <d v="2024-09-19T15:58:00" u="1"/>
        <d v="2024-09-23T17:52:00" u="1"/>
        <d v="2024-09-23T17:49:00" u="1"/>
        <d v="2024-09-23T15:04:00" u="1"/>
        <d v="2024-10-07T11:33:00" u="1"/>
        <d v="2024-10-24T14:04:00" u="1"/>
        <d v="2024-10-30T16:59:00" u="1"/>
        <d v="2024-11-08T09:41:00" u="1"/>
        <d v="2024-11-12T18:45:00" u="1"/>
        <d v="2024-11-13T13:40:00" u="1"/>
        <d v="2024-11-22T17:11:00" u="1"/>
        <d v="2024-11-23T13:50:00" u="1"/>
        <d v="2024-11-25T16:52:00" u="1"/>
        <d v="2024-11-25T18:40:00" u="1"/>
        <d v="2024-11-18T17:33:00" u="1"/>
        <d v="2024-11-14T19:09:00" u="1"/>
        <d v="2024-11-26T16:32:00" u="1"/>
        <d v="2024-11-26T16:29:00" u="1"/>
        <d v="2024-11-29T17:58:00" u="1"/>
        <d v="2024-11-29T18:04:00" u="1"/>
        <d v="2024-12-06T10:27:00" u="1"/>
        <d v="2024-12-06T18:06:00" u="1"/>
        <d v="2024-12-09T11:36:00" u="1"/>
        <d v="2024-12-09T11:34:00" u="1"/>
        <d v="2024-12-09T15:19:00" u="1"/>
        <d v="2024-12-09T15:05:00" u="1"/>
        <d v="2024-12-09T14:59:00" u="1"/>
        <d v="2024-12-09T16:53:00" u="1"/>
        <d v="2024-12-11T11:05:00" u="1"/>
        <d v="2024-12-11T11:20:00" u="1"/>
        <d v="2024-12-12T13:20:00" u="1"/>
        <d v="2024-12-19T14:57:00" u="1"/>
        <d v="2024-12-20T15:39:00" u="1"/>
        <d v="2024-12-31T11:15:00" u="1"/>
        <d v="2025-01-06T09:36:00" u="1"/>
        <d v="2025-01-08T15:24:00" u="1"/>
        <d v="2025-01-16T15:52:00" u="1"/>
        <d v="2025-02-05T16:25:00" u="1"/>
        <d v="2025-02-05T19:08:00" u="1"/>
        <d v="2025-02-05T18:59:00" u="1"/>
        <d v="2025-02-05T19:14:00" u="1"/>
        <d v="2025-02-05T18:49:00" u="1"/>
        <d v="2025-02-05T18:28:00" u="1"/>
        <d v="2025-02-06T18:21:00" u="1"/>
        <d v="2025-02-06T18:57:00" u="1"/>
        <d v="2025-02-10T11:00:00" u="1"/>
        <d v="2025-02-20T16:52:00" u="1"/>
        <d v="2025-02-19T07:24:00" u="1"/>
        <d v="2025-02-14T13:36:00" u="1"/>
        <d v="2025-02-14T13:35:00" u="1"/>
        <d v="2025-02-12T14:43:00" u="1"/>
        <d v="2025-02-14T13:37:00" u="1"/>
        <d v="2025-02-14T13:18:00" u="1"/>
        <d v="2025-02-13T18:59:00" u="1"/>
        <d v="2025-02-13T19:06:00" u="1"/>
        <d v="2025-02-13T19:12:00" u="1"/>
        <d v="2025-02-17T16:53:00" u="1"/>
        <d v="2025-02-17T18:00:00" u="1"/>
        <d v="2025-02-18T09:35:00" u="1"/>
        <d v="2025-02-20T10:18:00" u="1"/>
        <d v="2025-02-21T18:16:00" u="1"/>
        <d v="2025-02-21T18:18:00" u="1"/>
        <d v="2025-02-21T18:17:00" u="1"/>
        <d v="2025-02-21T19:09:00" u="1"/>
        <d v="2025-02-21T17:33:00" u="1"/>
        <d v="2025-02-21T17:31:00" u="1"/>
        <d v="2025-02-21T17:27:00" u="1"/>
        <d v="2025-02-21T17:29:00" u="1"/>
        <d v="2025-02-21T18:52:00" u="1"/>
        <d v="2025-02-21T17:43:00" u="1"/>
        <d v="2025-02-21T19:07:00" u="1"/>
        <d v="2025-02-21T19:06:00" u="1"/>
        <d v="2025-02-21T19:04:00" u="1"/>
        <d v="2025-02-21T19:03:00" u="1"/>
        <d v="2025-02-21T19:02:00" u="1"/>
        <d v="2025-02-21T19:01:00" u="1"/>
        <d v="2025-02-21T19:00:00" u="1"/>
        <d v="2025-02-21T18:59:00" u="1"/>
        <d v="2025-02-21T18:54:00" u="1"/>
        <d v="2025-02-24T15:33:00" u="1"/>
        <d v="2025-01-07T18:26:00" u="1"/>
        <d v="2025-02-11T10:00:00" u="1"/>
        <d v="2025-02-11T18:34:00" u="1"/>
        <d v="2025-02-12T14:33:00" u="1"/>
        <d v="2025-02-13T14:50:00" u="1"/>
        <d v="2025-02-14T08:47:00" u="1"/>
        <d v="2025-02-13T18:38:00" u="1"/>
        <d v="2025-02-13T18:49:00" u="1"/>
        <d v="2025-02-17T17:02:00" u="1"/>
        <d v="2025-02-21T17:30:00" u="1"/>
        <d v="2025-02-21T18:58:00" u="1"/>
        <d v="2025-02-21T14:40:00" u="1"/>
        <d v="2025-02-25T16:15:00" u="1"/>
        <d v="2025-02-27T12:16:00" u="1"/>
        <d v="2025-02-26T16:47:00" u="1"/>
        <d v="2025-02-26T17:09:00" u="1"/>
        <d v="2025-02-26T17:22:00" u="1"/>
        <d v="2025-02-26T17:47:00" u="1"/>
        <d v="2025-02-26T17:43:00" u="1"/>
        <d v="2025-02-27T10:36:00" u="1"/>
        <d v="2025-02-27T10:45:00" u="1"/>
        <d v="2025-02-27T11:02:00" u="1"/>
        <d v="2025-02-27T11:23:00" u="1"/>
        <d v="2025-02-27T11:43:00" u="1"/>
        <d v="2025-02-27T15:10:00" u="1"/>
        <d v="2025-02-27T16:14:00" u="1"/>
        <d v="2025-02-27T17:49:00" u="1"/>
        <d v="2025-02-27T17:59:00" u="1"/>
        <d v="2025-02-27T17:58:00" u="1"/>
        <d v="2025-02-27T17:57:00" u="1"/>
        <d v="2025-02-27T17:56:00" u="1"/>
        <d v="2025-02-27T17:55:00" u="1"/>
        <d v="2025-02-27T17:54:00" u="1"/>
        <d v="2025-02-27T17:53:00" u="1"/>
        <d v="2025-02-27T19:02:00" u="1"/>
        <d v="2025-02-27T19:00:00" u="1"/>
        <d v="2025-02-27T19:03:00" u="1"/>
        <d v="2025-02-27T19:04:00" u="1"/>
        <d v="2025-02-27T19:05:00" u="1"/>
        <d v="2025-02-27T19:06:00" u="1"/>
        <d v="2025-02-27T19:08:00" u="1"/>
        <d v="2025-02-27T19:11:00" u="1"/>
        <d v="2025-02-27T19:12:00" u="1"/>
        <d v="2025-02-28T11:54:00" u="1"/>
        <d v="2025-03-05T16:35:00" u="1"/>
        <d v="2025-03-05T16:41:00" u="1"/>
        <d v="2025-03-05T17:36:00" u="1"/>
        <d v="2025-03-05T17:37:00" u="1"/>
        <d v="2025-03-05T17:39:00" u="1"/>
        <d v="2025-03-05T18:18:00" u="1"/>
        <d v="2025-03-05T18:34:00" u="1"/>
        <d v="2025-03-05T18:35:00" u="1"/>
        <d v="2025-03-05T18:50:00" u="1"/>
        <d v="2025-03-06T10:12:00" u="1"/>
        <d v="2025-02-27T17:05:00" u="1"/>
        <d v="2024-01-31T17:50:00" u="1"/>
        <d v="2024-05-23T16:06:00" u="1"/>
        <d v="2024-06-20T15:13:00" u="1"/>
        <d v="2024-09-11T14:14:00" u="1"/>
        <d v="2024-10-11T18:08:00" u="1"/>
        <d v="2024-10-14T13:28:00" u="1"/>
        <d v="2024-10-02T10:56:00" u="1"/>
        <d v="2024-10-25T15:00:00" u="1"/>
        <d v="2024-11-07T17:35:00" u="1"/>
        <d v="2024-11-08T10:38:00" u="1"/>
        <d v="2024-11-14T12:14:00" u="1"/>
        <d v="2024-11-14T15:31:00" u="1"/>
        <d v="2024-11-26T18:00:00" u="1"/>
        <d v="2024-11-28T15:59:00" u="1"/>
        <d v="2024-11-28T18:20:00" u="1"/>
        <d v="2024-11-28T18:42:00" u="1"/>
        <d v="2024-12-10T08:42:00" u="1"/>
        <d v="2024-12-09T11:51:00" u="1"/>
        <d v="2024-12-09T11:58:00" u="1"/>
        <d v="2024-12-09T11:59:00" u="1"/>
        <d v="2024-12-09T12:02:00" u="1"/>
        <d v="2025-01-07T14:18:00" u="1"/>
        <d v="2025-01-10T10:26:00" u="1"/>
        <d v="2025-01-15T11:04:00" u="1"/>
        <d v="2025-01-20T10:24:00" u="1"/>
        <d v="2025-01-20T10:02:00" u="1"/>
        <d v="2025-01-23T09:36:00" u="1"/>
        <d v="2025-01-31T17:10:00" u="1"/>
        <d v="2025-01-29T15:53:00" u="1"/>
        <d v="2025-01-20T15:27:00" u="1"/>
        <d v="2025-02-05T15:08:00" u="1"/>
        <d v="2025-02-06T15:17:00" u="1"/>
        <d v="2025-02-06T11:00:00" u="1"/>
        <d v="2025-02-09T22:29:00" u="1"/>
        <d v="2025-02-10T15:43:00" u="1"/>
        <d v="2025-02-10T17:36:00" u="1"/>
        <d v="2025-02-10T17:33:00" u="1"/>
        <d v="2025-02-21T14:03:00" u="1"/>
        <d v="2025-02-21T14:01:00" u="1"/>
        <d v="2025-02-21T14:06:00" u="1"/>
        <d v="2025-02-24T14:00:00" u="1"/>
        <d v="2025-02-21T14:13:00" u="1"/>
        <d v="2025-02-21T14:04:00" u="1"/>
        <d v="2025-02-21T14:14:00" u="1"/>
        <d v="2025-02-21T14:09:00" u="1"/>
        <d v="2025-02-21T14:11:00" u="1"/>
        <d v="2025-02-20T18:40:00" u="1"/>
        <d v="2025-02-21T18:09:00" u="1"/>
        <d v="2025-02-24T16:00:00" u="1"/>
        <d v="2025-02-24T18:09:00" u="1"/>
        <d v="2025-02-24T12:43:00" u="1"/>
        <d v="2025-02-21T11:35:00" u="1"/>
        <d v="2025-02-13T18:46:00" u="1"/>
        <d v="2025-02-21T11:55:00" u="1"/>
        <d v="2025-02-21T08:56:00" u="1"/>
        <d v="2025-02-21T09:07:00" u="1"/>
        <d v="2025-02-21T09:14:00" u="1"/>
        <d v="2025-02-21T09:22:00" u="1"/>
        <d v="2025-02-21T09:36:00" u="1"/>
        <d v="2025-02-21T13:22:00" u="1"/>
        <d v="2025-02-20T17:58:00" u="1"/>
        <d v="2025-02-21T13:25:00" u="1"/>
        <d v="2025-02-21T17:02:00" u="1"/>
        <d v="2025-02-24T11:37:00" u="1"/>
        <d v="2025-02-24T11:50:00" u="1"/>
        <d v="2025-02-24T11:58:00" u="1"/>
        <d v="2025-02-24T12:08:00" u="1"/>
        <d v="2025-02-24T12:24:00" u="1"/>
        <d v="2025-02-24T18:53:00" u="1"/>
        <d v="2025-02-24T18:58:00" u="1"/>
        <d v="2025-02-24T19:05:00" u="1"/>
        <d v="2025-02-24T19:08:00" u="1"/>
        <d v="2025-02-24T19:13:00" u="1"/>
        <d v="2025-02-24T19:20:00" u="1"/>
        <d v="2025-02-24T19:28:00" u="1"/>
        <d v="2025-02-21T08:32:00" u="1"/>
        <d v="2025-02-24T18:15:00" u="1"/>
        <d v="2025-02-24T08:50:00" u="1"/>
        <d v="2025-02-21T15:48:00" u="1"/>
        <d v="2025-02-20T17:52:00" u="1"/>
        <d v="2024-08-13T14:57:00" u="1"/>
        <d v="2024-11-08T08:06:00" u="1"/>
        <d v="2024-12-12T11:42:00" u="1"/>
        <d v="2025-01-15T10:43:00" u="1"/>
        <d v="2025-01-21T16:25:00" u="1"/>
        <d v="2025-01-21T18:42:00" u="1"/>
        <d v="2025-01-24T15:01:00" u="1"/>
        <d v="2025-01-24T14:55:00" u="1"/>
        <d v="2025-01-27T10:14:00" u="1"/>
        <d v="2025-01-27T10:51:00" u="1"/>
        <d v="2025-01-27T16:49:00" u="1"/>
        <d v="2025-01-27T17:40:00" u="1"/>
        <d v="2025-01-28T10:30:00" u="1"/>
        <d v="2024-08-09T08:37:00" u="1"/>
        <d v="2024-08-24T10:20:00" u="1"/>
        <d v="2024-11-05T14:55:00" u="1"/>
        <d v="2024-11-05T10:59:00" u="1"/>
        <d v="2024-11-07T11:15:00" u="1"/>
        <d v="2024-11-08T17:29:00" u="1"/>
        <d v="2024-11-08T18:46:00" u="1"/>
        <d v="2024-11-04T18:56:00" u="1"/>
        <d v="2024-11-05T19:39:00" u="1"/>
        <d v="2024-11-05T20:34:00" u="1"/>
        <d v="2024-11-08T15:20:00" u="1"/>
        <d v="2024-11-29T14:56:00" u="1"/>
        <d v="2024-12-06T15:17:00" u="1"/>
        <d v="2024-12-06T14:46:00" u="1"/>
        <d v="2024-11-25T10:37:00" u="1"/>
        <d v="2024-11-14T12:01:00" u="1"/>
        <d v="2024-11-21T08:19:00" u="1"/>
        <d v="2024-11-14T10:39:00" u="1"/>
        <d v="2024-11-18T08:54:00" u="1"/>
        <d v="2024-11-18T18:31:00" u="1"/>
        <d v="2024-11-19T09:13:00" u="1"/>
        <d v="2024-11-21T16:03:00" u="1"/>
        <d v="2024-11-26T09:32:00" u="1"/>
        <d v="2024-11-26T14:16:00" u="1"/>
        <d v="2024-11-27T12:19:00" u="1"/>
        <d v="2024-11-26T17:27:00" u="1"/>
        <d v="2024-12-03T10:40:00" u="1"/>
        <d v="2024-12-09T15:38:00" u="1"/>
        <d v="2024-11-26T12:08:00" u="1"/>
        <d v="2024-11-14T15:47:00" u="1"/>
        <d v="2024-12-16T10:07:00" u="1"/>
        <d v="2024-12-24T11:54:00" u="1"/>
        <d v="2025-01-02T11:12:00" u="1"/>
        <d v="2024-12-24T08:12:00" u="1"/>
        <d v="2024-11-06T12:42:00" u="1"/>
        <d v="2024-11-21T14:50:00" u="1"/>
        <d v="2024-12-03T16:06:00" u="1"/>
        <d v="2024-07-15T09:31:00" u="1"/>
        <d v="2024-07-29T16:18:00" u="1"/>
        <d v="2025-01-08T10:49:00" u="1"/>
        <d v="2025-01-06T17:24:00" u="1"/>
        <d v="2025-01-06T13:07:00" u="1"/>
        <d v="2025-01-06T18:36:00" u="1"/>
        <d v="2025-01-03T15:00:00" u="1"/>
        <d v="2024-01-04T10:17:00" u="1"/>
        <d v="2024-01-22T16:06:00" u="1"/>
        <d v="2024-02-05T14:10:00" u="1"/>
        <d v="2024-02-07T05:16:00" u="1"/>
        <d v="2024-02-07T11:21:00" u="1"/>
        <d v="2024-02-07T13:17:00" u="1"/>
        <d v="2024-02-08T05:16:00" u="1"/>
        <d v="2024-02-09T08:00:00" u="1"/>
        <d v="2024-02-15T06:29:00" u="1"/>
        <d v="2024-02-20T04:49:00" u="1"/>
        <d v="2024-02-20T14:35:00" u="1"/>
        <d v="2024-02-21T15:36:00" u="1"/>
        <d v="2024-02-21T16:00:00" u="1"/>
        <d v="2024-02-21T16:08:00" u="1"/>
        <d v="2024-02-22T05:32:00" u="1"/>
        <d v="2024-02-22T12:06:00" u="1"/>
        <d v="2024-02-26T14:06:00" u="1"/>
        <d v="2024-02-27T06:50:00" u="1"/>
        <d v="2024-02-27T13:11:00" u="1"/>
        <d v="2024-02-27T15:11:00" u="1"/>
        <d v="2024-02-29T09:05:00" u="1"/>
        <d v="2024-03-01T13:25:00" u="1"/>
        <d v="2024-03-01T15:08:00" u="1"/>
        <d v="2024-03-01T15:04:00" u="1"/>
        <d v="2024-03-01T15:26:00" u="1"/>
        <d v="2024-03-04T14:56:00" u="1"/>
        <d v="2024-03-08T13:41:00" u="1"/>
        <d v="2024-03-06T09:42:00" u="1"/>
        <d v="2024-03-06T09:50:00" u="1"/>
        <d v="2024-03-06T10:12:00" u="1"/>
        <d v="2024-03-06T10:35:00" u="1"/>
        <d v="2024-03-24T10:39:00" u="1"/>
        <d v="2024-03-24T10:48:00" u="1"/>
        <d v="2024-03-24T13:15:00" u="1"/>
        <d v="2024-03-11T14:52:00" u="1"/>
        <d v="2024-03-11T16:48:00" u="1"/>
        <d v="2024-03-12T08:58:00" u="1"/>
        <d v="2024-03-12T12:09:00" u="1"/>
        <d v="2024-03-12T12:57:00" u="1"/>
        <d v="2024-03-13T13:20:00" u="1"/>
        <d v="2024-03-13T15:30:00" u="1"/>
        <d v="2024-03-13T15:50:00" u="1"/>
        <d v="2024-03-15T08:39:00" u="1"/>
        <d v="2024-03-15T13:10:00" u="1"/>
        <d v="2024-03-15T15:48:00" u="1"/>
        <d v="2024-03-18T07:15:00" u="1"/>
        <d v="2024-03-18T08:19:00" u="1"/>
        <d v="2024-03-18T08:23:00" u="1"/>
        <d v="2024-03-18T11:26:00" u="1"/>
        <d v="2024-03-18T11:30:00" u="1"/>
        <d v="2024-03-19T12:23:00" u="1"/>
        <d v="2024-03-20T14:48:00" u="1"/>
        <d v="2024-03-21T14:09:00" u="1"/>
        <d v="2024-03-22T16:42:00" u="1"/>
        <d v="2024-03-26T13:11:00" u="1"/>
        <d v="2024-03-26T13:38:00" u="1"/>
        <d v="2024-03-26T13:59:00" u="1"/>
        <d v="2024-03-26T14:56:00" u="1"/>
        <d v="2024-03-27T12:52:00" u="1"/>
        <d v="2024-03-28T16:06:00" u="1"/>
        <d v="2024-04-01T12:12:00" u="1"/>
        <d v="2024-04-01T13:01:00" u="1"/>
        <d v="2024-04-01T13:22:00" u="1"/>
        <d v="2024-04-01T15:56:00" u="1"/>
        <d v="2024-04-02T07:14:00" u="1"/>
        <d v="2024-04-02T07:20:00" u="1"/>
        <d v="2024-04-02T10:21:00" u="1"/>
        <d v="2024-04-02T12:14:00" u="1"/>
        <d v="2024-04-02T12:15:00" u="1"/>
        <d v="2024-04-02T14:27:00" u="1"/>
        <d v="2024-04-03T08:50:00" u="1"/>
        <d v="2024-04-05T09:24:00" u="1"/>
        <d v="2024-04-05T09:26:00" u="1"/>
        <d v="2024-04-05T09:27:00" u="1"/>
        <d v="2024-04-05T09:28:00" u="1"/>
        <d v="2024-04-04T16:49:00" u="1"/>
        <d v="2024-04-05T10:28:00" u="1"/>
        <d v="2024-04-08T08:09:00" u="1"/>
        <d v="2024-04-08T10:02:00" u="1"/>
        <d v="2024-04-08T17:06:00" u="1"/>
        <d v="2024-04-09T15:21:00" u="1"/>
        <d v="2024-04-09T15:22:00" u="1"/>
        <d v="2024-04-10T07:48:00" u="1"/>
        <d v="2024-04-12T05:23:00" u="1"/>
        <d v="2024-04-10T12:28:00" u="1"/>
        <d v="2024-04-11T09:49:00" u="1"/>
        <d v="2024-04-11T16:28:00" u="1"/>
        <d v="2024-04-12T09:24:00" u="1"/>
        <d v="2024-04-12T14:42:00" u="1"/>
        <d v="2024-04-12T16:31:00" u="1"/>
        <d v="2024-04-12T16:38:00" u="1"/>
        <d v="2024-04-12T17:22:00" u="1"/>
        <d v="2024-04-15T08:55:00" u="1"/>
        <d v="2024-04-15T15:02:00" u="1"/>
        <d v="2024-04-17T10:44:00" u="1"/>
        <d v="2024-04-18T14:27:00" u="1"/>
        <d v="2024-04-18T14:28:00" u="1"/>
        <d v="2024-04-18T16:11:00" u="1"/>
        <d v="2024-04-18T16:35:00" u="1"/>
        <d v="2024-04-19T06:20:00" u="1"/>
        <d v="2024-04-19T10:38:00" u="1"/>
        <d v="2024-04-19T16:10:00" u="1"/>
        <d v="2024-04-22T07:15:00" u="1"/>
        <d v="2024-04-22T11:04:00" u="1"/>
        <d v="2024-04-22T15:44:00" u="1"/>
        <d v="2024-04-22T15:55:00" u="1"/>
        <d v="2024-04-22T17:24:00" u="1"/>
        <d v="2024-04-24T14:30:00" u="1"/>
        <d v="2024-04-22T17:51:00" u="1"/>
        <d v="2024-04-23T13:22:00" u="1"/>
        <d v="2024-04-23T14:38:00" u="1"/>
        <d v="2024-04-24T10:15:00" u="1"/>
        <d v="2024-04-24T09:13:00" u="1"/>
        <d v="2024-04-24T11:08:00" u="1"/>
        <d v="2024-04-24T12:13:00" u="1"/>
        <d v="2024-04-25T16:58:00" u="1"/>
        <d v="2024-04-26T08:23:00" u="1"/>
        <d v="2024-04-26T08:50:00" u="1"/>
        <d v="2024-04-26T09:29:00" u="1"/>
        <d v="2024-04-26T10:34:00" u="1"/>
        <d v="2024-04-26T15:58:00" u="1"/>
        <d v="2024-04-26T16:43:00" u="1"/>
        <d v="2024-04-26T17:08:00" u="1"/>
        <d v="2024-04-26T17:49:00" u="1"/>
        <d v="2024-04-29T11:17:00" u="1"/>
        <d v="2024-04-29T14:54:00" u="1"/>
        <d v="2024-04-29T16:00:00" u="1"/>
        <d v="2024-04-30T10:59:00" u="1"/>
        <d v="2024-04-30T14:07:00" u="1"/>
        <d v="2024-04-30T15:34:00" u="1"/>
        <d v="2024-04-30T16:10:00" u="1"/>
        <d v="2024-05-02T08:30:00" u="1"/>
        <d v="2024-05-02T11:47:00" u="1"/>
        <d v="2024-05-02T15:11:00" u="1"/>
        <d v="2024-05-03T09:18:00" u="1"/>
        <d v="2024-05-03T13:52:00" u="1"/>
        <d v="2024-05-03T16:01:00" u="1"/>
        <d v="2024-05-03T17:01:00" u="1"/>
        <d v="2024-05-06T17:10:00" u="1"/>
        <d v="2024-05-08T13:54:00" u="1"/>
        <d v="2024-05-08T14:00:00" u="1"/>
        <d v="2024-05-09T12:44:00" u="1"/>
        <d v="2024-05-09T15:58:00" u="1"/>
        <d v="2024-05-09T16:09:00" u="1"/>
        <d v="2024-05-10T08:02:00" u="1"/>
        <d v="2024-05-10T08:39:00" u="1"/>
        <d v="2024-05-10T09:03:00" u="1"/>
        <d v="2024-05-10T09:19:00" u="1"/>
        <d v="2024-05-10T09:58:00" u="1"/>
        <d v="2024-05-28T08:51:00" u="1"/>
        <d v="2024-05-14T14:55:00" u="1"/>
        <d v="2024-05-13T16:34:00" u="1"/>
        <d v="2024-06-08T08:30:00" u="1"/>
        <d v="2024-05-28T08:53:00" u="1"/>
        <d v="2024-05-15T14:45:00" u="1"/>
        <d v="2024-05-15T15:05:00" u="1"/>
        <d v="2024-05-16T15:53:00" u="1"/>
        <d v="2024-05-17T07:56:00" u="1"/>
        <d v="2024-05-17T08:30:00" u="1"/>
        <d v="2024-05-17T08:40:00" u="1"/>
        <d v="2024-05-17T15:26:00" u="1"/>
        <d v="2024-05-17T15:31:00" u="1"/>
        <d v="2024-05-17T16:23:00" u="1"/>
        <d v="2024-05-20T06:53:00" u="1"/>
        <d v="2024-05-20T16:26:00" u="1"/>
        <d v="2024-05-21T15:01:00" u="1"/>
        <d v="2024-05-27T06:45:00" u="1"/>
        <d v="2024-05-23T07:33:00" u="1"/>
        <d v="2024-05-27T09:24:00" u="1"/>
        <d v="2024-05-29T12:11:00" u="1"/>
        <d v="2024-05-29T13:53:00" u="1"/>
        <d v="2024-06-04T10:55:00" u="1"/>
        <d v="2024-06-04T13:02:00" u="1"/>
        <d v="2024-06-04T14:35:00" u="1"/>
        <d v="2024-06-04T16:41:00" u="1"/>
        <d v="2024-06-04T16:56:00" u="1"/>
        <d v="2024-06-04T16:58:00" u="1"/>
        <d v="2024-06-05T08:40:00" u="1"/>
        <d v="2024-06-06T09:58:00" u="1"/>
        <d v="2024-06-06T13:58:00" u="1"/>
        <d v="2024-06-06T16:21:00" u="1"/>
        <d v="2024-06-07T08:32:00" u="1"/>
        <d v="2024-06-09T12:37:00" u="1"/>
        <d v="2024-06-10T07:49:00" u="1"/>
        <d v="2024-06-11T16:12:00" u="1"/>
        <d v="2024-06-13T09:55:00" u="1"/>
        <d v="2024-06-13T11:19:00" u="1"/>
        <d v="2024-06-13T11:25:00" u="1"/>
        <d v="2024-06-13T13:23:00" u="1"/>
        <d v="2024-06-13T14:08:00" u="1"/>
        <d v="2024-06-13T14:14:00" u="1"/>
        <d v="2024-06-13T14:19:00" u="1"/>
        <d v="2024-06-13T15:06:00" u="1"/>
        <d v="2024-06-13T15:49:00" u="1"/>
        <d v="2024-06-13T15:51:00" u="1"/>
        <d v="2024-06-13T15:52:00" u="1"/>
        <d v="2024-06-13T16:46:00" u="1"/>
        <d v="2024-06-14T08:25:00" u="1"/>
        <d v="2024-06-14T11:56:00" u="1"/>
        <d v="2024-06-14T08:59:00" u="1"/>
        <d v="2024-06-14T09:27:00" u="1"/>
        <d v="2024-06-14T11:37:00" u="1"/>
        <d v="2024-06-14T11:41:00" u="1"/>
        <d v="2024-06-14T11:51:00" u="1"/>
        <d v="2024-06-14T11:55:00" u="1"/>
        <d v="2024-06-14T11:59:00" u="1"/>
        <d v="2024-06-14T12:06:00" u="1"/>
        <d v="2024-06-14T12:11:00" u="1"/>
        <d v="2024-06-14T12:15:00" u="1"/>
        <d v="2024-06-14T12:31:00" u="1"/>
        <d v="2024-06-21T13:44:00" u="1"/>
        <d v="2024-06-17T07:39:00" u="1"/>
        <d v="2024-06-17T08:34:00" u="1"/>
        <d v="2024-06-17T08:52:00" u="1"/>
        <d v="2024-06-17T09:21:00" u="1"/>
        <d v="2024-06-17T11:14:00" u="1"/>
        <d v="2024-06-19T16:18:00" u="1"/>
        <d v="2024-06-18T07:32:00" u="1"/>
        <d v="2024-06-18T13:30:00" u="1"/>
        <d v="2024-06-18T14:23:00" u="1"/>
        <d v="2024-06-19T13:51:00" u="1"/>
        <d v="2024-06-19T14:09:00" u="1"/>
        <d v="2024-06-19T14:21:00" u="1"/>
        <d v="2024-06-20T09:43:00" u="1"/>
        <d v="2024-06-20T10:09:00" u="1"/>
        <d v="2024-06-20T12:05:00" u="1"/>
        <d v="2024-06-20T12:18:00" u="1"/>
        <d v="2024-06-20T13:21:00" u="1"/>
        <d v="2024-06-20T14:02:00" u="1"/>
        <d v="2024-06-21T16:15:00" u="1"/>
        <d v="2024-06-25T14:31:00" u="1"/>
        <d v="2024-06-24T13:07:00" u="1"/>
        <d v="2024-06-25T07:28:00" u="1"/>
        <d v="2024-06-25T11:43:00" u="1"/>
        <d v="2024-06-25T14:59:00" u="1"/>
        <d v="2024-06-26T12:07:00" u="1"/>
        <d v="2024-06-26T15:06:00" u="1"/>
        <d v="2024-06-26T15:07:00" u="1"/>
        <d v="2024-06-26T15:08:00" u="1"/>
        <d v="2024-06-26T15:09:00" u="1"/>
        <d v="2024-06-26T15:11:00" u="1"/>
        <d v="2024-06-26T15:22:00" u="1"/>
        <d v="2024-06-26T16:14:00" u="1"/>
        <d v="2024-06-27T15:07:00" u="1"/>
        <d v="2024-07-01T08:11:00" u="1"/>
        <d v="2024-07-01T16:13:00" u="1"/>
        <d v="2024-07-02T11:11:00" u="1"/>
        <d v="2024-07-05T12:54:00" u="1"/>
        <d v="2024-07-04T08:52:00" u="1"/>
        <d v="2024-07-05T15:47:00" u="1"/>
        <d v="2024-07-09T15:44:00" u="1"/>
        <d v="2024-07-10T10:12:00" u="1"/>
        <d v="2024-07-11T16:04:00" u="1"/>
        <d v="2024-07-15T16:37:00" u="1"/>
        <d v="2024-07-15T16:38:00" u="1"/>
        <d v="2024-07-15T15:56:00" u="1"/>
        <d v="2024-07-17T08:22:00" u="1"/>
        <d v="2024-07-18T07:54:00" u="1"/>
        <d v="2024-07-19T06:57:00" u="1"/>
        <d v="2024-07-19T15:42:00" u="1"/>
        <d v="2024-07-19T15:25:00" u="1"/>
        <d v="2024-07-22T08:53:00" u="1"/>
        <d v="2024-07-22T14:35:00" u="1"/>
        <d v="2024-07-22T16:54:00" u="1"/>
        <d v="2024-07-23T09:50:00" u="1"/>
        <d v="2024-07-23T13:31:00" u="1"/>
        <d v="2024-07-23T14:33:00" u="1"/>
        <d v="2024-07-26T12:20:00" u="1"/>
        <d v="2024-07-26T12:22:00" u="1"/>
        <d v="2024-07-26T12:25:00" u="1"/>
        <d v="2024-07-24T14:57:00" u="1"/>
        <d v="2024-07-29T16:06:00" u="1"/>
        <d v="2024-07-29T05:57:00" u="1"/>
        <d v="2024-07-29T09:25:00" u="1"/>
        <d v="2024-08-01T15:31:00" u="1"/>
        <d v="2024-08-02T15:49:00" u="1"/>
        <d v="2024-08-05T07:45:00" u="1"/>
        <d v="2024-08-07T09:06:00" u="1"/>
        <d v="2024-08-07T14:20:00" u="1"/>
        <d v="2024-08-12T15:46:00" u="1"/>
        <d v="2024-08-12T17:05:00" u="1"/>
        <d v="2024-08-13T15:10:00" u="1"/>
        <d v="2024-08-13T17:00:00" u="1"/>
        <d v="2024-08-14T16:55:00" u="1"/>
        <d v="2024-08-15T10:15:00" u="1"/>
        <d v="2024-08-15T10:27:00" u="1"/>
        <d v="2024-08-15T12:07:00" u="1"/>
        <d v="2024-08-15T16:40:00" u="1"/>
        <d v="2024-08-15T16:42:00" u="1"/>
        <d v="2024-08-15T16:45:00" u="1"/>
        <d v="2024-08-15T16:46:00" u="1"/>
        <d v="2024-08-16T11:43:00" u="1"/>
        <d v="2024-08-16T12:37:00" u="1"/>
        <d v="2024-08-16T12:02:00" u="1"/>
        <d v="2024-08-16T13:53:00" u="1"/>
        <d v="2024-08-16T14:02:00" u="1"/>
        <d v="2024-08-16T14:12:00" u="1"/>
        <d v="2024-08-16T15:08:00" u="1"/>
        <d v="2024-08-19T06:44:00" u="1"/>
        <d v="2024-08-19T07:36:00" u="1"/>
        <d v="2024-08-19T08:18:00" u="1"/>
        <d v="2024-08-19T09:44:00" u="1"/>
        <d v="2024-08-19T14:08:00" u="1"/>
        <d v="2024-08-20T09:30:00" u="1"/>
        <d v="2024-08-19T16:24:00" u="1"/>
        <d v="2024-08-20T08:19:00" u="1"/>
        <d v="2024-08-20T09:37:00" u="1"/>
        <d v="2024-08-20T13:39:00" u="1"/>
        <d v="2024-08-20T15:33:00" u="1"/>
        <d v="2024-08-20T15:35:00" u="1"/>
        <d v="2024-08-20T16:05:00" u="1"/>
        <d v="2024-08-21T07:49:00" u="1"/>
        <d v="2024-08-21T09:57:00" u="1"/>
        <d v="2024-08-21T14:14:00" u="1"/>
        <d v="2024-08-21T14:26:00" u="1"/>
        <d v="2024-08-22T08:41:00" u="1"/>
        <d v="2024-08-22T08:49:00" u="1"/>
        <d v="2024-08-22T13:19:00" u="1"/>
        <d v="2024-08-22T15:47:00" u="1"/>
        <d v="2024-08-22T15:52:00" u="1"/>
        <d v="2024-08-22T16:26:00" u="1"/>
        <d v="2024-08-23T07:54:00" u="1"/>
        <d v="2024-08-23T11:10:00" u="1"/>
        <d v="2024-08-26T07:30:00" u="1"/>
        <d v="2024-08-23T16:19:00" u="1"/>
        <d v="2024-08-26T06:18:00" u="1"/>
        <d v="2024-08-26T08:47:00" u="1"/>
        <d v="2024-08-26T09:14:00" u="1"/>
        <d v="2024-08-26T09:24:00" u="1"/>
        <d v="2024-08-26T09:36:00" u="1"/>
        <d v="2024-08-26T10:32:00" u="1"/>
        <d v="2024-08-26T11:03:00" u="1"/>
        <d v="2024-08-26T11:11:00" u="1"/>
        <d v="2024-08-26T14:16:00" u="1"/>
        <d v="2024-08-26T15:29:00" u="1"/>
        <d v="2024-08-27T10:03:00" u="1"/>
        <d v="2024-08-28T11:06:00" u="1"/>
        <d v="2024-08-28T11:26:00" u="1"/>
        <d v="2024-08-28T11:27:00" u="1"/>
        <d v="2024-08-28T12:03:00" u="1"/>
        <d v="2024-08-28T13:28:00" u="1"/>
        <d v="2024-08-28T15:17:00" u="1"/>
        <d v="2024-08-28T15:20:00" u="1"/>
        <d v="2024-08-28T15:24:00" u="1"/>
        <d v="2024-08-28T16:53:00" u="1"/>
        <d v="2024-08-28T16:54:00" u="1"/>
        <d v="2024-08-29T14:06:00" u="1"/>
        <d v="2024-08-30T14:23:00" u="1"/>
        <d v="2024-09-02T14:12:00" u="1"/>
        <d v="2024-09-10T11:09:00" u="1"/>
        <d v="2024-09-11T08:54:00" u="1"/>
        <d v="2024-09-11T11:33:00" u="1"/>
        <d v="2024-09-13T06:34:00" u="1"/>
        <d v="2024-09-16T14:12:00" u="1"/>
        <d v="2024-09-16T07:26:00" u="1"/>
        <d v="2024-09-17T11:43:00" u="1"/>
        <d v="2024-09-25T13:46:00" u="1"/>
        <d v="2024-09-25T15:58:00" u="1"/>
        <d v="2024-09-12T07:45:00" u="1"/>
        <d v="2024-09-12T08:23:00" u="1"/>
        <d v="2024-10-01T06:08:00" u="1"/>
        <d v="2024-10-01T15:22:00" u="1"/>
        <d v="2024-10-02T14:40:00" u="1"/>
        <d v="2024-10-03T07:47:00" u="1"/>
        <d v="2024-10-03T14:57:00" u="1"/>
        <d v="2024-10-07T15:28:00" u="1"/>
        <d v="2024-10-07T14:30:00" u="1"/>
        <d v="2024-10-07T15:49:00" u="1"/>
        <d v="2024-10-10T06:36:00" u="1"/>
        <d v="2024-10-08T12:36:00" u="1"/>
        <d v="2024-10-08T15:49:00" u="1"/>
        <d v="2024-10-08T18:30:00" u="1"/>
        <d v="2024-10-09T12:41:00" u="1"/>
        <d v="2024-10-10T10:16:00" u="1"/>
        <d v="2024-10-10T10:25:00" u="1"/>
        <d v="2024-10-10T16:10:00" u="1"/>
        <d v="2024-10-11T09:42:00" u="1"/>
        <d v="2024-10-11T09:47:00" u="1"/>
        <d v="2024-10-11T09:50:00" u="1"/>
        <d v="2024-10-16T12:26:00" u="1"/>
        <d v="2024-10-14T09:19:00" u="1"/>
        <d v="2024-10-14T15:21:00" u="1"/>
        <d v="2024-10-15T11:41:00" u="1"/>
        <d v="2024-10-15T16:20:00" u="1"/>
        <d v="2024-10-15T17:07:00" u="1"/>
        <d v="2024-10-17T08:29:00" u="1"/>
        <d v="2024-10-17T16:20:00" u="1"/>
        <d v="2024-10-17T16:53:00" u="1"/>
        <d v="2024-10-21T14:23:00" u="1"/>
        <d v="2024-10-18T16:54:00" u="1"/>
        <d v="2024-10-21T09:29:00" u="1"/>
        <d v="2024-10-21T11:30:00" u="1"/>
        <d v="2024-10-21T16:30:00" u="1"/>
        <d v="2024-10-21T16:18:00" u="1"/>
        <d v="2024-10-21T16:12:00" u="1"/>
        <d v="2024-10-21T16:13:00" u="1"/>
        <d v="2024-10-21T16:11:00" u="1"/>
        <d v="2024-10-21T16:59:00" u="1"/>
        <d v="2024-10-22T06:39:00" u="1"/>
        <d v="2024-10-22T07:14:00" u="1"/>
        <d v="2024-10-22T09:22:00" u="1"/>
        <d v="2024-10-22T09:23:00" u="1"/>
        <d v="2024-10-22T12:39:00" u="1"/>
        <d v="2024-10-22T16:56:00" u="1"/>
        <d v="2024-10-23T10:45:00" u="1"/>
        <d v="2024-10-24T07:22:00" u="1"/>
        <d v="2024-10-24T07:21:00" u="1"/>
        <d v="2024-10-26T08:14:00" u="1"/>
        <d v="2024-11-01T07:32:00" u="1"/>
        <d v="2024-11-01T12:47:00" u="1"/>
        <d v="2024-10-30T14:11:00" u="1"/>
        <d v="2024-10-28T12:52:00" u="1"/>
        <d v="2024-10-31T07:10:00" u="1"/>
        <d v="2024-10-30T16:19:00" u="1"/>
        <d v="2024-10-25T15:39:00" u="1"/>
        <d v="2024-10-31T07:31:00" u="1"/>
        <d v="2024-10-30T07:16:00" u="1"/>
        <d v="2024-10-31T11:12:00" u="1"/>
        <d v="2024-10-30T14:06:00" u="1"/>
        <d v="2024-10-30T10:08:00" u="1"/>
        <d v="2024-10-30T14:09:00" u="1"/>
        <d v="2024-10-29T10:13:00" u="1"/>
        <d v="2024-10-31T17:23:00" u="1"/>
        <d v="2024-10-26T15:05:00" u="1"/>
        <d v="2024-10-25T09:16:00" u="1"/>
        <d v="2024-10-24T12:34:00" u="1"/>
        <d v="2024-10-24T12:42:00" u="1"/>
        <d v="2024-10-30T13:30:00" u="1"/>
        <d v="2024-10-29T16:13:00" u="1"/>
        <d v="2024-10-25T16:54:00" u="1"/>
        <d v="2024-10-30T14:10:00" u="1"/>
        <d v="2024-10-28T16:23:00" u="1"/>
        <d v="2024-10-25T08:22:00" u="1"/>
        <d v="2024-10-28T14:38:00" u="1"/>
        <d v="2024-10-25T15:45:00" u="1"/>
        <d v="2024-10-24T16:53:00" u="1"/>
        <d v="2024-10-24T15:05:00" u="1"/>
        <d v="2024-10-30T16:20:00" u="1"/>
        <d v="2024-10-28T09:19:00" u="1"/>
        <d v="2024-10-29T15:20:00" u="1"/>
        <d v="2024-10-25T12:09:00" u="1"/>
        <d v="2024-10-28T08:52:00" u="1"/>
        <d v="2024-10-31T13:06:00" u="1"/>
        <d v="2024-11-01T10:05:00" u="1"/>
        <d v="2024-11-01T11:20:00" u="1"/>
        <d v="2024-10-25T17:40:00" u="1"/>
        <d v="2024-11-01T08:56:00" u="1"/>
        <d v="2024-11-01T17:13:00" u="1"/>
        <d v="2024-11-01T15:23:00" u="1"/>
        <d v="2024-11-04T06:58:00" u="1"/>
        <d v="2024-11-04T09:34:00" u="1"/>
        <d v="2024-11-04T07:58:00" u="1"/>
        <d v="2024-11-04T09:35:00" u="1"/>
        <d v="2024-11-04T11:35:00" u="1"/>
        <d v="2024-11-04T16:45:00" u="1"/>
        <d v="2024-11-07T06:05:00" u="1"/>
        <d v="2024-11-07T05:50:00" u="1"/>
        <d v="2024-11-12T12:29:00" u="1"/>
        <d v="2024-11-05T13:40:00" u="1"/>
        <d v="2024-11-05T13:38:00" u="1"/>
        <d v="2024-11-05T16:05:00" u="1"/>
        <d v="2024-11-07T13:24:00" u="1"/>
        <d v="2024-11-11T12:18:00" u="1"/>
        <d v="2024-11-11T12:04:00" u="1"/>
        <d v="2024-11-08T09:10:00" u="1"/>
        <d v="2024-11-08T17:13:00" u="1"/>
        <d v="2024-11-06T06:53:00" u="1"/>
        <d v="2024-11-11T07:33:00" u="1"/>
        <d v="2024-11-12T07:26:00" u="1"/>
        <d v="2024-11-11T15:00:00" u="1"/>
        <d v="2024-11-05T11:17:00" u="1"/>
        <d v="2024-11-12T13:30:00" u="1"/>
        <d v="2024-11-05T12:00:00" u="1"/>
        <d v="2024-11-07T13:12:00" u="1"/>
        <d v="2024-11-06T14:00:00" u="1"/>
        <d v="2024-11-12T16:36:00" u="1"/>
        <d v="2024-11-12T13:17:00" u="1"/>
        <d v="2024-11-07T14:02:00" u="1"/>
        <d v="2024-11-12T04:47:00" u="1"/>
        <d v="2024-11-08T05:43:00" u="1"/>
        <d v="2024-11-06T09:16:00" u="1"/>
        <d v="2024-11-08T09:04:00" u="1"/>
        <d v="2024-11-05T12:36:00" u="1"/>
        <d v="2024-11-07T06:00:00" u="1"/>
        <d v="2024-11-11T15:07:00" u="1"/>
        <d v="2024-11-11T14:28:00" u="1"/>
        <d v="2024-11-07T17:53:00" u="1"/>
        <d v="2024-11-08T09:05:00" u="1"/>
        <d v="2024-11-05T07:43:00" u="1"/>
        <d v="2024-11-13T05:11:00" u="1"/>
        <d v="2024-11-12T17:02:00" u="1"/>
        <d v="2024-11-07T15:40:00" u="1"/>
        <d v="2024-11-11T12:03:00" u="1"/>
        <d v="2024-11-11T14:32:00" u="1"/>
        <d v="2024-11-04T14:06:00" u="1"/>
        <d v="2024-11-05T08:40:00" u="1"/>
        <d v="2024-11-12T13:18:00" u="1"/>
        <d v="2024-11-06T10:45:00" u="1"/>
        <d v="2024-11-12T13:14:00" u="1"/>
        <d v="2024-11-05T13:22:00" u="1"/>
        <d v="2024-12-04T16:11:00" u="1"/>
        <d v="2024-12-06T11:17:00" u="1"/>
        <d v="2024-12-07T09:38:00" u="1"/>
        <d v="2024-12-03T07:54:00" u="1"/>
        <d v="2024-12-02T05:01:00" u="1"/>
        <d v="2024-11-21T07:49:00" u="1"/>
        <d v="2024-12-02T15:19:00" u="1"/>
        <d v="2024-11-28T18:18:00" u="1"/>
        <d v="2024-12-04T12:53:00" u="1"/>
        <d v="2024-11-14T05:46:00" u="1"/>
        <d v="2024-12-03T12:37:00" u="1"/>
        <d v="2024-12-10T10:32:00" u="1"/>
        <d v="2024-12-10T09:59:00" u="1"/>
        <d v="2024-12-10T11:19:00" u="1"/>
        <d v="2024-12-09T10:58:00" u="1"/>
        <d v="2024-12-04T07:51:00" u="1"/>
        <d v="2024-12-04T07:52:00" u="1"/>
        <d v="2024-12-05T13:58:00" u="1"/>
        <d v="2024-12-03T18:37:00" u="1"/>
        <d v="2024-12-03T15:03:00" u="1"/>
        <d v="2024-11-21T13:29:00" u="1"/>
        <d v="2024-12-10T11:08:00" u="1"/>
        <d v="2024-12-10T08:59:00" u="1"/>
        <d v="2024-12-03T15:02:00" u="1"/>
        <d v="2024-11-27T04:56:00" u="1"/>
        <d v="2024-11-27T13:08:00" u="1"/>
        <d v="2024-12-09T07:46:00" u="1"/>
        <d v="2024-12-09T17:01:00" u="1"/>
        <d v="2024-12-05T08:51:00" u="1"/>
        <d v="2024-11-18T15:12:00" u="1"/>
        <d v="2024-11-18T15:00:00" u="1"/>
        <d v="2024-11-18T14:10:00" u="1"/>
        <d v="2024-12-05T07:18:00" u="1"/>
        <d v="2024-11-25T15:14:00" u="1"/>
        <d v="2024-12-10T05:59:00" u="1"/>
        <d v="2024-12-05T16:12:00" u="1"/>
        <d v="2024-11-28T09:18:00" u="1"/>
        <d v="2024-12-04T07:50:00" u="1"/>
        <d v="2024-11-05T08:00:00" u="1"/>
        <d v="2024-12-03T12:36:00" u="1"/>
        <d v="2024-11-13T13:36:00" u="1"/>
        <d v="2024-10-29T06:48:00" u="1"/>
        <d v="2024-12-09T10:50:00" u="1"/>
        <d v="2024-12-04T18:29:00" u="1"/>
        <d v="2024-12-16T15:51:00" u="1"/>
        <d v="2024-12-12T16:53:00" u="1"/>
        <d v="2024-12-13T12:05:00" u="1"/>
        <d v="2024-12-16T15:50:00" u="1"/>
        <d v="2024-12-11T16:13:00" u="1"/>
        <d v="2024-12-16T15:19:00" u="1"/>
        <d v="2024-12-12T07:12:00" u="1"/>
        <d v="2024-12-13T15:31:00" u="1"/>
        <d v="2024-12-10T16:58:00" u="1"/>
        <d v="2024-12-17T07:41:00" u="1"/>
        <d v="2024-12-11T17:03:00" u="1"/>
        <d v="2024-12-17T08:28:00" u="1"/>
        <d v="2024-12-11T14:03:00" u="1"/>
        <d v="2024-12-10T13:31:00" u="1"/>
        <d v="2024-12-13T10:43:00" u="1"/>
        <d v="2024-12-17T08:27:00" u="1"/>
        <d v="2024-12-12T08:15:00" u="1"/>
        <d v="2024-12-16T08:34:00" u="1"/>
        <d v="2024-12-13T13:19:00" u="1"/>
        <d v="2024-12-11T10:55:00" u="1"/>
        <d v="2024-12-17T06:46:00" u="1"/>
        <d v="2024-12-12T13:12:00" u="1"/>
        <d v="2024-11-06T10:26:00" u="1"/>
        <d v="2025-01-02T17:03:00" u="1"/>
        <d v="2024-06-28T06:55:00" u="1"/>
        <d v="2024-10-07T08:40:00" u="1"/>
        <d v="2024-10-15T16:56:00" u="1"/>
        <d v="2024-10-16T15:58:00" u="1"/>
        <d v="2024-10-18T13:23:00" u="1"/>
        <d v="2024-10-23T11:47:00" u="1"/>
        <d v="2024-11-25T10:11:00" u="1"/>
        <d v="2024-11-14T15:15:00" u="1"/>
        <d v="2024-11-29T15:51:00" u="1"/>
        <d v="2024-11-14T15:24:00" u="1"/>
        <d v="2024-11-18T15:22:00" u="1"/>
        <d v="2024-12-03T10:35:00" u="1"/>
        <d v="2024-12-03T05:37:00" u="1"/>
        <d v="2024-12-02T07:18:00" u="1"/>
        <d v="2024-11-29T07:30:00" u="1"/>
        <d v="2024-11-18T08:12:00" u="1"/>
        <d v="2024-12-04T14:09:00" u="1"/>
        <d v="2024-11-19T05:45:00" u="1"/>
        <d v="2024-11-28T15:04:00" u="1"/>
        <d v="2024-11-14T10:58:00" u="1"/>
        <d v="2024-11-25T15:52:00" u="1"/>
        <d v="2024-11-21T07:02:00" u="1"/>
        <d v="2024-11-22T15:43:00" u="1"/>
        <d v="2024-12-02T12:52:00" u="1"/>
        <d v="2024-11-14T13:11:00" u="1"/>
        <d v="2024-12-04T16:34:00" u="1"/>
        <d v="2024-11-28T14:33:00" u="1"/>
        <d v="2024-12-03T07:36:00" u="1"/>
        <d v="2024-11-08T15:39:00" u="1"/>
        <d v="2024-11-19T10:20:00" u="1"/>
        <d v="2024-11-21T06:19:00" u="1"/>
        <d v="2024-11-14T10:59:00" u="1"/>
        <d v="2024-11-14T13:20:00" u="1"/>
        <d v="2024-11-14T15:27:00" u="1"/>
        <d v="2024-11-19T07:06:00" u="1"/>
        <d v="2024-11-19T14:13:00" u="1"/>
        <d v="2024-11-26T05:20:00" u="1"/>
        <d v="2024-12-03T10:30:00" u="1"/>
        <d v="2024-02-22T13:26:00" u="1"/>
        <d v="2024-11-22T15:05:00" u="1"/>
        <d v="2024-11-14T11:01:00" u="1"/>
        <d v="2024-12-03T16:47:00" u="1"/>
        <d v="2024-11-14T06:34:00" u="1"/>
        <d v="2024-11-29T14:27:00" u="1"/>
        <d v="2024-11-29T07:29:00" u="1"/>
        <d v="2024-11-19T16:03:00" u="1"/>
        <d v="2024-12-02T15:11:00" u="1"/>
        <d v="2024-11-14T08:01:00" u="1"/>
        <d v="2024-12-04T16:27:00" u="1"/>
        <d v="2024-11-21T08:26:00" u="1"/>
        <d v="2024-11-26T10:56:00" u="1"/>
        <d v="2024-11-26T12:33:00" u="1"/>
        <d v="2024-12-02T16:16:00" u="1"/>
        <d v="2024-12-05T08:43:00" u="1"/>
        <d v="2024-12-17T08:40:00" u="1"/>
        <d v="2024-12-13T10:21:00" u="1"/>
        <d v="2024-12-13T17:18:00" u="1"/>
        <d v="2024-12-11T17:38:00" u="1"/>
        <d v="2024-12-10T18:28:00" u="1"/>
        <d v="2024-12-10T16:18:00" u="1"/>
        <d v="2024-12-19T09:30:00" u="1"/>
        <d v="2024-12-20T10:14:00" u="1"/>
        <d v="2024-12-27T17:45:00" u="1"/>
        <d v="2024-12-20T14:51:00" u="1"/>
        <d v="2024-12-27T15:45:00" u="1"/>
        <d v="2024-12-18T16:14:00" u="1"/>
        <d v="2024-12-19T12:15:00" u="1"/>
        <d v="2024-12-23T07:50:00" u="1"/>
        <d v="2024-12-26T10:05:00" u="1"/>
        <d v="2024-12-20T09:55:00" u="1"/>
        <d v="2024-11-04T10:00:00" u="1"/>
        <d v="2024-11-06T07:34:00" u="1"/>
        <d v="2024-11-12T13:01:00" u="1"/>
        <d v="2024-11-12T13:52:00" u="1"/>
        <d v="2024-11-11T13:49:00" u="1"/>
        <d v="2024-10-07T07:42:00" u="1"/>
        <d v="2024-10-08T15:38:00" u="1"/>
        <d v="2024-09-10T14:02:00" u="1"/>
        <d v="2024-10-11T15:50:00" u="1"/>
        <d v="2024-09-10T14:13:00" u="1"/>
        <d v="2024-09-11T16:33:00" u="1"/>
        <d v="2024-12-04T08:00:00" u="1"/>
        <d v="2024-10-10T09:14:00" u="1"/>
        <d v="2024-10-21T16:03:00" u="1"/>
        <d v="2024-10-07T11:23:00" u="1"/>
        <d v="2024-10-09T14:20:00" u="1"/>
        <d v="2024-10-04T13:46:00" u="1"/>
        <d v="2024-10-04T14:04:00" u="1"/>
        <d v="2024-10-10T08:49:00" u="1"/>
        <d v="2024-10-10T10:17:00" u="1"/>
        <d v="2024-10-07T14:27:00" u="1"/>
        <d v="2024-11-22T11:42:00" u="1"/>
        <d v="2024-10-08T13:02:00" u="1"/>
        <d v="2024-10-25T17:06:00" u="1"/>
        <d v="2024-10-23T16:33:00" u="1"/>
        <d v="2024-10-21T07:09:00" u="1"/>
        <d v="2024-10-10T10:20:00" u="1"/>
        <d v="2024-11-08T14:30:00" u="1"/>
        <d v="2024-09-16T08:04:00" u="1"/>
        <d v="2024-11-08T14:27:00" u="1"/>
        <d v="2024-10-04T07:21:00" u="1"/>
        <d v="2024-10-03T10:23:00" u="1"/>
        <d v="2024-09-26T16:16:00" u="1"/>
        <d v="2024-09-11T16:24:00" u="1"/>
        <d v="2024-11-07T08:39:00" u="1"/>
        <d v="2024-10-28T15:02:00" u="1"/>
        <d v="2024-10-09T07:05:00" u="1"/>
        <d v="2024-10-10T08:40:00" u="1"/>
        <d v="2024-10-10T16:35:00" u="1"/>
        <d v="2024-10-11T09:46:00" u="1"/>
        <d v="2024-10-17T15:08:00" u="1"/>
        <d v="2024-11-29T06:58:00" u="1"/>
        <d v="2024-10-18T13:26:00" u="1"/>
        <d v="2024-10-11T14:43:00" u="1"/>
        <d v="2024-09-11T16:34:00" u="1"/>
        <d v="2024-10-17T14:03:00" u="1"/>
        <d v="2024-10-07T16:28:00" u="1"/>
        <d v="2024-09-11T15:34:00" u="1"/>
        <d v="2024-10-04T15:31:00" u="1"/>
        <d v="2024-10-24T08:26:00" u="1"/>
        <d v="2024-10-21T10:18:00" u="1"/>
        <d v="2024-10-24T14:09:00" u="1"/>
        <d v="2024-10-14T07:41:00" u="1"/>
        <d v="2024-10-08T10:58:00" u="1"/>
        <d v="2024-10-15T16:31:00" u="1"/>
        <d v="2024-11-25T16:16:00" u="1"/>
        <d v="2024-10-10T10:21:00" u="1"/>
        <d v="2024-10-25T09:34:00" u="1"/>
        <d v="2024-10-25T11:54:00" u="1"/>
        <d v="2024-10-24T07:59:00" u="1"/>
        <d v="2024-10-07T16:53:00" u="1"/>
        <d v="2024-09-30T06:00:00" u="1"/>
        <d v="2024-10-10T10:24:00" u="1"/>
        <d v="2024-10-09T08:35:00" u="1"/>
        <d v="2024-10-16T15:55:00" u="1"/>
        <d v="2024-11-23T09:22:00" u="1"/>
        <d v="2024-10-15T17:46:00" u="1"/>
        <d v="2024-10-04T15:55:00" u="1"/>
        <d v="2024-10-15T13:00:00" u="1"/>
        <d v="2024-10-10T09:34:00" u="1"/>
        <d v="2024-11-21T08:48:00" u="1"/>
        <d v="2024-10-24T08:30:00" u="1"/>
        <d v="2024-10-15T15:09:00" u="1"/>
        <d v="2024-10-08T11:10:00" u="1"/>
        <d v="2024-10-07T09:19:00" u="1"/>
        <d v="2024-10-11T07:26:00" u="1"/>
        <d v="2024-10-15T14:22:00" u="1"/>
        <d v="2024-11-07T06:41:00" u="1"/>
        <d v="2024-10-08T13:49:00" u="1"/>
        <d v="2024-10-17T10:46:00" u="1"/>
        <d v="2024-10-11T08:27:00" u="1"/>
        <d v="2024-10-24T16:26:00" u="1"/>
        <d v="2024-10-10T08:51:00" u="1"/>
        <d v="2024-10-10T09:35:00" u="1"/>
        <d v="2024-12-03T12:38:00" u="1"/>
        <d v="2024-10-09T09:15:00" u="1"/>
        <d v="2024-10-21T15:22:00" u="1"/>
        <d v="2024-10-07T14:22:00" u="1"/>
        <d v="2024-10-22T06:40:00" u="1"/>
        <d v="2024-11-07T14:09:00" u="1"/>
        <d v="2024-10-07T07:28:00" u="1"/>
        <d v="2024-09-16T13:36:00" u="1"/>
        <d v="2024-10-18T09:44:00" u="1"/>
        <d v="2024-10-10T10:15:00" u="1"/>
        <d v="2024-11-05T08:43:00" u="1"/>
        <d v="2024-09-24T08:50:00" u="1"/>
        <d v="2024-09-30T12:46:00" u="1"/>
        <d v="2024-11-21T08:47:00" u="1"/>
        <d v="2024-10-10T08:56:00" u="1"/>
        <d v="2024-10-24T15:47:00" u="1"/>
        <d v="2024-10-21T09:39:00" u="1"/>
        <d v="2024-10-08T08:08:00" u="1"/>
        <d v="2024-10-27T07:36:00" u="1"/>
        <d v="2024-10-16T10:15:00" u="1"/>
        <d v="2024-10-18T12:46:00" u="1"/>
        <d v="2024-11-01T09:09:00" u="1"/>
        <d v="2024-10-15T17:03:00" u="1"/>
        <d v="2024-10-15T09:01:00" u="1"/>
        <d v="2024-10-14T09:07:00" u="1"/>
        <d v="2024-10-03T15:11:00" u="1"/>
        <d v="2024-10-16T12:00:00" u="1"/>
        <d v="2024-10-07T11:25:00" u="1"/>
        <d v="2024-10-31T11:44:00" u="1"/>
        <d v="2024-09-27T12:50:00" u="1"/>
        <d v="2024-11-01T09:01:00" u="1"/>
        <d v="2024-10-08T16:00:00" u="1"/>
        <d v="2024-10-17T08:19:00" u="1"/>
        <d v="2024-10-30T11:03:00" u="1"/>
        <d v="2024-11-18T14:22:00" u="1"/>
        <d v="2024-10-10T08:21:00" u="1"/>
        <d v="2024-10-16T15:53:00" u="1"/>
        <d v="2024-11-08T13:40:00" u="1"/>
        <d v="2024-10-14T10:04:00" u="1"/>
        <d v="2024-10-09T14:40:00" u="1"/>
        <d v="2024-10-07T14:25:00" u="1"/>
        <d v="2024-11-07T14:20:00" u="1"/>
        <d v="2024-09-13T15:27:00" u="1"/>
        <d v="2024-11-22T14:59:00" u="1"/>
        <d v="2024-10-03T15:17:00" u="1"/>
        <d v="2024-11-14T10:54:00" u="1"/>
        <d v="2024-11-14T17:02:00" u="1"/>
        <d v="2024-11-21T18:32:00" u="1"/>
        <d v="2024-11-14T16:07:00" u="1"/>
        <d v="2024-11-25T12:15:00" u="1"/>
        <d v="2024-12-09T11:53:00" u="1"/>
        <d v="2024-12-11T14:15:00" u="1"/>
        <d v="2024-12-16T18:29:00" u="1"/>
        <d v="2024-09-17T13:19:00" u="1"/>
        <d v="2024-10-10T17:34:00" u="1"/>
        <d v="2024-11-01T09:08:00" u="1"/>
        <d v="2024-11-07T16:44:00" u="1"/>
        <d v="2024-11-07T16:48:00" u="1"/>
        <d v="2024-11-07T16:37:00" u="1"/>
        <d v="2024-11-07T17:04:00" u="1"/>
        <d v="2024-11-07T17:56:00" u="1"/>
        <d v="2024-11-08T15:54:00" u="1"/>
        <d v="2024-11-04T16:03:00" u="1"/>
        <d v="2024-11-19T14:14:00" u="1"/>
        <d v="2024-10-28T16:57:00" u="1"/>
        <d v="2024-11-12T14:03:00" u="1"/>
        <d v="2024-09-11T15:39:00" u="1"/>
        <d v="2024-11-28T07:34:00" u="1"/>
        <d v="2024-11-18T13:00:00" u="1"/>
        <d v="2024-11-25T07:03:00" u="1"/>
        <d v="2024-09-19T14:11:00" u="1"/>
        <d v="2024-11-13T10:25:00" u="1"/>
        <d v="2024-11-14T15:23:00" u="1"/>
        <d v="2024-11-13T15:09:00" u="1"/>
        <d v="2024-11-13T10:02:00" u="1"/>
        <d v="2024-12-10T08:51:00" u="1"/>
        <d v="2024-11-13T15:10:00" u="1"/>
        <d v="2024-09-03T16:27:00" u="1"/>
        <d v="2024-12-05T11:37:00" u="1"/>
        <d v="2024-12-03T09:27:00" u="1"/>
        <d v="2024-11-22T10:23:00" u="1"/>
        <d v="2024-11-13T16:03:00" u="1"/>
        <d v="2024-11-13T15:13:00" u="1"/>
        <d v="2024-11-18T10:45:00" u="1"/>
        <d v="2024-11-21T13:30:00" u="1"/>
        <d v="2024-11-26T12:29:00" u="1"/>
        <d v="2024-11-26T11:01:00" u="1"/>
        <d v="2024-11-28T14:59:00" u="1"/>
        <d v="2024-12-02T12:44:00" u="1"/>
        <d v="2024-12-09T17:38:00" u="1"/>
        <d v="2024-12-03T15:59:00" u="1"/>
        <d v="2024-12-05T15:28:00" u="1"/>
        <d v="2024-11-13T09:24:00" u="1"/>
        <d v="2024-11-13T09:34:00" u="1"/>
        <d v="2024-11-13T09:42:00" u="1"/>
        <d v="2024-11-18T16:32:00" u="1"/>
        <d v="2024-11-18T16:20:00" u="1"/>
        <d v="2024-11-29T09:31:00" u="1"/>
        <d v="2024-11-29T10:28:00" u="1"/>
        <d v="2024-12-10T08:56:00" u="1"/>
        <d v="2024-11-19T16:56:00" u="1"/>
        <d v="2024-11-25T11:27:00" u="1"/>
        <d v="2024-11-21T17:05:00" u="1"/>
        <d v="2024-11-29T17:48:00" u="1"/>
        <d v="2024-11-25T17:48:00" u="1"/>
        <d v="2024-11-25T17:59:00" u="1"/>
        <d v="2024-11-25T17:55:00" u="1"/>
        <d v="2024-11-25T11:52:00" u="1"/>
        <d v="2024-11-29T15:19:00" u="1"/>
        <d v="2024-11-29T14:43:00" u="1"/>
        <d v="2024-11-26T14:02:00" u="1"/>
        <d v="2024-11-27T13:46:00" u="1"/>
        <d v="2024-12-02T14:34:00" u="1"/>
        <d v="2024-12-02T14:39:00" u="1"/>
        <d v="2024-12-02T15:21:00" u="1"/>
        <d v="2024-12-02T17:27:00" u="1"/>
        <d v="2024-12-03T20:15:00" u="1"/>
        <d v="2024-12-04T13:26:00" u="1"/>
        <d v="2024-12-04T13:30:00" u="1"/>
        <d v="2024-12-04T13:32:00" u="1"/>
        <d v="2024-12-04T13:36:00" u="1"/>
        <d v="2024-12-04T15:13:00" u="1"/>
        <d v="2024-12-04T15:15:00" u="1"/>
        <d v="2024-12-04T15:16:00" u="1"/>
        <d v="2024-12-05T14:45:00" u="1"/>
        <d v="2024-12-05T15:21:00" u="1"/>
        <d v="2024-12-05T15:23:00" u="1"/>
        <d v="2024-12-05T15:39:00" u="1"/>
        <d v="2024-12-06T10:07:00" u="1"/>
        <d v="2024-12-06T12:14:00" u="1"/>
        <d v="2024-12-06T14:55:00" u="1"/>
        <d v="2024-12-06T14:59:00" u="1"/>
        <d v="2024-12-06T15:14:00" u="1"/>
        <d v="2024-12-06T15:41:00" u="1"/>
        <d v="2024-12-06T16:05:00" u="1"/>
        <d v="2024-12-06T16:41:00" u="1"/>
        <d v="2024-12-06T16:43:00" u="1"/>
        <d v="2024-12-06T16:45:00" u="1"/>
        <d v="2024-12-06T16:59:00" u="1"/>
        <d v="2024-12-06T17:04:00" u="1"/>
        <d v="2024-12-06T17:10:00" u="1"/>
        <d v="2024-12-06T18:30:00" u="1"/>
        <d v="2024-12-06T18:35:00" u="1"/>
        <d v="2024-12-06T18:40:00" u="1"/>
        <d v="2024-12-06T20:22:00" u="1"/>
        <d v="2024-12-09T09:51:00" u="1"/>
        <d v="2024-12-09T09:54:00" u="1"/>
        <d v="2024-12-09T09:58:00" u="1"/>
        <d v="2024-12-09T10:00:00" u="1"/>
        <d v="2024-12-09T11:31:00" u="1"/>
        <d v="2024-12-09T12:59:00" u="1"/>
        <d v="2024-12-09T13:00:00" u="1"/>
        <d v="2024-12-09T13:39:00" u="1"/>
        <d v="2024-12-09T13:41:00" u="1"/>
        <d v="2024-12-09T14:02:00" u="1"/>
        <d v="2024-12-09T15:03:00" u="1"/>
        <d v="2024-12-09T15:53:00" u="1"/>
        <d v="2024-12-09T17:03:00" u="1"/>
        <d v="2024-12-09T18:04:00" u="1"/>
        <d v="2024-12-09T18:22:00" u="1"/>
        <d v="2024-12-09T18:26:00" u="1"/>
        <d v="2024-10-15T12:40:00" u="1"/>
        <d v="2024-11-12T13:15:00" u="1"/>
        <d v="2024-11-05T08:53:00" u="1"/>
        <d v="2024-11-10T13:58:00" u="1"/>
        <d v="2024-11-11T17:29:00" u="1"/>
        <d v="2024-11-07T16:24:00" u="1"/>
        <d v="2024-11-05T16:39:00" u="1"/>
        <d v="2024-11-05T16:44:00" u="1"/>
        <d v="2024-11-05T16:46:00" u="1"/>
        <d v="2024-11-05T16:47:00" u="1"/>
        <d v="2024-11-06T13:29:00" u="1"/>
        <d v="2024-11-06T13:31:00" u="1"/>
        <d v="2024-11-06T13:33:00" u="1"/>
        <d v="2024-11-06T13:35:00" u="1"/>
        <d v="2024-11-05T17:18:00" u="1"/>
        <d v="2024-11-05T12:53:00" u="1"/>
        <d v="2024-11-08T19:56:00" u="1"/>
        <d v="2024-11-05T12:07:00" u="1"/>
        <d v="2024-10-01T16:29:00" u="1"/>
        <d v="2024-11-01T07:55:00" u="1"/>
        <d v="2024-11-01T08:02:00" u="1"/>
        <d v="2024-08-26T14:39:00" u="1"/>
        <d v="2024-08-26T16:09:00" u="1"/>
        <d v="2024-08-27T08:47:00" u="1"/>
        <d v="2024-08-27T13:46:00" u="1"/>
        <d v="2024-08-28T11:05:00" u="1"/>
        <d v="2024-08-28T11:07:00" u="1"/>
        <d v="2024-08-28T11:08:00" u="1"/>
        <d v="2024-08-28T11:09:00" u="1"/>
        <d v="2024-08-28T11:10:00" u="1"/>
        <d v="2024-08-28T11:11:00" u="1"/>
        <d v="2024-08-28T11:12:00" u="1"/>
        <d v="2024-08-28T11:13:00" u="1"/>
        <d v="2024-08-28T11:21:00" u="1"/>
        <d v="2024-08-28T11:22:00" u="1"/>
        <d v="2024-08-28T11:23:00" u="1"/>
        <d v="2024-08-28T11:24:00" u="1"/>
        <d v="2024-08-28T11:25:00" u="1"/>
        <d v="2024-08-28T11:28:00" u="1"/>
        <d v="2024-08-28T11:29:00" u="1"/>
        <d v="2024-08-28T11:30:00" u="1"/>
        <d v="2024-08-28T11:31:00" u="1"/>
        <d v="2024-08-28T11:32:00" u="1"/>
        <d v="2024-08-28T11:33:00" u="1"/>
        <d v="2024-08-28T11:34:00" u="1"/>
        <d v="2024-08-28T11:35:00" u="1"/>
        <d v="2024-08-28T11:36:00" u="1"/>
        <d v="2024-08-28T11:39:00" u="1"/>
        <d v="2024-08-28T11:40:00" u="1"/>
        <d v="2024-08-28T11:42:00" u="1"/>
        <d v="2024-08-28T12:06:00" u="1"/>
        <d v="2024-08-28T12:07:00" u="1"/>
        <d v="2024-08-28T12:17:00" u="1"/>
        <d v="2024-08-28T12:18:00" u="1"/>
        <d v="2024-08-28T12:24:00" u="1"/>
        <d v="2024-08-28T12:28:00" u="1"/>
        <d v="2024-08-28T12:33:00" u="1"/>
        <d v="2024-08-28T12:44:00" u="1"/>
        <d v="2024-08-28T12:47:00" u="1"/>
        <d v="2024-08-28T12:53:00" u="1"/>
        <d v="2024-08-28T13:04:00" u="1"/>
        <d v="2024-08-28T13:09:00" u="1"/>
        <d v="2024-08-28T13:11:00" u="1"/>
        <d v="2024-08-28T13:16:00" u="1"/>
        <d v="2024-08-28T13:17:00" u="1"/>
        <d v="2024-08-28T13:18:00" u="1"/>
        <d v="2024-08-28T13:19:00" u="1"/>
        <d v="2024-08-28T13:20:00" u="1"/>
        <d v="2024-08-28T13:22:00" u="1"/>
        <d v="2024-08-28T13:24:00" u="1"/>
        <d v="2024-08-28T13:26:00" u="1"/>
        <d v="2024-08-28T13:27:00" u="1"/>
        <d v="2024-08-28T13:31:00" u="1"/>
        <d v="2024-08-28T13:33:00" u="1"/>
        <d v="2024-08-28T13:35:00" u="1"/>
        <d v="2024-08-28T13:36:00" u="1"/>
        <d v="2024-08-28T13:44:00" u="1"/>
        <d v="2024-08-28T13:49:00" u="1"/>
        <d v="2024-08-28T13:53:00" u="1"/>
        <d v="2024-08-28T13:55:00" u="1"/>
        <d v="2024-08-28T13:56:00" u="1"/>
        <d v="2024-08-28T13:57:00" u="1"/>
        <d v="2024-08-28T13:59:00" u="1"/>
        <d v="2024-08-28T14:00:00" u="1"/>
        <d v="2024-08-28T14:03:00" u="1"/>
        <d v="2024-08-28T14:05:00" u="1"/>
        <d v="2024-08-28T14:09:00" u="1"/>
        <d v="2024-08-28T14:12:00" u="1"/>
        <d v="2024-08-28T14:16:00" u="1"/>
        <d v="2024-08-28T14:23:00" u="1"/>
        <d v="2024-08-28T14:30:00" u="1"/>
        <d v="2024-08-28T14:32:00" u="1"/>
        <d v="2024-08-28T14:34:00" u="1"/>
        <d v="2024-08-28T14:36:00" u="1"/>
        <d v="2024-08-28T14:54:00" u="1"/>
        <d v="2024-08-28T14:59:00" u="1"/>
        <d v="2024-08-28T15:00:00" u="1"/>
        <d v="2024-08-28T15:04:00" u="1"/>
        <d v="2024-08-28T15:07:00" u="1"/>
        <d v="2024-08-28T15:14:00" u="1"/>
        <d v="2024-08-28T15:15:00" u="1"/>
        <d v="2024-08-28T15:16:00" u="1"/>
        <d v="2024-08-28T15:18:00" u="1"/>
        <d v="2024-08-28T15:43:00" u="1"/>
        <d v="2024-08-28T15:44:00" u="1"/>
        <d v="2024-08-28T15:51:00" u="1"/>
        <d v="2024-08-28T15:55:00" u="1"/>
        <d v="2024-08-28T16:00:00" u="1"/>
        <d v="2024-08-28T16:10:00" u="1"/>
        <d v="2024-08-28T16:23:00" u="1"/>
        <d v="2024-08-28T16:27:00" u="1"/>
        <d v="2024-08-28T16:30:00" u="1"/>
        <d v="2024-08-28T16:31:00" u="1"/>
        <d v="2024-08-28T16:32:00" u="1"/>
        <d v="2024-08-28T16:33:00" u="1"/>
        <d v="2024-08-28T16:40:00" u="1"/>
        <d v="2024-08-28T16:41:00" u="1"/>
        <d v="2024-08-28T16:42:00" u="1"/>
        <d v="2024-08-28T16:43:00" u="1"/>
        <d v="2024-08-28T16:50:00" u="1"/>
        <d v="2024-08-28T16:51:00" u="1"/>
        <d v="2024-08-28T16:55:00" u="1"/>
        <d v="2024-08-28T16:58:00" u="1"/>
        <d v="2024-08-28T17:01:00" u="1"/>
        <d v="2024-08-28T17:09:00" u="1"/>
        <d v="2024-08-28T17:11:00" u="1"/>
        <d v="2024-08-29T13:34:00" u="1"/>
        <d v="2024-08-29T15:33:00" u="1"/>
        <d v="2024-08-29T16:06:00" u="1"/>
        <d v="2024-08-30T09:22:00" u="1"/>
        <d v="2024-08-30T10:37:00" u="1"/>
        <d v="2024-08-30T10:50:00" u="1"/>
        <d v="2024-08-30T13:48:00" u="1"/>
        <d v="2024-08-30T14:02:00" u="1"/>
        <d v="2024-08-30T14:11:00" u="1"/>
        <d v="2024-09-02T10:08:00" u="1"/>
        <d v="2024-09-02T11:10:00" u="1"/>
        <d v="2024-09-02T14:13:00" u="1"/>
        <d v="2024-09-03T14:59:00" u="1"/>
        <d v="2024-09-09T15:36:00" u="1"/>
        <d v="2024-09-09T15:17:00" u="1"/>
        <d v="2024-09-30T19:04:00" u="1"/>
        <d v="2024-10-01T17:15:00" u="1"/>
        <d v="2024-10-02T17:50:00" u="1"/>
        <d v="2024-10-03T15:31:00" u="1"/>
        <d v="2024-10-10T18:37:00" u="1"/>
        <d v="2024-10-14T09:13:00" u="1"/>
        <d v="2024-10-14T18:31:00" u="1"/>
        <d v="2024-10-16T10:17:00" u="1"/>
        <d v="2024-10-16T16:34:00" u="1"/>
        <d v="2024-10-18T16:13:00" u="1"/>
        <d v="2024-10-18T17:30:00" u="1"/>
        <d v="2024-10-22T13:30:00" u="1"/>
        <d v="2024-10-23T11:39:00" u="1"/>
        <d v="2024-10-25T19:25:00" u="1"/>
        <d v="2024-10-29T17:04:00" u="1"/>
        <d v="2024-11-01T14:02:00" u="1"/>
        <d v="2024-10-25T16:32:00" u="1"/>
        <d v="2024-10-25T13:28:00" u="1"/>
        <d v="2024-10-29T09:56:00" u="1"/>
        <d v="2024-10-29T17:03:00" u="1"/>
        <d v="2024-10-24T16:44:00" u="1"/>
        <d v="2024-10-25T19:07:00" u="1"/>
        <d v="2024-10-28T09:42:00" u="1"/>
        <d v="2024-10-30T16:21:00" u="1"/>
        <d v="2024-10-31T16:08:00" u="1"/>
        <d v="2024-10-30T19:27:00" u="1"/>
        <d v="2024-10-28T15:20:00" u="1"/>
        <d v="2024-10-28T15:29:00" u="1"/>
        <d v="2024-10-28T15:24:00" u="1"/>
        <d v="2024-10-25T18:16:00" u="1"/>
        <d v="2024-10-28T16:50:00" u="1"/>
        <d v="2024-10-30T12:11:00" u="1"/>
        <d v="2024-10-29T11:45:00" u="1"/>
        <d v="2024-10-29T17:45:00" u="1"/>
        <d v="2024-10-31T11:34:00" u="1"/>
        <d v="2024-10-28T15:34:00" u="1"/>
        <d v="2024-10-24T10:46:00" u="1"/>
        <d v="2024-10-24T16:41:00" u="1"/>
        <d v="2024-10-11T12:18:00" u="1"/>
        <d v="2024-10-11T17:58:00" u="1"/>
        <d v="2024-10-11T16:39:00" u="1"/>
        <d v="2024-10-11T15:52:00" u="1"/>
        <d v="2024-07-24T12:32:00" u="1"/>
        <d v="2024-07-30T16:19:00" u="1"/>
        <d v="2024-09-03T10:47:00" u="1"/>
        <d v="2024-09-03T10:46:00" u="1"/>
        <d v="2024-09-17T10:38:00" u="1"/>
        <d v="2024-09-27T17:40:00" u="1"/>
        <d v="2024-09-30T10:31:00" u="1"/>
        <d v="2024-09-30T17:33:00" u="1"/>
        <d v="2024-10-01T17:33:00" u="1"/>
        <d v="2024-10-02T20:30:00" u="1"/>
        <d v="2024-10-03T09:38:00" u="1"/>
        <d v="2024-10-03T11:05:00" u="1"/>
        <d v="2024-10-03T10:57:00" u="1"/>
        <d v="2024-10-03T10:53:00" u="1"/>
        <d v="2024-10-04T18:07:00" u="1"/>
        <d v="2024-10-07T14:15:00" u="1"/>
        <d v="2024-10-07T14:16:00" u="1"/>
        <d v="2024-10-14T09:08:00" u="1"/>
        <d v="2024-10-07T15:34:00" u="1"/>
        <d v="2024-10-07T16:49:00" u="1"/>
        <d v="2024-10-07T19:51:00" u="1"/>
        <d v="2024-10-10T08:54:00" u="1"/>
        <d v="2024-10-09T11:32:00" u="1"/>
        <d v="2024-10-09T16:12:00" u="1"/>
        <d v="2024-10-10T08:28:00" u="1"/>
        <d v="2024-10-10T08:32:00" u="1"/>
        <d v="2024-10-10T08:33:00" u="1"/>
        <d v="2024-10-10T08:34:00" u="1"/>
        <d v="2024-10-10T08:35:00" u="1"/>
        <d v="2024-10-10T08:37:00" u="1"/>
        <d v="2024-10-10T08:38:00" u="1"/>
        <d v="2024-10-10T08:39:00" u="1"/>
        <d v="2024-10-10T08:42:00" u="1"/>
        <d v="2024-10-10T09:10:00" u="1"/>
        <d v="2024-10-10T09:11:00" u="1"/>
        <d v="2024-10-10T09:17:00" u="1"/>
        <d v="2024-10-16T12:18:00" u="1"/>
        <d v="2024-10-10T09:38:00" u="1"/>
        <d v="2024-10-10T09:39:00" u="1"/>
        <d v="2024-10-10T09:40:00" u="1"/>
        <d v="2024-10-10T09:41:00" u="1"/>
        <d v="2024-10-10T09:42:00" u="1"/>
        <d v="2024-10-10T09:43:00" u="1"/>
        <d v="2024-10-10T09:44:00" u="1"/>
        <d v="2024-10-16T11:04:00" u="1"/>
        <d v="2024-10-10T10:18:00" u="1"/>
        <d v="2024-10-11T09:41:00" u="1"/>
        <d v="2024-10-11T09:51:00" u="1"/>
        <d v="2024-10-11T15:51:00" u="1"/>
        <d v="2024-10-16T12:11:00" u="1"/>
        <d v="2024-10-14T09:01:00" u="1"/>
        <d v="2024-10-14T14:25:00" u="1"/>
        <d v="2024-10-14T11:34:00" u="1"/>
        <d v="2024-10-14T17:08:00" u="1"/>
        <d v="2024-10-15T13:40:00" u="1"/>
        <d v="2024-10-15T17:06:00" u="1"/>
        <d v="2024-10-15T17:26:00" u="1"/>
        <d v="2024-10-15T15:31:00" u="1"/>
        <d v="2024-10-16T09:37:00" u="1"/>
        <d v="2024-10-16T09:02:00" u="1"/>
        <d v="2024-10-16T12:14:00" u="1"/>
        <d v="2024-10-16T11:13:00" u="1"/>
        <d v="2024-10-17T10:21:00" u="1"/>
        <d v="2024-10-17T15:01:00" u="1"/>
        <d v="2024-10-18T08:38:00" u="1"/>
        <d v="2024-10-21T09:59:00" u="1"/>
        <d v="2024-10-21T10:00:00" u="1"/>
        <d v="2024-10-21T12:08:00" u="1"/>
        <d v="2024-10-21T11:44:00" u="1"/>
        <d v="2024-10-21T20:01:00" u="1"/>
        <d v="2024-10-21T20:10:00" u="1"/>
        <d v="2024-10-22T11:13:00" u="1"/>
        <d v="2024-10-22T11:12:00" u="1"/>
        <d v="2024-10-22T13:24:00" u="1"/>
        <d v="2024-10-22T18:54:00" u="1"/>
        <d v="2024-10-22T18:58:00" u="1"/>
        <d v="2024-10-22T17:51:00" u="1"/>
        <d v="2024-10-23T17:36:00" u="1"/>
        <d v="2024-10-23T18:07:00" u="1"/>
        <d v="2024-10-24T01:54:00" u="1"/>
        <d v="2024-01-17T05:32:00" u="1"/>
        <d v="2024-02-16T11:25:00" u="1"/>
        <d v="2024-02-28T12:19:00" u="1"/>
        <d v="2024-03-05T12:46:00" u="1"/>
        <d v="2024-03-05T13:14:00" u="1"/>
        <d v="2024-03-26T16:12:00" u="1"/>
        <d v="2024-04-08T15:40:00" u="1"/>
        <d v="2024-04-11T10:13:00" u="1"/>
        <d v="2024-04-21T14:29:00" u="1"/>
        <d v="2024-04-24T17:50:00" u="1"/>
        <d v="2024-04-25T13:04:00" u="1"/>
        <d v="2024-05-01T11:26:00" u="1"/>
        <d v="2024-05-06T15:49:00" u="1"/>
        <d v="2024-05-07T11:27:00" u="1"/>
        <d v="2024-05-07T12:57:00" u="1"/>
        <d v="2024-05-08T09:29:00" u="1"/>
        <d v="2024-05-15T08:23:00" u="1"/>
        <d v="2024-05-20T14:33:00" u="1"/>
        <d v="2024-05-22T05:41:00" u="1"/>
        <d v="2024-05-22T15:41:00" u="1"/>
        <d v="2024-05-23T14:07:00" u="1"/>
        <d v="2024-05-24T11:37:00" u="1"/>
        <d v="2024-05-27T10:01:00" u="1"/>
        <d v="2024-05-29T13:29:00" u="1"/>
        <d v="2024-05-29T15:13:00" u="1"/>
        <d v="2024-06-07T17:25:00" u="1"/>
        <d v="2024-06-07T18:24:00" u="1"/>
        <d v="2024-06-07T18:42:00" u="1"/>
        <d v="2024-06-10T15:16:00" u="1"/>
        <d v="2024-06-10T15:30:00" u="1"/>
        <d v="2024-06-10T15:41:00" u="1"/>
        <d v="2024-06-10T16:34:00" u="1"/>
        <d v="2024-06-10T17:36:00" u="1"/>
        <d v="2024-06-10T18:47:00" u="1"/>
        <d v="2024-06-11T11:12:00" u="1"/>
        <d v="2024-06-12T13:36:00" u="1"/>
        <d v="2024-06-13T11:32:00" u="1"/>
        <d v="2024-06-13T14:00:00" u="1"/>
        <d v="2024-06-13T17:02:00" u="1"/>
        <d v="2024-06-14T10:39:00" u="1"/>
        <d v="2024-06-14T16:58:00" u="1"/>
        <d v="2024-06-16T10:32:00" u="1"/>
        <d v="2024-06-16T10:53:00" u="1"/>
        <d v="2024-06-17T11:44:00" u="1"/>
        <d v="2024-06-18T07:54:00" u="1"/>
        <d v="2024-06-19T08:59:00" u="1"/>
        <d v="2024-06-19T18:14:00" u="1"/>
        <d v="2024-06-19T18:36:00" u="1"/>
        <d v="2024-06-20T09:00:00" u="1"/>
        <d v="2024-06-20T12:55:00" u="1"/>
        <d v="2024-06-20T14:01:00" u="1"/>
        <d v="2024-06-21T07:20:00" u="1"/>
        <d v="2024-06-21T07:21:00" u="1"/>
        <d v="2024-06-21T07:22:00" u="1"/>
        <d v="2024-06-21T15:57:00" u="1"/>
        <d v="2024-06-25T16:06:00" u="1"/>
        <d v="2024-06-26T14:41:00" u="1"/>
        <d v="2024-06-26T15:26:00" u="1"/>
        <d v="2024-06-26T15:32:00" u="1"/>
        <d v="2024-06-26T15:34:00" u="1"/>
        <d v="2024-06-26T15:45:00" u="1"/>
        <d v="2024-06-26T16:12:00" u="1"/>
        <d v="2024-06-27T10:54:00" u="1"/>
        <d v="2024-06-27T10:56:00" u="1"/>
        <d v="2024-06-27T10:57:00" u="1"/>
        <d v="2024-06-27T11:19:00" u="1"/>
        <d v="2024-06-27T11:50:00" u="1"/>
        <d v="2024-06-27T11:51:00" u="1"/>
        <d v="2024-06-27T11:52:00" u="1"/>
        <d v="2024-06-27T12:05:00" u="1"/>
        <d v="2024-06-27T12:43:00" u="1"/>
        <d v="2024-06-27T13:35:00" u="1"/>
        <d v="2024-06-27T14:53:00" u="1"/>
        <d v="2024-06-27T15:00:00" u="1"/>
        <d v="2024-06-27T15:01:00" u="1"/>
        <d v="2024-06-27T15:11:00" u="1"/>
        <d v="2024-06-28T05:54:00" u="1"/>
        <d v="2024-06-28T13:21:00" u="1"/>
        <d v="2024-06-30T10:52:00" u="1"/>
        <d v="2024-06-30T16:52:00" u="1"/>
        <d v="2024-06-30T17:52:00" u="1"/>
        <d v="2024-06-30T18:48:00" u="1"/>
        <d v="2024-06-30T19:48:00" u="1"/>
        <d v="2024-06-30T19:58:00" u="1"/>
        <d v="2024-07-01T10:30:00" u="1"/>
        <d v="2024-07-01T12:00:00" u="1"/>
        <d v="2024-07-02T06:08:00" u="1"/>
        <d v="2024-07-02T08:20:00" u="1"/>
        <d v="2024-07-02T11:35:00" u="1"/>
        <d v="2024-07-02T11:47:00" u="1"/>
        <d v="2024-07-03T14:59:00" u="1"/>
        <d v="2024-07-03T15:07:00" u="1"/>
        <d v="2024-07-04T06:14:00" u="1"/>
        <d v="2024-07-04T10:04:00" u="1"/>
        <d v="2024-07-04T10:06:00" u="1"/>
        <d v="2024-07-04T10:46:00" u="1"/>
        <d v="2024-07-04T14:08:00" u="1"/>
        <d v="2024-07-04T16:41:00" u="1"/>
        <d v="2024-07-04T17:02:00" u="1"/>
        <d v="2024-07-04T17:04:00" u="1"/>
        <d v="2024-07-05T09:57:00" u="1"/>
        <d v="2024-07-08T13:55:00" u="1"/>
        <d v="2024-07-08T14:36:00" u="1"/>
        <d v="2024-07-08T16:04:00" u="1"/>
        <d v="2024-07-08T16:05:00" u="1"/>
        <d v="2024-07-08T17:14:00" u="1"/>
        <d v="2024-07-09T09:35:00" u="1"/>
        <d v="2024-07-09T10:33:00" u="1"/>
        <d v="2024-07-09T10:34:00" u="1"/>
        <d v="2024-07-09T15:16:00" u="1"/>
        <d v="2024-07-09T15:51:00" u="1"/>
        <d v="2024-07-10T08:38:00" u="1"/>
        <d v="2024-07-10T09:32:00" u="1"/>
        <d v="2024-07-11T07:57:00" u="1"/>
        <d v="2024-07-11T08:20:00" u="1"/>
        <d v="2024-07-11T08:59:00" u="1"/>
        <d v="2024-07-11T11:50:00" u="1"/>
        <d v="2024-07-11T15:52:00" u="1"/>
        <d v="2024-07-11T18:09:00" u="1"/>
        <d v="2024-07-11T18:11:00" u="1"/>
        <d v="2024-07-11T18:12:00" u="1"/>
        <d v="2024-07-11T18:13:00" u="1"/>
        <d v="2024-07-11T18:14:00" u="1"/>
        <d v="2024-07-11T18:17:00" u="1"/>
        <d v="2024-07-11T18:19:00" u="1"/>
        <d v="2024-07-12T08:16:00" u="1"/>
        <d v="2024-07-12T08:56:00" u="1"/>
        <d v="2024-07-12T13:09:00" u="1"/>
        <d v="2024-07-15T12:16:00" u="1"/>
        <d v="2024-07-15T16:33:00" u="1"/>
        <d v="2024-07-16T09:29:00" u="1"/>
        <d v="2024-07-16T11:29:00" u="1"/>
        <d v="2024-07-16T11:55:00" u="1"/>
        <d v="2024-07-16T13:25:00" u="1"/>
        <d v="2024-07-17T07:30:00" u="1"/>
        <d v="2024-07-17T09:46:00" u="1"/>
        <d v="2024-07-17T11:10:00" u="1"/>
        <d v="2024-07-17T11:27:00" u="1"/>
        <d v="2024-07-17T17:24:00" u="1"/>
        <d v="2024-07-17T19:15:00" u="1"/>
        <d v="2024-07-18T08:42:00" u="1"/>
        <d v="2024-07-18T09:12:00" u="1"/>
        <d v="2024-07-18T09:18:00" u="1"/>
        <d v="2024-07-18T12:47:00" u="1"/>
        <d v="2024-07-18T19:42:00" u="1"/>
        <d v="2024-07-18T19:43:00" u="1"/>
        <d v="2024-07-18T19:45:00" u="1"/>
        <d v="2024-07-19T17:43:00" u="1"/>
        <d v="2024-07-20T11:20:00" u="1"/>
        <d v="2024-07-20T11:23:00" u="1"/>
        <d v="2024-07-20T12:20:00" u="1"/>
        <d v="2024-07-22T07:16:00" u="1"/>
        <d v="2024-07-22T07:21:00" u="1"/>
        <d v="2024-07-22T07:22:00" u="1"/>
        <d v="2024-07-22T07:30:00" u="1"/>
        <d v="2024-07-22T07:34:00" u="1"/>
        <d v="2024-07-22T16:32:00" u="1"/>
        <d v="2024-07-22T16:43:00" u="1"/>
        <d v="2024-07-22T18:08:00" u="1"/>
        <d v="2024-07-23T08:03:00" u="1"/>
        <d v="2024-07-23T11:53:00" u="1"/>
        <d v="2024-07-23T11:54:00" u="1"/>
        <d v="2024-07-24T15:17:00" u="1"/>
        <d v="2024-07-24T15:39:00" u="1"/>
        <d v="2024-07-24T17:02:00" u="1"/>
        <d v="2024-07-24T17:54:00" u="1"/>
        <d v="2024-07-25T17:16:00" u="1"/>
        <d v="2024-07-25T19:21:00" u="1"/>
        <d v="2024-07-26T10:02:00" u="1"/>
        <d v="2024-07-26T16:31:00" u="1"/>
        <d v="2024-07-26T16:32:00" u="1"/>
        <d v="2024-07-26T16:48:00" u="1"/>
        <d v="2024-07-26T17:05:00" u="1"/>
        <d v="2024-07-26T18:04:00" u="1"/>
        <d v="2024-07-29T07:30:00" u="1"/>
        <d v="2024-07-29T14:06:00" u="1"/>
        <d v="2024-07-29T14:21:00" u="1"/>
        <d v="2024-07-29T14:40:00" u="1"/>
        <d v="2024-07-29T16:35:00" u="1"/>
        <d v="2024-07-29T17:10:00" u="1"/>
        <d v="2024-07-29T17:35:00" u="1"/>
        <d v="2024-07-29T17:41:00" u="1"/>
        <d v="2024-07-29T17:52:00" u="1"/>
        <d v="2024-07-30T06:13:00" u="1"/>
        <d v="2024-07-30T14:09:00" u="1"/>
        <d v="2024-07-30T15:12:00" u="1"/>
        <d v="2024-07-30T15:20:00" u="1"/>
        <d v="2024-07-30T16:28:00" u="1"/>
        <d v="2024-07-30T18:13:00" u="1"/>
        <d v="2024-07-31T07:15:00" u="1"/>
        <d v="2024-07-31T08:30:00" u="1"/>
        <d v="2024-07-31T14:11:00" u="1"/>
        <d v="2024-07-31T16:52:00" u="1"/>
        <d v="2024-07-31T16:58:00" u="1"/>
        <d v="2024-07-31T17:18:00" u="1"/>
        <d v="2024-07-31T17:40:00" u="1"/>
        <d v="2024-08-01T07:56:00" u="1"/>
        <d v="2024-08-01T10:51:00" u="1"/>
        <d v="2024-08-01T16:47:00" u="1"/>
        <d v="2024-08-02T06:33:00" u="1"/>
        <d v="2024-08-02T07:19:00" u="1"/>
        <d v="2024-08-02T07:21:00" u="1"/>
        <d v="2024-08-02T13:16:00" u="1"/>
        <d v="2024-08-02T13:17:00" u="1"/>
        <d v="2024-08-02T14:38:00" u="1"/>
        <d v="2024-08-02T16:04:00" u="1"/>
        <d v="2024-08-02T16:39:00" u="1"/>
        <d v="2024-08-02T16:59:00" u="1"/>
        <d v="2024-08-05T07:17:00" u="1"/>
        <d v="2024-08-05T08:14:00" u="1"/>
        <d v="2024-08-05T08:15:00" u="1"/>
        <d v="2024-08-05T12:56:00" u="1"/>
        <d v="2024-08-05T14:45:00" u="1"/>
        <d v="2024-08-05T15:08:00" u="1"/>
        <d v="2024-08-05T16:40:00" u="1"/>
        <d v="2024-08-06T06:10:00" u="1"/>
        <d v="2024-08-06T07:15:00" u="1"/>
        <d v="2024-08-06T07:16:00" u="1"/>
        <d v="2024-08-06T08:12:00" u="1"/>
        <d v="2024-08-06T10:52:00" u="1"/>
        <d v="2024-08-06T13:37:00" u="1"/>
        <d v="2024-08-06T14:51:00" u="1"/>
        <d v="2024-08-06T14:52:00" u="1"/>
        <d v="2024-08-06T15:06:00" u="1"/>
        <d v="2024-08-06T16:21:00" u="1"/>
        <d v="2024-08-06T16:27:00" u="1"/>
        <d v="2024-08-06T16:49:00" u="1"/>
        <d v="2024-08-06T17:36:00" u="1"/>
        <d v="2024-08-06T18:50:00" u="1"/>
        <d v="2024-08-06T18:54:00" u="1"/>
        <d v="2024-08-06T18:56:00" u="1"/>
        <d v="2024-08-07T07:47:00" u="1"/>
        <d v="2024-08-07T08:54:00" u="1"/>
        <d v="2024-08-07T11:05:00" u="1"/>
        <d v="2024-08-07T11:24:00" u="1"/>
        <d v="2024-08-07T11:36:00" u="1"/>
        <d v="2024-08-07T11:53:00" u="1"/>
        <d v="2024-08-07T14:48:00" u="1"/>
        <d v="2024-08-07T16:30:00" u="1"/>
        <d v="2024-08-07T16:44:00" u="1"/>
        <d v="2024-08-08T07:58:00" u="1"/>
        <d v="2024-08-08T09:52:00" u="1"/>
        <d v="2024-08-08T16:16:00" u="1"/>
        <d v="2024-08-09T07:31:00" u="1"/>
        <d v="2024-08-09T07:49:00" u="1"/>
        <d v="2024-08-09T12:56:00" u="1"/>
        <d v="2024-08-09T12:57:00" u="1"/>
        <d v="2024-08-09T14:51:00" u="1"/>
        <d v="2024-08-09T14:59:00" u="1"/>
        <d v="2024-08-09T15:34:00" u="1"/>
        <d v="2024-08-09T16:14:00" u="1"/>
        <d v="2024-08-12T07:19:00" u="1"/>
        <d v="2024-08-12T07:29:00" u="1"/>
        <d v="2024-08-12T08:51:00" u="1"/>
        <d v="2024-08-12T16:00:00" u="1"/>
        <d v="2024-08-12T17:21:00" u="1"/>
        <d v="2024-08-13T07:16:00" u="1"/>
        <d v="2024-08-13T07:48:00" u="1"/>
        <d v="2024-08-13T09:05:00" u="1"/>
        <d v="2024-08-13T12:35:00" u="1"/>
        <d v="2024-08-13T12:42:00" u="1"/>
        <d v="2024-08-13T12:53:00" u="1"/>
        <d v="2024-08-13T13:15:00" u="1"/>
        <d v="2024-08-13T13:21:00" u="1"/>
        <d v="2024-08-13T16:19:00" u="1"/>
        <d v="2024-08-14T07:59:00" u="1"/>
        <d v="2024-08-14T09:29:00" u="1"/>
        <d v="2024-08-14T11:14:00" u="1"/>
        <d v="2024-08-14T14:48:00" u="1"/>
        <d v="2024-08-14T15:02:00" u="1"/>
        <d v="2024-08-14T15:34:00" u="1"/>
        <d v="2024-08-14T16:06:00" u="1"/>
        <d v="2024-08-14T17:04:00" u="1"/>
        <d v="2024-08-14T17:34:00" u="1"/>
        <d v="2024-08-14T21:01:00" u="1"/>
        <d v="2024-08-15T06:26:00" u="1"/>
        <d v="2024-08-15T06:28:00" u="1"/>
        <d v="2024-08-15T13:31:00" u="1"/>
        <d v="2024-08-15T13:32:00" u="1"/>
        <d v="2024-08-15T14:03:00" u="1"/>
        <d v="2024-08-15T14:04:00" u="1"/>
        <d v="2024-08-15T14:17:00" u="1"/>
        <d v="2024-08-15T17:49:00" u="1"/>
        <d v="2024-08-16T06:47:00" u="1"/>
        <d v="2024-08-16T06:48:00" u="1"/>
        <d v="2024-08-16T06:53:00" u="1"/>
        <d v="2024-08-16T06:55:00" u="1"/>
        <d v="2024-08-16T16:12:00" u="1"/>
        <d v="2024-08-19T10:45:00" u="1"/>
        <d v="2024-08-19T10:53:00" u="1"/>
        <d v="2024-08-19T14:38:00" u="1"/>
        <d v="2024-08-19T15:11:00" u="1"/>
        <d v="2024-08-19T15:32:00" u="1"/>
        <d v="2024-08-20T17:44:00" u="1"/>
        <d v="2024-08-21T17:58:00" u="1"/>
        <d v="2024-08-22T08:07:00" u="1"/>
        <d v="2024-08-22T08:08:00" u="1"/>
        <d v="2024-08-22T09:05:00" u="1"/>
        <d v="2024-08-22T12:32:00" u="1"/>
        <d v="2024-08-22T12:50:00" u="1"/>
        <d v="2024-08-22T18:48:00" u="1"/>
        <d v="2024-08-23T07:27:00" u="1"/>
        <d v="2024-08-23T07:28:00" u="1"/>
        <d v="2024-08-23T13:22:00" u="1"/>
        <d v="2024-08-23T16:28:00" u="1"/>
        <d v="2024-08-23T16:32:00" u="1"/>
        <d v="2024-08-26T09:07:00" u="1"/>
        <d v="2024-08-26T10:38:00" u="1"/>
        <d v="2024-08-26T11:17:00" u="1"/>
        <d v="2024-08-26T14:09:00" u="1"/>
        <d v="2024-08-26T14:22:00" u="1"/>
        <d v="2024-08-26T14:48:00" u="1"/>
        <d v="2024-08-27T06:20:00" u="1"/>
        <d v="2024-08-27T09:12:00" u="1"/>
        <d v="2024-08-27T09:19:00" u="1"/>
        <d v="2024-08-27T15:23:00" u="1"/>
        <d v="2024-08-27T15:57:00" u="1"/>
        <d v="2024-08-27T16:01:00" u="1"/>
        <d v="2024-08-28T08:58:00" u="1"/>
        <d v="2024-08-28T12:02:00" u="1"/>
        <d v="2024-08-28T12:55:00" u="1"/>
        <d v="2024-08-28T14:13:00" u="1"/>
        <d v="2024-08-28T15:34:00" u="1"/>
        <d v="2024-08-28T20:06:00" u="1"/>
        <d v="2024-08-29T15:07:00" u="1"/>
        <d v="2024-08-29T16:42:00" u="1"/>
        <d v="2024-08-29T18:15:00" u="1"/>
        <d v="2024-08-30T10:58:00" u="1"/>
        <d v="2024-08-30T11:35:00" u="1"/>
        <d v="2024-08-30T13:05:00" u="1"/>
        <d v="2024-08-30T14:26:00" u="1"/>
        <d v="2024-08-30T16:02:00" u="1"/>
        <d v="2024-08-30T16:12:00" u="1"/>
        <d v="2024-08-30T17:50:00" u="1"/>
        <d v="2024-09-02T05:51:00" u="1"/>
        <d v="2024-09-02T07:08:00" u="1"/>
        <d v="2024-09-02T12:28:00" u="1"/>
        <d v="2024-09-02T14:25:00" u="1"/>
        <d v="2024-09-02T14:31:00" u="1"/>
        <d v="2024-09-02T16:27:00" u="1"/>
        <d v="2024-09-02T16:53:00" u="1"/>
        <d v="2024-09-02T16:54:00" u="1"/>
        <d v="2024-09-03T16:19:00" u="1"/>
        <d v="2024-09-03T19:05:00" u="1"/>
        <d v="2024-09-04T06:14:00" u="1"/>
        <d v="2024-09-04T13:11:00" u="1"/>
        <d v="2024-09-04T15:28:00" u="1"/>
        <d v="2024-09-04T15:39:00" u="1"/>
        <d v="2024-09-05T12:49:00" u="1"/>
        <d v="2024-09-05T15:05:00" u="1"/>
        <d v="2024-09-05T15:09:00" u="1"/>
        <d v="2024-09-05T18:38:00" u="1"/>
        <d v="2024-09-06T07:08:00" u="1"/>
        <d v="2024-09-06T07:13:00" u="1"/>
        <d v="2024-09-06T08:23:00" u="1"/>
        <d v="2024-09-06T10:10:00" u="1"/>
        <d v="2024-09-06T12:57:00" u="1"/>
        <d v="2024-09-06T18:14:00" u="1"/>
        <d v="2024-09-09T07:30:00" u="1"/>
        <d v="2024-09-09T07:34:00" u="1"/>
        <d v="2024-09-09T11:37:00" u="1"/>
        <d v="2024-09-09T14:07:00" u="1"/>
        <d v="2024-09-09T18:50:00" u="1"/>
        <d v="2024-09-13T18:57:00" u="1"/>
        <d v="2024-09-17T05:23:00" u="1"/>
        <d v="2024-09-19T07:35:00" u="1"/>
        <d v="2024-09-12T08:20:00" u="1"/>
        <d v="2024-09-18T11:26:00" u="1"/>
        <d v="2024-09-10T16:34:00" u="1"/>
        <d v="2024-09-18T14:28:00" u="1"/>
        <d v="2024-09-18T12:12:00" u="1"/>
        <d v="2024-09-18T14:41:00" u="1"/>
        <d v="2024-09-11T07:28:00" u="1"/>
        <d v="2024-09-12T18:07:00" u="1"/>
        <d v="2024-09-16T17:29:00" u="1"/>
        <d v="2024-09-19T17:49:00" u="1"/>
        <d v="2024-09-11T13:28:00" u="1"/>
        <d v="2024-09-19T12:15:00" u="1"/>
        <d v="2024-09-11T17:55:00" u="1"/>
        <d v="2024-09-11T17:56:00" u="1"/>
        <d v="2024-09-11T12:05:00" u="1"/>
        <d v="2024-09-12T07:51:00" u="1"/>
        <d v="2024-09-17T07:55:00" u="1"/>
        <d v="2024-09-19T12:55:00" u="1"/>
        <d v="2024-09-10T15:48:00" u="1"/>
        <d v="2024-09-12T07:50:00" u="1"/>
        <d v="2024-09-10T15:36:00" u="1"/>
        <d v="2024-09-18T16:33:00" u="1"/>
        <d v="2024-09-11T12:51:00" u="1"/>
        <d v="2024-09-20T11:43:00" u="1"/>
        <d v="2024-09-19T07:36:00" u="1"/>
        <d v="2024-09-17T14:18:00" u="1"/>
        <d v="2024-09-19T06:50:00" u="1"/>
        <d v="2024-09-13T17:53:00" u="1"/>
        <d v="2024-09-18T11:30:00" u="1"/>
        <d v="2024-09-19T17:50:00" u="1"/>
        <d v="2024-09-17T18:06:00" u="1"/>
        <d v="2024-09-11T14:19:00" u="1"/>
        <d v="2024-09-17T14:56:00" u="1"/>
        <d v="2024-09-13T06:33:00" u="1"/>
        <d v="2024-09-12T08:01:00" u="1"/>
        <d v="2024-09-17T18:05:00" u="1"/>
        <d v="2024-09-10T15:25:00" u="1"/>
        <d v="2024-09-10T15:22:00" u="1"/>
        <d v="2024-09-12T15:43:00" u="1"/>
        <d v="2024-09-11T13:23:00" u="1"/>
        <d v="2024-09-18T09:34:00" u="1"/>
        <d v="2024-09-18T14:58:00" u="1"/>
        <d v="2024-09-18T16:31:00" u="1"/>
        <d v="2024-09-18T11:28:00" u="1"/>
        <d v="2024-09-11T15:55:00" u="1"/>
        <d v="2024-09-19T12:14:00" u="1"/>
        <d v="2024-09-17T16:13:00" u="1"/>
        <d v="2024-09-18T16:34:00" u="1"/>
        <d v="2024-09-19T16:00:00" u="1"/>
        <d v="2024-09-12T07:58:00" u="1"/>
        <d v="2024-09-12T07:57:00" u="1"/>
        <d v="2024-09-16T13:16:00" u="1"/>
        <d v="2024-09-23T07:37:00" u="1"/>
        <d v="2024-09-23T18:58:00" u="1"/>
        <d v="2024-09-23T08:33:00" u="1"/>
        <d v="2024-09-23T09:31:00" u="1"/>
        <d v="2024-09-20T16:10:00" u="1"/>
        <d v="2024-09-20T14:26:00" u="1"/>
        <d v="2024-09-25T09:17:00" u="1"/>
        <d v="2024-09-24T13:02:00" u="1"/>
        <d v="2024-09-24T17:44:00" u="1"/>
        <d v="2024-09-24T12:41:00" u="1"/>
        <d v="2024-09-24T09:11:00" u="1"/>
        <d v="2024-09-25T07:45:00" u="1"/>
        <d v="2024-09-25T09:18:00" u="1"/>
        <d v="2024-09-25T10:46:00" u="1"/>
        <d v="2024-09-24T16:16:00" u="1"/>
        <d v="2024-09-27T13:45:00" u="1"/>
        <d v="2024-09-27T11:42:00" u="1"/>
        <d v="2024-09-30T08:34:00" u="1"/>
        <d v="2024-09-27T16:55:00" u="1"/>
        <d v="2024-09-26T08:41:00" u="1"/>
        <d v="2024-09-30T09:46:00" u="1"/>
        <d v="2024-09-26T08:29:00" u="1"/>
        <d v="2024-09-25T17:42:00" u="1"/>
        <d v="2024-09-27T11:50:00" u="1"/>
        <d v="2024-09-27T12:49:00" u="1"/>
        <d v="2024-09-25T12:28:00" u="1"/>
        <d v="2024-09-27T07:28:00" u="1"/>
        <d v="2024-09-27T15:47:00" u="1"/>
        <d v="2024-09-26T15:55:00" u="1"/>
        <d v="2024-09-26T14:44:00" u="1"/>
        <d v="2024-09-26T17:02:00" u="1"/>
        <d v="2024-09-25T11:43:00" u="1"/>
        <d v="2024-09-25T11:44:00" u="1"/>
        <d v="2024-09-26T06:31:00" u="1"/>
        <d v="2024-09-26T08:10:00" u="1"/>
        <d v="2024-09-26T16:27:00" u="1"/>
        <d v="2024-09-30T09:36:00" u="1"/>
        <d v="2024-09-30T12:36:00" u="1"/>
        <d v="2024-09-30T16:40:00" u="1"/>
        <d v="2024-10-01T14:01:00" u="1"/>
        <d v="2024-10-01T06:39:00" u="1"/>
        <d v="2024-09-30T14:08:00" u="1"/>
        <d v="2024-10-02T07:12:00" u="1"/>
        <d v="2024-10-01T17:10:00" u="1"/>
        <d v="2024-10-01T15:57:00" u="1"/>
        <d v="2024-10-01T16:01:00" u="1"/>
        <d v="2024-09-02T12:03:00" u="1"/>
        <d v="2024-09-19T08:46:00" u="1"/>
        <d v="2024-09-19T08:45:00" u="1"/>
        <d v="2024-09-11T16:32:00" u="1"/>
        <d v="2024-09-19T08:49:00" u="1"/>
        <d v="2024-09-19T08:44:00" u="1"/>
        <d v="2024-09-19T08:47:00" u="1"/>
        <d v="2024-09-16T12:49:00" u="1"/>
        <d v="2024-09-19T14:06:00" u="1"/>
        <d v="2024-09-19T15:08:00" u="1"/>
        <d v="2024-09-17T13:43:00" u="1"/>
        <d v="2024-09-19T14:29:00" u="1"/>
        <d v="2024-09-18T12:56:00" u="1"/>
        <d v="2024-09-10T09:56:00" u="1"/>
        <d v="2024-09-19T15:23:00" u="1"/>
        <d v="2024-09-23T11:40:00" u="1"/>
        <d v="2024-09-22T17:52:00" u="1"/>
        <d v="2024-05-23T09:03:00" u="1"/>
        <d v="2024-07-22T09:30:00" u="1"/>
        <d v="2024-07-22T16:33:00" u="1"/>
        <d v="2024-08-02T11:01:00" u="1"/>
        <d v="2024-08-13T18:17:00" u="1"/>
        <d v="2024-08-15T15:44:00" u="1"/>
        <d v="2024-08-16T14:03:00" u="1"/>
        <d v="2024-08-20T16:03:00" u="1"/>
        <d v="2024-08-20T16:02:00" u="1"/>
        <d v="2024-08-21T07:33:00" u="1"/>
        <d v="2024-08-28T13:51:00" u="1"/>
        <d v="2024-08-29T06:27:00" u="1"/>
        <d v="2024-08-27T15:37:00" u="1"/>
        <d v="2024-08-27T15:44:00" u="1"/>
        <d v="2024-08-27T16:00:00" u="1"/>
        <d v="2024-08-27T16:17:00" u="1"/>
        <d v="2024-08-27T16:21:00" u="1"/>
        <d v="2024-08-27T16:24:00" u="1"/>
        <d v="2024-08-27T16:29:00" u="1"/>
        <d v="2024-08-30T09:30:00" u="1"/>
        <d v="2024-08-21T20:44:00" u="1"/>
        <d v="2024-08-27T14:52:00" u="1"/>
        <d v="2024-08-30T11:56:00" u="1"/>
        <d v="2024-08-22T13:33:00" u="1"/>
        <d v="2024-08-26T18:31:00" u="1"/>
        <d v="2024-08-30T15:12:00" u="1"/>
        <d v="2024-08-21T14:38:00" u="1"/>
        <d v="2024-08-21T10:41:00" u="1"/>
        <d v="2024-09-03T08:53:00" u="1"/>
        <d v="2024-09-04T15:14:00" u="1"/>
        <d v="2024-09-04T10:27:00" u="1"/>
        <d v="2024-09-09T11:34:00" u="1"/>
        <d v="2024-09-09T15:19:00" u="1"/>
        <d v="2024-09-09T16:06:00" u="1"/>
        <d v="2024-09-05T17:33:00" u="1"/>
        <d v="2024-09-09T18:04:00" u="1"/>
        <d v="2024-09-06T17:00:00" u="1"/>
        <d v="2024-09-16T18:05:00" u="1"/>
        <d v="2024-09-16T08:36:00" u="1"/>
        <d v="2024-09-16T12:08:00" u="1"/>
        <d v="2024-09-16T12:18:00" u="1"/>
        <d v="2024-09-19T14:14:00" u="1"/>
        <d v="2024-09-16T14:08:00" u="1"/>
        <d v="2024-09-12T09:16:00" u="1"/>
        <d v="2024-09-12T13:29:00" u="1"/>
        <d v="2024-09-09T16:04:00" u="1"/>
        <d v="2024-09-06T09:31:00" u="1"/>
        <d v="2024-09-06T09:30:00" u="1"/>
        <d v="2024-09-06T09:29:00" u="1"/>
        <d v="2024-09-06T09:27:00" u="1"/>
        <d v="2024-09-06T09:26:00" u="1"/>
        <d v="2024-09-06T09:25:00" u="1"/>
        <d v="2024-09-06T10:17:00" u="1"/>
        <d v="2024-09-06T10:22:00" u="1"/>
        <d v="2024-09-06T09:17:00" u="1"/>
        <d v="2024-09-06T09:36:00" u="1"/>
        <d v="2024-09-06T10:28:00" u="1"/>
        <d v="2024-09-05T16:32:00" u="1"/>
        <d v="2024-09-05T16:27:00" u="1"/>
        <d v="2024-09-06T10:11:00" u="1"/>
        <d v="2024-09-06T10:34:00" u="1"/>
        <d v="2024-09-05T17:41:00" u="1"/>
        <d v="2024-09-05T17:34:00" u="1"/>
        <d v="2024-09-05T17:27:00" u="1"/>
        <d v="2024-09-06T17:21:00" u="1"/>
        <d v="2024-09-06T14:17:00" u="1"/>
        <d v="2024-09-06T14:26:00" u="1"/>
        <d v="2024-09-06T14:13:00" u="1"/>
        <d v="2024-09-06T18:07:00" u="1"/>
        <d v="2024-09-06T18:02:00" u="1"/>
        <d v="2024-09-06T17:53:00" u="1"/>
        <d v="2024-09-06T16:07:00" u="1"/>
        <d v="2024-09-06T18:47:00" u="1"/>
        <d v="2024-09-06T17:16:00" u="1"/>
        <d v="2024-09-09T15:01:00" u="1"/>
        <d v="2024-04-24T06:32:00" u="1"/>
        <d v="2024-04-24T06:38:00" u="1"/>
        <d v="2024-04-24T06:47:00" u="1"/>
        <d v="2024-06-04T14:50:00" u="1"/>
        <d v="2024-06-24T16:17:00" u="1"/>
        <d v="2024-07-11T18:10:00" u="1"/>
        <d v="2024-07-18T19:46:00" u="1"/>
        <d v="2024-07-19T07:27:00" u="1"/>
        <d v="2024-07-24T10:00:00" u="1"/>
        <d v="2024-08-09T17:16:00" u="1"/>
        <d v="2024-08-13T06:28:00" u="1"/>
        <d v="2024-08-13T12:14:00" u="1"/>
        <d v="2024-08-13T12:18:00" u="1"/>
        <d v="2024-08-13T19:31:00" u="1"/>
        <d v="2024-08-14T09:03:00" u="1"/>
        <d v="2024-08-16T10:45:00" u="1"/>
        <d v="2024-08-19T08:27:00" u="1"/>
        <d v="2024-08-19T15:22:00" u="1"/>
        <d v="2024-08-19T15:23:00" u="1"/>
        <d v="2024-08-19T13:36:00" u="1"/>
        <d v="2024-08-20T09:51:00" u="1"/>
        <d v="2024-08-20T09:29:00" u="1"/>
        <d v="2024-08-21T11:59:00" u="1"/>
        <d v="2024-08-30T15:56:00" u="1"/>
        <d v="2024-08-22T07:28:00" u="1"/>
        <d v="2024-08-28T15:32:00" u="1"/>
        <d v="2024-08-28T16:56:00" u="1"/>
        <d v="2024-08-22T08:17:00" u="1"/>
        <d v="2024-08-28T15:39:00" u="1"/>
        <d v="2024-08-28T11:38:00" u="1"/>
        <d v="2024-08-28T11:37:00" u="1"/>
        <d v="2024-08-22T14:30:00" u="1"/>
        <d v="2024-08-28T11:45:00" u="1"/>
        <d v="2024-08-20T14:25:00" u="1"/>
        <d v="2024-08-28T14:02:00" u="1"/>
        <d v="2024-08-28T13:30:00" u="1"/>
        <d v="2024-08-22T15:42:00" u="1"/>
        <d v="2024-08-28T14:11:00" u="1"/>
        <d v="2024-08-28T16:57:00" u="1"/>
        <d v="2024-08-28T13:48:00" u="1"/>
        <d v="2024-08-28T15:26:00" u="1"/>
        <d v="2024-08-21T11:57:00" u="1"/>
        <d v="2024-08-28T16:06:00" u="1"/>
        <d v="2024-08-28T17:02:00" u="1"/>
        <d v="2024-08-28T17:04:00" u="1"/>
        <d v="2024-08-28T11:53:00" u="1"/>
        <d v="2024-08-30T15:10:00" u="1"/>
        <d v="2024-09-02T08:18:00" u="1"/>
        <d v="2024-08-28T17:00:00" u="1"/>
        <d v="2024-08-28T16:59:00" u="1"/>
        <d v="2024-08-29T12:10:00" u="1"/>
        <d v="2024-08-26T11:46:00" u="1"/>
        <d v="2024-08-28T16:08:00" u="1"/>
        <d v="2024-08-28T11:50:00" u="1"/>
        <d v="2024-08-28T15:27:00" u="1"/>
        <d v="2024-08-28T16:38:00" u="1"/>
        <d v="2024-08-22T13:23:00" u="1"/>
        <d v="2024-08-22T15:56:00" u="1"/>
        <d v="2024-09-02T10:29:00" u="1"/>
        <d v="2024-09-02T10:26:00" u="1"/>
        <d v="2024-09-02T10:22:00" u="1"/>
        <d v="2024-09-02T10:19:00" u="1"/>
        <d v="2024-08-28T15:45:00" u="1"/>
        <d v="2024-08-28T16:04:00" u="1"/>
        <d v="2024-08-28T15:35:00" u="1"/>
        <d v="2024-08-23T13:25:00" u="1"/>
        <d v="2024-08-28T15:33:00" u="1"/>
        <d v="2024-08-28T16:52:00" u="1"/>
        <d v="2024-08-28T15:47:00" u="1"/>
        <d v="2024-08-28T15:41:00" u="1"/>
        <d v="2024-09-02T08:25:00" u="1"/>
        <d v="2024-08-30T17:58:00" u="1"/>
        <d v="2024-08-28T17:03:00" u="1"/>
        <d v="2024-08-30T06:39:00" u="1"/>
        <d v="2024-08-29T16:16:00" u="1"/>
        <d v="2024-08-20T14:02:00" u="1"/>
        <d v="2024-09-03T07:53:00" u="1"/>
        <d v="2024-09-05T09:50:00" u="1"/>
        <d v="2024-09-03T07:56:00" u="1"/>
        <d v="2024-09-03T15:55:00" u="1"/>
        <d v="2024-09-03T08:02:00" u="1"/>
        <d v="2024-09-03T11:56:00" u="1"/>
        <d v="2024-09-03T11:55:00" u="1"/>
        <d v="2024-09-04T08:38:00" u="1"/>
        <d v="2024-09-04T08:39:00" u="1"/>
        <d v="2024-09-03T11:54:00" u="1"/>
        <d v="2024-09-03T11:12:00" u="1"/>
        <d v="2024-09-04T07:32:00" u="1"/>
        <d v="2024-09-09T15:49:00" u="1"/>
        <d v="2024-09-06T12:36:00" u="1"/>
        <d v="2024-09-06T16:18:00" u="1"/>
        <d v="2024-09-06T10:15:00" u="1"/>
        <d v="2024-08-28T12:56:00" u="1"/>
        <d v="2024-08-22T16:04:00" u="1"/>
        <d v="2024-07-16T09:17:00" u="1"/>
        <d v="2024-07-17T11:24:00" u="1"/>
        <d v="2024-07-17T16:25:00" u="1"/>
        <d v="2024-07-18T16:52:00" u="1"/>
        <d v="2024-07-19T07:57:00" u="1"/>
        <d v="2024-07-22T07:36:00" u="1"/>
        <d v="2024-07-22T09:55:00" u="1"/>
        <d v="2024-07-23T07:09:00" u="1"/>
        <d v="2024-07-23T14:26:00" u="1"/>
        <d v="2024-07-23T16:13:00" u="1"/>
        <d v="2024-07-24T15:33:00" u="1"/>
        <d v="2024-07-24T15:35:00" u="1"/>
        <d v="2024-07-23T15:24:00" u="1"/>
        <d v="2024-07-25T08:40:00" u="1"/>
        <d v="2024-07-25T08:42:00" u="1"/>
        <d v="2024-07-25T13:35:00" u="1"/>
        <d v="2024-07-25T14:21:00" u="1"/>
        <d v="2024-07-25T16:31:00" u="1"/>
        <d v="2024-07-24T08:58:00" u="1"/>
        <d v="2024-07-26T17:13:00" u="1"/>
        <d v="2024-07-29T09:14:00" u="1"/>
        <d v="2024-07-29T14:51:00" u="1"/>
        <d v="2024-07-29T14:56:00" u="1"/>
        <d v="2024-07-29T15:16:00" u="1"/>
        <d v="2024-07-30T17:08:00" u="1"/>
        <d v="2024-07-30T18:23:00" u="1"/>
        <d v="2024-07-31T07:28:00" u="1"/>
        <d v="2024-07-31T10:07:00" u="1"/>
        <d v="2024-07-31T10:35:00" u="1"/>
        <d v="2024-07-31T13:22:00" u="1"/>
        <d v="2024-07-31T16:33:00" u="1"/>
        <d v="2024-08-01T09:23:00" u="1"/>
        <d v="2024-08-01T11:05:00" u="1"/>
        <d v="2024-08-01T11:21:00" u="1"/>
        <d v="2024-08-01T15:39:00" u="1"/>
        <d v="2024-08-01T17:05:00" u="1"/>
        <d v="2024-08-01T17:07:00" u="1"/>
        <d v="2024-08-02T14:57:00" u="1"/>
        <d v="2024-08-05T08:38:00" u="1"/>
        <d v="2024-08-05T10:55:00" u="1"/>
        <d v="2024-08-05T12:01:00" u="1"/>
        <d v="2024-08-05T18:42:00" u="1"/>
        <d v="2024-08-06T10:35:00" u="1"/>
        <d v="2024-08-06T12:21:00" u="1"/>
        <d v="2024-08-06T13:46:00" u="1"/>
        <d v="2024-08-06T14:38:00" u="1"/>
        <d v="2024-08-06T15:12:00" u="1"/>
        <d v="2024-08-06T15:14:00" u="1"/>
        <d v="2024-08-06T18:27:00" u="1"/>
        <d v="2024-08-07T07:56:00" u="1"/>
        <d v="2024-08-07T08:17:00" u="1"/>
        <d v="2024-08-07T16:28:00" u="1"/>
        <d v="2024-08-07T16:56:00" u="1"/>
        <d v="2024-08-08T14:44:00" u="1"/>
        <d v="2024-08-08T14:52:00" u="1"/>
        <d v="2024-08-08T15:47:00" u="1"/>
        <d v="2024-08-08T17:04:00" u="1"/>
        <d v="2024-08-09T15:06:00" u="1"/>
        <d v="2024-08-09T16:50:00" u="1"/>
        <d v="2024-08-12T12:59:00" u="1"/>
        <d v="2024-08-12T13:25:00" u="1"/>
        <d v="2024-08-12T15:25:00" u="1"/>
        <d v="2024-08-12T18:37:00" u="1"/>
        <d v="2024-08-13T12:26:00" u="1"/>
        <d v="2024-08-13T12:31:00" u="1"/>
        <d v="2024-08-13T13:06:00" u="1"/>
        <d v="2024-08-13T15:50:00" u="1"/>
        <d v="2024-08-14T07:12:00" u="1"/>
        <d v="2024-08-14T13:07:00" u="1"/>
        <d v="2024-08-15T15:02:00" u="1"/>
        <d v="2024-08-16T12:05:00" u="1"/>
        <d v="2024-08-19T17:09:00" u="1"/>
        <d v="2024-08-19T18:48:00" u="1"/>
        <d v="2024-08-19T18:21:00" u="1"/>
        <d v="2024-08-19T18:53:00" u="1"/>
        <d v="2024-08-16T18:47:00" u="1"/>
        <d v="2024-08-15T11:21:00" u="1"/>
        <d v="2024-08-19T14:15:00" u="1"/>
        <d v="2024-08-19T17:26:00" u="1"/>
        <d v="2024-08-16T10:34:00" u="1"/>
        <d v="2024-08-19T11:14:00" u="1"/>
        <d v="2024-08-19T13:47:00" u="1"/>
        <d v="2024-08-19T13:50:00" u="1"/>
        <d v="2024-08-19T14:35:00" u="1"/>
        <d v="2024-08-19T14:56:00" u="1"/>
        <d v="2024-08-19T14:57:00" u="1"/>
        <d v="2024-08-19T15:01:00" u="1"/>
        <d v="2024-08-20T10:02:00" u="1"/>
        <d v="2024-08-19T17:08:00" u="1"/>
        <d v="2024-08-20T07:49:00" u="1"/>
        <d v="2024-08-20T09:31:00" u="1"/>
        <d v="2024-08-19T16:48:00" u="1"/>
        <d v="2024-08-20T14:22:00" u="1"/>
        <d v="2024-08-20T15:22:00" u="1"/>
        <d v="2024-08-20T17:05:00" u="1"/>
        <d v="2024-08-20T17:29:00" u="1"/>
        <d v="2024-08-20T17:50:00" u="1"/>
        <d v="2024-08-20T18:16:00" u="1"/>
        <d v="2024-08-20T18:53:00" u="1"/>
        <d v="2024-08-08T08:20:00" u="1"/>
        <d v="2024-08-09T07:53:00" u="1"/>
        <d v="2024-08-09T08:26:00" u="1"/>
        <d v="2024-08-09T09:45:00" u="1"/>
        <d v="2024-08-09T12:54:00" u="1"/>
        <d v="2024-08-12T09:10:00" u="1"/>
        <d v="2024-08-12T12:03:00" u="1"/>
        <d v="2024-08-12T15:19:00" u="1"/>
        <d v="2024-08-12T17:07:00" u="1"/>
        <d v="2024-08-12T17:32:00" u="1"/>
        <d v="2024-08-13T08:12:00" u="1"/>
        <d v="2024-08-13T08:43:00" u="1"/>
        <d v="2024-08-13T09:30:00" u="1"/>
        <d v="2024-08-13T10:26:00" u="1"/>
        <d v="2024-08-13T16:56:00" u="1"/>
        <d v="2024-08-13T17:17:00" u="1"/>
        <d v="2024-08-13T17:22:00" u="1"/>
        <d v="2024-08-13T17:42:00" u="1"/>
        <d v="2024-08-13T17:47:00" u="1"/>
        <d v="2024-08-13T22:49:00" u="1"/>
        <d v="2024-08-13T23:04:00" u="1"/>
        <d v="2024-08-13T23:09:00" u="1"/>
        <d v="2024-08-14T09:56:00" u="1"/>
        <d v="2024-08-14T10:22:00" u="1"/>
        <d v="2024-08-14T12:07:00" u="1"/>
        <d v="2024-08-14T12:39:00" u="1"/>
        <d v="2024-08-14T14:06:00" u="1"/>
        <d v="2024-08-14T15:45:00" u="1"/>
        <d v="2024-08-14T16:09:00" u="1"/>
        <d v="2024-08-14T16:11:00" u="1"/>
        <d v="2024-08-14T16:20:00" u="1"/>
        <d v="2024-08-14T17:25:00" u="1"/>
        <d v="2024-08-14T17:36:00" u="1"/>
        <d v="2024-08-14T17:37:00" u="1"/>
        <d v="2024-08-14T17:56:00" u="1"/>
        <d v="2024-08-14T19:02:00" u="1"/>
        <d v="2024-08-15T08:08:00" u="1"/>
        <d v="2024-08-15T09:09:00" u="1"/>
        <d v="2024-08-15T11:29:00" u="1"/>
        <d v="2024-08-15T14:30:00" u="1"/>
        <d v="2024-08-15T14:31:00" u="1"/>
        <d v="2024-08-16T13:45:00" u="1"/>
        <d v="2024-08-16T13:52:00" u="1"/>
        <d v="2024-08-16T15:33:00" u="1"/>
        <d v="2024-05-29T10:23:00" u="1"/>
        <d v="2024-06-19T13:16:00" u="1"/>
        <d v="2024-06-30T18:58:00" u="1"/>
        <d v="2024-07-02T10:04:00" u="1"/>
        <d v="2024-07-03T09:54:00" u="1"/>
        <d v="2024-07-03T09:58:00" u="1"/>
        <d v="2024-07-10T13:13:00" u="1"/>
        <d v="2024-07-11T09:12:00" u="1"/>
        <d v="2024-07-15T15:35:00" u="1"/>
        <d v="2024-07-18T08:47:00" u="1"/>
        <d v="2024-07-18T08:59:00" u="1"/>
        <d v="2024-07-18T15:59:00" u="1"/>
        <d v="2024-07-22T08:50:00" u="1"/>
        <d v="2024-07-22T08:43:00" u="1"/>
        <d v="2024-07-19T12:30:00" u="1"/>
        <d v="2024-07-29T07:59:00" u="1"/>
        <d v="2024-07-26T15:47:00" u="1"/>
        <d v="2024-07-29T15:17:00" u="1"/>
        <d v="2024-07-26T15:49:00" u="1"/>
        <d v="2024-07-29T08:38:00" u="1"/>
        <d v="2024-07-22T16:00:00" u="1"/>
        <d v="2024-07-29T10:48:00" u="1"/>
        <d v="2024-07-26T17:00:00" u="1"/>
        <d v="2024-07-26T16:09:00" u="1"/>
        <d v="2024-07-16T19:03:00" u="1"/>
        <d v="2024-01-05T14:29:00" u="1"/>
        <d v="2024-02-07T12:02:00" u="1"/>
        <d v="2024-03-04T18:08:00" u="1"/>
        <d v="2024-03-11T15:01:00" u="1"/>
        <d v="2024-03-20T14:49:00" u="1"/>
        <d v="2024-04-02T14:54:00" u="1"/>
        <d v="2024-04-05T14:17:00" u="1"/>
        <d v="2024-04-10T16:54:00" u="1"/>
        <d v="2024-04-24T12:50:00" u="1"/>
        <d v="2024-04-30T18:47:00" u="1"/>
        <d v="2024-06-04T14:09:00" u="1"/>
        <d v="2024-06-14T17:36:00" u="1"/>
        <d v="2024-06-06T12:02:00" u="1"/>
        <d v="2024-06-10T14:49:00" u="1"/>
        <d v="2024-06-25T16:19:00" u="1"/>
        <d v="2024-07-01T06:21:00" u="1"/>
        <d v="2024-07-06T08:23:00" u="1"/>
        <d v="2024-07-02T11:46:00" u="1"/>
        <d v="2024-07-09T09:26:00" u="1"/>
        <d v="2024-07-09T09:51:00" u="1"/>
        <d v="2024-07-10T12:21:00" u="1"/>
        <d v="2024-07-15T07:45:00" u="1"/>
        <d v="2024-07-15T09:00:00" u="1"/>
        <d v="2024-07-16T15:50:00" u="1"/>
        <d v="2024-05-29T18:07:00" u="1"/>
        <d v="2024-04-24T10:47:00" u="1"/>
        <d v="2024-05-08T17:23:00" u="1"/>
        <d v="2024-06-24T11:24:00" u="1"/>
        <d v="2024-06-28T17:34:00" u="1"/>
        <d v="2024-06-14T09:17:00" u="1"/>
        <d v="2024-06-14T13:04:00" u="1"/>
        <d v="2024-06-14T13:08:00" u="1"/>
        <d v="2024-06-14T13:42:00" u="1"/>
        <d v="2024-06-14T14:04:00" u="1"/>
        <d v="2024-06-14T14:45:00" u="1"/>
        <d v="2024-06-14T15:04:00" u="1"/>
        <d v="2024-06-14T15:21:00" u="1"/>
        <d v="2024-06-17T07:57:00" u="1"/>
        <d v="2024-06-17T08:41:00" u="1"/>
        <d v="2024-06-17T11:11:00" u="1"/>
        <d v="2024-06-17T11:40:00" u="1"/>
        <d v="2024-06-17T12:02:00" u="1"/>
        <d v="2024-06-17T13:00:00" u="1"/>
        <d v="2024-06-17T14:13:00" u="1"/>
        <d v="2024-06-17T14:39:00" u="1"/>
        <d v="2024-06-17T15:06:00" u="1"/>
        <d v="2024-06-17T15:21:00" u="1"/>
        <d v="2024-06-18T07:20:00" u="1"/>
        <d v="2024-06-17T16:58:00" u="1"/>
        <d v="2024-06-17T17:05:00" u="1"/>
        <d v="2024-06-17T17:08:00" u="1"/>
        <d v="2024-06-17T17:30:00" u="1"/>
        <d v="2024-06-17T17:15:00" u="1"/>
        <d v="2024-06-17T17:37:00" u="1"/>
        <d v="2024-06-18T06:17:00" u="1"/>
        <d v="2024-06-18T06:51:00" u="1"/>
        <d v="2024-06-18T07:28:00" u="1"/>
        <d v="2024-06-18T08:12:00" u="1"/>
        <d v="2024-06-18T08:38:00" u="1"/>
        <d v="2024-06-18T08:42:00" u="1"/>
        <d v="2024-06-18T08:59:00" u="1"/>
        <d v="2024-06-18T08:53:00" u="1"/>
        <d v="2024-06-18T14:41:00" u="1"/>
        <d v="2024-06-18T11:29:00" u="1"/>
        <d v="2024-06-18T11:31:00" u="1"/>
        <d v="2024-06-18T13:08:00" u="1"/>
        <d v="2024-06-18T13:13:00" u="1"/>
        <d v="2024-06-18T14:32:00" u="1"/>
        <d v="2024-06-18T15:46:00" u="1"/>
        <d v="2024-06-18T15:38:00" u="1"/>
        <d v="2024-06-18T15:58:00" u="1"/>
        <d v="2024-06-19T07:38:00" u="1"/>
        <d v="2024-06-19T07:45:00" u="1"/>
        <d v="2024-06-19T08:48:00" u="1"/>
        <d v="2024-06-19T09:47:00" u="1"/>
        <d v="2024-06-19T10:22:00" u="1"/>
        <d v="2024-06-19T10:31:00" u="1"/>
        <d v="2024-06-19T13:08:00" u="1"/>
        <d v="2024-06-19T13:14:00" u="1"/>
        <d v="2024-06-19T13:49:00" u="1"/>
        <d v="2024-06-19T14:48:00" u="1"/>
        <d v="2024-06-19T15:42:00" u="1"/>
        <d v="2024-06-19T15:47:00" u="1"/>
        <d v="2024-06-19T15:51:00" u="1"/>
        <d v="2024-06-19T16:08:00" u="1"/>
        <d v="2024-06-19T16:55:00" u="1"/>
        <d v="2024-06-20T05:48:00" u="1"/>
        <d v="2024-06-20T05:52:00" u="1"/>
        <d v="2024-06-20T06:26:00" u="1"/>
        <d v="2024-06-20T06:29:00" u="1"/>
        <d v="2024-06-20T06:23:00" u="1"/>
        <d v="2024-06-20T06:42:00" u="1"/>
        <d v="2024-06-20T07:14:00" u="1"/>
        <d v="2024-06-20T07:29:00" u="1"/>
        <d v="2024-06-20T07:27:00" u="1"/>
        <d v="2024-06-20T07:44:00" u="1"/>
        <d v="2024-06-20T07:59:00" u="1"/>
        <d v="2024-06-20T08:18:00" u="1"/>
        <d v="2024-06-20T08:53:00" u="1"/>
        <d v="2024-06-20T08:48:00" u="1"/>
        <d v="2024-06-20T09:05:00" u="1"/>
        <d v="2024-06-20T09:08:00" u="1"/>
        <d v="2024-06-20T09:11:00" u="1"/>
        <d v="2024-06-21T11:29:00" u="1"/>
        <d v="2024-06-20T09:25:00" u="1"/>
        <d v="2024-06-20T09:30:00" u="1"/>
        <d v="2024-06-20T09:56:00" u="1"/>
        <d v="2024-06-20T10:05:00" u="1"/>
        <d v="2024-06-20T10:27:00" u="1"/>
        <d v="2024-06-20T11:26:00" u="1"/>
        <d v="2024-06-20T11:40:00" u="1"/>
        <d v="2024-06-20T13:23:00" u="1"/>
        <d v="2024-06-25T14:33:00" u="1"/>
        <d v="2024-06-20T14:03:00" u="1"/>
        <d v="2024-06-20T14:12:00" u="1"/>
        <d v="2024-06-20T14:10:00" u="1"/>
        <d v="2024-06-20T14:07:00" u="1"/>
        <d v="2024-06-20T14:51:00" u="1"/>
        <d v="2024-06-20T14:44:00" u="1"/>
        <d v="2024-06-20T14:59:00" u="1"/>
        <d v="2024-06-20T14:56:00" u="1"/>
        <d v="2024-06-20T15:21:00" u="1"/>
        <d v="2024-06-20T15:32:00" u="1"/>
        <d v="2024-06-20T15:09:00" u="1"/>
        <d v="2024-06-20T15:35:00" u="1"/>
        <d v="2024-06-20T15:49:00" u="1"/>
        <d v="2024-06-21T07:52:00" u="1"/>
        <d v="2024-06-20T15:45:00" u="1"/>
        <d v="2024-06-20T15:52:00" u="1"/>
        <d v="2024-06-20T16:02:00" u="1"/>
        <d v="2024-06-20T16:09:00" u="1"/>
        <d v="2024-06-21T06:03:00" u="1"/>
        <d v="2024-06-21T06:18:00" u="1"/>
        <d v="2024-06-21T06:23:00" u="1"/>
        <d v="2024-06-21T06:42:00" u="1"/>
        <d v="2024-06-21T06:37:00" u="1"/>
        <d v="2024-06-21T06:31:00" u="1"/>
        <d v="2024-06-21T06:50:00" u="1"/>
        <d v="2024-06-21T07:24:00" u="1"/>
        <d v="2024-06-21T07:28:00" u="1"/>
        <d v="2024-06-21T07:34:00" u="1"/>
        <d v="2024-06-21T07:42:00" u="1"/>
        <d v="2024-06-21T07:41:00" u="1"/>
        <d v="2024-06-21T08:03:00" u="1"/>
        <d v="2024-06-21T08:16:00" u="1"/>
        <d v="2024-06-21T08:17:00" u="1"/>
        <d v="2024-06-21T08:23:00" u="1"/>
        <d v="2024-06-21T08:18:00" u="1"/>
        <d v="2024-06-21T08:30:00" u="1"/>
        <d v="2024-06-21T08:40:00" u="1"/>
        <d v="2024-06-21T08:53:00" u="1"/>
        <d v="2024-06-21T09:02:00" u="1"/>
        <d v="2024-06-21T09:18:00" u="1"/>
        <d v="2024-06-21T09:12:00" u="1"/>
        <d v="2024-06-21T09:20:00" u="1"/>
        <d v="2024-06-21T09:43:00" u="1"/>
        <d v="2024-06-21T09:33:00" u="1"/>
        <d v="2024-06-21T09:44:00" u="1"/>
        <d v="2024-06-21T09:50:00" u="1"/>
        <d v="2024-06-21T10:11:00" u="1"/>
        <d v="2024-06-21T10:09:00" u="1"/>
        <d v="2024-06-21T11:16:00" u="1"/>
        <d v="2024-06-21T14:26:00" u="1"/>
        <d v="2024-06-24T08:07:00" u="1"/>
        <d v="2024-06-24T08:25:00" u="1"/>
        <d v="2024-06-24T09:50:00" u="1"/>
        <d v="2024-06-24T13:29:00" u="1"/>
        <d v="2024-06-24T14:01:00" u="1"/>
        <d v="2024-06-24T15:09:00" u="1"/>
        <d v="2024-06-24T15:10:00" u="1"/>
        <d v="2024-06-24T15:11:00" u="1"/>
        <d v="2024-06-24T15:16:00" u="1"/>
        <d v="2024-06-24T17:07:00" u="1"/>
        <d v="2024-06-24T17:08:00" u="1"/>
        <d v="2024-06-25T05:37:00" u="1"/>
        <d v="2024-06-25T06:18:00" u="1"/>
        <d v="2024-06-25T06:04:00" u="1"/>
        <d v="2024-06-25T09:00:00" u="1"/>
        <d v="2024-06-25T08:12:00" u="1"/>
        <d v="2024-06-25T14:16:00" u="1"/>
        <d v="2024-06-25T15:00:00" u="1"/>
        <d v="2024-06-25T15:01:00" u="1"/>
        <d v="2024-06-25T15:03:00" u="1"/>
        <d v="2024-06-25T15:11:00" u="1"/>
        <d v="2024-06-25T15:14:00" u="1"/>
        <d v="2024-06-25T15:15:00" u="1"/>
        <d v="2024-06-25T16:25:00" u="1"/>
        <d v="2024-06-26T09:01:00" u="1"/>
        <d v="2024-06-26T08:38:00" u="1"/>
        <d v="2024-06-26T09:30:00" u="1"/>
        <d v="2024-06-26T10:43:00" u="1"/>
        <d v="2024-06-26T10:24:00" u="1"/>
        <d v="2024-06-26T10:45:00" u="1"/>
        <d v="2024-06-26T11:18:00" u="1"/>
        <d v="2024-06-26T12:59:00" u="1"/>
        <d v="2024-06-26T13:29:00" u="1"/>
        <d v="2024-06-26T13:33:00" u="1"/>
        <d v="2024-06-26T13:44:00" u="1"/>
        <d v="2024-06-26T13:40:00" u="1"/>
        <d v="2024-06-26T14:00:00" u="1"/>
        <d v="2024-07-01T14:35:00" u="1"/>
        <d v="2024-06-28T15:18:00" u="1"/>
        <d v="2024-06-28T15:21:00" u="1"/>
        <d v="2024-06-28T15:26:00" u="1"/>
        <d v="2024-07-01T06:12:00" u="1"/>
        <d v="2024-07-01T06:19:00" u="1"/>
        <d v="2024-07-01T06:23:00" u="1"/>
        <d v="2024-07-01T06:30:00" u="1"/>
        <d v="2024-07-01T09:55:00" u="1"/>
        <d v="2024-07-01T10:55:00" u="1"/>
        <d v="2024-07-01T11:31:00" u="1"/>
        <d v="2024-07-02T05:34:00" u="1"/>
        <d v="2024-07-04T07:52:00" u="1"/>
        <d v="2024-07-01T15:40:00" u="1"/>
        <d v="2024-07-01T15:55:00" u="1"/>
        <d v="2024-07-01T16:00:00" u="1"/>
        <d v="2024-07-01T16:54:00" u="1"/>
        <d v="2024-07-02T05:33:00" u="1"/>
        <d v="2024-07-02T06:42:00" u="1"/>
        <d v="2024-07-02T11:06:00" u="1"/>
        <d v="2024-07-02T11:09:00" u="1"/>
        <d v="2024-07-02T11:13:00" u="1"/>
        <d v="2024-07-02T13:00:00" u="1"/>
        <d v="2024-07-02T13:17:00" u="1"/>
        <d v="2024-07-03T06:29:00" u="1"/>
        <d v="2024-07-03T07:44:00" u="1"/>
        <d v="2024-07-02T14:37:00" u="1"/>
        <d v="2024-07-02T14:57:00" u="1"/>
        <d v="2024-07-02T15:17:00" u="1"/>
        <d v="2024-07-02T15:07:00" u="1"/>
        <d v="2024-07-02T15:57:00" u="1"/>
        <d v="2024-07-03T06:55:00" u="1"/>
        <d v="2024-07-03T06:48:00" u="1"/>
        <d v="2024-07-03T07:39:00" u="1"/>
        <d v="2024-07-03T08:08:00" u="1"/>
        <d v="2024-07-03T08:11:00" u="1"/>
        <d v="2024-07-03T08:04:00" u="1"/>
        <d v="2024-07-05T08:51:00" u="1"/>
        <d v="2024-07-03T08:43:00" u="1"/>
        <d v="2024-07-03T08:54:00" u="1"/>
        <d v="2024-07-03T09:06:00" u="1"/>
        <d v="2024-07-03T09:55:00" u="1"/>
        <d v="2024-07-04T15:15:00" u="1"/>
        <d v="2024-07-03T10:44:00" u="1"/>
        <d v="2024-07-03T12:21:00" u="1"/>
        <d v="2024-07-03T13:01:00" u="1"/>
        <d v="2024-07-03T13:14:00" u="1"/>
        <d v="2024-07-03T13:39:00" u="1"/>
        <d v="2024-07-03T13:24:00" u="1"/>
        <d v="2024-07-03T15:34:00" u="1"/>
        <d v="2024-07-03T15:42:00" u="1"/>
        <d v="2024-07-03T15:29:00" u="1"/>
        <d v="2024-07-03T15:54:00" u="1"/>
        <d v="2024-07-04T06:42:00" u="1"/>
        <d v="2024-07-04T07:09:00" u="1"/>
        <d v="2024-07-04T05:38:00" u="1"/>
        <d v="2024-07-04T07:31:00" u="1"/>
        <d v="2024-07-04T07:36:00" u="1"/>
        <d v="2024-07-04T07:57:00" u="1"/>
        <d v="2024-07-04T10:47:00" u="1"/>
        <d v="2024-07-04T11:05:00" u="1"/>
        <d v="2024-07-04T13:25:00" u="1"/>
        <d v="2024-07-04T13:45:00" u="1"/>
        <d v="2024-07-04T13:38:00" u="1"/>
        <d v="2024-07-04T13:23:00" u="1"/>
        <d v="2024-07-04T15:01:00" u="1"/>
        <d v="2024-07-05T06:02:00" u="1"/>
        <d v="2024-07-05T07:24:00" u="1"/>
        <d v="2024-07-05T07:54:00" u="1"/>
        <d v="2024-07-05T07:36:00" u="1"/>
        <d v="2024-07-05T15:53:00" u="1"/>
        <d v="2024-07-05T16:48:00" u="1"/>
        <d v="2024-07-09T11:49:00" u="1"/>
        <d v="2024-07-10T12:13:00" u="1"/>
        <d v="2024-07-10T13:23:00" u="1"/>
        <d v="2024-07-10T13:43:00" u="1"/>
        <d v="2024-07-10T14:36:00" u="1"/>
        <d v="2024-07-10T14:53:00" u="1"/>
        <d v="2024-07-10T15:00:00" u="1"/>
        <d v="2024-07-10T16:34:00" u="1"/>
        <d v="2024-07-10T17:05:00" u="1"/>
        <d v="2024-07-11T07:34:00" u="1"/>
        <d v="2024-07-11T09:37:00" u="1"/>
        <d v="2024-07-11T10:12:00" u="1"/>
        <d v="2024-07-11T11:54:00" u="1"/>
        <d v="2024-07-11T12:31:00" u="1"/>
        <d v="2024-07-11T13:51:00" u="1"/>
        <d v="2024-07-11T13:47:00" u="1"/>
        <d v="2024-07-11T15:01:00" u="1"/>
        <d v="2024-07-11T15:13:00" u="1"/>
        <d v="2024-07-11T15:30:00" u="1"/>
        <d v="2024-07-11T15:40:00" u="1"/>
        <d v="2024-07-12T15:29:00" u="1"/>
        <d v="2024-07-11T17:02:00" u="1"/>
        <d v="2024-07-12T12:52:00" u="1"/>
        <d v="2024-07-12T15:07:00" u="1"/>
        <d v="2024-07-12T15:10:00" u="1"/>
        <d v="2024-07-12T16:01:00" u="1"/>
        <d v="2024-07-12T17:20:00" u="1"/>
        <d v="2024-07-15T11:51:00" u="1"/>
        <d v="2024-07-15T12:54:00" u="1"/>
        <d v="2024-07-15T12:45:00" u="1"/>
        <d v="2024-07-15T15:11:00" u="1"/>
        <d v="2024-07-15T15:46:00" u="1"/>
        <d v="2024-07-15T16:20:00" u="1"/>
        <d v="2024-07-16T12:06:00" u="1"/>
        <d v="2024-07-22T15:44:00" u="1"/>
        <d v="2024-07-30T16:59:00" u="1"/>
        <d v="2024-07-31T09:30:00" u="1"/>
        <d v="2024-08-05T18:32:00" u="1"/>
        <d v="2024-08-06T18:49:00" u="1"/>
        <d v="2024-08-08T10:39:00" u="1"/>
        <d v="2024-08-07T16:29:00" u="1"/>
        <d v="2024-07-31T14:12:00" u="1"/>
        <d v="2024-08-05T11:38:00" u="1"/>
        <d v="2024-08-01T15:01:00" u="1"/>
        <d v="2024-08-01T07:35:00" u="1"/>
        <d v="2024-08-05T17:26:00" u="1"/>
        <d v="2024-07-24T11:18:00" u="1"/>
        <d v="2024-07-23T14:54:00" u="1"/>
        <d v="2024-07-23T17:46:00" u="1"/>
        <d v="2024-07-25T17:45:00" u="1"/>
        <d v="2024-07-25T10:13:00" u="1"/>
        <d v="2024-07-23T16:29:00" u="1"/>
        <d v="2024-07-24T10:37:00" u="1"/>
        <d v="2024-07-29T16:28:00" u="1"/>
        <d v="2024-07-23T13:27:00" u="1"/>
        <d v="2024-07-25T11:15:00" u="1"/>
        <d v="2024-07-24T11:12:00" u="1"/>
        <d v="2024-07-23T19:02:00" u="1"/>
        <d v="2024-07-23T16:33:00" u="1"/>
        <d v="2024-07-24T09:53:00" u="1"/>
        <d v="2024-07-23T10:43:00" u="1"/>
        <d v="2024-07-24T15:21:00" u="1"/>
        <d v="2024-07-23T14:35:00" u="1"/>
        <d v="2024-07-23T10:42:00" u="1"/>
        <d v="2024-07-23T11:31:00" u="1"/>
        <d v="2024-07-23T11:42:00" u="1"/>
        <d v="2024-07-29T10:44:00" u="1"/>
        <d v="2024-07-23T15:10:00" u="1"/>
        <d v="2024-07-24T09:55:00" u="1"/>
        <d v="2024-07-23T17:21:00" u="1"/>
        <d v="2024-07-23T16:58:00" u="1"/>
        <d v="2024-07-25T17:57:00" u="1"/>
        <d v="2024-07-23T15:23:00" u="1"/>
        <d v="2024-07-24T14:17:00" u="1"/>
        <d v="2024-07-24T14:21:00" u="1"/>
        <d v="2024-07-24T10:34:00" u="1"/>
        <d v="2024-07-29T10:19:00" u="1"/>
        <d v="2024-07-24T17:55:00" u="1"/>
        <d v="2024-07-25T17:37:00" u="1"/>
        <d v="2024-07-25T11:50:00" u="1"/>
        <d v="2024-07-25T09:02:00" u="1"/>
        <d v="2024-07-25T12:15:00" u="1"/>
        <d v="2024-07-25T10:03:00" u="1"/>
        <d v="2024-07-24T14:11:00" u="1"/>
        <d v="2024-07-24T16:25:00" u="1"/>
        <d v="2024-07-24T10:45:00" u="1"/>
        <d v="2024-07-24T16:16:00" u="1"/>
        <d v="2024-07-24T14:04:00" u="1"/>
        <d v="2024-07-26T15:55:00" u="1"/>
        <d v="2024-07-25T11:55:00" u="1"/>
        <d v="2024-07-24T17:09:00" u="1"/>
        <d v="2024-07-24T17:32:00" u="1"/>
        <d v="2024-07-25T09:09:00" u="1"/>
        <d v="2024-07-24T17:47:00" u="1"/>
        <d v="2024-07-24T17:49:00" u="1"/>
        <d v="2024-07-26T11:35:00" u="1"/>
        <d v="2024-07-25T11:04:00" u="1"/>
        <d v="2024-07-25T09:11:00" u="1"/>
        <d v="2024-07-25T09:16:00" u="1"/>
        <d v="2024-07-25T09:50:00" u="1"/>
        <d v="2024-07-26T17:41:00" u="1"/>
        <d v="2024-07-25T17:53:00" u="1"/>
        <d v="2024-07-26T19:25:00" u="1"/>
        <d v="2024-07-25T15:41:00" u="1"/>
        <d v="2024-07-25T16:04:00" u="1"/>
        <d v="2024-07-25T18:34:00" u="1"/>
        <d v="2024-07-25T16:07:00" u="1"/>
        <d v="2024-07-25T17:11:00" u="1"/>
        <d v="2024-07-26T17:27:00" u="1"/>
        <d v="2024-07-27T10:46:00" u="1"/>
        <d v="2024-07-29T15:31:00" u="1"/>
        <d v="2024-07-29T16:15:00" u="1"/>
        <d v="2024-07-29T14:35:00" u="1"/>
        <d v="2024-07-29T15:05:00" u="1"/>
        <d v="2024-07-29T14:48:00" u="1"/>
        <d v="2024-07-29T15:24:00" u="1"/>
        <d v="2024-07-29T15:18:00" u="1"/>
        <d v="2024-07-29T18:19:00" u="1"/>
        <d v="2024-07-29T12:33:00" u="1"/>
        <d v="2024-07-29T10:32:00" u="1"/>
        <d v="2024-07-26T12:49:00" u="1"/>
        <d v="2024-07-26T12:50:00" u="1"/>
        <d v="2024-07-26T19:40:00" u="1"/>
        <d v="2024-07-26T19:31:00" u="1"/>
        <d v="2024-07-26T18:22:00" u="1"/>
        <d v="2024-07-26T16:29:00" u="1"/>
        <d v="2024-07-24T15:28:00" u="1"/>
        <d v="2024-07-22T11:29:00" u="1"/>
        <d v="2024-07-24T18:39:00" u="1"/>
        <d v="2024-07-26T16:16:00" u="1"/>
        <d v="2024-05-21T11:11:00" u="1"/>
        <d v="2024-03-31T10:44:00" u="1"/>
        <d v="2024-05-17T12:14:00" u="1"/>
        <d v="2024-05-17T13:28:00" u="1"/>
        <d v="2024-05-17T17:34:00" u="1"/>
        <d v="2024-05-17T15:02:00" u="1"/>
        <d v="2024-05-17T15:33:00" u="1"/>
        <d v="2024-05-17T15:27:00" u="1"/>
        <d v="2024-05-17T15:05:00" u="1"/>
        <d v="2024-05-17T15:07:00" u="1"/>
        <d v="2024-05-20T12:18:00" u="1"/>
        <d v="2024-05-20T18:51:00" u="1"/>
        <d v="2024-05-20T15:03:00" u="1"/>
        <d v="2024-05-20T15:33:00" u="1"/>
        <d v="2024-05-21T18:02:00" u="1"/>
        <d v="2024-05-21T17:59:00" u="1"/>
        <d v="2024-05-21T17:42:00" u="1"/>
        <d v="2024-05-22T12:00:00" u="1"/>
        <d v="2024-05-22T12:02:00" u="1"/>
        <d v="2024-05-22T12:06:00" u="1"/>
        <d v="2024-05-22T12:03:00" u="1"/>
        <d v="2024-05-24T11:14:00" u="1"/>
        <d v="2024-05-24T10:24:00" u="1"/>
        <d v="2024-05-24T10:26:00" u="1"/>
        <d v="2024-05-24T10:25:00" u="1"/>
        <d v="2024-05-27T18:49:00" u="1"/>
        <d v="2024-05-28T09:20:00" u="1"/>
        <d v="2024-05-31T17:27:00" u="1"/>
        <d v="2024-05-31T17:32:00" u="1"/>
        <d v="2024-05-31T17:28:00" u="1"/>
        <d v="2024-06-03T09:30:00" u="1"/>
        <d v="2024-06-03T09:29:00" u="1"/>
        <d v="2024-06-03T09:27:00" u="1"/>
        <d v="2024-06-06T13:48:00" u="1"/>
        <d v="2024-06-07T11:25:00" u="1"/>
        <d v="2024-06-13T18:38:00" u="1"/>
        <d v="2024-05-16T15:11:00" u="1"/>
        <d v="2024-06-21T16:34:00" u="1"/>
        <d v="2024-05-29T11:10:00" u="1"/>
        <d v="2024-05-15T18:21:00" u="1"/>
        <d v="2024-06-26T11:52:00" u="1"/>
        <d v="2024-06-26T18:05:00" u="1"/>
        <d v="2024-05-15T18:17:00" u="1"/>
        <d v="2024-07-01T12:25:00" u="1"/>
        <d v="2024-07-04T18:56:00" u="1"/>
        <d v="2024-07-24T18:30:00" u="1"/>
        <d v="2024-07-23T14:19:00" u="1"/>
        <d v="2024-07-22T08:45:00" u="1"/>
        <d v="2024-07-23T09:44:00" u="1"/>
        <d v="2024-07-26T16:07:00" u="1"/>
        <d v="2024-07-23T17:05:00" u="1"/>
        <d v="2024-07-25T18:58:00" u="1"/>
        <d v="2024-07-01T13:11:00" u="1"/>
        <d v="2024-07-01T15:27:00" u="1"/>
        <d v="2024-07-01T16:36:00" u="1"/>
        <d v="2024-07-03T10:58:00" u="1"/>
        <d v="2024-07-03T14:05:00" u="1"/>
        <d v="2024-07-11T19:10:00" u="1"/>
        <d v="2024-07-15T11:32:00" u="1"/>
        <d v="2024-07-29T14:01:00" u="1"/>
        <d v="2024-07-19T08:59:00" u="1"/>
        <d v="2024-07-22T08:35:00" u="1"/>
        <d v="2024-07-29T08:05:00" u="1"/>
        <d v="2024-07-29T10:31:00" u="1"/>
        <d v="2024-07-29T14:50:00" u="1"/>
        <d v="2024-07-26T15:00:00" u="1"/>
        <d v="2024-07-30T15:44:00" u="1"/>
        <d v="2024-07-30T16:06:00" u="1"/>
        <d v="2024-07-30T13:36:00" u="1"/>
        <d v="2024-07-30T15:40:00" u="1"/>
        <d v="2024-07-30T15:31:00" u="1"/>
        <d v="2024-07-30T15:01:00" u="1"/>
        <d v="2024-07-30T16:05:00" u="1"/>
        <d v="2024-07-30T15:00:00" u="1"/>
        <d v="2024-07-30T16:03:00" u="1"/>
        <d v="2024-07-30T16:01:00" u="1"/>
        <d v="2024-07-30T16:17:00" u="1"/>
        <d v="2024-07-30T16:18:00" u="1"/>
        <d v="2024-07-30T16:20:00" u="1"/>
        <d v="2024-07-30T16:22:00" u="1"/>
        <d v="2024-07-30T16:21:00" u="1"/>
        <d v="2024-07-30T16:00:00" u="1"/>
        <d v="2024-07-31T10:23:00" u="1"/>
        <d v="2024-07-30T17:43:00" u="1"/>
        <d v="2024-07-31T11:22:00" u="1"/>
        <d v="2024-07-31T09:04:00" u="1"/>
        <d v="2024-07-31T15:02:00" u="1"/>
        <d v="2024-07-31T09:00:00" u="1"/>
        <d v="2024-07-31T13:26:00" u="1"/>
        <d v="2024-07-31T13:39:00" u="1"/>
        <d v="2024-07-31T11:14:00" u="1"/>
        <d v="2024-07-31T10:45:00" u="1"/>
        <d v="2024-07-31T11:35:00" u="1"/>
        <d v="2024-07-31T14:59:00" u="1"/>
        <d v="2024-07-31T17:32:00" u="1"/>
        <d v="2024-07-31T17:14:00" u="1"/>
        <d v="2024-08-01T15:58:00" u="1"/>
        <d v="2024-08-02T10:23:00" u="1"/>
        <d v="2024-08-01T14:10:00" u="1"/>
        <d v="2024-08-01T14:09:00" u="1"/>
        <d v="2024-08-02T16:02:00" u="1"/>
        <d v="2024-08-02T09:58:00" u="1"/>
        <d v="2024-08-05T10:31:00" u="1"/>
        <d v="2024-08-02T13:42:00" u="1"/>
        <d v="2024-08-02T09:54:00" u="1"/>
        <d v="2024-08-02T10:20:00" u="1"/>
        <d v="2024-08-02T10:57:00" u="1"/>
        <d v="2024-08-02T15:54:00" u="1"/>
        <d v="2024-08-02T17:31:00" u="1"/>
        <d v="2024-08-02T17:38:00" u="1"/>
        <d v="2024-08-02T18:06:00" u="1"/>
        <d v="2024-08-02T17:49:00" u="1"/>
        <d v="2024-08-02T17:12:00" u="1"/>
        <d v="2024-08-02T18:02:00" u="1"/>
        <d v="2024-08-05T15:09:00" u="1"/>
        <d v="2024-08-05T13:23:00" u="1"/>
        <d v="2024-08-05T09:25:00" u="1"/>
        <d v="2024-08-05T18:00:00" u="1"/>
        <d v="2024-08-05T10:02:00" u="1"/>
        <d v="2024-08-05T09:30:00" u="1"/>
        <d v="2024-08-05T18:16:00" u="1"/>
        <d v="2024-08-05T10:13:00" u="1"/>
        <d v="2024-08-05T09:38:00" u="1"/>
        <d v="2024-08-06T11:56:00" u="1"/>
        <d v="2024-08-05T12:11:00" u="1"/>
        <d v="2024-08-05T13:43:00" u="1"/>
        <d v="2024-08-06T17:23:00" u="1"/>
        <d v="2024-08-06T17:32:00" u="1"/>
        <d v="2024-08-06T18:55:00" u="1"/>
        <d v="2024-08-01T11:53:00" u="1"/>
        <d v="2023-12-13T11:56:00" u="1"/>
        <d v="2024-01-09T20:38:00" u="1"/>
        <d v="2024-01-12T17:05:00" u="1"/>
        <d v="2024-02-07T17:19:00" u="1"/>
        <d v="2024-01-22T16:55:00" u="1"/>
        <d v="2024-02-09T12:53:00" u="1"/>
        <d v="2024-02-15T15:18:00" u="1"/>
        <d v="2024-02-15T15:29:00" u="1"/>
        <d v="2024-02-21T16:06:00" u="1"/>
        <d v="2024-02-22T13:51:00" u="1"/>
        <d v="2024-02-23T11:57:00" u="1"/>
        <d v="2024-02-23T11:52:00" u="1"/>
        <d v="2024-02-28T15:37:00" u="1"/>
        <d v="2024-02-29T12:28:00" u="1"/>
        <d v="2024-03-04T18:11:00" u="1"/>
        <d v="2024-03-06T17:04:00" u="1"/>
        <d v="2024-03-06T17:06:00" u="1"/>
        <d v="2024-03-06T17:08:00" u="1"/>
        <d v="2024-03-07T09:57:00" u="1"/>
        <d v="2024-03-07T10:16:00" u="1"/>
        <d v="2024-03-07T18:04:00" u="1"/>
        <d v="2024-03-08T11:42:00" u="1"/>
        <d v="2024-03-08T16:06:00" u="1"/>
        <d v="2024-03-15T12:12:00" u="1"/>
        <d v="2024-03-20T11:43:00" u="1"/>
        <d v="2024-03-20T16:11:00" u="1"/>
        <d v="2024-03-21T11:41:00" u="1"/>
        <d v="2024-03-21T13:44:00" u="1"/>
        <d v="2024-04-02T10:17:00" u="1"/>
        <d v="2024-04-08T09:58:00" u="1"/>
        <d v="2024-04-09T11:25:00" u="1"/>
        <d v="2024-04-10T09:22:00" u="1"/>
        <d v="2024-05-06T19:16:00" u="1"/>
        <d v="2024-05-07T11:06:00" u="1"/>
        <d v="2024-05-07T19:14:00" u="1"/>
        <d v="2024-04-12T14:43:00" u="1"/>
        <d v="2024-04-15T15:22:00" u="1"/>
        <d v="2024-04-16T16:37:00" u="1"/>
        <d v="2024-04-17T20:37:00" u="1"/>
        <d v="2024-05-08T17:41:00" u="1"/>
        <d v="2024-05-08T18:28:00" u="1"/>
        <d v="2024-05-08T18:40:00" u="1"/>
        <d v="2024-04-19T14:08:00" u="1"/>
        <d v="2024-04-19T19:04:00" u="1"/>
        <d v="2024-04-19T17:44:00" u="1"/>
        <d v="2024-04-22T14:17:00" u="1"/>
        <d v="2024-05-09T13:41:00" u="1"/>
        <d v="2024-05-09T15:12:00" u="1"/>
        <d v="2024-05-14T12:08:00" u="1"/>
        <d v="2024-04-26T11:55:00" u="1"/>
        <d v="2024-04-26T13:26:00" u="1"/>
        <d v="2024-04-29T08:55:00" u="1"/>
        <d v="2024-04-29T16:38:00" u="1"/>
        <d v="2024-04-30T09:44:00" u="1"/>
        <d v="2024-04-30T14:50:00" u="1"/>
        <d v="2024-05-14T19:03:00" u="1"/>
        <d v="2024-05-02T07:35:00" u="1"/>
        <d v="2024-05-15T12:00:00" u="1"/>
        <d v="2024-05-02T11:01:00" u="1"/>
        <d v="2024-05-03T12:35:00" u="1"/>
        <d v="2024-05-03T11:34:00" u="1"/>
        <d v="2024-05-15T11:37:00" u="1"/>
        <d v="2024-05-06T15:54:00" u="1"/>
        <d v="2024-05-06T18:18:00" u="1"/>
        <d v="2024-05-07T17:02:00" u="1"/>
        <d v="2024-05-17T17:41:00" u="1"/>
        <d v="2024-05-08T14:04:00" u="1"/>
        <d v="2024-05-10T11:33:00" u="1"/>
        <d v="2024-05-13T19:10:00" u="1"/>
        <d v="2024-05-20T18:53:00" u="1"/>
        <d v="2024-05-14T10:45:00" u="1"/>
        <d v="2024-05-14T10:36:00" u="1"/>
        <d v="2024-05-14T14:03:00" u="1"/>
        <d v="2024-05-14T20:04:00" u="1"/>
        <d v="2024-05-15T09:00:00" u="1"/>
        <d v="2024-05-15T08:57:00" u="1"/>
        <d v="2024-05-15T10:57:00" u="1"/>
        <d v="2024-05-15T15:48:00" u="1"/>
        <d v="2024-05-15T21:01:00" u="1"/>
        <d v="2024-05-17T09:37:00" u="1"/>
        <d v="2024-05-22T13:15:00" u="1"/>
        <d v="2024-05-22T13:02:00" u="1"/>
        <d v="2024-05-17T14:11:00" u="1"/>
        <d v="2024-05-17T15:56:00" u="1"/>
        <d v="2024-05-22T13:03:00" u="1"/>
        <d v="2024-05-22T13:17:00" u="1"/>
        <d v="2024-05-24T15:13:00" u="1"/>
        <d v="2024-05-20T16:34:00" u="1"/>
        <d v="2024-05-09T13:43:00" u="1"/>
        <d v="2024-06-19T13:12:00" u="1"/>
        <d v="2024-06-21T17:51:00" u="1"/>
        <d v="2024-05-23T09:21:00" u="1"/>
        <d v="2024-06-25T19:09:00" u="1"/>
        <d v="2024-06-28T15:55:00" u="1"/>
        <d v="2024-07-02T10:09:00" u="1"/>
        <d v="2024-06-17T14:25:00" u="1"/>
        <d v="2024-06-21T06:26:00" u="1"/>
        <d v="2024-06-26T12:09:00" u="1"/>
        <d v="2024-06-26T17:39:00" u="1"/>
        <d v="2024-06-27T16:43:00" u="1"/>
        <d v="2024-07-01T17:22:00" u="1"/>
        <d v="2024-07-02T09:20:00" u="1"/>
        <d v="2024-07-04T11:59:00" u="1"/>
        <d v="2024-07-08T09:34:00" u="1"/>
        <d v="2024-07-09T16:18:00" u="1"/>
        <d v="2024-07-10T14:24:00" u="1"/>
        <d v="2024-07-10T16:51:00" u="1"/>
        <d v="2024-07-11T09:52:00" u="1"/>
        <d v="2024-07-11T10:31:00" u="1"/>
        <d v="2024-07-11T08:22:00" u="1"/>
        <d v="2024-07-11T14:29:00" u="1"/>
        <d v="2024-07-11T14:34:00" u="1"/>
        <d v="2024-07-11T14:37:00" u="1"/>
        <d v="2024-07-11T14:54:00" u="1"/>
        <d v="2024-07-11T15:00:00" u="1"/>
        <d v="2024-07-11T15:04:00" u="1"/>
        <d v="2024-07-11T15:21:00" u="1"/>
        <d v="2024-07-11T15:25:00" u="1"/>
        <d v="2024-07-12T13:14:00" u="1"/>
        <d v="2024-07-17T12:21:00" u="1"/>
        <d v="2024-07-12T16:21:00" u="1"/>
        <d v="2024-07-15T16:35:00" u="1"/>
        <d v="2024-07-15T18:27:00" u="1"/>
        <d v="2024-07-16T11:07:00" u="1"/>
        <d v="2024-07-16T14:49:00" u="1"/>
        <d v="2024-07-16T12:38:00" u="1"/>
        <d v="2024-07-16T15:34:00" u="1"/>
        <d v="2024-07-16T15:32:00" u="1"/>
        <d v="2024-07-18T08:10:00" u="1"/>
        <d v="2024-07-18T08:31:00" u="1"/>
        <d v="2024-07-17T20:06:00" u="1"/>
        <d v="2024-07-18T09:08:00" u="1"/>
        <d v="2024-07-18T17:32:00" u="1"/>
        <d v="2024-07-18T11:00:00" u="1"/>
        <d v="2024-07-18T11:33:00" u="1"/>
        <d v="2024-07-18T11:22:00" u="1"/>
        <d v="2024-07-18T15:30:00" u="1"/>
        <d v="2024-07-18T16:35:00" u="1"/>
        <d v="2024-07-18T18:23:00" u="1"/>
        <d v="2024-07-19T14:56:00" u="1"/>
        <d v="2024-07-19T16:41:00" u="1"/>
        <d v="2024-05-21T15:11:00" u="1"/>
        <d v="2023-11-23T18:19:00" u="1"/>
        <d v="2024-06-11T19:05:00" u="1"/>
        <d v="2024-03-06T13:15:00" u="1"/>
        <d v="2024-07-12T18:31:00" u="1"/>
        <d v="2024-07-12T19:06:00" u="1"/>
        <d v="2024-07-12T19:20:00" u="1"/>
        <d v="2024-07-12T19:27:00" u="1"/>
        <d v="2024-07-12T19:32:00" u="1"/>
        <d v="2024-07-12T19:41:00" u="1"/>
        <d v="2024-07-12T20:19:00" u="1"/>
        <d v="2024-07-15T07:37:00" u="1"/>
      </sharedItems>
      <fieldGroup par="16"/>
    </cacheField>
    <cacheField name="CODIGORESERVA" numFmtId="0">
      <sharedItems containsBlank="1" containsMixedTypes="1" containsNumber="1" containsInteger="1" minValue="17" maxValue="4552535"/>
    </cacheField>
    <cacheField name="RLOCCIA" numFmtId="0">
      <sharedItems containsBlank="1" containsMixedTypes="1" containsNumber="1" containsInteger="1" minValue="17" maxValue="52892962"/>
    </cacheField>
    <cacheField name="MENSAGEM" numFmtId="0">
      <sharedItems containsBlank="1" longText="1"/>
    </cacheField>
    <cacheField name="DATAENVIO" numFmtId="0">
      <sharedItems containsNonDate="0" containsDate="1" containsString="0" containsBlank="1" minDate="2024-01-04T16:07:00" maxDate="2025-06-17T10:37:00"/>
    </cacheField>
    <cacheField name="DATAREENVIO" numFmtId="0">
      <sharedItems containsNonDate="0" containsDate="1" containsString="0" containsBlank="1" minDate="2024-03-11T22:13:00" maxDate="2025-06-17T10:36:00"/>
    </cacheField>
    <cacheField name="TIPOERRO" numFmtId="0">
      <sharedItems containsBlank="1"/>
    </cacheField>
    <cacheField name="MOTIVO DO ERRO" numFmtId="0">
      <sharedItems containsBlank="1"/>
    </cacheField>
    <cacheField name="DETALHES DO ERRO" numFmtId="0">
      <sharedItems containsBlank="1"/>
    </cacheField>
    <cacheField name="CATEGORIA DO ERRO" numFmtId="0">
      <sharedItems containsBlank="1" count="6">
        <s v="SISTEMA"/>
        <s v="QUALIDADE DOS DADOS"/>
        <s v="INDEFINIDO"/>
        <e v="#N/A"/>
        <m/>
        <e v="#REF!" u="1"/>
      </sharedItems>
    </cacheField>
    <cacheField name="RESPONSÁVEL" numFmtId="0">
      <sharedItems containsBlank="1"/>
    </cacheField>
    <cacheField name="PROC TXT" numFmtId="0">
      <sharedItems containsBlank="1" containsMixedTypes="1" containsNumber="1" containsInteger="1" minValue="1" maxValue="163"/>
    </cacheField>
    <cacheField name="Meses (DATARESERVA)" numFmtId="0" databaseField="0">
      <fieldGroup base="2">
        <rangePr groupBy="months" startDate="2023-04-10T19:13:00" endDate="2025-06-16T17:36:00"/>
        <groupItems count="14">
          <s v="&lt;10/04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06/2025"/>
        </groupItems>
      </fieldGroup>
    </cacheField>
    <cacheField name="Trimestres (DATARESERVA)" numFmtId="0" databaseField="0">
      <fieldGroup base="2">
        <rangePr groupBy="quarters" startDate="2023-04-10T19:13:00" endDate="2025-06-16T17:36:00"/>
        <groupItems count="6">
          <s v="&lt;10/04/2023"/>
          <s v="Trim1"/>
          <s v="Trim2"/>
          <s v="Trim3"/>
          <s v="Trim4"/>
          <s v="&gt;16/06/2025"/>
        </groupItems>
      </fieldGroup>
    </cacheField>
    <cacheField name="Anos (DATARESERVA)" numFmtId="0" databaseField="0">
      <fieldGroup base="2">
        <rangePr groupBy="years" startDate="2023-04-10T19:13:00" endDate="2025-06-16T17:36:00"/>
        <groupItems count="5">
          <s v="&lt;10/04/2023"/>
          <s v="2023"/>
          <s v="2024"/>
          <s v="2025"/>
          <s v="&gt;16/06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3">
  <r>
    <s v="GOVER"/>
    <s v="CONTABILIZAR"/>
    <x v="0"/>
    <n v="2438691"/>
    <x v="0"/>
    <d v="2024-01-03T15:12:00"/>
    <n v="4251938"/>
    <s v="Duplicidade"/>
    <s v="PreencherPnr-&gt;Não foi encontrado nenhum item veículo para o localizador Duplicidade"/>
    <x v="0"/>
    <d v="2024-06-04T14:45:00"/>
    <s v="OUTROS"/>
    <x v="0"/>
    <s v="TAGS DE DETALHAMENTO DO SERVIÇO NÃO ENVIADO NO XML"/>
    <s v="SISTEMA"/>
    <x v="0"/>
    <n v="46"/>
  </r>
  <r>
    <s v="GOVER"/>
    <s v="CONTABILIZAR"/>
    <x v="0"/>
    <n v="2441324"/>
    <x v="0"/>
    <d v="2024-01-05T18:43:00"/>
    <n v="371069"/>
    <s v="SHZRFS"/>
    <s v="PreencherPnr-&gt;Não foi encontrado nenhum item veículo para o localizador SHZRFS"/>
    <x v="1"/>
    <d v="2024-07-18T10:49:00"/>
    <s v="OUTROS"/>
    <x v="0"/>
    <s v="TAGS DE DETALHAMENTO DO SERVIÇO NÃO ENVIADO NO XML"/>
    <s v="SISTEMA"/>
    <x v="0"/>
    <n v="46"/>
  </r>
  <r>
    <s v="GOVER"/>
    <s v="CONTABILIZAR"/>
    <x v="0"/>
    <n v="2462054"/>
    <x v="0"/>
    <d v="2024-01-17T16:04:00"/>
    <n v="4260384"/>
    <s v="cotacao"/>
    <s v="PreencherPnr-&gt;Não foi encontrado nenhum item veículo para o localizador cotacao"/>
    <x v="2"/>
    <d v="2024-07-18T10:44:00"/>
    <s v="OUTROS"/>
    <x v="0"/>
    <s v="TAGS DE DETALHAMENTO DO SERVIÇO NÃO ENVIADO NO XML"/>
    <s v="SISTEMA"/>
    <x v="0"/>
    <n v="46"/>
  </r>
  <r>
    <s v="GOVER"/>
    <s v="CONTABILIZAR"/>
    <x v="0"/>
    <n v="2462055"/>
    <x v="0"/>
    <d v="2024-01-17T16:04:00"/>
    <n v="4260384"/>
    <s v="OPBSKN"/>
    <s v="PreencherPnr-&gt;Não foi encontrado nenhum item veículo para o localizador OPBSKN"/>
    <x v="2"/>
    <d v="2024-07-18T10:44:00"/>
    <s v="OUTROS"/>
    <x v="0"/>
    <s v="TAGS DE DETALHAMENTO DO SERVIÇO NÃO ENVIADO NO XML"/>
    <s v="SISTEMA"/>
    <x v="0"/>
    <n v="46"/>
  </r>
  <r>
    <s v="GOVER"/>
    <s v="CONTABILIZAR"/>
    <x v="0"/>
    <n v="2462882"/>
    <x v="0"/>
    <d v="2024-01-19T15:32:00"/>
    <n v="371848"/>
    <s v="HLGZQH"/>
    <s v="PreencherPnr-&gt;Não foi encontrado nenhum item veículo para o localizador HLGZQH"/>
    <x v="3"/>
    <d v="2024-07-18T10:49:00"/>
    <s v="OUTROS"/>
    <x v="0"/>
    <s v="TAGS DE DETALHAMENTO DO SERVIÇO NÃO ENVIADO NO XML"/>
    <s v="SISTEMA"/>
    <x v="0"/>
    <n v="46"/>
  </r>
  <r>
    <s v="GOVER"/>
    <s v="CONTABILIZAR"/>
    <x v="0"/>
    <n v="2471974"/>
    <x v="0"/>
    <d v="2024-01-24T16:05:00"/>
    <n v="4265017"/>
    <n v="4265017"/>
    <s v="PreencherPnr-&gt;Foi identificado um localizador sem código."/>
    <x v="4"/>
    <m/>
    <s v="OUTROS"/>
    <x v="1"/>
    <s v="RLOC NÃO PREENCHIDO NA RESERVA"/>
    <s v="QUALIDADE DOS DADOS"/>
    <x v="0"/>
    <s v="COLUNA I"/>
  </r>
  <r>
    <s v="GOVER"/>
    <s v="CONTABILIZAR"/>
    <x v="0"/>
    <n v="2481704"/>
    <x v="0"/>
    <d v="2024-01-31T10:52:00"/>
    <n v="372367"/>
    <s v="NIGKEX"/>
    <s v="PreencherPnr-&gt;Não foi encontrado nenhum item veículo para o localizador NIGKEX"/>
    <x v="5"/>
    <d v="2024-07-18T10:49:00"/>
    <s v="OUTROS"/>
    <x v="0"/>
    <s v="TAGS DE DETALHAMENTO DO SERVIÇO NÃO ENVIADO NO XML"/>
    <s v="SISTEMA"/>
    <x v="0"/>
    <n v="46"/>
  </r>
  <r>
    <s v="GOVER"/>
    <s v="CONTABILIZAR"/>
    <x v="0"/>
    <n v="2482912"/>
    <x v="0"/>
    <d v="2024-01-30T09:14:00"/>
    <n v="4267690"/>
    <s v="GDSP6494Z6A"/>
    <s v="PreencherPnr-&gt;Não foi encontrado nenhum item veículo para o localizador GDSP6494Z6A"/>
    <x v="6"/>
    <d v="2024-07-18T10:44:00"/>
    <s v="OUTROS"/>
    <x v="0"/>
    <s v="TAGS DE DETALHAMENTO DO SERVIÇO NÃO ENVIADO NO XML"/>
    <s v="SISTEMA"/>
    <x v="0"/>
    <n v="46"/>
  </r>
  <r>
    <s v="GOVER"/>
    <s v="CONTABILIZAR"/>
    <x v="0"/>
    <n v="2484199"/>
    <x v="0"/>
    <d v="2024-02-01T12:47:00"/>
    <n v="4269492"/>
    <n v="4269492"/>
    <s v="PreencherPnr-&gt;Foi identificado um localizador sem código."/>
    <x v="7"/>
    <d v="2024-07-18T10:44:00"/>
    <s v="OUTROS"/>
    <x v="1"/>
    <s v="RLOC NÃO PREENCHIDO NA RESERVA"/>
    <s v="QUALIDADE DOS DADOS"/>
    <x v="0"/>
    <s v="COLUNA I"/>
  </r>
  <r>
    <s v="GOVER"/>
    <s v="CONTABILIZAR"/>
    <x v="0"/>
    <n v="2502681"/>
    <x v="0"/>
    <d v="2024-02-14T15:34:00"/>
    <n v="4275898"/>
    <n v="4275898"/>
    <s v="PreencherPnr-&gt;Foi identificado um localizador sem código."/>
    <x v="8"/>
    <d v="2024-07-18T10:44:00"/>
    <s v="OUTROS"/>
    <x v="1"/>
    <s v="RLOC NÃO PREENCHIDO NA RESERVA"/>
    <s v="QUALIDADE DOS DADOS"/>
    <x v="0"/>
    <s v="COLUNA I"/>
  </r>
  <r>
    <s v="GOVER"/>
    <s v="CONTABILIZAR"/>
    <x v="0"/>
    <n v="2506539"/>
    <x v="0"/>
    <d v="2024-02-16T08:21:00"/>
    <n v="373092"/>
    <s v="OXFWMW"/>
    <s v="PreencherPnr-&gt;Não foi encontrado nenhum item veículo para o localizador OXFWMW"/>
    <x v="9"/>
    <d v="2024-07-18T10:49:00"/>
    <s v="OUTROS"/>
    <x v="0"/>
    <s v="TAGS DE DETALHAMENTO DO SERVIÇO NÃO ENVIADO NO XML"/>
    <s v="SISTEMA"/>
    <x v="0"/>
    <n v="46"/>
  </r>
  <r>
    <s v="GOVER"/>
    <s v="CONTABILIZAR"/>
    <x v="0"/>
    <n v="2506824"/>
    <x v="0"/>
    <d v="2024-02-16T11:01:00"/>
    <n v="373117"/>
    <s v="KXSJRU"/>
    <s v="PreencherPnr-&gt;Não foi encontrado nenhum item veículo para o localizador KXSJRU"/>
    <x v="10"/>
    <d v="2024-06-04T12:20:00"/>
    <s v="OUTROS"/>
    <x v="0"/>
    <s v="TAGS DE DETALHAMENTO DO SERVIÇO NÃO ENVIADO NO XML"/>
    <s v="SISTEMA"/>
    <x v="0"/>
    <n v="46"/>
  </r>
  <r>
    <s v="GOVER"/>
    <s v="CONTABILIZAR"/>
    <x v="0"/>
    <n v="2510509"/>
    <x v="0"/>
    <d v="2024-02-19T14:01:00"/>
    <n v="373227"/>
    <s v="OHZMNZ"/>
    <s v="PreencherPnr-&gt;Não foi encontrado nenhum item veículo para o localizador OHZMNZ"/>
    <x v="11"/>
    <d v="2024-07-18T10:49:00"/>
    <s v="OUTROS"/>
    <x v="0"/>
    <s v="TAGS DE DETALHAMENTO DO SERVIÇO NÃO ENVIADO NO XML"/>
    <s v="SISTEMA"/>
    <x v="0"/>
    <n v="46"/>
  </r>
  <r>
    <s v="GOVER"/>
    <s v="CONTABILIZAR"/>
    <x v="0"/>
    <n v="2511871"/>
    <x v="0"/>
    <d v="2024-02-19T18:00:00"/>
    <n v="373256"/>
    <s v="ORKOQU"/>
    <s v="PreencherPnr-&gt;Não foi encontrado nenhum item veículo para o localizador ORKOQU"/>
    <x v="12"/>
    <d v="2024-07-18T10:49:00"/>
    <s v="OUTROS"/>
    <x v="0"/>
    <s v="TAGS DE DETALHAMENTO DO SERVIÇO NÃO ENVIADO NO XML"/>
    <s v="SISTEMA"/>
    <x v="0"/>
    <n v="46"/>
  </r>
  <r>
    <s v="GOVER"/>
    <s v="CONTABILIZAR"/>
    <x v="0"/>
    <n v="2515586"/>
    <x v="0"/>
    <d v="2024-02-21T09:57:00"/>
    <n v="373343"/>
    <s v="GDUWFL"/>
    <s v="PreencherPnr-&gt;Não foi encontrado nenhum item veículo para o localizador GDUWFL"/>
    <x v="13"/>
    <d v="2024-06-04T12:20:00"/>
    <s v="OUTROS"/>
    <x v="0"/>
    <s v="TAGS DE DETALHAMENTO DO SERVIÇO NÃO ENVIADO NO XML"/>
    <s v="SISTEMA"/>
    <x v="0"/>
    <n v="46"/>
  </r>
  <r>
    <s v="GOVER"/>
    <s v="CONTABILIZAR"/>
    <x v="0"/>
    <n v="2520444"/>
    <x v="0"/>
    <d v="2024-02-23T09:48:00"/>
    <n v="373484"/>
    <s v="NKRBKN"/>
    <s v="PreencherPnr-&gt;Não foi encontrado nenhum item veículo para o localizador NKRBKN"/>
    <x v="14"/>
    <d v="2024-07-18T10:49:00"/>
    <s v="OUTROS"/>
    <x v="0"/>
    <s v="TAGS DE DETALHAMENTO DO SERVIÇO NÃO ENVIADO NO XML"/>
    <s v="SISTEMA"/>
    <x v="0"/>
    <n v="46"/>
  </r>
  <r>
    <s v="GOVER"/>
    <s v="CONTABILIZAR"/>
    <x v="0"/>
    <n v="2530619"/>
    <x v="0"/>
    <d v="2024-02-27T09:57:00"/>
    <n v="4285326"/>
    <n v="4285326"/>
    <s v="PreencherPnr-&gt;Foi identificado um localizador sem código."/>
    <x v="15"/>
    <d v="2024-07-18T10:44:00"/>
    <s v="OUTROS"/>
    <x v="1"/>
    <s v="RLOC NÃO PREENCHIDO NA RESERVA"/>
    <s v="QUALIDADE DOS DADOS"/>
    <x v="0"/>
    <s v="COLUNA I"/>
  </r>
  <r>
    <s v="GOVER"/>
    <s v="CONTABILIZAR"/>
    <x v="0"/>
    <n v="2544555"/>
    <x v="0"/>
    <d v="2024-03-04T14:13:00"/>
    <n v="373967"/>
    <s v="40659382BR1"/>
    <s v="PreencherPnr-&gt;Não foi encontrado nenhum item veículo para o localizador 40659382BR1"/>
    <x v="16"/>
    <d v="2024-07-18T10:49:00"/>
    <s v="OUTROS"/>
    <x v="0"/>
    <s v="TAGS DE DETALHAMENTO DO SERVIÇO NÃO ENVIADO NO XML"/>
    <s v="SISTEMA"/>
    <x v="0"/>
    <n v="46"/>
  </r>
  <r>
    <s v="GOVER"/>
    <s v="CONTABILIZAR"/>
    <x v="0"/>
    <n v="2544556"/>
    <x v="0"/>
    <d v="2024-03-04T14:13:00"/>
    <n v="373967"/>
    <s v="40660188BR2"/>
    <s v="PreencherPnr-&gt;Não foi encontrado nenhum item veículo para o localizador 40660188BR2"/>
    <x v="16"/>
    <d v="2024-07-18T10:49:00"/>
    <s v="OUTROS"/>
    <x v="0"/>
    <s v="TAGS DE DETALHAMENTO DO SERVIÇO NÃO ENVIADO NO XML"/>
    <s v="SISTEMA"/>
    <x v="0"/>
    <n v="46"/>
  </r>
  <r>
    <s v="GOVER"/>
    <s v="CONTABILIZAR"/>
    <x v="0"/>
    <n v="2545970"/>
    <x v="0"/>
    <d v="2024-03-08T14:08:00"/>
    <n v="374371"/>
    <s v="KVTMRM"/>
    <s v="PreencherPnr-&gt;Não foi encontrado nenhum item veículo para o localizador KVTMRM"/>
    <x v="17"/>
    <d v="2024-07-18T10:40:00"/>
    <s v="OUTROS"/>
    <x v="0"/>
    <s v="TAGS DE DETALHAMENTO DO SERVIÇO NÃO ENVIADO NO XML"/>
    <s v="SISTEMA"/>
    <x v="0"/>
    <n v="46"/>
  </r>
  <r>
    <s v="GOVER"/>
    <s v="CONTABILIZAR"/>
    <x v="0"/>
    <n v="2546428"/>
    <x v="0"/>
    <d v="2024-03-08T15:18:00"/>
    <n v="374393"/>
    <s v="OMMDBX"/>
    <s v="PreencherPnr-&gt;Não foi encontrado nenhum item veículo para o localizador OMMDBX"/>
    <x v="18"/>
    <d v="2024-07-18T10:40:00"/>
    <s v="OUTROS"/>
    <x v="0"/>
    <s v="TAGS DE DETALHAMENTO DO SERVIÇO NÃO ENVIADO NO XML"/>
    <s v="SISTEMA"/>
    <x v="0"/>
    <n v="46"/>
  </r>
  <r>
    <s v="RESOLVIDO"/>
    <m/>
    <x v="1"/>
    <n v="2547495"/>
    <x v="1"/>
    <d v="2024-03-08T19:43:00"/>
    <n v="7060"/>
    <n v="7060"/>
    <s v="Preenchendo XML Serviço-&gt; Preenchendo XML-&gt; Montando accounting aereo 15-&gt;Input string was not in a correct format."/>
    <x v="19"/>
    <d v="2024-03-11T22:13:00"/>
    <s v="OUTROS"/>
    <x v="2"/>
    <s v="TEXTO FORA DO PADRÃO ACEITO NO CAMPO"/>
    <s v="INDEFINIDO"/>
    <x v="0"/>
    <s v="COLUNA I"/>
  </r>
  <r>
    <s v="GOVER"/>
    <s v="CONTABILIZAR"/>
    <x v="0"/>
    <n v="2557760"/>
    <x v="0"/>
    <d v="2024-03-14T09:21:00"/>
    <n v="374703"/>
    <s v="KGIOUB"/>
    <s v="PreencherPnr-&gt;Não foi encontrado nenhum item veículo para o localizador KGIOUB"/>
    <x v="20"/>
    <d v="2024-07-18T10:40:00"/>
    <s v="OUTROS"/>
    <x v="0"/>
    <s v="TAGS DE DETALHAMENTO DO SERVIÇO NÃO ENVIADO NO XML"/>
    <s v="SISTEMA"/>
    <x v="0"/>
    <n v="46"/>
  </r>
  <r>
    <s v="GOVER"/>
    <s v="CONTABILIZAR"/>
    <x v="0"/>
    <n v="2560283"/>
    <x v="0"/>
    <d v="2024-03-15T08:53:00"/>
    <n v="374798"/>
    <s v="OATUHN"/>
    <s v="PreencherPnr-&gt;Não foi encontrado nenhum item veículo para o localizador OATUHN"/>
    <x v="21"/>
    <d v="2024-07-18T10:40:00"/>
    <s v="OUTROS"/>
    <x v="0"/>
    <s v="TAGS DE DETALHAMENTO DO SERVIÇO NÃO ENVIADO NO XML"/>
    <s v="SISTEMA"/>
    <x v="0"/>
    <n v="46"/>
  </r>
  <r>
    <s v="GOVER"/>
    <s v="CONTABILIZAR"/>
    <x v="0"/>
    <n v="2562909"/>
    <x v="0"/>
    <d v="2024-03-16T08:52:00"/>
    <n v="374866"/>
    <s v="CXSKGB"/>
    <s v="PreencherPnr-&gt;Não foi encontrado nenhum item veículo para o localizador CXSKGB"/>
    <x v="22"/>
    <d v="2024-06-12T14:52:00"/>
    <s v="OUTROS"/>
    <x v="0"/>
    <s v="TAGS DE DETALHAMENTO DO SERVIÇO NÃO ENVIADO NO XML"/>
    <s v="SISTEMA"/>
    <x v="0"/>
    <n v="46"/>
  </r>
  <r>
    <s v="GOVER"/>
    <s v="CONTABILIZAR"/>
    <x v="0"/>
    <n v="2565804"/>
    <x v="0"/>
    <d v="2024-03-19T08:32:00"/>
    <n v="374987"/>
    <s v="STPSQY"/>
    <s v="PreencherPnr-&gt;Não foi encontrado nenhum item veículo para o localizador STPSQY"/>
    <x v="23"/>
    <d v="2024-07-18T10:40:00"/>
    <s v="OUTROS"/>
    <x v="0"/>
    <s v="TAGS DE DETALHAMENTO DO SERVIÇO NÃO ENVIADO NO XML"/>
    <s v="SISTEMA"/>
    <x v="0"/>
    <n v="46"/>
  </r>
  <r>
    <s v="GOVER"/>
    <s v="CONTABILIZAR"/>
    <x v="0"/>
    <n v="2566625"/>
    <x v="0"/>
    <d v="2024-03-19T13:15:00"/>
    <n v="375016"/>
    <s v="CWVQKA"/>
    <s v="PreencherPnr-&gt;Não foi encontrado nenhum item veículo para o localizador CWVQKA"/>
    <x v="24"/>
    <d v="2024-07-18T10:40:00"/>
    <s v="OUTROS"/>
    <x v="0"/>
    <s v="TAGS DE DETALHAMENTO DO SERVIÇO NÃO ENVIADO NO XML"/>
    <s v="SISTEMA"/>
    <x v="0"/>
    <n v="46"/>
  </r>
  <r>
    <s v="GOVER"/>
    <s v="CONTABILIZAR"/>
    <x v="0"/>
    <n v="2573357"/>
    <x v="0"/>
    <d v="2024-03-21T15:05:00"/>
    <n v="4300431"/>
    <n v="4300431"/>
    <s v="PreencherPnr-&gt;Foi identificado um localizador sem código."/>
    <x v="25"/>
    <d v="2024-07-18T10:44:00"/>
    <s v="OUTROS"/>
    <x v="1"/>
    <s v="RLOC NÃO PREENCHIDO NA RESERVA"/>
    <s v="QUALIDADE DOS DADOS"/>
    <x v="0"/>
    <s v="COLUNA I"/>
  </r>
  <r>
    <s v="GOVER"/>
    <s v="CONTABILIZAR"/>
    <x v="0"/>
    <n v="2573461"/>
    <x v="0"/>
    <d v="2024-03-22T10:28:00"/>
    <n v="4301065"/>
    <n v="4301065"/>
    <s v="PreencherPnr-&gt;Foi identificado um localizador sem código."/>
    <x v="26"/>
    <d v="2024-07-18T10:44:00"/>
    <s v="OUTROS"/>
    <x v="1"/>
    <s v="RLOC NÃO PREENCHIDO NA RESERVA"/>
    <s v="QUALIDADE DOS DADOS"/>
    <x v="0"/>
    <s v="COLUNA I"/>
  </r>
  <r>
    <s v="GOVER"/>
    <s v="CONTABILIZAR"/>
    <x v="0"/>
    <n v="2574438"/>
    <x v="0"/>
    <d v="2024-03-22T14:57:00"/>
    <n v="375324"/>
    <s v="ONMWHU"/>
    <s v="PreencherPnr-&gt;Não foi encontrado nenhum item veículo para o localizador ONMWHU"/>
    <x v="27"/>
    <d v="2024-07-18T10:40:00"/>
    <s v="OUTROS"/>
    <x v="0"/>
    <s v="TAGS DE DETALHAMENTO DO SERVIÇO NÃO ENVIADO NO XML"/>
    <s v="SISTEMA"/>
    <x v="0"/>
    <n v="46"/>
  </r>
  <r>
    <s v="GOVER"/>
    <s v="CONTABILIZAR"/>
    <x v="0"/>
    <n v="2580328"/>
    <x v="0"/>
    <d v="2024-03-25T15:04:00"/>
    <n v="4302688"/>
    <s v="cotacao"/>
    <s v="PreencherPnr-&gt;Não foi encontrado nenhum item veículo para o localizador cotacao"/>
    <x v="28"/>
    <d v="2024-06-12T14:58:00"/>
    <s v="OUTROS"/>
    <x v="0"/>
    <s v="TAGS DE DETALHAMENTO DO SERVIÇO NÃO ENVIADO NO XML"/>
    <s v="SISTEMA"/>
    <x v="0"/>
    <n v="46"/>
  </r>
  <r>
    <s v="RESOLVIDO"/>
    <m/>
    <x v="1"/>
    <n v="2580829"/>
    <x v="1"/>
    <d v="2024-03-26T10:21:00"/>
    <n v="7161"/>
    <n v="7161"/>
    <s v="Preenchendo XML Serviço-&gt; Preenchendo XML-&gt; Montando accounting aereo 15-&gt;Input string was not in a correct format."/>
    <x v="29"/>
    <d v="2024-03-29T21:46:00"/>
    <s v="OUTROS"/>
    <x v="2"/>
    <s v="TEXTO FORA DO PADRÃO ACEITO NO CAMPO"/>
    <s v="INDEFINIDO"/>
    <x v="0"/>
    <s v="COLUNA I"/>
  </r>
  <r>
    <s v="GOVER"/>
    <s v="CONTABILIZAR"/>
    <x v="0"/>
    <n v="2586891"/>
    <x v="0"/>
    <d v="2024-03-27T18:00:00"/>
    <n v="4304906"/>
    <s v="cotacao"/>
    <s v="PreencherPnr-&gt;Não foi encontrado nenhum item veículo para o localizador cotacao"/>
    <x v="30"/>
    <d v="2024-07-18T10:44:00"/>
    <s v="OUTROS"/>
    <x v="0"/>
    <s v="TAGS DE DETALHAMENTO DO SERVIÇO NÃO ENVIADO NO XML"/>
    <s v="SISTEMA"/>
    <x v="0"/>
    <n v="46"/>
  </r>
  <r>
    <s v="RESOLVIDO"/>
    <m/>
    <x v="1"/>
    <n v="2588215"/>
    <x v="1"/>
    <d v="2024-03-28T20:16:00"/>
    <n v="7828"/>
    <n v="7828"/>
    <s v="Preenchendo XML Serviço-&gt; Preenchendo XML-&gt; Montando accounting aereo 15-&gt;Input string was not in a correct format."/>
    <x v="31"/>
    <d v="2024-03-31T22:26:00"/>
    <s v="OUTROS"/>
    <x v="2"/>
    <s v="TEXTO FORA DO PADRÃO ACEITO NO CAMPO"/>
    <s v="INDEFINIDO"/>
    <x v="0"/>
    <s v="COLUNA I"/>
  </r>
  <r>
    <s v="RESOLVIDO"/>
    <m/>
    <x v="1"/>
    <n v="2588216"/>
    <x v="1"/>
    <d v="2024-03-28T20:21:00"/>
    <n v="7827"/>
    <n v="7827"/>
    <s v="Preenchendo XML Serviço-&gt; Preenchendo XML-&gt; Montando accounting aereo 15-&gt;Input string was not in a correct format."/>
    <x v="31"/>
    <d v="2024-03-31T22:26:00"/>
    <s v="OUTROS"/>
    <x v="2"/>
    <s v="TEXTO FORA DO PADRÃO ACEITO NO CAMPO"/>
    <s v="INDEFINIDO"/>
    <x v="0"/>
    <s v="COLUNA I"/>
  </r>
  <r>
    <s v="RESOLVIDO"/>
    <m/>
    <x v="1"/>
    <n v="2588217"/>
    <x v="1"/>
    <d v="2024-03-28T20:24:00"/>
    <n v="7826"/>
    <n v="7826"/>
    <s v="Preenchendo XML Serviço-&gt; Preenchendo XML-&gt; Montando accounting aereo 15-&gt;Input string was not in a correct format."/>
    <x v="31"/>
    <d v="2024-03-31T22:26:00"/>
    <s v="OUTROS"/>
    <x v="2"/>
    <s v="TEXTO FORA DO PADRÃO ACEITO NO CAMPO"/>
    <s v="INDEFINIDO"/>
    <x v="0"/>
    <s v="COLUNA I"/>
  </r>
  <r>
    <s v="RESOLVIDO"/>
    <m/>
    <x v="1"/>
    <n v="2588218"/>
    <x v="1"/>
    <d v="2024-03-28T20:30:00"/>
    <n v="7825"/>
    <n v="7825"/>
    <s v="Preenchendo XML Serviço-&gt; Preenchendo XML-&gt; Montando accounting aereo 15-&gt;Input string was not in a correct format."/>
    <x v="32"/>
    <d v="2024-03-31T22:26:00"/>
    <s v="OUTROS"/>
    <x v="2"/>
    <s v="TEXTO FORA DO PADRÃO ACEITO NO CAMPO"/>
    <s v="INDEFINIDO"/>
    <x v="0"/>
    <s v="COLUNA I"/>
  </r>
  <r>
    <s v="GOVER"/>
    <s v="CONTABILIZAR"/>
    <x v="0"/>
    <n v="2595026"/>
    <x v="0"/>
    <d v="2024-04-03T10:03:00"/>
    <n v="375870"/>
    <s v="NAUNKK"/>
    <s v="PreencherPnr-&gt;Não foi encontrado nenhum item veículo para o localizador NAUNKK"/>
    <x v="33"/>
    <d v="2024-07-18T10:40:00"/>
    <s v="OUTROS"/>
    <x v="0"/>
    <s v="TAGS DE DETALHAMENTO DO SERVIÇO NÃO ENVIADO NO XML"/>
    <s v="SISTEMA"/>
    <x v="0"/>
    <n v="46"/>
  </r>
  <r>
    <s v="GOVER"/>
    <s v="CONTABILIZAR"/>
    <x v="0"/>
    <n v="2596454"/>
    <x v="0"/>
    <d v="2024-04-03T17:09:00"/>
    <n v="4309106"/>
    <s v="MV1JTMMBT5BR"/>
    <s v="PreencherPnr-&gt;Não foi encontrado nenhum item veículo para o localizador MV1JTMMBT5BR"/>
    <x v="34"/>
    <d v="2024-07-18T10:44:00"/>
    <s v="OUTROS"/>
    <x v="0"/>
    <s v="TAGS DE DETALHAMENTO DO SERVIÇO NÃO ENVIADO NO XML"/>
    <s v="SISTEMA"/>
    <x v="0"/>
    <n v="46"/>
  </r>
  <r>
    <s v="GOVER"/>
    <s v="CONTABILIZAR"/>
    <x v="0"/>
    <n v="2598802"/>
    <x v="0"/>
    <d v="2024-04-04T15:32:00"/>
    <n v="4309881"/>
    <n v="4309881"/>
    <s v="PreencherPnr-&gt;Foi identificado um localizador sem código."/>
    <x v="35"/>
    <d v="2024-07-18T10:44:00"/>
    <s v="OUTROS"/>
    <x v="1"/>
    <s v="RLOC NÃO PREENCHIDO NA RESERVA"/>
    <s v="QUALIDADE DOS DADOS"/>
    <x v="0"/>
    <s v="COLUNA I"/>
  </r>
  <r>
    <s v="GOVER"/>
    <s v="CONTABILIZAR"/>
    <x v="0"/>
    <n v="2599009"/>
    <x v="0"/>
    <d v="2024-04-04T16:54:00"/>
    <n v="4309990"/>
    <n v="4309990"/>
    <s v="PreencherPnr-&gt;Foi identificado um localizador sem código."/>
    <x v="36"/>
    <d v="2024-07-18T10:44:00"/>
    <s v="OUTROS"/>
    <x v="1"/>
    <s v="RLOC NÃO PREENCHIDO NA RESERVA"/>
    <s v="QUALIDADE DOS DADOS"/>
    <x v="0"/>
    <s v="COLUNA I"/>
  </r>
  <r>
    <s v="GOVER"/>
    <s v="CONTABILIZAR"/>
    <x v="0"/>
    <n v="2601930"/>
    <x v="0"/>
    <d v="2024-04-05T16:02:00"/>
    <n v="376059"/>
    <s v="NMKPEL"/>
    <s v="PreencherPnr-&gt;Não foi encontrado nenhum item veículo para o localizador NMKPEL"/>
    <x v="37"/>
    <d v="2024-07-18T10:40:00"/>
    <s v="OUTROS"/>
    <x v="0"/>
    <s v="TAGS DE DETALHAMENTO DO SERVIÇO NÃO ENVIADO NO XML"/>
    <s v="SISTEMA"/>
    <x v="0"/>
    <n v="46"/>
  </r>
  <r>
    <s v="GOVER"/>
    <s v="CONTABILIZAR"/>
    <x v="0"/>
    <n v="2607212"/>
    <x v="0"/>
    <d v="2024-04-09T10:06:00"/>
    <n v="376185"/>
    <s v="LIRUPJ"/>
    <s v="PreencherPnr-&gt;Não foi encontrado nenhum item veículo para o localizador LIRUPJ"/>
    <x v="38"/>
    <d v="2024-07-18T10:40:00"/>
    <s v="OUTROS"/>
    <x v="0"/>
    <s v="TAGS DE DETALHAMENTO DO SERVIÇO NÃO ENVIADO NO XML"/>
    <s v="SISTEMA"/>
    <x v="0"/>
    <n v="46"/>
  </r>
  <r>
    <s v="GOVER"/>
    <s v="CONTABILIZAR"/>
    <x v="0"/>
    <n v="2610706"/>
    <x v="0"/>
    <d v="2024-04-05T09:33:00"/>
    <n v="376013"/>
    <s v="HZYOFE"/>
    <s v="PreencherPnr-&gt;Não foi encontrado nenhum item veículo para o localizador HZYOFE"/>
    <x v="39"/>
    <d v="2024-07-18T10:40:00"/>
    <s v="OUTROS"/>
    <x v="0"/>
    <s v="TAGS DE DETALHAMENTO DO SERVIÇO NÃO ENVIADO NO XML"/>
    <s v="SISTEMA"/>
    <x v="0"/>
    <n v="46"/>
  </r>
  <r>
    <s v="GOVER"/>
    <s v="CONTABILIZAR"/>
    <x v="0"/>
    <n v="2610707"/>
    <x v="0"/>
    <d v="2024-04-08T08:02:00"/>
    <n v="376099"/>
    <s v="HGFWUD"/>
    <s v="PreencherPnr-&gt;Não foi encontrado nenhum item veículo para o localizador HGFWUD"/>
    <x v="39"/>
    <d v="2024-07-18T10:40:00"/>
    <s v="OUTROS"/>
    <x v="0"/>
    <s v="TAGS DE DETALHAMENTO DO SERVIÇO NÃO ENVIADO NO XML"/>
    <s v="SISTEMA"/>
    <x v="0"/>
    <n v="46"/>
  </r>
  <r>
    <s v="GOVER"/>
    <s v="CONTABILIZAR"/>
    <x v="0"/>
    <n v="2613000"/>
    <x v="0"/>
    <d v="2024-04-11T11:01:00"/>
    <n v="376375"/>
    <s v="CQPANM"/>
    <s v="PreencherPnr-&gt;Não foi encontrado nenhum item veículo para o localizador CQPANM"/>
    <x v="40"/>
    <d v="2024-07-18T10:40:00"/>
    <s v="OUTROS"/>
    <x v="0"/>
    <s v="TAGS DE DETALHAMENTO DO SERVIÇO NÃO ENVIADO NO XML"/>
    <s v="SISTEMA"/>
    <x v="0"/>
    <n v="46"/>
  </r>
  <r>
    <s v="GOVER"/>
    <s v="CONTABILIZAR"/>
    <x v="0"/>
    <n v="2617395"/>
    <x v="0"/>
    <d v="2024-04-12T17:39:00"/>
    <n v="4315539"/>
    <n v="4315539"/>
    <s v="PreencherPnr-&gt;Foi identificado um localizador sem código."/>
    <x v="41"/>
    <d v="2024-07-18T10:44:00"/>
    <s v="OUTROS"/>
    <x v="1"/>
    <s v="RLOC NÃO PREENCHIDO NA RESERVA"/>
    <s v="QUALIDADE DOS DADOS"/>
    <x v="0"/>
    <s v="COLUNA I"/>
  </r>
  <r>
    <s v="GOVER"/>
    <s v="CONTABILIZAR"/>
    <x v="0"/>
    <n v="2626880"/>
    <x v="0"/>
    <d v="2024-04-15T15:37:00"/>
    <n v="4316329"/>
    <n v="4316329"/>
    <s v="PreencherPnr-&gt;Foi identificado um localizador sem código."/>
    <x v="42"/>
    <d v="2024-07-18T10:44:00"/>
    <s v="OUTROS"/>
    <x v="1"/>
    <s v="RLOC NÃO PREENCHIDO NA RESERVA"/>
    <s v="QUALIDADE DOS DADOS"/>
    <x v="0"/>
    <s v="COLUNA I"/>
  </r>
  <r>
    <s v="GOVER"/>
    <s v="CONTABILIZAR"/>
    <x v="0"/>
    <n v="2628057"/>
    <x v="0"/>
    <d v="2024-04-18T16:25:00"/>
    <n v="376763"/>
    <s v="LPZGUM"/>
    <s v="PreencherPnr-&gt;Não foi encontrado nenhum item veículo para o localizador LPZGUM"/>
    <x v="43"/>
    <d v="2024-07-18T10:40:00"/>
    <s v="OUTROS"/>
    <x v="0"/>
    <s v="TAGS DE DETALHAMENTO DO SERVIÇO NÃO ENVIADO NO XML"/>
    <s v="SISTEMA"/>
    <x v="0"/>
    <n v="46"/>
  </r>
  <r>
    <s v="GOVER"/>
    <s v="CONTABILIZAR"/>
    <x v="0"/>
    <n v="2629397"/>
    <x v="0"/>
    <d v="2024-04-19T09:07:00"/>
    <n v="376798"/>
    <s v="CBSPVW"/>
    <s v="PreencherPnr-&gt;Não foi encontrado nenhum item veículo para o localizador CBSPVW"/>
    <x v="44"/>
    <d v="2024-06-04T12:20:00"/>
    <s v="OUTROS"/>
    <x v="0"/>
    <s v="TAGS DE DETALHAMENTO DO SERVIÇO NÃO ENVIADO NO XML"/>
    <s v="SISTEMA"/>
    <x v="0"/>
    <n v="46"/>
  </r>
  <r>
    <s v="GOVER"/>
    <s v="CONTABILIZAR"/>
    <x v="0"/>
    <n v="2635595"/>
    <x v="0"/>
    <d v="2024-04-22T17:17:00"/>
    <n v="4320780"/>
    <n v="4320780"/>
    <s v="PreencherPnr-&gt;Foi identificado um localizador sem código."/>
    <x v="45"/>
    <d v="2024-07-18T10:44:00"/>
    <s v="OUTROS"/>
    <x v="1"/>
    <s v="RLOC NÃO PREENCHIDO NA RESERVA"/>
    <s v="QUALIDADE DOS DADOS"/>
    <x v="0"/>
    <s v="COLUNA I"/>
  </r>
  <r>
    <s v="GOVER"/>
    <s v="CONTABILIZAR"/>
    <x v="0"/>
    <n v="2652138"/>
    <x v="0"/>
    <d v="2024-04-24T14:08:00"/>
    <n v="377055"/>
    <s v="IDNZGQ"/>
    <s v="PreencherPnr-&gt;Não foi encontrado nenhum item veículo para o localizador IDNZGQ"/>
    <x v="46"/>
    <d v="2024-07-18T10:40:00"/>
    <s v="OUTROS"/>
    <x v="0"/>
    <s v="TAGS DE DETALHAMENTO DO SERVIÇO NÃO ENVIADO NO XML"/>
    <s v="SISTEMA"/>
    <x v="0"/>
    <n v="46"/>
  </r>
  <r>
    <s v="GOVER"/>
    <s v="CONTABILIZAR"/>
    <x v="0"/>
    <n v="2659361"/>
    <x v="0"/>
    <d v="2024-05-06T11:48:00"/>
    <n v="377651"/>
    <s v="NRDLCF"/>
    <s v="PreencherPnr-&gt;Não foi encontrado nenhum item veículo para o localizador NRDLCF"/>
    <x v="47"/>
    <d v="2024-06-12T14:52:00"/>
    <s v="OUTROS"/>
    <x v="0"/>
    <s v="TAGS DE DETALHAMENTO DO SERVIÇO NÃO ENVIADO NO XML"/>
    <s v="SISTEMA"/>
    <x v="0"/>
    <n v="46"/>
  </r>
  <r>
    <s v="GOVER"/>
    <s v="CONTABILIZAR"/>
    <x v="0"/>
    <n v="2665604"/>
    <x v="0"/>
    <d v="2024-05-08T14:28:00"/>
    <n v="4330632"/>
    <n v="4330632"/>
    <s v="PreencherPnr-&gt;Foi identificado um localizador sem código."/>
    <x v="48"/>
    <d v="2024-07-18T10:44:00"/>
    <s v="OUTROS"/>
    <x v="1"/>
    <s v="RLOC NÃO PREENCHIDO NA RESERVA"/>
    <s v="QUALIDADE DOS DADOS"/>
    <x v="0"/>
    <s v="COLUNA I"/>
  </r>
  <r>
    <s v="GOVER"/>
    <s v="CONTABILIZAR"/>
    <x v="0"/>
    <n v="2668656"/>
    <x v="0"/>
    <d v="2024-05-09T16:46:00"/>
    <n v="4331646"/>
    <n v="4331646"/>
    <s v="PreencherPnr-&gt;Foi identificado um localizador sem código."/>
    <x v="49"/>
    <m/>
    <s v="OUTROS"/>
    <x v="1"/>
    <s v="RLOC NÃO PREENCHIDO NA RESERVA"/>
    <s v="QUALIDADE DOS DADOS"/>
    <x v="0"/>
    <s v="COLUNA I"/>
  </r>
  <r>
    <s v="GOVER"/>
    <s v="CONTABILIZAR"/>
    <x v="0"/>
    <n v="2687779"/>
    <x v="0"/>
    <d v="2024-05-20T14:10:00"/>
    <n v="378468"/>
    <s v="DRNNDX"/>
    <s v="PreencherPnr-&gt;Não foi encontrado nenhum item veículo para o localizador DRNNDX"/>
    <x v="50"/>
    <d v="2024-06-12T14:53:00"/>
    <s v="OUTROS"/>
    <x v="0"/>
    <s v="TAGS DE DETALHAMENTO DO SERVIÇO NÃO ENVIADO NO XML"/>
    <s v="SISTEMA"/>
    <x v="0"/>
    <n v="46"/>
  </r>
  <r>
    <s v="GOVER"/>
    <s v="CONTABILIZAR"/>
    <x v="0"/>
    <n v="2690939"/>
    <x v="0"/>
    <d v="2024-05-21T15:10:00"/>
    <n v="378581"/>
    <s v="MREZSO"/>
    <s v="PreencherPnr-&gt;Não foi encontrado nenhum item veículo para o localizador MREZSO"/>
    <x v="51"/>
    <d v="2024-07-18T10:40:00"/>
    <s v="OUTROS"/>
    <x v="0"/>
    <s v="TAGS DE DETALHAMENTO DO SERVIÇO NÃO ENVIADO NO XML"/>
    <s v="SISTEMA"/>
    <x v="0"/>
    <n v="46"/>
  </r>
  <r>
    <s v="GOVER"/>
    <s v="CONTABILIZAR"/>
    <x v="0"/>
    <n v="2690940"/>
    <x v="0"/>
    <d v="2024-05-21T15:13:00"/>
    <n v="378584"/>
    <s v="GECASW"/>
    <s v="PreencherPnr-&gt;Não foi encontrado nenhum item veículo para o localizador GECASW"/>
    <x v="51"/>
    <d v="2024-07-18T10:40:00"/>
    <s v="OUTROS"/>
    <x v="0"/>
    <s v="TAGS DE DETALHAMENTO DO SERVIÇO NÃO ENVIADO NO XML"/>
    <s v="SISTEMA"/>
    <x v="0"/>
    <n v="46"/>
  </r>
  <r>
    <s v="GOVER"/>
    <s v="CONTABILIZAR"/>
    <x v="0"/>
    <n v="2691022"/>
    <x v="0"/>
    <d v="2024-05-21T15:24:00"/>
    <n v="378585"/>
    <s v="AIDQYR"/>
    <s v="PreencherPnr-&gt;Não foi encontrado nenhum item veículo para o localizador AIDQYR"/>
    <x v="52"/>
    <d v="2024-07-18T10:40:00"/>
    <s v="OUTROS"/>
    <x v="0"/>
    <s v="TAGS DE DETALHAMENTO DO SERVIÇO NÃO ENVIADO NO XML"/>
    <s v="SISTEMA"/>
    <x v="0"/>
    <n v="46"/>
  </r>
  <r>
    <s v="GOVER"/>
    <s v="CONTABILIZAR"/>
    <x v="0"/>
    <n v="2708785"/>
    <x v="0"/>
    <d v="2024-05-29T14:23:00"/>
    <n v="379112"/>
    <s v="GDS"/>
    <s v="PreencherPnr-&gt;Não foi encontrado nenhum item veículo para o localizador GDS"/>
    <x v="53"/>
    <d v="2024-07-18T10:40:00"/>
    <s v="OUTROS"/>
    <x v="0"/>
    <s v="TAGS DE DETALHAMENTO DO SERVIÇO NÃO ENVIADO NO XML"/>
    <s v="SISTEMA"/>
    <x v="0"/>
    <n v="46"/>
  </r>
  <r>
    <s v="GOVER"/>
    <s v="CONTABILIZAR"/>
    <x v="0"/>
    <n v="2714614"/>
    <x v="0"/>
    <d v="2024-06-03T17:35:00"/>
    <n v="4344911"/>
    <n v="4344911"/>
    <s v="PreencherPnr-&gt;Foi identificado um localizador sem código."/>
    <x v="54"/>
    <d v="2024-07-18T10:44:00"/>
    <s v="OUTROS"/>
    <x v="1"/>
    <s v="RLOC NÃO PREENCHIDO NA RESERVA"/>
    <s v="QUALIDADE DOS DADOS"/>
    <x v="0"/>
    <s v="COLUNA I"/>
  </r>
  <r>
    <s v="GOVER"/>
    <s v="CONTABILIZAR"/>
    <x v="0"/>
    <n v="2716446"/>
    <x v="0"/>
    <d v="2024-06-04T10:18:00"/>
    <n v="4345248"/>
    <s v="AVBDQZHNU"/>
    <s v="PreencherPnr-&gt;Não foi encontrado nenhum item veículo para o localizador AVBDQZHNU"/>
    <x v="55"/>
    <d v="2024-07-18T10:44:00"/>
    <s v="OUTROS"/>
    <x v="0"/>
    <s v="TAGS DE DETALHAMENTO DO SERVIÇO NÃO ENVIADO NO XML"/>
    <s v="SISTEMA"/>
    <x v="0"/>
    <n v="46"/>
  </r>
  <r>
    <s v="GOVER"/>
    <s v="CONTABILIZAR"/>
    <x v="0"/>
    <n v="2716447"/>
    <x v="0"/>
    <d v="2024-06-04T10:18:00"/>
    <n v="4345248"/>
    <s v="H4345248"/>
    <s v="PreencherPnr-&gt;Não foi encontrado nenhum item veículo para o localizador H4345248"/>
    <x v="55"/>
    <d v="2024-07-18T10:44:00"/>
    <s v="OUTROS"/>
    <x v="0"/>
    <s v="TAGS DE DETALHAMENTO DO SERVIÇO NÃO ENVIADO NO XML"/>
    <s v="SISTEMA"/>
    <x v="0"/>
    <n v="46"/>
  </r>
  <r>
    <s v="GOVER"/>
    <s v="CONTABILIZAR"/>
    <x v="0"/>
    <n v="2718856"/>
    <x v="0"/>
    <d v="2024-06-04T10:34:00"/>
    <n v="4345267"/>
    <n v="4345267"/>
    <s v="PreencherPnr-&gt;Foi identificado um localizador sem código."/>
    <x v="56"/>
    <m/>
    <s v="OUTROS"/>
    <x v="1"/>
    <s v="RLOC NÃO PREENCHIDO NA RESERVA"/>
    <s v="QUALIDADE DOS DADOS"/>
    <x v="0"/>
    <s v="COLUNA I"/>
  </r>
  <r>
    <s v="GOVER"/>
    <s v="CONTABILIZAR"/>
    <x v="0"/>
    <n v="2724955"/>
    <x v="0"/>
    <d v="2024-06-06T15:56:00"/>
    <n v="379459"/>
    <s v="HRXSNM"/>
    <s v="PreencherPnr-&gt;Não foi encontrado nenhum item veículo para o localizador HRXSNM"/>
    <x v="57"/>
    <d v="2024-06-12T14:53:00"/>
    <s v="OUTROS"/>
    <x v="0"/>
    <s v="TAGS DE DETALHAMENTO DO SERVIÇO NÃO ENVIADO NO XML"/>
    <s v="SISTEMA"/>
    <x v="0"/>
    <n v="46"/>
  </r>
  <r>
    <s v="GOVER"/>
    <s v="CONTABILIZAR"/>
    <x v="0"/>
    <n v="2731229"/>
    <x v="0"/>
    <d v="2024-06-10T17:18:00"/>
    <n v="4349507"/>
    <n v="4349507"/>
    <s v="PreencherPnr-&gt;Foi identificado um localizador sem código."/>
    <x v="58"/>
    <d v="2024-07-18T10:44:00"/>
    <s v="OUTROS"/>
    <x v="1"/>
    <s v="RLOC NÃO PREENCHIDO NA RESERVA"/>
    <s v="QUALIDADE DOS DADOS"/>
    <x v="0"/>
    <s v="COLUNA I"/>
  </r>
  <r>
    <s v="RESOLVIDO"/>
    <m/>
    <x v="1"/>
    <n v="2742889"/>
    <x v="2"/>
    <d v="2025-05-13T07:29:00"/>
    <s v="MLGVIUT"/>
    <s v="MLGVIU"/>
    <s v="ConverterPagamentosRemark-&gt;String was not recognized as a valid DateTime.&lt;-MontarAccountinsHotel&lt;-ProcessarHotel&lt;-ProcessarItemFila[b]"/>
    <x v="59"/>
    <d v="2025-05-13T09:31:00"/>
    <s v="FORMA PAGTO/RECTO"/>
    <x v="3"/>
    <s v="REMARK U*INFOPAG-CC/REC-CC PREENCHIDO INCORRETAMENTE"/>
    <s v="QUALIDADE DOS DADOS"/>
    <x v="1"/>
    <s v="COLUNA I"/>
  </r>
  <r>
    <s v="GOVER"/>
    <s v="CONTABILIZAR"/>
    <x v="0"/>
    <n v="2752710"/>
    <x v="0"/>
    <d v="2024-06-20T14:16:00"/>
    <n v="380257"/>
    <s v="AZPSSY"/>
    <s v="PreencherPnr-&gt;Não foi encontrado nenhum item veículo para o localizador AZPSSY"/>
    <x v="60"/>
    <d v="2024-07-18T10:40:00"/>
    <s v="OUTROS"/>
    <x v="0"/>
    <s v="TAGS DE DETALHAMENTO DO SERVIÇO NÃO ENVIADO NO XML"/>
    <e v="#N/A"/>
    <x v="0"/>
    <n v="46"/>
  </r>
  <r>
    <s v="GOVER"/>
    <s v="CONTABILIZAR"/>
    <x v="0"/>
    <n v="2759573"/>
    <x v="0"/>
    <d v="2024-06-24T18:49:00"/>
    <n v="4358782"/>
    <n v="4358782"/>
    <s v="PreencherPnr-&gt;Foi identificado um localizador sem código."/>
    <x v="61"/>
    <m/>
    <s v="OUTROS"/>
    <x v="1"/>
    <s v="RLOC NÃO PREENCHIDO NA RESERVA"/>
    <s v="QUALIDADE DOS DADOS"/>
    <x v="0"/>
    <s v="COLUNA I"/>
  </r>
  <r>
    <s v="GOVER"/>
    <s v="CONTABILIZAR"/>
    <x v="0"/>
    <n v="2763711"/>
    <x v="0"/>
    <d v="2024-06-26T10:12:00"/>
    <n v="4359811"/>
    <n v="4359811"/>
    <s v="PreencherPnr-&gt;Foi identificado um localizador sem código."/>
    <x v="62"/>
    <d v="2024-07-18T10:44:00"/>
    <s v="OUTROS"/>
    <x v="1"/>
    <s v="RLOC NÃO PREENCHIDO NA RESERVA"/>
    <s v="QUALIDADE DOS DADOS"/>
    <x v="0"/>
    <s v="COLUNA I"/>
  </r>
  <r>
    <s v="GOVER"/>
    <s v="CONTABILIZAR"/>
    <x v="0"/>
    <n v="2766772"/>
    <x v="0"/>
    <d v="2024-06-27T11:05:00"/>
    <n v="4360599"/>
    <n v="4360599"/>
    <s v="PreencherPnr-&gt;Foi identificado um localizador sem código."/>
    <x v="63"/>
    <d v="2024-07-18T10:44:00"/>
    <s v="OUTROS"/>
    <x v="1"/>
    <s v="RLOC NÃO PREENCHIDO NA RESERVA"/>
    <s v="QUALIDADE DOS DADOS"/>
    <x v="0"/>
    <s v="COLUNA I"/>
  </r>
  <r>
    <s v="GOVER"/>
    <m/>
    <x v="2"/>
    <n v="2789838"/>
    <x v="0"/>
    <d v="2024-07-08T09:36:00"/>
    <n v="4366908"/>
    <s v="ELTWWD"/>
    <s v="PreencherPnr-&gt;Não foi encontrado nenhum item aéreo para o localizador ELTWWD"/>
    <x v="64"/>
    <m/>
    <s v="OUTROS"/>
    <x v="4"/>
    <s v="TAGS DE DETALHAMENTO DO SERVIÇO NÃO ENVIADO NO XML"/>
    <s v="SISTEMA"/>
    <x v="0"/>
    <s v="COLUNA I"/>
  </r>
  <r>
    <s v="GOVER"/>
    <m/>
    <x v="2"/>
    <n v="2789841"/>
    <x v="0"/>
    <d v="2024-07-08T09:41:00"/>
    <n v="4366919"/>
    <s v="UM4IWT"/>
    <s v="PreencherPnr-&gt;Não foi encontrado nenhum item aéreo para o localizador UM4IWT"/>
    <x v="64"/>
    <d v="2024-07-13T23:55:00"/>
    <s v="OUTROS"/>
    <x v="4"/>
    <s v="TAGS DE DETALHAMENTO DO SERVIÇO NÃO ENVIADO NO XML"/>
    <s v="SISTEMA"/>
    <x v="0"/>
    <s v="COLUNA I"/>
  </r>
  <r>
    <s v="GOVER"/>
    <s v="CONTABILIZAR"/>
    <x v="0"/>
    <n v="2800423"/>
    <x v="0"/>
    <d v="2024-07-15T09:55:00"/>
    <n v="381325"/>
    <s v="MXFLFG"/>
    <s v="PreencherPnr-&gt;Não foi encontrado nenhum item veículo para o localizador MXFLFG"/>
    <x v="65"/>
    <d v="2024-07-18T10:40:00"/>
    <s v="OUTROS"/>
    <x v="0"/>
    <s v="TAGS DE DETALHAMENTO DO SERVIÇO NÃO ENVIADO NO XML"/>
    <e v="#N/A"/>
    <x v="0"/>
    <n v="46"/>
  </r>
  <r>
    <s v="GOVER"/>
    <s v="CONTABILIZAR"/>
    <x v="0"/>
    <n v="2800841"/>
    <x v="0"/>
    <d v="2024-07-15T14:08:00"/>
    <n v="381348"/>
    <s v="FALHIQ"/>
    <s v="PreencherPnr-&gt;Não foi encontrado nenhum item veículo para o localizador FALHIQ"/>
    <x v="66"/>
    <d v="2024-07-18T10:40:00"/>
    <s v="OUTROS"/>
    <x v="0"/>
    <s v="TAGS DE DETALHAMENTO DO SERVIÇO NÃO ENVIADO NO XML"/>
    <s v="SISTEMA"/>
    <x v="0"/>
    <n v="46"/>
  </r>
  <r>
    <s v="GOVER"/>
    <s v="CONTABILIZAR"/>
    <x v="0"/>
    <n v="2812539"/>
    <x v="0"/>
    <d v="2024-07-19T11:21:00"/>
    <n v="4374480"/>
    <n v="4374480"/>
    <s v="PreencherPnr-&gt;Foi identificado um localizador sem código."/>
    <x v="67"/>
    <m/>
    <s v="OUTROS"/>
    <x v="1"/>
    <s v="RLOC NÃO PREENCHIDO NA RESERVA"/>
    <s v="QUALIDADE DOS DADOS"/>
    <x v="0"/>
    <s v="COLUNA I"/>
  </r>
  <r>
    <s v="GOVER"/>
    <s v="CONTABILIZAR"/>
    <x v="0"/>
    <n v="2814798"/>
    <x v="0"/>
    <d v="2024-07-19T16:33:00"/>
    <n v="4374784"/>
    <s v="localiza"/>
    <s v="PreencherPnr-&gt;Não foi encontrado nenhum item veículo para o localizador localiza"/>
    <x v="68"/>
    <d v="2024-07-30T08:36:00"/>
    <s v="OUTROS"/>
    <x v="0"/>
    <s v="TAGS DE DETALHAMENTO DO SERVIÇO NÃO ENVIADO NO XML"/>
    <e v="#N/A"/>
    <x v="0"/>
    <n v="46"/>
  </r>
  <r>
    <s v="GOVER"/>
    <s v="CONTABILIZAR"/>
    <x v="0"/>
    <n v="2818447"/>
    <x v="0"/>
    <d v="2024-07-23T15:05:00"/>
    <n v="4376485"/>
    <n v="4376485"/>
    <s v="PreencherPnr-&gt;Foi identificado um localizador sem código."/>
    <x v="69"/>
    <d v="2024-07-30T08:36:00"/>
    <s v="OUTROS"/>
    <x v="1"/>
    <s v="RLOC NÃO PREENCHIDO NA RESERVA"/>
    <s v="QUALIDADE DOS DADOS"/>
    <x v="0"/>
    <s v="COLUNA I"/>
  </r>
  <r>
    <s v="GOVER"/>
    <s v="CONTABILIZAR"/>
    <x v="0"/>
    <n v="2821392"/>
    <x v="0"/>
    <d v="2024-07-23T17:59:00"/>
    <n v="4376739"/>
    <s v="FAOJQC"/>
    <s v="PreencherPnr-&gt;Não foi encontrado nenhum item veículo para o localizador FAOJQC"/>
    <x v="70"/>
    <d v="2024-07-30T08:36:00"/>
    <s v="OUTROS"/>
    <x v="0"/>
    <s v="TAGS DE DETALHAMENTO DO SERVIÇO NÃO ENVIADO NO XML"/>
    <e v="#N/A"/>
    <x v="0"/>
    <n v="46"/>
  </r>
  <r>
    <s v="GOVER"/>
    <s v="CONTABILIZAR"/>
    <x v="0"/>
    <n v="2823422"/>
    <x v="0"/>
    <d v="2024-07-04T09:15:00"/>
    <n v="4365069"/>
    <n v="4365069"/>
    <s v="PreencherPnr-&gt;Foi identificado um localizador sem código."/>
    <x v="71"/>
    <d v="2024-07-30T08:36:00"/>
    <s v="OUTROS"/>
    <x v="1"/>
    <s v="RLOC NÃO PREENCHIDO NA RESERVA"/>
    <s v="QUALIDADE DOS DADOS"/>
    <x v="0"/>
    <s v="COLUNA I"/>
  </r>
  <r>
    <s v="GOVER"/>
    <m/>
    <x v="2"/>
    <n v="2834252"/>
    <x v="0"/>
    <d v="2024-07-26T08:58:00"/>
    <n v="382020"/>
    <s v="174502243-49481"/>
    <s v="PreencherPnr-&gt;'long' does not contain a definition for 'toString2'"/>
    <x v="72"/>
    <m/>
    <s v="OUTROS"/>
    <x v="5"/>
    <s v="TAG &lt;CARTAOVALIDADE&gt; NÃO ENVIADA"/>
    <s v="SISTEMA"/>
    <x v="0"/>
    <s v="COLUNA I"/>
  </r>
  <r>
    <s v="GOVER"/>
    <m/>
    <x v="2"/>
    <n v="2838186"/>
    <x v="0"/>
    <d v="2024-08-01T10:34:00"/>
    <n v="4381568"/>
    <s v="OVPAIQ"/>
    <s v="PreencherPnr-&gt;Não foi encontrado nenhum item veículo para o localizador OVPAIQ"/>
    <x v="73"/>
    <d v="2024-08-07T09:59:00"/>
    <s v="OUTROS"/>
    <x v="0"/>
    <s v="TAGS DE DETALHAMENTO DO SERVIÇO NÃO ENVIADO NO XML"/>
    <s v="SISTEMA"/>
    <x v="0"/>
    <n v="46"/>
  </r>
  <r>
    <s v="GOVER"/>
    <m/>
    <x v="2"/>
    <n v="2839290"/>
    <x v="0"/>
    <d v="2024-08-01T16:10:00"/>
    <n v="4382026"/>
    <s v="IPTOUU"/>
    <s v="PreencherPnr-&gt;Não foi encontrado nenhum item veículo para o localizador IPTOUU"/>
    <x v="74"/>
    <d v="2024-08-07T09:59:00"/>
    <s v="OUTROS"/>
    <x v="0"/>
    <s v="TAGS DE DETALHAMENTO DO SERVIÇO NÃO ENVIADO NO XML"/>
    <s v="SISTEMA"/>
    <x v="0"/>
    <n v="46"/>
  </r>
  <r>
    <s v="GOVER"/>
    <m/>
    <x v="2"/>
    <n v="2846019"/>
    <x v="0"/>
    <d v="2024-07-29T14:52:00"/>
    <n v="4379492"/>
    <n v="4379492"/>
    <s v="PreencherPnr-&gt;'long' does not contain a definition for 'toString2'"/>
    <x v="75"/>
    <d v="2024-08-07T09:59:00"/>
    <s v="OUTROS"/>
    <x v="5"/>
    <s v="TAG &lt;CARTAOVALIDADE&gt; NÃO ENVIADA"/>
    <s v="SISTEMA"/>
    <x v="0"/>
    <s v="COLUNA I"/>
  </r>
  <r>
    <s v="GOVER"/>
    <m/>
    <x v="2"/>
    <n v="2846211"/>
    <x v="0"/>
    <d v="2024-08-05T17:34:00"/>
    <n v="4383947"/>
    <s v="SUQABQ"/>
    <s v="PreencherPnr-&gt;Não foi encontrado nenhum item veículo para o localizador SUQABQ"/>
    <x v="76"/>
    <d v="2024-08-07T09:59:00"/>
    <s v="OUTROS"/>
    <x v="0"/>
    <s v="TAGS DE DETALHAMENTO DO SERVIÇO NÃO ENVIADO NO XML"/>
    <s v="SISTEMA"/>
    <x v="0"/>
    <n v="46"/>
  </r>
  <r>
    <s v="GOVER"/>
    <m/>
    <x v="2"/>
    <n v="2847568"/>
    <x v="0"/>
    <d v="2024-08-05T13:17:00"/>
    <n v="4383635"/>
    <s v="HSOASG"/>
    <s v="PreencherPnr-&gt;Não foi encontrado nenhum item veículo para o localizador HSOASG"/>
    <x v="77"/>
    <d v="2024-08-07T09:59:00"/>
    <s v="OUTROS"/>
    <x v="0"/>
    <s v="TAGS DE DETALHAMENTO DO SERVIÇO NÃO ENVIADO NO XML"/>
    <s v="SISTEMA"/>
    <x v="0"/>
    <n v="46"/>
  </r>
  <r>
    <s v="GOVER"/>
    <m/>
    <x v="2"/>
    <n v="2854556"/>
    <x v="0"/>
    <d v="2023-10-11T16:32:00"/>
    <n v="367886"/>
    <s v="GXGNAJ"/>
    <s v="PreencherPnr-&gt;Não foi encontrado nenhum item veículo para o localizador GXGNAJ"/>
    <x v="78"/>
    <d v="2024-08-16T16:49:00"/>
    <s v="OUTROS"/>
    <x v="0"/>
    <s v="TAGS DE DETALHAMENTO DO SERVIÇO NÃO ENVIADO NO XML"/>
    <s v="SISTEMA"/>
    <x v="0"/>
    <n v="46"/>
  </r>
  <r>
    <s v="GOVER"/>
    <m/>
    <x v="2"/>
    <n v="2854557"/>
    <x v="0"/>
    <d v="2023-10-18T14:40:00"/>
    <n v="368105"/>
    <s v="DJMMUF"/>
    <s v="PreencherPnr-&gt;Não foi encontrado nenhum item veículo para o localizador DJMMUF"/>
    <x v="78"/>
    <d v="2024-08-16T16:49:00"/>
    <s v="OUTROS"/>
    <x v="0"/>
    <s v="TAGS DE DETALHAMENTO DO SERVIÇO NÃO ENVIADO NO XML"/>
    <s v="SISTEMA"/>
    <x v="0"/>
    <n v="46"/>
  </r>
  <r>
    <s v="GOVER"/>
    <m/>
    <x v="2"/>
    <n v="2854558"/>
    <x v="0"/>
    <d v="2023-10-18T14:42:00"/>
    <n v="368106"/>
    <s v="JGBTVX"/>
    <s v="PreencherPnr-&gt;Não foi encontrado nenhum item veículo para o localizador JGBTVX"/>
    <x v="78"/>
    <d v="2024-08-16T16:49:00"/>
    <s v="OUTROS"/>
    <x v="0"/>
    <s v="TAGS DE DETALHAMENTO DO SERVIÇO NÃO ENVIADO NO XML"/>
    <s v="SISTEMA"/>
    <x v="0"/>
    <n v="46"/>
  </r>
  <r>
    <s v="GOVER"/>
    <m/>
    <x v="2"/>
    <n v="2854559"/>
    <x v="0"/>
    <d v="2023-10-18T14:44:00"/>
    <n v="368107"/>
    <s v="HUHXPC"/>
    <s v="PreencherPnr-&gt;Não foi encontrado nenhum item veículo para o localizador HUHXPC"/>
    <x v="78"/>
    <d v="2024-08-16T16:49:00"/>
    <s v="OUTROS"/>
    <x v="0"/>
    <s v="TAGS DE DETALHAMENTO DO SERVIÇO NÃO ENVIADO NO XML"/>
    <s v="SISTEMA"/>
    <x v="0"/>
    <n v="46"/>
  </r>
  <r>
    <s v="GOVER"/>
    <m/>
    <x v="2"/>
    <n v="2854560"/>
    <x v="0"/>
    <d v="2023-10-18T14:51:00"/>
    <n v="368108"/>
    <s v="IXQPBK"/>
    <s v="PreencherPnr-&gt;Não foi encontrado nenhum item veículo para o localizador IXQPBK"/>
    <x v="78"/>
    <d v="2024-08-16T16:49:00"/>
    <s v="OUTROS"/>
    <x v="0"/>
    <s v="TAGS DE DETALHAMENTO DO SERVIÇO NÃO ENVIADO NO XML"/>
    <s v="SISTEMA"/>
    <x v="0"/>
    <n v="46"/>
  </r>
  <r>
    <s v="GOVER"/>
    <m/>
    <x v="2"/>
    <n v="2854561"/>
    <x v="0"/>
    <d v="2023-11-05T10:32:00"/>
    <n v="368816"/>
    <s v="NWPLQE"/>
    <s v="PreencherPnr-&gt;Não foi encontrado nenhum item veículo para o localizador NWPLQE"/>
    <x v="78"/>
    <d v="2024-08-16T16:49:00"/>
    <s v="OUTROS"/>
    <x v="0"/>
    <s v="TAGS DE DETALHAMENTO DO SERVIÇO NÃO ENVIADO NO XML"/>
    <s v="SISTEMA"/>
    <x v="0"/>
    <n v="46"/>
  </r>
  <r>
    <s v="GOVER"/>
    <m/>
    <x v="2"/>
    <n v="2854562"/>
    <x v="0"/>
    <d v="2023-12-08T12:34:00"/>
    <n v="370566"/>
    <s v="ILHTJX"/>
    <s v="PreencherPnr-&gt;Não foi encontrado nenhum item veículo para o localizador ILHTJX"/>
    <x v="78"/>
    <d v="2024-08-16T16:49:00"/>
    <s v="OUTROS"/>
    <x v="0"/>
    <s v="TAGS DE DETALHAMENTO DO SERVIÇO NÃO ENVIADO NO XML"/>
    <s v="SISTEMA"/>
    <x v="0"/>
    <n v="46"/>
  </r>
  <r>
    <s v="GOVER"/>
    <m/>
    <x v="2"/>
    <n v="2854564"/>
    <x v="0"/>
    <d v="2023-04-10T19:13:00"/>
    <n v="4063560"/>
    <s v="AV57MEW594A"/>
    <s v="PreencherPnr-&gt;Não foi encontrado nenhum item veículo para o localizador AV57MEW594A"/>
    <x v="79"/>
    <d v="2024-08-16T16:42:00"/>
    <s v="OUTROS"/>
    <x v="0"/>
    <s v="TAGS DE DETALHAMENTO DO SERVIÇO NÃO ENVIADO NO XML"/>
    <s v="SISTEMA"/>
    <x v="0"/>
    <n v="46"/>
  </r>
  <r>
    <s v="GOVER"/>
    <m/>
    <x v="2"/>
    <n v="2854573"/>
    <x v="0"/>
    <d v="2023-10-06T17:19:00"/>
    <n v="4200769"/>
    <s v="LOCALIZA"/>
    <s v="PreencherPnr-&gt;Não foi encontrado nenhum item veículo para o localizador LOCALIZA"/>
    <x v="79"/>
    <d v="2024-08-16T16:42:00"/>
    <s v="OUTROS"/>
    <x v="0"/>
    <s v="TAGS DE DETALHAMENTO DO SERVIÇO NÃO ENVIADO NO XML"/>
    <s v="SISTEMA"/>
    <x v="0"/>
    <n v="46"/>
  </r>
  <r>
    <s v="GOVER"/>
    <m/>
    <x v="2"/>
    <n v="2854581"/>
    <x v="0"/>
    <d v="2023-10-26T08:35:00"/>
    <n v="4213500"/>
    <s v="MV1MG00DWIBR"/>
    <s v="PreencherPnr-&gt;Não foi encontrado nenhum item veículo para o localizador MV1MG00DWIBR"/>
    <x v="79"/>
    <d v="2024-08-16T16:42:00"/>
    <s v="OUTROS"/>
    <x v="0"/>
    <s v="TAGS DE DETALHAMENTO DO SERVIÇO NÃO ENVIADO NO XML"/>
    <s v="SISTEMA"/>
    <x v="0"/>
    <n v="46"/>
  </r>
  <r>
    <s v="GOVER"/>
    <m/>
    <x v="2"/>
    <n v="2854591"/>
    <x v="0"/>
    <d v="2023-11-18T13:26:00"/>
    <n v="4229746"/>
    <s v="C4229746"/>
    <s v="PreencherPnr-&gt;Não foi encontrado nenhum item veículo para o localizador C4229746"/>
    <x v="79"/>
    <d v="2024-08-16T16:42:00"/>
    <s v="OUTROS"/>
    <x v="0"/>
    <s v="TAGS DE DETALHAMENTO DO SERVIÇO NÃO ENVIADO NO XML"/>
    <s v="SISTEMA"/>
    <x v="0"/>
    <n v="46"/>
  </r>
  <r>
    <s v="GOVER"/>
    <m/>
    <x v="2"/>
    <n v="2854592"/>
    <x v="0"/>
    <d v="2023-11-19T20:54:00"/>
    <n v="4229798"/>
    <s v="MV1RRKSO6QBR"/>
    <s v="PreencherPnr-&gt;Não foi encontrado nenhum item veículo para o localizador MV1RRKSO6QBR"/>
    <x v="79"/>
    <d v="2024-08-16T16:42:00"/>
    <s v="OUTROS"/>
    <x v="0"/>
    <s v="TAGS DE DETALHAMENTO DO SERVIÇO NÃO ENVIADO NO XML"/>
    <s v="SISTEMA"/>
    <x v="0"/>
    <n v="46"/>
  </r>
  <r>
    <s v="GOVER"/>
    <m/>
    <x v="2"/>
    <n v="2854594"/>
    <x v="0"/>
    <d v="2023-11-29T21:52:00"/>
    <n v="4237398"/>
    <s v="AVB4PDW9TA"/>
    <s v="PreencherPnr-&gt;Não foi encontrado nenhum item veículo para o localizador AVB4PDW9TA"/>
    <x v="79"/>
    <d v="2024-08-16T16:42:00"/>
    <s v="OUTROS"/>
    <x v="0"/>
    <s v="TAGS DE DETALHAMENTO DO SERVIÇO NÃO ENVIADO NO XML"/>
    <s v="SISTEMA"/>
    <x v="0"/>
    <n v="46"/>
  </r>
  <r>
    <s v="GOVER"/>
    <m/>
    <x v="2"/>
    <n v="2854596"/>
    <x v="0"/>
    <d v="2023-12-12T10:18:00"/>
    <n v="4243779"/>
    <s v="-"/>
    <s v="PreencherPnr-&gt;Não foi encontrado nenhum item veículo para o localizador -"/>
    <x v="79"/>
    <d v="2024-08-16T16:42:00"/>
    <s v="OUTROS"/>
    <x v="0"/>
    <s v="TAGS DE DETALHAMENTO DO SERVIÇO NÃO ENVIADO NO XML"/>
    <s v="SISTEMA"/>
    <x v="0"/>
    <n v="46"/>
  </r>
  <r>
    <s v="GOVER"/>
    <m/>
    <x v="2"/>
    <n v="2854597"/>
    <x v="0"/>
    <d v="2023-12-20T11:24:00"/>
    <n v="4247783"/>
    <s v="MV1JPSIG9IBR"/>
    <s v="PreencherPnr-&gt;Não foi encontrado nenhum item veículo para o localizador MV1JPSIG9IBR"/>
    <x v="79"/>
    <d v="2024-08-16T16:42:00"/>
    <s v="OUTROS"/>
    <x v="0"/>
    <s v="TAGS DE DETALHAMENTO DO SERVIÇO NÃO ENVIADO NO XML"/>
    <s v="SISTEMA"/>
    <x v="0"/>
    <n v="46"/>
  </r>
  <r>
    <s v="GOVER"/>
    <m/>
    <x v="2"/>
    <n v="2854598"/>
    <x v="0"/>
    <d v="2023-12-20T11:24:00"/>
    <n v="4247783"/>
    <s v="SOMENTE-COTACAO"/>
    <s v="PreencherPnr-&gt;Não foi encontrado nenhum item veículo para o localizador SOMENTE-COTACAO"/>
    <x v="79"/>
    <d v="2024-08-16T16:42:00"/>
    <s v="OUTROS"/>
    <x v="0"/>
    <s v="TAGS DE DETALHAMENTO DO SERVIÇO NÃO ENVIADO NO XML"/>
    <s v="SISTEMA"/>
    <x v="0"/>
    <n v="46"/>
  </r>
  <r>
    <s v="GOVER"/>
    <m/>
    <x v="2"/>
    <n v="2859609"/>
    <x v="0"/>
    <d v="2024-08-12T08:48:00"/>
    <n v="4387358"/>
    <s v="IXPLRS"/>
    <s v="PreencherPnr-&gt;Não foi encontrado nenhum item veículo para o localizador IXPLRS"/>
    <x v="80"/>
    <d v="2024-08-13T15:40:00"/>
    <s v="OUTROS"/>
    <x v="0"/>
    <s v="TAGS DE DETALHAMENTO DO SERVIÇO NÃO ENVIADO NO XML"/>
    <s v="SISTEMA"/>
    <x v="0"/>
    <n v="46"/>
  </r>
  <r>
    <s v="GOVER"/>
    <m/>
    <x v="2"/>
    <n v="2863283"/>
    <x v="0"/>
    <d v="2024-08-13T13:23:00"/>
    <n v="4388663"/>
    <s v="WBJZBV"/>
    <s v="PreencherPnr-&gt;Não foi encontrado nenhum item veículo para o localizador WBJZBV"/>
    <x v="81"/>
    <d v="2024-08-13T15:40:00"/>
    <s v="OUTROS"/>
    <x v="0"/>
    <s v="TAGS DE DETALHAMENTO DO SERVIÇO NÃO ENVIADO NO XML"/>
    <s v="SISTEMA"/>
    <x v="0"/>
    <n v="46"/>
  </r>
  <r>
    <s v="GOVER"/>
    <m/>
    <x v="2"/>
    <n v="2868697"/>
    <x v="0"/>
    <d v="2024-08-15T11:35:00"/>
    <n v="383129"/>
    <s v="HQAXGW"/>
    <s v="PreencherPnr-&gt;Não foi encontrado nenhum item veículo para o localizador HQAXGW"/>
    <x v="82"/>
    <d v="2024-08-16T16:50:00"/>
    <s v="OUTROS"/>
    <x v="0"/>
    <s v="TAGS DE DETALHAMENTO DO SERVIÇO NÃO ENVIADO NO XML"/>
    <s v="SISTEMA"/>
    <x v="0"/>
    <n v="46"/>
  </r>
  <r>
    <s v="GOVER"/>
    <m/>
    <x v="2"/>
    <n v="2869610"/>
    <x v="0"/>
    <d v="2024-08-15T16:04:00"/>
    <n v="383159"/>
    <s v="174900754-13150"/>
    <s v="PreencherPnr-&gt;'long' does not contain a definition for 'toString2'"/>
    <x v="83"/>
    <d v="2024-08-16T16:50:00"/>
    <s v="OUTROS"/>
    <x v="5"/>
    <s v="TAG &lt;CARTAOVALIDADE&gt; NÃO ENVIADA"/>
    <s v="SISTEMA"/>
    <x v="0"/>
    <s v="COLUNA I"/>
  </r>
  <r>
    <s v="RESOLVIDO"/>
    <m/>
    <x v="1"/>
    <n v="2872904"/>
    <x v="0"/>
    <d v="2024-01-03T16:43:00"/>
    <n v="4252091"/>
    <s v="b2bsemdisponibilidade--hotelapenaspagamentodireto"/>
    <s v="ERRO: Cancelamento de Venda: Não há PNR no sistema para cancelar, venda não inserida!"/>
    <x v="84"/>
    <d v="2024-08-21T10:16:00"/>
    <s v="CANCELAMENTO "/>
    <x v="6"/>
    <s v="RESERVA CANCELADA NO OBT"/>
    <s v="SISTEMA"/>
    <x v="0"/>
    <s v="COLUNA I"/>
  </r>
  <r>
    <s v="GOVER"/>
    <m/>
    <x v="2"/>
    <n v="2879032"/>
    <x v="0"/>
    <d v="2024-03-07T16:33:00"/>
    <n v="374316"/>
    <s v="ARONVL"/>
    <s v="PreencherPnr-&gt;Não foi encontrado nenhum item veículo para o localizador ARONVL"/>
    <x v="85"/>
    <d v="2024-09-02T12:29:00"/>
    <s v="OUTROS"/>
    <x v="0"/>
    <s v="TAGS DE DETALHAMENTO DO SERVIÇO NÃO ENVIADO NO XML"/>
    <e v="#N/A"/>
    <x v="0"/>
    <n v="46"/>
  </r>
  <r>
    <s v="GOVER"/>
    <m/>
    <x v="2"/>
    <n v="2879046"/>
    <x v="0"/>
    <d v="2024-03-09T09:53:00"/>
    <n v="4292939"/>
    <s v="MV4H1FIAASPBR"/>
    <s v="PreencherPnr-&gt;Não foi encontrado nenhum item veículo para o localizador MV4H1FIAASPBR"/>
    <x v="86"/>
    <d v="2024-09-02T12:32:00"/>
    <s v="OUTROS"/>
    <x v="0"/>
    <s v="TAGS DE DETALHAMENTO DO SERVIÇO NÃO ENVIADO NO XML"/>
    <s v="SISTEMA"/>
    <x v="0"/>
    <n v="46"/>
  </r>
  <r>
    <s v="GOVER"/>
    <m/>
    <x v="2"/>
    <n v="2879047"/>
    <x v="0"/>
    <d v="2024-03-28T12:33:00"/>
    <n v="4305314"/>
    <s v="MV1OKA0QESBR"/>
    <s v="PreencherPnr-&gt;Não foi encontrado nenhum item veículo para o localizador MV1OKA0QESBR"/>
    <x v="86"/>
    <d v="2024-09-02T12:32:00"/>
    <s v="OUTROS"/>
    <x v="0"/>
    <s v="TAGS DE DETALHAMENTO DO SERVIÇO NÃO ENVIADO NO XML"/>
    <s v="SISTEMA"/>
    <x v="0"/>
    <n v="46"/>
  </r>
  <r>
    <s v="GOVER"/>
    <m/>
    <x v="2"/>
    <n v="2879049"/>
    <x v="0"/>
    <d v="2024-05-21T21:38:00"/>
    <n v="4338505"/>
    <s v="AVO2QML9JA"/>
    <s v="PreencherPnr-&gt;Não foi encontrado nenhum item veículo para o localizador AVO2QML9JA"/>
    <x v="86"/>
    <d v="2024-09-02T12:32:00"/>
    <s v="OUTROS"/>
    <x v="0"/>
    <s v="TAGS DE DETALHAMENTO DO SERVIÇO NÃO ENVIADO NO XML"/>
    <s v="SISTEMA"/>
    <x v="0"/>
    <n v="46"/>
  </r>
  <r>
    <s v="GOVER"/>
    <m/>
    <x v="2"/>
    <n v="2879051"/>
    <x v="0"/>
    <d v="2024-07-08T17:50:00"/>
    <n v="4367558"/>
    <s v="AQGVRD"/>
    <s v="PreencherPnr-&gt;Não foi encontrado nenhum item veículo para o localizador AQGVRD"/>
    <x v="86"/>
    <d v="2024-09-02T12:32:00"/>
    <s v="OUTROS"/>
    <x v="0"/>
    <s v="TAGS DE DETALHAMENTO DO SERVIÇO NÃO ENVIADO NO XML"/>
    <s v="SISTEMA"/>
    <x v="0"/>
    <n v="46"/>
  </r>
  <r>
    <s v="GOVER"/>
    <m/>
    <x v="2"/>
    <n v="2879052"/>
    <x v="0"/>
    <d v="2024-07-11T10:34:00"/>
    <n v="4369135"/>
    <s v="MQIRNV"/>
    <s v="PreencherPnr-&gt;Não foi encontrado nenhum item veículo para o localizador MQIRNV"/>
    <x v="86"/>
    <d v="2024-09-02T12:32:00"/>
    <s v="OUTROS"/>
    <x v="0"/>
    <s v="TAGS DE DETALHAMENTO DO SERVIÇO NÃO ENVIADO NO XML"/>
    <s v="SISTEMA"/>
    <x v="0"/>
    <n v="46"/>
  </r>
  <r>
    <s v="GOVER"/>
    <m/>
    <x v="2"/>
    <n v="2879053"/>
    <x v="0"/>
    <d v="2024-07-19T09:08:00"/>
    <n v="4374325"/>
    <s v="AVD5R353AMA"/>
    <s v="PreencherPnr-&gt;Não foi encontrado nenhum item veículo para o localizador AVD5R353AMA"/>
    <x v="86"/>
    <d v="2024-09-02T12:32:00"/>
    <s v="OUTROS"/>
    <x v="0"/>
    <s v="TAGS DE DETALHAMENTO DO SERVIÇO NÃO ENVIADO NO XML"/>
    <s v="SISTEMA"/>
    <x v="0"/>
    <n v="46"/>
  </r>
  <r>
    <s v="GOVER"/>
    <m/>
    <x v="2"/>
    <n v="2887445"/>
    <x v="0"/>
    <d v="2024-08-23T15:40:00"/>
    <n v="4395174"/>
    <s v="OYOYCS"/>
    <s v="PreencherPnr-&gt;Não foi encontrado nenhum item veículo para o localizador OYOYCS"/>
    <x v="87"/>
    <d v="2024-09-02T12:32:00"/>
    <s v="OUTROS"/>
    <x v="0"/>
    <s v="TAGS DE DETALHAMENTO DO SERVIÇO NÃO ENVIADO NO XML"/>
    <s v="SISTEMA"/>
    <x v="0"/>
    <n v="46"/>
  </r>
  <r>
    <s v="GOVER"/>
    <m/>
    <x v="2"/>
    <n v="2888649"/>
    <x v="0"/>
    <d v="2024-08-23T10:11:00"/>
    <n v="4394823"/>
    <n v="4394823"/>
    <s v="PreencherPnr-&gt;'long' does not contain a definition for 'toString2'"/>
    <x v="88"/>
    <d v="2024-09-02T12:32:00"/>
    <s v="OUTROS"/>
    <x v="5"/>
    <s v="TAG &lt;CARTAOVALIDADE&gt; NÃO ENVIADA"/>
    <s v="SISTEMA"/>
    <x v="0"/>
    <s v="COLUNA I"/>
  </r>
  <r>
    <s v="GOVER"/>
    <m/>
    <x v="2"/>
    <n v="2890862"/>
    <x v="0"/>
    <d v="2024-08-26T11:43:00"/>
    <n v="4395796"/>
    <s v="LOVZLX"/>
    <s v="PreencherPnr-&gt;Não foi encontrado nenhum item veículo para o localizador LOVZLX"/>
    <x v="89"/>
    <d v="2024-09-02T12:32:00"/>
    <s v="OUTROS"/>
    <x v="0"/>
    <s v="TAGS DE DETALHAMENTO DO SERVIÇO NÃO ENVIADO NO XML"/>
    <s v="SISTEMA"/>
    <x v="0"/>
    <n v="46"/>
  </r>
  <r>
    <s v="GOVER"/>
    <m/>
    <x v="2"/>
    <n v="2891632"/>
    <x v="0"/>
    <d v="2024-08-26T15:21:00"/>
    <n v="4396084"/>
    <s v="H4396084"/>
    <s v="PreencherPnr-&gt;'long' does not contain a definition for 'toString2'"/>
    <x v="90"/>
    <d v="2024-09-02T12:32:00"/>
    <s v="OUTROS"/>
    <x v="5"/>
    <s v="TAG &lt;CARTAOVALIDADE&gt; NÃO ENVIADA"/>
    <s v="SISTEMA"/>
    <x v="0"/>
    <s v="COLUNA I"/>
  </r>
  <r>
    <s v="GOVER"/>
    <m/>
    <x v="2"/>
    <n v="2891890"/>
    <x v="0"/>
    <d v="2024-08-26T14:31:00"/>
    <n v="4396009"/>
    <s v="h4396009"/>
    <s v="PreencherPnr-&gt;'long' does not contain a definition for 'toString2'"/>
    <x v="91"/>
    <d v="2024-09-02T12:32:00"/>
    <s v="OUTROS"/>
    <x v="5"/>
    <s v="TAG &lt;CARTAOVALIDADE&gt; NÃO ENVIADA"/>
    <s v="SISTEMA"/>
    <x v="0"/>
    <s v="COLUNA I"/>
  </r>
  <r>
    <s v="GOVER"/>
    <m/>
    <x v="2"/>
    <n v="2893114"/>
    <x v="0"/>
    <d v="2024-08-27T07:39:00"/>
    <n v="4396381"/>
    <s v="EXLVZJ"/>
    <s v="PreencherPnr-&gt;Não foi encontrado nenhum item veículo para o localizador EXLVZJ"/>
    <x v="92"/>
    <d v="2024-09-02T12:32:00"/>
    <s v="OUTROS"/>
    <x v="0"/>
    <s v="TAGS DE DETALHAMENTO DO SERVIÇO NÃO ENVIADO NO XML"/>
    <s v="SISTEMA"/>
    <x v="0"/>
    <n v="46"/>
  </r>
  <r>
    <s v="GOVER"/>
    <m/>
    <x v="2"/>
    <n v="2900068"/>
    <x v="0"/>
    <d v="2024-08-28T09:24:00"/>
    <n v="4397188"/>
    <s v="h4397188"/>
    <s v="PreencherPnr-&gt;'long' does not contain a definition for 'toString2'"/>
    <x v="93"/>
    <d v="2024-09-02T12:32:00"/>
    <s v="OUTROS"/>
    <x v="5"/>
    <s v="TAG &lt;CARTAOVALIDADE&gt; NÃO ENVIADA"/>
    <s v="SISTEMA"/>
    <x v="0"/>
    <s v="COLUNA I"/>
  </r>
  <r>
    <s v="GOVER"/>
    <m/>
    <x v="2"/>
    <n v="2905678"/>
    <x v="0"/>
    <d v="2024-09-02T09:32:00"/>
    <n v="4399420"/>
    <s v="ACPRGA"/>
    <s v="PreencherPnr-&gt;Não foi encontrado nenhum item veículo para o localizador ACPRGA"/>
    <x v="94"/>
    <d v="2024-09-02T12:32:00"/>
    <s v="OUTROS"/>
    <x v="0"/>
    <s v="TAGS DE DETALHAMENTO DO SERVIÇO NÃO ENVIADO NO XML"/>
    <s v="SISTEMA"/>
    <x v="0"/>
    <n v="46"/>
  </r>
  <r>
    <s v="GOVER"/>
    <m/>
    <x v="2"/>
    <n v="2905763"/>
    <x v="0"/>
    <d v="2024-09-02T10:18:00"/>
    <n v="4399491"/>
    <s v="AQYSGX"/>
    <s v="PreencherPnr-&gt;Não foi encontrado nenhum item veículo para o localizador AQYSGX"/>
    <x v="95"/>
    <d v="2024-09-02T12:32:00"/>
    <s v="OUTROS"/>
    <x v="0"/>
    <s v="TAGS DE DETALHAMENTO DO SERVIÇO NÃO ENVIADO NO XML"/>
    <s v="SISTEMA"/>
    <x v="0"/>
    <n v="46"/>
  </r>
  <r>
    <s v="GOVER"/>
    <m/>
    <x v="2"/>
    <n v="2906243"/>
    <x v="0"/>
    <d v="2024-09-02T13:28:00"/>
    <n v="4399730"/>
    <s v="OWDWAO"/>
    <s v="PreencherPnr-&gt;Não foi encontrado nenhum item veículo para o localizador OWDWAO"/>
    <x v="96"/>
    <d v="2024-09-05T14:29:00"/>
    <s v="OUTROS"/>
    <x v="0"/>
    <s v="TAGS DE DETALHAMENTO DO SERVIÇO NÃO ENVIADO NO XML"/>
    <s v="SISTEMA"/>
    <x v="0"/>
    <n v="46"/>
  </r>
  <r>
    <s v="GOVER"/>
    <m/>
    <x v="2"/>
    <n v="2909083"/>
    <x v="0"/>
    <d v="2024-08-30T11:24:00"/>
    <n v="4398712"/>
    <s v="H4398712"/>
    <s v="PreencherPnr-&gt;'long' does not contain a definition for 'toString2'"/>
    <x v="97"/>
    <d v="2024-09-05T14:29:00"/>
    <s v="OUTROS"/>
    <x v="5"/>
    <s v="TAG &lt;CARTAOVALIDADE&gt; NÃO ENVIADA"/>
    <s v="SISTEMA"/>
    <x v="0"/>
    <s v="COLUNA I"/>
  </r>
  <r>
    <s v="GOVER"/>
    <m/>
    <x v="2"/>
    <n v="2909265"/>
    <x v="0"/>
    <d v="2024-08-22T08:33:00"/>
    <n v="383530"/>
    <s v="H383530"/>
    <s v="PreencherPnr-&gt;'long' does not contain a definition for 'toString2'"/>
    <x v="98"/>
    <d v="2024-09-05T14:35:00"/>
    <s v="OUTROS"/>
    <x v="5"/>
    <s v="TAG &lt;CARTAOVALIDADE&gt; NÃO ENVIADA"/>
    <s v="SISTEMA"/>
    <x v="0"/>
    <s v="COLUNA I"/>
  </r>
  <r>
    <s v="GOVER"/>
    <m/>
    <x v="2"/>
    <n v="2913737"/>
    <x v="0"/>
    <d v="2024-09-04T15:01:00"/>
    <n v="4401586"/>
    <s v="HBJKKX"/>
    <s v="PreencherPnr-&gt;Não foi encontrado nenhum item veículo para o localizador HBJKKX"/>
    <x v="99"/>
    <d v="2024-09-05T14:29:00"/>
    <s v="OUTROS"/>
    <x v="0"/>
    <s v="TAGS DE DETALHAMENTO DO SERVIÇO NÃO ENVIADO NO XML"/>
    <s v="SISTEMA"/>
    <x v="0"/>
    <n v="46"/>
  </r>
  <r>
    <s v="GOVER"/>
    <m/>
    <x v="2"/>
    <n v="2914362"/>
    <x v="0"/>
    <d v="2024-09-02T10:25:00"/>
    <n v="4399504"/>
    <s v="H4399504"/>
    <s v="PreencherPnr-&gt;'long' does not contain a definition for 'toString2'"/>
    <x v="100"/>
    <d v="2024-09-05T14:29:00"/>
    <s v="OUTROS"/>
    <x v="5"/>
    <s v="TAG &lt;CARTAOVALIDADE&gt; NÃO ENVIADA"/>
    <s v="SISTEMA"/>
    <x v="0"/>
    <s v="COLUNA I"/>
  </r>
  <r>
    <s v="GOVER"/>
    <m/>
    <x v="2"/>
    <n v="2919931"/>
    <x v="0"/>
    <d v="2024-08-26T08:57:00"/>
    <n v="4395564"/>
    <s v="H4395564"/>
    <s v="PreencherPnr-&gt;'long' does not contain a definition for 'toString2'"/>
    <x v="101"/>
    <d v="2024-10-02T09:45:00"/>
    <s v="OUTROS"/>
    <x v="5"/>
    <s v="TAG &lt;CARTAOVALIDADE&gt; NÃO ENVIADA"/>
    <s v="SISTEMA"/>
    <x v="0"/>
    <s v="COLUNA I"/>
  </r>
  <r>
    <s v="GOVER"/>
    <m/>
    <x v="2"/>
    <n v="2920396"/>
    <x v="0"/>
    <d v="2024-09-04T10:29:00"/>
    <n v="4401280"/>
    <s v="H4401280"/>
    <s v="PreencherPnr-&gt;'long' does not contain a definition for 'toString2'"/>
    <x v="102"/>
    <d v="2024-09-10T14:37:00"/>
    <s v="OUTROS"/>
    <x v="5"/>
    <s v="TAG &lt;CARTAOVALIDADE&gt; NÃO ENVIADA"/>
    <s v="SISTEMA"/>
    <x v="0"/>
    <s v="COLUNA I"/>
  </r>
  <r>
    <s v="RESOLVIDO"/>
    <m/>
    <x v="1"/>
    <n v="2923465"/>
    <x v="1"/>
    <d v="2024-08-30T16:55:00"/>
    <n v="10659"/>
    <n v="10659"/>
    <s v="Atualizando PNR - Accountings Carro - Ocorreu o erro 'The DELETE statement conflicted with the REFERENCE constraint &quot;FK_4574_57066&quot;. The conflict occurred in database &quot;Corporativo&quot;, table &quot;dbo.VM_INFCTRL&quot;, column 'ACCOUNTING'."/>
    <x v="103"/>
    <m/>
    <m/>
    <x v="7"/>
    <s v="ERRO NA IMPORTAÇÃO/MODIFICAÇÃO DAS INFOMAÇÕES"/>
    <s v="SISTEMA"/>
    <x v="2"/>
    <s v="COLUNA I"/>
  </r>
  <r>
    <s v="GOVER"/>
    <m/>
    <x v="2"/>
    <n v="2924112"/>
    <x v="0"/>
    <d v="2024-09-09T15:11:00"/>
    <n v="4404323"/>
    <s v="WWZQJQ"/>
    <s v="PreencherPnr-&gt;Não foi encontrado nenhum item veículo para o localizador WWZQJQ"/>
    <x v="104"/>
    <d v="2024-09-10T14:37:00"/>
    <s v="OUTROS"/>
    <x v="0"/>
    <s v="TAGS DE DETALHAMENTO DO SERVIÇO NÃO ENVIADO NO XML"/>
    <s v="SISTEMA"/>
    <x v="0"/>
    <n v="46"/>
  </r>
  <r>
    <s v="GOVER"/>
    <m/>
    <x v="2"/>
    <n v="2926702"/>
    <x v="0"/>
    <d v="2024-09-05T10:55:00"/>
    <n v="4402198"/>
    <s v="h4402198"/>
    <s v="PreencherPnr-&gt;'long' does not contain a definition for 'toString2'"/>
    <x v="105"/>
    <d v="2024-09-10T14:37:00"/>
    <s v="OUTROS"/>
    <x v="5"/>
    <s v="TAG &lt;CARTAOVALIDADE&gt; NÃO ENVIADA"/>
    <s v="SISTEMA"/>
    <x v="0"/>
    <s v="COLUNA I"/>
  </r>
  <r>
    <s v="GOVER"/>
    <m/>
    <x v="2"/>
    <n v="2926708"/>
    <x v="0"/>
    <d v="2024-09-09T16:20:00"/>
    <n v="384375"/>
    <s v="175461272-15805"/>
    <s v="PreencherPnr-&gt;'long' does not contain a definition for 'toString2'"/>
    <x v="106"/>
    <d v="2024-09-10T14:44:00"/>
    <s v="OUTROS"/>
    <x v="5"/>
    <s v="TAG &lt;CARTAOVALIDADE&gt; NÃO ENVIADA"/>
    <s v="SISTEMA"/>
    <x v="0"/>
    <s v="COLUNA I"/>
  </r>
  <r>
    <s v="GOVER"/>
    <m/>
    <x v="2"/>
    <n v="2927653"/>
    <x v="0"/>
    <d v="2024-09-02T15:15:00"/>
    <n v="4399891"/>
    <s v="H4399891"/>
    <s v="PreencherPnr-&gt;'long' does not contain a definition for 'toString2'"/>
    <x v="107"/>
    <d v="2024-10-02T09:45:00"/>
    <s v="OUTROS"/>
    <x v="5"/>
    <s v="TAG &lt;CARTAOVALIDADE&gt; NÃO ENVIADA"/>
    <s v="SISTEMA"/>
    <x v="0"/>
    <s v="COLUNA I"/>
  </r>
  <r>
    <s v="GOVER"/>
    <m/>
    <x v="2"/>
    <n v="2929717"/>
    <x v="0"/>
    <d v="2024-09-11T08:28:00"/>
    <n v="4405567"/>
    <s v="ILDWFB"/>
    <s v="PreencherPnr-&gt;Não foi encontrado nenhum item veículo para o localizador ILDWFB"/>
    <x v="108"/>
    <d v="2024-10-02T09:45:00"/>
    <s v="OUTROS"/>
    <x v="0"/>
    <s v="TAGS DE DETALHAMENTO DO SERVIÇO NÃO ENVIADO NO XML"/>
    <s v="SISTEMA"/>
    <x v="0"/>
    <n v="46"/>
  </r>
  <r>
    <s v="GOVER"/>
    <m/>
    <x v="2"/>
    <n v="2937689"/>
    <x v="0"/>
    <d v="2024-09-13T15:43:00"/>
    <n v="384683"/>
    <s v="175591146-90021"/>
    <s v="PreencherPnr-&gt;'long' does not contain a definition for 'toString2'"/>
    <x v="109"/>
    <d v="2024-09-17T15:50:00"/>
    <s v="OUTROS"/>
    <x v="5"/>
    <s v="TAG &lt;CARTAOVALIDADE&gt; NÃO ENVIADA"/>
    <s v="SISTEMA"/>
    <x v="0"/>
    <s v="COLUNA I"/>
  </r>
  <r>
    <s v="GOVER"/>
    <m/>
    <x v="2"/>
    <n v="2939407"/>
    <x v="0"/>
    <d v="2024-09-16T11:33:00"/>
    <n v="4408103"/>
    <s v="NDVVPL"/>
    <s v="PreencherPnr-&gt;Não foi encontrado nenhum item veículo para o localizador NDVVPL"/>
    <x v="110"/>
    <d v="2024-10-02T09:45:00"/>
    <s v="OUTROS"/>
    <x v="0"/>
    <s v="TAGS DE DETALHAMENTO DO SERVIÇO NÃO ENVIADO NO XML"/>
    <s v="SISTEMA"/>
    <x v="0"/>
    <n v="46"/>
  </r>
  <r>
    <s v="GOVER"/>
    <m/>
    <x v="2"/>
    <n v="2939653"/>
    <x v="0"/>
    <d v="2024-09-16T08:55:00"/>
    <n v="4407869"/>
    <s v="H4407869"/>
    <s v="PreencherPnr-&gt;'long' does not contain a definition for 'toString2'"/>
    <x v="111"/>
    <d v="2024-10-02T09:45:00"/>
    <s v="OUTROS"/>
    <x v="5"/>
    <s v="TAG &lt;CARTAOVALIDADE&gt; NÃO ENVIADA"/>
    <s v="SISTEMA"/>
    <x v="0"/>
    <s v="COLUNA I"/>
  </r>
  <r>
    <s v="GOVER"/>
    <m/>
    <x v="2"/>
    <n v="2942981"/>
    <x v="0"/>
    <d v="2024-09-17T12:15:00"/>
    <n v="4408983"/>
    <s v="KTESTE3"/>
    <s v="PreencherPnr-&gt;Não foi encontrado nenhum item veículo para o localizador KTESTE3"/>
    <x v="112"/>
    <d v="2024-10-02T09:45:00"/>
    <s v="OUTROS"/>
    <x v="0"/>
    <s v="TAGS DE DETALHAMENTO DO SERVIÇO NÃO ENVIADO NO XML"/>
    <s v="SISTEMA"/>
    <x v="0"/>
    <n v="46"/>
  </r>
  <r>
    <s v="RESOLVIDO"/>
    <m/>
    <x v="1"/>
    <n v="2947315"/>
    <x v="1"/>
    <d v="2024-09-18T17:56:00"/>
    <n v="33760"/>
    <n v="33760"/>
    <s v="Preenchendo XML Serviço-&gt; Preenchendo XML-&gt; Montando accounting aereo 15-&gt;Input string was not in a correct format."/>
    <x v="113"/>
    <d v="2024-09-20T13:19:00"/>
    <s v="OUTROS"/>
    <x v="2"/>
    <s v="TEXTO FORA DO PADRÃO ACEITO NO CAMPO"/>
    <s v="INDEFINIDO"/>
    <x v="0"/>
    <s v="COLUNA I"/>
  </r>
  <r>
    <s v="GOVER"/>
    <m/>
    <x v="2"/>
    <n v="2954718"/>
    <x v="0"/>
    <d v="2024-09-23T10:56:00"/>
    <n v="4411773"/>
    <s v="IFHMQZ"/>
    <s v="PreencherPnr-&gt;Não foi encontrado nenhum item veículo para o localizador IFHMQZ"/>
    <x v="114"/>
    <d v="2024-10-02T09:45:00"/>
    <s v="OUTROS"/>
    <x v="0"/>
    <s v="TAGS DE DETALHAMENTO DO SERVIÇO NÃO ENVIADO NO XML"/>
    <e v="#N/A"/>
    <x v="0"/>
    <n v="46"/>
  </r>
  <r>
    <s v="GOVER"/>
    <m/>
    <x v="2"/>
    <n v="2958286"/>
    <x v="0"/>
    <d v="2024-09-24T13:39:00"/>
    <n v="4412872"/>
    <s v="NAVEHM"/>
    <s v="PreencherPnr-&gt;Não foi encontrado nenhum item veículo para o localizador NAVEHM"/>
    <x v="115"/>
    <d v="2024-10-02T09:45:00"/>
    <s v="OUTROS"/>
    <x v="0"/>
    <s v="TAGS DE DETALHAMENTO DO SERVIÇO NÃO ENVIADO NO XML"/>
    <s v="SISTEMA"/>
    <x v="0"/>
    <n v="46"/>
  </r>
  <r>
    <s v="GOVER"/>
    <m/>
    <x v="2"/>
    <n v="2967547"/>
    <x v="0"/>
    <d v="2024-09-23T11:36:00"/>
    <n v="4411855"/>
    <s v="COTACAO"/>
    <s v="PreencherPnr-&gt;Não foi encontrado nenhum item veículo para o localizador COTACAO"/>
    <x v="116"/>
    <m/>
    <s v="OUTROS"/>
    <x v="0"/>
    <s v="TAGS DE DETALHAMENTO DO SERVIÇO NÃO ENVIADO NO XML"/>
    <s v="SISTEMA"/>
    <x v="0"/>
    <n v="46"/>
  </r>
  <r>
    <s v="GOVER"/>
    <m/>
    <x v="2"/>
    <n v="2969137"/>
    <x v="0"/>
    <d v="2024-09-27T20:28:00"/>
    <n v="4415452"/>
    <s v="DHJLZK"/>
    <s v="PreencherPnr-&gt;Não foi encontrado nenhum item veículo para o localizador DHJLZK"/>
    <x v="117"/>
    <d v="2024-10-02T09:45:00"/>
    <s v="OUTROS"/>
    <x v="0"/>
    <s v="TAGS DE DETALHAMENTO DO SERVIÇO NÃO ENVIADO NO XML"/>
    <s v="SISTEMA"/>
    <x v="0"/>
    <n v="46"/>
  </r>
  <r>
    <s v="GOVER"/>
    <m/>
    <x v="2"/>
    <n v="2970042"/>
    <x v="0"/>
    <d v="2024-09-30T08:30:00"/>
    <n v="4415559"/>
    <s v="FKDCUC"/>
    <s v="PreencherPnr-&gt;Não foi encontrado nenhum item veículo para o localizador FKDCUC"/>
    <x v="118"/>
    <d v="2024-10-02T09:45:00"/>
    <s v="OUTROS"/>
    <x v="0"/>
    <s v="TAGS DE DETALHAMENTO DO SERVIÇO NÃO ENVIADO NO XML"/>
    <s v="SISTEMA"/>
    <x v="0"/>
    <n v="46"/>
  </r>
  <r>
    <s v="GOVER"/>
    <m/>
    <x v="2"/>
    <n v="2970341"/>
    <x v="0"/>
    <d v="2024-09-30T10:24:00"/>
    <n v="4415740"/>
    <s v="GNXWHH"/>
    <s v="PreencherPnr-&gt;Não foi encontrado nenhum item veículo para o localizador GNXWHH"/>
    <x v="119"/>
    <d v="2024-10-02T09:45:00"/>
    <s v="OUTROS"/>
    <x v="0"/>
    <s v="TAGS DE DETALHAMENTO DO SERVIÇO NÃO ENVIADO NO XML"/>
    <s v="SISTEMA"/>
    <x v="0"/>
    <n v="46"/>
  </r>
  <r>
    <s v="GOVER"/>
    <m/>
    <x v="2"/>
    <n v="2970651"/>
    <x v="0"/>
    <d v="2024-09-25T11:19:00"/>
    <n v="385252"/>
    <s v="175876429-04601"/>
    <s v="PreencherPnr-&gt;'long' does not contain a definition for 'toString2'"/>
    <x v="120"/>
    <d v="2024-09-30T16:52:00"/>
    <s v="OUTROS"/>
    <x v="5"/>
    <s v="TAG &lt;CARTAOVALIDADE&gt; NÃO ENVIADA"/>
    <s v="SISTEMA"/>
    <x v="0"/>
    <s v="COLUNA I"/>
  </r>
  <r>
    <s v="GOVER"/>
    <m/>
    <x v="2"/>
    <n v="2971256"/>
    <x v="0"/>
    <d v="2024-09-30T15:46:00"/>
    <n v="4416311"/>
    <s v="FJMENM"/>
    <s v="PreencherPnr-&gt;PreencherAccountingCustom-&gt; Erro: PreencherAccounting-&gt; Erro: Centro de custo não informado!"/>
    <x v="121"/>
    <d v="2024-10-02T09:45:00"/>
    <s v="OUTROS"/>
    <x v="8"/>
    <s v="CENTRO DE CUSTO NÃO INFORMADO NA RESERVA"/>
    <s v="QUALIDADE DOS DADOS"/>
    <x v="0"/>
    <s v="COLUNA I"/>
  </r>
  <r>
    <s v="GOVER"/>
    <m/>
    <x v="2"/>
    <n v="2971359"/>
    <x v="0"/>
    <d v="2024-09-30T15:57:00"/>
    <n v="4416347"/>
    <s v="FJMENM"/>
    <s v="PreencherPnr-&gt;PreencherAccountingCustom-&gt; Erro: PreencherAccounting-&gt; Erro: Centro de custo não informado!"/>
    <x v="122"/>
    <d v="2024-10-02T09:45:00"/>
    <s v="OUTROS"/>
    <x v="8"/>
    <s v="CENTRO DE CUSTO NÃO INFORMADO NA RESERVA"/>
    <s v="QUALIDADE DOS DADOS"/>
    <x v="0"/>
    <s v="COLUNA I"/>
  </r>
  <r>
    <s v="GOVER"/>
    <m/>
    <x v="2"/>
    <n v="2971394"/>
    <x v="0"/>
    <d v="2024-09-30T16:09:00"/>
    <n v="4416374"/>
    <s v="ARJRKY"/>
    <s v="PreencherPnr-&gt;Não foi encontrado nenhum item veículo para o localizador ARJRKY"/>
    <x v="123"/>
    <d v="2024-10-02T09:45:00"/>
    <s v="OUTROS"/>
    <x v="0"/>
    <s v="TAGS DE DETALHAMENTO DO SERVIÇO NÃO ENVIADO NO XML"/>
    <e v="#N/A"/>
    <x v="0"/>
    <n v="46"/>
  </r>
  <r>
    <s v="RESOLVIDO"/>
    <m/>
    <x v="1"/>
    <n v="2973909"/>
    <x v="1"/>
    <d v="2024-10-01T09:25:00"/>
    <n v="35203"/>
    <n v="35203"/>
    <s v="Preenchendo XML Serviço-&gt; Preenchendo XML-&gt; Montando accounting aereo 15-&gt;Input string was not in a correct format."/>
    <x v="124"/>
    <d v="2024-10-02T05:04:00"/>
    <s v="OUTROS"/>
    <x v="2"/>
    <s v="TEXTO FORA DO PADRÃO ACEITO NO CAMPO"/>
    <s v="INDEFINIDO"/>
    <x v="0"/>
    <s v="COLUNA I"/>
  </r>
  <r>
    <s v="RESOLVIDO"/>
    <m/>
    <x v="1"/>
    <n v="2975673"/>
    <x v="1"/>
    <d v="2024-10-01T15:11:00"/>
    <n v="375"/>
    <n v="375"/>
    <s v="Verificando Anexos - Could not convert variant of type (Null) into type (OleStr)"/>
    <x v="125"/>
    <d v="2024-10-02T05:04:00"/>
    <s v="OUTROS"/>
    <x v="2"/>
    <s v="TEXTO FORA DO PADRÃO ACEITO NO CAMPO"/>
    <s v="INDEFINIDO"/>
    <x v="0"/>
    <s v="COLUNA I"/>
  </r>
  <r>
    <s v="RESOLVIDO"/>
    <m/>
    <x v="1"/>
    <n v="2976614"/>
    <x v="1"/>
    <d v="2024-10-01T18:15:00"/>
    <n v="35254"/>
    <n v="35254"/>
    <s v="Preenchendo XML Serviço-&gt; Preenchendo XML-&gt; Montando accounting aereo 15-&gt;Input string was not in a correct format."/>
    <x v="126"/>
    <d v="2024-10-02T05:03:00"/>
    <s v="OUTROS"/>
    <x v="2"/>
    <s v="TEXTO FORA DO PADRÃO ACEITO NO CAMPO"/>
    <s v="INDEFINIDO"/>
    <x v="0"/>
    <s v="COLUNA I"/>
  </r>
  <r>
    <s v="RESOLVIDO"/>
    <m/>
    <x v="1"/>
    <n v="2976615"/>
    <x v="1"/>
    <d v="2024-10-01T18:18:00"/>
    <n v="35250"/>
    <n v="35250"/>
    <s v="Preenchendo XML Serviço-&gt; Preenchendo XML-&gt; Montando accounting aereo 15-&gt;Input string was not in a correct format."/>
    <x v="126"/>
    <d v="2024-10-02T05:04:00"/>
    <s v="OUTROS"/>
    <x v="2"/>
    <s v="TEXTO FORA DO PADRÃO ACEITO NO CAMPO"/>
    <s v="INDEFINIDO"/>
    <x v="0"/>
    <s v="COLUNA I"/>
  </r>
  <r>
    <s v="RESOLVIDO"/>
    <m/>
    <x v="1"/>
    <n v="2978675"/>
    <x v="1"/>
    <d v="2024-10-02T11:07:00"/>
    <n v="35252"/>
    <n v="35252"/>
    <s v="Preenchendo XML Serviço-&gt; Preenchendo XML-&gt; Montando accounting aereo 15-&gt;Input string was not in a correct format."/>
    <x v="127"/>
    <d v="2024-10-05T18:11:00"/>
    <s v="OUTROS"/>
    <x v="2"/>
    <s v="TEXTO FORA DO PADRÃO ACEITO NO CAMPO"/>
    <s v="INDEFINIDO"/>
    <x v="0"/>
    <s v="COLUNA I"/>
  </r>
  <r>
    <s v="GOVER"/>
    <m/>
    <x v="2"/>
    <n v="2980421"/>
    <x v="0"/>
    <d v="2024-09-26T00:10:00"/>
    <n v="385296"/>
    <s v="175885546-57751"/>
    <s v="PreencherPnr-&gt;'long' does not contain a definition for 'toString2'"/>
    <x v="128"/>
    <d v="2024-10-24T09:41:00"/>
    <s v="OUTROS"/>
    <x v="5"/>
    <s v="TAG &lt;CARTAOVALIDADE&gt; NÃO ENVIADA"/>
    <s v="SISTEMA"/>
    <x v="0"/>
    <s v="COLUNA I"/>
  </r>
  <r>
    <s v="GOVER"/>
    <m/>
    <x v="2"/>
    <n v="2984284"/>
    <x v="0"/>
    <d v="2024-10-04T14:19:00"/>
    <n v="4419875"/>
    <s v="JASIGN"/>
    <s v="PreencherPnr-&gt;Não foi encontrado nenhum item veículo para o localizador JASIGN"/>
    <x v="129"/>
    <d v="2024-10-24T09:43:00"/>
    <s v="OUTROS"/>
    <x v="0"/>
    <s v="TAGS DE DETALHAMENTO DO SERVIÇO NÃO ENVIADO NO XML"/>
    <s v="SISTEMA"/>
    <x v="0"/>
    <n v="46"/>
  </r>
  <r>
    <s v="GOVER"/>
    <m/>
    <x v="2"/>
    <n v="2984465"/>
    <x v="0"/>
    <d v="2024-10-04T15:26:00"/>
    <n v="4419968"/>
    <s v="ANKDKT"/>
    <s v="PreencherPnr-&gt;Não foi encontrado nenhum item veículo para o localizador ANKDKT"/>
    <x v="130"/>
    <d v="2024-10-24T09:43:00"/>
    <s v="OUTROS"/>
    <x v="0"/>
    <s v="TAGS DE DETALHAMENTO DO SERVIÇO NÃO ENVIADO NO XML"/>
    <s v="SISTEMA"/>
    <x v="0"/>
    <n v="46"/>
  </r>
  <r>
    <s v="GOVER"/>
    <m/>
    <x v="2"/>
    <n v="2992269"/>
    <x v="0"/>
    <d v="2024-10-08T14:20:00"/>
    <n v="4421909"/>
    <s v="MSHCHI"/>
    <s v="PreencherPnr-&gt;Não foi encontrado nenhum item veículo para o localizador MSHCHI"/>
    <x v="131"/>
    <d v="2024-10-24T09:43:00"/>
    <s v="OUTROS"/>
    <x v="0"/>
    <s v="TAGS DE DETALHAMENTO DO SERVIÇO NÃO ENVIADO NO XML"/>
    <s v="SISTEMA"/>
    <x v="0"/>
    <n v="46"/>
  </r>
  <r>
    <s v="GOVER"/>
    <m/>
    <x v="2"/>
    <n v="2999597"/>
    <x v="0"/>
    <d v="2024-10-11T08:25:00"/>
    <n v="4424089"/>
    <s v="GQVEJL"/>
    <s v="PreencherPnr-&gt;Não foi encontrado nenhum item veículo para o localizador GQVEJL"/>
    <x v="132"/>
    <d v="2024-10-24T09:43:00"/>
    <s v="OUTROS"/>
    <x v="0"/>
    <s v="TAGS DE DETALHAMENTO DO SERVIÇO NÃO ENVIADO NO XML"/>
    <s v="SISTEMA"/>
    <x v="0"/>
    <n v="46"/>
  </r>
  <r>
    <s v="RESOLVIDO"/>
    <m/>
    <x v="1"/>
    <n v="3010019"/>
    <x v="1"/>
    <d v="2024-07-04T09:44:00"/>
    <n v="5732"/>
    <n v="5732"/>
    <s v="Verificando Anexos - Could not convert variant of type (Null) into type (OleStr)"/>
    <x v="133"/>
    <m/>
    <s v="OUTROS"/>
    <x v="2"/>
    <s v="TEXTO FORA DO PADRÃO ACEITO NO CAMPO"/>
    <s v="INDEFINIDO"/>
    <x v="0"/>
    <s v="COLUNA I"/>
  </r>
  <r>
    <s v="GOVER"/>
    <m/>
    <x v="2"/>
    <n v="3013542"/>
    <x v="0"/>
    <d v="2024-10-17T14:30:00"/>
    <n v="4428062"/>
    <s v="MEKYDJ"/>
    <s v="PreencherPnr-&gt;Não foi encontrado nenhum item hotel para o localizador MEKYDJ"/>
    <x v="134"/>
    <d v="2024-10-24T09:43:00"/>
    <s v="OUTROS"/>
    <x v="9"/>
    <s v=""/>
    <s v="SISTEMA"/>
    <x v="0"/>
    <s v="COLUNA I"/>
  </r>
  <r>
    <s v="GOVER"/>
    <m/>
    <x v="2"/>
    <n v="3013584"/>
    <x v="0"/>
    <d v="2024-10-17T15:25:00"/>
    <n v="4428129"/>
    <s v="GNDNMS"/>
    <s v="PreencherPnr-&gt;Não foi encontrado nenhum item veículo para o localizador GNDNMS"/>
    <x v="135"/>
    <d v="2024-10-24T09:43:00"/>
    <s v="OUTROS"/>
    <x v="0"/>
    <s v="TAGS DE DETALHAMENTO DO SERVIÇO NÃO ENVIADO NO XML"/>
    <e v="#N/A"/>
    <x v="0"/>
    <n v="46"/>
  </r>
  <r>
    <s v="GOVER"/>
    <m/>
    <x v="2"/>
    <n v="3014351"/>
    <x v="0"/>
    <d v="2024-08-29T15:39:00"/>
    <n v="4398274"/>
    <s v="h4398274"/>
    <s v="PreencherPnr-&gt;'long' does not contain a definition for 'toString2'"/>
    <x v="136"/>
    <d v="2024-10-24T09:43:00"/>
    <s v="OUTROS"/>
    <x v="5"/>
    <s v="TAG &lt;CARTAOVALIDADE&gt; NÃO ENVIADA"/>
    <s v="SISTEMA"/>
    <x v="0"/>
    <s v="COLUNA I"/>
  </r>
  <r>
    <s v="GOVER"/>
    <m/>
    <x v="2"/>
    <n v="3021581"/>
    <x v="0"/>
    <d v="2024-10-21T18:15:00"/>
    <n v="4430470"/>
    <n v="16070738"/>
    <s v="PreencherPnr-&gt;'long' does not contain a definition for 'toString2'"/>
    <x v="137"/>
    <m/>
    <s v="OUTROS"/>
    <x v="5"/>
    <s v="TAG &lt;CARTAOVALIDADE&gt; NÃO ENVIADA"/>
    <s v="SISTEMA"/>
    <x v="0"/>
    <s v="COLUNA I"/>
  </r>
  <r>
    <s v="GOVER"/>
    <m/>
    <x v="2"/>
    <n v="3025132"/>
    <x v="0"/>
    <d v="2024-10-22T21:15:00"/>
    <n v="4432142"/>
    <s v="EJOWOS"/>
    <s v="PreencherPnr-&gt;Não foi encontrado nenhum item veículo para o localizador EJOWOS"/>
    <x v="138"/>
    <d v="2024-10-24T09:43:00"/>
    <s v="OUTROS"/>
    <x v="0"/>
    <s v="TAGS DE DETALHAMENTO DO SERVIÇO NÃO ENVIADO NO XML"/>
    <s v="SISTEMA"/>
    <x v="0"/>
    <n v="46"/>
  </r>
  <r>
    <s v="GOVER"/>
    <m/>
    <x v="2"/>
    <n v="3025915"/>
    <x v="0"/>
    <d v="2024-10-23T11:34:00"/>
    <n v="4432585"/>
    <s v="OMPHYI"/>
    <s v="PreencherPnr-&gt;Não foi encontrado nenhum item veículo para o localizador OMPHYI"/>
    <x v="139"/>
    <d v="2024-10-24T09:43:00"/>
    <s v="OUTROS"/>
    <x v="0"/>
    <s v="TAGS DE DETALHAMENTO DO SERVIÇO NÃO ENVIADO NO XML"/>
    <s v="SISTEMA"/>
    <x v="0"/>
    <n v="46"/>
  </r>
  <r>
    <s v="GOVER"/>
    <m/>
    <x v="2"/>
    <n v="3032027"/>
    <x v="0"/>
    <d v="2024-10-25T08:56:00"/>
    <n v="4434209"/>
    <s v="JEYUFO"/>
    <s v="PreencherPnr-&gt;Não foi encontrado nenhum item veículo para o localizador JEYUFO"/>
    <x v="140"/>
    <d v="2024-11-13T08:33:00"/>
    <s v="OUTROS"/>
    <x v="0"/>
    <s v="TAGS DE DETALHAMENTO DO SERVIÇO NÃO ENVIADO NO XML"/>
    <s v="SISTEMA"/>
    <x v="0"/>
    <n v="46"/>
  </r>
  <r>
    <s v="GOVER"/>
    <m/>
    <x v="2"/>
    <n v="3033602"/>
    <x v="0"/>
    <d v="2024-10-25T16:39:00"/>
    <n v="4434814"/>
    <s v="CDRXNS"/>
    <s v="PreencherPnr-&gt;Não foi encontrado nenhum item veículo para o localizador CDRXNS"/>
    <x v="141"/>
    <d v="2024-11-13T08:33:00"/>
    <s v="OUTROS"/>
    <x v="0"/>
    <s v="TAGS DE DETALHAMENTO DO SERVIÇO NÃO ENVIADO NO XML"/>
    <s v="SISTEMA"/>
    <x v="0"/>
    <n v="46"/>
  </r>
  <r>
    <s v="GOVER"/>
    <m/>
    <x v="2"/>
    <n v="3033628"/>
    <x v="0"/>
    <d v="2024-10-25T16:44:00"/>
    <n v="4434825"/>
    <s v="HHLKQH"/>
    <s v="PreencherPnr-&gt;Não foi encontrado nenhum item veículo para o localizador HHLKQH"/>
    <x v="142"/>
    <d v="2024-11-13T08:33:00"/>
    <s v="OUTROS"/>
    <x v="0"/>
    <s v="TAGS DE DETALHAMENTO DO SERVIÇO NÃO ENVIADO NO XML"/>
    <s v="SISTEMA"/>
    <x v="0"/>
    <n v="46"/>
  </r>
  <r>
    <s v="GOVER"/>
    <m/>
    <x v="2"/>
    <n v="3036168"/>
    <x v="0"/>
    <d v="2024-10-28T10:50:00"/>
    <n v="4435416"/>
    <s v="UOJBIC"/>
    <s v="PreencherPnr-&gt;Não foi encontrado nenhum item veículo para o localizador UOJBIC"/>
    <x v="143"/>
    <d v="2024-11-13T08:33:00"/>
    <s v="OUTROS"/>
    <x v="0"/>
    <s v="TAGS DE DETALHAMENTO DO SERVIÇO NÃO ENVIADO NO XML"/>
    <s v="SISTEMA"/>
    <x v="0"/>
    <n v="46"/>
  </r>
  <r>
    <s v="RESOLVIDO"/>
    <m/>
    <x v="1"/>
    <n v="3040077"/>
    <x v="3"/>
    <d v="2024-10-29T12:11:00"/>
    <s v="15249749-51274121"/>
    <s v="MKUUTX-2"/>
    <s v="Inserindo PNR - Accountings - TurVendas - Não foi possível localizar o contrato do fornecedor J2"/>
    <x v="144"/>
    <d v="2024-11-01T13:01:00"/>
    <s v="FORNECEDOR"/>
    <x v="10"/>
    <s v="CONTRATO INATIVO OU DIVERGENTE"/>
    <s v="SISTEMA"/>
    <x v="1"/>
    <n v="43"/>
  </r>
  <r>
    <s v="GOVER"/>
    <m/>
    <x v="2"/>
    <n v="3047145"/>
    <x v="0"/>
    <d v="2024-10-03T11:51:00"/>
    <n v="4418817"/>
    <s v="FSOOKV"/>
    <s v="PreencherPnr-&gt;Não foi encontrado nenhum item veículo para o localizador FSOOKV"/>
    <x v="145"/>
    <d v="2024-11-13T08:33:00"/>
    <s v="OUTROS"/>
    <x v="0"/>
    <s v="TAGS DE DETALHAMENTO DO SERVIÇO NÃO ENVIADO NO XML"/>
    <s v="SISTEMA"/>
    <x v="0"/>
    <n v="46"/>
  </r>
  <r>
    <s v="GOVER"/>
    <m/>
    <x v="2"/>
    <n v="3050973"/>
    <x v="0"/>
    <d v="2024-11-01T11:06:00"/>
    <n v="4439252"/>
    <s v="AEURWI"/>
    <s v="PreencherPnr-&gt;Não foi encontrado nenhum item hotel para o localizador AEURWI"/>
    <x v="146"/>
    <d v="2024-11-13T08:33:00"/>
    <s v="OUTROS"/>
    <x v="9"/>
    <s v=""/>
    <s v="SISTEMA"/>
    <x v="0"/>
    <s v="COLUNA I"/>
  </r>
  <r>
    <s v="GOVER"/>
    <m/>
    <x v="2"/>
    <n v="3053925"/>
    <x v="0"/>
    <d v="2024-11-01T17:43:00"/>
    <n v="4439791"/>
    <n v="4439791"/>
    <s v="PreencherPnr-&gt;Foi identificado um localizador sem código."/>
    <x v="147"/>
    <d v="2024-11-13T08:33:00"/>
    <s v="OUTROS"/>
    <x v="1"/>
    <s v="RLOC NÃO PREENCHIDO NA RESERVA"/>
    <s v="QUALIDADE DOS DADOS"/>
    <x v="0"/>
    <s v="COLUNA I"/>
  </r>
  <r>
    <s v="GOVER"/>
    <m/>
    <x v="2"/>
    <n v="3058571"/>
    <x v="0"/>
    <d v="2024-07-15T17:14:00"/>
    <n v="4371594"/>
    <s v="GAIPCO"/>
    <s v="PreencherPnr-&gt;Não foi encontrado nenhum item veículo para o localizador GAIPCO"/>
    <x v="148"/>
    <d v="2025-01-02T15:24:00"/>
    <s v="OUTROS"/>
    <x v="0"/>
    <s v="TAGS DE DETALHAMENTO DO SERVIÇO NÃO ENVIADO NO XML"/>
    <e v="#N/A"/>
    <x v="0"/>
    <n v="46"/>
  </r>
  <r>
    <s v="GOVER"/>
    <m/>
    <x v="2"/>
    <n v="3059339"/>
    <x v="0"/>
    <d v="2024-11-04T19:23:00"/>
    <n v="4440985"/>
    <n v="4440985"/>
    <s v="PreencherPnr-&gt;Foi identificado um localizador sem código."/>
    <x v="149"/>
    <d v="2024-11-13T08:33:00"/>
    <s v="OUTROS"/>
    <x v="1"/>
    <s v="RLOC NÃO PREENCHIDO NA RESERVA"/>
    <s v="QUALIDADE DOS DADOS"/>
    <x v="0"/>
    <s v="COLUNA I"/>
  </r>
  <r>
    <s v="GOVER"/>
    <m/>
    <x v="2"/>
    <n v="3064447"/>
    <x v="0"/>
    <d v="2024-11-07T12:26:00"/>
    <n v="4443382"/>
    <s v="LPMHGP"/>
    <s v="PreencherPnr-&gt;Não foi encontrado nenhum item hotel para o localizador LPMHGP"/>
    <x v="150"/>
    <d v="2024-11-13T08:33:00"/>
    <s v="OUTROS"/>
    <x v="9"/>
    <s v=""/>
    <s v="SISTEMA"/>
    <x v="0"/>
    <s v="COLUNA I"/>
  </r>
  <r>
    <s v="GOVER"/>
    <m/>
    <x v="2"/>
    <n v="3067728"/>
    <x v="0"/>
    <d v="2024-11-08T15:07:00"/>
    <n v="4444441"/>
    <s v="FPUYSW"/>
    <s v="PreencherPnr-&gt;Não foi encontrado nenhum item veículo para o localizador FPUYSW"/>
    <x v="151"/>
    <d v="2024-11-13T08:33:00"/>
    <s v="OUTROS"/>
    <x v="0"/>
    <s v="TAGS DE DETALHAMENTO DO SERVIÇO NÃO ENVIADO NO XML"/>
    <e v="#N/A"/>
    <x v="0"/>
    <n v="46"/>
  </r>
  <r>
    <s v="GOVER"/>
    <m/>
    <x v="2"/>
    <n v="3070837"/>
    <x v="0"/>
    <d v="2024-11-11T09:59:00"/>
    <n v="4445127"/>
    <s v="QTQZWP"/>
    <s v="PreencherPnr-&gt;Não foi encontrado nenhum item veículo para o localizador QTQZWP"/>
    <x v="152"/>
    <d v="2024-11-13T08:33:00"/>
    <s v="OUTROS"/>
    <x v="0"/>
    <s v="TAGS DE DETALHAMENTO DO SERVIÇO NÃO ENVIADO NO XML"/>
    <s v="SISTEMA"/>
    <x v="0"/>
    <n v="46"/>
  </r>
  <r>
    <s v="GOVER"/>
    <m/>
    <x v="2"/>
    <n v="3084856"/>
    <x v="0"/>
    <d v="2024-11-18T10:52:00"/>
    <n v="4449231"/>
    <n v="4449231"/>
    <s v="PreencherPnr-&gt;Foi identificado um localizador sem código."/>
    <x v="153"/>
    <d v="2025-01-02T15:24:00"/>
    <s v="OUTROS"/>
    <x v="1"/>
    <s v="RLOC NÃO PREENCHIDO NA RESERVA"/>
    <s v="QUALIDADE DOS DADOS"/>
    <x v="0"/>
    <s v="COLUNA I"/>
  </r>
  <r>
    <s v="RESOLVIDO"/>
    <m/>
    <x v="1"/>
    <n v="3085664"/>
    <x v="1"/>
    <d v="2024-11-18T11:54:00"/>
    <n v="15741"/>
    <n v="15741"/>
    <s v="Verificando Formas Pagto/Rec - (ExecSQL) - Ocorreu o erro 'The UPDATE statement conflicted with the FOREIGN KEY constraint &quot;FK_2929_90669&quot;. The conflict occurred in database &quot;Corporativo&quot;, table &quot;dbo.GN_PESSOAS&quot;, column 'HANDLE'."/>
    <x v="103"/>
    <m/>
    <m/>
    <x v="7"/>
    <s v="ERRO NA IMPORTAÇÃO/MODIFICAÇÃO DAS INFOMAÇÕES"/>
    <s v="SISTEMA"/>
    <x v="2"/>
    <s v="COLUNA I"/>
  </r>
  <r>
    <s v="GOVER"/>
    <m/>
    <x v="2"/>
    <n v="3088679"/>
    <x v="0"/>
    <d v="2024-11-19T15:06:00"/>
    <n v="4450530"/>
    <n v="16440115"/>
    <s v="PreencherPnr-&gt;'long' does not contain a definition for 'toString2'"/>
    <x v="154"/>
    <m/>
    <s v="OUTROS"/>
    <x v="5"/>
    <s v="TAG &lt;CARTAOVALIDADE&gt; NÃO ENVIADA"/>
    <s v="SISTEMA"/>
    <x v="0"/>
    <s v="COLUNA I"/>
  </r>
  <r>
    <s v="GOVER"/>
    <m/>
    <x v="2"/>
    <n v="3099707"/>
    <x v="0"/>
    <d v="2024-11-22T14:57:00"/>
    <n v="4452497"/>
    <s v="NPPTYC"/>
    <s v="PreencherPnr-&gt;Não foi encontrado nenhum item veículo para o localizador NPPTYC"/>
    <x v="155"/>
    <d v="2025-01-02T15:24:00"/>
    <s v="OUTROS"/>
    <x v="0"/>
    <s v="TAGS DE DETALHAMENTO DO SERVIÇO NÃO ENVIADO NO XML"/>
    <s v="SISTEMA"/>
    <x v="0"/>
    <n v="46"/>
  </r>
  <r>
    <s v="RESOLVIDO"/>
    <m/>
    <x v="1"/>
    <n v="3103745"/>
    <x v="1"/>
    <d v="2024-11-26T12:27:00"/>
    <n v="15998"/>
    <n v="15998"/>
    <s v="Verificando Formas Pagto/Rec - (ExecSQL) - Ocorreu o erro 'The UPDATE statement conflicted with the FOREIGN KEY constraint &quot;FK_2929_90669&quot;. The conflict occurred in database &quot;Corporativo&quot;, table &quot;dbo.GN_PESSOAS&quot;, column 'HANDLE'."/>
    <x v="103"/>
    <m/>
    <m/>
    <x v="7"/>
    <s v="ERRO NA IMPORTAÇÃO/MODIFICAÇÃO DAS INFOMAÇÕES"/>
    <s v="SISTEMA"/>
    <x v="2"/>
    <s v="COLUNA I"/>
  </r>
  <r>
    <s v="GOVER"/>
    <m/>
    <x v="2"/>
    <n v="3104986"/>
    <x v="0"/>
    <d v="2024-10-07T12:21:00"/>
    <n v="4420759"/>
    <s v="AHTSHM"/>
    <s v="PreencherPnr-&gt;AlterarAccountingCustom-&gt; Erro: AlterarAccounting-&gt; Erro: Forma pagamento Cartão Convênio-&gt; Não foi possível determinar a validade do cartão, favor verificar os dados do cartão &lt;ItemAereoRAVDTO&gt;."/>
    <x v="156"/>
    <d v="2025-01-02T15:24:00"/>
    <s v="FORMA PAGAMENTO/RECEB"/>
    <x v="5"/>
    <s v="TAG &lt;CARTAOVALIDADE&gt; NÃO ENVIADA"/>
    <s v="SISTEMA"/>
    <x v="0"/>
    <n v="107"/>
  </r>
  <r>
    <s v="GOVER"/>
    <m/>
    <x v="2"/>
    <n v="3105135"/>
    <x v="0"/>
    <d v="2024-11-27T09:39:00"/>
    <n v="4454970"/>
    <s v="IILHRF"/>
    <s v="PreencherPnr-&gt;Não foi encontrado nenhum item veículo para o localizador IILHRF"/>
    <x v="157"/>
    <d v="2025-01-02T15:24:00"/>
    <s v="OUTROS"/>
    <x v="0"/>
    <s v="TAGS DE DETALHAMENTO DO SERVIÇO NÃO ENVIADO NO XML"/>
    <s v="SISTEMA"/>
    <x v="0"/>
    <n v="46"/>
  </r>
  <r>
    <s v="GOVER"/>
    <m/>
    <x v="2"/>
    <n v="3110579"/>
    <x v="0"/>
    <d v="2024-11-28T10:14:00"/>
    <n v="4455640"/>
    <s v="IPZQLE"/>
    <s v="PreencherPnr-&gt;Não foi encontrado nenhum item veículo para o localizador IPZQLE"/>
    <x v="158"/>
    <d v="2025-01-02T15:24:00"/>
    <s v="OUTROS"/>
    <x v="0"/>
    <s v="TAGS DE DETALHAMENTO DO SERVIÇO NÃO ENVIADO NO XML"/>
    <s v="SISTEMA"/>
    <x v="0"/>
    <n v="46"/>
  </r>
  <r>
    <s v="GOVER"/>
    <m/>
    <x v="2"/>
    <n v="3118425"/>
    <x v="0"/>
    <d v="2024-12-02T19:39:00"/>
    <n v="4457740"/>
    <s v="JXZGRF"/>
    <s v="PreencherPnr-&gt;Não foi encontrado nenhum item veículo para o localizador JXZGRF"/>
    <x v="159"/>
    <d v="2025-01-02T15:24:00"/>
    <s v="OUTROS"/>
    <x v="0"/>
    <s v="TAGS DE DETALHAMENTO DO SERVIÇO NÃO ENVIADO NO XML"/>
    <s v="SISTEMA"/>
    <x v="0"/>
    <n v="46"/>
  </r>
  <r>
    <s v="RESOLVIDO"/>
    <m/>
    <x v="1"/>
    <n v="3119226"/>
    <x v="3"/>
    <d v="2024-11-28T11:17:00"/>
    <s v="15461643-22100850"/>
    <s v="FFIFJB"/>
    <s v="Inserindo Trecho - Parâmetro Fornecedor - TurVendas - Não foi possível localizar o contrato do fornecedor BG"/>
    <x v="160"/>
    <d v="2024-12-09T11:26:00"/>
    <s v="FORNECEDOR"/>
    <x v="10"/>
    <s v="CONTRATO INATIVO OU DIVERGENTE"/>
    <s v="SISTEMA"/>
    <x v="1"/>
    <n v="55"/>
  </r>
  <r>
    <s v="RESOLVIDO"/>
    <m/>
    <x v="1"/>
    <n v="3119228"/>
    <x v="3"/>
    <d v="2024-11-28T11:28:00"/>
    <s v="15461803-22100918"/>
    <s v="OYFZXC"/>
    <s v="Inserindo Trecho - Parâmetro Fornecedor - TurVendas - Não foi possível localizar o contrato do fornecedor BG"/>
    <x v="160"/>
    <d v="2024-12-09T11:26:00"/>
    <s v="FORNECEDOR"/>
    <x v="10"/>
    <s v="CONTRATO INATIVO OU DIVERGENTE"/>
    <s v="SISTEMA"/>
    <x v="1"/>
    <n v="55"/>
  </r>
  <r>
    <s v="GOVER"/>
    <m/>
    <x v="2"/>
    <n v="3121924"/>
    <x v="0"/>
    <d v="2024-12-04T14:07:00"/>
    <n v="4458747"/>
    <s v="KBHJXL"/>
    <s v="PreencherPnr-&gt;Não foi encontrado nenhum item veículo para o localizador KBHJXL"/>
    <x v="161"/>
    <d v="2025-01-02T15:24:00"/>
    <s v="OUTROS"/>
    <x v="0"/>
    <s v="TAGS DE DETALHAMENTO DO SERVIÇO NÃO ENVIADO NO XML"/>
    <s v="SISTEMA"/>
    <x v="0"/>
    <n v="46"/>
  </r>
  <r>
    <s v="GOVER"/>
    <m/>
    <x v="2"/>
    <n v="3124783"/>
    <x v="0"/>
    <d v="2024-12-04T18:58:00"/>
    <n v="4458982"/>
    <s v="OSKLEW"/>
    <s v="PreencherPnr-&gt;'long' does not contain a definition for 'toString2'"/>
    <x v="162"/>
    <d v="2025-01-02T15:24:00"/>
    <s v="OUTROS"/>
    <x v="5"/>
    <s v="TAG &lt;CARTAOVALIDADE&gt; NÃO ENVIADA"/>
    <s v="SISTEMA"/>
    <x v="0"/>
    <s v="COLUNA I"/>
  </r>
  <r>
    <s v="GOVER"/>
    <m/>
    <x v="2"/>
    <n v="3126772"/>
    <x v="0"/>
    <d v="2024-12-06T15:32:00"/>
    <n v="4459951"/>
    <s v="CJWVDB"/>
    <s v="PreencherPnr-&gt;Não foi encontrado nenhum item veículo para o localizador CJWVDB"/>
    <x v="163"/>
    <d v="2025-01-02T15:24:00"/>
    <s v="OUTROS"/>
    <x v="0"/>
    <s v="TAGS DE DETALHAMENTO DO SERVIÇO NÃO ENVIADO NO XML"/>
    <s v="SISTEMA"/>
    <x v="0"/>
    <n v="46"/>
  </r>
  <r>
    <s v="GOVER"/>
    <m/>
    <x v="2"/>
    <n v="3129168"/>
    <x v="0"/>
    <d v="2024-12-09T14:51:00"/>
    <n v="4460559"/>
    <s v="YICZYO"/>
    <s v="PreencherPnr-&gt;Não foi encontrado nenhum item veículo para o localizador YICZYO"/>
    <x v="164"/>
    <d v="2025-01-02T15:24:00"/>
    <s v="OUTROS"/>
    <x v="0"/>
    <s v="TAGS DE DETALHAMENTO DO SERVIÇO NÃO ENVIADO NO XML"/>
    <s v="SISTEMA"/>
    <x v="0"/>
    <n v="46"/>
  </r>
  <r>
    <s v="GOVER"/>
    <m/>
    <x v="2"/>
    <n v="3130928"/>
    <x v="0"/>
    <d v="2024-12-10T09:30:00"/>
    <n v="4460863"/>
    <s v="GDSSO536WA"/>
    <s v="PreencherPnr-&gt;Não foi encontrado nenhum item veículo para o localizador GDSSO536WA"/>
    <x v="165"/>
    <d v="2025-01-02T15:24:00"/>
    <s v="OUTROS"/>
    <x v="0"/>
    <s v="TAGS DE DETALHAMENTO DO SERVIÇO NÃO ENVIADO NO XML"/>
    <s v="SISTEMA"/>
    <x v="0"/>
    <n v="46"/>
  </r>
  <r>
    <s v="RESOLVIDO"/>
    <m/>
    <x v="1"/>
    <n v="3137255"/>
    <x v="1"/>
    <d v="2024-12-13T10:19:00"/>
    <n v="231"/>
    <n v="231"/>
    <s v="Preenchendo XML Serviço-&gt; Preenchendo XML-&gt; Montando accounting aereo 15-&gt;Input string was not in a correct format."/>
    <x v="166"/>
    <d v="2024-12-17T00:10:00"/>
    <s v="OUTROS"/>
    <x v="2"/>
    <s v="TEXTO FORA DO PADRÃO ACEITO NO CAMPO"/>
    <s v="INDEFINIDO"/>
    <x v="0"/>
    <s v="COLUNA I"/>
  </r>
  <r>
    <s v="RESOLVIDO"/>
    <m/>
    <x v="1"/>
    <n v="3137256"/>
    <x v="1"/>
    <d v="2024-12-13T10:10:00"/>
    <n v="230"/>
    <n v="230"/>
    <s v="Preenchendo XML Serviço-&gt; Preenchendo XML-&gt; Montando accounting aereo 15-&gt;Input string was not in a correct format."/>
    <x v="166"/>
    <d v="2024-12-17T00:10:00"/>
    <s v="OUTROS"/>
    <x v="2"/>
    <s v="TEXTO FORA DO PADRÃO ACEITO NO CAMPO"/>
    <s v="INDEFINIDO"/>
    <x v="0"/>
    <s v="COLUNA I"/>
  </r>
  <r>
    <s v="RESOLVIDO"/>
    <m/>
    <x v="1"/>
    <n v="3138261"/>
    <x v="1"/>
    <d v="2024-12-13T15:32:00"/>
    <n v="260"/>
    <n v="260"/>
    <s v="Preenchendo XML Serviço-&gt; Preenchendo XML-&gt; Montando accounting aereo 15-&gt;Input string was not in a correct format."/>
    <x v="167"/>
    <d v="2024-12-17T00:09:00"/>
    <s v="OUTROS"/>
    <x v="2"/>
    <s v="TEXTO FORA DO PADRÃO ACEITO NO CAMPO"/>
    <s v="INDEFINIDO"/>
    <x v="0"/>
    <s v="COLUNA I"/>
  </r>
  <r>
    <s v="GOVER"/>
    <m/>
    <x v="2"/>
    <n v="3141483"/>
    <x v="0"/>
    <d v="2024-12-17T00:31:00"/>
    <n v="4463691"/>
    <s v="MV1MG3BRW9BR"/>
    <s v="PreencherPnr-&gt;Não foi encontrado nenhum item veículo para o localizador MV1MG3BRW9BR"/>
    <x v="168"/>
    <d v="2025-01-02T15:24:00"/>
    <s v="OUTROS"/>
    <x v="0"/>
    <s v="TAGS DE DETALHAMENTO DO SERVIÇO NÃO ENVIADO NO XML"/>
    <e v="#N/A"/>
    <x v="0"/>
    <n v="46"/>
  </r>
  <r>
    <s v="RESOLVIDO"/>
    <m/>
    <x v="1"/>
    <n v="3156891"/>
    <x v="1"/>
    <d v="2024-12-31T12:22:00"/>
    <n v="521"/>
    <n v="521"/>
    <s v="Verificando Anexos - Could not convert variant of type (Null) into type (OleStr)"/>
    <x v="169"/>
    <d v="2025-01-02T11:23:00"/>
    <s v="OUTROS"/>
    <x v="2"/>
    <s v="TEXTO FORA DO PADRÃO ACEITO NO CAMPO"/>
    <s v="INDEFINIDO"/>
    <x v="0"/>
    <s v="COLUNA I"/>
  </r>
  <r>
    <s v="RESOLVIDO"/>
    <m/>
    <x v="1"/>
    <n v="3159209"/>
    <x v="2"/>
    <d v="2025-02-20T17:11:00"/>
    <s v="MAIKUS"/>
    <s v="MAIKUS"/>
    <s v="Inserindo Accounting - (ExecSQL) - Could not convert variant of type (Null) into type (OleStr)"/>
    <x v="170"/>
    <d v="2025-02-20T20:25:00"/>
    <s v="OUTROS"/>
    <x v="11"/>
    <s v=""/>
    <s v="SISTEMA"/>
    <x v="0"/>
    <s v="COLUNA I"/>
  </r>
  <r>
    <s v="RESOLVIDO"/>
    <m/>
    <x v="1"/>
    <n v="3159212"/>
    <x v="2"/>
    <d v="2025-01-02T12:24:00"/>
    <s v="EHTKVM"/>
    <s v="EHTKVM"/>
    <s v="Não localizado cliente com CNPJ [3334170000109].&lt;-ObterCliente&lt;-MontarPnrBase&lt;-ProcessarAereo&lt;-ProcessarItemFila[b]"/>
    <x v="171"/>
    <m/>
    <s v="CLIENTE"/>
    <x v="12"/>
    <s v=""/>
    <e v="#N/A"/>
    <x v="1"/>
    <n v="24"/>
  </r>
  <r>
    <s v="RESOLVIDO"/>
    <m/>
    <x v="1"/>
    <n v="3159244"/>
    <x v="2"/>
    <d v="2025-01-02T12:24:00"/>
    <s v="LSXAFH"/>
    <s v="LSXAFH"/>
    <s v="Não localizado cliente código [0000583831].&lt;-ObterCliente&lt;-MontarPnrBase&lt;-ProcessarAereo&lt;-ProcessarItemFila[b]"/>
    <x v="172"/>
    <m/>
    <s v="CLIENTE"/>
    <x v="13"/>
    <s v="CÓDIGO DIFERENTE DO CADASTRADO NO BENNER (CLIENTE X GRUPO)"/>
    <s v="QUALIDADE DOS DADOS"/>
    <x v="0"/>
    <n v="1"/>
  </r>
  <r>
    <s v="RESOLVIDO"/>
    <m/>
    <x v="1"/>
    <n v="3159813"/>
    <x v="2"/>
    <d v="2025-01-02T15:00:00"/>
    <s v="MBNRUR"/>
    <s v="MBNRUR"/>
    <s v="Não localizado cliente com CNPJ [820120000135].&lt;-ObterCliente&lt;-MontarPnrBase&lt;-ProcessarAereo&lt;-ProcessarItemFila[b]"/>
    <x v="173"/>
    <m/>
    <s v="CLIENTE"/>
    <x v="12"/>
    <s v=""/>
    <s v="QUALIDADE DOS DADOS"/>
    <x v="1"/>
    <n v="24"/>
  </r>
  <r>
    <s v="RESOLVIDO"/>
    <m/>
    <x v="1"/>
    <n v="3160929"/>
    <x v="2"/>
    <d v="2025-01-03T08:29:00"/>
    <s v="LIJMMNT"/>
    <s v="LIJMMN"/>
    <s v="Inserindo PNR - Accountings - TurVendas - Não foi possível localizar o contrato do fornecedor 49032"/>
    <x v="174"/>
    <m/>
    <s v="FORNECEDOR"/>
    <x v="10"/>
    <s v="CONTRATO INATIVO OU DIVERGENTE"/>
    <s v="SISTEMA"/>
    <x v="1"/>
    <n v="43"/>
  </r>
  <r>
    <s v="GOVER"/>
    <m/>
    <x v="2"/>
    <n v="3161782"/>
    <x v="0"/>
    <d v="2025-01-02T08:50:00"/>
    <n v="4467638"/>
    <s v="LOCALIZA"/>
    <s v="PreencherPnr-&gt;Não foi encontrado nenhum item veículo para o localizador LOCALIZA"/>
    <x v="175"/>
    <d v="2025-01-08T16:45:00"/>
    <s v="OUTROS"/>
    <x v="0"/>
    <s v="TAGS DE DETALHAMENTO DO SERVIÇO NÃO ENVIADO NO XML"/>
    <s v="QUALIDADE DOS DADOS"/>
    <x v="0"/>
    <n v="46"/>
  </r>
  <r>
    <s v="RESOLVIDO"/>
    <m/>
    <x v="1"/>
    <n v="3162120"/>
    <x v="2"/>
    <d v="2025-01-03T15:02:00"/>
    <s v="UHTJGE"/>
    <s v="UHTJGE"/>
    <s v="Código de cliente não identificado&lt;-ObterCliente&lt;-MontarPnrBase&lt;-ProcessarAereo&lt;-ProcessarItemFila[b]"/>
    <x v="176"/>
    <m/>
    <s v="CLIENTE"/>
    <x v="14"/>
    <s v="DK DE CLIENTE NÃO PREENCIDO / CLIENTE NÃO CONFIGURADO NO OBT"/>
    <s v="INDEFINIDO"/>
    <x v="1"/>
    <s v="COLUNA I"/>
  </r>
  <r>
    <s v="RESOLVIDO"/>
    <m/>
    <x v="1"/>
    <n v="3162161"/>
    <x v="2"/>
    <d v="2025-01-03T14:52:00"/>
    <s v="GKBODBT"/>
    <s v="GKBODB"/>
    <s v="Inserindo PNR - Accountings - TurVendas - Não foi possível localizar o contrato do fornecedor 53845"/>
    <x v="177"/>
    <m/>
    <s v="FORNECEDOR"/>
    <x v="10"/>
    <s v="CONTRATO INATIVO OU DIVERGENTE"/>
    <s v="SISTEMA"/>
    <x v="1"/>
    <n v="43"/>
  </r>
  <r>
    <s v="RESOLVIDO"/>
    <m/>
    <x v="1"/>
    <n v="3162636"/>
    <x v="2"/>
    <d v="2025-01-03T17:09:00"/>
    <s v="NZYYBU"/>
    <s v="NZYYBU"/>
    <s v="Não localizado cliente com CNPJ [8435509000179].&lt;-ObterCliente&lt;-MontarPnrBase&lt;-ProcessarAereo&lt;-ProcessarItemFila[b]"/>
    <x v="178"/>
    <m/>
    <s v="CLIENTE"/>
    <x v="12"/>
    <s v=""/>
    <e v="#N/A"/>
    <x v="1"/>
    <n v="24"/>
  </r>
  <r>
    <s v="RESOLVIDO"/>
    <m/>
    <x v="1"/>
    <n v="3163237"/>
    <x v="2"/>
    <d v="2025-01-06T08:12:00"/>
    <s v="EUTTIY"/>
    <s v="EUTTIY"/>
    <s v="Não localizado cliente com CNPJ [8373694000114].&lt;-ObterCliente&lt;-MontarPnrBase&lt;-ProcessarAereo&lt;-ProcessarItemFila[b]"/>
    <x v="179"/>
    <m/>
    <s v="CLIENTE"/>
    <x v="12"/>
    <s v=""/>
    <s v="SISTEMA"/>
    <x v="1"/>
    <n v="24"/>
  </r>
  <r>
    <s v="RESOLVIDO"/>
    <m/>
    <x v="1"/>
    <n v="3164077"/>
    <x v="2"/>
    <d v="2025-01-06T12:53:00"/>
    <s v="KEKNGQ"/>
    <s v="KEKNGQ"/>
    <s v="Não localizado cliente com CNPJ [820120000135].&lt;-ObterCliente&lt;-MontarPnrBase&lt;-ProcessarAereo&lt;-ProcessarItemFila[b]"/>
    <x v="180"/>
    <m/>
    <s v="CLIENTE"/>
    <x v="12"/>
    <s v=""/>
    <s v="QUALIDADE DOS DADOS"/>
    <x v="1"/>
    <n v="24"/>
  </r>
  <r>
    <s v="RESOLVIDO"/>
    <m/>
    <x v="1"/>
    <n v="3164914"/>
    <x v="2"/>
    <d v="2025-01-06T17:25:00"/>
    <s v="ENGZYJ"/>
    <s v="ENGZYJ"/>
    <s v="Código de cliente não identificado&lt;-ObterCliente&lt;-MontarPnrBase&lt;-ProcessarAereo&lt;-ProcessarItemFila[b]"/>
    <x v="181"/>
    <d v="2025-01-06T20:33:00"/>
    <s v="CLIENTE"/>
    <x v="14"/>
    <s v="DK DE CLIENTE NÃO PREENCIDO / CLIENTE NÃO CONFIGURADO NO OBT"/>
    <s v="INDEFINIDO"/>
    <x v="1"/>
    <s v="COLUNA I"/>
  </r>
  <r>
    <s v="RESOLVIDO"/>
    <m/>
    <x v="1"/>
    <n v="3165171"/>
    <x v="2"/>
    <d v="2025-01-06T17:25:00"/>
    <s v="GAGAFI"/>
    <s v="GAGAFI"/>
    <s v="Não localizado cliente com CNPJ [1359916000448].&lt;-ObterCliente&lt;-MontarPnrBase&lt;-ProcessarAereo&lt;-ProcessarItemFila[b]"/>
    <x v="182"/>
    <m/>
    <s v="CLIENTE"/>
    <x v="12"/>
    <s v=""/>
    <s v="QUALIDADE DOS DADOS"/>
    <x v="1"/>
    <n v="24"/>
  </r>
  <r>
    <s v="RESOLVIDO"/>
    <m/>
    <x v="1"/>
    <n v="3165173"/>
    <x v="2"/>
    <d v="2025-01-06T17:25:00"/>
    <s v="MYVOHV"/>
    <s v="MYVOHV"/>
    <s v="Não localizado cliente código [0000583808].&lt;-ObterCliente&lt;-MontarPnrBase&lt;-ProcessarAereo&lt;-ProcessarItemFila[b]"/>
    <x v="182"/>
    <m/>
    <s v="CLIENTE"/>
    <x v="13"/>
    <s v="CÓDIGO DIFERENTE DO CADASTRADO NO BENNER (CLIENTE X GRUPO)"/>
    <s v="QUALIDADE DOS DADOS"/>
    <x v="0"/>
    <n v="1"/>
  </r>
  <r>
    <s v="RESOLVIDO"/>
    <m/>
    <x v="1"/>
    <n v="3165174"/>
    <x v="2"/>
    <d v="2025-01-06T17:25:00"/>
    <s v="JSJVJZ"/>
    <s v="JSJVJZ"/>
    <s v="Não localizado cliente código [0000583808].&lt;-ObterCliente&lt;-MontarPnrBase&lt;-ProcessarAereo&lt;-ProcessarItemFila[b]"/>
    <x v="182"/>
    <m/>
    <s v="CLIENTE"/>
    <x v="13"/>
    <s v="CÓDIGO DIFERENTE DO CADASTRADO NO BENNER (CLIENTE X GRUPO)"/>
    <s v="QUALIDADE DOS DADOS"/>
    <x v="0"/>
    <n v="1"/>
  </r>
  <r>
    <s v="RESOLVIDO"/>
    <m/>
    <x v="1"/>
    <n v="3165176"/>
    <x v="2"/>
    <d v="2025-01-06T17:25:00"/>
    <s v="GUNBRT"/>
    <s v="GUNBRT"/>
    <s v="Não localizado cliente com CNPJ [1359916000448].&lt;-ObterCliente&lt;-MontarPnrBase&lt;-ProcessarAereo&lt;-ProcessarItemFila[b]"/>
    <x v="182"/>
    <m/>
    <s v="CLIENTE"/>
    <x v="12"/>
    <s v=""/>
    <s v="QUALIDADE DOS DADOS"/>
    <x v="1"/>
    <n v="24"/>
  </r>
  <r>
    <s v="RESOLVIDO"/>
    <m/>
    <x v="1"/>
    <n v="3165177"/>
    <x v="2"/>
    <d v="2025-01-06T17:25:00"/>
    <s v="YERPNN"/>
    <s v="YERPNN"/>
    <s v="Não localizado cliente código [0000583808].&lt;-ObterCliente&lt;-MontarPnrBase&lt;-ProcessarAereo&lt;-ProcessarItemFila[b]"/>
    <x v="183"/>
    <m/>
    <s v="CLIENTE"/>
    <x v="13"/>
    <s v="CÓDIGO DIFERENTE DO CADASTRADO NO BENNER (CLIENTE X GRUPO)"/>
    <s v="QUALIDADE DOS DADOS"/>
    <x v="0"/>
    <n v="1"/>
  </r>
  <r>
    <s v="RESOLVIDO"/>
    <m/>
    <x v="1"/>
    <n v="3165178"/>
    <x v="2"/>
    <d v="2025-01-06T17:25:00"/>
    <s v="WJCWXC"/>
    <s v="WJCWXC"/>
    <s v="Não localizado cliente com CNPJ [271682000177].&lt;-ObterCliente&lt;-MontarPnrBase&lt;-ProcessarAereo&lt;-ProcessarItemFila[b]"/>
    <x v="183"/>
    <m/>
    <s v="CLIENTE"/>
    <x v="12"/>
    <s v=""/>
    <s v="QUALIDADE DOS DADOS"/>
    <x v="1"/>
    <n v="24"/>
  </r>
  <r>
    <s v="RESOLVIDO"/>
    <m/>
    <x v="1"/>
    <n v="3165179"/>
    <x v="2"/>
    <d v="2025-01-06T17:25:00"/>
    <s v="NLVWVH"/>
    <s v="NLVWVH"/>
    <s v="Não localizado cliente com CNPJ [1359916000448].&lt;-ObterCliente&lt;-MontarPnrBase&lt;-ProcessarAereo&lt;-ProcessarItemFila[b]"/>
    <x v="183"/>
    <m/>
    <s v="CLIENTE"/>
    <x v="12"/>
    <s v=""/>
    <s v="QUALIDADE DOS DADOS"/>
    <x v="1"/>
    <n v="24"/>
  </r>
  <r>
    <s v="RESOLVIDO"/>
    <m/>
    <x v="1"/>
    <n v="3165181"/>
    <x v="2"/>
    <d v="2025-01-06T17:25:00"/>
    <s v="ONGSPV"/>
    <s v="ONGSPV"/>
    <s v="Não localizado cliente com CNPJ [1359916000448].&lt;-ObterCliente&lt;-MontarPnrBase&lt;-ProcessarAereo&lt;-ProcessarItemFila[b]"/>
    <x v="183"/>
    <m/>
    <s v="CLIENTE"/>
    <x v="12"/>
    <s v=""/>
    <s v="QUALIDADE DOS DADOS"/>
    <x v="1"/>
    <n v="24"/>
  </r>
  <r>
    <s v="RESOLVIDO"/>
    <m/>
    <x v="1"/>
    <n v="3165184"/>
    <x v="2"/>
    <d v="2025-01-06T17:25:00"/>
    <s v="SGPKRI"/>
    <s v="SGPKRI"/>
    <s v="Não localizado cliente código [0000583831].&lt;-ObterCliente&lt;-MontarPnrBase&lt;-ProcessarAereo&lt;-ProcessarItemFila[b]"/>
    <x v="183"/>
    <m/>
    <s v="CLIENTE"/>
    <x v="13"/>
    <s v="CÓDIGO DIFERENTE DO CADASTRADO NO BENNER (CLIENTE X GRUPO)"/>
    <s v="QUALIDADE DOS DADOS"/>
    <x v="0"/>
    <n v="1"/>
  </r>
  <r>
    <s v="RESOLVIDO"/>
    <m/>
    <x v="1"/>
    <n v="3165186"/>
    <x v="2"/>
    <d v="2025-01-06T17:25:00"/>
    <s v="SKXKWN"/>
    <s v="SKXKWN"/>
    <s v="Não localizado cliente código [1234567890].&lt;-ObterCliente&lt;-MontarPnrBase&lt;-ProcessarAereo&lt;-ProcessarItemFila[b]"/>
    <x v="184"/>
    <m/>
    <s v="CLIENTE"/>
    <x v="13"/>
    <s v="CÓDIGO DIFERENTE DO CADASTRADO NO BENNER (CLIENTE X GRUPO)"/>
    <s v="QUALIDADE DOS DADOS"/>
    <x v="0"/>
    <n v="1"/>
  </r>
  <r>
    <s v="RESOLVIDO"/>
    <m/>
    <x v="1"/>
    <n v="3165190"/>
    <x v="2"/>
    <d v="2025-01-06T17:25:00"/>
    <s v="AIQESC"/>
    <s v="AIQESC"/>
    <s v="Código de cliente não identificado&lt;-ObterCliente&lt;-MontarPnrBase&lt;-ProcessarAereo&lt;-ProcessarItemFila[b]"/>
    <x v="184"/>
    <m/>
    <s v="CLIENTE"/>
    <x v="14"/>
    <s v="DK DE CLIENTE NÃO PREENCIDO / CLIENTE NÃO CONFIGURADO NO OBT"/>
    <s v="INDEFINIDO"/>
    <x v="1"/>
    <s v="COLUNA I"/>
  </r>
  <r>
    <s v="RESOLVIDO"/>
    <m/>
    <x v="1"/>
    <n v="3165191"/>
    <x v="2"/>
    <d v="2025-01-06T17:25:00"/>
    <s v="GDGWUZ"/>
    <s v="GDGWUZ"/>
    <s v="Não localizado cliente com CNPJ [8373694000114].&lt;-ObterCliente&lt;-MontarPnrBase&lt;-ProcessarAereo&lt;-ProcessarItemFila[b]"/>
    <x v="185"/>
    <m/>
    <s v="CLIENTE"/>
    <x v="12"/>
    <s v=""/>
    <s v="QUALIDADE DOS DADOS"/>
    <x v="1"/>
    <n v="24"/>
  </r>
  <r>
    <s v="RESOLVIDO"/>
    <m/>
    <x v="1"/>
    <n v="3165192"/>
    <x v="2"/>
    <d v="2025-01-06T17:25:00"/>
    <s v="FSKBYM"/>
    <s v="FSKBYM"/>
    <s v="Não localizado cliente código [0000035945].&lt;-ObterCliente&lt;-MontarPnrBase&lt;-ProcessarAereo&lt;-ProcessarItemFila[b]"/>
    <x v="185"/>
    <m/>
    <s v="CLIENTE"/>
    <x v="13"/>
    <s v="CÓDIGO DIFERENTE DO CADASTRADO NO BENNER (CLIENTE X GRUPO)"/>
    <s v="QUALIDADE DOS DADOS"/>
    <x v="0"/>
    <n v="1"/>
  </r>
  <r>
    <s v="RESOLVIDO"/>
    <m/>
    <x v="1"/>
    <n v="3165351"/>
    <x v="2"/>
    <d v="2025-01-08T08:37:00"/>
    <s v="IPMYYP"/>
    <s v="IPMYYP"/>
    <s v="Código de cliente não identificado&lt;-ObterCliente&lt;-MontarPnrBase&lt;-ProcessarAereo&lt;-ProcessarItemFila[b]"/>
    <x v="186"/>
    <d v="2025-01-08T11:49:00"/>
    <s v="CLIENTE"/>
    <x v="14"/>
    <s v="DK DE CLIENTE NÃO PREENCIDO / CLIENTE NÃO CONFIGURADO NO OBT"/>
    <s v="INDEFINIDO"/>
    <x v="1"/>
    <s v="COLUNA I"/>
  </r>
  <r>
    <s v="RESOLVIDO"/>
    <m/>
    <x v="1"/>
    <n v="3165352"/>
    <x v="2"/>
    <d v="2025-01-08T08:37:00"/>
    <s v="IPMYYPT"/>
    <s v="IPMYYP"/>
    <s v="Código de cliente não identificado&lt;-ObterCliente&lt;-MontarPnrBase&lt;-MontarPnr&lt;-ProcessarHotel&lt;-ProcessarItemFila[b]"/>
    <x v="186"/>
    <d v="2025-01-08T11:49:00"/>
    <s v="CLIENTE"/>
    <x v="14"/>
    <s v="DK DE CLIENTE NÃO PREENCIDO / CLIENTE NÃO CONFIGURADO NO OBT"/>
    <s v="INDEFINIDO"/>
    <x v="1"/>
    <s v="COLUNA I"/>
  </r>
  <r>
    <s v="RESOLVIDO"/>
    <m/>
    <x v="1"/>
    <n v="3166538"/>
    <x v="2"/>
    <d v="2025-01-07T14:13:00"/>
    <s v="QRHXNJ"/>
    <s v="QRHXNJ"/>
    <s v="Código de cliente não identificado&lt;-ObterCliente&lt;-MontarPnrBase&lt;-ProcessarAereo&lt;-ProcessarItemFila[b]"/>
    <x v="187"/>
    <m/>
    <s v="CLIENTE"/>
    <x v="14"/>
    <s v="DK DE CLIENTE NÃO PREENCIDO / CLIENTE NÃO CONFIGURADO NO OBT"/>
    <s v="INDEFINIDO"/>
    <x v="1"/>
    <s v="COLUNA I"/>
  </r>
  <r>
    <s v="RESOLVIDO"/>
    <m/>
    <x v="1"/>
    <n v="3166592"/>
    <x v="2"/>
    <d v="2025-01-07T14:47:00"/>
    <s v="WPBPFS"/>
    <s v="WPBPFS"/>
    <s v="Não localizado cliente com CNPJ [271682000177].&lt;-ObterCliente&lt;-MontarPnrBase&lt;-ProcessarAereo&lt;-ProcessarItemFila[b]"/>
    <x v="188"/>
    <m/>
    <s v="CLIENTE"/>
    <x v="12"/>
    <s v=""/>
    <e v="#N/A"/>
    <x v="1"/>
    <n v="24"/>
  </r>
  <r>
    <s v="RESOLVIDO"/>
    <m/>
    <x v="1"/>
    <n v="3167546"/>
    <x v="2"/>
    <d v="2025-01-07T17:31:00"/>
    <s v="NJOYAB"/>
    <s v="NJOYAB"/>
    <s v="Código de cliente não identificado&lt;-ObterCliente&lt;-MontarPnrBase&lt;-ProcessarAereo&lt;-ProcessarItemFila[b]"/>
    <x v="189"/>
    <m/>
    <s v="CLIENTE"/>
    <x v="14"/>
    <s v="DK DE CLIENTE NÃO PREENCIDO / CLIENTE NÃO CONFIGURADO NO OBT"/>
    <s v="INDEFINIDO"/>
    <x v="1"/>
    <s v="COLUNA I"/>
  </r>
  <r>
    <s v="RESOLVIDO"/>
    <m/>
    <x v="1"/>
    <n v="3167565"/>
    <x v="2"/>
    <d v="2025-01-08T04:57:00"/>
    <s v="UKDWJY"/>
    <s v="UKDWJY"/>
    <s v="Não localizado cliente com CNPJ [820120000135].&lt;-ObterCliente&lt;-MontarPnrBase&lt;-ProcessarAereo&lt;-ProcessarItemFila[b]"/>
    <x v="190"/>
    <d v="2025-01-08T08:03:00"/>
    <s v="CLIENTE"/>
    <x v="12"/>
    <s v=""/>
    <s v="QUALIDADE DOS DADOS"/>
    <x v="1"/>
    <n v="24"/>
  </r>
  <r>
    <s v="GOVER"/>
    <m/>
    <x v="2"/>
    <n v="3167749"/>
    <x v="0"/>
    <d v="2025-01-08T08:54:00"/>
    <n v="4470625"/>
    <n v="16864154"/>
    <s v="PreencherPnr-&gt;'long' does not contain a definition for 'toString2'"/>
    <x v="191"/>
    <m/>
    <s v="OUTROS"/>
    <x v="5"/>
    <s v="TAG &lt;CARTAOVALIDADE&gt; NÃO ENVIADA"/>
    <s v="SISTEMA"/>
    <x v="0"/>
    <s v="COLUNA I"/>
  </r>
  <r>
    <s v="RESOLVIDO"/>
    <m/>
    <x v="1"/>
    <n v="3168662"/>
    <x v="2"/>
    <d v="2025-01-08T12:46:00"/>
    <s v="AMARDB"/>
    <s v="AMARDB"/>
    <s v="Não localizado cliente código [0000583808].&lt;-ObterCliente&lt;-MontarPnrBase&lt;-ProcessarAereo&lt;-ProcessarItemFila[b]"/>
    <x v="192"/>
    <m/>
    <s v="CLIENTE"/>
    <x v="13"/>
    <s v="CÓDIGO DIFERENTE DO CADASTRADO NO BENNER (CLIENTE X GRUPO)"/>
    <s v="QUALIDADE DOS DADOS"/>
    <x v="0"/>
    <n v="1"/>
  </r>
  <r>
    <s v="RESOLVIDO"/>
    <m/>
    <x v="1"/>
    <n v="3168665"/>
    <x v="2"/>
    <d v="2025-01-08T13:46:00"/>
    <s v="JBZRVR"/>
    <s v="JBZRVR"/>
    <s v="Inserindo Accounting - (ExecSQL) - Could not convert variant of type (Null) into type (OleStr)"/>
    <x v="193"/>
    <d v="2025-01-08T16:50:00"/>
    <s v="OUTROS"/>
    <x v="11"/>
    <s v=""/>
    <s v="SISTEMA"/>
    <x v="0"/>
    <s v="COLUNA I"/>
  </r>
  <r>
    <s v="RESOLVIDO"/>
    <m/>
    <x v="1"/>
    <n v="3168671"/>
    <x v="2"/>
    <d v="2025-02-07T13:36:00"/>
    <s v="WWGJCI"/>
    <s v="WWGJCI"/>
    <s v="Inserindo Accounting - (ExecSQL) - Could not convert variant of type (Null) into type (OleStr)"/>
    <x v="194"/>
    <d v="2025-02-07T16:47:00"/>
    <s v="OUTROS"/>
    <x v="11"/>
    <s v=""/>
    <s v="SISTEMA"/>
    <x v="0"/>
    <s v="COLUNA I"/>
  </r>
  <r>
    <s v="RESOLVIDO"/>
    <m/>
    <x v="1"/>
    <n v="3168672"/>
    <x v="2"/>
    <d v="2025-01-08T12:46:00"/>
    <s v="WAZJZD"/>
    <s v="WAZJZD"/>
    <s v="Código de cliente não identificado&lt;-ObterCliente&lt;-MontarPnrBase&lt;-ProcessarAereo&lt;-ProcessarItemFila[b]"/>
    <x v="194"/>
    <m/>
    <s v="CLIENTE"/>
    <x v="14"/>
    <s v="DK DE CLIENTE NÃO PREENCIDO / CLIENTE NÃO CONFIGURADO NO OBT"/>
    <s v="INDEFINIDO"/>
    <x v="1"/>
    <s v="COLUNA I"/>
  </r>
  <r>
    <s v="RESOLVIDO"/>
    <m/>
    <x v="1"/>
    <n v="3168990"/>
    <x v="2"/>
    <d v="2025-01-08T15:00:00"/>
    <s v="UZXREBT"/>
    <s v="UZXREB"/>
    <s v="Inserindo PNR - Accountings - TurVendas - Não foi possível localizar o contrato do fornecedor 49032"/>
    <x v="195"/>
    <m/>
    <s v="FORNECEDOR"/>
    <x v="10"/>
    <s v="CONTRATO INATIVO OU DIVERGENTE"/>
    <s v="SISTEMA"/>
    <x v="1"/>
    <n v="43"/>
  </r>
  <r>
    <s v="RESOLVIDO"/>
    <m/>
    <x v="1"/>
    <n v="3169616"/>
    <x v="2"/>
    <d v="2025-01-08T17:19:00"/>
    <s v="CRAOZC"/>
    <s v="CRAOZC"/>
    <s v="Não localizado cliente código [0000028612].&lt;-ObterCliente&lt;-MontarPnrBase&lt;-ProcessarAereo&lt;-ProcessarItemFila[b]"/>
    <x v="196"/>
    <m/>
    <s v="CLIENTE"/>
    <x v="13"/>
    <s v="CÓDIGO DIFERENTE DO CADASTRADO NO BENNER (CLIENTE X GRUPO)"/>
    <s v="QUALIDADE DOS DADOS"/>
    <x v="0"/>
    <n v="1"/>
  </r>
  <r>
    <s v="RESOLVIDO"/>
    <m/>
    <x v="1"/>
    <n v="3169622"/>
    <x v="2"/>
    <d v="2025-01-08T17:19:00"/>
    <s v="YQDVXO"/>
    <s v="YQDVXO"/>
    <s v="Não localizado cliente com CNPJ [2877632000406].&lt;-ObterCliente&lt;-MontarPnrBase&lt;-ProcessarAereo&lt;-ProcessarItemFila[b]"/>
    <x v="197"/>
    <m/>
    <s v="CLIENTE"/>
    <x v="12"/>
    <s v=""/>
    <s v="SISTEMA"/>
    <x v="1"/>
    <n v="24"/>
  </r>
  <r>
    <s v="RESOLVIDO"/>
    <m/>
    <x v="1"/>
    <n v="3169651"/>
    <x v="2"/>
    <d v="2025-01-08T17:19:00"/>
    <s v="ENPBBR"/>
    <s v="ENPBBR"/>
    <s v="Não localizado cliente código [0000063625].&lt;-ObterCliente&lt;-MontarPnrBase&lt;-ProcessarAereo&lt;-ProcessarItemFila[b]"/>
    <x v="198"/>
    <m/>
    <s v="CLIENTE"/>
    <x v="13"/>
    <s v="CÓDIGO DIFERENTE DO CADASTRADO NO BENNER (CLIENTE X GRUPO)"/>
    <s v="QUALIDADE DOS DADOS"/>
    <x v="0"/>
    <n v="1"/>
  </r>
  <r>
    <s v="RESOLVIDO"/>
    <m/>
    <x v="1"/>
    <n v="3169655"/>
    <x v="2"/>
    <d v="2025-01-08T17:19:00"/>
    <s v="JSTSCW"/>
    <s v="JSTSCW"/>
    <s v="Não localizado cliente código [0000063625].&lt;-ObterCliente&lt;-MontarPnrBase&lt;-ProcessarAereo&lt;-ProcessarItemFila[b]"/>
    <x v="198"/>
    <m/>
    <s v="CLIENTE"/>
    <x v="13"/>
    <s v="CÓDIGO DIFERENTE DO CADASTRADO NO BENNER (CLIENTE X GRUPO)"/>
    <s v="QUALIDADE DOS DADOS"/>
    <x v="0"/>
    <n v="1"/>
  </r>
  <r>
    <s v="RESOLVIDO"/>
    <m/>
    <x v="1"/>
    <n v="3170360"/>
    <x v="2"/>
    <d v="2025-01-09T08:48:00"/>
    <s v="ISWSUH"/>
    <s v="ISWSUH"/>
    <s v="Não localizado cliente com CNPJ [820120000135].&lt;-ObterCliente&lt;-MontarPnrBase&lt;-ProcessarAereo&lt;-ProcessarItemFila[b]"/>
    <x v="199"/>
    <d v="2025-01-09T12:04:00"/>
    <s v="CLIENTE"/>
    <x v="12"/>
    <s v=""/>
    <s v="QUALIDADE DOS DADOS"/>
    <x v="1"/>
    <n v="24"/>
  </r>
  <r>
    <s v="RESOLVIDO"/>
    <m/>
    <x v="1"/>
    <n v="3170929"/>
    <x v="2"/>
    <d v="2025-01-09T11:44:00"/>
    <s v="QSKFWM"/>
    <s v="QSKFWM"/>
    <s v="Não localizado cliente com CNPJ [3334170000109].&lt;-ObterCliente&lt;-MontarPnrBase&lt;-ProcessarAereo&lt;-ProcessarItemFila[b]"/>
    <x v="200"/>
    <m/>
    <s v="CLIENTE"/>
    <x v="12"/>
    <s v=""/>
    <s v="QUALIDADE DOS DADOS"/>
    <x v="1"/>
    <n v="24"/>
  </r>
  <r>
    <s v="RESOLVIDO"/>
    <m/>
    <x v="1"/>
    <n v="3170959"/>
    <x v="2"/>
    <d v="2025-01-09T11:44:00"/>
    <s v="AEHJHM"/>
    <s v="AEHJHM"/>
    <s v="Não localizado cliente com CNPJ [5763921000120].&lt;-ObterCliente&lt;-MontarPnrBase&lt;-ProcessarAereo&lt;-ProcessarItemFila[b]"/>
    <x v="201"/>
    <m/>
    <s v="CLIENTE"/>
    <x v="12"/>
    <s v=""/>
    <s v="QUALIDADE DOS DADOS"/>
    <x v="1"/>
    <n v="24"/>
  </r>
  <r>
    <s v="RESOLVIDO"/>
    <m/>
    <x v="1"/>
    <n v="3171114"/>
    <x v="2"/>
    <d v="2025-01-09T12:59:00"/>
    <s v="HCLCNYT"/>
    <s v="HCLCNY"/>
    <s v="Inserindo PNR - Accountings - TurVendas - Não foi possível localizar o contrato do fornecedor 49032"/>
    <x v="202"/>
    <m/>
    <s v="FORNECEDOR"/>
    <x v="10"/>
    <s v="CONTRATO INATIVO OU DIVERGENTE"/>
    <s v="SISTEMA"/>
    <x v="1"/>
    <n v="43"/>
  </r>
  <r>
    <s v="RESOLVIDO"/>
    <m/>
    <x v="1"/>
    <n v="3171183"/>
    <x v="2"/>
    <d v="2025-01-09T13:26:00"/>
    <s v="AVIJYE"/>
    <s v="AVIJYE"/>
    <s v="Código de cliente não identificado&lt;-ObterCliente&lt;-MontarPnrBase&lt;-ProcessarAereo&lt;-ProcessarItemFila[b]"/>
    <x v="203"/>
    <m/>
    <s v="CLIENTE"/>
    <x v="14"/>
    <s v="DK DE CLIENTE NÃO PREENCIDO / CLIENTE NÃO CONFIGURADO NO OBT"/>
    <s v="INDEFINIDO"/>
    <x v="1"/>
    <s v="COLUNA I"/>
  </r>
  <r>
    <s v="RESOLVIDO"/>
    <m/>
    <x v="1"/>
    <n v="3171548"/>
    <x v="2"/>
    <d v="2025-01-09T16:34:00"/>
    <s v="DYCDMO"/>
    <s v="DYCDMO"/>
    <s v="Não localizado cliente com CNPJ [1281360000171].&lt;-ObterCliente&lt;-MontarPnrBase&lt;-ProcessarAereo&lt;-ProcessarItemFila[b]"/>
    <x v="204"/>
    <m/>
    <s v="CLIENTE"/>
    <x v="12"/>
    <s v=""/>
    <s v="SISTEMA"/>
    <x v="1"/>
    <n v="24"/>
  </r>
  <r>
    <s v="RESOLVIDO"/>
    <m/>
    <x v="1"/>
    <n v="3171563"/>
    <x v="2"/>
    <d v="2025-01-09T16:34:00"/>
    <s v="IEMKHB"/>
    <s v="IEMKHB"/>
    <s v="Não localizado cliente com CNPJ [2877632000406].&lt;-ObterCliente&lt;-MontarPnrBase&lt;-ProcessarAereo&lt;-ProcessarItemFila[b]"/>
    <x v="205"/>
    <m/>
    <s v="CLIENTE"/>
    <x v="12"/>
    <s v=""/>
    <e v="#N/A"/>
    <x v="1"/>
    <n v="24"/>
  </r>
  <r>
    <s v="RESOLVIDO"/>
    <m/>
    <x v="1"/>
    <n v="3171568"/>
    <x v="2"/>
    <d v="2025-01-09T16:34:00"/>
    <s v="UOIBUJ"/>
    <s v="UOIBUJ"/>
    <s v="Código de cliente não identificado&lt;-ObterCliente&lt;-MontarPnrBase&lt;-ProcessarAereo&lt;-ProcessarItemFila[b]"/>
    <x v="205"/>
    <m/>
    <s v="CLIENTE"/>
    <x v="14"/>
    <s v="DK DE CLIENTE NÃO PREENCIDO / CLIENTE NÃO CONFIGURADO NO OBT"/>
    <s v="INDEFINIDO"/>
    <x v="1"/>
    <s v="COLUNA I"/>
  </r>
  <r>
    <s v="RESOLVIDO"/>
    <m/>
    <x v="1"/>
    <n v="3171569"/>
    <x v="2"/>
    <d v="2025-01-31T17:03:00"/>
    <s v="LFKDWG"/>
    <s v="LFKDWG"/>
    <s v="Inserindo Accounting - (ExecSQL) - Could not convert variant of type (Null) into type (OleStr)"/>
    <x v="205"/>
    <d v="2025-01-31T20:21:00"/>
    <s v="OUTROS"/>
    <x v="11"/>
    <s v=""/>
    <s v="SISTEMA"/>
    <x v="0"/>
    <s v="COLUNA I"/>
  </r>
  <r>
    <s v="RESOLVIDO"/>
    <m/>
    <x v="1"/>
    <n v="3171573"/>
    <x v="2"/>
    <d v="2025-01-09T16:34:00"/>
    <s v="UBGCGY"/>
    <s v="UBGCGY"/>
    <s v="Código de cliente não identificado&lt;-ObterCliente&lt;-MontarPnrBase&lt;-ProcessarAereo&lt;-ProcessarItemFila[b]"/>
    <x v="205"/>
    <m/>
    <s v="CLIENTE"/>
    <x v="14"/>
    <s v="DK DE CLIENTE NÃO PREENCIDO / CLIENTE NÃO CONFIGURADO NO OBT"/>
    <s v="INDEFINIDO"/>
    <x v="1"/>
    <s v="COLUNA I"/>
  </r>
  <r>
    <s v="RESOLVIDO"/>
    <m/>
    <x v="1"/>
    <n v="3171774"/>
    <x v="2"/>
    <d v="2025-01-09T17:16:00"/>
    <s v="CBMTVY"/>
    <s v="CBMTVY"/>
    <s v="Código de cliente não identificado&lt;-ObterCliente&lt;-MontarPnrBase&lt;-ProcessarAereo&lt;-ProcessarItemFila[b]"/>
    <x v="206"/>
    <m/>
    <s v="CLIENTE"/>
    <x v="14"/>
    <s v="DK DE CLIENTE NÃO PREENCIDO / CLIENTE NÃO CONFIGURADO NO OBT"/>
    <s v="INDEFINIDO"/>
    <x v="1"/>
    <s v="COLUNA I"/>
  </r>
  <r>
    <s v="RESOLVIDO"/>
    <m/>
    <x v="1"/>
    <n v="3172340"/>
    <x v="2"/>
    <d v="2025-01-10T07:09:00"/>
    <s v="EICIHZ"/>
    <s v="EICIHZ"/>
    <s v="Não localizado cliente com CNPJ [820120000135].&lt;-ObterCliente&lt;-MontarPnrBase&lt;-ProcessarAereo&lt;-ProcessarItemFila[b]"/>
    <x v="207"/>
    <d v="2025-01-10T10:18:00"/>
    <s v="CLIENTE"/>
    <x v="12"/>
    <s v=""/>
    <e v="#N/A"/>
    <x v="1"/>
    <n v="24"/>
  </r>
  <r>
    <s v="RESOLVIDO"/>
    <m/>
    <x v="1"/>
    <n v="3172470"/>
    <x v="2"/>
    <d v="2025-02-06T10:30:00"/>
    <s v="HNOLOP"/>
    <s v="HNOLOP"/>
    <s v="Inserindo Accounting - (ExecSQL) - Could not convert variant of type (Null) into type (OleStr)"/>
    <x v="208"/>
    <d v="2025-02-06T23:10:00"/>
    <s v="OUTROS"/>
    <x v="11"/>
    <s v=""/>
    <s v="SISTEMA"/>
    <x v="0"/>
    <s v="COLUNA I"/>
  </r>
  <r>
    <s v="RESOLVIDO"/>
    <m/>
    <x v="1"/>
    <n v="3172471"/>
    <x v="2"/>
    <d v="2025-02-06T10:08:00"/>
    <s v="LJSFPG"/>
    <s v="LJSFPG"/>
    <s v="Inserindo Accounting - (ExecSQL) - Could not convert variant of type (Null) into type (OleStr)"/>
    <x v="208"/>
    <d v="2025-02-06T23:10:00"/>
    <s v="OUTROS"/>
    <x v="11"/>
    <s v=""/>
    <s v="SISTEMA"/>
    <x v="0"/>
    <s v="COLUNA I"/>
  </r>
  <r>
    <s v="RESOLVIDO"/>
    <m/>
    <x v="1"/>
    <n v="3172474"/>
    <x v="2"/>
    <d v="2025-01-10T08:26:00"/>
    <s v="MRVHRY"/>
    <s v="MRVHRY"/>
    <s v="Não localizado cliente com CNPJ [2877632000406].&lt;-ObterCliente&lt;-MontarPnrBase&lt;-ProcessarAereo&lt;-ProcessarItemFila[b]"/>
    <x v="209"/>
    <m/>
    <s v="CLIENTE"/>
    <x v="12"/>
    <s v=""/>
    <s v="INDEFINIDO"/>
    <x v="1"/>
    <n v="24"/>
  </r>
  <r>
    <s v="RESOLVIDO"/>
    <m/>
    <x v="1"/>
    <n v="3172475"/>
    <x v="2"/>
    <d v="2025-01-10T08:26:00"/>
    <s v="NPPYHO"/>
    <s v="NPPYHO"/>
    <s v="Não localizado cliente com CNPJ [820120000135].&lt;-ObterCliente&lt;-MontarPnrBase&lt;-ProcessarAereo&lt;-ProcessarItemFila[b]"/>
    <x v="209"/>
    <m/>
    <s v="CLIENTE"/>
    <x v="12"/>
    <s v=""/>
    <s v="INDEFINIDO"/>
    <x v="1"/>
    <n v="24"/>
  </r>
  <r>
    <s v="RESOLVIDO"/>
    <m/>
    <x v="1"/>
    <n v="3173273"/>
    <x v="2"/>
    <d v="2025-01-10T10:17:00"/>
    <s v="SYAKEDT"/>
    <s v="SYAKED"/>
    <s v="Não localizado cliente código [EP0CLNT100].&lt;-ObterCliente&lt;-MontarPnrBase&lt;-MontarPnr&lt;-ProcessarHotel&lt;-ProcessarItemFila[b]"/>
    <x v="210"/>
    <m/>
    <s v="CLIENTE"/>
    <x v="13"/>
    <s v="CÓDIGO DIFERENTE DO CADASTRADO NO BENNER (CLIENTE X GRUPO)"/>
    <s v="QUALIDADE DOS DADOS"/>
    <x v="0"/>
    <n v="1"/>
  </r>
  <r>
    <s v="TMS"/>
    <m/>
    <x v="2"/>
    <n v="3173404"/>
    <x v="1"/>
    <d v="2025-01-10T11:31:00"/>
    <n v="537"/>
    <n v="537"/>
    <s v="Preenchendo XML Serviço-&gt; Preenchendo XML-&gt; Montando accounting aereo 2-&gt;Não foi informado o Localizador do Assento/Bagagem!"/>
    <x v="211"/>
    <d v="2025-01-13T21:29:00"/>
    <s v="OUTROS"/>
    <x v="15"/>
    <s v="CAMPO OBSERVAÇÃO PREENCHIDO INCORRETAMENTE"/>
    <s v="QUALIDADE DOS DADOS"/>
    <x v="1"/>
    <n v="118"/>
  </r>
  <r>
    <s v="RESOLVIDO"/>
    <m/>
    <x v="1"/>
    <n v="3173862"/>
    <x v="2"/>
    <d v="2025-01-10T12:57:00"/>
    <s v="CPWOGUT"/>
    <s v="CPWOGU"/>
    <s v="Inserindo PNR - Accountings - TurVendas - Não foi possível localizar o contrato do fornecedor 49032"/>
    <x v="212"/>
    <m/>
    <s v="FORNECEDOR"/>
    <x v="10"/>
    <s v="CONTRATO INATIVO OU DIVERGENTE"/>
    <s v="SISTEMA"/>
    <x v="1"/>
    <n v="43"/>
  </r>
  <r>
    <s v="RESOLVIDO"/>
    <m/>
    <x v="1"/>
    <n v="3173865"/>
    <x v="2"/>
    <d v="2025-01-10T13:00:00"/>
    <s v="OGVEWLT"/>
    <s v="OGVEWL"/>
    <s v="Inserindo PNR - Accountings - TurVendas - Não foi possível localizar o contrato do fornecedor 49032"/>
    <x v="212"/>
    <m/>
    <s v="FORNECEDOR"/>
    <x v="10"/>
    <s v="CONTRATO INATIVO OU DIVERGENTE"/>
    <s v="SISTEMA"/>
    <x v="1"/>
    <n v="43"/>
  </r>
  <r>
    <s v="RESOLVIDO"/>
    <m/>
    <x v="1"/>
    <n v="3174031"/>
    <x v="2"/>
    <d v="2025-01-10T13:27:00"/>
    <s v="OIFUVBT"/>
    <s v="OIFUVB"/>
    <s v="Inserindo PNR - Accountings - TurVendas - Não foi possível localizar o contrato do fornecedor 49032"/>
    <x v="213"/>
    <m/>
    <s v="FORNECEDOR"/>
    <x v="10"/>
    <s v="CONTRATO INATIVO OU DIVERGENTE"/>
    <s v="SISTEMA"/>
    <x v="1"/>
    <n v="43"/>
  </r>
  <r>
    <s v="RESOLVIDO"/>
    <m/>
    <x v="1"/>
    <n v="3174249"/>
    <x v="2"/>
    <d v="2025-02-10T17:31:00"/>
    <s v="UGLOOI"/>
    <s v="UGLOOI"/>
    <s v="Inserindo Accounting - (ExecSQL) - Could not convert variant of type (Null) into type (OleStr)"/>
    <x v="214"/>
    <d v="2025-02-10T20:39:00"/>
    <s v="OUTROS"/>
    <x v="11"/>
    <s v=""/>
    <s v="SISTEMA"/>
    <x v="0"/>
    <s v="COLUNA I"/>
  </r>
  <r>
    <s v="RESOLVIDO"/>
    <m/>
    <x v="1"/>
    <n v="3174319"/>
    <x v="2"/>
    <d v="2025-01-10T15:44:00"/>
    <s v="IHPKQU"/>
    <s v="IHPKQU"/>
    <s v="Código de cliente não identificado&lt;-ObterCliente&lt;-MontarPnrBase&lt;-ProcessarAereo&lt;-ProcessarItemFila[b]"/>
    <x v="215"/>
    <m/>
    <s v="CLIENTE"/>
    <x v="14"/>
    <s v="DK DE CLIENTE NÃO PREENCIDO / CLIENTE NÃO CONFIGURADO NO OBT"/>
    <s v="INDEFINIDO"/>
    <x v="1"/>
    <s v="COLUNA I"/>
  </r>
  <r>
    <s v="RESOLVIDO"/>
    <m/>
    <x v="1"/>
    <n v="3174356"/>
    <x v="2"/>
    <d v="2025-01-10T15:44:00"/>
    <s v="FFZEHM"/>
    <s v="FFZEHM"/>
    <s v="Inserindo Accounting - (ExecSQL) - Could not convert variant of type (Null) into type (OleStr)"/>
    <x v="216"/>
    <m/>
    <s v="OUTROS"/>
    <x v="11"/>
    <s v=""/>
    <s v="SISTEMA"/>
    <x v="0"/>
    <s v="COLUNA I"/>
  </r>
  <r>
    <s v="RESOLVIDO"/>
    <m/>
    <x v="1"/>
    <n v="3174358"/>
    <x v="2"/>
    <d v="2025-01-10T15:44:00"/>
    <s v="OSYDER"/>
    <s v="OSYDER"/>
    <s v="Inserindo Accounting - (ExecSQL) - Could not convert variant of type (Null) into type (OleStr)"/>
    <x v="217"/>
    <m/>
    <s v="OUTROS"/>
    <x v="11"/>
    <s v=""/>
    <s v="SISTEMA"/>
    <x v="0"/>
    <s v="COLUNA I"/>
  </r>
  <r>
    <s v="RESOLVIDO"/>
    <m/>
    <x v="1"/>
    <n v="3174360"/>
    <x v="2"/>
    <d v="2025-01-10T15:44:00"/>
    <s v="FXEFLN"/>
    <s v="FXEFLN"/>
    <s v="Não localizado cliente com CNPJ [2877632000406].&lt;-ObterCliente&lt;-MontarPnrBase&lt;-ProcessarAereo&lt;-ProcessarItemFila[b]"/>
    <x v="217"/>
    <m/>
    <s v="CLIENTE"/>
    <x v="12"/>
    <s v=""/>
    <s v="INDEFINIDO"/>
    <x v="1"/>
    <n v="24"/>
  </r>
  <r>
    <s v="RESOLVIDO"/>
    <m/>
    <x v="1"/>
    <n v="3174361"/>
    <x v="2"/>
    <d v="2025-01-10T15:44:00"/>
    <s v="MHLXAU"/>
    <s v="MHLXAU"/>
    <s v="Não localizado cliente com CNPJ [2877632000406].&lt;-ObterCliente&lt;-MontarPnrBase&lt;-ProcessarAereo&lt;-ProcessarItemFila[b]"/>
    <x v="217"/>
    <m/>
    <s v="CLIENTE"/>
    <x v="12"/>
    <s v=""/>
    <s v="INDEFINIDO"/>
    <x v="1"/>
    <n v="24"/>
  </r>
  <r>
    <s v="RESOLVIDO"/>
    <m/>
    <x v="1"/>
    <n v="3174362"/>
    <x v="2"/>
    <d v="2025-01-10T15:44:00"/>
    <s v="MQOODP"/>
    <s v="MQOODP"/>
    <s v="Não localizado cliente com CNPJ [2877632000406].&lt;-ObterCliente&lt;-MontarPnrBase&lt;-ProcessarAereo&lt;-ProcessarItemFila[b]"/>
    <x v="218"/>
    <m/>
    <s v="CLIENTE"/>
    <x v="12"/>
    <s v=""/>
    <s v="QUALIDADE DOS DADOS"/>
    <x v="1"/>
    <n v="24"/>
  </r>
  <r>
    <s v="RESOLVIDO"/>
    <m/>
    <x v="1"/>
    <n v="3174364"/>
    <x v="2"/>
    <d v="2025-01-10T15:44:00"/>
    <s v="EJCREZ"/>
    <s v="EJCREZ"/>
    <s v="Código de cliente não identificado&lt;-ObterCliente&lt;-MontarPnrBase&lt;-ProcessarAereo&lt;-ProcessarItemFila[b]"/>
    <x v="218"/>
    <m/>
    <s v="CLIENTE"/>
    <x v="14"/>
    <s v="DK DE CLIENTE NÃO PREENCIDO / CLIENTE NÃO CONFIGURADO NO OBT"/>
    <s v="INDEFINIDO"/>
    <x v="1"/>
    <s v="COLUNA I"/>
  </r>
  <r>
    <s v="RESOLVIDO"/>
    <m/>
    <x v="1"/>
    <n v="3174367"/>
    <x v="2"/>
    <d v="2025-01-10T15:44:00"/>
    <s v="NHWQLX"/>
    <s v="NHWQLX"/>
    <s v="Não localizado cliente com CNPJ [JTI PROCESSADORA].&lt;-ObterCliente&lt;-MontarPnrBase&lt;-ProcessarAereo&lt;-ProcessarItemFila[b]"/>
    <x v="219"/>
    <m/>
    <s v="CLIENTE"/>
    <x v="12"/>
    <s v=""/>
    <s v="QUALIDADE DOS DADOS"/>
    <x v="1"/>
    <n v="24"/>
  </r>
  <r>
    <s v="RESOLVIDO"/>
    <m/>
    <x v="1"/>
    <n v="3174381"/>
    <x v="2"/>
    <d v="2025-01-10T15:44:00"/>
    <s v="OLTSRA"/>
    <s v="OLTSRA"/>
    <s v="Não localizado cliente código [0000063625].&lt;-ObterCliente&lt;-MontarPnrBase&lt;-ProcessarAereo&lt;-ProcessarItemFila[b]"/>
    <x v="220"/>
    <m/>
    <s v="CLIENTE"/>
    <x v="13"/>
    <s v="CÓDIGO DIFERENTE DO CADASTRADO NO BENNER (CLIENTE X GRUPO)"/>
    <s v="QUALIDADE DOS DADOS"/>
    <x v="0"/>
    <n v="1"/>
  </r>
  <r>
    <s v="RESOLVIDO"/>
    <m/>
    <x v="1"/>
    <n v="3174384"/>
    <x v="2"/>
    <d v="2025-01-10T15:44:00"/>
    <s v="FCFVHA"/>
    <s v="FCFVHA"/>
    <s v="Não localizado cliente código [0000063625].&lt;-ObterCliente&lt;-MontarPnrBase&lt;-ProcessarAereo&lt;-ProcessarItemFila[b]"/>
    <x v="221"/>
    <m/>
    <s v="CLIENTE"/>
    <x v="13"/>
    <s v="CÓDIGO DIFERENTE DO CADASTRADO NO BENNER (CLIENTE X GRUPO)"/>
    <s v="QUALIDADE DOS DADOS"/>
    <x v="0"/>
    <n v="1"/>
  </r>
  <r>
    <s v="RESOLVIDO"/>
    <m/>
    <x v="1"/>
    <n v="3174433"/>
    <x v="2"/>
    <d v="2025-02-24T07:22:00"/>
    <s v="GJDKDG"/>
    <s v="GJDKDG"/>
    <s v="Inserindo Accounting - (ExecSQL) - Could not convert variant of type (Null) into type (OleStr)"/>
    <x v="222"/>
    <d v="2025-02-24T10:37:00"/>
    <s v="OUTROS"/>
    <x v="11"/>
    <s v=""/>
    <s v="SISTEMA"/>
    <x v="0"/>
    <s v="COLUNA I"/>
  </r>
  <r>
    <s v="TMS"/>
    <m/>
    <x v="2"/>
    <n v="3174835"/>
    <x v="1"/>
    <d v="2025-01-10T17:52:00"/>
    <n v="456"/>
    <n v="456"/>
    <s v="Preenchendo XML Serviço-&gt; Preenchendo XML-&gt; Montando accounting aereo 2-&gt;Não foi informado o Localizador do Assento/Bagagem!"/>
    <x v="223"/>
    <d v="2025-01-13T21:40:00"/>
    <s v="OUTROS"/>
    <x v="15"/>
    <s v="CAMPO OBSERVAÇÃO PREENCHIDO INCORRETAMENTE"/>
    <s v="QUALIDADE DOS DADOS"/>
    <x v="1"/>
    <n v="118"/>
  </r>
  <r>
    <s v="RESOLVIDO"/>
    <m/>
    <x v="1"/>
    <n v="3174951"/>
    <x v="2"/>
    <d v="2025-01-10T17:32:00"/>
    <s v="HKODEU"/>
    <s v="HKODEU"/>
    <s v="Não localizado cliente código [0000286569].&lt;-ObterCliente&lt;-MontarPnrBase&lt;-ProcessarAereo&lt;-ProcessarItemFila[b]"/>
    <x v="224"/>
    <m/>
    <s v="CLIENTE"/>
    <x v="13"/>
    <s v="CÓDIGO DIFERENTE DO CADASTRADO NO BENNER (CLIENTE X GRUPO)"/>
    <s v="QUALIDADE DOS DADOS"/>
    <x v="0"/>
    <n v="1"/>
  </r>
  <r>
    <s v="RESOLVIDO"/>
    <m/>
    <x v="1"/>
    <n v="3176188"/>
    <x v="2"/>
    <d v="2025-01-13T08:50:00"/>
    <s v="AZBJEL"/>
    <s v="AZBJEL"/>
    <s v="Não localizado cliente código [0000392619].&lt;-ObterCliente&lt;-MontarPnrBase&lt;-ProcessarAereo&lt;-ProcessarItemFila[b]"/>
    <x v="225"/>
    <m/>
    <s v="CLIENTE"/>
    <x v="13"/>
    <s v="CÓDIGO DIFERENTE DO CADASTRADO NO BENNER (CLIENTE X GRUPO)"/>
    <s v="QUALIDADE DOS DADOS"/>
    <x v="0"/>
    <n v="1"/>
  </r>
  <r>
    <s v="RESOLVIDO"/>
    <m/>
    <x v="1"/>
    <n v="3176190"/>
    <x v="2"/>
    <d v="2025-01-13T08:50:00"/>
    <s v="EYHOWO"/>
    <s v="EYHOWO"/>
    <s v="Inserindo Accounting - (ExecSQL) - Could not convert variant of type (Null) into type (OleStr)"/>
    <x v="226"/>
    <m/>
    <s v="OUTROS"/>
    <x v="11"/>
    <s v=""/>
    <s v="SISTEMA"/>
    <x v="0"/>
    <s v="COLUNA I"/>
  </r>
  <r>
    <s v="RESOLVIDO"/>
    <m/>
    <x v="1"/>
    <n v="3176311"/>
    <x v="2"/>
    <d v="2025-01-13T10:25:00"/>
    <s v="QAYJCP"/>
    <s v="QAYJCP"/>
    <s v="Inserindo Accounting - (ExecSQL) - Could not convert variant of type (Null) into type (OleStr)"/>
    <x v="227"/>
    <m/>
    <s v="OUTROS"/>
    <x v="11"/>
    <s v=""/>
    <s v="SISTEMA"/>
    <x v="0"/>
    <s v="COLUNA I"/>
  </r>
  <r>
    <s v="RESOLVIDO"/>
    <m/>
    <x v="1"/>
    <n v="3176352"/>
    <x v="2"/>
    <d v="2025-01-13T11:05:00"/>
    <s v="AVSCANT"/>
    <s v="AVSCAN"/>
    <s v="Inserindo PNR - Accountings - TurVendas - Não foi possível localizar o contrato do fornecedor 49032"/>
    <x v="228"/>
    <m/>
    <s v="FORNECEDOR"/>
    <x v="10"/>
    <s v="CONTRATO INATIVO OU DIVERGENTE"/>
    <s v="SISTEMA"/>
    <x v="1"/>
    <n v="43"/>
  </r>
  <r>
    <s v="RESOLVIDO"/>
    <m/>
    <x v="1"/>
    <n v="3176354"/>
    <x v="2"/>
    <d v="2025-01-13T11:08:00"/>
    <s v="UGZZJJT"/>
    <s v="UGZZJJ"/>
    <s v="Inserindo PNR - Accountings - TurVendas - Não foi possível localizar o contrato do fornecedor 49032"/>
    <x v="229"/>
    <m/>
    <s v="FORNECEDOR"/>
    <x v="10"/>
    <s v="CONTRATO INATIVO OU DIVERGENTE"/>
    <s v="SISTEMA"/>
    <x v="1"/>
    <n v="43"/>
  </r>
  <r>
    <s v="RESOLVIDO"/>
    <m/>
    <x v="1"/>
    <n v="3177504"/>
    <x v="2"/>
    <d v="2025-01-13T17:08:00"/>
    <s v="QEIUFZ"/>
    <s v="QEIUFZ"/>
    <s v="Não localizado cliente com CNPJ [820120000135].&lt;-ObterCliente&lt;-MontarPnrBase&lt;-ProcessarAereo&lt;-ProcessarItemFila[b]"/>
    <x v="230"/>
    <d v="2025-01-13T20:19:00"/>
    <s v="CLIENTE"/>
    <x v="12"/>
    <s v=""/>
    <s v="INDEFINIDO"/>
    <x v="1"/>
    <n v="24"/>
  </r>
  <r>
    <s v="RESOLVIDO"/>
    <m/>
    <x v="1"/>
    <n v="3177505"/>
    <x v="2"/>
    <d v="2025-01-13T17:08:00"/>
    <s v="QILLPV"/>
    <s v="QILLPV"/>
    <s v="Não localizado cliente com CNPJ [820120000135].&lt;-ObterCliente&lt;-MontarPnrBase&lt;-ProcessarAereo&lt;-ProcessarItemFila[b]"/>
    <x v="231"/>
    <d v="2025-01-13T20:19:00"/>
    <s v="CLIENTE"/>
    <x v="12"/>
    <s v=""/>
    <s v="SISTEMA"/>
    <x v="1"/>
    <n v="24"/>
  </r>
  <r>
    <s v="RESOLVIDO"/>
    <m/>
    <x v="1"/>
    <n v="3177804"/>
    <x v="2"/>
    <d v="2025-01-13T17:08:00"/>
    <s v="HTZKRQ"/>
    <s v="HTZKRQ"/>
    <s v="Não localizado cliente código [1145032332].&lt;-ObterCliente&lt;-MontarPnrBase&lt;-ProcessarAereo&lt;-ProcessarItemFila[b]"/>
    <x v="232"/>
    <m/>
    <s v="CLIENTE"/>
    <x v="13"/>
    <s v="CÓDIGO DIFERENTE DO CADASTRADO NO BENNER (CLIENTE X GRUPO)"/>
    <s v="QUALIDADE DOS DADOS"/>
    <x v="0"/>
    <n v="1"/>
  </r>
  <r>
    <s v="RESOLVIDO"/>
    <m/>
    <x v="1"/>
    <n v="3177807"/>
    <x v="2"/>
    <d v="2025-01-13T17:08:00"/>
    <s v="UZPNOR"/>
    <s v="UZPNOR"/>
    <s v="Código de cliente não identificado&lt;-ObterCliente&lt;-MontarPnrBase&lt;-ProcessarAereo&lt;-ProcessarItemFila[b]"/>
    <x v="232"/>
    <m/>
    <s v="CLIENTE"/>
    <x v="14"/>
    <s v="DK DE CLIENTE NÃO PREENCIDO / CLIENTE NÃO CONFIGURADO NO OBT"/>
    <s v="INDEFINIDO"/>
    <x v="1"/>
    <s v="COLUNA I"/>
  </r>
  <r>
    <s v="RESOLVIDO"/>
    <m/>
    <x v="1"/>
    <n v="3177811"/>
    <x v="2"/>
    <d v="2025-01-13T17:08:00"/>
    <s v="QMHCKV"/>
    <s v="QMHCKV"/>
    <s v="Não localizado cliente código [0000583808].&lt;-ObterCliente&lt;-MontarPnrBase&lt;-ProcessarAereo&lt;-ProcessarItemFila[b]"/>
    <x v="233"/>
    <m/>
    <s v="CLIENTE"/>
    <x v="13"/>
    <s v="CÓDIGO DIFERENTE DO CADASTRADO NO BENNER (CLIENTE X GRUPO)"/>
    <s v="QUALIDADE DOS DADOS"/>
    <x v="0"/>
    <n v="1"/>
  </r>
  <r>
    <s v="RESOLVIDO"/>
    <m/>
    <x v="1"/>
    <n v="3177814"/>
    <x v="2"/>
    <d v="2025-01-13T17:08:00"/>
    <s v="YVOMEQ"/>
    <s v="YVOMEQ"/>
    <s v="Não localizado cliente código [1234567890].&lt;-ObterCliente&lt;-MontarPnrBase&lt;-ProcessarAereo&lt;-ProcessarItemFila[b]"/>
    <x v="233"/>
    <m/>
    <s v="CLIENTE"/>
    <x v="13"/>
    <s v="CÓDIGO DIFERENTE DO CADASTRADO NO BENNER (CLIENTE X GRUPO)"/>
    <s v="QUALIDADE DOS DADOS"/>
    <x v="0"/>
    <n v="1"/>
  </r>
  <r>
    <s v="RESOLVIDO"/>
    <m/>
    <x v="1"/>
    <n v="3177816"/>
    <x v="2"/>
    <d v="2025-01-13T17:08:00"/>
    <s v="QKKCWB"/>
    <s v="QKKCWB"/>
    <s v="Código de cliente não identificado&lt;-ObterCliente&lt;-MontarPnrBase&lt;-ProcessarAereo&lt;-ProcessarItemFila[b]"/>
    <x v="234"/>
    <m/>
    <s v="CLIENTE"/>
    <x v="14"/>
    <s v="DK DE CLIENTE NÃO PREENCIDO / CLIENTE NÃO CONFIGURADO NO OBT"/>
    <s v="INDEFINIDO"/>
    <x v="1"/>
    <s v="COLUNA I"/>
  </r>
  <r>
    <s v="RESOLVIDO"/>
    <m/>
    <x v="1"/>
    <n v="3177817"/>
    <x v="2"/>
    <d v="2025-01-14T06:58:00"/>
    <s v="HFZIQG"/>
    <s v="HFZIQG"/>
    <s v="Não localizado cliente com CNPJ [820120000135].&lt;-ObterCliente&lt;-MontarPnrBase&lt;-ProcessarAereo&lt;-ProcessarItemFila[b]"/>
    <x v="234"/>
    <d v="2025-01-14T10:03:00"/>
    <s v="CLIENTE"/>
    <x v="12"/>
    <s v=""/>
    <s v="QUALIDADE DOS DADOS"/>
    <x v="1"/>
    <n v="24"/>
  </r>
  <r>
    <s v="RESOLVIDO"/>
    <m/>
    <x v="1"/>
    <n v="3177818"/>
    <x v="2"/>
    <d v="2025-01-13T17:29:00"/>
    <s v="ILMQQU"/>
    <s v="ILMQQU"/>
    <s v="Não localizado cliente código [0000063625].&lt;-ObterCliente&lt;-MontarPnrBase&lt;-ProcessarAereo&lt;-ProcessarItemFila[b]"/>
    <x v="234"/>
    <d v="2025-01-13T20:33:00"/>
    <s v="CLIENTE"/>
    <x v="13"/>
    <s v="CÓDIGO DIFERENTE DO CADASTRADO NO BENNER (CLIENTE X GRUPO)"/>
    <s v="QUALIDADE DOS DADOS"/>
    <x v="0"/>
    <n v="1"/>
  </r>
  <r>
    <s v="RESOLVIDO"/>
    <m/>
    <x v="1"/>
    <n v="3177819"/>
    <x v="2"/>
    <d v="2025-01-13T17:08:00"/>
    <s v="KOXXSW"/>
    <s v="KOXXSW"/>
    <s v="Não localizado cliente código [0000583808].&lt;-ObterCliente&lt;-MontarPnrBase&lt;-ProcessarAereo&lt;-ProcessarItemFila[b]"/>
    <x v="234"/>
    <m/>
    <s v="CLIENTE"/>
    <x v="13"/>
    <s v="CÓDIGO DIFERENTE DO CADASTRADO NO BENNER (CLIENTE X GRUPO)"/>
    <s v="QUALIDADE DOS DADOS"/>
    <x v="0"/>
    <n v="1"/>
  </r>
  <r>
    <s v="TMS"/>
    <m/>
    <x v="2"/>
    <n v="3178775"/>
    <x v="1"/>
    <d v="2025-01-14T09:12:00"/>
    <n v="459"/>
    <n v="459"/>
    <s v="Preenchendo XML Serviço-&gt; Preenchendo XML-&gt; Montando accounting aereo 3-&gt;Reserva KOXXSW não encontrada para importar assento/bagagem!"/>
    <x v="235"/>
    <d v="2025-01-17T22:50:00"/>
    <s v="OUTROS"/>
    <x v="15"/>
    <s v="CAMPO OBSERVAÇÃO PREENCHIDO INCORRETAMENTE"/>
    <s v="QUALIDADE DOS DADOS"/>
    <x v="1"/>
    <n v="127"/>
  </r>
  <r>
    <s v="TMS"/>
    <m/>
    <x v="2"/>
    <n v="3178776"/>
    <x v="1"/>
    <d v="2025-01-14T09:11:00"/>
    <n v="454"/>
    <n v="454"/>
    <s v="Preenchendo XML Serviço-&gt; Preenchendo XML-&gt; Montando accounting aereo 3-&gt;Reserva KOXXSW não encontrada para importar assento/bagagem!"/>
    <x v="235"/>
    <d v="2025-01-17T22:50:00"/>
    <s v="OUTROS"/>
    <x v="15"/>
    <s v="CAMPO OBSERVAÇÃO PREENCHIDO INCORRETAMENTE"/>
    <s v="QUALIDADE DOS DADOS"/>
    <x v="1"/>
    <n v="127"/>
  </r>
  <r>
    <s v="TMS"/>
    <m/>
    <x v="2"/>
    <n v="3178777"/>
    <x v="1"/>
    <d v="2025-01-14T09:10:00"/>
    <n v="452"/>
    <n v="452"/>
    <s v="Preenchendo XML Serviço-&gt; Preenchendo XML-&gt; Montando accounting aereo 3-&gt;Reserva KOXXSW não encontrada para importar assento/bagagem!"/>
    <x v="235"/>
    <d v="2025-01-17T22:50:00"/>
    <s v="OUTROS"/>
    <x v="15"/>
    <s v="CAMPO OBSERVAÇÃO PREENCHIDO INCORRETAMENTE"/>
    <s v="QUALIDADE DOS DADOS"/>
    <x v="1"/>
    <n v="127"/>
  </r>
  <r>
    <s v="RESOLVIDO"/>
    <m/>
    <x v="1"/>
    <n v="3178964"/>
    <x v="2"/>
    <d v="2025-01-14T13:15:00"/>
    <s v="FQORIY"/>
    <s v="FQORIY"/>
    <s v="Não localizado cliente com CNPJ [820120000135].&lt;-ObterCliente&lt;-MontarPnrBase&lt;-ProcessarAereo&lt;-ProcessarItemFila[b]"/>
    <x v="236"/>
    <d v="2025-01-14T16:18:00"/>
    <s v="CLIENTE"/>
    <x v="12"/>
    <s v=""/>
    <s v="QUALIDADE DOS DADOS"/>
    <x v="1"/>
    <n v="24"/>
  </r>
  <r>
    <s v="RESOLVIDO"/>
    <m/>
    <x v="1"/>
    <n v="3179894"/>
    <x v="2"/>
    <d v="2025-01-14T13:15:00"/>
    <s v="YAORMN"/>
    <s v="YAORMN"/>
    <s v="Não localizado cliente código [1234567890].&lt;-ObterCliente&lt;-MontarPnrBase&lt;-ProcessarAereo&lt;-ProcessarItemFila[b]"/>
    <x v="237"/>
    <m/>
    <s v="CLIENTE"/>
    <x v="13"/>
    <s v="CÓDIGO DIFERENTE DO CADASTRADO NO BENNER (CLIENTE X GRUPO)"/>
    <s v="QUALIDADE DOS DADOS"/>
    <x v="0"/>
    <n v="1"/>
  </r>
  <r>
    <s v="RESOLVIDO"/>
    <m/>
    <x v="1"/>
    <n v="3179899"/>
    <x v="2"/>
    <d v="2025-01-14T13:15:00"/>
    <s v="GHJZQG"/>
    <s v="GHJZQG"/>
    <s v="Não localizado cliente com CNPJ [8373694000114].&lt;-ObterCliente&lt;-MontarPnrBase&lt;-ProcessarAereo&lt;-ProcessarItemFila[b]"/>
    <x v="238"/>
    <m/>
    <s v="CLIENTE"/>
    <x v="12"/>
    <s v=""/>
    <s v="QUALIDADE DOS DADOS"/>
    <x v="1"/>
    <n v="24"/>
  </r>
  <r>
    <s v="RESOLVIDO"/>
    <m/>
    <x v="1"/>
    <n v="3180489"/>
    <x v="2"/>
    <d v="2025-01-14T14:36:00"/>
    <s v="CDVMNIT"/>
    <s v="CDVMNI"/>
    <s v="Inserindo PNR - Accountings - TurVendas - Não foi possível localizar o contrato do fornecedor 49032"/>
    <x v="239"/>
    <m/>
    <s v="FORNECEDOR"/>
    <x v="10"/>
    <s v="CONTRATO INATIVO OU DIVERGENTE"/>
    <s v="SISTEMA"/>
    <x v="1"/>
    <n v="43"/>
  </r>
  <r>
    <s v="RESOLVIDO"/>
    <m/>
    <x v="1"/>
    <n v="3180534"/>
    <x v="2"/>
    <d v="2025-01-14T15:11:00"/>
    <s v="COPUFF"/>
    <s v="COPUFF"/>
    <s v="Não localizado cliente com CNPJ [8373694000114].&lt;-ObterCliente&lt;-MontarPnrBase&lt;-ProcessarAereo&lt;-ProcessarItemFila[b]"/>
    <x v="240"/>
    <m/>
    <s v="CLIENTE"/>
    <x v="12"/>
    <s v=""/>
    <s v="QUALIDADE DOS DADOS"/>
    <x v="1"/>
    <n v="24"/>
  </r>
  <r>
    <s v="GOVER"/>
    <m/>
    <x v="2"/>
    <n v="3180572"/>
    <x v="0"/>
    <d v="2025-01-10T10:54:00"/>
    <n v="4471995"/>
    <s v="MVBHOT"/>
    <s v="Inserindo PNR - Accountings - TurVendas - Não foi possível localizar o contrato do fornecedor PK"/>
    <x v="241"/>
    <d v="2025-02-11T09:54:00"/>
    <s v="FORNECEDOR"/>
    <x v="10"/>
    <s v="CONTRATO INATIVO OU DIVERGENTE"/>
    <s v="SISTEMA"/>
    <x v="1"/>
    <n v="43"/>
  </r>
  <r>
    <s v="RESOLVIDO"/>
    <m/>
    <x v="1"/>
    <n v="3180642"/>
    <x v="2"/>
    <d v="2025-01-20T17:21:00"/>
    <s v="YEHCVD"/>
    <s v="YEHCVD"/>
    <s v="Inserindo Accounting - (ExecSQL) - Could not convert variant of type (Null) into type (OleStr)"/>
    <x v="242"/>
    <d v="2025-01-20T20:34:00"/>
    <s v="OUTROS"/>
    <x v="11"/>
    <s v=""/>
    <s v="SISTEMA"/>
    <x v="0"/>
    <s v="COLUNA I"/>
  </r>
  <r>
    <s v="RESOLVIDO"/>
    <m/>
    <x v="1"/>
    <n v="3180643"/>
    <x v="2"/>
    <d v="2025-01-14T17:05:00"/>
    <s v="ILHKHA"/>
    <s v="ILHKHA"/>
    <s v="Não localizado cliente código [0000063625].&lt;-ObterCliente&lt;-MontarPnrBase&lt;-ProcessarAereo&lt;-ProcessarItemFila[b]"/>
    <x v="242"/>
    <m/>
    <s v="CLIENTE"/>
    <x v="13"/>
    <s v="CÓDIGO DIFERENTE DO CADASTRADO NO BENNER (CLIENTE X GRUPO)"/>
    <s v="QUALIDADE DOS DADOS"/>
    <x v="0"/>
    <n v="1"/>
  </r>
  <r>
    <s v="RESOLVIDO"/>
    <m/>
    <x v="1"/>
    <n v="3180644"/>
    <x v="2"/>
    <d v="2025-01-14T17:05:00"/>
    <s v="WXEOGL"/>
    <s v="WXEOGL"/>
    <s v="Código de cliente não identificado&lt;-ObterCliente&lt;-MontarPnrBase&lt;-ProcessarAereo&lt;-ProcessarItemFila[b]"/>
    <x v="242"/>
    <m/>
    <s v="CLIENTE"/>
    <x v="14"/>
    <s v="DK DE CLIENTE NÃO PREENCIDO / CLIENTE NÃO CONFIGURADO NO OBT"/>
    <s v="INDEFINIDO"/>
    <x v="1"/>
    <s v="COLUNA I"/>
  </r>
  <r>
    <s v="RESOLVIDO"/>
    <m/>
    <x v="1"/>
    <n v="3181775"/>
    <x v="2"/>
    <d v="2025-01-15T08:20:00"/>
    <s v="DBLLXKT"/>
    <s v="DBLLXK"/>
    <s v="Inserindo PNR - Accountings - TurVendas - Não foi possível localizar o contrato do fornecedor 49032"/>
    <x v="243"/>
    <m/>
    <s v="FORNECEDOR"/>
    <x v="10"/>
    <s v="CONTRATO INATIVO OU DIVERGENTE"/>
    <s v="SISTEMA"/>
    <x v="1"/>
    <n v="43"/>
  </r>
  <r>
    <s v="RESOLVIDO"/>
    <m/>
    <x v="1"/>
    <n v="3183041"/>
    <x v="2"/>
    <d v="2025-01-15T14:14:00"/>
    <s v="DBNKSR"/>
    <s v="DBNKSR"/>
    <s v="Não localizado cliente com CNPJ [820120000135].&lt;-ObterCliente&lt;-MontarPnrBase&lt;-ProcessarAereo&lt;-ProcessarItemFila[b]"/>
    <x v="244"/>
    <m/>
    <s v="CLIENTE"/>
    <x v="12"/>
    <s v=""/>
    <s v="QUALIDADE DOS DADOS"/>
    <x v="1"/>
    <n v="24"/>
  </r>
  <r>
    <s v="RESOLVIDO"/>
    <m/>
    <x v="1"/>
    <n v="3183044"/>
    <x v="2"/>
    <d v="2025-01-15T14:14:00"/>
    <s v="JSOGFX"/>
    <s v="JSOGFX"/>
    <s v="Não localizado cliente com CNPJ [820120000135].&lt;-ObterCliente&lt;-MontarPnrBase&lt;-ProcessarAereo&lt;-ProcessarItemFila[b]"/>
    <x v="245"/>
    <m/>
    <s v="CLIENTE"/>
    <x v="12"/>
    <s v=""/>
    <e v="#N/A"/>
    <x v="1"/>
    <n v="24"/>
  </r>
  <r>
    <s v="RESOLVIDO"/>
    <m/>
    <x v="1"/>
    <n v="3183083"/>
    <x v="2"/>
    <d v="2025-01-15T14:14:00"/>
    <s v="UUIZQN"/>
    <s v="UUIZQN"/>
    <s v="Não localizado cliente código [1234567890].&lt;-ObterCliente&lt;-MontarPnrBase&lt;-ProcessarAereo&lt;-ProcessarItemFila[b]"/>
    <x v="246"/>
    <m/>
    <s v="CLIENTE"/>
    <x v="13"/>
    <s v="CÓDIGO DIFERENTE DO CADASTRADO NO BENNER (CLIENTE X GRUPO)"/>
    <s v="QUALIDADE DOS DADOS"/>
    <x v="0"/>
    <n v="1"/>
  </r>
  <r>
    <s v="RESOLVIDO"/>
    <m/>
    <x v="1"/>
    <n v="3183101"/>
    <x v="2"/>
    <d v="2025-01-15T14:14:00"/>
    <s v="OHQQHX"/>
    <s v="OHQQHX"/>
    <s v="Não localizado cliente código [0000392619].&lt;-ObterCliente&lt;-MontarPnrBase&lt;-ProcessarAereo&lt;-ProcessarItemFila[b]"/>
    <x v="247"/>
    <m/>
    <s v="CLIENTE"/>
    <x v="13"/>
    <s v="CÓDIGO DIFERENTE DO CADASTRADO NO BENNER (CLIENTE X GRUPO)"/>
    <s v="QUALIDADE DOS DADOS"/>
    <x v="0"/>
    <n v="1"/>
  </r>
  <r>
    <s v="RESOLVIDO"/>
    <m/>
    <x v="1"/>
    <n v="3183103"/>
    <x v="2"/>
    <d v="2025-01-15T14:23:00"/>
    <s v="DZCQSR"/>
    <s v="DZCQSR"/>
    <s v="Não localizado cliente com CNPJ [820120000135].&lt;-ObterCliente&lt;-MontarPnrBase&lt;-ProcessarAereo&lt;-ProcessarItemFila[b]"/>
    <x v="248"/>
    <d v="2025-01-15T17:48:00"/>
    <s v="CLIENTE"/>
    <x v="12"/>
    <s v=""/>
    <s v="QUALIDADE DOS DADOS"/>
    <x v="1"/>
    <n v="24"/>
  </r>
  <r>
    <s v="RESOLVIDO"/>
    <m/>
    <x v="1"/>
    <n v="3183105"/>
    <x v="2"/>
    <d v="2025-01-15T14:14:00"/>
    <s v="OAFPQC"/>
    <s v="OAFPQC"/>
    <s v="Não localizado cliente código [2145032332].&lt;-ObterCliente&lt;-MontarPnrBase&lt;-ProcessarAereo&lt;-ProcessarItemFila[b]"/>
    <x v="248"/>
    <m/>
    <s v="CLIENTE"/>
    <x v="13"/>
    <s v="CÓDIGO DIFERENTE DO CADASTRADO NO BENNER (CLIENTE X GRUPO)"/>
    <s v="QUALIDADE DOS DADOS"/>
    <x v="0"/>
    <n v="1"/>
  </r>
  <r>
    <s v="RESOLVIDO"/>
    <m/>
    <x v="1"/>
    <n v="3183174"/>
    <x v="2"/>
    <d v="2025-01-15T14:44:00"/>
    <s v="IFCIXLT"/>
    <s v="IFCIXL"/>
    <s v="Código de cliente não identificado&lt;-ObterCliente&lt;-MontarPnrBase&lt;-MontarPnr&lt;-ProcessarHotel&lt;-ProcessarItemFila[b]"/>
    <x v="249"/>
    <m/>
    <s v="CLIENTE"/>
    <x v="14"/>
    <s v="DK DE CLIENTE NÃO PREENCIDO / CLIENTE NÃO CONFIGURADO NO OBT"/>
    <s v="INDEFINIDO"/>
    <x v="1"/>
    <s v="COLUNA I"/>
  </r>
  <r>
    <s v="RESOLVIDO"/>
    <m/>
    <x v="1"/>
    <n v="3183289"/>
    <x v="2"/>
    <d v="2025-01-15T15:28:00"/>
    <s v="HOGPDAT"/>
    <s v="HOGPDA"/>
    <s v="Inserindo PNR - Accountings - TurVendas - Não foi possível localizar o contrato do fornecedor 49032"/>
    <x v="250"/>
    <m/>
    <s v="FORNECEDOR"/>
    <x v="10"/>
    <s v="CONTRATO INATIVO OU DIVERGENTE"/>
    <s v="SISTEMA"/>
    <x v="1"/>
    <n v="43"/>
  </r>
  <r>
    <s v="RESOLVIDO"/>
    <m/>
    <x v="1"/>
    <n v="3183363"/>
    <x v="2"/>
    <d v="2025-03-07T17:41:00"/>
    <s v="UIMUOD"/>
    <s v="UIMUOD"/>
    <s v="Inserindo Accounting - (ExecSQL) - Could not convert variant of type (Null) into type (OleStr)"/>
    <x v="251"/>
    <d v="2025-03-07T20:49:00"/>
    <s v="OUTROS"/>
    <x v="11"/>
    <s v=""/>
    <s v="SISTEMA"/>
    <x v="0"/>
    <s v="COLUNA I"/>
  </r>
  <r>
    <s v="RESOLVIDO"/>
    <m/>
    <x v="1"/>
    <n v="3183393"/>
    <x v="2"/>
    <d v="2025-01-15T17:33:00"/>
    <s v="CLQLHO"/>
    <s v="CLQLHO"/>
    <s v="Não localizado cliente código [0000583808].&lt;-ObterCliente&lt;-MontarPnrBase&lt;-ProcessarAereo&lt;-ProcessarItemFila[b]"/>
    <x v="252"/>
    <m/>
    <s v="CLIENTE"/>
    <x v="13"/>
    <s v="CÓDIGO DIFERENTE DO CADASTRADO NO BENNER (CLIENTE X GRUPO)"/>
    <s v="QUALIDADE DOS DADOS"/>
    <x v="0"/>
    <n v="1"/>
  </r>
  <r>
    <s v="RESOLVIDO"/>
    <m/>
    <x v="1"/>
    <n v="3183395"/>
    <x v="2"/>
    <d v="2025-01-17T17:29:00"/>
    <s v="WVKYLD"/>
    <s v="WVKYLD"/>
    <s v="Não localizado cliente código [1234567890].&lt;-ObterCliente&lt;-MontarPnrBase&lt;-ProcessarAereo&lt;-ProcessarItemFila[b]"/>
    <x v="252"/>
    <d v="2025-01-17T20:39:00"/>
    <s v="CLIENTE"/>
    <x v="13"/>
    <s v="CÓDIGO DIFERENTE DO CADASTRADO NO BENNER (CLIENTE X GRUPO)"/>
    <s v="QUALIDADE DOS DADOS"/>
    <x v="0"/>
    <n v="1"/>
  </r>
  <r>
    <s v="RESOLVIDO"/>
    <m/>
    <x v="1"/>
    <n v="3183396"/>
    <x v="2"/>
    <d v="2025-01-15T17:33:00"/>
    <s v="ACGUKN"/>
    <s v="ACGUKN"/>
    <s v="Não localizado cliente código [1234567890].&lt;-ObterCliente&lt;-MontarPnrBase&lt;-ProcessarAereo&lt;-ProcessarItemFila[b]"/>
    <x v="253"/>
    <m/>
    <s v="CLIENTE"/>
    <x v="13"/>
    <s v="CÓDIGO DIFERENTE DO CADASTRADO NO BENNER (CLIENTE X GRUPO)"/>
    <s v="QUALIDADE DOS DADOS"/>
    <x v="0"/>
    <n v="1"/>
  </r>
  <r>
    <s v="RESOLVIDO"/>
    <m/>
    <x v="1"/>
    <n v="3183402"/>
    <x v="2"/>
    <d v="2025-01-15T17:33:00"/>
    <s v="AUOZUQ"/>
    <s v="AUOZUQ"/>
    <s v="Código de cliente não identificado&lt;-ObterCliente&lt;-MontarPnrBase&lt;-ProcessarAereo&lt;-ProcessarItemFila[b]"/>
    <x v="253"/>
    <m/>
    <s v="CLIENTE"/>
    <x v="14"/>
    <s v="DK DE CLIENTE NÃO PREENCIDO / CLIENTE NÃO CONFIGURADO NO OBT"/>
    <s v="INDEFINIDO"/>
    <x v="1"/>
    <s v="COLUNA I"/>
  </r>
  <r>
    <s v="RESOLVIDO"/>
    <m/>
    <x v="1"/>
    <n v="3183404"/>
    <x v="2"/>
    <d v="2025-01-15T17:33:00"/>
    <s v="LKXCLM"/>
    <s v="LKXCLM"/>
    <s v="Código de cliente não identificado&lt;-ObterCliente&lt;-MontarPnrBase&lt;-ProcessarAereo&lt;-ProcessarItemFila[b]"/>
    <x v="254"/>
    <m/>
    <s v="CLIENTE"/>
    <x v="14"/>
    <s v="DK DE CLIENTE NÃO PREENCIDO / CLIENTE NÃO CONFIGURADO NO OBT"/>
    <s v="INDEFINIDO"/>
    <x v="1"/>
    <s v="COLUNA I"/>
  </r>
  <r>
    <s v="RESOLVIDO"/>
    <m/>
    <x v="1"/>
    <n v="3183407"/>
    <x v="2"/>
    <d v="2025-01-15T17:33:00"/>
    <s v="CLLQQF"/>
    <s v="CLLQQF"/>
    <s v="Não localizado cliente código [0000583808].&lt;-ObterCliente&lt;-MontarPnrBase&lt;-ProcessarAereo&lt;-ProcessarItemFila[b]"/>
    <x v="254"/>
    <m/>
    <s v="CLIENTE"/>
    <x v="13"/>
    <s v="CÓDIGO DIFERENTE DO CADASTRADO NO BENNER (CLIENTE X GRUPO)"/>
    <s v="QUALIDADE DOS DADOS"/>
    <x v="0"/>
    <n v="1"/>
  </r>
  <r>
    <s v="RESOLVIDO"/>
    <m/>
    <x v="1"/>
    <n v="3183411"/>
    <x v="2"/>
    <d v="2025-01-15T17:33:00"/>
    <s v="IHZJKP"/>
    <s v="IHZJKP"/>
    <s v="Código de cliente não identificado&lt;-ObterCliente&lt;-MontarPnrBase&lt;-ProcessarAereo&lt;-ProcessarItemFila[b]"/>
    <x v="254"/>
    <m/>
    <s v="CLIENTE"/>
    <x v="14"/>
    <s v="DK DE CLIENTE NÃO PREENCIDO / CLIENTE NÃO CONFIGURADO NO OBT"/>
    <s v="INDEFINIDO"/>
    <x v="1"/>
    <s v="COLUNA I"/>
  </r>
  <r>
    <s v="TMS"/>
    <m/>
    <x v="2"/>
    <n v="3184309"/>
    <x v="1"/>
    <d v="2025-01-16T09:24:00"/>
    <n v="518"/>
    <n v="518"/>
    <s v="Preenchendo XML Serviço-&gt; Preenchendo XML-&gt; Montando accounting aereo 2-&gt;Não foi informado o Localizador do Assento/Bagagem!"/>
    <x v="255"/>
    <d v="2025-02-04T08:43:00"/>
    <s v="OUTROS"/>
    <x v="15"/>
    <s v="CAMPO OBSERVAÇÃO PREENCHIDO INCORRETAMENTE"/>
    <s v="QUALIDADE DOS DADOS"/>
    <x v="1"/>
    <n v="118"/>
  </r>
  <r>
    <s v="RESOLVIDO"/>
    <m/>
    <x v="1"/>
    <n v="3186594"/>
    <x v="2"/>
    <d v="2025-01-16T17:35:00"/>
    <s v="CAUHKT"/>
    <s v="CAUHKT"/>
    <s v="Código de cliente não identificado&lt;-ObterCliente&lt;-MontarPnrBase&lt;-ProcessarAereo&lt;-ProcessarItemFila[b]"/>
    <x v="256"/>
    <m/>
    <s v="CLIENTE"/>
    <x v="14"/>
    <s v="DK DE CLIENTE NÃO PREENCIDO / CLIENTE NÃO CONFIGURADO NO OBT"/>
    <s v="INDEFINIDO"/>
    <x v="1"/>
    <s v="COLUNA I"/>
  </r>
  <r>
    <s v="RESOLVIDO"/>
    <m/>
    <x v="1"/>
    <n v="3186602"/>
    <x v="2"/>
    <d v="2025-01-16T17:35:00"/>
    <s v="QBJAPU"/>
    <s v="QBJAPU"/>
    <s v="Não localizado cliente com CNPJ [3001068000183].&lt;-ObterCliente&lt;-MontarPnrBase&lt;-ProcessarAereo&lt;-ProcessarItemFila[b]"/>
    <x v="257"/>
    <m/>
    <s v="CLIENTE"/>
    <x v="12"/>
    <s v=""/>
    <s v="QUALIDADE DOS DADOS"/>
    <x v="1"/>
    <n v="24"/>
  </r>
  <r>
    <s v="RESOLVIDO"/>
    <m/>
    <x v="1"/>
    <n v="3186603"/>
    <x v="2"/>
    <d v="2025-01-16T17:35:00"/>
    <s v="DYAUIW"/>
    <s v="DYAUIW"/>
    <s v="Não localizado cliente com CNPJ [2877632000406].&lt;-ObterCliente&lt;-MontarPnrBase&lt;-ProcessarAereo&lt;-ProcessarItemFila[b]"/>
    <x v="258"/>
    <m/>
    <s v="CLIENTE"/>
    <x v="12"/>
    <s v=""/>
    <e v="#N/A"/>
    <x v="1"/>
    <n v="24"/>
  </r>
  <r>
    <s v="RESOLVIDO"/>
    <m/>
    <x v="1"/>
    <n v="3186604"/>
    <x v="2"/>
    <d v="2025-01-16T17:35:00"/>
    <s v="FPKFJP"/>
    <s v="FPKFJP"/>
    <s v="Inserindo Accounting - (ExecSQL) - Could not convert variant of type (Null) into type (OleStr)"/>
    <x v="258"/>
    <m/>
    <s v="OUTROS"/>
    <x v="11"/>
    <s v=""/>
    <s v="SISTEMA"/>
    <x v="0"/>
    <s v="COLUNA I"/>
  </r>
  <r>
    <s v="RESOLVIDO"/>
    <m/>
    <x v="1"/>
    <n v="3186605"/>
    <x v="2"/>
    <d v="2025-01-16T17:35:00"/>
    <s v="SWHFMW"/>
    <s v="SWHFMW"/>
    <s v="Inserindo Accounting - (ExecSQL) - Could not convert variant of type (Null) into type (OleStr)"/>
    <x v="258"/>
    <m/>
    <s v="OUTROS"/>
    <x v="11"/>
    <s v=""/>
    <s v="SISTEMA"/>
    <x v="0"/>
    <s v="COLUNA I"/>
  </r>
  <r>
    <s v="RESOLVIDO"/>
    <m/>
    <x v="1"/>
    <n v="3186616"/>
    <x v="2"/>
    <d v="2025-01-16T17:35:00"/>
    <s v="FYRNLY"/>
    <s v="FYRNLY"/>
    <s v="Não localizado cliente código [0000000].&lt;-ObterCliente&lt;-MontarPnrBase&lt;-ProcessarAereo&lt;-ProcessarItemFila[b]"/>
    <x v="259"/>
    <m/>
    <s v="CLIENTE"/>
    <x v="13"/>
    <s v="CÓDIGO DIFERENTE DO CADASTRADO NO BENNER (CLIENTE X GRUPO)"/>
    <s v="QUALIDADE DOS DADOS"/>
    <x v="0"/>
    <n v="1"/>
  </r>
  <r>
    <s v="RESOLVIDO"/>
    <m/>
    <x v="1"/>
    <n v="3186625"/>
    <x v="2"/>
    <d v="2025-01-16T17:35:00"/>
    <s v="ALWGDU"/>
    <s v="ALWGDU"/>
    <s v="Não localizado cliente com CNPJ [820120000135].&lt;-ObterCliente&lt;-MontarPnrBase&lt;-ProcessarAereo&lt;-ProcessarItemFila[b]"/>
    <x v="260"/>
    <m/>
    <s v="CLIENTE"/>
    <x v="12"/>
    <s v=""/>
    <s v="QUALIDADE DOS DADOS"/>
    <x v="1"/>
    <n v="24"/>
  </r>
  <r>
    <s v="RESOLVIDO"/>
    <m/>
    <x v="1"/>
    <n v="3186626"/>
    <x v="2"/>
    <d v="2025-01-16T17:35:00"/>
    <s v="YVYRPN"/>
    <s v="YVYRPN"/>
    <s v="Não localizado cliente com CNPJ [357038000116].&lt;-ObterCliente&lt;-MontarPnrBase&lt;-ProcessarAereo&lt;-ProcessarItemFila[b]"/>
    <x v="261"/>
    <m/>
    <s v="CLIENTE"/>
    <x v="12"/>
    <s v=""/>
    <s v="INDEFINIDO"/>
    <x v="1"/>
    <n v="24"/>
  </r>
  <r>
    <s v="RESOLVIDO"/>
    <m/>
    <x v="1"/>
    <n v="3187473"/>
    <x v="2"/>
    <d v="2025-01-17T08:35:00"/>
    <s v="JTRDJI"/>
    <s v="JTRDJI"/>
    <s v="Não localizado cliente com CNPJ [820120000135].&lt;-ObterCliente&lt;-MontarPnrBase&lt;-ProcessarAereo&lt;-ProcessarItemFila[b]"/>
    <x v="262"/>
    <m/>
    <s v="CLIENTE"/>
    <x v="12"/>
    <s v=""/>
    <s v="INDEFINIDO"/>
    <x v="1"/>
    <n v="24"/>
  </r>
  <r>
    <s v="RESOLVIDO"/>
    <m/>
    <x v="1"/>
    <n v="3187474"/>
    <x v="2"/>
    <d v="2025-01-17T08:35:00"/>
    <s v="JSPQSP"/>
    <s v="JSPQSP"/>
    <s v="Não localizado cliente código [0000035945].&lt;-ObterCliente&lt;-MontarPnrBase&lt;-ProcessarAereo&lt;-ProcessarItemFila[b]"/>
    <x v="262"/>
    <m/>
    <s v="CLIENTE"/>
    <x v="13"/>
    <s v="CÓDIGO DIFERENTE DO CADASTRADO NO BENNER (CLIENTE X GRUPO)"/>
    <s v="QUALIDADE DOS DADOS"/>
    <x v="0"/>
    <n v="1"/>
  </r>
  <r>
    <s v="RESOLVIDO"/>
    <m/>
    <x v="1"/>
    <n v="3187570"/>
    <x v="2"/>
    <d v="2025-01-17T17:29:00"/>
    <s v="CHVGBM"/>
    <s v="CHVGBM"/>
    <s v="Não localizado cliente com CNPJ [820120000135].&lt;-ObterCliente&lt;-MontarPnrBase&lt;-ProcessarAereo&lt;-ProcessarItemFila[b]"/>
    <x v="263"/>
    <d v="2025-01-17T20:37:00"/>
    <s v="CLIENTE"/>
    <x v="12"/>
    <s v=""/>
    <s v="QUALIDADE DOS DADOS"/>
    <x v="1"/>
    <n v="24"/>
  </r>
  <r>
    <s v="RESOLVIDO"/>
    <m/>
    <x v="1"/>
    <n v="3187595"/>
    <x v="2"/>
    <d v="2025-01-17T12:56:00"/>
    <s v="GIUBOM"/>
    <s v="GIUBOM"/>
    <s v="Código de cliente não identificado&lt;-ObterCliente&lt;-MontarPnrBase&lt;-ProcessarAereo&lt;-ProcessarItemFila[b]"/>
    <x v="264"/>
    <m/>
    <s v="CLIENTE"/>
    <x v="14"/>
    <s v="DK DE CLIENTE NÃO PREENCIDO / CLIENTE NÃO CONFIGURADO NO OBT"/>
    <s v="INDEFINIDO"/>
    <x v="1"/>
    <s v="COLUNA I"/>
  </r>
  <r>
    <s v="RESOLVIDO"/>
    <m/>
    <x v="1"/>
    <n v="3187758"/>
    <x v="2"/>
    <d v="2025-01-17T13:19:00"/>
    <s v="IUSOQS"/>
    <s v="IUSOQS"/>
    <s v="Não localizado cliente com CNPJ [820120000135].&lt;-ObterCliente&lt;-MontarPnrBase&lt;-ProcessarAereo&lt;-ProcessarItemFila[b]"/>
    <x v="265"/>
    <m/>
    <s v="CLIENTE"/>
    <x v="12"/>
    <s v=""/>
    <s v="QUALIDADE DOS DADOS"/>
    <x v="1"/>
    <n v="24"/>
  </r>
  <r>
    <s v="RESOLVIDO"/>
    <m/>
    <x v="1"/>
    <n v="3187900"/>
    <x v="2"/>
    <d v="2025-01-17T13:41:00"/>
    <s v="EAXFFY"/>
    <s v="EAXFFY"/>
    <s v="Código de cliente não identificado&lt;-ObterCliente&lt;-MontarPnrBase&lt;-ProcessarAereo&lt;-ProcessarItemFila[b]"/>
    <x v="266"/>
    <m/>
    <s v="CLIENTE"/>
    <x v="14"/>
    <s v="DK DE CLIENTE NÃO PREENCIDO / CLIENTE NÃO CONFIGURADO NO OBT"/>
    <s v="INDEFINIDO"/>
    <x v="1"/>
    <s v="COLUNA I"/>
  </r>
  <r>
    <s v="RESOLVIDO"/>
    <m/>
    <x v="1"/>
    <n v="3188615"/>
    <x v="2"/>
    <d v="2025-01-17T17:29:00"/>
    <s v="IYOHBB"/>
    <s v="IYOHBB"/>
    <s v="Não localizado cliente com CNPJ [3001068000183].&lt;-ObterCliente&lt;-MontarPnrBase&lt;-ProcessarAereo&lt;-ProcessarItemFila[b]"/>
    <x v="267"/>
    <m/>
    <s v="CLIENTE"/>
    <x v="12"/>
    <s v=""/>
    <s v="QUALIDADE DOS DADOS"/>
    <x v="1"/>
    <n v="24"/>
  </r>
  <r>
    <s v="RESOLVIDO"/>
    <m/>
    <x v="1"/>
    <n v="3188619"/>
    <x v="2"/>
    <d v="2025-01-17T17:29:00"/>
    <s v="YMZGRO"/>
    <s v="YMZGRO"/>
    <s v="Não localizado cliente com CNPJ [3001068000183].&lt;-ObterCliente&lt;-MontarPnrBase&lt;-ProcessarAereo&lt;-ProcessarItemFila[b]"/>
    <x v="268"/>
    <m/>
    <s v="CLIENTE"/>
    <x v="12"/>
    <s v=""/>
    <e v="#N/A"/>
    <x v="1"/>
    <n v="24"/>
  </r>
  <r>
    <s v="RESOLVIDO"/>
    <m/>
    <x v="1"/>
    <n v="3188620"/>
    <x v="2"/>
    <d v="2025-01-17T17:29:00"/>
    <s v="JQZYNT"/>
    <s v="JQZYNT"/>
    <s v="Não localizado cliente com CNPJ [3001068000183].&lt;-ObterCliente&lt;-MontarPnrBase&lt;-ProcessarAereo&lt;-ProcessarItemFila[b]"/>
    <x v="268"/>
    <m/>
    <s v="CLIENTE"/>
    <x v="12"/>
    <s v=""/>
    <s v="QUALIDADE DOS DADOS"/>
    <x v="1"/>
    <n v="24"/>
  </r>
  <r>
    <s v="RESOLVIDO"/>
    <m/>
    <x v="1"/>
    <n v="3188623"/>
    <x v="2"/>
    <d v="2025-01-17T17:29:00"/>
    <s v="IAOAUQ"/>
    <s v="IAOAUQ"/>
    <s v="Código de cliente não identificado&lt;-ObterCliente&lt;-MontarPnrBase&lt;-ProcessarAereo&lt;-ProcessarItemFila[b]"/>
    <x v="269"/>
    <m/>
    <s v="CLIENTE"/>
    <x v="14"/>
    <s v="DK DE CLIENTE NÃO PREENCIDO / CLIENTE NÃO CONFIGURADO NO OBT"/>
    <s v="INDEFINIDO"/>
    <x v="1"/>
    <s v="COLUNA I"/>
  </r>
  <r>
    <s v="RESOLVIDO"/>
    <m/>
    <x v="1"/>
    <n v="3188628"/>
    <x v="2"/>
    <d v="2025-01-17T17:29:00"/>
    <s v="EBRLWS"/>
    <s v="EBRLWS"/>
    <s v="Não localizado cliente código [0000063625].&lt;-ObterCliente&lt;-MontarPnrBase&lt;-ProcessarAereo&lt;-ProcessarItemFila[b]"/>
    <x v="270"/>
    <m/>
    <s v="CLIENTE"/>
    <x v="13"/>
    <s v="CÓDIGO DIFERENTE DO CADASTRADO NO BENNER (CLIENTE X GRUPO)"/>
    <s v="QUALIDADE DOS DADOS"/>
    <x v="0"/>
    <n v="1"/>
  </r>
  <r>
    <s v="RESOLVIDO"/>
    <m/>
    <x v="1"/>
    <n v="3188630"/>
    <x v="2"/>
    <d v="2025-01-17T17:29:00"/>
    <s v="CFOVVN"/>
    <s v="CFOVVN"/>
    <s v="Código de cliente não identificado&lt;-ObterCliente&lt;-MontarPnrBase&lt;-ProcessarAereo&lt;-ProcessarItemFila[b]"/>
    <x v="270"/>
    <m/>
    <s v="CLIENTE"/>
    <x v="14"/>
    <s v="DK DE CLIENTE NÃO PREENCIDO / CLIENTE NÃO CONFIGURADO NO OBT"/>
    <s v="INDEFINIDO"/>
    <x v="1"/>
    <s v="COLUNA I"/>
  </r>
  <r>
    <s v="RESOLVIDO"/>
    <m/>
    <x v="1"/>
    <n v="3188640"/>
    <x v="2"/>
    <d v="2025-01-17T17:29:00"/>
    <s v="LBFUZO"/>
    <s v="LBFUZO"/>
    <s v="Código de cliente não identificado&lt;-ObterCliente&lt;-MontarPnrBase&lt;-ProcessarAereo&lt;-ProcessarItemFila[b]"/>
    <x v="271"/>
    <m/>
    <s v="CLIENTE"/>
    <x v="14"/>
    <s v="DK DE CLIENTE NÃO PREENCIDO / CLIENTE NÃO CONFIGURADO NO OBT"/>
    <s v="INDEFINIDO"/>
    <x v="1"/>
    <s v="COLUNA I"/>
  </r>
  <r>
    <s v="RESOLVIDO"/>
    <m/>
    <x v="1"/>
    <n v="3188646"/>
    <x v="2"/>
    <d v="2025-01-17T17:29:00"/>
    <s v="SHKZPE"/>
    <s v="SHKZPE"/>
    <s v="Não localizado cliente código [0000583808].&lt;-ObterCliente&lt;-MontarPnrBase&lt;-ProcessarAereo&lt;-ProcessarItemFila[b]"/>
    <x v="272"/>
    <m/>
    <s v="CLIENTE"/>
    <x v="13"/>
    <s v="CÓDIGO DIFERENTE DO CADASTRADO NO BENNER (CLIENTE X GRUPO)"/>
    <s v="QUALIDADE DOS DADOS"/>
    <x v="0"/>
    <n v="1"/>
  </r>
  <r>
    <s v="RESOLVIDO"/>
    <m/>
    <x v="1"/>
    <n v="3188648"/>
    <x v="2"/>
    <d v="2025-01-17T17:29:00"/>
    <s v="SEHUHK"/>
    <s v="SEHUHK"/>
    <s v="Não localizado cliente código [0000583808].&lt;-ObterCliente&lt;-MontarPnrBase&lt;-ProcessarAereo&lt;-ProcessarItemFila[b]"/>
    <x v="272"/>
    <m/>
    <s v="CLIENTE"/>
    <x v="13"/>
    <s v="CÓDIGO DIFERENTE DO CADASTRADO NO BENNER (CLIENTE X GRUPO)"/>
    <s v="QUALIDADE DOS DADOS"/>
    <x v="0"/>
    <n v="1"/>
  </r>
  <r>
    <s v="RESOLVIDO"/>
    <m/>
    <x v="1"/>
    <n v="3188650"/>
    <x v="2"/>
    <d v="2025-01-17T17:29:00"/>
    <s v="SLRCML"/>
    <s v="SLRCML"/>
    <s v="Não localizado cliente código [0000583808].&lt;-ObterCliente&lt;-MontarPnrBase&lt;-ProcessarAereo&lt;-ProcessarItemFila[b]"/>
    <x v="272"/>
    <m/>
    <s v="CLIENTE"/>
    <x v="13"/>
    <s v="CÓDIGO DIFERENTE DO CADASTRADO NO BENNER (CLIENTE X GRUPO)"/>
    <s v="QUALIDADE DOS DADOS"/>
    <x v="0"/>
    <n v="1"/>
  </r>
  <r>
    <s v="RESOLVIDO"/>
    <m/>
    <x v="1"/>
    <n v="3190149"/>
    <x v="2"/>
    <d v="2025-01-20T15:11:00"/>
    <s v="HSVMDA"/>
    <s v="HSVMDA"/>
    <s v="Não localizado cliente com CNPJ [820120000135].&lt;-ObterCliente&lt;-MontarPnrBase&lt;-ProcessarAereo&lt;-ProcessarItemFila[b]"/>
    <x v="273"/>
    <d v="2025-01-20T18:22:00"/>
    <s v="CLIENTE"/>
    <x v="12"/>
    <s v=""/>
    <e v="#N/A"/>
    <x v="1"/>
    <n v="24"/>
  </r>
  <r>
    <s v="RESOLVIDO"/>
    <m/>
    <x v="1"/>
    <n v="3190285"/>
    <x v="2"/>
    <d v="2025-01-20T14:04:00"/>
    <s v="YKODDWT"/>
    <s v="YKODDW"/>
    <s v="Código de cliente não identificado&lt;-ObterCliente&lt;-MontarPnrBase&lt;-MontarPnr&lt;-ProcessarHotel&lt;-ProcessarItemFila[b]"/>
    <x v="274"/>
    <m/>
    <s v="CLIENTE"/>
    <x v="14"/>
    <s v="DK DE CLIENTE NÃO PREENCIDO / CLIENTE NÃO CONFIGURADO NO OBT"/>
    <s v="INDEFINIDO"/>
    <x v="1"/>
    <s v="COLUNA I"/>
  </r>
  <r>
    <s v="TMS"/>
    <m/>
    <x v="2"/>
    <n v="3190954"/>
    <x v="1"/>
    <d v="2025-01-20T12:04:00"/>
    <n v="46840"/>
    <n v="46840"/>
    <s v="Preenchendo XML Serviço-&gt; Preenchendo XML-&gt; Montando accounting aereo 3-&gt;Reserva REGULA não encontrada para importar assento/bagagem!"/>
    <x v="275"/>
    <d v="2025-02-03T17:08:00"/>
    <s v="OUTROS"/>
    <x v="15"/>
    <s v="CAMPO OBSERVAÇÃO PREENCHIDO INCORRETAMENTE"/>
    <s v="QUALIDADE DOS DADOS"/>
    <x v="1"/>
    <n v="127"/>
  </r>
  <r>
    <s v="RESOLVIDO"/>
    <m/>
    <x v="1"/>
    <n v="3190997"/>
    <x v="2"/>
    <d v="2025-01-20T15:11:00"/>
    <s v="LZSGSJ"/>
    <s v="LZSGSJ"/>
    <s v="Não localizado cliente com CNPJ [820120000135].&lt;-ObterCliente&lt;-MontarPnrBase&lt;-ProcessarAereo&lt;-ProcessarItemFila[b]"/>
    <x v="276"/>
    <m/>
    <s v="CLIENTE"/>
    <x v="12"/>
    <s v=""/>
    <s v="QUALIDADE DOS DADOS"/>
    <x v="1"/>
    <n v="24"/>
  </r>
  <r>
    <s v="RESOLVIDO"/>
    <m/>
    <x v="1"/>
    <n v="3191003"/>
    <x v="2"/>
    <d v="2025-01-20T15:11:00"/>
    <s v="DTKUXX"/>
    <s v="DTKUXX"/>
    <s v="Código de cliente não identificado&lt;-ObterCliente&lt;-MontarPnrBase&lt;-ProcessarAereo&lt;-ProcessarItemFila[b]"/>
    <x v="277"/>
    <m/>
    <s v="CLIENTE"/>
    <x v="14"/>
    <s v="DK DE CLIENTE NÃO PREENCIDO / CLIENTE NÃO CONFIGURADO NO OBT"/>
    <s v="INDEFINIDO"/>
    <x v="1"/>
    <s v="COLUNA I"/>
  </r>
  <r>
    <s v="GOVER"/>
    <m/>
    <x v="2"/>
    <n v="3193983"/>
    <x v="0"/>
    <d v="2025-01-21T12:39:00"/>
    <n v="4478280"/>
    <s v="MQRPIO"/>
    <s v="PreencherPnr-&gt;PreencherAccountingCustom-&gt; Erro: PreencherAccounting-&gt; Erro: Centro de custo não informado!"/>
    <x v="278"/>
    <d v="2025-02-11T09:54:00"/>
    <s v="OUTROS"/>
    <x v="8"/>
    <s v="CENTRO DE CUSTO NÃO INFORMADO NA RESERVA"/>
    <s v="QUALIDADE DOS DADOS"/>
    <x v="0"/>
    <s v="COLUNA I"/>
  </r>
  <r>
    <s v="RESOLVIDO"/>
    <m/>
    <x v="1"/>
    <n v="3194360"/>
    <x v="2"/>
    <d v="2025-01-21T13:04:00"/>
    <s v="NXPDYQ"/>
    <s v="NXPDYQ"/>
    <s v="Não localizado cliente com CNPJ [3001068000183].&lt;-ObterCliente&lt;-MontarPnrBase&lt;-ProcessarAereo&lt;-ProcessarItemFila[b]"/>
    <x v="279"/>
    <m/>
    <s v="CLIENTE"/>
    <x v="12"/>
    <s v=""/>
    <s v="QUALIDADE DOS DADOS"/>
    <x v="1"/>
    <n v="24"/>
  </r>
  <r>
    <s v="GOVER"/>
    <m/>
    <x v="2"/>
    <n v="3194810"/>
    <x v="0"/>
    <d v="2025-01-21T15:03:00"/>
    <n v="4478539"/>
    <s v="GBVKPF"/>
    <s v="PreencherPnr-&gt;Não foi encontrado nenhum item veículo para o localizador GBVKPF"/>
    <x v="280"/>
    <d v="2025-02-11T09:54:00"/>
    <s v="OUTROS"/>
    <x v="0"/>
    <s v="TAGS DE DETALHAMENTO DO SERVIÇO NÃO ENVIADO NO XML"/>
    <s v="QUALIDADE DOS DADOS"/>
    <x v="0"/>
    <n v="46"/>
  </r>
  <r>
    <s v="RESOLVIDO"/>
    <m/>
    <x v="1"/>
    <n v="3195590"/>
    <x v="2"/>
    <d v="2025-01-21T17:17:00"/>
    <s v="NZVUAC"/>
    <s v="NZVUAC"/>
    <s v="Inserindo Accounting - (ExecSQL) - Could not convert variant of type (Null) into type (OleStr)"/>
    <x v="281"/>
    <m/>
    <s v="OUTROS"/>
    <x v="11"/>
    <s v=""/>
    <s v="SISTEMA"/>
    <x v="0"/>
    <s v="COLUNA I"/>
  </r>
  <r>
    <s v="RESOLVIDO"/>
    <m/>
    <x v="1"/>
    <n v="3195595"/>
    <x v="2"/>
    <d v="2025-01-22T06:52:00"/>
    <s v="NWKESQ"/>
    <s v="NWKESQ"/>
    <s v="Não localizado cliente com CNPJ [357038000116].&lt;-ObterCliente&lt;-MontarPnrBase&lt;-ProcessarAereo&lt;-ProcessarItemFila[b]"/>
    <x v="281"/>
    <d v="2025-01-22T10:05:00"/>
    <s v="CLIENTE"/>
    <x v="12"/>
    <s v=""/>
    <e v="#N/A"/>
    <x v="1"/>
    <n v="24"/>
  </r>
  <r>
    <s v="RESOLVIDO"/>
    <m/>
    <x v="1"/>
    <n v="3195597"/>
    <x v="2"/>
    <d v="2025-01-21T17:17:00"/>
    <s v="WACORB"/>
    <s v="WACORB"/>
    <s v="Não localizado cliente com CNPJ [4120966000113].&lt;-ObterCliente&lt;-MontarPnrBase&lt;-ProcessarAereo&lt;-ProcessarItemFila[b]"/>
    <x v="282"/>
    <m/>
    <s v="CLIENTE"/>
    <x v="12"/>
    <s v=""/>
    <s v="QUALIDADE DOS DADOS"/>
    <x v="1"/>
    <n v="24"/>
  </r>
  <r>
    <s v="RESOLVIDO"/>
    <m/>
    <x v="1"/>
    <n v="3196086"/>
    <x v="2"/>
    <d v="2025-01-22T08:29:00"/>
    <s v="AABYOR"/>
    <s v="AABYOR"/>
    <s v="Código de cliente não identificado&lt;-ObterCliente&lt;-MontarPnrBase&lt;-ProcessarAereo&lt;-ProcessarItemFila[b]"/>
    <x v="283"/>
    <m/>
    <s v="CLIENTE"/>
    <x v="14"/>
    <s v="DK DE CLIENTE NÃO PREENCIDO / CLIENTE NÃO CONFIGURADO NO OBT"/>
    <s v="INDEFINIDO"/>
    <x v="1"/>
    <s v="COLUNA I"/>
  </r>
  <r>
    <s v="RESOLVIDO"/>
    <m/>
    <x v="1"/>
    <n v="3196801"/>
    <x v="2"/>
    <d v="2025-01-22T11:45:00"/>
    <s v="UXWBMB"/>
    <s v="UXWBMB"/>
    <s v="Não localizado cliente com CNPJ [357038000116].&lt;-ObterCliente&lt;-MontarPnrBase&lt;-ProcessarAereo&lt;-ProcessarItemFila[b]"/>
    <x v="284"/>
    <m/>
    <s v="CLIENTE"/>
    <x v="12"/>
    <s v=""/>
    <s v="INDEFINIDO"/>
    <x v="1"/>
    <n v="24"/>
  </r>
  <r>
    <s v="RESOLVIDO"/>
    <m/>
    <x v="1"/>
    <n v="3196802"/>
    <x v="2"/>
    <d v="2025-01-22T11:45:00"/>
    <s v="UXWBMBT"/>
    <s v="UXWBMB"/>
    <s v="Não localizado cliente com CNPJ [357038000116].&lt;-ObterCliente&lt;-MontarPnrBase&lt;-MontarPnr&lt;-ProcessarHotel&lt;-ProcessarItemFila[b]"/>
    <x v="284"/>
    <m/>
    <s v="CLIENTE"/>
    <x v="12"/>
    <s v=""/>
    <s v="QUALIDADE DOS DADOS"/>
    <x v="1"/>
    <n v="24"/>
  </r>
  <r>
    <s v="GOVER"/>
    <m/>
    <x v="2"/>
    <n v="3196948"/>
    <x v="0"/>
    <d v="2025-01-22T16:03:00"/>
    <n v="4479428"/>
    <n v="4479428"/>
    <s v="PreencherPnr-&gt;Foi identificado um localizador sem código."/>
    <x v="285"/>
    <d v="2025-02-11T09:54:00"/>
    <s v="OUTROS"/>
    <x v="1"/>
    <s v="RLOC NÃO PREENCHIDO NA RESERVA"/>
    <s v="QUALIDADE DOS DADOS"/>
    <x v="0"/>
    <s v="COLUNA I"/>
  </r>
  <r>
    <s v="RESOLVIDO"/>
    <m/>
    <x v="1"/>
    <n v="3196957"/>
    <x v="2"/>
    <d v="2025-01-22T13:05:00"/>
    <s v="HJRDEL"/>
    <s v="HJRDEL"/>
    <s v="Código de cliente não identificado&lt;-ObterCliente&lt;-MontarPnrBase&lt;-ProcessarAereo&lt;-ProcessarItemFila[b]"/>
    <x v="286"/>
    <m/>
    <s v="CLIENTE"/>
    <x v="14"/>
    <s v="DK DE CLIENTE NÃO PREENCIDO / CLIENTE NÃO CONFIGURADO NO OBT"/>
    <s v="INDEFINIDO"/>
    <x v="1"/>
    <s v="COLUNA I"/>
  </r>
  <r>
    <s v="RESOLVIDO"/>
    <m/>
    <x v="1"/>
    <n v="3196963"/>
    <x v="2"/>
    <d v="2025-01-22T13:05:00"/>
    <s v="GVVGZU"/>
    <s v="GVVGZU"/>
    <s v="Não localizado cliente código [0000583808].&lt;-ObterCliente&lt;-MontarPnrBase&lt;-ProcessarAereo&lt;-ProcessarItemFila[b]"/>
    <x v="287"/>
    <m/>
    <s v="CLIENTE"/>
    <x v="13"/>
    <s v="CÓDIGO DIFERENTE DO CADASTRADO NO BENNER (CLIENTE X GRUPO)"/>
    <s v="QUALIDADE DOS DADOS"/>
    <x v="0"/>
    <n v="1"/>
  </r>
  <r>
    <s v="RESOLVIDO"/>
    <m/>
    <x v="1"/>
    <n v="3196965"/>
    <x v="2"/>
    <d v="2025-01-22T13:05:00"/>
    <s v="MTAIMO"/>
    <s v="MTAIMO"/>
    <s v="Não localizado cliente código [0000583808].&lt;-ObterCliente&lt;-MontarPnrBase&lt;-ProcessarAereo&lt;-ProcessarItemFila[b]"/>
    <x v="287"/>
    <m/>
    <s v="CLIENTE"/>
    <x v="13"/>
    <s v="CÓDIGO DIFERENTE DO CADASTRADO NO BENNER (CLIENTE X GRUPO)"/>
    <s v="QUALIDADE DOS DADOS"/>
    <x v="0"/>
    <n v="1"/>
  </r>
  <r>
    <s v="GOVER"/>
    <m/>
    <x v="2"/>
    <n v="3197014"/>
    <x v="0"/>
    <d v="2025-01-22T16:30:00"/>
    <n v="4479464"/>
    <n v="4479464"/>
    <s v="PreencherPnr-&gt;Foi identificado um localizador sem código."/>
    <x v="288"/>
    <d v="2025-02-11T09:54:00"/>
    <s v="OUTROS"/>
    <x v="1"/>
    <s v="RLOC NÃO PREENCHIDO NA RESERVA"/>
    <s v="QUALIDADE DOS DADOS"/>
    <x v="0"/>
    <s v="COLUNA I"/>
  </r>
  <r>
    <s v="GOVER"/>
    <m/>
    <x v="2"/>
    <n v="3197026"/>
    <x v="0"/>
    <d v="2025-01-22T16:36:00"/>
    <n v="4479468"/>
    <n v="4479468"/>
    <s v="PreencherPnr-&gt;Foi identificado um localizador sem código."/>
    <x v="289"/>
    <d v="2025-02-11T09:54:00"/>
    <s v="OUTROS"/>
    <x v="1"/>
    <s v="RLOC NÃO PREENCHIDO NA RESERVA"/>
    <s v="QUALIDADE DOS DADOS"/>
    <x v="0"/>
    <s v="COLUNA I"/>
  </r>
  <r>
    <s v="RESOLVIDO"/>
    <m/>
    <x v="1"/>
    <n v="3198178"/>
    <x v="2"/>
    <d v="2025-01-22T17:15:00"/>
    <s v="QMCWDO"/>
    <s v="QMCWDO"/>
    <s v="Não localizado cliente código [0000583808].&lt;-ObterCliente&lt;-MontarPnrBase&lt;-ProcessarAereo&lt;-ProcessarItemFila[b]"/>
    <x v="290"/>
    <m/>
    <s v="CLIENTE"/>
    <x v="13"/>
    <s v="CÓDIGO DIFERENTE DO CADASTRADO NO BENNER (CLIENTE X GRUPO)"/>
    <s v="QUALIDADE DOS DADOS"/>
    <x v="0"/>
    <n v="1"/>
  </r>
  <r>
    <s v="RESOLVIDO"/>
    <m/>
    <x v="1"/>
    <n v="3198183"/>
    <x v="2"/>
    <d v="2025-01-22T17:15:00"/>
    <s v="ELTFNE"/>
    <s v="ELTFNE"/>
    <s v="Não localizado cliente código [0000583831].&lt;-ObterCliente&lt;-MontarPnrBase&lt;-ProcessarAereo&lt;-ProcessarItemFila[b]"/>
    <x v="291"/>
    <m/>
    <s v="CLIENTE"/>
    <x v="13"/>
    <s v="CÓDIGO DIFERENTE DO CADASTRADO NO BENNER (CLIENTE X GRUPO)"/>
    <s v="QUALIDADE DOS DADOS"/>
    <x v="0"/>
    <n v="1"/>
  </r>
  <r>
    <s v="RESOLVIDO"/>
    <m/>
    <x v="1"/>
    <n v="3198185"/>
    <x v="2"/>
    <d v="2025-01-22T17:15:00"/>
    <s v="JHKJUV"/>
    <s v="JHKJUV"/>
    <s v="Não localizado cliente com CNPJ [5413409000153].&lt;-ObterCliente&lt;-MontarPnrBase&lt;-ProcessarAereo&lt;-ProcessarItemFila[b]"/>
    <x v="292"/>
    <m/>
    <s v="CLIENTE"/>
    <x v="12"/>
    <s v=""/>
    <e v="#N/A"/>
    <x v="1"/>
    <n v="24"/>
  </r>
  <r>
    <s v="RESOLVIDO"/>
    <m/>
    <x v="1"/>
    <n v="3198186"/>
    <x v="2"/>
    <d v="2025-01-22T17:15:00"/>
    <s v="NHVFLR"/>
    <s v="NHVFLR"/>
    <s v="Código de cliente não identificado&lt;-ObterCliente&lt;-MontarPnrBase&lt;-ProcessarAereo&lt;-ProcessarItemFila[b]"/>
    <x v="293"/>
    <m/>
    <s v="CLIENTE"/>
    <x v="14"/>
    <s v="DK DE CLIENTE NÃO PREENCIDO / CLIENTE NÃO CONFIGURADO NO OBT"/>
    <s v="INDEFINIDO"/>
    <x v="1"/>
    <s v="COLUNA I"/>
  </r>
  <r>
    <s v="RESOLVIDO"/>
    <m/>
    <x v="1"/>
    <n v="3198188"/>
    <x v="2"/>
    <d v="2025-01-22T17:15:00"/>
    <s v="KUKFBP"/>
    <s v="KUKFBP"/>
    <s v="Não localizado cliente com CNPJ [8896745000192].&lt;-ObterCliente&lt;-MontarPnrBase&lt;-ProcessarAereo&lt;-ProcessarItemFila[b]"/>
    <x v="293"/>
    <m/>
    <s v="CLIENTE"/>
    <x v="12"/>
    <s v=""/>
    <s v="QUALIDADE DOS DADOS"/>
    <x v="1"/>
    <n v="24"/>
  </r>
  <r>
    <s v="RESOLVIDO"/>
    <m/>
    <x v="1"/>
    <n v="3198189"/>
    <x v="2"/>
    <d v="2025-01-22T17:15:00"/>
    <s v="KTHILP"/>
    <s v="KTHILP"/>
    <s v="Código de cliente não identificado&lt;-ObterCliente&lt;-MontarPnrBase&lt;-ProcessarAereo&lt;-ProcessarItemFila[b]"/>
    <x v="293"/>
    <m/>
    <s v="CLIENTE"/>
    <x v="14"/>
    <s v="DK DE CLIENTE NÃO PREENCIDO / CLIENTE NÃO CONFIGURADO NO OBT"/>
    <s v="INDEFINIDO"/>
    <x v="1"/>
    <s v="COLUNA I"/>
  </r>
  <r>
    <s v="RESOLVIDO"/>
    <m/>
    <x v="1"/>
    <n v="3198190"/>
    <x v="2"/>
    <d v="2025-01-22T17:15:00"/>
    <s v="KSNWEJ"/>
    <s v="KSNWEJ"/>
    <s v="Código de cliente não identificado&lt;-ObterCliente&lt;-MontarPnrBase&lt;-ProcessarAereo&lt;-ProcessarItemFila[b]"/>
    <x v="293"/>
    <m/>
    <s v="CLIENTE"/>
    <x v="14"/>
    <s v="DK DE CLIENTE NÃO PREENCIDO / CLIENTE NÃO CONFIGURADO NO OBT"/>
    <s v="INDEFINIDO"/>
    <x v="1"/>
    <s v="COLUNA I"/>
  </r>
  <r>
    <s v="RESOLVIDO"/>
    <m/>
    <x v="1"/>
    <n v="3198192"/>
    <x v="2"/>
    <d v="2025-01-22T17:15:00"/>
    <s v="KNPVJI"/>
    <s v="KNPVJI"/>
    <s v="Não localizado cliente código [1234567890].&lt;-ObterCliente&lt;-MontarPnrBase&lt;-ProcessarAereo&lt;-ProcessarItemFila[b]"/>
    <x v="294"/>
    <m/>
    <s v="CLIENTE"/>
    <x v="13"/>
    <s v="CÓDIGO DIFERENTE DO CADASTRADO NO BENNER (CLIENTE X GRUPO)"/>
    <s v="QUALIDADE DOS DADOS"/>
    <x v="0"/>
    <n v="1"/>
  </r>
  <r>
    <s v="RESOLVIDO"/>
    <m/>
    <x v="1"/>
    <n v="3198194"/>
    <x v="2"/>
    <d v="2025-01-22T17:15:00"/>
    <s v="IWEHWV"/>
    <s v="IWEHWV"/>
    <s v="Não localizado cliente com CNPJ [4120966000113].&lt;-ObterCliente&lt;-MontarPnrBase&lt;-ProcessarAereo&lt;-ProcessarItemFila[b]"/>
    <x v="294"/>
    <m/>
    <s v="CLIENTE"/>
    <x v="12"/>
    <s v=""/>
    <s v="QUALIDADE DOS DADOS"/>
    <x v="1"/>
    <n v="24"/>
  </r>
  <r>
    <s v="RESOLVIDO"/>
    <m/>
    <x v="1"/>
    <n v="3198607"/>
    <x v="2"/>
    <d v="2025-01-23T08:44:00"/>
    <s v="IZCREW"/>
    <s v="IZCREW"/>
    <s v="Não localizado cliente com CNPJ [4120966000113].&lt;-ObterCliente&lt;-MontarPnrBase&lt;-ProcessarAereo&lt;-ProcessarItemFila[b]"/>
    <x v="295"/>
    <d v="2025-01-23T11:48:00"/>
    <s v="CLIENTE"/>
    <x v="12"/>
    <s v=""/>
    <e v="#N/A"/>
    <x v="1"/>
    <n v="24"/>
  </r>
  <r>
    <s v="RESOLVIDO"/>
    <m/>
    <x v="1"/>
    <n v="3198771"/>
    <x v="2"/>
    <d v="2025-01-23T08:44:00"/>
    <s v="SVRVZL"/>
    <s v="SVRVZL"/>
    <s v="Não localizado cliente código [0000583808].&lt;-ObterCliente&lt;-MontarPnrBase&lt;-ProcessarAereo&lt;-ProcessarItemFila[b]"/>
    <x v="296"/>
    <m/>
    <s v="CLIENTE"/>
    <x v="13"/>
    <s v="CÓDIGO DIFERENTE DO CADASTRADO NO BENNER (CLIENTE X GRUPO)"/>
    <s v="QUALIDADE DOS DADOS"/>
    <x v="0"/>
    <n v="1"/>
  </r>
  <r>
    <s v="RESOLVIDO"/>
    <m/>
    <x v="1"/>
    <n v="3198772"/>
    <x v="2"/>
    <d v="2025-01-23T08:44:00"/>
    <s v="YASJAS"/>
    <s v="YASJAS"/>
    <s v="Não localizado cliente com CNPJ [820120000135].&lt;-ObterCliente&lt;-MontarPnrBase&lt;-ProcessarAereo&lt;-ProcessarItemFila[b]"/>
    <x v="297"/>
    <m/>
    <s v="CLIENTE"/>
    <x v="12"/>
    <s v=""/>
    <s v="QUALIDADE DOS DADOS"/>
    <x v="1"/>
    <n v="24"/>
  </r>
  <r>
    <s v="RESOLVIDO"/>
    <m/>
    <x v="1"/>
    <n v="3199518"/>
    <x v="2"/>
    <d v="2025-01-23T14:37:00"/>
    <s v="JMRRLN"/>
    <s v="JMRRLN"/>
    <s v="Não localizado cliente com CNPJ [357038000116].&lt;-ObterCliente&lt;-MontarPnrBase&lt;-ProcessarAereo&lt;-ProcessarItemFila[b]"/>
    <x v="298"/>
    <d v="2025-01-23T17:49:00"/>
    <s v="CLIENTE"/>
    <x v="12"/>
    <s v=""/>
    <s v="QUALIDADE DOS DADOS"/>
    <x v="1"/>
    <n v="24"/>
  </r>
  <r>
    <s v="RESOLVIDO"/>
    <m/>
    <x v="1"/>
    <n v="3199527"/>
    <x v="2"/>
    <d v="2025-01-23T12:44:00"/>
    <s v="HDBMFFT"/>
    <s v="HDBMFF"/>
    <s v="Inserindo PNR - Accountings - TurVendas - Não foi possível localizar o contrato do fornecedor 49032"/>
    <x v="299"/>
    <m/>
    <s v="FORNECEDOR"/>
    <x v="10"/>
    <s v="CONTRATO INATIVO OU DIVERGENTE"/>
    <s v="SISTEMA"/>
    <x v="1"/>
    <n v="43"/>
  </r>
  <r>
    <s v="GOVER"/>
    <m/>
    <x v="2"/>
    <n v="3199619"/>
    <x v="0"/>
    <d v="2025-01-23T16:08:00"/>
    <n v="4480245"/>
    <s v="MZCSZD"/>
    <s v="PreencherPnr-&gt;PreencherAccountingCustom-&gt; Erro: PreencherAccounting-&gt; Erro: Centro de custo não informado!"/>
    <x v="300"/>
    <d v="2025-02-11T09:54:00"/>
    <s v="OUTROS"/>
    <x v="8"/>
    <s v="CENTRO DE CUSTO NÃO INFORMADO NA RESERVA"/>
    <s v="QUALIDADE DOS DADOS"/>
    <x v="0"/>
    <s v="COLUNA I"/>
  </r>
  <r>
    <s v="GOVER"/>
    <m/>
    <x v="2"/>
    <n v="3199628"/>
    <x v="0"/>
    <d v="2025-01-23T11:05:00"/>
    <n v="4479909"/>
    <s v="MMMMMN"/>
    <s v="PreencherPnr-&gt;Não foi encontrado nenhum item veículo para o localizador MMMMMN"/>
    <x v="301"/>
    <d v="2025-02-11T09:54:00"/>
    <s v="OUTROS"/>
    <x v="0"/>
    <s v="TAGS DE DETALHAMENTO DO SERVIÇO NÃO ENVIADO NO XML"/>
    <s v="QUALIDADE DOS DADOS"/>
    <x v="0"/>
    <n v="46"/>
  </r>
  <r>
    <s v="RESOLVIDO"/>
    <m/>
    <x v="1"/>
    <n v="3199906"/>
    <x v="2"/>
    <d v="2025-01-23T14:37:00"/>
    <s v="MJUNAW"/>
    <s v="MJUNAW"/>
    <s v="Inserindo PNR - Accountings - TurVendas - Não foi possível localizar o contrato do fornecedor 7C"/>
    <x v="302"/>
    <m/>
    <s v="FORNECEDOR"/>
    <x v="10"/>
    <s v="CONTRATO INATIVO OU DIVERGENTE"/>
    <s v="SISTEMA"/>
    <x v="1"/>
    <n v="43"/>
  </r>
  <r>
    <s v="RESOLVIDO"/>
    <m/>
    <x v="1"/>
    <n v="3199907"/>
    <x v="2"/>
    <d v="2025-01-23T14:37:00"/>
    <s v="NGDESO"/>
    <s v="NGDESO"/>
    <s v="Não localizado cliente com CNPJ [3334170000109].&lt;-ObterCliente&lt;-MontarPnrBase&lt;-ProcessarAereo&lt;-ProcessarItemFila[b]"/>
    <x v="303"/>
    <m/>
    <s v="CLIENTE"/>
    <x v="12"/>
    <s v=""/>
    <s v="SISTEMA"/>
    <x v="1"/>
    <n v="24"/>
  </r>
  <r>
    <s v="RESOLVIDO"/>
    <m/>
    <x v="1"/>
    <n v="3199909"/>
    <x v="2"/>
    <d v="2025-01-23T14:37:00"/>
    <s v="EOCEVT"/>
    <s v="EOCEVT"/>
    <s v="Inserindo PNR - Accountings - TurVendas - Não foi possível localizar o contrato do fornecedor 7C"/>
    <x v="303"/>
    <m/>
    <s v="FORNECEDOR"/>
    <x v="10"/>
    <s v="CONTRATO INATIVO OU DIVERGENTE"/>
    <s v="SISTEMA"/>
    <x v="1"/>
    <n v="43"/>
  </r>
  <r>
    <s v="RESOLVIDO"/>
    <m/>
    <x v="1"/>
    <n v="3199915"/>
    <x v="2"/>
    <d v="2025-01-23T14:37:00"/>
    <s v="KHSFPE"/>
    <s v="KHSFPE"/>
    <s v="Não localizado cliente com CNPJ [820120000135].&lt;-ObterCliente&lt;-MontarPnrBase&lt;-ProcessarAereo&lt;-ProcessarItemFila[b]"/>
    <x v="304"/>
    <m/>
    <s v="CLIENTE"/>
    <x v="12"/>
    <s v=""/>
    <s v="SISTEMA"/>
    <x v="1"/>
    <n v="24"/>
  </r>
  <r>
    <s v="RESOLVIDO"/>
    <m/>
    <x v="1"/>
    <n v="3200781"/>
    <x v="2"/>
    <d v="2025-01-23T16:35:00"/>
    <s v="EVLOQK"/>
    <s v="EVLOQK"/>
    <s v="Código de cliente não identificado&lt;-ObterCliente&lt;-MontarPnrBase&lt;-ProcessarAereo&lt;-ProcessarItemFila[b]"/>
    <x v="305"/>
    <m/>
    <s v="CLIENTE"/>
    <x v="14"/>
    <s v="DK DE CLIENTE NÃO PREENCIDO / CLIENTE NÃO CONFIGURADO NO OBT"/>
    <s v="INDEFINIDO"/>
    <x v="1"/>
    <s v="COLUNA I"/>
  </r>
  <r>
    <s v="RESOLVIDO"/>
    <m/>
    <x v="1"/>
    <n v="3200789"/>
    <x v="2"/>
    <d v="2025-01-23T16:35:00"/>
    <s v="CGJJJY"/>
    <s v="CGJJJY"/>
    <s v="Código de cliente não identificado&lt;-ObterCliente&lt;-MontarPnrBase&lt;-ProcessarAereo&lt;-ProcessarItemFila[b]"/>
    <x v="306"/>
    <m/>
    <s v="CLIENTE"/>
    <x v="14"/>
    <s v="DK DE CLIENTE NÃO PREENCIDO / CLIENTE NÃO CONFIGURADO NO OBT"/>
    <s v="INDEFINIDO"/>
    <x v="1"/>
    <s v="COLUNA I"/>
  </r>
  <r>
    <s v="RESOLVIDO"/>
    <m/>
    <x v="1"/>
    <n v="3200790"/>
    <x v="2"/>
    <d v="2025-01-23T16:35:00"/>
    <s v="WFAFCE"/>
    <s v="WFAFCE"/>
    <s v="Código de cliente não identificado&lt;-ObterCliente&lt;-MontarPnrBase&lt;-ProcessarAereo&lt;-ProcessarItemFila[b]"/>
    <x v="306"/>
    <m/>
    <s v="CLIENTE"/>
    <x v="14"/>
    <s v="DK DE CLIENTE NÃO PREENCIDO / CLIENTE NÃO CONFIGURADO NO OBT"/>
    <s v="INDEFINIDO"/>
    <x v="1"/>
    <s v="COLUNA I"/>
  </r>
  <r>
    <s v="RESOLVIDO"/>
    <m/>
    <x v="1"/>
    <n v="3200802"/>
    <x v="2"/>
    <d v="2025-01-23T16:35:00"/>
    <s v="LXDZVU"/>
    <s v="LXDZVU"/>
    <s v="Não localizado cliente com CNPJ [1930685000138].&lt;-ObterCliente&lt;-MontarPnrBase&lt;-ProcessarAereo&lt;-ProcessarItemFila[b]"/>
    <x v="307"/>
    <m/>
    <s v="CLIENTE"/>
    <x v="12"/>
    <s v=""/>
    <s v="QUALIDADE DOS DADOS"/>
    <x v="1"/>
    <n v="24"/>
  </r>
  <r>
    <s v="RESOLVIDO"/>
    <m/>
    <x v="1"/>
    <n v="3201357"/>
    <x v="2"/>
    <d v="2025-01-24T17:24:00"/>
    <s v="MEUYDY"/>
    <s v="MEUYDY"/>
    <s v="Não localizado cliente com CNPJ [357038000116].&lt;-ObterCliente&lt;-MontarPnrBase&lt;-ProcessarAereo&lt;-ProcessarItemFila[b]"/>
    <x v="308"/>
    <d v="2025-01-24T20:33:00"/>
    <s v="CLIENTE"/>
    <x v="12"/>
    <s v=""/>
    <e v="#N/A"/>
    <x v="1"/>
    <n v="24"/>
  </r>
  <r>
    <s v="TMS"/>
    <m/>
    <x v="2"/>
    <n v="3202016"/>
    <x v="1"/>
    <d v="2025-01-24T11:01:00"/>
    <n v="40"/>
    <n v="40"/>
    <s v="Preenchendo XML Serviço-&gt; Preenchendo XML-&gt; Montando accounting aereo 2-&gt;Não foi informado o Localizador do Assento/Bagagem!"/>
    <x v="309"/>
    <d v="2025-02-04T08:46:00"/>
    <s v="OUTROS"/>
    <x v="15"/>
    <s v="CAMPO OBSERVAÇÃO PREENCHIDO INCORRETAMENTE"/>
    <s v="QUALIDADE DOS DADOS"/>
    <x v="1"/>
    <n v="118"/>
  </r>
  <r>
    <s v="RESOLVIDO"/>
    <m/>
    <x v="1"/>
    <n v="3202516"/>
    <x v="2"/>
    <d v="2025-01-24T14:12:00"/>
    <s v="OJJJLX-1"/>
    <s v="OJJJLX"/>
    <s v="Não localizado cliente código [E000000002].&lt;-ObterCliente&lt;-MontarPnrBase&lt;-ProcessarAereo&lt;-ProcessarItemFila[b]"/>
    <x v="310"/>
    <m/>
    <s v="CLIENTE"/>
    <x v="13"/>
    <s v="CÓDIGO DIFERENTE DO CADASTRADO NO BENNER (CLIENTE X GRUPO)"/>
    <s v="QUALIDADE DOS DADOS"/>
    <x v="0"/>
    <n v="1"/>
  </r>
  <r>
    <s v="RESOLVIDO"/>
    <m/>
    <x v="1"/>
    <n v="3203563"/>
    <x v="2"/>
    <d v="2025-01-24T17:24:00"/>
    <s v="UEVQXQ"/>
    <s v="UEVQXQ"/>
    <s v="Não localizado cliente com CNPJ [820120000135].&lt;-ObterCliente&lt;-MontarPnrBase&lt;-ProcessarAereo&lt;-ProcessarItemFila[b]"/>
    <x v="311"/>
    <m/>
    <s v="CLIENTE"/>
    <x v="12"/>
    <s v=""/>
    <s v="QUALIDADE DOS DADOS"/>
    <x v="1"/>
    <n v="24"/>
  </r>
  <r>
    <s v="RESOLVIDO"/>
    <m/>
    <x v="1"/>
    <n v="3203566"/>
    <x v="2"/>
    <d v="2025-01-24T17:24:00"/>
    <s v="UELNUI"/>
    <s v="UELNUI"/>
    <s v="Não localizado cliente com CNPJ [820120000135].&lt;-ObterCliente&lt;-MontarPnrBase&lt;-ProcessarAereo&lt;-ProcessarItemFila[b]"/>
    <x v="312"/>
    <m/>
    <s v="CLIENTE"/>
    <x v="12"/>
    <s v=""/>
    <s v="QUALIDADE DOS DADOS"/>
    <x v="1"/>
    <n v="24"/>
  </r>
  <r>
    <s v="RESOLVIDO"/>
    <m/>
    <x v="1"/>
    <n v="3203587"/>
    <x v="2"/>
    <d v="2025-01-24T17:24:00"/>
    <s v="QNBIKV"/>
    <s v="QNBIKV"/>
    <s v="Código de cliente não identificado&lt;-ObterCliente&lt;-MontarPnrBase&lt;-ProcessarAereo&lt;-ProcessarItemFila[b]"/>
    <x v="313"/>
    <m/>
    <s v="CLIENTE"/>
    <x v="14"/>
    <s v="DK DE CLIENTE NÃO PREENCIDO / CLIENTE NÃO CONFIGURADO NO OBT"/>
    <s v="INDEFINIDO"/>
    <x v="1"/>
    <s v="COLUNA I"/>
  </r>
  <r>
    <s v="RESOLVIDO"/>
    <m/>
    <x v="1"/>
    <n v="3203588"/>
    <x v="2"/>
    <d v="2025-01-24T17:24:00"/>
    <s v="FMXGWU"/>
    <s v="FMXGWU"/>
    <s v="Não localizado cliente com CNPJ [4120966000113].&lt;-ObterCliente&lt;-MontarPnrBase&lt;-ProcessarAereo&lt;-ProcessarItemFila[b]"/>
    <x v="314"/>
    <m/>
    <s v="CLIENTE"/>
    <x v="12"/>
    <s v=""/>
    <s v="QUALIDADE DOS DADOS"/>
    <x v="1"/>
    <n v="24"/>
  </r>
  <r>
    <s v="RESOLVIDO"/>
    <m/>
    <x v="1"/>
    <n v="3205314"/>
    <x v="2"/>
    <d v="2025-01-27T11:22:00"/>
    <s v="WMDPKX"/>
    <s v="WMDPKX"/>
    <s v="Código de cliente não identificado&lt;-ObterCliente&lt;-MontarPnrBase&lt;-ProcessarAereo&lt;-ProcessarItemFila[b]"/>
    <x v="315"/>
    <m/>
    <s v="CLIENTE"/>
    <x v="14"/>
    <s v="DK DE CLIENTE NÃO PREENCIDO / CLIENTE NÃO CONFIGURADO NO OBT"/>
    <s v="INDEFINIDO"/>
    <x v="1"/>
    <s v="COLUNA I"/>
  </r>
  <r>
    <s v="RESOLVIDO"/>
    <m/>
    <x v="1"/>
    <n v="3205321"/>
    <x v="2"/>
    <d v="2025-01-27T11:22:00"/>
    <s v="WCGDBG"/>
    <s v="WCGDBG"/>
    <s v="Não localizado cliente código [1234567890].&lt;-ObterCliente&lt;-MontarPnrBase&lt;-ProcessarAereo&lt;-ProcessarItemFila[b]"/>
    <x v="315"/>
    <m/>
    <s v="CLIENTE"/>
    <x v="13"/>
    <s v="CÓDIGO DIFERENTE DO CADASTRADO NO BENNER (CLIENTE X GRUPO)"/>
    <s v="QUALIDADE DOS DADOS"/>
    <x v="0"/>
    <n v="1"/>
  </r>
  <r>
    <s v="RESOLVIDO"/>
    <m/>
    <x v="1"/>
    <n v="3205338"/>
    <x v="2"/>
    <d v="2025-01-27T11:22:00"/>
    <s v="NKEXRV"/>
    <s v="NKEXRV"/>
    <s v="Código de cliente não identificado&lt;-ObterCliente&lt;-MontarPnrBase&lt;-ProcessarAereo&lt;-ProcessarItemFila[b]"/>
    <x v="316"/>
    <m/>
    <s v="CLIENTE"/>
    <x v="14"/>
    <s v="DK DE CLIENTE NÃO PREENCIDO / CLIENTE NÃO CONFIGURADO NO OBT"/>
    <s v="INDEFINIDO"/>
    <x v="1"/>
    <s v="COLUNA I"/>
  </r>
  <r>
    <s v="RESOLVIDO"/>
    <m/>
    <x v="1"/>
    <n v="3205344"/>
    <x v="2"/>
    <d v="2025-01-31T11:27:00"/>
    <s v="CGCPGM"/>
    <s v="CGCPGM"/>
    <s v="Não localizado cliente com CNPJ [820120000135].&lt;-ObterCliente&lt;-MontarPnrBase&lt;-ProcessarAereo&lt;-ProcessarItemFila[b]"/>
    <x v="317"/>
    <d v="2025-01-31T14:33:00"/>
    <s v="CLIENTE"/>
    <x v="12"/>
    <s v=""/>
    <s v="QUALIDADE DOS DADOS"/>
    <x v="1"/>
    <n v="24"/>
  </r>
  <r>
    <s v="RESOLVIDO"/>
    <m/>
    <x v="1"/>
    <n v="3205589"/>
    <x v="2"/>
    <d v="2025-01-27T13:18:00"/>
    <s v="NJSGPB"/>
    <s v="NJSGPB"/>
    <s v="Código de cliente não identificado&lt;-ObterCliente&lt;-MontarPnrBase&lt;-ProcessarAereo&lt;-ProcessarItemFila[b]"/>
    <x v="318"/>
    <m/>
    <s v="CLIENTE"/>
    <x v="14"/>
    <s v="DK DE CLIENTE NÃO PREENCIDO / CLIENTE NÃO CONFIGURADO NO OBT"/>
    <s v="INDEFINIDO"/>
    <x v="1"/>
    <s v="COLUNA I"/>
  </r>
  <r>
    <s v="RESOLVIDO"/>
    <m/>
    <x v="1"/>
    <n v="3205655"/>
    <x v="2"/>
    <d v="2025-01-27T14:19:00"/>
    <s v="KXLBQA"/>
    <s v="KXLBQA"/>
    <s v="Não localizado cliente com CNPJ [820120000135].&lt;-ObterCliente&lt;-MontarPnrBase&lt;-ProcessarAereo&lt;-ProcessarItemFila[b]"/>
    <x v="319"/>
    <d v="2025-01-27T17:34:00"/>
    <s v="CLIENTE"/>
    <x v="12"/>
    <s v=""/>
    <s v="QUALIDADE DOS DADOS"/>
    <x v="1"/>
    <n v="24"/>
  </r>
  <r>
    <s v="RESOLVIDO"/>
    <m/>
    <x v="1"/>
    <n v="3205795"/>
    <x v="2"/>
    <d v="2025-01-27T14:19:00"/>
    <s v="MZIBMB"/>
    <s v="MZIBMB"/>
    <s v="Não localizado cliente com CNPJ [8896745000192].&lt;-ObterCliente&lt;-MontarPnrBase&lt;-ProcessarAereo&lt;-ProcessarItemFila[b]"/>
    <x v="320"/>
    <m/>
    <s v="CLIENTE"/>
    <x v="12"/>
    <s v=""/>
    <e v="#N/A"/>
    <x v="1"/>
    <n v="24"/>
  </r>
  <r>
    <s v="RESOLVIDO"/>
    <m/>
    <x v="1"/>
    <n v="3205800"/>
    <x v="2"/>
    <d v="2025-01-27T16:12:00"/>
    <s v="LFVQRC"/>
    <s v="LFVQRC"/>
    <s v="Não localizado cliente com CNPJ [8435509000179].&lt;-ObterCliente&lt;-MontarPnrBase&lt;-ProcessarAereo&lt;-ProcessarItemFila[b]"/>
    <x v="321"/>
    <d v="2025-01-27T19:20:00"/>
    <s v="CLIENTE"/>
    <x v="12"/>
    <s v=""/>
    <s v="QUALIDADE DOS DADOS"/>
    <x v="1"/>
    <n v="24"/>
  </r>
  <r>
    <s v="RESOLVIDO"/>
    <m/>
    <x v="1"/>
    <n v="3205998"/>
    <x v="2"/>
    <d v="2025-01-27T15:52:00"/>
    <s v="CJUXHJ"/>
    <s v="CJUXHJ"/>
    <s v="Não localizado cliente com CNPJ [820120000135].&lt;-ObterCliente&lt;-MontarPnrBase&lt;-ProcessarAereo&lt;-ProcessarItemFila[b]"/>
    <x v="322"/>
    <m/>
    <s v="CLIENTE"/>
    <x v="12"/>
    <s v=""/>
    <e v="#N/A"/>
    <x v="1"/>
    <n v="24"/>
  </r>
  <r>
    <s v="RESOLVIDO"/>
    <m/>
    <x v="1"/>
    <n v="3206591"/>
    <x v="2"/>
    <d v="2025-01-28T13:00:00"/>
    <s v="CVELRT"/>
    <s v="CVELRT"/>
    <s v="Inserindo Accounting - (ExecSQL) - Could not convert variant of type (Null) into type (OleStr)"/>
    <x v="323"/>
    <d v="2025-01-28T16:11:00"/>
    <s v="OUTROS"/>
    <x v="11"/>
    <s v=""/>
    <s v="SISTEMA"/>
    <x v="0"/>
    <s v="COLUNA I"/>
  </r>
  <r>
    <s v="RESOLVIDO"/>
    <m/>
    <x v="1"/>
    <n v="3206599"/>
    <x v="2"/>
    <d v="2025-01-28T06:36:00"/>
    <s v="WAZGSU"/>
    <s v="WAZGSU"/>
    <s v="Não localizado cliente com CNPJ [8435509000179].&lt;-ObterCliente&lt;-MontarPnrBase&lt;-ProcessarAereo&lt;-ProcessarItemFila[b]"/>
    <x v="323"/>
    <d v="2025-01-28T09:50:00"/>
    <s v="CLIENTE"/>
    <x v="12"/>
    <s v=""/>
    <s v="QUALIDADE DOS DADOS"/>
    <x v="1"/>
    <n v="24"/>
  </r>
  <r>
    <s v="RESOLVIDO"/>
    <m/>
    <x v="1"/>
    <n v="3208322"/>
    <x v="2"/>
    <d v="2025-02-03T17:01:00"/>
    <s v="HXTINU"/>
    <s v="HXTINU"/>
    <s v="Inserindo Accounting - (ExecSQL) - Could not convert variant of type (Null) into type (OleStr)"/>
    <x v="324"/>
    <d v="2025-02-03T20:04:00"/>
    <s v="OUTROS"/>
    <x v="11"/>
    <s v=""/>
    <s v="SISTEMA"/>
    <x v="0"/>
    <s v="COLUNA I"/>
  </r>
  <r>
    <s v="RESOLVIDO"/>
    <m/>
    <x v="1"/>
    <n v="3208326"/>
    <x v="2"/>
    <d v="2025-01-28T12:50:00"/>
    <s v="KWYRSS"/>
    <s v="KWYRSS"/>
    <s v="Não localizado cliente código [1234567890].&lt;-ObterCliente&lt;-MontarPnrBase&lt;-ProcessarAereo&lt;-ProcessarItemFila[b]"/>
    <x v="325"/>
    <m/>
    <s v="CLIENTE"/>
    <x v="13"/>
    <s v="CÓDIGO DIFERENTE DO CADASTRADO NO BENNER (CLIENTE X GRUPO)"/>
    <s v="QUALIDADE DOS DADOS"/>
    <x v="0"/>
    <n v="1"/>
  </r>
  <r>
    <s v="RESOLVIDO"/>
    <m/>
    <x v="1"/>
    <n v="3208355"/>
    <x v="2"/>
    <d v="2025-01-28T12:50:00"/>
    <s v="UWQAVF"/>
    <s v="UWQAVF"/>
    <s v="Inserindo Accounting - (ExecSQL) - Could not convert variant of type (Null) into type (OleStr)"/>
    <x v="326"/>
    <m/>
    <s v="OUTROS"/>
    <x v="11"/>
    <s v=""/>
    <s v="SISTEMA"/>
    <x v="0"/>
    <s v="COLUNA I"/>
  </r>
  <r>
    <s v="RESOLVIDO"/>
    <m/>
    <x v="1"/>
    <n v="3208460"/>
    <x v="2"/>
    <d v="2025-01-28T15:01:00"/>
    <s v="WPQICB"/>
    <s v="WPQICB"/>
    <s v="Não localizado cliente com CNPJ [357038000116].&lt;-ObterCliente&lt;-MontarPnrBase&lt;-ProcessarAereo&lt;-ProcessarItemFila[b]"/>
    <x v="327"/>
    <d v="2025-01-28T18:04:00"/>
    <s v="CLIENTE"/>
    <x v="12"/>
    <s v=""/>
    <s v="QUALIDADE DOS DADOS"/>
    <x v="1"/>
    <n v="24"/>
  </r>
  <r>
    <s v="RESOLVIDO"/>
    <m/>
    <x v="1"/>
    <n v="3208677"/>
    <x v="2"/>
    <d v="2025-01-28T15:01:00"/>
    <s v="MVNHCP"/>
    <s v="MVNHCP"/>
    <s v="Não localizado cliente código [0000583808].&lt;-ObterCliente&lt;-MontarPnrBase&lt;-ProcessarAereo&lt;-ProcessarItemFila[b]"/>
    <x v="328"/>
    <m/>
    <s v="CLIENTE"/>
    <x v="13"/>
    <s v="CÓDIGO DIFERENTE DO CADASTRADO NO BENNER (CLIENTE X GRUPO)"/>
    <s v="QUALIDADE DOS DADOS"/>
    <x v="0"/>
    <n v="1"/>
  </r>
  <r>
    <s v="RESOLVIDO"/>
    <m/>
    <x v="1"/>
    <n v="3208678"/>
    <x v="2"/>
    <d v="2025-01-28T15:01:00"/>
    <s v="NJFSLJ"/>
    <s v="NJFSLJ"/>
    <s v="Não localizado cliente código [1234567890].&lt;-ObterCliente&lt;-MontarPnrBase&lt;-ProcessarAereo&lt;-ProcessarItemFila[b]"/>
    <x v="329"/>
    <m/>
    <s v="CLIENTE"/>
    <x v="13"/>
    <s v="CÓDIGO DIFERENTE DO CADASTRADO NO BENNER (CLIENTE X GRUPO)"/>
    <s v="QUALIDADE DOS DADOS"/>
    <x v="0"/>
    <n v="1"/>
  </r>
  <r>
    <s v="RESOLVIDO"/>
    <m/>
    <x v="1"/>
    <n v="3208797"/>
    <x v="2"/>
    <d v="2025-01-28T16:06:00"/>
    <s v="EMSSFQT"/>
    <s v="EMSSFQ"/>
    <s v="Código de cliente não identificado&lt;-ObterCliente&lt;-MontarPnrBase&lt;-MontarPnr&lt;-ProcessarHotel&lt;-ProcessarItemFila[b]"/>
    <x v="330"/>
    <m/>
    <s v="CLIENTE"/>
    <x v="14"/>
    <s v="DK DE CLIENTE NÃO PREENCIDO / CLIENTE NÃO CONFIGURADO NO OBT"/>
    <s v="INDEFINIDO"/>
    <x v="1"/>
    <s v="COLUNA I"/>
  </r>
  <r>
    <s v="RESOLVIDO"/>
    <m/>
    <x v="1"/>
    <n v="3208815"/>
    <x v="2"/>
    <d v="2025-01-29T06:26:00"/>
    <s v="ABHWYV"/>
    <s v="ABHWYV"/>
    <s v="Não localizado cliente com CNPJ [4611797000114].&lt;-ObterCliente&lt;-MontarPnrBase&lt;-ProcessarAereo&lt;-ProcessarItemFila[b]"/>
    <x v="331"/>
    <d v="2025-01-29T09:32:00"/>
    <s v="CLIENTE"/>
    <x v="12"/>
    <s v=""/>
    <s v="QUALIDADE DOS DADOS"/>
    <x v="1"/>
    <n v="24"/>
  </r>
  <r>
    <s v="GOVER"/>
    <m/>
    <x v="2"/>
    <n v="3210564"/>
    <x v="0"/>
    <d v="2025-01-29T10:15:00"/>
    <n v="4482820"/>
    <n v="4482820"/>
    <s v="PreencherPnr-&gt;Foi identificado um localizador sem código."/>
    <x v="332"/>
    <d v="2025-02-11T09:54:00"/>
    <s v="OUTROS"/>
    <x v="1"/>
    <s v="RLOC NÃO PREENCHIDO NA RESERVA"/>
    <s v="QUALIDADE DOS DADOS"/>
    <x v="0"/>
    <s v="COLUNA I"/>
  </r>
  <r>
    <s v="GOVER"/>
    <m/>
    <x v="2"/>
    <n v="3210813"/>
    <x v="0"/>
    <d v="2025-01-29T14:07:00"/>
    <n v="4483061"/>
    <s v="HRJNKU"/>
    <s v="PreencherPnr-&gt;Não foi encontrado nenhum item hotel para o localizador HRJNKU"/>
    <x v="333"/>
    <d v="2025-02-11T09:54:00"/>
    <s v="OUTROS"/>
    <x v="9"/>
    <s v=""/>
    <s v="SISTEMA"/>
    <x v="0"/>
    <s v="COLUNA I"/>
  </r>
  <r>
    <s v="RESOLVIDO"/>
    <m/>
    <x v="1"/>
    <n v="3213491"/>
    <x v="2"/>
    <d v="2025-01-30T14:29:00"/>
    <s v="HCPGHI"/>
    <s v="HCPGHI"/>
    <s v="Não localizado cliente com CNPJ [8435509000179].&lt;-ObterCliente&lt;-MontarPnrBase&lt;-ProcessarAereo&lt;-ProcessarItemFila[b]"/>
    <x v="334"/>
    <m/>
    <s v="CLIENTE"/>
    <x v="12"/>
    <s v=""/>
    <e v="#N/A"/>
    <x v="1"/>
    <n v="24"/>
  </r>
  <r>
    <s v="RESOLVIDO"/>
    <m/>
    <x v="1"/>
    <n v="3213629"/>
    <x v="2"/>
    <d v="2025-01-30T15:33:00"/>
    <s v="OCFFCP"/>
    <s v="OCFFCP"/>
    <s v="Não localizado cliente código [0000583808].&lt;-ObterCliente&lt;-MontarPnrBase&lt;-ProcessarAereo&lt;-ProcessarItemFila[b]"/>
    <x v="335"/>
    <m/>
    <s v="CLIENTE"/>
    <x v="13"/>
    <s v="CÓDIGO DIFERENTE DO CADASTRADO NO BENNER (CLIENTE X GRUPO)"/>
    <s v="QUALIDADE DOS DADOS"/>
    <x v="0"/>
    <n v="1"/>
  </r>
  <r>
    <s v="RESOLVIDO"/>
    <m/>
    <x v="1"/>
    <n v="3213637"/>
    <x v="2"/>
    <d v="2025-01-30T15:33:00"/>
    <s v="LASKHU"/>
    <s v="LASKHU"/>
    <s v="Não localizado cliente com CNPJ [820120000135].&lt;-ObterCliente&lt;-MontarPnrBase&lt;-ProcessarAereo&lt;-ProcessarItemFila[b]"/>
    <x v="336"/>
    <m/>
    <s v="CLIENTE"/>
    <x v="12"/>
    <s v=""/>
    <e v="#N/A"/>
    <x v="1"/>
    <n v="24"/>
  </r>
  <r>
    <s v="RESOLVIDO"/>
    <m/>
    <x v="1"/>
    <n v="3213651"/>
    <x v="2"/>
    <d v="2025-01-30T15:33:00"/>
    <s v="MOFRAB"/>
    <s v="MOFRAB"/>
    <s v="Código de cliente não identificado&lt;-ObterCliente&lt;-MontarPnrBase&lt;-ProcessarAereo&lt;-ProcessarItemFila[b]"/>
    <x v="337"/>
    <m/>
    <s v="CLIENTE"/>
    <x v="14"/>
    <s v="DK DE CLIENTE NÃO PREENCIDO / CLIENTE NÃO CONFIGURADO NO OBT"/>
    <s v="INDEFINIDO"/>
    <x v="1"/>
    <s v="COLUNA I"/>
  </r>
  <r>
    <s v="RESOLVIDO"/>
    <m/>
    <x v="1"/>
    <n v="3213652"/>
    <x v="2"/>
    <d v="2025-01-30T15:33:00"/>
    <s v="FXUENR"/>
    <s v="FXUENR"/>
    <s v="Não localizado cliente código [0000583808].&lt;-ObterCliente&lt;-MontarPnrBase&lt;-ProcessarAereo&lt;-ProcessarItemFila[b]"/>
    <x v="337"/>
    <m/>
    <s v="CLIENTE"/>
    <x v="13"/>
    <s v="CÓDIGO DIFERENTE DO CADASTRADO NO BENNER (CLIENTE X GRUPO)"/>
    <s v="QUALIDADE DOS DADOS"/>
    <x v="0"/>
    <n v="1"/>
  </r>
  <r>
    <s v="RESOLVIDO"/>
    <m/>
    <x v="1"/>
    <n v="3213656"/>
    <x v="2"/>
    <d v="2025-01-30T15:33:00"/>
    <s v="FLXPZG"/>
    <s v="FLXPZG"/>
    <s v="Não localizado cliente código [0000072678].&lt;-ObterCliente&lt;-MontarPnrBase&lt;-ProcessarAereo&lt;-ProcessarItemFila[b]"/>
    <x v="338"/>
    <m/>
    <s v="CLIENTE"/>
    <x v="13"/>
    <s v="CÓDIGO DIFERENTE DO CADASTRADO NO BENNER (CLIENTE X GRUPO)"/>
    <s v="QUALIDADE DOS DADOS"/>
    <x v="1"/>
    <n v="1"/>
  </r>
  <r>
    <s v="RESOLVIDO"/>
    <m/>
    <x v="1"/>
    <n v="3213743"/>
    <x v="2"/>
    <d v="2025-01-30T16:43:00"/>
    <s v="AGRZCQ"/>
    <s v="AGRZCQ"/>
    <s v="Não localizado cliente com CNPJ [4611797000114].&lt;-ObterCliente&lt;-MontarPnrBase&lt;-ProcessarAereo&lt;-ProcessarItemFila[b]"/>
    <x v="339"/>
    <m/>
    <s v="CLIENTE"/>
    <x v="12"/>
    <s v=""/>
    <s v="QUALIDADE DOS DADOS"/>
    <x v="1"/>
    <n v="24"/>
  </r>
  <r>
    <s v="RESOLVIDO"/>
    <m/>
    <x v="1"/>
    <n v="3213744"/>
    <x v="2"/>
    <d v="2025-01-30T16:43:00"/>
    <s v="FJFWIE"/>
    <s v="FJFWIE"/>
    <s v="Não localizado cliente com CNPJ [4120966000113].&lt;-ObterCliente&lt;-MontarPnrBase&lt;-ProcessarAereo&lt;-ProcessarItemFila[b]"/>
    <x v="340"/>
    <m/>
    <s v="CLIENTE"/>
    <x v="12"/>
    <s v=""/>
    <e v="#N/A"/>
    <x v="1"/>
    <n v="24"/>
  </r>
  <r>
    <s v="GOVER"/>
    <m/>
    <x v="2"/>
    <n v="3214628"/>
    <x v="0"/>
    <d v="2025-01-30T18:10:00"/>
    <n v="4484129"/>
    <s v="UVBIBW"/>
    <s v="PreencherPnr-&gt;Não foi encontrado nenhum item hotel para o localizador UVBIBW"/>
    <x v="341"/>
    <m/>
    <s v="OUTROS"/>
    <x v="9"/>
    <s v=""/>
    <s v="SISTEMA"/>
    <x v="0"/>
    <s v="COLUNA I"/>
  </r>
  <r>
    <s v="GOVER"/>
    <m/>
    <x v="2"/>
    <n v="3214637"/>
    <x v="0"/>
    <d v="2025-01-30T18:16:00"/>
    <n v="4484134"/>
    <s v="GCOMJU"/>
    <s v="PreencherPnr-&gt;Não foi encontrado nenhum item hotel para o localizador GCOMJU"/>
    <x v="342"/>
    <m/>
    <s v="OUTROS"/>
    <x v="9"/>
    <s v=""/>
    <s v="SISTEMA"/>
    <x v="0"/>
    <s v="COLUNA I"/>
  </r>
  <r>
    <s v="RESOLVIDO"/>
    <m/>
    <x v="1"/>
    <n v="3214641"/>
    <x v="2"/>
    <d v="2025-01-31T06:06:00"/>
    <s v="GPFDGF"/>
    <s v="GPFDGF"/>
    <s v="Código de cliente não identificado&lt;-ObterCliente&lt;-MontarPnrBase&lt;-ProcessarAereo&lt;-ProcessarItemFila[b]"/>
    <x v="343"/>
    <m/>
    <s v="CLIENTE"/>
    <x v="14"/>
    <s v="DK DE CLIENTE NÃO PREENCIDO / CLIENTE NÃO CONFIGURADO NO OBT"/>
    <s v="INDEFINIDO"/>
    <x v="1"/>
    <s v="COLUNA I"/>
  </r>
  <r>
    <s v="RESOLVIDO"/>
    <m/>
    <x v="1"/>
    <n v="3214797"/>
    <x v="2"/>
    <d v="2025-01-31T08:15:00"/>
    <s v="JHRUVT"/>
    <s v="JHRUVT"/>
    <s v="Código de cliente não identificado&lt;-ObterCliente&lt;-MontarPnrBase&lt;-ProcessarAereo&lt;-ProcessarItemFila[b]"/>
    <x v="344"/>
    <m/>
    <s v="CLIENTE"/>
    <x v="14"/>
    <s v="DK DE CLIENTE NÃO PREENCIDO / CLIENTE NÃO CONFIGURADO NO OBT"/>
    <s v="INDEFINIDO"/>
    <x v="1"/>
    <s v="COLUNA I"/>
  </r>
  <r>
    <s v="RESOLVIDO"/>
    <m/>
    <x v="1"/>
    <n v="3214852"/>
    <x v="2"/>
    <d v="2025-01-31T08:39:00"/>
    <s v="OXVWIL"/>
    <s v="OXVWIL"/>
    <s v="Não localizado cliente com CNPJ [3334170000109].&lt;-ObterCliente&lt;-MontarPnrBase&lt;-ProcessarAereo&lt;-ProcessarItemFila[b]"/>
    <x v="345"/>
    <m/>
    <s v="CLIENTE"/>
    <x v="12"/>
    <s v=""/>
    <e v="#N/A"/>
    <x v="1"/>
    <n v="24"/>
  </r>
  <r>
    <s v="RESOLVIDO"/>
    <m/>
    <x v="1"/>
    <n v="3215078"/>
    <x v="2"/>
    <d v="2025-01-31T11:36:00"/>
    <s v="NQXWBLT"/>
    <s v="NQXWBL"/>
    <s v="Código de cliente não identificado&lt;-ObterCliente&lt;-MontarPnrBase&lt;-MontarPnr&lt;-ProcessarHotel&lt;-ProcessarItemFila[b]"/>
    <x v="346"/>
    <m/>
    <s v="CLIENTE"/>
    <x v="14"/>
    <s v="DK DE CLIENTE NÃO PREENCIDO / CLIENTE NÃO CONFIGURADO NO OBT"/>
    <s v="INDEFINIDO"/>
    <x v="1"/>
    <s v="COLUNA I"/>
  </r>
  <r>
    <s v="RESOLVIDO"/>
    <m/>
    <x v="1"/>
    <n v="3215360"/>
    <x v="2"/>
    <d v="2025-01-31T12:15:00"/>
    <s v="JFZXVV"/>
    <s v="JFZXVV"/>
    <s v="Não localizado cliente com CNPJ [3334170000109].&lt;-ObterCliente&lt;-MontarPnrBase&lt;-ProcessarAereo&lt;-ProcessarItemFila[b]"/>
    <x v="347"/>
    <m/>
    <s v="CLIENTE"/>
    <x v="12"/>
    <s v=""/>
    <e v="#N/A"/>
    <x v="1"/>
    <n v="24"/>
  </r>
  <r>
    <s v="RESOLVIDO"/>
    <m/>
    <x v="1"/>
    <n v="3215365"/>
    <x v="2"/>
    <d v="2025-01-31T12:15:00"/>
    <s v="CSZRYR"/>
    <s v="CSZRYR"/>
    <s v="Não localizado cliente com CNPJ [3334170000109].&lt;-ObterCliente&lt;-MontarPnrBase&lt;-ProcessarAereo&lt;-ProcessarItemFila[b]"/>
    <x v="348"/>
    <m/>
    <s v="CLIENTE"/>
    <x v="12"/>
    <s v=""/>
    <e v="#N/A"/>
    <x v="1"/>
    <n v="24"/>
  </r>
  <r>
    <s v="RESOLVIDO"/>
    <m/>
    <x v="1"/>
    <n v="3215368"/>
    <x v="2"/>
    <d v="2025-01-31T12:15:00"/>
    <s v="CCDFAX"/>
    <s v="CCDFAX"/>
    <s v="Não localizado cliente com CNPJ [3334170000109].&lt;-ObterCliente&lt;-MontarPnrBase&lt;-ProcessarAereo&lt;-ProcessarItemFila[b]"/>
    <x v="348"/>
    <m/>
    <s v="CLIENTE"/>
    <x v="12"/>
    <s v=""/>
    <s v="QUALIDADE DOS DADOS"/>
    <x v="1"/>
    <n v="24"/>
  </r>
  <r>
    <s v="RESOLVIDO"/>
    <m/>
    <x v="1"/>
    <n v="3216361"/>
    <x v="2"/>
    <d v="2025-01-31T17:03:00"/>
    <s v="CZXTHP"/>
    <s v="CZXTHP"/>
    <s v="Não localizado cliente com CNPJ [820120000135].&lt;-ObterCliente&lt;-MontarPnrBase&lt;-ProcessarAereo&lt;-ProcessarItemFila[b]"/>
    <x v="349"/>
    <d v="2025-01-31T20:19:00"/>
    <s v="CLIENTE"/>
    <x v="12"/>
    <s v=""/>
    <e v="#N/A"/>
    <x v="1"/>
    <n v="24"/>
  </r>
  <r>
    <s v="SABRE"/>
    <m/>
    <x v="2"/>
    <n v="3216438"/>
    <x v="2"/>
    <d v="2025-02-04T14:00:00"/>
    <s v="QLWOZL"/>
    <s v="QLWOZL"/>
    <s v="Não localizado cliente com CNPJ [2016507000169].&lt;-ObterCliente&lt;-MontarPnrBase&lt;-ProcessarAereo&lt;-ProcessarItemFila[b]"/>
    <x v="350"/>
    <d v="2025-02-05T08:51:00"/>
    <s v="CLIENTE"/>
    <x v="12"/>
    <s v=""/>
    <s v="QUALIDADE DOS DADOS"/>
    <x v="1"/>
    <n v="24"/>
  </r>
  <r>
    <s v="SABRE"/>
    <m/>
    <x v="2"/>
    <n v="3216439"/>
    <x v="2"/>
    <d v="2025-02-04T14:00:00"/>
    <s v="QLWOZLT"/>
    <s v="QLWOZL"/>
    <s v="Não localizado cliente com CNPJ [2016507000169].&lt;-ObterCliente&lt;-MontarPnrBase&lt;-MontarPnr&lt;-ProcessarHotel&lt;-ProcessarItemFila[b]"/>
    <x v="350"/>
    <d v="2025-02-05T08:51:00"/>
    <s v="CLIENTE"/>
    <x v="12"/>
    <s v=""/>
    <s v="QUALIDADE DOS DADOS"/>
    <x v="1"/>
    <n v="24"/>
  </r>
  <r>
    <s v="SABRE"/>
    <m/>
    <x v="2"/>
    <n v="3216560"/>
    <x v="2"/>
    <d v="2025-01-31T17:03:00"/>
    <s v="UTJAJO"/>
    <s v="UTJAJO"/>
    <s v="Código de cliente não identificado&lt;-ObterCliente&lt;-MontarPnrBase&lt;-ProcessarAereo&lt;-ProcessarItemFila[b]"/>
    <x v="351"/>
    <m/>
    <s v="CLIENTE"/>
    <x v="14"/>
    <s v="DK DE CLIENTE NÃO PREENCIDO / CLIENTE NÃO CONFIGURADO NO OBT"/>
    <s v="INDEFINIDO"/>
    <x v="1"/>
    <s v="COLUNA I"/>
  </r>
  <r>
    <s v="SABRE"/>
    <m/>
    <x v="2"/>
    <n v="3216572"/>
    <x v="2"/>
    <d v="2025-01-31T17:03:00"/>
    <s v="JGEOTY"/>
    <s v="JGEOTY"/>
    <s v="Não localizado cliente código [0000035945].&lt;-ObterCliente&lt;-MontarPnrBase&lt;-ProcessarAereo&lt;-ProcessarItemFila[b]"/>
    <x v="352"/>
    <m/>
    <s v="CLIENTE"/>
    <x v="13"/>
    <s v="CÓDIGO DIFERENTE DO CADASTRADO NO BENNER (CLIENTE X GRUPO)"/>
    <s v="QUALIDADE DOS DADOS"/>
    <x v="0"/>
    <n v="1"/>
  </r>
  <r>
    <s v="SABRE"/>
    <m/>
    <x v="2"/>
    <n v="3216577"/>
    <x v="2"/>
    <d v="2025-01-31T17:03:00"/>
    <s v="FREVEG"/>
    <s v="FREVEG"/>
    <s v="Não localizado cliente com CNPJ [5413409000153].&lt;-ObterCliente&lt;-MontarPnrBase&lt;-ProcessarAereo&lt;-ProcessarItemFila[b]"/>
    <x v="353"/>
    <m/>
    <s v="CLIENTE"/>
    <x v="12"/>
    <s v=""/>
    <s v="QUALIDADE DOS DADOS"/>
    <x v="1"/>
    <n v="24"/>
  </r>
  <r>
    <s v="SABRE"/>
    <m/>
    <x v="2"/>
    <n v="3220057"/>
    <x v="2"/>
    <d v="2025-02-03T09:01:00"/>
    <s v="SEHTJL"/>
    <s v="SEHTJL"/>
    <s v="Código de cliente não identificado&lt;-ObterCliente&lt;-MontarPnrBase&lt;-ProcessarAereo&lt;-ProcessarItemFila[b]"/>
    <x v="354"/>
    <m/>
    <s v="CLIENTE"/>
    <x v="14"/>
    <s v="DK DE CLIENTE NÃO PREENCIDO / CLIENTE NÃO CONFIGURADO NO OBT"/>
    <s v="INDEFINIDO"/>
    <x v="1"/>
    <s v="COLUNA I"/>
  </r>
  <r>
    <s v="RESOLVIDO"/>
    <m/>
    <x v="1"/>
    <n v="3220148"/>
    <x v="2"/>
    <d v="2025-02-03T11:32:00"/>
    <s v="FLMMGB"/>
    <s v="FLMMGB"/>
    <s v="Inserindo Accounting - (ExecSQL) - Could not convert variant of type (Null) into type (OleStr)"/>
    <x v="355"/>
    <d v="2025-02-03T14:51:00"/>
    <s v="OUTROS"/>
    <x v="11"/>
    <s v=""/>
    <s v="SISTEMA"/>
    <x v="0"/>
    <s v="COLUNA I"/>
  </r>
  <r>
    <s v="SABRE"/>
    <m/>
    <x v="2"/>
    <n v="3220285"/>
    <x v="2"/>
    <d v="2025-02-03T11:32:00"/>
    <s v="NXCDYO"/>
    <s v="NXCDYO"/>
    <s v="Não localizado cliente código [0000063625].&lt;-ObterCliente&lt;-MontarPnrBase&lt;-ProcessarAereo&lt;-ProcessarItemFila[b]"/>
    <x v="356"/>
    <m/>
    <s v="CLIENTE"/>
    <x v="13"/>
    <s v="CÓDIGO DIFERENTE DO CADASTRADO NO BENNER (CLIENTE X GRUPO)"/>
    <s v="QUALIDADE DOS DADOS"/>
    <x v="0"/>
    <n v="1"/>
  </r>
  <r>
    <s v="RESOLVIDO"/>
    <m/>
    <x v="1"/>
    <n v="3220286"/>
    <x v="2"/>
    <d v="2025-02-03T11:32:00"/>
    <s v="JMBPBI"/>
    <s v="JMBPBI"/>
    <s v="Inserindo Accounting - (ExecSQL) - Could not convert variant of type (Null) into type (OleStr)"/>
    <x v="356"/>
    <m/>
    <s v="OUTROS"/>
    <x v="11"/>
    <s v=""/>
    <s v="SISTEMA"/>
    <x v="0"/>
    <s v="COLUNA I"/>
  </r>
  <r>
    <s v="SABRE"/>
    <m/>
    <x v="2"/>
    <n v="3220287"/>
    <x v="2"/>
    <d v="2025-02-03T11:32:00"/>
    <s v="NYDJRP"/>
    <s v="NYDJRP"/>
    <s v="Não localizado cliente código [0000063625].&lt;-ObterCliente&lt;-MontarPnrBase&lt;-ProcessarAereo&lt;-ProcessarItemFila[b]"/>
    <x v="356"/>
    <m/>
    <s v="CLIENTE"/>
    <x v="13"/>
    <s v="CÓDIGO DIFERENTE DO CADASTRADO NO BENNER (CLIENTE X GRUPO)"/>
    <s v="QUALIDADE DOS DADOS"/>
    <x v="0"/>
    <n v="1"/>
  </r>
  <r>
    <s v="SABRE"/>
    <m/>
    <x v="2"/>
    <n v="3220290"/>
    <x v="2"/>
    <d v="2025-02-03T11:32:00"/>
    <s v="FKQXRT"/>
    <s v="FKQXRT"/>
    <s v="Não localizado cliente código [0000035945].&lt;-ObterCliente&lt;-MontarPnrBase&lt;-ProcessarAereo&lt;-ProcessarItemFila[b]"/>
    <x v="357"/>
    <m/>
    <s v="CLIENTE"/>
    <x v="13"/>
    <s v="CÓDIGO DIFERENTE DO CADASTRADO NO BENNER (CLIENTE X GRUPO)"/>
    <s v="QUALIDADE DOS DADOS"/>
    <x v="0"/>
    <n v="1"/>
  </r>
  <r>
    <s v="RESOLVIDO"/>
    <m/>
    <x v="1"/>
    <n v="3220291"/>
    <x v="2"/>
    <d v="2025-02-03T11:32:00"/>
    <s v="JKTSYZ"/>
    <s v="JKTSYZ"/>
    <s v="Inserindo Accounting - (ExecSQL) - Could not convert variant of type (Null) into type (OleStr)"/>
    <x v="357"/>
    <m/>
    <s v="OUTROS"/>
    <x v="11"/>
    <s v=""/>
    <s v="SISTEMA"/>
    <x v="0"/>
    <s v="COLUNA I"/>
  </r>
  <r>
    <s v="SABRE"/>
    <m/>
    <x v="2"/>
    <n v="3220293"/>
    <x v="2"/>
    <d v="2025-02-03T11:32:00"/>
    <s v="FJTULD"/>
    <s v="FJTULD"/>
    <s v="Não localizado cliente com CNPJ [820120000135].&lt;-ObterCliente&lt;-MontarPnrBase&lt;-ProcessarAereo&lt;-ProcessarItemFila[b]"/>
    <x v="358"/>
    <m/>
    <s v="CLIENTE"/>
    <x v="12"/>
    <s v=""/>
    <s v="INDEFINIDO"/>
    <x v="1"/>
    <n v="24"/>
  </r>
  <r>
    <s v="SABRE"/>
    <m/>
    <x v="2"/>
    <n v="3220295"/>
    <x v="2"/>
    <d v="2025-02-03T11:32:00"/>
    <s v="MNLCVW"/>
    <s v="MNLCVW"/>
    <s v="Não localizado cliente com CNPJ [820120000135].&lt;-ObterCliente&lt;-MontarPnrBase&lt;-ProcessarAereo&lt;-ProcessarItemFila[b]"/>
    <x v="358"/>
    <m/>
    <s v="CLIENTE"/>
    <x v="12"/>
    <s v=""/>
    <s v="QUALIDADE DOS DADOS"/>
    <x v="1"/>
    <n v="24"/>
  </r>
  <r>
    <s v="RESOLVIDO"/>
    <m/>
    <x v="1"/>
    <n v="3220298"/>
    <x v="2"/>
    <d v="2025-02-03T11:32:00"/>
    <s v="UTYPGA"/>
    <s v="UTYPGA"/>
    <s v="Inserindo Accounting - (ExecSQL) - Could not convert variant of type (Null) into type (OleStr)"/>
    <x v="359"/>
    <m/>
    <s v="OUTROS"/>
    <x v="11"/>
    <s v=""/>
    <s v="SISTEMA"/>
    <x v="0"/>
    <s v="COLUNA I"/>
  </r>
  <r>
    <s v="SABRE"/>
    <m/>
    <x v="2"/>
    <n v="3220299"/>
    <x v="2"/>
    <d v="2025-02-03T11:32:00"/>
    <s v="CPWSOQ"/>
    <s v="CPWSOQ"/>
    <s v="Não localizado cliente com CNPJ [820120000135].&lt;-ObterCliente&lt;-MontarPnrBase&lt;-ProcessarAereo&lt;-ProcessarItemFila[b]"/>
    <x v="359"/>
    <m/>
    <s v="CLIENTE"/>
    <x v="12"/>
    <s v=""/>
    <s v="INDEFINIDO"/>
    <x v="1"/>
    <n v="24"/>
  </r>
  <r>
    <s v="SABRE"/>
    <m/>
    <x v="2"/>
    <n v="3220340"/>
    <x v="2"/>
    <d v="2025-02-03T12:12:00"/>
    <s v="UAABCN"/>
    <s v="UAABCN"/>
    <s v="Código de cliente não identificado&lt;-ObterCliente&lt;-MontarPnrBase&lt;-ProcessarAereo&lt;-ProcessarItemFila[b]"/>
    <x v="360"/>
    <m/>
    <s v="CLIENTE"/>
    <x v="14"/>
    <s v="DK DE CLIENTE NÃO PREENCIDO / CLIENTE NÃO CONFIGURADO NO OBT"/>
    <s v="INDEFINIDO"/>
    <x v="1"/>
    <s v="COLUNA I"/>
  </r>
  <r>
    <s v="GOVER"/>
    <m/>
    <x v="2"/>
    <n v="3220697"/>
    <x v="0"/>
    <d v="2025-02-03T11:13:00"/>
    <n v="4485088"/>
    <s v="AYQNSL"/>
    <s v="PreencherPnr-&gt;Não foi encontrado nenhum item hotel para o localizador AYQNSL"/>
    <x v="361"/>
    <d v="2025-02-11T09:54:00"/>
    <s v="OUTROS"/>
    <x v="9"/>
    <s v=""/>
    <s v="SISTEMA"/>
    <x v="0"/>
    <s v="COLUNA I"/>
  </r>
  <r>
    <s v="SABRE"/>
    <m/>
    <x v="2"/>
    <n v="3221580"/>
    <x v="2"/>
    <d v="2025-02-03T17:01:00"/>
    <s v="AZLBHP"/>
    <s v="AZLBHP"/>
    <s v="Não localizado cliente com CNPJ [357038000116].&lt;-ObterCliente&lt;-MontarPnrBase&lt;-ProcessarAereo&lt;-ProcessarItemFila[b]"/>
    <x v="362"/>
    <d v="2025-02-03T20:05:00"/>
    <s v="CLIENTE"/>
    <x v="12"/>
    <s v=""/>
    <s v="INDEFINIDO"/>
    <x v="1"/>
    <n v="24"/>
  </r>
  <r>
    <s v="SABRE"/>
    <m/>
    <x v="2"/>
    <n v="3221581"/>
    <x v="2"/>
    <d v="2025-02-03T17:01:00"/>
    <s v="HLXQAT"/>
    <s v="HLXQAT"/>
    <s v="Não localizado cliente com CNPJ [357038000116].&lt;-ObterCliente&lt;-MontarPnrBase&lt;-ProcessarAereo&lt;-ProcessarItemFila[b]"/>
    <x v="363"/>
    <d v="2025-02-03T20:05:00"/>
    <s v="CLIENTE"/>
    <x v="12"/>
    <s v=""/>
    <s v="QUALIDADE DOS DADOS"/>
    <x v="1"/>
    <n v="24"/>
  </r>
  <r>
    <s v="SABRE"/>
    <m/>
    <x v="2"/>
    <n v="3221582"/>
    <x v="2"/>
    <d v="2025-02-03T17:01:00"/>
    <s v="UNWTBI"/>
    <s v="UNWTBI"/>
    <s v="Não localizado cliente com CNPJ [357038000116].&lt;-ObterCliente&lt;-MontarPnrBase&lt;-ProcessarAereo&lt;-ProcessarItemFila[b]"/>
    <x v="363"/>
    <d v="2025-02-03T20:06:00"/>
    <s v="CLIENTE"/>
    <x v="12"/>
    <s v=""/>
    <e v="#N/A"/>
    <x v="1"/>
    <n v="24"/>
  </r>
  <r>
    <s v="SABRE"/>
    <m/>
    <x v="2"/>
    <n v="3221585"/>
    <x v="2"/>
    <d v="2025-02-03T17:01:00"/>
    <s v="HPIGHD"/>
    <s v="HPIGHD"/>
    <s v="Não localizado cliente com CNPJ [357038000116].&lt;-ObterCliente&lt;-MontarPnrBase&lt;-ProcessarAereo&lt;-ProcessarItemFila[b]"/>
    <x v="363"/>
    <d v="2025-02-03T20:07:00"/>
    <s v="CLIENTE"/>
    <x v="12"/>
    <s v=""/>
    <e v="#N/A"/>
    <x v="1"/>
    <n v="24"/>
  </r>
  <r>
    <s v="SABRE"/>
    <m/>
    <x v="2"/>
    <n v="3221780"/>
    <x v="2"/>
    <d v="2025-02-03T17:01:00"/>
    <s v="NUKBZS"/>
    <s v="NUKBZS"/>
    <s v="Não localizado cliente com CNPJ [2379828000128].&lt;-ObterCliente&lt;-MontarPnrBase&lt;-ProcessarAereo&lt;-ProcessarItemFila[b]"/>
    <x v="364"/>
    <m/>
    <s v="CLIENTE"/>
    <x v="12"/>
    <s v=""/>
    <s v="QUALIDADE DOS DADOS"/>
    <x v="1"/>
    <n v="24"/>
  </r>
  <r>
    <s v="SABRE"/>
    <m/>
    <x v="2"/>
    <n v="3221788"/>
    <x v="2"/>
    <d v="2025-02-03T17:01:00"/>
    <s v="NUSKYF"/>
    <s v="NUSKYF"/>
    <s v="Não localizado cliente código [0000063625].&lt;-ObterCliente&lt;-MontarPnrBase&lt;-ProcessarAereo&lt;-ProcessarItemFila[b]"/>
    <x v="365"/>
    <m/>
    <s v="CLIENTE"/>
    <x v="13"/>
    <s v="CÓDIGO DIFERENTE DO CADASTRADO NO BENNER (CLIENTE X GRUPO)"/>
    <s v="QUALIDADE DOS DADOS"/>
    <x v="0"/>
    <n v="1"/>
  </r>
  <r>
    <s v="SABRE"/>
    <m/>
    <x v="2"/>
    <n v="3221790"/>
    <x v="2"/>
    <d v="2025-02-03T17:01:00"/>
    <s v="LKJQKO"/>
    <s v="LKJQKO"/>
    <s v="Não localizado cliente com CNPJ [820120000135].&lt;-ObterCliente&lt;-MontarPnrBase&lt;-ProcessarAereo&lt;-ProcessarItemFila[b]"/>
    <x v="366"/>
    <m/>
    <s v="CLIENTE"/>
    <x v="12"/>
    <s v=""/>
    <s v="QUALIDADE DOS DADOS"/>
    <x v="1"/>
    <n v="24"/>
  </r>
  <r>
    <s v="SABRE"/>
    <m/>
    <x v="2"/>
    <n v="3221792"/>
    <x v="2"/>
    <d v="2025-02-03T17:01:00"/>
    <s v="NVLYSO"/>
    <s v="NVLYSO"/>
    <s v="Não localizado cliente com CNPJ [4120966000113].&lt;-ObterCliente&lt;-MontarPnrBase&lt;-ProcessarAereo&lt;-ProcessarItemFila[b]"/>
    <x v="366"/>
    <m/>
    <s v="CLIENTE"/>
    <x v="12"/>
    <s v=""/>
    <s v="QUALIDADE DOS DADOS"/>
    <x v="1"/>
    <n v="24"/>
  </r>
  <r>
    <s v="SABRE"/>
    <m/>
    <x v="2"/>
    <n v="3221797"/>
    <x v="2"/>
    <d v="2025-02-03T17:01:00"/>
    <s v="NVOYAB"/>
    <s v="NVOYAB"/>
    <s v="Código de cliente não identificado&lt;-ObterCliente&lt;-MontarPnrBase&lt;-ProcessarAereo&lt;-ProcessarItemFila[b]"/>
    <x v="367"/>
    <m/>
    <s v="CLIENTE"/>
    <x v="14"/>
    <s v="DK DE CLIENTE NÃO PREENCIDO / CLIENTE NÃO CONFIGURADO NO OBT"/>
    <s v="INDEFINIDO"/>
    <x v="1"/>
    <s v="COLUNA I"/>
  </r>
  <r>
    <s v="SABRE"/>
    <m/>
    <x v="2"/>
    <n v="3221799"/>
    <x v="2"/>
    <d v="2025-02-03T17:01:00"/>
    <s v="EXWEUZ"/>
    <s v="EXWEUZ"/>
    <s v="Não localizado cliente com CNPJ [820120000135].&lt;-ObterCliente&lt;-MontarPnrBase&lt;-ProcessarAereo&lt;-ProcessarItemFila[b]"/>
    <x v="368"/>
    <m/>
    <s v="CLIENTE"/>
    <x v="12"/>
    <s v=""/>
    <s v="QUALIDADE DOS DADOS"/>
    <x v="1"/>
    <n v="24"/>
  </r>
  <r>
    <s v="SABRE"/>
    <m/>
    <x v="2"/>
    <n v="3221800"/>
    <x v="2"/>
    <d v="2025-02-03T17:01:00"/>
    <s v="ACEZKD"/>
    <s v="ACEZKD"/>
    <s v="Código de cliente não identificado&lt;-ObterCliente&lt;-MontarPnrBase&lt;-ProcessarAereo&lt;-ProcessarItemFila[b]"/>
    <x v="368"/>
    <m/>
    <s v="CLIENTE"/>
    <x v="14"/>
    <s v="DK DE CLIENTE NÃO PREENCIDO / CLIENTE NÃO CONFIGURADO NO OBT"/>
    <s v="INDEFINIDO"/>
    <x v="1"/>
    <s v="COLUNA I"/>
  </r>
  <r>
    <s v="SABRE"/>
    <m/>
    <x v="2"/>
    <n v="3221802"/>
    <x v="2"/>
    <d v="2025-02-04T07:53:00"/>
    <s v="AXHITO"/>
    <s v="AXHITO"/>
    <s v="Não localizado cliente com CNPJ [357038000116].&lt;-ObterCliente&lt;-MontarPnrBase&lt;-ProcessarAereo&lt;-ProcessarItemFila[b]"/>
    <x v="369"/>
    <d v="2025-02-05T08:04:00"/>
    <s v="CLIENTE"/>
    <x v="12"/>
    <s v=""/>
    <s v="QUALIDADE DOS DADOS"/>
    <x v="1"/>
    <n v="24"/>
  </r>
  <r>
    <s v="SABRE"/>
    <m/>
    <x v="2"/>
    <n v="3221807"/>
    <x v="2"/>
    <d v="2025-02-03T17:01:00"/>
    <s v="AAQMIO"/>
    <s v="AAQMIO"/>
    <s v="Código de cliente não identificado&lt;-ObterCliente&lt;-MontarPnrBase&lt;-ProcessarAereo&lt;-ProcessarItemFila[b]"/>
    <x v="370"/>
    <m/>
    <s v="CLIENTE"/>
    <x v="14"/>
    <s v="DK DE CLIENTE NÃO PREENCIDO / CLIENTE NÃO CONFIGURADO NO OBT"/>
    <s v="INDEFINIDO"/>
    <x v="1"/>
    <s v="COLUNA I"/>
  </r>
  <r>
    <s v="SABRE"/>
    <m/>
    <x v="2"/>
    <n v="3221812"/>
    <x v="2"/>
    <d v="2025-02-03T17:01:00"/>
    <s v="HLGZZX"/>
    <s v="HLGZZX"/>
    <s v="Código de cliente não identificado&lt;-ObterCliente&lt;-MontarPnrBase&lt;-ProcessarAereo&lt;-ProcessarItemFila[b]"/>
    <x v="371"/>
    <m/>
    <s v="CLIENTE"/>
    <x v="14"/>
    <s v="DK DE CLIENTE NÃO PREENCIDO / CLIENTE NÃO CONFIGURADO NO OBT"/>
    <s v="INDEFINIDO"/>
    <x v="1"/>
    <s v="COLUNA I"/>
  </r>
  <r>
    <s v="GOVER"/>
    <m/>
    <x v="2"/>
    <n v="3222452"/>
    <x v="0"/>
    <d v="2025-02-03T17:39:00"/>
    <n v="4485474"/>
    <s v="OWGGAN"/>
    <s v="PreencherPnr-&gt;Não foi encontrado nenhum item hotel para o localizador OWGGAN"/>
    <x v="372"/>
    <m/>
    <s v="OUTROS"/>
    <x v="9"/>
    <s v=""/>
    <s v="SISTEMA"/>
    <x v="0"/>
    <s v="COLUNA I"/>
  </r>
  <r>
    <s v="SABRE"/>
    <m/>
    <x v="2"/>
    <n v="3222923"/>
    <x v="2"/>
    <d v="2025-02-04T08:43:00"/>
    <s v="HHLWQFT"/>
    <s v="HHLWQF"/>
    <s v="Código de cliente não identificado&lt;-ObterCliente&lt;-MontarPnrBase&lt;-MontarPnr&lt;-ProcessarHotel&lt;-ProcessarItemFila[b]"/>
    <x v="373"/>
    <d v="2025-02-05T08:05:00"/>
    <s v="CLIENTE"/>
    <x v="14"/>
    <s v="DK DE CLIENTE NÃO PREENCIDO / CLIENTE NÃO CONFIGURADO NO OBT"/>
    <s v="INDEFINIDO"/>
    <x v="1"/>
    <s v="COLUNA I"/>
  </r>
  <r>
    <s v="SABRE"/>
    <m/>
    <x v="2"/>
    <n v="3222946"/>
    <x v="2"/>
    <d v="2025-02-04T09:22:00"/>
    <s v="YUZFFS"/>
    <s v="YUZFFS"/>
    <s v="Não localizado cliente com CNPJ [820120000135].&lt;-ObterCliente&lt;-MontarPnrBase&lt;-ProcessarAereo&lt;-ProcessarItemFila[b]"/>
    <x v="374"/>
    <d v="2025-02-05T08:40:00"/>
    <s v="CLIENTE"/>
    <x v="12"/>
    <s v=""/>
    <e v="#N/A"/>
    <x v="1"/>
    <n v="24"/>
  </r>
  <r>
    <s v="SABRE"/>
    <m/>
    <x v="2"/>
    <n v="3223156"/>
    <x v="2"/>
    <d v="2025-02-04T11:55:00"/>
    <s v="JHCLJY"/>
    <s v="JHCLJY"/>
    <s v="Não localizado cliente com CNPJ [820120000135].&lt;-ObterCliente&lt;-MontarPnrBase&lt;-ProcessarAereo&lt;-ProcessarItemFila[b]"/>
    <x v="375"/>
    <d v="2025-02-05T08:42:00"/>
    <s v="CLIENTE"/>
    <x v="12"/>
    <s v=""/>
    <e v="#N/A"/>
    <x v="1"/>
    <n v="24"/>
  </r>
  <r>
    <s v="SABRE"/>
    <m/>
    <x v="2"/>
    <n v="3223331"/>
    <x v="2"/>
    <d v="2025-02-04T13:08:00"/>
    <s v="DSRKKQT"/>
    <s v="DSRKKQ"/>
    <s v="Código de cliente não identificado&lt;-ObterCliente&lt;-MontarPnrBase&lt;-MontarPnr&lt;-ProcessarHotel&lt;-ProcessarItemFila[b]"/>
    <x v="376"/>
    <d v="2025-02-05T08:06:00"/>
    <s v="CLIENTE"/>
    <x v="14"/>
    <s v="DK DE CLIENTE NÃO PREENCIDO / CLIENTE NÃO CONFIGURADO NO OBT"/>
    <s v="INDEFINIDO"/>
    <x v="1"/>
    <s v="COLUNA I"/>
  </r>
  <r>
    <s v="SABRE"/>
    <m/>
    <x v="2"/>
    <n v="3223878"/>
    <x v="2"/>
    <d v="2025-02-04T13:43:00"/>
    <s v="UNOHSI"/>
    <s v="UNOHSI"/>
    <s v="Não localizado cliente com CNPJ [3334170000109].&lt;-ObterCliente&lt;-MontarPnrBase&lt;-ProcessarAereo&lt;-ProcessarItemFila[b]"/>
    <x v="377"/>
    <d v="2025-02-05T08:46:00"/>
    <s v="CLIENTE"/>
    <x v="12"/>
    <s v=""/>
    <e v="#N/A"/>
    <x v="1"/>
    <n v="24"/>
  </r>
  <r>
    <s v="RESOLVIDO"/>
    <m/>
    <x v="1"/>
    <n v="3223920"/>
    <x v="2"/>
    <d v="2025-02-04T13:43:00"/>
    <s v="OTBHHS"/>
    <s v="OTBHHS"/>
    <s v="Inserindo Accounting - (ExecSQL) - Could not convert variant of type (Null) into type (OleStr)"/>
    <x v="378"/>
    <d v="2025-02-05T08:50:00"/>
    <s v="OUTROS"/>
    <x v="11"/>
    <s v=""/>
    <s v="SISTEMA"/>
    <x v="0"/>
    <s v="COLUNA I"/>
  </r>
  <r>
    <s v="SABRE"/>
    <m/>
    <x v="2"/>
    <n v="3224058"/>
    <x v="2"/>
    <d v="2025-02-04T13:55:00"/>
    <s v="DRAAHXT"/>
    <s v="DRAAHX"/>
    <s v="Inserindo PNR - Accountings - TurVendas - Não foi possível localizar o contrato do fornecedor 49032"/>
    <x v="379"/>
    <d v="2025-02-05T08:07:00"/>
    <s v="FORNECEDOR"/>
    <x v="10"/>
    <s v="CONTRATO INATIVO OU DIVERGENTE"/>
    <s v="SISTEMA"/>
    <x v="1"/>
    <n v="43"/>
  </r>
  <r>
    <s v="SABRE"/>
    <m/>
    <x v="2"/>
    <n v="3224547"/>
    <x v="2"/>
    <d v="2025-02-04T15:53:00"/>
    <s v="NSTUMAT"/>
    <s v="NSTUMA"/>
    <s v="Não localizado cliente código [HA04100203].&lt;-ObterCliente&lt;-MontarPnrBase&lt;-MontarPnr&lt;-ProcessarHotel&lt;-ProcessarItemFila[b]"/>
    <x v="380"/>
    <d v="2025-02-05T08:12:00"/>
    <s v="CLIENTE"/>
    <x v="13"/>
    <s v="CÓDIGO DIFERENTE DO CADASTRADO NO BENNER (CLIENTE X GRUPO)"/>
    <s v="QUALIDADE DOS DADOS"/>
    <x v="0"/>
    <n v="1"/>
  </r>
  <r>
    <s v="SABRE"/>
    <m/>
    <x v="2"/>
    <n v="3224605"/>
    <x v="2"/>
    <d v="2025-02-04T17:19:00"/>
    <s v="YJYGUX"/>
    <s v="YJYGUX"/>
    <s v="Não localizado cliente com CNPJ [820120000135].&lt;-ObterCliente&lt;-MontarPnrBase&lt;-ProcessarAereo&lt;-ProcessarItemFila[b]"/>
    <x v="381"/>
    <d v="2025-02-05T08:53:00"/>
    <s v="CLIENTE"/>
    <x v="12"/>
    <s v=""/>
    <s v="QUALIDADE DOS DADOS"/>
    <x v="1"/>
    <n v="24"/>
  </r>
  <r>
    <s v="SABRE"/>
    <m/>
    <x v="2"/>
    <n v="3224608"/>
    <x v="2"/>
    <d v="2025-02-04T17:19:00"/>
    <s v="DQLRDD"/>
    <s v="DQLRDD"/>
    <s v="Não localizado cliente com CNPJ [357038000116].&lt;-ObterCliente&lt;-MontarPnrBase&lt;-ProcessarAereo&lt;-ProcessarItemFila[b]"/>
    <x v="382"/>
    <d v="2025-02-05T07:51:00"/>
    <s v="CLIENTE"/>
    <x v="12"/>
    <s v=""/>
    <s v="INDEFINIDO"/>
    <x v="1"/>
    <n v="24"/>
  </r>
  <r>
    <s v="SABRE"/>
    <m/>
    <x v="2"/>
    <n v="3224623"/>
    <x v="2"/>
    <d v="2025-02-04T17:19:00"/>
    <s v="YJEKLS"/>
    <s v="YJEKLS"/>
    <s v="Não localizado cliente com CNPJ [357038000116].&lt;-ObterCliente&lt;-MontarPnrBase&lt;-ProcessarAereo&lt;-ProcessarItemFila[b]"/>
    <x v="383"/>
    <d v="2025-02-05T07:54:00"/>
    <s v="CLIENTE"/>
    <x v="12"/>
    <s v=""/>
    <s v="SISTEMA"/>
    <x v="1"/>
    <n v="24"/>
  </r>
  <r>
    <s v="SABRE"/>
    <m/>
    <x v="2"/>
    <n v="3224624"/>
    <x v="2"/>
    <d v="2025-02-04T17:19:00"/>
    <s v="YXEKUC"/>
    <s v="YXEKUC"/>
    <s v="Não localizado cliente com CNPJ [357038000116].&lt;-ObterCliente&lt;-MontarPnrBase&lt;-ProcessarAereo&lt;-ProcessarItemFila[b]"/>
    <x v="383"/>
    <d v="2025-02-05T07:54:00"/>
    <s v="CLIENTE"/>
    <x v="12"/>
    <s v=""/>
    <s v="QUALIDADE DOS DADOS"/>
    <x v="1"/>
    <n v="24"/>
  </r>
  <r>
    <s v="GOVER"/>
    <m/>
    <x v="2"/>
    <n v="3225181"/>
    <x v="0"/>
    <d v="2025-02-04T20:37:00"/>
    <n v="4486419"/>
    <s v="HUQZHG"/>
    <s v="PreencherPnr-&gt;Não foi encontrado nenhum item hotel para o localizador HUQZHG"/>
    <x v="384"/>
    <m/>
    <s v="OUTROS"/>
    <x v="9"/>
    <s v=""/>
    <s v="SISTEMA"/>
    <x v="0"/>
    <s v="COLUNA I"/>
  </r>
  <r>
    <s v="GOVER"/>
    <m/>
    <x v="2"/>
    <n v="3225191"/>
    <x v="0"/>
    <d v="2025-02-04T19:08:00"/>
    <n v="4486399"/>
    <s v="FADKXQ"/>
    <s v="PreencherPnr-&gt;Não foi encontrado nenhum item hotel para o localizador FADKXQ"/>
    <x v="385"/>
    <m/>
    <s v="OUTROS"/>
    <x v="9"/>
    <s v=""/>
    <s v="SISTEMA"/>
    <x v="0"/>
    <s v="COLUNA I"/>
  </r>
  <r>
    <s v="SABRE"/>
    <m/>
    <x v="2"/>
    <n v="3225198"/>
    <x v="2"/>
    <d v="2025-02-05T09:31:00"/>
    <s v="GHIPSO"/>
    <s v="GHIPSO"/>
    <s v="Não localizado cliente com CNPJ [820120000135].&lt;-ObterCliente&lt;-MontarPnrBase&lt;-ProcessarAereo&lt;-ProcessarItemFila[b]"/>
    <x v="386"/>
    <d v="2025-02-06T21:34:00"/>
    <s v="CLIENTE"/>
    <x v="12"/>
    <s v=""/>
    <s v="QUALIDADE DOS DADOS"/>
    <x v="1"/>
    <n v="24"/>
  </r>
  <r>
    <s v="SABRE"/>
    <m/>
    <x v="2"/>
    <n v="3225353"/>
    <x v="2"/>
    <d v="2025-02-05T06:18:00"/>
    <s v="FGSLJO"/>
    <s v="FGSLJO"/>
    <s v="Não localizado cliente com CNPJ [2016507000169].&lt;-ObterCliente&lt;-MontarPnrBase&lt;-ProcessarAereo&lt;-ProcessarItemFila[b]"/>
    <x v="387"/>
    <d v="2025-02-06T22:24:00"/>
    <s v="CLIENTE"/>
    <x v="12"/>
    <s v=""/>
    <s v="QUALIDADE DOS DADOS"/>
    <x v="1"/>
    <n v="24"/>
  </r>
  <r>
    <s v="SABRE"/>
    <m/>
    <x v="2"/>
    <n v="3225354"/>
    <x v="2"/>
    <d v="2025-02-05T06:18:00"/>
    <s v="FGSLJOT"/>
    <s v="FGSLJO"/>
    <s v="Não localizado cliente com CNPJ [2016507000169].&lt;-ObterCliente&lt;-MontarPnrBase&lt;-MontarPnr&lt;-ProcessarHotel&lt;-ProcessarItemFila[b]"/>
    <x v="387"/>
    <d v="2025-02-06T22:24:00"/>
    <s v="CLIENTE"/>
    <x v="12"/>
    <s v=""/>
    <e v="#N/A"/>
    <x v="1"/>
    <n v="24"/>
  </r>
  <r>
    <s v="GOVER"/>
    <m/>
    <x v="2"/>
    <n v="3225511"/>
    <x v="0"/>
    <d v="2025-02-05T10:16:00"/>
    <n v="4486586"/>
    <n v="4486586"/>
    <s v="PreencherPnr-&gt;Foi identificado um localizador sem código."/>
    <x v="388"/>
    <d v="2025-02-11T09:54:00"/>
    <s v="OUTROS"/>
    <x v="1"/>
    <s v="RLOC NÃO PREENCHIDO NA RESERVA"/>
    <s v="QUALIDADE DOS DADOS"/>
    <x v="0"/>
    <s v="COLUNA I"/>
  </r>
  <r>
    <s v="SABRE"/>
    <m/>
    <x v="2"/>
    <n v="3226268"/>
    <x v="2"/>
    <d v="2025-02-05T08:23:00"/>
    <s v="HTUNHX"/>
    <s v="HTUNHX"/>
    <s v="Não localizado cliente com CNPJ [357038000116].&lt;-ObterCliente&lt;-MontarPnrBase&lt;-ProcessarAereo&lt;-ProcessarItemFila[b]"/>
    <x v="389"/>
    <d v="2025-02-06T22:28:00"/>
    <s v="CLIENTE"/>
    <x v="12"/>
    <s v=""/>
    <s v="QUALIDADE DOS DADOS"/>
    <x v="1"/>
    <n v="24"/>
  </r>
  <r>
    <s v="SABRE"/>
    <m/>
    <x v="2"/>
    <n v="3226445"/>
    <x v="2"/>
    <d v="2025-02-05T09:31:00"/>
    <s v="YYTSKB"/>
    <s v="YYTSKB"/>
    <s v="Não localizado cliente código [0000583808].&lt;-ObterCliente&lt;-MontarPnrBase&lt;-ProcessarAereo&lt;-ProcessarItemFila[b]"/>
    <x v="390"/>
    <d v="2025-02-06T21:35:00"/>
    <s v="CLIENTE"/>
    <x v="13"/>
    <s v="CÓDIGO DIFERENTE DO CADASTRADO NO BENNER (CLIENTE X GRUPO)"/>
    <s v="QUALIDADE DOS DADOS"/>
    <x v="0"/>
    <n v="1"/>
  </r>
  <r>
    <s v="SABRE"/>
    <m/>
    <x v="2"/>
    <n v="3226448"/>
    <x v="2"/>
    <d v="2025-02-05T09:31:00"/>
    <s v="EQZXVH"/>
    <s v="EQZXVH"/>
    <s v="Não localizado cliente código [0000063625].&lt;-ObterCliente&lt;-MontarPnrBase&lt;-ProcessarAereo&lt;-ProcessarItemFila[b]"/>
    <x v="391"/>
    <d v="2025-02-06T21:36:00"/>
    <s v="CLIENTE"/>
    <x v="13"/>
    <s v="CÓDIGO DIFERENTE DO CADASTRADO NO BENNER (CLIENTE X GRUPO)"/>
    <s v="QUALIDADE DOS DADOS"/>
    <x v="0"/>
    <n v="1"/>
  </r>
  <r>
    <s v="SABRE"/>
    <m/>
    <x v="2"/>
    <n v="3226449"/>
    <x v="2"/>
    <d v="2025-02-05T12:49:00"/>
    <s v="HUQFYQ"/>
    <s v="HUQFYQ"/>
    <s v="Não localizado cliente com CNPJ [357038000116].&lt;-ObterCliente&lt;-MontarPnrBase&lt;-ProcessarAereo&lt;-ProcessarItemFila[b]"/>
    <x v="392"/>
    <d v="2025-02-06T22:30:00"/>
    <s v="CLIENTE"/>
    <x v="12"/>
    <s v=""/>
    <e v="#N/A"/>
    <x v="1"/>
    <n v="24"/>
  </r>
  <r>
    <s v="SABRE"/>
    <m/>
    <x v="2"/>
    <n v="3226451"/>
    <x v="2"/>
    <d v="2025-02-05T09:31:00"/>
    <s v="YYNIHH"/>
    <s v="YYNIHH"/>
    <s v="Não localizado cliente código [0000583808].&lt;-ObterCliente&lt;-MontarPnrBase&lt;-ProcessarAereo&lt;-ProcessarItemFila[b]"/>
    <x v="392"/>
    <d v="2025-02-06T21:37:00"/>
    <s v="CLIENTE"/>
    <x v="13"/>
    <s v="CÓDIGO DIFERENTE DO CADASTRADO NO BENNER (CLIENTE X GRUPO)"/>
    <s v="QUALIDADE DOS DADOS"/>
    <x v="0"/>
    <n v="1"/>
  </r>
  <r>
    <s v="SABRE"/>
    <m/>
    <x v="2"/>
    <n v="3226461"/>
    <x v="2"/>
    <d v="2025-02-05T10:38:00"/>
    <s v="HYUYIL"/>
    <s v="HYUYIL"/>
    <s v="Não localizado cliente código [0000035405].&lt;-ObterCliente&lt;-MontarPnrBase&lt;-ProcessarAereo&lt;-ProcessarItemFila[b]"/>
    <x v="393"/>
    <d v="2025-02-06T21:39:00"/>
    <s v="CLIENTE"/>
    <x v="13"/>
    <s v="CÓDIGO DIFERENTE DO CADASTRADO NO BENNER (CLIENTE X GRUPO)"/>
    <s v="QUALIDADE DOS DADOS"/>
    <x v="0"/>
    <n v="1"/>
  </r>
  <r>
    <s v="SABRE"/>
    <m/>
    <x v="2"/>
    <n v="3227033"/>
    <x v="2"/>
    <d v="2025-02-05T13:31:00"/>
    <s v="CEOWMR"/>
    <s v="CEOWMR"/>
    <s v="Não localizado cliente com CNPJ [820120000135].&lt;-ObterCliente&lt;-MontarPnrBase&lt;-ProcessarAereo&lt;-ProcessarItemFila[b]"/>
    <x v="394"/>
    <d v="2025-02-06T23:00:00"/>
    <s v="CLIENTE"/>
    <x v="12"/>
    <s v=""/>
    <s v="QUALIDADE DOS DADOS"/>
    <x v="1"/>
    <n v="24"/>
  </r>
  <r>
    <s v="SABRE"/>
    <m/>
    <x v="2"/>
    <n v="3227037"/>
    <x v="2"/>
    <d v="2025-02-05T19:09:00"/>
    <s v="SJSPYG"/>
    <s v="SJSPYG"/>
    <s v="Não localizado cliente com CNPJ [820120000135].&lt;-ObterCliente&lt;-MontarPnrBase&lt;-ProcessarAereo&lt;-ProcessarItemFila[b]"/>
    <x v="394"/>
    <d v="2025-02-06T21:44:00"/>
    <s v="CLIENTE"/>
    <x v="12"/>
    <s v=""/>
    <s v="QUALIDADE DOS DADOS"/>
    <x v="1"/>
    <n v="24"/>
  </r>
  <r>
    <s v="SABRE"/>
    <m/>
    <x v="2"/>
    <n v="3227490"/>
    <x v="2"/>
    <d v="2025-02-05T14:27:00"/>
    <s v="HZSBPW"/>
    <s v="HZSBPW"/>
    <s v="Não localizado cliente com CNPJ [2016507000169].&lt;-ObterCliente&lt;-MontarPnrBase&lt;-ProcessarAereo&lt;-ProcessarItemFila[b]"/>
    <x v="395"/>
    <d v="2025-02-06T22:32:00"/>
    <s v="CLIENTE"/>
    <x v="12"/>
    <s v=""/>
    <s v="QUALIDADE DOS DADOS"/>
    <x v="1"/>
    <n v="24"/>
  </r>
  <r>
    <s v="SABRE"/>
    <m/>
    <x v="2"/>
    <n v="3227601"/>
    <x v="2"/>
    <d v="2025-02-07T05:38:00"/>
    <s v="NGYEWPT"/>
    <s v="NGYEWP"/>
    <s v="Não localizado cliente código [0000059700].&lt;-ObterCliente&lt;-MontarPnrBase&lt;-MontarPnr&lt;-ProcessarHotel&lt;-ProcessarItemFila[b]"/>
    <x v="396"/>
    <d v="2025-02-07T08:50:00"/>
    <s v="CLIENTE"/>
    <x v="13"/>
    <s v="CÓDIGO DIFERENTE DO CADASTRADO NO BENNER (CLIENTE X GRUPO)"/>
    <s v="QUALIDADE DOS DADOS"/>
    <x v="0"/>
    <n v="1"/>
  </r>
  <r>
    <s v="RESOLVIDO"/>
    <m/>
    <x v="1"/>
    <n v="3227712"/>
    <x v="2"/>
    <d v="2025-02-09T07:46:00"/>
    <s v="MBZVMD"/>
    <s v="MBZVMD"/>
    <s v="Inserindo Accounting - (ExecSQL) - Could not convert variant of type (Null) into type (OleStr)"/>
    <x v="397"/>
    <d v="2025-02-09T10:48:00"/>
    <s v="OUTROS"/>
    <x v="11"/>
    <s v=""/>
    <s v="SISTEMA"/>
    <x v="0"/>
    <s v="COLUNA I"/>
  </r>
  <r>
    <s v="SABRE"/>
    <m/>
    <x v="2"/>
    <n v="3227759"/>
    <x v="2"/>
    <d v="2025-02-05T19:09:00"/>
    <s v="SIYQIY"/>
    <s v="SIYQIY"/>
    <s v="Não localizado cliente com CNPJ [820120000135].&lt;-ObterCliente&lt;-MontarPnrBase&lt;-ProcessarAereo&lt;-ProcessarItemFila[b]"/>
    <x v="398"/>
    <d v="2025-02-06T21:44:00"/>
    <s v="CLIENTE"/>
    <x v="12"/>
    <s v=""/>
    <s v="QUALIDADE DOS DADOS"/>
    <x v="1"/>
    <n v="24"/>
  </r>
  <r>
    <s v="SABRE"/>
    <m/>
    <x v="2"/>
    <n v="3227810"/>
    <x v="2"/>
    <d v="2025-02-05T14:55:00"/>
    <s v="MWFBTY"/>
    <s v="MWFBTY"/>
    <s v="Não localizado cliente com CNPJ [357038000116].&lt;-ObterCliente&lt;-MontarPnrBase&lt;-ProcessarAereo&lt;-ProcessarItemFila[b]"/>
    <x v="399"/>
    <d v="2025-02-06T22:33:00"/>
    <s v="CLIENTE"/>
    <x v="12"/>
    <s v=""/>
    <s v="QUALIDADE DOS DADOS"/>
    <x v="1"/>
    <n v="24"/>
  </r>
  <r>
    <s v="SABRE"/>
    <m/>
    <x v="2"/>
    <n v="3227844"/>
    <x v="2"/>
    <d v="2025-02-05T15:48:00"/>
    <s v="LDWMXN"/>
    <s v="LDWMXN"/>
    <s v="Não localizado cliente com CNPJ [357038000116].&lt;-ObterCliente&lt;-MontarPnrBase&lt;-ProcessarAereo&lt;-ProcessarItemFila[b]"/>
    <x v="400"/>
    <d v="2025-02-06T22:36:00"/>
    <s v="CLIENTE"/>
    <x v="12"/>
    <s v=""/>
    <s v="QUALIDADE DOS DADOS"/>
    <x v="1"/>
    <n v="24"/>
  </r>
  <r>
    <s v="SABRE"/>
    <m/>
    <x v="2"/>
    <n v="3228018"/>
    <x v="2"/>
    <d v="2025-02-06T06:34:00"/>
    <s v="CJXUIO"/>
    <s v="CJXUIO"/>
    <s v="Não localizado cliente com CNPJ [357038000116].&lt;-ObterCliente&lt;-MontarPnrBase&lt;-ProcessarAereo&lt;-ProcessarItemFila[b]"/>
    <x v="401"/>
    <d v="2025-02-06T22:37:00"/>
    <s v="CLIENTE"/>
    <x v="12"/>
    <s v=""/>
    <s v="INDEFINIDO"/>
    <x v="1"/>
    <n v="24"/>
  </r>
  <r>
    <s v="TMS"/>
    <m/>
    <x v="2"/>
    <n v="3228553"/>
    <x v="1"/>
    <d v="2025-02-06T09:36:00"/>
    <n v="177065"/>
    <n v="177065"/>
    <s v="Preenchendo XML Serviço-&gt; Preenchendo XML-&gt; Montando accounting aereo 2-&gt;Não foi informado o Localizador do Assento/Bagagem!"/>
    <x v="402"/>
    <d v="2025-02-11T00:24:00"/>
    <s v="OUTROS"/>
    <x v="15"/>
    <s v="CAMPO OBSERVAÇÃO PREENCHIDO INCORRETAMENTE"/>
    <s v="QUALIDADE DOS DADOS"/>
    <x v="1"/>
    <n v="118"/>
  </r>
  <r>
    <s v="SABRE"/>
    <m/>
    <x v="2"/>
    <n v="3228600"/>
    <x v="2"/>
    <d v="2025-02-06T06:34:00"/>
    <s v="WZFEJW"/>
    <s v="WZFEJW"/>
    <s v="Não localizado cliente com CNPJ [357038000116].&lt;-ObterCliente&lt;-MontarPnrBase&lt;-ProcessarAereo&lt;-ProcessarItemFila[b]"/>
    <x v="403"/>
    <d v="2025-02-06T22:37:00"/>
    <s v="CLIENTE"/>
    <x v="12"/>
    <s v=""/>
    <s v="QUALIDADE DOS DADOS"/>
    <x v="1"/>
    <n v="24"/>
  </r>
  <r>
    <s v="SABRE"/>
    <m/>
    <x v="2"/>
    <n v="3228602"/>
    <x v="2"/>
    <d v="2025-02-06T06:34:00"/>
    <s v="WZFEJWT"/>
    <s v="WZFEJW"/>
    <s v="Não localizado cliente com CNPJ [357038000116].&lt;-ObterCliente&lt;-MontarPnrBase&lt;-MontarPnr&lt;-ProcessarHotel&lt;-ProcessarItemFila[b]"/>
    <x v="403"/>
    <d v="2025-02-06T22:37:00"/>
    <s v="CLIENTE"/>
    <x v="12"/>
    <s v=""/>
    <s v="QUALIDADE DOS DADOS"/>
    <x v="1"/>
    <n v="24"/>
  </r>
  <r>
    <s v="SABRE"/>
    <m/>
    <x v="2"/>
    <n v="3228605"/>
    <x v="2"/>
    <d v="2025-02-06T06:34:00"/>
    <s v="CKLTDA"/>
    <s v="CKLTDA"/>
    <s v="Não localizado cliente com CNPJ [357038000116].&lt;-ObterCliente&lt;-MontarPnrBase&lt;-ProcessarAereo&lt;-ProcessarItemFila[b]"/>
    <x v="404"/>
    <d v="2025-02-06T22:37:00"/>
    <s v="CLIENTE"/>
    <x v="12"/>
    <s v=""/>
    <s v="QUALIDADE DOS DADOS"/>
    <x v="1"/>
    <n v="24"/>
  </r>
  <r>
    <s v="SABRE"/>
    <m/>
    <x v="2"/>
    <n v="3228606"/>
    <x v="2"/>
    <d v="2025-02-06T06:34:00"/>
    <s v="CKLTDAT"/>
    <s v="CKLTDA"/>
    <s v="Não localizado cliente com CNPJ [357038000116].&lt;-ObterCliente&lt;-MontarPnrBase&lt;-MontarPnr&lt;-ProcessarHotel&lt;-ProcessarItemFila[b]"/>
    <x v="404"/>
    <d v="2025-02-06T22:37:00"/>
    <s v="CLIENTE"/>
    <x v="12"/>
    <s v=""/>
    <s v="QUALIDADE DOS DADOS"/>
    <x v="1"/>
    <n v="24"/>
  </r>
  <r>
    <s v="SABRE"/>
    <m/>
    <x v="2"/>
    <n v="3228913"/>
    <x v="2"/>
    <d v="2025-02-06T07:30:00"/>
    <s v="HQDPEQ"/>
    <s v="HQDPEQ"/>
    <s v="Não localizado cliente com CNPJ [820120000135].&lt;-ObterCliente&lt;-MontarPnrBase&lt;-ProcessarAereo&lt;-ProcessarItemFila[b]"/>
    <x v="405"/>
    <d v="2025-02-06T21:15:00"/>
    <s v="CLIENTE"/>
    <x v="12"/>
    <s v=""/>
    <s v="QUALIDADE DOS DADOS"/>
    <x v="1"/>
    <n v="24"/>
  </r>
  <r>
    <s v="SABRE"/>
    <m/>
    <x v="2"/>
    <n v="3229213"/>
    <x v="2"/>
    <d v="2025-02-06T11:22:00"/>
    <s v="IKIRAO"/>
    <s v="IKIRAO"/>
    <s v="Não localizado cliente código [0000583831].&lt;-ObterCliente&lt;-MontarPnrBase&lt;-ProcessarAereo&lt;-ProcessarItemFila[b]"/>
    <x v="406"/>
    <d v="2025-02-06T21:52:00"/>
    <s v="CLIENTE"/>
    <x v="13"/>
    <s v="CÓDIGO DIFERENTE DO CADASTRADO NO BENNER (CLIENTE X GRUPO)"/>
    <s v="QUALIDADE DOS DADOS"/>
    <x v="0"/>
    <n v="1"/>
  </r>
  <r>
    <s v="SABRE"/>
    <m/>
    <x v="2"/>
    <n v="3229215"/>
    <x v="2"/>
    <d v="2025-02-06T11:22:00"/>
    <s v="UFPCJG"/>
    <s v="UFPCJG"/>
    <s v="Não localizado cliente com CNPJ [820120000135].&lt;-ObterCliente&lt;-MontarPnrBase&lt;-ProcessarAereo&lt;-ProcessarItemFila[b]"/>
    <x v="407"/>
    <d v="2025-02-06T21:53:00"/>
    <s v="CLIENTE"/>
    <x v="12"/>
    <s v=""/>
    <s v="QUALIDADE DOS DADOS"/>
    <x v="1"/>
    <n v="24"/>
  </r>
  <r>
    <s v="SABRE"/>
    <m/>
    <x v="2"/>
    <n v="3229216"/>
    <x v="2"/>
    <d v="2025-02-06T11:22:00"/>
    <s v="QSOOTH"/>
    <s v="QSOOTH"/>
    <s v="Código de cliente não identificado&lt;-ObterCliente&lt;-MontarPnrBase&lt;-ProcessarAereo&lt;-ProcessarItemFila[b]"/>
    <x v="407"/>
    <d v="2025-02-06T21:53:00"/>
    <s v="CLIENTE"/>
    <x v="14"/>
    <s v="DK DE CLIENTE NÃO PREENCIDO / CLIENTE NÃO CONFIGURADO NO OBT"/>
    <s v="INDEFINIDO"/>
    <x v="1"/>
    <s v="COLUNA I"/>
  </r>
  <r>
    <s v="RESOLVIDO"/>
    <m/>
    <x v="1"/>
    <n v="3229232"/>
    <x v="2"/>
    <d v="2025-02-10T14:15:00"/>
    <s v="HNOURN"/>
    <s v="HNOURN"/>
    <s v="Inserindo Accounting - (ExecSQL) - Could not convert variant of type (Null) into type (OleStr)"/>
    <x v="408"/>
    <d v="2025-02-10T17:20:00"/>
    <s v="OUTROS"/>
    <x v="11"/>
    <s v=""/>
    <s v="SISTEMA"/>
    <x v="0"/>
    <s v="COLUNA I"/>
  </r>
  <r>
    <s v="SABRE"/>
    <m/>
    <x v="2"/>
    <n v="3229238"/>
    <x v="2"/>
    <d v="2025-02-06T11:22:00"/>
    <s v="OPLIAH"/>
    <s v="OPLIAH"/>
    <s v="Não localizado cliente com CNPJ [3988220000163].&lt;-ObterCliente&lt;-MontarPnrBase&lt;-ProcessarAereo&lt;-ProcessarItemFila[b]"/>
    <x v="409"/>
    <d v="2025-02-06T21:55:00"/>
    <s v="CLIENTE"/>
    <x v="12"/>
    <s v=""/>
    <s v="QUALIDADE DOS DADOS"/>
    <x v="1"/>
    <n v="24"/>
  </r>
  <r>
    <s v="RESOLVIDO"/>
    <m/>
    <x v="1"/>
    <n v="3229242"/>
    <x v="2"/>
    <d v="2025-03-24T14:10:00"/>
    <s v="EZUUBB"/>
    <s v="EZUUBB"/>
    <s v="Inserindo Accounting - (ExecSQL) - Could not convert variant of type (Null) into type (OleStr)"/>
    <x v="409"/>
    <d v="2025-03-24T16:20:00"/>
    <s v="OUTROS"/>
    <x v="11"/>
    <s v=""/>
    <s v="SISTEMA"/>
    <x v="0"/>
    <s v="COLUNA I"/>
  </r>
  <r>
    <s v="SABRE"/>
    <m/>
    <x v="2"/>
    <n v="3229243"/>
    <x v="2"/>
    <d v="2025-02-06T11:22:00"/>
    <s v="WNRWXV"/>
    <s v="WNRWXV"/>
    <s v="Não localizado cliente código [0000583808].&lt;-ObterCliente&lt;-MontarPnrBase&lt;-ProcessarAereo&lt;-ProcessarItemFila[b]"/>
    <x v="410"/>
    <d v="2025-02-06T21:56:00"/>
    <s v="CLIENTE"/>
    <x v="13"/>
    <s v="CÓDIGO DIFERENTE DO CADASTRADO NO BENNER (CLIENTE X GRUPO)"/>
    <s v="QUALIDADE DOS DADOS"/>
    <x v="0"/>
    <n v="1"/>
  </r>
  <r>
    <s v="SABRE"/>
    <m/>
    <x v="2"/>
    <n v="3229244"/>
    <x v="2"/>
    <d v="2025-02-06T11:22:00"/>
    <s v="WTPHXZ"/>
    <s v="WTPHXZ"/>
    <s v="Não localizado cliente código [0000583808].&lt;-ObterCliente&lt;-MontarPnrBase&lt;-ProcessarAereo&lt;-ProcessarItemFila[b]"/>
    <x v="410"/>
    <d v="2025-02-06T21:56:00"/>
    <s v="CLIENTE"/>
    <x v="13"/>
    <s v="CÓDIGO DIFERENTE DO CADASTRADO NO BENNER (CLIENTE X GRUPO)"/>
    <s v="QUALIDADE DOS DADOS"/>
    <x v="0"/>
    <n v="1"/>
  </r>
  <r>
    <s v="SABRE"/>
    <m/>
    <x v="2"/>
    <n v="3230426"/>
    <x v="2"/>
    <d v="2025-02-06T13:16:00"/>
    <s v="WJABJZT"/>
    <s v="WJABJZ"/>
    <s v="Código de cliente não identificado&lt;-ObterCliente&lt;-MontarPnrBase&lt;-MontarPnr&lt;-ProcessarHotel&lt;-ProcessarItemFila[b]"/>
    <x v="411"/>
    <d v="2025-02-06T22:40:00"/>
    <s v="CLIENTE"/>
    <x v="14"/>
    <s v="DK DE CLIENTE NÃO PREENCIDO / CLIENTE NÃO CONFIGURADO NO OBT"/>
    <s v="INDEFINIDO"/>
    <x v="1"/>
    <s v="COLUNA I"/>
  </r>
  <r>
    <s v="SABRE"/>
    <m/>
    <x v="2"/>
    <n v="3230538"/>
    <x v="2"/>
    <d v="2025-02-06T16:45:00"/>
    <s v="OYKQDM"/>
    <s v="OYKQDM"/>
    <s v="Não localizado cliente código [0000583808].&lt;-ObterCliente&lt;-MontarPnrBase&lt;-ProcessarAereo&lt;-ProcessarItemFila[b]"/>
    <x v="412"/>
    <m/>
    <s v="CLIENTE"/>
    <x v="13"/>
    <s v="CÓDIGO DIFERENTE DO CADASTRADO NO BENNER (CLIENTE X GRUPO)"/>
    <s v="QUALIDADE DOS DADOS"/>
    <x v="0"/>
    <n v="1"/>
  </r>
  <r>
    <s v="SABRE"/>
    <m/>
    <x v="2"/>
    <n v="3230559"/>
    <x v="2"/>
    <d v="2025-02-07T06:30:00"/>
    <s v="WPVPRG"/>
    <s v="WPVPRG"/>
    <s v="Não localizado cliente com CNPJ [357038000116].&lt;-ObterCliente&lt;-MontarPnrBase&lt;-ProcessarAereo&lt;-ProcessarItemFila[b]"/>
    <x v="413"/>
    <d v="2025-02-07T09:35:00"/>
    <s v="CLIENTE"/>
    <x v="12"/>
    <s v=""/>
    <s v="INDEFINIDO"/>
    <x v="1"/>
    <n v="24"/>
  </r>
  <r>
    <s v="SABRE"/>
    <m/>
    <x v="2"/>
    <n v="3230562"/>
    <x v="2"/>
    <d v="2025-02-07T06:30:00"/>
    <s v="YSZAED"/>
    <s v="YSZAED"/>
    <s v="Não localizado cliente com CNPJ [357038000116].&lt;-ObterCliente&lt;-MontarPnrBase&lt;-ProcessarAereo&lt;-ProcessarItemFila[b]"/>
    <x v="414"/>
    <d v="2025-02-07T09:35:00"/>
    <s v="CLIENTE"/>
    <x v="12"/>
    <s v=""/>
    <s v="QUALIDADE DOS DADOS"/>
    <x v="1"/>
    <n v="24"/>
  </r>
  <r>
    <s v="SABRE"/>
    <m/>
    <x v="2"/>
    <n v="3230564"/>
    <x v="2"/>
    <d v="2025-02-07T06:31:00"/>
    <s v="YVBKIY"/>
    <s v="YVBKIY"/>
    <s v="Não localizado cliente com CNPJ [357038000116].&lt;-ObterCliente&lt;-MontarPnrBase&lt;-ProcessarAereo&lt;-ProcessarItemFila[b]"/>
    <x v="414"/>
    <d v="2025-02-07T09:35:00"/>
    <s v="CLIENTE"/>
    <x v="12"/>
    <s v=""/>
    <s v="QUALIDADE DOS DADOS"/>
    <x v="1"/>
    <n v="24"/>
  </r>
  <r>
    <s v="SABRE"/>
    <m/>
    <x v="2"/>
    <n v="3231626"/>
    <x v="2"/>
    <d v="2025-02-07T08:42:00"/>
    <s v="HDPKYW"/>
    <s v="HDPKYW"/>
    <s v="Não localizado cliente com CNPJ [357038000116].&lt;-ObterCliente&lt;-MontarPnrBase&lt;-ProcessarAereo&lt;-ProcessarItemFila[b]"/>
    <x v="415"/>
    <m/>
    <s v="CLIENTE"/>
    <x v="12"/>
    <s v=""/>
    <e v="#N/A"/>
    <x v="1"/>
    <n v="24"/>
  </r>
  <r>
    <s v="SABRE"/>
    <m/>
    <x v="2"/>
    <n v="3231628"/>
    <x v="2"/>
    <d v="2025-02-07T08:42:00"/>
    <s v="HDPKYWT"/>
    <s v="HDPKYW"/>
    <s v="Não localizado cliente com CNPJ [357038000116].&lt;-ObterCliente&lt;-MontarPnrBase&lt;-MontarPnr&lt;-ProcessarHotel&lt;-ProcessarItemFila[b]"/>
    <x v="415"/>
    <m/>
    <s v="CLIENTE"/>
    <x v="12"/>
    <s v=""/>
    <s v="QUALIDADE DOS DADOS"/>
    <x v="1"/>
    <n v="24"/>
  </r>
  <r>
    <s v="SABRE"/>
    <m/>
    <x v="2"/>
    <n v="3232092"/>
    <x v="2"/>
    <d v="2025-02-07T12:46:00"/>
    <s v="IMKVLQ"/>
    <s v="IMKVLQ"/>
    <s v="Não localizado cliente código [0000583808].&lt;-ObterCliente&lt;-MontarPnrBase&lt;-ProcessarAereo&lt;-ProcessarItemFila[b]"/>
    <x v="416"/>
    <m/>
    <s v="CLIENTE"/>
    <x v="13"/>
    <s v="CÓDIGO DIFERENTE DO CADASTRADO NO BENNER (CLIENTE X GRUPO)"/>
    <s v="QUALIDADE DOS DADOS"/>
    <x v="0"/>
    <n v="1"/>
  </r>
  <r>
    <s v="SABRE"/>
    <m/>
    <x v="2"/>
    <n v="3232093"/>
    <x v="2"/>
    <d v="2025-02-07T12:46:00"/>
    <s v="HSIUFO"/>
    <s v="HSIUFO"/>
    <s v="Não localizado cliente com CNPJ [4120966000113].&lt;-ObterCliente&lt;-MontarPnrBase&lt;-ProcessarAereo&lt;-ProcessarItemFila[b]"/>
    <x v="417"/>
    <m/>
    <s v="CLIENTE"/>
    <x v="12"/>
    <s v=""/>
    <s v="QUALIDADE DOS DADOS"/>
    <x v="1"/>
    <n v="24"/>
  </r>
  <r>
    <s v="SABRE"/>
    <m/>
    <x v="2"/>
    <n v="3232094"/>
    <x v="2"/>
    <d v="2025-02-07T12:46:00"/>
    <s v="FVCFEV"/>
    <s v="FVCFEV"/>
    <s v="Não localizado cliente com CNPJ [5413409000153].&lt;-ObterCliente&lt;-MontarPnrBase&lt;-ProcessarAereo&lt;-ProcessarItemFila[b]"/>
    <x v="417"/>
    <m/>
    <s v="CLIENTE"/>
    <x v="12"/>
    <s v=""/>
    <s v="QUALIDADE DOS DADOS"/>
    <x v="1"/>
    <n v="24"/>
  </r>
  <r>
    <s v="SABRE"/>
    <m/>
    <x v="2"/>
    <n v="3232099"/>
    <x v="2"/>
    <d v="2025-02-07T12:46:00"/>
    <s v="EYAPGE"/>
    <s v="EYAPGE"/>
    <s v="Código de cliente não identificado&lt;-ObterCliente&lt;-MontarPnrBase&lt;-ProcessarAereo&lt;-ProcessarItemFila[b]"/>
    <x v="418"/>
    <m/>
    <s v="CLIENTE"/>
    <x v="14"/>
    <s v="DK DE CLIENTE NÃO PREENCIDO / CLIENTE NÃO CONFIGURADO NO OBT"/>
    <s v="INDEFINIDO"/>
    <x v="1"/>
    <s v="COLUNA I"/>
  </r>
  <r>
    <s v="SABRE"/>
    <m/>
    <x v="2"/>
    <n v="3232322"/>
    <x v="2"/>
    <d v="2025-02-07T17:21:00"/>
    <s v="FIKLGM"/>
    <s v="FIKLGM"/>
    <s v="Não localizado cliente com CNPJ [820120000135].&lt;-ObterCliente&lt;-MontarPnrBase&lt;-ProcessarAereo&lt;-ProcessarItemFila[b]"/>
    <x v="419"/>
    <d v="2025-02-07T20:48:00"/>
    <s v="CLIENTE"/>
    <x v="12"/>
    <s v=""/>
    <s v="QUALIDADE DOS DADOS"/>
    <x v="1"/>
    <n v="24"/>
  </r>
  <r>
    <s v="SABRE"/>
    <m/>
    <x v="2"/>
    <n v="3233049"/>
    <x v="2"/>
    <d v="2025-02-07T17:21:00"/>
    <s v="FIAPWL"/>
    <s v="FIAPWL"/>
    <s v="Não localizado cliente com CNPJ [357038000116].&lt;-ObterCliente&lt;-MontarPnrBase&lt;-ProcessarAereo&lt;-ProcessarItemFila[b]"/>
    <x v="420"/>
    <d v="2025-02-07T20:48:00"/>
    <s v="CLIENTE"/>
    <x v="12"/>
    <s v=""/>
    <s v="QUALIDADE DOS DADOS"/>
    <x v="1"/>
    <n v="24"/>
  </r>
  <r>
    <s v="SABRE"/>
    <m/>
    <x v="2"/>
    <n v="3233056"/>
    <x v="2"/>
    <d v="2025-02-07T17:21:00"/>
    <s v="KFLCJA"/>
    <s v="KFLCJA"/>
    <s v="Não localizado cliente com CNPJ [357038000116].&lt;-ObterCliente&lt;-MontarPnrBase&lt;-ProcessarAereo&lt;-ProcessarItemFila[b]"/>
    <x v="420"/>
    <d v="2025-02-07T20:48:00"/>
    <s v="CLIENTE"/>
    <x v="12"/>
    <s v=""/>
    <s v="QUALIDADE DOS DADOS"/>
    <x v="1"/>
    <n v="24"/>
  </r>
  <r>
    <s v="SABRE"/>
    <m/>
    <x v="2"/>
    <n v="3233348"/>
    <x v="2"/>
    <d v="2025-02-07T17:21:00"/>
    <s v="MNKKDC"/>
    <s v="MNKKDC"/>
    <s v="Código de cliente não identificado&lt;-ObterCliente&lt;-MontarPnrBase&lt;-ProcessarAereo&lt;-ProcessarItemFila[b]"/>
    <x v="421"/>
    <m/>
    <s v="CLIENTE"/>
    <x v="14"/>
    <s v="DK DE CLIENTE NÃO PREENCIDO / CLIENTE NÃO CONFIGURADO NO OBT"/>
    <s v="INDEFINIDO"/>
    <x v="1"/>
    <s v="COLUNA I"/>
  </r>
  <r>
    <s v="SABRE"/>
    <m/>
    <x v="2"/>
    <n v="3233354"/>
    <x v="2"/>
    <d v="2025-02-07T17:21:00"/>
    <s v="COJPJG"/>
    <s v="COJPJG"/>
    <s v="Código de cliente não identificado&lt;-ObterCliente&lt;-MontarPnrBase&lt;-ProcessarAereo&lt;-ProcessarItemFila[b]"/>
    <x v="421"/>
    <m/>
    <s v="CLIENTE"/>
    <x v="14"/>
    <s v="DK DE CLIENTE NÃO PREENCIDO / CLIENTE NÃO CONFIGURADO NO OBT"/>
    <s v="INDEFINIDO"/>
    <x v="1"/>
    <s v="COLUNA I"/>
  </r>
  <r>
    <s v="SABRE"/>
    <m/>
    <x v="2"/>
    <n v="3233355"/>
    <x v="2"/>
    <d v="2025-02-07T17:21:00"/>
    <s v="HSVJFW"/>
    <s v="HSVJFW"/>
    <s v="Código de cliente não identificado&lt;-ObterCliente&lt;-MontarPnrBase&lt;-ProcessarAereo&lt;-ProcessarItemFila[b]"/>
    <x v="422"/>
    <m/>
    <s v="CLIENTE"/>
    <x v="14"/>
    <s v="DK DE CLIENTE NÃO PREENCIDO / CLIENTE NÃO CONFIGURADO NO OBT"/>
    <s v="INDEFINIDO"/>
    <x v="1"/>
    <s v="COLUNA I"/>
  </r>
  <r>
    <s v="SABRE"/>
    <m/>
    <x v="2"/>
    <n v="3233358"/>
    <x v="2"/>
    <d v="2025-02-07T17:21:00"/>
    <s v="WXEXDW"/>
    <s v="WXEXDW"/>
    <s v="Código de cliente não identificado&lt;-ObterCliente&lt;-MontarPnrBase&lt;-ProcessarAereo&lt;-ProcessarItemFila[b]"/>
    <x v="422"/>
    <m/>
    <s v="CLIENTE"/>
    <x v="14"/>
    <s v="DK DE CLIENTE NÃO PREENCIDO / CLIENTE NÃO CONFIGURADO NO OBT"/>
    <s v="INDEFINIDO"/>
    <x v="1"/>
    <s v="COLUNA I"/>
  </r>
  <r>
    <s v="SABRE"/>
    <m/>
    <x v="2"/>
    <n v="3233364"/>
    <x v="2"/>
    <d v="2025-02-07T17:21:00"/>
    <s v="KLAYIL"/>
    <s v="KLAYIL"/>
    <s v="Não localizado cliente com CNPJ [7687005000183].&lt;-ObterCliente&lt;-MontarPnrBase&lt;-ProcessarAereo&lt;-ProcessarItemFila[b]"/>
    <x v="423"/>
    <m/>
    <s v="CLIENTE"/>
    <x v="12"/>
    <s v=""/>
    <s v="QUALIDADE DOS DADOS"/>
    <x v="1"/>
    <n v="24"/>
  </r>
  <r>
    <s v="SABRE"/>
    <m/>
    <x v="2"/>
    <n v="3233369"/>
    <x v="2"/>
    <d v="2025-02-07T17:21:00"/>
    <s v="QMKNFV"/>
    <s v="QMKNFV"/>
    <s v="Código de cliente não identificado&lt;-ObterCliente&lt;-MontarPnrBase&lt;-ProcessarAereo&lt;-ProcessarItemFila[b]"/>
    <x v="423"/>
    <m/>
    <s v="CLIENTE"/>
    <x v="14"/>
    <s v="DK DE CLIENTE NÃO PREENCIDO / CLIENTE NÃO CONFIGURADO NO OBT"/>
    <s v="INDEFINIDO"/>
    <x v="1"/>
    <s v="COLUNA I"/>
  </r>
  <r>
    <s v="TMS"/>
    <m/>
    <x v="2"/>
    <n v="3234017"/>
    <x v="1"/>
    <d v="2025-02-07T19:17:00"/>
    <n v="4808"/>
    <n v="4808"/>
    <s v="Preenchendo XML Serviço-&gt; Preenchendo XML-&gt; Montando accounting aereo 2-&gt;Não foi informado o Localizador do Assento/Bagagem!"/>
    <x v="424"/>
    <d v="2025-02-10T18:17:00"/>
    <s v="OUTROS"/>
    <x v="15"/>
    <s v="CAMPO OBSERVAÇÃO PREENCHIDO INCORRETAMENTE"/>
    <s v="QUALIDADE DOS DADOS"/>
    <x v="1"/>
    <n v="118"/>
  </r>
  <r>
    <s v="TMS"/>
    <m/>
    <x v="2"/>
    <n v="3234166"/>
    <x v="1"/>
    <d v="2025-02-07T17:32:00"/>
    <n v="18013"/>
    <n v="18013"/>
    <s v="Preenchendo XML Serviço-&gt; Preenchendo XML-&gt; Montando accounting aereo 3-&gt;Reserva confir não encontrada para importar assento/bagagem!"/>
    <x v="425"/>
    <d v="2025-02-10T19:21:00"/>
    <s v="OUTROS"/>
    <x v="15"/>
    <s v="CAMPO OBSERVAÇÃO PREENCHIDO INCORRETAMENTE"/>
    <s v="QUALIDADE DOS DADOS"/>
    <x v="1"/>
    <n v="127"/>
  </r>
  <r>
    <s v="SABRE"/>
    <m/>
    <x v="2"/>
    <n v="3234556"/>
    <x v="2"/>
    <d v="2025-02-10T05:40:00"/>
    <s v="GHFCVP"/>
    <s v="GHFCVP"/>
    <s v="Não localizado cliente com CNPJ [820120000135].&lt;-ObterCliente&lt;-MontarPnrBase&lt;-ProcessarAereo&lt;-ProcessarItemFila[b]"/>
    <x v="426"/>
    <m/>
    <s v="CLIENTE"/>
    <x v="12"/>
    <s v=""/>
    <e v="#N/A"/>
    <x v="1"/>
    <n v="24"/>
  </r>
  <r>
    <s v="SABRE"/>
    <m/>
    <x v="2"/>
    <n v="3235417"/>
    <x v="2"/>
    <d v="2025-02-10T08:26:00"/>
    <s v="NLYOWP"/>
    <s v="NLYOWP"/>
    <s v="Não localizado cliente com CNPJ [820120000135].&lt;-ObterCliente&lt;-MontarPnrBase&lt;-ProcessarAereo&lt;-ProcessarItemFila[b]"/>
    <x v="427"/>
    <m/>
    <s v="CLIENTE"/>
    <x v="12"/>
    <s v=""/>
    <s v="QUALIDADE DOS DADOS"/>
    <x v="1"/>
    <n v="24"/>
  </r>
  <r>
    <s v="SABRE"/>
    <m/>
    <x v="2"/>
    <n v="3236652"/>
    <x v="2"/>
    <d v="2025-02-10T13:44:00"/>
    <s v="OYZJWE"/>
    <s v="OYZJWE"/>
    <s v="Não localizado cliente com CNPJ [357038000116].&lt;-ObterCliente&lt;-MontarPnrBase&lt;-ProcessarAereo&lt;-ProcessarItemFila[b]"/>
    <x v="428"/>
    <m/>
    <s v="CLIENTE"/>
    <x v="12"/>
    <s v=""/>
    <e v="#N/A"/>
    <x v="1"/>
    <n v="24"/>
  </r>
  <r>
    <s v="SABRE"/>
    <m/>
    <x v="2"/>
    <n v="3236653"/>
    <x v="2"/>
    <d v="2025-02-10T13:44:00"/>
    <s v="OYZJWET"/>
    <s v="OYZJWE"/>
    <s v="Não localizado cliente com CNPJ [357038000116].&lt;-ObterCliente&lt;-MontarPnrBase&lt;-MontarPnr&lt;-ProcessarHotel&lt;-ProcessarItemFila[b]"/>
    <x v="428"/>
    <m/>
    <s v="CLIENTE"/>
    <x v="12"/>
    <s v=""/>
    <s v="QUALIDADE DOS DADOS"/>
    <x v="1"/>
    <n v="24"/>
  </r>
  <r>
    <s v="SABRE"/>
    <m/>
    <x v="2"/>
    <n v="3237963"/>
    <x v="2"/>
    <d v="2025-02-10T17:31:00"/>
    <s v="JEIUVM"/>
    <s v="JEIUVM"/>
    <s v="Código de cliente não identificado&lt;-ObterCliente&lt;-MontarPnrBase&lt;-ProcessarAereo&lt;-ProcessarItemFila[b]"/>
    <x v="429"/>
    <m/>
    <s v="CLIENTE"/>
    <x v="14"/>
    <s v="DK DE CLIENTE NÃO PREENCIDO / CLIENTE NÃO CONFIGURADO NO OBT"/>
    <s v="INDEFINIDO"/>
    <x v="1"/>
    <s v="COLUNA I"/>
  </r>
  <r>
    <s v="SABRE"/>
    <m/>
    <x v="2"/>
    <n v="3237965"/>
    <x v="2"/>
    <d v="2025-02-10T17:31:00"/>
    <s v="JHMVXX"/>
    <s v="JHMVXX"/>
    <s v="Código de cliente não identificado&lt;-ObterCliente&lt;-MontarPnrBase&lt;-ProcessarAereo&lt;-ProcessarItemFila[b]"/>
    <x v="429"/>
    <m/>
    <s v="CLIENTE"/>
    <x v="14"/>
    <s v="DK DE CLIENTE NÃO PREENCIDO / CLIENTE NÃO CONFIGURADO NO OBT"/>
    <s v="INDEFINIDO"/>
    <x v="1"/>
    <s v="COLUNA I"/>
  </r>
  <r>
    <s v="SABRE"/>
    <m/>
    <x v="2"/>
    <n v="3237966"/>
    <x v="2"/>
    <d v="2025-02-10T17:31:00"/>
    <s v="MVAEML"/>
    <s v="MVAEML"/>
    <s v="Código de cliente não identificado&lt;-ObterCliente&lt;-MontarPnrBase&lt;-ProcessarAereo&lt;-ProcessarItemFila[b]"/>
    <x v="429"/>
    <m/>
    <s v="CLIENTE"/>
    <x v="14"/>
    <s v="DK DE CLIENTE NÃO PREENCIDO / CLIENTE NÃO CONFIGURADO NO OBT"/>
    <s v="INDEFINIDO"/>
    <x v="1"/>
    <s v="COLUNA I"/>
  </r>
  <r>
    <s v="SABRE"/>
    <m/>
    <x v="2"/>
    <n v="3237974"/>
    <x v="2"/>
    <d v="2025-02-10T17:31:00"/>
    <s v="JEMGPD"/>
    <s v="JEMGPD"/>
    <s v="Não localizado cliente com CNPJ [2877632000406].&lt;-ObterCliente&lt;-MontarPnrBase&lt;-ProcessarAereo&lt;-ProcessarItemFila[b]"/>
    <x v="430"/>
    <m/>
    <s v="CLIENTE"/>
    <x v="12"/>
    <s v=""/>
    <s v="QUALIDADE DOS DADOS"/>
    <x v="1"/>
    <n v="24"/>
  </r>
  <r>
    <s v="RESOLVIDO"/>
    <m/>
    <x v="1"/>
    <n v="3237977"/>
    <x v="2"/>
    <d v="2025-02-10T17:31:00"/>
    <s v="MSSEKI"/>
    <s v="MSSEKI"/>
    <s v="Inserindo Accounting - (ExecSQL) - Could not convert variant of type (Null) into type (OleStr)"/>
    <x v="431"/>
    <m/>
    <s v="OUTROS"/>
    <x v="11"/>
    <s v=""/>
    <s v="SISTEMA"/>
    <x v="0"/>
    <s v="COLUNA I"/>
  </r>
  <r>
    <s v="SABRE"/>
    <m/>
    <x v="2"/>
    <n v="3237980"/>
    <x v="2"/>
    <d v="2025-02-10T17:31:00"/>
    <s v="JKFHDQ"/>
    <s v="JKFHDQ"/>
    <s v="Código de cliente não identificado&lt;-ObterCliente&lt;-MontarPnrBase&lt;-ProcessarAereo&lt;-ProcessarItemFila[b]"/>
    <x v="432"/>
    <m/>
    <s v="CLIENTE"/>
    <x v="14"/>
    <s v="DK DE CLIENTE NÃO PREENCIDO / CLIENTE NÃO CONFIGURADO NO OBT"/>
    <s v="INDEFINIDO"/>
    <x v="1"/>
    <s v="COLUNA I"/>
  </r>
  <r>
    <s v="SABRE"/>
    <m/>
    <x v="2"/>
    <n v="3237989"/>
    <x v="2"/>
    <d v="2025-02-10T17:31:00"/>
    <s v="HAZEIY"/>
    <s v="HAZEIY"/>
    <s v="Não localizado cliente com CNPJ [820120000135].&lt;-ObterCliente&lt;-MontarPnrBase&lt;-ProcessarAereo&lt;-ProcessarItemFila[b]"/>
    <x v="433"/>
    <m/>
    <s v="CLIENTE"/>
    <x v="12"/>
    <s v=""/>
    <e v="#N/A"/>
    <x v="1"/>
    <n v="24"/>
  </r>
  <r>
    <s v="SABRE"/>
    <m/>
    <x v="2"/>
    <n v="3237994"/>
    <x v="2"/>
    <d v="2025-02-10T17:31:00"/>
    <s v="KORGTZ"/>
    <s v="KORGTZ"/>
    <s v="Inserindo PNR - Accountings - TurVendas - Não foi possível localizar o contrato do fornecedor 7C"/>
    <x v="434"/>
    <m/>
    <s v="FORNECEDOR"/>
    <x v="10"/>
    <s v="CONTRATO INATIVO OU DIVERGENTE"/>
    <s v="SISTEMA"/>
    <x v="1"/>
    <n v="43"/>
  </r>
  <r>
    <s v="SABRE"/>
    <m/>
    <x v="2"/>
    <n v="3238010"/>
    <x v="2"/>
    <d v="2025-02-10T17:31:00"/>
    <s v="DUZZYC"/>
    <s v="DUZZYC"/>
    <s v="Não localizado cliente código [0000028612].&lt;-ObterCliente&lt;-MontarPnrBase&lt;-ProcessarAereo&lt;-ProcessarItemFila[b]"/>
    <x v="435"/>
    <m/>
    <s v="CLIENTE"/>
    <x v="13"/>
    <s v="CÓDIGO DIFERENTE DO CADASTRADO NO BENNER (CLIENTE X GRUPO)"/>
    <s v="QUALIDADE DOS DADOS"/>
    <x v="0"/>
    <n v="1"/>
  </r>
  <r>
    <s v="SABRE"/>
    <m/>
    <x v="2"/>
    <n v="3238013"/>
    <x v="2"/>
    <d v="2025-02-10T17:31:00"/>
    <s v="QANKRK"/>
    <s v="QANKRK"/>
    <s v="Não localizado cliente código [0000286569].&lt;-ObterCliente&lt;-MontarPnrBase&lt;-ProcessarAereo&lt;-ProcessarItemFila[b]"/>
    <x v="435"/>
    <m/>
    <s v="CLIENTE"/>
    <x v="13"/>
    <s v="CÓDIGO DIFERENTE DO CADASTRADO NO BENNER (CLIENTE X GRUPO)"/>
    <s v="QUALIDADE DOS DADOS"/>
    <x v="0"/>
    <n v="1"/>
  </r>
  <r>
    <s v="SABRE"/>
    <m/>
    <x v="2"/>
    <n v="3238068"/>
    <x v="2"/>
    <d v="2025-02-10T21:06:00"/>
    <s v="FNTSNU"/>
    <s v="FNTSNU"/>
    <s v="Código de cliente não identificado&lt;-ObterCliente&lt;-MontarPnrBase&lt;-ProcessarAereo&lt;-ProcessarItemFila[b]"/>
    <x v="436"/>
    <m/>
    <s v="CLIENTE"/>
    <x v="14"/>
    <s v="DK DE CLIENTE NÃO PREENCIDO / CLIENTE NÃO CONFIGURADO NO OBT"/>
    <s v="INDEFINIDO"/>
    <x v="1"/>
    <s v="COLUNA I"/>
  </r>
  <r>
    <s v="GOVER"/>
    <m/>
    <x v="2"/>
    <n v="3238399"/>
    <x v="0"/>
    <d v="2024-06-21T18:44:00"/>
    <n v="4357832"/>
    <s v="HOMO77"/>
    <s v="PreencherPnr-&gt;PreencherAccountingCustom-&gt; Erro: PreencherAccounting-&gt; Erro: Object reference not set to an instance of an object."/>
    <x v="437"/>
    <d v="2025-02-25T10:14:00"/>
    <s v="OUTROS"/>
    <x v="16"/>
    <s v=""/>
    <s v="SISTEMA"/>
    <x v="2"/>
    <s v="COLUNA I"/>
  </r>
  <r>
    <s v="GOVER"/>
    <m/>
    <x v="2"/>
    <n v="3238400"/>
    <x v="0"/>
    <d v="2024-06-25T14:24:00"/>
    <n v="4359256"/>
    <s v="HOMO79"/>
    <s v="PreencherPnr-&gt;PreencherAccountingCustom-&gt; Erro: PreencherAccounting-&gt; Erro: Object reference not set to an instance of an object."/>
    <x v="437"/>
    <d v="2025-02-25T10:14:00"/>
    <s v="OUTROS"/>
    <x v="16"/>
    <s v=""/>
    <s v="SISTEMA"/>
    <x v="2"/>
    <s v="COLUNA I"/>
  </r>
  <r>
    <s v="GOVER"/>
    <m/>
    <x v="2"/>
    <n v="3238401"/>
    <x v="0"/>
    <d v="2024-06-28T10:35:00"/>
    <n v="4361360"/>
    <s v="HOMO80"/>
    <s v="PreencherPnr-&gt;Código do cliente não informado! (SolicitacaoDTO.UnidadeCodigoIntegracao)"/>
    <x v="437"/>
    <d v="2025-02-25T10:14:00"/>
    <s v="CLIENTE"/>
    <x v="14"/>
    <s v="DK DE CLIENTE NÃO PREENCIDO / CLIENTE NÃO CONFIGURADO NO OBT"/>
    <s v="INDEFINIDO"/>
    <x v="1"/>
    <s v="COLUNA I"/>
  </r>
  <r>
    <s v="GOVER"/>
    <m/>
    <x v="2"/>
    <n v="3238402"/>
    <x v="0"/>
    <d v="2024-07-04T10:13:00"/>
    <n v="4365165"/>
    <s v="TESTE80"/>
    <s v="PreencherPnr-&gt;PreencherAccountingCustom-&gt; Erro: PreencherAccounting-&gt; Erro: Object reference not set to an instance of an object."/>
    <x v="437"/>
    <d v="2025-02-25T10:14:00"/>
    <s v="OUTROS"/>
    <x v="16"/>
    <s v=""/>
    <s v="SISTEMA"/>
    <x v="2"/>
    <s v="COLUNA I"/>
  </r>
  <r>
    <s v="GOVER"/>
    <m/>
    <x v="2"/>
    <n v="3238403"/>
    <x v="0"/>
    <d v="2024-07-04T16:18:00"/>
    <n v="4365713"/>
    <s v="TESTE81"/>
    <s v="PreencherPnr-&gt;PreencherAccountingCustom-&gt; Erro: PreencherAccounting-&gt; Erro: Object reference not set to an instance of an object."/>
    <x v="437"/>
    <d v="2025-02-25T10:14:00"/>
    <s v="OUTROS"/>
    <x v="16"/>
    <s v=""/>
    <s v="SISTEMA"/>
    <x v="2"/>
    <s v="COLUNA I"/>
  </r>
  <r>
    <s v="GOVER"/>
    <m/>
    <x v="2"/>
    <n v="3238510"/>
    <x v="0"/>
    <d v="2025-02-11T11:00:00"/>
    <n v="4489769"/>
    <n v="4489769"/>
    <s v="PreencherPnr-&gt;Foi identificado um localizador sem código."/>
    <x v="438"/>
    <d v="2025-02-25T10:15:00"/>
    <s v="OUTROS"/>
    <x v="1"/>
    <s v="RLOC NÃO PREENCHIDO NA RESERVA"/>
    <s v="QUALIDADE DOS DADOS"/>
    <x v="0"/>
    <s v="COLUNA I"/>
  </r>
  <r>
    <s v="SABRE"/>
    <m/>
    <x v="2"/>
    <n v="3238573"/>
    <x v="2"/>
    <d v="2025-02-11T08:51:00"/>
    <s v="DFORNZ"/>
    <s v="DFORNZ"/>
    <s v="Não localizado cliente com CNPJ [357038000116].&lt;-ObterCliente&lt;-MontarPnrBase&lt;-ProcessarAereo&lt;-ProcessarItemFila[b]"/>
    <x v="439"/>
    <m/>
    <s v="CLIENTE"/>
    <x v="12"/>
    <s v=""/>
    <s v="QUALIDADE DOS DADOS"/>
    <x v="1"/>
    <n v="24"/>
  </r>
  <r>
    <s v="SABRE"/>
    <m/>
    <x v="2"/>
    <n v="3238574"/>
    <x v="2"/>
    <d v="2025-02-11T08:51:00"/>
    <s v="DFORNZT"/>
    <s v="DFORNZ"/>
    <s v="Não localizado cliente com CNPJ [357038000116].&lt;-ObterCliente&lt;-MontarPnrBase&lt;-MontarPnr&lt;-ProcessarHotel&lt;-ProcessarItemFila[b]"/>
    <x v="439"/>
    <m/>
    <s v="CLIENTE"/>
    <x v="12"/>
    <s v=""/>
    <s v="QUALIDADE DOS DADOS"/>
    <x v="1"/>
    <n v="24"/>
  </r>
  <r>
    <s v="SABRE"/>
    <m/>
    <x v="2"/>
    <n v="3239472"/>
    <x v="2"/>
    <d v="2025-02-11T13:31:00"/>
    <s v="OXRETB"/>
    <s v="OXRETB"/>
    <s v="Não localizado cliente com CNPJ [2016507000169].&lt;-ObterCliente&lt;-MontarPnrBase&lt;-ProcessarAereo&lt;-ProcessarItemFila[b]"/>
    <x v="440"/>
    <m/>
    <s v="CLIENTE"/>
    <x v="12"/>
    <s v=""/>
    <s v="QUALIDADE DOS DADOS"/>
    <x v="1"/>
    <n v="24"/>
  </r>
  <r>
    <s v="SABRE"/>
    <m/>
    <x v="2"/>
    <n v="3239473"/>
    <x v="2"/>
    <d v="2025-02-11T13:31:00"/>
    <s v="OXRETBT"/>
    <s v="OXRETB"/>
    <s v="Não localizado cliente com CNPJ [2016507000169].&lt;-ObterCliente&lt;-MontarPnrBase&lt;-MontarPnr&lt;-ProcessarHotel&lt;-ProcessarItemFila[b]"/>
    <x v="440"/>
    <m/>
    <s v="CLIENTE"/>
    <x v="12"/>
    <s v=""/>
    <s v="QUALIDADE DOS DADOS"/>
    <x v="1"/>
    <n v="24"/>
  </r>
  <r>
    <s v="SABRE"/>
    <m/>
    <x v="2"/>
    <n v="3239533"/>
    <x v="2"/>
    <d v="2025-02-11T14:01:00"/>
    <s v="IQMLDW"/>
    <s v="IQMLDW"/>
    <s v="Não localizado cliente com CNPJ [357038000116].&lt;-ObterCliente&lt;-MontarPnrBase&lt;-ProcessarAereo&lt;-ProcessarItemFila[b]"/>
    <x v="441"/>
    <m/>
    <s v="CLIENTE"/>
    <x v="12"/>
    <s v=""/>
    <s v="QUALIDADE DOS DADOS"/>
    <x v="1"/>
    <n v="24"/>
  </r>
  <r>
    <s v="SABRE"/>
    <m/>
    <x v="2"/>
    <n v="3239534"/>
    <x v="2"/>
    <d v="2025-02-11T14:01:00"/>
    <s v="IQMLDWT"/>
    <s v="IQMLDW"/>
    <s v="Não localizado cliente com CNPJ [357038000116].&lt;-ObterCliente&lt;-MontarPnrBase&lt;-MontarPnr&lt;-ProcessarHotel&lt;-ProcessarItemFila[b]"/>
    <x v="442"/>
    <m/>
    <s v="CLIENTE"/>
    <x v="12"/>
    <s v=""/>
    <s v="QUALIDADE DOS DADOS"/>
    <x v="1"/>
    <n v="24"/>
  </r>
  <r>
    <s v="SABRE"/>
    <m/>
    <x v="2"/>
    <n v="3239939"/>
    <x v="2"/>
    <d v="2025-02-11T15:34:00"/>
    <s v="WWWGQQT"/>
    <s v="WWWGQQ"/>
    <s v="ConverterPagamentosRemark-&gt;Input string was not in a correct format.&lt;-MontarAccountinsHotel&lt;-ProcessarHotel&lt;-ProcessarItemFila[b]"/>
    <x v="443"/>
    <m/>
    <s v="FORMA PAGAMENTO/RECEB"/>
    <x v="2"/>
    <s v="TEXTO FORA DO PADRÃO ACEITO NO CAMPO"/>
    <s v="INDEFINIDO"/>
    <x v="0"/>
    <s v="COLUNA I"/>
  </r>
  <r>
    <s v="SABRE"/>
    <m/>
    <x v="2"/>
    <n v="3240651"/>
    <x v="2"/>
    <d v="2025-02-20T17:11:00"/>
    <s v="YWZPKQ"/>
    <s v="YWZPKQ"/>
    <s v="Código de cliente não identificado&lt;-ObterCliente&lt;-MontarPnrBase&lt;-ProcessarAereo&lt;-ProcessarItemFila[b]"/>
    <x v="444"/>
    <d v="2025-02-20T20:19:00"/>
    <s v="CLIENTE"/>
    <x v="14"/>
    <s v="DK DE CLIENTE NÃO PREENCIDO / CLIENTE NÃO CONFIGURADO NO OBT"/>
    <s v="INDEFINIDO"/>
    <x v="1"/>
    <s v="COLUNA I"/>
  </r>
  <r>
    <s v="SABRE"/>
    <m/>
    <x v="2"/>
    <n v="3240656"/>
    <x v="2"/>
    <d v="2025-02-11T17:42:00"/>
    <s v="NENXNT"/>
    <s v="NENXNT"/>
    <s v="Código de cliente não identificado&lt;-ObterCliente&lt;-MontarPnrBase&lt;-ProcessarAereo&lt;-ProcessarItemFila[b]"/>
    <x v="445"/>
    <m/>
    <s v="CLIENTE"/>
    <x v="14"/>
    <s v="DK DE CLIENTE NÃO PREENCIDO / CLIENTE NÃO CONFIGURADO NO OBT"/>
    <s v="INDEFINIDO"/>
    <x v="1"/>
    <s v="COLUNA I"/>
  </r>
  <r>
    <s v="RESOLVIDO"/>
    <m/>
    <x v="1"/>
    <n v="3240664"/>
    <x v="2"/>
    <d v="2025-02-11T17:42:00"/>
    <s v="HZQVZT"/>
    <s v="HZQVZT"/>
    <s v="Inserindo Accounting - (ExecSQL) - Could not convert variant of type (Null) into type (OleStr)"/>
    <x v="446"/>
    <m/>
    <s v="OUTROS"/>
    <x v="11"/>
    <s v=""/>
    <s v="SISTEMA"/>
    <x v="0"/>
    <s v="COLUNA I"/>
  </r>
  <r>
    <s v="SABRE"/>
    <m/>
    <x v="2"/>
    <n v="3240665"/>
    <x v="2"/>
    <d v="2025-02-11T17:42:00"/>
    <s v="JUCUSU"/>
    <s v="JUCUSU"/>
    <s v="Não localizado cliente código [0000583808].&lt;-ObterCliente&lt;-MontarPnrBase&lt;-ProcessarAereo&lt;-ProcessarItemFila[b]"/>
    <x v="446"/>
    <m/>
    <s v="CLIENTE"/>
    <x v="13"/>
    <s v="CÓDIGO DIFERENTE DO CADASTRADO NO BENNER (CLIENTE X GRUPO)"/>
    <s v="QUALIDADE DOS DADOS"/>
    <x v="0"/>
    <n v="1"/>
  </r>
  <r>
    <s v="SABRE"/>
    <m/>
    <x v="2"/>
    <n v="3240666"/>
    <x v="2"/>
    <d v="2025-02-11T17:42:00"/>
    <s v="MKDIUJ"/>
    <s v="MKDIUJ"/>
    <s v="Não localizado cliente código [0000583808].&lt;-ObterCliente&lt;-MontarPnrBase&lt;-ProcessarAereo&lt;-ProcessarItemFila[b]"/>
    <x v="447"/>
    <m/>
    <s v="CLIENTE"/>
    <x v="13"/>
    <s v="CÓDIGO DIFERENTE DO CADASTRADO NO BENNER (CLIENTE X GRUPO)"/>
    <s v="QUALIDADE DOS DADOS"/>
    <x v="0"/>
    <n v="1"/>
  </r>
  <r>
    <s v="SABRE"/>
    <m/>
    <x v="2"/>
    <n v="3240668"/>
    <x v="2"/>
    <d v="2025-02-11T17:42:00"/>
    <s v="MIVKIH"/>
    <s v="MIVKIH"/>
    <s v="Não localizado cliente código [0000583808].&lt;-ObterCliente&lt;-MontarPnrBase&lt;-ProcessarAereo&lt;-ProcessarItemFila[b]"/>
    <x v="447"/>
    <m/>
    <s v="CLIENTE"/>
    <x v="13"/>
    <s v="CÓDIGO DIFERENTE DO CADASTRADO NO BENNER (CLIENTE X GRUPO)"/>
    <s v="QUALIDADE DOS DADOS"/>
    <x v="0"/>
    <n v="1"/>
  </r>
  <r>
    <s v="SABRE"/>
    <m/>
    <x v="2"/>
    <n v="3240673"/>
    <x v="2"/>
    <d v="2025-02-11T17:42:00"/>
    <s v="IDZTDB"/>
    <s v="IDZTDB"/>
    <s v="Não localizado cliente com CNPJ [NAO PRECISA CONTABILIZAR-GOVER].&lt;-ObterCliente&lt;-MontarPnrBase&lt;-ProcessarAereo&lt;-ProcessarItemFila[b]"/>
    <x v="448"/>
    <m/>
    <s v="CLIENTE"/>
    <x v="12"/>
    <s v=""/>
    <s v="QUALIDADE DOS DADOS"/>
    <x v="1"/>
    <n v="24"/>
  </r>
  <r>
    <s v="SABRE"/>
    <m/>
    <x v="2"/>
    <n v="3240674"/>
    <x v="2"/>
    <d v="2025-02-11T17:42:00"/>
    <s v="YZETKE"/>
    <s v="YZETKE"/>
    <s v="Não localizado cliente código [0000063625].&lt;-ObterCliente&lt;-MontarPnrBase&lt;-ProcessarAereo&lt;-ProcessarItemFila[b]"/>
    <x v="448"/>
    <m/>
    <s v="CLIENTE"/>
    <x v="13"/>
    <s v="CÓDIGO DIFERENTE DO CADASTRADO NO BENNER (CLIENTE X GRUPO)"/>
    <s v="QUALIDADE DOS DADOS"/>
    <x v="0"/>
    <n v="1"/>
  </r>
  <r>
    <s v="SABRE"/>
    <m/>
    <x v="2"/>
    <n v="3240675"/>
    <x v="2"/>
    <d v="2025-02-11T17:42:00"/>
    <s v="DSMEXW"/>
    <s v="DSMEXW"/>
    <s v="Não localizado cliente código [0000063625].&lt;-ObterCliente&lt;-MontarPnrBase&lt;-ProcessarAereo&lt;-ProcessarItemFila[b]"/>
    <x v="448"/>
    <m/>
    <s v="CLIENTE"/>
    <x v="13"/>
    <s v="CÓDIGO DIFERENTE DO CADASTRADO NO BENNER (CLIENTE X GRUPO)"/>
    <s v="QUALIDADE DOS DADOS"/>
    <x v="0"/>
    <n v="1"/>
  </r>
  <r>
    <s v="SABRE"/>
    <m/>
    <x v="2"/>
    <n v="3240677"/>
    <x v="2"/>
    <d v="2025-02-11T17:42:00"/>
    <s v="HYLJFF"/>
    <s v="HYLJFF"/>
    <s v="Não localizado cliente código [1234567890].&lt;-ObterCliente&lt;-MontarPnrBase&lt;-ProcessarAereo&lt;-ProcessarItemFila[b]"/>
    <x v="449"/>
    <m/>
    <s v="CLIENTE"/>
    <x v="13"/>
    <s v="CÓDIGO DIFERENTE DO CADASTRADO NO BENNER (CLIENTE X GRUPO)"/>
    <s v="QUALIDADE DOS DADOS"/>
    <x v="0"/>
    <n v="1"/>
  </r>
  <r>
    <s v="SABRE"/>
    <m/>
    <x v="2"/>
    <n v="3240678"/>
    <x v="2"/>
    <d v="2025-02-11T17:42:00"/>
    <s v="APGOAC"/>
    <s v="APGOAC"/>
    <s v="Não localizado cliente com CNPJ [NAO PRECISA CONTABILIZAR-GOVER].&lt;-ObterCliente&lt;-MontarPnrBase&lt;-ProcessarAereo&lt;-ProcessarItemFila[b]"/>
    <x v="449"/>
    <m/>
    <s v="CLIENTE"/>
    <x v="12"/>
    <s v=""/>
    <e v="#N/A"/>
    <x v="1"/>
    <n v="24"/>
  </r>
  <r>
    <s v="SABRE"/>
    <m/>
    <x v="2"/>
    <n v="3240679"/>
    <x v="2"/>
    <d v="2025-02-11T17:42:00"/>
    <s v="GEIXFX"/>
    <s v="GEIXFX"/>
    <s v="Código de cliente não identificado&lt;-ObterCliente&lt;-MontarPnrBase&lt;-ProcessarAereo&lt;-ProcessarItemFila[b]"/>
    <x v="449"/>
    <m/>
    <s v="CLIENTE"/>
    <x v="14"/>
    <s v="DK DE CLIENTE NÃO PREENCIDO / CLIENTE NÃO CONFIGURADO NO OBT"/>
    <s v="INDEFINIDO"/>
    <x v="1"/>
    <s v="COLUNA I"/>
  </r>
  <r>
    <s v="SABRE"/>
    <m/>
    <x v="2"/>
    <n v="3240680"/>
    <x v="2"/>
    <d v="2025-02-11T17:42:00"/>
    <s v="GEQPNB"/>
    <s v="GEQPNB"/>
    <s v="Código de cliente não identificado&lt;-ObterCliente&lt;-MontarPnrBase&lt;-ProcessarAereo&lt;-ProcessarItemFila[b]"/>
    <x v="449"/>
    <m/>
    <s v="CLIENTE"/>
    <x v="14"/>
    <s v="DK DE CLIENTE NÃO PREENCIDO / CLIENTE NÃO CONFIGURADO NO OBT"/>
    <s v="INDEFINIDO"/>
    <x v="1"/>
    <s v="COLUNA I"/>
  </r>
  <r>
    <s v="SABRE"/>
    <m/>
    <x v="2"/>
    <n v="3240691"/>
    <x v="2"/>
    <d v="2025-02-14T14:10:00"/>
    <s v="MCKGNE"/>
    <s v="MCKGNE"/>
    <s v="Código de cliente não identificado&lt;-ObterCliente&lt;-MontarPnrBase&lt;-ProcessarAereo&lt;-ProcessarItemFila[b]"/>
    <x v="450"/>
    <d v="2025-02-14T17:19:00"/>
    <s v="CLIENTE"/>
    <x v="14"/>
    <s v="DK DE CLIENTE NÃO PREENCIDO / CLIENTE NÃO CONFIGURADO NO OBT"/>
    <s v="INDEFINIDO"/>
    <x v="1"/>
    <s v="COLUNA I"/>
  </r>
  <r>
    <s v="SABRE"/>
    <m/>
    <x v="2"/>
    <n v="3241014"/>
    <x v="2"/>
    <d v="2025-02-12T08:58:00"/>
    <s v="GAXXQUT"/>
    <s v="GAXXQU"/>
    <s v="ConverterPagamentosRemark-&gt;Input string was not in a correct format.&lt;-MontarAccountinsHotel&lt;-ProcessarHotel&lt;-ProcessarItemFila[b]"/>
    <x v="451"/>
    <d v="2025-02-12T12:03:00"/>
    <s v="FORMA PAGAMENTO/RECEB"/>
    <x v="2"/>
    <s v="TEXTO FORA DO PADRÃO ACEITO NO CAMPO"/>
    <s v="INDEFINIDO"/>
    <x v="0"/>
    <s v="COLUNA I"/>
  </r>
  <r>
    <s v="SABRE"/>
    <m/>
    <x v="2"/>
    <n v="3241113"/>
    <x v="2"/>
    <d v="2025-02-12T09:22:00"/>
    <s v="WRSYAOT"/>
    <s v="WRSYAO"/>
    <s v="ConverterPagamentosRemark-&gt;Input string was not in a correct format.&lt;-MontarAccountinsHotel&lt;-ProcessarHotel&lt;-ProcessarItemFila[b]"/>
    <x v="452"/>
    <m/>
    <s v="FORMA PAGAMENTO/RECEB"/>
    <x v="2"/>
    <s v="TEXTO FORA DO PADRÃO ACEITO NO CAMPO"/>
    <s v="INDEFINIDO"/>
    <x v="0"/>
    <s v="COLUNA I"/>
  </r>
  <r>
    <s v="SABRE"/>
    <m/>
    <x v="2"/>
    <n v="3241114"/>
    <x v="2"/>
    <d v="2025-02-13T15:44:00"/>
    <s v="EYBDXGT"/>
    <s v="EYBDXG"/>
    <s v="ConverterPagamentosRemark-&gt;Input string was not in a correct format.&lt;-MontarAccountinsHotel&lt;-ProcessarHotel&lt;-ProcessarItemFila[b]"/>
    <x v="452"/>
    <d v="2025-02-13T18:48:00"/>
    <s v="FORMA PAGAMENTO/RECEB"/>
    <x v="2"/>
    <s v="TEXTO FORA DO PADRÃO ACEITO NO CAMPO"/>
    <s v="INDEFINIDO"/>
    <x v="0"/>
    <s v="COLUNA I"/>
  </r>
  <r>
    <s v="GOVER"/>
    <m/>
    <x v="2"/>
    <n v="3241458"/>
    <x v="0"/>
    <d v="2025-02-12T09:50:00"/>
    <n v="4490304"/>
    <s v="YR3PRH"/>
    <s v="Inserindo Trecho - Parâmetro Fornecedor - TurVendas - Não foi possível localizar o contrato do fornecedor YU"/>
    <x v="453"/>
    <d v="2025-02-25T10:15:00"/>
    <s v="FORNECEDOR"/>
    <x v="10"/>
    <s v="CONTRATO INATIVO OU DIVERGENTE"/>
    <s v="SISTEMA"/>
    <x v="1"/>
    <n v="55"/>
  </r>
  <r>
    <s v="SABRE"/>
    <m/>
    <x v="2"/>
    <n v="3242204"/>
    <x v="2"/>
    <d v="2025-02-12T13:31:00"/>
    <s v="LMWRAM"/>
    <s v="LMWRAM"/>
    <s v="Não localizado cliente com CNPJ [357038000116].&lt;-ObterCliente&lt;-MontarPnrBase&lt;-ProcessarAereo&lt;-ProcessarItemFila[b]"/>
    <x v="454"/>
    <m/>
    <s v="CLIENTE"/>
    <x v="12"/>
    <s v=""/>
    <s v="QUALIDADE DOS DADOS"/>
    <x v="1"/>
    <n v="24"/>
  </r>
  <r>
    <s v="SABRE"/>
    <m/>
    <x v="2"/>
    <n v="3242205"/>
    <x v="2"/>
    <d v="2025-02-12T13:31:00"/>
    <s v="LMWRAMT"/>
    <s v="LMWRAM"/>
    <s v="Não localizado cliente com CNPJ [357038000116].&lt;-ObterCliente&lt;-MontarPnrBase&lt;-MontarPnr&lt;-ProcessarHotel&lt;-ProcessarItemFila[b]"/>
    <x v="454"/>
    <m/>
    <s v="CLIENTE"/>
    <x v="12"/>
    <s v=""/>
    <s v="QUALIDADE DOS DADOS"/>
    <x v="1"/>
    <n v="24"/>
  </r>
  <r>
    <s v="SABRE"/>
    <m/>
    <x v="2"/>
    <n v="3243939"/>
    <x v="2"/>
    <d v="2025-02-25T06:27:00"/>
    <s v="WSOUSW"/>
    <s v="WSOUSW"/>
    <s v="Não localizado cliente com CNPJ [4120966000113].&lt;-ObterCliente&lt;-MontarPnrBase&lt;-ProcessarAereo&lt;-ProcessarItemFila[b]"/>
    <x v="455"/>
    <d v="2025-02-25T09:45:00"/>
    <s v="CLIENTE"/>
    <x v="12"/>
    <s v=""/>
    <s v="SISTEMA"/>
    <x v="1"/>
    <n v="24"/>
  </r>
  <r>
    <s v="SABRE"/>
    <m/>
    <x v="2"/>
    <n v="3243958"/>
    <x v="2"/>
    <d v="2025-02-13T09:11:00"/>
    <s v="IIRJWA"/>
    <s v="IIRJWA"/>
    <s v="Não localizado cliente código [0000583808].&lt;-ObterCliente&lt;-MontarPnrBase&lt;-ProcessarAereo&lt;-ProcessarItemFila[b]"/>
    <x v="456"/>
    <m/>
    <s v="CLIENTE"/>
    <x v="13"/>
    <s v="CÓDIGO DIFERENTE DO CADASTRADO NO BENNER (CLIENTE X GRUPO)"/>
    <s v="QUALIDADE DOS DADOS"/>
    <x v="0"/>
    <n v="1"/>
  </r>
  <r>
    <s v="RESOLVIDO"/>
    <m/>
    <x v="1"/>
    <n v="3243976"/>
    <x v="2"/>
    <d v="2025-03-07T17:41:00"/>
    <s v="LJNBFQ"/>
    <s v="LJNBFQ"/>
    <s v="Inserindo Accounting - (ExecSQL) - Could not convert variant of type (Null) into type (OleStr)"/>
    <x v="457"/>
    <d v="2025-03-07T20:53:00"/>
    <s v="OUTROS"/>
    <x v="11"/>
    <s v=""/>
    <s v="SISTEMA"/>
    <x v="0"/>
    <s v="COLUNA I"/>
  </r>
  <r>
    <s v="SABRE"/>
    <m/>
    <x v="2"/>
    <n v="3243989"/>
    <x v="2"/>
    <d v="2025-02-13T09:11:00"/>
    <s v="ACYHCY"/>
    <s v="ACYHCY"/>
    <s v="Não localizado cliente código [0000050269].&lt;-ObterCliente&lt;-MontarPnrBase&lt;-ProcessarAereo&lt;-ProcessarItemFila[b]"/>
    <x v="458"/>
    <m/>
    <s v="CLIENTE"/>
    <x v="13"/>
    <s v="CÓDIGO DIFERENTE DO CADASTRADO NO BENNER (CLIENTE X GRUPO)"/>
    <s v="QUALIDADE DOS DADOS"/>
    <x v="0"/>
    <n v="1"/>
  </r>
  <r>
    <s v="SABRE"/>
    <m/>
    <x v="2"/>
    <n v="3243995"/>
    <x v="2"/>
    <d v="2025-02-13T09:11:00"/>
    <s v="LJZQKY"/>
    <s v="LJZQKY"/>
    <s v="Código de cliente não identificado&lt;-ObterCliente&lt;-MontarPnrBase&lt;-ProcessarAereo&lt;-ProcessarItemFila[b]"/>
    <x v="459"/>
    <m/>
    <s v="CLIENTE"/>
    <x v="14"/>
    <s v="DK DE CLIENTE NÃO PREENCIDO / CLIENTE NÃO CONFIGURADO NO OBT"/>
    <s v="INDEFINIDO"/>
    <x v="1"/>
    <s v="COLUNA I"/>
  </r>
  <r>
    <s v="SABRE"/>
    <m/>
    <x v="2"/>
    <n v="3243997"/>
    <x v="2"/>
    <d v="2025-02-13T09:11:00"/>
    <s v="DJEMYO"/>
    <s v="DJEMYO"/>
    <s v="Não localizado cliente código [1234567890].&lt;-ObterCliente&lt;-MontarPnrBase&lt;-ProcessarAereo&lt;-ProcessarItemFila[b]"/>
    <x v="459"/>
    <m/>
    <s v="CLIENTE"/>
    <x v="13"/>
    <s v="CÓDIGO DIFERENTE DO CADASTRADO NO BENNER (CLIENTE X GRUPO)"/>
    <s v="QUALIDADE DOS DADOS"/>
    <x v="0"/>
    <n v="1"/>
  </r>
  <r>
    <s v="SABRE"/>
    <m/>
    <x v="2"/>
    <n v="3243998"/>
    <x v="2"/>
    <d v="2025-02-13T09:11:00"/>
    <s v="KXCVAX"/>
    <s v="KXCVAX"/>
    <s v="Código de cliente não identificado&lt;-ObterCliente&lt;-MontarPnrBase&lt;-ProcessarAereo&lt;-ProcessarItemFila[b]"/>
    <x v="459"/>
    <m/>
    <s v="CLIENTE"/>
    <x v="14"/>
    <s v="DK DE CLIENTE NÃO PREENCIDO / CLIENTE NÃO CONFIGURADO NO OBT"/>
    <s v="INDEFINIDO"/>
    <x v="1"/>
    <s v="COLUNA I"/>
  </r>
  <r>
    <s v="SABRE"/>
    <m/>
    <x v="2"/>
    <n v="3244002"/>
    <x v="2"/>
    <d v="2025-02-13T09:11:00"/>
    <s v="JHWGAE"/>
    <s v="JHWGAE"/>
    <s v="Não localizado cliente código [0000583831].&lt;-ObterCliente&lt;-MontarPnrBase&lt;-ProcessarAereo&lt;-ProcessarItemFila[b]"/>
    <x v="460"/>
    <m/>
    <s v="CLIENTE"/>
    <x v="13"/>
    <s v="CÓDIGO DIFERENTE DO CADASTRADO NO BENNER (CLIENTE X GRUPO)"/>
    <s v="QUALIDADE DOS DADOS"/>
    <x v="0"/>
    <n v="1"/>
  </r>
  <r>
    <s v="TMS"/>
    <m/>
    <x v="2"/>
    <n v="3244153"/>
    <x v="1"/>
    <d v="2025-02-13T09:20:00"/>
    <n v="52639"/>
    <n v="52639"/>
    <s v="Preenchendo XML Serviço-&gt; Preenchendo XML-&gt; Montando accounting aereo 3-&gt;Reserva F4 não encontrada para importar assento/bagagem!"/>
    <x v="461"/>
    <d v="2025-02-16T20:17:00"/>
    <s v="OUTROS"/>
    <x v="17"/>
    <s v=""/>
    <s v="QUALIDADE DOS DADOS"/>
    <x v="3"/>
    <n v="123"/>
  </r>
  <r>
    <s v="SABRE"/>
    <m/>
    <x v="2"/>
    <n v="3245146"/>
    <x v="2"/>
    <d v="2025-02-13T15:44:00"/>
    <s v="QWBIMLT"/>
    <s v="QWBIML"/>
    <s v="ConverterPagamentosRemark-&gt;Input string was not in a correct format.&lt;-MontarAccountinsHotel&lt;-ProcessarHotel&lt;-ProcessarItemFila[b]"/>
    <x v="462"/>
    <d v="2025-02-13T18:49:00"/>
    <s v="FORMA PAGAMENTO/RECEB"/>
    <x v="2"/>
    <s v="TEXTO FORA DO PADRÃO ACEITO NO CAMPO"/>
    <s v="INDEFINIDO"/>
    <x v="0"/>
    <s v="COLUNA I"/>
  </r>
  <r>
    <s v="SABRE"/>
    <m/>
    <x v="2"/>
    <n v="3245155"/>
    <x v="2"/>
    <d v="2025-02-14T08:03:00"/>
    <s v="GGSJCXT"/>
    <s v="GGSJCX"/>
    <s v="ConverterPagamentosRemark-&gt;Input string was not in a correct format.&lt;-MontarAccountinsHotel&lt;-ProcessarHotel&lt;-ProcessarItemFila[b]"/>
    <x v="463"/>
    <d v="2025-02-14T11:06:00"/>
    <s v="FORMA PAGAMENTO/RECEB"/>
    <x v="2"/>
    <s v="TEXTO FORA DO PADRÃO ACEITO NO CAMPO"/>
    <s v="INDEFINIDO"/>
    <x v="0"/>
    <s v="COLUNA I"/>
  </r>
  <r>
    <s v="SABRE"/>
    <m/>
    <x v="2"/>
    <n v="3245970"/>
    <x v="2"/>
    <d v="2025-02-13T21:33:00"/>
    <s v="FEZMYF"/>
    <s v="FEZMYF"/>
    <s v="Não localizado cliente código [0000071840].&lt;-ObterCliente&lt;-MontarPnrBase&lt;-ProcessarAereo&lt;-ProcessarItemFila[b]"/>
    <x v="464"/>
    <m/>
    <s v="CLIENTE"/>
    <x v="13"/>
    <s v="CÓDIGO DIFERENTE DO CADASTRADO NO BENNER (CLIENTE X GRUPO)"/>
    <s v="QUALIDADE DOS DADOS"/>
    <x v="0"/>
    <n v="1"/>
  </r>
  <r>
    <s v="SABRE"/>
    <m/>
    <x v="2"/>
    <n v="3245971"/>
    <x v="2"/>
    <d v="2025-02-13T21:33:00"/>
    <s v="UVIGBN"/>
    <s v="UVIGBN"/>
    <s v="Não localizado cliente com CNPJ [2379828000128].&lt;-ObterCliente&lt;-MontarPnrBase&lt;-ProcessarAereo&lt;-ProcessarItemFila[b]"/>
    <x v="464"/>
    <m/>
    <s v="CLIENTE"/>
    <x v="12"/>
    <s v=""/>
    <s v="INDEFINIDO"/>
    <x v="1"/>
    <n v="24"/>
  </r>
  <r>
    <s v="SABRE"/>
    <m/>
    <x v="2"/>
    <n v="3245973"/>
    <x v="2"/>
    <d v="2025-02-13T21:33:00"/>
    <s v="FHTAMY"/>
    <s v="FHTAMY"/>
    <s v="Código de cliente não identificado&lt;-ObterCliente&lt;-MontarPnrBase&lt;-ProcessarAereo&lt;-ProcessarItemFila[b]"/>
    <x v="464"/>
    <m/>
    <s v="CLIENTE"/>
    <x v="14"/>
    <s v="DK DE CLIENTE NÃO PREENCIDO / CLIENTE NÃO CONFIGURADO NO OBT"/>
    <s v="INDEFINIDO"/>
    <x v="1"/>
    <s v="COLUNA I"/>
  </r>
  <r>
    <s v="SABRE"/>
    <m/>
    <x v="2"/>
    <n v="3245976"/>
    <x v="2"/>
    <d v="2025-02-13T21:33:00"/>
    <s v="LRNISG"/>
    <s v="LRNISG"/>
    <s v="Não localizado cliente código [0000071840].&lt;-ObterCliente&lt;-MontarPnrBase&lt;-ProcessarAereo&lt;-ProcessarItemFila[b]"/>
    <x v="465"/>
    <m/>
    <s v="CLIENTE"/>
    <x v="13"/>
    <s v="CÓDIGO DIFERENTE DO CADASTRADO NO BENNER (CLIENTE X GRUPO)"/>
    <s v="QUALIDADE DOS DADOS"/>
    <x v="0"/>
    <n v="1"/>
  </r>
  <r>
    <s v="SABRE"/>
    <m/>
    <x v="2"/>
    <n v="3245977"/>
    <x v="2"/>
    <d v="2025-02-14T09:53:00"/>
    <s v="GNMERM"/>
    <s v="GNMERM"/>
    <s v="Não localizado cliente código [0000053687].&lt;-ObterCliente&lt;-MontarPnrBase&lt;-ProcessarAereo&lt;-ProcessarItemFila[b]"/>
    <x v="465"/>
    <d v="2025-02-14T13:03:00"/>
    <s v="CLIENTE"/>
    <x v="13"/>
    <s v="CÓDIGO DIFERENTE DO CADASTRADO NO BENNER (CLIENTE X GRUPO)"/>
    <s v="QUALIDADE DOS DADOS"/>
    <x v="0"/>
    <n v="1"/>
  </r>
  <r>
    <s v="SABRE"/>
    <m/>
    <x v="2"/>
    <n v="3245998"/>
    <x v="2"/>
    <d v="2025-02-17T12:05:00"/>
    <s v="EXQTQO"/>
    <s v="EXQTQO"/>
    <s v="Não localizado cliente código [0000583808].&lt;-ObterCliente&lt;-MontarPnrBase&lt;-ProcessarAereo&lt;-ProcessarItemFila[b]"/>
    <x v="466"/>
    <d v="2025-02-17T15:21:00"/>
    <s v="CLIENTE"/>
    <x v="13"/>
    <s v="CÓDIGO DIFERENTE DO CADASTRADO NO BENNER (CLIENTE X GRUPO)"/>
    <s v="QUALIDADE DOS DADOS"/>
    <x v="0"/>
    <n v="1"/>
  </r>
  <r>
    <s v="SABRE"/>
    <m/>
    <x v="2"/>
    <n v="3246001"/>
    <x v="2"/>
    <d v="2025-02-13T21:33:00"/>
    <s v="CCFFIH"/>
    <s v="CCFFIH"/>
    <s v="Não localizado cliente código [0000583831].&lt;-ObterCliente&lt;-MontarPnrBase&lt;-ProcessarAereo&lt;-ProcessarItemFila[b]"/>
    <x v="467"/>
    <m/>
    <s v="CLIENTE"/>
    <x v="13"/>
    <s v="CÓDIGO DIFERENTE DO CADASTRADO NO BENNER (CLIENTE X GRUPO)"/>
    <s v="QUALIDADE DOS DADOS"/>
    <x v="0"/>
    <n v="1"/>
  </r>
  <r>
    <s v="SABRE"/>
    <m/>
    <x v="2"/>
    <n v="3246011"/>
    <x v="2"/>
    <d v="2025-02-13T21:33:00"/>
    <s v="NDHQDW"/>
    <s v="NDHQDW"/>
    <s v="Não localizado cliente código [0000583808].&lt;-ObterCliente&lt;-MontarPnrBase&lt;-ProcessarAereo&lt;-ProcessarItemFila[b]"/>
    <x v="468"/>
    <m/>
    <s v="CLIENTE"/>
    <x v="13"/>
    <s v="CÓDIGO DIFERENTE DO CADASTRADO NO BENNER (CLIENTE X GRUPO)"/>
    <s v="QUALIDADE DOS DADOS"/>
    <x v="0"/>
    <n v="1"/>
  </r>
  <r>
    <s v="GOVER"/>
    <m/>
    <x v="2"/>
    <n v="3246079"/>
    <x v="0"/>
    <d v="2025-02-13T19:05:00"/>
    <n v="4491554"/>
    <s v="YQRTHV"/>
    <s v="PreencherPnr-&gt;Não foi encontrado nenhum item veículo para o localizador YQRTHV"/>
    <x v="469"/>
    <d v="2025-02-25T10:15:00"/>
    <s v="OUTROS"/>
    <x v="0"/>
    <s v="TAGS DE DETALHAMENTO DO SERVIÇO NÃO ENVIADO NO XML"/>
    <s v="QUALIDADE DOS DADOS"/>
    <x v="0"/>
    <n v="46"/>
  </r>
  <r>
    <s v="SABRE"/>
    <m/>
    <x v="2"/>
    <n v="3246354"/>
    <x v="2"/>
    <d v="2025-02-14T07:05:00"/>
    <s v="OEYAXTT"/>
    <s v="OEYAXT"/>
    <s v="Não localizado cliente código [SA04130104].&lt;-ObterCliente&lt;-MontarPnrBase&lt;-MontarPnr&lt;-ProcessarHotel&lt;-ProcessarItemFila[b]"/>
    <x v="470"/>
    <m/>
    <s v="CLIENTE"/>
    <x v="13"/>
    <s v="CÓDIGO DIFERENTE DO CADASTRADO NO BENNER (CLIENTE X GRUPO)"/>
    <s v="QUALIDADE DOS DADOS"/>
    <x v="0"/>
    <n v="1"/>
  </r>
  <r>
    <s v="SABRE"/>
    <m/>
    <x v="2"/>
    <n v="3246476"/>
    <x v="2"/>
    <d v="2025-02-14T09:31:00"/>
    <s v="MDHQQIT"/>
    <s v="MDHQQI"/>
    <s v="ConverterPagamentosRemark-&gt;Input string was not in a correct format.&lt;-MontarAccountinsHotel&lt;-ProcessarHotel&lt;-ProcessarItemFila[b]"/>
    <x v="471"/>
    <d v="2025-02-14T12:33:00"/>
    <s v="FORMA PAGAMENTO/RECEB"/>
    <x v="2"/>
    <s v="TEXTO FORA DO PADRÃO ACEITO NO CAMPO"/>
    <s v="INDEFINIDO"/>
    <x v="0"/>
    <s v="COLUNA I"/>
  </r>
  <r>
    <s v="SABRE"/>
    <m/>
    <x v="2"/>
    <n v="3246780"/>
    <x v="2"/>
    <d v="2025-02-14T09:32:00"/>
    <s v="MAZDKUT"/>
    <s v="MAZDKU"/>
    <s v="ConverterPagamentosRemark-&gt;Input string was not in a correct format.&lt;-MontarAccountinsHotel&lt;-ProcessarHotel&lt;-ProcessarItemFila[b]"/>
    <x v="472"/>
    <d v="2025-02-14T12:34:00"/>
    <s v="FORMA PAGAMENTO/RECEB"/>
    <x v="2"/>
    <s v="TEXTO FORA DO PADRÃO ACEITO NO CAMPO"/>
    <s v="INDEFINIDO"/>
    <x v="0"/>
    <s v="COLUNA I"/>
  </r>
  <r>
    <s v="SABRE"/>
    <m/>
    <x v="2"/>
    <n v="3246802"/>
    <x v="2"/>
    <d v="2025-02-17T07:44:00"/>
    <s v="NLJSBWT"/>
    <s v="NLJSBW"/>
    <s v="ConverterPagamentosRemark-&gt;Input string was not in a correct format.&lt;-MontarAccountinsHotel&lt;-ProcessarHotel&lt;-ProcessarItemFila[b]"/>
    <x v="473"/>
    <d v="2025-02-17T10:51:00"/>
    <s v="FORMA PAGAMENTO/RECEB"/>
    <x v="2"/>
    <s v="TEXTO FORA DO PADRÃO ACEITO NO CAMPO"/>
    <s v="INDEFINIDO"/>
    <x v="0"/>
    <s v="COLUNA I"/>
  </r>
  <r>
    <s v="SABRE"/>
    <m/>
    <x v="2"/>
    <n v="3247891"/>
    <x v="2"/>
    <d v="2025-02-14T14:00:00"/>
    <s v="IYLSEQ"/>
    <s v="IYLSEQ"/>
    <s v="Não localizado cliente código [0000068439].&lt;-ObterCliente&lt;-MontarPnrBase&lt;-ProcessarAereo&lt;-ProcessarItemFila[b]"/>
    <x v="474"/>
    <m/>
    <s v="CLIENTE"/>
    <x v="13"/>
    <s v="CÓDIGO DIFERENTE DO CADASTRADO NO BENNER (CLIENTE X GRUPO)"/>
    <s v="QUALIDADE DOS DADOS"/>
    <x v="0"/>
    <n v="1"/>
  </r>
  <r>
    <s v="SABRE"/>
    <m/>
    <x v="2"/>
    <n v="3247893"/>
    <x v="2"/>
    <d v="2025-02-14T14:00:00"/>
    <s v="IYLSEQC"/>
    <s v="IYLSEQ"/>
    <s v="Não localizado cliente código [0000068439].&lt;-ObterCliente&lt;-MontarPnrBase&lt;-MontarPnr&lt;-ProcessarCarro&lt;-ProcessarItemFila[b]"/>
    <x v="475"/>
    <m/>
    <s v="CLIENTE"/>
    <x v="13"/>
    <s v="CÓDIGO DIFERENTE DO CADASTRADO NO BENNER (CLIENTE X GRUPO)"/>
    <s v="QUALIDADE DOS DADOS"/>
    <x v="0"/>
    <n v="1"/>
  </r>
  <r>
    <s v="SABRE"/>
    <m/>
    <x v="2"/>
    <n v="3248086"/>
    <x v="2"/>
    <d v="2025-02-17T07:42:00"/>
    <s v="NJFSJT"/>
    <s v="NJFSJT"/>
    <s v="Não localizado cliente com CNPJ [2016507000169].&lt;-ObterCliente&lt;-MontarPnrBase&lt;-ProcessarAereo&lt;-ProcessarItemFila[b]"/>
    <x v="476"/>
    <d v="2025-02-17T10:49:00"/>
    <s v="CLIENTE"/>
    <x v="12"/>
    <s v=""/>
    <s v="QUALIDADE DOS DADOS"/>
    <x v="1"/>
    <n v="24"/>
  </r>
  <r>
    <s v="SABRE"/>
    <m/>
    <x v="2"/>
    <n v="3248121"/>
    <x v="2"/>
    <d v="2025-02-17T07:31:00"/>
    <s v="JRFRQQ"/>
    <s v="JRFRQQ"/>
    <s v="Não localizado cliente com CNPJ [JTI DISTRIBUIDORA NOVA CONCEICAO].&lt;-ObterCliente&lt;-MontarPnrBase&lt;-ProcessarAereo&lt;-ProcessarItemFila[b]"/>
    <x v="477"/>
    <d v="2025-02-17T10:34:00"/>
    <s v="CLIENTE"/>
    <x v="12"/>
    <s v=""/>
    <e v="#N/A"/>
    <x v="1"/>
    <n v="24"/>
  </r>
  <r>
    <s v="SABRE"/>
    <m/>
    <x v="2"/>
    <n v="3248151"/>
    <x v="2"/>
    <d v="2025-02-17T12:05:00"/>
    <s v="KHVHXP"/>
    <s v="KHVHXP"/>
    <s v="Não localizado cliente código [0000392619].&lt;-ObterCliente&lt;-MontarPnrBase&lt;-ProcessarAereo&lt;-ProcessarItemFila[b]"/>
    <x v="478"/>
    <d v="2025-02-17T15:20:00"/>
    <s v="CLIENTE"/>
    <x v="13"/>
    <s v="CÓDIGO DIFERENTE DO CADASTRADO NO BENNER (CLIENTE X GRUPO)"/>
    <s v="QUALIDADE DOS DADOS"/>
    <x v="0"/>
    <n v="1"/>
  </r>
  <r>
    <s v="SABRE"/>
    <m/>
    <x v="2"/>
    <n v="3248152"/>
    <x v="2"/>
    <d v="2025-02-17T12:05:00"/>
    <s v="WPVNZZ"/>
    <s v="WPVNZZ"/>
    <s v="Não localizado cliente código [0000050269].&lt;-ObterCliente&lt;-MontarPnrBase&lt;-ProcessarAereo&lt;-ProcessarItemFila[b]"/>
    <x v="479"/>
    <d v="2025-02-17T15:20:00"/>
    <s v="CLIENTE"/>
    <x v="13"/>
    <s v="CÓDIGO DIFERENTE DO CADASTRADO NO BENNER (CLIENTE X GRUPO)"/>
    <s v="QUALIDADE DOS DADOS"/>
    <x v="0"/>
    <n v="1"/>
  </r>
  <r>
    <s v="SABRE"/>
    <m/>
    <x v="2"/>
    <n v="3249128"/>
    <x v="2"/>
    <d v="2025-02-14T18:22:00"/>
    <s v="OEKGUV"/>
    <s v="OEKGUV"/>
    <s v="Código de cliente não identificado&lt;-ObterCliente&lt;-MontarPnrBase&lt;-ProcessarAereo&lt;-ProcessarItemFila[b]"/>
    <x v="480"/>
    <m/>
    <s v="CLIENTE"/>
    <x v="14"/>
    <s v="DK DE CLIENTE NÃO PREENCIDO / CLIENTE NÃO CONFIGURADO NO OBT"/>
    <s v="INDEFINIDO"/>
    <x v="1"/>
    <s v="COLUNA I"/>
  </r>
  <r>
    <s v="SABRE"/>
    <m/>
    <x v="2"/>
    <n v="3249129"/>
    <x v="2"/>
    <d v="2025-02-17T07:36:00"/>
    <s v="YTVDGG"/>
    <s v="YTVDGG"/>
    <s v="Não localizado cliente com CNPJ [JTI PROCESSADORA].&lt;-ObterCliente&lt;-MontarPnrBase&lt;-ProcessarAereo&lt;-ProcessarItemFila[b]"/>
    <x v="480"/>
    <d v="2025-02-17T10:48:00"/>
    <s v="CLIENTE"/>
    <x v="12"/>
    <s v=""/>
    <s v="QUALIDADE DOS DADOS"/>
    <x v="1"/>
    <n v="24"/>
  </r>
  <r>
    <s v="SABRE"/>
    <m/>
    <x v="2"/>
    <n v="3249130"/>
    <x v="2"/>
    <d v="2025-02-14T18:22:00"/>
    <s v="KMHQOT"/>
    <s v="KMHQOT"/>
    <s v="Código de cliente não identificado&lt;-ObterCliente&lt;-MontarPnrBase&lt;-ProcessarAereo&lt;-ProcessarItemFila[b]"/>
    <x v="481"/>
    <m/>
    <s v="CLIENTE"/>
    <x v="14"/>
    <s v="DK DE CLIENTE NÃO PREENCIDO / CLIENTE NÃO CONFIGURADO NO OBT"/>
    <s v="INDEFINIDO"/>
    <x v="1"/>
    <s v="COLUNA I"/>
  </r>
  <r>
    <s v="SABRE"/>
    <m/>
    <x v="2"/>
    <n v="3249132"/>
    <x v="2"/>
    <d v="2025-02-14T18:22:00"/>
    <s v="FWADDV"/>
    <s v="FWADDV"/>
    <s v="Código de cliente não identificado&lt;-ObterCliente&lt;-MontarPnrBase&lt;-ProcessarAereo&lt;-ProcessarItemFila[b]"/>
    <x v="481"/>
    <m/>
    <s v="CLIENTE"/>
    <x v="14"/>
    <s v="DK DE CLIENTE NÃO PREENCIDO / CLIENTE NÃO CONFIGURADO NO OBT"/>
    <s v="INDEFINIDO"/>
    <x v="1"/>
    <s v="COLUNA I"/>
  </r>
  <r>
    <s v="RESOLVIDO"/>
    <m/>
    <x v="1"/>
    <n v="3249137"/>
    <x v="2"/>
    <d v="2025-02-17T07:43:00"/>
    <s v="SKOCPA"/>
    <s v="SKOCPA"/>
    <s v="Inserindo Accounting - (ExecSQL) - Could not convert variant of type (Null) into type (OleStr)"/>
    <x v="482"/>
    <d v="2025-02-17T10:50:00"/>
    <s v="OUTROS"/>
    <x v="11"/>
    <s v=""/>
    <s v="SISTEMA"/>
    <x v="0"/>
    <s v="COLUNA I"/>
  </r>
  <r>
    <s v="SABRE"/>
    <m/>
    <x v="2"/>
    <n v="3249147"/>
    <x v="2"/>
    <d v="2025-02-17T07:39:00"/>
    <s v="MOYDXS"/>
    <s v="MOYDXS"/>
    <s v="Não localizado cliente com CNPJ [JTIPROCESSADORA].&lt;-ObterCliente&lt;-MontarPnrBase&lt;-ProcessarAereo&lt;-ProcessarItemFila[b]"/>
    <x v="483"/>
    <d v="2025-02-17T10:49:00"/>
    <s v="CLIENTE"/>
    <x v="12"/>
    <s v=""/>
    <s v="QUALIDADE DOS DADOS"/>
    <x v="1"/>
    <n v="24"/>
  </r>
  <r>
    <s v="SABRE"/>
    <m/>
    <x v="2"/>
    <n v="3249148"/>
    <x v="2"/>
    <d v="2025-02-17T06:43:00"/>
    <s v="URNYEQ"/>
    <s v="URNYEQ"/>
    <s v="Não localizado cliente com CNPJ [JTIPROCESSADORA].&lt;-ObterCliente&lt;-MontarPnrBase&lt;-ProcessarAereo&lt;-ProcessarItemFila[b]"/>
    <x v="483"/>
    <d v="2025-02-17T09:48:00"/>
    <s v="CLIENTE"/>
    <x v="12"/>
    <s v=""/>
    <s v="QUALIDADE DOS DADOS"/>
    <x v="1"/>
    <n v="24"/>
  </r>
  <r>
    <s v="RESOLVIDO"/>
    <m/>
    <x v="1"/>
    <n v="3249149"/>
    <x v="2"/>
    <d v="2025-03-07T17:41:00"/>
    <s v="FXNLYW"/>
    <s v="FXNLYW"/>
    <s v="Verificando Trechos - Excluindo Trechos - Could not convert variant of type (Null) into type (OleStr)"/>
    <x v="483"/>
    <d v="2025-03-07T20:54:00"/>
    <s v="OUTROS"/>
    <x v="11"/>
    <s v=""/>
    <s v="SISTEMA"/>
    <x v="0"/>
    <s v="COLUNA I"/>
  </r>
  <r>
    <s v="SABRE"/>
    <m/>
    <x v="2"/>
    <n v="3249153"/>
    <x v="2"/>
    <d v="2025-02-14T18:22:00"/>
    <s v="QWAVQA"/>
    <s v="QWAVQA"/>
    <s v="Código de cliente não identificado&lt;-ObterCliente&lt;-MontarPnrBase&lt;-ProcessarAereo&lt;-ProcessarItemFila[b]"/>
    <x v="484"/>
    <m/>
    <s v="CLIENTE"/>
    <x v="14"/>
    <s v="DK DE CLIENTE NÃO PREENCIDO / CLIENTE NÃO CONFIGURADO NO OBT"/>
    <s v="INDEFINIDO"/>
    <x v="1"/>
    <s v="COLUNA I"/>
  </r>
  <r>
    <s v="SABRE"/>
    <m/>
    <x v="2"/>
    <n v="3249479"/>
    <x v="2"/>
    <d v="2025-02-17T06:32:00"/>
    <s v="YEMZUR"/>
    <s v="YEMZUR"/>
    <s v="Não localizado cliente código [0000068777].&lt;-ObterCliente&lt;-MontarPnrBase&lt;-ProcessarAereo&lt;-ProcessarItemFila[b]"/>
    <x v="485"/>
    <m/>
    <s v="CLIENTE"/>
    <x v="13"/>
    <s v="CÓDIGO DIFERENTE DO CADASTRADO NO BENNER (CLIENTE X GRUPO)"/>
    <s v="QUALIDADE DOS DADOS"/>
    <x v="0"/>
    <n v="1"/>
  </r>
  <r>
    <s v="SABRE"/>
    <m/>
    <x v="2"/>
    <n v="3249534"/>
    <x v="2"/>
    <d v="2025-02-17T12:05:00"/>
    <s v="JLUORM"/>
    <s v="JLUORM"/>
    <s v="Não localizado cliente código [0000035945].&lt;-ObterCliente&lt;-MontarPnrBase&lt;-ProcessarAereo&lt;-ProcessarItemFila[b]"/>
    <x v="486"/>
    <d v="2025-02-17T15:22:00"/>
    <s v="CLIENTE"/>
    <x v="13"/>
    <s v="CÓDIGO DIFERENTE DO CADASTRADO NO BENNER (CLIENTE X GRUPO)"/>
    <s v="QUALIDADE DOS DADOS"/>
    <x v="0"/>
    <n v="1"/>
  </r>
  <r>
    <s v="SABRE"/>
    <m/>
    <x v="2"/>
    <n v="3249543"/>
    <x v="2"/>
    <d v="2025-02-17T12:05:00"/>
    <s v="YOSPEB"/>
    <s v="YOSPEB"/>
    <s v="Não localizado cliente código [0000035945].&lt;-ObterCliente&lt;-MontarPnrBase&lt;-ProcessarAereo&lt;-ProcessarItemFila[b]"/>
    <x v="487"/>
    <d v="2025-02-17T15:22:00"/>
    <s v="CLIENTE"/>
    <x v="13"/>
    <s v="CÓDIGO DIFERENTE DO CADASTRADO NO BENNER (CLIENTE X GRUPO)"/>
    <s v="QUALIDADE DOS DADOS"/>
    <x v="0"/>
    <n v="1"/>
  </r>
  <r>
    <s v="SABRE"/>
    <m/>
    <x v="2"/>
    <n v="3249544"/>
    <x v="2"/>
    <d v="2025-02-17T12:05:00"/>
    <s v="GGPDNR"/>
    <s v="GGPDNR"/>
    <s v="Não localizado cliente código [0000035945].&lt;-ObterCliente&lt;-MontarPnrBase&lt;-ProcessarAereo&lt;-ProcessarItemFila[b]"/>
    <x v="487"/>
    <d v="2025-02-17T15:22:00"/>
    <s v="CLIENTE"/>
    <x v="13"/>
    <s v="CÓDIGO DIFERENTE DO CADASTRADO NO BENNER (CLIENTE X GRUPO)"/>
    <s v="QUALIDADE DOS DADOS"/>
    <x v="0"/>
    <n v="1"/>
  </r>
  <r>
    <s v="SABRE"/>
    <m/>
    <x v="2"/>
    <n v="3249545"/>
    <x v="2"/>
    <d v="2025-02-17T07:25:00"/>
    <s v="QWDQJX"/>
    <s v="QWDQJX"/>
    <s v="Não localizado cliente código [0000035945].&lt;-ObterCliente&lt;-MontarPnrBase&lt;-ProcessarAereo&lt;-ProcessarItemFila[b]"/>
    <x v="487"/>
    <m/>
    <s v="CLIENTE"/>
    <x v="13"/>
    <s v="CÓDIGO DIFERENTE DO CADASTRADO NO BENNER (CLIENTE X GRUPO)"/>
    <s v="QUALIDADE DOS DADOS"/>
    <x v="0"/>
    <n v="1"/>
  </r>
  <r>
    <s v="SABRE"/>
    <m/>
    <x v="2"/>
    <n v="3249546"/>
    <x v="2"/>
    <d v="2025-02-17T12:05:00"/>
    <s v="EVPVJF"/>
    <s v="EVPVJF"/>
    <s v="Não localizado cliente código [0000035945].&lt;-ObterCliente&lt;-MontarPnrBase&lt;-ProcessarAereo&lt;-ProcessarItemFila[b]"/>
    <x v="487"/>
    <d v="2025-02-17T15:20:00"/>
    <s v="CLIENTE"/>
    <x v="13"/>
    <s v="CÓDIGO DIFERENTE DO CADASTRADO NO BENNER (CLIENTE X GRUPO)"/>
    <s v="QUALIDADE DOS DADOS"/>
    <x v="0"/>
    <n v="1"/>
  </r>
  <r>
    <s v="SABRE"/>
    <m/>
    <x v="2"/>
    <n v="3249547"/>
    <x v="2"/>
    <d v="2025-02-17T12:05:00"/>
    <s v="YRETYI"/>
    <s v="YRETYI"/>
    <s v="Não localizado cliente código [0000035945].&lt;-ObterCliente&lt;-MontarPnrBase&lt;-ProcessarAereo&lt;-ProcessarItemFila[b]"/>
    <x v="487"/>
    <d v="2025-02-17T15:21:00"/>
    <s v="CLIENTE"/>
    <x v="13"/>
    <s v="CÓDIGO DIFERENTE DO CADASTRADO NO BENNER (CLIENTE X GRUPO)"/>
    <s v="QUALIDADE DOS DADOS"/>
    <x v="0"/>
    <n v="1"/>
  </r>
  <r>
    <s v="SABRE"/>
    <m/>
    <x v="2"/>
    <n v="3249548"/>
    <x v="2"/>
    <d v="2025-02-17T12:05:00"/>
    <s v="SLJROX"/>
    <s v="SLJROX"/>
    <s v="Não localizado cliente código [0000035945].&lt;-ObterCliente&lt;-MontarPnrBase&lt;-ProcessarAereo&lt;-ProcessarItemFila[b]"/>
    <x v="487"/>
    <d v="2025-02-17T15:21:00"/>
    <s v="CLIENTE"/>
    <x v="13"/>
    <s v="CÓDIGO DIFERENTE DO CADASTRADO NO BENNER (CLIENTE X GRUPO)"/>
    <s v="QUALIDADE DOS DADOS"/>
    <x v="0"/>
    <n v="1"/>
  </r>
  <r>
    <s v="SABRE"/>
    <m/>
    <x v="2"/>
    <n v="3249549"/>
    <x v="2"/>
    <d v="2025-02-17T12:05:00"/>
    <s v="SIVDEA"/>
    <s v="SIVDEA"/>
    <s v="Não localizado cliente código [0000035945].&lt;-ObterCliente&lt;-MontarPnrBase&lt;-ProcessarAereo&lt;-ProcessarItemFila[b]"/>
    <x v="487"/>
    <d v="2025-02-17T15:21:00"/>
    <s v="CLIENTE"/>
    <x v="13"/>
    <s v="CÓDIGO DIFERENTE DO CADASTRADO NO BENNER (CLIENTE X GRUPO)"/>
    <s v="QUALIDADE DOS DADOS"/>
    <x v="0"/>
    <n v="1"/>
  </r>
  <r>
    <s v="SABRE"/>
    <m/>
    <x v="2"/>
    <n v="3249550"/>
    <x v="2"/>
    <d v="2025-02-17T12:05:00"/>
    <s v="YIGVHL"/>
    <s v="YIGVHL"/>
    <s v="Não localizado cliente código [0000035945].&lt;-ObterCliente&lt;-MontarPnrBase&lt;-ProcessarAereo&lt;-ProcessarItemFila[b]"/>
    <x v="487"/>
    <d v="2025-02-17T15:22:00"/>
    <s v="CLIENTE"/>
    <x v="13"/>
    <s v="CÓDIGO DIFERENTE DO CADASTRADO NO BENNER (CLIENTE X GRUPO)"/>
    <s v="QUALIDADE DOS DADOS"/>
    <x v="0"/>
    <n v="1"/>
  </r>
  <r>
    <s v="RESOLVIDO"/>
    <m/>
    <x v="1"/>
    <n v="3249560"/>
    <x v="2"/>
    <d v="2025-02-17T12:05:00"/>
    <s v="SLWODO"/>
    <s v="SLWODO"/>
    <s v="Inserindo Accounting - (ExecSQL) - Could not convert variant of type (Null) into type (OleStr)"/>
    <x v="488"/>
    <d v="2025-02-17T15:22:00"/>
    <s v="OUTROS"/>
    <x v="11"/>
    <s v=""/>
    <s v="SISTEMA"/>
    <x v="0"/>
    <s v="COLUNA I"/>
  </r>
  <r>
    <s v="SABRE"/>
    <m/>
    <x v="2"/>
    <n v="3249600"/>
    <x v="2"/>
    <d v="2025-02-17T07:47:00"/>
    <s v="USEUZL"/>
    <s v="USEUZL"/>
    <s v="Não localizado cliente código [0000050269].&lt;-ObterCliente&lt;-MontarPnrBase&lt;-ProcessarAereo&lt;-ProcessarItemFila[b]"/>
    <x v="489"/>
    <m/>
    <s v="CLIENTE"/>
    <x v="13"/>
    <s v="CÓDIGO DIFERENTE DO CADASTRADO NO BENNER (CLIENTE X GRUPO)"/>
    <s v="QUALIDADE DOS DADOS"/>
    <x v="0"/>
    <n v="1"/>
  </r>
  <r>
    <s v="SABRE"/>
    <m/>
    <x v="2"/>
    <n v="3249601"/>
    <x v="2"/>
    <d v="2025-02-17T07:47:00"/>
    <s v="USEUZLT"/>
    <s v="USEUZL"/>
    <s v="Não localizado cliente código [0000050269].&lt;-ObterCliente&lt;-MontarPnrBase&lt;-MontarPnr&lt;-ProcessarHotel&lt;-ProcessarItemFila[b]"/>
    <x v="489"/>
    <m/>
    <s v="CLIENTE"/>
    <x v="13"/>
    <s v="CÓDIGO DIFERENTE DO CADASTRADO NO BENNER (CLIENTE X GRUPO)"/>
    <s v="QUALIDADE DOS DADOS"/>
    <x v="0"/>
    <n v="1"/>
  </r>
  <r>
    <s v="SABRE"/>
    <m/>
    <x v="2"/>
    <n v="3249761"/>
    <x v="2"/>
    <d v="2025-02-17T10:20:00"/>
    <s v="KKAMPO"/>
    <s v="KKAMPO"/>
    <s v="Código de cliente não identificado&lt;-ObterCliente&lt;-MontarPnrBase&lt;-ProcessarAereo&lt;-ProcessarItemFila[b]"/>
    <x v="490"/>
    <m/>
    <s v="CLIENTE"/>
    <x v="14"/>
    <s v="DK DE CLIENTE NÃO PREENCIDO / CLIENTE NÃO CONFIGURADO NO OBT"/>
    <s v="INDEFINIDO"/>
    <x v="1"/>
    <s v="COLUNA I"/>
  </r>
  <r>
    <s v="SABRE"/>
    <m/>
    <x v="2"/>
    <n v="3250280"/>
    <x v="2"/>
    <d v="2025-02-21T09:29:00"/>
    <s v="MAMCPR"/>
    <s v="MAMCPR"/>
    <s v="Não localizado cliente código [0000583831].&lt;-ObterCliente&lt;-MontarPnrBase&lt;-ProcessarAereo&lt;-ProcessarItemFila[b]"/>
    <x v="491"/>
    <d v="2025-02-21T12:32:00"/>
    <s v="CLIENTE"/>
    <x v="13"/>
    <s v="CÓDIGO DIFERENTE DO CADASTRADO NO BENNER (CLIENTE X GRUPO)"/>
    <s v="QUALIDADE DOS DADOS"/>
    <x v="0"/>
    <n v="1"/>
  </r>
  <r>
    <s v="SABRE"/>
    <m/>
    <x v="2"/>
    <n v="3250289"/>
    <x v="2"/>
    <d v="2025-02-17T12:05:00"/>
    <s v="KWNJXG"/>
    <s v="KWNJXG"/>
    <s v="Não localizado cliente código [0000583808].&lt;-ObterCliente&lt;-MontarPnrBase&lt;-ProcessarAereo&lt;-ProcessarItemFila[b]"/>
    <x v="492"/>
    <m/>
    <s v="CLIENTE"/>
    <x v="13"/>
    <s v="CÓDIGO DIFERENTE DO CADASTRADO NO BENNER (CLIENTE X GRUPO)"/>
    <s v="QUALIDADE DOS DADOS"/>
    <x v="0"/>
    <n v="1"/>
  </r>
  <r>
    <s v="SABRE"/>
    <m/>
    <x v="2"/>
    <n v="3250291"/>
    <x v="2"/>
    <d v="2025-02-17T12:05:00"/>
    <s v="WITHBK"/>
    <s v="WITHBK"/>
    <s v="Não localizado cliente código [0000286569].&lt;-ObterCliente&lt;-MontarPnrBase&lt;-ProcessarAereo&lt;-ProcessarItemFila[b]"/>
    <x v="493"/>
    <m/>
    <s v="CLIENTE"/>
    <x v="13"/>
    <s v="CÓDIGO DIFERENTE DO CADASTRADO NO BENNER (CLIENTE X GRUPO)"/>
    <s v="QUALIDADE DOS DADOS"/>
    <x v="0"/>
    <n v="1"/>
  </r>
  <r>
    <s v="SABRE"/>
    <m/>
    <x v="2"/>
    <n v="3250713"/>
    <x v="2"/>
    <d v="2025-02-18T09:08:00"/>
    <s v="JYPNBE"/>
    <s v="JYPNBE"/>
    <s v="Não localizado cliente código [0004220155].&lt;-ObterCliente&lt;-MontarPnrBase&lt;-ProcessarAereo&lt;-ProcessarItemFila[b]"/>
    <x v="494"/>
    <d v="2025-02-18T12:19:00"/>
    <s v="CLIENTE"/>
    <x v="13"/>
    <s v="CÓDIGO DIFERENTE DO CADASTRADO NO BENNER (CLIENTE X GRUPO)"/>
    <s v="QUALIDADE DOS DADOS"/>
    <x v="0"/>
    <n v="1"/>
  </r>
  <r>
    <s v="SABRE"/>
    <m/>
    <x v="2"/>
    <n v="3250730"/>
    <x v="2"/>
    <d v="2025-02-17T14:54:00"/>
    <s v="DHQJBE"/>
    <s v="DHQJBE"/>
    <s v="Código de cliente não identificado&lt;-ObterCliente&lt;-MontarPnrBase&lt;-ProcessarAereo&lt;-ProcessarItemFila[b]"/>
    <x v="495"/>
    <m/>
    <s v="CLIENTE"/>
    <x v="14"/>
    <s v="DK DE CLIENTE NÃO PREENCIDO / CLIENTE NÃO CONFIGURADO NO OBT"/>
    <s v="INDEFINIDO"/>
    <x v="1"/>
    <s v="COLUNA I"/>
  </r>
  <r>
    <s v="SABRE"/>
    <m/>
    <x v="2"/>
    <n v="3250754"/>
    <x v="2"/>
    <d v="2025-02-17T15:29:00"/>
    <s v="NLQKDQ"/>
    <s v="NLQKDQ"/>
    <s v="Não localizado cliente com CNPJ [357038000116].&lt;-ObterCliente&lt;-MontarPnrBase&lt;-ProcessarAereo&lt;-ProcessarItemFila[b]"/>
    <x v="496"/>
    <m/>
    <s v="CLIENTE"/>
    <x v="12"/>
    <s v=""/>
    <e v="#N/A"/>
    <x v="1"/>
    <n v="24"/>
  </r>
  <r>
    <s v="SABRE"/>
    <m/>
    <x v="2"/>
    <n v="3250768"/>
    <x v="2"/>
    <d v="2025-02-17T15:41:00"/>
    <s v="UABCUX"/>
    <s v="UABCUX"/>
    <s v="Não localizado cliente com CNPJ [357038000116].&lt;-ObterCliente&lt;-MontarPnrBase&lt;-ProcessarAereo&lt;-ProcessarItemFila[b]"/>
    <x v="497"/>
    <m/>
    <s v="CLIENTE"/>
    <x v="12"/>
    <s v=""/>
    <e v="#N/A"/>
    <x v="1"/>
    <n v="24"/>
  </r>
  <r>
    <s v="SABRE"/>
    <m/>
    <x v="2"/>
    <n v="3250769"/>
    <x v="2"/>
    <d v="2025-02-17T15:41:00"/>
    <s v="UABCUXT"/>
    <s v="UABCUX"/>
    <s v="Não localizado cliente com CNPJ [357038000116].&lt;-ObterCliente&lt;-MontarPnrBase&lt;-MontarPnr&lt;-ProcessarHotel&lt;-ProcessarItemFila[b]"/>
    <x v="497"/>
    <m/>
    <s v="CLIENTE"/>
    <x v="12"/>
    <s v=""/>
    <e v="#N/A"/>
    <x v="1"/>
    <n v="24"/>
  </r>
  <r>
    <s v="SABRE"/>
    <m/>
    <x v="2"/>
    <n v="3250791"/>
    <x v="2"/>
    <d v="2025-02-17T15:50:00"/>
    <s v="LHUMDA"/>
    <s v="LHUMDA"/>
    <s v="Não localizado cliente com CNPJ [2016507000169].&lt;-ObterCliente&lt;-MontarPnrBase&lt;-ProcessarAereo&lt;-ProcessarItemFila[b]"/>
    <x v="498"/>
    <m/>
    <s v="CLIENTE"/>
    <x v="12"/>
    <s v=""/>
    <s v="QUALIDADE DOS DADOS"/>
    <x v="1"/>
    <n v="24"/>
  </r>
  <r>
    <s v="SABRE"/>
    <m/>
    <x v="2"/>
    <n v="3250792"/>
    <x v="2"/>
    <d v="2025-02-17T15:50:00"/>
    <s v="LHUMDAT"/>
    <s v="LHUMDA"/>
    <s v="Não localizado cliente com CNPJ [2016507000169].&lt;-ObterCliente&lt;-MontarPnrBase&lt;-MontarPnr&lt;-ProcessarHotel&lt;-ProcessarItemFila[b]"/>
    <x v="499"/>
    <m/>
    <s v="CLIENTE"/>
    <x v="12"/>
    <s v=""/>
    <e v="#N/A"/>
    <x v="1"/>
    <n v="24"/>
  </r>
  <r>
    <s v="SABRE"/>
    <m/>
    <x v="2"/>
    <n v="3250793"/>
    <x v="2"/>
    <d v="2025-02-17T15:50:00"/>
    <s v="LHUMDAC"/>
    <s v="LHUMDA"/>
    <s v="Não localizado cliente com CNPJ [2016507000169].&lt;-ObterCliente&lt;-MontarPnrBase&lt;-MontarPnr&lt;-ProcessarCarro&lt;-ProcessarItemFila[b]"/>
    <x v="499"/>
    <m/>
    <s v="CLIENTE"/>
    <x v="12"/>
    <s v=""/>
    <e v="#N/A"/>
    <x v="1"/>
    <n v="24"/>
  </r>
  <r>
    <s v="SABRE"/>
    <m/>
    <x v="2"/>
    <n v="3251407"/>
    <x v="2"/>
    <d v="2025-02-18T07:39:00"/>
    <s v="LWXQNR"/>
    <s v="LWXQNR"/>
    <s v="Não localizado cliente com CNPJ [JTI PROCESSADORA].&lt;-ObterCliente&lt;-MontarPnrBase&lt;-ProcessarAereo&lt;-ProcessarItemFila[b]"/>
    <x v="500"/>
    <d v="2025-02-18T10:49:00"/>
    <s v="CLIENTE"/>
    <x v="12"/>
    <s v=""/>
    <s v="QUALIDADE DOS DADOS"/>
    <x v="1"/>
    <n v="24"/>
  </r>
  <r>
    <s v="SABRE"/>
    <m/>
    <x v="2"/>
    <n v="3251413"/>
    <x v="2"/>
    <d v="2025-02-18T07:40:00"/>
    <s v="LWHUVH"/>
    <s v="LWHUVH"/>
    <s v="Não localizado cliente com CNPJ [JTI PROCESSADORA].&lt;-ObterCliente&lt;-MontarPnrBase&lt;-ProcessarAereo&lt;-ProcessarItemFila[b]"/>
    <x v="500"/>
    <d v="2025-02-18T10:49:00"/>
    <s v="CLIENTE"/>
    <x v="12"/>
    <s v=""/>
    <e v="#N/A"/>
    <x v="1"/>
    <n v="24"/>
  </r>
  <r>
    <s v="SABRE"/>
    <m/>
    <x v="2"/>
    <n v="3251422"/>
    <x v="2"/>
    <d v="2025-02-18T07:40:00"/>
    <s v="AQFEWZ"/>
    <s v="AQFEWZ"/>
    <s v="Não localizado cliente com CNPJ [JTI PROCESSAODORA].&lt;-ObterCliente&lt;-MontarPnrBase&lt;-ProcessarAereo&lt;-ProcessarItemFila[b]"/>
    <x v="501"/>
    <d v="2025-02-18T10:50:00"/>
    <s v="CLIENTE"/>
    <x v="12"/>
    <s v=""/>
    <e v="#N/A"/>
    <x v="1"/>
    <n v="24"/>
  </r>
  <r>
    <s v="SABRE"/>
    <m/>
    <x v="2"/>
    <n v="3251425"/>
    <x v="2"/>
    <d v="2025-02-25T06:27:00"/>
    <s v="GVGWNU"/>
    <s v="GVGWNU"/>
    <s v="Não localizado cliente código [0004224627].&lt;-ObterCliente&lt;-MontarPnrBase&lt;-ProcessarAereo&lt;-ProcessarItemFila[b]"/>
    <x v="501"/>
    <d v="2025-02-25T09:48:00"/>
    <s v="CLIENTE"/>
    <x v="13"/>
    <s v="CÓDIGO DIFERENTE DO CADASTRADO NO BENNER (CLIENTE X GRUPO)"/>
    <s v="QUALIDADE DOS DADOS"/>
    <x v="0"/>
    <n v="1"/>
  </r>
  <r>
    <s v="SABRE"/>
    <m/>
    <x v="2"/>
    <n v="3251436"/>
    <x v="2"/>
    <d v="2025-02-18T07:40:00"/>
    <s v="YRGZIH"/>
    <s v="YRGZIH"/>
    <s v="Não localizado cliente com CNPJ [JTI PROCESSAODORA].&lt;-ObterCliente&lt;-MontarPnrBase&lt;-ProcessarAereo&lt;-ProcessarItemFila[b]"/>
    <x v="502"/>
    <d v="2025-02-18T10:50:00"/>
    <s v="CLIENTE"/>
    <x v="12"/>
    <s v=""/>
    <e v="#N/A"/>
    <x v="1"/>
    <n v="24"/>
  </r>
  <r>
    <s v="SABRE"/>
    <m/>
    <x v="2"/>
    <n v="3251452"/>
    <x v="2"/>
    <d v="2025-02-17T18:29:00"/>
    <s v="ANUDNH"/>
    <s v="ANUDNH"/>
    <s v="Código de cliente não identificado&lt;-ObterCliente&lt;-MontarPnrBase&lt;-ProcessarAereo&lt;-ProcessarItemFila[b]"/>
    <x v="503"/>
    <m/>
    <s v="CLIENTE"/>
    <x v="14"/>
    <s v="DK DE CLIENTE NÃO PREENCIDO / CLIENTE NÃO CONFIGURADO NO OBT"/>
    <s v="INDEFINIDO"/>
    <x v="1"/>
    <s v="COLUNA I"/>
  </r>
  <r>
    <s v="SABRE"/>
    <m/>
    <x v="2"/>
    <n v="3251454"/>
    <x v="2"/>
    <d v="2025-02-17T18:29:00"/>
    <s v="HZITWL"/>
    <s v="HZITWL"/>
    <s v="Não localizado cliente código [0000026561].&lt;-ObterCliente&lt;-MontarPnrBase&lt;-ProcessarAereo&lt;-ProcessarItemFila[b]"/>
    <x v="503"/>
    <m/>
    <s v="CLIENTE"/>
    <x v="13"/>
    <s v="CÓDIGO DIFERENTE DO CADASTRADO NO BENNER (CLIENTE X GRUPO)"/>
    <s v="QUALIDADE DOS DADOS"/>
    <x v="0"/>
    <n v="1"/>
  </r>
  <r>
    <s v="SABRE"/>
    <m/>
    <x v="2"/>
    <n v="3252768"/>
    <x v="2"/>
    <d v="2025-02-18T08:36:00"/>
    <s v="MNHWCOT"/>
    <s v="MNHWCO"/>
    <s v="ConverterPagamentosRemark-&gt;Input string was not in a correct format.&lt;-MontarAccountinsHotel&lt;-ProcessarHotel&lt;-ProcessarItemFila[b]"/>
    <x v="504"/>
    <d v="2025-02-18T11:51:00"/>
    <s v="FORMA PAGAMENTO/RECEB"/>
    <x v="2"/>
    <s v="TEXTO FORA DO PADRÃO ACEITO NO CAMPO"/>
    <s v="INDEFINIDO"/>
    <x v="0"/>
    <s v="COLUNA I"/>
  </r>
  <r>
    <s v="SABRE"/>
    <m/>
    <x v="2"/>
    <n v="3252792"/>
    <x v="2"/>
    <d v="2025-02-18T08:36:00"/>
    <s v="YQAFTIT"/>
    <s v="YQAFTI"/>
    <s v="ConverterPagamentosRemark-&gt;Input string was not in a correct format.&lt;-MontarAccountinsHotel&lt;-ProcessarHotel&lt;-ProcessarItemFila[b]"/>
    <x v="505"/>
    <m/>
    <s v="FORMA PAGAMENTO/RECEB"/>
    <x v="2"/>
    <s v="TEXTO FORA DO PADRÃO ACEITO NO CAMPO"/>
    <s v="INDEFINIDO"/>
    <x v="0"/>
    <s v="COLUNA I"/>
  </r>
  <r>
    <s v="SABRE"/>
    <m/>
    <x v="2"/>
    <n v="3254373"/>
    <x v="2"/>
    <d v="2025-02-18T16:14:00"/>
    <s v="HPBPUWT"/>
    <s v="HPBPUW"/>
    <s v="ConverterPagamentosRemark-&gt;Input string was not in a correct format.&lt;-MontarAccountinsHotel&lt;-ProcessarHotel&lt;-ProcessarItemFila[b]"/>
    <x v="506"/>
    <m/>
    <s v="FORMA PAGAMENTO/RECEB"/>
    <x v="2"/>
    <s v="TEXTO FORA DO PADRÃO ACEITO NO CAMPO"/>
    <s v="INDEFINIDO"/>
    <x v="0"/>
    <s v="COLUNA I"/>
  </r>
  <r>
    <s v="SABRE"/>
    <m/>
    <x v="2"/>
    <n v="3255177"/>
    <x v="2"/>
    <d v="2025-02-19T05:13:00"/>
    <s v="YRIGMJ"/>
    <s v="YRIGMJ"/>
    <s v="Código de cliente não identificado&lt;-ObterCliente&lt;-MontarPnrBase&lt;-ProcessarAereo&lt;-ProcessarItemFila[b]"/>
    <x v="507"/>
    <m/>
    <s v="CLIENTE"/>
    <x v="14"/>
    <s v="DK DE CLIENTE NÃO PREENCIDO / CLIENTE NÃO CONFIGURADO NO OBT"/>
    <s v="INDEFINIDO"/>
    <x v="1"/>
    <s v="COLUNA I"/>
  </r>
  <r>
    <s v="SABRE"/>
    <m/>
    <x v="2"/>
    <n v="3255185"/>
    <x v="2"/>
    <d v="2025-02-19T05:13:00"/>
    <s v="WUCAZJ"/>
    <s v="WUCAZJ"/>
    <s v="Código de cliente não identificado&lt;-ObterCliente&lt;-MontarPnrBase&lt;-ProcessarAereo&lt;-ProcessarItemFila[b]"/>
    <x v="508"/>
    <m/>
    <s v="CLIENTE"/>
    <x v="14"/>
    <s v="DK DE CLIENTE NÃO PREENCIDO / CLIENTE NÃO CONFIGURADO NO OBT"/>
    <s v="INDEFINIDO"/>
    <x v="1"/>
    <s v="COLUNA I"/>
  </r>
  <r>
    <s v="SABRE"/>
    <m/>
    <x v="2"/>
    <n v="3255238"/>
    <x v="2"/>
    <d v="2025-02-19T05:57:00"/>
    <s v="EYQXFA"/>
    <s v="EYQXFA"/>
    <s v="Não localizado cliente código [0000035945].&lt;-ObterCliente&lt;-MontarPnrBase&lt;-ProcessarAereo&lt;-ProcessarItemFila[b]"/>
    <x v="509"/>
    <m/>
    <s v="CLIENTE"/>
    <x v="13"/>
    <s v="CÓDIGO DIFERENTE DO CADASTRADO NO BENNER (CLIENTE X GRUPO)"/>
    <s v="QUALIDADE DOS DADOS"/>
    <x v="0"/>
    <n v="1"/>
  </r>
  <r>
    <s v="SABRE"/>
    <m/>
    <x v="2"/>
    <n v="3255240"/>
    <x v="2"/>
    <d v="2025-02-19T05:57:00"/>
    <s v="UPHYER"/>
    <s v="UPHYER"/>
    <s v="Não localizado cliente código [0000035945].&lt;-ObterCliente&lt;-MontarPnrBase&lt;-ProcessarAereo&lt;-ProcessarItemFila[b]"/>
    <x v="509"/>
    <m/>
    <s v="CLIENTE"/>
    <x v="13"/>
    <s v="CÓDIGO DIFERENTE DO CADASTRADO NO BENNER (CLIENTE X GRUPO)"/>
    <s v="QUALIDADE DOS DADOS"/>
    <x v="0"/>
    <n v="1"/>
  </r>
  <r>
    <s v="RESOLVIDO"/>
    <m/>
    <x v="1"/>
    <n v="3255365"/>
    <x v="2"/>
    <d v="2025-02-18T12:13:00"/>
    <s v="USUXZM"/>
    <s v="USUXZM"/>
    <s v="Inserindo Accounting - (ExecSQL) - Could not convert variant of type (Null) into type (OleStr)"/>
    <x v="510"/>
    <m/>
    <s v="OUTROS"/>
    <x v="11"/>
    <s v=""/>
    <s v="SISTEMA"/>
    <x v="0"/>
    <s v="COLUNA I"/>
  </r>
  <r>
    <s v="SABRE"/>
    <m/>
    <x v="2"/>
    <n v="3255642"/>
    <x v="2"/>
    <d v="2025-02-19T08:57:00"/>
    <s v="SVDIOWT"/>
    <s v="SVDIOW"/>
    <s v="Código de cliente não identificado&lt;-ObterCliente&lt;-MontarPnrBase&lt;-MontarPnr&lt;-ProcessarHotel&lt;-ProcessarItemFila[b]"/>
    <x v="511"/>
    <m/>
    <s v="CLIENTE"/>
    <x v="14"/>
    <s v="DK DE CLIENTE NÃO PREENCIDO / CLIENTE NÃO CONFIGURADO NO OBT"/>
    <s v="INDEFINIDO"/>
    <x v="1"/>
    <s v="COLUNA I"/>
  </r>
  <r>
    <s v="RESOLVIDO"/>
    <m/>
    <x v="1"/>
    <n v="3255762"/>
    <x v="2"/>
    <d v="2025-02-19T10:10:00"/>
    <s v="KVEHVA"/>
    <s v="KVEHVA"/>
    <s v="Inserindo Accounting - (ExecSQL) - Could not convert variant of type (Null) into type (OleStr)"/>
    <x v="512"/>
    <m/>
    <s v="OUTROS"/>
    <x v="11"/>
    <s v=""/>
    <s v="SISTEMA"/>
    <x v="0"/>
    <s v="COLUNA I"/>
  </r>
  <r>
    <s v="RESOLVIDO"/>
    <m/>
    <x v="1"/>
    <n v="3256236"/>
    <x v="2"/>
    <d v="2025-02-20T05:07:00"/>
    <s v="DPBYRV"/>
    <s v="DPBYRV"/>
    <s v="Inserindo Accounting - (ExecSQL) - Could not convert variant of type (Null) into type (OleStr)"/>
    <x v="513"/>
    <d v="2025-02-21T12:17:00"/>
    <s v="OUTROS"/>
    <x v="11"/>
    <s v=""/>
    <s v="SISTEMA"/>
    <x v="0"/>
    <s v="COLUNA I"/>
  </r>
  <r>
    <s v="SABRE"/>
    <m/>
    <x v="2"/>
    <n v="3256240"/>
    <x v="2"/>
    <d v="2025-02-19T15:58:00"/>
    <s v="WFQTFT"/>
    <s v="WFQTFT"/>
    <s v="Não localizado cliente código [0004223565].&lt;-ObterCliente&lt;-MontarPnrBase&lt;-ProcessarAereo&lt;-ProcessarItemFila[b]"/>
    <x v="514"/>
    <m/>
    <s v="CLIENTE"/>
    <x v="13"/>
    <s v="CÓDIGO DIFERENTE DO CADASTRADO NO BENNER (CLIENTE X GRUPO)"/>
    <s v="QUALIDADE DOS DADOS"/>
    <x v="0"/>
    <n v="1"/>
  </r>
  <r>
    <s v="SABRE"/>
    <m/>
    <x v="2"/>
    <n v="3256265"/>
    <x v="2"/>
    <d v="2025-02-19T17:24:00"/>
    <s v="EXZKLY"/>
    <s v="EXZKLY"/>
    <s v="Código de cliente não identificado&lt;-ObterCliente&lt;-MontarPnrBase&lt;-ProcessarAereo&lt;-ProcessarItemFila[b]"/>
    <x v="515"/>
    <m/>
    <s v="CLIENTE"/>
    <x v="14"/>
    <s v="DK DE CLIENTE NÃO PREENCIDO / CLIENTE NÃO CONFIGURADO NO OBT"/>
    <s v="INDEFINIDO"/>
    <x v="1"/>
    <s v="COLUNA I"/>
  </r>
  <r>
    <s v="TMS"/>
    <m/>
    <x v="2"/>
    <n v="3256658"/>
    <x v="1"/>
    <d v="2025-02-19T12:25:00"/>
    <n v="52704"/>
    <n v="52704"/>
    <s v="Preenchendo XML Serviço-&gt; Preenchendo XML-&gt; Montando accounting aereo 15-&gt;Input string was not in a correct format."/>
    <x v="516"/>
    <d v="2025-02-22T22:17:00"/>
    <s v="OUTROS"/>
    <x v="2"/>
    <s v="TEXTO FORA DO PADRÃO ACEITO NO CAMPO"/>
    <s v="INDEFINIDO"/>
    <x v="0"/>
    <s v="COLUNA I"/>
  </r>
  <r>
    <s v="TMS"/>
    <m/>
    <x v="2"/>
    <n v="3257383"/>
    <x v="1"/>
    <d v="2025-01-09T19:05:00"/>
    <n v="17008"/>
    <n v="17008"/>
    <s v="Verificando Formas Pagto/Rec - (ExecSQL) - Ocorreu o erro 'The UPDATE statement conflicted with the FOREIGN KEY constraint &quot;FK_2929_90669&quot;. The conflict occurred in database &quot;Corporativo&quot;, table &quot;dbo.GN_PESSOAS&quot;, column 'HANDLE'."/>
    <x v="103"/>
    <m/>
    <m/>
    <x v="7"/>
    <s v="ERRO NA IMPORTAÇÃO/MODIFICAÇÃO DAS INFOMAÇÕES"/>
    <s v="SISTEMA"/>
    <x v="2"/>
    <s v="COLUNA I"/>
  </r>
  <r>
    <s v="SABRE"/>
    <m/>
    <x v="2"/>
    <n v="3257723"/>
    <x v="2"/>
    <d v="2025-02-20T09:54:00"/>
    <s v="QWVNCK"/>
    <s v="QWVNCK"/>
    <s v="Não localizado cliente código [0004222573].&lt;-ObterCliente&lt;-MontarPnrBase&lt;-ProcessarAereo&lt;-ProcessarItemFila[b]"/>
    <x v="517"/>
    <m/>
    <s v="CLIENTE"/>
    <x v="13"/>
    <s v="CÓDIGO DIFERENTE DO CADASTRADO NO BENNER (CLIENTE X GRUPO)"/>
    <s v="QUALIDADE DOS DADOS"/>
    <x v="0"/>
    <n v="1"/>
  </r>
  <r>
    <s v="SABRE"/>
    <m/>
    <x v="2"/>
    <n v="3257726"/>
    <x v="2"/>
    <d v="2025-02-21T05:20:00"/>
    <s v="CZPMZC"/>
    <s v="CZPMZC"/>
    <s v="Não localizado cliente código [0123456789].&lt;-ObterCliente&lt;-MontarPnrBase&lt;-ProcessarAereo&lt;-ProcessarItemFila[b]"/>
    <x v="518"/>
    <d v="2025-02-21T08:33:00"/>
    <s v="CLIENTE"/>
    <x v="13"/>
    <s v="CÓDIGO DIFERENTE DO CADASTRADO NO BENNER (CLIENTE X GRUPO)"/>
    <s v="QUALIDADE DOS DADOS"/>
    <x v="0"/>
    <n v="1"/>
  </r>
  <r>
    <s v="SABRE"/>
    <m/>
    <x v="2"/>
    <n v="3257749"/>
    <x v="2"/>
    <d v="2025-02-20T10:01:00"/>
    <s v="ALDUPY"/>
    <s v="ALDUPY"/>
    <s v="Não localizado cliente código [0004224627].&lt;-ObterCliente&lt;-MontarPnrBase&lt;-ProcessarAereo&lt;-ProcessarItemFila[b]"/>
    <x v="519"/>
    <m/>
    <s v="CLIENTE"/>
    <x v="13"/>
    <s v="CÓDIGO DIFERENTE DO CADASTRADO NO BENNER (CLIENTE X GRUPO)"/>
    <s v="QUALIDADE DOS DADOS"/>
    <x v="0"/>
    <n v="1"/>
  </r>
  <r>
    <s v="SABRE"/>
    <m/>
    <x v="2"/>
    <n v="3257793"/>
    <x v="2"/>
    <d v="2025-02-20T11:45:00"/>
    <s v="IKIIOOT"/>
    <s v="IKIIOO"/>
    <s v="ConverterPagamentosRemark-&gt;Input string was not in a correct format.&lt;-MontarAccountinsHotel&lt;-ProcessarHotel&lt;-ProcessarItemFila[b]"/>
    <x v="520"/>
    <m/>
    <s v="FORMA PAGAMENTO/RECEB"/>
    <x v="2"/>
    <s v="TEXTO FORA DO PADRÃO ACEITO NO CAMPO"/>
    <s v="INDEFINIDO"/>
    <x v="0"/>
    <s v="COLUNA I"/>
  </r>
  <r>
    <s v="TMS"/>
    <m/>
    <x v="2"/>
    <n v="3258574"/>
    <x v="1"/>
    <d v="2025-02-20T12:25:00"/>
    <n v="5051"/>
    <n v="5051"/>
    <s v="Preenchendo XML Serviço-&gt; Preenchendo XML-&gt; Montando accounting aereo 3-&gt;Reserva 3MR445 não encontrada para importar assento/bagagem!"/>
    <x v="521"/>
    <d v="2025-02-23T22:36:00"/>
    <s v="OUTROS"/>
    <x v="15"/>
    <s v="CAMPO OBSERVAÇÃO PREENCHIDO INCORRETAMENTE"/>
    <s v="QUALIDADE DOS DADOS"/>
    <x v="1"/>
    <n v="127"/>
  </r>
  <r>
    <s v="SABRE"/>
    <m/>
    <x v="2"/>
    <n v="3259586"/>
    <x v="2"/>
    <d v="2025-02-20T17:11:00"/>
    <s v="JEOZXH"/>
    <s v="JEOZXH"/>
    <s v="Não localizado cliente código [0000583808].&lt;-ObterCliente&lt;-MontarPnrBase&lt;-ProcessarAereo&lt;-ProcessarItemFila[b]"/>
    <x v="522"/>
    <m/>
    <s v="CLIENTE"/>
    <x v="13"/>
    <s v="CÓDIGO DIFERENTE DO CADASTRADO NO BENNER (CLIENTE X GRUPO)"/>
    <s v="QUALIDADE DOS DADOS"/>
    <x v="0"/>
    <n v="1"/>
  </r>
  <r>
    <s v="SABRE"/>
    <m/>
    <x v="2"/>
    <n v="3259587"/>
    <x v="2"/>
    <d v="2025-02-20T17:11:00"/>
    <s v="JQBDUB"/>
    <s v="JQBDUB"/>
    <s v="Código de cliente não identificado&lt;-ObterCliente&lt;-MontarPnrBase&lt;-ProcessarAereo&lt;-ProcessarItemFila[b]"/>
    <x v="522"/>
    <m/>
    <s v="CLIENTE"/>
    <x v="14"/>
    <s v="DK DE CLIENTE NÃO PREENCIDO / CLIENTE NÃO CONFIGURADO NO OBT"/>
    <s v="INDEFINIDO"/>
    <x v="1"/>
    <s v="COLUNA I"/>
  </r>
  <r>
    <s v="SABRE"/>
    <m/>
    <x v="2"/>
    <n v="3259588"/>
    <x v="2"/>
    <d v="2025-02-21T05:18:00"/>
    <s v="QFCPMW"/>
    <s v="QFCPMW"/>
    <s v="Não localizado cliente com CNPJ [9108301000108].&lt;-ObterCliente&lt;-MontarPnrBase&lt;-ProcessarAereo&lt;-ProcessarItemFila[b]"/>
    <x v="523"/>
    <d v="2025-02-21T08:33:00"/>
    <s v="CLIENTE"/>
    <x v="12"/>
    <s v=""/>
    <s v="QUALIDADE DOS DADOS"/>
    <x v="1"/>
    <n v="24"/>
  </r>
  <r>
    <s v="RESOLVIDO"/>
    <m/>
    <x v="1"/>
    <n v="3259853"/>
    <x v="1"/>
    <d v="2025-02-20T18:14:00"/>
    <n v="1053"/>
    <n v="1053"/>
    <s v="Preenchendo XML Serviço-&gt; Preenchendo XML-&gt; Montando accounting aereo 2-&gt;Não foi informado o Localizador do Assento/Bagagem!"/>
    <x v="524"/>
    <d v="2025-02-23T22:41:00"/>
    <s v="OUTROS"/>
    <x v="15"/>
    <s v="CAMPO OBSERVAÇÃO PREENCHIDO INCORRETAMENTE"/>
    <s v="QUALIDADE DOS DADOS"/>
    <x v="1"/>
    <n v="118"/>
  </r>
  <r>
    <s v="SABRE"/>
    <m/>
    <x v="2"/>
    <n v="3260098"/>
    <x v="2"/>
    <d v="2025-02-21T05:17:00"/>
    <s v="CNRUIK"/>
    <s v="CNRUIK"/>
    <s v="Código de cliente não identificado&lt;-ObterCliente&lt;-MontarPnrBase&lt;-ProcessarAereo&lt;-ProcessarItemFila[b]"/>
    <x v="525"/>
    <m/>
    <s v="CLIENTE"/>
    <x v="14"/>
    <s v="DK DE CLIENTE NÃO PREENCIDO / CLIENTE NÃO CONFIGURADO NO OBT"/>
    <s v="INDEFINIDO"/>
    <x v="1"/>
    <s v="COLUNA I"/>
  </r>
  <r>
    <s v="SABRE"/>
    <m/>
    <x v="2"/>
    <n v="3260766"/>
    <x v="2"/>
    <d v="2025-02-24T11:56:00"/>
    <s v="FIKJCN"/>
    <s v="FIKJCN"/>
    <s v="Não localizado cliente código [0004223565].&lt;-ObterCliente&lt;-MontarPnrBase&lt;-ProcessarAereo&lt;-ProcessarItemFila[b]"/>
    <x v="526"/>
    <d v="2025-02-24T15:03:00"/>
    <s v="CLIENTE"/>
    <x v="13"/>
    <s v="CÓDIGO DIFERENTE DO CADASTRADO NO BENNER (CLIENTE X GRUPO)"/>
    <s v="QUALIDADE DOS DADOS"/>
    <x v="0"/>
    <n v="1"/>
  </r>
  <r>
    <s v="SABRE"/>
    <m/>
    <x v="2"/>
    <n v="3260784"/>
    <x v="2"/>
    <d v="2025-02-21T09:29:00"/>
    <s v="NLKYTN"/>
    <s v="NLKYTN"/>
    <s v="Não localizado cliente com CNPJ [1924579000141].&lt;-ObterCliente&lt;-MontarPnrBase&lt;-ProcessarAereo&lt;-ProcessarItemFila[b]"/>
    <x v="527"/>
    <m/>
    <s v="CLIENTE"/>
    <x v="12"/>
    <s v=""/>
    <s v="QUALIDADE DOS DADOS"/>
    <x v="1"/>
    <n v="24"/>
  </r>
  <r>
    <s v="SABRE"/>
    <m/>
    <x v="2"/>
    <n v="3260926"/>
    <x v="2"/>
    <d v="2025-02-21T10:54:00"/>
    <s v="AHCRLF"/>
    <s v="AHCRLF"/>
    <s v="Código de cliente não identificado&lt;-ObterCliente&lt;-MontarPnrBase&lt;-ProcessarAereo&lt;-ProcessarItemFila[b]"/>
    <x v="528"/>
    <m/>
    <s v="CLIENTE"/>
    <x v="14"/>
    <s v="DK DE CLIENTE NÃO PREENCIDO / CLIENTE NÃO CONFIGURADO NO OBT"/>
    <s v="INDEFINIDO"/>
    <x v="1"/>
    <s v="COLUNA I"/>
  </r>
  <r>
    <s v="SABRE"/>
    <m/>
    <x v="2"/>
    <n v="3260945"/>
    <x v="2"/>
    <d v="2025-02-21T10:54:00"/>
    <s v="HNUIXI"/>
    <s v="HNUIXI"/>
    <s v="Não localizado cliente código [0000583808].&lt;-ObterCliente&lt;-MontarPnrBase&lt;-ProcessarAereo&lt;-ProcessarItemFila[b]"/>
    <x v="529"/>
    <m/>
    <s v="CLIENTE"/>
    <x v="13"/>
    <s v="CÓDIGO DIFERENTE DO CADASTRADO NO BENNER (CLIENTE X GRUPO)"/>
    <s v="QUALIDADE DOS DADOS"/>
    <x v="0"/>
    <n v="1"/>
  </r>
  <r>
    <s v="SABRE"/>
    <m/>
    <x v="2"/>
    <n v="3260963"/>
    <x v="2"/>
    <d v="2025-02-21T11:16:00"/>
    <s v="GCAMSUT"/>
    <s v="GCAMSU"/>
    <s v="Não localizado cliente código [HA02000504].&lt;-ObterCliente&lt;-MontarPnrBase&lt;-MontarPnr&lt;-ProcessarHotel&lt;-ProcessarItemFila[b]"/>
    <x v="530"/>
    <m/>
    <s v="CLIENTE"/>
    <x v="13"/>
    <s v="CÓDIGO DIFERENTE DO CADASTRADO NO BENNER (CLIENTE X GRUPO)"/>
    <s v="QUALIDADE DOS DADOS"/>
    <x v="0"/>
    <n v="1"/>
  </r>
  <r>
    <s v="TMS"/>
    <m/>
    <x v="2"/>
    <n v="3261825"/>
    <x v="1"/>
    <d v="2025-02-21T10:32:00"/>
    <n v="3002"/>
    <n v="3002"/>
    <s v="Preenchendo XML Serviço-&gt; Preenchendo XML-&gt; Montando accounting aereo 2-&gt;Não foi informado o Localizador do Assento/Bagagem!"/>
    <x v="531"/>
    <d v="2025-02-24T23:13:00"/>
    <s v="OUTROS"/>
    <x v="15"/>
    <s v="CAMPO OBSERVAÇÃO PREENCHIDO INCORRETAMENTE"/>
    <s v="QUALIDADE DOS DADOS"/>
    <x v="1"/>
    <n v="118"/>
  </r>
  <r>
    <s v="SABRE"/>
    <m/>
    <x v="2"/>
    <n v="3262221"/>
    <x v="2"/>
    <d v="2025-02-21T15:14:00"/>
    <s v="YLCCRMT"/>
    <s v="YLCCRM"/>
    <s v="Verificando Formas Pagto/Rec - (ExecSQL) - TurVendas - Não foi possível localizar o contrato do fornecedor 49032"/>
    <x v="532"/>
    <m/>
    <s v="FORNECEDOR"/>
    <x v="17"/>
    <s v=""/>
    <s v="QUALIDADE DOS DADOS"/>
    <x v="3"/>
    <n v="56"/>
  </r>
  <r>
    <s v="SABRE"/>
    <m/>
    <x v="2"/>
    <n v="3263625"/>
    <x v="2"/>
    <d v="2025-02-24T07:22:00"/>
    <s v="YJAGFH"/>
    <s v="YJAGFH"/>
    <s v="Não localizado cliente código [0000050269].&lt;-ObterCliente&lt;-MontarPnrBase&lt;-ProcessarAereo&lt;-ProcessarItemFila[b]"/>
    <x v="533"/>
    <m/>
    <s v="CLIENTE"/>
    <x v="13"/>
    <s v="CÓDIGO DIFERENTE DO CADASTRADO NO BENNER (CLIENTE X GRUPO)"/>
    <s v="QUALIDADE DOS DADOS"/>
    <x v="0"/>
    <n v="1"/>
  </r>
  <r>
    <s v="SABRE"/>
    <m/>
    <x v="2"/>
    <n v="3263629"/>
    <x v="2"/>
    <d v="2025-02-24T07:22:00"/>
    <s v="MTIPLY"/>
    <s v="MTIPLY"/>
    <s v="Não localizado cliente código [0004223565].&lt;-ObterCliente&lt;-MontarPnrBase&lt;-ProcessarAereo&lt;-ProcessarItemFila[b]"/>
    <x v="534"/>
    <m/>
    <s v="CLIENTE"/>
    <x v="13"/>
    <s v="CÓDIGO DIFERENTE DO CADASTRADO NO BENNER (CLIENTE X GRUPO)"/>
    <s v="QUALIDADE DOS DADOS"/>
    <x v="0"/>
    <n v="1"/>
  </r>
  <r>
    <s v="SABRE"/>
    <m/>
    <x v="2"/>
    <n v="3263662"/>
    <x v="2"/>
    <d v="2025-02-24T07:22:00"/>
    <s v="HTKYKJ"/>
    <s v="HTKYKJ"/>
    <s v="Não localizado cliente com CNPJ [3334170000109].&lt;-ObterCliente&lt;-MontarPnrBase&lt;-ProcessarAereo&lt;-ProcessarItemFila[b]"/>
    <x v="535"/>
    <m/>
    <s v="CLIENTE"/>
    <x v="12"/>
    <s v=""/>
    <e v="#N/A"/>
    <x v="1"/>
    <n v="24"/>
  </r>
  <r>
    <s v="SABRE"/>
    <m/>
    <x v="2"/>
    <n v="3263693"/>
    <x v="2"/>
    <d v="2025-02-24T07:22:00"/>
    <s v="NKUUUB"/>
    <s v="NKUUUB"/>
    <s v="Não localizado cliente código [1234567890].&lt;-ObterCliente&lt;-MontarPnrBase&lt;-ProcessarAereo&lt;-ProcessarItemFila[b]"/>
    <x v="536"/>
    <m/>
    <s v="CLIENTE"/>
    <x v="13"/>
    <s v="CÓDIGO DIFERENTE DO CADASTRADO NO BENNER (CLIENTE X GRUPO)"/>
    <s v="QUALIDADE DOS DADOS"/>
    <x v="0"/>
    <n v="1"/>
  </r>
  <r>
    <s v="TMS"/>
    <m/>
    <x v="2"/>
    <n v="3263757"/>
    <x v="1"/>
    <d v="2025-02-24T10:14:00"/>
    <n v="54142"/>
    <n v="54142"/>
    <s v="Preenchendo XML Serviço-&gt; Preenchendo XML-&gt; Montando accounting aereo 3-&gt;Reserva 141252 não encontrada para importar assento/bagagem!"/>
    <x v="537"/>
    <d v="2025-02-25T05:02:00"/>
    <s v="OUTROS"/>
    <x v="15"/>
    <s v="CAMPO OBSERVAÇÃO PREENCHIDO INCORRETAMENTE"/>
    <s v="QUALIDADE DOS DADOS"/>
    <x v="1"/>
    <n v="127"/>
  </r>
  <r>
    <s v="SABRE"/>
    <m/>
    <x v="2"/>
    <n v="3264451"/>
    <x v="2"/>
    <d v="2025-02-24T15:16:00"/>
    <s v="NNWMJU"/>
    <s v="NNWMJU"/>
    <s v="Código de cliente não identificado&lt;-ObterCliente&lt;-MontarPnrBase&lt;-ProcessarAereo&lt;-ProcessarItemFila[b]"/>
    <x v="538"/>
    <d v="2025-02-24T18:17:00"/>
    <s v="CLIENTE"/>
    <x v="14"/>
    <s v="DK DE CLIENTE NÃO PREENCIDO / CLIENTE NÃO CONFIGURADO NO OBT"/>
    <s v="INDEFINIDO"/>
    <x v="1"/>
    <s v="COLUNA I"/>
  </r>
  <r>
    <s v="TMS"/>
    <m/>
    <x v="2"/>
    <n v="3266085"/>
    <x v="1"/>
    <d v="2025-02-24T18:28:00"/>
    <n v="25319"/>
    <n v="25319"/>
    <s v="Verificando Anexos - Could not convert variant of type (Null) into type (OleStr)"/>
    <x v="539"/>
    <d v="2025-02-25T05:02:00"/>
    <s v="OUTROS"/>
    <x v="2"/>
    <s v="TEXTO FORA DO PADRÃO ACEITO NO CAMPO"/>
    <s v="INDEFINIDO"/>
    <x v="0"/>
    <s v="COLUNA I"/>
  </r>
  <r>
    <s v="SABRE"/>
    <m/>
    <x v="2"/>
    <n v="3266483"/>
    <x v="2"/>
    <d v="2025-02-25T06:27:00"/>
    <s v="CMCGPE"/>
    <s v="CMCGPE"/>
    <s v="Verificando Anexos - TurVendas - Não foi possível localizar o contrato do fornecedor ID"/>
    <x v="540"/>
    <m/>
    <s v="FORNECEDOR"/>
    <x v="17"/>
    <s v=""/>
    <e v="#N/A"/>
    <x v="3"/>
    <n v="34"/>
  </r>
  <r>
    <s v="SABRE"/>
    <m/>
    <x v="2"/>
    <n v="3266488"/>
    <x v="2"/>
    <d v="2025-02-25T06:27:00"/>
    <s v="DRUJXG"/>
    <s v="DRUJXG"/>
    <s v="Não localizado cliente código [0000072678].&lt;-ObterCliente&lt;-MontarPnrBase&lt;-ProcessarAereo&lt;-ProcessarItemFila[b]"/>
    <x v="541"/>
    <m/>
    <s v="CLIENTE"/>
    <x v="13"/>
    <s v="CÓDIGO DIFERENTE DO CADASTRADO NO BENNER (CLIENTE X GRUPO)"/>
    <s v="QUALIDADE DOS DADOS"/>
    <x v="1"/>
    <n v="1"/>
  </r>
  <r>
    <s v="SABRE"/>
    <m/>
    <x v="2"/>
    <n v="3266493"/>
    <x v="2"/>
    <d v="2025-02-25T06:27:00"/>
    <s v="FKAZGG"/>
    <s v="FKAZGG"/>
    <s v="Não localizado cliente código [0004223565].&lt;-ObterCliente&lt;-MontarPnrBase&lt;-ProcessarAereo&lt;-ProcessarItemFila[b]"/>
    <x v="542"/>
    <m/>
    <s v="CLIENTE"/>
    <x v="13"/>
    <s v="CÓDIGO DIFERENTE DO CADASTRADO NO BENNER (CLIENTE X GRUPO)"/>
    <s v="QUALIDADE DOS DADOS"/>
    <x v="0"/>
    <n v="1"/>
  </r>
  <r>
    <s v="SABRE"/>
    <m/>
    <x v="2"/>
    <n v="3266494"/>
    <x v="2"/>
    <d v="2025-02-25T06:27:00"/>
    <s v="HTMFOF"/>
    <s v="HTMFOF"/>
    <s v="Verificando Anexos - TurVendas - Não foi possível localizar o contrato do fornecedor ID"/>
    <x v="543"/>
    <m/>
    <s v="FORNECEDOR"/>
    <x v="17"/>
    <s v=""/>
    <s v="QUALIDADE DOS DADOS"/>
    <x v="3"/>
    <n v="34"/>
  </r>
  <r>
    <s v="SABRE"/>
    <m/>
    <x v="2"/>
    <n v="3266502"/>
    <x v="2"/>
    <d v="2025-02-25T06:27:00"/>
    <s v="FJEAWQ"/>
    <s v="FJEAWQ"/>
    <s v="Não localizado cliente código [0004224627].&lt;-ObterCliente&lt;-MontarPnrBase&lt;-ProcessarAereo&lt;-ProcessarItemFila[b]"/>
    <x v="544"/>
    <m/>
    <s v="CLIENTE"/>
    <x v="13"/>
    <s v="CÓDIGO DIFERENTE DO CADASTRADO NO BENNER (CLIENTE X GRUPO)"/>
    <s v="QUALIDADE DOS DADOS"/>
    <x v="0"/>
    <n v="1"/>
  </r>
  <r>
    <s v="SABRE"/>
    <m/>
    <x v="2"/>
    <n v="3266507"/>
    <x v="2"/>
    <d v="2025-02-25T06:27:00"/>
    <s v="GOEDJH"/>
    <s v="GOEDJH"/>
    <s v="Código de cliente não identificado&lt;-ObterCliente&lt;-MontarPnrBase&lt;-ProcessarAereo&lt;-ProcessarItemFila[b]"/>
    <x v="545"/>
    <m/>
    <s v="CLIENTE"/>
    <x v="14"/>
    <s v="DK DE CLIENTE NÃO PREENCIDO / CLIENTE NÃO CONFIGURADO NO OBT"/>
    <s v="INDEFINIDO"/>
    <x v="1"/>
    <s v="COLUNA I"/>
  </r>
  <r>
    <s v="SABRE"/>
    <m/>
    <x v="2"/>
    <n v="3266514"/>
    <x v="2"/>
    <d v="2025-02-25T06:27:00"/>
    <s v="CKDSCH"/>
    <s v="CKDSCH"/>
    <s v="Código de cliente não identificado&lt;-ObterCliente&lt;-MontarPnrBase&lt;-ProcessarAereo&lt;-ProcessarItemFila[b]"/>
    <x v="546"/>
    <m/>
    <s v="CLIENTE"/>
    <x v="14"/>
    <s v="DK DE CLIENTE NÃO PREENCIDO / CLIENTE NÃO CONFIGURADO NO OBT"/>
    <s v="INDEFINIDO"/>
    <x v="1"/>
    <s v="COLUNA I"/>
  </r>
  <r>
    <s v="SABRE"/>
    <m/>
    <x v="2"/>
    <n v="3266517"/>
    <x v="2"/>
    <d v="2025-02-25T06:27:00"/>
    <s v="EDKFVS"/>
    <s v="EDKFVS"/>
    <s v="Não localizado cliente código [0004223565].&lt;-ObterCliente&lt;-MontarPnrBase&lt;-ProcessarAereo&lt;-ProcessarItemFila[b]"/>
    <x v="546"/>
    <m/>
    <s v="CLIENTE"/>
    <x v="13"/>
    <s v="CÓDIGO DIFERENTE DO CADASTRADO NO BENNER (CLIENTE X GRUPO)"/>
    <s v="QUALIDADE DOS DADOS"/>
    <x v="0"/>
    <n v="1"/>
  </r>
  <r>
    <s v="SABRE"/>
    <m/>
    <x v="2"/>
    <n v="3266523"/>
    <x v="2"/>
    <d v="2025-02-25T06:27:00"/>
    <s v="MVVDUZ"/>
    <s v="MVVDUZ"/>
    <s v="Código de cliente não identificado&lt;-ObterCliente&lt;-MontarPnrBase&lt;-ProcessarAereo&lt;-ProcessarItemFila[b]"/>
    <x v="547"/>
    <m/>
    <s v="CLIENTE"/>
    <x v="14"/>
    <s v="DK DE CLIENTE NÃO PREENCIDO / CLIENTE NÃO CONFIGURADO NO OBT"/>
    <s v="INDEFINIDO"/>
    <x v="1"/>
    <s v="COLUNA I"/>
  </r>
  <r>
    <s v="SABRE"/>
    <m/>
    <x v="2"/>
    <n v="3266525"/>
    <x v="2"/>
    <d v="2025-02-25T06:27:00"/>
    <s v="HNTILI"/>
    <s v="HNTILI"/>
    <s v="Não localizado cliente código [0004223565].&lt;-ObterCliente&lt;-MontarPnrBase&lt;-ProcessarAereo&lt;-ProcessarItemFila[b]"/>
    <x v="547"/>
    <m/>
    <s v="CLIENTE"/>
    <x v="13"/>
    <s v="CÓDIGO DIFERENTE DO CADASTRADO NO BENNER (CLIENTE X GRUPO)"/>
    <s v="QUALIDADE DOS DADOS"/>
    <x v="0"/>
    <n v="1"/>
  </r>
  <r>
    <s v="SABRE"/>
    <m/>
    <x v="2"/>
    <n v="3266593"/>
    <x v="2"/>
    <d v="2025-02-25T07:03:00"/>
    <s v="HKPTKYT"/>
    <s v="HKPTKY"/>
    <s v="Código de cliente não identificado&lt;-ObterCliente&lt;-MontarPnrBase&lt;-MontarPnr&lt;-ProcessarHotel&lt;-ProcessarItemFila[b]"/>
    <x v="548"/>
    <m/>
    <s v="CLIENTE"/>
    <x v="14"/>
    <s v="DK DE CLIENTE NÃO PREENCIDO / CLIENTE NÃO CONFIGURADO NO OBT"/>
    <s v="INDEFINIDO"/>
    <x v="1"/>
    <s v="COLUNA I"/>
  </r>
  <r>
    <s v="LEMONTECH"/>
    <m/>
    <x v="2"/>
    <n v="3266687"/>
    <x v="3"/>
    <d v="2025-02-25T09:59:00"/>
    <s v="16028724-22311748"/>
    <s v="CMCGPE"/>
    <s v="Inserindo Trecho - Parâmetro Fornecedor - TurVendas - Não foi possível localizar o contrato do fornecedor ID"/>
    <x v="549"/>
    <d v="2025-02-28T10:01:00"/>
    <s v="FORNECEDOR"/>
    <x v="10"/>
    <s v="CONTRATO INATIVO OU DIVERGENTE"/>
    <s v="SISTEMA"/>
    <x v="1"/>
    <n v="55"/>
  </r>
  <r>
    <s v="SABRE"/>
    <m/>
    <x v="2"/>
    <n v="3267303"/>
    <x v="2"/>
    <d v="2025-02-25T09:52:00"/>
    <s v="EGPAXO"/>
    <s v="EGPAXO"/>
    <s v="Não localizado cliente código [0000392619].&lt;-ObterCliente&lt;-MontarPnrBase&lt;-ProcessarAereo&lt;-ProcessarItemFila[b]"/>
    <x v="550"/>
    <m/>
    <s v="CLIENTE"/>
    <x v="13"/>
    <s v="CÓDIGO DIFERENTE DO CADASTRADO NO BENNER (CLIENTE X GRUPO)"/>
    <s v="QUALIDADE DOS DADOS"/>
    <x v="0"/>
    <n v="1"/>
  </r>
  <r>
    <s v="SABRE"/>
    <m/>
    <x v="2"/>
    <n v="3267306"/>
    <x v="2"/>
    <d v="2025-02-25T09:52:00"/>
    <s v="NCGGOV"/>
    <s v="NCGGOV"/>
    <s v="Não localizado cliente código [0000583831].&lt;-ObterCliente&lt;-MontarPnrBase&lt;-ProcessarAereo&lt;-ProcessarItemFila[b]"/>
    <x v="550"/>
    <m/>
    <s v="CLIENTE"/>
    <x v="13"/>
    <s v="CÓDIGO DIFERENTE DO CADASTRADO NO BENNER (CLIENTE X GRUPO)"/>
    <s v="QUALIDADE DOS DADOS"/>
    <x v="0"/>
    <n v="1"/>
  </r>
  <r>
    <s v="SABRE"/>
    <m/>
    <x v="2"/>
    <n v="3267309"/>
    <x v="2"/>
    <d v="2025-02-25T13:43:00"/>
    <s v="IVSPTG"/>
    <s v="IVSPTG"/>
    <s v="Código de cliente não identificado&lt;-ObterCliente&lt;-MontarPnrBase&lt;-ProcessarAereo&lt;-ProcessarItemFila[b]"/>
    <x v="551"/>
    <d v="2025-02-25T16:48:00"/>
    <s v="CLIENTE"/>
    <x v="14"/>
    <s v="DK DE CLIENTE NÃO PREENCIDO / CLIENTE NÃO CONFIGURADO NO OBT"/>
    <s v="INDEFINIDO"/>
    <x v="1"/>
    <s v="COLUNA I"/>
  </r>
  <r>
    <s v="SABRE"/>
    <m/>
    <x v="2"/>
    <n v="3267310"/>
    <x v="2"/>
    <d v="2025-02-25T13:43:00"/>
    <s v="CIQSSD"/>
    <s v="CIQSSD"/>
    <s v="Não localizado cliente código [0004224627].&lt;-ObterCliente&lt;-MontarPnrBase&lt;-ProcessarAereo&lt;-ProcessarItemFila[b]"/>
    <x v="551"/>
    <d v="2025-02-25T16:48:00"/>
    <s v="CLIENTE"/>
    <x v="13"/>
    <s v="CÓDIGO DIFERENTE DO CADASTRADO NO BENNER (CLIENTE X GRUPO)"/>
    <s v="QUALIDADE DOS DADOS"/>
    <x v="0"/>
    <n v="1"/>
  </r>
  <r>
    <s v="SABRE"/>
    <m/>
    <x v="2"/>
    <n v="3267323"/>
    <x v="2"/>
    <d v="2025-02-25T13:44:00"/>
    <s v="HJHDEI"/>
    <s v="HJHDEI"/>
    <s v="Não localizado cliente código [0004224627].&lt;-ObterCliente&lt;-MontarPnrBase&lt;-ProcessarAereo&lt;-ProcessarItemFila[b]"/>
    <x v="552"/>
    <d v="2025-02-25T16:48:00"/>
    <s v="CLIENTE"/>
    <x v="13"/>
    <s v="CÓDIGO DIFERENTE DO CADASTRADO NO BENNER (CLIENTE X GRUPO)"/>
    <s v="QUALIDADE DOS DADOS"/>
    <x v="0"/>
    <n v="1"/>
  </r>
  <r>
    <s v="SABRE"/>
    <m/>
    <x v="2"/>
    <n v="3268280"/>
    <x v="2"/>
    <d v="2025-02-25T17:03:00"/>
    <s v="NVMXCH"/>
    <s v="NVMXCH"/>
    <s v="Código de cliente não identificado&lt;-ObterCliente&lt;-MontarPnrBase&lt;-ProcessarAereo&lt;-ProcessarItemFila[b]"/>
    <x v="553"/>
    <d v="2025-02-25T20:17:00"/>
    <s v="CLIENTE"/>
    <x v="14"/>
    <s v="DK DE CLIENTE NÃO PREENCIDO / CLIENTE NÃO CONFIGURADO NO OBT"/>
    <s v="INDEFINIDO"/>
    <x v="1"/>
    <s v="COLUNA I"/>
  </r>
  <r>
    <s v="SABRE"/>
    <m/>
    <x v="2"/>
    <n v="3268864"/>
    <x v="2"/>
    <d v="2025-02-25T17:03:00"/>
    <s v="CGJYDX"/>
    <s v="CGJYDX"/>
    <s v="Código de cliente não identificado&lt;-ObterCliente&lt;-MontarPnrBase&lt;-ProcessarAereo&lt;-ProcessarItemFila[b]"/>
    <x v="554"/>
    <m/>
    <s v="CLIENTE"/>
    <x v="14"/>
    <s v="DK DE CLIENTE NÃO PREENCIDO / CLIENTE NÃO CONFIGURADO NO OBT"/>
    <s v="INDEFINIDO"/>
    <x v="1"/>
    <s v="COLUNA I"/>
  </r>
  <r>
    <s v="SABRE"/>
    <m/>
    <x v="2"/>
    <n v="3268866"/>
    <x v="2"/>
    <d v="2025-02-25T17:03:00"/>
    <s v="SENELJ"/>
    <s v="SENELJ"/>
    <s v="Não localizado cliente código [0000063625].&lt;-ObterCliente&lt;-MontarPnrBase&lt;-ProcessarAereo&lt;-ProcessarItemFila[b]"/>
    <x v="555"/>
    <m/>
    <s v="CLIENTE"/>
    <x v="13"/>
    <s v="CÓDIGO DIFERENTE DO CADASTRADO NO BENNER (CLIENTE X GRUPO)"/>
    <s v="QUALIDADE DOS DADOS"/>
    <x v="0"/>
    <n v="1"/>
  </r>
  <r>
    <s v="SABRE"/>
    <m/>
    <x v="2"/>
    <n v="3268867"/>
    <x v="2"/>
    <d v="2025-02-25T17:03:00"/>
    <s v="YZVKKQ"/>
    <s v="YZVKKQ"/>
    <s v="Código de cliente não identificado&lt;-ObterCliente&lt;-MontarPnrBase&lt;-ProcessarAereo&lt;-ProcessarItemFila[b]"/>
    <x v="555"/>
    <m/>
    <s v="CLIENTE"/>
    <x v="14"/>
    <s v="DK DE CLIENTE NÃO PREENCIDO / CLIENTE NÃO CONFIGURADO NO OBT"/>
    <s v="INDEFINIDO"/>
    <x v="1"/>
    <s v="COLUNA I"/>
  </r>
  <r>
    <s v="SABRE"/>
    <m/>
    <x v="2"/>
    <n v="3268878"/>
    <x v="2"/>
    <d v="2025-02-25T17:03:00"/>
    <s v="AVDUWC"/>
    <s v="AVDUWC"/>
    <s v="Não localizado cliente código [0004224627].&lt;-ObterCliente&lt;-MontarPnrBase&lt;-ProcessarAereo&lt;-ProcessarItemFila[b]"/>
    <x v="556"/>
    <m/>
    <s v="CLIENTE"/>
    <x v="13"/>
    <s v="CÓDIGO DIFERENTE DO CADASTRADO NO BENNER (CLIENTE X GRUPO)"/>
    <s v="QUALIDADE DOS DADOS"/>
    <x v="0"/>
    <n v="1"/>
  </r>
  <r>
    <s v="SABRE"/>
    <m/>
    <x v="2"/>
    <n v="3268879"/>
    <x v="2"/>
    <d v="2025-02-25T17:03:00"/>
    <s v="IOZZEU"/>
    <s v="IOZZEU"/>
    <s v="Não localizado cliente código [0004224627].&lt;-ObterCliente&lt;-MontarPnrBase&lt;-ProcessarAereo&lt;-ProcessarItemFila[b]"/>
    <x v="556"/>
    <m/>
    <s v="CLIENTE"/>
    <x v="13"/>
    <s v="CÓDIGO DIFERENTE DO CADASTRADO NO BENNER (CLIENTE X GRUPO)"/>
    <s v="QUALIDADE DOS DADOS"/>
    <x v="0"/>
    <n v="1"/>
  </r>
  <r>
    <s v="SABRE"/>
    <m/>
    <x v="2"/>
    <n v="3268881"/>
    <x v="2"/>
    <d v="2025-02-25T17:03:00"/>
    <s v="IQJANG"/>
    <s v="IQJANG"/>
    <s v="Código de cliente não identificado&lt;-ObterCliente&lt;-MontarPnrBase&lt;-ProcessarAereo&lt;-ProcessarItemFila[b]"/>
    <x v="556"/>
    <m/>
    <s v="CLIENTE"/>
    <x v="14"/>
    <s v="DK DE CLIENTE NÃO PREENCIDO / CLIENTE NÃO CONFIGURADO NO OBT"/>
    <s v="INDEFINIDO"/>
    <x v="1"/>
    <s v="COLUNA I"/>
  </r>
  <r>
    <s v="TMS"/>
    <m/>
    <x v="2"/>
    <n v="3269814"/>
    <x v="1"/>
    <d v="2024-07-01T12:46:00"/>
    <n v="174"/>
    <n v="174"/>
    <s v="Verificando Anexos - Could not convert variant of type (Null) into type (OleStr)"/>
    <x v="557"/>
    <m/>
    <s v="OUTROS"/>
    <x v="2"/>
    <s v="TEXTO FORA DO PADRÃO ACEITO NO CAMPO"/>
    <s v="INDEFINIDO"/>
    <x v="0"/>
    <s v="COLUNA I"/>
  </r>
  <r>
    <s v="TMS"/>
    <m/>
    <x v="2"/>
    <n v="3269817"/>
    <x v="1"/>
    <d v="2024-07-01T12:51:00"/>
    <n v="173"/>
    <n v="173"/>
    <s v="Verificando Anexos - Could not convert variant of type (Null) into type (OleStr)"/>
    <x v="557"/>
    <m/>
    <s v="OUTROS"/>
    <x v="2"/>
    <s v="TEXTO FORA DO PADRÃO ACEITO NO CAMPO"/>
    <s v="INDEFINIDO"/>
    <x v="0"/>
    <s v="COLUNA I"/>
  </r>
  <r>
    <s v="TMS"/>
    <m/>
    <x v="2"/>
    <n v="3269820"/>
    <x v="1"/>
    <d v="2024-06-27T19:50:00"/>
    <n v="171"/>
    <n v="171"/>
    <s v="Verificando Anexos - Could not convert variant of type (Null) into type (OleStr)"/>
    <x v="557"/>
    <m/>
    <s v="OUTROS"/>
    <x v="2"/>
    <s v="TEXTO FORA DO PADRÃO ACEITO NO CAMPO"/>
    <s v="INDEFINIDO"/>
    <x v="0"/>
    <s v="COLUNA I"/>
  </r>
  <r>
    <s v="TMS"/>
    <m/>
    <x v="2"/>
    <n v="3269919"/>
    <x v="1"/>
    <d v="2024-11-25T09:52:00"/>
    <n v="7940"/>
    <n v="7940"/>
    <s v="Preenchendo XML Serviço-&gt; Preenchendo XML-&gt; Montando accounting aereo 3-&gt;Reserva 127442 não encontrada para importar assento/bagagem!"/>
    <x v="558"/>
    <m/>
    <s v="OUTROS"/>
    <x v="15"/>
    <s v="CAMPO OBSERVAÇÃO PREENCHIDO INCORRETAMENTE"/>
    <s v="QUALIDADE DOS DADOS"/>
    <x v="1"/>
    <n v="127"/>
  </r>
  <r>
    <s v="SABRE"/>
    <m/>
    <x v="2"/>
    <n v="3270053"/>
    <x v="2"/>
    <d v="2025-02-26T13:06:00"/>
    <s v="GJCFQR"/>
    <s v="GJCFQR"/>
    <s v="Não localizado cliente código [0000063134].&lt;-ObterCliente&lt;-MontarPnrBase&lt;-ProcessarAereo&lt;-ProcessarItemFila[b]"/>
    <x v="559"/>
    <d v="2025-02-26T16:17:00"/>
    <s v="CLIENTE"/>
    <x v="13"/>
    <s v="CÓDIGO DIFERENTE DO CADASTRADO NO BENNER (CLIENTE X GRUPO)"/>
    <s v="QUALIDADE DOS DADOS"/>
    <x v="0"/>
    <n v="1"/>
  </r>
  <r>
    <s v="SABRE"/>
    <m/>
    <x v="2"/>
    <n v="3270078"/>
    <x v="2"/>
    <d v="2025-02-26T10:37:00"/>
    <s v="MNWIWX"/>
    <s v="MNWIWX"/>
    <s v="Não localizado cliente código [0000063625].&lt;-ObterCliente&lt;-MontarPnrBase&lt;-ProcessarAereo&lt;-ProcessarItemFila[b]"/>
    <x v="560"/>
    <m/>
    <s v="CLIENTE"/>
    <x v="13"/>
    <s v="CÓDIGO DIFERENTE DO CADASTRADO NO BENNER (CLIENTE X GRUPO)"/>
    <s v="QUALIDADE DOS DADOS"/>
    <x v="0"/>
    <n v="1"/>
  </r>
  <r>
    <s v="SABRE"/>
    <m/>
    <x v="2"/>
    <n v="3270083"/>
    <x v="2"/>
    <d v="2025-02-26T14:37:00"/>
    <s v="MLICTN"/>
    <s v="MLICTN"/>
    <s v="Não localizado cliente com CNPJ [4120966000113].&lt;-ObterCliente&lt;-MontarPnrBase&lt;-ProcessarAereo&lt;-ProcessarItemFila[b]"/>
    <x v="561"/>
    <d v="2025-02-26T17:47:00"/>
    <s v="CLIENTE"/>
    <x v="12"/>
    <s v=""/>
    <s v="QUALIDADE DOS DADOS"/>
    <x v="1"/>
    <n v="24"/>
  </r>
  <r>
    <s v="SABRE"/>
    <m/>
    <x v="2"/>
    <n v="3270188"/>
    <x v="2"/>
    <d v="2025-02-26T14:48:00"/>
    <s v="HXKUYP"/>
    <s v="HXKUYP"/>
    <s v="Não localizado cliente código [0004224627].&lt;-ObterCliente&lt;-MontarPnrBase&lt;-ProcessarAereo&lt;-ProcessarItemFila[b]"/>
    <x v="562"/>
    <d v="2025-02-26T17:51:00"/>
    <s v="CLIENTE"/>
    <x v="13"/>
    <s v="CÓDIGO DIFERENTE DO CADASTRADO NO BENNER (CLIENTE X GRUPO)"/>
    <s v="QUALIDADE DOS DADOS"/>
    <x v="0"/>
    <n v="1"/>
  </r>
  <r>
    <s v="SABRE"/>
    <m/>
    <x v="2"/>
    <n v="3270200"/>
    <x v="2"/>
    <d v="2025-02-26T11:48:00"/>
    <s v="WNITGG"/>
    <s v="WNITGG"/>
    <s v="Código de cliente não identificado&lt;-ObterCliente&lt;-MontarPnrBase&lt;-ProcessarAereo&lt;-ProcessarItemFila[b]"/>
    <x v="563"/>
    <m/>
    <s v="CLIENTE"/>
    <x v="14"/>
    <s v="DK DE CLIENTE NÃO PREENCIDO / CLIENTE NÃO CONFIGURADO NO OBT"/>
    <s v="INDEFINIDO"/>
    <x v="1"/>
    <s v="COLUNA I"/>
  </r>
  <r>
    <s v="SABRE"/>
    <m/>
    <x v="2"/>
    <n v="3270295"/>
    <x v="2"/>
    <d v="2025-03-05T18:12:00"/>
    <s v="UXYOFE"/>
    <s v="UXYOFE"/>
    <s v="Não localizado cliente código [0004222573].&lt;-ObterCliente&lt;-MontarPnrBase&lt;-ProcessarAereo&lt;-ProcessarItemFila[b]"/>
    <x v="564"/>
    <d v="2025-03-05T21:18:00"/>
    <s v="CLIENTE"/>
    <x v="13"/>
    <s v="CÓDIGO DIFERENTE DO CADASTRADO NO BENNER (CLIENTE X GRUPO)"/>
    <s v="QUALIDADE DOS DADOS"/>
    <x v="0"/>
    <n v="1"/>
  </r>
  <r>
    <s v="SABRE"/>
    <m/>
    <x v="2"/>
    <n v="3270324"/>
    <x v="2"/>
    <d v="2025-03-05T18:12:00"/>
    <s v="IKPZXA"/>
    <s v="IKPZXA"/>
    <s v="Não localizado cliente código [0004224627].&lt;-ObterCliente&lt;-MontarPnrBase&lt;-ProcessarAereo&lt;-ProcessarItemFila[b]"/>
    <x v="565"/>
    <d v="2025-03-05T21:18:00"/>
    <s v="CLIENTE"/>
    <x v="13"/>
    <s v="CÓDIGO DIFERENTE DO CADASTRADO NO BENNER (CLIENTE X GRUPO)"/>
    <s v="QUALIDADE DOS DADOS"/>
    <x v="0"/>
    <n v="1"/>
  </r>
  <r>
    <s v="SABRE"/>
    <m/>
    <x v="2"/>
    <n v="3270475"/>
    <x v="2"/>
    <d v="2025-02-26T14:07:00"/>
    <s v="JFGKFX"/>
    <s v="JFGKFX"/>
    <s v="Código de cliente não identificado&lt;-ObterCliente&lt;-MontarPnrBase&lt;-ProcessarAereo&lt;-ProcessarItemFila[b]"/>
    <x v="566"/>
    <m/>
    <s v="CLIENTE"/>
    <x v="14"/>
    <s v="DK DE CLIENTE NÃO PREENCIDO / CLIENTE NÃO CONFIGURADO NO OBT"/>
    <s v="INDEFINIDO"/>
    <x v="1"/>
    <s v="COLUNA I"/>
  </r>
  <r>
    <s v="TMS"/>
    <m/>
    <x v="2"/>
    <n v="3270995"/>
    <x v="1"/>
    <d v="2025-02-26T15:57:00"/>
    <n v="42856"/>
    <n v="42856"/>
    <s v="Preenchendo XML Serviço-&gt; Preenchendo XML-&gt; Montando accounting aereo 2-&gt;Não foi informado o Localizador do Assento/Bagagem!"/>
    <x v="567"/>
    <d v="2025-03-01T18:34:00"/>
    <s v="OUTROS"/>
    <x v="15"/>
    <s v="CAMPO OBSERVAÇÃO PREENCHIDO INCORRETAMENTE"/>
    <s v="QUALIDADE DOS DADOS"/>
    <x v="1"/>
    <n v="118"/>
  </r>
  <r>
    <s v="SABRE"/>
    <m/>
    <x v="2"/>
    <n v="3271465"/>
    <x v="2"/>
    <d v="2025-02-27T07:31:00"/>
    <s v="KWUUFF"/>
    <s v="KWUUFF"/>
    <s v="Não localizado cliente com CNPJ [4120966000113].&lt;-ObterCliente&lt;-MontarPnrBase&lt;-ProcessarAereo&lt;-ProcessarItemFila[b]"/>
    <x v="568"/>
    <d v="2025-02-27T10:33:00"/>
    <s v="CLIENTE"/>
    <x v="12"/>
    <s v=""/>
    <e v="#N/A"/>
    <x v="1"/>
    <n v="24"/>
  </r>
  <r>
    <s v="SABRE"/>
    <m/>
    <x v="2"/>
    <n v="3271476"/>
    <x v="2"/>
    <d v="2025-02-27T07:00:00"/>
    <s v="NDPAWN"/>
    <s v="NDPAWN"/>
    <s v="Código de cliente não identificado&lt;-ObterCliente&lt;-MontarPnrBase&lt;-ProcessarAereo&lt;-ProcessarItemFila[b]"/>
    <x v="569"/>
    <d v="2025-02-27T10:06:00"/>
    <s v="CLIENTE"/>
    <x v="14"/>
    <s v="DK DE CLIENTE NÃO PREENCIDO / CLIENTE NÃO CONFIGURADO NO OBT"/>
    <s v="INDEFINIDO"/>
    <x v="1"/>
    <s v="COLUNA I"/>
  </r>
  <r>
    <s v="SABRE"/>
    <m/>
    <x v="2"/>
    <n v="3271840"/>
    <x v="2"/>
    <d v="2025-02-27T06:22:00"/>
    <s v="CAJDCPT"/>
    <s v="CAJDCP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1"/>
    <x v="2"/>
    <d v="2025-02-27T06:23:00"/>
    <s v="JYQXNYT"/>
    <s v="JYQXNY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2"/>
    <x v="2"/>
    <d v="2025-02-27T06:23:00"/>
    <s v="HYERVUT"/>
    <s v="HYERVU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3"/>
    <x v="2"/>
    <d v="2025-02-27T06:23:00"/>
    <s v="GKDAKWT"/>
    <s v="GKDAKW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4"/>
    <x v="2"/>
    <d v="2025-02-27T06:23:00"/>
    <s v="YTMSMZT"/>
    <s v="YTMSMZ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5"/>
    <x v="2"/>
    <d v="2025-02-27T06:23:00"/>
    <s v="SPWZVZT"/>
    <s v="SPWZVZ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6"/>
    <x v="2"/>
    <d v="2025-02-27T06:24:00"/>
    <s v="GCGCCAT"/>
    <s v="GCGCCA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7"/>
    <x v="2"/>
    <d v="2025-02-27T06:24:00"/>
    <s v="ITCGOTT"/>
    <s v="ITCGOT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8"/>
    <x v="2"/>
    <d v="2025-02-27T06:25:00"/>
    <s v="GYZPBQT"/>
    <s v="GYZPBQ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SABRE"/>
    <m/>
    <x v="2"/>
    <n v="3271849"/>
    <x v="2"/>
    <d v="2025-02-27T06:25:00"/>
    <s v="GADTBOT"/>
    <s v="GADTBO"/>
    <s v="ConverterPagamentosRemark-&gt;Input string was not in a correct format.&lt;-MontarAccountinsHotel&lt;-ProcessarHotel&lt;-ProcessarItemFila[b]"/>
    <x v="570"/>
    <m/>
    <s v="FORMA PAGTO/RECTO"/>
    <x v="2"/>
    <s v="TEXTO FORA DO PADRÃO ACEITO NO CAMPO"/>
    <s v="INDEFINIDO"/>
    <x v="0"/>
    <s v="COLUNA I"/>
  </r>
  <r>
    <s v="TMS"/>
    <m/>
    <x v="2"/>
    <n v="3272507"/>
    <x v="1"/>
    <d v="2025-02-27T11:05:00"/>
    <n v="3017"/>
    <n v="3017"/>
    <s v="Preenchendo XML Serviço-&gt; Preenchendo XML-&gt; Montando accounting aereo 3-&gt;Reserva ASSENT não encontrada para importar assento/bagagem!"/>
    <x v="571"/>
    <d v="2025-03-02T18:55:00"/>
    <s v="OUTROS"/>
    <x v="15"/>
    <s v="CAMPO OBSERVAÇÃO PREENCHIDO INCORRETAMENTE"/>
    <s v="QUALIDADE DOS DADOS"/>
    <x v="1"/>
    <n v="127"/>
  </r>
  <r>
    <s v="SABRE"/>
    <m/>
    <x v="2"/>
    <n v="3272950"/>
    <x v="2"/>
    <d v="2025-02-27T12:36:00"/>
    <s v="UGBUWET"/>
    <s v="UGBUWE"/>
    <s v="ConverterPagamentosRemark-&gt;Input string was not in a correct format.&lt;-MontarAccountinsHotel&lt;-ProcessarHotel&lt;-ProcessarItemFila[b]"/>
    <x v="572"/>
    <m/>
    <s v="FORMA PAGTO/RECTO"/>
    <x v="2"/>
    <s v="TEXTO FORA DO PADRÃO ACEITO NO CAMPO"/>
    <s v="INDEFINIDO"/>
    <x v="0"/>
    <s v="COLUNA I"/>
  </r>
  <r>
    <s v="SABRE"/>
    <m/>
    <x v="2"/>
    <n v="3273228"/>
    <x v="2"/>
    <d v="2025-02-27T14:15:00"/>
    <s v="OIPKMST"/>
    <s v="OIPKMS"/>
    <s v="Código de cliente não identificado&lt;-ObterCliente&lt;-MontarPnrBase&lt;-MontarPnr&lt;-ProcessarHotel&lt;-ProcessarItemFila[b]"/>
    <x v="573"/>
    <m/>
    <s v="CLIENTE"/>
    <x v="14"/>
    <s v="DK DE CLIENTE NÃO PREENCIDO / CLIENTE NÃO CONFIGURADO NO OBT"/>
    <s v="INDEFINIDO"/>
    <x v="1"/>
    <s v="COLUNA I"/>
  </r>
  <r>
    <s v="SABRE"/>
    <m/>
    <x v="2"/>
    <n v="3274012"/>
    <x v="2"/>
    <d v="2025-03-05T18:12:00"/>
    <s v="WFXBMP"/>
    <s v="WFXBMP"/>
    <s v="Não localizado cliente com CNPJ [JTI PROCESSADORA].&lt;-ObterCliente&lt;-MontarPnrBase&lt;-ProcessarAereo&lt;-ProcessarItemFila[b]"/>
    <x v="574"/>
    <d v="2025-03-05T21:22:00"/>
    <s v="CLIENTE"/>
    <x v="12"/>
    <s v=""/>
    <e v="#N/A"/>
    <x v="1"/>
    <n v="24"/>
  </r>
  <r>
    <s v="TMS"/>
    <m/>
    <x v="2"/>
    <n v="3274055"/>
    <x v="1"/>
    <d v="2025-02-27T15:12:00"/>
    <n v="72"/>
    <n v="72"/>
    <s v="Preenchendo XML Serviço-&gt; Preenchendo XML-&gt; Montando accounting aereo 2-&gt;Não foi informado o Localizador do Assento/Bagagem!"/>
    <x v="575"/>
    <d v="2025-03-02T18:56:00"/>
    <s v="OUTROS"/>
    <x v="15"/>
    <s v="CAMPO OBSERVAÇÃO PREENCHIDO INCORRETAMENTE"/>
    <s v="QUALIDADE DOS DADOS"/>
    <x v="1"/>
    <n v="118"/>
  </r>
  <r>
    <s v="TMS"/>
    <m/>
    <x v="2"/>
    <n v="3274057"/>
    <x v="1"/>
    <d v="2025-02-27T15:20:00"/>
    <n v="68"/>
    <n v="68"/>
    <s v="Preenchendo XML Serviço-&gt; Preenchendo XML-&gt; Montando accounting aereo 2-&gt;Não foi informado o Localizador do Assento/Bagagem!"/>
    <x v="575"/>
    <d v="2025-03-02T18:56:00"/>
    <s v="OUTROS"/>
    <x v="15"/>
    <s v="CAMPO OBSERVAÇÃO PREENCHIDO INCORRETAMENTE"/>
    <s v="QUALIDADE DOS DADOS"/>
    <x v="1"/>
    <n v="118"/>
  </r>
  <r>
    <s v="SABRE"/>
    <m/>
    <x v="2"/>
    <n v="3274104"/>
    <x v="2"/>
    <d v="2025-03-05T18:12:00"/>
    <s v="UFKYRD"/>
    <s v="UFKYRD"/>
    <s v="Não localizado cliente código [0004224627].&lt;-ObterCliente&lt;-MontarPnrBase&lt;-ProcessarAereo&lt;-ProcessarItemFila[b]"/>
    <x v="576"/>
    <d v="2025-03-05T21:25:00"/>
    <s v="CLIENTE"/>
    <x v="13"/>
    <s v="CÓDIGO DIFERENTE DO CADASTRADO NO BENNER (CLIENTE X GRUPO)"/>
    <s v="QUALIDADE DOS DADOS"/>
    <x v="0"/>
    <n v="1"/>
  </r>
  <r>
    <s v="SABRE"/>
    <m/>
    <x v="2"/>
    <n v="3274107"/>
    <x v="2"/>
    <d v="2025-03-05T18:12:00"/>
    <s v="ODLSWS"/>
    <s v="ODLSWS"/>
    <s v="Não localizado cliente com CNPJ [JTI PROCESSADORA].&lt;-ObterCliente&lt;-MontarPnrBase&lt;-ProcessarAereo&lt;-ProcessarItemFila[b]"/>
    <x v="577"/>
    <d v="2025-03-05T21:25:00"/>
    <s v="CLIENTE"/>
    <x v="12"/>
    <s v=""/>
    <e v="#N/A"/>
    <x v="1"/>
    <n v="24"/>
  </r>
  <r>
    <s v="SABRE"/>
    <m/>
    <x v="2"/>
    <n v="3274239"/>
    <x v="2"/>
    <d v="2025-02-27T16:33:00"/>
    <s v="YTWPCIT"/>
    <s v="YTWPCI"/>
    <s v="ConverterPagamentosRemark-&gt;Input string was not in a correct format.&lt;-MontarAccountinsHotel&lt;-ProcessarHotel&lt;-ProcessarItemFila[b]"/>
    <x v="578"/>
    <m/>
    <s v="FORMA PAGTO/RECTO"/>
    <x v="2"/>
    <s v="TEXTO FORA DO PADRÃO ACEITO NO CAMPO"/>
    <s v="INDEFINIDO"/>
    <x v="0"/>
    <s v="COLUNA I"/>
  </r>
  <r>
    <s v="SABRE"/>
    <m/>
    <x v="2"/>
    <n v="3274240"/>
    <x v="2"/>
    <d v="2025-02-27T16:33:00"/>
    <s v="CKFOBVT"/>
    <s v="CKFOBV"/>
    <s v="ConverterPagamentosRemark-&gt;Input string was not in a correct format.&lt;-MontarAccountinsHotel&lt;-ProcessarHotel&lt;-ProcessarItemFila[b]"/>
    <x v="578"/>
    <m/>
    <s v="FORMA PAGTO/RECTO"/>
    <x v="2"/>
    <s v="TEXTO FORA DO PADRÃO ACEITO NO CAMPO"/>
    <s v="INDEFINIDO"/>
    <x v="0"/>
    <s v="COLUNA I"/>
  </r>
  <r>
    <s v="SABRE"/>
    <m/>
    <x v="2"/>
    <n v="3274241"/>
    <x v="2"/>
    <d v="2025-02-27T16:33:00"/>
    <s v="YHYKCIT"/>
    <s v="YHYKCI"/>
    <s v="ConverterPagamentosRemark-&gt;Input string was not in a correct format.&lt;-MontarAccountinsHotel&lt;-ProcessarHotel&lt;-ProcessarItemFila[b]"/>
    <x v="578"/>
    <m/>
    <s v="FORMA PAGTO/RECTO"/>
    <x v="2"/>
    <s v="TEXTO FORA DO PADRÃO ACEITO NO CAMPO"/>
    <s v="INDEFINIDO"/>
    <x v="0"/>
    <s v="COLUNA I"/>
  </r>
  <r>
    <s v="SABRE"/>
    <m/>
    <x v="2"/>
    <n v="3274242"/>
    <x v="2"/>
    <d v="2025-02-27T16:34:00"/>
    <s v="YZXRVMT"/>
    <s v="YZXRVM"/>
    <s v="ConverterPagamentosRemark-&gt;Input string was not in a correct format.&lt;-MontarAccountinsHotel&lt;-ProcessarHotel&lt;-ProcessarItemFila[b]"/>
    <x v="578"/>
    <m/>
    <s v="FORMA PAGTO/RECTO"/>
    <x v="2"/>
    <s v="TEXTO FORA DO PADRÃO ACEITO NO CAMPO"/>
    <s v="INDEFINIDO"/>
    <x v="0"/>
    <s v="COLUNA I"/>
  </r>
  <r>
    <s v="TMS"/>
    <m/>
    <x v="2"/>
    <n v="3274394"/>
    <x v="1"/>
    <d v="2025-02-27T17:52:00"/>
    <n v="53270"/>
    <n v="53270"/>
    <s v="Preenchendo XML Serviço-&gt; Preenchendo XML-&gt; Montando accounting aereo 2-&gt;Não foi informado o Localizador do Assento/Bagagem!"/>
    <x v="579"/>
    <d v="2025-03-02T18:56:00"/>
    <s v="OUTROS"/>
    <x v="15"/>
    <s v="CAMPO OBSERVAÇÃO PREENCHIDO INCORRETAMENTE"/>
    <s v="QUALIDADE DOS DADOS"/>
    <x v="1"/>
    <n v="118"/>
  </r>
  <r>
    <s v="SABRE"/>
    <m/>
    <x v="2"/>
    <n v="3274666"/>
    <x v="2"/>
    <d v="2025-03-05T18:12:00"/>
    <s v="KNCURY"/>
    <s v="KNCURY"/>
    <s v="Não localizado cliente código [0004224627].&lt;-ObterCliente&lt;-MontarPnrBase&lt;-ProcessarAereo&lt;-ProcessarItemFila[b]"/>
    <x v="580"/>
    <d v="2025-03-05T21:27:00"/>
    <s v="CLIENTE"/>
    <x v="13"/>
    <s v="CÓDIGO DIFERENTE DO CADASTRADO NO BENNER (CLIENTE X GRUPO)"/>
    <s v="QUALIDADE DOS DADOS"/>
    <x v="0"/>
    <n v="1"/>
  </r>
  <r>
    <s v="SABRE"/>
    <m/>
    <x v="2"/>
    <n v="3274667"/>
    <x v="2"/>
    <d v="2025-03-05T18:12:00"/>
    <s v="EZSSZB"/>
    <s v="EZSSZB"/>
    <s v="Não localizado cliente com CNPJ [JTI PROCESSADORA].&lt;-ObterCliente&lt;-MontarPnrBase&lt;-ProcessarAereo&lt;-ProcessarItemFila[b]"/>
    <x v="580"/>
    <d v="2025-03-05T21:27:00"/>
    <s v="CLIENTE"/>
    <x v="12"/>
    <s v=""/>
    <e v="#N/A"/>
    <x v="1"/>
    <n v="24"/>
  </r>
  <r>
    <s v="TMS"/>
    <m/>
    <x v="2"/>
    <n v="3275329"/>
    <x v="1"/>
    <d v="2025-02-28T09:18:00"/>
    <n v="67"/>
    <n v="67"/>
    <s v="Preenchendo XML Serviço-&gt; Preenchendo XML-&gt; Montando accounting aereo 2-&gt;Não foi informado o Localizador do Assento/Bagagem!"/>
    <x v="581"/>
    <d v="2025-03-03T19:18:00"/>
    <s v="OUTROS"/>
    <x v="15"/>
    <s v="CAMPO OBSERVAÇÃO PREENCHIDO INCORRETAMENTE"/>
    <s v="QUALIDADE DOS DADOS"/>
    <x v="1"/>
    <n v="118"/>
  </r>
  <r>
    <s v="SABRE"/>
    <m/>
    <x v="2"/>
    <n v="3275692"/>
    <x v="2"/>
    <d v="2025-03-05T18:12:00"/>
    <s v="DMQHOW"/>
    <s v="DMQHOW"/>
    <s v="Não localizado cliente código [0000068777].&lt;-ObterCliente&lt;-MontarPnrBase&lt;-ProcessarAereo&lt;-ProcessarItemFila[b]"/>
    <x v="582"/>
    <d v="2025-03-05T21:22:00"/>
    <s v="CLIENTE"/>
    <x v="13"/>
    <s v="CÓDIGO DIFERENTE DO CADASTRADO NO BENNER (CLIENTE X GRUPO)"/>
    <s v="QUALIDADE DOS DADOS"/>
    <x v="0"/>
    <n v="1"/>
  </r>
  <r>
    <s v="SABRE"/>
    <m/>
    <x v="2"/>
    <n v="3275912"/>
    <x v="2"/>
    <d v="2025-02-28T14:06:00"/>
    <s v="WJBHLP"/>
    <s v="WJBHLP"/>
    <s v="Não localizado cliente código [0004223565].&lt;-ObterCliente&lt;-MontarPnrBase&lt;-ProcessarAereo&lt;-ProcessarItemFila[b]"/>
    <x v="583"/>
    <m/>
    <s v="CLIENTE"/>
    <x v="13"/>
    <s v="CÓDIGO DIFERENTE DO CADASTRADO NO BENNER (CLIENTE X GRUPO)"/>
    <s v="QUALIDADE DOS DADOS"/>
    <x v="0"/>
    <n v="1"/>
  </r>
  <r>
    <s v="SABRE"/>
    <m/>
    <x v="2"/>
    <n v="3275916"/>
    <x v="2"/>
    <d v="2025-02-28T14:06:00"/>
    <s v="FGHEJM"/>
    <s v="FGHEJM"/>
    <s v="Não localizado cliente código [0000583808].&lt;-ObterCliente&lt;-MontarPnrBase&lt;-ProcessarAereo&lt;-ProcessarItemFila[b]"/>
    <x v="583"/>
    <m/>
    <s v="CLIENTE"/>
    <x v="13"/>
    <s v="CÓDIGO DIFERENTE DO CADASTRADO NO BENNER (CLIENTE X GRUPO)"/>
    <s v="QUALIDADE DOS DADOS"/>
    <x v="0"/>
    <n v="1"/>
  </r>
  <r>
    <s v="SABRE"/>
    <m/>
    <x v="2"/>
    <n v="3275921"/>
    <x v="2"/>
    <d v="2025-02-28T14:06:00"/>
    <s v="KDFPXC"/>
    <s v="KDFPXC"/>
    <s v="Código de cliente não identificado&lt;-ObterCliente&lt;-MontarPnrBase&lt;-ProcessarAereo&lt;-ProcessarItemFila[b]"/>
    <x v="584"/>
    <m/>
    <s v="CLIENTE"/>
    <x v="14"/>
    <s v="DK DE CLIENTE NÃO PREENCIDO / CLIENTE NÃO CONFIGURADO NO OBT"/>
    <s v="INDEFINIDO"/>
    <x v="1"/>
    <s v="COLUNA I"/>
  </r>
  <r>
    <s v="SABRE"/>
    <m/>
    <x v="2"/>
    <n v="3275924"/>
    <x v="2"/>
    <d v="2025-02-28T14:06:00"/>
    <s v="FHKRKR"/>
    <s v="FHKRKR"/>
    <s v="Não localizado cliente código [0000583808].&lt;-ObterCliente&lt;-MontarPnrBase&lt;-ProcessarAereo&lt;-ProcessarItemFila[b]"/>
    <x v="584"/>
    <m/>
    <s v="CLIENTE"/>
    <x v="13"/>
    <s v="CÓDIGO DIFERENTE DO CADASTRADO NO BENNER (CLIENTE X GRUPO)"/>
    <s v="QUALIDADE DOS DADOS"/>
    <x v="0"/>
    <n v="1"/>
  </r>
  <r>
    <s v="SABRE"/>
    <m/>
    <x v="2"/>
    <n v="3275925"/>
    <x v="2"/>
    <d v="2025-02-28T14:06:00"/>
    <s v="EGJXNY"/>
    <s v="EGJXNY"/>
    <s v="Não localizado cliente código [0000392619].&lt;-ObterCliente&lt;-MontarPnrBase&lt;-ProcessarAereo&lt;-ProcessarItemFila[b]"/>
    <x v="584"/>
    <m/>
    <s v="CLIENTE"/>
    <x v="13"/>
    <s v="CÓDIGO DIFERENTE DO CADASTRADO NO BENNER (CLIENTE X GRUPO)"/>
    <s v="QUALIDADE DOS DADOS"/>
    <x v="0"/>
    <n v="1"/>
  </r>
  <r>
    <s v="SABRE"/>
    <m/>
    <x v="2"/>
    <n v="3275927"/>
    <x v="2"/>
    <d v="2025-02-28T14:06:00"/>
    <s v="UROGQE"/>
    <s v="UROGQE"/>
    <s v="Código de cliente não identificado&lt;-ObterCliente&lt;-MontarPnrBase&lt;-ProcessarAereo&lt;-ProcessarItemFila[b]"/>
    <x v="584"/>
    <m/>
    <s v="CLIENTE"/>
    <x v="14"/>
    <s v="DK DE CLIENTE NÃO PREENCIDO / CLIENTE NÃO CONFIGURADO NO OBT"/>
    <s v="INDEFINIDO"/>
    <x v="1"/>
    <s v="COLUNA I"/>
  </r>
  <r>
    <s v="SABRE"/>
    <m/>
    <x v="2"/>
    <n v="3275940"/>
    <x v="2"/>
    <d v="2025-02-28T14:06:00"/>
    <s v="CPSIPH"/>
    <s v="CPSIPH"/>
    <s v="Não localizado cliente código [1234567890].&lt;-ObterCliente&lt;-MontarPnrBase&lt;-ProcessarAereo&lt;-ProcessarItemFila[b]"/>
    <x v="585"/>
    <m/>
    <s v="CLIENTE"/>
    <x v="13"/>
    <s v="CÓDIGO DIFERENTE DO CADASTRADO NO BENNER (CLIENTE X GRUPO)"/>
    <s v="QUALIDADE DOS DADOS"/>
    <x v="0"/>
    <n v="1"/>
  </r>
  <r>
    <s v="SABRE"/>
    <m/>
    <x v="2"/>
    <n v="3275957"/>
    <x v="2"/>
    <d v="2025-02-28T16:24:00"/>
    <s v="SEZRSM"/>
    <s v="SEZRSM"/>
    <s v="Não localizado cliente código [0004223565].&lt;-ObterCliente&lt;-MontarPnrBase&lt;-ProcessarAereo&lt;-ProcessarItemFila[b]"/>
    <x v="586"/>
    <d v="2025-02-28T19:32:00"/>
    <s v="CLIENTE"/>
    <x v="13"/>
    <s v="CÓDIGO DIFERENTE DO CADASTRADO NO BENNER (CLIENTE X GRUPO)"/>
    <s v="QUALIDADE DOS DADOS"/>
    <x v="0"/>
    <n v="1"/>
  </r>
  <r>
    <s v="SABRE"/>
    <m/>
    <x v="2"/>
    <n v="3275963"/>
    <x v="2"/>
    <d v="2025-02-28T14:06:00"/>
    <s v="GXEFUP"/>
    <s v="GXEFUP"/>
    <s v="Não localizado cliente código [0000050257].&lt;-ObterCliente&lt;-MontarPnrBase&lt;-ProcessarAereo&lt;-ProcessarItemFila[b]"/>
    <x v="587"/>
    <m/>
    <s v="CLIENTE"/>
    <x v="13"/>
    <s v="CÓDIGO DIFERENTE DO CADASTRADO NO BENNER (CLIENTE X GRUPO)"/>
    <s v="QUALIDADE DOS DADOS"/>
    <x v="0"/>
    <n v="1"/>
  </r>
  <r>
    <s v="SABRE"/>
    <m/>
    <x v="2"/>
    <n v="3275968"/>
    <x v="2"/>
    <d v="2025-02-28T14:06:00"/>
    <s v="INMRBJ"/>
    <s v="INMRBJ"/>
    <s v="Não localizado cliente código [0004222573].&lt;-ObterCliente&lt;-MontarPnrBase&lt;-ProcessarAereo&lt;-ProcessarItemFila[b]"/>
    <x v="587"/>
    <m/>
    <s v="CLIENTE"/>
    <x v="13"/>
    <s v="CÓDIGO DIFERENTE DO CADASTRADO NO BENNER (CLIENTE X GRUPO)"/>
    <s v="QUALIDADE DOS DADOS"/>
    <x v="0"/>
    <n v="1"/>
  </r>
  <r>
    <s v="RESOLVIDO"/>
    <m/>
    <x v="1"/>
    <n v="3276175"/>
    <x v="1"/>
    <d v="2025-02-28T16:06:00"/>
    <n v="5193"/>
    <n v="5193"/>
    <s v="Preenchendo XML Serviço-&gt; Preenchendo XML-&gt; Montando accounting aereo 2-&gt;Não foi informado o Localizador do Assento/Bagagem!"/>
    <x v="588"/>
    <d v="2025-03-03T19:11:00"/>
    <s v="OUTROS"/>
    <x v="15"/>
    <s v="CAMPO OBSERVAÇÃO PREENCHIDO INCORRETAMENTE"/>
    <s v="QUALIDADE DOS DADOS"/>
    <x v="1"/>
    <n v="118"/>
  </r>
  <r>
    <s v="SABRE"/>
    <m/>
    <x v="2"/>
    <n v="3276545"/>
    <x v="2"/>
    <d v="2025-02-28T15:37:00"/>
    <s v="GVEXXF"/>
    <s v="GVEXXF"/>
    <s v="Código de cliente não identificado&lt;-ObterCliente&lt;-MontarPnrBase&lt;-ProcessarAereo&lt;-ProcessarItemFila[b]"/>
    <x v="589"/>
    <m/>
    <s v="CLIENTE"/>
    <x v="14"/>
    <s v="DK DE CLIENTE NÃO PREENCIDO / CLIENTE NÃO CONFIGURADO NO OBT"/>
    <s v="INDEFINIDO"/>
    <x v="1"/>
    <s v="COLUNA I"/>
  </r>
  <r>
    <s v="SABRE"/>
    <m/>
    <x v="2"/>
    <n v="3276711"/>
    <x v="2"/>
    <d v="2025-02-28T15:47:00"/>
    <s v="OKSIAE"/>
    <s v="OKSIAE"/>
    <s v="Não localizado cliente código [0000050257].&lt;-ObterCliente&lt;-MontarPnrBase&lt;-ProcessarAereo&lt;-ProcessarItemFila[b]"/>
    <x v="590"/>
    <m/>
    <s v="CLIENTE"/>
    <x v="13"/>
    <s v="CÓDIGO DIFERENTE DO CADASTRADO NO BENNER (CLIENTE X GRUPO)"/>
    <s v="QUALIDADE DOS DADOS"/>
    <x v="0"/>
    <n v="1"/>
  </r>
  <r>
    <s v="SABRE"/>
    <m/>
    <x v="2"/>
    <n v="3276712"/>
    <x v="2"/>
    <d v="2025-02-28T15:47:00"/>
    <s v="IPEZPW"/>
    <s v="IPEZPW"/>
    <s v="Não localizado cliente código [0000583808].&lt;-ObterCliente&lt;-MontarPnrBase&lt;-ProcessarAereo&lt;-ProcessarItemFila[b]"/>
    <x v="590"/>
    <m/>
    <s v="CLIENTE"/>
    <x v="13"/>
    <s v="CÓDIGO DIFERENTE DO CADASTRADO NO BENNER (CLIENTE X GRUPO)"/>
    <s v="QUALIDADE DOS DADOS"/>
    <x v="0"/>
    <n v="1"/>
  </r>
  <r>
    <s v="SABRE"/>
    <m/>
    <x v="2"/>
    <n v="3276727"/>
    <x v="2"/>
    <d v="2025-02-28T15:55:00"/>
    <s v="YTJUSS"/>
    <s v="YTJUSS"/>
    <s v="Não localizado cliente código [0004224627].&lt;-ObterCliente&lt;-MontarPnrBase&lt;-ProcessarAereo&lt;-ProcessarItemFila[b]"/>
    <x v="591"/>
    <d v="2025-02-28T19:13:00"/>
    <s v="CLIENTE"/>
    <x v="13"/>
    <s v="CÓDIGO DIFERENTE DO CADASTRADO NO BENNER (CLIENTE X GRUPO)"/>
    <s v="QUALIDADE DOS DADOS"/>
    <x v="0"/>
    <n v="1"/>
  </r>
  <r>
    <s v="SABRE"/>
    <m/>
    <x v="2"/>
    <n v="3276765"/>
    <x v="2"/>
    <d v="2025-03-05T06:58:00"/>
    <s v="ALOEYST"/>
    <s v="ALOEYS"/>
    <s v="ConverterPagamentosRemark-&gt;Input string was not in a correct format.&lt;-MontarAccountinsHotel&lt;-ProcessarHotel&lt;-ProcessarItemFila[b]"/>
    <x v="592"/>
    <d v="2025-03-05T12:41:00"/>
    <s v="FORMA PAGTO/RECTO"/>
    <x v="2"/>
    <s v="TEXTO FORA DO PADRÃO ACEITO NO CAMPO"/>
    <s v="INDEFINIDO"/>
    <x v="0"/>
    <s v="COLUNA I"/>
  </r>
  <r>
    <s v="SABRE"/>
    <m/>
    <x v="2"/>
    <n v="3276778"/>
    <x v="2"/>
    <d v="2025-02-28T15:58:00"/>
    <s v="QXLJOKT"/>
    <s v="QXLJOK"/>
    <s v="ConverterPagamentosRemark-&gt;Input string was not in a correct format.&lt;-MontarAccountinsHotel&lt;-ProcessarHotel&lt;-ProcessarItemFila[b]"/>
    <x v="592"/>
    <m/>
    <s v="FORMA PAGTO/RECTO"/>
    <x v="2"/>
    <s v="TEXTO FORA DO PADRÃO ACEITO NO CAMPO"/>
    <s v="INDEFINIDO"/>
    <x v="0"/>
    <s v="COLUNA I"/>
  </r>
  <r>
    <s v="SABRE"/>
    <m/>
    <x v="2"/>
    <n v="3276779"/>
    <x v="2"/>
    <d v="2025-02-28T15:59:00"/>
    <s v="QOUNYNT"/>
    <s v="QOUNYN"/>
    <s v="ConverterPagamentosRemark-&gt;Input string was not in a correct format.&lt;-MontarAccountinsHotel&lt;-ProcessarHotel&lt;-ProcessarItemFila[b]"/>
    <x v="592"/>
    <m/>
    <s v="FORMA PAGTO/RECTO"/>
    <x v="2"/>
    <s v="TEXTO FORA DO PADRÃO ACEITO NO CAMPO"/>
    <s v="INDEFINIDO"/>
    <x v="0"/>
    <s v="COLUNA I"/>
  </r>
  <r>
    <s v="SABRE"/>
    <m/>
    <x v="2"/>
    <n v="3276781"/>
    <x v="2"/>
    <d v="2025-02-28T15:59:00"/>
    <s v="GVOIXVT"/>
    <s v="GVOIXV"/>
    <s v="ConverterPagamentosRemark-&gt;Input string was not in a correct format.&lt;-MontarAccountinsHotel&lt;-ProcessarHotel&lt;-ProcessarItemFila[b]"/>
    <x v="592"/>
    <m/>
    <s v="FORMA PAGTO/RECTO"/>
    <x v="2"/>
    <s v="TEXTO FORA DO PADRÃO ACEITO NO CAMPO"/>
    <s v="INDEFINIDO"/>
    <x v="0"/>
    <s v="COLUNA I"/>
  </r>
  <r>
    <s v="GOVER"/>
    <m/>
    <x v="2"/>
    <n v="3279961"/>
    <x v="0"/>
    <d v="2025-03-05T09:17:00"/>
    <n v="4500166"/>
    <n v="4500166"/>
    <s v="PreencherPnr-&gt;Foi identificado um localizador sem código."/>
    <x v="593"/>
    <d v="2025-03-06T16:09:00"/>
    <s v="OUTROS"/>
    <x v="1"/>
    <s v="RLOC NÃO PREENCHIDO NA RESERVA"/>
    <s v="QUALIDADE DOS DADOS"/>
    <x v="0"/>
    <s v="COLUNA I"/>
  </r>
  <r>
    <s v="SABRE"/>
    <m/>
    <x v="2"/>
    <n v="3280215"/>
    <x v="2"/>
    <d v="2025-03-05T07:06:00"/>
    <s v="YBJPITT"/>
    <s v="YBJPIT"/>
    <s v="ConverterPagamentosRemark-&gt;Input string was not in a correct format.&lt;-MontarAccountinsHotel&lt;-ProcessarHotel&lt;-ProcessarItemFila[b]"/>
    <x v="594"/>
    <m/>
    <s v="FORMA PAGTO/RECTO"/>
    <x v="2"/>
    <s v="TEXTO FORA DO PADRÃO ACEITO NO CAMPO"/>
    <s v="INDEFINIDO"/>
    <x v="0"/>
    <s v="COLUNA I"/>
  </r>
  <r>
    <s v="SABRE"/>
    <m/>
    <x v="2"/>
    <n v="3280857"/>
    <x v="2"/>
    <d v="2025-03-05T12:36:00"/>
    <s v="EAAIYV"/>
    <s v="EAAIYV"/>
    <s v="Não localizado cliente código [0004224627].&lt;-ObterCliente&lt;-MontarPnrBase&lt;-ProcessarAereo&lt;-ProcessarItemFila[b]"/>
    <x v="595"/>
    <m/>
    <s v="CLIENTE"/>
    <x v="13"/>
    <s v="CÓDIGO DIFERENTE DO CADASTRADO NO BENNER (CLIENTE X GRUPO)"/>
    <s v="QUALIDADE DOS DADOS"/>
    <x v="0"/>
    <n v="1"/>
  </r>
  <r>
    <s v="SABRE"/>
    <m/>
    <x v="2"/>
    <n v="3280860"/>
    <x v="2"/>
    <d v="2025-03-05T12:36:00"/>
    <s v="WLBKTM"/>
    <s v="WLBKTM"/>
    <s v="Não localizado cliente código [0004224627].&lt;-ObterCliente&lt;-MontarPnrBase&lt;-ProcessarAereo&lt;-ProcessarItemFila[b]"/>
    <x v="595"/>
    <m/>
    <s v="CLIENTE"/>
    <x v="13"/>
    <s v="CÓDIGO DIFERENTE DO CADASTRADO NO BENNER (CLIENTE X GRUPO)"/>
    <s v="QUALIDADE DOS DADOS"/>
    <x v="0"/>
    <n v="1"/>
  </r>
  <r>
    <s v="RESOLVIDO"/>
    <m/>
    <x v="1"/>
    <n v="3280901"/>
    <x v="2"/>
    <d v="2025-03-05T12:36:00"/>
    <s v="QPLQKI"/>
    <s v="QPLQKI"/>
    <s v="Inserindo Accounting - (ExecSQL) - Could not convert variant of type (Null) into type (OleStr)"/>
    <x v="596"/>
    <m/>
    <s v="OUTROS"/>
    <x v="11"/>
    <s v=""/>
    <s v="SISTEMA"/>
    <x v="0"/>
    <s v="COLUNA I"/>
  </r>
  <r>
    <s v="SABRE"/>
    <m/>
    <x v="2"/>
    <n v="3280903"/>
    <x v="2"/>
    <d v="2025-03-05T12:36:00"/>
    <s v="FIOUWH"/>
    <s v="FIOUWH"/>
    <s v="Não localizado cliente código [0004224627].&lt;-ObterCliente&lt;-MontarPnrBase&lt;-ProcessarAereo&lt;-ProcessarItemFila[b]"/>
    <x v="596"/>
    <m/>
    <s v="CLIENTE"/>
    <x v="13"/>
    <s v="CÓDIGO DIFERENTE DO CADASTRADO NO BENNER (CLIENTE X GRUPO)"/>
    <s v="QUALIDADE DOS DADOS"/>
    <x v="0"/>
    <n v="1"/>
  </r>
  <r>
    <s v="SABRE"/>
    <m/>
    <x v="2"/>
    <n v="3280905"/>
    <x v="2"/>
    <d v="2025-03-06T06:48:00"/>
    <s v="FOHAWL"/>
    <s v="FOHAWL"/>
    <s v="Não localizado cliente com CNPJ [JTI DISTRIBUIDORA NOVA CONCEICAO].&lt;-ObterCliente&lt;-MontarPnrBase&lt;-ProcessarAereo&lt;-ProcessarItemFila[b]"/>
    <x v="596"/>
    <d v="2025-03-06T10:04:00"/>
    <s v="CLIENTE"/>
    <x v="12"/>
    <s v=""/>
    <s v="QUALIDADE DOS DADOS"/>
    <x v="1"/>
    <n v="24"/>
  </r>
  <r>
    <s v="SABRE"/>
    <m/>
    <x v="2"/>
    <n v="3280906"/>
    <x v="2"/>
    <d v="2025-03-05T12:36:00"/>
    <s v="JREXYM"/>
    <s v="JREXYM"/>
    <s v="Não localizado cliente código [0004224627].&lt;-ObterCliente&lt;-MontarPnrBase&lt;-ProcessarAereo&lt;-ProcessarItemFila[b]"/>
    <x v="596"/>
    <m/>
    <s v="CLIENTE"/>
    <x v="13"/>
    <s v="CÓDIGO DIFERENTE DO CADASTRADO NO BENNER (CLIENTE X GRUPO)"/>
    <s v="QUALIDADE DOS DADOS"/>
    <x v="0"/>
    <n v="1"/>
  </r>
  <r>
    <s v="SABRE"/>
    <m/>
    <x v="2"/>
    <n v="3280907"/>
    <x v="2"/>
    <d v="2025-03-05T12:36:00"/>
    <s v="LZHNHD"/>
    <s v="LZHNHD"/>
    <s v="Não localizado cliente código [0004223565].&lt;-ObterCliente&lt;-MontarPnrBase&lt;-ProcessarAereo&lt;-ProcessarItemFila[b]"/>
    <x v="597"/>
    <m/>
    <s v="CLIENTE"/>
    <x v="13"/>
    <s v="CÓDIGO DIFERENTE DO CADASTRADO NO BENNER (CLIENTE X GRUPO)"/>
    <s v="QUALIDADE DOS DADOS"/>
    <x v="0"/>
    <n v="1"/>
  </r>
  <r>
    <s v="SABRE"/>
    <m/>
    <x v="2"/>
    <n v="3280910"/>
    <x v="2"/>
    <d v="2025-03-06T07:07:00"/>
    <s v="MRRDDP"/>
    <s v="MRRDDP"/>
    <s v="Não localizado cliente código [0004223565].&lt;-ObterCliente&lt;-MontarPnrBase&lt;-ProcessarAereo&lt;-ProcessarItemFila[b]"/>
    <x v="597"/>
    <d v="2025-03-06T10:18:00"/>
    <s v="CLIENTE"/>
    <x v="13"/>
    <s v="CÓDIGO DIFERENTE DO CADASTRADO NO BENNER (CLIENTE X GRUPO)"/>
    <s v="QUALIDADE DOS DADOS"/>
    <x v="0"/>
    <n v="1"/>
  </r>
  <r>
    <s v="SABRE"/>
    <m/>
    <x v="2"/>
    <n v="3280915"/>
    <x v="2"/>
    <d v="2025-03-06T07:12:00"/>
    <s v="LMDXYJ"/>
    <s v="LMDXYJ"/>
    <s v="Não localizado cliente código [0004223565].&lt;-ObterCliente&lt;-MontarPnrBase&lt;-ProcessarAereo&lt;-ProcessarItemFila[b]"/>
    <x v="597"/>
    <d v="2025-03-06T10:18:00"/>
    <s v="CLIENTE"/>
    <x v="13"/>
    <s v="CÓDIGO DIFERENTE DO CADASTRADO NO BENNER (CLIENTE X GRUPO)"/>
    <s v="QUALIDADE DOS DADOS"/>
    <x v="0"/>
    <n v="1"/>
  </r>
  <r>
    <s v="GOVER"/>
    <m/>
    <x v="2"/>
    <n v="3280983"/>
    <x v="0"/>
    <d v="2025-03-05T16:18:00"/>
    <n v="4500599"/>
    <s v="SGJBDT"/>
    <s v="PreencherPnr-&gt;AlterarAccountingCustom-&gt; Erro: AlterarAccounting-&gt; Erro: Canal de venda com descrição POSTO SHELL não encontrado!"/>
    <x v="598"/>
    <d v="2025-03-06T16:09:00"/>
    <s v="OUTROS"/>
    <x v="17"/>
    <s v=""/>
    <s v="QUALIDADE DOS DADOS"/>
    <x v="3"/>
    <s v="COLUNA I"/>
  </r>
  <r>
    <s v="SABRE"/>
    <m/>
    <x v="2"/>
    <n v="3281126"/>
    <x v="2"/>
    <d v="2025-03-05T14:42:00"/>
    <s v="YDODMO"/>
    <s v="YDODMO"/>
    <s v="Não localizado cliente código [0000392619].&lt;-ObterCliente&lt;-MontarPnrBase&lt;-ProcessarAereo&lt;-ProcessarItemFila[b]"/>
    <x v="599"/>
    <m/>
    <s v="CLIENTE"/>
    <x v="13"/>
    <s v="CÓDIGO DIFERENTE DO CADASTRADO NO BENNER (CLIENTE X GRUPO)"/>
    <s v="QUALIDADE DOS DADOS"/>
    <x v="0"/>
    <n v="1"/>
  </r>
  <r>
    <s v="SABRE"/>
    <m/>
    <x v="2"/>
    <n v="3281289"/>
    <x v="2"/>
    <d v="2025-03-05T17:23:00"/>
    <s v="MARBLL"/>
    <s v="MARBLL"/>
    <s v="Não localizado cliente código [0004223565].&lt;-ObterCliente&lt;-MontarPnrBase&lt;-ProcessarAereo&lt;-ProcessarItemFila[b]"/>
    <x v="600"/>
    <d v="2025-03-05T20:33:00"/>
    <s v="CLIENTE"/>
    <x v="13"/>
    <s v="CÓDIGO DIFERENTE DO CADASTRADO NO BENNER (CLIENTE X GRUPO)"/>
    <s v="QUALIDADE DOS DADOS"/>
    <x v="0"/>
    <n v="1"/>
  </r>
  <r>
    <s v="SABRE"/>
    <m/>
    <x v="2"/>
    <n v="3281696"/>
    <x v="2"/>
    <d v="2025-03-05T17:23:00"/>
    <s v="LIUSOH"/>
    <s v="LIUSOH"/>
    <s v="Código de cliente não identificado&lt;-ObterCliente&lt;-MontarPnrBase&lt;-ProcessarAereo&lt;-ProcessarItemFila[b]"/>
    <x v="601"/>
    <m/>
    <s v="CLIENTE"/>
    <x v="14"/>
    <s v="DK DE CLIENTE NÃO PREENCIDO / CLIENTE NÃO CONFIGURADO NO OBT"/>
    <s v="INDEFINIDO"/>
    <x v="1"/>
    <s v="COLUNA I"/>
  </r>
  <r>
    <s v="SABRE"/>
    <m/>
    <x v="2"/>
    <n v="3281699"/>
    <x v="2"/>
    <d v="2025-03-06T12:27:00"/>
    <s v="KPZKNN"/>
    <s v="KPZKNN"/>
    <s v="Não localizado cliente com CNPJ [50534767JTI PROCESSADORA].&lt;-ObterCliente&lt;-MontarPnrBase&lt;-ProcessarAereo&lt;-ProcessarItemFila[b]"/>
    <x v="602"/>
    <d v="2025-03-06T15:33:00"/>
    <s v="CLIENTE"/>
    <x v="12"/>
    <s v=""/>
    <e v="#N/A"/>
    <x v="1"/>
    <n v="24"/>
  </r>
  <r>
    <s v="TMS"/>
    <m/>
    <x v="2"/>
    <n v="3281708"/>
    <x v="1"/>
    <d v="2025-03-05T13:47:00"/>
    <n v="77"/>
    <n v="77"/>
    <s v="Preenchendo XML Serviço-&gt; Preenchendo XML-&gt; Montando accounting aereo 2-&gt;Não foi informado o Localizador do Assento/Bagagem!"/>
    <x v="603"/>
    <d v="2025-03-06T15:04:00"/>
    <s v="OUTROS"/>
    <x v="15"/>
    <s v="CAMPO OBSERVAÇÃO PREENCHIDO INCORRETAMENTE"/>
    <s v="QUALIDADE DOS DADOS"/>
    <x v="1"/>
    <n v="118"/>
  </r>
  <r>
    <s v="SABRE"/>
    <m/>
    <x v="2"/>
    <n v="3281716"/>
    <x v="2"/>
    <d v="2025-03-05T17:23:00"/>
    <s v="OYQXOR"/>
    <s v="OYQXOR"/>
    <s v="Código de cliente não identificado&lt;-ObterCliente&lt;-MontarPnrBase&lt;-ProcessarAereo&lt;-ProcessarItemFila[b]"/>
    <x v="603"/>
    <m/>
    <s v="CLIENTE"/>
    <x v="14"/>
    <s v="DK DE CLIENTE NÃO PREENCIDO / CLIENTE NÃO CONFIGURADO NO OBT"/>
    <s v="INDEFINIDO"/>
    <x v="1"/>
    <s v="COLUNA I"/>
  </r>
  <r>
    <s v="SABRE"/>
    <m/>
    <x v="2"/>
    <n v="3281883"/>
    <x v="2"/>
    <d v="2025-03-05T18:12:00"/>
    <s v="QOWHXJ"/>
    <s v="QOWHXJ"/>
    <s v="Não localizado cliente código [0000392619].&lt;-ObterCliente&lt;-MontarPnrBase&lt;-ProcessarAereo&lt;-ProcessarItemFila[b]"/>
    <x v="604"/>
    <m/>
    <s v="CLIENTE"/>
    <x v="13"/>
    <s v="CÓDIGO DIFERENTE DO CADASTRADO NO BENNER (CLIENTE X GRUPO)"/>
    <s v="QUALIDADE DOS DADOS"/>
    <x v="0"/>
    <n v="1"/>
  </r>
  <r>
    <s v="SABRE"/>
    <m/>
    <x v="2"/>
    <n v="3281885"/>
    <x v="2"/>
    <d v="2025-03-05T18:12:00"/>
    <s v="CZKLVP"/>
    <s v="CZKLVP"/>
    <s v="Código de cliente não identificado&lt;-ObterCliente&lt;-MontarPnrBase&lt;-ProcessarAereo&lt;-ProcessarItemFila[b]"/>
    <x v="604"/>
    <m/>
    <s v="CLIENTE"/>
    <x v="14"/>
    <s v="DK DE CLIENTE NÃO PREENCIDO / CLIENTE NÃO CONFIGURADO NO OBT"/>
    <s v="INDEFINIDO"/>
    <x v="1"/>
    <s v="COLUNA I"/>
  </r>
  <r>
    <s v="SABRE"/>
    <m/>
    <x v="2"/>
    <n v="3281887"/>
    <x v="2"/>
    <d v="2025-03-05T18:12:00"/>
    <s v="YFABFI"/>
    <s v="YFABFI"/>
    <s v="Não localizado cliente código [0000471515].&lt;-ObterCliente&lt;-MontarPnrBase&lt;-ProcessarAereo&lt;-ProcessarItemFila[b]"/>
    <x v="605"/>
    <m/>
    <s v="CLIENTE"/>
    <x v="13"/>
    <s v="CÓDIGO DIFERENTE DO CADASTRADO NO BENNER (CLIENTE X GRUPO)"/>
    <s v="QUALIDADE DOS DADOS"/>
    <x v="0"/>
    <n v="1"/>
  </r>
  <r>
    <s v="SABRE"/>
    <m/>
    <x v="2"/>
    <n v="3281896"/>
    <x v="2"/>
    <d v="2025-03-05T18:12:00"/>
    <s v="UXNWDH"/>
    <s v="UXNWDH"/>
    <s v="Não localizado cliente código [0000583831].&lt;-ObterCliente&lt;-MontarPnrBase&lt;-ProcessarAereo&lt;-ProcessarItemFila[b]"/>
    <x v="606"/>
    <m/>
    <s v="CLIENTE"/>
    <x v="13"/>
    <s v="CÓDIGO DIFERENTE DO CADASTRADO NO BENNER (CLIENTE X GRUPO)"/>
    <s v="QUALIDADE DOS DADOS"/>
    <x v="0"/>
    <n v="1"/>
  </r>
  <r>
    <s v="SABRE"/>
    <m/>
    <x v="2"/>
    <n v="3281897"/>
    <x v="2"/>
    <d v="2025-03-05T18:12:00"/>
    <s v="WDUOAS"/>
    <s v="WDUOAS"/>
    <s v="Não localizado cliente com CNPJ [JTI PROCESSADORA].&lt;-ObterCliente&lt;-MontarPnrBase&lt;-ProcessarAereo&lt;-ProcessarItemFila[b]"/>
    <x v="606"/>
    <m/>
    <s v="CLIENTE"/>
    <x v="12"/>
    <s v=""/>
    <s v="QUALIDADE DOS DADOS"/>
    <x v="1"/>
    <n v="24"/>
  </r>
  <r>
    <s v="SABRE"/>
    <m/>
    <x v="2"/>
    <n v="3281899"/>
    <x v="2"/>
    <d v="2025-03-05T18:12:00"/>
    <s v="UHDXBL"/>
    <s v="UHDXBL"/>
    <s v="Código de cliente não identificado&lt;-ObterCliente&lt;-MontarPnrBase&lt;-ProcessarAereo&lt;-ProcessarItemFila[b]"/>
    <x v="607"/>
    <m/>
    <s v="CLIENTE"/>
    <x v="14"/>
    <s v="DK DE CLIENTE NÃO PREENCIDO / CLIENTE NÃO CONFIGURADO NO OBT"/>
    <s v="INDEFINIDO"/>
    <x v="1"/>
    <s v="COLUNA I"/>
  </r>
  <r>
    <s v="SABRE"/>
    <m/>
    <x v="2"/>
    <n v="3281900"/>
    <x v="2"/>
    <d v="2025-03-05T18:12:00"/>
    <s v="SMWDNX"/>
    <s v="SMWDNX"/>
    <s v="Não localizado cliente código [0004223565].&lt;-ObterCliente&lt;-MontarPnrBase&lt;-ProcessarAereo&lt;-ProcessarItemFila[b]"/>
    <x v="607"/>
    <m/>
    <s v="CLIENTE"/>
    <x v="13"/>
    <s v="CÓDIGO DIFERENTE DO CADASTRADO NO BENNER (CLIENTE X GRUPO)"/>
    <s v="QUALIDADE DOS DADOS"/>
    <x v="0"/>
    <n v="1"/>
  </r>
  <r>
    <s v="SABRE"/>
    <m/>
    <x v="2"/>
    <n v="3281901"/>
    <x v="2"/>
    <d v="2025-03-05T18:12:00"/>
    <s v="GKZVXN"/>
    <s v="GKZVXN"/>
    <s v="Não localizado cliente código [0004222573].&lt;-ObterCliente&lt;-MontarPnrBase&lt;-ProcessarAereo&lt;-ProcessarItemFila[b]"/>
    <x v="607"/>
    <m/>
    <s v="CLIENTE"/>
    <x v="13"/>
    <s v="CÓDIGO DIFERENTE DO CADASTRADO NO BENNER (CLIENTE X GRUPO)"/>
    <s v="QUALIDADE DOS DADOS"/>
    <x v="0"/>
    <n v="1"/>
  </r>
  <r>
    <s v="SABRE"/>
    <m/>
    <x v="2"/>
    <n v="3281955"/>
    <x v="2"/>
    <d v="2025-03-06T07:14:00"/>
    <s v="WKZYLB"/>
    <s v="WKZYLB"/>
    <s v="Não localizado cliente com CNPJ [61338844001537].&lt;-ObterCliente&lt;-MontarPnrBase&lt;-ProcessarAereo&lt;-ProcessarItemFila[b]"/>
    <x v="608"/>
    <d v="2025-03-06T10:22:00"/>
    <s v="CLIENTE"/>
    <x v="12"/>
    <s v=""/>
    <e v="#N/A"/>
    <x v="1"/>
    <n v="24"/>
  </r>
  <r>
    <s v="SABRE"/>
    <m/>
    <x v="2"/>
    <n v="3282125"/>
    <x v="2"/>
    <d v="2025-03-06T06:35:00"/>
    <s v="SMMLPTT"/>
    <s v="SMMLPT"/>
    <s v="ConverterPagamentosRemark-&gt;Input string was not in a correct format.&lt;-MontarAccountinsHotel&lt;-ProcessarHotel&lt;-ProcessarItemFila[b]"/>
    <x v="609"/>
    <m/>
    <s v="FORMA PAGTO/RECTO"/>
    <x v="2"/>
    <s v="TEXTO FORA DO PADRÃO ACEITO NO CAMPO"/>
    <s v="INDEFINIDO"/>
    <x v="0"/>
    <s v="COLUNA I"/>
  </r>
  <r>
    <s v="SABRE"/>
    <m/>
    <x v="2"/>
    <n v="3282126"/>
    <x v="2"/>
    <d v="2025-03-06T06:36:00"/>
    <s v="SLBWYST"/>
    <s v="SLBWYS"/>
    <s v="ConverterPagamentosRemark-&gt;Input string was not in a correct format.&lt;-MontarAccountinsHotel&lt;-ProcessarHotel&lt;-ProcessarItemFila[b]"/>
    <x v="610"/>
    <m/>
    <s v="FORMA PAGTO/RECTO"/>
    <x v="2"/>
    <s v="TEXTO FORA DO PADRÃO ACEITO NO CAMPO"/>
    <s v="INDEFINIDO"/>
    <x v="0"/>
    <s v="COLUNA I"/>
  </r>
  <r>
    <s v="SABRE"/>
    <m/>
    <x v="2"/>
    <n v="3282128"/>
    <x v="2"/>
    <d v="2025-03-06T06:37:00"/>
    <s v="GKQFBMT"/>
    <s v="GKQFBM"/>
    <s v="ConverterPagamentosRemark-&gt;Input string was not in a correct format.&lt;-MontarAccountinsHotel&lt;-ProcessarHotel&lt;-ProcessarItemFila[b]"/>
    <x v="610"/>
    <m/>
    <s v="FORMA PAGTO/RECTO"/>
    <x v="2"/>
    <s v="TEXTO FORA DO PADRÃO ACEITO NO CAMPO"/>
    <s v="INDEFINIDO"/>
    <x v="0"/>
    <s v="COLUNA I"/>
  </r>
  <r>
    <s v="SABRE"/>
    <m/>
    <x v="2"/>
    <n v="3282130"/>
    <x v="2"/>
    <d v="2025-03-06T06:37:00"/>
    <s v="NZNXPCT"/>
    <s v="NZNXPC"/>
    <s v="ConverterPagamentosRemark-&gt;Input string was not in a correct format.&lt;-MontarAccountinsHotel&lt;-ProcessarHotel&lt;-ProcessarItemFila[b]"/>
    <x v="610"/>
    <m/>
    <s v="FORMA PAGTO/RECTO"/>
    <x v="2"/>
    <s v="TEXTO FORA DO PADRÃO ACEITO NO CAMPO"/>
    <s v="INDEFINIDO"/>
    <x v="0"/>
    <s v="COLUNA I"/>
  </r>
  <r>
    <s v="SABRE"/>
    <m/>
    <x v="2"/>
    <n v="3282473"/>
    <x v="2"/>
    <d v="2025-03-06T09:51:00"/>
    <s v="YFQUMP"/>
    <s v="YFQUMP"/>
    <s v="Código de cliente não identificado&lt;-ObterCliente&lt;-MontarPnrBase&lt;-ProcessarAereo&lt;-ProcessarItemFila[b]"/>
    <x v="611"/>
    <m/>
    <s v="CLIENTE"/>
    <x v="14"/>
    <s v="DK DE CLIENTE NÃO PREENCIDO / CLIENTE NÃO CONFIGURADO NO OBT"/>
    <s v="INDEFINIDO"/>
    <x v="1"/>
    <s v="COLUNA I"/>
  </r>
  <r>
    <s v="SABRE"/>
    <m/>
    <x v="2"/>
    <n v="3283593"/>
    <x v="2"/>
    <d v="2025-03-06T14:12:00"/>
    <s v="CPTVZYT"/>
    <s v="CPTVZY"/>
    <s v="ConverterPagamentosRemark-&gt;Input string was not in a correct format.&lt;-MontarAccountinsHotel&lt;-ProcessarHotel&lt;-ProcessarItemFila[b]"/>
    <x v="612"/>
    <m/>
    <s v="FORMA PAGTO/RECTO"/>
    <x v="2"/>
    <s v="TEXTO FORA DO PADRÃO ACEITO NO CAMPO"/>
    <s v="INDEFINIDO"/>
    <x v="0"/>
    <s v="COLUNA I"/>
  </r>
  <r>
    <s v="SABRE"/>
    <m/>
    <x v="2"/>
    <n v="3283594"/>
    <x v="2"/>
    <d v="2025-03-06T14:13:00"/>
    <s v="SLYJNMT"/>
    <s v="SLYJNM"/>
    <s v="ConverterPagamentosRemark-&gt;Input string was not in a correct format.&lt;-MontarAccountinsHotel&lt;-ProcessarHotel&lt;-ProcessarItemFila[b]"/>
    <x v="612"/>
    <m/>
    <s v="FORMA PAGTO/RECTO"/>
    <x v="2"/>
    <s v="TEXTO FORA DO PADRÃO ACEITO NO CAMPO"/>
    <s v="INDEFINIDO"/>
    <x v="0"/>
    <s v="COLUNA I"/>
  </r>
  <r>
    <s v="SABRE"/>
    <m/>
    <x v="2"/>
    <n v="3283595"/>
    <x v="2"/>
    <d v="2025-03-06T14:13:00"/>
    <s v="UUMPKWT"/>
    <s v="UUMPKW"/>
    <s v="ConverterPagamentosRemark-&gt;Input string was not in a correct format.&lt;-MontarAccountinsHotel&lt;-ProcessarHotel&lt;-ProcessarItemFila[b]"/>
    <x v="613"/>
    <m/>
    <s v="FORMA PAGTO/RECTO"/>
    <x v="2"/>
    <s v="TEXTO FORA DO PADRÃO ACEITO NO CAMPO"/>
    <s v="INDEFINIDO"/>
    <x v="0"/>
    <s v="COLUNA I"/>
  </r>
  <r>
    <s v="SABRE"/>
    <m/>
    <x v="2"/>
    <n v="3283596"/>
    <x v="2"/>
    <d v="2025-03-06T14:13:00"/>
    <s v="QGLEFUT"/>
    <s v="QGLEFU"/>
    <s v="ConverterPagamentosRemark-&gt;Input string was not in a correct format.&lt;-MontarAccountinsHotel&lt;-ProcessarHotel&lt;-ProcessarItemFila[b]"/>
    <x v="613"/>
    <m/>
    <s v="FORMA PAGTO/RECTO"/>
    <x v="2"/>
    <s v="TEXTO FORA DO PADRÃO ACEITO NO CAMPO"/>
    <s v="INDEFINIDO"/>
    <x v="0"/>
    <s v="COLUNA I"/>
  </r>
  <r>
    <s v="SABRE"/>
    <m/>
    <x v="2"/>
    <n v="3283598"/>
    <x v="2"/>
    <d v="2025-03-06T14:17:00"/>
    <s v="JPSQEGT"/>
    <s v="JPSQEG"/>
    <s v="ConverterPagamentosRemark-&gt;Input string was not in a correct format.&lt;-MontarAccountinsHotel&lt;-ProcessarHotel&lt;-ProcessarItemFila[b]"/>
    <x v="613"/>
    <m/>
    <s v="FORMA PAGTO/RECTO"/>
    <x v="2"/>
    <s v="TEXTO FORA DO PADRÃO ACEITO NO CAMPO"/>
    <s v="INDEFINIDO"/>
    <x v="0"/>
    <s v="COLUNA I"/>
  </r>
  <r>
    <s v="SABRE"/>
    <m/>
    <x v="2"/>
    <n v="3283727"/>
    <x v="2"/>
    <d v="2025-03-07T16:05:00"/>
    <s v="ITJFTH"/>
    <s v="ITJFTH"/>
    <s v="Não localizado cliente código [0004220155].&lt;-ObterCliente&lt;-MontarPnrBase&lt;-ProcessarAereo&lt;-ProcessarItemFila[b]"/>
    <x v="614"/>
    <d v="2025-03-07T19:19:00"/>
    <s v="CLIENTE"/>
    <x v="13"/>
    <s v="CÓDIGO DIFERENTE DO CADASTRADO NO BENNER (CLIENTE X GRUPO)"/>
    <s v="QUALIDADE DOS DADOS"/>
    <x v="0"/>
    <n v="1"/>
  </r>
  <r>
    <s v="RESOLVIDO"/>
    <m/>
    <x v="1"/>
    <n v="3283765"/>
    <x v="2"/>
    <d v="2025-03-06T15:33:00"/>
    <s v="WCLVBF"/>
    <s v="WCLVBF"/>
    <s v="Inserindo Accounting - (ExecSQL) - Could not convert variant of type (Null) into type (OleStr)"/>
    <x v="615"/>
    <m/>
    <s v="OUTROS"/>
    <x v="11"/>
    <s v=""/>
    <s v="SISTEMA"/>
    <x v="0"/>
    <s v="COLUNA I"/>
  </r>
  <r>
    <s v="RESOLVIDO"/>
    <m/>
    <x v="1"/>
    <n v="3283772"/>
    <x v="2"/>
    <d v="2025-03-06T15:35:00"/>
    <s v="ELPFFE"/>
    <s v="ELPFFE"/>
    <s v="Inserindo Accounting - (ExecSQL) - Could not convert variant of type (Null) into type (OleStr)"/>
    <x v="615"/>
    <m/>
    <s v="OUTROS"/>
    <x v="11"/>
    <s v=""/>
    <s v="SISTEMA"/>
    <x v="0"/>
    <s v="COLUNA I"/>
  </r>
  <r>
    <s v="SABRE"/>
    <m/>
    <x v="2"/>
    <n v="3283820"/>
    <x v="2"/>
    <d v="2025-03-06T15:56:00"/>
    <s v="UTIVDFT"/>
    <s v="UTIVDF"/>
    <s v="ConverterPagamentosRemark-&gt;Input string was not in a correct format.&lt;-MontarAccountinsHotel&lt;-ProcessarHotel&lt;-ProcessarItemFila[b]"/>
    <x v="616"/>
    <m/>
    <s v="FORMA PAGTO/RECTO"/>
    <x v="2"/>
    <s v="TEXTO FORA DO PADRÃO ACEITO NO CAMPO"/>
    <s v="INDEFINIDO"/>
    <x v="0"/>
    <s v="COLUNA I"/>
  </r>
  <r>
    <s v="SABRE"/>
    <m/>
    <x v="2"/>
    <n v="3284942"/>
    <x v="2"/>
    <d v="2025-03-07T07:58:00"/>
    <s v="LGGVGV"/>
    <s v="LGGVGV"/>
    <s v="Não localizado cliente código [0004223565].&lt;-ObterCliente&lt;-MontarPnrBase&lt;-ProcessarAereo&lt;-ProcessarItemFila[b]"/>
    <x v="617"/>
    <m/>
    <s v="CLIENTE"/>
    <x v="13"/>
    <s v="CÓDIGO DIFERENTE DO CADASTRADO NO BENNER (CLIENTE X GRUPO)"/>
    <s v="QUALIDADE DOS DADOS"/>
    <x v="0"/>
    <n v="1"/>
  </r>
  <r>
    <s v="SABRE"/>
    <m/>
    <x v="2"/>
    <n v="3285114"/>
    <x v="2"/>
    <d v="2025-03-07T09:04:00"/>
    <s v="UQORJQ"/>
    <s v="UQORJQ"/>
    <s v="Não localizado cliente código [0004220155].&lt;-ObterCliente&lt;-MontarPnrBase&lt;-ProcessarAereo&lt;-ProcessarItemFila[b]"/>
    <x v="618"/>
    <m/>
    <s v="CLIENTE"/>
    <x v="13"/>
    <s v="CÓDIGO DIFERENTE DO CADASTRADO NO BENNER (CLIENTE X GRUPO)"/>
    <s v="QUALIDADE DOS DADOS"/>
    <x v="0"/>
    <n v="1"/>
  </r>
  <r>
    <s v="SABRE"/>
    <m/>
    <x v="2"/>
    <n v="3285124"/>
    <x v="2"/>
    <d v="2025-03-07T09:04:00"/>
    <s v="LHHLOX"/>
    <s v="LHHLOX"/>
    <s v="Não localizado cliente código [0004224627].&lt;-ObterCliente&lt;-MontarPnrBase&lt;-ProcessarAereo&lt;-ProcessarItemFila[b]"/>
    <x v="619"/>
    <m/>
    <s v="CLIENTE"/>
    <x v="13"/>
    <s v="CÓDIGO DIFERENTE DO CADASTRADO NO BENNER (CLIENTE X GRUPO)"/>
    <s v="QUALIDADE DOS DADOS"/>
    <x v="0"/>
    <n v="1"/>
  </r>
  <r>
    <s v="SABRE"/>
    <m/>
    <x v="2"/>
    <n v="3285128"/>
    <x v="2"/>
    <d v="2025-03-07T09:04:00"/>
    <s v="SZOYOO"/>
    <s v="SZOYOO"/>
    <s v="Código de cliente não identificado&lt;-ObterCliente&lt;-MontarPnrBase&lt;-ProcessarAereo&lt;-ProcessarItemFila[b]"/>
    <x v="620"/>
    <m/>
    <s v="CLIENTE"/>
    <x v="14"/>
    <s v="DK DE CLIENTE NÃO PREENCIDO / CLIENTE NÃO CONFIGURADO NO OBT"/>
    <s v="INDEFINIDO"/>
    <x v="1"/>
    <s v="COLUNA I"/>
  </r>
  <r>
    <s v="SABRE"/>
    <m/>
    <x v="2"/>
    <n v="3285212"/>
    <x v="2"/>
    <d v="2025-03-07T09:53:00"/>
    <s v="LUVDJST"/>
    <s v="LUVDJS"/>
    <s v="ConverterPagamentosRemark-&gt;Input string was not in a correct format.&lt;-MontarAccountinsHotel&lt;-ProcessarHotel&lt;-ProcessarItemFila[b]"/>
    <x v="621"/>
    <m/>
    <s v="FORMA PAGTO/RECTO"/>
    <x v="2"/>
    <s v="TEXTO FORA DO PADRÃO ACEITO NO CAMPO"/>
    <s v="INDEFINIDO"/>
    <x v="0"/>
    <s v="COLUNA I"/>
  </r>
  <r>
    <s v="SABRE"/>
    <m/>
    <x v="2"/>
    <n v="3285213"/>
    <x v="2"/>
    <d v="2025-03-07T10:03:00"/>
    <s v="WMOMKWT"/>
    <s v="WMOMKW"/>
    <s v="ConverterPagamentosRemark-&gt;Input string was not in a correct format.&lt;-MontarAccountinsHotel&lt;-ProcessarHotel&lt;-ProcessarItemFila[b]"/>
    <x v="621"/>
    <m/>
    <s v="FORMA PAGTO/RECTO"/>
    <x v="2"/>
    <s v="TEXTO FORA DO PADRÃO ACEITO NO CAMPO"/>
    <s v="INDEFINIDO"/>
    <x v="0"/>
    <s v="COLUNA I"/>
  </r>
  <r>
    <s v="SABRE"/>
    <m/>
    <x v="2"/>
    <n v="3285237"/>
    <x v="2"/>
    <d v="2025-03-07T10:04:00"/>
    <s v="UPIQIAT"/>
    <s v="UPIQIA"/>
    <s v="ConverterPagamentosRemark-&gt;Input string was not in a correct format.&lt;-MontarAccountinsHotel&lt;-ProcessarHotel&lt;-ProcessarItemFila[b]"/>
    <x v="622"/>
    <m/>
    <s v="FORMA PAGTO/RECTO"/>
    <x v="2"/>
    <s v="TEXTO FORA DO PADRÃO ACEITO NO CAMPO"/>
    <s v="INDEFINIDO"/>
    <x v="0"/>
    <s v="COLUNA I"/>
  </r>
  <r>
    <s v="SABRE"/>
    <m/>
    <x v="2"/>
    <n v="3285531"/>
    <x v="2"/>
    <d v="2025-03-07T11:37:00"/>
    <s v="DMNUOK"/>
    <s v="DMNUOK"/>
    <s v="Não localizado cliente código [0004222573].&lt;-ObterCliente&lt;-MontarPnrBase&lt;-ProcessarAereo&lt;-ProcessarItemFila[b]"/>
    <x v="623"/>
    <m/>
    <s v="CLIENTE"/>
    <x v="13"/>
    <s v="CÓDIGO DIFERENTE DO CADASTRADO NO BENNER (CLIENTE X GRUPO)"/>
    <s v="QUALIDADE DOS DADOS"/>
    <x v="0"/>
    <n v="1"/>
  </r>
  <r>
    <s v="TMS"/>
    <m/>
    <x v="2"/>
    <n v="3285727"/>
    <x v="1"/>
    <d v="2025-03-07T13:19:00"/>
    <n v="35197"/>
    <n v="35197"/>
    <s v="Inserindo PNR - Accountings - TurVendas - Não foi possível localizar o contrato do fornecedor F3"/>
    <x v="624"/>
    <d v="2025-03-10T22:14:00"/>
    <s v="FORNECEDOR"/>
    <x v="10"/>
    <s v="CONTRATO INATIVO OU DIVERGENTE"/>
    <s v="SISTEMA"/>
    <x v="1"/>
    <n v="43"/>
  </r>
  <r>
    <s v="SABRE"/>
    <m/>
    <x v="2"/>
    <n v="3285916"/>
    <x v="2"/>
    <d v="2025-03-07T12:39:00"/>
    <s v="JOQSEU"/>
    <s v="JOQSEU"/>
    <s v="Não localizado cliente código [0000068777].&lt;-ObterCliente&lt;-MontarPnrBase&lt;-ProcessarAereo&lt;-ProcessarItemFila[b]"/>
    <x v="625"/>
    <m/>
    <s v="CLIENTE"/>
    <x v="13"/>
    <s v="CÓDIGO DIFERENTE DO CADASTRADO NO BENNER (CLIENTE X GRUPO)"/>
    <s v="QUALIDADE DOS DADOS"/>
    <x v="0"/>
    <n v="1"/>
  </r>
  <r>
    <s v="SABRE"/>
    <m/>
    <x v="2"/>
    <n v="3286269"/>
    <x v="2"/>
    <d v="2025-03-07T16:19:00"/>
    <s v="EVUJUT"/>
    <s v="EVUJUT"/>
    <s v="Código de cliente não identificado&lt;-ObterCliente&lt;-MontarPnrBase&lt;-ProcessarAereo&lt;-ProcessarItemFila[b]"/>
    <x v="626"/>
    <d v="2025-03-07T19:33:00"/>
    <s v="CLIENTE"/>
    <x v="14"/>
    <s v="DK DE CLIENTE NÃO PREENCIDO / CLIENTE NÃO CONFIGURADO NO OBT"/>
    <s v="INDEFINIDO"/>
    <x v="1"/>
    <s v="COLUNA I"/>
  </r>
  <r>
    <s v="SABRE"/>
    <m/>
    <x v="2"/>
    <n v="3286573"/>
    <x v="2"/>
    <d v="2025-03-07T15:01:00"/>
    <s v="UCBWIHT"/>
    <s v="UCBWIH"/>
    <s v="ConverterPagamentosRemark-&gt;Input string was not in a correct format.&lt;-MontarAccountinsHotel&lt;-ProcessarHotel&lt;-ProcessarItemFila[b]"/>
    <x v="627"/>
    <m/>
    <s v="FORMA PAGTO/RECTO"/>
    <x v="2"/>
    <s v="TEXTO FORA DO PADRÃO ACEITO NO CAMPO"/>
    <s v="INDEFINIDO"/>
    <x v="0"/>
    <s v="COLUNA I"/>
  </r>
  <r>
    <s v="SABRE"/>
    <m/>
    <x v="2"/>
    <n v="3286574"/>
    <x v="2"/>
    <d v="2025-03-07T15:01:00"/>
    <s v="LCITVFT"/>
    <s v="LCITVF"/>
    <s v="ConverterPagamentosRemark-&gt;Input string was not in a correct format.&lt;-MontarAccountinsHotel&lt;-ProcessarHotel&lt;-ProcessarItemFila[b]"/>
    <x v="627"/>
    <m/>
    <s v="FORMA PAGTO/RECTO"/>
    <x v="2"/>
    <s v="TEXTO FORA DO PADRÃO ACEITO NO CAMPO"/>
    <s v="INDEFINIDO"/>
    <x v="0"/>
    <s v="COLUNA I"/>
  </r>
  <r>
    <s v="SABRE"/>
    <m/>
    <x v="2"/>
    <n v="3286613"/>
    <x v="2"/>
    <d v="2025-03-07T15:10:00"/>
    <s v="HITPZGT"/>
    <s v="HITPZG"/>
    <s v="ConverterPagamentosRemark-&gt;Input string was not in a correct format.&lt;-MontarAccountinsHotel&lt;-ProcessarHotel&lt;-ProcessarItemFila[b]"/>
    <x v="628"/>
    <m/>
    <s v="FORMA PAGTO/RECTO"/>
    <x v="2"/>
    <s v="TEXTO FORA DO PADRÃO ACEITO NO CAMPO"/>
    <s v="INDEFINIDO"/>
    <x v="0"/>
    <s v="COLUNA I"/>
  </r>
  <r>
    <s v="SABRE"/>
    <m/>
    <x v="2"/>
    <n v="3286791"/>
    <x v="2"/>
    <d v="2025-03-10T10:22:00"/>
    <s v="UOBPZR"/>
    <s v="UOBPZR"/>
    <s v="Inserindo Accounting - (ExecSQL) - Could not convert variant of type (Null) into type (OleStr)"/>
    <x v="629"/>
    <d v="2025-03-10T12:34:00"/>
    <s v="OUTROS"/>
    <x v="11"/>
    <s v=""/>
    <s v="SISTEMA"/>
    <x v="0"/>
    <s v="COLUNA I"/>
  </r>
  <r>
    <s v="SABRE"/>
    <m/>
    <x v="2"/>
    <n v="3286792"/>
    <x v="2"/>
    <d v="2025-03-10T15:26:00"/>
    <s v="UDCTYZ"/>
    <s v="UDCTYZ"/>
    <s v="Inserindo Accounting - (ExecSQL) - Could not convert variant of type (Null) into type (OleStr)"/>
    <x v="629"/>
    <d v="2025-03-10T17:34:00"/>
    <s v="OUTROS"/>
    <x v="11"/>
    <s v=""/>
    <s v="SISTEMA"/>
    <x v="0"/>
    <s v="COLUNA I"/>
  </r>
  <r>
    <s v="SABRE"/>
    <m/>
    <x v="2"/>
    <n v="3286793"/>
    <x v="2"/>
    <d v="2025-03-10T15:27:00"/>
    <s v="WJCCDN"/>
    <s v="WJCCDN"/>
    <s v="Inserindo Accounting - (ExecSQL) - Could not convert variant of type (Null) into type (OleStr)"/>
    <x v="629"/>
    <d v="2025-03-10T17:34:00"/>
    <s v="OUTROS"/>
    <x v="11"/>
    <s v=""/>
    <s v="SISTEMA"/>
    <x v="0"/>
    <s v="COLUNA I"/>
  </r>
  <r>
    <s v="SABRE"/>
    <m/>
    <x v="2"/>
    <n v="3286794"/>
    <x v="2"/>
    <d v="2025-03-10T15:27:00"/>
    <s v="WTYGUZ"/>
    <s v="WTYGUZ"/>
    <s v="Não localizado cliente código [0004222573].&lt;-ObterCliente&lt;-MontarPnrBase&lt;-ProcessarAereo&lt;-ProcessarItemFila[b]"/>
    <x v="629"/>
    <d v="2025-03-10T17:34:00"/>
    <s v="CLIENTE"/>
    <x v="13"/>
    <s v="CÓDIGO DIFERENTE DO CADASTRADO NO BENNER (CLIENTE X GRUPO)"/>
    <s v="QUALIDADE DOS DADOS"/>
    <x v="0"/>
    <n v="1"/>
  </r>
  <r>
    <s v="RESOLVIDO"/>
    <m/>
    <x v="1"/>
    <n v="3286826"/>
    <x v="1"/>
    <d v="2025-03-07T17:26:00"/>
    <n v="5367"/>
    <n v="5367"/>
    <s v="Preenchendo XML Serviço-&gt; Preenchendo XML-&gt; Montando accounting aereo 2-&gt;Não foi informado o Localizador do Assento/Bagagem!"/>
    <x v="630"/>
    <d v="2025-03-10T21:34:00"/>
    <s v="OUTROS"/>
    <x v="15"/>
    <s v="CAMPO OBSERVAÇÃO PREENCHIDO INCORRETAMENTE"/>
    <s v="QUALIDADE DOS DADOS"/>
    <x v="1"/>
    <n v="118"/>
  </r>
  <r>
    <s v="SABRE"/>
    <m/>
    <x v="2"/>
    <n v="3287018"/>
    <x v="2"/>
    <d v="2025-03-07T17:41:00"/>
    <s v="LHVSCV"/>
    <s v="LHVSCV"/>
    <s v="Não localizado cliente código [1234567890].&lt;-ObterCliente&lt;-MontarPnrBase&lt;-ProcessarAereo&lt;-ProcessarItemFila[b]"/>
    <x v="631"/>
    <m/>
    <s v="CLIENTE"/>
    <x v="13"/>
    <s v="CÓDIGO DIFERENTE DO CADASTRADO NO BENNER (CLIENTE X GRUPO)"/>
    <s v="QUALIDADE DOS DADOS"/>
    <x v="0"/>
    <n v="1"/>
  </r>
  <r>
    <s v="SABRE"/>
    <m/>
    <x v="2"/>
    <n v="3287021"/>
    <x v="2"/>
    <d v="2025-03-07T17:41:00"/>
    <s v="SXOFEP"/>
    <s v="SXOFEP"/>
    <s v="Não localizado cliente código [0004223565].&lt;-ObterCliente&lt;-MontarPnrBase&lt;-ProcessarAereo&lt;-ProcessarItemFila[b]"/>
    <x v="631"/>
    <m/>
    <s v="CLIENTE"/>
    <x v="13"/>
    <s v="CÓDIGO DIFERENTE DO CADASTRADO NO BENNER (CLIENTE X GRUPO)"/>
    <s v="QUALIDADE DOS DADOS"/>
    <x v="0"/>
    <n v="1"/>
  </r>
  <r>
    <s v="SABRE"/>
    <m/>
    <x v="2"/>
    <n v="3287024"/>
    <x v="2"/>
    <d v="2025-03-07T17:41:00"/>
    <s v="LFAPRV"/>
    <s v="LFAPRV"/>
    <s v="Código de cliente não identificado&lt;-ObterCliente&lt;-MontarPnrBase&lt;-ProcessarAereo&lt;-ProcessarItemFila[b]"/>
    <x v="631"/>
    <m/>
    <s v="CLIENTE"/>
    <x v="14"/>
    <s v="DK DE CLIENTE NÃO PREENCIDO / CLIENTE NÃO CONFIGURADO NO OBT"/>
    <s v="INDEFINIDO"/>
    <x v="1"/>
    <s v="COLUNA I"/>
  </r>
  <r>
    <s v="SABRE"/>
    <m/>
    <x v="2"/>
    <n v="3287051"/>
    <x v="2"/>
    <d v="2025-03-10T14:59:00"/>
    <s v="SXSZQK"/>
    <s v="SXSZQK"/>
    <s v="Código de cliente não identificado&lt;-ObterCliente&lt;-MontarPnrBase&lt;-ProcessarAereo&lt;-ProcessarItemFila[b]"/>
    <x v="632"/>
    <d v="2025-03-10T17:05:00"/>
    <s v="CLIENTE"/>
    <x v="14"/>
    <s v="DK DE CLIENTE NÃO PREENCIDO / CLIENTE NÃO CONFIGURADO NO OBT"/>
    <s v="INDEFINIDO"/>
    <x v="1"/>
    <s v="COLUNA I"/>
  </r>
  <r>
    <s v="SABRE"/>
    <m/>
    <x v="2"/>
    <n v="3287088"/>
    <x v="2"/>
    <d v="2025-03-07T17:41:00"/>
    <s v="UNGBMW"/>
    <s v="UNGBMW"/>
    <s v="Não localizado cliente código [0004220155].&lt;-ObterCliente&lt;-MontarPnrBase&lt;-ProcessarAereo&lt;-ProcessarItemFila[b]"/>
    <x v="633"/>
    <m/>
    <s v="CLIENTE"/>
    <x v="13"/>
    <s v="CÓDIGO DIFERENTE DO CADASTRADO NO BENNER (CLIENTE X GRUPO)"/>
    <s v="QUALIDADE DOS DADOS"/>
    <x v="0"/>
    <n v="1"/>
  </r>
  <r>
    <s v="SABRE"/>
    <m/>
    <x v="2"/>
    <n v="3287105"/>
    <x v="2"/>
    <d v="2025-03-11T09:04:00"/>
    <s v="LBYAFH"/>
    <s v="LBYAFH"/>
    <s v="Não localizado cliente código [0004222573].&lt;-ObterCliente&lt;-MontarPnrBase&lt;-ProcessarAereo&lt;-ProcessarItemFila[b]"/>
    <x v="634"/>
    <d v="2025-03-11T11:08:00"/>
    <s v="CLIENTE"/>
    <x v="13"/>
    <s v="CÓDIGO DIFERENTE DO CADASTRADO NO BENNER (CLIENTE X GRUPO)"/>
    <s v="QUALIDADE DOS DADOS"/>
    <x v="0"/>
    <n v="1"/>
  </r>
  <r>
    <s v="SABRE"/>
    <m/>
    <x v="2"/>
    <n v="3287108"/>
    <x v="2"/>
    <d v="2025-03-11T09:10:00"/>
    <s v="UBHGVV"/>
    <s v="UBHGVV"/>
    <s v="Não localizado cliente código [0004223565].&lt;-ObterCliente&lt;-MontarPnrBase&lt;-ProcessarAereo&lt;-ProcessarItemFila[b]"/>
    <x v="635"/>
    <d v="2025-03-11T11:23:00"/>
    <s v="CLIENTE"/>
    <x v="13"/>
    <s v="CÓDIGO DIFERENTE DO CADASTRADO NO BENNER (CLIENTE X GRUPO)"/>
    <s v="QUALIDADE DOS DADOS"/>
    <x v="0"/>
    <n v="1"/>
  </r>
  <r>
    <s v="SABRE"/>
    <m/>
    <x v="2"/>
    <n v="3287112"/>
    <x v="2"/>
    <d v="2025-03-07T17:41:00"/>
    <s v="UCKBQX"/>
    <s v="UCKBQX"/>
    <s v="Não localizado cliente código [0004223565].&lt;-ObterCliente&lt;-MontarPnrBase&lt;-ProcessarAereo&lt;-ProcessarItemFila[b]"/>
    <x v="635"/>
    <m/>
    <s v="CLIENTE"/>
    <x v="13"/>
    <s v="CÓDIGO DIFERENTE DO CADASTRADO NO BENNER (CLIENTE X GRUPO)"/>
    <s v="QUALIDADE DOS DADOS"/>
    <x v="0"/>
    <n v="1"/>
  </r>
  <r>
    <s v="SABRE"/>
    <m/>
    <x v="2"/>
    <n v="3287115"/>
    <x v="2"/>
    <d v="2025-03-07T17:41:00"/>
    <s v="WKONBP"/>
    <s v="WKONBP"/>
    <s v="Não localizado cliente código [0000583808].&lt;-ObterCliente&lt;-MontarPnrBase&lt;-ProcessarAereo&lt;-ProcessarItemFila[b]"/>
    <x v="635"/>
    <m/>
    <s v="CLIENTE"/>
    <x v="13"/>
    <s v="CÓDIGO DIFERENTE DO CADASTRADO NO BENNER (CLIENTE X GRUPO)"/>
    <s v="QUALIDADE DOS DADOS"/>
    <x v="0"/>
    <n v="1"/>
  </r>
  <r>
    <s v="SABRE"/>
    <m/>
    <x v="2"/>
    <n v="3287116"/>
    <x v="2"/>
    <d v="2025-03-11T09:21:00"/>
    <s v="MEZZEF"/>
    <s v="MEZZEF"/>
    <s v="Não localizado cliente código [0004222573].&lt;-ObterCliente&lt;-MontarPnrBase&lt;-ProcessarAereo&lt;-ProcessarItemFila[b]"/>
    <x v="635"/>
    <d v="2025-03-11T11:24:00"/>
    <s v="CLIENTE"/>
    <x v="13"/>
    <s v="CÓDIGO DIFERENTE DO CADASTRADO NO BENNER (CLIENTE X GRUPO)"/>
    <s v="QUALIDADE DOS DADOS"/>
    <x v="0"/>
    <n v="1"/>
  </r>
  <r>
    <s v="SABRE"/>
    <m/>
    <x v="2"/>
    <n v="3287129"/>
    <x v="2"/>
    <d v="2025-03-07T17:41:00"/>
    <s v="SWCRTD"/>
    <s v="SWCRTD"/>
    <s v="Não localizado cliente código [1234567890].&lt;-ObterCliente&lt;-MontarPnrBase&lt;-ProcessarAereo&lt;-ProcessarItemFila[b]"/>
    <x v="636"/>
    <m/>
    <s v="CLIENTE"/>
    <x v="13"/>
    <s v="CÓDIGO DIFERENTE DO CADASTRADO NO BENNER (CLIENTE X GRUPO)"/>
    <s v="QUALIDADE DOS DADOS"/>
    <x v="0"/>
    <n v="1"/>
  </r>
  <r>
    <s v="SABRE"/>
    <m/>
    <x v="2"/>
    <n v="3287133"/>
    <x v="2"/>
    <d v="2025-03-11T09:42:00"/>
    <s v="GMHDRN"/>
    <s v="GMHDRN"/>
    <s v="Não localizado cliente código [0004224627].&lt;-ObterCliente&lt;-MontarPnrBase&lt;-ProcessarAereo&lt;-ProcessarItemFila[b]"/>
    <x v="636"/>
    <d v="2025-03-11T11:55:00"/>
    <s v="CLIENTE"/>
    <x v="13"/>
    <s v="CÓDIGO DIFERENTE DO CADASTRADO NO BENNER (CLIENTE X GRUPO)"/>
    <s v="QUALIDADE DOS DADOS"/>
    <x v="0"/>
    <n v="1"/>
  </r>
  <r>
    <s v="SABRE"/>
    <m/>
    <x v="2"/>
    <n v="3287137"/>
    <x v="2"/>
    <d v="2025-03-07T17:41:00"/>
    <s v="MFIMZW"/>
    <s v="MFIMZW"/>
    <s v="Não localizado cliente código [1234567890].&lt;-ObterCliente&lt;-MontarPnrBase&lt;-ProcessarAereo&lt;-ProcessarItemFila[b]"/>
    <x v="637"/>
    <m/>
    <s v="CLIENTE"/>
    <x v="13"/>
    <s v="CÓDIGO DIFERENTE DO CADASTRADO NO BENNER (CLIENTE X GRUPO)"/>
    <s v="QUALIDADE DOS DADOS"/>
    <x v="0"/>
    <n v="1"/>
  </r>
  <r>
    <s v="SABRE"/>
    <m/>
    <x v="2"/>
    <n v="3287140"/>
    <x v="2"/>
    <d v="2025-03-07T17:41:00"/>
    <s v="UCQZPS"/>
    <s v="UCQZPS"/>
    <s v="Não localizado cliente código [0000392619].&lt;-ObterCliente&lt;-MontarPnrBase&lt;-ProcessarAereo&lt;-ProcessarItemFila[b]"/>
    <x v="637"/>
    <m/>
    <s v="CLIENTE"/>
    <x v="13"/>
    <s v="CÓDIGO DIFERENTE DO CADASTRADO NO BENNER (CLIENTE X GRUPO)"/>
    <s v="QUALIDADE DOS DADOS"/>
    <x v="0"/>
    <n v="1"/>
  </r>
  <r>
    <s v="SABRE"/>
    <m/>
    <x v="2"/>
    <n v="3287148"/>
    <x v="2"/>
    <d v="2025-03-11T18:30:00"/>
    <s v="QCUJEE"/>
    <s v="QCUJEE"/>
    <s v="Não localizado cliente código [0004222573].&lt;-ObterCliente&lt;-MontarPnrBase&lt;-ProcessarAereo&lt;-ProcessarItemFila[b]"/>
    <x v="637"/>
    <d v="2025-03-11T20:33:00"/>
    <s v="CLIENTE"/>
    <x v="13"/>
    <s v="CÓDIGO DIFERENTE DO CADASTRADO NO BENNER (CLIENTE X GRUPO)"/>
    <s v="QUALIDADE DOS DADOS"/>
    <x v="0"/>
    <n v="1"/>
  </r>
  <r>
    <s v="SABRE"/>
    <m/>
    <x v="2"/>
    <n v="3287152"/>
    <x v="2"/>
    <d v="2025-03-07T17:41:00"/>
    <s v="JZLHWJ"/>
    <s v="JZLHWJ"/>
    <s v="Não localizado cliente código [0000392619].&lt;-ObterCliente&lt;-MontarPnrBase&lt;-ProcessarAereo&lt;-ProcessarItemFila[b]"/>
    <x v="637"/>
    <m/>
    <s v="CLIENTE"/>
    <x v="13"/>
    <s v="CÓDIGO DIFERENTE DO CADASTRADO NO BENNER (CLIENTE X GRUPO)"/>
    <s v="QUALIDADE DOS DADOS"/>
    <x v="0"/>
    <n v="1"/>
  </r>
  <r>
    <s v="SABRE"/>
    <m/>
    <x v="2"/>
    <n v="3287153"/>
    <x v="2"/>
    <d v="2025-03-07T17:41:00"/>
    <s v="CKZXRP"/>
    <s v="CKZXRP"/>
    <s v="Não localizado cliente código [0000392619].&lt;-ObterCliente&lt;-MontarPnrBase&lt;-ProcessarAereo&lt;-ProcessarItemFila[b]"/>
    <x v="638"/>
    <m/>
    <s v="CLIENTE"/>
    <x v="13"/>
    <s v="CÓDIGO DIFERENTE DO CADASTRADO NO BENNER (CLIENTE X GRUPO)"/>
    <s v="QUALIDADE DOS DADOS"/>
    <x v="0"/>
    <n v="1"/>
  </r>
  <r>
    <s v="SABRE"/>
    <m/>
    <x v="2"/>
    <n v="3288296"/>
    <x v="2"/>
    <d v="2025-03-13T08:36:00"/>
    <s v="DMKMLI"/>
    <s v="DMKMLI"/>
    <s v="Não localizado cliente código [0000068435].&lt;-ObterCliente&lt;-MontarPnrBase&lt;-ProcessarAereo&lt;-ProcessarItemFila[b]"/>
    <x v="639"/>
    <d v="2025-03-13T10:48:00"/>
    <s v="CLIENTE"/>
    <x v="13"/>
    <s v="CÓDIGO DIFERENTE DO CADASTRADO NO BENNER (CLIENTE X GRUPO)"/>
    <s v="QUALIDADE DOS DADOS"/>
    <x v="0"/>
    <n v="1"/>
  </r>
  <r>
    <s v="SABRE"/>
    <m/>
    <x v="2"/>
    <n v="3288566"/>
    <x v="2"/>
    <d v="2025-03-10T10:18:00"/>
    <s v="MFWGAQ"/>
    <s v="MFWGAQ"/>
    <s v="Não localizado cliente código [0000068777].&lt;-ObterCliente&lt;-MontarPnrBase&lt;-ProcessarAereo&lt;-ProcessarItemFila[b]"/>
    <x v="640"/>
    <m/>
    <s v="CLIENTE"/>
    <x v="13"/>
    <s v="CÓDIGO DIFERENTE DO CADASTRADO NO BENNER (CLIENTE X GRUPO)"/>
    <s v="QUALIDADE DOS DADOS"/>
    <x v="0"/>
    <n v="1"/>
  </r>
  <r>
    <s v="SABRE"/>
    <m/>
    <x v="2"/>
    <n v="3288567"/>
    <x v="2"/>
    <d v="2025-03-10T10:18:00"/>
    <s v="MFWGAQT"/>
    <s v="MFWGAQ"/>
    <s v="Não localizado cliente código [0000068777].&lt;-ObterCliente&lt;-MontarPnrBase&lt;-MontarPnr&lt;-ProcessarHotel&lt;-ProcessarItemFila[b]"/>
    <x v="640"/>
    <m/>
    <s v="CLIENTE"/>
    <x v="13"/>
    <s v="CÓDIGO DIFERENTE DO CADASTRADO NO BENNER (CLIENTE X GRUPO)"/>
    <s v="QUALIDADE DOS DADOS"/>
    <x v="0"/>
    <n v="1"/>
  </r>
  <r>
    <s v="SABRE"/>
    <m/>
    <x v="2"/>
    <n v="3288748"/>
    <x v="2"/>
    <d v="2025-03-10T11:32:00"/>
    <s v="DJEATW"/>
    <s v="DJEATW"/>
    <s v="Código de cliente não identificado&lt;-ObterCliente&lt;-MontarPnrBase&lt;-ProcessarAereo&lt;-ProcessarItemFila[b]"/>
    <x v="641"/>
    <m/>
    <s v="CLIENTE"/>
    <x v="14"/>
    <s v="DK DE CLIENTE NÃO PREENCIDO / CLIENTE NÃO CONFIGURADO NO OBT"/>
    <s v="INDEFINIDO"/>
    <x v="1"/>
    <s v="COLUNA I"/>
  </r>
  <r>
    <s v="SABRE"/>
    <m/>
    <x v="2"/>
    <n v="3288750"/>
    <x v="2"/>
    <d v="2025-03-10T11:32:00"/>
    <s v="OQYIXA"/>
    <s v="OQYIXA"/>
    <s v="Não localizado cliente código [0000583831].&lt;-ObterCliente&lt;-MontarPnrBase&lt;-ProcessarAereo&lt;-ProcessarItemFila[b]"/>
    <x v="641"/>
    <m/>
    <s v="CLIENTE"/>
    <x v="13"/>
    <s v="CÓDIGO DIFERENTE DO CADASTRADO NO BENNER (CLIENTE X GRUPO)"/>
    <s v="QUALIDADE DOS DADOS"/>
    <x v="0"/>
    <n v="1"/>
  </r>
  <r>
    <s v="SABRE"/>
    <m/>
    <x v="2"/>
    <n v="3288751"/>
    <x v="2"/>
    <d v="2025-03-10T11:32:00"/>
    <s v="OIWLZE"/>
    <s v="OIWLZE"/>
    <s v="Não localizado cliente código [0000583831].&lt;-ObterCliente&lt;-MontarPnrBase&lt;-ProcessarAereo&lt;-ProcessarItemFila[b]"/>
    <x v="641"/>
    <m/>
    <s v="CLIENTE"/>
    <x v="13"/>
    <s v="CÓDIGO DIFERENTE DO CADASTRADO NO BENNER (CLIENTE X GRUPO)"/>
    <s v="QUALIDADE DOS DADOS"/>
    <x v="0"/>
    <n v="1"/>
  </r>
  <r>
    <s v="SABRE"/>
    <m/>
    <x v="2"/>
    <n v="3288752"/>
    <x v="2"/>
    <d v="2025-03-10T11:32:00"/>
    <s v="CESHHN"/>
    <s v="CESHHN"/>
    <s v="Código de cliente não identificado&lt;-ObterCliente&lt;-MontarPnrBase&lt;-ProcessarAereo&lt;-ProcessarItemFila[b]"/>
    <x v="641"/>
    <m/>
    <s v="CLIENTE"/>
    <x v="14"/>
    <s v="DK DE CLIENTE NÃO PREENCIDO / CLIENTE NÃO CONFIGURADO NO OBT"/>
    <s v="INDEFINIDO"/>
    <x v="1"/>
    <s v="COLUNA I"/>
  </r>
  <r>
    <s v="RESOLVIDO"/>
    <m/>
    <x v="1"/>
    <n v="3288756"/>
    <x v="2"/>
    <d v="2025-03-18T16:43:00"/>
    <s v="CGHSYW"/>
    <s v="CGHSYW"/>
    <s v="Verificando Trechos - Excluindo Trechos - Could not convert variant of type (Null) into type (OleStr)"/>
    <x v="642"/>
    <d v="2025-03-18T18:55:00"/>
    <s v="OUTROS"/>
    <x v="11"/>
    <s v=""/>
    <s v="SISTEMA"/>
    <x v="0"/>
    <s v="COLUNA I"/>
  </r>
  <r>
    <s v="TMS"/>
    <m/>
    <x v="2"/>
    <n v="3289013"/>
    <x v="1"/>
    <d v="2025-03-10T14:14:00"/>
    <n v="56419"/>
    <n v="56419"/>
    <s v="Preenchendo XML Serviço-&gt; Preenchendo XML-&gt; Montando accounting aereo 2-&gt;Não foi informado o Localizador do Assento/Bagagem!"/>
    <x v="643"/>
    <d v="2025-03-13T22:43:00"/>
    <s v="OUTROS"/>
    <x v="15"/>
    <s v="CAMPO OBSERVAÇÃO PREENCHIDO INCORRETAMENTE"/>
    <s v="QUALIDADE DOS DADOS"/>
    <x v="1"/>
    <n v="118"/>
  </r>
  <r>
    <s v="SABRE"/>
    <m/>
    <x v="2"/>
    <n v="3289730"/>
    <x v="2"/>
    <d v="2025-03-10T15:27:00"/>
    <s v="KYBRMG"/>
    <s v="KYBRMG"/>
    <s v="Não localizado cliente código [0000068435].&lt;-ObterCliente&lt;-MontarPnrBase&lt;-ProcessarAereo&lt;-ProcessarItemFila[b]"/>
    <x v="644"/>
    <m/>
    <s v="CLIENTE"/>
    <x v="13"/>
    <s v="CÓDIGO DIFERENTE DO CADASTRADO NO BENNER (CLIENTE X GRUPO)"/>
    <s v="QUALIDADE DOS DADOS"/>
    <x v="0"/>
    <n v="1"/>
  </r>
  <r>
    <s v="SABRE"/>
    <m/>
    <x v="2"/>
    <n v="3290261"/>
    <x v="2"/>
    <d v="2025-03-10T17:23:00"/>
    <s v="GJQTHOT"/>
    <s v="GJQTHO"/>
    <s v="ConverterPagamentosRemark-&gt;Input string was not in a correct format.&lt;-MontarAccountinsHotel&lt;-ProcessarHotel&lt;-ProcessarItemFila[b]"/>
    <x v="645"/>
    <m/>
    <s v="FORMA PAGTO/RECTO"/>
    <x v="2"/>
    <s v="TEXTO FORA DO PADRÃO ACEITO NO CAMPO"/>
    <s v="INDEFINIDO"/>
    <x v="0"/>
    <s v="COLUNA I"/>
  </r>
  <r>
    <s v="SABRE"/>
    <m/>
    <x v="2"/>
    <n v="3290275"/>
    <x v="2"/>
    <d v="2025-03-11T09:54:00"/>
    <s v="OCQSJT"/>
    <s v="OCQSJT"/>
    <s v="Não localizado cliente código [0000068440].&lt;-ObterCliente&lt;-MontarPnrBase&lt;-ProcessarAereo&lt;-ProcessarItemFila[b]"/>
    <x v="646"/>
    <d v="2025-03-11T12:03:00"/>
    <s v="CLIENTE"/>
    <x v="13"/>
    <s v="CÓDIGO DIFERENTE DO CADASTRADO NO BENNER (CLIENTE X GRUPO)"/>
    <s v="QUALIDADE DOS DADOS"/>
    <x v="0"/>
    <n v="1"/>
  </r>
  <r>
    <s v="SABRE"/>
    <m/>
    <x v="2"/>
    <n v="3290284"/>
    <x v="2"/>
    <d v="2025-03-11T17:21:00"/>
    <s v="OOKFDY"/>
    <s v="OOKFDY"/>
    <s v="Não localizado cliente código [0004222573].&lt;-ObterCliente&lt;-MontarPnrBase&lt;-ProcessarAereo&lt;-ProcessarItemFila[b]"/>
    <x v="647"/>
    <d v="2025-03-11T19:36:00"/>
    <s v="CLIENTE"/>
    <x v="13"/>
    <s v="CÓDIGO DIFERENTE DO CADASTRADO NO BENNER (CLIENTE X GRUPO)"/>
    <s v="QUALIDADE DOS DADOS"/>
    <x v="0"/>
    <n v="1"/>
  </r>
  <r>
    <s v="SABRE"/>
    <m/>
    <x v="2"/>
    <n v="3290298"/>
    <x v="2"/>
    <d v="2025-03-11T17:37:00"/>
    <s v="YIFHCI"/>
    <s v="YIFHCI"/>
    <s v="Não localizado cliente código [0004222573].&lt;-ObterCliente&lt;-MontarPnrBase&lt;-ProcessarAereo&lt;-ProcessarItemFila[b]"/>
    <x v="648"/>
    <d v="2025-03-11T19:51:00"/>
    <s v="CLIENTE"/>
    <x v="13"/>
    <s v="CÓDIGO DIFERENTE DO CADASTRADO NO BENNER (CLIENTE X GRUPO)"/>
    <s v="QUALIDADE DOS DADOS"/>
    <x v="0"/>
    <n v="1"/>
  </r>
  <r>
    <s v="SABRE"/>
    <m/>
    <x v="2"/>
    <n v="3290301"/>
    <x v="2"/>
    <d v="2025-03-11T11:28:00"/>
    <s v="DDRQBF"/>
    <s v="DDRQBF"/>
    <s v="Não localizado cliente código [0004224627].&lt;-ObterCliente&lt;-MontarPnrBase&lt;-ProcessarAereo&lt;-ProcessarItemFila[b]"/>
    <x v="649"/>
    <d v="2025-03-11T13:33:00"/>
    <s v="CLIENTE"/>
    <x v="13"/>
    <s v="CÓDIGO DIFERENTE DO CADASTRADO NO BENNER (CLIENTE X GRUPO)"/>
    <s v="QUALIDADE DOS DADOS"/>
    <x v="0"/>
    <n v="1"/>
  </r>
  <r>
    <s v="SABRE"/>
    <m/>
    <x v="2"/>
    <n v="3290302"/>
    <x v="2"/>
    <d v="2025-03-11T10:30:00"/>
    <s v="EFNQPY"/>
    <s v="EFNQPY"/>
    <s v="Não localizado cliente código [0004224627].&lt;-ObterCliente&lt;-MontarPnrBase&lt;-ProcessarAereo&lt;-ProcessarItemFila[b]"/>
    <x v="649"/>
    <d v="2025-03-11T12:33:00"/>
    <s v="CLIENTE"/>
    <x v="13"/>
    <s v="CÓDIGO DIFERENTE DO CADASTRADO NO BENNER (CLIENTE X GRUPO)"/>
    <s v="QUALIDADE DOS DADOS"/>
    <x v="0"/>
    <n v="1"/>
  </r>
  <r>
    <s v="SABRE"/>
    <m/>
    <x v="2"/>
    <n v="3290308"/>
    <x v="2"/>
    <d v="2025-03-11T11:30:00"/>
    <s v="WTQLKO"/>
    <s v="WTQLKO"/>
    <s v="Não localizado cliente código [0004224627].&lt;-ObterCliente&lt;-MontarPnrBase&lt;-ProcessarAereo&lt;-ProcessarItemFila[b]"/>
    <x v="650"/>
    <d v="2025-03-11T13:34:00"/>
    <s v="CLIENTE"/>
    <x v="13"/>
    <s v="CÓDIGO DIFERENTE DO CADASTRADO NO BENNER (CLIENTE X GRUPO)"/>
    <s v="QUALIDADE DOS DADOS"/>
    <x v="0"/>
    <n v="1"/>
  </r>
  <r>
    <s v="SABRE"/>
    <m/>
    <x v="2"/>
    <n v="3290314"/>
    <x v="2"/>
    <d v="2025-03-10T18:10:00"/>
    <s v="JXNBBH"/>
    <s v="JXNBBH"/>
    <s v="Código de cliente não identificado&lt;-ObterCliente&lt;-MontarPnrBase&lt;-ProcessarAereo&lt;-ProcessarItemFila[b]"/>
    <x v="651"/>
    <m/>
    <s v="CLIENTE"/>
    <x v="14"/>
    <s v="DK DE CLIENTE NÃO PREENCIDO / CLIENTE NÃO CONFIGURADO NO OBT"/>
    <s v="INDEFINIDO"/>
    <x v="1"/>
    <s v="COLUNA I"/>
  </r>
  <r>
    <s v="SABRE"/>
    <m/>
    <x v="2"/>
    <n v="3290315"/>
    <x v="2"/>
    <d v="2025-03-10T18:10:00"/>
    <s v="IVPCZQ"/>
    <s v="IVPCZQ"/>
    <s v="Código de cliente não identificado&lt;-ObterCliente&lt;-MontarPnrBase&lt;-ProcessarAereo&lt;-ProcessarItemFila[b]"/>
    <x v="651"/>
    <m/>
    <s v="CLIENTE"/>
    <x v="14"/>
    <s v="DK DE CLIENTE NÃO PREENCIDO / CLIENTE NÃO CONFIGURADO NO OBT"/>
    <s v="INDEFINIDO"/>
    <x v="1"/>
    <s v="COLUNA I"/>
  </r>
  <r>
    <s v="SABRE"/>
    <m/>
    <x v="2"/>
    <n v="3290316"/>
    <x v="2"/>
    <d v="2025-03-10T18:10:00"/>
    <s v="GRILFA"/>
    <s v="GRILFA"/>
    <s v="Código de cliente não identificado&lt;-ObterCliente&lt;-MontarPnrBase&lt;-ProcessarAereo&lt;-ProcessarItemFila[b]"/>
    <x v="651"/>
    <m/>
    <s v="CLIENTE"/>
    <x v="14"/>
    <s v="DK DE CLIENTE NÃO PREENCIDO / CLIENTE NÃO CONFIGURADO NO OBT"/>
    <s v="INDEFINIDO"/>
    <x v="1"/>
    <s v="COLUNA I"/>
  </r>
  <r>
    <s v="SABRE"/>
    <m/>
    <x v="2"/>
    <n v="3290318"/>
    <x v="2"/>
    <d v="2025-03-10T18:10:00"/>
    <s v="HFDGEZ"/>
    <s v="HFDGEZ"/>
    <s v="Código de cliente não identificado&lt;-ObterCliente&lt;-MontarPnrBase&lt;-ProcessarAereo&lt;-ProcessarItemFila[b]"/>
    <x v="652"/>
    <m/>
    <s v="CLIENTE"/>
    <x v="14"/>
    <s v="DK DE CLIENTE NÃO PREENCIDO / CLIENTE NÃO CONFIGURADO NO OBT"/>
    <s v="INDEFINIDO"/>
    <x v="1"/>
    <s v="COLUNA I"/>
  </r>
  <r>
    <s v="SABRE"/>
    <m/>
    <x v="2"/>
    <n v="3290320"/>
    <x v="2"/>
    <d v="2025-03-10T18:10:00"/>
    <s v="ASJMFN"/>
    <s v="ASJMFN"/>
    <s v="Código de cliente não identificado&lt;-ObterCliente&lt;-MontarPnrBase&lt;-ProcessarAereo&lt;-ProcessarItemFila[b]"/>
    <x v="652"/>
    <m/>
    <s v="CLIENTE"/>
    <x v="14"/>
    <s v="DK DE CLIENTE NÃO PREENCIDO / CLIENTE NÃO CONFIGURADO NO OBT"/>
    <s v="INDEFINIDO"/>
    <x v="1"/>
    <s v="COLUNA I"/>
  </r>
  <r>
    <s v="SABRE"/>
    <m/>
    <x v="2"/>
    <n v="3290321"/>
    <x v="2"/>
    <d v="2025-03-10T18:10:00"/>
    <s v="HGXYIF"/>
    <s v="HGXYIF"/>
    <s v="Código de cliente não identificado&lt;-ObterCliente&lt;-MontarPnrBase&lt;-ProcessarAereo&lt;-ProcessarItemFila[b]"/>
    <x v="652"/>
    <m/>
    <s v="CLIENTE"/>
    <x v="14"/>
    <s v="DK DE CLIENTE NÃO PREENCIDO / CLIENTE NÃO CONFIGURADO NO OBT"/>
    <s v="INDEFINIDO"/>
    <x v="1"/>
    <s v="COLUNA I"/>
  </r>
  <r>
    <s v="SABRE"/>
    <m/>
    <x v="2"/>
    <n v="3290322"/>
    <x v="2"/>
    <d v="2025-03-10T18:10:00"/>
    <s v="GMIMMK"/>
    <s v="GMIMMK"/>
    <s v="Código de cliente não identificado&lt;-ObterCliente&lt;-MontarPnrBase&lt;-ProcessarAereo&lt;-ProcessarItemFila[b]"/>
    <x v="652"/>
    <m/>
    <s v="CLIENTE"/>
    <x v="14"/>
    <s v="DK DE CLIENTE NÃO PREENCIDO / CLIENTE NÃO CONFIGURADO NO OBT"/>
    <s v="INDEFINIDO"/>
    <x v="1"/>
    <s v="COLUNA I"/>
  </r>
  <r>
    <s v="SABRE"/>
    <m/>
    <x v="2"/>
    <n v="3290323"/>
    <x v="2"/>
    <d v="2025-03-10T18:10:00"/>
    <s v="OCZBOU"/>
    <s v="OCZBOU"/>
    <s v="Código de cliente não identificado&lt;-ObterCliente&lt;-MontarPnrBase&lt;-ProcessarAereo&lt;-ProcessarItemFila[b]"/>
    <x v="652"/>
    <m/>
    <s v="CLIENTE"/>
    <x v="14"/>
    <s v="DK DE CLIENTE NÃO PREENCIDO / CLIENTE NÃO CONFIGURADO NO OBT"/>
    <s v="INDEFINIDO"/>
    <x v="1"/>
    <s v="COLUNA I"/>
  </r>
  <r>
    <s v="SABRE"/>
    <m/>
    <x v="2"/>
    <n v="3290324"/>
    <x v="2"/>
    <d v="2025-03-10T18:10:00"/>
    <s v="NNLTYZ"/>
    <s v="NNLTYZ"/>
    <s v="Código de cliente não identificado&lt;-ObterCliente&lt;-MontarPnrBase&lt;-ProcessarAereo&lt;-ProcessarItemFila[b]"/>
    <x v="652"/>
    <m/>
    <s v="CLIENTE"/>
    <x v="14"/>
    <s v="DK DE CLIENTE NÃO PREENCIDO / CLIENTE NÃO CONFIGURADO NO OBT"/>
    <s v="INDEFINIDO"/>
    <x v="1"/>
    <s v="COLUNA I"/>
  </r>
  <r>
    <s v="SABRE"/>
    <m/>
    <x v="2"/>
    <n v="3290329"/>
    <x v="2"/>
    <d v="2025-03-10T18:10:00"/>
    <s v="KSHSUR"/>
    <s v="KSHSUR"/>
    <s v="Código de cliente não identificado&lt;-ObterCliente&lt;-MontarPnrBase&lt;-ProcessarAereo&lt;-ProcessarItemFila[b]"/>
    <x v="653"/>
    <m/>
    <s v="CLIENTE"/>
    <x v="14"/>
    <s v="DK DE CLIENTE NÃO PREENCIDO / CLIENTE NÃO CONFIGURADO NO OBT"/>
    <s v="INDEFINIDO"/>
    <x v="1"/>
    <s v="COLUNA I"/>
  </r>
  <r>
    <s v="SABRE"/>
    <m/>
    <x v="2"/>
    <n v="3290332"/>
    <x v="2"/>
    <d v="2025-03-10T18:10:00"/>
    <s v="OQYNMN"/>
    <s v="OQYNMN"/>
    <s v="Código de cliente não identificado&lt;-ObterCliente&lt;-MontarPnrBase&lt;-ProcessarAereo&lt;-ProcessarItemFila[b]"/>
    <x v="653"/>
    <m/>
    <s v="CLIENTE"/>
    <x v="14"/>
    <s v="DK DE CLIENTE NÃO PREENCIDO / CLIENTE NÃO CONFIGURADO NO OBT"/>
    <s v="INDEFINIDO"/>
    <x v="1"/>
    <s v="COLUNA I"/>
  </r>
  <r>
    <s v="TMS"/>
    <m/>
    <x v="2"/>
    <n v="3290731"/>
    <x v="1"/>
    <d v="2025-03-10T19:07:00"/>
    <n v="3130"/>
    <n v="3130"/>
    <s v="Preenchendo XML Serviço-&gt; Preenchendo XML-&gt; Montando accounting aereo 3-&gt;Reserva Assent não encontrada para importar assento/bagagem!"/>
    <x v="654"/>
    <d v="2025-03-13T23:12:00"/>
    <s v="OUTROS"/>
    <x v="15"/>
    <s v="CAMPO OBSERVAÇÃO PREENCHIDO INCORRETAMENTE"/>
    <s v="QUALIDADE DOS DADOS"/>
    <x v="1"/>
    <n v="127"/>
  </r>
  <r>
    <s v="TMS"/>
    <m/>
    <x v="2"/>
    <n v="3290732"/>
    <x v="1"/>
    <d v="2025-03-10T19:09:00"/>
    <n v="3129"/>
    <n v="3129"/>
    <s v="Preenchendo XML Serviço-&gt; Preenchendo XML-&gt; Montando accounting aereo 3-&gt;Reserva Assent não encontrada para importar assento/bagagem!"/>
    <x v="654"/>
    <d v="2025-03-13T23:13:00"/>
    <s v="OUTROS"/>
    <x v="15"/>
    <s v="CAMPO OBSERVAÇÃO PREENCHIDO INCORRETAMENTE"/>
    <s v="QUALIDADE DOS DADOS"/>
    <x v="1"/>
    <n v="127"/>
  </r>
  <r>
    <s v="TMS"/>
    <m/>
    <x v="2"/>
    <n v="3290907"/>
    <x v="1"/>
    <d v="2025-03-10T15:52:00"/>
    <n v="13906"/>
    <n v="13906"/>
    <s v="Preenchendo XML Serviço-&gt; Preenchendo XML-&gt; Montando accounting aereo 3-&gt;Reserva 685469 não encontrada para importar assento/bagagem!"/>
    <x v="655"/>
    <d v="2025-03-13T23:29:00"/>
    <s v="OUTROS"/>
    <x v="15"/>
    <s v="CAMPO OBSERVAÇÃO PREENCHIDO INCORRETAMENTE"/>
    <s v="QUALIDADE DOS DADOS"/>
    <x v="1"/>
    <n v="127"/>
  </r>
  <r>
    <s v="TMS"/>
    <m/>
    <x v="2"/>
    <n v="3291253"/>
    <x v="1"/>
    <d v="2025-03-10T11:31:00"/>
    <n v="3438"/>
    <n v="3438"/>
    <s v="Preenchendo XML Serviço-&gt; Preenchendo XML-&gt; Montando accounting aereo 2-&gt;Não foi informado o Localizador do Assento/Bagagem!"/>
    <x v="656"/>
    <d v="2025-03-17T17:44:00"/>
    <s v="OUTROS"/>
    <x v="15"/>
    <s v="CAMPO OBSERVAÇÃO PREENCHIDO INCORRETAMENTE"/>
    <s v="QUALIDADE DOS DADOS"/>
    <x v="1"/>
    <n v="118"/>
  </r>
  <r>
    <s v="SABRE"/>
    <m/>
    <x v="2"/>
    <n v="3291655"/>
    <x v="2"/>
    <d v="2025-03-11T09:17:00"/>
    <s v="MFCVPG"/>
    <s v="MFCVPG"/>
    <s v="Não localizado cliente código [0000068777].&lt;-ObterCliente&lt;-MontarPnrBase&lt;-ProcessarAereo&lt;-ProcessarItemFila[b]"/>
    <x v="657"/>
    <m/>
    <s v="CLIENTE"/>
    <x v="13"/>
    <s v="CÓDIGO DIFERENTE DO CADASTRADO NO BENNER (CLIENTE X GRUPO)"/>
    <s v="QUALIDADE DOS DADOS"/>
    <x v="0"/>
    <n v="1"/>
  </r>
  <r>
    <s v="SABRE"/>
    <m/>
    <x v="2"/>
    <n v="3291657"/>
    <x v="2"/>
    <d v="2025-03-11T09:18:00"/>
    <s v="JZLSFA"/>
    <s v="JZLSFA"/>
    <s v="Não localizado cliente código [0000068777].&lt;-ObterCliente&lt;-MontarPnrBase&lt;-ProcessarAereo&lt;-ProcessarItemFila[b]"/>
    <x v="658"/>
    <m/>
    <s v="CLIENTE"/>
    <x v="13"/>
    <s v="CÓDIGO DIFERENTE DO CADASTRADO NO BENNER (CLIENTE X GRUPO)"/>
    <s v="QUALIDADE DOS DADOS"/>
    <x v="0"/>
    <n v="1"/>
  </r>
  <r>
    <s v="SABRE"/>
    <m/>
    <x v="2"/>
    <n v="3291660"/>
    <x v="2"/>
    <d v="2025-03-12T10:00:00"/>
    <s v="ALYJBZ"/>
    <s v="ALYJBZ"/>
    <s v="Não localizado cliente código [0004223565].&lt;-ObterCliente&lt;-MontarPnrBase&lt;-ProcessarAereo&lt;-ProcessarItemFila[b]"/>
    <x v="658"/>
    <d v="2025-03-12T12:04:00"/>
    <s v="CLIENTE"/>
    <x v="13"/>
    <s v="CÓDIGO DIFERENTE DO CADASTRADO NO BENNER (CLIENTE X GRUPO)"/>
    <s v="QUALIDADE DOS DADOS"/>
    <x v="0"/>
    <n v="1"/>
  </r>
  <r>
    <s v="SABRE"/>
    <m/>
    <x v="2"/>
    <n v="3291744"/>
    <x v="2"/>
    <d v="2025-03-11T10:09:00"/>
    <s v="ALYJRJ"/>
    <s v="ALYJRJ"/>
    <s v="Não localizado cliente código [0000068777].&lt;-ObterCliente&lt;-MontarPnrBase&lt;-ProcessarAereo&lt;-ProcessarItemFila[b]"/>
    <x v="659"/>
    <m/>
    <s v="CLIENTE"/>
    <x v="13"/>
    <s v="CÓDIGO DIFERENTE DO CADASTRADO NO BENNER (CLIENTE X GRUPO)"/>
    <s v="QUALIDADE DOS DADOS"/>
    <x v="0"/>
    <n v="1"/>
  </r>
  <r>
    <s v="SABRE"/>
    <m/>
    <x v="2"/>
    <n v="3292055"/>
    <x v="2"/>
    <d v="2025-03-11T18:30:00"/>
    <s v="FDTDIU"/>
    <s v="FDTDIU"/>
    <s v="Não localizado cliente com CNPJ [2379828000128].&lt;-ObterCliente&lt;-MontarPnrBase&lt;-ProcessarAereo&lt;-ProcessarItemFila[b]"/>
    <x v="660"/>
    <d v="2025-03-11T20:34:00"/>
    <s v="CLIENTE"/>
    <x v="12"/>
    <s v=""/>
    <s v="INDEFINIDO"/>
    <x v="1"/>
    <n v="24"/>
  </r>
  <r>
    <s v="TMS"/>
    <m/>
    <x v="2"/>
    <n v="3292118"/>
    <x v="1"/>
    <d v="2025-03-11T11:14:00"/>
    <n v="56708"/>
    <n v="56708"/>
    <s v="Preenchendo XML Serviço-&gt; Preenchendo XML-&gt; Montando accounting aereo 3-&gt;Reserva Latamc não encontrada para importar assento/bagagem!"/>
    <x v="661"/>
    <d v="2025-03-14T22:56:00"/>
    <s v="OUTROS"/>
    <x v="15"/>
    <s v="CAMPO OBSERVAÇÃO PREENCHIDO INCORRETAMENTE"/>
    <s v="QUALIDADE DOS DADOS"/>
    <x v="1"/>
    <n v="127"/>
  </r>
  <r>
    <s v="SABRE"/>
    <m/>
    <x v="2"/>
    <n v="3292266"/>
    <x v="2"/>
    <d v="2025-03-11T13:52:00"/>
    <s v="QYEKIQT"/>
    <s v="QYEKIQ"/>
    <s v="ConverterPagamentosRemark-&gt;Input string was not in a correct format.&lt;-MontarAccountinsHotel&lt;-ProcessarHotel&lt;-ProcessarItemFila[b]"/>
    <x v="662"/>
    <m/>
    <s v="FORMA PAGTO/RECTO"/>
    <x v="2"/>
    <s v="TEXTO FORA DO PADRÃO ACEITO NO CAMPO"/>
    <s v="INDEFINIDO"/>
    <x v="0"/>
    <s v="COLUNA I"/>
  </r>
  <r>
    <s v="SABRE"/>
    <m/>
    <x v="2"/>
    <n v="3292267"/>
    <x v="2"/>
    <d v="2025-03-11T13:53:00"/>
    <s v="ASCTHVT"/>
    <s v="ASCTHV"/>
    <s v="ConverterPagamentosRemark-&gt;Input string was not in a correct format.&lt;-MontarAccountinsHotel&lt;-ProcessarHotel&lt;-ProcessarItemFila[b]"/>
    <x v="663"/>
    <m/>
    <s v="FORMA PAGTO/RECTO"/>
    <x v="2"/>
    <s v="TEXTO FORA DO PADRÃO ACEITO NO CAMPO"/>
    <s v="INDEFINIDO"/>
    <x v="0"/>
    <s v="COLUNA I"/>
  </r>
  <r>
    <s v="SABRE"/>
    <m/>
    <x v="2"/>
    <n v="3292269"/>
    <x v="2"/>
    <d v="2025-03-11T13:53:00"/>
    <s v="DAFBAKT"/>
    <s v="DAFBAK"/>
    <s v="ConverterPagamentosRemark-&gt;Input string was not in a correct format.&lt;-MontarAccountinsHotel&lt;-ProcessarHotel&lt;-ProcessarItemFila[b]"/>
    <x v="663"/>
    <m/>
    <s v="FORMA PAGTO/RECTO"/>
    <x v="2"/>
    <s v="TEXTO FORA DO PADRÃO ACEITO NO CAMPO"/>
    <s v="INDEFINIDO"/>
    <x v="0"/>
    <s v="COLUNA I"/>
  </r>
  <r>
    <s v="SABRE"/>
    <m/>
    <x v="2"/>
    <n v="3293463"/>
    <x v="2"/>
    <d v="2025-03-11T17:14:00"/>
    <s v="MCYIBXT"/>
    <s v="MCYIBX"/>
    <s v="ConverterPagamentosRemark-&gt;Input string was not in a correct format.&lt;-MontarAccountinsHotel&lt;-ProcessarHotel&lt;-ProcessarItemFila[b]"/>
    <x v="664"/>
    <m/>
    <s v="FORMA PAGTO/RECTO"/>
    <x v="2"/>
    <s v="TEXTO FORA DO PADRÃO ACEITO NO CAMPO"/>
    <s v="INDEFINIDO"/>
    <x v="0"/>
    <s v="COLUNA I"/>
  </r>
  <r>
    <s v="SABRE"/>
    <m/>
    <x v="2"/>
    <n v="3293499"/>
    <x v="2"/>
    <d v="2025-03-12T14:29:00"/>
    <s v="GLDPFL"/>
    <s v="GLDPFL"/>
    <s v="Não localizado cliente código [0004222573].&lt;-ObterCliente&lt;-MontarPnrBase&lt;-ProcessarAereo&lt;-ProcessarItemFila[b]"/>
    <x v="665"/>
    <d v="2025-03-12T16:33:00"/>
    <s v="CLIENTE"/>
    <x v="13"/>
    <s v="CÓDIGO DIFERENTE DO CADASTRADO NO BENNER (CLIENTE X GRUPO)"/>
    <s v="QUALIDADE DOS DADOS"/>
    <x v="0"/>
    <n v="1"/>
  </r>
  <r>
    <s v="SABRE"/>
    <m/>
    <x v="2"/>
    <n v="3293502"/>
    <x v="2"/>
    <d v="2025-03-11T18:30:00"/>
    <s v="GLRBEM"/>
    <s v="GLRBEM"/>
    <s v="Código de cliente não identificado&lt;-ObterCliente&lt;-MontarPnrBase&lt;-ProcessarAereo&lt;-ProcessarItemFila[b]"/>
    <x v="666"/>
    <m/>
    <s v="CLIENTE"/>
    <x v="14"/>
    <s v="DK DE CLIENTE NÃO PREENCIDO / CLIENTE NÃO CONFIGURADO NO OBT"/>
    <s v="INDEFINIDO"/>
    <x v="1"/>
    <s v="COLUNA I"/>
  </r>
  <r>
    <s v="SABRE"/>
    <m/>
    <x v="2"/>
    <n v="3293505"/>
    <x v="2"/>
    <d v="2025-03-11T18:30:00"/>
    <s v="IFSWFW"/>
    <s v="IFSWFW"/>
    <s v="Não localizado cliente código [0000063625].&lt;-ObterCliente&lt;-MontarPnrBase&lt;-ProcessarAereo&lt;-ProcessarItemFila[b]"/>
    <x v="666"/>
    <m/>
    <s v="CLIENTE"/>
    <x v="13"/>
    <s v="CÓDIGO DIFERENTE DO CADASTRADO NO BENNER (CLIENTE X GRUPO)"/>
    <s v="QUALIDADE DOS DADOS"/>
    <x v="0"/>
    <n v="1"/>
  </r>
  <r>
    <s v="SABRE"/>
    <m/>
    <x v="2"/>
    <n v="3293506"/>
    <x v="2"/>
    <d v="2025-03-11T18:30:00"/>
    <s v="FOVNNI"/>
    <s v="FOVNNI"/>
    <s v="Não localizado cliente código [0000063625].&lt;-ObterCliente&lt;-MontarPnrBase&lt;-ProcessarAereo&lt;-ProcessarItemFila[b]"/>
    <x v="667"/>
    <m/>
    <s v="CLIENTE"/>
    <x v="13"/>
    <s v="CÓDIGO DIFERENTE DO CADASTRADO NO BENNER (CLIENTE X GRUPO)"/>
    <s v="QUALIDADE DOS DADOS"/>
    <x v="0"/>
    <n v="1"/>
  </r>
  <r>
    <s v="SABRE"/>
    <m/>
    <x v="2"/>
    <n v="3293507"/>
    <x v="2"/>
    <d v="2025-03-11T18:30:00"/>
    <s v="UKYBCI"/>
    <s v="UKYBCI"/>
    <s v="Não localizado cliente código [0000583808].&lt;-ObterCliente&lt;-MontarPnrBase&lt;-ProcessarAereo&lt;-ProcessarItemFila[b]"/>
    <x v="667"/>
    <m/>
    <s v="CLIENTE"/>
    <x v="13"/>
    <s v="CÓDIGO DIFERENTE DO CADASTRADO NO BENNER (CLIENTE X GRUPO)"/>
    <s v="QUALIDADE DOS DADOS"/>
    <x v="0"/>
    <n v="1"/>
  </r>
  <r>
    <s v="SABRE"/>
    <m/>
    <x v="2"/>
    <n v="3293509"/>
    <x v="2"/>
    <d v="2025-03-11T18:30:00"/>
    <s v="WKHWXS"/>
    <s v="WKHWXS"/>
    <s v="Não localizado cliente código [0000392619].&lt;-ObterCliente&lt;-MontarPnrBase&lt;-ProcessarAereo&lt;-ProcessarItemFila[b]"/>
    <x v="667"/>
    <m/>
    <s v="CLIENTE"/>
    <x v="13"/>
    <s v="CÓDIGO DIFERENTE DO CADASTRADO NO BENNER (CLIENTE X GRUPO)"/>
    <s v="QUALIDADE DOS DADOS"/>
    <x v="0"/>
    <n v="1"/>
  </r>
  <r>
    <s v="SABRE"/>
    <m/>
    <x v="2"/>
    <n v="3293511"/>
    <x v="2"/>
    <d v="2025-03-11T18:30:00"/>
    <s v="LPQOYH"/>
    <s v="LPQOYH"/>
    <s v="Não localizado cliente código [0000583808].&lt;-ObterCliente&lt;-MontarPnrBase&lt;-ProcessarAereo&lt;-ProcessarItemFila[b]"/>
    <x v="667"/>
    <m/>
    <s v="CLIENTE"/>
    <x v="13"/>
    <s v="CÓDIGO DIFERENTE DO CADASTRADO NO BENNER (CLIENTE X GRUPO)"/>
    <s v="QUALIDADE DOS DADOS"/>
    <x v="0"/>
    <n v="1"/>
  </r>
  <r>
    <s v="SABRE"/>
    <m/>
    <x v="2"/>
    <n v="3293513"/>
    <x v="2"/>
    <d v="2025-03-11T18:30:00"/>
    <s v="FPDJHG"/>
    <s v="FPDJHG"/>
    <s v="Não localizado cliente código [0000392619].&lt;-ObterCliente&lt;-MontarPnrBase&lt;-ProcessarAereo&lt;-ProcessarItemFila[b]"/>
    <x v="668"/>
    <m/>
    <s v="CLIENTE"/>
    <x v="13"/>
    <s v="CÓDIGO DIFERENTE DO CADASTRADO NO BENNER (CLIENTE X GRUPO)"/>
    <s v="QUALIDADE DOS DADOS"/>
    <x v="0"/>
    <n v="1"/>
  </r>
  <r>
    <s v="SABRE"/>
    <m/>
    <x v="2"/>
    <n v="3293519"/>
    <x v="2"/>
    <d v="2025-03-12T10:07:00"/>
    <s v="FODNXL"/>
    <s v="FODNXL"/>
    <s v="Não localizado cliente código [0004220155].&lt;-ObterCliente&lt;-MontarPnrBase&lt;-ProcessarAereo&lt;-ProcessarItemFila[b]"/>
    <x v="668"/>
    <d v="2025-03-12T12:17:00"/>
    <s v="CLIENTE"/>
    <x v="13"/>
    <s v="CÓDIGO DIFERENTE DO CADASTRADO NO BENNER (CLIENTE X GRUPO)"/>
    <s v="QUALIDADE DOS DADOS"/>
    <x v="0"/>
    <n v="1"/>
  </r>
  <r>
    <s v="SABRE"/>
    <m/>
    <x v="2"/>
    <n v="3293520"/>
    <x v="2"/>
    <d v="2025-03-12T14:34:00"/>
    <s v="NNWROO"/>
    <s v="NNWROO"/>
    <s v="Não localizado cliente código [0004223565].&lt;-ObterCliente&lt;-MontarPnrBase&lt;-ProcessarAereo&lt;-ProcessarItemFila[b]"/>
    <x v="668"/>
    <d v="2025-03-12T16:48:00"/>
    <s v="CLIENTE"/>
    <x v="13"/>
    <s v="CÓDIGO DIFERENTE DO CADASTRADO NO BENNER (CLIENTE X GRUPO)"/>
    <s v="QUALIDADE DOS DADOS"/>
    <x v="0"/>
    <n v="1"/>
  </r>
  <r>
    <s v="SABRE"/>
    <m/>
    <x v="2"/>
    <n v="3293521"/>
    <x v="2"/>
    <d v="2025-03-12T14:35:00"/>
    <s v="CVWGTB"/>
    <s v="CVWGTB"/>
    <s v="Não localizado cliente código [0004223565].&lt;-ObterCliente&lt;-MontarPnrBase&lt;-ProcessarAereo&lt;-ProcessarItemFila[b]"/>
    <x v="669"/>
    <d v="2025-03-12T16:48:00"/>
    <s v="CLIENTE"/>
    <x v="13"/>
    <s v="CÓDIGO DIFERENTE DO CADASTRADO NO BENNER (CLIENTE X GRUPO)"/>
    <s v="QUALIDADE DOS DADOS"/>
    <x v="0"/>
    <n v="1"/>
  </r>
  <r>
    <s v="SABRE"/>
    <m/>
    <x v="2"/>
    <n v="3293531"/>
    <x v="2"/>
    <d v="2025-03-12T14:39:00"/>
    <s v="UJZRJC"/>
    <s v="UJZRJC"/>
    <s v="Não localizado cliente código [0004224627].&lt;-ObterCliente&lt;-MontarPnrBase&lt;-ProcessarAereo&lt;-ProcessarItemFila[b]"/>
    <x v="669"/>
    <d v="2025-03-12T16:48:00"/>
    <s v="CLIENTE"/>
    <x v="13"/>
    <s v="CÓDIGO DIFERENTE DO CADASTRADO NO BENNER (CLIENTE X GRUPO)"/>
    <s v="QUALIDADE DOS DADOS"/>
    <x v="0"/>
    <n v="1"/>
  </r>
  <r>
    <s v="SABRE"/>
    <m/>
    <x v="2"/>
    <n v="3293543"/>
    <x v="2"/>
    <d v="2025-03-12T14:49:00"/>
    <s v="KPXEOB"/>
    <s v="KPXEOB"/>
    <s v="Não localizado cliente código [0004222573].&lt;-ObterCliente&lt;-MontarPnrBase&lt;-ProcessarAereo&lt;-ProcessarItemFila[b]"/>
    <x v="670"/>
    <d v="2025-03-12T17:04:00"/>
    <s v="CLIENTE"/>
    <x v="13"/>
    <s v="CÓDIGO DIFERENTE DO CADASTRADO NO BENNER (CLIENTE X GRUPO)"/>
    <s v="QUALIDADE DOS DADOS"/>
    <x v="0"/>
    <n v="1"/>
  </r>
  <r>
    <s v="SABRE"/>
    <m/>
    <x v="2"/>
    <n v="3293545"/>
    <x v="2"/>
    <d v="2025-03-11T18:30:00"/>
    <s v="AEPPSQ"/>
    <s v="AEPPSQ"/>
    <s v="Código de cliente não identificado&lt;-ObterCliente&lt;-MontarPnrBase&lt;-ProcessarAereo&lt;-ProcessarItemFila[b]"/>
    <x v="670"/>
    <m/>
    <s v="CLIENTE"/>
    <x v="14"/>
    <s v="DK DE CLIENTE NÃO PREENCIDO / CLIENTE NÃO CONFIGURADO NO OBT"/>
    <s v="INDEFINIDO"/>
    <x v="1"/>
    <s v="COLUNA I"/>
  </r>
  <r>
    <s v="SABRE"/>
    <m/>
    <x v="2"/>
    <n v="3293546"/>
    <x v="2"/>
    <d v="2025-03-11T18:30:00"/>
    <s v="FYBUAZ"/>
    <s v="FYBUAZ"/>
    <s v="Código de cliente não identificado&lt;-ObterCliente&lt;-MontarPnrBase&lt;-ProcessarAereo&lt;-ProcessarItemFila[b]"/>
    <x v="670"/>
    <m/>
    <s v="CLIENTE"/>
    <x v="14"/>
    <s v="DK DE CLIENTE NÃO PREENCIDO / CLIENTE NÃO CONFIGURADO NO OBT"/>
    <s v="INDEFINIDO"/>
    <x v="1"/>
    <s v="COLUNA I"/>
  </r>
  <r>
    <s v="SABRE"/>
    <m/>
    <x v="2"/>
    <n v="3293548"/>
    <x v="2"/>
    <d v="2025-03-12T14:49:00"/>
    <s v="FXRKTL"/>
    <s v="FXRKTL"/>
    <s v="Não localizado cliente código [0004223565].&lt;-ObterCliente&lt;-MontarPnrBase&lt;-ProcessarAereo&lt;-ProcessarItemFila[b]"/>
    <x v="670"/>
    <d v="2025-03-12T17:04:00"/>
    <s v="CLIENTE"/>
    <x v="13"/>
    <s v="CÓDIGO DIFERENTE DO CADASTRADO NO BENNER (CLIENTE X GRUPO)"/>
    <s v="QUALIDADE DOS DADOS"/>
    <x v="0"/>
    <n v="1"/>
  </r>
  <r>
    <s v="SABRE"/>
    <m/>
    <x v="2"/>
    <n v="3293549"/>
    <x v="2"/>
    <d v="2025-03-11T18:30:00"/>
    <s v="MEFBCY"/>
    <s v="MEFBCY"/>
    <s v="Código de cliente não identificado&lt;-ObterCliente&lt;-MontarPnrBase&lt;-ProcessarAereo&lt;-ProcessarItemFila[b]"/>
    <x v="670"/>
    <m/>
    <s v="CLIENTE"/>
    <x v="14"/>
    <s v="DK DE CLIENTE NÃO PREENCIDO / CLIENTE NÃO CONFIGURADO NO OBT"/>
    <s v="INDEFINIDO"/>
    <x v="1"/>
    <s v="COLUNA I"/>
  </r>
  <r>
    <s v="SABRE"/>
    <m/>
    <x v="2"/>
    <n v="3293551"/>
    <x v="2"/>
    <d v="2025-03-12T14:49:00"/>
    <s v="FKSGCO"/>
    <s v="FKSGCO"/>
    <s v="Não localizado cliente código [0004223565].&lt;-ObterCliente&lt;-MontarPnrBase&lt;-ProcessarAereo&lt;-ProcessarItemFila[b]"/>
    <x v="670"/>
    <d v="2025-03-12T17:04:00"/>
    <s v="CLIENTE"/>
    <x v="13"/>
    <s v="CÓDIGO DIFERENTE DO CADASTRADO NO BENNER (CLIENTE X GRUPO)"/>
    <s v="QUALIDADE DOS DADOS"/>
    <x v="0"/>
    <n v="1"/>
  </r>
  <r>
    <s v="SABRE"/>
    <m/>
    <x v="2"/>
    <n v="3293552"/>
    <x v="2"/>
    <d v="2025-03-12T10:07:00"/>
    <s v="FZMMVK"/>
    <s v="FZMMVK"/>
    <s v="Não localizado cliente código [0004224627].&lt;-ObterCliente&lt;-MontarPnrBase&lt;-ProcessarAereo&lt;-ProcessarItemFila[b]"/>
    <x v="670"/>
    <d v="2025-03-12T12:18:00"/>
    <s v="CLIENTE"/>
    <x v="13"/>
    <s v="CÓDIGO DIFERENTE DO CADASTRADO NO BENNER (CLIENTE X GRUPO)"/>
    <s v="QUALIDADE DOS DADOS"/>
    <x v="0"/>
    <n v="1"/>
  </r>
  <r>
    <s v="SABRE"/>
    <m/>
    <x v="2"/>
    <n v="3293553"/>
    <x v="2"/>
    <d v="2025-03-12T09:42:00"/>
    <s v="FZAGKX"/>
    <s v="FZAGKX"/>
    <s v="Não localizado cliente código [0004223565].&lt;-ObterCliente&lt;-MontarPnrBase&lt;-ProcessarAereo&lt;-ProcessarItemFila[b]"/>
    <x v="671"/>
    <d v="2025-03-12T11:46:00"/>
    <s v="CLIENTE"/>
    <x v="13"/>
    <s v="CÓDIGO DIFERENTE DO CADASTRADO NO BENNER (CLIENTE X GRUPO)"/>
    <s v="QUALIDADE DOS DADOS"/>
    <x v="0"/>
    <n v="1"/>
  </r>
  <r>
    <s v="SABRE"/>
    <m/>
    <x v="2"/>
    <n v="3293554"/>
    <x v="2"/>
    <d v="2025-03-12T10:42:00"/>
    <s v="MRNJFA"/>
    <s v="MRNJFA"/>
    <s v="Não localizado cliente código [0004223565].&lt;-ObterCliente&lt;-MontarPnrBase&lt;-ProcessarAereo&lt;-ProcessarItemFila[b]"/>
    <x v="671"/>
    <d v="2025-03-12T12:48:00"/>
    <s v="CLIENTE"/>
    <x v="13"/>
    <s v="CÓDIGO DIFERENTE DO CADASTRADO NO BENNER (CLIENTE X GRUPO)"/>
    <s v="QUALIDADE DOS DADOS"/>
    <x v="0"/>
    <n v="1"/>
  </r>
  <r>
    <s v="SABRE"/>
    <m/>
    <x v="2"/>
    <n v="3293555"/>
    <x v="2"/>
    <d v="2025-03-12T09:56:00"/>
    <s v="AIERDC"/>
    <s v="AIERDC"/>
    <s v="Código de cliente não identificado&lt;-ObterCliente&lt;-MontarPnrBase&lt;-ProcessarAereo&lt;-ProcessarItemFila[b]"/>
    <x v="671"/>
    <d v="2025-03-12T12:04:00"/>
    <s v="CLIENTE"/>
    <x v="14"/>
    <s v="DK DE CLIENTE NÃO PREENCIDO / CLIENTE NÃO CONFIGURADO NO OBT"/>
    <s v="INDEFINIDO"/>
    <x v="1"/>
    <s v="COLUNA I"/>
  </r>
  <r>
    <s v="TMS"/>
    <m/>
    <x v="2"/>
    <n v="3294582"/>
    <x v="1"/>
    <d v="2025-03-11T12:00:00"/>
    <n v="3511"/>
    <n v="3511"/>
    <s v="Preenchendo XML Serviço-&gt; Preenchendo XML-&gt; Montando accounting aereo 2-&gt;Não foi informado o Localizador do Assento/Bagagem!"/>
    <x v="672"/>
    <d v="2025-03-17T17:44:00"/>
    <s v="OUTROS"/>
    <x v="15"/>
    <s v="CAMPO OBSERVAÇÃO PREENCHIDO INCORRETAMENTE"/>
    <s v="QUALIDADE DOS DADOS"/>
    <x v="1"/>
    <n v="118"/>
  </r>
  <r>
    <s v="SABRE"/>
    <m/>
    <x v="2"/>
    <n v="3294767"/>
    <x v="2"/>
    <d v="2025-03-12T10:44:00"/>
    <s v="WDNZOFT"/>
    <s v="WDNZOF"/>
    <s v="ConverterPagamentosRemark-&gt;Input string was not in a correct format.&lt;-MontarAccountinsHotel&lt;-ProcessarHotel&lt;-ProcessarItemFila[b]"/>
    <x v="673"/>
    <m/>
    <s v="FORMA PAGTO/RECTO"/>
    <x v="2"/>
    <s v="TEXTO FORA DO PADRÃO ACEITO NO CAMPO"/>
    <s v="INDEFINIDO"/>
    <x v="0"/>
    <s v="COLUNA I"/>
  </r>
  <r>
    <s v="SABRE"/>
    <m/>
    <x v="2"/>
    <n v="3294769"/>
    <x v="2"/>
    <d v="2025-03-12T10:45:00"/>
    <s v="ENUPHAT"/>
    <s v="ENUPHA"/>
    <s v="ConverterPagamentosRemark-&gt;Input string was not in a correct format.&lt;-MontarAccountinsHotel&lt;-ProcessarHotel&lt;-ProcessarItemFila[b]"/>
    <x v="674"/>
    <m/>
    <s v="FORMA PAGTO/RECTO"/>
    <x v="2"/>
    <s v="TEXTO FORA DO PADRÃO ACEITO NO CAMPO"/>
    <s v="INDEFINIDO"/>
    <x v="0"/>
    <s v="COLUNA I"/>
  </r>
  <r>
    <s v="SABRE"/>
    <m/>
    <x v="2"/>
    <n v="3294795"/>
    <x v="2"/>
    <d v="2025-03-13T07:34:00"/>
    <s v="YGSHEA"/>
    <s v="YGSHEA"/>
    <s v="Não localizado cliente código [0004224627].&lt;-ObterCliente&lt;-MontarPnrBase&lt;-ProcessarAereo&lt;-ProcessarItemFila[b]"/>
    <x v="675"/>
    <d v="2025-03-13T09:48:00"/>
    <s v="CLIENTE"/>
    <x v="13"/>
    <s v="CÓDIGO DIFERENTE DO CADASTRADO NO BENNER (CLIENTE X GRUPO)"/>
    <s v="QUALIDADE DOS DADOS"/>
    <x v="0"/>
    <n v="1"/>
  </r>
  <r>
    <s v="TMS"/>
    <m/>
    <x v="2"/>
    <n v="3295021"/>
    <x v="1"/>
    <d v="2025-01-13T16:17:00"/>
    <n v="46977"/>
    <n v="46977"/>
    <s v="Preenchendo XML Serviço-&gt; Preenchendo XML-&gt; Montando accounting aereo 3-&gt;Reserva AWQUUX não encontrada para importar assento/bagagem!"/>
    <x v="676"/>
    <m/>
    <s v="OUTROS"/>
    <x v="15"/>
    <s v="CAMPO OBSERVAÇÃO PREENCHIDO INCORRETAMENTE"/>
    <s v="QUALIDADE DOS DADOS"/>
    <x v="1"/>
    <n v="127"/>
  </r>
  <r>
    <s v="SABRE"/>
    <m/>
    <x v="2"/>
    <n v="3295048"/>
    <x v="2"/>
    <d v="2025-03-12T13:54:00"/>
    <s v="FQAHFG"/>
    <s v="FQAHFG"/>
    <s v="Não localizado cliente código [0000050269].&lt;-ObterCliente&lt;-MontarPnrBase&lt;-ProcessarAereo&lt;-ProcessarItemFila[b]"/>
    <x v="677"/>
    <m/>
    <s v="CLIENTE"/>
    <x v="13"/>
    <s v="CÓDIGO DIFERENTE DO CADASTRADO NO BENNER (CLIENTE X GRUPO)"/>
    <s v="QUALIDADE DOS DADOS"/>
    <x v="0"/>
    <n v="1"/>
  </r>
  <r>
    <s v="SABRE"/>
    <m/>
    <x v="2"/>
    <n v="3295050"/>
    <x v="2"/>
    <d v="2025-03-12T13:54:00"/>
    <s v="FQAHFGC"/>
    <s v="FQAHFG"/>
    <s v="Não localizado cliente código [0000050269].&lt;-ObterCliente&lt;-MontarPnrBase&lt;-MontarPnr&lt;-ProcessarCarro&lt;-ProcessarItemFila[b]"/>
    <x v="677"/>
    <m/>
    <s v="CLIENTE"/>
    <x v="13"/>
    <s v="CÓDIGO DIFERENTE DO CADASTRADO NO BENNER (CLIENTE X GRUPO)"/>
    <s v="QUALIDADE DOS DADOS"/>
    <x v="0"/>
    <n v="1"/>
  </r>
  <r>
    <s v="TMS"/>
    <m/>
    <x v="2"/>
    <n v="3295584"/>
    <x v="1"/>
    <d v="2025-03-12T13:54:00"/>
    <n v="43103"/>
    <n v="43103"/>
    <s v="Preenchendo XML Serviço-&gt; Preenchendo XML-&gt; Montando accounting aereo 2-&gt;Não foi informado o Localizador do Assento/Bagagem!"/>
    <x v="678"/>
    <d v="2025-03-15T23:14:00"/>
    <s v="OUTROS"/>
    <x v="15"/>
    <s v="CAMPO OBSERVAÇÃO PREENCHIDO INCORRETAMENTE"/>
    <s v="QUALIDADE DOS DADOS"/>
    <x v="1"/>
    <n v="118"/>
  </r>
  <r>
    <s v="SABRE"/>
    <m/>
    <x v="2"/>
    <n v="3296020"/>
    <x v="2"/>
    <d v="2025-03-13T07:54:00"/>
    <s v="HDBMVA"/>
    <s v="HDBMVA"/>
    <s v="Não localizado cliente código [0004223565].&lt;-ObterCliente&lt;-MontarPnrBase&lt;-ProcessarAereo&lt;-ProcessarItemFila[b]"/>
    <x v="679"/>
    <d v="2025-03-13T10:03:00"/>
    <s v="CLIENTE"/>
    <x v="13"/>
    <s v="CÓDIGO DIFERENTE DO CADASTRADO NO BENNER (CLIENTE X GRUPO)"/>
    <s v="QUALIDADE DOS DADOS"/>
    <x v="0"/>
    <n v="1"/>
  </r>
  <r>
    <s v="SABRE"/>
    <m/>
    <x v="2"/>
    <n v="3296021"/>
    <x v="2"/>
    <d v="2025-03-13T08:57:00"/>
    <s v="FPYUFK"/>
    <s v="FPYUFK"/>
    <s v="Não localizado cliente código [0004223565].&lt;-ObterCliente&lt;-MontarPnrBase&lt;-ProcessarAereo&lt;-ProcessarItemFila[b]"/>
    <x v="679"/>
    <d v="2025-03-13T11:03:00"/>
    <s v="CLIENTE"/>
    <x v="13"/>
    <s v="CÓDIGO DIFERENTE DO CADASTRADO NO BENNER (CLIENTE X GRUPO)"/>
    <s v="QUALIDADE DOS DADOS"/>
    <x v="0"/>
    <n v="1"/>
  </r>
  <r>
    <s v="SABRE"/>
    <m/>
    <x v="2"/>
    <n v="3296166"/>
    <x v="2"/>
    <d v="2025-03-12T18:04:00"/>
    <s v="JEDQJX"/>
    <s v="JEDQJX"/>
    <s v="Não localizado cliente código [0000583831].&lt;-ObterCliente&lt;-MontarPnrBase&lt;-ProcessarAereo&lt;-ProcessarItemFila[b]"/>
    <x v="680"/>
    <m/>
    <s v="CLIENTE"/>
    <x v="13"/>
    <s v="CÓDIGO DIFERENTE DO CADASTRADO NO BENNER (CLIENTE X GRUPO)"/>
    <s v="QUALIDADE DOS DADOS"/>
    <x v="0"/>
    <n v="1"/>
  </r>
  <r>
    <s v="SABRE"/>
    <m/>
    <x v="2"/>
    <n v="3296169"/>
    <x v="2"/>
    <d v="2025-03-13T14:29:00"/>
    <s v="EMXXVB"/>
    <s v="EMXXVB"/>
    <s v="Não localizado cliente código [0004223565].&lt;-ObterCliente&lt;-MontarPnrBase&lt;-ProcessarAereo&lt;-ProcessarItemFila[b]"/>
    <x v="681"/>
    <d v="2025-03-13T16:33:00"/>
    <s v="CLIENTE"/>
    <x v="13"/>
    <s v="CÓDIGO DIFERENTE DO CADASTRADO NO BENNER (CLIENTE X GRUPO)"/>
    <s v="QUALIDADE DOS DADOS"/>
    <x v="0"/>
    <n v="1"/>
  </r>
  <r>
    <s v="SABRE"/>
    <m/>
    <x v="2"/>
    <n v="3296177"/>
    <x v="2"/>
    <d v="2025-03-12T18:04:00"/>
    <s v="SHAFOY"/>
    <s v="SHAFOY"/>
    <s v="Código de cliente não identificado&lt;-ObterCliente&lt;-MontarPnrBase&lt;-ProcessarAereo&lt;-ProcessarItemFila[b]"/>
    <x v="682"/>
    <m/>
    <s v="CLIENTE"/>
    <x v="14"/>
    <s v="DK DE CLIENTE NÃO PREENCIDO / CLIENTE NÃO CONFIGURADO NO OBT"/>
    <s v="INDEFINIDO"/>
    <x v="1"/>
    <s v="COLUNA I"/>
  </r>
  <r>
    <s v="SABRE"/>
    <m/>
    <x v="2"/>
    <n v="3296178"/>
    <x v="2"/>
    <d v="2025-03-13T14:36:00"/>
    <s v="YYKKPP"/>
    <s v="YYKKPP"/>
    <s v="Não localizado cliente código [0004224627].&lt;-ObterCliente&lt;-MontarPnrBase&lt;-ProcessarAereo&lt;-ProcessarItemFila[b]"/>
    <x v="683"/>
    <d v="2025-03-13T16:51:00"/>
    <s v="CLIENTE"/>
    <x v="13"/>
    <s v="CÓDIGO DIFERENTE DO CADASTRADO NO BENNER (CLIENTE X GRUPO)"/>
    <s v="QUALIDADE DOS DADOS"/>
    <x v="0"/>
    <n v="1"/>
  </r>
  <r>
    <s v="SABRE"/>
    <m/>
    <x v="2"/>
    <n v="3296186"/>
    <x v="2"/>
    <d v="2025-03-12T18:04:00"/>
    <s v="HBXSPY"/>
    <s v="HBXSPY"/>
    <s v="Não localizado cliente código [0000583808].&lt;-ObterCliente&lt;-MontarPnrBase&lt;-ProcessarAereo&lt;-ProcessarItemFila[b]"/>
    <x v="684"/>
    <m/>
    <s v="CLIENTE"/>
    <x v="13"/>
    <s v="CÓDIGO DIFERENTE DO CADASTRADO NO BENNER (CLIENTE X GRUPO)"/>
    <s v="QUALIDADE DOS DADOS"/>
    <x v="0"/>
    <n v="1"/>
  </r>
  <r>
    <s v="SABRE"/>
    <m/>
    <x v="2"/>
    <n v="3296189"/>
    <x v="2"/>
    <d v="2025-03-12T18:04:00"/>
    <s v="LJJIGK"/>
    <s v="LJJIGK"/>
    <s v="Código de cliente não identificado&lt;-ObterCliente&lt;-MontarPnrBase&lt;-ProcessarAereo&lt;-ProcessarItemFila[b]"/>
    <x v="684"/>
    <m/>
    <s v="CLIENTE"/>
    <x v="14"/>
    <s v="DK DE CLIENTE NÃO PREENCIDO / CLIENTE NÃO CONFIGURADO NO OBT"/>
    <s v="INDEFINIDO"/>
    <x v="1"/>
    <s v="COLUNA I"/>
  </r>
  <r>
    <s v="SABRE"/>
    <m/>
    <x v="2"/>
    <n v="3296191"/>
    <x v="2"/>
    <d v="2025-03-13T15:12:00"/>
    <s v="MDUIQJ"/>
    <s v="MDUIQJ"/>
    <s v="Não localizado cliente código [0004222573].&lt;-ObterCliente&lt;-MontarPnrBase&lt;-ProcessarAereo&lt;-ProcessarItemFila[b]"/>
    <x v="685"/>
    <d v="2025-03-13T17:19:00"/>
    <s v="CLIENTE"/>
    <x v="13"/>
    <s v="CÓDIGO DIFERENTE DO CADASTRADO NO BENNER (CLIENTE X GRUPO)"/>
    <s v="QUALIDADE DOS DADOS"/>
    <x v="0"/>
    <n v="1"/>
  </r>
  <r>
    <s v="SABRE"/>
    <m/>
    <x v="2"/>
    <n v="3296192"/>
    <x v="2"/>
    <d v="2025-03-13T09:45:00"/>
    <s v="QUBNWZ"/>
    <s v="QUBNWZ"/>
    <s v="Código de cliente não identificado&lt;-ObterCliente&lt;-MontarPnrBase&lt;-ProcessarAereo&lt;-ProcessarItemFila[b]"/>
    <x v="685"/>
    <d v="2025-03-13T11:48:00"/>
    <s v="CLIENTE"/>
    <x v="14"/>
    <s v="DK DE CLIENTE NÃO PREENCIDO / CLIENTE NÃO CONFIGURADO NO OBT"/>
    <s v="INDEFINIDO"/>
    <x v="1"/>
    <s v="COLUNA I"/>
  </r>
  <r>
    <s v="SABRE"/>
    <m/>
    <x v="2"/>
    <n v="3296193"/>
    <x v="2"/>
    <d v="2025-03-12T18:04:00"/>
    <s v="DFSLIE"/>
    <s v="DFSLIE"/>
    <s v="Não localizado cliente código [0000583808].&lt;-ObterCliente&lt;-MontarPnrBase&lt;-ProcessarAereo&lt;-ProcessarItemFila[b]"/>
    <x v="685"/>
    <m/>
    <s v="CLIENTE"/>
    <x v="13"/>
    <s v="CÓDIGO DIFERENTE DO CADASTRADO NO BENNER (CLIENTE X GRUPO)"/>
    <s v="QUALIDADE DOS DADOS"/>
    <x v="0"/>
    <n v="1"/>
  </r>
  <r>
    <s v="SABRE"/>
    <m/>
    <x v="2"/>
    <n v="3296198"/>
    <x v="2"/>
    <d v="2025-03-12T18:04:00"/>
    <s v="SQBENY"/>
    <s v="SQBENY"/>
    <s v="Não localizado cliente código [0000063625].&lt;-ObterCliente&lt;-MontarPnrBase&lt;-ProcessarAereo&lt;-ProcessarItemFila[b]"/>
    <x v="686"/>
    <m/>
    <s v="CLIENTE"/>
    <x v="13"/>
    <s v="CÓDIGO DIFERENTE DO CADASTRADO NO BENNER (CLIENTE X GRUPO)"/>
    <s v="QUALIDADE DOS DADOS"/>
    <x v="0"/>
    <n v="1"/>
  </r>
  <r>
    <s v="SABRE"/>
    <m/>
    <x v="2"/>
    <n v="3296200"/>
    <x v="2"/>
    <d v="2025-03-13T15:18:00"/>
    <s v="JSXUIC"/>
    <s v="JSXUIC"/>
    <s v="Não localizado cliente código [0004223565].&lt;-ObterCliente&lt;-MontarPnrBase&lt;-ProcessarAereo&lt;-ProcessarItemFila[b]"/>
    <x v="686"/>
    <d v="2025-03-13T17:35:00"/>
    <s v="CLIENTE"/>
    <x v="13"/>
    <s v="CÓDIGO DIFERENTE DO CADASTRADO NO BENNER (CLIENTE X GRUPO)"/>
    <s v="QUALIDADE DOS DADOS"/>
    <x v="0"/>
    <n v="1"/>
  </r>
  <r>
    <s v="SABRE"/>
    <m/>
    <x v="2"/>
    <n v="3296201"/>
    <x v="2"/>
    <d v="2025-03-13T15:19:00"/>
    <s v="LJXJXZ"/>
    <s v="LJXJXZ"/>
    <s v="Não localizado cliente código [0004223565].&lt;-ObterCliente&lt;-MontarPnrBase&lt;-ProcessarAereo&lt;-ProcessarItemFila[b]"/>
    <x v="686"/>
    <d v="2025-03-13T17:35:00"/>
    <s v="CLIENTE"/>
    <x v="13"/>
    <s v="CÓDIGO DIFERENTE DO CADASTRADO NO BENNER (CLIENTE X GRUPO)"/>
    <s v="QUALIDADE DOS DADOS"/>
    <x v="0"/>
    <n v="1"/>
  </r>
  <r>
    <s v="SABRE"/>
    <m/>
    <x v="2"/>
    <n v="3296206"/>
    <x v="2"/>
    <d v="2025-03-12T18:04:00"/>
    <s v="CJLWKN"/>
    <s v="CJLWKN"/>
    <s v="Não localizado cliente código [0004223565].&lt;-ObterCliente&lt;-MontarPnrBase&lt;-ProcessarAereo&lt;-ProcessarItemFila[b]"/>
    <x v="687"/>
    <m/>
    <s v="CLIENTE"/>
    <x v="13"/>
    <s v="CÓDIGO DIFERENTE DO CADASTRADO NO BENNER (CLIENTE X GRUPO)"/>
    <s v="QUALIDADE DOS DADOS"/>
    <x v="0"/>
    <n v="1"/>
  </r>
  <r>
    <s v="SABRE"/>
    <m/>
    <x v="2"/>
    <n v="3296208"/>
    <x v="2"/>
    <d v="2025-03-12T18:04:00"/>
    <s v="CTMCXW"/>
    <s v="CTMCXW"/>
    <s v="Não localizado cliente código [0004223565].&lt;-ObterCliente&lt;-MontarPnrBase&lt;-ProcessarAereo&lt;-ProcessarItemFila[b]"/>
    <x v="687"/>
    <m/>
    <s v="CLIENTE"/>
    <x v="13"/>
    <s v="CÓDIGO DIFERENTE DO CADASTRADO NO BENNER (CLIENTE X GRUPO)"/>
    <s v="QUALIDADE DOS DADOS"/>
    <x v="0"/>
    <n v="1"/>
  </r>
  <r>
    <s v="SABRE"/>
    <m/>
    <x v="2"/>
    <n v="3296850"/>
    <x v="2"/>
    <d v="2025-03-13T07:22:00"/>
    <s v="LIILHZT"/>
    <s v="LIILHZ"/>
    <s v="ConverterPagamentosRemark-&gt;Input string was not in a correct format.&lt;-MontarAccountinsHotel&lt;-ProcessarHotel&lt;-ProcessarItemFila[b]"/>
    <x v="688"/>
    <m/>
    <s v="FORMA PAGTO/RECTO"/>
    <x v="2"/>
    <s v="TEXTO FORA DO PADRÃO ACEITO NO CAMPO"/>
    <s v="INDEFINIDO"/>
    <x v="0"/>
    <s v="COLUNA I"/>
  </r>
  <r>
    <s v="SABRE"/>
    <m/>
    <x v="2"/>
    <n v="3296851"/>
    <x v="2"/>
    <d v="2025-03-13T07:22:00"/>
    <s v="DLHCEYT"/>
    <s v="DLHCEY"/>
    <s v="ConverterPagamentosRemark-&gt;Input string was not in a correct format.&lt;-MontarAccountinsHotel&lt;-ProcessarHotel&lt;-ProcessarItemFila[b]"/>
    <x v="689"/>
    <m/>
    <s v="FORMA PAGTO/RECTO"/>
    <x v="2"/>
    <s v="TEXTO FORA DO PADRÃO ACEITO NO CAMPO"/>
    <s v="INDEFINIDO"/>
    <x v="0"/>
    <s v="COLUNA I"/>
  </r>
  <r>
    <s v="SABRE"/>
    <m/>
    <x v="2"/>
    <n v="3296852"/>
    <x v="2"/>
    <d v="2025-03-13T07:22:00"/>
    <s v="MZVDSCT"/>
    <s v="MZVDSC"/>
    <s v="ConverterPagamentosRemark-&gt;Input string was not in a correct format.&lt;-MontarAccountinsHotel&lt;-ProcessarHotel&lt;-ProcessarItemFila[b]"/>
    <x v="689"/>
    <m/>
    <s v="FORMA PAGTO/RECTO"/>
    <x v="2"/>
    <s v="TEXTO FORA DO PADRÃO ACEITO NO CAMPO"/>
    <s v="INDEFINIDO"/>
    <x v="0"/>
    <s v="COLUNA I"/>
  </r>
  <r>
    <s v="TMS"/>
    <m/>
    <x v="2"/>
    <n v="3297297"/>
    <x v="1"/>
    <m/>
    <n v="2946"/>
    <n v="2946"/>
    <s v="Preenchendo XML Aéreo-&gt; Preenchendo XML-&gt; Nullable object must have a value."/>
    <x v="690"/>
    <m/>
    <s v="OUTROS"/>
    <x v="17"/>
    <s v=""/>
    <s v="QUALIDADE DOS DADOS"/>
    <x v="3"/>
    <s v="COLUNA I"/>
  </r>
  <r>
    <s v="SABRE"/>
    <m/>
    <x v="2"/>
    <n v="3297307"/>
    <x v="2"/>
    <d v="2025-03-13T10:12:00"/>
    <s v="MZBPBNT"/>
    <s v="MZBPBN"/>
    <s v="ConverterPagamentosRemark-&gt;Input string was not in a correct format.&lt;-MontarAccountinsHotel&lt;-ProcessarHotel&lt;-ProcessarItemFila[b]"/>
    <x v="691"/>
    <m/>
    <s v="FORMA PAGTO/RECTO"/>
    <x v="2"/>
    <s v="TEXTO FORA DO PADRÃO ACEITO NO CAMPO"/>
    <s v="INDEFINIDO"/>
    <x v="0"/>
    <s v="COLUNA I"/>
  </r>
  <r>
    <s v="SABRE"/>
    <m/>
    <x v="2"/>
    <n v="3297308"/>
    <x v="2"/>
    <d v="2025-03-13T10:13:00"/>
    <s v="OOWLTPT"/>
    <s v="OOWLTP"/>
    <s v="ConverterPagamentosRemark-&gt;Input string was not in a correct format.&lt;-MontarAccountinsHotel&lt;-ProcessarHotel&lt;-ProcessarItemFila[b]"/>
    <x v="691"/>
    <m/>
    <s v="FORMA PAGTO/RECTO"/>
    <x v="2"/>
    <s v="TEXTO FORA DO PADRÃO ACEITO NO CAMPO"/>
    <s v="INDEFINIDO"/>
    <x v="0"/>
    <s v="COLUNA I"/>
  </r>
  <r>
    <s v="SABRE"/>
    <m/>
    <x v="2"/>
    <n v="3297309"/>
    <x v="2"/>
    <d v="2025-03-13T10:13:00"/>
    <s v="MKJMNGT"/>
    <s v="MKJMNG"/>
    <s v="ConverterPagamentosRemark-&gt;Input string was not in a correct format.&lt;-MontarAccountinsHotel&lt;-ProcessarHotel&lt;-ProcessarItemFila[b]"/>
    <x v="691"/>
    <m/>
    <s v="FORMA PAGTO/RECTO"/>
    <x v="2"/>
    <s v="TEXTO FORA DO PADRÃO ACEITO NO CAMPO"/>
    <s v="INDEFINIDO"/>
    <x v="0"/>
    <s v="COLUNA I"/>
  </r>
  <r>
    <s v="SABRE"/>
    <m/>
    <x v="2"/>
    <n v="3297408"/>
    <x v="2"/>
    <d v="2025-03-13T11:13:00"/>
    <s v="IUFOVVT"/>
    <s v="IUFOVV"/>
    <s v="ConverterPagamentosRemark-&gt;Input string was not in a correct format.&lt;-MontarAccountinsHotel&lt;-ProcessarHotel&lt;-ProcessarItemFila[b]"/>
    <x v="692"/>
    <m/>
    <s v="FORMA PAGTO/RECTO"/>
    <x v="2"/>
    <s v="TEXTO FORA DO PADRÃO ACEITO NO CAMPO"/>
    <s v="INDEFINIDO"/>
    <x v="0"/>
    <s v="COLUNA I"/>
  </r>
  <r>
    <s v="SABRE"/>
    <m/>
    <x v="2"/>
    <n v="3297518"/>
    <x v="2"/>
    <d v="2025-03-13T12:13:00"/>
    <s v="ITDSFRT"/>
    <s v="ITDSFR"/>
    <s v="ConverterPagamentosRemark-&gt;Input string was not in a correct format.&lt;-MontarAccountinsHotel&lt;-ProcessarHotel&lt;-ProcessarItemFila[b]"/>
    <x v="693"/>
    <m/>
    <s v="FORMA PAGTO/RECTO"/>
    <x v="2"/>
    <s v="TEXTO FORA DO PADRÃO ACEITO NO CAMPO"/>
    <s v="INDEFINIDO"/>
    <x v="0"/>
    <s v="COLUNA I"/>
  </r>
  <r>
    <s v="SABRE"/>
    <m/>
    <x v="2"/>
    <n v="3297519"/>
    <x v="2"/>
    <d v="2025-03-13T12:13:00"/>
    <s v="JELMXHT"/>
    <s v="JELMXH"/>
    <s v="ConverterPagamentosRemark-&gt;Input string was not in a correct format.&lt;-MontarAccountinsHotel&lt;-ProcessarHotel&lt;-ProcessarItemFila[b]"/>
    <x v="693"/>
    <m/>
    <s v="FORMA PAGTO/RECTO"/>
    <x v="2"/>
    <s v="TEXTO FORA DO PADRÃO ACEITO NO CAMPO"/>
    <s v="INDEFINIDO"/>
    <x v="0"/>
    <s v="COLUNA I"/>
  </r>
  <r>
    <s v="SABRE"/>
    <m/>
    <x v="2"/>
    <n v="3298613"/>
    <x v="2"/>
    <d v="2025-03-13T13:49:00"/>
    <s v="KNPLFP"/>
    <s v="KNPLFP"/>
    <s v="Não localizado cliente código [0000068777].&lt;-ObterCliente&lt;-MontarPnrBase&lt;-ProcessarAereo&lt;-ProcessarItemFila[b]"/>
    <x v="694"/>
    <m/>
    <s v="CLIENTE"/>
    <x v="13"/>
    <s v="CÓDIGO DIFERENTE DO CADASTRADO NO BENNER (CLIENTE X GRUPO)"/>
    <s v="QUALIDADE DOS DADOS"/>
    <x v="0"/>
    <n v="1"/>
  </r>
  <r>
    <s v="SABRE"/>
    <m/>
    <x v="2"/>
    <n v="3298614"/>
    <x v="2"/>
    <d v="2025-03-13T13:49:00"/>
    <s v="KNPLFPT"/>
    <s v="KNPLFP"/>
    <s v="Não localizado cliente código [0000068777].&lt;-ObterCliente&lt;-MontarPnrBase&lt;-MontarPnr&lt;-ProcessarHotel&lt;-ProcessarItemFila[b]"/>
    <x v="694"/>
    <m/>
    <s v="CLIENTE"/>
    <x v="13"/>
    <s v="CÓDIGO DIFERENTE DO CADASTRADO NO BENNER (CLIENTE X GRUPO)"/>
    <s v="QUALIDADE DOS DADOS"/>
    <x v="0"/>
    <n v="1"/>
  </r>
  <r>
    <s v="SABRE"/>
    <m/>
    <x v="2"/>
    <n v="3298864"/>
    <x v="2"/>
    <d v="2025-03-14T09:48:00"/>
    <s v="YMBPHE"/>
    <s v="YMBPHE"/>
    <s v="Não localizado cliente código [0004223565].&lt;-ObterCliente&lt;-MontarPnrBase&lt;-ProcessarAereo&lt;-ProcessarItemFila[b]"/>
    <x v="695"/>
    <d v="2025-03-14T11:48:00"/>
    <s v="CLIENTE"/>
    <x v="13"/>
    <s v="CÓDIGO DIFERENTE DO CADASTRADO NO BENNER (CLIENTE X GRUPO)"/>
    <s v="QUALIDADE DOS DADOS"/>
    <x v="0"/>
    <n v="1"/>
  </r>
  <r>
    <s v="SABRE"/>
    <m/>
    <x v="2"/>
    <n v="3299217"/>
    <x v="2"/>
    <d v="2025-03-13T15:58:00"/>
    <s v="HOKQHOT"/>
    <s v="HOKQHO"/>
    <s v="ConverterPagamentosRemark-&gt;Input string was not in a correct format.&lt;-MontarAccountinsHotel&lt;-ProcessarHotel&lt;-ProcessarItemFila[b]"/>
    <x v="696"/>
    <m/>
    <s v="FORMA PAGTO/RECTO"/>
    <x v="2"/>
    <s v="TEXTO FORA DO PADRÃO ACEITO NO CAMPO"/>
    <s v="INDEFINIDO"/>
    <x v="0"/>
    <s v="COLUNA I"/>
  </r>
  <r>
    <s v="SABRE"/>
    <m/>
    <x v="2"/>
    <n v="3299220"/>
    <x v="2"/>
    <d v="2025-03-13T15:59:00"/>
    <s v="AWCBZUT"/>
    <s v="AWCBZU"/>
    <s v="ConverterPagamentosRemark-&gt;Input string was not in a correct format.&lt;-MontarAccountinsHotel&lt;-ProcessarHotel&lt;-ProcessarItemFila[b]"/>
    <x v="696"/>
    <m/>
    <s v="FORMA PAGTO/RECTO"/>
    <x v="2"/>
    <s v="TEXTO FORA DO PADRÃO ACEITO NO CAMPO"/>
    <s v="INDEFINIDO"/>
    <x v="0"/>
    <s v="COLUNA I"/>
  </r>
  <r>
    <s v="SABRE"/>
    <m/>
    <x v="2"/>
    <n v="3299223"/>
    <x v="2"/>
    <d v="2025-03-13T15:59:00"/>
    <s v="EVLAVUT"/>
    <s v="EVLAVU"/>
    <s v="ConverterPagamentosRemark-&gt;Input string was not in a correct format.&lt;-MontarAccountinsHotel&lt;-ProcessarHotel&lt;-ProcessarItemFila[b]"/>
    <x v="697"/>
    <m/>
    <s v="FORMA PAGTO/RECTO"/>
    <x v="2"/>
    <s v="TEXTO FORA DO PADRÃO ACEITO NO CAMPO"/>
    <s v="INDEFINIDO"/>
    <x v="0"/>
    <s v="COLUNA I"/>
  </r>
  <r>
    <s v="SABRE"/>
    <m/>
    <x v="2"/>
    <n v="3299224"/>
    <x v="2"/>
    <d v="2025-03-13T15:59:00"/>
    <s v="QBZNBET"/>
    <s v="QBZNBE"/>
    <s v="ConverterPagamentosRemark-&gt;Input string was not in a correct format.&lt;-MontarAccountinsHotel&lt;-ProcessarHotel&lt;-ProcessarItemFila[b]"/>
    <x v="697"/>
    <m/>
    <s v="FORMA PAGTO/RECTO"/>
    <x v="2"/>
    <s v="TEXTO FORA DO PADRÃO ACEITO NO CAMPO"/>
    <s v="INDEFINIDO"/>
    <x v="0"/>
    <s v="COLUNA I"/>
  </r>
  <r>
    <s v="SABRE"/>
    <m/>
    <x v="2"/>
    <n v="3299532"/>
    <x v="2"/>
    <d v="2025-03-13T16:56:00"/>
    <s v="QLOETRT"/>
    <s v="QLOETR"/>
    <s v="ConverterPagamentosRemark-&gt;Input string was not in a correct format.&lt;-MontarAccountinsHotel&lt;-ProcessarHotel&lt;-ProcessarItemFila[b]"/>
    <x v="698"/>
    <m/>
    <s v="FORMA PAGTO/RECTO"/>
    <x v="2"/>
    <s v="TEXTO FORA DO PADRÃO ACEITO NO CAMPO"/>
    <s v="INDEFINIDO"/>
    <x v="0"/>
    <s v="COLUNA I"/>
  </r>
  <r>
    <s v="SABRE"/>
    <m/>
    <x v="2"/>
    <n v="3299810"/>
    <x v="2"/>
    <d v="2025-03-14T13:28:00"/>
    <s v="USZMRY"/>
    <s v="USZMRY"/>
    <s v="Não localizado cliente código [0004222573].&lt;-ObterCliente&lt;-MontarPnrBase&lt;-ProcessarAereo&lt;-ProcessarItemFila[b]"/>
    <x v="699"/>
    <d v="2025-03-14T15:35:00"/>
    <s v="CLIENTE"/>
    <x v="13"/>
    <s v="CÓDIGO DIFERENTE DO CADASTRADO NO BENNER (CLIENTE X GRUPO)"/>
    <s v="QUALIDADE DOS DADOS"/>
    <x v="0"/>
    <n v="1"/>
  </r>
  <r>
    <s v="SABRE"/>
    <m/>
    <x v="2"/>
    <n v="3299813"/>
    <x v="2"/>
    <d v="2025-03-14T13:28:00"/>
    <s v="SWFPFV"/>
    <s v="SWFPFV"/>
    <s v="Não localizado cliente código [0004222573].&lt;-ObterCliente&lt;-MontarPnrBase&lt;-ProcessarAereo&lt;-ProcessarItemFila[b]"/>
    <x v="700"/>
    <d v="2025-03-14T15:35:00"/>
    <s v="CLIENTE"/>
    <x v="13"/>
    <s v="CÓDIGO DIFERENTE DO CADASTRADO NO BENNER (CLIENTE X GRUPO)"/>
    <s v="QUALIDADE DOS DADOS"/>
    <x v="0"/>
    <n v="1"/>
  </r>
  <r>
    <s v="SABRE"/>
    <m/>
    <x v="2"/>
    <n v="3299815"/>
    <x v="2"/>
    <d v="2025-03-13T18:22:00"/>
    <s v="ORAUGI"/>
    <s v="ORAUGI"/>
    <s v="Código de cliente não identificado&lt;-ObterCliente&lt;-MontarPnrBase&lt;-ProcessarAereo&lt;-ProcessarItemFila[b]"/>
    <x v="701"/>
    <m/>
    <s v="CLIENTE"/>
    <x v="14"/>
    <s v="DK DE CLIENTE NÃO PREENCIDO / CLIENTE NÃO CONFIGURADO NO OBT"/>
    <s v="INDEFINIDO"/>
    <x v="1"/>
    <s v="COLUNA I"/>
  </r>
  <r>
    <s v="SABRE"/>
    <m/>
    <x v="2"/>
    <n v="3299818"/>
    <x v="2"/>
    <d v="2025-03-13T18:22:00"/>
    <s v="JXYVQH"/>
    <s v="JXYVQH"/>
    <s v="Código de cliente não identificado&lt;-ObterCliente&lt;-MontarPnrBase&lt;-ProcessarAereo&lt;-ProcessarItemFila[b]"/>
    <x v="702"/>
    <m/>
    <s v="CLIENTE"/>
    <x v="14"/>
    <s v="DK DE CLIENTE NÃO PREENCIDO / CLIENTE NÃO CONFIGURADO NO OBT"/>
    <s v="INDEFINIDO"/>
    <x v="1"/>
    <s v="COLUNA I"/>
  </r>
  <r>
    <s v="SABRE"/>
    <m/>
    <x v="2"/>
    <n v="3299829"/>
    <x v="2"/>
    <d v="2025-03-13T18:22:00"/>
    <s v="JGBIBH"/>
    <s v="JGBIBH"/>
    <s v="Não localizado cliente código [0004223565].&lt;-ObterCliente&lt;-MontarPnrBase&lt;-ProcessarAereo&lt;-ProcessarItemFila[b]"/>
    <x v="703"/>
    <m/>
    <s v="CLIENTE"/>
    <x v="13"/>
    <s v="CÓDIGO DIFERENTE DO CADASTRADO NO BENNER (CLIENTE X GRUPO)"/>
    <s v="QUALIDADE DOS DADOS"/>
    <x v="0"/>
    <n v="1"/>
  </r>
  <r>
    <s v="SABRE"/>
    <m/>
    <x v="2"/>
    <n v="3299830"/>
    <x v="2"/>
    <d v="2025-03-14T13:49:00"/>
    <s v="AXAVXA"/>
    <s v="AXAVXA"/>
    <s v="Não localizado cliente código [0004223565].&lt;-ObterCliente&lt;-MontarPnrBase&lt;-ProcessarAereo&lt;-ProcessarItemFila[b]"/>
    <x v="703"/>
    <d v="2025-03-14T16:03:00"/>
    <s v="CLIENTE"/>
    <x v="13"/>
    <s v="CÓDIGO DIFERENTE DO CADASTRADO NO BENNER (CLIENTE X GRUPO)"/>
    <s v="QUALIDADE DOS DADOS"/>
    <x v="0"/>
    <n v="1"/>
  </r>
  <r>
    <s v="SABRE"/>
    <m/>
    <x v="2"/>
    <n v="3299831"/>
    <x v="2"/>
    <d v="2025-03-14T13:50:00"/>
    <s v="IRPDCE"/>
    <s v="IRPDCE"/>
    <s v="Não localizado cliente código [0004223565].&lt;-ObterCliente&lt;-MontarPnrBase&lt;-ProcessarAereo&lt;-ProcessarItemFila[b]"/>
    <x v="703"/>
    <d v="2025-03-14T16:03:00"/>
    <s v="CLIENTE"/>
    <x v="13"/>
    <s v="CÓDIGO DIFERENTE DO CADASTRADO NO BENNER (CLIENTE X GRUPO)"/>
    <s v="QUALIDADE DOS DADOS"/>
    <x v="0"/>
    <n v="1"/>
  </r>
  <r>
    <s v="SABRE"/>
    <m/>
    <x v="2"/>
    <n v="3299845"/>
    <x v="2"/>
    <d v="2025-03-13T18:22:00"/>
    <s v="QMACQJ"/>
    <s v="QMACQJ"/>
    <s v="Código de cliente não identificado&lt;-ObterCliente&lt;-MontarPnrBase&lt;-ProcessarAereo&lt;-ProcessarItemFila[b]"/>
    <x v="704"/>
    <m/>
    <s v="CLIENTE"/>
    <x v="14"/>
    <s v="DK DE CLIENTE NÃO PREENCIDO / CLIENTE NÃO CONFIGURADO NO OBT"/>
    <s v="INDEFINIDO"/>
    <x v="1"/>
    <s v="COLUNA I"/>
  </r>
  <r>
    <s v="SABRE"/>
    <m/>
    <x v="2"/>
    <n v="3300259"/>
    <x v="2"/>
    <d v="2025-03-14T05:34:00"/>
    <s v="AZJHHET"/>
    <s v="AZJHHE"/>
    <s v="Inserindo PNR - Accountings - TurVendas - Não foi possível localizar o contrato do fornecedor 34817"/>
    <x v="705"/>
    <m/>
    <s v="FORNECEDOR"/>
    <x v="10"/>
    <s v="CONTRATO INATIVO OU DIVERGENTE"/>
    <s v="SISTEMA"/>
    <x v="1"/>
    <n v="43"/>
  </r>
  <r>
    <s v="SABRE"/>
    <m/>
    <x v="2"/>
    <n v="3300510"/>
    <x v="2"/>
    <d v="2025-03-14T08:51:00"/>
    <s v="YJYWFZT"/>
    <s v="YJYWFZ"/>
    <s v="ConverterPagamentosRemark-&gt;Input string was not in a correct format.&lt;-MontarAccountinsHotel&lt;-ProcessarHotel&lt;-ProcessarItemFila[b]"/>
    <x v="706"/>
    <m/>
    <s v="FORMA PAGTO/RECTO"/>
    <x v="2"/>
    <s v="TEXTO FORA DO PADRÃO ACEITO NO CAMPO"/>
    <s v="INDEFINIDO"/>
    <x v="0"/>
    <s v="COLUNA I"/>
  </r>
  <r>
    <s v="SABRE"/>
    <m/>
    <x v="2"/>
    <n v="3300605"/>
    <x v="2"/>
    <d v="2025-03-14T08:52:00"/>
    <s v="KXWEDQT"/>
    <s v="KXWEDQ"/>
    <s v="ConverterPagamentosRemark-&gt;Input string was not in a correct format.&lt;-MontarAccountinsHotel&lt;-ProcessarHotel&lt;-ProcessarItemFila[b]"/>
    <x v="707"/>
    <m/>
    <s v="FORMA PAGTO/RECTO"/>
    <x v="2"/>
    <s v="TEXTO FORA DO PADRÃO ACEITO NO CAMPO"/>
    <s v="INDEFINIDO"/>
    <x v="0"/>
    <s v="COLUNA I"/>
  </r>
  <r>
    <s v="TMS"/>
    <m/>
    <x v="2"/>
    <n v="3300680"/>
    <x v="1"/>
    <d v="2025-03-07T18:52:00"/>
    <n v="3287"/>
    <n v="3287"/>
    <s v="Preenchendo XML Aéreo-&gt; Preenchendo XML-&gt; Montando accounting aereo-&gt;Montando trecho da accounting-&gt;Input string was not in a correct format."/>
    <x v="708"/>
    <d v="2025-03-17T17:44:00"/>
    <s v="OUTROS"/>
    <x v="2"/>
    <s v="TEXTO FORA DO PADRÃO ACEITO NO CAMPO"/>
    <s v="INDEFINIDO"/>
    <x v="0"/>
    <s v="COLUNA I"/>
  </r>
  <r>
    <s v="SABRE"/>
    <m/>
    <x v="2"/>
    <n v="3300946"/>
    <x v="2"/>
    <d v="2025-03-17T10:50:00"/>
    <s v="LOYMOJ"/>
    <s v="LOYMOJ"/>
    <s v="Inserindo Accounting - (ExecSQL) - Could not convert variant of type (Null) into type (OleStr)"/>
    <x v="709"/>
    <d v="2025-03-17T13:05:00"/>
    <s v="OUTROS"/>
    <x v="11"/>
    <s v=""/>
    <s v="SISTEMA"/>
    <x v="0"/>
    <s v="COLUNA I"/>
  </r>
  <r>
    <s v="SABRE"/>
    <m/>
    <x v="2"/>
    <n v="3301059"/>
    <x v="2"/>
    <d v="2025-03-17T10:29:00"/>
    <s v="MDXLCI"/>
    <s v="MDXLCI"/>
    <s v="Não localizado cliente código [0004223565].&lt;-ObterCliente&lt;-MontarPnrBase&lt;-ProcessarAereo&lt;-ProcessarItemFila[b]"/>
    <x v="710"/>
    <d v="2025-03-17T12:34:00"/>
    <s v="CLIENTE"/>
    <x v="13"/>
    <s v="CÓDIGO DIFERENTE DO CADASTRADO NO BENNER (CLIENTE X GRUPO)"/>
    <s v="QUALIDADE DOS DADOS"/>
    <x v="0"/>
    <n v="1"/>
  </r>
  <r>
    <s v="SABRE"/>
    <m/>
    <x v="2"/>
    <n v="3301066"/>
    <x v="2"/>
    <d v="2025-03-14T11:21:00"/>
    <s v="QUAEFX"/>
    <s v="QUAEFX"/>
    <s v="Código de cliente não identificado&lt;-ObterCliente&lt;-MontarPnrBase&lt;-ProcessarAereo&lt;-ProcessarItemFila[b]"/>
    <x v="711"/>
    <m/>
    <s v="CLIENTE"/>
    <x v="14"/>
    <s v="DK DE CLIENTE NÃO PREENCIDO / CLIENTE NÃO CONFIGURADO NO OBT"/>
    <s v="INDEFINIDO"/>
    <x v="1"/>
    <s v="COLUNA I"/>
  </r>
  <r>
    <s v="GOVER"/>
    <m/>
    <x v="2"/>
    <n v="3301259"/>
    <x v="0"/>
    <d v="2025-03-13T08:24:00"/>
    <n v="4505036"/>
    <s v="AV78TIX364A"/>
    <s v="PreencherPnr-&gt;Não foi encontrado nenhum item veículo para o localizador AV78TIX364A"/>
    <x v="712"/>
    <d v="2025-03-18T10:44:00"/>
    <s v="OUTROS"/>
    <x v="0"/>
    <s v="TAGS DE DETALHAMENTO DO SERVIÇO NÃO ENVIADO NO XML"/>
    <e v="#N/A"/>
    <x v="0"/>
    <n v="46"/>
  </r>
  <r>
    <s v="GOVER"/>
    <m/>
    <x v="2"/>
    <n v="3301260"/>
    <x v="0"/>
    <d v="2025-03-13T08:24:00"/>
    <n v="4505036"/>
    <s v="cotacao"/>
    <s v="PreencherPnr-&gt;Não foi encontrado nenhum item veículo para o localizador cotacao"/>
    <x v="712"/>
    <d v="2025-03-18T10:44:00"/>
    <s v="OUTROS"/>
    <x v="0"/>
    <s v="TAGS DE DETALHAMENTO DO SERVIÇO NÃO ENVIADO NO XML"/>
    <e v="#N/A"/>
    <x v="0"/>
    <n v="46"/>
  </r>
  <r>
    <s v="SABRE"/>
    <m/>
    <x v="2"/>
    <n v="3301477"/>
    <x v="2"/>
    <d v="2025-03-14T14:45:00"/>
    <s v="EEYOTK"/>
    <s v="EEYOTK"/>
    <s v="Não localizado cliente código [0000069078].&lt;-ObterCliente&lt;-MontarPnrBase&lt;-ProcessarAereo&lt;-ProcessarItemFila[b]"/>
    <x v="713"/>
    <m/>
    <s v="CLIENTE"/>
    <x v="13"/>
    <s v="CÓDIGO DIFERENTE DO CADASTRADO NO BENNER (CLIENTE X GRUPO)"/>
    <s v="QUALIDADE DOS DADOS"/>
    <x v="0"/>
    <n v="1"/>
  </r>
  <r>
    <s v="SABRE"/>
    <m/>
    <x v="2"/>
    <n v="3302050"/>
    <x v="2"/>
    <d v="2025-03-14T15:47:00"/>
    <s v="IRNHGI"/>
    <s v="IRNHGI"/>
    <s v="Código de cliente não identificado&lt;-ObterCliente&lt;-MontarPnrBase&lt;-ProcessarAereo&lt;-ProcessarItemFila[b]"/>
    <x v="714"/>
    <m/>
    <s v="CLIENTE"/>
    <x v="14"/>
    <s v="DK DE CLIENTE NÃO PREENCIDO / CLIENTE NÃO CONFIGURADO NO OBT"/>
    <s v="INDEFINIDO"/>
    <x v="1"/>
    <s v="COLUNA I"/>
  </r>
  <r>
    <s v="SABRE"/>
    <m/>
    <x v="2"/>
    <n v="3302079"/>
    <x v="2"/>
    <d v="2025-03-17T12:44:00"/>
    <s v="LOTBUA"/>
    <s v="LOTBUA"/>
    <s v="Não localizado cliente código [0004223565].&lt;-ObterCliente&lt;-MontarPnrBase&lt;-ProcessarAereo&lt;-ProcessarItemFila[b]"/>
    <x v="715"/>
    <d v="2025-03-17T14:48:00"/>
    <s v="CLIENTE"/>
    <x v="13"/>
    <s v="CÓDIGO DIFERENTE DO CADASTRADO NO BENNER (CLIENTE X GRUPO)"/>
    <s v="QUALIDADE DOS DADOS"/>
    <x v="0"/>
    <n v="1"/>
  </r>
  <r>
    <s v="SABRE"/>
    <m/>
    <x v="2"/>
    <n v="3302080"/>
    <x v="2"/>
    <d v="2025-03-14T15:47:00"/>
    <s v="KXJOYE"/>
    <s v="KXJOYE"/>
    <s v="Não localizado cliente código [0000286569].&lt;-ObterCliente&lt;-MontarPnrBase&lt;-ProcessarAereo&lt;-ProcessarItemFila[b]"/>
    <x v="716"/>
    <m/>
    <s v="CLIENTE"/>
    <x v="13"/>
    <s v="CÓDIGO DIFERENTE DO CADASTRADO NO BENNER (CLIENTE X GRUPO)"/>
    <s v="QUALIDADE DOS DADOS"/>
    <x v="0"/>
    <n v="1"/>
  </r>
  <r>
    <s v="SABRE"/>
    <m/>
    <x v="2"/>
    <n v="3302081"/>
    <x v="2"/>
    <d v="2025-03-14T15:47:00"/>
    <s v="IDWFDK"/>
    <s v="IDWFDK"/>
    <s v="Não localizado cliente código [0000392619].&lt;-ObterCliente&lt;-MontarPnrBase&lt;-ProcessarAereo&lt;-ProcessarItemFila[b]"/>
    <x v="716"/>
    <m/>
    <s v="CLIENTE"/>
    <x v="13"/>
    <s v="CÓDIGO DIFERENTE DO CADASTRADO NO BENNER (CLIENTE X GRUPO)"/>
    <s v="QUALIDADE DOS DADOS"/>
    <x v="0"/>
    <n v="1"/>
  </r>
  <r>
    <s v="SABRE"/>
    <m/>
    <x v="2"/>
    <n v="3302611"/>
    <x v="2"/>
    <d v="2025-03-17T08:17:00"/>
    <s v="ADKDNS"/>
    <s v="ADKDNS"/>
    <s v="Não localizado cliente código [0004224627].&lt;-ObterCliente&lt;-MontarPnrBase&lt;-ProcessarAereo&lt;-ProcessarItemFila[b]"/>
    <x v="717"/>
    <d v="2025-03-17T10:19:00"/>
    <s v="CLIENTE"/>
    <x v="13"/>
    <s v="CÓDIGO DIFERENTE DO CADASTRADO NO BENNER (CLIENTE X GRUPO)"/>
    <s v="QUALIDADE DOS DADOS"/>
    <x v="0"/>
    <n v="1"/>
  </r>
  <r>
    <s v="SABRE"/>
    <m/>
    <x v="2"/>
    <n v="3302630"/>
    <x v="2"/>
    <d v="2025-03-14T17:53:00"/>
    <s v="NGHTJJ"/>
    <s v="NGHTJJ"/>
    <s v="Código de cliente não identificado&lt;-ObterCliente&lt;-MontarPnrBase&lt;-ProcessarAereo&lt;-ProcessarItemFila[b]"/>
    <x v="718"/>
    <m/>
    <s v="CLIENTE"/>
    <x v="14"/>
    <s v="DK DE CLIENTE NÃO PREENCIDO / CLIENTE NÃO CONFIGURADO NO OBT"/>
    <s v="INDEFINIDO"/>
    <x v="1"/>
    <s v="COLUNA I"/>
  </r>
  <r>
    <s v="SABRE"/>
    <m/>
    <x v="2"/>
    <n v="3302638"/>
    <x v="2"/>
    <d v="2025-03-14T17:53:00"/>
    <s v="YKUKDZ"/>
    <s v="YKUKDZ"/>
    <s v="Não localizado cliente código [0000286569].&lt;-ObterCliente&lt;-MontarPnrBase&lt;-ProcessarAereo&lt;-ProcessarItemFila[b]"/>
    <x v="719"/>
    <m/>
    <s v="CLIENTE"/>
    <x v="13"/>
    <s v="CÓDIGO DIFERENTE DO CADASTRADO NO BENNER (CLIENTE X GRUPO)"/>
    <s v="QUALIDADE DOS DADOS"/>
    <x v="0"/>
    <n v="1"/>
  </r>
  <r>
    <s v="SABRE"/>
    <m/>
    <x v="2"/>
    <n v="3302645"/>
    <x v="2"/>
    <d v="2025-03-14T17:53:00"/>
    <s v="IQJAPO"/>
    <s v="IQJAPO"/>
    <s v="Código de cliente não identificado&lt;-ObterCliente&lt;-MontarPnrBase&lt;-ProcessarAereo&lt;-ProcessarItemFila[b]"/>
    <x v="720"/>
    <m/>
    <s v="CLIENTE"/>
    <x v="14"/>
    <s v="DK DE CLIENTE NÃO PREENCIDO / CLIENTE NÃO CONFIGURADO NO OBT"/>
    <s v="INDEFINIDO"/>
    <x v="1"/>
    <s v="COLUNA I"/>
  </r>
  <r>
    <s v="SABRE"/>
    <m/>
    <x v="2"/>
    <n v="3302648"/>
    <x v="2"/>
    <d v="2025-03-14T17:53:00"/>
    <s v="SKZPFV"/>
    <s v="SKZPFV"/>
    <s v="Não localizado cliente código [1234567890].&lt;-ObterCliente&lt;-MontarPnrBase&lt;-ProcessarAereo&lt;-ProcessarItemFila[b]"/>
    <x v="720"/>
    <m/>
    <s v="CLIENTE"/>
    <x v="13"/>
    <s v="CÓDIGO DIFERENTE DO CADASTRADO NO BENNER (CLIENTE X GRUPO)"/>
    <s v="QUALIDADE DOS DADOS"/>
    <x v="0"/>
    <n v="1"/>
  </r>
  <r>
    <s v="SABRE"/>
    <m/>
    <x v="2"/>
    <n v="3302653"/>
    <x v="2"/>
    <d v="2025-03-14T17:53:00"/>
    <s v="SAYZZK"/>
    <s v="SAYZZK"/>
    <s v="Não localizado cliente código [1234567890].&lt;-ObterCliente&lt;-MontarPnrBase&lt;-ProcessarAereo&lt;-ProcessarItemFila[b]"/>
    <x v="721"/>
    <m/>
    <s v="CLIENTE"/>
    <x v="13"/>
    <s v="CÓDIGO DIFERENTE DO CADASTRADO NO BENNER (CLIENTE X GRUPO)"/>
    <s v="QUALIDADE DOS DADOS"/>
    <x v="0"/>
    <n v="1"/>
  </r>
  <r>
    <s v="SABRE"/>
    <m/>
    <x v="2"/>
    <n v="3302654"/>
    <x v="2"/>
    <d v="2025-03-14T17:53:00"/>
    <s v="YTVYQG"/>
    <s v="YTVYQG"/>
    <s v="Código de cliente não identificado&lt;-ObterCliente&lt;-MontarPnrBase&lt;-ProcessarAereo&lt;-ProcessarItemFila[b]"/>
    <x v="721"/>
    <m/>
    <s v="CLIENTE"/>
    <x v="14"/>
    <s v="DK DE CLIENTE NÃO PREENCIDO / CLIENTE NÃO CONFIGURADO NO OBT"/>
    <s v="INDEFINIDO"/>
    <x v="1"/>
    <s v="COLUNA I"/>
  </r>
  <r>
    <s v="SABRE"/>
    <m/>
    <x v="2"/>
    <n v="3303589"/>
    <x v="2"/>
    <d v="2025-03-17T06:41:00"/>
    <s v="YUGMGHT"/>
    <s v="YUGMGH"/>
    <s v="ConverterPagamentosRemark-&gt;Input string was not in a correct format.&lt;-MontarAccountinsHotel&lt;-ProcessarHotel&lt;-ProcessarItemFila[b]"/>
    <x v="722"/>
    <m/>
    <s v="FORMA PAGTO/RECTO"/>
    <x v="2"/>
    <s v="TEXTO FORA DO PADRÃO ACEITO NO CAMPO"/>
    <s v="INDEFINIDO"/>
    <x v="0"/>
    <s v="COLUNA I"/>
  </r>
  <r>
    <s v="SABRE"/>
    <m/>
    <x v="2"/>
    <n v="3303590"/>
    <x v="2"/>
    <d v="2025-03-17T06:41:00"/>
    <s v="JBGUKPT"/>
    <s v="JBGUKP"/>
    <s v="ConverterPagamentosRemark-&gt;Input string was not in a correct format.&lt;-MontarAccountinsHotel&lt;-ProcessarHotel&lt;-ProcessarItemFila[b]"/>
    <x v="722"/>
    <m/>
    <s v="FORMA PAGTO/RECTO"/>
    <x v="2"/>
    <s v="TEXTO FORA DO PADRÃO ACEITO NO CAMPO"/>
    <s v="INDEFINIDO"/>
    <x v="0"/>
    <s v="COLUNA I"/>
  </r>
  <r>
    <s v="SABRE"/>
    <m/>
    <x v="2"/>
    <n v="3303591"/>
    <x v="2"/>
    <d v="2025-03-17T06:41:00"/>
    <s v="JPHXZOT"/>
    <s v="JPHXZO"/>
    <s v="ConverterPagamentosRemark-&gt;Input string was not in a correct format.&lt;-MontarAccountinsHotel&lt;-ProcessarHotel&lt;-ProcessarItemFila[b]"/>
    <x v="722"/>
    <m/>
    <s v="FORMA PAGTO/RECTO"/>
    <x v="2"/>
    <s v="TEXTO FORA DO PADRÃO ACEITO NO CAMPO"/>
    <s v="INDEFINIDO"/>
    <x v="0"/>
    <s v="COLUNA I"/>
  </r>
  <r>
    <s v="SABRE"/>
    <m/>
    <x v="2"/>
    <n v="3304707"/>
    <x v="2"/>
    <d v="2025-03-17T13:18:00"/>
    <s v="ULKWVXT"/>
    <s v="ULKWVX"/>
    <s v="Inserindo PNR - Accountings - TurVendas - Não foi possível localizar o contrato do fornecedor 48142"/>
    <x v="723"/>
    <m/>
    <s v="FORNECEDOR"/>
    <x v="10"/>
    <s v="CONTRATO INATIVO OU DIVERGENTE"/>
    <s v="SISTEMA"/>
    <x v="1"/>
    <n v="43"/>
  </r>
  <r>
    <s v="SABRE"/>
    <m/>
    <x v="2"/>
    <n v="3304747"/>
    <x v="2"/>
    <d v="2025-03-17T15:30:00"/>
    <s v="KNQQIK"/>
    <s v="KNQQIK"/>
    <s v="Não localizado cliente código [1234567890].&lt;-ObterCliente&lt;-MontarPnrBase&lt;-ProcessarAereo&lt;-ProcessarItemFila[b]"/>
    <x v="724"/>
    <d v="2025-03-17T17:41:00"/>
    <s v="CLIENTE"/>
    <x v="13"/>
    <s v="CÓDIGO DIFERENTE DO CADASTRADO NO BENNER (CLIENTE X GRUPO)"/>
    <s v="QUALIDADE DOS DADOS"/>
    <x v="0"/>
    <n v="1"/>
  </r>
  <r>
    <s v="SABRE"/>
    <m/>
    <x v="2"/>
    <n v="3305162"/>
    <x v="2"/>
    <d v="2025-03-17T15:30:00"/>
    <s v="IMCJRH"/>
    <s v="IMCJRH"/>
    <s v="Não localizado cliente código [0004222573].&lt;-ObterCliente&lt;-MontarPnrBase&lt;-ProcessarAereo&lt;-ProcessarItemFila[b]"/>
    <x v="725"/>
    <m/>
    <s v="CLIENTE"/>
    <x v="13"/>
    <s v="CÓDIGO DIFERENTE DO CADASTRADO NO BENNER (CLIENTE X GRUPO)"/>
    <s v="QUALIDADE DOS DADOS"/>
    <x v="0"/>
    <n v="1"/>
  </r>
  <r>
    <s v="SABRE"/>
    <m/>
    <x v="2"/>
    <n v="3305175"/>
    <x v="2"/>
    <d v="2025-03-17T15:30:00"/>
    <s v="WFMACT"/>
    <s v="WFMACT"/>
    <s v="Código de cliente não identificado&lt;-ObterCliente&lt;-MontarPnrBase&lt;-ProcessarAereo&lt;-ProcessarItemFila[b]"/>
    <x v="726"/>
    <m/>
    <s v="CLIENTE"/>
    <x v="14"/>
    <s v="DK DE CLIENTE NÃO PREENCIDO / CLIENTE NÃO CONFIGURADO NO OBT"/>
    <s v="INDEFINIDO"/>
    <x v="1"/>
    <s v="COLUNA I"/>
  </r>
  <r>
    <s v="SABRE"/>
    <m/>
    <x v="2"/>
    <n v="3305211"/>
    <x v="2"/>
    <d v="2025-03-17T15:30:00"/>
    <s v="NEWKQA"/>
    <s v="NEWKQA"/>
    <s v="Código de cliente não identificado&lt;-ObterCliente&lt;-MontarPnrBase&lt;-ProcessarAereo&lt;-ProcessarItemFila[b]"/>
    <x v="727"/>
    <m/>
    <s v="CLIENTE"/>
    <x v="14"/>
    <s v="DK DE CLIENTE NÃO PREENCIDO / CLIENTE NÃO CONFIGURADO NO OBT"/>
    <s v="INDEFINIDO"/>
    <x v="1"/>
    <s v="COLUNA I"/>
  </r>
  <r>
    <s v="SABRE"/>
    <m/>
    <x v="2"/>
    <n v="3305218"/>
    <x v="2"/>
    <d v="2025-03-17T15:30:00"/>
    <s v="CWGVSL"/>
    <s v="CWGVSL"/>
    <s v="Código de cliente não identificado&lt;-ObterCliente&lt;-MontarPnrBase&lt;-ProcessarAereo&lt;-ProcessarItemFila[b]"/>
    <x v="728"/>
    <m/>
    <s v="CLIENTE"/>
    <x v="14"/>
    <s v="DK DE CLIENTE NÃO PREENCIDO / CLIENTE NÃO CONFIGURADO NO OBT"/>
    <s v="INDEFINIDO"/>
    <x v="1"/>
    <s v="COLUNA I"/>
  </r>
  <r>
    <s v="SABRE"/>
    <m/>
    <x v="2"/>
    <n v="3305236"/>
    <x v="2"/>
    <d v="2025-03-17T15:30:00"/>
    <s v="NERRZB"/>
    <s v="NERRZB"/>
    <s v="Não localizado cliente código [0004224627].&lt;-ObterCliente&lt;-MontarPnrBase&lt;-ProcessarAereo&lt;-ProcessarItemFila[b]"/>
    <x v="729"/>
    <m/>
    <s v="CLIENTE"/>
    <x v="13"/>
    <s v="CÓDIGO DIFERENTE DO CADASTRADO NO BENNER (CLIENTE X GRUPO)"/>
    <s v="QUALIDADE DOS DADOS"/>
    <x v="0"/>
    <n v="1"/>
  </r>
  <r>
    <s v="SABRE"/>
    <m/>
    <x v="2"/>
    <n v="3305237"/>
    <x v="2"/>
    <d v="2025-03-17T15:30:00"/>
    <s v="KNHHVW"/>
    <s v="KNHHVW"/>
    <s v="Não localizado cliente código [0000063625].&lt;-ObterCliente&lt;-MontarPnrBase&lt;-ProcessarAereo&lt;-ProcessarItemFila[b]"/>
    <x v="730"/>
    <m/>
    <s v="CLIENTE"/>
    <x v="13"/>
    <s v="CÓDIGO DIFERENTE DO CADASTRADO NO BENNER (CLIENTE X GRUPO)"/>
    <s v="QUALIDADE DOS DADOS"/>
    <x v="0"/>
    <n v="1"/>
  </r>
  <r>
    <s v="SABRE"/>
    <m/>
    <x v="2"/>
    <n v="3305243"/>
    <x v="2"/>
    <d v="2025-03-17T15:30:00"/>
    <s v="MCOJVC"/>
    <s v="MCOJVC"/>
    <s v="Não localizado cliente código [1234567890].&lt;-ObterCliente&lt;-MontarPnrBase&lt;-ProcessarAereo&lt;-ProcessarItemFila[b]"/>
    <x v="731"/>
    <m/>
    <s v="CLIENTE"/>
    <x v="13"/>
    <s v="CÓDIGO DIFERENTE DO CADASTRADO NO BENNER (CLIENTE X GRUPO)"/>
    <s v="QUALIDADE DOS DADOS"/>
    <x v="0"/>
    <n v="1"/>
  </r>
  <r>
    <s v="SABRE"/>
    <m/>
    <x v="2"/>
    <n v="3305245"/>
    <x v="2"/>
    <d v="2025-03-17T15:30:00"/>
    <s v="NKNUIE"/>
    <s v="NKNUIE"/>
    <s v="Não localizado cliente código [0004223565].&lt;-ObterCliente&lt;-MontarPnrBase&lt;-ProcessarAereo&lt;-ProcessarItemFila[b]"/>
    <x v="731"/>
    <m/>
    <s v="CLIENTE"/>
    <x v="13"/>
    <s v="CÓDIGO DIFERENTE DO CADASTRADO NO BENNER (CLIENTE X GRUPO)"/>
    <s v="QUALIDADE DOS DADOS"/>
    <x v="0"/>
    <n v="1"/>
  </r>
  <r>
    <s v="SABRE"/>
    <m/>
    <x v="2"/>
    <n v="3305493"/>
    <x v="2"/>
    <d v="2025-03-17T15:59:00"/>
    <s v="JEHXSUT"/>
    <s v="JEHXSU"/>
    <s v="ConverterPagamentosRemark-&gt;Input string was not in a correct format.&lt;-MontarAccountinsHotel&lt;-ProcessarHotel&lt;-ProcessarItemFila[b]"/>
    <x v="732"/>
    <m/>
    <s v="FORMA PAGTO/RECTO"/>
    <x v="2"/>
    <s v="TEXTO FORA DO PADRÃO ACEITO NO CAMPO"/>
    <s v="INDEFINIDO"/>
    <x v="0"/>
    <s v="COLUNA I"/>
  </r>
  <r>
    <s v="SABRE"/>
    <m/>
    <x v="2"/>
    <n v="3305494"/>
    <x v="2"/>
    <d v="2025-03-17T16:00:00"/>
    <s v="JCZBFQT"/>
    <s v="JCZBFQ"/>
    <s v="ConverterPagamentosRemark-&gt;Input string was not in a correct format.&lt;-MontarAccountinsHotel&lt;-ProcessarHotel&lt;-ProcessarItemFila[b]"/>
    <x v="732"/>
    <m/>
    <s v="FORMA PAGTO/RECTO"/>
    <x v="2"/>
    <s v="TEXTO FORA DO PADRÃO ACEITO NO CAMPO"/>
    <s v="INDEFINIDO"/>
    <x v="0"/>
    <s v="COLUNA I"/>
  </r>
  <r>
    <s v="SABRE"/>
    <m/>
    <x v="2"/>
    <n v="3305495"/>
    <x v="2"/>
    <d v="2025-03-17T16:00:00"/>
    <s v="SHKHIXT"/>
    <s v="SHKHIX"/>
    <s v="ConverterPagamentosRemark-&gt;Input string was not in a correct format.&lt;-MontarAccountinsHotel&lt;-ProcessarHotel&lt;-ProcessarItemFila[b]"/>
    <x v="732"/>
    <m/>
    <s v="FORMA PAGTO/RECTO"/>
    <x v="2"/>
    <s v="TEXTO FORA DO PADRÃO ACEITO NO CAMPO"/>
    <s v="INDEFINIDO"/>
    <x v="0"/>
    <s v="COLUNA I"/>
  </r>
  <r>
    <s v="SABRE"/>
    <m/>
    <x v="2"/>
    <n v="3305496"/>
    <x v="2"/>
    <d v="2025-03-17T16:00:00"/>
    <s v="MUIDOUT"/>
    <s v="MUIDOU"/>
    <s v="ConverterPagamentosRemark-&gt;Input string was not in a correct format.&lt;-MontarAccountinsHotel&lt;-ProcessarHotel&lt;-ProcessarItemFila[b]"/>
    <x v="732"/>
    <m/>
    <s v="FORMA PAGTO/RECTO"/>
    <x v="2"/>
    <s v="TEXTO FORA DO PADRÃO ACEITO NO CAMPO"/>
    <s v="INDEFINIDO"/>
    <x v="0"/>
    <s v="COLUNA I"/>
  </r>
  <r>
    <s v="SABRE"/>
    <m/>
    <x v="2"/>
    <n v="3305499"/>
    <x v="2"/>
    <d v="2025-03-17T16:04:00"/>
    <s v="CZBUGDT"/>
    <s v="CZBUGD"/>
    <s v="ConverterPagamentosRemark-&gt;Input string was not in a correct format.&lt;-MontarAccountinsHotel&lt;-ProcessarHotel&lt;-ProcessarItemFila[b]"/>
    <x v="732"/>
    <m/>
    <s v="FORMA PAGTO/RECTO"/>
    <x v="2"/>
    <s v="TEXTO FORA DO PADRÃO ACEITO NO CAMPO"/>
    <s v="INDEFINIDO"/>
    <x v="0"/>
    <s v="COLUNA I"/>
  </r>
  <r>
    <s v="SABRE"/>
    <m/>
    <x v="2"/>
    <n v="3305920"/>
    <x v="2"/>
    <d v="2025-03-17T17:31:00"/>
    <s v="FWBZEM"/>
    <s v="FWBZEM"/>
    <s v="Código de cliente não identificado&lt;-ObterCliente&lt;-MontarPnrBase&lt;-ProcessarAereo&lt;-ProcessarItemFila[b]"/>
    <x v="733"/>
    <m/>
    <s v="CLIENTE"/>
    <x v="14"/>
    <s v="DK DE CLIENTE NÃO PREENCIDO / CLIENTE NÃO CONFIGURADO NO OBT"/>
    <s v="INDEFINIDO"/>
    <x v="1"/>
    <s v="COLUNA I"/>
  </r>
  <r>
    <s v="SABRE"/>
    <m/>
    <x v="2"/>
    <n v="3305939"/>
    <x v="2"/>
    <d v="2025-03-17T17:31:00"/>
    <s v="MDVFEN"/>
    <s v="MDVFEN"/>
    <s v="Código de cliente não identificado&lt;-ObterCliente&lt;-MontarPnrBase&lt;-ProcessarAereo&lt;-ProcessarItemFila[b]"/>
    <x v="734"/>
    <m/>
    <s v="CLIENTE"/>
    <x v="14"/>
    <s v="DK DE CLIENTE NÃO PREENCIDO / CLIENTE NÃO CONFIGURADO NO OBT"/>
    <s v="INDEFINIDO"/>
    <x v="1"/>
    <s v="COLUNA I"/>
  </r>
  <r>
    <s v="TMS"/>
    <m/>
    <x v="2"/>
    <n v="3305948"/>
    <x v="1"/>
    <d v="2025-03-17T13:59:00"/>
    <n v="1375"/>
    <n v="1375"/>
    <s v="Preenchendo XML Serviço-&gt; Preenchendo XML-&gt; Montando accounting aereo 2-&gt;Não foi informado o Localizador do Assento/Bagagem!"/>
    <x v="735"/>
    <d v="2025-03-18T06:05:00"/>
    <s v="OUTROS"/>
    <x v="15"/>
    <s v="CAMPO OBSERVAÇÃO PREENCHIDO INCORRETAMENTE"/>
    <s v="QUALIDADE DOS DADOS"/>
    <x v="1"/>
    <n v="118"/>
  </r>
  <r>
    <s v="GOVER"/>
    <m/>
    <x v="2"/>
    <n v="3307282"/>
    <x v="0"/>
    <d v="2024-07-17T09:33:00"/>
    <n v="381463"/>
    <s v="174312986-12462"/>
    <s v="PreencherPnr-&gt;Forma pagamento Cartão-&gt; Não foi possível determinar a validade do cartão, favor verificar os dados do cartão &lt;Id&gt;1341225&lt;/Id&gt;."/>
    <x v="736"/>
    <d v="2025-03-18T15:12:00"/>
    <s v="FORMA PAGTO/RECTO"/>
    <x v="5"/>
    <s v="TAG &lt;CARTAOVALIDADE&gt; NÃO ENVIADA"/>
    <s v="SISTEMA"/>
    <x v="0"/>
    <n v="40"/>
  </r>
  <r>
    <s v="GOVER"/>
    <m/>
    <x v="2"/>
    <n v="3307283"/>
    <x v="0"/>
    <d v="2024-07-17T14:44:00"/>
    <n v="381492"/>
    <s v="174320998-58961"/>
    <s v="PreencherPnr-&gt;Forma pagamento Cartão-&gt; Não foi possível determinar a validade do cartão, favor verificar os dados do cartão &lt;Id&gt;1341224&lt;/Id&gt;."/>
    <x v="736"/>
    <d v="2025-03-18T15:12:00"/>
    <s v="FORMA PAGTO/RECTO"/>
    <x v="5"/>
    <s v="TAG &lt;CARTAOVALIDADE&gt; NÃO ENVIADA"/>
    <s v="SISTEMA"/>
    <x v="0"/>
    <n v="40"/>
  </r>
  <r>
    <s v="GOVER"/>
    <m/>
    <x v="2"/>
    <n v="3307284"/>
    <x v="0"/>
    <d v="2024-07-17T15:02:00"/>
    <n v="381493"/>
    <s v="174321223-94863"/>
    <s v="PreencherPnr-&gt;Forma pagamento Cartão-&gt; Não foi possível determinar a validade do cartão, favor verificar os dados do cartão &lt;Id&gt;1341226&lt;/Id&gt;."/>
    <x v="736"/>
    <d v="2025-03-18T15:12:00"/>
    <s v="FORMA PAGTO/RECTO"/>
    <x v="5"/>
    <s v="TAG &lt;CARTAOVALIDADE&gt; NÃO ENVIADA"/>
    <s v="SISTEMA"/>
    <x v="0"/>
    <n v="40"/>
  </r>
  <r>
    <s v="GOVER"/>
    <m/>
    <x v="2"/>
    <n v="3307285"/>
    <x v="0"/>
    <d v="2024-07-17T15:04:00"/>
    <n v="381495"/>
    <s v="174321247-90421"/>
    <s v="PreencherPnr-&gt;Forma pagamento Cartão-&gt; Não foi possível determinar a validade do cartão, favor verificar os dados do cartão &lt;Id&gt;1341227&lt;/Id&gt;."/>
    <x v="736"/>
    <d v="2025-03-18T15:12:00"/>
    <s v="FORMA PAGTO/RECTO"/>
    <x v="5"/>
    <s v="TAG &lt;CARTAOVALIDADE&gt; NÃO ENVIADA"/>
    <s v="SISTEMA"/>
    <x v="0"/>
    <n v="40"/>
  </r>
  <r>
    <s v="GOVER"/>
    <m/>
    <x v="2"/>
    <n v="3307286"/>
    <x v="0"/>
    <d v="2024-07-17T16:23:00"/>
    <n v="381516"/>
    <s v="174322061-30048"/>
    <s v="PreencherPnr-&gt;Forma pagamento Cartão-&gt; Não foi possível determinar a validade do cartão, favor verificar os dados do cartão &lt;Id&gt;1341228&lt;/Id&gt;."/>
    <x v="736"/>
    <d v="2025-03-18T15:12:00"/>
    <s v="FORMA PAGTO/RECTO"/>
    <x v="5"/>
    <s v="TAG &lt;CARTAOVALIDADE&gt; NÃO ENVIADA"/>
    <s v="SISTEMA"/>
    <x v="0"/>
    <n v="40"/>
  </r>
  <r>
    <s v="GOVER"/>
    <m/>
    <x v="2"/>
    <n v="3307287"/>
    <x v="0"/>
    <d v="2023-06-13T16:55:00"/>
    <n v="4110674"/>
    <s v="DLSTWY"/>
    <s v="PreencherPnr-&gt;PreencherAccountingCustom-&gt; Erro: PreencherAccounting-&gt; Erro: Centro de custo não informado!"/>
    <x v="737"/>
    <d v="2025-03-18T15:14:00"/>
    <s v="OUTROS"/>
    <x v="8"/>
    <s v="CENTRO DE CUSTO NÃO INFORMADO NA RESERVA"/>
    <s v="QUALIDADE DOS DADOS"/>
    <x v="0"/>
    <s v="COLUNA I"/>
  </r>
  <r>
    <s v="GOVER"/>
    <m/>
    <x v="2"/>
    <n v="3307288"/>
    <x v="0"/>
    <d v="2023-06-19T18:51:00"/>
    <n v="4115143"/>
    <s v="GUCVNI"/>
    <s v="PreencherPnr-&gt;PreencherAccountingCustom-&gt; Erro: PreencherAccounting-&gt; Erro: Centro de custo não informado!"/>
    <x v="737"/>
    <d v="2025-03-18T15:14:00"/>
    <s v="OUTROS"/>
    <x v="8"/>
    <s v="CENTRO DE CUSTO NÃO INFORMADO NA RESERVA"/>
    <s v="QUALIDADE DOS DADOS"/>
    <x v="0"/>
    <s v="COLUNA I"/>
  </r>
  <r>
    <s v="GOVER"/>
    <m/>
    <x v="2"/>
    <n v="3307289"/>
    <x v="0"/>
    <d v="2023-06-20T18:18:00"/>
    <n v="4116134"/>
    <s v="GUCVNI"/>
    <s v="PreencherPnr-&gt;PreencherAccountingCustom-&gt; Erro: PreencherAccounting-&gt; Erro: Centro de custo não informado!"/>
    <x v="737"/>
    <d v="2025-03-18T15:14:00"/>
    <s v="OUTROS"/>
    <x v="8"/>
    <s v="CENTRO DE CUSTO NÃO INFORMADO NA RESERVA"/>
    <s v="QUALIDADE DOS DADOS"/>
    <x v="0"/>
    <s v="COLUNA I"/>
  </r>
  <r>
    <s v="GOVER"/>
    <m/>
    <x v="2"/>
    <n v="3307290"/>
    <x v="0"/>
    <d v="2024-07-10T17:31:00"/>
    <n v="4368840"/>
    <s v="DHUYRS01"/>
    <s v="PreencherPnr-&gt;AlterarAccountingCustom-&gt; Erro: AlterarAccounting-&gt; Erro: GetOrInsertReferencial1-&gt; Erro: O tamanho máximo do campo &quot;Código&quot; é 60 caracteres."/>
    <x v="103"/>
    <m/>
    <m/>
    <x v="18"/>
    <s v="EXCEDEU O Nº DE CARACTERES NO CAMPO FINALIDADE (60)"/>
    <s v="QUALIDADE DOS DADOS"/>
    <x v="0"/>
    <s v="COLUNA I"/>
  </r>
  <r>
    <s v="GOVER"/>
    <m/>
    <x v="2"/>
    <n v="3307291"/>
    <x v="0"/>
    <d v="2024-07-11T19:18:00"/>
    <n v="4369880"/>
    <n v="14784627"/>
    <s v="PreencherPnr-&gt;AlterarAccountingCustom-&gt; Erro: AlterarAccounting-&gt; Erro: GetOrInsertReferencial1-&gt; Erro: O tamanho máximo do campo &quot;Código&quot; é 60 caracteres."/>
    <x v="103"/>
    <m/>
    <m/>
    <x v="18"/>
    <s v="EXCEDEU O Nº DE CARACTERES NO CAMPO FINALIDADE (60)"/>
    <s v="QUALIDADE DOS DADOS"/>
    <x v="0"/>
    <s v="COLUNA I"/>
  </r>
  <r>
    <s v="GOVER"/>
    <m/>
    <x v="2"/>
    <n v="3307292"/>
    <x v="0"/>
    <d v="2024-07-12T11:18:00"/>
    <n v="4370166"/>
    <s v="IMOVWL"/>
    <s v="PreencherPnr-&gt;AlterarAccountingCustom-&gt; Erro: AlterarAccounting-&gt; Erro: GetOrInsertReferencial1-&gt; Erro: O tamanho máximo do campo &quot;Código&quot; é 60 caracteres."/>
    <x v="103"/>
    <m/>
    <m/>
    <x v="18"/>
    <s v="EXCEDEU O Nº DE CARACTERES NO CAMPO FINALIDADE (60)"/>
    <s v="QUALIDADE DOS DADOS"/>
    <x v="0"/>
    <s v="COLUNA I"/>
  </r>
  <r>
    <s v="GOVER"/>
    <m/>
    <x v="2"/>
    <n v="3307293"/>
    <x v="0"/>
    <d v="2024-07-12T11:18:00"/>
    <n v="4370166"/>
    <s v="KXUQKN"/>
    <s v="PreencherPnr-&gt;AlterarAccountingCustom-&gt; Erro: AlterarAccounting-&gt; Erro: GetOrInsertReferencial1-&gt; Erro: O tamanho máximo do campo &quot;Código&quot; é 60 caracteres."/>
    <x v="103"/>
    <m/>
    <m/>
    <x v="18"/>
    <s v="EXCEDEU O Nº DE CARACTERES NO CAMPO FINALIDADE (60)"/>
    <s v="QUALIDADE DOS DADOS"/>
    <x v="0"/>
    <s v="COLUNA I"/>
  </r>
  <r>
    <s v="GOVER"/>
    <m/>
    <x v="2"/>
    <n v="3307294"/>
    <x v="0"/>
    <d v="2024-07-12T11:24:00"/>
    <n v="4370183"/>
    <n v="14789776"/>
    <s v="PreencherPnr-&gt;AlterarAccountingCustom-&gt; Erro: AlterarAccounting-&gt; Erro: GetOrInsertReferencial1-&gt; Erro: O tamanho máximo do campo &quot;Código&quot; é 60 caracteres."/>
    <x v="103"/>
    <m/>
    <m/>
    <x v="18"/>
    <s v="EXCEDEU O Nº DE CARACTERES NO CAMPO FINALIDADE (60)"/>
    <s v="QUALIDADE DOS DADOS"/>
    <x v="0"/>
    <s v="COLUNA I"/>
  </r>
  <r>
    <s v="GOVER"/>
    <m/>
    <x v="2"/>
    <n v="3307295"/>
    <x v="0"/>
    <d v="2024-07-19T15:12:00"/>
    <n v="4374675"/>
    <s v="HGW3FC"/>
    <s v="Atualizando PNR - Accountings - '' is not a valid integer value"/>
    <x v="738"/>
    <d v="2025-03-18T15:15:00"/>
    <s v="OUTROS"/>
    <x v="17"/>
    <s v=""/>
    <e v="#N/A"/>
    <x v="3"/>
    <s v="COLUNA I"/>
  </r>
  <r>
    <s v="SABRE"/>
    <m/>
    <x v="2"/>
    <n v="3307349"/>
    <x v="2"/>
    <d v="2025-03-18T09:56:00"/>
    <s v="ESBZSQ"/>
    <s v="ESBZSQ"/>
    <s v="Não localizado cliente código [0004223565].&lt;-ObterCliente&lt;-MontarPnrBase&lt;-ProcessarAereo&lt;-ProcessarItemFila[b]"/>
    <x v="739"/>
    <d v="2025-03-18T12:08:00"/>
    <s v="CLIENTE"/>
    <x v="13"/>
    <s v="CÓDIGO DIFERENTE DO CADASTRADO NO BENNER (CLIENTE X GRUPO)"/>
    <s v="QUALIDADE DOS DADOS"/>
    <x v="0"/>
    <n v="1"/>
  </r>
  <r>
    <s v="SABRE"/>
    <m/>
    <x v="2"/>
    <n v="3307351"/>
    <x v="2"/>
    <d v="2025-03-18T09:34:00"/>
    <s v="CSIJVBT"/>
    <s v="CSIJVB"/>
    <s v="ConverterPagamentosRemark-&gt;Input string was not in a correct format.&lt;-MontarAccountinsHotel&lt;-ProcessarHotel&lt;-ProcessarItemFila[b]"/>
    <x v="739"/>
    <m/>
    <s v="FORMA PAGTO/RECTO"/>
    <x v="2"/>
    <s v="TEXTO FORA DO PADRÃO ACEITO NO CAMPO"/>
    <s v="INDEFINIDO"/>
    <x v="0"/>
    <s v="COLUNA I"/>
  </r>
  <r>
    <s v="SABRE"/>
    <m/>
    <x v="2"/>
    <n v="3307352"/>
    <x v="2"/>
    <d v="2025-03-18T09:34:00"/>
    <s v="CLFARVT"/>
    <s v="CLFARV"/>
    <s v="ConverterPagamentosRemark-&gt;Input string was not in a correct format.&lt;-MontarAccountinsHotel&lt;-ProcessarHotel&lt;-ProcessarItemFila[b]"/>
    <x v="740"/>
    <m/>
    <s v="FORMA PAGTO/RECTO"/>
    <x v="2"/>
    <s v="TEXTO FORA DO PADRÃO ACEITO NO CAMPO"/>
    <s v="INDEFINIDO"/>
    <x v="0"/>
    <s v="COLUNA I"/>
  </r>
  <r>
    <s v="SABRE"/>
    <m/>
    <x v="2"/>
    <n v="3307428"/>
    <x v="2"/>
    <d v="2025-03-18T09:56:00"/>
    <s v="AEZWNW"/>
    <s v="AEZWNW"/>
    <s v="Não localizado cliente código [0004223565].&lt;-ObterCliente&lt;-MontarPnrBase&lt;-ProcessarAereo&lt;-ProcessarItemFila[b]"/>
    <x v="741"/>
    <m/>
    <s v="CLIENTE"/>
    <x v="13"/>
    <s v="CÓDIGO DIFERENTE DO CADASTRADO NO BENNER (CLIENTE X GRUPO)"/>
    <s v="QUALIDADE DOS DADOS"/>
    <x v="0"/>
    <n v="1"/>
  </r>
  <r>
    <s v="GOVER"/>
    <m/>
    <x v="2"/>
    <n v="3307431"/>
    <x v="0"/>
    <d v="2023-10-04T16:27:00"/>
    <n v="4198763"/>
    <n v="4198763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2"/>
    <x v="0"/>
    <d v="2023-10-10T15:07:00"/>
    <n v="4202742"/>
    <n v="4202742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3"/>
    <x v="0"/>
    <d v="2023-10-10T19:06:00"/>
    <n v="4203062"/>
    <n v="4203062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4"/>
    <x v="0"/>
    <d v="2023-10-11T15:32:00"/>
    <n v="4203809"/>
    <n v="4203809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5"/>
    <x v="0"/>
    <d v="2023-10-17T09:08:00"/>
    <n v="4206418"/>
    <n v="4206418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6"/>
    <x v="0"/>
    <d v="2023-10-18T16:16:00"/>
    <n v="4208156"/>
    <n v="4208156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7"/>
    <x v="0"/>
    <d v="2023-10-25T17:06:00"/>
    <n v="4213269"/>
    <n v="4213269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8"/>
    <x v="0"/>
    <d v="2023-10-26T19:38:00"/>
    <n v="4214260"/>
    <n v="4214260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39"/>
    <x v="0"/>
    <d v="2023-10-26T19:45:00"/>
    <n v="4214263"/>
    <n v="4214263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0"/>
    <x v="0"/>
    <d v="2023-11-06T09:27:00"/>
    <n v="4219627"/>
    <n v="4219627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2"/>
    <x v="0"/>
    <d v="2023-11-14T10:25:00"/>
    <n v="4226249"/>
    <n v="4226249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3"/>
    <x v="0"/>
    <d v="2023-11-14T13:21:00"/>
    <n v="4226516"/>
    <n v="4226516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4"/>
    <x v="0"/>
    <d v="2023-11-16T16:47:00"/>
    <n v="4228343"/>
    <n v="4228343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5"/>
    <x v="0"/>
    <d v="2023-11-16T19:31:00"/>
    <n v="4228594"/>
    <n v="4228594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6"/>
    <x v="0"/>
    <d v="2023-11-17T15:08:00"/>
    <n v="4229281"/>
    <n v="4229281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7"/>
    <x v="0"/>
    <d v="2023-11-27T09:49:00"/>
    <n v="4234613"/>
    <n v="4234613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48"/>
    <x v="0"/>
    <d v="2023-12-01T11:19:00"/>
    <n v="4238444"/>
    <n v="4238444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50"/>
    <x v="0"/>
    <d v="2023-12-20T11:31:00"/>
    <n v="4247796"/>
    <n v="4247796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51"/>
    <x v="0"/>
    <d v="2023-12-26T13:45:00"/>
    <n v="4249483"/>
    <n v="4249483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52"/>
    <x v="0"/>
    <d v="2023-12-27T15:09:00"/>
    <n v="4249982"/>
    <n v="4249982"/>
    <s v="PreencherPnr-&gt;Foi identificado um localizador sem código."/>
    <x v="742"/>
    <d v="2025-04-09T14:46:00"/>
    <s v="OUTROS"/>
    <x v="1"/>
    <s v="RLOC NÃO PREENCHIDO NA RESERVA"/>
    <s v="QUALIDADE DOS DADOS"/>
    <x v="0"/>
    <s v="COLUNA I"/>
  </r>
  <r>
    <s v="GOVER"/>
    <m/>
    <x v="2"/>
    <n v="3307457"/>
    <x v="0"/>
    <d v="2024-05-28T11:28:00"/>
    <n v="4341981"/>
    <s v="GKLWSE"/>
    <s v="PreencherPnr-&gt;Número de voo informado é inválido:  '    "/>
    <x v="743"/>
    <d v="2025-04-09T14:46:00"/>
    <s v="OUTROS"/>
    <x v="19"/>
    <s v="Nº DO VOO NÃO PREENCHIDO OU INCORRETO NA RESERVA"/>
    <s v="QUALIDADE DOS DADOS"/>
    <x v="0"/>
    <s v="COLUNA I"/>
  </r>
  <r>
    <s v="GOVER"/>
    <m/>
    <x v="2"/>
    <n v="3307461"/>
    <x v="0"/>
    <d v="2024-08-20T16:52:00"/>
    <n v="4393087"/>
    <n v="4393087"/>
    <s v="PreencherPnr-&gt;Foi identificado um localizador sem código."/>
    <x v="743"/>
    <d v="2025-04-09T14:46:00"/>
    <s v="OUTROS"/>
    <x v="1"/>
    <s v="RLOC NÃO PREENCHIDO NA RESERVA"/>
    <s v="QUALIDADE DOS DADOS"/>
    <x v="0"/>
    <s v="COLUNA I"/>
  </r>
  <r>
    <s v="GOVER"/>
    <m/>
    <x v="2"/>
    <n v="3307462"/>
    <x v="0"/>
    <d v="2024-08-22T22:39:00"/>
    <n v="4394675"/>
    <n v="4394675"/>
    <s v="PreencherPnr-&gt;Foi identificado um localizador sem código."/>
    <x v="743"/>
    <d v="2025-04-09T14:46:00"/>
    <s v="OUTROS"/>
    <x v="1"/>
    <s v="RLOC NÃO PREENCHIDO NA RESERVA"/>
    <s v="QUALIDADE DOS DADOS"/>
    <x v="0"/>
    <s v="COLUNA I"/>
  </r>
  <r>
    <s v="GOVER"/>
    <m/>
    <x v="2"/>
    <n v="3307465"/>
    <x v="0"/>
    <d v="2024-08-26T15:37:00"/>
    <n v="4396109"/>
    <n v="4396109"/>
    <s v="PreencherPnr-&gt;Foi identificado um localizador sem código."/>
    <x v="743"/>
    <d v="2025-04-09T14:46:00"/>
    <s v="OUTROS"/>
    <x v="1"/>
    <s v="RLOC NÃO PREENCHIDO NA RESERVA"/>
    <s v="QUALIDADE DOS DADOS"/>
    <x v="0"/>
    <s v="COLUNA I"/>
  </r>
  <r>
    <s v="GOVER"/>
    <m/>
    <x v="2"/>
    <n v="3307467"/>
    <x v="0"/>
    <d v="2024-09-05T16:44:00"/>
    <n v="4402692"/>
    <n v="4402692"/>
    <s v="PreencherPnr-&gt;Foi identificado um localizador sem código."/>
    <x v="744"/>
    <d v="2025-04-09T14:46:00"/>
    <s v="OUTROS"/>
    <x v="1"/>
    <s v="RLOC NÃO PREENCHIDO NA RESERVA"/>
    <s v="QUALIDADE DOS DADOS"/>
    <x v="0"/>
    <s v="COLUNA I"/>
  </r>
  <r>
    <s v="GOVER"/>
    <m/>
    <x v="2"/>
    <n v="3307470"/>
    <x v="0"/>
    <d v="2024-09-24T12:00:00"/>
    <n v="4412818"/>
    <n v="4412818"/>
    <s v="PreencherPnr-&gt;Foi identificado um localizador sem código."/>
    <x v="744"/>
    <d v="2025-04-09T14:46:00"/>
    <s v="OUTROS"/>
    <x v="1"/>
    <s v="RLOC NÃO PREENCHIDO NA RESERVA"/>
    <s v="QUALIDADE DOS DADOS"/>
    <x v="0"/>
    <s v="COLUNA I"/>
  </r>
  <r>
    <s v="GOVER"/>
    <m/>
    <x v="2"/>
    <n v="3307472"/>
    <x v="0"/>
    <d v="2024-10-03T13:20:00"/>
    <n v="4418900"/>
    <n v="4418900"/>
    <s v="PreencherPnr-&gt;Foi identificado um localizador sem código."/>
    <x v="744"/>
    <d v="2025-04-09T14:46:00"/>
    <s v="OUTROS"/>
    <x v="1"/>
    <s v="RLOC NÃO PREENCHIDO NA RESERVA"/>
    <s v="QUALIDADE DOS DADOS"/>
    <x v="0"/>
    <s v="COLUNA I"/>
  </r>
  <r>
    <s v="GOVER"/>
    <m/>
    <x v="2"/>
    <n v="3307473"/>
    <x v="0"/>
    <d v="2024-10-08T16:21:00"/>
    <n v="4422136"/>
    <n v="4422136"/>
    <s v="PreencherPnr-&gt;Foi identificado um localizador sem código."/>
    <x v="744"/>
    <d v="2025-04-09T14:46:00"/>
    <s v="OUTROS"/>
    <x v="1"/>
    <s v="RLOC NÃO PREENCHIDO NA RESERVA"/>
    <s v="QUALIDADE DOS DADOS"/>
    <x v="0"/>
    <s v="COLUNA I"/>
  </r>
  <r>
    <s v="GOVER"/>
    <m/>
    <x v="2"/>
    <n v="3307474"/>
    <x v="0"/>
    <d v="2024-10-22T09:12:00"/>
    <n v="4430661"/>
    <n v="4430661"/>
    <s v="PreencherPnr-&gt;Foi identificado um localizador sem código."/>
    <x v="744"/>
    <d v="2025-04-09T14:46:00"/>
    <s v="OUTROS"/>
    <x v="1"/>
    <s v="RLOC NÃO PREENCHIDO NA RESERVA"/>
    <s v="QUALIDADE DOS DADOS"/>
    <x v="0"/>
    <s v="COLUNA I"/>
  </r>
  <r>
    <s v="GOVER"/>
    <m/>
    <x v="2"/>
    <n v="3307475"/>
    <x v="0"/>
    <d v="2024-10-23T19:25:00"/>
    <n v="4433239"/>
    <n v="4433239"/>
    <s v="PreencherPnr-&gt;Foi identificado um localizador sem código."/>
    <x v="744"/>
    <d v="2025-04-09T14:47:00"/>
    <s v="OUTROS"/>
    <x v="1"/>
    <s v="RLOC NÃO PREENCHIDO NA RESERVA"/>
    <s v="QUALIDADE DOS DADOS"/>
    <x v="0"/>
    <s v="COLUNA I"/>
  </r>
  <r>
    <s v="GOVER"/>
    <m/>
    <x v="2"/>
    <n v="3307476"/>
    <x v="0"/>
    <d v="2024-10-24T10:44:00"/>
    <n v="4433489"/>
    <n v="4433489"/>
    <s v="PreencherPnr-&gt;Foi identificado um localizador sem código."/>
    <x v="744"/>
    <d v="2025-04-09T14:47:00"/>
    <s v="OUTROS"/>
    <x v="1"/>
    <s v="RLOC NÃO PREENCHIDO NA RESERVA"/>
    <s v="QUALIDADE DOS DADOS"/>
    <x v="0"/>
    <s v="COLUNA I"/>
  </r>
  <r>
    <s v="GOVER"/>
    <m/>
    <x v="2"/>
    <n v="3307478"/>
    <x v="0"/>
    <d v="2024-10-29T16:50:00"/>
    <n v="4437048"/>
    <n v="4437048"/>
    <s v="PreencherPnr-&gt;Foi identificado um localizador sem código."/>
    <x v="744"/>
    <d v="2025-04-09T14:47:00"/>
    <s v="OUTROS"/>
    <x v="1"/>
    <s v="RLOC NÃO PREENCHIDO NA RESERVA"/>
    <s v="QUALIDADE DOS DADOS"/>
    <x v="0"/>
    <s v="COLUNA I"/>
  </r>
  <r>
    <s v="GOVER"/>
    <m/>
    <x v="2"/>
    <n v="3307481"/>
    <x v="0"/>
    <d v="2024-12-03T15:28:00"/>
    <n v="4458190"/>
    <s v="GTATMK"/>
    <s v="PreencherPnr-&gt;Número de voo informado é inválido:  811_ "/>
    <x v="744"/>
    <d v="2025-04-09T14:47:00"/>
    <s v="OUTROS"/>
    <x v="19"/>
    <s v="Nº DO VOO NÃO PREENCHIDO OU INCORRETO NA RESERVA"/>
    <s v="QUALIDADE DOS DADOS"/>
    <x v="0"/>
    <s v="COLUNA I"/>
  </r>
  <r>
    <s v="GOVER"/>
    <m/>
    <x v="2"/>
    <n v="3307554"/>
    <x v="0"/>
    <d v="2024-05-29T14:49:00"/>
    <n v="379121"/>
    <s v="FHISKW"/>
    <s v="PreencherPnr-&gt;Número de voo informado é inválido:  886_ "/>
    <x v="745"/>
    <d v="2025-04-09T14:42:00"/>
    <s v="OUTROS"/>
    <x v="19"/>
    <s v="Nº DO VOO NÃO PREENCHIDO OU INCORRETO NA RESERVA"/>
    <s v="QUALIDADE DOS DADOS"/>
    <x v="0"/>
    <s v="COLUNA I"/>
  </r>
  <r>
    <s v="GOVER"/>
    <m/>
    <x v="2"/>
    <n v="3307564"/>
    <x v="0"/>
    <d v="2023-04-28T12:48:00"/>
    <n v="4077196"/>
    <s v="CGEBHA"/>
    <s v="PreencherPnr-&gt;Número de voo informado é inválido:  507_ "/>
    <x v="746"/>
    <d v="2025-04-09T14:45:00"/>
    <s v="OUTROS"/>
    <x v="19"/>
    <s v="Nº DO VOO NÃO PREENCHIDO OU INCORRETO NA RESERVA"/>
    <s v="QUALIDADE DOS DADOS"/>
    <x v="0"/>
    <s v="COLUNA I"/>
  </r>
  <r>
    <s v="GOVER"/>
    <m/>
    <x v="2"/>
    <n v="3307565"/>
    <x v="0"/>
    <d v="2023-05-03T11:28:00"/>
    <n v="4080080"/>
    <s v="ZTLTMX"/>
    <s v="PreencherPnr-&gt;Número de voo informado é inválido:  858_ "/>
    <x v="746"/>
    <d v="2025-04-09T14:45:00"/>
    <s v="OUTROS"/>
    <x v="19"/>
    <s v="Nº DO VOO NÃO PREENCHIDO OU INCORRETO NA RESERVA"/>
    <s v="QUALIDADE DOS DADOS"/>
    <x v="0"/>
    <s v="COLUNA I"/>
  </r>
  <r>
    <s v="GOVER"/>
    <m/>
    <x v="2"/>
    <n v="3307567"/>
    <x v="0"/>
    <d v="2023-10-05T10:26:00"/>
    <n v="4199219"/>
    <s v="OHIORU"/>
    <s v="PreencherPnr-&gt;AlterarAccountingCustom-&gt; Erro: AlterarAccounting-&gt; Erro: Administradora não encontrada para Bandeira: Hipercard"/>
    <x v="746"/>
    <d v="2025-04-09T14:46:00"/>
    <s v="OUTROS"/>
    <x v="20"/>
    <s v="ERRO NO OBT, TAG OU PRRENCHIMENTO DO CARTÃO"/>
    <s v="SISTEMA"/>
    <x v="0"/>
    <s v="COLUNA I"/>
  </r>
  <r>
    <s v="GOVER"/>
    <m/>
    <x v="2"/>
    <n v="3307570"/>
    <x v="0"/>
    <d v="2024-03-20T22:13:00"/>
    <n v="4299956"/>
    <s v="YRLEHW"/>
    <s v="PreencherPnr-&gt;Número de voo informado é inválido:  149_ "/>
    <x v="746"/>
    <d v="2025-04-09T14:46:00"/>
    <s v="OUTROS"/>
    <x v="19"/>
    <s v="Nº DO VOO NÃO PREENCHIDO OU INCORRETO NA RESERVA"/>
    <s v="QUALIDADE DOS DADOS"/>
    <x v="0"/>
    <s v="COLUNA I"/>
  </r>
  <r>
    <s v="SABRE"/>
    <m/>
    <x v="2"/>
    <n v="3307677"/>
    <x v="2"/>
    <d v="2025-03-18T10:38:00"/>
    <s v="NMBRIP"/>
    <s v="NMBRIP"/>
    <s v="Não localizado cliente código [0000050269].&lt;-ObterCliente&lt;-MontarPnrBase&lt;-ProcessarAereo&lt;-ProcessarItemFila[b]"/>
    <x v="747"/>
    <m/>
    <s v="CLIENTE"/>
    <x v="13"/>
    <s v="CÓDIGO DIFERENTE DO CADASTRADO NO BENNER (CLIENTE X GRUPO)"/>
    <s v="QUALIDADE DOS DADOS"/>
    <x v="0"/>
    <n v="1"/>
  </r>
  <r>
    <s v="SABRE"/>
    <m/>
    <x v="2"/>
    <n v="3307681"/>
    <x v="2"/>
    <d v="2025-03-18T10:38:00"/>
    <s v="NMBRIPT"/>
    <s v="NMBRIP"/>
    <s v="Não localizado cliente código [0000050269].&lt;-ObterCliente&lt;-MontarPnrBase&lt;-MontarPnr&lt;-ProcessarHotel&lt;-ProcessarItemFila[b]"/>
    <x v="747"/>
    <m/>
    <s v="CLIENTE"/>
    <x v="13"/>
    <s v="CÓDIGO DIFERENTE DO CADASTRADO NO BENNER (CLIENTE X GRUPO)"/>
    <s v="QUALIDADE DOS DADOS"/>
    <x v="0"/>
    <n v="1"/>
  </r>
  <r>
    <s v="SABRE"/>
    <m/>
    <x v="2"/>
    <n v="3307682"/>
    <x v="2"/>
    <d v="2025-03-18T10:38:00"/>
    <s v="NMBRIPC"/>
    <s v="NMBRIP"/>
    <s v="Não localizado cliente código [0000050269].&lt;-ObterCliente&lt;-MontarPnrBase&lt;-MontarPnr&lt;-ProcessarCarro&lt;-ProcessarItemFila[b]"/>
    <x v="747"/>
    <m/>
    <s v="CLIENTE"/>
    <x v="13"/>
    <s v="CÓDIGO DIFERENTE DO CADASTRADO NO BENNER (CLIENTE X GRUPO)"/>
    <s v="QUALIDADE DOS DADOS"/>
    <x v="0"/>
    <n v="1"/>
  </r>
  <r>
    <s v="SABRE"/>
    <m/>
    <x v="2"/>
    <n v="3307683"/>
    <x v="2"/>
    <d v="2025-03-18T10:38:00"/>
    <s v="IGJZGD"/>
    <s v="IGJZGD"/>
    <s v="Não localizado cliente código [0000050269].&lt;-ObterCliente&lt;-MontarPnrBase&lt;-ProcessarAereo&lt;-ProcessarItemFila[b]"/>
    <x v="747"/>
    <m/>
    <s v="CLIENTE"/>
    <x v="13"/>
    <s v="CÓDIGO DIFERENTE DO CADASTRADO NO BENNER (CLIENTE X GRUPO)"/>
    <s v="QUALIDADE DOS DADOS"/>
    <x v="0"/>
    <n v="1"/>
  </r>
  <r>
    <s v="SABRE"/>
    <m/>
    <x v="2"/>
    <n v="3307684"/>
    <x v="2"/>
    <d v="2025-03-18T10:38:00"/>
    <s v="IGJZGDT"/>
    <s v="IGJZGD"/>
    <s v="Não localizado cliente código [0000050269].&lt;-ObterCliente&lt;-MontarPnrBase&lt;-MontarPnr&lt;-ProcessarHotel&lt;-ProcessarItemFila[b]"/>
    <x v="747"/>
    <m/>
    <s v="CLIENTE"/>
    <x v="13"/>
    <s v="CÓDIGO DIFERENTE DO CADASTRADO NO BENNER (CLIENTE X GRUPO)"/>
    <s v="QUALIDADE DOS DADOS"/>
    <x v="0"/>
    <n v="1"/>
  </r>
  <r>
    <s v="SABRE"/>
    <m/>
    <x v="2"/>
    <n v="3307688"/>
    <x v="2"/>
    <d v="2025-03-18T10:34:00"/>
    <s v="WBUWXNT"/>
    <s v="WBUWXN"/>
    <s v="ConverterPagamentosRemark-&gt;Input string was not in a correct format.&lt;-MontarAccountinsHotel&lt;-ProcessarHotel&lt;-ProcessarItemFila[b]"/>
    <x v="747"/>
    <m/>
    <s v="FORMA PAGTO/RECTO"/>
    <x v="2"/>
    <s v="TEXTO FORA DO PADRÃO ACEITO NO CAMPO"/>
    <s v="INDEFINIDO"/>
    <x v="0"/>
    <s v="COLUNA I"/>
  </r>
  <r>
    <s v="TMS"/>
    <m/>
    <x v="2"/>
    <n v="3307849"/>
    <x v="1"/>
    <d v="2025-03-18T11:03:00"/>
    <n v="55510"/>
    <n v="55510"/>
    <s v="Preenchendo XML Serviço-&gt; Preenchendo XML-&gt; Montando accounting aereo 2-&gt;Não foi informado o Localizador do Assento/Bagagem!"/>
    <x v="748"/>
    <m/>
    <s v="OUTROS"/>
    <x v="15"/>
    <s v="CAMPO OBSERVAÇÃO PREENCHIDO INCORRETAMENTE"/>
    <s v="QUALIDADE DOS DADOS"/>
    <x v="1"/>
    <n v="118"/>
  </r>
  <r>
    <s v="GOVER"/>
    <m/>
    <x v="2"/>
    <n v="3308027"/>
    <x v="0"/>
    <d v="2024-08-27T09:31:00"/>
    <n v="4396472"/>
    <n v="15350093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28"/>
    <x v="0"/>
    <d v="2024-08-28T09:13:00"/>
    <n v="4397177"/>
    <s v="H4397177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29"/>
    <x v="0"/>
    <d v="2024-08-28T10:35:00"/>
    <n v="4397290"/>
    <s v="H4397290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0"/>
    <x v="0"/>
    <d v="2024-08-29T09:14:00"/>
    <n v="4397878"/>
    <n v="15380977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1"/>
    <x v="0"/>
    <d v="2024-08-30T12:08:00"/>
    <n v="4398776"/>
    <s v="H4398776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2"/>
    <x v="0"/>
    <d v="2024-08-30T15:24:00"/>
    <n v="4398952"/>
    <s v="AUBHQG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3"/>
    <x v="0"/>
    <d v="2024-08-30T15:24:00"/>
    <n v="4398952"/>
    <s v="DJZAQH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4"/>
    <x v="0"/>
    <d v="2024-08-30T15:28:00"/>
    <n v="4398961"/>
    <s v="IQHGRE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5"/>
    <x v="0"/>
    <d v="2024-08-30T15:28:00"/>
    <n v="4398961"/>
    <s v="MI21SP"/>
    <s v="PreencherPnr-&gt;Código do cliente não informado! (SolicitacaoDTO.UnidadeCodigoIntegracao)"/>
    <x v="749"/>
    <d v="2025-04-09T14:46:00"/>
    <s v="CLIENTE"/>
    <x v="14"/>
    <s v="DK DE CLIENTE NÃO PREENCIDO / CLIENTE NÃO CONFIGURADO NO OBT"/>
    <s v="INDEFINIDO"/>
    <x v="1"/>
    <s v="COLUNA I"/>
  </r>
  <r>
    <s v="GOVER"/>
    <m/>
    <x v="2"/>
    <n v="3308036"/>
    <x v="0"/>
    <d v="2024-11-14T17:33:00"/>
    <n v="4448746"/>
    <s v="KGSIXA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37"/>
    <x v="0"/>
    <d v="2024-11-14T17:33:00"/>
    <n v="4448746"/>
    <s v="KLJKWG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38"/>
    <x v="0"/>
    <d v="2024-11-14T17:49:00"/>
    <n v="4448762"/>
    <n v="16402111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39"/>
    <x v="0"/>
    <d v="2024-11-28T14:55:00"/>
    <n v="4455913"/>
    <s v="DLTHOB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40"/>
    <x v="0"/>
    <d v="2024-12-11T13:35:00"/>
    <n v="4461541"/>
    <s v="JKBW7G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41"/>
    <x v="0"/>
    <d v="2024-12-13T08:40:00"/>
    <n v="4462388"/>
    <n v="16701695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42"/>
    <x v="0"/>
    <d v="2024-12-13T08:42:00"/>
    <n v="4462390"/>
    <n v="16701678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043"/>
    <x v="0"/>
    <d v="2024-12-17T15:31:00"/>
    <n v="4464021"/>
    <s v="MS1GGB"/>
    <s v="PreencherPnr-&gt;Código do cliente não informado! (SolicitacaoDTO.UnidadeCodigoIntegracao)"/>
    <x v="749"/>
    <d v="2025-04-09T14:47:00"/>
    <s v="CLIENTE"/>
    <x v="14"/>
    <s v="DK DE CLIENTE NÃO PREENCIDO / CLIENTE NÃO CONFIGURADO NO OBT"/>
    <s v="INDEFINIDO"/>
    <x v="1"/>
    <s v="COLUNA I"/>
  </r>
  <r>
    <s v="GOVER"/>
    <m/>
    <x v="2"/>
    <n v="3308180"/>
    <x v="0"/>
    <d v="2023-11-14T13:22:00"/>
    <n v="4226517"/>
    <s v="JTWMGR"/>
    <s v="Inserindo Trecho - Parâmetro Fornecedor - TurVendas - Não foi possível localizar o contrato do fornecedor CC"/>
    <x v="750"/>
    <d v="2025-04-09T14:46:00"/>
    <s v="FORNECEDOR"/>
    <x v="10"/>
    <s v="CONTRATO INATIVO OU DIVERGENTE"/>
    <s v="SISTEMA"/>
    <x v="1"/>
    <n v="55"/>
  </r>
  <r>
    <s v="GOVER"/>
    <m/>
    <x v="2"/>
    <n v="3308181"/>
    <x v="0"/>
    <d v="2024-01-08T16:01:00"/>
    <n v="4254472"/>
    <s v="OEEEGG"/>
    <s v="Inserindo PNR - Accountings - TurVendas - Não foi possível localizar o contrato do fornecedor 9V"/>
    <x v="750"/>
    <d v="2025-04-09T14:46:00"/>
    <s v="FORNECEDOR"/>
    <x v="10"/>
    <s v="CONTRATO INATIVO OU DIVERGENTE"/>
    <s v="SISTEMA"/>
    <x v="1"/>
    <n v="43"/>
  </r>
  <r>
    <s v="GOVER"/>
    <m/>
    <x v="2"/>
    <n v="3308182"/>
    <x v="0"/>
    <d v="2024-01-29T14:50:00"/>
    <n v="4267291"/>
    <s v="BNCGWK01"/>
    <s v="Inserindo Trecho - Parâmetro Fornecedor - TurVendas - Não foi possível localizar o contrato do fornecedor AG"/>
    <x v="750"/>
    <d v="2025-04-09T14:46:00"/>
    <s v="FORNECEDOR"/>
    <x v="10"/>
    <s v="CONTRATO INATIVO OU DIVERGENTE"/>
    <s v="SISTEMA"/>
    <x v="1"/>
    <n v="55"/>
  </r>
  <r>
    <s v="GOVER"/>
    <m/>
    <x v="2"/>
    <n v="3308183"/>
    <x v="0"/>
    <d v="2024-06-07T10:03:00"/>
    <n v="4347873"/>
    <s v="JIWNUW"/>
    <s v="Inserindo PNR - Accountings - TurVendas - Não foi possível localizar o contrato do fornecedor 9K"/>
    <x v="750"/>
    <d v="2025-04-09T14:46:00"/>
    <s v="FORNECEDOR"/>
    <x v="10"/>
    <s v="CONTRATO INATIVO OU DIVERGENTE"/>
    <s v="SISTEMA"/>
    <x v="1"/>
    <n v="43"/>
  </r>
  <r>
    <s v="GOVER"/>
    <m/>
    <x v="2"/>
    <n v="3308184"/>
    <x v="0"/>
    <d v="2024-06-28T09:27:00"/>
    <n v="4361254"/>
    <s v="MKBDQU"/>
    <s v="Inserindo PNR - Accountings - TurVendas - Não foi possível localizar o contrato do fornecedor G3_"/>
    <x v="750"/>
    <d v="2025-04-09T14:46:00"/>
    <s v="FORNECEDOR"/>
    <x v="10"/>
    <s v="CONTRATO INATIVO OU DIVERGENTE"/>
    <s v="SISTEMA"/>
    <x v="1"/>
    <n v="43"/>
  </r>
  <r>
    <s v="GOVER"/>
    <m/>
    <x v="2"/>
    <n v="3308185"/>
    <x v="0"/>
    <d v="2024-07-26T16:15:00"/>
    <n v="4378785"/>
    <s v="MREHBG0"/>
    <s v="Inserindo PNR - Accountings - TurVendas - Não foi possível localizar o contrato do fornecedor GH"/>
    <x v="750"/>
    <d v="2025-04-09T14:46:00"/>
    <s v="FORNECEDOR"/>
    <x v="10"/>
    <s v="CONTRATO INATIVO OU DIVERGENTE"/>
    <s v="SISTEMA"/>
    <x v="1"/>
    <n v="43"/>
  </r>
  <r>
    <s v="GOVER"/>
    <m/>
    <x v="2"/>
    <n v="3308186"/>
    <x v="0"/>
    <d v="2024-09-27T12:38:00"/>
    <n v="4415010"/>
    <s v="SBORGF"/>
    <s v="Inserindo Trecho - Parâmetro Fornecedor - TurVendas - Não foi possível localizar o contrato do fornecedor IX"/>
    <x v="750"/>
    <d v="2025-04-09T14:46:00"/>
    <s v="FORNECEDOR"/>
    <x v="10"/>
    <s v="CONTRATO INATIVO OU DIVERGENTE"/>
    <s v="SISTEMA"/>
    <x v="1"/>
    <n v="55"/>
  </r>
  <r>
    <s v="GOVER"/>
    <m/>
    <x v="2"/>
    <n v="3308187"/>
    <x v="0"/>
    <d v="2024-11-29T09:02:00"/>
    <n v="4456180"/>
    <s v="YJHHDB"/>
    <s v="Inserindo Trecho - Parâmetro Fornecedor - TurVendas - Não foi possível localizar o contrato do fornecedor BT"/>
    <x v="750"/>
    <d v="2025-04-09T14:47:00"/>
    <s v="FORNECEDOR"/>
    <x v="10"/>
    <s v="CONTRATO INATIVO OU DIVERGENTE"/>
    <s v="SISTEMA"/>
    <x v="1"/>
    <n v="55"/>
  </r>
  <r>
    <s v="SABRE"/>
    <m/>
    <x v="2"/>
    <n v="3308203"/>
    <x v="2"/>
    <d v="2025-03-18T13:18:00"/>
    <s v="QDDWUH"/>
    <s v="QDDWUH"/>
    <s v="Inserindo PNR - Accountings - TurVendas - Não foi possível localizar o contrato do fornecedor X1"/>
    <x v="751"/>
    <m/>
    <s v="FORNECEDOR"/>
    <x v="10"/>
    <s v="CONTRATO INATIVO OU DIVERGENTE"/>
    <s v="SISTEMA"/>
    <x v="1"/>
    <n v="43"/>
  </r>
  <r>
    <s v="GOVER"/>
    <m/>
    <x v="2"/>
    <n v="3308205"/>
    <x v="0"/>
    <d v="2024-02-20T11:02:00"/>
    <n v="373277"/>
    <s v="FQYRZU"/>
    <s v="Inserindo PNR - Accountings - TurVendas - Não foi possível localizar o contrato do fornecedor JT"/>
    <x v="752"/>
    <d v="2025-04-09T14:42:00"/>
    <s v="FORNECEDOR"/>
    <x v="10"/>
    <s v="CONTRATO INATIVO OU DIVERGENTE"/>
    <s v="SISTEMA"/>
    <x v="1"/>
    <n v="43"/>
  </r>
  <r>
    <s v="GOVER"/>
    <m/>
    <x v="2"/>
    <n v="3308207"/>
    <x v="0"/>
    <d v="2024-04-24T10:29:00"/>
    <n v="377032"/>
    <s v="OXVNUE"/>
    <s v="Inserindo PNR - Accountings - TurVendas - Não foi possível localizar o contrato do fornecedor PS"/>
    <x v="752"/>
    <d v="2025-04-09T14:42:00"/>
    <s v="FORNECEDOR"/>
    <x v="10"/>
    <s v="CONTRATO INATIVO OU DIVERGENTE"/>
    <s v="SISTEMA"/>
    <x v="1"/>
    <n v="43"/>
  </r>
  <r>
    <s v="GOVER"/>
    <m/>
    <x v="2"/>
    <n v="3308208"/>
    <x v="0"/>
    <d v="2024-05-29T13:16:00"/>
    <n v="379099"/>
    <s v="MVIURV"/>
    <s v="Inserindo Trecho - Parâmetro Fornecedor - TurVendas - Não foi possível localizar o contrato do fornecedor OA"/>
    <x v="752"/>
    <d v="2025-04-09T14:42:00"/>
    <s v="FORNECEDOR"/>
    <x v="10"/>
    <s v="CONTRATO INATIVO OU DIVERGENTE"/>
    <s v="SISTEMA"/>
    <x v="1"/>
    <n v="55"/>
  </r>
  <r>
    <s v="GOVER"/>
    <m/>
    <x v="2"/>
    <n v="3308209"/>
    <x v="0"/>
    <d v="2023-06-26T11:02:00"/>
    <n v="4119701"/>
    <s v="TIKSWW01"/>
    <s v="Inserindo PNR - Accountings - TurVendas - Não foi possível localizar o contrato do fornecedor KK"/>
    <x v="753"/>
    <d v="2025-04-09T14:45:00"/>
    <s v="FORNECEDOR"/>
    <x v="10"/>
    <s v="CONTRATO INATIVO OU DIVERGENTE"/>
    <s v="SISTEMA"/>
    <x v="1"/>
    <n v="43"/>
  </r>
  <r>
    <s v="GOVER"/>
    <m/>
    <x v="2"/>
    <n v="3308210"/>
    <x v="0"/>
    <d v="2023-10-16T10:28:00"/>
    <n v="4205297"/>
    <s v="ISOAIR"/>
    <s v="Inserindo Trecho - Parâmetro Fornecedor - TurVendas - Não foi possível localizar o contrato do fornecedor DR"/>
    <x v="753"/>
    <d v="2025-04-09T14:46:00"/>
    <s v="FORNECEDOR"/>
    <x v="10"/>
    <s v="CONTRATO INATIVO OU DIVERGENTE"/>
    <s v="SISTEMA"/>
    <x v="1"/>
    <n v="55"/>
  </r>
  <r>
    <s v="GOVER"/>
    <m/>
    <x v="2"/>
    <n v="3308211"/>
    <x v="0"/>
    <d v="2024-08-29T09:04:00"/>
    <n v="4397871"/>
    <n v="15377664"/>
    <s v="PreencherPnr-&gt;AlterarAccountingCustom-&gt; Erro: AlterarAccounting-&gt; Erro: Canal de venda com descrição  KON-OPE-RIO-PVI-BTC RJ não encontrado!"/>
    <x v="754"/>
    <d v="2025-04-09T14:46:00"/>
    <s v="OUTROS"/>
    <x v="21"/>
    <s v=""/>
    <s v="INDEFINIDO"/>
    <x v="1"/>
    <s v="COLUNA I"/>
  </r>
  <r>
    <s v="GOVER"/>
    <m/>
    <x v="2"/>
    <n v="3308212"/>
    <x v="0"/>
    <d v="2024-08-30T15:27:00"/>
    <n v="4398960"/>
    <n v="15403154"/>
    <s v="PreencherPnr-&gt;AlterarAccountingCustom-&gt; Erro: AlterarAccounting-&gt; Erro: Canal de venda com descrição  KON-OPE-RIO-PVI-BTC RJ não encontrado!"/>
    <x v="754"/>
    <d v="2025-04-09T14:46:00"/>
    <s v="OUTROS"/>
    <x v="21"/>
    <s v=""/>
    <s v="INDEFINIDO"/>
    <x v="1"/>
    <s v="COLUNA I"/>
  </r>
  <r>
    <s v="GOVER"/>
    <m/>
    <x v="2"/>
    <n v="3308213"/>
    <x v="0"/>
    <d v="2024-08-30T16:54:00"/>
    <n v="4399068"/>
    <n v="15405832"/>
    <s v="PreencherPnr-&gt;AlterarAccountingCustom-&gt; Erro: AlterarAccounting-&gt; Erro: Canal de venda com descrição  KON-OPE-RIO-PVI-BTC RJ não encontrado!"/>
    <x v="754"/>
    <d v="2025-04-09T14:46:00"/>
    <s v="OUTROS"/>
    <x v="21"/>
    <s v=""/>
    <s v="INDEFINIDO"/>
    <x v="1"/>
    <s v="COLUNA I"/>
  </r>
  <r>
    <s v="GOVER"/>
    <m/>
    <x v="2"/>
    <n v="3308214"/>
    <x v="0"/>
    <d v="2024-09-06T12:50:00"/>
    <n v="4403232"/>
    <n v="15495281"/>
    <s v="PreencherPnr-&gt;AlterarAccountingCustom-&gt; Erro: AlterarAccounting-&gt; Erro: Canal de venda com descrição  KON-OPE-RIO-PVI-BTC RJ não encontrado!"/>
    <x v="754"/>
    <d v="2025-04-09T14:46:00"/>
    <s v="OUTROS"/>
    <x v="21"/>
    <s v=""/>
    <s v="INDEFINIDO"/>
    <x v="1"/>
    <s v="COLUNA I"/>
  </r>
  <r>
    <s v="SABRE"/>
    <m/>
    <x v="2"/>
    <n v="3308383"/>
    <x v="2"/>
    <d v="2025-03-18T14:10:00"/>
    <s v="QTJFVDT"/>
    <s v="QTJFVD"/>
    <s v="ConverterPagamentosRemark-&gt;Input string was not in a correct format.&lt;-MontarAccountinsHotel&lt;-ProcessarHotel&lt;-ProcessarItemFila[b]"/>
    <x v="755"/>
    <m/>
    <s v="FORMA PAGTO/RECTO"/>
    <x v="2"/>
    <s v="TEXTO FORA DO PADRÃO ACEITO NO CAMPO"/>
    <s v="INDEFINIDO"/>
    <x v="0"/>
    <s v="COLUNA I"/>
  </r>
  <r>
    <s v="SABRE"/>
    <m/>
    <x v="2"/>
    <n v="3309001"/>
    <x v="2"/>
    <d v="2025-03-19T11:45:00"/>
    <s v="JAKIMG"/>
    <s v="JAKIMG"/>
    <s v="Não localizado cliente código [0004223565].&lt;-ObterCliente&lt;-MontarPnrBase&lt;-ProcessarAereo&lt;-ProcessarItemFila[b]"/>
    <x v="756"/>
    <d v="2025-03-19T13:49:00"/>
    <s v="CLIENTE"/>
    <x v="13"/>
    <s v="CÓDIGO DIFERENTE DO CADASTRADO NO BENNER (CLIENTE X GRUPO)"/>
    <s v="QUALIDADE DOS DADOS"/>
    <x v="0"/>
    <n v="1"/>
  </r>
  <r>
    <s v="SABRE"/>
    <m/>
    <x v="2"/>
    <n v="3309006"/>
    <x v="2"/>
    <d v="2025-03-19T11:45:00"/>
    <s v="FXMPUB"/>
    <s v="FXMPUB"/>
    <s v="Não localizado cliente código [0004224627].&lt;-ObterCliente&lt;-MontarPnrBase&lt;-ProcessarAereo&lt;-ProcessarItemFila[b]"/>
    <x v="757"/>
    <d v="2025-03-19T13:49:00"/>
    <s v="CLIENTE"/>
    <x v="13"/>
    <s v="CÓDIGO DIFERENTE DO CADASTRADO NO BENNER (CLIENTE X GRUPO)"/>
    <s v="QUALIDADE DOS DADOS"/>
    <x v="0"/>
    <n v="1"/>
  </r>
  <r>
    <s v="SABRE"/>
    <m/>
    <x v="2"/>
    <n v="3309022"/>
    <x v="2"/>
    <d v="2025-03-18T16:43:00"/>
    <s v="ENEAVP"/>
    <s v="ENEAVP"/>
    <s v="Código de cliente não identificado&lt;-ObterCliente&lt;-MontarPnrBase&lt;-ProcessarAereo&lt;-ProcessarItemFila[b]"/>
    <x v="758"/>
    <m/>
    <s v="CLIENTE"/>
    <x v="14"/>
    <s v="DK DE CLIENTE NÃO PREENCIDO / CLIENTE NÃO CONFIGURADO NO OBT"/>
    <s v="INDEFINIDO"/>
    <x v="1"/>
    <s v="COLUNA I"/>
  </r>
  <r>
    <s v="SABRE"/>
    <m/>
    <x v="2"/>
    <n v="3309026"/>
    <x v="2"/>
    <d v="2025-03-19T11:45:00"/>
    <s v="MCCWAP"/>
    <s v="MCCWAP"/>
    <s v="Não localizado cliente código [0004224627].&lt;-ObterCliente&lt;-MontarPnrBase&lt;-ProcessarAereo&lt;-ProcessarItemFila[b]"/>
    <x v="758"/>
    <d v="2025-03-19T13:49:00"/>
    <s v="CLIENTE"/>
    <x v="13"/>
    <s v="CÓDIGO DIFERENTE DO CADASTRADO NO BENNER (CLIENTE X GRUPO)"/>
    <s v="QUALIDADE DOS DADOS"/>
    <x v="0"/>
    <n v="1"/>
  </r>
  <r>
    <s v="SABRE"/>
    <m/>
    <x v="2"/>
    <n v="3309035"/>
    <x v="2"/>
    <d v="2025-03-19T11:52:00"/>
    <s v="OXQZMC"/>
    <s v="OXQZMC"/>
    <s v="Não localizado cliente código [0004223565].&lt;-ObterCliente&lt;-MontarPnrBase&lt;-ProcessarAereo&lt;-ProcessarItemFila[b]"/>
    <x v="759"/>
    <d v="2025-03-19T14:04:00"/>
    <s v="CLIENTE"/>
    <x v="13"/>
    <s v="CÓDIGO DIFERENTE DO CADASTRADO NO BENNER (CLIENTE X GRUPO)"/>
    <s v="QUALIDADE DOS DADOS"/>
    <x v="0"/>
    <n v="1"/>
  </r>
  <r>
    <s v="SABRE"/>
    <m/>
    <x v="2"/>
    <n v="3309036"/>
    <x v="2"/>
    <d v="2025-03-19T11:52:00"/>
    <s v="QUOLIM"/>
    <s v="QUOLIM"/>
    <s v="Não localizado cliente código [0004223565].&lt;-ObterCliente&lt;-MontarPnrBase&lt;-ProcessarAereo&lt;-ProcessarItemFila[b]"/>
    <x v="760"/>
    <d v="2025-03-19T14:04:00"/>
    <s v="CLIENTE"/>
    <x v="13"/>
    <s v="CÓDIGO DIFERENTE DO CADASTRADO NO BENNER (CLIENTE X GRUPO)"/>
    <s v="QUALIDADE DOS DADOS"/>
    <x v="0"/>
    <n v="1"/>
  </r>
  <r>
    <s v="SABRE"/>
    <m/>
    <x v="2"/>
    <n v="3309043"/>
    <x v="2"/>
    <d v="2025-03-19T13:11:00"/>
    <s v="LQQZUU"/>
    <s v="LQQZUU"/>
    <s v="Não localizado cliente código [0004224627].&lt;-ObterCliente&lt;-MontarPnrBase&lt;-ProcessarAereo&lt;-ProcessarItemFila[b]"/>
    <x v="760"/>
    <d v="2025-03-19T15:19:00"/>
    <s v="CLIENTE"/>
    <x v="13"/>
    <s v="CÓDIGO DIFERENTE DO CADASTRADO NO BENNER (CLIENTE X GRUPO)"/>
    <s v="QUALIDADE DOS DADOS"/>
    <x v="0"/>
    <n v="1"/>
  </r>
  <r>
    <s v="SABRE"/>
    <m/>
    <x v="2"/>
    <n v="3309046"/>
    <x v="2"/>
    <d v="2025-03-19T13:12:00"/>
    <s v="FZZBSH"/>
    <s v="FZZBSH"/>
    <s v="Não localizado cliente código [0004224627].&lt;-ObterCliente&lt;-MontarPnrBase&lt;-ProcessarAereo&lt;-ProcessarItemFila[b]"/>
    <x v="761"/>
    <d v="2025-03-19T15:19:00"/>
    <s v="CLIENTE"/>
    <x v="13"/>
    <s v="CÓDIGO DIFERENTE DO CADASTRADO NO BENNER (CLIENTE X GRUPO)"/>
    <s v="QUALIDADE DOS DADOS"/>
    <x v="0"/>
    <n v="1"/>
  </r>
  <r>
    <s v="SABRE"/>
    <m/>
    <x v="2"/>
    <n v="3309052"/>
    <x v="2"/>
    <d v="2025-03-19T09:09:00"/>
    <s v="HUDZBX"/>
    <s v="HUDZBX"/>
    <s v="Não localizado cliente código [0000050269].&lt;-ObterCliente&lt;-MontarPnrBase&lt;-ProcessarAereo&lt;-ProcessarItemFila[b]"/>
    <x v="761"/>
    <d v="2025-03-19T11:19:00"/>
    <s v="CLIENTE"/>
    <x v="13"/>
    <s v="CÓDIGO DIFERENTE DO CADASTRADO NO BENNER (CLIENTE X GRUPO)"/>
    <s v="QUALIDADE DOS DADOS"/>
    <x v="0"/>
    <n v="1"/>
  </r>
  <r>
    <s v="SABRE"/>
    <m/>
    <x v="2"/>
    <n v="3309053"/>
    <x v="2"/>
    <d v="2025-03-19T13:12:00"/>
    <s v="MXLBEJ"/>
    <s v="MXLBEJ"/>
    <s v="Não localizado cliente código [0004223565].&lt;-ObterCliente&lt;-MontarPnrBase&lt;-ProcessarAereo&lt;-ProcessarItemFila[b]"/>
    <x v="761"/>
    <d v="2025-03-19T15:19:00"/>
    <s v="CLIENTE"/>
    <x v="13"/>
    <s v="CÓDIGO DIFERENTE DO CADASTRADO NO BENNER (CLIENTE X GRUPO)"/>
    <s v="QUALIDADE DOS DADOS"/>
    <x v="0"/>
    <n v="1"/>
  </r>
  <r>
    <s v="SABRE"/>
    <m/>
    <x v="2"/>
    <n v="3309054"/>
    <x v="2"/>
    <d v="2025-03-18T16:43:00"/>
    <s v="SOHZTL"/>
    <s v="SOHZTL"/>
    <s v="Código de cliente não identificado&lt;-ObterCliente&lt;-MontarPnrBase&lt;-ProcessarAereo&lt;-ProcessarItemFila[b]"/>
    <x v="761"/>
    <m/>
    <s v="CLIENTE"/>
    <x v="14"/>
    <s v="DK DE CLIENTE NÃO PREENCIDO / CLIENTE NÃO CONFIGURADO NO OBT"/>
    <s v="INDEFINIDO"/>
    <x v="1"/>
    <s v="COLUNA I"/>
  </r>
  <r>
    <s v="SABRE"/>
    <m/>
    <x v="2"/>
    <n v="3309057"/>
    <x v="2"/>
    <d v="2025-03-19T13:13:00"/>
    <s v="MCAYRT"/>
    <s v="MCAYRT"/>
    <s v="Não localizado cliente código [0004224627].&lt;-ObterCliente&lt;-MontarPnrBase&lt;-ProcessarAereo&lt;-ProcessarItemFila[b]"/>
    <x v="762"/>
    <d v="2025-03-19T15:19:00"/>
    <s v="CLIENTE"/>
    <x v="13"/>
    <s v="CÓDIGO DIFERENTE DO CADASTRADO NO BENNER (CLIENTE X GRUPO)"/>
    <s v="QUALIDADE DOS DADOS"/>
    <x v="0"/>
    <n v="1"/>
  </r>
  <r>
    <s v="SABRE"/>
    <m/>
    <x v="2"/>
    <n v="3309060"/>
    <x v="2"/>
    <d v="2025-03-19T13:14:00"/>
    <s v="FLSDLC"/>
    <s v="FLSDLC"/>
    <s v="Não localizado cliente código [0004222573].&lt;-ObterCliente&lt;-MontarPnrBase&lt;-ProcessarAereo&lt;-ProcessarItemFila[b]"/>
    <x v="762"/>
    <d v="2025-03-19T15:19:00"/>
    <s v="CLIENTE"/>
    <x v="13"/>
    <s v="CÓDIGO DIFERENTE DO CADASTRADO NO BENNER (CLIENTE X GRUPO)"/>
    <s v="QUALIDADE DOS DADOS"/>
    <x v="0"/>
    <n v="1"/>
  </r>
  <r>
    <s v="SABRE"/>
    <m/>
    <x v="2"/>
    <n v="3309393"/>
    <x v="2"/>
    <d v="2025-03-18T17:37:00"/>
    <s v="CFQZUDT"/>
    <s v="CFQZUD"/>
    <s v="ConverterPagamentosRemark-&gt;Input string was not in a correct format.&lt;-MontarAccountinsHotel&lt;-ProcessarHotel&lt;-ProcessarItemFila[b]"/>
    <x v="763"/>
    <m/>
    <s v="FORMA PAGTO/RECTO"/>
    <x v="2"/>
    <s v="TEXTO FORA DO PADRÃO ACEITO NO CAMPO"/>
    <s v="INDEFINIDO"/>
    <x v="0"/>
    <s v="COLUNA I"/>
  </r>
  <r>
    <s v="SABRE"/>
    <m/>
    <x v="2"/>
    <n v="3309558"/>
    <x v="2"/>
    <d v="2025-03-18T18:15:00"/>
    <s v="QHPOJA"/>
    <s v="QHPOJA"/>
    <s v="Código de cliente não identificado&lt;-ObterCliente&lt;-MontarPnrBase&lt;-ProcessarAereo&lt;-ProcessarItemFila[b]"/>
    <x v="764"/>
    <m/>
    <s v="CLIENTE"/>
    <x v="14"/>
    <s v="DK DE CLIENTE NÃO PREENCIDO / CLIENTE NÃO CONFIGURADO NO OBT"/>
    <s v="INDEFINIDO"/>
    <x v="1"/>
    <s v="COLUNA I"/>
  </r>
  <r>
    <s v="SABRE"/>
    <m/>
    <x v="2"/>
    <n v="3309560"/>
    <x v="2"/>
    <d v="2025-03-18T18:15:00"/>
    <s v="EWOFNZ"/>
    <s v="EWOFNZ"/>
    <s v="Código de cliente não identificado&lt;-ObterCliente&lt;-MontarPnrBase&lt;-ProcessarAereo&lt;-ProcessarItemFila[b]"/>
    <x v="765"/>
    <m/>
    <s v="CLIENTE"/>
    <x v="14"/>
    <s v="DK DE CLIENTE NÃO PREENCIDO / CLIENTE NÃO CONFIGURADO NO OBT"/>
    <s v="INDEFINIDO"/>
    <x v="1"/>
    <s v="COLUNA I"/>
  </r>
  <r>
    <s v="SABRE"/>
    <m/>
    <x v="2"/>
    <n v="3309563"/>
    <x v="2"/>
    <d v="2025-03-19T13:14:00"/>
    <s v="LQSKHC"/>
    <s v="LQSKHC"/>
    <s v="Não localizado cliente código [0004224627].&lt;-ObterCliente&lt;-MontarPnrBase&lt;-ProcessarAereo&lt;-ProcessarItemFila[b]"/>
    <x v="765"/>
    <d v="2025-03-19T15:20:00"/>
    <s v="CLIENTE"/>
    <x v="13"/>
    <s v="CÓDIGO DIFERENTE DO CADASTRADO NO BENNER (CLIENTE X GRUPO)"/>
    <s v="QUALIDADE DOS DADOS"/>
    <x v="0"/>
    <n v="1"/>
  </r>
  <r>
    <s v="SABRE"/>
    <m/>
    <x v="2"/>
    <n v="3309565"/>
    <x v="2"/>
    <d v="2025-03-19T13:40:00"/>
    <s v="YQZHUA"/>
    <s v="YQZHUA"/>
    <s v="Código de cliente não identificado&lt;-ObterCliente&lt;-MontarPnrBase&lt;-ProcessarAereo&lt;-ProcessarItemFila[b]"/>
    <x v="765"/>
    <d v="2025-03-19T15:49:00"/>
    <s v="CLIENTE"/>
    <x v="14"/>
    <s v="DK DE CLIENTE NÃO PREENCIDO / CLIENTE NÃO CONFIGURADO NO OBT"/>
    <s v="INDEFINIDO"/>
    <x v="1"/>
    <s v="COLUNA I"/>
  </r>
  <r>
    <s v="SABRE"/>
    <m/>
    <x v="2"/>
    <n v="3309574"/>
    <x v="2"/>
    <d v="2025-03-18T18:15:00"/>
    <s v="OOTBDZ"/>
    <s v="OOTBDZ"/>
    <s v="Código de cliente não identificado&lt;-ObterCliente&lt;-MontarPnrBase&lt;-ProcessarAereo&lt;-ProcessarItemFila[b]"/>
    <x v="766"/>
    <m/>
    <s v="CLIENTE"/>
    <x v="14"/>
    <s v="DK DE CLIENTE NÃO PREENCIDO / CLIENTE NÃO CONFIGURADO NO OBT"/>
    <s v="INDEFINIDO"/>
    <x v="1"/>
    <s v="COLUNA I"/>
  </r>
  <r>
    <s v="SABRE"/>
    <m/>
    <x v="2"/>
    <n v="3310656"/>
    <x v="2"/>
    <d v="2025-03-19T10:48:00"/>
    <s v="QXXUSH"/>
    <s v="QXXUSH"/>
    <s v="Não localizado cliente código [0000068957].&lt;-ObterCliente&lt;-MontarPnrBase&lt;-ProcessarAereo&lt;-ProcessarItemFila[b]"/>
    <x v="767"/>
    <m/>
    <s v="CLIENTE"/>
    <x v="13"/>
    <s v="CÓDIGO DIFERENTE DO CADASTRADO NO BENNER (CLIENTE X GRUPO)"/>
    <s v="QUALIDADE DOS DADOS"/>
    <x v="0"/>
    <n v="1"/>
  </r>
  <r>
    <s v="RESOLVIDO"/>
    <m/>
    <x v="1"/>
    <n v="3310891"/>
    <x v="2"/>
    <d v="2025-03-19T18:10:00"/>
    <s v="DWGEUZ"/>
    <s v="DWGEUZ"/>
    <s v="Inserindo Accounting - (ExecSQL) - Could not convert variant of type (Null) into type (OleStr)"/>
    <x v="768"/>
    <d v="2025-03-19T20:19:00"/>
    <s v="OUTROS"/>
    <x v="11"/>
    <s v=""/>
    <s v="SISTEMA"/>
    <x v="0"/>
    <s v="COLUNA I"/>
  </r>
  <r>
    <s v="TMS"/>
    <m/>
    <x v="2"/>
    <n v="3310899"/>
    <x v="1"/>
    <d v="2025-03-19T09:23:00"/>
    <n v="19456"/>
    <n v="19456"/>
    <s v="Preenchendo XML Serviço-&gt; Preenchendo XML-&gt; Montando accounting aereo 3-&gt;Reserva KIRLOB não encontrada para importar assento/bagagem!"/>
    <x v="769"/>
    <d v="2025-03-22T19:27:00"/>
    <s v="OUTROS"/>
    <x v="15"/>
    <s v="CAMPO OBSERVAÇÃO PREENCHIDO INCORRETAMENTE"/>
    <s v="QUALIDADE DOS DADOS"/>
    <x v="1"/>
    <n v="127"/>
  </r>
  <r>
    <s v="TMS"/>
    <m/>
    <x v="2"/>
    <n v="3311050"/>
    <x v="1"/>
    <d v="2025-03-19T11:50:00"/>
    <n v="14637"/>
    <n v="14637"/>
    <s v="Preenchendo XML Serviço-&gt; Preenchendo XML-&gt; Montando accounting aereo 2-&gt;Não foi informado o Localizador do Assento/Bagagem!"/>
    <x v="770"/>
    <d v="2025-03-22T19:28:00"/>
    <s v="OUTROS"/>
    <x v="15"/>
    <s v="CAMPO OBSERVAÇÃO PREENCHIDO INCORRETAMENTE"/>
    <s v="QUALIDADE DOS DADOS"/>
    <x v="1"/>
    <n v="118"/>
  </r>
  <r>
    <s v="TMS"/>
    <m/>
    <x v="2"/>
    <n v="3311051"/>
    <x v="1"/>
    <d v="2025-03-19T11:51:00"/>
    <n v="14636"/>
    <n v="14636"/>
    <s v="Preenchendo XML Serviço-&gt; Preenchendo XML-&gt; Montando accounting aereo 2-&gt;Não foi informado o Localizador do Assento/Bagagem!"/>
    <x v="770"/>
    <d v="2025-03-22T19:28:00"/>
    <s v="OUTROS"/>
    <x v="15"/>
    <s v="CAMPO OBSERVAÇÃO PREENCHIDO INCORRETAMENTE"/>
    <s v="QUALIDADE DOS DADOS"/>
    <x v="1"/>
    <n v="118"/>
  </r>
  <r>
    <s v="SABRE"/>
    <m/>
    <x v="2"/>
    <n v="3311342"/>
    <x v="2"/>
    <d v="2025-03-19T13:27:00"/>
    <s v="SOCCSBT"/>
    <s v="SOCCSB"/>
    <s v="ConverterPagamentosRemark-&gt;Input string was not in a correct format.&lt;-MontarAccountinsHotel&lt;-ProcessarHotel&lt;-ProcessarItemFila[b]"/>
    <x v="771"/>
    <m/>
    <s v="FORMA PAGTO/RECTO"/>
    <x v="2"/>
    <s v="TEXTO FORA DO PADRÃO ACEITO NO CAMPO"/>
    <s v="INDEFINIDO"/>
    <x v="0"/>
    <s v="COLUNA I"/>
  </r>
  <r>
    <s v="SABRE"/>
    <m/>
    <x v="2"/>
    <n v="3311343"/>
    <x v="2"/>
    <d v="2025-03-19T13:27:00"/>
    <s v="KWSGHNT"/>
    <s v="KWSGHN"/>
    <s v="ConverterPagamentosRemark-&gt;Input string was not in a correct format.&lt;-MontarAccountinsHotel&lt;-ProcessarHotel&lt;-ProcessarItemFila[b]"/>
    <x v="771"/>
    <m/>
    <s v="FORMA PAGTO/RECTO"/>
    <x v="2"/>
    <s v="TEXTO FORA DO PADRÃO ACEITO NO CAMPO"/>
    <s v="INDEFINIDO"/>
    <x v="0"/>
    <s v="COLUNA I"/>
  </r>
  <r>
    <s v="SABRE"/>
    <m/>
    <x v="2"/>
    <n v="3311344"/>
    <x v="2"/>
    <d v="2025-03-19T13:27:00"/>
    <s v="UGUICRT"/>
    <s v="UGUICR"/>
    <s v="ConverterPagamentosRemark-&gt;Input string was not in a correct format.&lt;-MontarAccountinsHotel&lt;-ProcessarHotel&lt;-ProcessarItemFila[b]"/>
    <x v="772"/>
    <m/>
    <s v="FORMA PAGTO/RECTO"/>
    <x v="2"/>
    <s v="TEXTO FORA DO PADRÃO ACEITO NO CAMPO"/>
    <s v="INDEFINIDO"/>
    <x v="0"/>
    <s v="COLUNA I"/>
  </r>
  <r>
    <s v="SABRE"/>
    <m/>
    <x v="2"/>
    <n v="3311345"/>
    <x v="2"/>
    <d v="2025-03-19T13:27:00"/>
    <s v="ANRJBDT"/>
    <s v="ANRJBD"/>
    <s v="ConverterPagamentosRemark-&gt;Input string was not in a correct format.&lt;-MontarAccountinsHotel&lt;-ProcessarHotel&lt;-ProcessarItemFila[b]"/>
    <x v="772"/>
    <m/>
    <s v="FORMA PAGTO/RECTO"/>
    <x v="2"/>
    <s v="TEXTO FORA DO PADRÃO ACEITO NO CAMPO"/>
    <s v="INDEFINIDO"/>
    <x v="0"/>
    <s v="COLUNA I"/>
  </r>
  <r>
    <s v="SABRE"/>
    <m/>
    <x v="2"/>
    <n v="3311372"/>
    <x v="2"/>
    <d v="2025-03-19T13:40:00"/>
    <s v="CNBCKTT"/>
    <s v="CNBCKT"/>
    <s v="ConverterPagamentosRemark-&gt;Input string was not in a correct format.&lt;-MontarAccountinsHotel&lt;-ProcessarHotel&lt;-ProcessarItemFila[b]"/>
    <x v="773"/>
    <m/>
    <s v="FORMA PAGTO/RECTO"/>
    <x v="2"/>
    <s v="TEXTO FORA DO PADRÃO ACEITO NO CAMPO"/>
    <s v="INDEFINIDO"/>
    <x v="0"/>
    <s v="COLUNA I"/>
  </r>
  <r>
    <s v="SABRE"/>
    <m/>
    <x v="2"/>
    <n v="3311433"/>
    <x v="2"/>
    <d v="2025-03-20T10:11:00"/>
    <s v="UDUIFD"/>
    <s v="UDUIFD"/>
    <s v="Não localizado cliente código [0004223565].&lt;-ObterCliente&lt;-MontarPnrBase&lt;-ProcessarAereo&lt;-ProcessarItemFila[b]"/>
    <x v="774"/>
    <d v="2025-03-20T12:19:00"/>
    <s v="CLIENTE"/>
    <x v="13"/>
    <s v="CÓDIGO DIFERENTE DO CADASTRADO NO BENNER (CLIENTE X GRUPO)"/>
    <s v="QUALIDADE DOS DADOS"/>
    <x v="0"/>
    <n v="1"/>
  </r>
  <r>
    <s v="TMS"/>
    <m/>
    <x v="2"/>
    <n v="3312325"/>
    <x v="1"/>
    <d v="2025-03-19T18:00:00"/>
    <n v="3183"/>
    <n v="3183"/>
    <s v="Preenchendo XML Hotel-&gt; Preenchendo XML-&gt; Montando accounting hotel-&gt;Solicitação de hotel referente a esta cotação não foi encontrada (Id Cotação: 1)"/>
    <x v="775"/>
    <d v="2025-03-22T19:27:00"/>
    <s v="OUTROS"/>
    <x v="22"/>
    <s v="INDEFINIDO"/>
    <s v="INDEFINIDO"/>
    <x v="0"/>
    <s v="COLUNA I"/>
  </r>
  <r>
    <s v="SABRE"/>
    <m/>
    <x v="2"/>
    <n v="3312491"/>
    <x v="2"/>
    <d v="2025-03-19T17:43:00"/>
    <s v="WGAFMD"/>
    <s v="WGAFMD"/>
    <s v="ERRO: Cancelamento de Venda: Não há PNR no sistema para cancelar, venda não inserida!"/>
    <x v="776"/>
    <m/>
    <s v="CANCELAMENTO"/>
    <x v="6"/>
    <s v="RESERVA CANCELADA NO OBT"/>
    <s v="SISTEMA"/>
    <x v="0"/>
    <s v="COLUNA I"/>
  </r>
  <r>
    <s v="TMS"/>
    <m/>
    <x v="2"/>
    <n v="3312626"/>
    <x v="1"/>
    <d v="2025-03-19T15:28:00"/>
    <n v="15525"/>
    <n v="15525"/>
    <s v="Preenchendo XML Serviço-&gt; Preenchendo XML-&gt; Montando accounting aereo 2-&gt;Não foi informado o Localizador do Assento/Bagagem!"/>
    <x v="777"/>
    <d v="2025-03-22T19:28:00"/>
    <s v="OUTROS"/>
    <x v="15"/>
    <s v="CAMPO OBSERVAÇÃO PREENCHIDO INCORRETAMENTE"/>
    <s v="QUALIDADE DOS DADOS"/>
    <x v="1"/>
    <n v="118"/>
  </r>
  <r>
    <s v="RESOLVIDO"/>
    <m/>
    <x v="1"/>
    <n v="3312665"/>
    <x v="2"/>
    <d v="2025-03-20T13:41:00"/>
    <s v="YQHIZJ"/>
    <s v="YQHIZJ"/>
    <s v="Inserindo Accounting - (ExecSQL) - Could not convert variant of type (Null) into type (OleStr)"/>
    <x v="778"/>
    <d v="2025-03-20T15:57:00"/>
    <s v="OUTROS"/>
    <x v="11"/>
    <s v=""/>
    <s v="SISTEMA"/>
    <x v="0"/>
    <s v="COLUNA I"/>
  </r>
  <r>
    <s v="SABRE"/>
    <m/>
    <x v="2"/>
    <n v="3312670"/>
    <x v="2"/>
    <d v="2025-03-20T10:35:00"/>
    <s v="HUTWNY"/>
    <s v="HUTWNY"/>
    <s v="Não localizado cliente código [0004223565].&lt;-ObterCliente&lt;-MontarPnrBase&lt;-ProcessarAereo&lt;-ProcessarItemFila[b]"/>
    <x v="779"/>
    <d v="2025-03-20T12:49:00"/>
    <s v="CLIENTE"/>
    <x v="13"/>
    <s v="CÓDIGO DIFERENTE DO CADASTRADO NO BENNER (CLIENTE X GRUPO)"/>
    <s v="QUALIDADE DOS DADOS"/>
    <x v="0"/>
    <n v="1"/>
  </r>
  <r>
    <s v="SABRE"/>
    <m/>
    <x v="2"/>
    <n v="3312671"/>
    <x v="2"/>
    <d v="2025-04-09T11:16:00"/>
    <s v="ISPKJB"/>
    <s v="ISPKJB"/>
    <s v="Não localizado cliente código [0000063625].&lt;-ObterCliente&lt;-MontarPnrBase&lt;-ProcessarAereo&lt;-ProcessarItemFila[b]"/>
    <x v="779"/>
    <d v="2025-04-09T13:17:00"/>
    <s v="CLIENTE"/>
    <x v="13"/>
    <s v="CÓDIGO DIFERENTE DO CADASTRADO NO BENNER (CLIENTE X GRUPO)"/>
    <s v="QUALIDADE DOS DADOS"/>
    <x v="0"/>
    <n v="1"/>
  </r>
  <r>
    <s v="SABRE"/>
    <m/>
    <x v="2"/>
    <n v="3312672"/>
    <x v="2"/>
    <d v="2025-03-19T18:10:00"/>
    <s v="KYOCYO"/>
    <s v="KYOCYO"/>
    <s v="Não localizado cliente código [0000583808].&lt;-ObterCliente&lt;-MontarPnrBase&lt;-ProcessarAereo&lt;-ProcessarItemFila[b]"/>
    <x v="779"/>
    <m/>
    <s v="CLIENTE"/>
    <x v="13"/>
    <s v="CÓDIGO DIFERENTE DO CADASTRADO NO BENNER (CLIENTE X GRUPO)"/>
    <s v="QUALIDADE DOS DADOS"/>
    <x v="0"/>
    <n v="1"/>
  </r>
  <r>
    <s v="RESOLVIDO"/>
    <m/>
    <x v="1"/>
    <n v="3312673"/>
    <x v="2"/>
    <d v="2025-03-19T18:10:00"/>
    <s v="LUKVXL"/>
    <s v="LUKVXL"/>
    <s v="Inserindo Accounting - (ExecSQL) - Could not convert variant of type (Null) into type (OleStr)"/>
    <x v="779"/>
    <m/>
    <s v="OUTROS"/>
    <x v="11"/>
    <s v=""/>
    <s v="SISTEMA"/>
    <x v="0"/>
    <s v="COLUNA I"/>
  </r>
  <r>
    <s v="SABRE"/>
    <m/>
    <x v="2"/>
    <n v="3312675"/>
    <x v="2"/>
    <d v="2025-03-20T10:35:00"/>
    <s v="YLVUEP"/>
    <s v="YLVUEP"/>
    <s v="Não localizado cliente código [0004222573].&lt;-ObterCliente&lt;-MontarPnrBase&lt;-ProcessarAereo&lt;-ProcessarItemFila[b]"/>
    <x v="780"/>
    <d v="2025-03-20T12:49:00"/>
    <s v="CLIENTE"/>
    <x v="13"/>
    <s v="CÓDIGO DIFERENTE DO CADASTRADO NO BENNER (CLIENTE X GRUPO)"/>
    <s v="QUALIDADE DOS DADOS"/>
    <x v="0"/>
    <n v="1"/>
  </r>
  <r>
    <s v="SABRE"/>
    <m/>
    <x v="2"/>
    <n v="3312690"/>
    <x v="2"/>
    <d v="2025-03-19T18:10:00"/>
    <s v="LCELIN"/>
    <s v="LCELIN"/>
    <s v="Código de cliente não identificado&lt;-ObterCliente&lt;-MontarPnrBase&lt;-ProcessarAereo&lt;-ProcessarItemFila[b]"/>
    <x v="781"/>
    <m/>
    <s v="CLIENTE"/>
    <x v="14"/>
    <s v="DK DE CLIENTE NÃO PREENCIDO / CLIENTE NÃO CONFIGURADO NO OBT"/>
    <s v="INDEFINIDO"/>
    <x v="1"/>
    <s v="COLUNA I"/>
  </r>
  <r>
    <s v="SABRE"/>
    <m/>
    <x v="2"/>
    <n v="3312691"/>
    <x v="2"/>
    <d v="2025-03-19T18:10:00"/>
    <s v="AMAHOI"/>
    <s v="AMAHOI"/>
    <s v="Código de cliente não identificado&lt;-ObterCliente&lt;-MontarPnrBase&lt;-ProcessarAereo&lt;-ProcessarItemFila[b]"/>
    <x v="781"/>
    <m/>
    <s v="CLIENTE"/>
    <x v="14"/>
    <s v="DK DE CLIENTE NÃO PREENCIDO / CLIENTE NÃO CONFIGURADO NO OBT"/>
    <s v="INDEFINIDO"/>
    <x v="1"/>
    <s v="COLUNA I"/>
  </r>
  <r>
    <s v="SABRE"/>
    <m/>
    <x v="2"/>
    <n v="3312693"/>
    <x v="2"/>
    <d v="2025-03-20T08:15:00"/>
    <s v="LSWQDI"/>
    <s v="LSWQDI"/>
    <s v="Código de cliente não identificado&lt;-ObterCliente&lt;-MontarPnrBase&lt;-ProcessarAereo&lt;-ProcessarItemFila[b]"/>
    <x v="781"/>
    <d v="2025-03-20T10:20:00"/>
    <s v="CLIENTE"/>
    <x v="14"/>
    <s v="DK DE CLIENTE NÃO PREENCIDO / CLIENTE NÃO CONFIGURADO NO OBT"/>
    <s v="INDEFINIDO"/>
    <x v="1"/>
    <s v="COLUNA I"/>
  </r>
  <r>
    <s v="SABRE"/>
    <m/>
    <x v="2"/>
    <n v="3312694"/>
    <x v="2"/>
    <d v="2025-03-19T18:10:00"/>
    <s v="MMNUMJ"/>
    <s v="MMNUMJ"/>
    <s v="Código de cliente não identificado&lt;-ObterCliente&lt;-MontarPnrBase&lt;-ProcessarAereo&lt;-ProcessarItemFila[b]"/>
    <x v="781"/>
    <m/>
    <s v="CLIENTE"/>
    <x v="14"/>
    <s v="DK DE CLIENTE NÃO PREENCIDO / CLIENTE NÃO CONFIGURADO NO OBT"/>
    <s v="INDEFINIDO"/>
    <x v="1"/>
    <s v="COLUNA I"/>
  </r>
  <r>
    <s v="SABRE"/>
    <m/>
    <x v="2"/>
    <n v="3313043"/>
    <x v="2"/>
    <d v="2025-03-20T07:50:00"/>
    <s v="LCMZIYT"/>
    <s v="LCMZIY"/>
    <s v="ConverterPagamentosRemark-&gt;Input string was not in a correct format.&lt;-MontarAccountinsHotel&lt;-ProcessarHotel&lt;-ProcessarItemFila[b]"/>
    <x v="782"/>
    <m/>
    <s v="FORMA PAGTO/RECTO"/>
    <x v="2"/>
    <s v="TEXTO FORA DO PADRÃO ACEITO NO CAMPO"/>
    <s v="INDEFINIDO"/>
    <x v="0"/>
    <s v="COLUNA I"/>
  </r>
  <r>
    <s v="SABRE"/>
    <m/>
    <x v="2"/>
    <n v="3313044"/>
    <x v="2"/>
    <d v="2025-03-20T07:50:00"/>
    <s v="HPPZEST"/>
    <s v="HPPZES"/>
    <s v="ConverterPagamentosRemark-&gt;Input string was not in a correct format.&lt;-MontarAccountinsHotel&lt;-ProcessarHotel&lt;-ProcessarItemFila[b]"/>
    <x v="782"/>
    <m/>
    <s v="FORMA PAGTO/RECTO"/>
    <x v="2"/>
    <s v="TEXTO FORA DO PADRÃO ACEITO NO CAMPO"/>
    <s v="INDEFINIDO"/>
    <x v="0"/>
    <s v="COLUNA I"/>
  </r>
  <r>
    <s v="SABRE"/>
    <m/>
    <x v="2"/>
    <n v="3313045"/>
    <x v="2"/>
    <d v="2025-03-20T07:52:00"/>
    <s v="AZNOXVT"/>
    <s v="AZNOXV"/>
    <s v="ConverterPagamentosRemark-&gt;Input string was not in a correct format.&lt;-MontarAccountinsHotel&lt;-ProcessarHotel&lt;-ProcessarItemFila[b]"/>
    <x v="782"/>
    <m/>
    <s v="FORMA PAGTO/RECTO"/>
    <x v="2"/>
    <s v="TEXTO FORA DO PADRÃO ACEITO NO CAMPO"/>
    <s v="INDEFINIDO"/>
    <x v="0"/>
    <s v="COLUNA I"/>
  </r>
  <r>
    <s v="SABRE"/>
    <m/>
    <x v="2"/>
    <n v="3313046"/>
    <x v="2"/>
    <d v="2025-03-20T07:52:00"/>
    <s v="AMTLNZT"/>
    <s v="AMTLNZ"/>
    <s v="ConverterPagamentosRemark-&gt;Input string was not in a correct format.&lt;-MontarAccountinsHotel&lt;-ProcessarHotel&lt;-ProcessarItemFila[b]"/>
    <x v="782"/>
    <m/>
    <s v="FORMA PAGTO/RECTO"/>
    <x v="2"/>
    <s v="TEXTO FORA DO PADRÃO ACEITO NO CAMPO"/>
    <s v="INDEFINIDO"/>
    <x v="0"/>
    <s v="COLUNA I"/>
  </r>
  <r>
    <s v="SABRE"/>
    <m/>
    <x v="2"/>
    <n v="3313047"/>
    <x v="2"/>
    <d v="2025-03-20T07:52:00"/>
    <s v="EUGCEQT"/>
    <s v="EUGCEQ"/>
    <s v="ConverterPagamentosRemark-&gt;Input string was not in a correct format.&lt;-MontarAccountinsHotel&lt;-ProcessarHotel&lt;-ProcessarItemFila[b]"/>
    <x v="782"/>
    <m/>
    <s v="FORMA PAGTO/RECTO"/>
    <x v="2"/>
    <s v="TEXTO FORA DO PADRÃO ACEITO NO CAMPO"/>
    <s v="INDEFINIDO"/>
    <x v="0"/>
    <s v="COLUNA I"/>
  </r>
  <r>
    <s v="SABRE"/>
    <m/>
    <x v="2"/>
    <n v="3313048"/>
    <x v="2"/>
    <d v="2025-03-20T07:52:00"/>
    <s v="JFXVWRT"/>
    <s v="JFXVWR"/>
    <s v="ConverterPagamentosRemark-&gt;Input string was not in a correct format.&lt;-MontarAccountinsHotel&lt;-ProcessarHotel&lt;-ProcessarItemFila[b]"/>
    <x v="783"/>
    <m/>
    <s v="FORMA PAGTO/RECTO"/>
    <x v="2"/>
    <s v="TEXTO FORA DO PADRÃO ACEITO NO CAMPO"/>
    <s v="INDEFINIDO"/>
    <x v="0"/>
    <s v="COLUNA I"/>
  </r>
  <r>
    <s v="SABRE"/>
    <m/>
    <x v="2"/>
    <n v="3313107"/>
    <x v="2"/>
    <d v="2025-03-20T08:17:00"/>
    <s v="ESVYHN"/>
    <s v="ESVYHN"/>
    <s v="Não localizado cliente código [0000068777].&lt;-ObterCliente&lt;-MontarPnrBase&lt;-ProcessarAereo&lt;-ProcessarItemFila[b]"/>
    <x v="784"/>
    <m/>
    <s v="CLIENTE"/>
    <x v="13"/>
    <s v="CÓDIGO DIFERENTE DO CADASTRADO NO BENNER (CLIENTE X GRUPO)"/>
    <s v="QUALIDADE DOS DADOS"/>
    <x v="0"/>
    <n v="1"/>
  </r>
  <r>
    <s v="GOVER"/>
    <m/>
    <x v="2"/>
    <n v="3313135"/>
    <x v="0"/>
    <d v="2024-10-24T10:29:00"/>
    <n v="4433467"/>
    <n v="4433467"/>
    <s v="PreencherPnr-&gt;Foi identificado um localizador sem código."/>
    <x v="785"/>
    <d v="2025-04-09T14:47:00"/>
    <s v="OUTROS"/>
    <x v="1"/>
    <s v="RLOC NÃO PREENCHIDO NA RESERVA"/>
    <s v="QUALIDADE DOS DADOS"/>
    <x v="0"/>
    <s v="COLUNA I"/>
  </r>
  <r>
    <s v="GOVER"/>
    <m/>
    <x v="2"/>
    <n v="3313136"/>
    <x v="0"/>
    <d v="2024-10-24T10:33:00"/>
    <n v="4433472"/>
    <n v="4433472"/>
    <s v="PreencherPnr-&gt;Foi identificado um localizador sem código."/>
    <x v="785"/>
    <d v="2025-04-09T14:47:00"/>
    <s v="OUTROS"/>
    <x v="1"/>
    <s v="RLOC NÃO PREENCHIDO NA RESERVA"/>
    <s v="QUALIDADE DOS DADOS"/>
    <x v="0"/>
    <s v="COLUNA I"/>
  </r>
  <r>
    <s v="GOVER"/>
    <m/>
    <x v="2"/>
    <n v="3313137"/>
    <x v="0"/>
    <d v="2024-10-24T10:36:00"/>
    <n v="4433481"/>
    <n v="4433481"/>
    <s v="PreencherPnr-&gt;Foi identificado um localizador sem código."/>
    <x v="785"/>
    <d v="2025-04-09T14:47:00"/>
    <s v="OUTROS"/>
    <x v="1"/>
    <s v="RLOC NÃO PREENCHIDO NA RESERVA"/>
    <s v="QUALIDADE DOS DADOS"/>
    <x v="0"/>
    <s v="COLUNA I"/>
  </r>
  <r>
    <s v="GOVER"/>
    <m/>
    <x v="2"/>
    <n v="3313196"/>
    <x v="0"/>
    <d v="2025-02-04T18:54:00"/>
    <n v="4486393"/>
    <s v="FCOTPH"/>
    <s v="PreencherPnr-&gt;AlterarAccountingCustom-&gt; Erro: AlterarAccounting-&gt; Erro: Forma pagamento Cartão Convênio-&gt; Não foi possível determinar a validade do cartão, favor verificar os dados do cartão &lt;ItemAereoRAVDTO&gt;."/>
    <x v="786"/>
    <d v="2025-04-29T08:44:00"/>
    <s v="FORMA PAGTO/RECTO"/>
    <x v="5"/>
    <s v="TAG &lt;CARTAOVALIDADE&gt; NÃO ENVIADA"/>
    <s v="SISTEMA"/>
    <x v="0"/>
    <n v="107"/>
  </r>
  <r>
    <s v="SABRE"/>
    <m/>
    <x v="2"/>
    <n v="3313255"/>
    <x v="2"/>
    <d v="2025-03-20T09:23:00"/>
    <s v="KVKIXUT"/>
    <s v="KVKIXU"/>
    <s v="ConverterPagamentosRemark-&gt;Input string was not in a correct format.&lt;-MontarAccountinsHotel&lt;-ProcessarHotel&lt;-ProcessarItemFila[b]"/>
    <x v="787"/>
    <m/>
    <s v="FORMA PAGTO/RECTO"/>
    <x v="2"/>
    <s v="TEXTO FORA DO PADRÃO ACEITO NO CAMPO"/>
    <s v="INDEFINIDO"/>
    <x v="0"/>
    <s v="COLUNA I"/>
  </r>
  <r>
    <s v="SABRE"/>
    <m/>
    <x v="2"/>
    <n v="3313257"/>
    <x v="2"/>
    <d v="2025-03-20T09:23:00"/>
    <s v="YPIYOXT"/>
    <s v="YPIYOX"/>
    <s v="ConverterPagamentosRemark-&gt;Input string was not in a correct format.&lt;-MontarAccountinsHotel&lt;-ProcessarHotel&lt;-ProcessarItemFila[b]"/>
    <x v="787"/>
    <m/>
    <s v="FORMA PAGTO/RECTO"/>
    <x v="2"/>
    <s v="TEXTO FORA DO PADRÃO ACEITO NO CAMPO"/>
    <s v="INDEFINIDO"/>
    <x v="0"/>
    <s v="COLUNA I"/>
  </r>
  <r>
    <s v="TMS"/>
    <m/>
    <x v="2"/>
    <n v="3314071"/>
    <x v="1"/>
    <d v="2025-02-18T10:38:00"/>
    <n v="18372"/>
    <n v="18372"/>
    <s v="Preenchendo XML Serviço-&gt; Preenchendo XML-&gt; Montando accounting aereo 3-&gt;Reserva NI8319 não encontrada para importar assento/bagagem!"/>
    <x v="788"/>
    <m/>
    <s v="OUTROS"/>
    <x v="15"/>
    <s v="CAMPO OBSERVAÇÃO PREENCHIDO INCORRETAMENTE"/>
    <s v="QUALIDADE DOS DADOS"/>
    <x v="1"/>
    <n v="127"/>
  </r>
  <r>
    <s v="SABRE"/>
    <m/>
    <x v="2"/>
    <n v="3314072"/>
    <x v="2"/>
    <d v="2025-03-20T13:41:00"/>
    <s v="CDMPJT"/>
    <s v="CDMPJT"/>
    <s v="Código de cliente não identificado&lt;-ObterCliente&lt;-MontarPnrBase&lt;-ProcessarAereo&lt;-ProcessarItemFila[b]"/>
    <x v="788"/>
    <m/>
    <s v="CLIENTE"/>
    <x v="14"/>
    <s v="DK DE CLIENTE NÃO PREENCIDO / CLIENTE NÃO CONFIGURADO NO OBT"/>
    <s v="INDEFINIDO"/>
    <x v="1"/>
    <s v="COLUNA I"/>
  </r>
  <r>
    <s v="SABRE"/>
    <m/>
    <x v="2"/>
    <n v="3314078"/>
    <x v="2"/>
    <d v="2025-03-20T13:41:00"/>
    <s v="AELHTE"/>
    <s v="AELHTE"/>
    <s v="Não localizado cliente código [0000063625].&lt;-ObterCliente&lt;-MontarPnrBase&lt;-ProcessarAereo&lt;-ProcessarItemFila[b]"/>
    <x v="789"/>
    <m/>
    <s v="CLIENTE"/>
    <x v="13"/>
    <s v="CÓDIGO DIFERENTE DO CADASTRADO NO BENNER (CLIENTE X GRUPO)"/>
    <s v="QUALIDADE DOS DADOS"/>
    <x v="0"/>
    <n v="1"/>
  </r>
  <r>
    <s v="SABRE"/>
    <m/>
    <x v="2"/>
    <n v="3314129"/>
    <x v="2"/>
    <d v="2025-03-20T13:41:00"/>
    <s v="GUKNCN"/>
    <s v="GUKNCN"/>
    <s v="Não localizado cliente código [0004224627].&lt;-ObterCliente&lt;-MontarPnrBase&lt;-ProcessarAereo&lt;-ProcessarItemFila[b]"/>
    <x v="790"/>
    <m/>
    <s v="CLIENTE"/>
    <x v="13"/>
    <s v="CÓDIGO DIFERENTE DO CADASTRADO NO BENNER (CLIENTE X GRUPO)"/>
    <s v="QUALIDADE DOS DADOS"/>
    <x v="0"/>
    <n v="1"/>
  </r>
  <r>
    <s v="SABRE"/>
    <m/>
    <x v="2"/>
    <n v="3314226"/>
    <x v="2"/>
    <d v="2025-03-20T13:51:00"/>
    <s v="YVFPPXT"/>
    <s v="YVFPPX"/>
    <s v="ConverterPagamentosRemark-&gt;Input string was not in a correct format.&lt;-MontarAccountinsHotel&lt;-ProcessarHotel&lt;-ProcessarItemFila[b]"/>
    <x v="791"/>
    <m/>
    <s v="FORMA PAGTO/RECTO"/>
    <x v="2"/>
    <s v="TEXTO FORA DO PADRÃO ACEITO NO CAMPO"/>
    <s v="INDEFINIDO"/>
    <x v="0"/>
    <s v="COLUNA I"/>
  </r>
  <r>
    <s v="LEMONTECH"/>
    <m/>
    <x v="2"/>
    <n v="3314355"/>
    <x v="3"/>
    <d v="2025-03-17T21:37:00"/>
    <s v="16188715-13019913"/>
    <n v="16188715"/>
    <s v="Emissor de código  não encontrado!"/>
    <x v="792"/>
    <d v="2025-03-23T16:01:00"/>
    <s v="AGENTE"/>
    <x v="23"/>
    <s v=""/>
    <s v="INDEFINIDO"/>
    <x v="2"/>
    <s v="COLUNA I"/>
  </r>
  <r>
    <s v="SABRE"/>
    <m/>
    <x v="2"/>
    <n v="3314478"/>
    <x v="2"/>
    <d v="2025-03-20T15:38:00"/>
    <s v="YVDDAIT"/>
    <s v="YVDDAI"/>
    <s v="ConverterPagamentosRemark-&gt;Input string was not in a correct format.&lt;-MontarAccountinsHotel&lt;-ProcessarHotel&lt;-ProcessarItemFila[b]"/>
    <x v="793"/>
    <m/>
    <s v="FORMA PAGTO/RECTO"/>
    <x v="2"/>
    <s v="TEXTO FORA DO PADRÃO ACEITO NO CAMPO"/>
    <s v="INDEFINIDO"/>
    <x v="0"/>
    <s v="COLUNA I"/>
  </r>
  <r>
    <s v="SABRE"/>
    <m/>
    <x v="2"/>
    <n v="3314832"/>
    <x v="2"/>
    <d v="2025-03-20T17:00:00"/>
    <s v="ACQUWA"/>
    <s v="ACQUWA"/>
    <s v="Não localizado cliente código [0000583831].&lt;-ObterCliente&lt;-MontarPnrBase&lt;-ProcessarAereo&lt;-ProcessarItemFila[b]"/>
    <x v="794"/>
    <m/>
    <s v="CLIENTE"/>
    <x v="13"/>
    <s v="CÓDIGO DIFERENTE DO CADASTRADO NO BENNER (CLIENTE X GRUPO)"/>
    <s v="QUALIDADE DOS DADOS"/>
    <x v="0"/>
    <n v="1"/>
  </r>
  <r>
    <s v="SABRE"/>
    <m/>
    <x v="2"/>
    <n v="3314833"/>
    <x v="2"/>
    <d v="2025-03-20T17:00:00"/>
    <s v="WZVOPC"/>
    <s v="WZVOPC"/>
    <s v="Não localizado cliente código [0000583831].&lt;-ObterCliente&lt;-MontarPnrBase&lt;-ProcessarAereo&lt;-ProcessarItemFila[b]"/>
    <x v="795"/>
    <m/>
    <s v="CLIENTE"/>
    <x v="13"/>
    <s v="CÓDIGO DIFERENTE DO CADASTRADO NO BENNER (CLIENTE X GRUPO)"/>
    <s v="QUALIDADE DOS DADOS"/>
    <x v="0"/>
    <n v="1"/>
  </r>
  <r>
    <s v="RESOLVIDO"/>
    <m/>
    <x v="1"/>
    <n v="3314835"/>
    <x v="2"/>
    <d v="2025-03-21T10:53:00"/>
    <s v="KKRXBY"/>
    <s v="KKRXBY"/>
    <s v="Inserindo Accounting - (ExecSQL) - Could not convert variant of type (Null) into type (OleStr)"/>
    <x v="795"/>
    <d v="2025-03-21T13:05:00"/>
    <s v="OUTROS"/>
    <x v="11"/>
    <s v=""/>
    <s v="SISTEMA"/>
    <x v="0"/>
    <s v="COLUNA I"/>
  </r>
  <r>
    <s v="SABRE"/>
    <m/>
    <x v="2"/>
    <n v="3314854"/>
    <x v="2"/>
    <d v="2025-03-20T17:00:00"/>
    <s v="KKEGCF"/>
    <s v="KKEGCF"/>
    <s v="Não localizado cliente código [0000392619].&lt;-ObterCliente&lt;-MontarPnrBase&lt;-ProcessarAereo&lt;-ProcessarItemFila[b]"/>
    <x v="796"/>
    <m/>
    <s v="CLIENTE"/>
    <x v="13"/>
    <s v="CÓDIGO DIFERENTE DO CADASTRADO NO BENNER (CLIENTE X GRUPO)"/>
    <s v="QUALIDADE DOS DADOS"/>
    <x v="0"/>
    <n v="1"/>
  </r>
  <r>
    <s v="SABRE"/>
    <m/>
    <x v="2"/>
    <n v="3314855"/>
    <x v="2"/>
    <d v="2025-03-20T17:00:00"/>
    <s v="NUYZFQ"/>
    <s v="NUYZFQ"/>
    <s v="Não localizado cliente código [0000392619].&lt;-ObterCliente&lt;-MontarPnrBase&lt;-ProcessarAereo&lt;-ProcessarItemFila[b]"/>
    <x v="797"/>
    <m/>
    <s v="CLIENTE"/>
    <x v="13"/>
    <s v="CÓDIGO DIFERENTE DO CADASTRADO NO BENNER (CLIENTE X GRUPO)"/>
    <s v="QUALIDADE DOS DADOS"/>
    <x v="0"/>
    <n v="1"/>
  </r>
  <r>
    <s v="SABRE"/>
    <m/>
    <x v="2"/>
    <n v="3314860"/>
    <x v="2"/>
    <d v="2025-03-21T18:29:00"/>
    <s v="GFVFAD"/>
    <s v="GFVFAD"/>
    <s v="Não localizado cliente código [0004222573].&lt;-ObterCliente&lt;-MontarPnrBase&lt;-ProcessarAereo&lt;-ProcessarItemFila[b]"/>
    <x v="797"/>
    <d v="2025-03-21T20:36:00"/>
    <s v="CLIENTE"/>
    <x v="13"/>
    <s v="CÓDIGO DIFERENTE DO CADASTRADO NO BENNER (CLIENTE X GRUPO)"/>
    <s v="QUALIDADE DOS DADOS"/>
    <x v="0"/>
    <n v="1"/>
  </r>
  <r>
    <s v="SABRE"/>
    <m/>
    <x v="2"/>
    <n v="3314867"/>
    <x v="2"/>
    <d v="2025-03-20T17:00:00"/>
    <s v="SKJKSO"/>
    <s v="SKJKSO"/>
    <s v="Código de cliente não identificado&lt;-ObterCliente&lt;-MontarPnrBase&lt;-ProcessarAereo&lt;-ProcessarItemFila[b]"/>
    <x v="798"/>
    <m/>
    <s v="CLIENTE"/>
    <x v="14"/>
    <s v="DK DE CLIENTE NÃO PREENCIDO / CLIENTE NÃO CONFIGURADO NO OBT"/>
    <s v="INDEFINIDO"/>
    <x v="1"/>
    <s v="COLUNA I"/>
  </r>
  <r>
    <s v="SABRE"/>
    <m/>
    <x v="2"/>
    <n v="3315383"/>
    <x v="2"/>
    <d v="2025-03-20T18:20:00"/>
    <s v="SAEUXO"/>
    <s v="SAEUXO"/>
    <s v="Código de cliente não identificado&lt;-ObterCliente&lt;-MontarPnrBase&lt;-ProcessarAereo&lt;-ProcessarItemFila[b]"/>
    <x v="799"/>
    <m/>
    <s v="CLIENTE"/>
    <x v="14"/>
    <s v="DK DE CLIENTE NÃO PREENCIDO / CLIENTE NÃO CONFIGURADO NO OBT"/>
    <s v="INDEFINIDO"/>
    <x v="1"/>
    <s v="COLUNA I"/>
  </r>
  <r>
    <s v="TMS"/>
    <m/>
    <x v="2"/>
    <n v="3315399"/>
    <x v="1"/>
    <d v="2025-03-20T15:19:00"/>
    <n v="87"/>
    <n v="87"/>
    <s v="Preenchendo XML Serviço-&gt; Preenchendo XML-&gt; Montando accounting aereo 2-&gt;Não foi informado o Localizador do Assento/Bagagem!"/>
    <x v="800"/>
    <d v="2025-03-23T19:47:00"/>
    <s v="OUTROS"/>
    <x v="15"/>
    <s v="CAMPO OBSERVAÇÃO PREENCHIDO INCORRETAMENTE"/>
    <s v="QUALIDADE DOS DADOS"/>
    <x v="1"/>
    <n v="118"/>
  </r>
  <r>
    <s v="LEMONTECH"/>
    <m/>
    <x v="2"/>
    <n v="3315751"/>
    <x v="3"/>
    <d v="2025-03-19T16:12:00"/>
    <s v="16205902-13034612"/>
    <n v="16205902"/>
    <s v="Emissor de código  não encontrado!"/>
    <x v="801"/>
    <d v="2025-03-24T08:00:00"/>
    <s v="AGENTE"/>
    <x v="23"/>
    <s v=""/>
    <s v="INDEFINIDO"/>
    <x v="2"/>
    <s v="COLUNA I"/>
  </r>
  <r>
    <s v="LEMONTECH"/>
    <m/>
    <x v="2"/>
    <n v="3315753"/>
    <x v="3"/>
    <d v="2025-03-20T17:28:00"/>
    <s v="16216889-13040243"/>
    <n v="16216889"/>
    <s v="Emissor de código  não encontrado!"/>
    <x v="802"/>
    <d v="2025-03-24T08:01:00"/>
    <s v="AGENTE"/>
    <x v="23"/>
    <s v=""/>
    <s v="INDEFINIDO"/>
    <x v="2"/>
    <s v="COLUNA I"/>
  </r>
  <r>
    <s v="GOVER"/>
    <m/>
    <x v="2"/>
    <n v="3315899"/>
    <x v="0"/>
    <d v="2025-03-12T15:47:00"/>
    <n v="4504794"/>
    <s v="movida"/>
    <s v="PreencherPnr-&gt;Não foi encontrado nenhum item veículo para o localizador movida"/>
    <x v="803"/>
    <d v="2025-04-09T14:47:00"/>
    <s v="OUTROS"/>
    <x v="0"/>
    <s v="TAGS DE DETALHAMENTO DO SERVIÇO NÃO ENVIADO NO XML"/>
    <s v="QUALIDADE DOS DADOS"/>
    <x v="0"/>
    <n v="46"/>
  </r>
  <r>
    <s v="GOVER"/>
    <m/>
    <x v="2"/>
    <n v="3315948"/>
    <x v="0"/>
    <d v="2025-01-13T16:49:00"/>
    <n v="4473445"/>
    <n v="16919861"/>
    <s v="PreencherPnr-&gt;Forma pagamento Cartão-&gt; Não foi possível determinar a validade do cartão, favor verificar os dados do cartão &lt;Id&gt;1408359&lt;/Id&gt;."/>
    <x v="804"/>
    <d v="2025-04-29T08:44:00"/>
    <s v="FORMA PAGTO/RECTO"/>
    <x v="5"/>
    <s v="TAG &lt;CARTAOVALIDADE&gt; NÃO ENVIADA"/>
    <s v="SISTEMA"/>
    <x v="0"/>
    <n v="40"/>
  </r>
  <r>
    <s v="TMS"/>
    <m/>
    <x v="2"/>
    <n v="3316707"/>
    <x v="1"/>
    <d v="2025-03-21T10:40:00"/>
    <n v="14762"/>
    <n v="14762"/>
    <s v="Preenchendo XML Carro-&gt; Preenchendo XML-&gt; Montando accounting carro-&gt;Fornecedor com o código 55806  informado nos campos gerenciais não encontrado!"/>
    <x v="805"/>
    <d v="2025-03-24T21:18:00"/>
    <s v="FORNECEDOR"/>
    <x v="10"/>
    <s v="CONTRATO INATIVO OU DIVERGENTE"/>
    <s v="SISTEMA"/>
    <x v="1"/>
    <n v="69"/>
  </r>
  <r>
    <s v="SABRE"/>
    <m/>
    <x v="2"/>
    <n v="3316792"/>
    <x v="2"/>
    <d v="2025-03-21T12:41:00"/>
    <s v="OLCTUXT"/>
    <s v="OLCTUX"/>
    <s v="ConverterPagamentosRemark-&gt;Input string was not in a correct format.&lt;-MontarAccountinsHotel&lt;-ProcessarHotel&lt;-ProcessarItemFila[b]"/>
    <x v="806"/>
    <m/>
    <s v="FORMA PAGTO/RECTO"/>
    <x v="2"/>
    <s v="TEXTO FORA DO PADRÃO ACEITO NO CAMPO"/>
    <s v="INDEFINIDO"/>
    <x v="0"/>
    <s v="COLUNA I"/>
  </r>
  <r>
    <s v="SABRE"/>
    <m/>
    <x v="2"/>
    <n v="3316795"/>
    <x v="2"/>
    <d v="2025-03-21T12:41:00"/>
    <s v="KVETAUT"/>
    <s v="KVETAU"/>
    <s v="ConverterPagamentosRemark-&gt;Input string was not in a correct format.&lt;-MontarAccountinsHotel&lt;-ProcessarHotel&lt;-ProcessarItemFila[b]"/>
    <x v="806"/>
    <m/>
    <s v="FORMA PAGTO/RECTO"/>
    <x v="2"/>
    <s v="TEXTO FORA DO PADRÃO ACEITO NO CAMPO"/>
    <s v="INDEFINIDO"/>
    <x v="0"/>
    <s v="COLUNA I"/>
  </r>
  <r>
    <s v="SABRE"/>
    <m/>
    <x v="2"/>
    <n v="3316796"/>
    <x v="2"/>
    <d v="2025-03-21T12:41:00"/>
    <s v="KVOJEZT"/>
    <s v="KVOJEZ"/>
    <s v="ConverterPagamentosRemark-&gt;Input string was not in a correct format.&lt;-MontarAccountinsHotel&lt;-ProcessarHotel&lt;-ProcessarItemFila[b]"/>
    <x v="806"/>
    <m/>
    <s v="FORMA PAGTO/RECTO"/>
    <x v="2"/>
    <s v="TEXTO FORA DO PADRÃO ACEITO NO CAMPO"/>
    <s v="INDEFINIDO"/>
    <x v="0"/>
    <s v="COLUNA I"/>
  </r>
  <r>
    <s v="SABRE"/>
    <m/>
    <x v="2"/>
    <n v="3317358"/>
    <x v="2"/>
    <d v="2025-03-21T18:29:00"/>
    <s v="KVJHZD"/>
    <s v="KVJHZD"/>
    <s v="Não localizado cliente código [0123456789].&lt;-ObterCliente&lt;-MontarPnrBase&lt;-ProcessarAereo&lt;-ProcessarItemFila[b]"/>
    <x v="807"/>
    <d v="2025-03-21T20:38:00"/>
    <s v="CLIENTE"/>
    <x v="13"/>
    <s v="CÓDIGO DIFERENTE DO CADASTRADO NO BENNER (CLIENTE X GRUPO)"/>
    <s v="QUALIDADE DOS DADOS"/>
    <x v="0"/>
    <n v="1"/>
  </r>
  <r>
    <s v="SABRE"/>
    <m/>
    <x v="2"/>
    <n v="3317359"/>
    <x v="2"/>
    <d v="2025-03-21T18:29:00"/>
    <s v="QYJSQQ"/>
    <s v="QYJSQQ"/>
    <s v="Não localizado cliente código [0123456789].&lt;-ObterCliente&lt;-MontarPnrBase&lt;-ProcessarAereo&lt;-ProcessarItemFila[b]"/>
    <x v="807"/>
    <d v="2025-03-21T20:38:00"/>
    <s v="CLIENTE"/>
    <x v="13"/>
    <s v="CÓDIGO DIFERENTE DO CADASTRADO NO BENNER (CLIENTE X GRUPO)"/>
    <s v="QUALIDADE DOS DADOS"/>
    <x v="0"/>
    <n v="1"/>
  </r>
  <r>
    <s v="RESOLVIDO"/>
    <m/>
    <x v="1"/>
    <n v="3317996"/>
    <x v="1"/>
    <d v="2025-03-21T14:29:00"/>
    <n v="102655"/>
    <n v="102655"/>
    <s v="Preenchendo XML Carro-&gt; Preenchendo XML-&gt; Montando accounting carro-&gt;Fornecedor com o código 415368  informado nos campos gerenciais não encontrado!"/>
    <x v="808"/>
    <d v="2025-03-24T20:37:00"/>
    <s v="FORNECEDOR"/>
    <x v="10"/>
    <s v="CONTRATO INATIVO OU DIVERGENTE"/>
    <s v="SISTEMA"/>
    <x v="1"/>
    <n v="69"/>
  </r>
  <r>
    <s v="RESOLVIDO"/>
    <m/>
    <x v="1"/>
    <n v="3318077"/>
    <x v="1"/>
    <d v="2025-03-21T15:26:00"/>
    <n v="3930"/>
    <n v="3930"/>
    <s v="Preenchendo XML Carro-&gt; Preenchendo XML-&gt; Montando accounting carro-&gt;Fornecedor com o código 415368  informado nos campos gerenciais não encontrado!"/>
    <x v="809"/>
    <d v="2025-03-24T20:48:00"/>
    <s v="FORNECEDOR"/>
    <x v="10"/>
    <s v="CONTRATO INATIVO OU DIVERGENTE"/>
    <s v="SISTEMA"/>
    <x v="1"/>
    <n v="69"/>
  </r>
  <r>
    <s v="SABRE"/>
    <m/>
    <x v="2"/>
    <n v="3318300"/>
    <x v="2"/>
    <d v="2025-03-21T18:29:00"/>
    <s v="MZZXAN"/>
    <s v="MZZXAN"/>
    <s v="Código de cliente não identificado&lt;-ObterCliente&lt;-MontarPnrBase&lt;-ProcessarAereo&lt;-ProcessarItemFila[b]"/>
    <x v="810"/>
    <m/>
    <s v="CLIENTE"/>
    <x v="14"/>
    <s v="DK DE CLIENTE NÃO PREENCIDO / CLIENTE NÃO CONFIGURADO NO OBT"/>
    <s v="INDEFINIDO"/>
    <x v="1"/>
    <s v="COLUNA I"/>
  </r>
  <r>
    <s v="SABRE"/>
    <m/>
    <x v="2"/>
    <n v="3318307"/>
    <x v="2"/>
    <d v="2025-03-21T18:29:00"/>
    <s v="EEIXVR"/>
    <s v="EEIXVR"/>
    <s v="Código de cliente não identificado&lt;-ObterCliente&lt;-MontarPnrBase&lt;-ProcessarAereo&lt;-ProcessarItemFila[b]"/>
    <x v="811"/>
    <m/>
    <s v="CLIENTE"/>
    <x v="14"/>
    <s v="DK DE CLIENTE NÃO PREENCIDO / CLIENTE NÃO CONFIGURADO NO OBT"/>
    <s v="INDEFINIDO"/>
    <x v="1"/>
    <s v="COLUNA I"/>
  </r>
  <r>
    <s v="SABRE"/>
    <m/>
    <x v="2"/>
    <n v="3318327"/>
    <x v="2"/>
    <d v="2025-03-21T18:29:00"/>
    <s v="MZUVME"/>
    <s v="MZUVME"/>
    <s v="Não localizado cliente código [0000583808].&lt;-ObterCliente&lt;-MontarPnrBase&lt;-ProcessarAereo&lt;-ProcessarItemFila[b]"/>
    <x v="812"/>
    <m/>
    <s v="CLIENTE"/>
    <x v="13"/>
    <s v="CÓDIGO DIFERENTE DO CADASTRADO NO BENNER (CLIENTE X GRUPO)"/>
    <s v="QUALIDADE DOS DADOS"/>
    <x v="0"/>
    <n v="1"/>
  </r>
  <r>
    <s v="SABRE"/>
    <m/>
    <x v="2"/>
    <n v="3318330"/>
    <x v="2"/>
    <d v="2025-03-21T18:29:00"/>
    <s v="GMKRKS"/>
    <s v="GMKRKS"/>
    <s v="Não localizado cliente código [0000583808].&lt;-ObterCliente&lt;-MontarPnrBase&lt;-ProcessarAereo&lt;-ProcessarItemFila[b]"/>
    <x v="812"/>
    <m/>
    <s v="CLIENTE"/>
    <x v="13"/>
    <s v="CÓDIGO DIFERENTE DO CADASTRADO NO BENNER (CLIENTE X GRUPO)"/>
    <s v="QUALIDADE DOS DADOS"/>
    <x v="0"/>
    <n v="1"/>
  </r>
  <r>
    <s v="SABRE"/>
    <m/>
    <x v="2"/>
    <n v="3318332"/>
    <x v="2"/>
    <d v="2025-03-24T07:56:00"/>
    <s v="HTONOH"/>
    <s v="HTONOH"/>
    <s v="Código de cliente não identificado&lt;-ObterCliente&lt;-MontarPnrBase&lt;-ProcessarAereo&lt;-ProcessarItemFila[b]"/>
    <x v="812"/>
    <d v="2025-03-24T10:05:00"/>
    <s v="CLIENTE"/>
    <x v="14"/>
    <s v="DK DE CLIENTE NÃO PREENCIDO / CLIENTE NÃO CONFIGURADO NO OBT"/>
    <s v="INDEFINIDO"/>
    <x v="1"/>
    <s v="COLUNA I"/>
  </r>
  <r>
    <s v="SABRE"/>
    <m/>
    <x v="2"/>
    <n v="3318340"/>
    <x v="2"/>
    <d v="2025-03-21T18:29:00"/>
    <s v="SQZMWF"/>
    <s v="SQZMWF"/>
    <s v="Não localizado cliente código [0000583808].&lt;-ObterCliente&lt;-MontarPnrBase&lt;-ProcessarAereo&lt;-ProcessarItemFila[b]"/>
    <x v="813"/>
    <m/>
    <s v="CLIENTE"/>
    <x v="13"/>
    <s v="CÓDIGO DIFERENTE DO CADASTRADO NO BENNER (CLIENTE X GRUPO)"/>
    <s v="QUALIDADE DOS DADOS"/>
    <x v="0"/>
    <n v="1"/>
  </r>
  <r>
    <s v="SABRE"/>
    <m/>
    <x v="2"/>
    <n v="3318346"/>
    <x v="2"/>
    <d v="2025-03-21T18:29:00"/>
    <s v="HYVNRZ"/>
    <s v="HYVNRZ"/>
    <s v="Código de cliente não identificado&lt;-ObterCliente&lt;-MontarPnrBase&lt;-ProcessarAereo&lt;-ProcessarItemFila[b]"/>
    <x v="813"/>
    <m/>
    <s v="CLIENTE"/>
    <x v="14"/>
    <s v="DK DE CLIENTE NÃO PREENCIDO / CLIENTE NÃO CONFIGURADO NO OBT"/>
    <s v="INDEFINIDO"/>
    <x v="1"/>
    <s v="COLUNA I"/>
  </r>
  <r>
    <s v="SABRE"/>
    <m/>
    <x v="2"/>
    <n v="3318348"/>
    <x v="2"/>
    <d v="2025-03-21T18:29:00"/>
    <s v="AUOFTV"/>
    <s v="AUOFTV"/>
    <s v="Código de cliente não identificado&lt;-ObterCliente&lt;-MontarPnrBase&lt;-ProcessarAereo&lt;-ProcessarItemFila[b]"/>
    <x v="813"/>
    <m/>
    <s v="CLIENTE"/>
    <x v="14"/>
    <s v="DK DE CLIENTE NÃO PREENCIDO / CLIENTE NÃO CONFIGURADO NO OBT"/>
    <s v="INDEFINIDO"/>
    <x v="1"/>
    <s v="COLUNA I"/>
  </r>
  <r>
    <s v="SABRE"/>
    <m/>
    <x v="2"/>
    <n v="3318350"/>
    <x v="2"/>
    <d v="2025-03-21T18:29:00"/>
    <s v="OGFJTM"/>
    <s v="OGFJTM"/>
    <s v="Não localizado cliente código [0000063625].&lt;-ObterCliente&lt;-MontarPnrBase&lt;-ProcessarAereo&lt;-ProcessarItemFila[b]"/>
    <x v="814"/>
    <m/>
    <s v="CLIENTE"/>
    <x v="13"/>
    <s v="CÓDIGO DIFERENTE DO CADASTRADO NO BENNER (CLIENTE X GRUPO)"/>
    <s v="QUALIDADE DOS DADOS"/>
    <x v="0"/>
    <n v="1"/>
  </r>
  <r>
    <s v="SABRE"/>
    <m/>
    <x v="2"/>
    <n v="3318352"/>
    <x v="2"/>
    <d v="2025-03-21T18:29:00"/>
    <s v="OQKPXZ"/>
    <s v="OQKPXZ"/>
    <s v="Não localizado cliente código [0000028612].&lt;-ObterCliente&lt;-MontarPnrBase&lt;-ProcessarAereo&lt;-ProcessarItemFila[b]"/>
    <x v="814"/>
    <m/>
    <s v="CLIENTE"/>
    <x v="13"/>
    <s v="CÓDIGO DIFERENTE DO CADASTRADO NO BENNER (CLIENTE X GRUPO)"/>
    <s v="QUALIDADE DOS DADOS"/>
    <x v="0"/>
    <n v="1"/>
  </r>
  <r>
    <s v="SABRE"/>
    <m/>
    <x v="2"/>
    <n v="3318358"/>
    <x v="2"/>
    <d v="2025-03-21T18:29:00"/>
    <s v="NOSLYE"/>
    <s v="NOSLYE"/>
    <s v="Não localizado cliente código [0000035945].&lt;-ObterCliente&lt;-MontarPnrBase&lt;-ProcessarAereo&lt;-ProcessarItemFila[b]"/>
    <x v="814"/>
    <m/>
    <s v="CLIENTE"/>
    <x v="13"/>
    <s v="CÓDIGO DIFERENTE DO CADASTRADO NO BENNER (CLIENTE X GRUPO)"/>
    <s v="QUALIDADE DOS DADOS"/>
    <x v="0"/>
    <n v="1"/>
  </r>
  <r>
    <s v="TMS"/>
    <m/>
    <x v="2"/>
    <n v="3318556"/>
    <x v="1"/>
    <d v="2025-03-21T19:33:00"/>
    <n v="3295"/>
    <n v="3295"/>
    <s v="Preenchendo XML Serviço-&gt; Preenchendo XML-&gt; Montando accounting aereo 3-&gt;Reserva GOJFNR não encontrada para importar assento/bagagem!"/>
    <x v="815"/>
    <d v="2025-03-24T20:54:00"/>
    <s v="OUTROS"/>
    <x v="15"/>
    <s v="CAMPO OBSERVAÇÃO PREENCHIDO INCORRETAMENTE"/>
    <s v="QUALIDADE DOS DADOS"/>
    <x v="1"/>
    <n v="127"/>
  </r>
  <r>
    <s v="SABRE"/>
    <m/>
    <x v="2"/>
    <n v="3318737"/>
    <x v="2"/>
    <d v="2024-09-24T15:58:00"/>
    <s v="AWBJTZ"/>
    <s v="AWBJTZ"/>
    <s v="Não localizado cliente com CNPJ [8684547000165].&lt;-ObterCliente&lt;-MontarPnrBase&lt;-ProcessarAereo&lt;-ProcessarItemFila[b]"/>
    <x v="816"/>
    <d v="2025-03-23T14:31:00"/>
    <s v="CLIENTE"/>
    <x v="12"/>
    <s v=""/>
    <s v="QUALIDADE DOS DADOS"/>
    <x v="1"/>
    <n v="24"/>
  </r>
  <r>
    <s v="SABRE"/>
    <m/>
    <x v="2"/>
    <n v="3319364"/>
    <x v="2"/>
    <d v="2025-03-24T10:46:00"/>
    <s v="NWARGH"/>
    <s v="NWARGH"/>
    <s v="Código de cliente não identificado&lt;-ObterCliente&lt;-MontarPnrBase&lt;-ProcessarAereo&lt;-ProcessarItemFila[b]"/>
    <x v="817"/>
    <m/>
    <s v="CLIENTE"/>
    <x v="14"/>
    <s v="DK DE CLIENTE NÃO PREENCIDO / CLIENTE NÃO CONFIGURADO NO OBT"/>
    <s v="INDEFINIDO"/>
    <x v="1"/>
    <s v="COLUNA I"/>
  </r>
  <r>
    <s v="SABRE"/>
    <m/>
    <x v="2"/>
    <n v="3319419"/>
    <x v="2"/>
    <d v="2025-03-24T10:56:00"/>
    <s v="YUDRLET"/>
    <s v="YUDRLE"/>
    <s v="ConverterPagamentosRemark-&gt;Input string was not in a correct format.&lt;-MontarAccountinsHotel&lt;-ProcessarHotel&lt;-ProcessarItemFila[b]"/>
    <x v="818"/>
    <m/>
    <s v="FORMA PAGTO/RECTO"/>
    <x v="2"/>
    <s v="TEXTO FORA DO PADRÃO ACEITO NO CAMPO"/>
    <s v="INDEFINIDO"/>
    <x v="0"/>
    <s v="COLUNA I"/>
  </r>
  <r>
    <s v="SABRE"/>
    <m/>
    <x v="2"/>
    <n v="3319421"/>
    <x v="2"/>
    <d v="2025-03-24T11:01:00"/>
    <s v="QVNEMIT"/>
    <s v="QVNEMI"/>
    <s v="ConverterPagamentosRemark-&gt;Input string was not in a correct format.&lt;-MontarAccountinsHotel&lt;-ProcessarHotel&lt;-ProcessarItemFila[b]"/>
    <x v="818"/>
    <m/>
    <s v="FORMA PAGTO/RECTO"/>
    <x v="2"/>
    <s v="TEXTO FORA DO PADRÃO ACEITO NO CAMPO"/>
    <s v="INDEFINIDO"/>
    <x v="0"/>
    <s v="COLUNA I"/>
  </r>
  <r>
    <s v="SABRE"/>
    <m/>
    <x v="2"/>
    <n v="3319422"/>
    <x v="2"/>
    <d v="2025-03-24T11:01:00"/>
    <s v="LGLITNT"/>
    <s v="LGLITN"/>
    <s v="ConverterPagamentosRemark-&gt;Input string was not in a correct format.&lt;-MontarAccountinsHotel&lt;-ProcessarHotel&lt;-ProcessarItemFila[b]"/>
    <x v="818"/>
    <m/>
    <s v="FORMA PAGTO/RECTO"/>
    <x v="2"/>
    <s v="TEXTO FORA DO PADRÃO ACEITO NO CAMPO"/>
    <s v="INDEFINIDO"/>
    <x v="0"/>
    <s v="COLUNA I"/>
  </r>
  <r>
    <s v="SABRE"/>
    <m/>
    <x v="2"/>
    <n v="3319423"/>
    <x v="2"/>
    <d v="2025-03-24T11:02:00"/>
    <s v="CFMUVWT"/>
    <s v="CFMUVW"/>
    <s v="ConverterPagamentosRemark-&gt;Input string was not in a correct format.&lt;-MontarAccountinsHotel&lt;-ProcessarHotel&lt;-ProcessarItemFila[b]"/>
    <x v="818"/>
    <m/>
    <s v="FORMA PAGTO/RECTO"/>
    <x v="2"/>
    <s v="TEXTO FORA DO PADRÃO ACEITO NO CAMPO"/>
    <s v="INDEFINIDO"/>
    <x v="0"/>
    <s v="COLUNA I"/>
  </r>
  <r>
    <s v="SABRE"/>
    <m/>
    <x v="2"/>
    <n v="3319424"/>
    <x v="2"/>
    <d v="2025-03-24T11:02:00"/>
    <s v="GOIXRQT"/>
    <s v="GOIXRQ"/>
    <s v="ConverterPagamentosRemark-&gt;Input string was not in a correct format.&lt;-MontarAccountinsHotel&lt;-ProcessarHotel&lt;-ProcessarItemFila[b]"/>
    <x v="818"/>
    <m/>
    <s v="FORMA PAGTO/RECTO"/>
    <x v="2"/>
    <s v="TEXTO FORA DO PADRÃO ACEITO NO CAMPO"/>
    <s v="INDEFINIDO"/>
    <x v="0"/>
    <s v="COLUNA I"/>
  </r>
  <r>
    <s v="TMS"/>
    <m/>
    <x v="2"/>
    <n v="3320202"/>
    <x v="1"/>
    <d v="2025-03-24T11:10:00"/>
    <n v="89"/>
    <n v="89"/>
    <s v="Preenchendo XML Serviço-&gt; Preenchendo XML-&gt; Montando accounting aereo 2-&gt;Não foi informado o Localizador do Assento/Bagagem!"/>
    <x v="819"/>
    <d v="2025-03-27T17:02:00"/>
    <s v="OUTROS"/>
    <x v="15"/>
    <s v="CAMPO OBSERVAÇÃO PREENCHIDO INCORRETAMENTE"/>
    <s v="QUALIDADE DOS DADOS"/>
    <x v="1"/>
    <n v="118"/>
  </r>
  <r>
    <s v="SABRE"/>
    <m/>
    <x v="2"/>
    <n v="3320224"/>
    <x v="2"/>
    <d v="2025-03-24T13:10:00"/>
    <s v="CUDIDDT"/>
    <s v="CUDIDD"/>
    <s v="ConverterPagamentosRemark-&gt;Input string was not in a correct format.&lt;-MontarAccountinsHotel&lt;-ProcessarHotel&lt;-ProcessarItemFila[b]"/>
    <x v="820"/>
    <m/>
    <s v="FORMA PAGTO/RECTO"/>
    <x v="2"/>
    <s v="TEXTO FORA DO PADRÃO ACEITO NO CAMPO"/>
    <s v="INDEFINIDO"/>
    <x v="0"/>
    <s v="COLUNA I"/>
  </r>
  <r>
    <s v="SABRE"/>
    <m/>
    <x v="2"/>
    <n v="3320495"/>
    <x v="2"/>
    <d v="2025-03-24T14:10:00"/>
    <s v="OWVTWD"/>
    <s v="OWVTWD"/>
    <s v="Não localizado cliente código [1234567890].&lt;-ObterCliente&lt;-MontarPnrBase&lt;-ProcessarAereo&lt;-ProcessarItemFila[b]"/>
    <x v="821"/>
    <m/>
    <s v="CLIENTE"/>
    <x v="13"/>
    <s v="CÓDIGO DIFERENTE DO CADASTRADO NO BENNER (CLIENTE X GRUPO)"/>
    <s v="QUALIDADE DOS DADOS"/>
    <x v="0"/>
    <n v="1"/>
  </r>
  <r>
    <s v="SABRE"/>
    <m/>
    <x v="2"/>
    <n v="3320544"/>
    <x v="2"/>
    <d v="2025-03-25T06:14:00"/>
    <s v="CTDAIP"/>
    <s v="CTDAIP"/>
    <s v="ERRO: Cancelamento de Venda: Não há PNR no sistema para cancelar, venda não inserida!"/>
    <x v="822"/>
    <d v="2025-03-25T08:22:00"/>
    <s v="CANCELAMENTO"/>
    <x v="6"/>
    <s v="RESERVA CANCELADA NO OBT"/>
    <s v="SISTEMA"/>
    <x v="0"/>
    <s v="COLUNA I"/>
  </r>
  <r>
    <s v="SABRE"/>
    <m/>
    <x v="2"/>
    <n v="3321185"/>
    <x v="2"/>
    <d v="2025-03-24T18:07:00"/>
    <s v="EJEVHK"/>
    <s v="EJEVHK"/>
    <s v="Não localizado cliente código [0000583808].&lt;-ObterCliente&lt;-MontarPnrBase&lt;-ProcessarAereo&lt;-ProcessarItemFila[b]"/>
    <x v="823"/>
    <m/>
    <s v="CLIENTE"/>
    <x v="13"/>
    <s v="CÓDIGO DIFERENTE DO CADASTRADO NO BENNER (CLIENTE X GRUPO)"/>
    <s v="QUALIDADE DOS DADOS"/>
    <x v="0"/>
    <n v="1"/>
  </r>
  <r>
    <s v="SABRE"/>
    <m/>
    <x v="2"/>
    <n v="3321198"/>
    <x v="2"/>
    <d v="2025-03-24T18:07:00"/>
    <s v="EQFNWZ"/>
    <s v="EQFNWZ"/>
    <s v="Não localizado cliente código [0000583831].&lt;-ObterCliente&lt;-MontarPnrBase&lt;-ProcessarAereo&lt;-ProcessarItemFila[b]"/>
    <x v="824"/>
    <m/>
    <s v="CLIENTE"/>
    <x v="13"/>
    <s v="CÓDIGO DIFERENTE DO CADASTRADO NO BENNER (CLIENTE X GRUPO)"/>
    <s v="QUALIDADE DOS DADOS"/>
    <x v="0"/>
    <n v="1"/>
  </r>
  <r>
    <s v="SABRE"/>
    <m/>
    <x v="2"/>
    <n v="3321221"/>
    <x v="2"/>
    <d v="2025-03-24T18:07:00"/>
    <s v="OWRJHC"/>
    <s v="OWRJHC"/>
    <s v="Não localizado cliente código [0000583831].&lt;-ObterCliente&lt;-MontarPnrBase&lt;-ProcessarAereo&lt;-ProcessarItemFila[b]"/>
    <x v="825"/>
    <m/>
    <s v="CLIENTE"/>
    <x v="13"/>
    <s v="CÓDIGO DIFERENTE DO CADASTRADO NO BENNER (CLIENTE X GRUPO)"/>
    <s v="QUALIDADE DOS DADOS"/>
    <x v="0"/>
    <n v="1"/>
  </r>
  <r>
    <s v="SABRE"/>
    <m/>
    <x v="2"/>
    <n v="3321256"/>
    <x v="2"/>
    <d v="2025-03-25T07:18:00"/>
    <s v="NIFGKW"/>
    <s v="NIFGKW"/>
    <s v="Código de cliente não identificado&lt;-ObterCliente&lt;-MontarPnrBase&lt;-ProcessarAereo&lt;-ProcessarItemFila[b]"/>
    <x v="826"/>
    <d v="2025-03-25T09:34:00"/>
    <s v="CLIENTE"/>
    <x v="14"/>
    <s v="DK DE CLIENTE NÃO PREENCIDO / CLIENTE NÃO CONFIGURADO NO OBT"/>
    <s v="INDEFINIDO"/>
    <x v="1"/>
    <s v="COLUNA I"/>
  </r>
  <r>
    <s v="TMS"/>
    <m/>
    <x v="2"/>
    <n v="3321638"/>
    <x v="1"/>
    <d v="2025-03-24T16:06:00"/>
    <n v="55010"/>
    <n v="55010"/>
    <s v="Preenchendo XML Serviço-&gt; Preenchendo XML-&gt; Montando accounting aereo 2-&gt;Não foi informado o Localizador do Assento/Bagagem!"/>
    <x v="827"/>
    <d v="2025-03-27T16:57:00"/>
    <s v="OUTROS"/>
    <x v="15"/>
    <s v="CAMPO OBSERVAÇÃO PREENCHIDO INCORRETAMENTE"/>
    <s v="QUALIDADE DOS DADOS"/>
    <x v="1"/>
    <n v="118"/>
  </r>
  <r>
    <s v="SABRE"/>
    <m/>
    <x v="2"/>
    <n v="3322021"/>
    <x v="2"/>
    <d v="2025-03-25T07:48:00"/>
    <s v="KVRBSKT"/>
    <s v="KVRBSK"/>
    <s v="ConverterPagamentosRemark-&gt;Input string was not in a correct format.&lt;-MontarAccountinsHotel&lt;-ProcessarHotel&lt;-ProcessarItemFila[b]"/>
    <x v="828"/>
    <m/>
    <s v="FORMA PAGTO/RECTO"/>
    <x v="2"/>
    <s v="TEXTO FORA DO PADRÃO ACEITO NO CAMPO"/>
    <s v="INDEFINIDO"/>
    <x v="0"/>
    <s v="COLUNA I"/>
  </r>
  <r>
    <s v="SABRE"/>
    <m/>
    <x v="2"/>
    <n v="3322160"/>
    <x v="2"/>
    <d v="2025-03-25T09:29:00"/>
    <s v="OHHGQV"/>
    <s v="OHHGQV"/>
    <s v="Não localizado cliente código [0000583808].&lt;-ObterCliente&lt;-MontarPnrBase&lt;-ProcessarAereo&lt;-ProcessarItemFila[b]"/>
    <x v="829"/>
    <m/>
    <s v="CLIENTE"/>
    <x v="13"/>
    <s v="CÓDIGO DIFERENTE DO CADASTRADO NO BENNER (CLIENTE X GRUPO)"/>
    <s v="QUALIDADE DOS DADOS"/>
    <x v="0"/>
    <n v="1"/>
  </r>
  <r>
    <s v="SABRE"/>
    <m/>
    <x v="2"/>
    <n v="3322162"/>
    <x v="2"/>
    <d v="2025-03-25T09:29:00"/>
    <s v="CALNOD"/>
    <s v="CALNOD"/>
    <s v="Código de cliente não identificado&lt;-ObterCliente&lt;-MontarPnrBase&lt;-ProcessarAereo&lt;-ProcessarItemFila[b]"/>
    <x v="829"/>
    <m/>
    <s v="CLIENTE"/>
    <x v="14"/>
    <s v="DK DE CLIENTE NÃO PREENCIDO / CLIENTE NÃO CONFIGURADO NO OBT"/>
    <s v="INDEFINIDO"/>
    <x v="1"/>
    <s v="COLUNA I"/>
  </r>
  <r>
    <s v="SABRE"/>
    <m/>
    <x v="2"/>
    <n v="3322168"/>
    <x v="2"/>
    <d v="2025-03-25T09:29:00"/>
    <s v="QNPDJQ"/>
    <s v="QNPDJQ"/>
    <s v="Não localizado cliente código [0000583808].&lt;-ObterCliente&lt;-MontarPnrBase&lt;-ProcessarAereo&lt;-ProcessarItemFila[b]"/>
    <x v="830"/>
    <m/>
    <s v="CLIENTE"/>
    <x v="13"/>
    <s v="CÓDIGO DIFERENTE DO CADASTRADO NO BENNER (CLIENTE X GRUPO)"/>
    <s v="QUALIDADE DOS DADOS"/>
    <x v="0"/>
    <n v="1"/>
  </r>
  <r>
    <s v="SABRE"/>
    <m/>
    <x v="2"/>
    <n v="3322169"/>
    <x v="2"/>
    <d v="2025-03-25T09:29:00"/>
    <s v="ENETZP"/>
    <s v="ENETZP"/>
    <s v="Código de cliente não identificado&lt;-ObterCliente&lt;-MontarPnrBase&lt;-ProcessarAereo&lt;-ProcessarItemFila[b]"/>
    <x v="830"/>
    <m/>
    <s v="CLIENTE"/>
    <x v="14"/>
    <s v="DK DE CLIENTE NÃO PREENCIDO / CLIENTE NÃO CONFIGURADO NO OBT"/>
    <s v="INDEFINIDO"/>
    <x v="1"/>
    <s v="COLUNA I"/>
  </r>
  <r>
    <s v="SABRE"/>
    <m/>
    <x v="2"/>
    <n v="3322173"/>
    <x v="2"/>
    <d v="2025-03-25T09:29:00"/>
    <s v="GBBXTS"/>
    <s v="GBBXTS"/>
    <s v="Não localizado cliente código [0000583808].&lt;-ObterCliente&lt;-MontarPnrBase&lt;-ProcessarAereo&lt;-ProcessarItemFila[b]"/>
    <x v="830"/>
    <m/>
    <s v="CLIENTE"/>
    <x v="13"/>
    <s v="CÓDIGO DIFERENTE DO CADASTRADO NO BENNER (CLIENTE X GRUPO)"/>
    <s v="QUALIDADE DOS DADOS"/>
    <x v="0"/>
    <n v="1"/>
  </r>
  <r>
    <s v="TMS"/>
    <m/>
    <x v="2"/>
    <n v="3322806"/>
    <x v="1"/>
    <d v="2025-03-25T09:38:00"/>
    <n v="55921"/>
    <n v="55921"/>
    <s v="Preenchendo XML Serviço-&gt; Preenchendo XML-&gt; Montando accounting aereo 2-&gt;Não foi informado o Localizador do Assento/Bagagem!"/>
    <x v="831"/>
    <d v="2025-03-28T22:14:00"/>
    <s v="OUTROS"/>
    <x v="15"/>
    <s v="CAMPO OBSERVAÇÃO PREENCHIDO INCORRETAMENTE"/>
    <s v="QUALIDADE DOS DADOS"/>
    <x v="1"/>
    <n v="118"/>
  </r>
  <r>
    <s v="SABRE"/>
    <m/>
    <x v="2"/>
    <n v="3323109"/>
    <x v="2"/>
    <d v="2025-03-28T05:49:00"/>
    <s v="STBRVD"/>
    <s v="STBRVD"/>
    <s v="Não localizado cliente código [0000050269].&lt;-ObterCliente&lt;-MontarPnrBase&lt;-ProcessarAereo&lt;-ProcessarItemFila[b]"/>
    <x v="832"/>
    <d v="2025-03-28T08:04:00"/>
    <s v="CLIENTE"/>
    <x v="13"/>
    <s v="CÓDIGO DIFERENTE DO CADASTRADO NO BENNER (CLIENTE X GRUPO)"/>
    <s v="QUALIDADE DOS DADOS"/>
    <x v="0"/>
    <n v="1"/>
  </r>
  <r>
    <s v="SABRE"/>
    <m/>
    <x v="2"/>
    <n v="3323654"/>
    <x v="2"/>
    <d v="2025-03-25T16:17:00"/>
    <s v="JUSFLH"/>
    <s v="JUSFLH"/>
    <s v="Não localizado cliente código [0000063625].&lt;-ObterCliente&lt;-MontarPnrBase&lt;-ProcessarAereo&lt;-ProcessarItemFila[b]"/>
    <x v="833"/>
    <m/>
    <s v="CLIENTE"/>
    <x v="13"/>
    <s v="CÓDIGO DIFERENTE DO CADASTRADO NO BENNER (CLIENTE X GRUPO)"/>
    <s v="QUALIDADE DOS DADOS"/>
    <x v="0"/>
    <n v="1"/>
  </r>
  <r>
    <s v="SABRE"/>
    <m/>
    <x v="2"/>
    <n v="3323892"/>
    <x v="2"/>
    <d v="2025-03-26T09:41:00"/>
    <s v="MGIBJI"/>
    <s v="MGIBJI"/>
    <s v="Não localizado cliente código [0000063625].&lt;-ObterCliente&lt;-MontarPnrBase&lt;-ProcessarAereo&lt;-ProcessarItemFila[b]"/>
    <x v="834"/>
    <d v="2025-03-26T11:51:00"/>
    <s v="CLIENTE"/>
    <x v="13"/>
    <s v="CÓDIGO DIFERENTE DO CADASTRADO NO BENNER (CLIENTE X GRUPO)"/>
    <s v="QUALIDADE DOS DADOS"/>
    <x v="0"/>
    <n v="1"/>
  </r>
  <r>
    <s v="SABRE"/>
    <m/>
    <x v="2"/>
    <n v="3323894"/>
    <x v="2"/>
    <d v="2025-03-25T18:08:00"/>
    <s v="GSIXAV"/>
    <s v="GSIXAV"/>
    <s v="Código de cliente não identificado&lt;-ObterCliente&lt;-MontarPnrBase&lt;-ProcessarAereo&lt;-ProcessarItemFila[b]"/>
    <x v="834"/>
    <m/>
    <s v="CLIENTE"/>
    <x v="14"/>
    <s v="DK DE CLIENTE NÃO PREENCIDO / CLIENTE NÃO CONFIGURADO NO OBT"/>
    <s v="INDEFINIDO"/>
    <x v="1"/>
    <s v="COLUNA I"/>
  </r>
  <r>
    <s v="TMS"/>
    <m/>
    <x v="2"/>
    <n v="3323909"/>
    <x v="1"/>
    <d v="2025-03-25T17:45:00"/>
    <n v="5773"/>
    <n v="5773"/>
    <s v="Preenchendo XML Serviço-&gt; Preenchendo XML-&gt; Montando accounting aereo 2-&gt;Não foi informado o Localizador do Assento/Bagagem!"/>
    <x v="835"/>
    <d v="2025-03-28T21:27:00"/>
    <s v="OUTROS"/>
    <x v="15"/>
    <s v="CAMPO OBSERVAÇÃO PREENCHIDO INCORRETAMENTE"/>
    <s v="QUALIDADE DOS DADOS"/>
    <x v="1"/>
    <n v="118"/>
  </r>
  <r>
    <s v="SABRE"/>
    <m/>
    <x v="2"/>
    <n v="3323956"/>
    <x v="2"/>
    <d v="2025-02-27T06:23:00"/>
    <s v="ASTLWKT"/>
    <s v="ASTLWK"/>
    <s v="ConverterPagamentosRemark-&gt;Input string was not in a correct format.&lt;-MontarAccountinsHotel&lt;-ProcessarHotel&lt;-ProcessarItemFila[b]"/>
    <x v="836"/>
    <m/>
    <s v="FORMA PAGTO/RECTO"/>
    <x v="2"/>
    <s v="TEXTO FORA DO PADRÃO ACEITO NO CAMPO"/>
    <s v="INDEFINIDO"/>
    <x v="0"/>
    <s v="COLUNA I"/>
  </r>
  <r>
    <s v="SABRE"/>
    <m/>
    <x v="2"/>
    <n v="3323957"/>
    <x v="2"/>
    <d v="2025-03-20T07:50:00"/>
    <s v="CFSYRLT"/>
    <s v="CFSYRL"/>
    <s v="ConverterPagamentosRemark-&gt;Input string was not in a correct format.&lt;-MontarAccountinsHotel&lt;-ProcessarHotel&lt;-ProcessarItemFila[b]"/>
    <x v="836"/>
    <m/>
    <s v="FORMA PAGTO/RECTO"/>
    <x v="2"/>
    <s v="TEXTO FORA DO PADRÃO ACEITO NO CAMPO"/>
    <s v="INDEFINIDO"/>
    <x v="0"/>
    <s v="COLUNA I"/>
  </r>
  <r>
    <s v="RESOLVIDO"/>
    <m/>
    <x v="1"/>
    <n v="3324615"/>
    <x v="1"/>
    <d v="2025-03-25T18:42:00"/>
    <n v="11424"/>
    <n v="11424"/>
    <s v="Preenchendo XML Carro-&gt; Preenchendo XML-&gt; Montando accounting carro-&gt;Fornecedor com o código 415368  informado nos campos gerenciais não encontrado!"/>
    <x v="837"/>
    <d v="2025-03-28T22:16:00"/>
    <s v="FORNECEDOR"/>
    <x v="10"/>
    <s v="CONTRATO INATIVO OU DIVERGENTE"/>
    <s v="SISTEMA"/>
    <x v="1"/>
    <n v="69"/>
  </r>
  <r>
    <s v="SABRE"/>
    <m/>
    <x v="2"/>
    <n v="3324885"/>
    <x v="2"/>
    <d v="2025-03-26T09:43:00"/>
    <s v="UDIXAP"/>
    <s v="UDIXAP"/>
    <s v="Não localizado cliente código [0000071989].&lt;-ObterCliente&lt;-MontarPnrBase&lt;-ProcessarAereo&lt;-ProcessarItemFila[b]"/>
    <x v="838"/>
    <d v="2025-03-26T11:51:00"/>
    <s v="CLIENTE"/>
    <x v="13"/>
    <s v="CÓDIGO DIFERENTE DO CADASTRADO NO BENNER (CLIENTE X GRUPO)"/>
    <s v="QUALIDADE DOS DADOS"/>
    <x v="0"/>
    <n v="1"/>
  </r>
  <r>
    <s v="SABRE"/>
    <m/>
    <x v="2"/>
    <n v="3324894"/>
    <x v="2"/>
    <d v="2025-03-26T07:31:00"/>
    <s v="APSUYI"/>
    <s v="APSUYI"/>
    <s v="ERRO: Cancelamento de Venda: Não há PNR no sistema para cancelar, venda não inserida!"/>
    <x v="839"/>
    <m/>
    <s v="CANCELAMENTO"/>
    <x v="6"/>
    <s v="RESERVA CANCELADA NO OBT"/>
    <s v="SISTEMA"/>
    <x v="0"/>
    <s v="COLUNA I"/>
  </r>
  <r>
    <s v="SABRE"/>
    <m/>
    <x v="2"/>
    <n v="3324901"/>
    <x v="2"/>
    <d v="2025-03-26T07:45:00"/>
    <s v="MIEATET"/>
    <s v="MIEATE"/>
    <s v="ConverterPagamentosRemark-&gt;Input string was not in a correct format.&lt;-MontarAccountinsHotel&lt;-ProcessarHotel&lt;-ProcessarItemFila[b]"/>
    <x v="840"/>
    <m/>
    <s v="FORMA PAGTO/RECTO"/>
    <x v="2"/>
    <s v="TEXTO FORA DO PADRÃO ACEITO NO CAMPO"/>
    <s v="INDEFINIDO"/>
    <x v="0"/>
    <s v="COLUNA I"/>
  </r>
  <r>
    <s v="SABRE"/>
    <m/>
    <x v="2"/>
    <n v="3324931"/>
    <x v="2"/>
    <d v="2025-03-26T07:50:00"/>
    <s v="HPTFQOT"/>
    <s v="HPTFQO"/>
    <s v="ConverterPagamentosRemark-&gt;Input string was not in a correct format.&lt;-MontarAccountinsHotel&lt;-ProcessarHotel&lt;-ProcessarItemFila[b]"/>
    <x v="841"/>
    <m/>
    <s v="FORMA PAGTO/RECTO"/>
    <x v="2"/>
    <s v="TEXTO FORA DO PADRÃO ACEITO NO CAMPO"/>
    <s v="INDEFINIDO"/>
    <x v="0"/>
    <s v="COLUNA I"/>
  </r>
  <r>
    <s v="SABRE"/>
    <m/>
    <x v="2"/>
    <n v="3325087"/>
    <x v="2"/>
    <d v="2025-03-28T05:49:00"/>
    <s v="GOXTON"/>
    <s v="GOXTON"/>
    <s v="Não localizado cliente código [0000068777].&lt;-ObterCliente&lt;-MontarPnrBase&lt;-ProcessarAereo&lt;-ProcessarItemFila[b]"/>
    <x v="842"/>
    <d v="2025-03-28T08:05:00"/>
    <s v="CLIENTE"/>
    <x v="13"/>
    <s v="CÓDIGO DIFERENTE DO CADASTRADO NO BENNER (CLIENTE X GRUPO)"/>
    <s v="QUALIDADE DOS DADOS"/>
    <x v="0"/>
    <n v="1"/>
  </r>
  <r>
    <s v="SABRE"/>
    <m/>
    <x v="2"/>
    <n v="3325110"/>
    <x v="2"/>
    <d v="2025-03-26T09:33:00"/>
    <s v="HIKQNI"/>
    <s v="HIKQNI"/>
    <s v="Não localizado cliente código [0000028612].&lt;-ObterCliente&lt;-MontarPnrBase&lt;-ProcessarAereo&lt;-ProcessarItemFila[b]"/>
    <x v="843"/>
    <m/>
    <s v="CLIENTE"/>
    <x v="13"/>
    <s v="CÓDIGO DIFERENTE DO CADASTRADO NO BENNER (CLIENTE X GRUPO)"/>
    <s v="QUALIDADE DOS DADOS"/>
    <x v="0"/>
    <n v="1"/>
  </r>
  <r>
    <s v="SABRE"/>
    <m/>
    <x v="2"/>
    <n v="3325112"/>
    <x v="2"/>
    <d v="2025-03-26T09:33:00"/>
    <s v="SZVRLP"/>
    <s v="SZVRLP"/>
    <s v="Não localizado cliente código [0000035405].&lt;-ObterCliente&lt;-MontarPnrBase&lt;-ProcessarAereo&lt;-ProcessarItemFila[b]"/>
    <x v="844"/>
    <m/>
    <s v="CLIENTE"/>
    <x v="13"/>
    <s v="CÓDIGO DIFERENTE DO CADASTRADO NO BENNER (CLIENTE X GRUPO)"/>
    <s v="QUALIDADE DOS DADOS"/>
    <x v="0"/>
    <n v="1"/>
  </r>
  <r>
    <s v="SABRE"/>
    <m/>
    <x v="2"/>
    <n v="3325118"/>
    <x v="2"/>
    <d v="2025-03-26T09:33:00"/>
    <s v="MBBEDJ"/>
    <s v="MBBEDJ"/>
    <s v="Código de cliente não identificado&lt;-ObterCliente&lt;-MontarPnrBase&lt;-ProcessarAereo&lt;-ProcessarItemFila[b]"/>
    <x v="844"/>
    <m/>
    <s v="CLIENTE"/>
    <x v="14"/>
    <s v="DK DE CLIENTE NÃO PREENCIDO / CLIENTE NÃO CONFIGURADO NO OBT"/>
    <s v="INDEFINIDO"/>
    <x v="1"/>
    <s v="COLUNA I"/>
  </r>
  <r>
    <s v="SABRE"/>
    <m/>
    <x v="2"/>
    <n v="3325179"/>
    <x v="2"/>
    <d v="2025-03-26T10:22:00"/>
    <s v="UPLYKT"/>
    <s v="UPLYKT"/>
    <s v="Código de cliente não identificado&lt;-ObterCliente&lt;-MontarPnrBase&lt;-ProcessarAereo&lt;-ProcessarItemFila[b]"/>
    <x v="845"/>
    <m/>
    <s v="CLIENTE"/>
    <x v="14"/>
    <s v="DK DE CLIENTE NÃO PREENCIDO / CLIENTE NÃO CONFIGURADO NO OBT"/>
    <s v="INDEFINIDO"/>
    <x v="1"/>
    <s v="COLUNA I"/>
  </r>
  <r>
    <s v="SABRE"/>
    <m/>
    <x v="2"/>
    <n v="3325180"/>
    <x v="2"/>
    <d v="2025-03-26T10:22:00"/>
    <s v="FXIWRE"/>
    <s v="FXIWRE"/>
    <s v="Código de cliente não identificado&lt;-ObterCliente&lt;-MontarPnrBase&lt;-ProcessarAereo&lt;-ProcessarItemFila[b]"/>
    <x v="845"/>
    <m/>
    <s v="CLIENTE"/>
    <x v="14"/>
    <s v="DK DE CLIENTE NÃO PREENCIDO / CLIENTE NÃO CONFIGURADO NO OBT"/>
    <s v="INDEFINIDO"/>
    <x v="1"/>
    <s v="COLUNA I"/>
  </r>
  <r>
    <s v="SABRE"/>
    <m/>
    <x v="2"/>
    <n v="3325224"/>
    <x v="2"/>
    <d v="2025-03-26T10:54:00"/>
    <s v="SINCNIT"/>
    <s v="SINCNI"/>
    <s v="ConverterPagamentosRemark-&gt;Input string was not in a correct format.&lt;-MontarAccountinsHotel&lt;-ProcessarHotel&lt;-ProcessarItemFila[b]"/>
    <x v="846"/>
    <m/>
    <s v="FORMA PAGTO/RECTO"/>
    <x v="2"/>
    <s v="TEXTO FORA DO PADRÃO ACEITO NO CAMPO"/>
    <s v="INDEFINIDO"/>
    <x v="0"/>
    <s v="COLUNA I"/>
  </r>
  <r>
    <s v="SABRE"/>
    <m/>
    <x v="2"/>
    <n v="3326508"/>
    <x v="2"/>
    <d v="2025-03-26T15:54:00"/>
    <s v="MUUQWJ"/>
    <s v="MUUQWJ"/>
    <s v="Não localizado cliente código [0000583808].&lt;-ObterCliente&lt;-MontarPnrBase&lt;-ProcessarAereo&lt;-ProcessarItemFila[b]"/>
    <x v="847"/>
    <m/>
    <s v="CLIENTE"/>
    <x v="13"/>
    <s v="CÓDIGO DIFERENTE DO CADASTRADO NO BENNER (CLIENTE X GRUPO)"/>
    <s v="QUALIDADE DOS DADOS"/>
    <x v="0"/>
    <n v="1"/>
  </r>
  <r>
    <s v="SABRE"/>
    <m/>
    <x v="2"/>
    <n v="3326514"/>
    <x v="2"/>
    <d v="2025-03-26T15:54:00"/>
    <s v="SZKBQS"/>
    <s v="SZKBQS"/>
    <s v="Não localizado cliente código [0000583808].&lt;-ObterCliente&lt;-MontarPnrBase&lt;-ProcessarAereo&lt;-ProcessarItemFila[b]"/>
    <x v="848"/>
    <m/>
    <s v="CLIENTE"/>
    <x v="13"/>
    <s v="CÓDIGO DIFERENTE DO CADASTRADO NO BENNER (CLIENTE X GRUPO)"/>
    <s v="QUALIDADE DOS DADOS"/>
    <x v="0"/>
    <n v="1"/>
  </r>
  <r>
    <s v="SABRE"/>
    <m/>
    <x v="2"/>
    <n v="3326520"/>
    <x v="2"/>
    <d v="2025-03-26T15:54:00"/>
    <s v="DUROZP"/>
    <s v="DUROZP"/>
    <s v="Não localizado cliente código [0000583808].&lt;-ObterCliente&lt;-MontarPnrBase&lt;-ProcessarAereo&lt;-ProcessarItemFila[b]"/>
    <x v="849"/>
    <m/>
    <s v="CLIENTE"/>
    <x v="13"/>
    <s v="CÓDIGO DIFERENTE DO CADASTRADO NO BENNER (CLIENTE X GRUPO)"/>
    <s v="QUALIDADE DOS DADOS"/>
    <x v="0"/>
    <n v="1"/>
  </r>
  <r>
    <s v="SABRE"/>
    <m/>
    <x v="2"/>
    <n v="3326549"/>
    <x v="2"/>
    <d v="2025-03-28T10:36:00"/>
    <s v="FNTLRP"/>
    <s v="FNTLRP"/>
    <s v="Código de cliente não identificado&lt;-ObterCliente&lt;-MontarPnrBase&lt;-ProcessarAereo&lt;-ProcessarItemFila[b]"/>
    <x v="850"/>
    <d v="2025-03-28T12:46:00"/>
    <s v="CLIENTE"/>
    <x v="14"/>
    <s v="DK DE CLIENTE NÃO PREENCIDO / CLIENTE NÃO CONFIGURADO NO OBT"/>
    <s v="INDEFINIDO"/>
    <x v="1"/>
    <s v="COLUNA I"/>
  </r>
  <r>
    <s v="SABRE"/>
    <m/>
    <x v="2"/>
    <n v="3326652"/>
    <x v="2"/>
    <d v="2025-03-26T15:54:00"/>
    <s v="FJCWSU"/>
    <s v="FJCWSU"/>
    <s v="Não localizado cliente código [0000583831].&lt;-ObterCliente&lt;-MontarPnrBase&lt;-ProcessarAereo&lt;-ProcessarItemFila[b]"/>
    <x v="851"/>
    <m/>
    <s v="CLIENTE"/>
    <x v="13"/>
    <s v="CÓDIGO DIFERENTE DO CADASTRADO NO BENNER (CLIENTE X GRUPO)"/>
    <s v="QUALIDADE DOS DADOS"/>
    <x v="0"/>
    <n v="1"/>
  </r>
  <r>
    <s v="TMS"/>
    <m/>
    <x v="2"/>
    <n v="3327361"/>
    <x v="1"/>
    <d v="2025-03-26T15:21:00"/>
    <n v="11473"/>
    <n v="11473"/>
    <s v="Preenchendo XML Serviço-&gt; Preenchendo XML-&gt; Montando accounting aereo 2-&gt;Não foi informado o Localizador do Assento/Bagagem!"/>
    <x v="852"/>
    <d v="2025-03-29T21:54:00"/>
    <s v="OUTROS"/>
    <x v="15"/>
    <s v="CAMPO OBSERVAÇÃO PREENCHIDO INCORRETAMENTE"/>
    <s v="QUALIDADE DOS DADOS"/>
    <x v="1"/>
    <n v="118"/>
  </r>
  <r>
    <s v="RESOLVIDO"/>
    <m/>
    <x v="1"/>
    <n v="3328206"/>
    <x v="1"/>
    <d v="2025-03-27T13:10:00"/>
    <n v="5592"/>
    <n v="5592"/>
    <s v="Inserindo PNR - Accountings - TurVendas - Não foi possível localizar o contrato do fornecedor XZ"/>
    <x v="853"/>
    <d v="2025-03-30T22:06:00"/>
    <s v="FORNECEDOR"/>
    <x v="10"/>
    <s v="CONTRATO INATIVO OU DIVERGENTE"/>
    <s v="SISTEMA"/>
    <x v="1"/>
    <n v="43"/>
  </r>
  <r>
    <s v="TMS"/>
    <m/>
    <x v="2"/>
    <n v="3328823"/>
    <x v="1"/>
    <d v="2025-03-27T14:16:00"/>
    <n v="56820"/>
    <n v="56820"/>
    <s v="Preenchendo XML Serviço-&gt; Preenchendo XML-&gt; Montando accounting aereo 2-&gt;Não foi informado o Localizador do Assento/Bagagem!"/>
    <x v="854"/>
    <d v="2025-03-30T22:09:00"/>
    <s v="OUTROS"/>
    <x v="15"/>
    <s v="CAMPO OBSERVAÇÃO PREENCHIDO INCORRETAMENTE"/>
    <s v="QUALIDADE DOS DADOS"/>
    <x v="1"/>
    <n v="118"/>
  </r>
  <r>
    <s v="TMS"/>
    <m/>
    <x v="2"/>
    <n v="3328829"/>
    <x v="1"/>
    <d v="2025-03-27T14:14:00"/>
    <n v="56799"/>
    <n v="56799"/>
    <s v="Preenchendo XML Serviço-&gt; Preenchendo XML-&gt; Montando accounting aereo 2-&gt;Não foi informado o Localizador do Assento/Bagagem!"/>
    <x v="854"/>
    <d v="2025-03-30T22:09:00"/>
    <s v="OUTROS"/>
    <x v="15"/>
    <s v="CAMPO OBSERVAÇÃO PREENCHIDO INCORRETAMENTE"/>
    <s v="QUALIDADE DOS DADOS"/>
    <x v="1"/>
    <n v="118"/>
  </r>
  <r>
    <s v="SABRE"/>
    <m/>
    <x v="2"/>
    <n v="3328866"/>
    <x v="2"/>
    <d v="2025-03-27T08:38:00"/>
    <s v="GNIKWK"/>
    <s v="GNIKWK"/>
    <s v="Não localizado cliente código [0000050269].&lt;-ObterCliente&lt;-MontarPnrBase&lt;-ProcessarAereo&lt;-ProcessarItemFila[b]"/>
    <x v="855"/>
    <m/>
    <s v="CLIENTE"/>
    <x v="13"/>
    <s v="CÓDIGO DIFERENTE DO CADASTRADO NO BENNER (CLIENTE X GRUPO)"/>
    <s v="QUALIDADE DOS DADOS"/>
    <x v="0"/>
    <n v="1"/>
  </r>
  <r>
    <s v="SABRE"/>
    <m/>
    <x v="2"/>
    <n v="3328867"/>
    <x v="2"/>
    <d v="2025-04-07T06:15:00"/>
    <s v="KLEUMP"/>
    <s v="KLEUMP"/>
    <s v="Não localizado cliente código [0000068777].&lt;-ObterCliente&lt;-MontarPnrBase&lt;-ProcessarAereo&lt;-ProcessarItemFila[b]"/>
    <x v="855"/>
    <d v="2025-04-07T08:21:00"/>
    <s v="CLIENTE"/>
    <x v="13"/>
    <s v="CÓDIGO DIFERENTE DO CADASTRADO NO BENNER (CLIENTE X GRUPO)"/>
    <s v="QUALIDADE DOS DADOS"/>
    <x v="0"/>
    <n v="1"/>
  </r>
  <r>
    <s v="SABRE"/>
    <m/>
    <x v="2"/>
    <n v="3328873"/>
    <x v="2"/>
    <d v="2025-03-27T09:03:00"/>
    <s v="KMIILV"/>
    <s v="KMIILV"/>
    <s v="Não localizado cliente código [0123456789].&lt;-ObterCliente&lt;-MontarPnrBase&lt;-ProcessarAereo&lt;-ProcessarItemFila[b]"/>
    <x v="855"/>
    <m/>
    <s v="CLIENTE"/>
    <x v="13"/>
    <s v="CÓDIGO DIFERENTE DO CADASTRADO NO BENNER (CLIENTE X GRUPO)"/>
    <s v="QUALIDADE DOS DADOS"/>
    <x v="0"/>
    <n v="1"/>
  </r>
  <r>
    <s v="SABRE"/>
    <m/>
    <x v="2"/>
    <n v="3329049"/>
    <x v="2"/>
    <d v="2025-03-27T11:23:00"/>
    <s v="SLDJDZT"/>
    <s v="SLDJDZ"/>
    <s v="ConverterPagamentosRemark-&gt;Input string was not in a correct format.&lt;-MontarAccountinsHotel&lt;-ProcessarHotel&lt;-ProcessarItemFila[b]"/>
    <x v="856"/>
    <m/>
    <s v="FORMA PAGTO/RECTO"/>
    <x v="2"/>
    <s v="TEXTO FORA DO PADRÃO ACEITO NO CAMPO"/>
    <s v="INDEFINIDO"/>
    <x v="0"/>
    <s v="COLUNA I"/>
  </r>
  <r>
    <s v="SABRE"/>
    <m/>
    <x v="2"/>
    <n v="3329547"/>
    <x v="2"/>
    <d v="2025-03-28T09:51:00"/>
    <s v="DOEMED"/>
    <s v="DOEMED"/>
    <s v="Código de cliente não identificado&lt;-ObterCliente&lt;-MontarPnrBase&lt;-ProcessarAereo&lt;-ProcessarItemFila[b]"/>
    <x v="857"/>
    <d v="2025-03-28T12:02:00"/>
    <s v="CLIENTE"/>
    <x v="14"/>
    <s v="DK DE CLIENTE NÃO PREENCIDO / CLIENTE NÃO CONFIGURADO NO OBT"/>
    <s v="INDEFINIDO"/>
    <x v="1"/>
    <s v="COLUNA I"/>
  </r>
  <r>
    <s v="SABRE"/>
    <m/>
    <x v="2"/>
    <n v="3329549"/>
    <x v="2"/>
    <d v="2025-03-28T14:49:00"/>
    <s v="FPAGSL"/>
    <s v="FPAGSL"/>
    <s v="Código de cliente não identificado&lt;-ObterCliente&lt;-MontarPnrBase&lt;-ProcessarAereo&lt;-ProcessarItemFila[b]"/>
    <x v="858"/>
    <d v="2025-03-28T17:04:00"/>
    <s v="CLIENTE"/>
    <x v="14"/>
    <s v="DK DE CLIENTE NÃO PREENCIDO / CLIENTE NÃO CONFIGURADO NO OBT"/>
    <s v="INDEFINIDO"/>
    <x v="1"/>
    <s v="COLUNA I"/>
  </r>
  <r>
    <s v="SABRE"/>
    <m/>
    <x v="2"/>
    <n v="3329551"/>
    <x v="2"/>
    <d v="2025-03-28T14:50:00"/>
    <s v="DKCHWS"/>
    <s v="DKCHWS"/>
    <s v="Código de cliente não identificado&lt;-ObterCliente&lt;-MontarPnrBase&lt;-ProcessarAereo&lt;-ProcessarItemFila[b]"/>
    <x v="858"/>
    <d v="2025-03-28T17:04:00"/>
    <s v="CLIENTE"/>
    <x v="14"/>
    <s v="DK DE CLIENTE NÃO PREENCIDO / CLIENTE NÃO CONFIGURADO NO OBT"/>
    <s v="INDEFINIDO"/>
    <x v="1"/>
    <s v="COLUNA I"/>
  </r>
  <r>
    <s v="SABRE"/>
    <m/>
    <x v="2"/>
    <n v="3329555"/>
    <x v="2"/>
    <d v="2025-03-27T18:09:00"/>
    <s v="QHSBGW"/>
    <s v="QHSBGW"/>
    <s v="Código de cliente não identificado&lt;-ObterCliente&lt;-MontarPnrBase&lt;-ProcessarAereo&lt;-ProcessarItemFila[b]"/>
    <x v="859"/>
    <m/>
    <s v="CLIENTE"/>
    <x v="14"/>
    <s v="DK DE CLIENTE NÃO PREENCIDO / CLIENTE NÃO CONFIGURADO NO OBT"/>
    <s v="INDEFINIDO"/>
    <x v="1"/>
    <s v="COLUNA I"/>
  </r>
  <r>
    <s v="SABRE"/>
    <m/>
    <x v="2"/>
    <n v="3329566"/>
    <x v="2"/>
    <d v="2025-03-28T17:43:00"/>
    <s v="KUZISQ"/>
    <s v="KUZISQ"/>
    <s v="Não localizado cliente com CNPJ [2379828000128].&lt;-ObterCliente&lt;-MontarPnrBase&lt;-ProcessarAereo&lt;-ProcessarItemFila[b]"/>
    <x v="860"/>
    <d v="2025-03-28T19:46:00"/>
    <s v="CLIENTE"/>
    <x v="12"/>
    <s v=""/>
    <e v="#N/A"/>
    <x v="1"/>
    <n v="24"/>
  </r>
  <r>
    <s v="SABRE"/>
    <m/>
    <x v="2"/>
    <n v="3330246"/>
    <x v="2"/>
    <d v="2025-03-28T05:49:00"/>
    <s v="YFQJUA"/>
    <s v="YFQJUA"/>
    <s v="Código de cliente não identificado&lt;-ObterCliente&lt;-MontarPnrBase&lt;-ProcessarAereo&lt;-ProcessarItemFila[b]"/>
    <x v="861"/>
    <m/>
    <s v="CLIENTE"/>
    <x v="14"/>
    <s v="DK DE CLIENTE NÃO PREENCIDO / CLIENTE NÃO CONFIGURADO NO OBT"/>
    <s v="INDEFINIDO"/>
    <x v="1"/>
    <s v="COLUNA I"/>
  </r>
  <r>
    <s v="SABRE"/>
    <m/>
    <x v="2"/>
    <n v="3330247"/>
    <x v="2"/>
    <d v="2025-03-28T05:49:00"/>
    <s v="OHLZVR"/>
    <s v="OHLZVR"/>
    <s v="Não localizado cliente código [0000583808].&lt;-ObterCliente&lt;-MontarPnrBase&lt;-ProcessarAereo&lt;-ProcessarItemFila[b]"/>
    <x v="861"/>
    <m/>
    <s v="CLIENTE"/>
    <x v="13"/>
    <s v="CÓDIGO DIFERENTE DO CADASTRADO NO BENNER (CLIENTE X GRUPO)"/>
    <s v="QUALIDADE DOS DADOS"/>
    <x v="0"/>
    <n v="1"/>
  </r>
  <r>
    <s v="SABRE"/>
    <m/>
    <x v="2"/>
    <n v="3330248"/>
    <x v="2"/>
    <d v="2025-03-28T05:49:00"/>
    <s v="GKQHAY"/>
    <s v="GKQHAY"/>
    <s v="Não localizado cliente código [0000583808].&lt;-ObterCliente&lt;-MontarPnrBase&lt;-ProcessarAereo&lt;-ProcessarItemFila[b]"/>
    <x v="861"/>
    <m/>
    <s v="CLIENTE"/>
    <x v="13"/>
    <s v="CÓDIGO DIFERENTE DO CADASTRADO NO BENNER (CLIENTE X GRUPO)"/>
    <s v="QUALIDADE DOS DADOS"/>
    <x v="0"/>
    <n v="1"/>
  </r>
  <r>
    <s v="SABRE"/>
    <m/>
    <x v="2"/>
    <n v="3330249"/>
    <x v="2"/>
    <d v="2025-03-28T05:49:00"/>
    <s v="OEPUAW"/>
    <s v="OEPUAW"/>
    <s v="Não localizado cliente código [0000583808].&lt;-ObterCliente&lt;-MontarPnrBase&lt;-ProcessarAereo&lt;-ProcessarItemFila[b]"/>
    <x v="861"/>
    <m/>
    <s v="CLIENTE"/>
    <x v="13"/>
    <s v="CÓDIGO DIFERENTE DO CADASTRADO NO BENNER (CLIENTE X GRUPO)"/>
    <s v="QUALIDADE DOS DADOS"/>
    <x v="0"/>
    <n v="1"/>
  </r>
  <r>
    <s v="SABRE"/>
    <m/>
    <x v="2"/>
    <n v="3330250"/>
    <x v="2"/>
    <d v="2025-03-28T05:49:00"/>
    <s v="IIXSWD"/>
    <s v="IIXSWD"/>
    <s v="Não localizado cliente código [0000286569].&lt;-ObterCliente&lt;-MontarPnrBase&lt;-ProcessarAereo&lt;-ProcessarItemFila[b]"/>
    <x v="862"/>
    <m/>
    <s v="CLIENTE"/>
    <x v="13"/>
    <s v="CÓDIGO DIFERENTE DO CADASTRADO NO BENNER (CLIENTE X GRUPO)"/>
    <s v="QUALIDADE DOS DADOS"/>
    <x v="0"/>
    <n v="1"/>
  </r>
  <r>
    <s v="SABRE"/>
    <m/>
    <x v="2"/>
    <n v="3330251"/>
    <x v="2"/>
    <d v="2025-03-28T05:49:00"/>
    <s v="QYNVCS"/>
    <s v="QYNVCS"/>
    <s v="Não localizado cliente com CNPJ [2295585000140].&lt;-ObterCliente&lt;-MontarPnrBase&lt;-ProcessarAereo&lt;-ProcessarItemFila[b]"/>
    <x v="863"/>
    <m/>
    <s v="CLIENTE"/>
    <x v="12"/>
    <s v=""/>
    <s v="QUALIDADE DOS DADOS"/>
    <x v="1"/>
    <n v="24"/>
  </r>
  <r>
    <s v="SABRE"/>
    <m/>
    <x v="2"/>
    <n v="3330384"/>
    <x v="2"/>
    <d v="2025-03-28T07:21:00"/>
    <s v="DJDTAW"/>
    <s v="DJDTAW"/>
    <s v="ERRO: Cancelamento de Venda: Não há PNR no sistema para cancelar, venda não inserida!"/>
    <x v="864"/>
    <m/>
    <s v="CANCELAMENTO"/>
    <x v="6"/>
    <s v="RESERVA CANCELADA NO OBT"/>
    <s v="SISTEMA"/>
    <x v="0"/>
    <s v="COLUNA I"/>
  </r>
  <r>
    <s v="TMS"/>
    <m/>
    <x v="2"/>
    <n v="3330461"/>
    <x v="1"/>
    <d v="2025-03-28T09:36:00"/>
    <n v="195771"/>
    <n v="195771"/>
    <s v="Preenchendo XML Serviço-&gt; Preenchendo XML-&gt; Montando accounting aereo 2-&gt;Não foi informado o Localizador do Assento/Bagagem!"/>
    <x v="865"/>
    <d v="2025-04-09T13:26:00"/>
    <s v="OUTROS"/>
    <x v="15"/>
    <s v="CAMPO OBSERVAÇÃO PREENCHIDO INCORRETAMENTE"/>
    <s v="QUALIDADE DOS DADOS"/>
    <x v="1"/>
    <n v="118"/>
  </r>
  <r>
    <s v="SABRE"/>
    <m/>
    <x v="2"/>
    <n v="3330635"/>
    <x v="2"/>
    <d v="2025-03-28T09:25:00"/>
    <s v="NVHLNQT"/>
    <s v="NVHLNQ"/>
    <s v="ConverterPagamentosRemark-&gt;Input string was not in a correct format.&lt;-MontarAccountinsHotel&lt;-ProcessarHotel&lt;-ProcessarItemFila[b]"/>
    <x v="866"/>
    <m/>
    <s v="FORMA PAGTO/RECTO"/>
    <x v="2"/>
    <s v="TEXTO FORA DO PADRÃO ACEITO NO CAMPO"/>
    <s v="INDEFINIDO"/>
    <x v="0"/>
    <s v="COLUNA I"/>
  </r>
  <r>
    <s v="SABRE"/>
    <m/>
    <x v="2"/>
    <n v="3330637"/>
    <x v="2"/>
    <d v="2025-03-28T09:25:00"/>
    <s v="KYWXBOT"/>
    <s v="KYWXBO"/>
    <s v="ConverterPagamentosRemark-&gt;Input string was not in a correct format.&lt;-MontarAccountinsHotel&lt;-ProcessarHotel&lt;-ProcessarItemFila[b]"/>
    <x v="866"/>
    <m/>
    <s v="FORMA PAGTO/RECTO"/>
    <x v="2"/>
    <s v="TEXTO FORA DO PADRÃO ACEITO NO CAMPO"/>
    <s v="INDEFINIDO"/>
    <x v="0"/>
    <s v="COLUNA I"/>
  </r>
  <r>
    <s v="SABRE"/>
    <m/>
    <x v="2"/>
    <n v="3330690"/>
    <x v="2"/>
    <d v="2025-03-28T10:19:00"/>
    <s v="NCNBUGT"/>
    <s v="NCNBUG"/>
    <s v="ConverterPagamentosRemark-&gt;Input string was not in a correct format.&lt;-MontarAccountinsHotel&lt;-ProcessarHotel&lt;-ProcessarItemFila[b]"/>
    <x v="867"/>
    <m/>
    <s v="FORMA PAGTO/RECTO"/>
    <x v="2"/>
    <s v="TEXTO FORA DO PADRÃO ACEITO NO CAMPO"/>
    <s v="INDEFINIDO"/>
    <x v="0"/>
    <s v="COLUNA I"/>
  </r>
  <r>
    <s v="SABRE"/>
    <m/>
    <x v="2"/>
    <n v="3330819"/>
    <x v="2"/>
    <d v="2025-03-28T11:28:00"/>
    <s v="LQOAIX"/>
    <s v="LQOAIX"/>
    <s v="Código de cliente não identificado&lt;-ObterCliente&lt;-MontarPnrBase&lt;-ProcessarAereo&lt;-ProcessarItemFila[b]"/>
    <x v="868"/>
    <m/>
    <s v="CLIENTE"/>
    <x v="14"/>
    <s v="DK DE CLIENTE NÃO PREENCIDO / CLIENTE NÃO CONFIGURADO NO OBT"/>
    <s v="INDEFINIDO"/>
    <x v="1"/>
    <s v="COLUNA I"/>
  </r>
  <r>
    <s v="TMS"/>
    <m/>
    <x v="2"/>
    <n v="3331011"/>
    <x v="1"/>
    <d v="2025-03-28T13:18:00"/>
    <n v="196122"/>
    <n v="196122"/>
    <s v="Preenchendo XML Hotel-&gt; Preenchendo XML-&gt; Montando accounting hotel-&gt;Solicitação de hotel referente a esta cotação não foi encontrada (Id Cotação: 1)"/>
    <x v="869"/>
    <d v="2025-04-09T13:26:00"/>
    <s v="OUTROS"/>
    <x v="22"/>
    <s v="INDEFINIDO"/>
    <s v="INDEFINIDO"/>
    <x v="0"/>
    <s v="COLUNA I"/>
  </r>
  <r>
    <s v="RESOLVIDO"/>
    <m/>
    <x v="1"/>
    <n v="3331552"/>
    <x v="1"/>
    <d v="2025-03-28T15:11:00"/>
    <n v="56590"/>
    <n v="56590"/>
    <s v="Preenchendo XML Serviço-&gt; Preenchendo XML-&gt; Montando accounting aereo 2-&gt;Não foi informado o Localizador do Assento/Bagagem!"/>
    <x v="870"/>
    <d v="2025-03-31T23:10:00"/>
    <s v="OUTROS"/>
    <x v="15"/>
    <s v="CAMPO OBSERVAÇÃO PREENCHIDO INCORRETAMENTE"/>
    <s v="QUALIDADE DOS DADOS"/>
    <x v="1"/>
    <n v="118"/>
  </r>
  <r>
    <s v="RESOLVIDO"/>
    <m/>
    <x v="1"/>
    <n v="3331553"/>
    <x v="1"/>
    <d v="2025-03-28T15:09:00"/>
    <n v="56441"/>
    <n v="56441"/>
    <s v="Preenchendo XML Serviço-&gt; Preenchendo XML-&gt; Montando accounting aereo 2-&gt;Não foi informado o Localizador do Assento/Bagagem!"/>
    <x v="871"/>
    <d v="2025-03-31T23:10:00"/>
    <s v="OUTROS"/>
    <x v="15"/>
    <s v="CAMPO OBSERVAÇÃO PREENCHIDO INCORRETAMENTE"/>
    <s v="QUALIDADE DOS DADOS"/>
    <x v="1"/>
    <n v="118"/>
  </r>
  <r>
    <s v="SABRE"/>
    <m/>
    <x v="2"/>
    <n v="3332247"/>
    <x v="2"/>
    <d v="2025-03-28T18:19:00"/>
    <s v="JZOFNV"/>
    <s v="JZOFNV"/>
    <s v="Não localizado cliente código [0000063625].&lt;-ObterCliente&lt;-MontarPnrBase&lt;-ProcessarAereo&lt;-ProcessarItemFila[b]"/>
    <x v="872"/>
    <m/>
    <s v="CLIENTE"/>
    <x v="13"/>
    <s v="CÓDIGO DIFERENTE DO CADASTRADO NO BENNER (CLIENTE X GRUPO)"/>
    <s v="QUALIDADE DOS DADOS"/>
    <x v="0"/>
    <n v="1"/>
  </r>
  <r>
    <s v="SABRE"/>
    <m/>
    <x v="2"/>
    <n v="3332251"/>
    <x v="2"/>
    <d v="2025-03-31T09:55:00"/>
    <s v="AQACMG"/>
    <s v="AQACMG"/>
    <s v="Código de cliente não identificado&lt;-ObterCliente&lt;-MontarPnrBase&lt;-ProcessarAereo&lt;-ProcessarItemFila[b]"/>
    <x v="873"/>
    <d v="2025-03-31T12:03:00"/>
    <s v="CLIENTE"/>
    <x v="14"/>
    <s v="DK DE CLIENTE NÃO PREENCIDO / CLIENTE NÃO CONFIGURADO NO OBT"/>
    <s v="INDEFINIDO"/>
    <x v="1"/>
    <s v="COLUNA I"/>
  </r>
  <r>
    <s v="SABRE"/>
    <m/>
    <x v="2"/>
    <n v="3332254"/>
    <x v="2"/>
    <d v="2025-03-31T10:56:00"/>
    <s v="HZHPBD"/>
    <s v="HZHPBD"/>
    <s v="Código de cliente não identificado&lt;-ObterCliente&lt;-MontarPnrBase&lt;-ProcessarAereo&lt;-ProcessarItemFila[b]"/>
    <x v="873"/>
    <d v="2025-03-31T13:03:00"/>
    <s v="CLIENTE"/>
    <x v="14"/>
    <s v="DK DE CLIENTE NÃO PREENCIDO / CLIENTE NÃO CONFIGURADO NO OBT"/>
    <s v="INDEFINIDO"/>
    <x v="1"/>
    <s v="COLUNA I"/>
  </r>
  <r>
    <s v="SABRE"/>
    <m/>
    <x v="2"/>
    <n v="3332269"/>
    <x v="2"/>
    <d v="2025-03-31T14:30:00"/>
    <s v="JMKASA"/>
    <s v="JMKASA"/>
    <s v="Não localizado cliente código [0000068873].&lt;-ObterCliente&lt;-MontarPnrBase&lt;-ProcessarAereo&lt;-ProcessarItemFila[b]"/>
    <x v="874"/>
    <d v="2025-03-31T16:37:00"/>
    <s v="CLIENTE"/>
    <x v="13"/>
    <s v="CÓDIGO DIFERENTE DO CADASTRADO NO BENNER (CLIENTE X GRUPO)"/>
    <s v="QUALIDADE DOS DADOS"/>
    <x v="0"/>
    <n v="1"/>
  </r>
  <r>
    <s v="SABRE"/>
    <m/>
    <x v="2"/>
    <n v="3332270"/>
    <x v="2"/>
    <d v="2025-03-28T18:19:00"/>
    <s v="UCQZWT"/>
    <s v="UCQZWT"/>
    <s v="Não localizado cliente código [0000071989].&lt;-ObterCliente&lt;-MontarPnrBase&lt;-ProcessarAereo&lt;-ProcessarItemFila[b]"/>
    <x v="874"/>
    <m/>
    <s v="CLIENTE"/>
    <x v="13"/>
    <s v="CÓDIGO DIFERENTE DO CADASTRADO NO BENNER (CLIENTE X GRUPO)"/>
    <s v="QUALIDADE DOS DADOS"/>
    <x v="0"/>
    <n v="1"/>
  </r>
  <r>
    <s v="TMS"/>
    <m/>
    <x v="2"/>
    <n v="3332957"/>
    <x v="1"/>
    <d v="2025-03-28T18:38:00"/>
    <n v="15980"/>
    <n v="15980"/>
    <s v="Preenchendo XML Serviço-&gt; Preenchendo XML-&gt; Montando accounting aereo 2-&gt;Não foi informado o Localizador do Assento/Bagagem!"/>
    <x v="875"/>
    <d v="2025-03-31T23:30:00"/>
    <s v="OUTROS"/>
    <x v="15"/>
    <s v="CAMPO OBSERVAÇÃO PREENCHIDO INCORRETAMENTE"/>
    <s v="QUALIDADE DOS DADOS"/>
    <x v="1"/>
    <n v="118"/>
  </r>
  <r>
    <s v="RESOLVIDO"/>
    <m/>
    <x v="1"/>
    <n v="3333590"/>
    <x v="1"/>
    <d v="2025-03-31T07:22:00"/>
    <n v="5784"/>
    <n v="5784"/>
    <s v="Preenchendo XML Serviço-&gt; Preenchendo XML-&gt; Montando accounting aereo 2-&gt;Não foi informado o Localizador do Assento/Bagagem!"/>
    <x v="876"/>
    <d v="2025-04-03T23:44:00"/>
    <s v="OUTROS"/>
    <x v="15"/>
    <s v="CAMPO OBSERVAÇÃO PREENCHIDO INCORRETAMENTE"/>
    <s v="QUALIDADE DOS DADOS"/>
    <x v="1"/>
    <n v="118"/>
  </r>
  <r>
    <s v="RESOLVIDO"/>
    <m/>
    <x v="1"/>
    <n v="3333591"/>
    <x v="1"/>
    <d v="2025-03-31T07:24:00"/>
    <n v="5783"/>
    <n v="5783"/>
    <s v="Preenchendo XML Serviço-&gt; Preenchendo XML-&gt; Montando accounting aereo 2-&gt;Não foi informado o Localizador do Assento/Bagagem!"/>
    <x v="876"/>
    <d v="2025-04-03T23:44:00"/>
    <s v="OUTROS"/>
    <x v="15"/>
    <s v="CAMPO OBSERVAÇÃO PREENCHIDO INCORRETAMENTE"/>
    <s v="QUALIDADE DOS DADOS"/>
    <x v="1"/>
    <n v="118"/>
  </r>
  <r>
    <s v="RESOLVIDO"/>
    <m/>
    <x v="1"/>
    <n v="3333593"/>
    <x v="1"/>
    <d v="2025-03-31T07:23:00"/>
    <n v="5782"/>
    <n v="5782"/>
    <s v="Preenchendo XML Serviço-&gt; Preenchendo XML-&gt; Montando accounting aereo 2-&gt;Não foi informado o Localizador do Assento/Bagagem!"/>
    <x v="877"/>
    <d v="2025-04-03T23:44:00"/>
    <s v="OUTROS"/>
    <x v="15"/>
    <s v="CAMPO OBSERVAÇÃO PREENCHIDO INCORRETAMENTE"/>
    <s v="QUALIDADE DOS DADOS"/>
    <x v="1"/>
    <n v="118"/>
  </r>
  <r>
    <s v="TMS"/>
    <m/>
    <x v="2"/>
    <n v="3333594"/>
    <x v="1"/>
    <d v="2025-03-31T07:20:00"/>
    <n v="5781"/>
    <n v="5781"/>
    <s v="Preenchendo XML Serviço-&gt; Preenchendo XML-&gt; Montando accounting aereo 2-&gt;Não foi informado o Localizador do Assento/Bagagem!"/>
    <x v="877"/>
    <d v="2025-04-03T23:45:00"/>
    <s v="OUTROS"/>
    <x v="15"/>
    <s v="CAMPO OBSERVAÇÃO PREENCHIDO INCORRETAMENTE"/>
    <s v="QUALIDADE DOS DADOS"/>
    <x v="1"/>
    <n v="118"/>
  </r>
  <r>
    <s v="SABRE"/>
    <m/>
    <x v="2"/>
    <n v="3333717"/>
    <x v="2"/>
    <d v="2025-03-31T09:29:00"/>
    <s v="JINSRK"/>
    <s v="JINSRK"/>
    <s v="ERRO: Cancelamento de Venda: Não há PNR no sistema para cancelar, venda não inserida!"/>
    <x v="878"/>
    <m/>
    <s v="CANCELAMENTO"/>
    <x v="6"/>
    <s v="RESERVA CANCELADA NO OBT"/>
    <s v="SISTEMA"/>
    <x v="0"/>
    <s v="COLUNA I"/>
  </r>
  <r>
    <s v="SABRE"/>
    <m/>
    <x v="2"/>
    <n v="3333730"/>
    <x v="2"/>
    <d v="2025-03-31T09:29:00"/>
    <s v="OJUPMP"/>
    <s v="OJUPMP"/>
    <s v="Código de cliente não identificado&lt;-ObterCliente&lt;-MontarPnrBase&lt;-ProcessarAereo&lt;-ProcessarItemFila[b]"/>
    <x v="879"/>
    <m/>
    <s v="CLIENTE"/>
    <x v="14"/>
    <s v="DK DE CLIENTE NÃO PREENCIDO / CLIENTE NÃO CONFIGURADO NO OBT"/>
    <s v="INDEFINIDO"/>
    <x v="1"/>
    <s v="COLUNA I"/>
  </r>
  <r>
    <s v="SABRE"/>
    <m/>
    <x v="2"/>
    <n v="3333733"/>
    <x v="2"/>
    <d v="2025-03-31T09:34:00"/>
    <s v="AMVNEJT"/>
    <s v="AMVNEJ"/>
    <s v="ConverterPagamentosRemark-&gt;Input string was not in a correct format.&lt;-MontarAccountinsHotel&lt;-ProcessarHotel&lt;-ProcessarItemFila[b]"/>
    <x v="879"/>
    <m/>
    <s v="FORMA PAGTO/RECTO"/>
    <x v="2"/>
    <s v="TEXTO FORA DO PADRÃO ACEITO NO CAMPO"/>
    <s v="INDEFINIDO"/>
    <x v="0"/>
    <s v="COLUNA I"/>
  </r>
  <r>
    <s v="SABRE"/>
    <m/>
    <x v="2"/>
    <n v="3333753"/>
    <x v="2"/>
    <d v="2025-03-31T09:34:00"/>
    <s v="FGKRIC"/>
    <s v="FGKRIC"/>
    <s v="ERRO: Cancelamento de Venda: Não há PNR no sistema para cancelar, venda não inserida!"/>
    <x v="880"/>
    <m/>
    <s v="CANCELAMENTO"/>
    <x v="6"/>
    <s v="RESERVA CANCELADA NO OBT"/>
    <s v="SISTEMA"/>
    <x v="0"/>
    <s v="COLUNA I"/>
  </r>
  <r>
    <s v="SABRE"/>
    <m/>
    <x v="2"/>
    <n v="3334035"/>
    <x v="2"/>
    <d v="2025-03-31T12:41:00"/>
    <s v="HBZZWF"/>
    <s v="HBZZWF"/>
    <s v="Não localizado cliente código [1234567890].&lt;-ObterCliente&lt;-MontarPnrBase&lt;-ProcessarAereo&lt;-ProcessarItemFila[b]"/>
    <x v="881"/>
    <m/>
    <s v="CLIENTE"/>
    <x v="13"/>
    <s v="CÓDIGO DIFERENTE DO CADASTRADO NO BENNER (CLIENTE X GRUPO)"/>
    <s v="QUALIDADE DOS DADOS"/>
    <x v="0"/>
    <n v="1"/>
  </r>
  <r>
    <s v="SABRE"/>
    <m/>
    <x v="2"/>
    <n v="3334036"/>
    <x v="2"/>
    <d v="2025-03-31T12:41:00"/>
    <s v="QSGKYN"/>
    <s v="QSGKYN"/>
    <s v="Não localizado cliente código [1234567890].&lt;-ObterCliente&lt;-MontarPnrBase&lt;-ProcessarAereo&lt;-ProcessarItemFila[b]"/>
    <x v="882"/>
    <m/>
    <s v="CLIENTE"/>
    <x v="13"/>
    <s v="CÓDIGO DIFERENTE DO CADASTRADO NO BENNER (CLIENTE X GRUPO)"/>
    <s v="QUALIDADE DOS DADOS"/>
    <x v="0"/>
    <n v="1"/>
  </r>
  <r>
    <s v="SABRE"/>
    <m/>
    <x v="2"/>
    <n v="3334037"/>
    <x v="2"/>
    <d v="2025-03-31T12:41:00"/>
    <s v="SOFLQH"/>
    <s v="SOFLQH"/>
    <s v="Código de cliente não identificado&lt;-ObterCliente&lt;-MontarPnrBase&lt;-ProcessarAereo&lt;-ProcessarItemFila[b]"/>
    <x v="882"/>
    <m/>
    <s v="CLIENTE"/>
    <x v="14"/>
    <s v="DK DE CLIENTE NÃO PREENCIDO / CLIENTE NÃO CONFIGURADO NO OBT"/>
    <s v="INDEFINIDO"/>
    <x v="1"/>
    <s v="COLUNA I"/>
  </r>
  <r>
    <s v="SABRE"/>
    <m/>
    <x v="2"/>
    <n v="3334041"/>
    <x v="2"/>
    <d v="2025-03-31T12:41:00"/>
    <s v="OJNZYT"/>
    <s v="OJNZYT"/>
    <s v="Não localizado cliente código [1234567890].&lt;-ObterCliente&lt;-MontarPnrBase&lt;-ProcessarAereo&lt;-ProcessarItemFila[b]"/>
    <x v="883"/>
    <m/>
    <s v="CLIENTE"/>
    <x v="13"/>
    <s v="CÓDIGO DIFERENTE DO CADASTRADO NO BENNER (CLIENTE X GRUPO)"/>
    <s v="QUALIDADE DOS DADOS"/>
    <x v="0"/>
    <n v="1"/>
  </r>
  <r>
    <s v="SABRE"/>
    <m/>
    <x v="2"/>
    <n v="3334043"/>
    <x v="2"/>
    <d v="2025-03-31T12:41:00"/>
    <s v="SPTUTV"/>
    <s v="SPTUTV"/>
    <s v="Não localizado cliente código [1234567890].&lt;-ObterCliente&lt;-MontarPnrBase&lt;-ProcessarAereo&lt;-ProcessarItemFila[b]"/>
    <x v="883"/>
    <m/>
    <s v="CLIENTE"/>
    <x v="13"/>
    <s v="CÓDIGO DIFERENTE DO CADASTRADO NO BENNER (CLIENTE X GRUPO)"/>
    <s v="QUALIDADE DOS DADOS"/>
    <x v="0"/>
    <n v="1"/>
  </r>
  <r>
    <s v="TMS"/>
    <m/>
    <x v="2"/>
    <n v="3335167"/>
    <x v="1"/>
    <d v="2025-03-31T13:43:00"/>
    <n v="57257"/>
    <n v="57257"/>
    <s v="Preenchendo XML Serviço-&gt; Preenchendo XML-&gt; Montando accounting aereo 3-&gt;Reserva LOC-DA não encontrada para importar assento/bagagem!"/>
    <x v="884"/>
    <d v="2025-04-03T23:59:00"/>
    <s v="OUTROS"/>
    <x v="15"/>
    <s v="CAMPO OBSERVAÇÃO PREENCHIDO INCORRETAMENTE"/>
    <s v="QUALIDADE DOS DADOS"/>
    <x v="1"/>
    <n v="127"/>
  </r>
  <r>
    <s v="TMS"/>
    <m/>
    <x v="2"/>
    <n v="3335199"/>
    <x v="1"/>
    <d v="2025-03-31T14:19:00"/>
    <n v="55415"/>
    <n v="55415"/>
    <s v="Preenchendo XML Serviço-&gt; Preenchendo XML-&gt; Montando accounting aereo 2-&gt;Não foi informado o Localizador do Assento/Bagagem!"/>
    <x v="885"/>
    <d v="2025-04-03T23:59:00"/>
    <s v="OUTROS"/>
    <x v="15"/>
    <s v="CAMPO OBSERVAÇÃO PREENCHIDO INCORRETAMENTE"/>
    <s v="QUALIDADE DOS DADOS"/>
    <x v="1"/>
    <n v="118"/>
  </r>
  <r>
    <s v="TMS"/>
    <m/>
    <x v="2"/>
    <n v="3335200"/>
    <x v="1"/>
    <d v="2025-03-31T16:15:00"/>
    <n v="55414"/>
    <n v="55414"/>
    <s v="Preenchendo XML Serviço-&gt; Preenchendo XML-&gt; Montando accounting aereo 3-&gt;Reserva CONFIR não encontrada para importar assento/bagagem!"/>
    <x v="886"/>
    <d v="2025-04-03T23:59:00"/>
    <s v="OUTROS"/>
    <x v="15"/>
    <s v="CAMPO OBSERVAÇÃO PREENCHIDO INCORRETAMENTE"/>
    <s v="QUALIDADE DOS DADOS"/>
    <x v="1"/>
    <n v="127"/>
  </r>
  <r>
    <s v="SABRE"/>
    <m/>
    <x v="2"/>
    <n v="3335266"/>
    <x v="2"/>
    <d v="2025-03-31T16:07:00"/>
    <s v="NPEMMT"/>
    <s v="NPEMMT"/>
    <s v="Não localizado cliente código [0000063625].&lt;-ObterCliente&lt;-MontarPnrBase&lt;-ProcessarAereo&lt;-ProcessarItemFila[b]"/>
    <x v="887"/>
    <m/>
    <s v="CLIENTE"/>
    <x v="13"/>
    <s v="CÓDIGO DIFERENTE DO CADASTRADO NO BENNER (CLIENTE X GRUPO)"/>
    <s v="QUALIDADE DOS DADOS"/>
    <x v="0"/>
    <n v="1"/>
  </r>
  <r>
    <s v="SABRE"/>
    <m/>
    <x v="2"/>
    <n v="3335698"/>
    <x v="2"/>
    <d v="2025-03-31T18:17:00"/>
    <s v="LEKKYR"/>
    <s v="LEKKYR"/>
    <s v="Não localizado cliente código [0000071989].&lt;-ObterCliente&lt;-MontarPnrBase&lt;-ProcessarAereo&lt;-ProcessarItemFila[b]"/>
    <x v="888"/>
    <m/>
    <s v="CLIENTE"/>
    <x v="13"/>
    <s v="CÓDIGO DIFERENTE DO CADASTRADO NO BENNER (CLIENTE X GRUPO)"/>
    <s v="QUALIDADE DOS DADOS"/>
    <x v="0"/>
    <n v="1"/>
  </r>
  <r>
    <s v="SABRE"/>
    <m/>
    <x v="2"/>
    <n v="3336867"/>
    <x v="2"/>
    <d v="2025-04-01T10:12:00"/>
    <s v="ASWIRC"/>
    <s v="ASWIRC"/>
    <s v="Não localizado cliente código [0000050269].&lt;-ObterCliente&lt;-MontarPnrBase&lt;-ProcessarAereo&lt;-ProcessarItemFila[b]"/>
    <x v="889"/>
    <m/>
    <s v="CLIENTE"/>
    <x v="13"/>
    <s v="CÓDIGO DIFERENTE DO CADASTRADO NO BENNER (CLIENTE X GRUPO)"/>
    <s v="QUALIDADE DOS DADOS"/>
    <x v="0"/>
    <n v="1"/>
  </r>
  <r>
    <s v="SABRE"/>
    <m/>
    <x v="2"/>
    <n v="3336868"/>
    <x v="2"/>
    <d v="2025-04-01T10:12:00"/>
    <s v="ASWIRCT"/>
    <s v="ASWIRC"/>
    <s v="Não localizado cliente código [0000050269].&lt;-ObterCliente&lt;-MontarPnrBase&lt;-MontarPnr&lt;-ProcessarHotel&lt;-ProcessarItemFila[b]"/>
    <x v="889"/>
    <m/>
    <s v="CLIENTE"/>
    <x v="13"/>
    <s v="CÓDIGO DIFERENTE DO CADASTRADO NO BENNER (CLIENTE X GRUPO)"/>
    <s v="QUALIDADE DOS DADOS"/>
    <x v="0"/>
    <n v="1"/>
  </r>
  <r>
    <s v="SABRE"/>
    <m/>
    <x v="2"/>
    <n v="3336869"/>
    <x v="2"/>
    <d v="2025-04-01T10:12:00"/>
    <s v="ASWIRCC"/>
    <s v="ASWIRC"/>
    <s v="Não localizado cliente código [0000050269].&lt;-ObterCliente&lt;-MontarPnrBase&lt;-MontarPnr&lt;-ProcessarCarro&lt;-ProcessarItemFila[b]"/>
    <x v="889"/>
    <m/>
    <s v="CLIENTE"/>
    <x v="13"/>
    <s v="CÓDIGO DIFERENTE DO CADASTRADO NO BENNER (CLIENTE X GRUPO)"/>
    <s v="QUALIDADE DOS DADOS"/>
    <x v="0"/>
    <n v="1"/>
  </r>
  <r>
    <s v="SABRE"/>
    <m/>
    <x v="2"/>
    <n v="3336919"/>
    <x v="2"/>
    <d v="2025-04-02T15:42:00"/>
    <s v="UXCOZC"/>
    <s v="UXCOZC"/>
    <s v="Código de cliente não identificado&lt;-ObterCliente&lt;-MontarPnrBase&lt;-ProcessarAereo&lt;-ProcessarItemFila[b]"/>
    <x v="890"/>
    <d v="2025-04-02T17:46:00"/>
    <s v="CLIENTE"/>
    <x v="14"/>
    <s v="DK DE CLIENTE NÃO PREENCIDO / CLIENTE NÃO CONFIGURADO NO OBT"/>
    <s v="INDEFINIDO"/>
    <x v="1"/>
    <s v="COLUNA I"/>
  </r>
  <r>
    <s v="SABRE"/>
    <m/>
    <x v="2"/>
    <n v="3336921"/>
    <x v="2"/>
    <d v="2025-04-02T15:42:00"/>
    <s v="GCKJYR"/>
    <s v="GCKJYR"/>
    <s v="Código de cliente não identificado&lt;-ObterCliente&lt;-MontarPnrBase&lt;-ProcessarAereo&lt;-ProcessarItemFila[b]"/>
    <x v="890"/>
    <d v="2025-04-02T17:46:00"/>
    <s v="CLIENTE"/>
    <x v="14"/>
    <s v="DK DE CLIENTE NÃO PREENCIDO / CLIENTE NÃO CONFIGURADO NO OBT"/>
    <s v="INDEFINIDO"/>
    <x v="1"/>
    <s v="COLUNA I"/>
  </r>
  <r>
    <s v="SABRE"/>
    <m/>
    <x v="2"/>
    <n v="3337079"/>
    <x v="2"/>
    <d v="2025-04-01T15:53:00"/>
    <s v="UYQRIS"/>
    <s v="UYQRIS"/>
    <s v="Código de cliente não identificado&lt;-ObterCliente&lt;-MontarPnrBase&lt;-ProcessarAereo&lt;-ProcessarItemFila[b]"/>
    <x v="891"/>
    <d v="2025-04-01T18:03:00"/>
    <s v="CLIENTE"/>
    <x v="14"/>
    <s v="DK DE CLIENTE NÃO PREENCIDO / CLIENTE NÃO CONFIGURADO NO OBT"/>
    <s v="INDEFINIDO"/>
    <x v="1"/>
    <s v="COLUNA I"/>
  </r>
  <r>
    <s v="SABRE"/>
    <m/>
    <x v="2"/>
    <n v="3337093"/>
    <x v="2"/>
    <d v="2025-04-01T12:44:00"/>
    <s v="GXDMEE"/>
    <s v="GXDMEE"/>
    <s v="Código de cliente não identificado&lt;-ObterCliente&lt;-MontarPnrBase&lt;-ProcessarAereo&lt;-ProcessarItemFila[b]"/>
    <x v="892"/>
    <m/>
    <s v="CLIENTE"/>
    <x v="14"/>
    <s v="DK DE CLIENTE NÃO PREENCIDO / CLIENTE NÃO CONFIGURADO NO OBT"/>
    <s v="INDEFINIDO"/>
    <x v="1"/>
    <s v="COLUNA I"/>
  </r>
  <r>
    <s v="SABRE"/>
    <m/>
    <x v="2"/>
    <n v="3337543"/>
    <x v="2"/>
    <d v="2025-04-01T15:09:00"/>
    <s v="GSVJEG"/>
    <s v="GSVJEG"/>
    <s v="Não localizado cliente código [0000068777].&lt;-ObterCliente&lt;-MontarPnrBase&lt;-ProcessarAereo&lt;-ProcessarItemFila[b]"/>
    <x v="893"/>
    <m/>
    <s v="CLIENTE"/>
    <x v="13"/>
    <s v="CÓDIGO DIFERENTE DO CADASTRADO NO BENNER (CLIENTE X GRUPO)"/>
    <s v="QUALIDADE DOS DADOS"/>
    <x v="0"/>
    <n v="1"/>
  </r>
  <r>
    <s v="SABRE"/>
    <m/>
    <x v="2"/>
    <n v="3337544"/>
    <x v="2"/>
    <d v="2025-04-01T15:09:00"/>
    <s v="GSVJEGT"/>
    <s v="GSVJEG"/>
    <s v="Não localizado cliente código [0000068777].&lt;-ObterCliente&lt;-MontarPnrBase&lt;-MontarPnr&lt;-ProcessarHotel&lt;-ProcessarItemFila[b]"/>
    <x v="893"/>
    <m/>
    <s v="CLIENTE"/>
    <x v="13"/>
    <s v="CÓDIGO DIFERENTE DO CADASTRADO NO BENNER (CLIENTE X GRUPO)"/>
    <s v="QUALIDADE DOS DADOS"/>
    <x v="0"/>
    <n v="1"/>
  </r>
  <r>
    <s v="GOVER"/>
    <m/>
    <x v="2"/>
    <n v="3337785"/>
    <x v="0"/>
    <d v="2025-03-31T10:31:00"/>
    <n v="4514729"/>
    <n v="4514729"/>
    <s v="PreencherPnr-&gt;Foi identificado um localizador sem código."/>
    <x v="894"/>
    <d v="2025-04-09T14:47:00"/>
    <s v="OUTROS"/>
    <x v="1"/>
    <s v="RLOC NÃO PREENCHIDO NA RESERVA"/>
    <s v="QUALIDADE DOS DADOS"/>
    <x v="0"/>
    <s v="COLUNA I"/>
  </r>
  <r>
    <s v="SABRE"/>
    <m/>
    <x v="2"/>
    <n v="3338341"/>
    <x v="2"/>
    <d v="2025-04-01T18:14:00"/>
    <s v="ATIKXT"/>
    <s v="ATIKXT"/>
    <s v="Não localizado cliente código [0000583831].&lt;-ObterCliente&lt;-MontarPnrBase&lt;-ProcessarAereo&lt;-ProcessarItemFila[b]"/>
    <x v="895"/>
    <m/>
    <s v="CLIENTE"/>
    <x v="13"/>
    <s v="CÓDIGO DIFERENTE DO CADASTRADO NO BENNER (CLIENTE X GRUPO)"/>
    <s v="QUALIDADE DOS DADOS"/>
    <x v="0"/>
    <n v="1"/>
  </r>
  <r>
    <s v="SABRE"/>
    <m/>
    <x v="2"/>
    <n v="3338351"/>
    <x v="2"/>
    <d v="2025-04-01T18:14:00"/>
    <s v="GSKUFS"/>
    <s v="GSKUFS"/>
    <s v="Código de cliente não identificado&lt;-ObterCliente&lt;-MontarPnrBase&lt;-ProcessarAereo&lt;-ProcessarItemFila[b]"/>
    <x v="896"/>
    <m/>
    <s v="CLIENTE"/>
    <x v="14"/>
    <s v="DK DE CLIENTE NÃO PREENCIDO / CLIENTE NÃO CONFIGURADO NO OBT"/>
    <s v="INDEFINIDO"/>
    <x v="1"/>
    <s v="COLUNA I"/>
  </r>
  <r>
    <s v="SABRE"/>
    <m/>
    <x v="2"/>
    <n v="3338353"/>
    <x v="2"/>
    <d v="2025-04-02T14:24:00"/>
    <s v="LRQMNK"/>
    <s v="LRQMNK"/>
    <s v="Código de cliente não identificado&lt;-ObterCliente&lt;-MontarPnrBase&lt;-ProcessarAereo&lt;-ProcessarItemFila[b]"/>
    <x v="896"/>
    <d v="2025-04-02T16:33:00"/>
    <s v="CLIENTE"/>
    <x v="14"/>
    <s v="DK DE CLIENTE NÃO PREENCIDO / CLIENTE NÃO CONFIGURADO NO OBT"/>
    <s v="INDEFINIDO"/>
    <x v="1"/>
    <s v="COLUNA I"/>
  </r>
  <r>
    <s v="SABRE"/>
    <m/>
    <x v="2"/>
    <n v="3338355"/>
    <x v="2"/>
    <d v="2025-04-01T18:14:00"/>
    <s v="QPQNDZ"/>
    <s v="QPQNDZ"/>
    <s v="Código de cliente não identificado&lt;-ObterCliente&lt;-MontarPnrBase&lt;-ProcessarAereo&lt;-ProcessarItemFila[b]"/>
    <x v="896"/>
    <m/>
    <s v="CLIENTE"/>
    <x v="14"/>
    <s v="DK DE CLIENTE NÃO PREENCIDO / CLIENTE NÃO CONFIGURADO NO OBT"/>
    <s v="INDEFINIDO"/>
    <x v="1"/>
    <s v="COLUNA I"/>
  </r>
  <r>
    <s v="SABRE"/>
    <m/>
    <x v="2"/>
    <n v="3338357"/>
    <x v="2"/>
    <d v="2025-04-01T18:14:00"/>
    <s v="FQXXSZ"/>
    <s v="FQXXSZ"/>
    <s v="Não localizado cliente código [0000071989].&lt;-ObterCliente&lt;-MontarPnrBase&lt;-ProcessarAereo&lt;-ProcessarItemFila[b]"/>
    <x v="896"/>
    <m/>
    <s v="CLIENTE"/>
    <x v="13"/>
    <s v="CÓDIGO DIFERENTE DO CADASTRADO NO BENNER (CLIENTE X GRUPO)"/>
    <s v="QUALIDADE DOS DADOS"/>
    <x v="0"/>
    <n v="1"/>
  </r>
  <r>
    <s v="SABRE"/>
    <m/>
    <x v="2"/>
    <n v="3341528"/>
    <x v="2"/>
    <d v="2025-04-02T12:00:00"/>
    <s v="GNGAIN"/>
    <s v="GNGAIN"/>
    <s v="Não localizado cliente código [0000392619].&lt;-ObterCliente&lt;-MontarPnrBase&lt;-ProcessarAereo&lt;-ProcessarItemFila[b]"/>
    <x v="897"/>
    <m/>
    <s v="CLIENTE"/>
    <x v="13"/>
    <s v="CÓDIGO DIFERENTE DO CADASTRADO NO BENNER (CLIENTE X GRUPO)"/>
    <s v="QUALIDADE DOS DADOS"/>
    <x v="0"/>
    <n v="1"/>
  </r>
  <r>
    <s v="SABRE"/>
    <m/>
    <x v="2"/>
    <n v="3341542"/>
    <x v="2"/>
    <d v="2025-04-02T12:00:00"/>
    <s v="MOQDRT"/>
    <s v="MOQDRT"/>
    <s v="Não localizado cliente código [0000392619].&lt;-ObterCliente&lt;-MontarPnrBase&lt;-ProcessarAereo&lt;-ProcessarItemFila[b]"/>
    <x v="898"/>
    <m/>
    <s v="CLIENTE"/>
    <x v="13"/>
    <s v="CÓDIGO DIFERENTE DO CADASTRADO NO BENNER (CLIENTE X GRUPO)"/>
    <s v="QUALIDADE DOS DADOS"/>
    <x v="0"/>
    <n v="1"/>
  </r>
  <r>
    <s v="SABRE"/>
    <m/>
    <x v="2"/>
    <n v="3341543"/>
    <x v="2"/>
    <d v="2025-04-02T12:00:00"/>
    <s v="GPXXXX"/>
    <s v="GPXXXX"/>
    <s v="Não localizado cliente código [0000392619].&lt;-ObterCliente&lt;-MontarPnrBase&lt;-ProcessarAereo&lt;-ProcessarItemFila[b]"/>
    <x v="898"/>
    <m/>
    <s v="CLIENTE"/>
    <x v="13"/>
    <s v="CÓDIGO DIFERENTE DO CADASTRADO NO BENNER (CLIENTE X GRUPO)"/>
    <s v="QUALIDADE DOS DADOS"/>
    <x v="0"/>
    <n v="1"/>
  </r>
  <r>
    <s v="TMS"/>
    <m/>
    <x v="2"/>
    <n v="3342577"/>
    <x v="1"/>
    <d v="2025-04-02T16:26:00"/>
    <n v="3425"/>
    <n v="3425"/>
    <s v="Preenchendo XML Serviço-&gt; Preenchendo XML-&gt; Montando accounting aereo 3-&gt;Reserva 5F não encontrada para importar assento/bagagem!"/>
    <x v="899"/>
    <d v="2025-04-05T18:05:00"/>
    <s v="OUTROS"/>
    <x v="17"/>
    <s v=""/>
    <s v="QUALIDADE DOS DADOS"/>
    <x v="3"/>
    <n v="123"/>
  </r>
  <r>
    <s v="SABRE"/>
    <m/>
    <x v="2"/>
    <n v="3343061"/>
    <x v="2"/>
    <d v="2025-04-02T17:36:00"/>
    <s v="ACQDWE"/>
    <s v="ACQDWE"/>
    <s v="Não localizado cliente código [1234567890].&lt;-ObterCliente&lt;-MontarPnrBase&lt;-ProcessarAereo&lt;-ProcessarItemFila[b]"/>
    <x v="900"/>
    <m/>
    <s v="CLIENTE"/>
    <x v="13"/>
    <s v="CÓDIGO DIFERENTE DO CADASTRADO NO BENNER (CLIENTE X GRUPO)"/>
    <s v="QUALIDADE DOS DADOS"/>
    <x v="0"/>
    <n v="1"/>
  </r>
  <r>
    <s v="GOVER"/>
    <m/>
    <x v="2"/>
    <n v="3343655"/>
    <x v="0"/>
    <d v="2025-04-01T13:12:00"/>
    <n v="4515692"/>
    <n v="4515692"/>
    <s v="PreencherPnr-&gt;Foi identificado um localizador sem código."/>
    <x v="901"/>
    <d v="2025-04-09T14:47:00"/>
    <s v="OUTROS"/>
    <x v="1"/>
    <s v="RLOC NÃO PREENCHIDO NA RESERVA"/>
    <s v="QUALIDADE DOS DADOS"/>
    <x v="0"/>
    <s v="COLUNA I"/>
  </r>
  <r>
    <s v="GOVER"/>
    <m/>
    <x v="2"/>
    <n v="3343656"/>
    <x v="0"/>
    <d v="2025-04-01T15:43:00"/>
    <n v="4515952"/>
    <n v="4515952"/>
    <s v="PreencherPnr-&gt;Foi identificado um localizador sem código."/>
    <x v="901"/>
    <d v="2025-04-09T14:47:00"/>
    <s v="OUTROS"/>
    <x v="1"/>
    <s v="RLOC NÃO PREENCHIDO NA RESERVA"/>
    <s v="QUALIDADE DOS DADOS"/>
    <x v="0"/>
    <s v="COLUNA I"/>
  </r>
  <r>
    <s v="GOVER"/>
    <m/>
    <x v="2"/>
    <n v="3343799"/>
    <x v="0"/>
    <d v="2025-04-03T10:31:00"/>
    <n v="4517446"/>
    <n v="4517446"/>
    <s v="PreencherPnr-&gt;Foi identificado um localizador sem código."/>
    <x v="902"/>
    <d v="2025-04-09T14:47:00"/>
    <s v="OUTROS"/>
    <x v="1"/>
    <s v="RLOC NÃO PREENCHIDO NA RESERVA"/>
    <s v="QUALIDADE DOS DADOS"/>
    <x v="0"/>
    <s v="COLUNA I"/>
  </r>
  <r>
    <s v="SABRE"/>
    <m/>
    <x v="2"/>
    <n v="3343804"/>
    <x v="2"/>
    <d v="2025-04-03T09:06:00"/>
    <s v="FQCBIA"/>
    <s v="FQCBIA"/>
    <s v="Não localizado cliente código [1234567890].&lt;-ObterCliente&lt;-MontarPnrBase&lt;-ProcessarAereo&lt;-ProcessarItemFila[b]"/>
    <x v="902"/>
    <m/>
    <s v="CLIENTE"/>
    <x v="13"/>
    <s v="CÓDIGO DIFERENTE DO CADASTRADO NO BENNER (CLIENTE X GRUPO)"/>
    <s v="QUALIDADE DOS DADOS"/>
    <x v="0"/>
    <n v="1"/>
  </r>
  <r>
    <s v="SABRE"/>
    <m/>
    <x v="2"/>
    <n v="3343809"/>
    <x v="2"/>
    <d v="2025-04-03T09:06:00"/>
    <s v="EQBRDL"/>
    <s v="EQBRDL"/>
    <s v="Não localizado cliente código [0000035945].&lt;-ObterCliente&lt;-MontarPnrBase&lt;-ProcessarAereo&lt;-ProcessarItemFila[b]"/>
    <x v="903"/>
    <m/>
    <s v="CLIENTE"/>
    <x v="13"/>
    <s v="CÓDIGO DIFERENTE DO CADASTRADO NO BENNER (CLIENTE X GRUPO)"/>
    <s v="QUALIDADE DOS DADOS"/>
    <x v="0"/>
    <n v="1"/>
  </r>
  <r>
    <s v="SABRE"/>
    <m/>
    <x v="2"/>
    <n v="3343810"/>
    <x v="2"/>
    <d v="2025-04-03T09:06:00"/>
    <s v="JRRGJI"/>
    <s v="JRRGJI"/>
    <s v="Não localizado cliente código [0000035945].&lt;-ObterCliente&lt;-MontarPnrBase&lt;-ProcessarAereo&lt;-ProcessarItemFila[b]"/>
    <x v="903"/>
    <m/>
    <s v="CLIENTE"/>
    <x v="13"/>
    <s v="CÓDIGO DIFERENTE DO CADASTRADO NO BENNER (CLIENTE X GRUPO)"/>
    <s v="QUALIDADE DOS DADOS"/>
    <x v="0"/>
    <n v="1"/>
  </r>
  <r>
    <s v="SABRE"/>
    <m/>
    <x v="2"/>
    <n v="3343814"/>
    <x v="2"/>
    <d v="2025-04-04T08:01:00"/>
    <s v="NFZLWQ"/>
    <s v="NFZLWQ"/>
    <s v="Código de cliente não identificado&lt;-ObterCliente&lt;-MontarPnrBase&lt;-ProcessarAereo&lt;-ProcessarItemFila[b]"/>
    <x v="903"/>
    <d v="2025-04-04T10:02:00"/>
    <s v="CLIENTE"/>
    <x v="14"/>
    <s v="DK DE CLIENTE NÃO PREENCIDO / CLIENTE NÃO CONFIGURADO NO OBT"/>
    <s v="INDEFINIDO"/>
    <x v="1"/>
    <s v="COLUNA I"/>
  </r>
  <r>
    <s v="SABRE"/>
    <m/>
    <x v="2"/>
    <n v="3343979"/>
    <x v="2"/>
    <d v="2025-04-03T09:36:00"/>
    <s v="JOCUVI"/>
    <s v="JOCUVI"/>
    <s v="Não localizado cliente código [0000050269].&lt;-ObterCliente&lt;-MontarPnrBase&lt;-ProcessarAereo&lt;-ProcessarItemFila[b]"/>
    <x v="904"/>
    <m/>
    <s v="CLIENTE"/>
    <x v="13"/>
    <s v="CÓDIGO DIFERENTE DO CADASTRADO NO BENNER (CLIENTE X GRUPO)"/>
    <s v="QUALIDADE DOS DADOS"/>
    <x v="0"/>
    <n v="1"/>
  </r>
  <r>
    <s v="SABRE"/>
    <m/>
    <x v="2"/>
    <n v="3343980"/>
    <x v="2"/>
    <d v="2025-04-03T09:36:00"/>
    <s v="JOCUVIT"/>
    <s v="JOCUVI"/>
    <s v="Não localizado cliente código [0000050269].&lt;-ObterCliente&lt;-MontarPnrBase&lt;-MontarPnr&lt;-ProcessarHotel&lt;-ProcessarItemFila[b]"/>
    <x v="904"/>
    <m/>
    <s v="CLIENTE"/>
    <x v="13"/>
    <s v="CÓDIGO DIFERENTE DO CADASTRADO NO BENNER (CLIENTE X GRUPO)"/>
    <s v="QUALIDADE DOS DADOS"/>
    <x v="0"/>
    <n v="1"/>
  </r>
  <r>
    <s v="SABRE"/>
    <m/>
    <x v="2"/>
    <n v="3343981"/>
    <x v="2"/>
    <d v="2025-04-03T09:36:00"/>
    <s v="JOCUVIC"/>
    <s v="JOCUVI"/>
    <s v="Não localizado cliente código [0000050269].&lt;-ObterCliente&lt;-MontarPnrBase&lt;-MontarPnr&lt;-ProcessarCarro&lt;-ProcessarItemFila[b]"/>
    <x v="904"/>
    <m/>
    <s v="CLIENTE"/>
    <x v="13"/>
    <s v="CÓDIGO DIFERENTE DO CADASTRADO NO BENNER (CLIENTE X GRUPO)"/>
    <s v="QUALIDADE DOS DADOS"/>
    <x v="0"/>
    <n v="1"/>
  </r>
  <r>
    <s v="SABRE"/>
    <m/>
    <x v="2"/>
    <n v="3344463"/>
    <x v="2"/>
    <d v="2025-04-03T12:18:00"/>
    <s v="WIBTPD"/>
    <s v="WIBTPD"/>
    <s v="Não localizado cliente código [0000063625].&lt;-ObterCliente&lt;-MontarPnrBase&lt;-ProcessarAereo&lt;-ProcessarItemFila[b]"/>
    <x v="905"/>
    <m/>
    <s v="CLIENTE"/>
    <x v="13"/>
    <s v="CÓDIGO DIFERENTE DO CADASTRADO NO BENNER (CLIENTE X GRUPO)"/>
    <s v="QUALIDADE DOS DADOS"/>
    <x v="0"/>
    <n v="1"/>
  </r>
  <r>
    <s v="SABRE"/>
    <m/>
    <x v="2"/>
    <n v="3344466"/>
    <x v="2"/>
    <d v="2025-04-03T12:18:00"/>
    <s v="IHRKFH"/>
    <s v="IHRKFH"/>
    <s v="Não localizado cliente código [1234567890].&lt;-ObterCliente&lt;-MontarPnrBase&lt;-ProcessarAereo&lt;-ProcessarItemFila[b]"/>
    <x v="905"/>
    <m/>
    <s v="CLIENTE"/>
    <x v="13"/>
    <s v="CÓDIGO DIFERENTE DO CADASTRADO NO BENNER (CLIENTE X GRUPO)"/>
    <s v="QUALIDADE DOS DADOS"/>
    <x v="0"/>
    <n v="1"/>
  </r>
  <r>
    <s v="SABRE"/>
    <m/>
    <x v="2"/>
    <n v="3344690"/>
    <x v="2"/>
    <d v="2025-04-03T14:13:00"/>
    <s v="FNGNJB"/>
    <s v="FNGNJB"/>
    <s v="Não localizado cliente código [0004223565].&lt;-ObterCliente&lt;-MontarPnrBase&lt;-ProcessarAereo&lt;-ProcessarItemFila[b]"/>
    <x v="906"/>
    <m/>
    <s v="CLIENTE"/>
    <x v="13"/>
    <s v="CÓDIGO DIFERENTE DO CADASTRADO NO BENNER (CLIENTE X GRUPO)"/>
    <s v="QUALIDADE DOS DADOS"/>
    <x v="0"/>
    <n v="1"/>
  </r>
  <r>
    <s v="SABRE"/>
    <m/>
    <x v="2"/>
    <n v="3345288"/>
    <x v="2"/>
    <d v="2025-04-03T15:38:00"/>
    <s v="KGWTGR"/>
    <s v="KGWTGR"/>
    <s v="Não localizado cliente código [0000063625].&lt;-ObterCliente&lt;-MontarPnrBase&lt;-ProcessarAereo&lt;-ProcessarItemFila[b]"/>
    <x v="907"/>
    <m/>
    <s v="CLIENTE"/>
    <x v="13"/>
    <s v="CÓDIGO DIFERENTE DO CADASTRADO NO BENNER (CLIENTE X GRUPO)"/>
    <s v="QUALIDADE DOS DADOS"/>
    <x v="0"/>
    <n v="1"/>
  </r>
  <r>
    <s v="SABRE"/>
    <m/>
    <x v="2"/>
    <n v="3345296"/>
    <x v="2"/>
    <d v="2025-04-03T15:38:00"/>
    <s v="FOFVSI"/>
    <s v="FOFVSI"/>
    <s v="Não localizado cliente código [0000063625].&lt;-ObterCliente&lt;-MontarPnrBase&lt;-ProcessarAereo&lt;-ProcessarItemFila[b]"/>
    <x v="908"/>
    <m/>
    <s v="CLIENTE"/>
    <x v="13"/>
    <s v="CÓDIGO DIFERENTE DO CADASTRADO NO BENNER (CLIENTE X GRUPO)"/>
    <s v="QUALIDADE DOS DADOS"/>
    <x v="0"/>
    <n v="1"/>
  </r>
  <r>
    <s v="TMS"/>
    <m/>
    <x v="2"/>
    <n v="3345696"/>
    <x v="1"/>
    <d v="2025-04-03T15:19:00"/>
    <n v="1637"/>
    <n v="1637"/>
    <s v="Preenchendo XML Serviço-&gt; Preenchendo XML-&gt; Montando accounting aereo 2-&gt;Não foi informado o Localizador do Assento/Bagagem!"/>
    <x v="909"/>
    <d v="2025-04-06T18:25:00"/>
    <s v="OUTROS"/>
    <x v="15"/>
    <s v="CAMPO OBSERVAÇÃO PREENCHIDO INCORRETAMENTE"/>
    <s v="QUALIDADE DOS DADOS"/>
    <x v="1"/>
    <n v="118"/>
  </r>
  <r>
    <s v="GOVER"/>
    <m/>
    <x v="2"/>
    <n v="3345755"/>
    <x v="0"/>
    <d v="2025-04-03T10:57:00"/>
    <n v="4517490"/>
    <s v="LOFHFV"/>
    <s v="PreencherPnr-&gt;Código do cliente não informado! (SolicitacaoDTO.UnidadeCodigoIntegracao)"/>
    <x v="910"/>
    <d v="2025-04-09T14:47:00"/>
    <s v="CLIENTE"/>
    <x v="14"/>
    <s v="DK DE CLIENTE NÃO PREENCIDO / CLIENTE NÃO CONFIGURADO NO OBT"/>
    <s v="INDEFINIDO"/>
    <x v="1"/>
    <s v="COLUNA I"/>
  </r>
  <r>
    <s v="GOVER"/>
    <m/>
    <x v="2"/>
    <n v="3345756"/>
    <x v="0"/>
    <d v="2025-04-03T10:57:00"/>
    <n v="4517490"/>
    <s v="XHPMKF"/>
    <s v="PreencherPnr-&gt;Código do cliente não informado! (SolicitacaoDTO.UnidadeCodigoIntegracao)"/>
    <x v="910"/>
    <d v="2025-04-09T14:47:00"/>
    <s v="CLIENTE"/>
    <x v="14"/>
    <s v="DK DE CLIENTE NÃO PREENCIDO / CLIENTE NÃO CONFIGURADO NO OBT"/>
    <s v="INDEFINIDO"/>
    <x v="1"/>
    <s v="COLUNA I"/>
  </r>
  <r>
    <s v="TMS"/>
    <m/>
    <x v="2"/>
    <n v="3345817"/>
    <x v="1"/>
    <d v="2025-04-03T17:04:00"/>
    <n v="58004"/>
    <n v="58004"/>
    <s v="Preenchendo XML Serviço-&gt; Preenchendo XML-&gt; Montando accounting aereo 2-&gt;Não foi informado o Localizador do Assento/Bagagem!"/>
    <x v="911"/>
    <d v="2025-04-06T18:27:00"/>
    <s v="OUTROS"/>
    <x v="15"/>
    <s v="CAMPO OBSERVAÇÃO PREENCHIDO INCORRETAMENTE"/>
    <s v="QUALIDADE DOS DADOS"/>
    <x v="1"/>
    <n v="118"/>
  </r>
  <r>
    <s v="SABRE"/>
    <m/>
    <x v="2"/>
    <n v="3346220"/>
    <x v="2"/>
    <d v="2025-04-03T18:04:00"/>
    <s v="MDHEQV"/>
    <s v="MDHEQV"/>
    <s v="Não localizado cliente código [0000392619].&lt;-ObterCliente&lt;-MontarPnrBase&lt;-ProcessarAereo&lt;-ProcessarItemFila[b]"/>
    <x v="912"/>
    <m/>
    <s v="CLIENTE"/>
    <x v="13"/>
    <s v="CÓDIGO DIFERENTE DO CADASTRADO NO BENNER (CLIENTE X GRUPO)"/>
    <s v="QUALIDADE DOS DADOS"/>
    <x v="0"/>
    <n v="1"/>
  </r>
  <r>
    <s v="SABRE"/>
    <m/>
    <x v="2"/>
    <n v="3346221"/>
    <x v="2"/>
    <d v="2025-04-09T11:16:00"/>
    <s v="EZWEFL"/>
    <s v="EZWEFL"/>
    <s v="Não localizado cliente código [0000583831].&lt;-ObterCliente&lt;-MontarPnrBase&lt;-ProcessarAereo&lt;-ProcessarItemFila[b]"/>
    <x v="912"/>
    <d v="2025-04-09T13:18:00"/>
    <s v="CLIENTE"/>
    <x v="13"/>
    <s v="CÓDIGO DIFERENTE DO CADASTRADO NO BENNER (CLIENTE X GRUPO)"/>
    <s v="QUALIDADE DOS DADOS"/>
    <x v="0"/>
    <n v="1"/>
  </r>
  <r>
    <s v="SABRE"/>
    <m/>
    <x v="2"/>
    <n v="3346222"/>
    <x v="2"/>
    <d v="2025-04-03T18:04:00"/>
    <s v="GRGJEA"/>
    <s v="GRGJEA"/>
    <s v="Código de cliente não identificado&lt;-ObterCliente&lt;-MontarPnrBase&lt;-ProcessarAereo&lt;-ProcessarItemFila[b]"/>
    <x v="912"/>
    <m/>
    <s v="CLIENTE"/>
    <x v="14"/>
    <s v="DK DE CLIENTE NÃO PREENCIDO / CLIENTE NÃO CONFIGURADO NO OBT"/>
    <s v="INDEFINIDO"/>
    <x v="1"/>
    <s v="COLUNA I"/>
  </r>
  <r>
    <s v="RESOLVIDO"/>
    <m/>
    <x v="1"/>
    <n v="3346458"/>
    <x v="1"/>
    <d v="2025-04-03T18:40:00"/>
    <n v="58079"/>
    <n v="58079"/>
    <s v="Preenchendo XML Serviço-&gt; Preenchendo XML-&gt; Montando accounting aereo 3-&gt;Reserva CONFIR não encontrada para importar assento/bagagem!"/>
    <x v="913"/>
    <d v="2025-04-06T18:27:00"/>
    <s v="OUTROS"/>
    <x v="15"/>
    <s v="CAMPO OBSERVAÇÃO PREENCHIDO INCORRETAMENTE"/>
    <s v="QUALIDADE DOS DADOS"/>
    <x v="1"/>
    <n v="127"/>
  </r>
  <r>
    <s v="TMS"/>
    <m/>
    <x v="2"/>
    <n v="3346490"/>
    <x v="1"/>
    <d v="2025-04-03T17:22:00"/>
    <n v="57997"/>
    <n v="57997"/>
    <s v="Preenchendo XML Serviço-&gt; Preenchendo XML-&gt; Montando accounting aereo 2-&gt;Não foi informado o Localizador do Assento/Bagagem!"/>
    <x v="914"/>
    <d v="2025-04-06T18:28:00"/>
    <s v="OUTROS"/>
    <x v="15"/>
    <s v="CAMPO OBSERVAÇÃO PREENCHIDO INCORRETAMENTE"/>
    <s v="QUALIDADE DOS DADOS"/>
    <x v="1"/>
    <n v="118"/>
  </r>
  <r>
    <s v="SABRE"/>
    <m/>
    <x v="2"/>
    <n v="3347680"/>
    <x v="2"/>
    <d v="2025-04-04T14:42:00"/>
    <s v="YTSNQKT"/>
    <s v="YTSNQK"/>
    <s v="Inserindo PNR - Accountings - TurVendas - Não foi possível localizar o contrato do fornecedor H57225"/>
    <x v="915"/>
    <m/>
    <s v="FORNECEDOR"/>
    <x v="10"/>
    <s v="CONTRATO INATIVO OU DIVERGENTE"/>
    <s v="SISTEMA"/>
    <x v="1"/>
    <n v="43"/>
  </r>
  <r>
    <s v="GOVER"/>
    <m/>
    <x v="2"/>
    <n v="3347752"/>
    <x v="0"/>
    <d v="2025-03-31T10:49:00"/>
    <n v="4514760"/>
    <s v="COTACAO-LOCALIZA"/>
    <s v="PreencherPnr-&gt;Não foi encontrado nenhum item veículo para o localizador COTACAO-LOCALIZA"/>
    <x v="916"/>
    <d v="2025-04-09T14:47:00"/>
    <s v="OUTROS"/>
    <x v="0"/>
    <s v="TAGS DE DETALHAMENTO DO SERVIÇO NÃO ENVIADO NO XML"/>
    <e v="#N/A"/>
    <x v="0"/>
    <n v="46"/>
  </r>
  <r>
    <s v="SABRE"/>
    <m/>
    <x v="2"/>
    <n v="3348258"/>
    <x v="2"/>
    <d v="2025-04-04T16:13:00"/>
    <s v="MLBXFL"/>
    <s v="MLBXFL"/>
    <s v="Código de cliente não identificado&lt;-ObterCliente&lt;-MontarPnrBase&lt;-ProcessarAereo&lt;-ProcessarItemFila[b]"/>
    <x v="917"/>
    <m/>
    <s v="CLIENTE"/>
    <x v="14"/>
    <s v="DK DE CLIENTE NÃO PREENCIDO / CLIENTE NÃO CONFIGURADO NO OBT"/>
    <s v="INDEFINIDO"/>
    <x v="1"/>
    <s v="COLUNA I"/>
  </r>
  <r>
    <s v="TMS"/>
    <m/>
    <x v="2"/>
    <n v="3348758"/>
    <x v="1"/>
    <d v="2025-04-04T13:53:00"/>
    <n v="62285"/>
    <n v="62285"/>
    <s v="Preenchendo XML Carro-&gt; Preenchendo XML-&gt; Montando accounting carro-&gt;Fornecedor com o código 68417  informado nos campos gerenciais não encontrado!"/>
    <x v="918"/>
    <d v="2025-04-07T19:55:00"/>
    <s v="FORNECEDOR"/>
    <x v="10"/>
    <s v="CONTRATO INATIVO OU DIVERGENTE"/>
    <s v="SISTEMA"/>
    <x v="1"/>
    <n v="69"/>
  </r>
  <r>
    <s v="SABRE"/>
    <m/>
    <x v="2"/>
    <n v="3349551"/>
    <x v="2"/>
    <d v="2025-04-07T06:15:00"/>
    <s v="KLEUMPT"/>
    <s v="KLEUMP"/>
    <s v="Não localizado cliente código [0000068777].&lt;-ObterCliente&lt;-MontarPnrBase&lt;-MontarPnr&lt;-ProcessarHotel&lt;-ProcessarItemFila[b]"/>
    <x v="919"/>
    <m/>
    <s v="CLIENTE"/>
    <x v="13"/>
    <s v="CÓDIGO DIFERENTE DO CADASTRADO NO BENNER (CLIENTE X GRUPO)"/>
    <s v="QUALIDADE DOS DADOS"/>
    <x v="0"/>
    <n v="1"/>
  </r>
  <r>
    <s v="RESOLVIDO"/>
    <m/>
    <x v="1"/>
    <n v="3350034"/>
    <x v="1"/>
    <d v="2025-04-07T12:17:00"/>
    <n v="61123"/>
    <n v="61123"/>
    <s v="Preenchendo XML Serviço-&gt; Preenchendo XML-&gt; Montando accounting aereo 2-&gt;Não foi informado o Localizador do Assento/Bagagem!"/>
    <x v="920"/>
    <d v="2025-04-09T13:23:00"/>
    <s v="OUTROS"/>
    <x v="15"/>
    <s v="CAMPO OBSERVAÇÃO PREENCHIDO INCORRETAMENTE"/>
    <s v="QUALIDADE DOS DADOS"/>
    <x v="1"/>
    <n v="118"/>
  </r>
  <r>
    <s v="SABRE"/>
    <m/>
    <x v="2"/>
    <n v="3350398"/>
    <x v="2"/>
    <d v="2025-04-07T11:05:00"/>
    <s v="ITPGHX"/>
    <s v="ITPGHX"/>
    <s v="Não localizado cliente com CNPJ [JTI DISTRIBUIDORA NOVA CONCEICAO].&lt;-ObterCliente&lt;-MontarPnrBase&lt;-ProcessarAereo&lt;-ProcessarItemFila[b]"/>
    <x v="921"/>
    <m/>
    <s v="CLIENTE"/>
    <x v="12"/>
    <s v=""/>
    <e v="#N/A"/>
    <x v="1"/>
    <n v="24"/>
  </r>
  <r>
    <s v="SABRE"/>
    <m/>
    <x v="2"/>
    <n v="3350678"/>
    <x v="2"/>
    <d v="2025-04-07T13:01:00"/>
    <s v="YLOPCH"/>
    <s v="YLOPCH"/>
    <s v="Não localizado cliente código [0000392619].&lt;-ObterCliente&lt;-MontarPnrBase&lt;-ProcessarAereo&lt;-ProcessarItemFila[b]"/>
    <x v="922"/>
    <m/>
    <s v="CLIENTE"/>
    <x v="13"/>
    <s v="CÓDIGO DIFERENTE DO CADASTRADO NO BENNER (CLIENTE X GRUPO)"/>
    <s v="QUALIDADE DOS DADOS"/>
    <x v="0"/>
    <n v="1"/>
  </r>
  <r>
    <s v="SABRE"/>
    <m/>
    <x v="2"/>
    <n v="3350988"/>
    <x v="2"/>
    <d v="2025-04-07T15:07:00"/>
    <s v="NAHEMZT"/>
    <s v="NAHEMZ"/>
    <s v="ConverterPagamentosRemark-&gt;Input string was not in a correct format.&lt;-MontarAccountinsHotel&lt;-ProcessarHotel&lt;-ProcessarItemFila[b]"/>
    <x v="923"/>
    <m/>
    <s v="FORMA PAGTO/RECTO"/>
    <x v="2"/>
    <s v="TEXTO FORA DO PADRÃO ACEITO NO CAMPO"/>
    <s v="INDEFINIDO"/>
    <x v="0"/>
    <s v="COLUNA I"/>
  </r>
  <r>
    <s v="RESOLVIDO"/>
    <m/>
    <x v="1"/>
    <n v="3351209"/>
    <x v="1"/>
    <d v="2025-04-07T15:35:00"/>
    <n v="61228"/>
    <n v="61228"/>
    <s v="Preenchendo XML Serviço-&gt; Preenchendo XML-&gt; Montando accounting aereo 3-&gt;Reserva KXMSTR não encontrada para importar assento/bagagem!"/>
    <x v="924"/>
    <d v="2025-04-09T13:23:00"/>
    <s v="OUTROS"/>
    <x v="15"/>
    <s v="CAMPO OBSERVAÇÃO PREENCHIDO INCORRETAMENTE"/>
    <s v="QUALIDADE DOS DADOS"/>
    <x v="1"/>
    <n v="127"/>
  </r>
  <r>
    <s v="TMS"/>
    <m/>
    <x v="2"/>
    <n v="3351230"/>
    <x v="1"/>
    <d v="2025-04-07T15:23:00"/>
    <n v="61151"/>
    <n v="61151"/>
    <s v="Preenchendo XML Serviço-&gt; Preenchendo XML-&gt; Montando accounting aereo 2-&gt;Não foi informado o Localizador do Assento/Bagagem!"/>
    <x v="925"/>
    <d v="2025-04-09T13:23:00"/>
    <s v="OUTROS"/>
    <x v="15"/>
    <s v="CAMPO OBSERVAÇÃO PREENCHIDO INCORRETAMENTE"/>
    <s v="QUALIDADE DOS DADOS"/>
    <x v="1"/>
    <n v="118"/>
  </r>
  <r>
    <s v="RESOLVIDO"/>
    <m/>
    <x v="1"/>
    <n v="3351242"/>
    <x v="1"/>
    <d v="2025-04-07T15:48:00"/>
    <n v="61143"/>
    <n v="61143"/>
    <s v="Preenchendo XML Serviço-&gt; Preenchendo XML-&gt; Montando accounting aereo 3-&gt;Reserva LA9574 não encontrada para importar assento/bagagem!"/>
    <x v="926"/>
    <d v="2025-04-09T13:23:00"/>
    <s v="OUTROS"/>
    <x v="15"/>
    <s v="CAMPO OBSERVAÇÃO PREENCHIDO INCORRETAMENTE"/>
    <s v="QUALIDADE DOS DADOS"/>
    <x v="1"/>
    <n v="127"/>
  </r>
  <r>
    <s v="RESOLVIDO"/>
    <m/>
    <x v="1"/>
    <n v="3351245"/>
    <x v="1"/>
    <d v="2025-04-07T16:02:00"/>
    <n v="61140"/>
    <n v="61140"/>
    <s v="Preenchendo XML Serviço-&gt; Preenchendo XML-&gt; Montando accounting aereo 3-&gt;Reserva LA9574 não encontrada para importar assento/bagagem!"/>
    <x v="926"/>
    <d v="2025-04-09T13:23:00"/>
    <s v="OUTROS"/>
    <x v="15"/>
    <s v="CAMPO OBSERVAÇÃO PREENCHIDO INCORRETAMENTE"/>
    <s v="QUALIDADE DOS DADOS"/>
    <x v="1"/>
    <n v="127"/>
  </r>
  <r>
    <s v="SABRE"/>
    <m/>
    <x v="2"/>
    <n v="3351313"/>
    <x v="2"/>
    <d v="2025-04-07T16:43:00"/>
    <s v="CVNKJS"/>
    <s v="CVNKJS"/>
    <s v="Não localizado cliente código [0000035945].&lt;-ObterCliente&lt;-MontarPnrBase&lt;-ProcessarAereo&lt;-ProcessarItemFila[b]"/>
    <x v="927"/>
    <m/>
    <s v="CLIENTE"/>
    <x v="13"/>
    <s v="CÓDIGO DIFERENTE DO CADASTRADO NO BENNER (CLIENTE X GRUPO)"/>
    <s v="QUALIDADE DOS DADOS"/>
    <x v="0"/>
    <n v="1"/>
  </r>
  <r>
    <s v="SABRE"/>
    <m/>
    <x v="2"/>
    <n v="3351334"/>
    <x v="2"/>
    <d v="2025-04-07T16:43:00"/>
    <s v="IEDMCV"/>
    <s v="IEDMCV"/>
    <s v="Não localizado cliente código [0000392619].&lt;-ObterCliente&lt;-MontarPnrBase&lt;-ProcessarAereo&lt;-ProcessarItemFila[b]"/>
    <x v="927"/>
    <m/>
    <s v="CLIENTE"/>
    <x v="13"/>
    <s v="CÓDIGO DIFERENTE DO CADASTRADO NO BENNER (CLIENTE X GRUPO)"/>
    <s v="QUALIDADE DOS DADOS"/>
    <x v="0"/>
    <n v="1"/>
  </r>
  <r>
    <s v="SABRE"/>
    <m/>
    <x v="2"/>
    <n v="3351339"/>
    <x v="2"/>
    <d v="2025-04-07T16:43:00"/>
    <s v="GTTQOK"/>
    <s v="GTTQOK"/>
    <s v="Código de cliente não identificado&lt;-ObterCliente&lt;-MontarPnrBase&lt;-ProcessarAereo&lt;-ProcessarItemFila[b]"/>
    <x v="928"/>
    <m/>
    <s v="CLIENTE"/>
    <x v="14"/>
    <s v="DK DE CLIENTE NÃO PREENCIDO / CLIENTE NÃO CONFIGURADO NO OBT"/>
    <s v="INDEFINIDO"/>
    <x v="1"/>
    <s v="COLUNA I"/>
  </r>
  <r>
    <s v="SABRE"/>
    <m/>
    <x v="2"/>
    <n v="3351342"/>
    <x v="2"/>
    <d v="2025-04-07T16:43:00"/>
    <s v="GTWZQK"/>
    <s v="GTWZQK"/>
    <s v="Código de cliente não identificado&lt;-ObterCliente&lt;-MontarPnrBase&lt;-ProcessarAereo&lt;-ProcessarItemFila[b]"/>
    <x v="928"/>
    <m/>
    <s v="CLIENTE"/>
    <x v="14"/>
    <s v="DK DE CLIENTE NÃO PREENCIDO / CLIENTE NÃO CONFIGURADO NO OBT"/>
    <s v="INDEFINIDO"/>
    <x v="1"/>
    <s v="COLUNA I"/>
  </r>
  <r>
    <s v="SABRE"/>
    <m/>
    <x v="2"/>
    <n v="3351345"/>
    <x v="2"/>
    <d v="2025-04-07T16:43:00"/>
    <s v="MQTBAK"/>
    <s v="MQTBAK"/>
    <s v="Não localizado cliente com CNPJ [820120000135].&lt;-ObterCliente&lt;-MontarPnrBase&lt;-ProcessarAereo&lt;-ProcessarItemFila[b]"/>
    <x v="928"/>
    <m/>
    <s v="CLIENTE"/>
    <x v="12"/>
    <s v=""/>
    <e v="#N/A"/>
    <x v="1"/>
    <n v="24"/>
  </r>
  <r>
    <s v="SABRE"/>
    <m/>
    <x v="2"/>
    <n v="3351354"/>
    <x v="2"/>
    <d v="2025-04-07T16:43:00"/>
    <s v="IBDIHT"/>
    <s v="IBDIHT"/>
    <s v="Não localizado cliente código [0000583831].&lt;-ObterCliente&lt;-MontarPnrBase&lt;-ProcessarAereo&lt;-ProcessarItemFila[b]"/>
    <x v="928"/>
    <m/>
    <s v="CLIENTE"/>
    <x v="13"/>
    <s v="CÓDIGO DIFERENTE DO CADASTRADO NO BENNER (CLIENTE X GRUPO)"/>
    <s v="QUALIDADE DOS DADOS"/>
    <x v="0"/>
    <n v="1"/>
  </r>
  <r>
    <s v="TMS"/>
    <m/>
    <x v="2"/>
    <n v="3351355"/>
    <x v="1"/>
    <d v="2025-04-07T13:48:00"/>
    <n v="59653"/>
    <n v="59653"/>
    <s v="Preenchendo XML Hotel-&gt; Preenchendo XML-&gt; Montando accounting hotel-&gt;Solicitação de hotel referente a esta cotação não foi encontrada (Id Cotação: 1)"/>
    <x v="928"/>
    <d v="2025-04-09T13:25:00"/>
    <s v="OUTROS"/>
    <x v="22"/>
    <s v="INDEFINIDO"/>
    <s v="INDEFINIDO"/>
    <x v="0"/>
    <s v="COLUNA I"/>
  </r>
  <r>
    <s v="SABRE"/>
    <m/>
    <x v="2"/>
    <n v="3351376"/>
    <x v="2"/>
    <d v="2025-04-07T16:43:00"/>
    <s v="MJVGJS"/>
    <s v="MJVGJS"/>
    <s v="Não localizado cliente código [1234567890].&lt;-ObterCliente&lt;-MontarPnrBase&lt;-ProcessarAereo&lt;-ProcessarItemFila[b]"/>
    <x v="929"/>
    <m/>
    <s v="CLIENTE"/>
    <x v="13"/>
    <s v="CÓDIGO DIFERENTE DO CADASTRADO NO BENNER (CLIENTE X GRUPO)"/>
    <s v="QUALIDADE DOS DADOS"/>
    <x v="0"/>
    <n v="1"/>
  </r>
  <r>
    <s v="RESOLVIDO"/>
    <m/>
    <x v="1"/>
    <n v="3351810"/>
    <x v="1"/>
    <d v="2025-04-07T15:16:00"/>
    <n v="58347"/>
    <n v="58347"/>
    <s v="Preenchendo XML Serviço-&gt; Preenchendo XML-&gt; Montando accounting aereo 2-&gt;Não foi informado o Localizador do Assento/Bagagem!"/>
    <x v="930"/>
    <d v="2025-04-09T14:12:00"/>
    <s v="OUTROS"/>
    <x v="15"/>
    <s v="CAMPO OBSERVAÇÃO PREENCHIDO INCORRETAMENTE"/>
    <s v="QUALIDADE DOS DADOS"/>
    <x v="1"/>
    <n v="118"/>
  </r>
  <r>
    <s v="RESOLVIDO"/>
    <m/>
    <x v="1"/>
    <n v="3351811"/>
    <x v="1"/>
    <d v="2025-04-07T15:18:00"/>
    <n v="58346"/>
    <n v="58346"/>
    <s v="Preenchendo XML Serviço-&gt; Preenchendo XML-&gt; Montando accounting aereo 2-&gt;Não foi informado o Localizador do Assento/Bagagem!"/>
    <x v="930"/>
    <d v="2025-04-09T14:12:00"/>
    <s v="OUTROS"/>
    <x v="15"/>
    <s v="CAMPO OBSERVAÇÃO PREENCHIDO INCORRETAMENTE"/>
    <s v="QUALIDADE DOS DADOS"/>
    <x v="1"/>
    <n v="118"/>
  </r>
  <r>
    <s v="TMS"/>
    <m/>
    <x v="2"/>
    <n v="3351832"/>
    <x v="1"/>
    <d v="2025-04-07T14:08:00"/>
    <n v="58222"/>
    <n v="58222"/>
    <s v="Preenchendo XML Serviço-&gt; Preenchendo XML-&gt; Montando accounting aereo 2-&gt;Não foi informado o Localizador do Assento/Bagagem!"/>
    <x v="931"/>
    <d v="2025-04-09T14:13:00"/>
    <s v="OUTROS"/>
    <x v="15"/>
    <s v="CAMPO OBSERVAÇÃO PREENCHIDO INCORRETAMENTE"/>
    <s v="QUALIDADE DOS DADOS"/>
    <x v="1"/>
    <n v="118"/>
  </r>
  <r>
    <s v="TMS"/>
    <m/>
    <x v="2"/>
    <n v="3351833"/>
    <x v="1"/>
    <d v="2025-04-07T14:06:00"/>
    <n v="58217"/>
    <n v="58217"/>
    <s v="Preenchendo XML Serviço-&gt; Preenchendo XML-&gt; Montando accounting aereo 2-&gt;Não foi informado o Localizador do Assento/Bagagem!"/>
    <x v="931"/>
    <d v="2025-04-09T14:13:00"/>
    <s v="OUTROS"/>
    <x v="15"/>
    <s v="CAMPO OBSERVAÇÃO PREENCHIDO INCORRETAMENTE"/>
    <s v="QUALIDADE DOS DADOS"/>
    <x v="1"/>
    <n v="118"/>
  </r>
  <r>
    <s v="SABRE"/>
    <m/>
    <x v="2"/>
    <n v="3352055"/>
    <x v="2"/>
    <d v="2025-04-07T17:55:00"/>
    <s v="LEJTLY"/>
    <s v="LEJTLY"/>
    <s v="Código de cliente não identificado&lt;-ObterCliente&lt;-MontarPnrBase&lt;-ProcessarAereo&lt;-ProcessarItemFila[b]"/>
    <x v="932"/>
    <m/>
    <s v="CLIENTE"/>
    <x v="14"/>
    <s v="DK DE CLIENTE NÃO PREENCIDO / CLIENTE NÃO CONFIGURADO NO OBT"/>
    <s v="INDEFINIDO"/>
    <x v="1"/>
    <s v="COLUNA I"/>
  </r>
  <r>
    <s v="SABRE"/>
    <m/>
    <x v="2"/>
    <n v="3352057"/>
    <x v="2"/>
    <d v="2025-04-07T17:55:00"/>
    <s v="FTGGRB"/>
    <s v="FTGGRB"/>
    <s v="Não localizado cliente código [0000035945].&lt;-ObterCliente&lt;-MontarPnrBase&lt;-ProcessarAereo&lt;-ProcessarItemFila[b]"/>
    <x v="932"/>
    <m/>
    <s v="CLIENTE"/>
    <x v="13"/>
    <s v="CÓDIGO DIFERENTE DO CADASTRADO NO BENNER (CLIENTE X GRUPO)"/>
    <s v="QUALIDADE DOS DADOS"/>
    <x v="0"/>
    <n v="1"/>
  </r>
  <r>
    <s v="SABRE"/>
    <m/>
    <x v="2"/>
    <n v="3352073"/>
    <x v="2"/>
    <d v="2025-04-07T18:10:00"/>
    <s v="SAWUEC"/>
    <s v="SAWUEC"/>
    <s v="Não localizado cliente código [0000035945].&lt;-ObterCliente&lt;-MontarPnrBase&lt;-ProcessarAereo&lt;-ProcessarItemFila[b]"/>
    <x v="933"/>
    <m/>
    <s v="CLIENTE"/>
    <x v="13"/>
    <s v="CÓDIGO DIFERENTE DO CADASTRADO NO BENNER (CLIENTE X GRUPO)"/>
    <s v="QUALIDADE DOS DADOS"/>
    <x v="0"/>
    <n v="1"/>
  </r>
  <r>
    <s v="SABRE"/>
    <m/>
    <x v="2"/>
    <n v="3353698"/>
    <x v="2"/>
    <d v="2025-04-08T15:13:00"/>
    <s v="AOOTWF"/>
    <s v="AOOTWF"/>
    <s v="Não localizado cliente código [1234567890].&lt;-ObterCliente&lt;-MontarPnrBase&lt;-ProcessarAereo&lt;-ProcessarItemFila[b]"/>
    <x v="934"/>
    <m/>
    <s v="CLIENTE"/>
    <x v="13"/>
    <s v="CÓDIGO DIFERENTE DO CADASTRADO NO BENNER (CLIENTE X GRUPO)"/>
    <s v="QUALIDADE DOS DADOS"/>
    <x v="0"/>
    <n v="1"/>
  </r>
  <r>
    <s v="SABRE"/>
    <m/>
    <x v="2"/>
    <n v="3353712"/>
    <x v="2"/>
    <d v="2025-04-09T11:42:00"/>
    <s v="DCWOUU"/>
    <s v="DCWOUU"/>
    <s v="Não localizado cliente código [0000063625].&lt;-ObterCliente&lt;-MontarPnrBase&lt;-ProcessarAereo&lt;-ProcessarItemFila[b]"/>
    <x v="935"/>
    <d v="2025-04-09T13:46:00"/>
    <s v="CLIENTE"/>
    <x v="13"/>
    <s v="CÓDIGO DIFERENTE DO CADASTRADO NO BENNER (CLIENTE X GRUPO)"/>
    <s v="QUALIDADE DOS DADOS"/>
    <x v="0"/>
    <n v="1"/>
  </r>
  <r>
    <s v="SABRE"/>
    <m/>
    <x v="2"/>
    <n v="3353715"/>
    <x v="2"/>
    <d v="2025-04-09T10:12:00"/>
    <s v="INHAHZ"/>
    <s v="INHAHZ"/>
    <s v="Não localizado cliente código [0000063625].&lt;-ObterCliente&lt;-MontarPnrBase&lt;-ProcessarAereo&lt;-ProcessarItemFila[b]"/>
    <x v="935"/>
    <d v="2025-04-09T12:17:00"/>
    <s v="CLIENTE"/>
    <x v="13"/>
    <s v="CÓDIGO DIFERENTE DO CADASTRADO NO BENNER (CLIENTE X GRUPO)"/>
    <s v="QUALIDADE DOS DADOS"/>
    <x v="0"/>
    <n v="1"/>
  </r>
  <r>
    <s v="SABRE"/>
    <m/>
    <x v="2"/>
    <n v="3353887"/>
    <x v="2"/>
    <d v="2025-04-08T16:08:00"/>
    <s v="HIAMMF"/>
    <s v="HIAMMF"/>
    <s v="Não localizado cliente código [1234567890].&lt;-ObterCliente&lt;-MontarPnrBase&lt;-ProcessarAereo&lt;-ProcessarItemFila[b]"/>
    <x v="936"/>
    <m/>
    <s v="CLIENTE"/>
    <x v="13"/>
    <s v="CÓDIGO DIFERENTE DO CADASTRADO NO BENNER (CLIENTE X GRUPO)"/>
    <s v="QUALIDADE DOS DADOS"/>
    <x v="0"/>
    <n v="1"/>
  </r>
  <r>
    <s v="SABRE"/>
    <m/>
    <x v="2"/>
    <n v="3353891"/>
    <x v="2"/>
    <d v="2025-04-09T09:22:00"/>
    <s v="OFHWOR"/>
    <s v="OFHWOR"/>
    <s v="Não localizado cliente código [0000068873].&lt;-ObterCliente&lt;-MontarPnrBase&lt;-ProcessarAereo&lt;-ProcessarItemFila[b]"/>
    <x v="936"/>
    <d v="2025-04-09T11:32:00"/>
    <s v="CLIENTE"/>
    <x v="13"/>
    <s v="CÓDIGO DIFERENTE DO CADASTRADO NO BENNER (CLIENTE X GRUPO)"/>
    <s v="QUALIDADE DOS DADOS"/>
    <x v="0"/>
    <n v="1"/>
  </r>
  <r>
    <s v="SABRE"/>
    <m/>
    <x v="2"/>
    <n v="3353895"/>
    <x v="2"/>
    <d v="2025-04-09T12:12:00"/>
    <s v="KKHRCI"/>
    <s v="KKHRCI"/>
    <s v="Código de cliente não identificado&lt;-ObterCliente&lt;-MontarPnrBase&lt;-ProcessarAereo&lt;-ProcessarItemFila[b]"/>
    <x v="937"/>
    <d v="2025-04-09T14:17:00"/>
    <s v="CLIENTE"/>
    <x v="14"/>
    <s v="DK DE CLIENTE NÃO PREENCIDO / CLIENTE NÃO CONFIGURADO NO OBT"/>
    <s v="INDEFINIDO"/>
    <x v="1"/>
    <s v="COLUNA I"/>
  </r>
  <r>
    <s v="SABRE"/>
    <m/>
    <x v="2"/>
    <n v="3353904"/>
    <x v="2"/>
    <d v="2025-04-09T12:11:00"/>
    <s v="IQHEAK"/>
    <s v="IQHEAK"/>
    <s v="Código de cliente não identificado&lt;-ObterCliente&lt;-MontarPnrBase&lt;-ProcessarAereo&lt;-ProcessarItemFila[b]"/>
    <x v="938"/>
    <d v="2025-04-09T14:17:00"/>
    <s v="CLIENTE"/>
    <x v="14"/>
    <s v="DK DE CLIENTE NÃO PREENCIDO / CLIENTE NÃO CONFIGURADO NO OBT"/>
    <s v="INDEFINIDO"/>
    <x v="1"/>
    <s v="COLUNA I"/>
  </r>
  <r>
    <s v="TMS"/>
    <m/>
    <x v="2"/>
    <n v="3354509"/>
    <x v="1"/>
    <d v="2025-04-08T15:31:00"/>
    <n v="101"/>
    <n v="101"/>
    <s v="Preenchendo XML Serviço-&gt; Preenchendo XML-&gt; Montando accounting aereo 2-&gt;Não foi informado o Localizador do Assento/Bagagem!"/>
    <x v="939"/>
    <d v="2025-04-09T14:20:00"/>
    <s v="OUTROS"/>
    <x v="15"/>
    <s v="CAMPO OBSERVAÇÃO PREENCHIDO INCORRETAMENTE"/>
    <s v="QUALIDADE DOS DADOS"/>
    <x v="1"/>
    <n v="118"/>
  </r>
  <r>
    <s v="SABRE"/>
    <m/>
    <x v="2"/>
    <n v="3354575"/>
    <x v="2"/>
    <d v="2025-04-09T11:43:00"/>
    <s v="YEQEXQ"/>
    <s v="YEQEXQ"/>
    <s v="Não localizado cliente código [0000583831].&lt;-ObterCliente&lt;-MontarPnrBase&lt;-ProcessarAereo&lt;-ProcessarItemFila[b]"/>
    <x v="940"/>
    <d v="2025-04-09T13:47:00"/>
    <s v="CLIENTE"/>
    <x v="13"/>
    <s v="CÓDIGO DIFERENTE DO CADASTRADO NO BENNER (CLIENTE X GRUPO)"/>
    <s v="QUALIDADE DOS DADOS"/>
    <x v="0"/>
    <n v="1"/>
  </r>
  <r>
    <s v="SABRE"/>
    <m/>
    <x v="2"/>
    <n v="3354583"/>
    <x v="2"/>
    <d v="2025-04-08T18:00:00"/>
    <s v="KLHVTK"/>
    <s v="KLHVTK"/>
    <s v="Não localizado cliente código [0000583808].&lt;-ObterCliente&lt;-MontarPnrBase&lt;-ProcessarAereo&lt;-ProcessarItemFila[b]"/>
    <x v="941"/>
    <m/>
    <s v="CLIENTE"/>
    <x v="13"/>
    <s v="CÓDIGO DIFERENTE DO CADASTRADO NO BENNER (CLIENTE X GRUPO)"/>
    <s v="QUALIDADE DOS DADOS"/>
    <x v="0"/>
    <n v="1"/>
  </r>
  <r>
    <s v="SABRE"/>
    <m/>
    <x v="2"/>
    <n v="3356276"/>
    <x v="2"/>
    <d v="2025-04-09T18:50:00"/>
    <s v="NQPMGT"/>
    <s v="NQPMGT"/>
    <s v="Não localizado cliente código [0000068777].&lt;-ObterCliente&lt;-MontarPnrBase&lt;-ProcessarAereo&lt;-ProcessarItemFila[b]"/>
    <x v="942"/>
    <d v="2025-04-09T21:04:00"/>
    <s v="CLIENTE"/>
    <x v="13"/>
    <s v="CÓDIGO DIFERENTE DO CADASTRADO NO BENNER (CLIENTE X GRUPO)"/>
    <s v="QUALIDADE DOS DADOS"/>
    <x v="0"/>
    <n v="1"/>
  </r>
  <r>
    <s v="SABRE"/>
    <m/>
    <x v="2"/>
    <n v="3356315"/>
    <x v="2"/>
    <d v="2025-04-09T15:43:00"/>
    <s v="LUWANST"/>
    <s v="LUWANS"/>
    <s v="ConverterPagamentosRemark-&gt;Input string was not in a correct format.&lt;-MontarAccountinsHotel&lt;-ProcessarHotel&lt;-ProcessarItemFila[b]"/>
    <x v="943"/>
    <m/>
    <s v="FORMA PAGTO/RECTO"/>
    <x v="2"/>
    <s v="TEXTO FORA DO PADRÃO ACEITO NO CAMPO"/>
    <s v="INDEFINIDO"/>
    <x v="0"/>
    <s v="COLUNA I"/>
  </r>
  <r>
    <s v="SABRE"/>
    <m/>
    <x v="2"/>
    <n v="3356460"/>
    <x v="2"/>
    <d v="2025-04-09T16:54:00"/>
    <s v="DAKGLY"/>
    <s v="DAKGLY"/>
    <s v="Não localizado cliente código [1234567890].&lt;-ObterCliente&lt;-MontarPnrBase&lt;-ProcessarAereo&lt;-ProcessarItemFila[b]"/>
    <x v="944"/>
    <m/>
    <s v="CLIENTE"/>
    <x v="13"/>
    <s v="CÓDIGO DIFERENTE DO CADASTRADO NO BENNER (CLIENTE X GRUPO)"/>
    <s v="QUALIDADE DOS DADOS"/>
    <x v="0"/>
    <n v="1"/>
  </r>
  <r>
    <s v="SABRE"/>
    <m/>
    <x v="2"/>
    <n v="3356462"/>
    <x v="2"/>
    <d v="2025-04-09T16:54:00"/>
    <s v="IMGRPF"/>
    <s v="IMGRPF"/>
    <s v="Não localizado cliente código [1234567890].&lt;-ObterCliente&lt;-MontarPnrBase&lt;-ProcessarAereo&lt;-ProcessarItemFila[b]"/>
    <x v="944"/>
    <m/>
    <s v="CLIENTE"/>
    <x v="13"/>
    <s v="CÓDIGO DIFERENTE DO CADASTRADO NO BENNER (CLIENTE X GRUPO)"/>
    <s v="QUALIDADE DOS DADOS"/>
    <x v="0"/>
    <n v="1"/>
  </r>
  <r>
    <s v="SABRE"/>
    <m/>
    <x v="2"/>
    <n v="3356469"/>
    <x v="2"/>
    <d v="2025-04-09T16:54:00"/>
    <s v="DIYANR"/>
    <s v="DIYANR"/>
    <s v="Código de cliente não identificado&lt;-ObterCliente&lt;-MontarPnrBase&lt;-ProcessarAereo&lt;-ProcessarItemFila[b]"/>
    <x v="945"/>
    <m/>
    <s v="CLIENTE"/>
    <x v="14"/>
    <s v="DK DE CLIENTE NÃO PREENCIDO / CLIENTE NÃO CONFIGURADO NO OBT"/>
    <s v="INDEFINIDO"/>
    <x v="1"/>
    <s v="COLUNA I"/>
  </r>
  <r>
    <s v="SABRE"/>
    <m/>
    <x v="2"/>
    <n v="3356484"/>
    <x v="2"/>
    <d v="2025-04-09T16:54:00"/>
    <s v="SYGPGE"/>
    <s v="SYGPGE"/>
    <s v="Não localizado cliente código [0000583808].&lt;-ObterCliente&lt;-MontarPnrBase&lt;-ProcessarAereo&lt;-ProcessarItemFila[b]"/>
    <x v="946"/>
    <m/>
    <s v="CLIENTE"/>
    <x v="13"/>
    <s v="CÓDIGO DIFERENTE DO CADASTRADO NO BENNER (CLIENTE X GRUPO)"/>
    <s v="QUALIDADE DOS DADOS"/>
    <x v="0"/>
    <n v="1"/>
  </r>
  <r>
    <s v="SABRE"/>
    <m/>
    <x v="2"/>
    <n v="3356491"/>
    <x v="2"/>
    <d v="2025-04-09T16:54:00"/>
    <s v="WFJRVW"/>
    <s v="WFJRVW"/>
    <s v="Código de cliente não identificado&lt;-ObterCliente&lt;-MontarPnrBase&lt;-ProcessarAereo&lt;-ProcessarItemFila[b]"/>
    <x v="946"/>
    <m/>
    <s v="CLIENTE"/>
    <x v="14"/>
    <s v="DK DE CLIENTE NÃO PREENCIDO / CLIENTE NÃO CONFIGURADO NO OBT"/>
    <s v="INDEFINIDO"/>
    <x v="1"/>
    <s v="COLUNA I"/>
  </r>
  <r>
    <s v="SABRE"/>
    <m/>
    <x v="2"/>
    <n v="3357288"/>
    <x v="2"/>
    <d v="2025-04-09T18:45:00"/>
    <s v="NYSNLT"/>
    <s v="NYSNLT"/>
    <s v="Código de cliente não identificado&lt;-ObterCliente&lt;-MontarPnrBase&lt;-ProcessarAereo&lt;-ProcessarItemFila[b]"/>
    <x v="947"/>
    <m/>
    <s v="CLIENTE"/>
    <x v="14"/>
    <s v="DK DE CLIENTE NÃO PREENCIDO / CLIENTE NÃO CONFIGURADO NO OBT"/>
    <s v="INDEFINIDO"/>
    <x v="1"/>
    <s v="COLUNA I"/>
  </r>
  <r>
    <s v="SABRE"/>
    <m/>
    <x v="2"/>
    <n v="3357293"/>
    <x v="2"/>
    <d v="2025-04-09T18:45:00"/>
    <s v="KHKWEQ"/>
    <s v="KHKWEQ"/>
    <s v="Não localizado cliente código [1234567890].&lt;-ObterCliente&lt;-MontarPnrBase&lt;-ProcessarAereo&lt;-ProcessarItemFila[b]"/>
    <x v="948"/>
    <m/>
    <s v="CLIENTE"/>
    <x v="13"/>
    <s v="CÓDIGO DIFERENTE DO CADASTRADO NO BENNER (CLIENTE X GRUPO)"/>
    <s v="QUALIDADE DOS DADOS"/>
    <x v="0"/>
    <n v="1"/>
  </r>
  <r>
    <s v="TMS"/>
    <m/>
    <x v="2"/>
    <n v="3357336"/>
    <x v="1"/>
    <d v="2025-04-09T17:30:00"/>
    <n v="17202"/>
    <n v="17202"/>
    <s v="Preenchendo XML Serviço-&gt; Preenchendo XML-&gt; Montando accounting aereo 2-&gt;Não foi informado o Localizador do Assento/Bagagem!"/>
    <x v="949"/>
    <d v="2025-04-12T20:23:00"/>
    <s v="OUTROS"/>
    <x v="15"/>
    <s v="CAMPO OBSERVAÇÃO PREENCHIDO INCORRETAMENTE"/>
    <s v="QUALIDADE DOS DADOS"/>
    <x v="1"/>
    <n v="118"/>
  </r>
  <r>
    <s v="SABRE"/>
    <m/>
    <x v="2"/>
    <n v="3357365"/>
    <x v="2"/>
    <d v="2025-04-09T18:50:00"/>
    <s v="CEJLXN"/>
    <s v="CEJLXN"/>
    <s v="Não localizado cliente código [0000583808].&lt;-ObterCliente&lt;-MontarPnrBase&lt;-ProcessarAereo&lt;-ProcessarItemFila[b]"/>
    <x v="950"/>
    <m/>
    <s v="CLIENTE"/>
    <x v="13"/>
    <s v="CÓDIGO DIFERENTE DO CADASTRADO NO BENNER (CLIENTE X GRUPO)"/>
    <s v="QUALIDADE DOS DADOS"/>
    <x v="0"/>
    <n v="1"/>
  </r>
  <r>
    <s v="SABRE"/>
    <m/>
    <x v="2"/>
    <n v="3357366"/>
    <x v="2"/>
    <d v="2025-04-09T18:50:00"/>
    <s v="NOYQBS"/>
    <s v="NOYQBS"/>
    <s v="Código de cliente não identificado&lt;-ObterCliente&lt;-MontarPnrBase&lt;-ProcessarAereo&lt;-ProcessarItemFila[b]"/>
    <x v="951"/>
    <m/>
    <s v="CLIENTE"/>
    <x v="14"/>
    <s v="DK DE CLIENTE NÃO PREENCIDO / CLIENTE NÃO CONFIGURADO NO OBT"/>
    <s v="INDEFINIDO"/>
    <x v="1"/>
    <s v="COLUNA I"/>
  </r>
  <r>
    <s v="SABRE"/>
    <m/>
    <x v="2"/>
    <n v="3357367"/>
    <x v="2"/>
    <d v="2025-04-09T18:50:00"/>
    <s v="QRKRAF"/>
    <s v="QRKRAF"/>
    <s v="Código de cliente não identificado&lt;-ObterCliente&lt;-MontarPnrBase&lt;-ProcessarAereo&lt;-ProcessarItemFila[b]"/>
    <x v="951"/>
    <m/>
    <s v="CLIENTE"/>
    <x v="14"/>
    <s v="DK DE CLIENTE NÃO PREENCIDO / CLIENTE NÃO CONFIGURADO NO OBT"/>
    <s v="INDEFINIDO"/>
    <x v="1"/>
    <s v="COLUNA I"/>
  </r>
  <r>
    <s v="SABRE"/>
    <m/>
    <x v="2"/>
    <n v="3357584"/>
    <x v="2"/>
    <d v="2025-04-10T07:21:00"/>
    <s v="ELMZFQT"/>
    <s v="ELMZFQ"/>
    <s v="Inserindo PNR - Accountings - TurVendas - Não foi possível localizar o contrato do fornecedor H84698"/>
    <x v="952"/>
    <m/>
    <s v="FORNECEDOR"/>
    <x v="10"/>
    <s v="CONTRATO INATIVO OU DIVERGENTE"/>
    <s v="SISTEMA"/>
    <x v="1"/>
    <n v="43"/>
  </r>
  <r>
    <s v="SABRE"/>
    <m/>
    <x v="2"/>
    <n v="3357858"/>
    <x v="2"/>
    <d v="2025-04-10T10:36:00"/>
    <s v="SWLEDHT"/>
    <s v="SWLEDH"/>
    <s v="Inserindo PNR - Accountings - TurVendas - Não foi possível localizar o contrato do fornecedor H84698"/>
    <x v="953"/>
    <m/>
    <s v="FORNECEDOR"/>
    <x v="10"/>
    <s v="CONTRATO INATIVO OU DIVERGENTE"/>
    <s v="SISTEMA"/>
    <x v="1"/>
    <n v="43"/>
  </r>
  <r>
    <s v="SABRE"/>
    <m/>
    <x v="2"/>
    <n v="3357887"/>
    <x v="2"/>
    <d v="2025-04-11T16:40:00"/>
    <s v="EZPFPE"/>
    <s v="EZPFPE"/>
    <s v="Código de cliente não identificado&lt;-ObterCliente&lt;-MontarPnrBase&lt;-ProcessarAereo&lt;-ProcessarItemFila[b]"/>
    <x v="954"/>
    <d v="2025-04-11T18:46:00"/>
    <s v="CLIENTE"/>
    <x v="14"/>
    <s v="DK DE CLIENTE NÃO PREENCIDO / CLIENTE NÃO CONFIGURADO NO OBT"/>
    <s v="INDEFINIDO"/>
    <x v="1"/>
    <s v="COLUNA I"/>
  </r>
  <r>
    <s v="SABRE"/>
    <m/>
    <x v="2"/>
    <n v="3357913"/>
    <x v="2"/>
    <d v="2025-04-10T11:03:00"/>
    <s v="LFQSKQ"/>
    <s v="LFQSKQ"/>
    <s v="ERRO: Cancelamento de Venda: Não há PNR no sistema para cancelar, venda não inserida!"/>
    <x v="955"/>
    <m/>
    <s v="CANCELAMENTO"/>
    <x v="6"/>
    <s v="RESERVA CANCELADA NO OBT"/>
    <s v="SISTEMA"/>
    <x v="0"/>
    <s v="COLUNA I"/>
  </r>
  <r>
    <s v="SABRE"/>
    <m/>
    <x v="2"/>
    <n v="3357933"/>
    <x v="2"/>
    <d v="2025-04-10T11:10:00"/>
    <s v="LGVUHX"/>
    <s v="LGVUHX"/>
    <s v="Não localizado cliente código [0000028635].&lt;-ObterCliente&lt;-MontarPnrBase&lt;-ProcessarAereo&lt;-ProcessarItemFila[b]"/>
    <x v="956"/>
    <m/>
    <s v="CLIENTE"/>
    <x v="13"/>
    <s v="CÓDIGO DIFERENTE DO CADASTRADO NO BENNER (CLIENTE X GRUPO)"/>
    <s v="QUALIDADE DOS DADOS"/>
    <x v="0"/>
    <n v="1"/>
  </r>
  <r>
    <s v="SABRE"/>
    <m/>
    <x v="2"/>
    <n v="3357934"/>
    <x v="2"/>
    <d v="2025-04-10T11:10:00"/>
    <s v="YZMGBB"/>
    <s v="YZMGBB"/>
    <s v="Não localizado cliente código [0000028635].&lt;-ObterCliente&lt;-MontarPnrBase&lt;-ProcessarAereo&lt;-ProcessarItemFila[b]"/>
    <x v="956"/>
    <m/>
    <s v="CLIENTE"/>
    <x v="13"/>
    <s v="CÓDIGO DIFERENTE DO CADASTRADO NO BENNER (CLIENTE X GRUPO)"/>
    <s v="QUALIDADE DOS DADOS"/>
    <x v="0"/>
    <n v="1"/>
  </r>
  <r>
    <s v="SABRE"/>
    <m/>
    <x v="2"/>
    <n v="3358225"/>
    <x v="2"/>
    <d v="2025-04-10T12:29:00"/>
    <s v="CFFCUP"/>
    <s v="CFFCUP"/>
    <s v="Código de cliente não identificado&lt;-ObterCliente&lt;-MontarPnrBase&lt;-ProcessarAereo&lt;-ProcessarItemFila[b]"/>
    <x v="957"/>
    <m/>
    <s v="CLIENTE"/>
    <x v="14"/>
    <s v="DK DE CLIENTE NÃO PREENCIDO / CLIENTE NÃO CONFIGURADO NO OBT"/>
    <s v="INDEFINIDO"/>
    <x v="1"/>
    <s v="COLUNA I"/>
  </r>
  <r>
    <s v="SABRE"/>
    <m/>
    <x v="2"/>
    <n v="3358715"/>
    <x v="2"/>
    <d v="2025-04-10T14:07:00"/>
    <s v="KEYLSA"/>
    <s v="KEYLSA"/>
    <s v="Não localizado cliente código [1234567890].&lt;-ObterCliente&lt;-MontarPnrBase&lt;-ProcessarAereo&lt;-ProcessarItemFila[b]"/>
    <x v="958"/>
    <m/>
    <s v="CLIENTE"/>
    <x v="13"/>
    <s v="CÓDIGO DIFERENTE DO CADASTRADO NO BENNER (CLIENTE X GRUPO)"/>
    <s v="QUALIDADE DOS DADOS"/>
    <x v="0"/>
    <n v="1"/>
  </r>
  <r>
    <s v="SABRE"/>
    <m/>
    <x v="2"/>
    <n v="3358719"/>
    <x v="2"/>
    <d v="2025-04-10T14:07:00"/>
    <s v="GEOIKX"/>
    <s v="GEOIKX"/>
    <s v="Código de cliente não identificado&lt;-ObterCliente&lt;-MontarPnrBase&lt;-ProcessarAereo&lt;-ProcessarItemFila[b]"/>
    <x v="959"/>
    <m/>
    <s v="CLIENTE"/>
    <x v="14"/>
    <s v="DK DE CLIENTE NÃO PREENCIDO / CLIENTE NÃO CONFIGURADO NO OBT"/>
    <s v="INDEFINIDO"/>
    <x v="1"/>
    <s v="COLUNA I"/>
  </r>
  <r>
    <s v="SABRE"/>
    <m/>
    <x v="2"/>
    <n v="3359015"/>
    <x v="2"/>
    <d v="2025-04-10T16:28:00"/>
    <s v="LUQRWU"/>
    <s v="LUQRWU"/>
    <s v="Não localizado cliente código [0000583808].&lt;-ObterCliente&lt;-MontarPnrBase&lt;-ProcessarAereo&lt;-ProcessarItemFila[b]"/>
    <x v="960"/>
    <m/>
    <s v="CLIENTE"/>
    <x v="13"/>
    <s v="CÓDIGO DIFERENTE DO CADASTRADO NO BENNER (CLIENTE X GRUPO)"/>
    <s v="QUALIDADE DOS DADOS"/>
    <x v="0"/>
    <n v="1"/>
  </r>
  <r>
    <s v="SABRE"/>
    <m/>
    <x v="2"/>
    <n v="3359018"/>
    <x v="2"/>
    <d v="2025-04-11T13:29:00"/>
    <s v="HXHTSF"/>
    <s v="HXHTSF"/>
    <s v="Não localizado cliente com CNPJ [JTI DISTRIBUIDORA NOVA CONCEICAO].&lt;-ObterCliente&lt;-MontarPnrBase&lt;-ProcessarAereo&lt;-ProcessarItemFila[b]"/>
    <x v="961"/>
    <d v="2025-04-11T15:32:00"/>
    <s v="CLIENTE"/>
    <x v="12"/>
    <s v=""/>
    <s v="QUALIDADE DOS DADOS"/>
    <x v="1"/>
    <n v="24"/>
  </r>
  <r>
    <s v="SABRE"/>
    <m/>
    <x v="2"/>
    <n v="3359377"/>
    <x v="2"/>
    <d v="2025-04-11T12:52:00"/>
    <s v="GGCFKT"/>
    <s v="GGCFKT"/>
    <s v="Não localizado cliente com CNPJ [JTI DISTRIBUIDORA NOVA CONCEICAO].&lt;-ObterCliente&lt;-MontarPnrBase&lt;-ProcessarAereo&lt;-ProcessarItemFila[b]"/>
    <x v="962"/>
    <d v="2025-04-11T15:02:00"/>
    <s v="CLIENTE"/>
    <x v="12"/>
    <s v=""/>
    <s v="QUALIDADE DOS DADOS"/>
    <x v="1"/>
    <n v="24"/>
  </r>
  <r>
    <s v="SABRE"/>
    <m/>
    <x v="2"/>
    <n v="3359391"/>
    <x v="2"/>
    <d v="2025-04-10T18:03:00"/>
    <s v="ITXMPH"/>
    <s v="ITXMPH"/>
    <s v="Não localizado cliente código [0000028612].&lt;-ObterCliente&lt;-MontarPnrBase&lt;-ProcessarAereo&lt;-ProcessarItemFila[b]"/>
    <x v="963"/>
    <m/>
    <s v="CLIENTE"/>
    <x v="13"/>
    <s v="CÓDIGO DIFERENTE DO CADASTRADO NO BENNER (CLIENTE X GRUPO)"/>
    <s v="QUALIDADE DOS DADOS"/>
    <x v="0"/>
    <n v="1"/>
  </r>
  <r>
    <s v="SABRE"/>
    <m/>
    <x v="2"/>
    <n v="3359399"/>
    <x v="2"/>
    <d v="2025-04-10T18:03:00"/>
    <s v="YSLAXJ"/>
    <s v="YSLAXJ"/>
    <s v="Não localizado cliente código [0000049977].&lt;-ObterCliente&lt;-MontarPnrBase&lt;-ProcessarAereo&lt;-ProcessarItemFila[b]"/>
    <x v="963"/>
    <m/>
    <s v="CLIENTE"/>
    <x v="13"/>
    <s v="CÓDIGO DIFERENTE DO CADASTRADO NO BENNER (CLIENTE X GRUPO)"/>
    <s v="QUALIDADE DOS DADOS"/>
    <x v="0"/>
    <n v="1"/>
  </r>
  <r>
    <s v="SABRE"/>
    <m/>
    <x v="2"/>
    <n v="3359402"/>
    <x v="2"/>
    <d v="2025-04-10T18:03:00"/>
    <s v="UDARRK"/>
    <s v="UDARRK"/>
    <s v="Não localizado cliente código [1234567890].&lt;-ObterCliente&lt;-MontarPnrBase&lt;-ProcessarAereo&lt;-ProcessarItemFila[b]"/>
    <x v="963"/>
    <m/>
    <s v="CLIENTE"/>
    <x v="13"/>
    <s v="CÓDIGO DIFERENTE DO CADASTRADO NO BENNER (CLIENTE X GRUPO)"/>
    <s v="QUALIDADE DOS DADOS"/>
    <x v="0"/>
    <n v="1"/>
  </r>
  <r>
    <s v="SABRE"/>
    <m/>
    <x v="2"/>
    <n v="3359403"/>
    <x v="2"/>
    <d v="2025-04-10T18:03:00"/>
    <s v="LGAWUU"/>
    <s v="LGAWUU"/>
    <s v="Código de cliente não identificado&lt;-ObterCliente&lt;-MontarPnrBase&lt;-ProcessarAereo&lt;-ProcessarItemFila[b]"/>
    <x v="963"/>
    <m/>
    <s v="CLIENTE"/>
    <x v="14"/>
    <s v="DK DE CLIENTE NÃO PREENCIDO / CLIENTE NÃO CONFIGURADO NO OBT"/>
    <s v="INDEFINIDO"/>
    <x v="1"/>
    <s v="COLUNA I"/>
  </r>
  <r>
    <s v="SABRE"/>
    <m/>
    <x v="2"/>
    <n v="3359775"/>
    <x v="2"/>
    <d v="2025-04-10T19:29:00"/>
    <s v="HZNZPM"/>
    <s v="HZNZPM"/>
    <s v="Não localizado cliente código [0000063625].&lt;-ObterCliente&lt;-MontarPnrBase&lt;-ProcessarAereo&lt;-ProcessarItemFila[b]"/>
    <x v="964"/>
    <m/>
    <s v="CLIENTE"/>
    <x v="13"/>
    <s v="CÓDIGO DIFERENTE DO CADASTRADO NO BENNER (CLIENTE X GRUPO)"/>
    <s v="QUALIDADE DOS DADOS"/>
    <x v="0"/>
    <n v="1"/>
  </r>
  <r>
    <s v="SABRE"/>
    <m/>
    <x v="2"/>
    <n v="3360301"/>
    <x v="2"/>
    <d v="2025-04-11T11:04:00"/>
    <s v="IOLCEN"/>
    <s v="IOLCEN"/>
    <s v="Não localizado cliente código [0000028635].&lt;-ObterCliente&lt;-MontarPnrBase&lt;-ProcessarAereo&lt;-ProcessarItemFila[b]"/>
    <x v="965"/>
    <m/>
    <s v="CLIENTE"/>
    <x v="13"/>
    <s v="CÓDIGO DIFERENTE DO CADASTRADO NO BENNER (CLIENTE X GRUPO)"/>
    <s v="QUALIDADE DOS DADOS"/>
    <x v="0"/>
    <n v="1"/>
  </r>
  <r>
    <s v="SABRE"/>
    <m/>
    <x v="2"/>
    <n v="3360302"/>
    <x v="2"/>
    <d v="2025-04-11T11:05:00"/>
    <s v="KJXDVO"/>
    <s v="KJXDVO"/>
    <s v="Não localizado cliente código [0000028635].&lt;-ObterCliente&lt;-MontarPnrBase&lt;-ProcessarAereo&lt;-ProcessarItemFila[b]"/>
    <x v="965"/>
    <m/>
    <s v="CLIENTE"/>
    <x v="13"/>
    <s v="CÓDIGO DIFERENTE DO CADASTRADO NO BENNER (CLIENTE X GRUPO)"/>
    <s v="QUALIDADE DOS DADOS"/>
    <x v="0"/>
    <n v="1"/>
  </r>
  <r>
    <s v="TMS"/>
    <m/>
    <x v="2"/>
    <n v="3360381"/>
    <x v="1"/>
    <d v="2025-04-11T12:51:00"/>
    <n v="61989"/>
    <n v="61989"/>
    <s v="Preenchendo XML Hotel-&gt; Preenchendo XML-&gt; Montando accounting hotel-&gt;Solicitação de hotel referente a esta cotação não foi encontrada (Id Cotação: 2)"/>
    <x v="966"/>
    <d v="2025-04-14T21:08:00"/>
    <s v="OUTROS"/>
    <x v="22"/>
    <s v="INDEFINIDO"/>
    <s v="INDEFINIDO"/>
    <x v="0"/>
    <s v="COLUNA I"/>
  </r>
  <r>
    <s v="SABRE"/>
    <m/>
    <x v="2"/>
    <n v="3361498"/>
    <x v="2"/>
    <d v="2025-04-11T15:52:00"/>
    <s v="UQGYGT"/>
    <s v="UQGYGT"/>
    <s v="Inserindo Accounting - (ExecSQL) - List index out of bounds (0)"/>
    <x v="967"/>
    <m/>
    <s v="OUTROS"/>
    <x v="7"/>
    <s v="ERRO NA IMPORTAÇÃO/MODIFICAÇÃO DAS INFOMAÇÕES"/>
    <s v="SISTEMA"/>
    <x v="2"/>
    <s v="COLUNA I"/>
  </r>
  <r>
    <s v="GOVER"/>
    <m/>
    <x v="2"/>
    <n v="3361603"/>
    <x v="0"/>
    <d v="2025-04-07T08:52:00"/>
    <n v="4518928"/>
    <n v="4518928"/>
    <s v="PreencherPnr-&gt;Foi identificado um localizador sem código."/>
    <x v="968"/>
    <d v="2025-04-29T08:44:00"/>
    <s v="OUTROS"/>
    <x v="1"/>
    <s v="RLOC NÃO PREENCHIDO NA RESERVA"/>
    <s v="QUALIDADE DOS DADOS"/>
    <x v="0"/>
    <s v="COLUNA I"/>
  </r>
  <r>
    <s v="SABRE"/>
    <m/>
    <x v="2"/>
    <n v="3361614"/>
    <x v="2"/>
    <d v="2025-04-14T10:09:00"/>
    <s v="MRGFSB"/>
    <s v="MRGFSB"/>
    <s v="Não localizado cliente com CNPJ [271682000177].&lt;-ObterCliente&lt;-MontarPnrBase&lt;-ProcessarAereo&lt;-ProcessarItemFila[b]"/>
    <x v="969"/>
    <d v="2025-04-14T12:17:00"/>
    <s v="CLIENTE"/>
    <x v="12"/>
    <s v=""/>
    <s v="QUALIDADE DOS DADOS"/>
    <x v="1"/>
    <n v="24"/>
  </r>
  <r>
    <s v="SABRE"/>
    <m/>
    <x v="2"/>
    <n v="3361622"/>
    <x v="2"/>
    <d v="2025-04-11T17:24:00"/>
    <s v="YETAEH"/>
    <s v="YETAEH"/>
    <s v="Não localizado cliente código [1234567890].&lt;-ObterCliente&lt;-MontarPnrBase&lt;-ProcessarAereo&lt;-ProcessarItemFila[b]"/>
    <x v="970"/>
    <m/>
    <s v="CLIENTE"/>
    <x v="13"/>
    <s v="CÓDIGO DIFERENTE DO CADASTRADO NO BENNER (CLIENTE X GRUPO)"/>
    <s v="QUALIDADE DOS DADOS"/>
    <x v="0"/>
    <n v="1"/>
  </r>
  <r>
    <s v="RESOLVIDO"/>
    <m/>
    <x v="1"/>
    <n v="3361899"/>
    <x v="1"/>
    <d v="2025-04-11T14:21:00"/>
    <n v="29415"/>
    <n v="29415"/>
    <s v="Preenchendo XML Serviço-&gt; Preenchendo XML-&gt; Montando accounting aereo 3-&gt;Reserva 29415 não encontrada para importar assento/bagagem!"/>
    <x v="971"/>
    <d v="2025-04-14T21:18:00"/>
    <s v="OUTROS"/>
    <x v="17"/>
    <s v=""/>
    <e v="#N/A"/>
    <x v="3"/>
    <n v="126"/>
  </r>
  <r>
    <s v="RESOLVIDO"/>
    <m/>
    <x v="1"/>
    <n v="3361904"/>
    <x v="1"/>
    <d v="2025-04-11T14:26:00"/>
    <n v="29328"/>
    <n v="29328"/>
    <s v="Preenchendo XML Serviço-&gt; Preenchendo XML-&gt; Montando accounting aereo 3-&gt;Reserva 29328 não encontrada para importar assento/bagagem!"/>
    <x v="972"/>
    <d v="2025-04-14T21:18:00"/>
    <s v="OUTROS"/>
    <x v="17"/>
    <s v=""/>
    <e v="#N/A"/>
    <x v="3"/>
    <n v="126"/>
  </r>
  <r>
    <s v="SABRE"/>
    <m/>
    <x v="2"/>
    <n v="3361960"/>
    <x v="2"/>
    <d v="2025-04-11T18:16:00"/>
    <s v="JWXZAI"/>
    <s v="JWXZAI"/>
    <s v="Código de cliente não identificado&lt;-ObterCliente&lt;-MontarPnrBase&lt;-ProcessarAereo&lt;-ProcessarItemFila[b]"/>
    <x v="973"/>
    <m/>
    <s v="CLIENTE"/>
    <x v="14"/>
    <s v="DK DE CLIENTE NÃO PREENCIDO / CLIENTE NÃO CONFIGURADO NO OBT"/>
    <s v="INDEFINIDO"/>
    <x v="1"/>
    <s v="COLUNA I"/>
  </r>
  <r>
    <s v="SABRE"/>
    <m/>
    <x v="2"/>
    <n v="3361962"/>
    <x v="2"/>
    <d v="2025-04-11T18:16:00"/>
    <s v="JJIEVZ"/>
    <s v="JJIEVZ"/>
    <s v="Não localizado cliente código [0000035945].&lt;-ObterCliente&lt;-MontarPnrBase&lt;-ProcessarAereo&lt;-ProcessarItemFila[b]"/>
    <x v="973"/>
    <m/>
    <s v="CLIENTE"/>
    <x v="13"/>
    <s v="CÓDIGO DIFERENTE DO CADASTRADO NO BENNER (CLIENTE X GRUPO)"/>
    <s v="QUALIDADE DOS DADOS"/>
    <x v="0"/>
    <n v="1"/>
  </r>
  <r>
    <s v="RESOLVIDO"/>
    <m/>
    <x v="1"/>
    <n v="3362105"/>
    <x v="1"/>
    <d v="2025-04-11T19:09:00"/>
    <n v="20553"/>
    <n v="20553"/>
    <s v="Preenchendo XML Serviço-&gt; Preenchendo XML-&gt; Montando accounting aereo 3-&gt;Reserva BAGAGE não encontrada para importar assento/bagagem!"/>
    <x v="974"/>
    <d v="2025-04-14T21:32:00"/>
    <s v="OUTROS"/>
    <x v="15"/>
    <s v="CAMPO OBSERVAÇÃO PREENCHIDO INCORRETAMENTE"/>
    <s v="QUALIDADE DOS DADOS"/>
    <x v="1"/>
    <n v="127"/>
  </r>
  <r>
    <s v="TMS"/>
    <m/>
    <x v="2"/>
    <n v="3362271"/>
    <x v="1"/>
    <d v="2025-04-11T17:56:00"/>
    <n v="11715"/>
    <n v="11715"/>
    <s v="Preenchendo XML Serviço-&gt; Preenchendo XML-&gt; Montando accounting aereo 2-&gt;Não foi informado o Localizador do Assento/Bagagem!"/>
    <x v="975"/>
    <d v="2025-04-14T21:45:00"/>
    <s v="OUTROS"/>
    <x v="15"/>
    <s v="CAMPO OBSERVAÇÃO PREENCHIDO INCORRETAMENTE"/>
    <s v="QUALIDADE DOS DADOS"/>
    <x v="1"/>
    <n v="118"/>
  </r>
  <r>
    <s v="SABRE"/>
    <m/>
    <x v="2"/>
    <n v="3362735"/>
    <x v="2"/>
    <d v="2025-04-13T15:19:00"/>
    <s v="HSDDYI"/>
    <s v="HSDDYI"/>
    <s v="Código de cliente não identificado&lt;-ObterCliente&lt;-MontarPnrBase&lt;-ProcessarAereo&lt;-ProcessarItemFila[b]"/>
    <x v="976"/>
    <m/>
    <s v="CLIENTE"/>
    <x v="14"/>
    <s v="DK DE CLIENTE NÃO PREENCIDO / CLIENTE NÃO CONFIGURADO NO OBT"/>
    <s v="INDEFINIDO"/>
    <x v="1"/>
    <s v="COLUNA I"/>
  </r>
  <r>
    <s v="SABRE"/>
    <m/>
    <x v="2"/>
    <n v="3362737"/>
    <x v="2"/>
    <d v="2025-04-13T15:19:00"/>
    <s v="EFRBWL"/>
    <s v="EFRBWL"/>
    <s v="Não localizado cliente código [0000392619].&lt;-ObterCliente&lt;-MontarPnrBase&lt;-ProcessarAereo&lt;-ProcessarItemFila[b]"/>
    <x v="977"/>
    <m/>
    <s v="CLIENTE"/>
    <x v="13"/>
    <s v="CÓDIGO DIFERENTE DO CADASTRADO NO BENNER (CLIENTE X GRUPO)"/>
    <s v="QUALIDADE DOS DADOS"/>
    <x v="0"/>
    <n v="1"/>
  </r>
  <r>
    <s v="SABRE"/>
    <m/>
    <x v="2"/>
    <n v="3362738"/>
    <x v="2"/>
    <d v="2025-04-13T15:19:00"/>
    <s v="OTESLA"/>
    <s v="OTESLA"/>
    <s v="Não localizado cliente código [0000063625].&lt;-ObterCliente&lt;-MontarPnrBase&lt;-ProcessarAereo&lt;-ProcessarItemFila[b]"/>
    <x v="977"/>
    <m/>
    <s v="CLIENTE"/>
    <x v="13"/>
    <s v="CÓDIGO DIFERENTE DO CADASTRADO NO BENNER (CLIENTE X GRUPO)"/>
    <s v="QUALIDADE DOS DADOS"/>
    <x v="0"/>
    <n v="1"/>
  </r>
  <r>
    <s v="SABRE"/>
    <m/>
    <x v="2"/>
    <n v="3362741"/>
    <x v="2"/>
    <d v="2025-04-13T15:19:00"/>
    <s v="IWUOPZ"/>
    <s v="IWUOPZ"/>
    <s v="Não localizado cliente código [1234567890].&lt;-ObterCliente&lt;-MontarPnrBase&lt;-ProcessarAereo&lt;-ProcessarItemFila[b]"/>
    <x v="977"/>
    <m/>
    <s v="CLIENTE"/>
    <x v="13"/>
    <s v="CÓDIGO DIFERENTE DO CADASTRADO NO BENNER (CLIENTE X GRUPO)"/>
    <s v="QUALIDADE DOS DADOS"/>
    <x v="0"/>
    <n v="1"/>
  </r>
  <r>
    <s v="SABRE"/>
    <m/>
    <x v="2"/>
    <n v="3362743"/>
    <x v="2"/>
    <d v="2025-04-13T15:19:00"/>
    <s v="YPCLGR"/>
    <s v="YPCLGR"/>
    <s v="Código de cliente não identificado&lt;-ObterCliente&lt;-MontarPnrBase&lt;-ProcessarAereo&lt;-ProcessarItemFila[b]"/>
    <x v="978"/>
    <m/>
    <s v="CLIENTE"/>
    <x v="14"/>
    <s v="DK DE CLIENTE NÃO PREENCIDO / CLIENTE NÃO CONFIGURADO NO OBT"/>
    <s v="INDEFINIDO"/>
    <x v="1"/>
    <s v="COLUNA I"/>
  </r>
  <r>
    <s v="SABRE"/>
    <m/>
    <x v="2"/>
    <n v="3362746"/>
    <x v="2"/>
    <d v="2025-04-13T15:19:00"/>
    <s v="AGXIVO"/>
    <s v="AGXIVO"/>
    <s v="Código de cliente não identificado&lt;-ObterCliente&lt;-MontarPnrBase&lt;-ProcessarAereo&lt;-ProcessarItemFila[b]"/>
    <x v="978"/>
    <m/>
    <s v="CLIENTE"/>
    <x v="14"/>
    <s v="DK DE CLIENTE NÃO PREENCIDO / CLIENTE NÃO CONFIGURADO NO OBT"/>
    <s v="INDEFINIDO"/>
    <x v="1"/>
    <s v="COLUNA I"/>
  </r>
  <r>
    <s v="SABRE"/>
    <m/>
    <x v="2"/>
    <n v="3362747"/>
    <x v="2"/>
    <d v="2025-04-13T15:19:00"/>
    <s v="QGAFWN"/>
    <s v="QGAFWN"/>
    <s v="Não localizado cliente código [1234567890].&lt;-ObterCliente&lt;-MontarPnrBase&lt;-ProcessarAereo&lt;-ProcessarItemFila[b]"/>
    <x v="978"/>
    <m/>
    <s v="CLIENTE"/>
    <x v="13"/>
    <s v="CÓDIGO DIFERENTE DO CADASTRADO NO BENNER (CLIENTE X GRUPO)"/>
    <s v="QUALIDADE DOS DADOS"/>
    <x v="0"/>
    <n v="1"/>
  </r>
  <r>
    <s v="SABRE"/>
    <m/>
    <x v="2"/>
    <n v="3362748"/>
    <x v="2"/>
    <d v="2025-04-13T15:19:00"/>
    <s v="YGSNXQ"/>
    <s v="YGSNXQ"/>
    <s v="Não localizado cliente com CNPJ [1924579000141].&lt;-ObterCliente&lt;-MontarPnrBase&lt;-ProcessarAereo&lt;-ProcessarItemFila[b]"/>
    <x v="978"/>
    <m/>
    <s v="CLIENTE"/>
    <x v="12"/>
    <s v=""/>
    <s v="QUALIDADE DOS DADOS"/>
    <x v="1"/>
    <n v="24"/>
  </r>
  <r>
    <s v="SABRE"/>
    <m/>
    <x v="2"/>
    <n v="3362751"/>
    <x v="2"/>
    <d v="2025-04-13T15:19:00"/>
    <s v="SSDRCS"/>
    <s v="SSDRCS"/>
    <s v="Não localizado cliente código [0000286569].&lt;-ObterCliente&lt;-MontarPnrBase&lt;-ProcessarAereo&lt;-ProcessarItemFila[b]"/>
    <x v="979"/>
    <m/>
    <s v="CLIENTE"/>
    <x v="13"/>
    <s v="CÓDIGO DIFERENTE DO CADASTRADO NO BENNER (CLIENTE X GRUPO)"/>
    <s v="QUALIDADE DOS DADOS"/>
    <x v="0"/>
    <n v="1"/>
  </r>
  <r>
    <s v="SABRE"/>
    <m/>
    <x v="2"/>
    <n v="3362755"/>
    <x v="2"/>
    <d v="2025-04-13T15:19:00"/>
    <s v="ABUSWN"/>
    <s v="ABUSWN"/>
    <s v="Código de cliente não identificado&lt;-ObterCliente&lt;-MontarPnrBase&lt;-ProcessarAereo&lt;-ProcessarItemFila[b]"/>
    <x v="980"/>
    <m/>
    <s v="CLIENTE"/>
    <x v="14"/>
    <s v="DK DE CLIENTE NÃO PREENCIDO / CLIENTE NÃO CONFIGURADO NO OBT"/>
    <s v="INDEFINIDO"/>
    <x v="1"/>
    <s v="COLUNA I"/>
  </r>
  <r>
    <s v="SABRE"/>
    <m/>
    <x v="2"/>
    <n v="3362757"/>
    <x v="2"/>
    <d v="2025-04-13T15:19:00"/>
    <s v="FYCZAJ"/>
    <s v="FYCZAJ"/>
    <s v="Código de cliente não identificado&lt;-ObterCliente&lt;-MontarPnrBase&lt;-ProcessarAereo&lt;-ProcessarItemFila[b]"/>
    <x v="980"/>
    <m/>
    <s v="CLIENTE"/>
    <x v="14"/>
    <s v="DK DE CLIENTE NÃO PREENCIDO / CLIENTE NÃO CONFIGURADO NO OBT"/>
    <s v="INDEFINIDO"/>
    <x v="1"/>
    <s v="COLUNA I"/>
  </r>
  <r>
    <s v="SABRE"/>
    <m/>
    <x v="2"/>
    <n v="3362758"/>
    <x v="2"/>
    <d v="2025-04-13T15:19:00"/>
    <s v="KWJVLN"/>
    <s v="KWJVLN"/>
    <s v="Código de cliente não identificado&lt;-ObterCliente&lt;-MontarPnrBase&lt;-ProcessarAereo&lt;-ProcessarItemFila[b]"/>
    <x v="980"/>
    <m/>
    <s v="CLIENTE"/>
    <x v="14"/>
    <s v="DK DE CLIENTE NÃO PREENCIDO / CLIENTE NÃO CONFIGURADO NO OBT"/>
    <s v="INDEFINIDO"/>
    <x v="1"/>
    <s v="COLUNA I"/>
  </r>
  <r>
    <s v="SABRE"/>
    <m/>
    <x v="2"/>
    <n v="3362760"/>
    <x v="2"/>
    <d v="2025-04-13T15:19:00"/>
    <s v="KGNCGR"/>
    <s v="KGNCGR"/>
    <s v="Código de cliente não identificado&lt;-ObterCliente&lt;-MontarPnrBase&lt;-ProcessarAereo&lt;-ProcessarItemFila[b]"/>
    <x v="980"/>
    <m/>
    <s v="CLIENTE"/>
    <x v="14"/>
    <s v="DK DE CLIENTE NÃO PREENCIDO / CLIENTE NÃO CONFIGURADO NO OBT"/>
    <s v="INDEFINIDO"/>
    <x v="1"/>
    <s v="COLUNA I"/>
  </r>
  <r>
    <s v="SABRE"/>
    <m/>
    <x v="2"/>
    <n v="3362763"/>
    <x v="2"/>
    <d v="2025-04-13T15:19:00"/>
    <s v="DLYQKX"/>
    <s v="DLYQKX"/>
    <s v="Código de cliente não identificado&lt;-ObterCliente&lt;-MontarPnrBase&lt;-ProcessarAereo&lt;-ProcessarItemFila[b]"/>
    <x v="981"/>
    <m/>
    <s v="CLIENTE"/>
    <x v="14"/>
    <s v="DK DE CLIENTE NÃO PREENCIDO / CLIENTE NÃO CONFIGURADO NO OBT"/>
    <s v="INDEFINIDO"/>
    <x v="1"/>
    <s v="COLUNA I"/>
  </r>
  <r>
    <s v="SABRE"/>
    <m/>
    <x v="2"/>
    <n v="3362764"/>
    <x v="2"/>
    <d v="2025-04-13T15:19:00"/>
    <s v="YGKPHK"/>
    <s v="YGKPHK"/>
    <s v="Código de cliente não identificado&lt;-ObterCliente&lt;-MontarPnrBase&lt;-ProcessarAereo&lt;-ProcessarItemFila[b]"/>
    <x v="981"/>
    <m/>
    <s v="CLIENTE"/>
    <x v="14"/>
    <s v="DK DE CLIENTE NÃO PREENCIDO / CLIENTE NÃO CONFIGURADO NO OBT"/>
    <s v="INDEFINIDO"/>
    <x v="1"/>
    <s v="COLUNA I"/>
  </r>
  <r>
    <s v="SABRE"/>
    <m/>
    <x v="2"/>
    <n v="3362766"/>
    <x v="2"/>
    <d v="2025-04-13T15:19:00"/>
    <s v="AIKEGX"/>
    <s v="AIKEGX"/>
    <s v="Código de cliente não identificado&lt;-ObterCliente&lt;-MontarPnrBase&lt;-ProcessarAereo&lt;-ProcessarItemFila[b]"/>
    <x v="981"/>
    <m/>
    <s v="CLIENTE"/>
    <x v="14"/>
    <s v="DK DE CLIENTE NÃO PREENCIDO / CLIENTE NÃO CONFIGURADO NO OBT"/>
    <s v="INDEFINIDO"/>
    <x v="1"/>
    <s v="COLUNA I"/>
  </r>
  <r>
    <s v="SABRE"/>
    <m/>
    <x v="2"/>
    <n v="3363262"/>
    <x v="2"/>
    <d v="2025-04-14T10:15:00"/>
    <s v="WDDHQB"/>
    <s v="WDDHQB"/>
    <s v="Não localizado cliente código [0000392619].&lt;-ObterCliente&lt;-MontarPnrBase&lt;-ProcessarAereo&lt;-ProcessarItemFila[b]"/>
    <x v="982"/>
    <m/>
    <s v="CLIENTE"/>
    <x v="13"/>
    <s v="CÓDIGO DIFERENTE DO CADASTRADO NO BENNER (CLIENTE X GRUPO)"/>
    <s v="QUALIDADE DOS DADOS"/>
    <x v="0"/>
    <n v="1"/>
  </r>
  <r>
    <s v="RESOLVIDO"/>
    <m/>
    <x v="1"/>
    <n v="3363911"/>
    <x v="1"/>
    <d v="2025-04-14T09:34:00"/>
    <n v="6523"/>
    <n v="6523"/>
    <s v="Preenchendo XML Aéreo-&gt; Preenchendo XML-&gt; Montando accounting aereo-&gt;Montando trecho da accounting-&gt;Input string was not in a correct format."/>
    <x v="983"/>
    <d v="2025-04-17T22:43:00"/>
    <s v="OUTROS"/>
    <x v="2"/>
    <s v="TEXTO FORA DO PADRÃO ACEITO NO CAMPO"/>
    <s v="INDEFINIDO"/>
    <x v="0"/>
    <s v="COLUNA I"/>
  </r>
  <r>
    <s v="TMS"/>
    <m/>
    <x v="2"/>
    <n v="3364210"/>
    <x v="1"/>
    <d v="2025-04-14T10:30:00"/>
    <n v="15630"/>
    <n v="15630"/>
    <s v="Preenchendo XML Serviço-&gt; Preenchendo XML-&gt; Montando accounting aereo 2-&gt;Não foi informado o Localizador do Assento/Bagagem!"/>
    <x v="984"/>
    <d v="2025-04-17T23:20:00"/>
    <s v="OUTROS"/>
    <x v="15"/>
    <s v="CAMPO OBSERVAÇÃO PREENCHIDO INCORRETAMENTE"/>
    <s v="QUALIDADE DOS DADOS"/>
    <x v="1"/>
    <n v="118"/>
  </r>
  <r>
    <s v="SABRE"/>
    <m/>
    <x v="2"/>
    <n v="3364374"/>
    <x v="2"/>
    <d v="2025-04-14T14:46:00"/>
    <s v="YJNQOM"/>
    <s v="YJNQOM"/>
    <s v="Não localizado cliente código [0000583808].&lt;-ObterCliente&lt;-MontarPnrBase&lt;-ProcessarAereo&lt;-ProcessarItemFila[b]"/>
    <x v="985"/>
    <m/>
    <s v="CLIENTE"/>
    <x v="13"/>
    <s v="CÓDIGO DIFERENTE DO CADASTRADO NO BENNER (CLIENTE X GRUPO)"/>
    <s v="QUALIDADE DOS DADOS"/>
    <x v="0"/>
    <n v="1"/>
  </r>
  <r>
    <s v="SABRE"/>
    <m/>
    <x v="2"/>
    <n v="3364376"/>
    <x v="2"/>
    <d v="2025-04-14T14:46:00"/>
    <s v="HQTHKE"/>
    <s v="HQTHKE"/>
    <s v="Não localizado cliente código [1234567890].&lt;-ObterCliente&lt;-MontarPnrBase&lt;-ProcessarAereo&lt;-ProcessarItemFila[b]"/>
    <x v="986"/>
    <m/>
    <s v="CLIENTE"/>
    <x v="13"/>
    <s v="CÓDIGO DIFERENTE DO CADASTRADO NO BENNER (CLIENTE X GRUPO)"/>
    <s v="QUALIDADE DOS DADOS"/>
    <x v="0"/>
    <n v="1"/>
  </r>
  <r>
    <s v="SABRE"/>
    <m/>
    <x v="2"/>
    <n v="3364391"/>
    <x v="2"/>
    <d v="2025-04-14T14:46:00"/>
    <s v="AXOOPP"/>
    <s v="AXOOPP"/>
    <s v="Não localizado cliente código [0000063625].&lt;-ObterCliente&lt;-MontarPnrBase&lt;-ProcessarAereo&lt;-ProcessarItemFila[b]"/>
    <x v="987"/>
    <m/>
    <s v="CLIENTE"/>
    <x v="13"/>
    <s v="CÓDIGO DIFERENTE DO CADASTRADO NO BENNER (CLIENTE X GRUPO)"/>
    <s v="QUALIDADE DOS DADOS"/>
    <x v="0"/>
    <n v="1"/>
  </r>
  <r>
    <s v="SABRE"/>
    <m/>
    <x v="2"/>
    <n v="3364398"/>
    <x v="2"/>
    <d v="2025-04-14T14:46:00"/>
    <s v="WRVMOS"/>
    <s v="WRVMOS"/>
    <s v="Não localizado cliente código [0000035945].&lt;-ObterCliente&lt;-MontarPnrBase&lt;-ProcessarAereo&lt;-ProcessarItemFila[b]"/>
    <x v="988"/>
    <m/>
    <s v="CLIENTE"/>
    <x v="13"/>
    <s v="CÓDIGO DIFERENTE DO CADASTRADO NO BENNER (CLIENTE X GRUPO)"/>
    <s v="QUALIDADE DOS DADOS"/>
    <x v="0"/>
    <n v="1"/>
  </r>
  <r>
    <s v="SABRE"/>
    <m/>
    <x v="2"/>
    <n v="3364621"/>
    <x v="2"/>
    <d v="2025-04-14T16:03:00"/>
    <s v="OHGXUMT"/>
    <s v="OHGXUM"/>
    <s v="Código de cliente não identificado&lt;-ObterCliente&lt;-MontarPnrBase&lt;-MontarPnr&lt;-ProcessarHotel&lt;-ProcessarItemFila[b]"/>
    <x v="989"/>
    <m/>
    <s v="CLIENTE"/>
    <x v="14"/>
    <s v="DK DE CLIENTE NÃO PREENCIDO / CLIENTE NÃO CONFIGURADO NO OBT"/>
    <s v="INDEFINIDO"/>
    <x v="1"/>
    <s v="COLUNA I"/>
  </r>
  <r>
    <s v="SABRE"/>
    <m/>
    <x v="2"/>
    <n v="3364744"/>
    <x v="2"/>
    <d v="2025-04-14T17:38:00"/>
    <s v="GCYBKL"/>
    <s v="GCYBKL"/>
    <s v="Não localizado cliente código [0000035945].&lt;-ObterCliente&lt;-MontarPnrBase&lt;-ProcessarAereo&lt;-ProcessarItemFila[b]"/>
    <x v="990"/>
    <m/>
    <s v="CLIENTE"/>
    <x v="13"/>
    <s v="CÓDIGO DIFERENTE DO CADASTRADO NO BENNER (CLIENTE X GRUPO)"/>
    <s v="QUALIDADE DOS DADOS"/>
    <x v="0"/>
    <n v="1"/>
  </r>
  <r>
    <s v="SABRE"/>
    <m/>
    <x v="2"/>
    <n v="3364761"/>
    <x v="2"/>
    <d v="2025-04-14T17:38:00"/>
    <s v="LLHJNQ"/>
    <s v="LLHJNQ"/>
    <s v="Não localizado cliente código [0000063625].&lt;-ObterCliente&lt;-MontarPnrBase&lt;-ProcessarAereo&lt;-ProcessarItemFila[b]"/>
    <x v="991"/>
    <m/>
    <s v="CLIENTE"/>
    <x v="13"/>
    <s v="CÓDIGO DIFERENTE DO CADASTRADO NO BENNER (CLIENTE X GRUPO)"/>
    <s v="QUALIDADE DOS DADOS"/>
    <x v="0"/>
    <n v="1"/>
  </r>
  <r>
    <s v="SABRE"/>
    <m/>
    <x v="2"/>
    <n v="3364771"/>
    <x v="2"/>
    <d v="2025-04-14T18:15:00"/>
    <s v="UXWXIG"/>
    <s v="UXWXIG"/>
    <s v="Código de cliente não identificado&lt;-ObterCliente&lt;-MontarPnrBase&lt;-ProcessarAereo&lt;-ProcessarItemFila[b]"/>
    <x v="992"/>
    <m/>
    <s v="CLIENTE"/>
    <x v="14"/>
    <s v="DK DE CLIENTE NÃO PREENCIDO / CLIENTE NÃO CONFIGURADO NO OBT"/>
    <s v="INDEFINIDO"/>
    <x v="1"/>
    <s v="COLUNA I"/>
  </r>
  <r>
    <s v="SABRE"/>
    <m/>
    <x v="2"/>
    <n v="3364773"/>
    <x v="2"/>
    <d v="2025-04-14T18:15:00"/>
    <s v="CWIFYL"/>
    <s v="CWIFYL"/>
    <s v="Não localizado cliente com CNPJ [271682000177].&lt;-ObterCliente&lt;-MontarPnrBase&lt;-ProcessarAereo&lt;-ProcessarItemFila[b]"/>
    <x v="992"/>
    <m/>
    <s v="CLIENTE"/>
    <x v="12"/>
    <s v=""/>
    <e v="#N/A"/>
    <x v="1"/>
    <n v="24"/>
  </r>
  <r>
    <s v="SABRE"/>
    <m/>
    <x v="2"/>
    <n v="3364777"/>
    <x v="2"/>
    <d v="2025-04-14T18:15:00"/>
    <s v="LJOILP"/>
    <s v="LJOILP"/>
    <s v="Não localizado cliente código [0000063625].&lt;-ObterCliente&lt;-MontarPnrBase&lt;-ProcessarAereo&lt;-ProcessarItemFila[b]"/>
    <x v="993"/>
    <m/>
    <s v="CLIENTE"/>
    <x v="13"/>
    <s v="CÓDIGO DIFERENTE DO CADASTRADO NO BENNER (CLIENTE X GRUPO)"/>
    <s v="QUALIDADE DOS DADOS"/>
    <x v="0"/>
    <n v="1"/>
  </r>
  <r>
    <s v="SABRE"/>
    <m/>
    <x v="2"/>
    <n v="3365996"/>
    <x v="2"/>
    <d v="2025-04-15T09:59:00"/>
    <s v="GADGPL"/>
    <s v="GADGPL"/>
    <s v="Não localizado cliente código [0000068957].&lt;-ObterCliente&lt;-MontarPnrBase&lt;-ProcessarAereo&lt;-ProcessarItemFila[b]"/>
    <x v="994"/>
    <m/>
    <s v="CLIENTE"/>
    <x v="13"/>
    <s v="CÓDIGO DIFERENTE DO CADASTRADO NO BENNER (CLIENTE X GRUPO)"/>
    <s v="QUALIDADE DOS DADOS"/>
    <x v="0"/>
    <n v="1"/>
  </r>
  <r>
    <s v="RESOLVIDO"/>
    <m/>
    <x v="1"/>
    <n v="3366910"/>
    <x v="1"/>
    <d v="2025-04-15T14:44:00"/>
    <n v="11753"/>
    <n v="11753"/>
    <s v="Preenchendo XML Carro-&gt; Preenchendo XML-&gt; Montando accounting carro-&gt;Fornecedor com o código 415368  informado nos campos gerenciais não encontrado!"/>
    <x v="995"/>
    <d v="2025-04-18T22:23:00"/>
    <s v="FORNECEDOR"/>
    <x v="10"/>
    <s v="CONTRATO INATIVO OU DIVERGENTE"/>
    <s v="SISTEMA"/>
    <x v="1"/>
    <n v="69"/>
  </r>
  <r>
    <s v="SABRE"/>
    <m/>
    <x v="2"/>
    <n v="3367149"/>
    <x v="2"/>
    <d v="2025-04-16T09:01:00"/>
    <s v="LVVZGW"/>
    <s v="LVVZGW"/>
    <s v="Não localizado cliente código [0000068873].&lt;-ObterCliente&lt;-MontarPnrBase&lt;-ProcessarAereo&lt;-ProcessarItemFila[b]"/>
    <x v="996"/>
    <d v="2025-04-16T11:05:00"/>
    <s v="CLIENTE"/>
    <x v="13"/>
    <s v="CÓDIGO DIFERENTE DO CADASTRADO NO BENNER (CLIENTE X GRUPO)"/>
    <s v="QUALIDADE DOS DADOS"/>
    <x v="0"/>
    <n v="1"/>
  </r>
  <r>
    <s v="SABRE"/>
    <m/>
    <x v="2"/>
    <n v="3367338"/>
    <x v="2"/>
    <d v="2025-04-16T14:25:00"/>
    <s v="UNEMOW"/>
    <s v="UNEMOW"/>
    <s v="Código de cliente não identificado&lt;-ObterCliente&lt;-MontarPnrBase&lt;-ProcessarAereo&lt;-ProcessarItemFila[b]"/>
    <x v="997"/>
    <d v="2025-04-16T16:32:00"/>
    <s v="CLIENTE"/>
    <x v="14"/>
    <s v="DK DE CLIENTE NÃO PREENCIDO / CLIENTE NÃO CONFIGURADO NO OBT"/>
    <s v="INDEFINIDO"/>
    <x v="1"/>
    <s v="COLUNA I"/>
  </r>
  <r>
    <s v="SABRE"/>
    <m/>
    <x v="2"/>
    <n v="3367487"/>
    <x v="2"/>
    <d v="2025-04-15T18:50:00"/>
    <s v="LDPSVQ"/>
    <s v="LDPSVQ"/>
    <s v="Código de cliente não identificado&lt;-ObterCliente&lt;-MontarPnrBase&lt;-ProcessarAereo&lt;-ProcessarItemFila[b]"/>
    <x v="998"/>
    <m/>
    <s v="CLIENTE"/>
    <x v="14"/>
    <s v="DK DE CLIENTE NÃO PREENCIDO / CLIENTE NÃO CONFIGURADO NO OBT"/>
    <s v="INDEFINIDO"/>
    <x v="1"/>
    <s v="COLUNA I"/>
  </r>
  <r>
    <s v="SABRE"/>
    <m/>
    <x v="2"/>
    <n v="3367488"/>
    <x v="2"/>
    <d v="2025-04-15T18:50:00"/>
    <s v="NQIPVW"/>
    <s v="NQIPVW"/>
    <s v="Código de cliente não identificado&lt;-ObterCliente&lt;-MontarPnrBase&lt;-ProcessarAereo&lt;-ProcessarItemFila[b]"/>
    <x v="998"/>
    <m/>
    <s v="CLIENTE"/>
    <x v="14"/>
    <s v="DK DE CLIENTE NÃO PREENCIDO / CLIENTE NÃO CONFIGURADO NO OBT"/>
    <s v="INDEFINIDO"/>
    <x v="1"/>
    <s v="COLUNA I"/>
  </r>
  <r>
    <s v="SABRE"/>
    <m/>
    <x v="2"/>
    <n v="3367490"/>
    <x v="2"/>
    <d v="2025-04-15T18:50:00"/>
    <s v="KVBFQC"/>
    <s v="KVBFQC"/>
    <s v="Código de cliente não identificado&lt;-ObterCliente&lt;-MontarPnrBase&lt;-ProcessarAereo&lt;-ProcessarItemFila[b]"/>
    <x v="998"/>
    <m/>
    <s v="CLIENTE"/>
    <x v="14"/>
    <s v="DK DE CLIENTE NÃO PREENCIDO / CLIENTE NÃO CONFIGURADO NO OBT"/>
    <s v="INDEFINIDO"/>
    <x v="1"/>
    <s v="COLUNA I"/>
  </r>
  <r>
    <s v="SABRE"/>
    <m/>
    <x v="2"/>
    <n v="3367491"/>
    <x v="2"/>
    <d v="2025-04-15T18:50:00"/>
    <s v="IMFKLN"/>
    <s v="IMFKLN"/>
    <s v="Não localizado cliente código [1234567890].&lt;-ObterCliente&lt;-MontarPnrBase&lt;-ProcessarAereo&lt;-ProcessarItemFila[b]"/>
    <x v="998"/>
    <m/>
    <s v="CLIENTE"/>
    <x v="13"/>
    <s v="CÓDIGO DIFERENTE DO CADASTRADO NO BENNER (CLIENTE X GRUPO)"/>
    <s v="QUALIDADE DOS DADOS"/>
    <x v="0"/>
    <n v="1"/>
  </r>
  <r>
    <s v="RESOLVIDO"/>
    <m/>
    <x v="1"/>
    <n v="3367696"/>
    <x v="1"/>
    <d v="2025-04-15T19:08:00"/>
    <n v="30046"/>
    <n v="30046"/>
    <s v="Preenchendo XML Serviço-&gt; Preenchendo XML-&gt; Montando accounting aereo 3-&gt;Reserva 30046 não encontrada para importar assento/bagagem!"/>
    <x v="999"/>
    <d v="2025-04-18T22:21:00"/>
    <s v="OUTROS"/>
    <x v="17"/>
    <s v=""/>
    <e v="#N/A"/>
    <x v="3"/>
    <n v="126"/>
  </r>
  <r>
    <s v="RESOLVIDO"/>
    <m/>
    <x v="1"/>
    <n v="3367908"/>
    <x v="1"/>
    <d v="2025-04-15T17:27:00"/>
    <n v="20662"/>
    <n v="20662"/>
    <s v="Preenchendo XML Carro-&gt; Preenchendo XML-&gt; Montando accounting carro-&gt;Fornecedor com o código 415368  informado nos campos gerenciais não encontrado!"/>
    <x v="1000"/>
    <d v="2025-04-18T22:23:00"/>
    <s v="FORNECEDOR"/>
    <x v="10"/>
    <s v="CONTRATO INATIVO OU DIVERGENTE"/>
    <s v="SISTEMA"/>
    <x v="1"/>
    <n v="69"/>
  </r>
  <r>
    <s v="TMS"/>
    <m/>
    <x v="2"/>
    <n v="3368365"/>
    <x v="1"/>
    <d v="2025-04-16T09:07:00"/>
    <n v="5171"/>
    <n v="5171"/>
    <s v="Preenchendo XML Aéreo-&gt; Preenchendo XML-&gt; Montando accounting aereo-&gt;Número do bilhete não identificado"/>
    <x v="1001"/>
    <d v="2025-04-21T14:02:00"/>
    <s v="OUTROS"/>
    <x v="17"/>
    <s v=""/>
    <s v="SISTEMA"/>
    <x v="3"/>
    <s v="COLUNA I"/>
  </r>
  <r>
    <s v="GOVER"/>
    <m/>
    <x v="2"/>
    <n v="3368368"/>
    <x v="0"/>
    <d v="2025-03-24T11:21:00"/>
    <n v="4510978"/>
    <n v="4510978"/>
    <s v="PreencherPnr-&gt;Foi identificado um localizador sem código."/>
    <x v="1002"/>
    <d v="2025-04-29T08:44:00"/>
    <s v="OUTROS"/>
    <x v="1"/>
    <s v="RLOC NÃO PREENCHIDO NA RESERVA"/>
    <s v="QUALIDADE DOS DADOS"/>
    <x v="0"/>
    <s v="COLUNA I"/>
  </r>
  <r>
    <s v="SABRE"/>
    <m/>
    <x v="2"/>
    <n v="3368736"/>
    <x v="2"/>
    <d v="2025-04-16T09:44:00"/>
    <s v="CMTOOHT"/>
    <s v="CMTOOH"/>
    <s v="Inserindo PNR - Accountings - TurVendas - Não foi possível localizar o contrato do fornecedor H84698"/>
    <x v="1003"/>
    <m/>
    <s v="FORNECEDOR"/>
    <x v="10"/>
    <s v="CONTRATO INATIVO OU DIVERGENTE"/>
    <s v="SISTEMA"/>
    <x v="1"/>
    <n v="43"/>
  </r>
  <r>
    <s v="GOVER"/>
    <m/>
    <x v="2"/>
    <n v="3368857"/>
    <x v="0"/>
    <d v="2025-04-15T11:29:00"/>
    <n v="4523332"/>
    <n v="4523332"/>
    <s v="PreencherPnr-&gt;Foi identificado um localizador sem código."/>
    <x v="1004"/>
    <d v="2025-04-29T08:44:00"/>
    <s v="OUTROS"/>
    <x v="1"/>
    <s v="RLOC NÃO PREENCHIDO NA RESERVA"/>
    <s v="QUALIDADE DOS DADOS"/>
    <x v="0"/>
    <s v="COLUNA I"/>
  </r>
  <r>
    <s v="SABRE"/>
    <m/>
    <x v="2"/>
    <n v="3368957"/>
    <x v="2"/>
    <d v="2025-04-17T10:57:00"/>
    <s v="UHPZOT"/>
    <s v="UHPZOT"/>
    <s v="Não localizado cliente com CNPJ [JTI PROCESSADORA].&lt;-ObterCliente&lt;-MontarPnrBase&lt;-ProcessarAereo&lt;-ProcessarItemFila[b]"/>
    <x v="1005"/>
    <d v="2025-04-17T13:03:00"/>
    <s v="CLIENTE"/>
    <x v="12"/>
    <s v=""/>
    <s v="SISTEMA"/>
    <x v="1"/>
    <n v="24"/>
  </r>
  <r>
    <s v="SABRE"/>
    <m/>
    <x v="2"/>
    <n v="3368963"/>
    <x v="2"/>
    <d v="2025-04-16T11:34:00"/>
    <s v="NNAGKD"/>
    <s v="NNAGKD"/>
    <s v="Código de cliente não identificado&lt;-ObterCliente&lt;-MontarPnrBase&lt;-ProcessarAereo&lt;-ProcessarItemFila[b]"/>
    <x v="1005"/>
    <m/>
    <s v="CLIENTE"/>
    <x v="14"/>
    <s v="DK DE CLIENTE NÃO PREENCIDO / CLIENTE NÃO CONFIGURADO NO OBT"/>
    <s v="INDEFINIDO"/>
    <x v="1"/>
    <s v="COLUNA I"/>
  </r>
  <r>
    <s v="SABRE"/>
    <m/>
    <x v="2"/>
    <n v="3368968"/>
    <x v="2"/>
    <d v="2025-04-16T11:34:00"/>
    <s v="CITLHL"/>
    <s v="CITLHL"/>
    <s v="Código de cliente não identificado&lt;-ObterCliente&lt;-MontarPnrBase&lt;-ProcessarAereo&lt;-ProcessarItemFila[b]"/>
    <x v="1006"/>
    <m/>
    <s v="CLIENTE"/>
    <x v="14"/>
    <s v="DK DE CLIENTE NÃO PREENCIDO / CLIENTE NÃO CONFIGURADO NO OBT"/>
    <s v="INDEFINIDO"/>
    <x v="1"/>
    <s v="COLUNA I"/>
  </r>
  <r>
    <s v="SABRE"/>
    <m/>
    <x v="2"/>
    <n v="3368969"/>
    <x v="2"/>
    <d v="2025-04-16T11:34:00"/>
    <s v="IGTKEZ"/>
    <s v="IGTKEZ"/>
    <s v="Não localizado cliente código [0000063625].&lt;-ObterCliente&lt;-MontarPnrBase&lt;-ProcessarAereo&lt;-ProcessarItemFila[b]"/>
    <x v="1006"/>
    <m/>
    <s v="CLIENTE"/>
    <x v="13"/>
    <s v="CÓDIGO DIFERENTE DO CADASTRADO NO BENNER (CLIENTE X GRUPO)"/>
    <s v="QUALIDADE DOS DADOS"/>
    <x v="0"/>
    <n v="1"/>
  </r>
  <r>
    <s v="SABRE"/>
    <m/>
    <x v="2"/>
    <n v="3368970"/>
    <x v="2"/>
    <d v="2025-04-16T11:34:00"/>
    <s v="JQETJV"/>
    <s v="JQETJV"/>
    <s v="Não localizado cliente código [0000063625].&lt;-ObterCliente&lt;-MontarPnrBase&lt;-ProcessarAereo&lt;-ProcessarItemFila[b]"/>
    <x v="1006"/>
    <m/>
    <s v="CLIENTE"/>
    <x v="13"/>
    <s v="CÓDIGO DIFERENTE DO CADASTRADO NO BENNER (CLIENTE X GRUPO)"/>
    <s v="QUALIDADE DOS DADOS"/>
    <x v="0"/>
    <n v="1"/>
  </r>
  <r>
    <s v="SABRE"/>
    <m/>
    <x v="2"/>
    <n v="3369034"/>
    <x v="2"/>
    <d v="2025-04-16T12:38:00"/>
    <s v="JNTUBFT"/>
    <s v="JNTUBF"/>
    <s v="Inserindo PNR - Accountings - TurVendas - Não foi possível localizar o contrato do fornecedor H84698"/>
    <x v="1007"/>
    <m/>
    <s v="FORNECEDOR"/>
    <x v="10"/>
    <s v="CONTRATO INATIVO OU DIVERGENTE"/>
    <s v="SISTEMA"/>
    <x v="1"/>
    <n v="43"/>
  </r>
  <r>
    <s v="SABRE"/>
    <m/>
    <x v="2"/>
    <n v="3369039"/>
    <x v="2"/>
    <d v="2025-04-16T12:42:00"/>
    <s v="FEHTBM"/>
    <s v="FEHTBM"/>
    <s v="Não localizado cliente código [1234567890].&lt;-ObterCliente&lt;-MontarPnrBase&lt;-ProcessarAereo&lt;-ProcessarItemFila[b]"/>
    <x v="1008"/>
    <m/>
    <s v="CLIENTE"/>
    <x v="13"/>
    <s v="CÓDIGO DIFERENTE DO CADASTRADO NO BENNER (CLIENTE X GRUPO)"/>
    <s v="QUALIDADE DOS DADOS"/>
    <x v="0"/>
    <n v="1"/>
  </r>
  <r>
    <s v="TMS"/>
    <m/>
    <x v="2"/>
    <n v="3369873"/>
    <x v="1"/>
    <d v="2025-04-16T11:04:00"/>
    <n v="105"/>
    <n v="105"/>
    <s v="Preenchendo XML Serviço-&gt; Preenchendo XML-&gt; Montando accounting aereo 2-&gt;Não foi informado o Localizador do Assento/Bagagem!"/>
    <x v="1009"/>
    <d v="2025-04-19T22:45:00"/>
    <s v="OUTROS"/>
    <x v="15"/>
    <s v="CAMPO OBSERVAÇÃO PREENCHIDO INCORRETAMENTE"/>
    <s v="QUALIDADE DOS DADOS"/>
    <x v="1"/>
    <n v="118"/>
  </r>
  <r>
    <s v="SABRE"/>
    <m/>
    <x v="2"/>
    <n v="3370391"/>
    <x v="2"/>
    <d v="2025-04-16T18:18:00"/>
    <s v="SERGQG"/>
    <s v="SERGQG"/>
    <s v="Código de cliente não identificado&lt;-ObterCliente&lt;-MontarPnrBase&lt;-ProcessarAereo&lt;-ProcessarItemFila[b]"/>
    <x v="1010"/>
    <m/>
    <s v="CLIENTE"/>
    <x v="14"/>
    <s v="DK DE CLIENTE NÃO PREENCIDO / CLIENTE NÃO CONFIGURADO NO OBT"/>
    <s v="INDEFINIDO"/>
    <x v="1"/>
    <s v="COLUNA I"/>
  </r>
  <r>
    <s v="SABRE"/>
    <m/>
    <x v="2"/>
    <n v="3370392"/>
    <x v="2"/>
    <d v="2025-04-16T18:18:00"/>
    <s v="FTCFZC"/>
    <s v="FTCFZC"/>
    <s v="Não localizado cliente código [0000286569].&lt;-ObterCliente&lt;-MontarPnrBase&lt;-ProcessarAereo&lt;-ProcessarItemFila[b]"/>
    <x v="1010"/>
    <m/>
    <s v="CLIENTE"/>
    <x v="13"/>
    <s v="CÓDIGO DIFERENTE DO CADASTRADO NO BENNER (CLIENTE X GRUPO)"/>
    <s v="QUALIDADE DOS DADOS"/>
    <x v="0"/>
    <n v="1"/>
  </r>
  <r>
    <s v="SABRE"/>
    <m/>
    <x v="2"/>
    <n v="3370396"/>
    <x v="2"/>
    <d v="2025-04-16T18:18:00"/>
    <s v="YVWUBC"/>
    <s v="YVWUBC"/>
    <s v="Não localizado cliente código [0000063625].&lt;-ObterCliente&lt;-MontarPnrBase&lt;-ProcessarAereo&lt;-ProcessarItemFila[b]"/>
    <x v="1011"/>
    <m/>
    <s v="CLIENTE"/>
    <x v="13"/>
    <s v="CÓDIGO DIFERENTE DO CADASTRADO NO BENNER (CLIENTE X GRUPO)"/>
    <s v="QUALIDADE DOS DADOS"/>
    <x v="0"/>
    <n v="1"/>
  </r>
  <r>
    <s v="SABRE"/>
    <m/>
    <x v="2"/>
    <n v="3370408"/>
    <x v="2"/>
    <d v="2025-04-16T18:18:00"/>
    <s v="IVDCUQ"/>
    <s v="IVDCUQ"/>
    <s v="Código de cliente não identificado&lt;-ObterCliente&lt;-MontarPnrBase&lt;-ProcessarAereo&lt;-ProcessarItemFila[b]"/>
    <x v="1012"/>
    <m/>
    <s v="CLIENTE"/>
    <x v="14"/>
    <s v="DK DE CLIENTE NÃO PREENCIDO / CLIENTE NÃO CONFIGURADO NO OBT"/>
    <s v="INDEFINIDO"/>
    <x v="1"/>
    <s v="COLUNA I"/>
  </r>
  <r>
    <s v="SABRE"/>
    <m/>
    <x v="2"/>
    <n v="3370409"/>
    <x v="2"/>
    <d v="2025-04-16T18:18:00"/>
    <s v="GGQHNL"/>
    <s v="GGQHNL"/>
    <s v="Código de cliente não identificado&lt;-ObterCliente&lt;-MontarPnrBase&lt;-ProcessarAereo&lt;-ProcessarItemFila[b]"/>
    <x v="1012"/>
    <m/>
    <s v="CLIENTE"/>
    <x v="14"/>
    <s v="DK DE CLIENTE NÃO PREENCIDO / CLIENTE NÃO CONFIGURADO NO OBT"/>
    <s v="INDEFINIDO"/>
    <x v="1"/>
    <s v="COLUNA I"/>
  </r>
  <r>
    <s v="SABRE"/>
    <m/>
    <x v="2"/>
    <n v="3370410"/>
    <x v="2"/>
    <d v="2025-04-16T18:18:00"/>
    <s v="GKEHGZ"/>
    <s v="GKEHGZ"/>
    <s v="Não localizado cliente código [1234567890].&lt;-ObterCliente&lt;-MontarPnrBase&lt;-ProcessarAereo&lt;-ProcessarItemFila[b]"/>
    <x v="1012"/>
    <m/>
    <s v="CLIENTE"/>
    <x v="13"/>
    <s v="CÓDIGO DIFERENTE DO CADASTRADO NO BENNER (CLIENTE X GRUPO)"/>
    <s v="QUALIDADE DOS DADOS"/>
    <x v="0"/>
    <n v="1"/>
  </r>
  <r>
    <s v="SABRE"/>
    <m/>
    <x v="2"/>
    <n v="3370411"/>
    <x v="2"/>
    <d v="2025-04-16T18:18:00"/>
    <s v="QBEJIG"/>
    <s v="QBEJIG"/>
    <s v="Não localizado cliente código [0000387475].&lt;-ObterCliente&lt;-MontarPnrBase&lt;-ProcessarAereo&lt;-ProcessarItemFila[b]"/>
    <x v="1012"/>
    <m/>
    <s v="CLIENTE"/>
    <x v="13"/>
    <s v="CÓDIGO DIFERENTE DO CADASTRADO NO BENNER (CLIENTE X GRUPO)"/>
    <s v="QUALIDADE DOS DADOS"/>
    <x v="0"/>
    <n v="1"/>
  </r>
  <r>
    <s v="RESOLVIDO"/>
    <m/>
    <x v="1"/>
    <n v="3370661"/>
    <x v="1"/>
    <d v="2025-04-16T18:17:00"/>
    <n v="46206"/>
    <n v="46206"/>
    <s v="Preenchendo XML Aéreo-&gt; Preenchendo XML-&gt; Montando accounting aereo-&gt;Número do bilhete não identificado"/>
    <x v="1013"/>
    <d v="2025-04-19T22:41:00"/>
    <s v="OUTROS"/>
    <x v="17"/>
    <s v=""/>
    <e v="#N/A"/>
    <x v="3"/>
    <s v="COLUNA I"/>
  </r>
  <r>
    <s v="TMS"/>
    <m/>
    <x v="2"/>
    <n v="3371154"/>
    <x v="1"/>
    <d v="2025-04-16T16:52:00"/>
    <n v="5228"/>
    <n v="5228"/>
    <s v="Preenchendo XML Aéreo-&gt; Preenchendo XML-&gt; Montando accounting aereo-&gt;Número do bilhete não identificado"/>
    <x v="1014"/>
    <d v="2025-04-21T14:02:00"/>
    <s v="OUTROS"/>
    <x v="17"/>
    <s v=""/>
    <s v="QUALIDADE DOS DADOS"/>
    <x v="3"/>
    <s v="COLUNA I"/>
  </r>
  <r>
    <s v="TMS"/>
    <m/>
    <x v="2"/>
    <n v="3372971"/>
    <x v="1"/>
    <d v="2025-04-17T12:58:00"/>
    <n v="11796"/>
    <n v="11796"/>
    <s v="Preenchendo XML Carro-&gt; Preenchendo XML-&gt; Montando accounting carro-&gt;Fornecedor com o código 70934  informado nos campos gerenciais não encontrado!"/>
    <x v="1015"/>
    <d v="2025-04-20T23:04:00"/>
    <s v="FORNECEDOR"/>
    <x v="10"/>
    <s v="CONTRATO INATIVO OU DIVERGENTE"/>
    <s v="SISTEMA"/>
    <x v="1"/>
    <n v="69"/>
  </r>
  <r>
    <s v="TMS"/>
    <m/>
    <x v="2"/>
    <n v="3373004"/>
    <x v="1"/>
    <d v="2025-04-17T15:45:00"/>
    <n v="109"/>
    <n v="109"/>
    <s v="Preenchendo XML Serviço-&gt; Preenchendo XML-&gt; Montando accounting aereo 2-&gt;Não foi informado o Localizador do Assento/Bagagem!"/>
    <x v="1016"/>
    <d v="2025-04-20T23:04:00"/>
    <s v="OUTROS"/>
    <x v="15"/>
    <s v="CAMPO OBSERVAÇÃO PREENCHIDO INCORRETAMENTE"/>
    <s v="QUALIDADE DOS DADOS"/>
    <x v="1"/>
    <n v="118"/>
  </r>
  <r>
    <s v="SABRE"/>
    <m/>
    <x v="2"/>
    <n v="3373071"/>
    <x v="2"/>
    <d v="2025-04-22T07:52:00"/>
    <s v="STLUEFT"/>
    <s v="STLUEF"/>
    <s v="ConverterPagamentosRemark-&gt;The string was not recognized as a valid DateTime. There is an unknown word starting at index 0.&lt;-MontarAccountinsHotel&lt;-ProcessarHotel&lt;-ProcessarItemFila[b]"/>
    <x v="1017"/>
    <d v="2025-04-22T10:05:00"/>
    <s v="FORMA PAGTO/RECTO"/>
    <x v="3"/>
    <s v="REMARK U*INFOPAG-CC/REC-CC PREENCHIDO INCORRETAMENTE"/>
    <s v="QUALIDADE DOS DADOS"/>
    <x v="1"/>
    <s v="COLUNA I"/>
  </r>
  <r>
    <s v="SABRE"/>
    <m/>
    <x v="2"/>
    <n v="3373073"/>
    <x v="2"/>
    <d v="2025-04-22T07:54:00"/>
    <s v="WVXCXNT"/>
    <s v="WVXCXN"/>
    <s v="ConverterPagamentosRemark-&gt;The string was not recognized as a valid DateTime. There is an unknown word starting at index 0.&lt;-MontarAccountinsHotel&lt;-ProcessarHotel&lt;-ProcessarItemFila[b]"/>
    <x v="1017"/>
    <d v="2025-04-22T10:05:00"/>
    <s v="FORMA PAGTO/RECTO"/>
    <x v="3"/>
    <s v="REMARK U*INFOPAG-CC/REC-CC PREENCHIDO INCORRETAMENTE"/>
    <s v="QUALIDADE DOS DADOS"/>
    <x v="1"/>
    <s v="COLUNA I"/>
  </r>
  <r>
    <s v="RESOLVIDO"/>
    <m/>
    <x v="1"/>
    <n v="3373280"/>
    <x v="1"/>
    <d v="2025-04-17T14:33:00"/>
    <n v="17759"/>
    <n v="17759"/>
    <s v="Preenchendo XML Aéreo-&gt; Preenchendo XML-&gt; Montando accounting aereo-&gt;Número do bilhete não identificado"/>
    <x v="1018"/>
    <d v="2025-04-20T23:04:00"/>
    <s v="OUTROS"/>
    <x v="17"/>
    <s v=""/>
    <e v="#N/A"/>
    <x v="3"/>
    <s v="COLUNA I"/>
  </r>
  <r>
    <s v="SABRE"/>
    <m/>
    <x v="2"/>
    <n v="3373499"/>
    <x v="2"/>
    <d v="2025-04-17T16:50:00"/>
    <s v="DGMTDN"/>
    <s v="DGMTDN"/>
    <s v="Não localizado cliente código [0000583831].&lt;-ObterCliente&lt;-MontarPnrBase&lt;-ProcessarAereo&lt;-ProcessarItemFila[b]"/>
    <x v="1019"/>
    <m/>
    <s v="CLIENTE"/>
    <x v="13"/>
    <s v="CÓDIGO DIFERENTE DO CADASTRADO NO BENNER (CLIENTE X GRUPO)"/>
    <s v="QUALIDADE DOS DADOS"/>
    <x v="0"/>
    <n v="1"/>
  </r>
  <r>
    <s v="SABRE"/>
    <m/>
    <x v="2"/>
    <n v="3373501"/>
    <x v="2"/>
    <d v="2025-04-17T16:50:00"/>
    <s v="ANGSCK"/>
    <s v="ANGSCK"/>
    <s v="Código de cliente não identificado&lt;-ObterCliente&lt;-MontarPnrBase&lt;-ProcessarAereo&lt;-ProcessarItemFila[b]"/>
    <x v="1019"/>
    <m/>
    <s v="CLIENTE"/>
    <x v="14"/>
    <s v="DK DE CLIENTE NÃO PREENCIDO / CLIENTE NÃO CONFIGURADO NO OBT"/>
    <s v="INDEFINIDO"/>
    <x v="1"/>
    <s v="COLUNA I"/>
  </r>
  <r>
    <s v="SABRE"/>
    <m/>
    <x v="2"/>
    <n v="3373506"/>
    <x v="2"/>
    <d v="2025-04-17T16:50:00"/>
    <s v="OIXRMY"/>
    <s v="OIXRMY"/>
    <s v="Não localizado cliente com CNPJ [JTI PROCESSADORA].&lt;-ObterCliente&lt;-MontarPnrBase&lt;-ProcessarAereo&lt;-ProcessarItemFila[b]"/>
    <x v="1020"/>
    <m/>
    <s v="CLIENTE"/>
    <x v="12"/>
    <s v=""/>
    <s v="QUALIDADE DOS DADOS"/>
    <x v="1"/>
    <n v="24"/>
  </r>
  <r>
    <s v="SABRE"/>
    <m/>
    <x v="2"/>
    <n v="3373569"/>
    <x v="2"/>
    <d v="2025-04-17T18:27:00"/>
    <s v="YEKHNQ"/>
    <s v="YEKHNQ"/>
    <s v="Não localizado cliente código [0000392619].&lt;-ObterCliente&lt;-MontarPnrBase&lt;-ProcessarAereo&lt;-ProcessarItemFila[b]"/>
    <x v="1021"/>
    <m/>
    <s v="CLIENTE"/>
    <x v="13"/>
    <s v="CÓDIGO DIFERENTE DO CADASTRADO NO BENNER (CLIENTE X GRUPO)"/>
    <s v="QUALIDADE DOS DADOS"/>
    <x v="0"/>
    <n v="1"/>
  </r>
  <r>
    <s v="GOVER"/>
    <m/>
    <x v="2"/>
    <n v="3374621"/>
    <x v="0"/>
    <d v="2025-04-20T14:54:00"/>
    <n v="4525379"/>
    <n v="4525379"/>
    <s v="PreencherPnr-&gt;Foi identificado um localizador sem código."/>
    <x v="1022"/>
    <d v="2025-04-29T08:44:00"/>
    <s v="OUTROS"/>
    <x v="1"/>
    <s v="RLOC NÃO PREENCHIDO NA RESERVA"/>
    <s v="QUALIDADE DOS DADOS"/>
    <x v="0"/>
    <s v="COLUNA I"/>
  </r>
  <r>
    <s v="SABRE"/>
    <m/>
    <x v="2"/>
    <n v="3374833"/>
    <x v="2"/>
    <d v="2025-04-22T05:52:00"/>
    <s v="MWCRJP"/>
    <s v="MWCRJP"/>
    <s v="Não localizado cliente código [0000068873].&lt;-ObterCliente&lt;-MontarPnrBase&lt;-ProcessarAereo&lt;-ProcessarItemFila[b]"/>
    <x v="1023"/>
    <m/>
    <s v="CLIENTE"/>
    <x v="13"/>
    <s v="CÓDIGO DIFERENTE DO CADASTRADO NO BENNER (CLIENTE X GRUPO)"/>
    <s v="QUALIDADE DOS DADOS"/>
    <x v="0"/>
    <n v="1"/>
  </r>
  <r>
    <s v="SABRE"/>
    <m/>
    <x v="2"/>
    <n v="3374834"/>
    <x v="2"/>
    <d v="2025-04-22T05:52:00"/>
    <s v="MWCRJPT"/>
    <s v="MWCRJP"/>
    <s v="Não localizado cliente código [0000068873].&lt;-ObterCliente&lt;-MontarPnrBase&lt;-MontarPnr&lt;-ProcessarHotel&lt;-ProcessarItemFila[b]"/>
    <x v="1023"/>
    <m/>
    <s v="CLIENTE"/>
    <x v="13"/>
    <s v="CÓDIGO DIFERENTE DO CADASTRADO NO BENNER (CLIENTE X GRUPO)"/>
    <s v="QUALIDADE DOS DADOS"/>
    <x v="0"/>
    <n v="1"/>
  </r>
  <r>
    <s v="SABRE"/>
    <m/>
    <x v="2"/>
    <n v="3374900"/>
    <x v="2"/>
    <d v="2025-04-22T06:50:00"/>
    <s v="WYPHIGT"/>
    <s v="WYPHIG"/>
    <s v="Inserindo PNR - Accountings - TurVendas - Não foi possível localizar o contrato do fornecedor 8080"/>
    <x v="1024"/>
    <m/>
    <s v="FORNECEDOR"/>
    <x v="10"/>
    <s v="CONTRATO INATIVO OU DIVERGENTE"/>
    <s v="SISTEMA"/>
    <x v="1"/>
    <n v="43"/>
  </r>
  <r>
    <s v="SABRE"/>
    <m/>
    <x v="2"/>
    <n v="3374901"/>
    <x v="2"/>
    <d v="2025-04-22T15:36:00"/>
    <s v="JGKOZZT"/>
    <s v="JGKOZZ"/>
    <s v="Inserindo PNR - Accountings - TurVendas - Não foi possível localizar o contrato do fornecedor 8080"/>
    <x v="1024"/>
    <d v="2025-04-22T17:46:00"/>
    <s v="FORNECEDOR"/>
    <x v="10"/>
    <s v="CONTRATO INATIVO OU DIVERGENTE"/>
    <s v="SISTEMA"/>
    <x v="1"/>
    <n v="43"/>
  </r>
  <r>
    <s v="SABRE"/>
    <m/>
    <x v="2"/>
    <n v="3374902"/>
    <x v="2"/>
    <d v="2025-04-22T15:35:00"/>
    <s v="KJEJXPT"/>
    <s v="KJEJXP"/>
    <s v="Inserindo PNR - Accountings - TurVendas - Não foi possível localizar o contrato do fornecedor 8080"/>
    <x v="1024"/>
    <d v="2025-04-22T17:46:00"/>
    <s v="FORNECEDOR"/>
    <x v="10"/>
    <s v="CONTRATO INATIVO OU DIVERGENTE"/>
    <s v="SISTEMA"/>
    <x v="1"/>
    <n v="43"/>
  </r>
  <r>
    <s v="SABRE"/>
    <m/>
    <x v="2"/>
    <n v="3375058"/>
    <x v="2"/>
    <d v="2025-04-22T15:38:00"/>
    <s v="YGLCSW"/>
    <s v="YGLCSW"/>
    <s v="Não localizado cliente código [0000068873].&lt;-ObterCliente&lt;-MontarPnrBase&lt;-ProcessarAereo&lt;-ProcessarItemFila[b]"/>
    <x v="1025"/>
    <d v="2025-04-22T17:52:00"/>
    <s v="CLIENTE"/>
    <x v="13"/>
    <s v="CÓDIGO DIFERENTE DO CADASTRADO NO BENNER (CLIENTE X GRUPO)"/>
    <s v="QUALIDADE DOS DADOS"/>
    <x v="0"/>
    <n v="1"/>
  </r>
  <r>
    <s v="SABRE"/>
    <m/>
    <x v="2"/>
    <n v="3375363"/>
    <x v="2"/>
    <d v="2025-04-22T09:47:00"/>
    <s v="OGTGOA"/>
    <s v="OGTGOA"/>
    <s v="Não localizado cliente código [0000049977].&lt;-ObterCliente&lt;-MontarPnrBase&lt;-ProcessarAereo&lt;-ProcessarItemFila[b]"/>
    <x v="1026"/>
    <m/>
    <s v="CLIENTE"/>
    <x v="13"/>
    <s v="CÓDIGO DIFERENTE DO CADASTRADO NO BENNER (CLIENTE X GRUPO)"/>
    <s v="QUALIDADE DOS DADOS"/>
    <x v="0"/>
    <n v="1"/>
  </r>
  <r>
    <s v="RESOLVIDO"/>
    <m/>
    <x v="1"/>
    <n v="3375500"/>
    <x v="1"/>
    <d v="2025-04-22T11:26:00"/>
    <n v="59725"/>
    <n v="59725"/>
    <s v="Preenchendo XML Serviço-&gt; Preenchendo XML-&gt; Montando accounting aereo 2-&gt;Não foi informado o Localizador do Assento/Bagagem!"/>
    <x v="1027"/>
    <d v="2025-04-25T19:55:00"/>
    <s v="OUTROS"/>
    <x v="15"/>
    <s v="CAMPO OBSERVAÇÃO PREENCHIDO INCORRETAMENTE"/>
    <s v="QUALIDADE DOS DADOS"/>
    <x v="1"/>
    <n v="118"/>
  </r>
  <r>
    <s v="SABRE"/>
    <m/>
    <x v="2"/>
    <n v="3375886"/>
    <x v="2"/>
    <d v="2025-04-23T06:43:00"/>
    <s v="KURNAI"/>
    <s v="KURNAI"/>
    <s v="Não localizado cliente código [0000050269].&lt;-ObterCliente&lt;-MontarPnrBase&lt;-ProcessarAereo&lt;-ProcessarItemFila[b]"/>
    <x v="1028"/>
    <d v="2025-04-23T08:48:00"/>
    <s v="CLIENTE"/>
    <x v="13"/>
    <s v="CÓDIGO DIFERENTE DO CADASTRADO NO BENNER (CLIENTE X GRUPO)"/>
    <s v="QUALIDADE DOS DADOS"/>
    <x v="0"/>
    <n v="1"/>
  </r>
  <r>
    <s v="SABRE"/>
    <m/>
    <x v="2"/>
    <n v="3376164"/>
    <x v="2"/>
    <d v="2025-04-22T17:53:00"/>
    <s v="KTKYHL"/>
    <s v="KTKYHL"/>
    <s v="Não localizado cliente código [0000068957].&lt;-ObterCliente&lt;-MontarPnrBase&lt;-ProcessarAereo&lt;-ProcessarItemFila[b]"/>
    <x v="1029"/>
    <d v="2025-04-22T20:05:00"/>
    <s v="CLIENTE"/>
    <x v="13"/>
    <s v="CÓDIGO DIFERENTE DO CADASTRADO NO BENNER (CLIENTE X GRUPO)"/>
    <s v="QUALIDADE DOS DADOS"/>
    <x v="0"/>
    <n v="1"/>
  </r>
  <r>
    <s v="SABRE"/>
    <m/>
    <x v="2"/>
    <n v="3376168"/>
    <x v="2"/>
    <d v="2025-04-22T17:53:00"/>
    <s v="FHGYUV"/>
    <s v="FHGYUV"/>
    <s v="Não localizado cliente código [0000050269].&lt;-ObterCliente&lt;-MontarPnrBase&lt;-ProcessarAereo&lt;-ProcessarItemFila[b]"/>
    <x v="1030"/>
    <d v="2025-04-22T20:05:00"/>
    <s v="CLIENTE"/>
    <x v="13"/>
    <s v="CÓDIGO DIFERENTE DO CADASTRADO NO BENNER (CLIENTE X GRUPO)"/>
    <s v="QUALIDADE DOS DADOS"/>
    <x v="0"/>
    <n v="1"/>
  </r>
  <r>
    <s v="SABRE"/>
    <m/>
    <x v="2"/>
    <n v="3376180"/>
    <x v="2"/>
    <d v="2025-04-22T17:53:00"/>
    <s v="FCYVZN"/>
    <s v="FCYVZN"/>
    <s v="Não localizado cliente código [0000050269].&lt;-ObterCliente&lt;-MontarPnrBase&lt;-ProcessarAereo&lt;-ProcessarItemFila[b]"/>
    <x v="1031"/>
    <d v="2025-04-22T20:05:00"/>
    <s v="CLIENTE"/>
    <x v="13"/>
    <s v="CÓDIGO DIFERENTE DO CADASTRADO NO BENNER (CLIENTE X GRUPO)"/>
    <s v="QUALIDADE DOS DADOS"/>
    <x v="0"/>
    <n v="1"/>
  </r>
  <r>
    <s v="SABRE"/>
    <m/>
    <x v="2"/>
    <n v="3376182"/>
    <x v="2"/>
    <d v="2025-04-23T06:38:00"/>
    <s v="NOQIXU"/>
    <s v="NOQIXU"/>
    <s v="Não localizado cliente código [0000050269].&lt;-ObterCliente&lt;-MontarPnrBase&lt;-ProcessarAereo&lt;-ProcessarItemFila[b]"/>
    <x v="1032"/>
    <d v="2025-04-23T08:48:00"/>
    <s v="CLIENTE"/>
    <x v="13"/>
    <s v="CÓDIGO DIFERENTE DO CADASTRADO NO BENNER (CLIENTE X GRUPO)"/>
    <s v="QUALIDADE DOS DADOS"/>
    <x v="0"/>
    <n v="1"/>
  </r>
  <r>
    <s v="SABRE"/>
    <m/>
    <x v="2"/>
    <n v="3376188"/>
    <x v="2"/>
    <d v="2025-04-23T06:39:00"/>
    <s v="YOFUDM"/>
    <s v="YOFUDM"/>
    <s v="Não localizado cliente código [0000069078].&lt;-ObterCliente&lt;-MontarPnrBase&lt;-ProcessarAereo&lt;-ProcessarItemFila[b]"/>
    <x v="1032"/>
    <d v="2025-04-23T08:48:00"/>
    <s v="CLIENTE"/>
    <x v="13"/>
    <s v="CÓDIGO DIFERENTE DO CADASTRADO NO BENNER (CLIENTE X GRUPO)"/>
    <s v="QUALIDADE DOS DADOS"/>
    <x v="0"/>
    <n v="1"/>
  </r>
  <r>
    <s v="TMS"/>
    <m/>
    <x v="2"/>
    <n v="3376468"/>
    <x v="1"/>
    <d v="2025-04-22T15:12:00"/>
    <n v="44795"/>
    <n v="44795"/>
    <s v="Preenchendo XML Hotel-&gt; Preenchendo XML-&gt; Montando accounting hotel-&gt;Solicitação de hotel referente a esta cotação não foi encontrada (Id Cotação: 1)"/>
    <x v="1033"/>
    <d v="2025-04-25T19:16:00"/>
    <s v="OUTROS"/>
    <x v="22"/>
    <s v="INDEFINIDO"/>
    <s v="INDEFINIDO"/>
    <x v="0"/>
    <s v="COLUNA I"/>
  </r>
  <r>
    <s v="SABRE"/>
    <m/>
    <x v="2"/>
    <n v="3376605"/>
    <x v="2"/>
    <d v="2025-04-22T16:05:00"/>
    <s v="HMGABI"/>
    <s v="HMGABI"/>
    <s v="Não localizado cliente código [0000583831].&lt;-ObterCliente&lt;-MontarPnrBase&lt;-ProcessarAereo&lt;-ProcessarItemFila[b]"/>
    <x v="1034"/>
    <m/>
    <s v="CLIENTE"/>
    <x v="13"/>
    <s v="CÓDIGO DIFERENTE DO CADASTRADO NO BENNER (CLIENTE X GRUPO)"/>
    <s v="QUALIDADE DOS DADOS"/>
    <x v="0"/>
    <n v="1"/>
  </r>
  <r>
    <s v="SABRE"/>
    <m/>
    <x v="2"/>
    <n v="3376609"/>
    <x v="2"/>
    <d v="2025-04-23T13:54:00"/>
    <s v="FNYKVH"/>
    <s v="FNYKVH"/>
    <s v="Não localizado cliente com CNPJ [JTI PROCESSADORA].&lt;-ObterCliente&lt;-MontarPnrBase&lt;-ProcessarAereo&lt;-ProcessarItemFila[b]"/>
    <x v="1034"/>
    <d v="2025-04-23T16:04:00"/>
    <s v="CLIENTE"/>
    <x v="12"/>
    <s v=""/>
    <e v="#N/A"/>
    <x v="1"/>
    <n v="24"/>
  </r>
  <r>
    <s v="RESOLVIDO"/>
    <m/>
    <x v="1"/>
    <n v="3376684"/>
    <x v="1"/>
    <d v="2025-04-22T15:18:00"/>
    <n v="3580"/>
    <n v="3580"/>
    <s v="Preenchendo XML Serviço-&gt; Preenchendo XML-&gt; Montando accounting aereo 2-&gt;Não foi informado o Localizador do Assento/Bagagem!"/>
    <x v="1035"/>
    <d v="2025-04-25T19:42:00"/>
    <s v="OUTROS"/>
    <x v="15"/>
    <s v="CAMPO OBSERVAÇÃO PREENCHIDO INCORRETAMENTE"/>
    <s v="QUALIDADE DOS DADOS"/>
    <x v="1"/>
    <n v="118"/>
  </r>
  <r>
    <s v="RESOLVIDO"/>
    <m/>
    <x v="1"/>
    <n v="3376788"/>
    <x v="1"/>
    <d v="2025-04-22T14:49:00"/>
    <n v="59843"/>
    <n v="59843"/>
    <s v="Preenchendo XML Serviço-&gt; Preenchendo XML-&gt; Montando accounting aereo 2-&gt;Não foi informado o Localizador do Assento/Bagagem!"/>
    <x v="1036"/>
    <d v="2025-04-25T19:55:00"/>
    <s v="OUTROS"/>
    <x v="15"/>
    <s v="CAMPO OBSERVAÇÃO PREENCHIDO INCORRETAMENTE"/>
    <s v="QUALIDADE DOS DADOS"/>
    <x v="1"/>
    <n v="118"/>
  </r>
  <r>
    <s v="TMS"/>
    <m/>
    <x v="2"/>
    <n v="3377121"/>
    <x v="1"/>
    <d v="2025-04-22T14:58:00"/>
    <n v="5350"/>
    <n v="5350"/>
    <s v="Preenchendo XML Aéreo-&gt; Preenchendo XML-&gt; Montando accounting aereo-&gt;Número do bilhete não identificado"/>
    <x v="1037"/>
    <d v="2025-04-25T20:34:00"/>
    <s v="OUTROS"/>
    <x v="17"/>
    <s v=""/>
    <e v="#N/A"/>
    <x v="3"/>
    <s v="COLUNA I"/>
  </r>
  <r>
    <s v="SABRE"/>
    <m/>
    <x v="2"/>
    <n v="3377167"/>
    <x v="2"/>
    <d v="2025-04-22T17:52:00"/>
    <s v="ELJHVJ"/>
    <s v="ELJHVJ"/>
    <s v="Código de cliente não identificado&lt;-ObterCliente&lt;-MontarPnrBase&lt;-ProcessarAereo&lt;-ProcessarItemFila[b]"/>
    <x v="1038"/>
    <m/>
    <s v="CLIENTE"/>
    <x v="14"/>
    <s v="DK DE CLIENTE NÃO PREENCIDO / CLIENTE NÃO CONFIGURADO NO OBT"/>
    <s v="INDEFINIDO"/>
    <x v="1"/>
    <s v="COLUNA I"/>
  </r>
  <r>
    <s v="SABRE"/>
    <m/>
    <x v="2"/>
    <n v="3377168"/>
    <x v="2"/>
    <d v="2025-04-22T17:52:00"/>
    <s v="FNZHMG"/>
    <s v="FNZHMG"/>
    <s v="Não localizado cliente código [0000000].&lt;-ObterCliente&lt;-MontarPnrBase&lt;-ProcessarAereo&lt;-ProcessarItemFila[b]"/>
    <x v="1039"/>
    <m/>
    <s v="CLIENTE"/>
    <x v="13"/>
    <s v="CÓDIGO DIFERENTE DO CADASTRADO NO BENNER (CLIENTE X GRUPO)"/>
    <s v="QUALIDADE DOS DADOS"/>
    <x v="0"/>
    <n v="1"/>
  </r>
  <r>
    <s v="SABRE"/>
    <m/>
    <x v="2"/>
    <n v="3377169"/>
    <x v="2"/>
    <d v="2025-04-24T16:48:00"/>
    <s v="MMJMWS"/>
    <s v="MMJMWS"/>
    <s v="Não localizado cliente código [0000050257].&lt;-ObterCliente&lt;-MontarPnrBase&lt;-ProcessarAereo&lt;-ProcessarItemFila[b]"/>
    <x v="1039"/>
    <d v="2025-04-24T19:12:00"/>
    <s v="CLIENTE"/>
    <x v="13"/>
    <s v="CÓDIGO DIFERENTE DO CADASTRADO NO BENNER (CLIENTE X GRUPO)"/>
    <s v="QUALIDADE DOS DADOS"/>
    <x v="0"/>
    <n v="1"/>
  </r>
  <r>
    <s v="SABRE"/>
    <m/>
    <x v="2"/>
    <n v="3377170"/>
    <x v="2"/>
    <d v="2025-04-22T17:52:00"/>
    <s v="ECBUTP"/>
    <s v="ECBUTP"/>
    <s v="Não localizado cliente código [0000286569].&lt;-ObterCliente&lt;-MontarPnrBase&lt;-ProcessarAereo&lt;-ProcessarItemFila[b]"/>
    <x v="1039"/>
    <m/>
    <s v="CLIENTE"/>
    <x v="13"/>
    <s v="CÓDIGO DIFERENTE DO CADASTRADO NO BENNER (CLIENTE X GRUPO)"/>
    <s v="QUALIDADE DOS DADOS"/>
    <x v="0"/>
    <n v="1"/>
  </r>
  <r>
    <s v="GOVER"/>
    <m/>
    <x v="2"/>
    <n v="3377643"/>
    <x v="0"/>
    <d v="2025-04-23T00:05:00"/>
    <n v="4526239"/>
    <n v="4526239"/>
    <s v="PreencherPnr-&gt;Foi identificado um localizador sem código."/>
    <x v="1040"/>
    <d v="2025-04-29T08:44:00"/>
    <s v="OUTROS"/>
    <x v="1"/>
    <s v="RLOC NÃO PREENCHIDO NA RESERVA"/>
    <s v="QUALIDADE DOS DADOS"/>
    <x v="0"/>
    <s v="COLUNA I"/>
  </r>
  <r>
    <s v="SABRE"/>
    <m/>
    <x v="2"/>
    <n v="3377705"/>
    <x v="2"/>
    <d v="2025-04-23T06:29:00"/>
    <s v="WGNHVA"/>
    <s v="WGNHVA"/>
    <s v="ERRO: Cancelamento de Venda: Não há PNR no sistema para cancelar, venda não inserida!"/>
    <x v="1041"/>
    <m/>
    <s v="CANCELAMENTO"/>
    <x v="6"/>
    <s v="RESERVA CANCELADA NO OBT"/>
    <s v="SISTEMA"/>
    <x v="0"/>
    <s v="COLUNA I"/>
  </r>
  <r>
    <s v="SABRE"/>
    <m/>
    <x v="2"/>
    <n v="3377870"/>
    <x v="2"/>
    <d v="2025-04-23T08:23:00"/>
    <s v="MJCKAU"/>
    <s v="MJCKAU"/>
    <s v="Código de cliente não identificado&lt;-ObterCliente&lt;-MontarPnrBase&lt;-ProcessarAereo&lt;-ProcessarItemFila[b]"/>
    <x v="1042"/>
    <m/>
    <s v="CLIENTE"/>
    <x v="14"/>
    <s v="DK DE CLIENTE NÃO PREENCIDO / CLIENTE NÃO CONFIGURADO NO OBT"/>
    <s v="INDEFINIDO"/>
    <x v="1"/>
    <s v="COLUNA I"/>
  </r>
  <r>
    <s v="SABRE"/>
    <m/>
    <x v="2"/>
    <n v="3378173"/>
    <x v="2"/>
    <d v="2025-04-23T10:13:00"/>
    <s v="SZPOSS"/>
    <s v="SZPOSS"/>
    <s v="Código de cliente não identificado&lt;-ObterCliente&lt;-MontarPnrBase&lt;-ProcessarAereo&lt;-ProcessarItemFila[b]"/>
    <x v="1043"/>
    <m/>
    <s v="CLIENTE"/>
    <x v="14"/>
    <s v="DK DE CLIENTE NÃO PREENCIDO / CLIENTE NÃO CONFIGURADO NO OBT"/>
    <s v="INDEFINIDO"/>
    <x v="1"/>
    <s v="COLUNA I"/>
  </r>
  <r>
    <s v="RESOLVIDO"/>
    <m/>
    <x v="1"/>
    <n v="3378240"/>
    <x v="1"/>
    <d v="2025-04-23T11:23:00"/>
    <n v="4721"/>
    <n v="4721"/>
    <s v="Preenchendo XML Carro-&gt; Preenchendo XML-&gt; Montando accounting carro-&gt;Fornecedor com o código 415368  informado nos campos gerenciais não encontrado!"/>
    <x v="1044"/>
    <d v="2025-04-26T18:57:00"/>
    <s v="FORNECEDOR"/>
    <x v="10"/>
    <s v="CONTRATO INATIVO OU DIVERGENTE"/>
    <s v="SISTEMA"/>
    <x v="1"/>
    <n v="69"/>
  </r>
  <r>
    <s v="GOVER"/>
    <m/>
    <x v="2"/>
    <n v="3378774"/>
    <x v="0"/>
    <d v="2025-04-22T08:48:00"/>
    <n v="4525508"/>
    <n v="18094072"/>
    <s v="PreencherPnr-&gt;Forma pagamento Cartão-&gt; Não foi possível determinar a validade do cartão, favor verificar os dados do cartão &lt;Id&gt;1452239&lt;/Id&gt;."/>
    <x v="1045"/>
    <m/>
    <s v="FORMA PAGTO/RECTO"/>
    <x v="5"/>
    <s v="TAG &lt;CARTAOVALIDADE&gt; NÃO ENVIADA"/>
    <s v="SISTEMA"/>
    <x v="0"/>
    <n v="40"/>
  </r>
  <r>
    <s v="SABRE"/>
    <m/>
    <x v="2"/>
    <n v="3378806"/>
    <x v="2"/>
    <d v="2025-04-23T14:24:00"/>
    <s v="FOUZLL"/>
    <s v="FOUZLL"/>
    <s v="Não localizado cliente código [0000049977].&lt;-ObterCliente&lt;-MontarPnrBase&lt;-ProcessarAereo&lt;-ProcessarItemFila[b]"/>
    <x v="1046"/>
    <m/>
    <s v="CLIENTE"/>
    <x v="13"/>
    <s v="CÓDIGO DIFERENTE DO CADASTRADO NO BENNER (CLIENTE X GRUPO)"/>
    <s v="QUALIDADE DOS DADOS"/>
    <x v="0"/>
    <n v="1"/>
  </r>
  <r>
    <s v="SABRE"/>
    <m/>
    <x v="2"/>
    <n v="3378807"/>
    <x v="2"/>
    <d v="2025-04-23T14:24:00"/>
    <s v="SWGBYS"/>
    <s v="SWGBYS"/>
    <s v="Não localizado cliente código [0000049977].&lt;-ObterCliente&lt;-MontarPnrBase&lt;-ProcessarAereo&lt;-ProcessarItemFila[b]"/>
    <x v="1046"/>
    <m/>
    <s v="CLIENTE"/>
    <x v="13"/>
    <s v="CÓDIGO DIFERENTE DO CADASTRADO NO BENNER (CLIENTE X GRUPO)"/>
    <s v="QUALIDADE DOS DADOS"/>
    <x v="0"/>
    <n v="1"/>
  </r>
  <r>
    <s v="SABRE"/>
    <m/>
    <x v="2"/>
    <n v="3378812"/>
    <x v="2"/>
    <d v="2025-04-23T14:24:00"/>
    <s v="FOROHS"/>
    <s v="FOROHS"/>
    <s v="Código de cliente não identificado&lt;-ObterCliente&lt;-MontarPnrBase&lt;-ProcessarAereo&lt;-ProcessarItemFila[b]"/>
    <x v="1047"/>
    <m/>
    <s v="CLIENTE"/>
    <x v="14"/>
    <s v="DK DE CLIENTE NÃO PREENCIDO / CLIENTE NÃO CONFIGURADO NO OBT"/>
    <s v="INDEFINIDO"/>
    <x v="1"/>
    <s v="COLUNA I"/>
  </r>
  <r>
    <s v="SABRE"/>
    <m/>
    <x v="2"/>
    <n v="3378829"/>
    <x v="2"/>
    <d v="2025-04-23T14:44:00"/>
    <s v="SQZFKNT"/>
    <s v="SQZFKN"/>
    <s v="Inserindo PNR - Accountings - TurVendas - Não foi possível localizar o contrato do fornecedor H84698"/>
    <x v="1048"/>
    <m/>
    <s v="FORNECEDOR"/>
    <x v="10"/>
    <s v="CONTRATO INATIVO OU DIVERGENTE"/>
    <s v="SISTEMA"/>
    <x v="1"/>
    <n v="43"/>
  </r>
  <r>
    <s v="RESOLVIDO"/>
    <m/>
    <x v="1"/>
    <n v="3379060"/>
    <x v="1"/>
    <d v="2025-04-23T16:50:00"/>
    <n v="6313"/>
    <n v="6313"/>
    <s v="Preenchendo XML Serviço-&gt; Preenchendo XML-&gt; Montando accounting aereo 2-&gt;Não foi informado o Localizador do Assento/Bagagem!"/>
    <x v="1049"/>
    <d v="2025-04-26T18:56:00"/>
    <s v="OUTROS"/>
    <x v="15"/>
    <s v="CAMPO OBSERVAÇÃO PREENCHIDO INCORRETAMENTE"/>
    <s v="QUALIDADE DOS DADOS"/>
    <x v="1"/>
    <n v="118"/>
  </r>
  <r>
    <s v="TMS"/>
    <m/>
    <x v="2"/>
    <n v="3379527"/>
    <x v="1"/>
    <d v="2025-04-23T18:44:00"/>
    <n v="17"/>
    <n v="17"/>
    <s v="Preenchendo XML Serviço-&gt; Preenchendo XML-&gt; Montando accounting aereo 3-&gt;Reserva GENIAL não encontrada para importar assento/bagagem!"/>
    <x v="1050"/>
    <d v="2025-04-26T18:57:00"/>
    <s v="OUTROS"/>
    <x v="15"/>
    <s v="CAMPO OBSERVAÇÃO PREENCHIDO INCORRETAMENTE"/>
    <s v="QUALIDADE DOS DADOS"/>
    <x v="1"/>
    <n v="127"/>
  </r>
  <r>
    <s v="SABRE"/>
    <m/>
    <x v="2"/>
    <n v="3379973"/>
    <x v="2"/>
    <d v="2025-04-23T17:32:00"/>
    <s v="HWDVLN"/>
    <s v="HWDVLN"/>
    <s v="Não localizado cliente código [0000063625].&lt;-ObterCliente&lt;-MontarPnrBase&lt;-ProcessarAereo&lt;-ProcessarItemFila[b]"/>
    <x v="1051"/>
    <m/>
    <s v="CLIENTE"/>
    <x v="13"/>
    <s v="CÓDIGO DIFERENTE DO CADASTRADO NO BENNER (CLIENTE X GRUPO)"/>
    <s v="QUALIDADE DOS DADOS"/>
    <x v="0"/>
    <n v="1"/>
  </r>
  <r>
    <s v="SABRE"/>
    <m/>
    <x v="2"/>
    <n v="3380033"/>
    <x v="2"/>
    <d v="2025-04-23T18:29:00"/>
    <s v="EFFUIW"/>
    <s v="EFFUIW"/>
    <s v="Não localizado cliente código [1234567890].&lt;-ObterCliente&lt;-MontarPnrBase&lt;-ProcessarAereo&lt;-ProcessarItemFila[b]"/>
    <x v="1052"/>
    <m/>
    <s v="CLIENTE"/>
    <x v="13"/>
    <s v="CÓDIGO DIFERENTE DO CADASTRADO NO BENNER (CLIENTE X GRUPO)"/>
    <s v="QUALIDADE DOS DADOS"/>
    <x v="0"/>
    <n v="1"/>
  </r>
  <r>
    <s v="TMS"/>
    <m/>
    <x v="2"/>
    <n v="3380274"/>
    <x v="1"/>
    <d v="2025-04-24T00:22:00"/>
    <n v="3604"/>
    <n v="3604"/>
    <s v="Preenchendo XML Serviço-&gt; Preenchendo XML-&gt; Montando accounting aereo 2-&gt;Não foi informado o Localizador do Assento/Bagagem!"/>
    <x v="1053"/>
    <d v="2025-04-27T19:17:00"/>
    <s v="OUTROS"/>
    <x v="15"/>
    <s v="CAMPO OBSERVAÇÃO PREENCHIDO INCORRETAMENTE"/>
    <s v="QUALIDADE DOS DADOS"/>
    <x v="1"/>
    <n v="118"/>
  </r>
  <r>
    <s v="SABRE"/>
    <m/>
    <x v="2"/>
    <n v="3381646"/>
    <x v="2"/>
    <d v="2025-04-24T15:32:00"/>
    <s v="AMEVQDT"/>
    <s v="AMEVQD"/>
    <s v="ConverterPagamentosRemark-&gt;Input string was not in a correct format.&lt;-MontarAccountinsHotel&lt;-ProcessarHotel&lt;-ProcessarItemFila[b]"/>
    <x v="1054"/>
    <m/>
    <s v="FORMA PAGTO/RECTO"/>
    <x v="2"/>
    <s v="TEXTO FORA DO PADRÃO ACEITO NO CAMPO"/>
    <s v="INDEFINIDO"/>
    <x v="0"/>
    <s v="COLUNA I"/>
  </r>
  <r>
    <s v="SABRE"/>
    <m/>
    <x v="2"/>
    <n v="3381923"/>
    <x v="2"/>
    <d v="2025-04-25T06:53:00"/>
    <s v="GXFGMK"/>
    <s v="GXFGMK"/>
    <s v="Código de cliente não identificado&lt;-ObterCliente&lt;-MontarPnrBase&lt;-ProcessarAereo&lt;-ProcessarItemFila[b]"/>
    <x v="1055"/>
    <d v="2025-04-25T09:01:00"/>
    <s v="CLIENTE"/>
    <x v="14"/>
    <s v="DK DE CLIENTE NÃO PREENCIDO / CLIENTE NÃO CONFIGURADO NO OBT"/>
    <s v="INDEFINIDO"/>
    <x v="1"/>
    <s v="COLUNA I"/>
  </r>
  <r>
    <s v="RESOLVIDO"/>
    <m/>
    <x v="1"/>
    <n v="3382223"/>
    <x v="1"/>
    <d v="2025-04-24T16:40:00"/>
    <n v="20888"/>
    <n v="20888"/>
    <s v="Preenchendo XML Carro-&gt; Preenchendo XML-&gt; Montando accounting carro-&gt;Fornecedor com o código 415368  informado nos campos gerenciais não encontrado!"/>
    <x v="1056"/>
    <d v="2025-04-27T19:17:00"/>
    <s v="FORNECEDOR"/>
    <x v="10"/>
    <s v="CONTRATO INATIVO OU DIVERGENTE"/>
    <s v="SISTEMA"/>
    <x v="1"/>
    <n v="69"/>
  </r>
  <r>
    <s v="SABRE"/>
    <m/>
    <x v="2"/>
    <n v="3382261"/>
    <x v="2"/>
    <d v="2025-04-24T16:48:00"/>
    <s v="LWPPXE"/>
    <s v="LWPPXE"/>
    <s v="Não localizado cliente código [0000583831].&lt;-ObterCliente&lt;-MontarPnrBase&lt;-ProcessarAereo&lt;-ProcessarItemFila[b]"/>
    <x v="1057"/>
    <m/>
    <s v="CLIENTE"/>
    <x v="13"/>
    <s v="CÓDIGO DIFERENTE DO CADASTRADO NO BENNER (CLIENTE X GRUPO)"/>
    <s v="QUALIDADE DOS DADOS"/>
    <x v="0"/>
    <n v="1"/>
  </r>
  <r>
    <s v="SABRE"/>
    <m/>
    <x v="2"/>
    <n v="3382264"/>
    <x v="2"/>
    <d v="2025-04-24T16:48:00"/>
    <s v="HDQRUD"/>
    <s v="HDQRUD"/>
    <s v="Não localizado cliente código [0000583831].&lt;-ObterCliente&lt;-MontarPnrBase&lt;-ProcessarAereo&lt;-ProcessarItemFila[b]"/>
    <x v="1057"/>
    <m/>
    <s v="CLIENTE"/>
    <x v="13"/>
    <s v="CÓDIGO DIFERENTE DO CADASTRADO NO BENNER (CLIENTE X GRUPO)"/>
    <s v="QUALIDADE DOS DADOS"/>
    <x v="0"/>
    <n v="1"/>
  </r>
  <r>
    <s v="SABRE"/>
    <m/>
    <x v="2"/>
    <n v="3382280"/>
    <x v="2"/>
    <d v="2025-04-24T16:48:00"/>
    <s v="CYWJVS"/>
    <s v="CYWJVS"/>
    <s v="Não localizado cliente código [0000000].&lt;-ObterCliente&lt;-MontarPnrBase&lt;-ProcessarAereo&lt;-ProcessarItemFila[b]"/>
    <x v="1058"/>
    <m/>
    <s v="CLIENTE"/>
    <x v="13"/>
    <s v="CÓDIGO DIFERENTE DO CADASTRADO NO BENNER (CLIENTE X GRUPO)"/>
    <s v="QUALIDADE DOS DADOS"/>
    <x v="0"/>
    <n v="1"/>
  </r>
  <r>
    <s v="SABRE"/>
    <m/>
    <x v="2"/>
    <n v="3382290"/>
    <x v="2"/>
    <d v="2025-04-24T16:48:00"/>
    <s v="SCODNW"/>
    <s v="SCODNW"/>
    <s v="Não localizado cliente código [1234567890].&lt;-ObterCliente&lt;-MontarPnrBase&lt;-ProcessarAereo&lt;-ProcessarItemFila[b]"/>
    <x v="1059"/>
    <m/>
    <s v="CLIENTE"/>
    <x v="13"/>
    <s v="CÓDIGO DIFERENTE DO CADASTRADO NO BENNER (CLIENTE X GRUPO)"/>
    <s v="QUALIDADE DOS DADOS"/>
    <x v="0"/>
    <n v="1"/>
  </r>
  <r>
    <s v="SABRE"/>
    <m/>
    <x v="2"/>
    <n v="3382304"/>
    <x v="2"/>
    <d v="2025-04-24T16:48:00"/>
    <s v="ECWKRU"/>
    <s v="ECWKRU"/>
    <s v="Não localizado cliente código [0000050257].&lt;-ObterCliente&lt;-MontarPnrBase&lt;-ProcessarAereo&lt;-ProcessarItemFila[b]"/>
    <x v="1060"/>
    <m/>
    <s v="CLIENTE"/>
    <x v="13"/>
    <s v="CÓDIGO DIFERENTE DO CADASTRADO NO BENNER (CLIENTE X GRUPO)"/>
    <s v="QUALIDADE DOS DADOS"/>
    <x v="0"/>
    <n v="1"/>
  </r>
  <r>
    <s v="SABRE"/>
    <m/>
    <x v="2"/>
    <n v="3382307"/>
    <x v="2"/>
    <d v="2025-04-24T16:48:00"/>
    <s v="EDXQJF"/>
    <s v="EDXQJF"/>
    <s v="Não localizado cliente código [0000050257].&lt;-ObterCliente&lt;-MontarPnrBase&lt;-ProcessarAereo&lt;-ProcessarItemFila[b]"/>
    <x v="1060"/>
    <m/>
    <s v="CLIENTE"/>
    <x v="13"/>
    <s v="CÓDIGO DIFERENTE DO CADASTRADO NO BENNER (CLIENTE X GRUPO)"/>
    <s v="QUALIDADE DOS DADOS"/>
    <x v="0"/>
    <n v="1"/>
  </r>
  <r>
    <s v="SABRE"/>
    <m/>
    <x v="2"/>
    <n v="3382310"/>
    <x v="2"/>
    <d v="2025-04-24T16:48:00"/>
    <s v="EHUTTL"/>
    <s v="EHUTTL"/>
    <s v="Não localizado cliente código [0000000].&lt;-ObterCliente&lt;-MontarPnrBase&lt;-ProcessarAereo&lt;-ProcessarItemFila[b]"/>
    <x v="1061"/>
    <m/>
    <s v="CLIENTE"/>
    <x v="13"/>
    <s v="CÓDIGO DIFERENTE DO CADASTRADO NO BENNER (CLIENTE X GRUPO)"/>
    <s v="QUALIDADE DOS DADOS"/>
    <x v="0"/>
    <n v="1"/>
  </r>
  <r>
    <s v="SABRE"/>
    <m/>
    <x v="2"/>
    <n v="3382313"/>
    <x v="2"/>
    <d v="2025-04-24T16:48:00"/>
    <s v="DMRFNT"/>
    <s v="DMRFNT"/>
    <s v="Não localizado cliente código [0000392619].&lt;-ObterCliente&lt;-MontarPnrBase&lt;-ProcessarAereo&lt;-ProcessarItemFila[b]"/>
    <x v="1061"/>
    <m/>
    <s v="CLIENTE"/>
    <x v="13"/>
    <s v="CÓDIGO DIFERENTE DO CADASTRADO NO BENNER (CLIENTE X GRUPO)"/>
    <s v="QUALIDADE DOS DADOS"/>
    <x v="0"/>
    <n v="1"/>
  </r>
  <r>
    <s v="SABRE"/>
    <m/>
    <x v="2"/>
    <n v="3382329"/>
    <x v="2"/>
    <d v="2025-04-24T16:48:00"/>
    <s v="DLQSEF"/>
    <s v="DLQSEF"/>
    <s v="Código de cliente não identificado&lt;-ObterCliente&lt;-MontarPnrBase&lt;-ProcessarAereo&lt;-ProcessarItemFila[b]"/>
    <x v="1062"/>
    <m/>
    <s v="CLIENTE"/>
    <x v="14"/>
    <s v="DK DE CLIENTE NÃO PREENCIDO / CLIENTE NÃO CONFIGURADO NO OBT"/>
    <s v="INDEFINIDO"/>
    <x v="1"/>
    <s v="COLUNA I"/>
  </r>
  <r>
    <s v="RESOLVIDO"/>
    <m/>
    <x v="1"/>
    <n v="3382453"/>
    <x v="1"/>
    <d v="2025-04-24T14:37:00"/>
    <n v="11922"/>
    <n v="11922"/>
    <s v="Preenchendo XML Serviço-&gt; Preenchendo XML-&gt; Montando accounting aereo 2-&gt;Não foi informado o Localizador do Assento/Bagagem!"/>
    <x v="1063"/>
    <d v="2025-04-27T19:17:00"/>
    <s v="OUTROS"/>
    <x v="15"/>
    <s v="CAMPO OBSERVAÇÃO PREENCHIDO INCORRETAMENTE"/>
    <s v="QUALIDADE DOS DADOS"/>
    <x v="1"/>
    <n v="118"/>
  </r>
  <r>
    <s v="SABRE"/>
    <m/>
    <x v="2"/>
    <n v="3382666"/>
    <x v="2"/>
    <d v="2025-04-24T18:15:00"/>
    <s v="HATWUY"/>
    <s v="HATWUY"/>
    <s v="Código de cliente não identificado&lt;-ObterCliente&lt;-MontarPnrBase&lt;-ProcessarAereo&lt;-ProcessarItemFila[b]"/>
    <x v="1064"/>
    <m/>
    <s v="CLIENTE"/>
    <x v="14"/>
    <s v="DK DE CLIENTE NÃO PREENCIDO / CLIENTE NÃO CONFIGURADO NO OBT"/>
    <s v="INDEFINIDO"/>
    <x v="1"/>
    <s v="COLUNA I"/>
  </r>
  <r>
    <s v="SABRE"/>
    <m/>
    <x v="2"/>
    <n v="3382668"/>
    <x v="2"/>
    <d v="2025-04-24T18:15:00"/>
    <s v="WBYDIA"/>
    <s v="WBYDIA"/>
    <s v="Código de cliente não identificado&lt;-ObterCliente&lt;-MontarPnrBase&lt;-ProcessarAereo&lt;-ProcessarItemFila[b]"/>
    <x v="1064"/>
    <m/>
    <s v="CLIENTE"/>
    <x v="14"/>
    <s v="DK DE CLIENTE NÃO PREENCIDO / CLIENTE NÃO CONFIGURADO NO OBT"/>
    <s v="INDEFINIDO"/>
    <x v="1"/>
    <s v="COLUNA I"/>
  </r>
  <r>
    <s v="SABRE"/>
    <m/>
    <x v="2"/>
    <n v="3382669"/>
    <x v="2"/>
    <d v="2025-04-24T18:15:00"/>
    <s v="WPHTIU"/>
    <s v="WPHTIU"/>
    <s v="Código de cliente não identificado&lt;-ObterCliente&lt;-MontarPnrBase&lt;-ProcessarAereo&lt;-ProcessarItemFila[b]"/>
    <x v="1064"/>
    <m/>
    <s v="CLIENTE"/>
    <x v="14"/>
    <s v="DK DE CLIENTE NÃO PREENCIDO / CLIENTE NÃO CONFIGURADO NO OBT"/>
    <s v="INDEFINIDO"/>
    <x v="1"/>
    <s v="COLUNA I"/>
  </r>
  <r>
    <s v="SABRE"/>
    <m/>
    <x v="2"/>
    <n v="3382670"/>
    <x v="2"/>
    <d v="2025-04-24T18:15:00"/>
    <s v="DRMTFC"/>
    <s v="DRMTFC"/>
    <s v="Código de cliente não identificado&lt;-ObterCliente&lt;-MontarPnrBase&lt;-ProcessarAereo&lt;-ProcessarItemFila[b]"/>
    <x v="1064"/>
    <m/>
    <s v="CLIENTE"/>
    <x v="14"/>
    <s v="DK DE CLIENTE NÃO PREENCIDO / CLIENTE NÃO CONFIGURADO NO OBT"/>
    <s v="INDEFINIDO"/>
    <x v="1"/>
    <s v="COLUNA I"/>
  </r>
  <r>
    <s v="SABRE"/>
    <m/>
    <x v="2"/>
    <n v="3383186"/>
    <x v="2"/>
    <d v="2025-04-28T11:27:00"/>
    <s v="AKPJXS"/>
    <s v="AKPJXS"/>
    <s v="Não localizado cliente com CNPJ [JTI PROCESSADORA].&lt;-ObterCliente&lt;-MontarPnrBase&lt;-ProcessarAereo&lt;-ProcessarItemFila[b]"/>
    <x v="1065"/>
    <d v="2025-04-28T13:34:00"/>
    <s v="CLIENTE"/>
    <x v="12"/>
    <s v=""/>
    <s v="QUALIDADE DOS DADOS"/>
    <x v="1"/>
    <n v="24"/>
  </r>
  <r>
    <s v="SABRE"/>
    <m/>
    <x v="2"/>
    <n v="3383192"/>
    <x v="2"/>
    <d v="2025-04-25T09:24:00"/>
    <s v="YMPHNY"/>
    <s v="YMPHNY"/>
    <s v="Não localizado cliente código [0000000].&lt;-ObterCliente&lt;-MontarPnrBase&lt;-ProcessarAereo&lt;-ProcessarItemFila[b]"/>
    <x v="1066"/>
    <m/>
    <s v="CLIENTE"/>
    <x v="13"/>
    <s v="CÓDIGO DIFERENTE DO CADASTRADO NO BENNER (CLIENTE X GRUPO)"/>
    <s v="QUALIDADE DOS DADOS"/>
    <x v="0"/>
    <n v="1"/>
  </r>
  <r>
    <s v="SABRE"/>
    <m/>
    <x v="2"/>
    <n v="3383214"/>
    <x v="2"/>
    <d v="2025-04-25T09:24:00"/>
    <s v="FBWEME"/>
    <s v="FBWEME"/>
    <s v="Código de cliente não identificado&lt;-ObterCliente&lt;-MontarPnrBase&lt;-ProcessarAereo&lt;-ProcessarItemFila[b]"/>
    <x v="1067"/>
    <m/>
    <s v="CLIENTE"/>
    <x v="14"/>
    <s v="DK DE CLIENTE NÃO PREENCIDO / CLIENTE NÃO CONFIGURADO NO OBT"/>
    <s v="INDEFINIDO"/>
    <x v="1"/>
    <s v="COLUNA I"/>
  </r>
  <r>
    <s v="SABRE"/>
    <m/>
    <x v="2"/>
    <n v="3383758"/>
    <x v="2"/>
    <d v="2025-04-25T12:09:00"/>
    <s v="LVPHIVT"/>
    <s v="LVPHIV"/>
    <s v="Verificando Formas Pagamento/Recebimento - Inserindo Parâmetros - TurVendas - Não foi possível localizar o contrato do fornecedor 49298"/>
    <x v="1068"/>
    <d v="2025-04-25T14:21:00"/>
    <s v="FORNECEDOR"/>
    <x v="17"/>
    <s v=""/>
    <e v="#N/A"/>
    <x v="3"/>
    <n v="79"/>
  </r>
  <r>
    <s v="SABRE"/>
    <m/>
    <x v="2"/>
    <n v="3383929"/>
    <x v="2"/>
    <d v="2025-04-25T11:55:00"/>
    <s v="HXWWJNT"/>
    <s v="HXWWJN"/>
    <s v="Verificando Formas Pagto/Rec - (ExecSQL) - TurVendas - Não foi possível localizar o contrato do fornecedor H84698"/>
    <x v="1069"/>
    <m/>
    <s v="FORNECEDOR"/>
    <x v="10"/>
    <s v="CONTRATO INATIVO OU DIVERGENTE"/>
    <s v="SISTEMA"/>
    <x v="1"/>
    <n v="56"/>
  </r>
  <r>
    <s v="SABRE"/>
    <m/>
    <x v="2"/>
    <n v="3384270"/>
    <x v="2"/>
    <d v="2025-04-25T14:04:00"/>
    <s v="EYDDXD"/>
    <s v="EYDDXD"/>
    <s v="Inserindo Accounting - (ExecSQL) - List index out of bounds (0)"/>
    <x v="1070"/>
    <m/>
    <s v="OUTROS"/>
    <x v="7"/>
    <s v="ERRO NA IMPORTAÇÃO/MODIFICAÇÃO DAS INFOMAÇÕES"/>
    <s v="SISTEMA"/>
    <x v="2"/>
    <s v="COLUNA I"/>
  </r>
  <r>
    <s v="SABRE"/>
    <m/>
    <x v="2"/>
    <n v="3384347"/>
    <x v="2"/>
    <d v="2025-04-25T14:30:00"/>
    <s v="NJMTAA"/>
    <s v="NJMTAA"/>
    <s v="Inserindo Accounting - (ExecSQL) - List index out of bounds (0)"/>
    <x v="1071"/>
    <m/>
    <s v="OUTROS"/>
    <x v="7"/>
    <s v="ERRO NA IMPORTAÇÃO/MODIFICAÇÃO DAS INFOMAÇÕES"/>
    <s v="SISTEMA"/>
    <x v="2"/>
    <s v="COLUNA I"/>
  </r>
  <r>
    <s v="SABRE"/>
    <m/>
    <x v="2"/>
    <n v="3384634"/>
    <x v="2"/>
    <d v="2025-04-25T16:01:00"/>
    <s v="UBXSOPT"/>
    <s v="UBXSOP"/>
    <s v="Inserindo PNR - Accountings - TurVendas - Não foi possível localizar o contrato do fornecedor 49298"/>
    <x v="1072"/>
    <m/>
    <s v="FORNECEDOR"/>
    <x v="10"/>
    <s v="CONTRATO INATIVO OU DIVERGENTE"/>
    <s v="SISTEMA"/>
    <x v="1"/>
    <n v="43"/>
  </r>
  <r>
    <s v="TMS"/>
    <m/>
    <x v="2"/>
    <n v="3385309"/>
    <x v="1"/>
    <d v="2025-04-25T13:21:00"/>
    <n v="20920"/>
    <n v="20920"/>
    <s v="Preenchendo XML Serviço-&gt; Preenchendo XML-&gt; Montando accounting aereo 2-&gt;Não foi informado o Localizador do Assento/Bagagem!"/>
    <x v="1073"/>
    <d v="2025-04-28T14:24:00"/>
    <s v="OUTROS"/>
    <x v="15"/>
    <s v="CAMPO OBSERVAÇÃO PREENCHIDO INCORRETAMENTE"/>
    <s v="QUALIDADE DOS DADOS"/>
    <x v="1"/>
    <n v="118"/>
  </r>
  <r>
    <s v="SABRE"/>
    <m/>
    <x v="2"/>
    <n v="3385370"/>
    <x v="2"/>
    <d v="2025-04-25T17:19:00"/>
    <s v="FPNCDR"/>
    <s v="FPNCDR"/>
    <s v="Código de cliente não identificado&lt;-ObterCliente&lt;-MontarPnrBase&lt;-ProcessarAereo&lt;-ProcessarItemFila[b]"/>
    <x v="1074"/>
    <m/>
    <s v="CLIENTE"/>
    <x v="14"/>
    <s v="DK DE CLIENTE NÃO PREENCIDO / CLIENTE NÃO CONFIGURADO NO OBT"/>
    <s v="INDEFINIDO"/>
    <x v="1"/>
    <s v="COLUNA I"/>
  </r>
  <r>
    <s v="SABRE"/>
    <m/>
    <x v="2"/>
    <n v="3385371"/>
    <x v="2"/>
    <d v="2025-04-25T17:19:00"/>
    <s v="SXSYCT"/>
    <s v="SXSYCT"/>
    <s v="Código de cliente não identificado&lt;-ObterCliente&lt;-MontarPnrBase&lt;-ProcessarAereo&lt;-ProcessarItemFila[b]"/>
    <x v="1074"/>
    <m/>
    <s v="CLIENTE"/>
    <x v="14"/>
    <s v="DK DE CLIENTE NÃO PREENCIDO / CLIENTE NÃO CONFIGURADO NO OBT"/>
    <s v="INDEFINIDO"/>
    <x v="1"/>
    <s v="COLUNA I"/>
  </r>
  <r>
    <s v="SABRE"/>
    <m/>
    <x v="2"/>
    <n v="3385372"/>
    <x v="2"/>
    <d v="2025-04-25T17:19:00"/>
    <s v="NVNXZK"/>
    <s v="NVNXZK"/>
    <s v="Código de cliente não identificado&lt;-ObterCliente&lt;-MontarPnrBase&lt;-ProcessarAereo&lt;-ProcessarItemFila[b]"/>
    <x v="1074"/>
    <m/>
    <s v="CLIENTE"/>
    <x v="14"/>
    <s v="DK DE CLIENTE NÃO PREENCIDO / CLIENTE NÃO CONFIGURADO NO OBT"/>
    <s v="INDEFINIDO"/>
    <x v="1"/>
    <s v="COLUNA I"/>
  </r>
  <r>
    <s v="SABRE"/>
    <m/>
    <x v="2"/>
    <n v="3385373"/>
    <x v="2"/>
    <d v="2025-04-25T17:19:00"/>
    <s v="MMLJGF"/>
    <s v="MMLJGF"/>
    <s v="Código de cliente não identificado&lt;-ObterCliente&lt;-MontarPnrBase&lt;-ProcessarAereo&lt;-ProcessarItemFila[b]"/>
    <x v="1074"/>
    <m/>
    <s v="CLIENTE"/>
    <x v="14"/>
    <s v="DK DE CLIENTE NÃO PREENCIDO / CLIENTE NÃO CONFIGURADO NO OBT"/>
    <s v="INDEFINIDO"/>
    <x v="1"/>
    <s v="COLUNA I"/>
  </r>
  <r>
    <s v="SABRE"/>
    <m/>
    <x v="2"/>
    <n v="3385379"/>
    <x v="2"/>
    <d v="2025-04-25T17:19:00"/>
    <s v="SYOIFJ"/>
    <s v="SYOIFJ"/>
    <s v="Não localizado cliente código [1234567890].&lt;-ObterCliente&lt;-MontarPnrBase&lt;-ProcessarAereo&lt;-ProcessarItemFila[b]"/>
    <x v="1075"/>
    <m/>
    <s v="CLIENTE"/>
    <x v="13"/>
    <s v="CÓDIGO DIFERENTE DO CADASTRADO NO BENNER (CLIENTE X GRUPO)"/>
    <s v="QUALIDADE DOS DADOS"/>
    <x v="0"/>
    <n v="1"/>
  </r>
  <r>
    <s v="SABRE"/>
    <m/>
    <x v="2"/>
    <n v="3385381"/>
    <x v="2"/>
    <d v="2025-04-25T17:19:00"/>
    <s v="EXBEON"/>
    <s v="EXBEON"/>
    <s v="Não localizado cliente código [1234567890].&lt;-ObterCliente&lt;-MontarPnrBase&lt;-ProcessarAereo&lt;-ProcessarItemFila[b]"/>
    <x v="1075"/>
    <m/>
    <s v="CLIENTE"/>
    <x v="13"/>
    <s v="CÓDIGO DIFERENTE DO CADASTRADO NO BENNER (CLIENTE X GRUPO)"/>
    <s v="QUALIDADE DOS DADOS"/>
    <x v="0"/>
    <n v="1"/>
  </r>
  <r>
    <s v="SABRE"/>
    <m/>
    <x v="2"/>
    <n v="3385390"/>
    <x v="2"/>
    <d v="2025-04-25T17:19:00"/>
    <s v="SBRARU"/>
    <s v="SBRARU"/>
    <s v="Não localizado cliente código [0000583808].&lt;-ObterCliente&lt;-MontarPnrBase&lt;-ProcessarAereo&lt;-ProcessarItemFila[b]"/>
    <x v="1075"/>
    <m/>
    <s v="CLIENTE"/>
    <x v="13"/>
    <s v="CÓDIGO DIFERENTE DO CADASTRADO NO BENNER (CLIENTE X GRUPO)"/>
    <s v="QUALIDADE DOS DADOS"/>
    <x v="0"/>
    <n v="1"/>
  </r>
  <r>
    <s v="SABRE"/>
    <m/>
    <x v="2"/>
    <n v="3385393"/>
    <x v="2"/>
    <d v="2025-04-25T17:19:00"/>
    <s v="ECEXHE"/>
    <s v="ECEXHE"/>
    <s v="Não localizado cliente código [0000583808].&lt;-ObterCliente&lt;-MontarPnrBase&lt;-ProcessarAereo&lt;-ProcessarItemFila[b]"/>
    <x v="1076"/>
    <m/>
    <s v="CLIENTE"/>
    <x v="13"/>
    <s v="CÓDIGO DIFERENTE DO CADASTRADO NO BENNER (CLIENTE X GRUPO)"/>
    <s v="QUALIDADE DOS DADOS"/>
    <x v="0"/>
    <n v="1"/>
  </r>
  <r>
    <s v="SABRE"/>
    <m/>
    <x v="2"/>
    <n v="3385400"/>
    <x v="2"/>
    <d v="2025-04-25T17:19:00"/>
    <s v="NGXARX"/>
    <s v="NGXARX"/>
    <s v="Não localizado cliente código [0000583831].&lt;-ObterCliente&lt;-MontarPnrBase&lt;-ProcessarAereo&lt;-ProcessarItemFila[b]"/>
    <x v="1076"/>
    <m/>
    <s v="CLIENTE"/>
    <x v="13"/>
    <s v="CÓDIGO DIFERENTE DO CADASTRADO NO BENNER (CLIENTE X GRUPO)"/>
    <s v="QUALIDADE DOS DADOS"/>
    <x v="0"/>
    <n v="1"/>
  </r>
  <r>
    <s v="SABRE"/>
    <m/>
    <x v="2"/>
    <n v="3385401"/>
    <x v="2"/>
    <d v="2025-04-25T17:19:00"/>
    <s v="UAGZKS"/>
    <s v="UAGZKS"/>
    <s v="Código de cliente não identificado&lt;-ObterCliente&lt;-MontarPnrBase&lt;-ProcessarAereo&lt;-ProcessarItemFila[b]"/>
    <x v="1076"/>
    <m/>
    <s v="CLIENTE"/>
    <x v="14"/>
    <s v="DK DE CLIENTE NÃO PREENCIDO / CLIENTE NÃO CONFIGURADO NO OBT"/>
    <s v="INDEFINIDO"/>
    <x v="1"/>
    <s v="COLUNA I"/>
  </r>
  <r>
    <s v="SABRE"/>
    <m/>
    <x v="2"/>
    <n v="3385403"/>
    <x v="2"/>
    <d v="2025-04-25T17:19:00"/>
    <s v="WFJWEJ"/>
    <s v="WFJWEJ"/>
    <s v="Código de cliente não identificado&lt;-ObterCliente&lt;-MontarPnrBase&lt;-ProcessarAereo&lt;-ProcessarItemFila[b]"/>
    <x v="1076"/>
    <m/>
    <s v="CLIENTE"/>
    <x v="14"/>
    <s v="DK DE CLIENTE NÃO PREENCIDO / CLIENTE NÃO CONFIGURADO NO OBT"/>
    <s v="INDEFINIDO"/>
    <x v="1"/>
    <s v="COLUNA I"/>
  </r>
  <r>
    <s v="SABRE"/>
    <m/>
    <x v="2"/>
    <n v="3385405"/>
    <x v="2"/>
    <d v="2025-04-25T17:19:00"/>
    <s v="FQLHQO"/>
    <s v="FQLHQO"/>
    <s v="Código de cliente não identificado&lt;-ObterCliente&lt;-MontarPnrBase&lt;-ProcessarAereo&lt;-ProcessarItemFila[b]"/>
    <x v="1076"/>
    <m/>
    <s v="CLIENTE"/>
    <x v="14"/>
    <s v="DK DE CLIENTE NÃO PREENCIDO / CLIENTE NÃO CONFIGURADO NO OBT"/>
    <s v="INDEFINIDO"/>
    <x v="1"/>
    <s v="COLUNA I"/>
  </r>
  <r>
    <s v="SABRE"/>
    <m/>
    <x v="2"/>
    <n v="3385413"/>
    <x v="2"/>
    <d v="2025-04-25T17:19:00"/>
    <s v="HWKUSK"/>
    <s v="HWKUSK"/>
    <s v="Código de cliente não identificado&lt;-ObterCliente&lt;-MontarPnrBase&lt;-ProcessarAereo&lt;-ProcessarItemFila[b]"/>
    <x v="1077"/>
    <m/>
    <s v="CLIENTE"/>
    <x v="14"/>
    <s v="DK DE CLIENTE NÃO PREENCIDO / CLIENTE NÃO CONFIGURADO NO OBT"/>
    <s v="INDEFINIDO"/>
    <x v="1"/>
    <s v="COLUNA I"/>
  </r>
  <r>
    <s v="SABRE"/>
    <m/>
    <x v="2"/>
    <n v="3386729"/>
    <x v="2"/>
    <d v="2025-04-28T09:37:00"/>
    <s v="DITHJC"/>
    <s v="DITHJC"/>
    <s v="Não localizado cliente código [0000000].&lt;-ObterCliente&lt;-MontarPnrBase&lt;-ProcessarAereo&lt;-ProcessarItemFila[b]"/>
    <x v="1078"/>
    <m/>
    <s v="CLIENTE"/>
    <x v="13"/>
    <s v="CÓDIGO DIFERENTE DO CADASTRADO NO BENNER (CLIENTE X GRUPO)"/>
    <s v="QUALIDADE DOS DADOS"/>
    <x v="0"/>
    <n v="1"/>
  </r>
  <r>
    <s v="SABRE"/>
    <m/>
    <x v="2"/>
    <n v="3386733"/>
    <x v="2"/>
    <d v="2025-04-28T09:37:00"/>
    <s v="ICEIJK"/>
    <s v="ICEIJK"/>
    <s v="Código de cliente não identificado&lt;-ObterCliente&lt;-MontarPnrBase&lt;-ProcessarAereo&lt;-ProcessarItemFila[b]"/>
    <x v="1078"/>
    <m/>
    <s v="CLIENTE"/>
    <x v="14"/>
    <s v="DK DE CLIENTE NÃO PREENCIDO / CLIENTE NÃO CONFIGURADO NO OBT"/>
    <s v="INDEFINIDO"/>
    <x v="1"/>
    <s v="COLUNA I"/>
  </r>
  <r>
    <s v="SABRE"/>
    <m/>
    <x v="2"/>
    <n v="3386734"/>
    <x v="2"/>
    <d v="2025-04-28T09:37:00"/>
    <s v="KGEAQH"/>
    <s v="KGEAQH"/>
    <s v="Código de cliente não identificado&lt;-ObterCliente&lt;-MontarPnrBase&lt;-ProcessarAereo&lt;-ProcessarItemFila[b]"/>
    <x v="1078"/>
    <m/>
    <s v="CLIENTE"/>
    <x v="14"/>
    <s v="DK DE CLIENTE NÃO PREENCIDO / CLIENTE NÃO CONFIGURADO NO OBT"/>
    <s v="INDEFINIDO"/>
    <x v="1"/>
    <s v="COLUNA I"/>
  </r>
  <r>
    <s v="TMS"/>
    <m/>
    <x v="2"/>
    <n v="3386784"/>
    <x v="1"/>
    <d v="2025-03-26T17:35:00"/>
    <n v="210"/>
    <n v="210"/>
    <s v="Preenchendo XML Rodoviário-&gt; Preenchendo XML-&gt; Montando accounting rodoviário-&gt;Fornecedor com o apelido VAIDEBUS não encontrado, ou existe mais de um Fornecedor com o mesmo apelido."/>
    <x v="1079"/>
    <m/>
    <s v="FORNECEDOR"/>
    <x v="17"/>
    <s v=""/>
    <s v="QUALIDADE DOS DADOS"/>
    <x v="3"/>
    <n v="79"/>
  </r>
  <r>
    <s v="RESOLVIDO"/>
    <m/>
    <x v="1"/>
    <n v="3386909"/>
    <x v="1"/>
    <d v="2025-04-28T11:44:00"/>
    <n v="6194"/>
    <n v="6194"/>
    <s v="Inserindo Trecho - Parâmetro Fornecedor - TurVendas - Não foi possível localizar o contrato do fornecedor XZ"/>
    <x v="1080"/>
    <d v="2025-04-29T07:46:00"/>
    <s v="FORNECEDOR"/>
    <x v="10"/>
    <s v="CONTRATO INATIVO OU DIVERGENTE"/>
    <s v="SISTEMA"/>
    <x v="1"/>
    <n v="55"/>
  </r>
  <r>
    <s v="SABRE"/>
    <m/>
    <x v="2"/>
    <n v="3386910"/>
    <x v="2"/>
    <d v="2025-04-28T11:30:00"/>
    <s v="KSRJCX"/>
    <s v="KSRJCX"/>
    <s v="Não localizado cliente código [0000068435].&lt;-ObterCliente&lt;-MontarPnrBase&lt;-ProcessarAereo&lt;-ProcessarItemFila[b]"/>
    <x v="1080"/>
    <m/>
    <s v="CLIENTE"/>
    <x v="13"/>
    <s v="CÓDIGO DIFERENTE DO CADASTRADO NO BENNER (CLIENTE X GRUPO)"/>
    <s v="QUALIDADE DOS DADOS"/>
    <x v="0"/>
    <n v="1"/>
  </r>
  <r>
    <s v="SABRE"/>
    <m/>
    <x v="2"/>
    <n v="3386966"/>
    <x v="2"/>
    <d v="2025-04-28T12:48:00"/>
    <s v="MVPWGB"/>
    <s v="MVPWGB"/>
    <s v="ERRO: Cancelamento de Venda: Não há PNR no sistema para cancelar, venda não inserida!"/>
    <x v="1081"/>
    <d v="2025-04-28T15:02:00"/>
    <s v="CANCELAMENTO"/>
    <x v="6"/>
    <s v="RESERVA CANCELADA NO OBT"/>
    <s v="SISTEMA"/>
    <x v="0"/>
    <s v="COLUNA I"/>
  </r>
  <r>
    <s v="SABRE"/>
    <m/>
    <x v="2"/>
    <n v="3387196"/>
    <x v="2"/>
    <d v="2025-04-28T12:49:00"/>
    <s v="UNCBDXT"/>
    <s v="UNCBDX"/>
    <s v="Verificando Formas Pagto/Rec - (ExecSQL) - TurVendas - Não foi possível localizar o contrato do fornecedor H84698"/>
    <x v="1082"/>
    <d v="2025-04-28T15:02:00"/>
    <s v="FORNECEDOR"/>
    <x v="10"/>
    <s v="CONTRATO INATIVO OU DIVERGENTE"/>
    <s v="SISTEMA"/>
    <x v="1"/>
    <n v="56"/>
  </r>
  <r>
    <s v="SABRE"/>
    <m/>
    <x v="2"/>
    <n v="3387739"/>
    <x v="2"/>
    <d v="2025-04-28T13:41:00"/>
    <s v="UNWVRQ"/>
    <s v="UNWVRQ"/>
    <s v="Não localizado cliente código [0000063625].&lt;-ObterCliente&lt;-MontarPnrBase&lt;-ProcessarAereo&lt;-ProcessarItemFila[b]"/>
    <x v="1083"/>
    <m/>
    <s v="CLIENTE"/>
    <x v="13"/>
    <s v="CÓDIGO DIFERENTE DO CADASTRADO NO BENNER (CLIENTE X GRUPO)"/>
    <s v="QUALIDADE DOS DADOS"/>
    <x v="0"/>
    <n v="1"/>
  </r>
  <r>
    <s v="SABRE"/>
    <m/>
    <x v="2"/>
    <n v="3387743"/>
    <x v="2"/>
    <d v="2025-04-28T13:41:00"/>
    <s v="ERMVUI"/>
    <s v="ERMVUI"/>
    <s v="Não localizado cliente com CNPJ [271682000177].&lt;-ObterCliente&lt;-MontarPnrBase&lt;-ProcessarAereo&lt;-ProcessarItemFila[b]"/>
    <x v="1084"/>
    <m/>
    <s v="CLIENTE"/>
    <x v="12"/>
    <s v=""/>
    <s v="QUALIDADE DOS DADOS"/>
    <x v="1"/>
    <n v="24"/>
  </r>
  <r>
    <s v="SABRE"/>
    <m/>
    <x v="2"/>
    <n v="3388050"/>
    <x v="2"/>
    <d v="2025-04-28T15:06:00"/>
    <s v="GWMYPX"/>
    <s v="GWMYPX"/>
    <s v="Não localizado cliente código [0000583808].&lt;-ObterCliente&lt;-MontarPnrBase&lt;-ProcessarAereo&lt;-ProcessarItemFila[b]"/>
    <x v="1085"/>
    <m/>
    <s v="CLIENTE"/>
    <x v="13"/>
    <s v="CÓDIGO DIFERENTE DO CADASTRADO NO BENNER (CLIENTE X GRUPO)"/>
    <s v="QUALIDADE DOS DADOS"/>
    <x v="0"/>
    <n v="1"/>
  </r>
  <r>
    <s v="SABRE"/>
    <m/>
    <x v="2"/>
    <n v="3388051"/>
    <x v="2"/>
    <d v="2025-04-28T15:06:00"/>
    <s v="NOPXAN"/>
    <s v="NOPXAN"/>
    <s v="Não localizado cliente código [1234567890].&lt;-ObterCliente&lt;-MontarPnrBase&lt;-ProcessarAereo&lt;-ProcessarItemFila[b]"/>
    <x v="1085"/>
    <m/>
    <s v="CLIENTE"/>
    <x v="13"/>
    <s v="CÓDIGO DIFERENTE DO CADASTRADO NO BENNER (CLIENTE X GRUPO)"/>
    <s v="QUALIDADE DOS DADOS"/>
    <x v="0"/>
    <n v="1"/>
  </r>
  <r>
    <s v="RESOLVIDO"/>
    <m/>
    <x v="1"/>
    <n v="3388175"/>
    <x v="2"/>
    <d v="2025-04-28T16:14:00"/>
    <s v="MVIYZXT"/>
    <s v="MVIYZX"/>
    <s v="ConverterPagamentosRemark-&gt;The string was not recognized as a valid DateTime. There is an unknown word starting at index 0.&lt;-MontarAccountinsHotel&lt;-ProcessarHotel&lt;-ProcessarItemFila[b]"/>
    <x v="1086"/>
    <m/>
    <s v="FORMA PAGTO/RECTO"/>
    <x v="3"/>
    <s v="REMARK U*INFOPAG-CC/REC-CC PREENCHIDO INCORRETAMENTE"/>
    <s v="QUALIDADE DOS DADOS"/>
    <x v="1"/>
    <s v="COLUNA I"/>
  </r>
  <r>
    <s v="RESOLVIDO"/>
    <m/>
    <x v="1"/>
    <n v="3388176"/>
    <x v="2"/>
    <d v="2025-04-28T16:14:00"/>
    <s v="OOCCTOT"/>
    <s v="OOCCTO"/>
    <s v="ConverterPagamentosRemark-&gt;The string was not recognized as a valid DateTime. There is an unknown word starting at index 0.&lt;-MontarAccountinsHotel&lt;-ProcessarHotel&lt;-ProcessarItemFila[b]"/>
    <x v="1086"/>
    <m/>
    <s v="FORMA PAGTO/RECTO"/>
    <x v="3"/>
    <s v="REMARK U*INFOPAG-CC/REC-CC PREENCHIDO INCORRETAMENTE"/>
    <s v="QUALIDADE DOS DADOS"/>
    <x v="1"/>
    <s v="COLUNA I"/>
  </r>
  <r>
    <s v="RESOLVIDO"/>
    <m/>
    <x v="1"/>
    <n v="3388177"/>
    <x v="2"/>
    <d v="2025-04-28T16:14:00"/>
    <s v="HJIPVET"/>
    <s v="HJIPVE"/>
    <s v="ConverterPagamentosRemark-&gt;The string was not recognized as a valid DateTime. There is an unknown word starting at index 0.&lt;-MontarAccountinsHotel&lt;-ProcessarHotel&lt;-ProcessarItemFila[b]"/>
    <x v="1086"/>
    <m/>
    <s v="FORMA PAGTO/RECTO"/>
    <x v="3"/>
    <s v="REMARK U*INFOPAG-CC/REC-CC PREENCHIDO INCORRETAMENTE"/>
    <s v="QUALIDADE DOS DADOS"/>
    <x v="1"/>
    <s v="COLUNA I"/>
  </r>
  <r>
    <s v="RESOLVIDO"/>
    <m/>
    <x v="1"/>
    <n v="3388186"/>
    <x v="2"/>
    <d v="2025-04-28T16:34:00"/>
    <s v="HJLLBZT"/>
    <s v="HJLLBZ"/>
    <s v="ConverterPagamentosRemark-&gt;The string was not recognized as a valid DateTime. There is an unknown word starting at index 0.&lt;-MontarAccountinsHotel&lt;-ProcessarHotel&lt;-ProcessarItemFila[b]"/>
    <x v="1087"/>
    <m/>
    <s v="FORMA PAGTO/RECTO"/>
    <x v="3"/>
    <s v="REMARK U*INFOPAG-CC/REC-CC PREENCHIDO INCORRETAMENTE"/>
    <s v="QUALIDADE DOS DADOS"/>
    <x v="1"/>
    <s v="COLUNA I"/>
  </r>
  <r>
    <s v="RESOLVIDO"/>
    <m/>
    <x v="1"/>
    <n v="3388210"/>
    <x v="2"/>
    <d v="2025-04-28T16:34:00"/>
    <s v="QCQAFNT"/>
    <s v="QCQAFN"/>
    <s v="ConverterPagamentosRemark-&gt;The string was not recognized as a valid DateTime. There is an unknown word starting at index 0.&lt;-MontarAccountinsHotel&lt;-ProcessarHotel&lt;-ProcessarItemFila[b]"/>
    <x v="1088"/>
    <m/>
    <s v="FORMA PAGTO/RECTO"/>
    <x v="3"/>
    <s v="REMARK U*INFOPAG-CC/REC-CC PREENCHIDO INCORRETAMENTE"/>
    <s v="QUALIDADE DOS DADOS"/>
    <x v="1"/>
    <s v="COLUNA I"/>
  </r>
  <r>
    <s v="RESOLVIDO"/>
    <m/>
    <x v="1"/>
    <n v="3388211"/>
    <x v="2"/>
    <d v="2025-04-28T16:48:00"/>
    <s v="OOYDUUT"/>
    <s v="OOYDUU"/>
    <s v="ConverterPagamentosRemark-&gt;The string was not recognized as a valid DateTime. There is an unknown word starting at index 0.&lt;-MontarAccountinsHotel&lt;-ProcessarHotel&lt;-ProcessarItemFila[b]"/>
    <x v="1088"/>
    <m/>
    <s v="FORMA PAGTO/RECTO"/>
    <x v="3"/>
    <s v="REMARK U*INFOPAG-CC/REC-CC PREENCHIDO INCORRETAMENTE"/>
    <s v="QUALIDADE DOS DADOS"/>
    <x v="1"/>
    <s v="COLUNA I"/>
  </r>
  <r>
    <s v="RESOLVIDO"/>
    <m/>
    <x v="1"/>
    <n v="3388212"/>
    <x v="2"/>
    <d v="2025-04-28T16:48:00"/>
    <s v="QAJXFBT"/>
    <s v="QAJXFB"/>
    <s v="ConverterPagamentosRemark-&gt;The string was not recognized as a valid DateTime. There is an unknown word starting at index 0.&lt;-MontarAccountinsHotel&lt;-ProcessarHotel&lt;-ProcessarItemFila[b]"/>
    <x v="1088"/>
    <m/>
    <s v="FORMA PAGTO/RECTO"/>
    <x v="3"/>
    <s v="REMARK U*INFOPAG-CC/REC-CC PREENCHIDO INCORRETAMENTE"/>
    <s v="QUALIDADE DOS DADOS"/>
    <x v="1"/>
    <s v="COLUNA I"/>
  </r>
  <r>
    <s v="RESOLVIDO"/>
    <m/>
    <x v="1"/>
    <n v="3388276"/>
    <x v="2"/>
    <d v="2025-04-29T06:36:00"/>
    <s v="MYCXEMT"/>
    <s v="MYCXEM"/>
    <s v="ConverterPagamentosRemark-&gt;The string was not recognized as a valid DateTime. There is an unknown word starting at index 0.&lt;-MontarAccountinsHotel&lt;-ProcessarHotel&lt;-ProcessarItemFila[b]"/>
    <x v="1089"/>
    <d v="2025-04-29T08:47:00"/>
    <s v="FORMA PAGTO/RECTO"/>
    <x v="3"/>
    <s v="REMARK U*INFOPAG-CC/REC-CC PREENCHIDO INCORRETAMENTE"/>
    <s v="QUALIDADE DOS DADOS"/>
    <x v="1"/>
    <s v="COLUNA I"/>
  </r>
  <r>
    <s v="RESOLVIDO"/>
    <m/>
    <x v="1"/>
    <n v="3388560"/>
    <x v="0"/>
    <d v="2025-04-28T09:11:00"/>
    <n v="4528489"/>
    <s v="AKJVHX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61"/>
    <x v="0"/>
    <d v="2025-04-28T09:11:00"/>
    <n v="4528489"/>
    <s v="JJ6I5Z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63"/>
    <x v="0"/>
    <d v="2025-04-28T12:51:00"/>
    <n v="4528831"/>
    <s v="QSXQGM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64"/>
    <x v="0"/>
    <d v="2025-04-28T13:06:00"/>
    <n v="4528839"/>
    <s v="WPW18X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65"/>
    <x v="0"/>
    <d v="2025-04-28T13:34:00"/>
    <n v="4528865"/>
    <s v="MGDBXA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66"/>
    <x v="0"/>
    <d v="2025-04-28T13:34:00"/>
    <n v="4528865"/>
    <s v="QTDWGB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67"/>
    <x v="0"/>
    <d v="2025-04-28T13:57:00"/>
    <n v="4528898"/>
    <s v="MEMWHJ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0"/>
    <x v="0"/>
    <d v="2025-04-28T14:24:00"/>
    <n v="4528937"/>
    <s v="NNI72N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1"/>
    <x v="0"/>
    <d v="2025-04-28T14:39:00"/>
    <n v="4528962"/>
    <s v="MFDABY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3"/>
    <x v="0"/>
    <d v="2025-04-28T15:14:00"/>
    <n v="4529019"/>
    <s v="NHWWKX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4"/>
    <x v="0"/>
    <d v="2025-04-28T15:19:00"/>
    <n v="4529025"/>
    <s v="NHOXVH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5"/>
    <x v="0"/>
    <d v="2025-04-28T15:32:00"/>
    <n v="4529041"/>
    <s v="MAXVMM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6"/>
    <x v="0"/>
    <d v="2025-04-28T16:08:00"/>
    <n v="4529109"/>
    <s v="NEONFY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7"/>
    <x v="0"/>
    <d v="2025-04-28T16:54:00"/>
    <n v="4529197"/>
    <s v="MRISTG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8"/>
    <x v="0"/>
    <d v="2025-04-28T17:16:00"/>
    <n v="4529213"/>
    <s v="FW4FXN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79"/>
    <x v="0"/>
    <d v="2025-04-28T17:40:00"/>
    <n v="4529239"/>
    <s v="QAGZOA"/>
    <s v="Verificando Anexos - Could not convert variant of type (Null) into type (OleStr)"/>
    <x v="1090"/>
    <d v="2025-04-29T08:45:00"/>
    <s v="OUTROS"/>
    <x v="2"/>
    <s v="TEXTO FORA DO PADRÃO ACEITO NO CAMPO"/>
    <s v="INDEFINIDO"/>
    <x v="0"/>
    <s v="COLUNA I"/>
  </r>
  <r>
    <s v="RESOLVIDO"/>
    <m/>
    <x v="1"/>
    <n v="3388580"/>
    <x v="0"/>
    <d v="2025-04-28T18:21:00"/>
    <n v="4529266"/>
    <s v="HJCIPC"/>
    <s v="Verificando Anexos - Could not convert variant of type (Null) into type (OleStr)"/>
    <x v="1091"/>
    <d v="2025-04-29T08:45:00"/>
    <s v="OUTROS"/>
    <x v="2"/>
    <s v="TEXTO FORA DO PADRÃO ACEITO NO CAMPO"/>
    <s v="INDEFINIDO"/>
    <x v="0"/>
    <s v="COLUNA I"/>
  </r>
  <r>
    <s v="RESOLVIDO"/>
    <m/>
    <x v="1"/>
    <n v="3388581"/>
    <x v="0"/>
    <d v="2025-04-25T17:37:00"/>
    <n v="4528232"/>
    <s v="GAKODN"/>
    <s v="Verificando Anexos - Could not convert variant of type (Null) into type (OleStr)"/>
    <x v="1092"/>
    <d v="2025-04-29T08:44:00"/>
    <s v="OUTROS"/>
    <x v="2"/>
    <s v="TEXTO FORA DO PADRÃO ACEITO NO CAMPO"/>
    <s v="INDEFINIDO"/>
    <x v="0"/>
    <s v="COLUNA I"/>
  </r>
  <r>
    <s v="RESOLVIDO"/>
    <m/>
    <x v="1"/>
    <n v="3388582"/>
    <x v="0"/>
    <d v="2025-04-27T01:21:00"/>
    <n v="4528364"/>
    <s v="DSRJVM"/>
    <s v="Verificando Anexos - Could not convert variant of type (Null) into type (OleStr)"/>
    <x v="1092"/>
    <d v="2025-04-29T08:44:00"/>
    <s v="OUTROS"/>
    <x v="2"/>
    <s v="TEXTO FORA DO PADRÃO ACEITO NO CAMPO"/>
    <s v="INDEFINIDO"/>
    <x v="0"/>
    <s v="COLUNA I"/>
  </r>
  <r>
    <s v="RESOLVIDO"/>
    <m/>
    <x v="1"/>
    <n v="3388583"/>
    <x v="0"/>
    <d v="2025-04-27T01:21:00"/>
    <n v="4528364"/>
    <s v="IPJNTX"/>
    <s v="Verificando Anexos - Could not convert variant of type (Null) into type (OleStr)"/>
    <x v="1092"/>
    <d v="2025-04-29T08:44:00"/>
    <s v="OUTROS"/>
    <x v="2"/>
    <s v="TEXTO FORA DO PADRÃO ACEITO NO CAMPO"/>
    <s v="INDEFINIDO"/>
    <x v="0"/>
    <s v="COLUNA I"/>
  </r>
  <r>
    <s v="RESOLVIDO"/>
    <m/>
    <x v="1"/>
    <n v="3388584"/>
    <x v="0"/>
    <d v="2025-04-28T11:34:00"/>
    <n v="4528742"/>
    <s v="YFFAHA"/>
    <s v="Verificando Anexos - Could not convert variant of type (Null) into type (OleStr)"/>
    <x v="1093"/>
    <d v="2025-04-29T08:45:00"/>
    <s v="OUTROS"/>
    <x v="2"/>
    <s v="TEXTO FORA DO PADRÃO ACEITO NO CAMPO"/>
    <s v="INDEFINIDO"/>
    <x v="0"/>
    <s v="COLUNA I"/>
  </r>
  <r>
    <s v="RESOLVIDO"/>
    <m/>
    <x v="1"/>
    <n v="3388586"/>
    <x v="0"/>
    <d v="2025-04-28T21:22:00"/>
    <n v="4529332"/>
    <s v="LOCQWV"/>
    <s v="Verificando Anexos - Could not convert variant of type (Null) into type (OleStr)"/>
    <x v="1094"/>
    <d v="2025-04-29T08:45:00"/>
    <s v="OUTROS"/>
    <x v="2"/>
    <s v="TEXTO FORA DO PADRÃO ACEITO NO CAMPO"/>
    <s v="INDEFINIDO"/>
    <x v="0"/>
    <s v="COLUNA I"/>
  </r>
  <r>
    <s v="RESOLVIDO"/>
    <m/>
    <x v="1"/>
    <n v="3388588"/>
    <x v="0"/>
    <d v="2025-04-28T09:10:00"/>
    <n v="4528487"/>
    <s v="KMZINT"/>
    <s v="Verificando Anexos - Could not convert variant of type (Null) into type (OleStr)"/>
    <x v="1095"/>
    <d v="2025-04-29T08:45:00"/>
    <s v="OUTROS"/>
    <x v="2"/>
    <s v="TEXTO FORA DO PADRÃO ACEITO NO CAMPO"/>
    <s v="INDEFINIDO"/>
    <x v="0"/>
    <s v="COLUNA I"/>
  </r>
  <r>
    <s v="RESOLVIDO"/>
    <m/>
    <x v="1"/>
    <n v="3388592"/>
    <x v="0"/>
    <d v="2025-04-28T17:32:00"/>
    <n v="4529231"/>
    <s v="IMVJUM"/>
    <s v="Verificando Anexos - Could not convert variant of type (Null) into type (OleStr)"/>
    <x v="1096"/>
    <d v="2025-04-29T08:45:00"/>
    <s v="OUTROS"/>
    <x v="2"/>
    <s v="TEXTO FORA DO PADRÃO ACEITO NO CAMPO"/>
    <s v="INDEFINIDO"/>
    <x v="0"/>
    <s v="COLUNA I"/>
  </r>
  <r>
    <s v="RESOLVIDO"/>
    <m/>
    <x v="1"/>
    <n v="3388593"/>
    <x v="0"/>
    <d v="2025-04-28T17:32:00"/>
    <n v="4529231"/>
    <s v="SGN4UI"/>
    <s v="Verificando Anexos - Could not convert variant of type (Null) into type (OleStr)"/>
    <x v="1096"/>
    <d v="2025-04-29T08:45:00"/>
    <s v="OUTROS"/>
    <x v="2"/>
    <s v="TEXTO FORA DO PADRÃO ACEITO NO CAMPO"/>
    <s v="INDEFINIDO"/>
    <x v="0"/>
    <s v="COLUNA I"/>
  </r>
  <r>
    <s v="RESOLVIDO"/>
    <m/>
    <x v="1"/>
    <n v="3388600"/>
    <x v="0"/>
    <d v="2025-04-28T10:06:00"/>
    <n v="4528592"/>
    <s v="DKV37T"/>
    <s v="Verificando Anexos - Could not convert variant of type (Null) into type (OleStr)"/>
    <x v="1097"/>
    <d v="2025-04-29T08:45:00"/>
    <s v="OUTROS"/>
    <x v="2"/>
    <s v="TEXTO FORA DO PADRÃO ACEITO NO CAMPO"/>
    <s v="INDEFINIDO"/>
    <x v="0"/>
    <s v="COLUNA I"/>
  </r>
  <r>
    <s v="RESOLVIDO"/>
    <m/>
    <x v="1"/>
    <n v="3388601"/>
    <x v="0"/>
    <d v="2025-04-28T10:06:00"/>
    <n v="4528592"/>
    <s v="MPMKJN"/>
    <s v="Verificando Anexos - Could not convert variant of type (Null) into type (OleStr)"/>
    <x v="1097"/>
    <d v="2025-04-29T08:45:00"/>
    <s v="OUTROS"/>
    <x v="2"/>
    <s v="TEXTO FORA DO PADRÃO ACEITO NO CAMPO"/>
    <s v="INDEFINIDO"/>
    <x v="0"/>
    <s v="COLUNA I"/>
  </r>
  <r>
    <s v="RESOLVIDO"/>
    <m/>
    <x v="1"/>
    <n v="3388603"/>
    <x v="0"/>
    <d v="2025-04-28T11:57:00"/>
    <n v="4528783"/>
    <s v="JLSNTU"/>
    <s v="Verificando Anexos - Could not convert variant of type (Null) into type (OleStr)"/>
    <x v="1097"/>
    <d v="2025-04-29T08:45:00"/>
    <s v="OUTROS"/>
    <x v="2"/>
    <s v="TEXTO FORA DO PADRÃO ACEITO NO CAMPO"/>
    <s v="INDEFINIDO"/>
    <x v="0"/>
    <s v="COLUNA I"/>
  </r>
  <r>
    <s v="RESOLVIDO"/>
    <m/>
    <x v="1"/>
    <n v="3388604"/>
    <x v="0"/>
    <d v="2025-04-28T15:59:00"/>
    <n v="4529088"/>
    <s v="NLJ1WW"/>
    <s v="Verificando Anexos - Could not convert variant of type (Null) into type (OleStr)"/>
    <x v="1097"/>
    <d v="2025-04-29T08:45:00"/>
    <s v="OUTROS"/>
    <x v="2"/>
    <s v="TEXTO FORA DO PADRÃO ACEITO NO CAMPO"/>
    <s v="INDEFINIDO"/>
    <x v="0"/>
    <s v="COLUNA I"/>
  </r>
  <r>
    <s v="RESOLVIDO"/>
    <m/>
    <x v="1"/>
    <n v="3388605"/>
    <x v="0"/>
    <d v="2025-04-28T16:24:00"/>
    <n v="4529134"/>
    <s v="FNKCTA"/>
    <s v="Verificando Anexos - Could not convert variant of type (Null) into type (OleStr)"/>
    <x v="1097"/>
    <d v="2025-04-29T08:45:00"/>
    <s v="OUTROS"/>
    <x v="2"/>
    <s v="TEXTO FORA DO PADRÃO ACEITO NO CAMPO"/>
    <s v="INDEFINIDO"/>
    <x v="0"/>
    <s v="COLUNA I"/>
  </r>
  <r>
    <s v="RESOLVIDO"/>
    <m/>
    <x v="1"/>
    <n v="3388606"/>
    <x v="0"/>
    <d v="2025-04-28T16:24:00"/>
    <n v="4529134"/>
    <s v="NNQWMP"/>
    <s v="Verificando Anexos - Could not convert variant of type (Null) into type (OleStr)"/>
    <x v="1097"/>
    <d v="2025-04-29T08:45:00"/>
    <s v="OUTROS"/>
    <x v="2"/>
    <s v="TEXTO FORA DO PADRÃO ACEITO NO CAMPO"/>
    <s v="INDEFINIDO"/>
    <x v="0"/>
    <s v="COLUNA I"/>
  </r>
  <r>
    <s v="RESOLVIDO"/>
    <m/>
    <x v="1"/>
    <n v="3388686"/>
    <x v="0"/>
    <d v="2025-04-28T18:34:00"/>
    <n v="4529277"/>
    <s v="RGJW7F"/>
    <s v="Verificando Anexos - Could not convert variant of type (Null) into type (OleStr)"/>
    <x v="1098"/>
    <d v="2025-04-29T08:45:00"/>
    <s v="OUTROS"/>
    <x v="2"/>
    <s v="TEXTO FORA DO PADRÃO ACEITO NO CAMPO"/>
    <s v="INDEFINIDO"/>
    <x v="0"/>
    <s v="COLUNA I"/>
  </r>
  <r>
    <s v="TMS"/>
    <m/>
    <x v="2"/>
    <n v="3388774"/>
    <x v="1"/>
    <d v="2025-04-28T16:49:00"/>
    <n v="2633"/>
    <n v="2633"/>
    <s v="Preenchendo XML Aéreo-&gt; Preenchendo XML-&gt; Montando accounting aereo-&gt;Número do bilhete não identificado"/>
    <x v="1099"/>
    <d v="2025-04-29T07:49:00"/>
    <s v="OUTROS"/>
    <x v="17"/>
    <s v=""/>
    <s v="QUALIDADE DOS DADOS"/>
    <x v="3"/>
    <s v="COLUNA I"/>
  </r>
  <r>
    <s v="TMS"/>
    <m/>
    <x v="2"/>
    <n v="3389071"/>
    <x v="1"/>
    <d v="2025-04-28T18:00:00"/>
    <n v="117"/>
    <n v="117"/>
    <s v="Preenchendo XML Serviço-&gt; Preenchendo XML-&gt; Montando accounting aereo 2-&gt;Não foi informado o Localizador do Assento/Bagagem!"/>
    <x v="1100"/>
    <d v="2025-04-29T07:51:00"/>
    <s v="OUTROS"/>
    <x v="15"/>
    <s v="CAMPO OBSERVAÇÃO PREENCHIDO INCORRETAMENTE"/>
    <s v="QUALIDADE DOS DADOS"/>
    <x v="1"/>
    <n v="118"/>
  </r>
  <r>
    <s v="RESOLVIDO"/>
    <m/>
    <x v="1"/>
    <n v="3389315"/>
    <x v="0"/>
    <d v="2025-04-28T20:30:00"/>
    <n v="4529315"/>
    <s v="GLFTUG"/>
    <s v="Verificando Anexos - Could not convert variant of type (Null) into type (OleStr)"/>
    <x v="1101"/>
    <d v="2025-04-29T08:45:00"/>
    <s v="OUTROS"/>
    <x v="2"/>
    <s v="TEXTO FORA DO PADRÃO ACEITO NO CAMPO"/>
    <s v="INDEFINIDO"/>
    <x v="0"/>
    <s v="COLUNA I"/>
  </r>
  <r>
    <s v="RESOLVIDO"/>
    <m/>
    <x v="1"/>
    <n v="3389316"/>
    <x v="0"/>
    <d v="2025-04-28T21:22:00"/>
    <n v="4529331"/>
    <s v="LLZY7G"/>
    <s v="Verificando Anexos - Could not convert variant of type (Null) into type (OleStr)"/>
    <x v="1101"/>
    <d v="2025-04-29T08:45:00"/>
    <s v="OUTROS"/>
    <x v="2"/>
    <s v="TEXTO FORA DO PADRÃO ACEITO NO CAMPO"/>
    <s v="INDEFINIDO"/>
    <x v="0"/>
    <s v="COLUNA I"/>
  </r>
  <r>
    <s v="RESOLVIDO"/>
    <m/>
    <x v="1"/>
    <n v="3389330"/>
    <x v="0"/>
    <d v="2025-04-28T10:48:00"/>
    <n v="4528659"/>
    <s v="JH6BRF"/>
    <s v="Verificando Anexos - Could not convert variant of type (Null) into type (OleStr)"/>
    <x v="1102"/>
    <d v="2025-04-29T08:45:00"/>
    <s v="OUTROS"/>
    <x v="2"/>
    <s v="TEXTO FORA DO PADRÃO ACEITO NO CAMPO"/>
    <s v="INDEFINIDO"/>
    <x v="0"/>
    <s v="COLUNA I"/>
  </r>
  <r>
    <s v="RESOLVIDO"/>
    <m/>
    <x v="1"/>
    <n v="3389344"/>
    <x v="0"/>
    <d v="2025-04-28T20:25:00"/>
    <n v="4529313"/>
    <s v="ZLV19G"/>
    <s v="Verificando Anexos - Could not convert variant of type (Null) into type (OleStr)"/>
    <x v="1103"/>
    <d v="2025-04-29T08:45:00"/>
    <s v="OUTROS"/>
    <x v="2"/>
    <s v="TEXTO FORA DO PADRÃO ACEITO NO CAMPO"/>
    <s v="INDEFINIDO"/>
    <x v="0"/>
    <s v="COLUNA I"/>
  </r>
  <r>
    <s v="RESOLVIDO"/>
    <m/>
    <x v="1"/>
    <n v="3389352"/>
    <x v="0"/>
    <d v="2025-04-28T14:03:00"/>
    <n v="4528911"/>
    <s v="YMPRQG"/>
    <s v="Verificando Anexos - Could not convert variant of type (Null) into type (OleStr)"/>
    <x v="1104"/>
    <d v="2025-04-29T08:45:00"/>
    <s v="OUTROS"/>
    <x v="2"/>
    <s v="TEXTO FORA DO PADRÃO ACEITO NO CAMPO"/>
    <s v="INDEFINIDO"/>
    <x v="0"/>
    <s v="COLUNA I"/>
  </r>
  <r>
    <s v="RESOLVIDO"/>
    <m/>
    <x v="1"/>
    <n v="3389353"/>
    <x v="0"/>
    <d v="2025-04-28T22:37:00"/>
    <n v="4529343"/>
    <s v="NKVFTJ"/>
    <s v="Verificando Anexos - Could not convert variant of type (Null) into type (OleStr)"/>
    <x v="1104"/>
    <d v="2025-04-29T08:45:00"/>
    <s v="OUTROS"/>
    <x v="2"/>
    <s v="TEXTO FORA DO PADRÃO ACEITO NO CAMPO"/>
    <s v="INDEFINIDO"/>
    <x v="0"/>
    <s v="COLUNA I"/>
  </r>
  <r>
    <s v="SABRE"/>
    <m/>
    <x v="2"/>
    <n v="3389697"/>
    <x v="2"/>
    <d v="2025-04-29T09:36:00"/>
    <s v="UEDZOVT"/>
    <s v="UEDZOV"/>
    <s v="Inserindo PNR - Accountings - TurVendas - Não foi possível localizar o contrato do fornecedor 49298"/>
    <x v="1105"/>
    <m/>
    <s v="FORNECEDOR"/>
    <x v="10"/>
    <s v="CONTRATO INATIVO OU DIVERGENTE"/>
    <s v="SISTEMA"/>
    <x v="1"/>
    <n v="43"/>
  </r>
  <r>
    <s v="SABRE"/>
    <m/>
    <x v="2"/>
    <n v="3389698"/>
    <x v="2"/>
    <d v="2025-04-29T09:37:00"/>
    <s v="KEVMZLT"/>
    <s v="KEVMZL"/>
    <s v="Inserindo PNR - Accountings - TurVendas - Não foi possível localizar o contrato do fornecedor 49298"/>
    <x v="1105"/>
    <m/>
    <s v="FORNECEDOR"/>
    <x v="10"/>
    <s v="CONTRATO INATIVO OU DIVERGENTE"/>
    <s v="SISTEMA"/>
    <x v="1"/>
    <n v="43"/>
  </r>
  <r>
    <s v="SABRE"/>
    <m/>
    <x v="2"/>
    <n v="3389884"/>
    <x v="2"/>
    <d v="2025-04-29T16:34:00"/>
    <s v="FKYGNPT"/>
    <s v="FKYGNP"/>
    <s v="Verificando Formas Pagto/Rec - (ExecSQL) - TurVendas - Não foi possível localizar o contrato do fornecedor 49298"/>
    <x v="1106"/>
    <d v="2025-04-29T18:36:00"/>
    <s v="FORNECEDOR"/>
    <x v="17"/>
    <s v=""/>
    <e v="#N/A"/>
    <x v="3"/>
    <n v="56"/>
  </r>
  <r>
    <s v="TMS"/>
    <m/>
    <x v="2"/>
    <n v="3390130"/>
    <x v="1"/>
    <d v="2025-04-29T11:40:00"/>
    <n v="7305"/>
    <n v="7305"/>
    <s v="Preenchendo XML Serviço-&gt; Preenchendo XML-&gt; Montando accounting aereo 2-&gt;Não foi informado o Localizador do Assento/Bagagem!"/>
    <x v="1107"/>
    <d v="2025-05-02T21:13:00"/>
    <s v="OUTROS"/>
    <x v="15"/>
    <s v="CAMPO OBSERVAÇÃO PREENCHIDO INCORRETAMENTE"/>
    <s v="QUALIDADE DOS DADOS"/>
    <x v="1"/>
    <n v="118"/>
  </r>
  <r>
    <s v="TMS"/>
    <m/>
    <x v="2"/>
    <n v="3390131"/>
    <x v="1"/>
    <d v="2025-04-29T11:41:00"/>
    <n v="7304"/>
    <n v="7304"/>
    <s v="Preenchendo XML Serviço-&gt; Preenchendo XML-&gt; Montando accounting aereo 2-&gt;Não foi informado o Localizador do Assento/Bagagem!"/>
    <x v="1108"/>
    <d v="2025-05-02T21:13:00"/>
    <s v="OUTROS"/>
    <x v="15"/>
    <s v="CAMPO OBSERVAÇÃO PREENCHIDO INCORRETAMENTE"/>
    <s v="QUALIDADE DOS DADOS"/>
    <x v="1"/>
    <n v="118"/>
  </r>
  <r>
    <s v="TMS"/>
    <m/>
    <x v="2"/>
    <n v="3390132"/>
    <x v="1"/>
    <d v="2025-04-29T11:42:00"/>
    <n v="7303"/>
    <n v="7303"/>
    <s v="Preenchendo XML Serviço-&gt; Preenchendo XML-&gt; Montando accounting aereo 2-&gt;Não foi informado o Localizador do Assento/Bagagem!"/>
    <x v="1108"/>
    <d v="2025-05-02T21:13:00"/>
    <s v="OUTROS"/>
    <x v="15"/>
    <s v="CAMPO OBSERVAÇÃO PREENCHIDO INCORRETAMENTE"/>
    <s v="QUALIDADE DOS DADOS"/>
    <x v="1"/>
    <n v="118"/>
  </r>
  <r>
    <s v="TMS"/>
    <m/>
    <x v="2"/>
    <n v="3390133"/>
    <x v="1"/>
    <d v="2025-04-29T11:43:00"/>
    <n v="7302"/>
    <n v="7302"/>
    <s v="Preenchendo XML Serviço-&gt; Preenchendo XML-&gt; Montando accounting aereo 2-&gt;Não foi informado o Localizador do Assento/Bagagem!"/>
    <x v="1108"/>
    <d v="2025-05-02T21:13:00"/>
    <s v="OUTROS"/>
    <x v="15"/>
    <s v="CAMPO OBSERVAÇÃO PREENCHIDO INCORRETAMENTE"/>
    <s v="QUALIDADE DOS DADOS"/>
    <x v="1"/>
    <n v="118"/>
  </r>
  <r>
    <s v="TMS"/>
    <m/>
    <x v="2"/>
    <n v="3390273"/>
    <x v="1"/>
    <d v="2025-04-29T13:10:00"/>
    <n v="61021"/>
    <n v="61021"/>
    <s v="Preenchendo XML Serviço-&gt; Preenchendo XML-&gt; Montando accounting aereo 2-&gt;Não foi informado o Localizador do Assento/Bagagem!"/>
    <x v="1109"/>
    <d v="2025-05-02T21:36:00"/>
    <s v="OUTROS"/>
    <x v="15"/>
    <s v="CAMPO OBSERVAÇÃO PREENCHIDO INCORRETAMENTE"/>
    <s v="QUALIDADE DOS DADOS"/>
    <x v="1"/>
    <n v="118"/>
  </r>
  <r>
    <s v="TMS"/>
    <m/>
    <x v="2"/>
    <n v="3390622"/>
    <x v="1"/>
    <d v="2025-04-29T09:33:00"/>
    <n v="5720"/>
    <n v="5720"/>
    <s v="Preenchendo XML Aéreo-&gt; Preenchendo XML-&gt; Montando accounting aereo-&gt;Número do bilhete não identificado"/>
    <x v="1110"/>
    <d v="2025-05-02T22:05:00"/>
    <s v="OUTROS"/>
    <x v="17"/>
    <s v=""/>
    <e v="#N/A"/>
    <x v="3"/>
    <s v="COLUNA I"/>
  </r>
  <r>
    <s v="SABRE"/>
    <m/>
    <x v="2"/>
    <n v="3390674"/>
    <x v="2"/>
    <d v="2025-04-29T13:43:00"/>
    <s v="QQIAVR"/>
    <s v="QQIAVR"/>
    <s v="Não localizado cliente código [0000392619].&lt;-ObterCliente&lt;-MontarPnrBase&lt;-ProcessarAereo&lt;-ProcessarItemFila[b]"/>
    <x v="1111"/>
    <m/>
    <s v="CLIENTE"/>
    <x v="13"/>
    <s v="CÓDIGO DIFERENTE DO CADASTRADO NO BENNER (CLIENTE X GRUPO)"/>
    <s v="QUALIDADE DOS DADOS"/>
    <x v="0"/>
    <n v="1"/>
  </r>
  <r>
    <s v="SABRE"/>
    <m/>
    <x v="2"/>
    <n v="3390676"/>
    <x v="2"/>
    <d v="2025-04-29T16:26:00"/>
    <s v="CUGXYD"/>
    <s v="CUGXYD"/>
    <s v="Não localizado cliente código [0000050269].&lt;-ObterCliente&lt;-MontarPnrBase&lt;-ProcessarAereo&lt;-ProcessarItemFila[b]"/>
    <x v="1112"/>
    <d v="2025-04-29T18:31:00"/>
    <s v="CLIENTE"/>
    <x v="13"/>
    <s v="CÓDIGO DIFERENTE DO CADASTRADO NO BENNER (CLIENTE X GRUPO)"/>
    <s v="QUALIDADE DOS DADOS"/>
    <x v="0"/>
    <n v="1"/>
  </r>
  <r>
    <s v="SABRE"/>
    <m/>
    <x v="2"/>
    <n v="3390857"/>
    <x v="2"/>
    <d v="2025-05-06T14:53:00"/>
    <s v="HPANFST"/>
    <s v="HPANFS"/>
    <s v="Verificando Formas Pagto/Rec - (ExecSQL) - TurVendas - Não foi possível localizar o contrato do fornecedor H84698"/>
    <x v="1113"/>
    <d v="2025-05-06T17:01:00"/>
    <s v="FORNECEDOR"/>
    <x v="10"/>
    <s v="CONTRATO INATIVO OU DIVERGENTE"/>
    <s v="SISTEMA"/>
    <x v="1"/>
    <n v="56"/>
  </r>
  <r>
    <s v="SABRE"/>
    <m/>
    <x v="2"/>
    <n v="3390941"/>
    <x v="2"/>
    <d v="2025-04-29T15:03:00"/>
    <s v="AFCXRWT"/>
    <s v="AFCXRW"/>
    <s v="Inserindo PNR - Accountings - TurVendas - Não foi possível localizar o contrato do fornecedor 49298"/>
    <x v="1114"/>
    <m/>
    <s v="FORNECEDOR"/>
    <x v="10"/>
    <s v="CONTRATO INATIVO OU DIVERGENTE"/>
    <s v="SISTEMA"/>
    <x v="1"/>
    <n v="43"/>
  </r>
  <r>
    <s v="SABRE"/>
    <m/>
    <x v="2"/>
    <n v="3391046"/>
    <x v="2"/>
    <d v="2025-04-29T15:03:00"/>
    <s v="IHIKIA"/>
    <s v="IHIKIA"/>
    <s v="Código de cliente não identificado&lt;-ObterCliente&lt;-MontarPnrBase&lt;-ProcessarAereo&lt;-ProcessarItemFila[b]"/>
    <x v="1115"/>
    <m/>
    <s v="CLIENTE"/>
    <x v="14"/>
    <s v="DK DE CLIENTE NÃO PREENCIDO / CLIENTE NÃO CONFIGURADO NO OBT"/>
    <s v="INDEFINIDO"/>
    <x v="1"/>
    <s v="COLUNA I"/>
  </r>
  <r>
    <s v="SABRE"/>
    <m/>
    <x v="2"/>
    <n v="3391079"/>
    <x v="2"/>
    <d v="2025-05-02T12:34:00"/>
    <s v="DOODZGT"/>
    <s v="DOODZG"/>
    <s v="ConverterPagamentosRemark-&gt;Input string was not in a correct format.&lt;-MontarAccountinsHotel&lt;-ProcessarHotel&lt;-ProcessarItemFila[b]"/>
    <x v="1116"/>
    <d v="2025-05-02T14:46:00"/>
    <s v="FORMA PAGTO/RECTO"/>
    <x v="2"/>
    <s v="TEXTO FORA DO PADRÃO ACEITO NO CAMPO"/>
    <s v="INDEFINIDO"/>
    <x v="0"/>
    <s v="COLUNA I"/>
  </r>
  <r>
    <s v="SABRE"/>
    <m/>
    <x v="2"/>
    <n v="3391268"/>
    <x v="2"/>
    <d v="2025-04-29T16:54:00"/>
    <s v="CCPOTG"/>
    <s v="CCPOTG"/>
    <s v="Inserindo Accounting - (ExecSQL) - List index out of bounds (0)"/>
    <x v="1117"/>
    <m/>
    <s v="OUTROS"/>
    <x v="7"/>
    <s v="ERRO NA IMPORTAÇÃO/MODIFICAÇÃO DAS INFOMAÇÕES"/>
    <s v="SISTEMA"/>
    <x v="2"/>
    <s v="COLUNA I"/>
  </r>
  <r>
    <s v="SABRE"/>
    <m/>
    <x v="2"/>
    <n v="3391432"/>
    <x v="2"/>
    <d v="2025-04-29T18:00:00"/>
    <s v="FTVUUM"/>
    <s v="FTVUUM"/>
    <s v="Código de cliente não identificado&lt;-ObterCliente&lt;-MontarPnrBase&lt;-ProcessarAereo&lt;-ProcessarItemFila[b]"/>
    <x v="1118"/>
    <m/>
    <s v="CLIENTE"/>
    <x v="14"/>
    <s v="DK DE CLIENTE NÃO PREENCIDO / CLIENTE NÃO CONFIGURADO NO OBT"/>
    <s v="INDEFINIDO"/>
    <x v="1"/>
    <s v="COLUNA I"/>
  </r>
  <r>
    <s v="TMS"/>
    <m/>
    <x v="2"/>
    <n v="3391443"/>
    <x v="1"/>
    <d v="2025-04-29T17:50:00"/>
    <n v="64357"/>
    <n v="64357"/>
    <s v="Preenchendo XML Serviço-&gt; Preenchendo XML-&gt; Montando accounting aereo 2-&gt;Não foi informado o Localizador do Assento/Bagagem!"/>
    <x v="1119"/>
    <d v="2025-05-02T20:57:00"/>
    <s v="OUTROS"/>
    <x v="15"/>
    <s v="CAMPO OBSERVAÇÃO PREENCHIDO INCORRETAMENTE"/>
    <s v="QUALIDADE DOS DADOS"/>
    <x v="1"/>
    <n v="118"/>
  </r>
  <r>
    <s v="TMS"/>
    <m/>
    <x v="2"/>
    <n v="3391449"/>
    <x v="1"/>
    <d v="2025-04-29T17:43:00"/>
    <n v="64317"/>
    <n v="64317"/>
    <s v="Preenchendo XML Serviço-&gt; Preenchendo XML-&gt; Montando accounting aereo 2-&gt;Não foi informado o Localizador do Assento/Bagagem!"/>
    <x v="1120"/>
    <d v="2025-05-02T20:57:00"/>
    <s v="OUTROS"/>
    <x v="15"/>
    <s v="CAMPO OBSERVAÇÃO PREENCHIDO INCORRETAMENTE"/>
    <s v="QUALIDADE DOS DADOS"/>
    <x v="1"/>
    <n v="118"/>
  </r>
  <r>
    <s v="TMS"/>
    <m/>
    <x v="2"/>
    <n v="3391908"/>
    <x v="1"/>
    <d v="2025-04-29T16:18:00"/>
    <n v="120"/>
    <n v="120"/>
    <s v="Preenchendo XML Serviço-&gt; Preenchendo XML-&gt; Montando accounting aereo 2-&gt;Não foi informado o Localizador do Assento/Bagagem!"/>
    <x v="1121"/>
    <d v="2025-05-02T21:41:00"/>
    <s v="OUTROS"/>
    <x v="15"/>
    <s v="CAMPO OBSERVAÇÃO PREENCHIDO INCORRETAMENTE"/>
    <s v="QUALIDADE DOS DADOS"/>
    <x v="1"/>
    <n v="118"/>
  </r>
  <r>
    <s v="SABRE"/>
    <m/>
    <x v="2"/>
    <n v="3392114"/>
    <x v="2"/>
    <d v="2025-04-29T19:32:00"/>
    <s v="NNVAPE"/>
    <s v="NNVAPE"/>
    <s v="Código de cliente não identificado&lt;-ObterCliente&lt;-MontarPnrBase&lt;-ProcessarAereo&lt;-ProcessarItemFila[b]"/>
    <x v="1122"/>
    <m/>
    <s v="CLIENTE"/>
    <x v="14"/>
    <s v="DK DE CLIENTE NÃO PREENCIDO / CLIENTE NÃO CONFIGURADO NO OBT"/>
    <s v="INDEFINIDO"/>
    <x v="1"/>
    <s v="COLUNA I"/>
  </r>
  <r>
    <s v="SABRE"/>
    <m/>
    <x v="2"/>
    <n v="3392115"/>
    <x v="2"/>
    <d v="2025-04-29T19:32:00"/>
    <s v="UAPHRH"/>
    <s v="UAPHRH"/>
    <s v="Não localizado cliente código [0000392619].&lt;-ObterCliente&lt;-MontarPnrBase&lt;-ProcessarAereo&lt;-ProcessarItemFila[b]"/>
    <x v="1122"/>
    <m/>
    <s v="CLIENTE"/>
    <x v="13"/>
    <s v="CÓDIGO DIFERENTE DO CADASTRADO NO BENNER (CLIENTE X GRUPO)"/>
    <s v="QUALIDADE DOS DADOS"/>
    <x v="0"/>
    <n v="1"/>
  </r>
  <r>
    <s v="SABRE"/>
    <m/>
    <x v="2"/>
    <n v="3392116"/>
    <x v="2"/>
    <d v="2025-04-29T19:32:00"/>
    <s v="QOOUUA"/>
    <s v="QOOUUA"/>
    <s v="Não localizado cliente código [0000392619].&lt;-ObterCliente&lt;-MontarPnrBase&lt;-ProcessarAereo&lt;-ProcessarItemFila[b]"/>
    <x v="1123"/>
    <m/>
    <s v="CLIENTE"/>
    <x v="13"/>
    <s v="CÓDIGO DIFERENTE DO CADASTRADO NO BENNER (CLIENTE X GRUPO)"/>
    <s v="QUALIDADE DOS DADOS"/>
    <x v="0"/>
    <n v="1"/>
  </r>
  <r>
    <s v="SABRE"/>
    <m/>
    <x v="2"/>
    <n v="3392117"/>
    <x v="2"/>
    <d v="2025-04-29T19:32:00"/>
    <s v="IDSIIH"/>
    <s v="IDSIIH"/>
    <s v="Não localizado cliente código [0000071989].&lt;-ObterCliente&lt;-MontarPnrBase&lt;-ProcessarAereo&lt;-ProcessarItemFila[b]"/>
    <x v="1123"/>
    <m/>
    <s v="CLIENTE"/>
    <x v="13"/>
    <s v="CÓDIGO DIFERENTE DO CADASTRADO NO BENNER (CLIENTE X GRUPO)"/>
    <s v="QUALIDADE DOS DADOS"/>
    <x v="0"/>
    <n v="1"/>
  </r>
  <r>
    <s v="SABRE"/>
    <m/>
    <x v="2"/>
    <n v="3392449"/>
    <x v="2"/>
    <d v="2025-04-30T09:10:00"/>
    <s v="GJQKCT"/>
    <s v="GJQKCT"/>
    <s v="Não localizado cliente código [1234567890].&lt;-ObterCliente&lt;-MontarPnrBase&lt;-ProcessarAereo&lt;-ProcessarItemFila[b]"/>
    <x v="1124"/>
    <m/>
    <s v="CLIENTE"/>
    <x v="13"/>
    <s v="CÓDIGO DIFERENTE DO CADASTRADO NO BENNER (CLIENTE X GRUPO)"/>
    <s v="QUALIDADE DOS DADOS"/>
    <x v="0"/>
    <n v="1"/>
  </r>
  <r>
    <s v="SABRE"/>
    <m/>
    <x v="2"/>
    <n v="3392529"/>
    <x v="2"/>
    <d v="2025-04-30T10:31:00"/>
    <s v="AWMHXQ"/>
    <s v="AWMHXQ"/>
    <s v="Não localizado cliente código [0000063625].&lt;-ObterCliente&lt;-MontarPnrBase&lt;-ProcessarAereo&lt;-ProcessarItemFila[b]"/>
    <x v="1125"/>
    <d v="2025-04-30T12:33:00"/>
    <s v="CLIENTE"/>
    <x v="13"/>
    <s v="CÓDIGO DIFERENTE DO CADASTRADO NO BENNER (CLIENTE X GRUPO)"/>
    <s v="QUALIDADE DOS DADOS"/>
    <x v="0"/>
    <n v="1"/>
  </r>
  <r>
    <s v="TMS"/>
    <m/>
    <x v="2"/>
    <n v="3392945"/>
    <x v="1"/>
    <d v="2025-04-30T08:41:00"/>
    <n v="7365"/>
    <n v="7365"/>
    <s v="Preenchendo XML Serviço-&gt; Preenchendo XML-&gt; Montando accounting aereo 2-&gt;Não foi informado o Localizador do Assento/Bagagem!"/>
    <x v="1126"/>
    <d v="2025-05-03T21:17:00"/>
    <s v="OUTROS"/>
    <x v="15"/>
    <s v="CAMPO OBSERVAÇÃO PREENCHIDO INCORRETAMENTE"/>
    <s v="QUALIDADE DOS DADOS"/>
    <x v="1"/>
    <n v="118"/>
  </r>
  <r>
    <s v="SABRE"/>
    <m/>
    <x v="2"/>
    <n v="3393293"/>
    <x v="2"/>
    <d v="2025-05-02T09:28:00"/>
    <s v="IQJKHR"/>
    <s v="IQJKHR"/>
    <s v="Não localizado cliente código [0000068873].&lt;-ObterCliente&lt;-MontarPnrBase&lt;-ProcessarAereo&lt;-ProcessarItemFila[b]"/>
    <x v="1127"/>
    <d v="2025-05-02T11:32:00"/>
    <s v="CLIENTE"/>
    <x v="13"/>
    <s v="CÓDIGO DIFERENTE DO CADASTRADO NO BENNER (CLIENTE X GRUPO)"/>
    <s v="QUALIDADE DOS DADOS"/>
    <x v="0"/>
    <n v="1"/>
  </r>
  <r>
    <s v="TMS"/>
    <m/>
    <x v="2"/>
    <n v="3393300"/>
    <x v="1"/>
    <d v="2025-04-30T10:29:00"/>
    <n v="61137"/>
    <n v="61137"/>
    <s v="Preenchendo XML Serviço-&gt; Preenchendo XML-&gt; Montando accounting aereo 2-&gt;Não foi informado o Localizador do Assento/Bagagem!"/>
    <x v="1128"/>
    <d v="2025-05-03T21:18:00"/>
    <s v="OUTROS"/>
    <x v="15"/>
    <s v="CAMPO OBSERVAÇÃO PREENCHIDO INCORRETAMENTE"/>
    <s v="QUALIDADE DOS DADOS"/>
    <x v="1"/>
    <n v="118"/>
  </r>
  <r>
    <s v="TMS"/>
    <m/>
    <x v="2"/>
    <n v="3393309"/>
    <x v="1"/>
    <d v="2025-04-30T11:45:00"/>
    <n v="59706"/>
    <n v="59706"/>
    <s v="Preenchendo XML Serviço-&gt; Preenchendo XML-&gt; Montando accounting aereo 2-&gt;Não foi informado o Localizador do Assento/Bagagem!"/>
    <x v="1129"/>
    <d v="2025-05-03T21:18:00"/>
    <s v="OUTROS"/>
    <x v="15"/>
    <s v="CAMPO OBSERVAÇÃO PREENCHIDO INCORRETAMENTE"/>
    <s v="QUALIDADE DOS DADOS"/>
    <x v="1"/>
    <n v="118"/>
  </r>
  <r>
    <s v="GOVER"/>
    <m/>
    <x v="2"/>
    <n v="3393853"/>
    <x v="0"/>
    <d v="2025-04-30T17:34:00"/>
    <n v="4530810"/>
    <s v="NPBYMK"/>
    <s v="PreencherPnr-&gt;Código do cliente não informado! (SolicitacaoDTO.UnidadeCodigoIntegracao)"/>
    <x v="1130"/>
    <d v="2025-05-08T16:06:00"/>
    <s v="CLIENTE"/>
    <x v="14"/>
    <s v="DK DE CLIENTE NÃO PREENCIDO / CLIENTE NÃO CONFIGURADO NO OBT"/>
    <s v="INDEFINIDO"/>
    <x v="1"/>
    <s v="COLUNA I"/>
  </r>
  <r>
    <s v="SABRE"/>
    <m/>
    <x v="2"/>
    <n v="3394211"/>
    <x v="2"/>
    <d v="2025-04-30T18:06:00"/>
    <s v="WYZLEE"/>
    <s v="WYZLEE"/>
    <s v="Não localizado cliente código [082264].&lt;-ObterCliente&lt;-MontarPnrBase&lt;-ProcessarAereo&lt;-ProcessarItemFila[b]"/>
    <x v="1131"/>
    <m/>
    <s v="CLIENTE"/>
    <x v="13"/>
    <s v="CÓDIGO DIFERENTE DO CADASTRADO NO BENNER (CLIENTE X GRUPO)"/>
    <s v="QUALIDADE DOS DADOS"/>
    <x v="0"/>
    <n v="1"/>
  </r>
  <r>
    <s v="RESOLVIDO"/>
    <m/>
    <x v="1"/>
    <n v="3394602"/>
    <x v="1"/>
    <d v="2025-04-30T17:38:00"/>
    <n v="21219"/>
    <n v="21219"/>
    <s v="Preenchendo XML Carro-&gt; Preenchendo XML-&gt; Montando accounting carro-&gt;Fornecedor com o código 415368  informado nos campos gerenciais não encontrado!"/>
    <x v="1132"/>
    <d v="2025-05-03T21:17:00"/>
    <s v="FORNECEDOR"/>
    <x v="10"/>
    <s v="CONTRATO INATIVO OU DIVERGENTE"/>
    <s v="SISTEMA"/>
    <x v="1"/>
    <n v="69"/>
  </r>
  <r>
    <s v="RESOLVIDO"/>
    <m/>
    <x v="1"/>
    <n v="3394781"/>
    <x v="1"/>
    <d v="2025-04-30T16:49:00"/>
    <n v="61246"/>
    <n v="61246"/>
    <s v="Preenchendo XML Serviço-&gt; Preenchendo XML-&gt; Montando accounting aereo 2-&gt;Não foi informado o Localizador do Assento/Bagagem!"/>
    <x v="1133"/>
    <d v="2025-05-03T21:18:00"/>
    <s v="OUTROS"/>
    <x v="15"/>
    <s v="CAMPO OBSERVAÇÃO PREENCHIDO INCORRETAMENTE"/>
    <s v="QUALIDADE DOS DADOS"/>
    <x v="1"/>
    <n v="118"/>
  </r>
  <r>
    <s v="TMS"/>
    <m/>
    <x v="2"/>
    <n v="3394793"/>
    <x v="1"/>
    <d v="2025-04-30T14:44:00"/>
    <n v="61191"/>
    <n v="61191"/>
    <s v="Preenchendo XML Serviço-&gt; Preenchendo XML-&gt; Montando accounting aereo 2-&gt;Não foi informado o Localizador do Assento/Bagagem!"/>
    <x v="1134"/>
    <d v="2025-05-03T21:18:00"/>
    <s v="OUTROS"/>
    <x v="15"/>
    <s v="CAMPO OBSERVAÇÃO PREENCHIDO INCORRETAMENTE"/>
    <s v="QUALIDADE DOS DADOS"/>
    <x v="1"/>
    <n v="118"/>
  </r>
  <r>
    <s v="SABRE"/>
    <m/>
    <x v="2"/>
    <n v="3397326"/>
    <x v="2"/>
    <d v="2025-05-02T10:45:00"/>
    <s v="DQCXTTT"/>
    <s v="DQCXTT"/>
    <s v="ConverterPagamentosRemark-&gt;Input string was not in a correct format.&lt;-MontarAccountinsHotel&lt;-ProcessarHotel&lt;-ProcessarItemFila[b]"/>
    <x v="1135"/>
    <m/>
    <s v="FORMA PAGTO/RECTO"/>
    <x v="2"/>
    <s v="TEXTO FORA DO PADRÃO ACEITO NO CAMPO"/>
    <s v="INDEFINIDO"/>
    <x v="0"/>
    <s v="COLUNA I"/>
  </r>
  <r>
    <s v="SABRE"/>
    <m/>
    <x v="2"/>
    <n v="3397459"/>
    <x v="2"/>
    <d v="2025-05-02T12:29:00"/>
    <s v="JOLFUE"/>
    <s v="JOLFUE"/>
    <s v="Não localizado cliente código [0000583808].&lt;-ObterCliente&lt;-MontarPnrBase&lt;-ProcessarAereo&lt;-ProcessarItemFila[b]"/>
    <x v="1136"/>
    <m/>
    <s v="CLIENTE"/>
    <x v="13"/>
    <s v="CÓDIGO DIFERENTE DO CADASTRADO NO BENNER (CLIENTE X GRUPO)"/>
    <s v="QUALIDADE DOS DADOS"/>
    <x v="0"/>
    <n v="1"/>
  </r>
  <r>
    <s v="SABRE"/>
    <m/>
    <x v="2"/>
    <n v="3397461"/>
    <x v="2"/>
    <d v="2025-05-02T12:29:00"/>
    <s v="KFTTZB"/>
    <s v="KFTTZB"/>
    <s v="Não localizado cliente com CNPJ [1924579000141].&lt;-ObterCliente&lt;-MontarPnrBase&lt;-ProcessarAereo&lt;-ProcessarItemFila[b]"/>
    <x v="1137"/>
    <m/>
    <s v="CLIENTE"/>
    <x v="12"/>
    <s v=""/>
    <e v="#N/A"/>
    <x v="1"/>
    <n v="24"/>
  </r>
  <r>
    <s v="SABRE"/>
    <m/>
    <x v="2"/>
    <n v="3397462"/>
    <x v="2"/>
    <d v="2025-05-02T12:29:00"/>
    <s v="HHCSID"/>
    <s v="HHCSID"/>
    <s v="Não localizado cliente código [0000063625].&lt;-ObterCliente&lt;-MontarPnrBase&lt;-ProcessarAereo&lt;-ProcessarItemFila[b]"/>
    <x v="1137"/>
    <m/>
    <s v="CLIENTE"/>
    <x v="13"/>
    <s v="CÓDIGO DIFERENTE DO CADASTRADO NO BENNER (CLIENTE X GRUPO)"/>
    <s v="QUALIDADE DOS DADOS"/>
    <x v="0"/>
    <n v="1"/>
  </r>
  <r>
    <s v="SABRE"/>
    <m/>
    <x v="2"/>
    <n v="3397508"/>
    <x v="2"/>
    <d v="2025-05-05T09:19:00"/>
    <s v="DOQMAC"/>
    <s v="DOQMAC"/>
    <s v="Não localizado cliente código [0000068873].&lt;-ObterCliente&lt;-MontarPnrBase&lt;-ProcessarAereo&lt;-ProcessarItemFila[b]"/>
    <x v="1138"/>
    <d v="2025-05-05T11:33:00"/>
    <s v="CLIENTE"/>
    <x v="13"/>
    <s v="CÓDIGO DIFERENTE DO CADASTRADO NO BENNER (CLIENTE X GRUPO)"/>
    <s v="QUALIDADE DOS DADOS"/>
    <x v="0"/>
    <n v="1"/>
  </r>
  <r>
    <s v="SABRE"/>
    <m/>
    <x v="2"/>
    <n v="3398438"/>
    <x v="2"/>
    <d v="2025-05-05T08:55:00"/>
    <s v="NDJJIO"/>
    <s v="NDJJIO"/>
    <s v="Inserindo PNR - Accountings - TurVendas - Não foi possível localizar o contrato do fornecedor KG"/>
    <x v="1139"/>
    <d v="2025-05-05T11:02:00"/>
    <s v="FORNECEDOR"/>
    <x v="10"/>
    <s v="CONTRATO INATIVO OU DIVERGENTE"/>
    <s v="SISTEMA"/>
    <x v="1"/>
    <n v="43"/>
  </r>
  <r>
    <s v="SABRE"/>
    <m/>
    <x v="2"/>
    <n v="3398543"/>
    <x v="2"/>
    <d v="2025-05-02T16:53:00"/>
    <s v="QROUJJ"/>
    <s v="QROUJJ"/>
    <s v="Código de cliente não identificado&lt;-ObterCliente&lt;-MontarPnrBase&lt;-ProcessarAereo&lt;-ProcessarItemFila[b]"/>
    <x v="1140"/>
    <d v="2025-05-02T19:05:00"/>
    <s v="CLIENTE"/>
    <x v="14"/>
    <s v="DK DE CLIENTE NÃO PREENCIDO / CLIENTE NÃO CONFIGURADO NO OBT"/>
    <s v="INDEFINIDO"/>
    <x v="1"/>
    <s v="COLUNA I"/>
  </r>
  <r>
    <s v="TMS"/>
    <m/>
    <x v="2"/>
    <n v="3398674"/>
    <x v="1"/>
    <d v="2025-05-02T17:00:00"/>
    <n v="30731"/>
    <n v="30731"/>
    <s v="Preenchendo XML Serviço-&gt; Preenchendo XML-&gt; Montando accounting aereo 3-&gt;Reserva 30731 não encontrada para importar assento/bagagem!"/>
    <x v="1141"/>
    <d v="2025-05-05T22:20:00"/>
    <s v="OUTROS"/>
    <x v="17"/>
    <s v=""/>
    <s v="QUALIDADE DOS DADOS"/>
    <x v="3"/>
    <n v="126"/>
  </r>
  <r>
    <s v="RESOLVIDO"/>
    <m/>
    <x v="1"/>
    <n v="3399221"/>
    <x v="1"/>
    <d v="2025-05-02T18:39:00"/>
    <n v="18294"/>
    <n v="18294"/>
    <s v="Preenchendo XML Carro-&gt; Preenchendo XML-&gt; Montando accounting carro-&gt;Fornecedor com o código 415368  informado nos campos gerenciais não encontrado!"/>
    <x v="1142"/>
    <d v="2025-05-05T23:25:00"/>
    <s v="FORNECEDOR"/>
    <x v="10"/>
    <s v="CONTRATO INATIVO OU DIVERGENTE"/>
    <s v="SISTEMA"/>
    <x v="1"/>
    <n v="69"/>
  </r>
  <r>
    <s v="SABRE"/>
    <m/>
    <x v="2"/>
    <n v="3399324"/>
    <x v="2"/>
    <d v="2025-05-03T16:50:00"/>
    <s v="AWUTOO"/>
    <s v="AWUTOO"/>
    <s v="Código de cliente não identificado&lt;-ObterCliente&lt;-MontarPnrBase&lt;-ProcessarAereo&lt;-ProcessarItemFila[b]"/>
    <x v="1143"/>
    <m/>
    <s v="CLIENTE"/>
    <x v="14"/>
    <s v="DK DE CLIENTE NÃO PREENCIDO / CLIENTE NÃO CONFIGURADO NO OBT"/>
    <s v="INDEFINIDO"/>
    <x v="1"/>
    <s v="COLUNA I"/>
  </r>
  <r>
    <s v="SABRE"/>
    <m/>
    <x v="2"/>
    <n v="3399325"/>
    <x v="2"/>
    <d v="2025-05-03T16:50:00"/>
    <s v="AZHJHS"/>
    <s v="AZHJHS"/>
    <s v="Código de cliente não identificado&lt;-ObterCliente&lt;-MontarPnrBase&lt;-ProcessarAereo&lt;-ProcessarItemFila[b]"/>
    <x v="1143"/>
    <m/>
    <s v="CLIENTE"/>
    <x v="14"/>
    <s v="DK DE CLIENTE NÃO PREENCIDO / CLIENTE NÃO CONFIGURADO NO OBT"/>
    <s v="INDEFINIDO"/>
    <x v="1"/>
    <s v="COLUNA I"/>
  </r>
  <r>
    <s v="SABRE"/>
    <m/>
    <x v="2"/>
    <n v="3399326"/>
    <x v="2"/>
    <d v="2025-05-05T09:12:00"/>
    <s v="JZVCWX"/>
    <s v="JZVCWX"/>
    <s v="Não localizado cliente código [0000050269].&lt;-ObterCliente&lt;-MontarPnrBase&lt;-ProcessarAereo&lt;-ProcessarItemFila[b]"/>
    <x v="1144"/>
    <d v="2025-05-05T11:18:00"/>
    <s v="CLIENTE"/>
    <x v="13"/>
    <s v="CÓDIGO DIFERENTE DO CADASTRADO NO BENNER (CLIENTE X GRUPO)"/>
    <s v="QUALIDADE DOS DADOS"/>
    <x v="0"/>
    <n v="1"/>
  </r>
  <r>
    <s v="SABRE"/>
    <m/>
    <x v="2"/>
    <n v="3399327"/>
    <x v="2"/>
    <d v="2025-05-03T16:50:00"/>
    <s v="KBVOFC"/>
    <s v="KBVOFC"/>
    <s v="Não localizado cliente código [0000583808].&lt;-ObterCliente&lt;-MontarPnrBase&lt;-ProcessarAereo&lt;-ProcessarItemFila[b]"/>
    <x v="1144"/>
    <m/>
    <s v="CLIENTE"/>
    <x v="13"/>
    <s v="CÓDIGO DIFERENTE DO CADASTRADO NO BENNER (CLIENTE X GRUPO)"/>
    <s v="QUALIDADE DOS DADOS"/>
    <x v="0"/>
    <n v="1"/>
  </r>
  <r>
    <s v="TMS"/>
    <m/>
    <x v="2"/>
    <n v="3399656"/>
    <x v="1"/>
    <d v="2025-05-05T09:42:00"/>
    <n v="1971"/>
    <n v="1971"/>
    <s v="Preenchendo XML Carro-&gt; Preenchendo XML-&gt; Montando accounting carro-&gt;Fornecedor com o código 5414  informado nos campos gerenciais não encontrado!"/>
    <x v="1145"/>
    <d v="2025-05-08T11:15:00"/>
    <s v="FORNECEDOR"/>
    <x v="10"/>
    <s v="CONTRATO INATIVO OU DIVERGENTE"/>
    <s v="SISTEMA"/>
    <x v="1"/>
    <n v="69"/>
  </r>
  <r>
    <s v="SABRE"/>
    <m/>
    <x v="2"/>
    <n v="3399858"/>
    <x v="2"/>
    <d v="2025-05-02T09:19:00"/>
    <s v="KBGWRJ"/>
    <s v="KBGWRJ"/>
    <s v="Não localizado cliente código [0000068777].&lt;-ObterCliente&lt;-MontarPnrBase&lt;-ProcessarAereo&lt;-ProcessarItemFila[b]"/>
    <x v="1146"/>
    <d v="2025-05-05T11:22:00"/>
    <s v="CLIENTE"/>
    <x v="13"/>
    <s v="CÓDIGO DIFERENTE DO CADASTRADO NO BENNER (CLIENTE X GRUPO)"/>
    <s v="QUALIDADE DOS DADOS"/>
    <x v="0"/>
    <n v="1"/>
  </r>
  <r>
    <s v="SABRE"/>
    <m/>
    <x v="2"/>
    <n v="3399880"/>
    <x v="2"/>
    <d v="2025-05-05T09:39:00"/>
    <s v="EMBCEZT"/>
    <s v="EMBCEZ"/>
    <s v="Inserindo PNR - Accountings - TurVendas - Não foi possível localizar o contrato do fornecedor H84698"/>
    <x v="1147"/>
    <m/>
    <s v="FORNECEDOR"/>
    <x v="10"/>
    <s v="CONTRATO INATIVO OU DIVERGENTE"/>
    <s v="SISTEMA"/>
    <x v="1"/>
    <n v="43"/>
  </r>
  <r>
    <s v="SABRE"/>
    <m/>
    <x v="2"/>
    <n v="3399942"/>
    <x v="2"/>
    <d v="2025-05-05T09:50:00"/>
    <s v="HYHZOE"/>
    <s v="HYHZOE"/>
    <s v="Código de cliente não identificado&lt;-ObterCliente&lt;-MontarPnrBase&lt;-ProcessarAereo&lt;-ProcessarItemFila[b]"/>
    <x v="1148"/>
    <m/>
    <s v="CLIENTE"/>
    <x v="14"/>
    <s v="DK DE CLIENTE NÃO PREENCIDO / CLIENTE NÃO CONFIGURADO NO OBT"/>
    <s v="INDEFINIDO"/>
    <x v="1"/>
    <s v="COLUNA I"/>
  </r>
  <r>
    <s v="SABRE"/>
    <m/>
    <x v="2"/>
    <n v="3400119"/>
    <x v="2"/>
    <d v="2025-05-05T11:53:00"/>
    <s v="HYVHPX"/>
    <s v="HYVHPX"/>
    <s v="Não localizado cliente código [0000000].&lt;-ObterCliente&lt;-MontarPnrBase&lt;-ProcessarAereo&lt;-ProcessarItemFila[b]"/>
    <x v="1149"/>
    <m/>
    <s v="CLIENTE"/>
    <x v="13"/>
    <s v="CÓDIGO DIFERENTE DO CADASTRADO NO BENNER (CLIENTE X GRUPO)"/>
    <s v="QUALIDADE DOS DADOS"/>
    <x v="0"/>
    <n v="1"/>
  </r>
  <r>
    <s v="SABRE"/>
    <m/>
    <x v="2"/>
    <n v="3400120"/>
    <x v="2"/>
    <d v="2025-05-05T11:53:00"/>
    <s v="LHIFJE"/>
    <s v="LHIFJE"/>
    <s v="Não localizado cliente código [0000000].&lt;-ObterCliente&lt;-MontarPnrBase&lt;-ProcessarAereo&lt;-ProcessarItemFila[b]"/>
    <x v="1149"/>
    <m/>
    <s v="CLIENTE"/>
    <x v="13"/>
    <s v="CÓDIGO DIFERENTE DO CADASTRADO NO BENNER (CLIENTE X GRUPO)"/>
    <s v="QUALIDADE DOS DADOS"/>
    <x v="0"/>
    <n v="1"/>
  </r>
  <r>
    <s v="SABRE"/>
    <m/>
    <x v="2"/>
    <n v="3400121"/>
    <x v="2"/>
    <d v="2025-05-05T11:53:00"/>
    <s v="ISOTZE"/>
    <s v="ISOTZE"/>
    <s v="Não localizado cliente código [0000000].&lt;-ObterCliente&lt;-MontarPnrBase&lt;-ProcessarAereo&lt;-ProcessarItemFila[b]"/>
    <x v="1149"/>
    <m/>
    <s v="CLIENTE"/>
    <x v="13"/>
    <s v="CÓDIGO DIFERENTE DO CADASTRADO NO BENNER (CLIENTE X GRUPO)"/>
    <s v="QUALIDADE DOS DADOS"/>
    <x v="0"/>
    <n v="1"/>
  </r>
  <r>
    <s v="SABRE"/>
    <m/>
    <x v="2"/>
    <n v="3400331"/>
    <x v="2"/>
    <d v="2025-05-05T13:42:00"/>
    <s v="NRKQRZ"/>
    <s v="NRKQRZ"/>
    <s v="Não localizado cliente código [0000063625].&lt;-ObterCliente&lt;-MontarPnrBase&lt;-ProcessarAereo&lt;-ProcessarItemFila[b]"/>
    <x v="1150"/>
    <m/>
    <s v="CLIENTE"/>
    <x v="13"/>
    <s v="CÓDIGO DIFERENTE DO CADASTRADO NO BENNER (CLIENTE X GRUPO)"/>
    <s v="QUALIDADE DOS DADOS"/>
    <x v="0"/>
    <n v="1"/>
  </r>
  <r>
    <s v="SABRE"/>
    <m/>
    <x v="2"/>
    <n v="3400332"/>
    <x v="2"/>
    <d v="2025-05-05T13:42:00"/>
    <s v="NSUETG"/>
    <s v="NSUETG"/>
    <s v="Não localizado cliente código [0000063625].&lt;-ObterCliente&lt;-MontarPnrBase&lt;-ProcessarAereo&lt;-ProcessarItemFila[b]"/>
    <x v="1150"/>
    <m/>
    <s v="CLIENTE"/>
    <x v="13"/>
    <s v="CÓDIGO DIFERENTE DO CADASTRADO NO BENNER (CLIENTE X GRUPO)"/>
    <s v="QUALIDADE DOS DADOS"/>
    <x v="0"/>
    <n v="1"/>
  </r>
  <r>
    <s v="SABRE"/>
    <m/>
    <x v="2"/>
    <n v="3400938"/>
    <x v="2"/>
    <d v="2025-05-05T15:15:00"/>
    <s v="FJPDTJC"/>
    <s v="FJPDTJ"/>
    <s v="Inserindo Accounting Carro - (ExecSQL) - Not a legal OleAut date"/>
    <x v="1151"/>
    <d v="2025-05-05T17:17:00"/>
    <s v="OUTROS"/>
    <x v="3"/>
    <s v="REMARK U*INFOPAG-CC/REC-CC PREENCHIDO INCORRETAMENTE"/>
    <s v="QUALIDADE DOS DADOS"/>
    <x v="1"/>
    <s v="COLUNA I"/>
  </r>
  <r>
    <s v="SABRE"/>
    <m/>
    <x v="2"/>
    <n v="3401662"/>
    <x v="2"/>
    <d v="2025-05-05T18:00:00"/>
    <s v="QPDNBH"/>
    <s v="QPDNBH"/>
    <s v="Não localizado cliente código [0000583831].&lt;-ObterCliente&lt;-MontarPnrBase&lt;-ProcessarAereo&lt;-ProcessarItemFila[b]"/>
    <x v="1152"/>
    <m/>
    <s v="CLIENTE"/>
    <x v="13"/>
    <s v="CÓDIGO DIFERENTE DO CADASTRADO NO BENNER (CLIENTE X GRUPO)"/>
    <s v="QUALIDADE DOS DADOS"/>
    <x v="0"/>
    <n v="1"/>
  </r>
  <r>
    <s v="SABRE"/>
    <m/>
    <x v="2"/>
    <n v="3401663"/>
    <x v="2"/>
    <d v="2025-05-05T18:00:00"/>
    <s v="WFEEEL"/>
    <s v="WFEEEL"/>
    <s v="Não localizado cliente código [0000583831].&lt;-ObterCliente&lt;-MontarPnrBase&lt;-ProcessarAereo&lt;-ProcessarItemFila[b]"/>
    <x v="1153"/>
    <m/>
    <s v="CLIENTE"/>
    <x v="13"/>
    <s v="CÓDIGO DIFERENTE DO CADASTRADO NO BENNER (CLIENTE X GRUPO)"/>
    <s v="QUALIDADE DOS DADOS"/>
    <x v="0"/>
    <n v="1"/>
  </r>
  <r>
    <s v="RESOLVIDO"/>
    <m/>
    <x v="1"/>
    <n v="3401717"/>
    <x v="1"/>
    <d v="2025-05-05T19:13:00"/>
    <n v="6575"/>
    <n v="6575"/>
    <s v="Preenchendo XML Serviço-&gt; Preenchendo XML-&gt; Montando accounting aereo 2-&gt;Não foi informado o Localizador do Assento/Bagagem!"/>
    <x v="1154"/>
    <d v="2025-05-08T10:46:00"/>
    <s v="OUTROS"/>
    <x v="15"/>
    <s v="CAMPO OBSERVAÇÃO PREENCHIDO INCORRETAMENTE"/>
    <s v="QUALIDADE DOS DADOS"/>
    <x v="1"/>
    <n v="118"/>
  </r>
  <r>
    <s v="SABRE"/>
    <m/>
    <x v="2"/>
    <n v="3402336"/>
    <x v="2"/>
    <d v="2025-05-06T12:02:00"/>
    <s v="HOEKNNT"/>
    <s v="HOEKNN"/>
    <s v="ConverterPagamentosRemark-&gt;String was not recognized as a valid DateTime.&lt;-MontarAccountinsHotel&lt;-ProcessarHotel&lt;-ProcessarItemFila[b]"/>
    <x v="1155"/>
    <d v="2025-05-06T14:04:00"/>
    <s v="FORMA PAGTO/RECTO"/>
    <x v="3"/>
    <s v="REMARK U*INFOPAG-CC/REC-CC PREENCHIDO INCORRETAMENTE"/>
    <s v="QUALIDADE DOS DADOS"/>
    <x v="1"/>
    <s v="COLUNA I"/>
  </r>
  <r>
    <s v="SABRE"/>
    <m/>
    <x v="2"/>
    <n v="3402793"/>
    <x v="2"/>
    <d v="2025-05-06T08:54:00"/>
    <s v="GJDRSC"/>
    <s v="GJDRSC"/>
    <s v="Não localizado cliente código [1234567890].&lt;-ObterCliente&lt;-MontarPnrBase&lt;-ProcessarAereo&lt;-ProcessarItemFila[b]"/>
    <x v="1156"/>
    <m/>
    <s v="CLIENTE"/>
    <x v="13"/>
    <s v="CÓDIGO DIFERENTE DO CADASTRADO NO BENNER (CLIENTE X GRUPO)"/>
    <s v="QUALIDADE DOS DADOS"/>
    <x v="0"/>
    <n v="1"/>
  </r>
  <r>
    <s v="SABRE"/>
    <m/>
    <x v="2"/>
    <n v="3402794"/>
    <x v="2"/>
    <d v="2025-05-06T08:54:00"/>
    <s v="GJDRSCT"/>
    <s v="GJDRSC"/>
    <s v="Não localizado cliente código [1234567890].&lt;-ObterCliente&lt;-MontarPnrBase&lt;-MontarPnr&lt;-ProcessarHotel&lt;-ProcessarItemFila[b]"/>
    <x v="1156"/>
    <m/>
    <s v="CLIENTE"/>
    <x v="13"/>
    <s v="CÓDIGO DIFERENTE DO CADASTRADO NO BENNER (CLIENTE X GRUPO)"/>
    <s v="QUALIDADE DOS DADOS"/>
    <x v="0"/>
    <n v="1"/>
  </r>
  <r>
    <s v="SABRE"/>
    <m/>
    <x v="2"/>
    <n v="3402907"/>
    <x v="2"/>
    <d v="2025-05-06T13:46:00"/>
    <s v="YJWLFP"/>
    <s v="YJWLFP"/>
    <s v="Não localizado cliente código [0000068873].&lt;-ObterCliente&lt;-MontarPnrBase&lt;-ProcessarAereo&lt;-ProcessarItemFila[b]"/>
    <x v="1157"/>
    <d v="2025-05-06T15:53:00"/>
    <s v="CLIENTE"/>
    <x v="13"/>
    <s v="CÓDIGO DIFERENTE DO CADASTRADO NO BENNER (CLIENTE X GRUPO)"/>
    <s v="QUALIDADE DOS DADOS"/>
    <x v="0"/>
    <n v="1"/>
  </r>
  <r>
    <s v="SABRE"/>
    <m/>
    <x v="2"/>
    <n v="3402909"/>
    <x v="2"/>
    <d v="2025-05-06T13:46:00"/>
    <s v="YJWLFPT"/>
    <s v="YJWLFP"/>
    <s v="Não localizado cliente código [0000068873].&lt;-ObterCliente&lt;-MontarPnrBase&lt;-MontarPnr&lt;-ProcessarHotel&lt;-ProcessarItemFila[b]"/>
    <x v="1157"/>
    <d v="2025-05-06T15:53:00"/>
    <s v="CLIENTE"/>
    <x v="13"/>
    <s v="CÓDIGO DIFERENTE DO CADASTRADO NO BENNER (CLIENTE X GRUPO)"/>
    <s v="QUALIDADE DOS DADOS"/>
    <x v="0"/>
    <n v="1"/>
  </r>
  <r>
    <s v="SABRE"/>
    <m/>
    <x v="2"/>
    <n v="3402969"/>
    <x v="2"/>
    <d v="2025-05-06T10:33:00"/>
    <s v="LFXPYL"/>
    <s v="LFXPYL"/>
    <s v="Não localizado cliente código [0000583808].&lt;-ObterCliente&lt;-MontarPnrBase&lt;-ProcessarAereo&lt;-ProcessarItemFila[b]"/>
    <x v="1158"/>
    <m/>
    <s v="CLIENTE"/>
    <x v="13"/>
    <s v="CÓDIGO DIFERENTE DO CADASTRADO NO BENNER (CLIENTE X GRUPO)"/>
    <s v="QUALIDADE DOS DADOS"/>
    <x v="0"/>
    <n v="1"/>
  </r>
  <r>
    <s v="SABRE"/>
    <m/>
    <x v="2"/>
    <n v="3403050"/>
    <x v="2"/>
    <d v="2025-05-06T11:06:00"/>
    <s v="JTANCZ"/>
    <s v="JTANCZ"/>
    <s v="Não localizado cliente código [1234567890].&lt;-ObterCliente&lt;-MontarPnrBase&lt;-ProcessarAereo&lt;-ProcessarItemFila[b]"/>
    <x v="1159"/>
    <m/>
    <s v="CLIENTE"/>
    <x v="13"/>
    <s v="CÓDIGO DIFERENTE DO CADASTRADO NO BENNER (CLIENTE X GRUPO)"/>
    <s v="QUALIDADE DOS DADOS"/>
    <x v="0"/>
    <n v="1"/>
  </r>
  <r>
    <s v="SABRE"/>
    <m/>
    <x v="2"/>
    <n v="3403127"/>
    <x v="2"/>
    <d v="2025-05-06T11:44:00"/>
    <s v="YMDUEG"/>
    <s v="YMDUEG"/>
    <s v="Não localizado cliente código [0000583808].&lt;-ObterCliente&lt;-MontarPnrBase&lt;-ProcessarAereo&lt;-ProcessarItemFila[b]"/>
    <x v="1160"/>
    <m/>
    <s v="CLIENTE"/>
    <x v="13"/>
    <s v="CÓDIGO DIFERENTE DO CADASTRADO NO BENNER (CLIENTE X GRUPO)"/>
    <s v="QUALIDADE DOS DADOS"/>
    <x v="0"/>
    <n v="1"/>
  </r>
  <r>
    <s v="SABRE"/>
    <m/>
    <x v="2"/>
    <n v="3403308"/>
    <x v="2"/>
    <d v="2025-05-06T13:31:00"/>
    <s v="HXEWCA"/>
    <s v="HXEWCA"/>
    <s v="Não localizado cliente código [0000583808].&lt;-ObterCliente&lt;-MontarPnrBase&lt;-ProcessarAereo&lt;-ProcessarItemFila[b]"/>
    <x v="1161"/>
    <m/>
    <s v="CLIENTE"/>
    <x v="13"/>
    <s v="CÓDIGO DIFERENTE DO CADASTRADO NO BENNER (CLIENTE X GRUPO)"/>
    <s v="QUALIDADE DOS DADOS"/>
    <x v="0"/>
    <n v="1"/>
  </r>
  <r>
    <s v="SABRE"/>
    <m/>
    <x v="2"/>
    <n v="3403352"/>
    <x v="2"/>
    <d v="2025-05-06T13:39:00"/>
    <s v="SBQZHD"/>
    <s v="SBQZHD"/>
    <s v="Código de cliente não identificado&lt;-ObterCliente&lt;-MontarPnrBase&lt;-ProcessarAereo&lt;-ProcessarItemFila[b]"/>
    <x v="1162"/>
    <m/>
    <s v="CLIENTE"/>
    <x v="14"/>
    <s v="DK DE CLIENTE NÃO PREENCIDO / CLIENTE NÃO CONFIGURADO NO OBT"/>
    <s v="INDEFINIDO"/>
    <x v="1"/>
    <s v="COLUNA I"/>
  </r>
  <r>
    <s v="RESOLVIDO"/>
    <m/>
    <x v="1"/>
    <n v="3403415"/>
    <x v="1"/>
    <d v="2025-05-06T14:17:00"/>
    <n v="6590"/>
    <n v="6590"/>
    <s v="Preenchendo XML Serviço-&gt; Preenchendo XML-&gt; Montando accounting aereo 2-&gt;Não foi informado o Localizador do Assento/Bagagem!"/>
    <x v="1163"/>
    <d v="2025-05-08T10:46:00"/>
    <s v="OUTROS"/>
    <x v="15"/>
    <s v="CAMPO OBSERVAÇÃO PREENCHIDO INCORRETAMENTE"/>
    <s v="QUALIDADE DOS DADOS"/>
    <x v="1"/>
    <n v="118"/>
  </r>
  <r>
    <s v="SABRE"/>
    <m/>
    <x v="2"/>
    <n v="3403459"/>
    <x v="2"/>
    <d v="2025-05-06T14:05:00"/>
    <s v="QRGAAH"/>
    <s v="QRGAAH"/>
    <s v="Não localizado cliente código [0000000].&lt;-ObterCliente&lt;-MontarPnrBase&lt;-ProcessarAereo&lt;-ProcessarItemFila[b]"/>
    <x v="1164"/>
    <m/>
    <s v="CLIENTE"/>
    <x v="13"/>
    <s v="CÓDIGO DIFERENTE DO CADASTRADO NO BENNER (CLIENTE X GRUPO)"/>
    <s v="QUALIDADE DOS DADOS"/>
    <x v="0"/>
    <n v="1"/>
  </r>
  <r>
    <s v="SABRE"/>
    <m/>
    <x v="2"/>
    <n v="3403463"/>
    <x v="2"/>
    <d v="2025-05-06T14:05:00"/>
    <s v="FMNSEI"/>
    <s v="FMNSEI"/>
    <s v="Não localizado cliente código [0000000].&lt;-ObterCliente&lt;-MontarPnrBase&lt;-ProcessarAereo&lt;-ProcessarItemFila[b]"/>
    <x v="1164"/>
    <m/>
    <s v="CLIENTE"/>
    <x v="13"/>
    <s v="CÓDIGO DIFERENTE DO CADASTRADO NO BENNER (CLIENTE X GRUPO)"/>
    <s v="QUALIDADE DOS DADOS"/>
    <x v="0"/>
    <n v="1"/>
  </r>
  <r>
    <s v="SABRE"/>
    <m/>
    <x v="2"/>
    <n v="3403998"/>
    <x v="2"/>
    <d v="2025-05-07T09:51:00"/>
    <s v="EPZSDY"/>
    <s v="EPZSDY"/>
    <s v="Não localizado cliente código [0000000].&lt;-ObterCliente&lt;-MontarPnrBase&lt;-ProcessarAereo&lt;-ProcessarItemFila[b]"/>
    <x v="1165"/>
    <d v="2025-05-07T12:03:00"/>
    <s v="CLIENTE"/>
    <x v="13"/>
    <s v="CÓDIGO DIFERENTE DO CADASTRADO NO BENNER (CLIENTE X GRUPO)"/>
    <s v="QUALIDADE DOS DADOS"/>
    <x v="0"/>
    <n v="1"/>
  </r>
  <r>
    <s v="TMS"/>
    <m/>
    <x v="2"/>
    <n v="3404088"/>
    <x v="1"/>
    <d v="2025-05-06T12:44:00"/>
    <n v="44224"/>
    <n v="44224"/>
    <s v="Preenchendo XML Serviço-&gt; Preenchendo XML-&gt; Montando accounting aereo 2-&gt;Não foi informado o Localizador do Assento/Bagagem!"/>
    <x v="1166"/>
    <d v="2025-05-08T11:22:00"/>
    <s v="OUTROS"/>
    <x v="15"/>
    <s v="CAMPO OBSERVAÇÃO PREENCHIDO INCORRETAMENTE"/>
    <s v="QUALIDADE DOS DADOS"/>
    <x v="1"/>
    <n v="118"/>
  </r>
  <r>
    <s v="SABRE"/>
    <m/>
    <x v="2"/>
    <n v="3404402"/>
    <x v="2"/>
    <d v="2025-05-06T16:20:00"/>
    <s v="UFFGYP"/>
    <s v="UFFGYP"/>
    <s v="Não localizado cliente código [1234567890].&lt;-ObterCliente&lt;-MontarPnrBase&lt;-ProcessarAereo&lt;-ProcessarItemFila[b]"/>
    <x v="1167"/>
    <m/>
    <s v="CLIENTE"/>
    <x v="13"/>
    <s v="CÓDIGO DIFERENTE DO CADASTRADO NO BENNER (CLIENTE X GRUPO)"/>
    <s v="QUALIDADE DOS DADOS"/>
    <x v="0"/>
    <n v="1"/>
  </r>
  <r>
    <s v="SABRE"/>
    <m/>
    <x v="2"/>
    <n v="3404403"/>
    <x v="2"/>
    <d v="2025-05-06T16:20:00"/>
    <s v="UFFGYPT"/>
    <s v="UFFGYP"/>
    <s v="Não localizado cliente código [1234567890].&lt;-ObterCliente&lt;-MontarPnrBase&lt;-MontarPnr&lt;-ProcessarHotel&lt;-ProcessarItemFila[b]"/>
    <x v="1167"/>
    <m/>
    <s v="CLIENTE"/>
    <x v="13"/>
    <s v="CÓDIGO DIFERENTE DO CADASTRADO NO BENNER (CLIENTE X GRUPO)"/>
    <s v="QUALIDADE DOS DADOS"/>
    <x v="0"/>
    <n v="1"/>
  </r>
  <r>
    <s v="SABRE"/>
    <m/>
    <x v="2"/>
    <n v="3404409"/>
    <x v="2"/>
    <d v="2025-05-06T16:24:00"/>
    <s v="KKOXEG"/>
    <s v="KKOXEG"/>
    <s v="Não localizado cliente código [0000000].&lt;-ObterCliente&lt;-MontarPnrBase&lt;-ProcessarAereo&lt;-ProcessarItemFila[b]"/>
    <x v="1168"/>
    <m/>
    <s v="CLIENTE"/>
    <x v="13"/>
    <s v="CÓDIGO DIFERENTE DO CADASTRADO NO BENNER (CLIENTE X GRUPO)"/>
    <s v="QUALIDADE DOS DADOS"/>
    <x v="0"/>
    <n v="1"/>
  </r>
  <r>
    <s v="SABRE"/>
    <m/>
    <x v="2"/>
    <n v="3404412"/>
    <x v="2"/>
    <d v="2025-05-06T17:39:00"/>
    <s v="KJPOIU"/>
    <s v="KJPOIU"/>
    <s v="Não localizado cliente código [0000050269].&lt;-ObterCliente&lt;-MontarPnrBase&lt;-ProcessarAereo&lt;-ProcessarItemFila[b]"/>
    <x v="1169"/>
    <d v="2025-05-06T19:46:00"/>
    <s v="CLIENTE"/>
    <x v="13"/>
    <s v="CÓDIGO DIFERENTE DO CADASTRADO NO BENNER (CLIENTE X GRUPO)"/>
    <s v="QUALIDADE DOS DADOS"/>
    <x v="0"/>
    <n v="1"/>
  </r>
  <r>
    <s v="SABRE"/>
    <m/>
    <x v="2"/>
    <n v="3404628"/>
    <x v="2"/>
    <d v="2025-05-06T16:48:00"/>
    <s v="HUNLLG"/>
    <s v="HUNLLG"/>
    <s v="Não localizado cliente código [0000583808].&lt;-ObterCliente&lt;-MontarPnrBase&lt;-ProcessarAereo&lt;-ProcessarItemFila[b]"/>
    <x v="1170"/>
    <m/>
    <s v="CLIENTE"/>
    <x v="13"/>
    <s v="CÓDIGO DIFERENTE DO CADASTRADO NO BENNER (CLIENTE X GRUPO)"/>
    <s v="QUALIDADE DOS DADOS"/>
    <x v="0"/>
    <n v="1"/>
  </r>
  <r>
    <s v="SABRE"/>
    <m/>
    <x v="2"/>
    <n v="3404629"/>
    <x v="2"/>
    <d v="2025-05-06T16:48:00"/>
    <s v="IWDKZX"/>
    <s v="IWDKZX"/>
    <s v="Não localizado cliente código [0000392619].&lt;-ObterCliente&lt;-MontarPnrBase&lt;-ProcessarAereo&lt;-ProcessarItemFila[b]"/>
    <x v="1170"/>
    <m/>
    <s v="CLIENTE"/>
    <x v="13"/>
    <s v="CÓDIGO DIFERENTE DO CADASTRADO NO BENNER (CLIENTE X GRUPO)"/>
    <s v="QUALIDADE DOS DADOS"/>
    <x v="0"/>
    <n v="1"/>
  </r>
  <r>
    <s v="SABRE"/>
    <m/>
    <x v="2"/>
    <n v="3404680"/>
    <x v="2"/>
    <d v="2025-05-06T18:05:00"/>
    <s v="DEKNCM"/>
    <s v="DEKNCM"/>
    <s v="Não localizado cliente código [0000392619].&lt;-ObterCliente&lt;-MontarPnrBase&lt;-ProcessarAereo&lt;-ProcessarItemFila[b]"/>
    <x v="1171"/>
    <m/>
    <s v="CLIENTE"/>
    <x v="13"/>
    <s v="CÓDIGO DIFERENTE DO CADASTRADO NO BENNER (CLIENTE X GRUPO)"/>
    <s v="QUALIDADE DOS DADOS"/>
    <x v="0"/>
    <n v="1"/>
  </r>
  <r>
    <s v="SABRE"/>
    <m/>
    <x v="2"/>
    <n v="3404685"/>
    <x v="2"/>
    <d v="2025-05-06T18:05:00"/>
    <s v="IXTEFI"/>
    <s v="IXTEFI"/>
    <s v="Código de cliente não identificado&lt;-ObterCliente&lt;-MontarPnrBase&lt;-ProcessarAereo&lt;-ProcessarItemFila[b]"/>
    <x v="1172"/>
    <m/>
    <s v="CLIENTE"/>
    <x v="14"/>
    <s v="DK DE CLIENTE NÃO PREENCIDO / CLIENTE NÃO CONFIGURADO NO OBT"/>
    <s v="INDEFINIDO"/>
    <x v="1"/>
    <s v="COLUNA I"/>
  </r>
  <r>
    <s v="SABRE"/>
    <m/>
    <x v="2"/>
    <n v="3404690"/>
    <x v="2"/>
    <d v="2025-05-06T18:05:00"/>
    <s v="IYEJCS"/>
    <s v="IYEJCS"/>
    <s v="Não localizado cliente código [0000050269].&lt;-ObterCliente&lt;-MontarPnrBase&lt;-ProcessarAereo&lt;-ProcessarItemFila[b]"/>
    <x v="1172"/>
    <m/>
    <s v="CLIENTE"/>
    <x v="13"/>
    <s v="CÓDIGO DIFERENTE DO CADASTRADO NO BENNER (CLIENTE X GRUPO)"/>
    <s v="QUALIDADE DOS DADOS"/>
    <x v="0"/>
    <n v="1"/>
  </r>
  <r>
    <s v="GOVER"/>
    <m/>
    <x v="2"/>
    <n v="3405245"/>
    <x v="0"/>
    <d v="2025-05-06T09:05:00"/>
    <n v="4532541"/>
    <s v="MV1MG4IQ1NBR"/>
    <s v="PreencherPnr-&gt;Código do cliente não informado! (SolicitacaoDTO.UnidadeCodigoIntegracao)"/>
    <x v="1173"/>
    <d v="2025-05-08T16:06:00"/>
    <s v="CLIENTE"/>
    <x v="14"/>
    <s v="DK DE CLIENTE NÃO PREENCIDO / CLIENTE NÃO CONFIGURADO NO OBT"/>
    <s v="INDEFINIDO"/>
    <x v="1"/>
    <s v="COLUNA I"/>
  </r>
  <r>
    <s v="SABRE"/>
    <m/>
    <x v="2"/>
    <n v="3405528"/>
    <x v="2"/>
    <d v="2025-05-07T09:58:00"/>
    <s v="WQAPPO"/>
    <s v="WQAPPO"/>
    <s v="Não localizado cliente código [1234567890].&lt;-ObterCliente&lt;-MontarPnrBase&lt;-ProcessarAereo&lt;-ProcessarItemFila[b]"/>
    <x v="1174"/>
    <m/>
    <s v="CLIENTE"/>
    <x v="13"/>
    <s v="CÓDIGO DIFERENTE DO CADASTRADO NO BENNER (CLIENTE X GRUPO)"/>
    <s v="QUALIDADE DOS DADOS"/>
    <x v="0"/>
    <n v="1"/>
  </r>
  <r>
    <s v="SABRE"/>
    <m/>
    <x v="2"/>
    <n v="3405538"/>
    <x v="2"/>
    <d v="2025-05-07T11:09:00"/>
    <s v="OAWTJF"/>
    <s v="OAWTJF"/>
    <s v="Código de cliente não identificado&lt;-ObterCliente&lt;-MontarPnrBase&lt;-ProcessarAereo&lt;-ProcessarItemFila[b]"/>
    <x v="1175"/>
    <d v="2025-05-07T13:18:00"/>
    <s v="CLIENTE"/>
    <x v="14"/>
    <s v="DK DE CLIENTE NÃO PREENCIDO / CLIENTE NÃO CONFIGURADO NO OBT"/>
    <s v="INDEFINIDO"/>
    <x v="1"/>
    <s v="COLUNA I"/>
  </r>
  <r>
    <s v="SABRE"/>
    <m/>
    <x v="2"/>
    <n v="3405559"/>
    <x v="2"/>
    <d v="2025-05-07T10:14:00"/>
    <s v="GZUBWR"/>
    <s v="GZUBWR"/>
    <s v="Não localizado cliente código [0000000].&lt;-ObterCliente&lt;-MontarPnrBase&lt;-ProcessarAereo&lt;-ProcessarItemFila[b]"/>
    <x v="1176"/>
    <m/>
    <s v="CLIENTE"/>
    <x v="13"/>
    <s v="CÓDIGO DIFERENTE DO CADASTRADO NO BENNER (CLIENTE X GRUPO)"/>
    <s v="QUALIDADE DOS DADOS"/>
    <x v="0"/>
    <n v="1"/>
  </r>
  <r>
    <s v="SABRE"/>
    <m/>
    <x v="2"/>
    <n v="3405560"/>
    <x v="2"/>
    <d v="2025-05-08T09:42:00"/>
    <s v="NCTJQI"/>
    <s v="NCTJQI"/>
    <s v="Código de cliente não identificado&lt;-ObterCliente&lt;-MontarPnrBase&lt;-ProcessarAereo&lt;-ProcessarItemFila[b]"/>
    <x v="1176"/>
    <d v="2025-05-08T11:47:00"/>
    <s v="CLIENTE"/>
    <x v="14"/>
    <s v="DK DE CLIENTE NÃO PREENCIDO / CLIENTE NÃO CONFIGURADO NO OBT"/>
    <s v="INDEFINIDO"/>
    <x v="1"/>
    <s v="COLUNA I"/>
  </r>
  <r>
    <s v="SABRE"/>
    <m/>
    <x v="2"/>
    <n v="3405615"/>
    <x v="2"/>
    <d v="2025-05-07T10:58:00"/>
    <s v="DLJQIQ"/>
    <s v="DLJQIQ"/>
    <s v="Não localizado cliente código [1234567890].&lt;-ObterCliente&lt;-MontarPnrBase&lt;-ProcessarAereo&lt;-ProcessarItemFila[b]"/>
    <x v="1177"/>
    <m/>
    <s v="CLIENTE"/>
    <x v="13"/>
    <s v="CÓDIGO DIFERENTE DO CADASTRADO NO BENNER (CLIENTE X GRUPO)"/>
    <s v="QUALIDADE DOS DADOS"/>
    <x v="0"/>
    <n v="1"/>
  </r>
  <r>
    <s v="SABRE"/>
    <m/>
    <x v="2"/>
    <n v="3405649"/>
    <x v="2"/>
    <d v="2025-05-07T11:20:00"/>
    <s v="HMJFEQT"/>
    <s v="HMJFEQ"/>
    <s v="Código de cliente não identificado&lt;-ObterCliente&lt;-MontarPnrBase&lt;-MontarPnr&lt;-ProcessarHotel&lt;-ProcessarItemFila[b]"/>
    <x v="1178"/>
    <m/>
    <s v="CLIENTE"/>
    <x v="14"/>
    <s v="DK DE CLIENTE NÃO PREENCIDO / CLIENTE NÃO CONFIGURADO NO OBT"/>
    <s v="INDEFINIDO"/>
    <x v="1"/>
    <s v="COLUNA I"/>
  </r>
  <r>
    <s v="RESOLVIDO"/>
    <m/>
    <x v="1"/>
    <n v="3406463"/>
    <x v="1"/>
    <d v="2025-05-07T13:12:00"/>
    <n v="44247"/>
    <n v="44247"/>
    <s v="Inserindo Accounting Servico - Parâmetro Consolidador - TurVendas - Não foi possível localizar o contrato do fornecedor 64192"/>
    <x v="1179"/>
    <d v="2025-05-08T11:22:00"/>
    <s v="FORNECEDOR"/>
    <x v="10"/>
    <s v="CONTRATO INATIVO OU DIVERGENTE"/>
    <s v="SISTEMA"/>
    <x v="1"/>
    <n v="69"/>
  </r>
  <r>
    <s v="RESOLVIDO"/>
    <m/>
    <x v="1"/>
    <n v="3406539"/>
    <x v="1"/>
    <d v="2025-05-07T11:02:00"/>
    <n v="62027"/>
    <n v="62027"/>
    <s v="Inserindo Accounting Servico - Parâmetro Consolidador - TurVendas - Não foi possível localizar o contrato do fornecedor 64192"/>
    <x v="1180"/>
    <d v="2025-05-08T11:33:00"/>
    <s v="FORNECEDOR"/>
    <x v="10"/>
    <s v="CONTRATO INATIVO OU DIVERGENTE"/>
    <s v="SISTEMA"/>
    <x v="1"/>
    <n v="69"/>
  </r>
  <r>
    <s v="SABRE"/>
    <m/>
    <x v="2"/>
    <n v="3406586"/>
    <x v="2"/>
    <d v="2025-05-07T16:37:00"/>
    <s v="GREUME"/>
    <s v="GREUME"/>
    <s v="Código de cliente não identificado&lt;-ObterCliente&lt;-MontarPnrBase&lt;-ProcessarAereo&lt;-ProcessarItemFila[b]"/>
    <x v="1181"/>
    <m/>
    <s v="CLIENTE"/>
    <x v="14"/>
    <s v="DK DE CLIENTE NÃO PREENCIDO / CLIENTE NÃO CONFIGURADO NO OBT"/>
    <s v="INDEFINIDO"/>
    <x v="1"/>
    <s v="COLUNA I"/>
  </r>
  <r>
    <s v="SABRE"/>
    <m/>
    <x v="2"/>
    <n v="3406597"/>
    <x v="2"/>
    <d v="2025-05-07T16:37:00"/>
    <s v="SVMNRI"/>
    <s v="SVMNRI"/>
    <s v="Não localizado cliente código [1234567890].&lt;-ObterCliente&lt;-MontarPnrBase&lt;-ProcessarAereo&lt;-ProcessarItemFila[b]"/>
    <x v="1182"/>
    <m/>
    <s v="CLIENTE"/>
    <x v="13"/>
    <s v="CÓDIGO DIFERENTE DO CADASTRADO NO BENNER (CLIENTE X GRUPO)"/>
    <s v="QUALIDADE DOS DADOS"/>
    <x v="0"/>
    <n v="1"/>
  </r>
  <r>
    <s v="SABRE"/>
    <m/>
    <x v="2"/>
    <n v="3406604"/>
    <x v="2"/>
    <d v="2025-05-07T16:37:00"/>
    <s v="HFFYPR"/>
    <s v="HFFYPR"/>
    <s v="Não localizado cliente código [1234567890].&lt;-ObterCliente&lt;-MontarPnrBase&lt;-ProcessarAereo&lt;-ProcessarItemFila[b]"/>
    <x v="1182"/>
    <m/>
    <s v="CLIENTE"/>
    <x v="13"/>
    <s v="CÓDIGO DIFERENTE DO CADASTRADO NO BENNER (CLIENTE X GRUPO)"/>
    <s v="QUALIDADE DOS DADOS"/>
    <x v="0"/>
    <n v="1"/>
  </r>
  <r>
    <s v="TMS"/>
    <m/>
    <x v="2"/>
    <n v="3406640"/>
    <x v="1"/>
    <d v="2025-05-07T14:08:00"/>
    <n v="17124"/>
    <n v="17124"/>
    <s v="Preenchendo XML Hotel-&gt; Preenchendo XML-&gt; Montando accounting hotel-&gt;Solicitação de hotel referente a esta cotação não foi encontrada (Id Cotação: 1)"/>
    <x v="1183"/>
    <d v="2025-05-08T11:39:00"/>
    <s v="OUTROS"/>
    <x v="22"/>
    <s v="INDEFINIDO"/>
    <s v="INDEFINIDO"/>
    <x v="0"/>
    <s v="COLUNA I"/>
  </r>
  <r>
    <s v="SABRE"/>
    <m/>
    <x v="2"/>
    <n v="3406854"/>
    <x v="2"/>
    <d v="2025-05-07T18:19:00"/>
    <s v="EPJDCP"/>
    <s v="EPJDCP"/>
    <s v="Código de cliente não identificado&lt;-ObterCliente&lt;-MontarPnrBase&lt;-ProcessarAereo&lt;-ProcessarItemFila[b]"/>
    <x v="1184"/>
    <m/>
    <s v="CLIENTE"/>
    <x v="14"/>
    <s v="DK DE CLIENTE NÃO PREENCIDO / CLIENTE NÃO CONFIGURADO NO OBT"/>
    <s v="INDEFINIDO"/>
    <x v="1"/>
    <s v="COLUNA I"/>
  </r>
  <r>
    <s v="SABRE"/>
    <m/>
    <x v="2"/>
    <n v="3406857"/>
    <x v="2"/>
    <d v="2025-05-07T18:19:00"/>
    <s v="YNGYDQ"/>
    <s v="YNGYDQ"/>
    <s v="Não localizado cliente código [1234567890].&lt;-ObterCliente&lt;-MontarPnrBase&lt;-ProcessarAereo&lt;-ProcessarItemFila[b]"/>
    <x v="1184"/>
    <m/>
    <s v="CLIENTE"/>
    <x v="13"/>
    <s v="CÓDIGO DIFERENTE DO CADASTRADO NO BENNER (CLIENTE X GRUPO)"/>
    <s v="QUALIDADE DOS DADOS"/>
    <x v="0"/>
    <n v="1"/>
  </r>
  <r>
    <s v="RESOLVIDO"/>
    <m/>
    <x v="1"/>
    <n v="3407101"/>
    <x v="1"/>
    <d v="2025-05-07T18:32:00"/>
    <n v="44266"/>
    <n v="44266"/>
    <s v="Inserindo Accounting Servico - Parâmetro Consolidador - TurVendas - Não foi possível localizar o contrato do fornecedor 64192"/>
    <x v="1185"/>
    <d v="2025-05-08T11:21:00"/>
    <s v="FORNECEDOR"/>
    <x v="10"/>
    <s v="CONTRATO INATIVO OU DIVERGENTE"/>
    <s v="SISTEMA"/>
    <x v="1"/>
    <n v="69"/>
  </r>
  <r>
    <s v="RESOLVIDO"/>
    <m/>
    <x v="1"/>
    <n v="3407103"/>
    <x v="1"/>
    <d v="2025-05-07T18:29:00"/>
    <n v="44265"/>
    <n v="44265"/>
    <s v="Inserindo Accounting Servico - Parâmetro Consolidador - TurVendas - Não foi possível localizar o contrato do fornecedor 64192"/>
    <x v="1185"/>
    <d v="2025-05-08T11:21:00"/>
    <s v="FORNECEDOR"/>
    <x v="10"/>
    <s v="CONTRATO INATIVO OU DIVERGENTE"/>
    <s v="SISTEMA"/>
    <x v="1"/>
    <n v="69"/>
  </r>
  <r>
    <s v="RESOLVIDO"/>
    <m/>
    <x v="1"/>
    <n v="3407106"/>
    <x v="1"/>
    <d v="2025-05-07T18:24:00"/>
    <n v="44261"/>
    <n v="44261"/>
    <s v="Inserindo Accounting Servico - Parâmetro Consolidador - TurVendas - Não foi possível localizar o contrato do fornecedor 64192"/>
    <x v="1186"/>
    <d v="2025-05-08T11:21:00"/>
    <s v="FORNECEDOR"/>
    <x v="10"/>
    <s v="CONTRATO INATIVO OU DIVERGENTE"/>
    <s v="SISTEMA"/>
    <x v="1"/>
    <n v="69"/>
  </r>
  <r>
    <s v="RESOLVIDO"/>
    <m/>
    <x v="1"/>
    <n v="3407108"/>
    <x v="1"/>
    <d v="2025-05-07T18:20:00"/>
    <n v="44259"/>
    <n v="44259"/>
    <s v="Inserindo Accounting Servico - Parâmetro Consolidador - TurVendas - Não foi possível localizar o contrato do fornecedor 64192"/>
    <x v="1186"/>
    <d v="2025-05-08T11:21:00"/>
    <s v="FORNECEDOR"/>
    <x v="10"/>
    <s v="CONTRATO INATIVO OU DIVERGENTE"/>
    <s v="SISTEMA"/>
    <x v="1"/>
    <n v="69"/>
  </r>
  <r>
    <s v="RESOLVIDO"/>
    <m/>
    <x v="1"/>
    <n v="3407109"/>
    <x v="1"/>
    <d v="2025-05-07T18:15:00"/>
    <n v="44258"/>
    <n v="44258"/>
    <s v="Inserindo Accounting Servico - Parâmetro Consolidador - TurVendas - Não foi possível localizar o contrato do fornecedor 64192"/>
    <x v="1186"/>
    <d v="2025-05-08T11:22:00"/>
    <s v="FORNECEDOR"/>
    <x v="10"/>
    <s v="CONTRATO INATIVO OU DIVERGENTE"/>
    <s v="SISTEMA"/>
    <x v="1"/>
    <n v="69"/>
  </r>
  <r>
    <s v="RESOLVIDO"/>
    <m/>
    <x v="1"/>
    <n v="3407181"/>
    <x v="1"/>
    <d v="2025-05-07T18:25:00"/>
    <n v="62079"/>
    <n v="62079"/>
    <s v="Inserindo Accounting Servico - Parâmetro Consolidador - TurVendas - Não foi possível localizar o contrato do fornecedor 64192"/>
    <x v="1187"/>
    <d v="2025-05-08T11:33:00"/>
    <s v="FORNECEDOR"/>
    <x v="10"/>
    <s v="CONTRATO INATIVO OU DIVERGENTE"/>
    <s v="SISTEMA"/>
    <x v="1"/>
    <n v="69"/>
  </r>
  <r>
    <s v="RESOLVIDO"/>
    <m/>
    <x v="1"/>
    <n v="3408304"/>
    <x v="1"/>
    <d v="2025-05-08T08:48:00"/>
    <n v="44262"/>
    <n v="44262"/>
    <s v="Inserindo Accounting Servico - Parâmetro Consolidador - TurVendas - Não foi possível localizar o contrato do fornecedor 64192"/>
    <x v="1188"/>
    <m/>
    <s v="FORNECEDOR"/>
    <x v="10"/>
    <s v="CONTRATO INATIVO OU DIVERGENTE"/>
    <s v="SISTEMA"/>
    <x v="1"/>
    <n v="69"/>
  </r>
  <r>
    <s v="RESOLVIDO"/>
    <m/>
    <x v="1"/>
    <n v="3408350"/>
    <x v="1"/>
    <d v="2025-05-08T09:54:00"/>
    <n v="62128"/>
    <n v="62128"/>
    <s v="Inserindo Accounting Servico - Parâmetro Consolidador - TurVendas - Não foi possível localizar o contrato do fornecedor 64192"/>
    <x v="1189"/>
    <m/>
    <s v="FORNECEDOR"/>
    <x v="10"/>
    <s v="CONTRATO INATIVO OU DIVERGENTE"/>
    <s v="SISTEMA"/>
    <x v="1"/>
    <n v="69"/>
  </r>
  <r>
    <s v="SABRE"/>
    <m/>
    <x v="2"/>
    <n v="3408579"/>
    <x v="2"/>
    <d v="2025-05-08T10:54:00"/>
    <s v="MJPZQL"/>
    <s v="MJPZQL"/>
    <s v="Não localizado cliente código [0000583808].&lt;-ObterCliente&lt;-MontarPnrBase&lt;-ProcessarAereo&lt;-ProcessarItemFila[b]"/>
    <x v="1190"/>
    <m/>
    <s v="CLIENTE"/>
    <x v="13"/>
    <s v="CÓDIGO DIFERENTE DO CADASTRADO NO BENNER (CLIENTE X GRUPO)"/>
    <s v="QUALIDADE DOS DADOS"/>
    <x v="0"/>
    <n v="1"/>
  </r>
  <r>
    <s v="SABRE"/>
    <m/>
    <x v="2"/>
    <n v="3408580"/>
    <x v="2"/>
    <d v="2025-05-08T10:54:00"/>
    <s v="LEYHYD"/>
    <s v="LEYHYD"/>
    <s v="Não localizado cliente código [0000000].&lt;-ObterCliente&lt;-MontarPnrBase&lt;-ProcessarAereo&lt;-ProcessarItemFila[b]"/>
    <x v="1191"/>
    <m/>
    <s v="CLIENTE"/>
    <x v="13"/>
    <s v="CÓDIGO DIFERENTE DO CADASTRADO NO BENNER (CLIENTE X GRUPO)"/>
    <s v="QUALIDADE DOS DADOS"/>
    <x v="0"/>
    <n v="1"/>
  </r>
  <r>
    <s v="SABRE"/>
    <m/>
    <x v="2"/>
    <n v="3408581"/>
    <x v="2"/>
    <d v="2025-05-08T10:54:00"/>
    <s v="NFTYSX"/>
    <s v="NFTYSX"/>
    <s v="Não localizado cliente código [1234567890].&lt;-ObterCliente&lt;-MontarPnrBase&lt;-ProcessarAereo&lt;-ProcessarItemFila[b]"/>
    <x v="1191"/>
    <m/>
    <s v="CLIENTE"/>
    <x v="13"/>
    <s v="CÓDIGO DIFERENTE DO CADASTRADO NO BENNER (CLIENTE X GRUPO)"/>
    <s v="QUALIDADE DOS DADOS"/>
    <x v="0"/>
    <n v="1"/>
  </r>
  <r>
    <s v="SABRE"/>
    <m/>
    <x v="2"/>
    <n v="3408591"/>
    <x v="2"/>
    <d v="2025-05-08T10:54:00"/>
    <s v="NUPULL"/>
    <s v="NUPULL"/>
    <s v="Não localizado cliente código [1234567890].&lt;-ObterCliente&lt;-MontarPnrBase&lt;-ProcessarAereo&lt;-ProcessarItemFila[b]"/>
    <x v="1192"/>
    <m/>
    <s v="CLIENTE"/>
    <x v="13"/>
    <s v="CÓDIGO DIFERENTE DO CADASTRADO NO BENNER (CLIENTE X GRUPO)"/>
    <s v="QUALIDADE DOS DADOS"/>
    <x v="0"/>
    <n v="1"/>
  </r>
  <r>
    <s v="RESOLVIDO"/>
    <m/>
    <x v="1"/>
    <n v="3409618"/>
    <x v="1"/>
    <d v="2025-05-08T16:22:00"/>
    <n v="44341"/>
    <n v="44341"/>
    <s v="Preenchendo XML Rodoviário-&gt; Preenchendo XML-&gt; Montando accounting rodoviário-&gt;AlterarAccounting-&gt;Buscar Usuário-&gt;Server was unable to process request. ---&gt; store procedure: Interface_Controle_Detalhe_Proc : Execution Timeout Expired.  The timeout period elapsed prior to completion of the operation or the server is not responding."/>
    <x v="103"/>
    <m/>
    <m/>
    <x v="17"/>
    <s v=""/>
    <s v="QUALIDADE DOS DADOS"/>
    <x v="3"/>
    <s v="COLUNA I"/>
  </r>
  <r>
    <s v="SABRE"/>
    <m/>
    <x v="2"/>
    <n v="3410258"/>
    <x v="2"/>
    <d v="2025-05-08T17:52:00"/>
    <s v="GQLNXC"/>
    <s v="GQLNXC"/>
    <s v="Código de cliente não identificado&lt;-ObterCliente&lt;-MontarPnrBase&lt;-ProcessarAereo&lt;-ProcessarItemFila[b]"/>
    <x v="1193"/>
    <m/>
    <s v="CLIENTE"/>
    <x v="14"/>
    <s v="DK DE CLIENTE NÃO PREENCIDO / CLIENTE NÃO CONFIGURADO NO OBT"/>
    <s v="INDEFINIDO"/>
    <x v="1"/>
    <s v="COLUNA I"/>
  </r>
  <r>
    <s v="SABRE"/>
    <m/>
    <x v="2"/>
    <n v="3410261"/>
    <x v="2"/>
    <d v="2025-05-08T17:52:00"/>
    <s v="JBAABI"/>
    <s v="JBAABI"/>
    <s v="Não localizado cliente código [1234567890].&lt;-ObterCliente&lt;-MontarPnrBase&lt;-ProcessarAereo&lt;-ProcessarItemFila[b]"/>
    <x v="1193"/>
    <m/>
    <s v="CLIENTE"/>
    <x v="13"/>
    <s v="CÓDIGO DIFERENTE DO CADASTRADO NO BENNER (CLIENTE X GRUPO)"/>
    <s v="QUALIDADE DOS DADOS"/>
    <x v="0"/>
    <n v="1"/>
  </r>
  <r>
    <s v="SABRE"/>
    <m/>
    <x v="2"/>
    <n v="3410262"/>
    <x v="2"/>
    <d v="2025-05-08T17:52:00"/>
    <s v="INVIGB"/>
    <s v="INVIGB"/>
    <s v="Código de cliente não identificado&lt;-ObterCliente&lt;-MontarPnrBase&lt;-ProcessarAereo&lt;-ProcessarItemFila[b]"/>
    <x v="1193"/>
    <m/>
    <s v="CLIENTE"/>
    <x v="14"/>
    <s v="DK DE CLIENTE NÃO PREENCIDO / CLIENTE NÃO CONFIGURADO NO OBT"/>
    <s v="INDEFINIDO"/>
    <x v="1"/>
    <s v="COLUNA I"/>
  </r>
  <r>
    <s v="SABRE"/>
    <m/>
    <x v="2"/>
    <n v="3410265"/>
    <x v="2"/>
    <d v="2025-05-08T17:52:00"/>
    <s v="CMOYCP"/>
    <s v="CMOYCP"/>
    <s v="Não localizado cliente com CNPJ [1924579000141].&lt;-ObterCliente&lt;-MontarPnrBase&lt;-ProcessarAereo&lt;-ProcessarItemFila[b]"/>
    <x v="1193"/>
    <m/>
    <s v="CLIENTE"/>
    <x v="12"/>
    <s v=""/>
    <s v="QUALIDADE DOS DADOS"/>
    <x v="1"/>
    <n v="24"/>
  </r>
  <r>
    <s v="SABRE"/>
    <m/>
    <x v="2"/>
    <n v="3410272"/>
    <x v="2"/>
    <d v="2025-05-08T17:52:00"/>
    <s v="YFMFAW"/>
    <s v="YFMFAW"/>
    <s v="Não localizado cliente código [0000583808].&lt;-ObterCliente&lt;-MontarPnrBase&lt;-ProcessarAereo&lt;-ProcessarItemFila[b]"/>
    <x v="1194"/>
    <m/>
    <s v="CLIENTE"/>
    <x v="13"/>
    <s v="CÓDIGO DIFERENTE DO CADASTRADO NO BENNER (CLIENTE X GRUPO)"/>
    <s v="QUALIDADE DOS DADOS"/>
    <x v="0"/>
    <n v="1"/>
  </r>
  <r>
    <s v="SABRE"/>
    <m/>
    <x v="2"/>
    <n v="3410276"/>
    <x v="2"/>
    <d v="2025-05-08T17:52:00"/>
    <s v="YRWXYZ"/>
    <s v="YRWXYZ"/>
    <s v="Não localizado cliente código [0000063625].&lt;-ObterCliente&lt;-MontarPnrBase&lt;-ProcessarAereo&lt;-ProcessarItemFila[b]"/>
    <x v="1195"/>
    <m/>
    <s v="CLIENTE"/>
    <x v="13"/>
    <s v="CÓDIGO DIFERENTE DO CADASTRADO NO BENNER (CLIENTE X GRUPO)"/>
    <s v="QUALIDADE DOS DADOS"/>
    <x v="0"/>
    <n v="1"/>
  </r>
  <r>
    <s v="SABRE"/>
    <m/>
    <x v="2"/>
    <n v="3410280"/>
    <x v="2"/>
    <d v="2025-05-08T17:52:00"/>
    <s v="IZNPUQ"/>
    <s v="IZNPUQ"/>
    <s v="Não localizado cliente código [0000050269].&lt;-ObterCliente&lt;-MontarPnrBase&lt;-ProcessarAereo&lt;-ProcessarItemFila[b]"/>
    <x v="1196"/>
    <m/>
    <s v="CLIENTE"/>
    <x v="13"/>
    <s v="CÓDIGO DIFERENTE DO CADASTRADO NO BENNER (CLIENTE X GRUPO)"/>
    <s v="QUALIDADE DOS DADOS"/>
    <x v="0"/>
    <n v="1"/>
  </r>
  <r>
    <s v="SABRE"/>
    <m/>
    <x v="2"/>
    <n v="3410281"/>
    <x v="2"/>
    <d v="2025-05-08T17:52:00"/>
    <s v="CFZFPV"/>
    <s v="CFZFPV"/>
    <s v="Não localizado cliente código [0000050269].&lt;-ObterCliente&lt;-MontarPnrBase&lt;-ProcessarAereo&lt;-ProcessarItemFila[b]"/>
    <x v="1196"/>
    <m/>
    <s v="CLIENTE"/>
    <x v="13"/>
    <s v="CÓDIGO DIFERENTE DO CADASTRADO NO BENNER (CLIENTE X GRUPO)"/>
    <s v="QUALIDADE DOS DADOS"/>
    <x v="0"/>
    <n v="1"/>
  </r>
  <r>
    <s v="RESOLVIDO"/>
    <m/>
    <x v="1"/>
    <n v="3410309"/>
    <x v="1"/>
    <d v="2025-05-08T18:05:00"/>
    <n v="6700"/>
    <n v="6700"/>
    <s v="Preenchendo XML Serviço-&gt; Preenchendo XML-&gt; Montando accounting aereo 2-&gt;Não foi informado o Localizador do Assento/Bagagem!"/>
    <x v="1197"/>
    <d v="2025-05-11T23:55:00"/>
    <s v="OUTROS"/>
    <x v="15"/>
    <s v="CAMPO OBSERVAÇÃO PREENCHIDO INCORRETAMENTE"/>
    <s v="QUALIDADE DOS DADOS"/>
    <x v="1"/>
    <n v="118"/>
  </r>
  <r>
    <s v="RESOLVIDO"/>
    <m/>
    <x v="1"/>
    <n v="3410982"/>
    <x v="1"/>
    <d v="2025-05-09T10:37:00"/>
    <n v="6704"/>
    <n v="6704"/>
    <s v="Preenchendo XML Serviço-&gt; Preenchendo XML-&gt; Montando accounting aereo 2-&gt;Não foi informado o Localizador do Assento/Bagagem!"/>
    <x v="1198"/>
    <d v="2025-05-12T12:08:00"/>
    <s v="OUTROS"/>
    <x v="15"/>
    <s v="CAMPO OBSERVAÇÃO PREENCHIDO INCORRETAMENTE"/>
    <s v="QUALIDADE DOS DADOS"/>
    <x v="1"/>
    <n v="118"/>
  </r>
  <r>
    <s v="SABRE"/>
    <m/>
    <x v="2"/>
    <n v="3411120"/>
    <x v="2"/>
    <d v="2025-05-09T09:16:00"/>
    <s v="YZAEKNT"/>
    <s v="YZAEKN"/>
    <s v="Inserindo PNR - Accountings - TurVendas - Não foi possível localizar o contrato do fornecedor H84698"/>
    <x v="1199"/>
    <m/>
    <s v="FORNECEDOR"/>
    <x v="10"/>
    <s v="CONTRATO INATIVO OU DIVERGENTE"/>
    <s v="SISTEMA"/>
    <x v="1"/>
    <n v="43"/>
  </r>
  <r>
    <s v="SABRE"/>
    <m/>
    <x v="2"/>
    <n v="3411319"/>
    <x v="2"/>
    <d v="2025-05-09T10:11:00"/>
    <s v="KWJHHR"/>
    <s v="KWJHHR"/>
    <s v="ERRO: Cancelamento de Venda: Não há PNR no sistema para cancelar, venda não inserida!"/>
    <x v="1200"/>
    <m/>
    <s v="CANCELAMENTO"/>
    <x v="6"/>
    <s v="RESERVA CANCELADA NO OBT"/>
    <s v="SISTEMA"/>
    <x v="0"/>
    <s v="COLUNA I"/>
  </r>
  <r>
    <s v="SABRE"/>
    <m/>
    <x v="2"/>
    <n v="3411410"/>
    <x v="2"/>
    <d v="2025-05-09T11:30:00"/>
    <s v="WZCTIZ"/>
    <s v="WZCTIZ"/>
    <s v="Não localizado cliente código [1234567890].&lt;-ObterCliente&lt;-MontarPnrBase&lt;-ProcessarAereo&lt;-ProcessarItemFila[b]"/>
    <x v="1201"/>
    <m/>
    <s v="CLIENTE"/>
    <x v="13"/>
    <s v="CÓDIGO DIFERENTE DO CADASTRADO NO BENNER (CLIENTE X GRUPO)"/>
    <s v="QUALIDADE DOS DADOS"/>
    <x v="0"/>
    <n v="1"/>
  </r>
  <r>
    <s v="SABRE"/>
    <m/>
    <x v="2"/>
    <n v="3411412"/>
    <x v="2"/>
    <d v="2025-05-09T11:30:00"/>
    <s v="CFCHKM"/>
    <s v="CFCHKM"/>
    <s v="Não localizado cliente código [0000050269].&lt;-ObterCliente&lt;-MontarPnrBase&lt;-ProcessarAereo&lt;-ProcessarItemFila[b]"/>
    <x v="1201"/>
    <m/>
    <s v="CLIENTE"/>
    <x v="13"/>
    <s v="CÓDIGO DIFERENTE DO CADASTRADO NO BENNER (CLIENTE X GRUPO)"/>
    <s v="QUALIDADE DOS DADOS"/>
    <x v="0"/>
    <n v="1"/>
  </r>
  <r>
    <s v="SABRE"/>
    <m/>
    <x v="2"/>
    <n v="3411413"/>
    <x v="2"/>
    <d v="2025-05-09T11:30:00"/>
    <s v="CYJQNZ"/>
    <s v="CYJQNZ"/>
    <s v="Não localizado cliente código [0000392619].&lt;-ObterCliente&lt;-MontarPnrBase&lt;-ProcessarAereo&lt;-ProcessarItemFila[b]"/>
    <x v="1202"/>
    <m/>
    <s v="CLIENTE"/>
    <x v="13"/>
    <s v="CÓDIGO DIFERENTE DO CADASTRADO NO BENNER (CLIENTE X GRUPO)"/>
    <s v="QUALIDADE DOS DADOS"/>
    <x v="0"/>
    <n v="1"/>
  </r>
  <r>
    <s v="SABRE"/>
    <m/>
    <x v="2"/>
    <n v="3411415"/>
    <x v="2"/>
    <d v="2025-05-09T11:30:00"/>
    <s v="ECIEST"/>
    <s v="ECIEST"/>
    <s v="Código de cliente não identificado&lt;-ObterCliente&lt;-MontarPnrBase&lt;-ProcessarAereo&lt;-ProcessarItemFila[b]"/>
    <x v="1202"/>
    <m/>
    <s v="CLIENTE"/>
    <x v="14"/>
    <s v="DK DE CLIENTE NÃO PREENCIDO / CLIENTE NÃO CONFIGURADO NO OBT"/>
    <s v="INDEFINIDO"/>
    <x v="1"/>
    <s v="COLUNA I"/>
  </r>
  <r>
    <s v="SABRE"/>
    <m/>
    <x v="2"/>
    <n v="3411416"/>
    <x v="2"/>
    <d v="2025-05-09T11:30:00"/>
    <s v="KYIETR"/>
    <s v="KYIETR"/>
    <s v="Não localizado cliente código [0000392619].&lt;-ObterCliente&lt;-MontarPnrBase&lt;-ProcessarAereo&lt;-ProcessarItemFila[b]"/>
    <x v="1202"/>
    <m/>
    <s v="CLIENTE"/>
    <x v="13"/>
    <s v="CÓDIGO DIFERENTE DO CADASTRADO NO BENNER (CLIENTE X GRUPO)"/>
    <s v="QUALIDADE DOS DADOS"/>
    <x v="0"/>
    <n v="1"/>
  </r>
  <r>
    <s v="SABRE"/>
    <m/>
    <x v="2"/>
    <n v="3411437"/>
    <x v="2"/>
    <d v="2025-05-12T10:12:00"/>
    <s v="ANFUQB"/>
    <s v="ANFUQB"/>
    <s v="Código de cliente não identificado&lt;-ObterCliente&lt;-MontarPnrBase&lt;-ProcessarAereo&lt;-ProcessarItemFila[b]"/>
    <x v="1203"/>
    <d v="2025-05-12T12:18:00"/>
    <s v="CLIENTE"/>
    <x v="14"/>
    <s v="DK DE CLIENTE NÃO PREENCIDO / CLIENTE NÃO CONFIGURADO NO OBT"/>
    <s v="INDEFINIDO"/>
    <x v="1"/>
    <s v="COLUNA I"/>
  </r>
  <r>
    <s v="SABRE"/>
    <m/>
    <x v="2"/>
    <n v="3411442"/>
    <x v="2"/>
    <d v="2025-05-12T10:09:00"/>
    <s v="ANKRCQ"/>
    <s v="ANKRCQ"/>
    <s v="Código de cliente não identificado&lt;-ObterCliente&lt;-MontarPnrBase&lt;-ProcessarAereo&lt;-ProcessarItemFila[b]"/>
    <x v="1203"/>
    <d v="2025-05-12T12:17:00"/>
    <s v="CLIENTE"/>
    <x v="14"/>
    <s v="DK DE CLIENTE NÃO PREENCIDO / CLIENTE NÃO CONFIGURADO NO OBT"/>
    <s v="INDEFINIDO"/>
    <x v="1"/>
    <s v="COLUNA I"/>
  </r>
  <r>
    <s v="SABRE"/>
    <m/>
    <x v="2"/>
    <n v="3411801"/>
    <x v="2"/>
    <d v="2025-05-09T14:21:00"/>
    <s v="QEYSEA"/>
    <s v="QEYSEA"/>
    <s v="Código de cliente não identificado&lt;-ObterCliente&lt;-MontarPnrBase&lt;-ProcessarAereo&lt;-ProcessarItemFila[b]"/>
    <x v="1204"/>
    <m/>
    <s v="CLIENTE"/>
    <x v="14"/>
    <s v="DK DE CLIENTE NÃO PREENCIDO / CLIENTE NÃO CONFIGURADO NO OBT"/>
    <s v="INDEFINIDO"/>
    <x v="1"/>
    <s v="COLUNA I"/>
  </r>
  <r>
    <s v="SABRE"/>
    <m/>
    <x v="2"/>
    <n v="3411805"/>
    <x v="2"/>
    <d v="2025-05-09T14:21:00"/>
    <s v="IXFJHL"/>
    <s v="IXFJHL"/>
    <s v="Não localizado cliente código [0000000].&lt;-ObterCliente&lt;-MontarPnrBase&lt;-ProcessarAereo&lt;-ProcessarItemFila[b]"/>
    <x v="1205"/>
    <m/>
    <s v="CLIENTE"/>
    <x v="13"/>
    <s v="CÓDIGO DIFERENTE DO CADASTRADO NO BENNER (CLIENTE X GRUPO)"/>
    <s v="QUALIDADE DOS DADOS"/>
    <x v="0"/>
    <n v="1"/>
  </r>
  <r>
    <s v="SABRE"/>
    <m/>
    <x v="2"/>
    <n v="3411822"/>
    <x v="2"/>
    <d v="2025-05-09T14:21:00"/>
    <s v="ALPBSO"/>
    <s v="ALPBSO"/>
    <s v="Não localizado cliente com CNPJ [819201000115].&lt;-ObterCliente&lt;-MontarPnrBase&lt;-ProcessarAereo&lt;-ProcessarItemFila[b]"/>
    <x v="1206"/>
    <m/>
    <s v="CLIENTE"/>
    <x v="12"/>
    <s v=""/>
    <s v="QUALIDADE DOS DADOS"/>
    <x v="1"/>
    <n v="24"/>
  </r>
  <r>
    <s v="SABRE"/>
    <m/>
    <x v="2"/>
    <n v="3411834"/>
    <x v="2"/>
    <d v="2025-05-09T14:21:00"/>
    <s v="QDZECS"/>
    <s v="QDZECS"/>
    <s v="Não localizado cliente código [0000063625].&lt;-ObterCliente&lt;-MontarPnrBase&lt;-ProcessarAereo&lt;-ProcessarItemFila[b]"/>
    <x v="1207"/>
    <m/>
    <s v="CLIENTE"/>
    <x v="13"/>
    <s v="CÓDIGO DIFERENTE DO CADASTRADO NO BENNER (CLIENTE X GRUPO)"/>
    <s v="QUALIDADE DOS DADOS"/>
    <x v="0"/>
    <n v="1"/>
  </r>
  <r>
    <s v="SABRE"/>
    <m/>
    <x v="2"/>
    <n v="3411936"/>
    <x v="2"/>
    <d v="2025-05-09T15:01:00"/>
    <s v="MKZMWI"/>
    <s v="MKZMWI"/>
    <s v="Não localizado cliente código [0000068873].&lt;-ObterCliente&lt;-MontarPnrBase&lt;-ProcessarAereo&lt;-ProcessarItemFila[b]"/>
    <x v="1208"/>
    <m/>
    <s v="CLIENTE"/>
    <x v="13"/>
    <s v="CÓDIGO DIFERENTE DO CADASTRADO NO BENNER (CLIENTE X GRUPO)"/>
    <s v="QUALIDADE DOS DADOS"/>
    <x v="0"/>
    <n v="1"/>
  </r>
  <r>
    <s v="TMS"/>
    <m/>
    <x v="2"/>
    <n v="3412492"/>
    <x v="1"/>
    <d v="2025-05-09T12:49:00"/>
    <n v="44405"/>
    <n v="44405"/>
    <s v="Preenchendo XML Serviço-&gt; Preenchendo XML-&gt; Montando accounting aereo 2-&gt;Não foi informado o Localizador do Assento/Bagagem!"/>
    <x v="1209"/>
    <d v="2025-05-12T18:46:00"/>
    <s v="OUTROS"/>
    <x v="15"/>
    <s v="CAMPO OBSERVAÇÃO PREENCHIDO INCORRETAMENTE"/>
    <s v="QUALIDADE DOS DADOS"/>
    <x v="1"/>
    <n v="118"/>
  </r>
  <r>
    <s v="RESOLVIDO"/>
    <m/>
    <x v="1"/>
    <n v="3412703"/>
    <x v="1"/>
    <d v="2025-05-09T13:40:00"/>
    <n v="12160"/>
    <n v="12160"/>
    <s v="Preenchendo XML Serviço-&gt; Preenchendo XML-&gt; Montando accounting aereo 2-&gt;Não foi informado o Localizador do Assento/Bagagem!"/>
    <x v="1210"/>
    <d v="2025-05-12T19:11:00"/>
    <s v="OUTROS"/>
    <x v="15"/>
    <s v="CAMPO OBSERVAÇÃO PREENCHIDO INCORRETAMENTE"/>
    <s v="QUALIDADE DOS DADOS"/>
    <x v="1"/>
    <n v="118"/>
  </r>
  <r>
    <s v="TMS"/>
    <m/>
    <x v="2"/>
    <n v="3412721"/>
    <x v="1"/>
    <d v="2025-05-09T14:46:00"/>
    <n v="125"/>
    <n v="125"/>
    <s v="Preenchendo XML Serviço-&gt; Preenchendo XML-&gt; Montando accounting aereo 2-&gt;Não foi informado o Localizador do Assento/Bagagem!"/>
    <x v="1211"/>
    <d v="2025-05-12T19:15:00"/>
    <s v="OUTROS"/>
    <x v="15"/>
    <s v="CAMPO OBSERVAÇÃO PREENCHIDO INCORRETAMENTE"/>
    <s v="QUALIDADE DOS DADOS"/>
    <x v="1"/>
    <n v="118"/>
  </r>
  <r>
    <s v="SABRE"/>
    <m/>
    <x v="2"/>
    <n v="3413070"/>
    <x v="2"/>
    <d v="2025-05-09T18:06:00"/>
    <s v="YZVUYB"/>
    <s v="YZVUYB"/>
    <s v="Código de cliente não identificado&lt;-ObterCliente&lt;-MontarPnrBase&lt;-ProcessarAereo&lt;-ProcessarItemFila[b]"/>
    <x v="1212"/>
    <m/>
    <s v="CLIENTE"/>
    <x v="14"/>
    <s v="DK DE CLIENTE NÃO PREENCIDO / CLIENTE NÃO CONFIGURADO NO OBT"/>
    <s v="INDEFINIDO"/>
    <x v="1"/>
    <s v="COLUNA I"/>
  </r>
  <r>
    <s v="SABRE"/>
    <m/>
    <x v="2"/>
    <n v="3413072"/>
    <x v="2"/>
    <d v="2025-05-09T18:06:00"/>
    <s v="MHCSUS"/>
    <s v="MHCSUS"/>
    <s v="Não localizado cliente código [0000286569].&lt;-ObterCliente&lt;-MontarPnrBase&lt;-ProcessarAereo&lt;-ProcessarItemFila[b]"/>
    <x v="1213"/>
    <m/>
    <s v="CLIENTE"/>
    <x v="13"/>
    <s v="CÓDIGO DIFERENTE DO CADASTRADO NO BENNER (CLIENTE X GRUPO)"/>
    <s v="QUALIDADE DOS DADOS"/>
    <x v="0"/>
    <n v="1"/>
  </r>
  <r>
    <s v="SABRE"/>
    <m/>
    <x v="2"/>
    <n v="3413077"/>
    <x v="2"/>
    <d v="2025-05-09T18:06:00"/>
    <s v="GTKUIC"/>
    <s v="GTKUIC"/>
    <s v="Não localizado cliente código [0000000].&lt;-ObterCliente&lt;-MontarPnrBase&lt;-ProcessarAereo&lt;-ProcessarItemFila[b]"/>
    <x v="1214"/>
    <m/>
    <s v="CLIENTE"/>
    <x v="13"/>
    <s v="CÓDIGO DIFERENTE DO CADASTRADO NO BENNER (CLIENTE X GRUPO)"/>
    <s v="QUALIDADE DOS DADOS"/>
    <x v="0"/>
    <n v="1"/>
  </r>
  <r>
    <s v="SABRE"/>
    <m/>
    <x v="2"/>
    <n v="3413080"/>
    <x v="2"/>
    <d v="2025-05-09T18:06:00"/>
    <s v="FWTODY"/>
    <s v="FWTODY"/>
    <s v="Não localizado cliente código [0000000].&lt;-ObterCliente&lt;-MontarPnrBase&lt;-ProcessarAereo&lt;-ProcessarItemFila[b]"/>
    <x v="1214"/>
    <m/>
    <s v="CLIENTE"/>
    <x v="13"/>
    <s v="CÓDIGO DIFERENTE DO CADASTRADO NO BENNER (CLIENTE X GRUPO)"/>
    <s v="QUALIDADE DOS DADOS"/>
    <x v="0"/>
    <n v="1"/>
  </r>
  <r>
    <s v="SABRE"/>
    <m/>
    <x v="2"/>
    <n v="3413082"/>
    <x v="2"/>
    <d v="2025-05-09T18:06:00"/>
    <s v="FPELMB"/>
    <s v="FPELMB"/>
    <s v="Código de cliente não identificado&lt;-ObterCliente&lt;-MontarPnrBase&lt;-ProcessarAereo&lt;-ProcessarItemFila[b]"/>
    <x v="1214"/>
    <m/>
    <s v="CLIENTE"/>
    <x v="14"/>
    <s v="DK DE CLIENTE NÃO PREENCIDO / CLIENTE NÃO CONFIGURADO NO OBT"/>
    <s v="INDEFINIDO"/>
    <x v="1"/>
    <s v="COLUNA I"/>
  </r>
  <r>
    <s v="SABRE"/>
    <m/>
    <x v="2"/>
    <n v="3413085"/>
    <x v="2"/>
    <d v="2025-05-09T18:06:00"/>
    <s v="FXYNSU"/>
    <s v="FXYNSU"/>
    <s v="Código de cliente não identificado&lt;-ObterCliente&lt;-MontarPnrBase&lt;-ProcessarAereo&lt;-ProcessarItemFila[b]"/>
    <x v="1215"/>
    <m/>
    <s v="CLIENTE"/>
    <x v="14"/>
    <s v="DK DE CLIENTE NÃO PREENCIDO / CLIENTE NÃO CONFIGURADO NO OBT"/>
    <s v="INDEFINIDO"/>
    <x v="1"/>
    <s v="COLUNA I"/>
  </r>
  <r>
    <s v="SABRE"/>
    <m/>
    <x v="2"/>
    <n v="3413086"/>
    <x v="2"/>
    <d v="2025-05-09T18:06:00"/>
    <s v="YVUENO"/>
    <s v="YVUENO"/>
    <s v="Código de cliente não identificado&lt;-ObterCliente&lt;-MontarPnrBase&lt;-ProcessarAereo&lt;-ProcessarItemFila[b]"/>
    <x v="1215"/>
    <m/>
    <s v="CLIENTE"/>
    <x v="14"/>
    <s v="DK DE CLIENTE NÃO PREENCIDO / CLIENTE NÃO CONFIGURADO NO OBT"/>
    <s v="INDEFINIDO"/>
    <x v="1"/>
    <s v="COLUNA I"/>
  </r>
  <r>
    <s v="RESOLVIDO"/>
    <m/>
    <x v="1"/>
    <n v="3413160"/>
    <x v="1"/>
    <d v="2025-05-09T18:29:00"/>
    <n v="31960"/>
    <n v="31960"/>
    <s v="Preenchendo XML Serviço-&gt; Preenchendo XML-&gt; Montando accounting aereo 3-&gt;Reserva FMIU8A não encontrada para importar assento/bagagem!"/>
    <x v="1216"/>
    <d v="2025-05-12T12:20:00"/>
    <s v="OUTROS"/>
    <x v="15"/>
    <s v="CAMPO OBSERVAÇÃO PREENCHIDO INCORRETAMENTE"/>
    <s v="QUALIDADE DOS DADOS"/>
    <x v="1"/>
    <n v="127"/>
  </r>
  <r>
    <s v="RESOLVIDO"/>
    <m/>
    <x v="1"/>
    <n v="3413162"/>
    <x v="1"/>
    <d v="2025-05-09T18:24:00"/>
    <n v="31958"/>
    <n v="31958"/>
    <s v="Preenchendo XML Serviço-&gt; Preenchendo XML-&gt; Montando accounting aereo 3-&gt;Reserva KMPGVD não encontrada para importar assento/bagagem!"/>
    <x v="1216"/>
    <d v="2025-05-12T12:20:00"/>
    <s v="OUTROS"/>
    <x v="15"/>
    <s v="CAMPO OBSERVAÇÃO PREENCHIDO INCORRETAMENTE"/>
    <s v="QUALIDADE DOS DADOS"/>
    <x v="1"/>
    <n v="127"/>
  </r>
  <r>
    <s v="RESOLVIDO"/>
    <m/>
    <x v="1"/>
    <n v="3413164"/>
    <x v="1"/>
    <d v="2025-05-09T18:18:00"/>
    <n v="31956"/>
    <n v="31956"/>
    <s v="Preenchendo XML Serviço-&gt; Preenchendo XML-&gt; Montando accounting aereo 3-&gt;Reserva MS5SWR não encontrada para importar assento/bagagem!"/>
    <x v="1217"/>
    <d v="2025-05-12T12:21:00"/>
    <s v="OUTROS"/>
    <x v="15"/>
    <s v="CAMPO OBSERVAÇÃO PREENCHIDO INCORRETAMENTE"/>
    <s v="QUALIDADE DOS DADOS"/>
    <x v="1"/>
    <n v="127"/>
  </r>
  <r>
    <s v="RESOLVIDO"/>
    <m/>
    <x v="1"/>
    <n v="3413166"/>
    <x v="1"/>
    <d v="2025-05-09T18:11:00"/>
    <n v="31954"/>
    <n v="31954"/>
    <s v="Preenchendo XML Serviço-&gt; Preenchendo XML-&gt; Montando accounting aereo 3-&gt;Reserva DK7DJJ não encontrada para importar assento/bagagem!"/>
    <x v="1217"/>
    <d v="2025-05-12T12:21:00"/>
    <s v="OUTROS"/>
    <x v="15"/>
    <s v="CAMPO OBSERVAÇÃO PREENCHIDO INCORRETAMENTE"/>
    <s v="QUALIDADE DOS DADOS"/>
    <x v="1"/>
    <n v="127"/>
  </r>
  <r>
    <s v="TMS"/>
    <m/>
    <x v="2"/>
    <n v="3413465"/>
    <x v="1"/>
    <d v="2025-05-09T19:12:00"/>
    <n v="19086"/>
    <n v="19086"/>
    <s v="Preenchendo XML Serviço-&gt; Preenchendo XML-&gt; Montando accounting aereo 2-&gt;Não foi informado o Localizador do Assento/Bagagem!"/>
    <x v="1218"/>
    <d v="2025-05-12T19:35:00"/>
    <s v="OUTROS"/>
    <x v="15"/>
    <s v="CAMPO OBSERVAÇÃO PREENCHIDO INCORRETAMENTE"/>
    <s v="QUALIDADE DOS DADOS"/>
    <x v="1"/>
    <n v="118"/>
  </r>
  <r>
    <s v="GOVER"/>
    <m/>
    <x v="2"/>
    <n v="3413610"/>
    <x v="0"/>
    <d v="2025-05-11T12:15:00"/>
    <n v="4535285"/>
    <n v="4535285"/>
    <s v="PreencherPnr-&gt;Foi identificado um localizador sem código."/>
    <x v="1219"/>
    <d v="2025-06-02T16:57:00"/>
    <s v="OUTROS"/>
    <x v="1"/>
    <s v="RLOC NÃO PREENCHIDO NA RESERVA"/>
    <s v="QUALIDADE DOS DADOS"/>
    <x v="0"/>
    <s v="COLUNA I"/>
  </r>
  <r>
    <s v="SABRE"/>
    <m/>
    <x v="2"/>
    <n v="3413674"/>
    <x v="2"/>
    <d v="2025-05-12T11:34:00"/>
    <s v="DVVZDE"/>
    <s v="DVVZDE"/>
    <s v="Não localizado cliente código [0000050269].&lt;-ObterCliente&lt;-MontarPnrBase&lt;-ProcessarAereo&lt;-ProcessarItemFila[b]"/>
    <x v="1220"/>
    <d v="2025-05-12T13:47:00"/>
    <s v="CLIENTE"/>
    <x v="13"/>
    <s v="CÓDIGO DIFERENTE DO CADASTRADO NO BENNER (CLIENTE X GRUPO)"/>
    <s v="QUALIDADE DOS DADOS"/>
    <x v="0"/>
    <n v="1"/>
  </r>
  <r>
    <s v="SABRE"/>
    <m/>
    <x v="2"/>
    <n v="3413675"/>
    <x v="2"/>
    <d v="2025-05-12T11:34:00"/>
    <s v="DVVZDET"/>
    <s v="DVVZDE"/>
    <s v="Não localizado cliente código [0000050269].&lt;-ObterCliente&lt;-MontarPnrBase&lt;-MontarPnr&lt;-ProcessarHotel&lt;-ProcessarItemFila[b]"/>
    <x v="1220"/>
    <d v="2025-05-12T13:47:00"/>
    <s v="CLIENTE"/>
    <x v="13"/>
    <s v="CÓDIGO DIFERENTE DO CADASTRADO NO BENNER (CLIENTE X GRUPO)"/>
    <s v="QUALIDADE DOS DADOS"/>
    <x v="0"/>
    <n v="1"/>
  </r>
  <r>
    <s v="SABRE"/>
    <m/>
    <x v="2"/>
    <n v="3413676"/>
    <x v="2"/>
    <d v="2025-05-12T11:34:00"/>
    <s v="DVVZDEC"/>
    <s v="DVVZDE"/>
    <s v="Não localizado cliente código [0000050269].&lt;-ObterCliente&lt;-MontarPnrBase&lt;-MontarPnr&lt;-ProcessarCarro&lt;-ProcessarItemFila[b]"/>
    <x v="1220"/>
    <d v="2025-05-12T13:47:00"/>
    <s v="CLIENTE"/>
    <x v="13"/>
    <s v="CÓDIGO DIFERENTE DO CADASTRADO NO BENNER (CLIENTE X GRUPO)"/>
    <s v="QUALIDADE DOS DADOS"/>
    <x v="0"/>
    <n v="1"/>
  </r>
  <r>
    <s v="SABRE"/>
    <m/>
    <x v="2"/>
    <n v="3413863"/>
    <x v="2"/>
    <d v="2025-05-12T08:45:00"/>
    <s v="CFVHXG"/>
    <s v="CFVHXG"/>
    <s v="Não localizado cliente código [0000068875].&lt;-ObterCliente&lt;-MontarPnrBase&lt;-ProcessarAereo&lt;-ProcessarItemFila[b]"/>
    <x v="1221"/>
    <m/>
    <s v="CLIENTE"/>
    <x v="13"/>
    <s v="CÓDIGO DIFERENTE DO CADASTRADO NO BENNER (CLIENTE X GRUPO)"/>
    <s v="QUALIDADE DOS DADOS"/>
    <x v="0"/>
    <n v="1"/>
  </r>
  <r>
    <s v="SABRE"/>
    <m/>
    <x v="2"/>
    <n v="3413864"/>
    <x v="2"/>
    <d v="2025-05-12T08:45:00"/>
    <s v="CFVHXGT"/>
    <s v="CFVHXG"/>
    <s v="Não localizado cliente código [0000068875].&lt;-ObterCliente&lt;-MontarPnrBase&lt;-MontarPnr&lt;-ProcessarHotel&lt;-ProcessarItemFila[b]"/>
    <x v="1221"/>
    <m/>
    <s v="CLIENTE"/>
    <x v="13"/>
    <s v="CÓDIGO DIFERENTE DO CADASTRADO NO BENNER (CLIENTE X GRUPO)"/>
    <s v="QUALIDADE DOS DADOS"/>
    <x v="0"/>
    <n v="1"/>
  </r>
  <r>
    <s v="SABRE"/>
    <m/>
    <x v="2"/>
    <n v="3414687"/>
    <x v="2"/>
    <d v="2025-05-12T12:05:00"/>
    <s v="GTLJPP"/>
    <s v="GTLJPP"/>
    <s v="Não localizado cliente código [0000000].&lt;-ObterCliente&lt;-MontarPnrBase&lt;-ProcessarAereo&lt;-ProcessarItemFila[b]"/>
    <x v="1222"/>
    <m/>
    <s v="CLIENTE"/>
    <x v="13"/>
    <s v="CÓDIGO DIFERENTE DO CADASTRADO NO BENNER (CLIENTE X GRUPO)"/>
    <s v="QUALIDADE DOS DADOS"/>
    <x v="0"/>
    <n v="1"/>
  </r>
  <r>
    <s v="SABRE"/>
    <m/>
    <x v="2"/>
    <n v="3414697"/>
    <x v="2"/>
    <d v="2025-05-12T12:08:00"/>
    <s v="EZSHFG"/>
    <s v="EZSHFG"/>
    <s v="Não localizado cliente código [0000583808].&lt;-ObterCliente&lt;-MontarPnrBase&lt;-ProcessarAereo&lt;-ProcessarItemFila[b]"/>
    <x v="1223"/>
    <m/>
    <s v="CLIENTE"/>
    <x v="13"/>
    <s v="CÓDIGO DIFERENTE DO CADASTRADO NO BENNER (CLIENTE X GRUPO)"/>
    <s v="QUALIDADE DOS DADOS"/>
    <x v="0"/>
    <n v="1"/>
  </r>
  <r>
    <s v="SABRE"/>
    <m/>
    <x v="2"/>
    <n v="3414698"/>
    <x v="2"/>
    <d v="2025-05-12T12:10:00"/>
    <s v="NYGURI"/>
    <s v="NYGURI"/>
    <s v="Código de cliente não identificado&lt;-ObterCliente&lt;-MontarPnrBase&lt;-ProcessarAereo&lt;-ProcessarItemFila[b]"/>
    <x v="1223"/>
    <m/>
    <s v="CLIENTE"/>
    <x v="14"/>
    <s v="DK DE CLIENTE NÃO PREENCIDO / CLIENTE NÃO CONFIGURADO NO OBT"/>
    <s v="INDEFINIDO"/>
    <x v="1"/>
    <s v="COLUNA I"/>
  </r>
  <r>
    <s v="SABRE"/>
    <m/>
    <x v="2"/>
    <n v="3414869"/>
    <x v="2"/>
    <d v="2025-05-13T18:35:00"/>
    <s v="QMUPBV"/>
    <s v="QMUPBV"/>
    <s v="Código de cliente não identificado&lt;-ObterCliente&lt;-MontarPnrBase&lt;-ProcessarAereo&lt;-ProcessarItemFila[b]"/>
    <x v="1224"/>
    <d v="2025-05-13T20:48:00"/>
    <s v="CLIENTE"/>
    <x v="14"/>
    <s v="DK DE CLIENTE NÃO PREENCIDO / CLIENTE NÃO CONFIGURADO NO OBT"/>
    <s v="INDEFINIDO"/>
    <x v="1"/>
    <s v="COLUNA I"/>
  </r>
  <r>
    <s v="TMS"/>
    <m/>
    <x v="2"/>
    <n v="3415236"/>
    <x v="1"/>
    <d v="2025-05-12T17:19:00"/>
    <n v="207874"/>
    <n v="207874"/>
    <s v="Preenchendo XML Hotel-&gt; Preenchendo XML-&gt; Montando accounting hotel-&gt;Solicitação de hotel referente a esta cotação não foi encontrada (Id Cotação: 2)"/>
    <x v="1225"/>
    <d v="2025-05-14T14:03:00"/>
    <s v="OUTROS"/>
    <x v="22"/>
    <s v="INDEFINIDO"/>
    <s v="INDEFINIDO"/>
    <x v="0"/>
    <s v="COLUNA I"/>
  </r>
  <r>
    <s v="SABRE"/>
    <m/>
    <x v="2"/>
    <n v="3415297"/>
    <x v="2"/>
    <d v="2025-05-12T16:22:00"/>
    <s v="LVBWUU"/>
    <s v="LVBWUU"/>
    <s v="Não localizado cliente código [0000583808].&lt;-ObterCliente&lt;-MontarPnrBase&lt;-ProcessarAereo&lt;-ProcessarItemFila[b]"/>
    <x v="1226"/>
    <m/>
    <s v="CLIENTE"/>
    <x v="13"/>
    <s v="CÓDIGO DIFERENTE DO CADASTRADO NO BENNER (CLIENTE X GRUPO)"/>
    <s v="QUALIDADE DOS DADOS"/>
    <x v="0"/>
    <n v="1"/>
  </r>
  <r>
    <s v="SABRE"/>
    <m/>
    <x v="2"/>
    <n v="3415333"/>
    <x v="2"/>
    <d v="2025-05-12T16:22:00"/>
    <s v="DYMWEP"/>
    <s v="DYMWEP"/>
    <s v="Não localizado cliente código [0000392619].&lt;-ObterCliente&lt;-MontarPnrBase&lt;-ProcessarAereo&lt;-ProcessarItemFila[b]"/>
    <x v="1227"/>
    <m/>
    <s v="CLIENTE"/>
    <x v="13"/>
    <s v="CÓDIGO DIFERENTE DO CADASTRADO NO BENNER (CLIENTE X GRUPO)"/>
    <s v="QUALIDADE DOS DADOS"/>
    <x v="0"/>
    <n v="1"/>
  </r>
  <r>
    <s v="SABRE"/>
    <m/>
    <x v="2"/>
    <n v="3415336"/>
    <x v="2"/>
    <d v="2025-05-12T16:22:00"/>
    <s v="FABYPP"/>
    <s v="FABYPP"/>
    <s v="Não localizado cliente código [0000583808].&lt;-ObterCliente&lt;-MontarPnrBase&lt;-ProcessarAereo&lt;-ProcessarItemFila[b]"/>
    <x v="1228"/>
    <m/>
    <s v="CLIENTE"/>
    <x v="13"/>
    <s v="CÓDIGO DIFERENTE DO CADASTRADO NO BENNER (CLIENTE X GRUPO)"/>
    <s v="QUALIDADE DOS DADOS"/>
    <x v="0"/>
    <n v="1"/>
  </r>
  <r>
    <s v="SABRE"/>
    <m/>
    <x v="2"/>
    <n v="3415342"/>
    <x v="2"/>
    <d v="2025-05-12T16:22:00"/>
    <s v="SXSFYQ"/>
    <s v="SXSFYQ"/>
    <s v="Não localizado cliente código [0000392619].&lt;-ObterCliente&lt;-MontarPnrBase&lt;-ProcessarAereo&lt;-ProcessarItemFila[b]"/>
    <x v="1228"/>
    <m/>
    <s v="CLIENTE"/>
    <x v="13"/>
    <s v="CÓDIGO DIFERENTE DO CADASTRADO NO BENNER (CLIENTE X GRUPO)"/>
    <s v="QUALIDADE DOS DADOS"/>
    <x v="0"/>
    <n v="1"/>
  </r>
  <r>
    <s v="SABRE"/>
    <m/>
    <x v="2"/>
    <n v="3415349"/>
    <x v="2"/>
    <d v="2025-05-12T16:22:00"/>
    <s v="WNVRAG"/>
    <s v="WNVRAG"/>
    <s v="Não localizado cliente código [0000050257].&lt;-ObterCliente&lt;-MontarPnrBase&lt;-ProcessarAereo&lt;-ProcessarItemFila[b]"/>
    <x v="1228"/>
    <m/>
    <s v="CLIENTE"/>
    <x v="13"/>
    <s v="CÓDIGO DIFERENTE DO CADASTRADO NO BENNER (CLIENTE X GRUPO)"/>
    <s v="QUALIDADE DOS DADOS"/>
    <x v="0"/>
    <n v="1"/>
  </r>
  <r>
    <s v="TMS"/>
    <m/>
    <x v="2"/>
    <n v="3415913"/>
    <x v="1"/>
    <d v="2025-05-12T13:47:00"/>
    <n v="6256"/>
    <n v="6256"/>
    <s v="Preenchendo XML Aéreo-&gt; Preenchendo XML-&gt; Montando accounting aereo-&gt;Número do bilhete não identificado"/>
    <x v="1229"/>
    <d v="2025-05-14T14:09:00"/>
    <s v="OUTROS"/>
    <x v="17"/>
    <s v=""/>
    <e v="#N/A"/>
    <x v="3"/>
    <s v="COLUNA I"/>
  </r>
  <r>
    <s v="SABRE"/>
    <m/>
    <x v="2"/>
    <n v="3415947"/>
    <x v="2"/>
    <d v="2025-05-12T18:34:00"/>
    <s v="OKRQXN"/>
    <s v="OKRQXN"/>
    <s v="Não localizado cliente código [0000050257].&lt;-ObterCliente&lt;-MontarPnrBase&lt;-ProcessarAereo&lt;-ProcessarItemFila[b]"/>
    <x v="1230"/>
    <m/>
    <s v="CLIENTE"/>
    <x v="13"/>
    <s v="CÓDIGO DIFERENTE DO CADASTRADO NO BENNER (CLIENTE X GRUPO)"/>
    <s v="QUALIDADE DOS DADOS"/>
    <x v="0"/>
    <n v="1"/>
  </r>
  <r>
    <s v="SABRE"/>
    <m/>
    <x v="2"/>
    <n v="3415948"/>
    <x v="2"/>
    <d v="2025-05-12T18:34:00"/>
    <s v="WNIAKM"/>
    <s v="WNIAKM"/>
    <s v="Não localizado cliente código [0000392619].&lt;-ObterCliente&lt;-MontarPnrBase&lt;-ProcessarAereo&lt;-ProcessarItemFila[b]"/>
    <x v="1230"/>
    <m/>
    <s v="CLIENTE"/>
    <x v="13"/>
    <s v="CÓDIGO DIFERENTE DO CADASTRADO NO BENNER (CLIENTE X GRUPO)"/>
    <s v="QUALIDADE DOS DADOS"/>
    <x v="0"/>
    <n v="1"/>
  </r>
  <r>
    <s v="SABRE"/>
    <m/>
    <x v="2"/>
    <n v="3415950"/>
    <x v="2"/>
    <d v="2025-05-12T18:34:00"/>
    <s v="YBEXVB"/>
    <s v="YBEXVB"/>
    <s v="Não localizado cliente código [0000392619].&lt;-ObterCliente&lt;-MontarPnrBase&lt;-ProcessarAereo&lt;-ProcessarItemFila[b]"/>
    <x v="1230"/>
    <m/>
    <s v="CLIENTE"/>
    <x v="13"/>
    <s v="CÓDIGO DIFERENTE DO CADASTRADO NO BENNER (CLIENTE X GRUPO)"/>
    <s v="QUALIDADE DOS DADOS"/>
    <x v="0"/>
    <n v="1"/>
  </r>
  <r>
    <s v="SABRE"/>
    <m/>
    <x v="2"/>
    <n v="3415952"/>
    <x v="2"/>
    <d v="2025-05-12T18:34:00"/>
    <s v="UJEFCF"/>
    <s v="UJEFCF"/>
    <s v="Código de cliente não identificado&lt;-ObterCliente&lt;-MontarPnrBase&lt;-ProcessarAereo&lt;-ProcessarItemFila[b]"/>
    <x v="1230"/>
    <m/>
    <s v="CLIENTE"/>
    <x v="14"/>
    <s v="DK DE CLIENTE NÃO PREENCIDO / CLIENTE NÃO CONFIGURADO NO OBT"/>
    <s v="INDEFINIDO"/>
    <x v="1"/>
    <s v="COLUNA I"/>
  </r>
  <r>
    <s v="SABRE"/>
    <m/>
    <x v="2"/>
    <n v="3415954"/>
    <x v="2"/>
    <d v="2025-05-12T18:34:00"/>
    <s v="WOZEZT"/>
    <s v="WOZEZT"/>
    <s v="Não localizado cliente código [0000392619].&lt;-ObterCliente&lt;-MontarPnrBase&lt;-ProcessarAereo&lt;-ProcessarItemFila[b]"/>
    <x v="1231"/>
    <m/>
    <s v="CLIENTE"/>
    <x v="13"/>
    <s v="CÓDIGO DIFERENTE DO CADASTRADO NO BENNER (CLIENTE X GRUPO)"/>
    <s v="QUALIDADE DOS DADOS"/>
    <x v="0"/>
    <n v="1"/>
  </r>
  <r>
    <s v="SABRE"/>
    <m/>
    <x v="2"/>
    <n v="3415955"/>
    <x v="2"/>
    <d v="2025-05-12T18:34:00"/>
    <s v="YFCMAE"/>
    <s v="YFCMAE"/>
    <s v="Código de cliente não identificado&lt;-ObterCliente&lt;-MontarPnrBase&lt;-ProcessarAereo&lt;-ProcessarItemFila[b]"/>
    <x v="1231"/>
    <m/>
    <s v="CLIENTE"/>
    <x v="14"/>
    <s v="DK DE CLIENTE NÃO PREENCIDO / CLIENTE NÃO CONFIGURADO NO OBT"/>
    <s v="INDEFINIDO"/>
    <x v="1"/>
    <s v="COLUNA I"/>
  </r>
  <r>
    <s v="RESOLVIDO"/>
    <m/>
    <x v="1"/>
    <n v="3416370"/>
    <x v="1"/>
    <d v="2025-05-12T18:58:00"/>
    <n v="62740"/>
    <n v="62740"/>
    <s v="Preenchendo XML Serviço-&gt; Preenchendo XML-&gt; Montando accounting aereo 2-&gt;Não foi informado o Localizador do Assento/Bagagem!"/>
    <x v="1232"/>
    <d v="2025-05-14T13:42:00"/>
    <s v="OUTROS"/>
    <x v="15"/>
    <s v="CAMPO OBSERVAÇÃO PREENCHIDO INCORRETAMENTE"/>
    <s v="QUALIDADE DOS DADOS"/>
    <x v="1"/>
    <n v="118"/>
  </r>
  <r>
    <s v="TMS"/>
    <m/>
    <x v="2"/>
    <n v="3416371"/>
    <x v="1"/>
    <d v="2025-05-12T18:52:00"/>
    <n v="62735"/>
    <n v="62735"/>
    <s v="Preenchendo XML Serviço-&gt; Preenchendo XML-&gt; Montando accounting aereo 2-&gt;Não foi informado o Localizador do Assento/Bagagem!"/>
    <x v="1232"/>
    <d v="2025-05-14T13:42:00"/>
    <s v="OUTROS"/>
    <x v="15"/>
    <s v="CAMPO OBSERVAÇÃO PREENCHIDO INCORRETAMENTE"/>
    <s v="QUALIDADE DOS DADOS"/>
    <x v="1"/>
    <n v="118"/>
  </r>
  <r>
    <s v="RESOLVIDO"/>
    <m/>
    <x v="1"/>
    <n v="3416372"/>
    <x v="1"/>
    <d v="2025-05-12T18:48:00"/>
    <n v="62733"/>
    <n v="62733"/>
    <s v="Preenchendo XML Serviço-&gt; Preenchendo XML-&gt; Montando accounting aereo 2-&gt;Não foi informado o Localizador do Assento/Bagagem!"/>
    <x v="1232"/>
    <d v="2025-05-14T13:43:00"/>
    <s v="OUTROS"/>
    <x v="15"/>
    <s v="CAMPO OBSERVAÇÃO PREENCHIDO INCORRETAMENTE"/>
    <s v="QUALIDADE DOS DADOS"/>
    <x v="1"/>
    <n v="118"/>
  </r>
  <r>
    <s v="RESOLVIDO"/>
    <m/>
    <x v="1"/>
    <n v="3416373"/>
    <x v="1"/>
    <d v="2025-05-12T18:39:00"/>
    <n v="62731"/>
    <n v="62731"/>
    <s v="Preenchendo XML Serviço-&gt; Preenchendo XML-&gt; Montando accounting aereo 2-&gt;Não foi informado o Localizador do Assento/Bagagem!"/>
    <x v="1232"/>
    <d v="2025-05-14T13:43:00"/>
    <s v="OUTROS"/>
    <x v="15"/>
    <s v="CAMPO OBSERVAÇÃO PREENCHIDO INCORRETAMENTE"/>
    <s v="QUALIDADE DOS DADOS"/>
    <x v="1"/>
    <n v="118"/>
  </r>
  <r>
    <s v="RESOLVIDO"/>
    <m/>
    <x v="1"/>
    <n v="3417335"/>
    <x v="1"/>
    <d v="2025-05-13T12:19:00"/>
    <n v="18693"/>
    <n v="18693"/>
    <s v="Preenchendo XML Serviço-&gt; Preenchendo XML-&gt; Montando accounting aereo 3-&gt;Reserva 0EJDRV não encontrada para importar assento/bagagem!"/>
    <x v="1233"/>
    <d v="2025-05-14T14:03:00"/>
    <s v="OUTROS"/>
    <x v="15"/>
    <s v="CAMPO OBSERVAÇÃO PREENCHIDO INCORRETAMENTE"/>
    <s v="QUALIDADE DOS DADOS"/>
    <x v="1"/>
    <n v="127"/>
  </r>
  <r>
    <s v="GOVER"/>
    <m/>
    <x v="2"/>
    <n v="3417643"/>
    <x v="0"/>
    <d v="2025-05-12T12:31:00"/>
    <n v="4535649"/>
    <n v="4535649"/>
    <s v="PreencherPnr-&gt;Foi identificado um localizador sem código."/>
    <x v="1234"/>
    <d v="2025-06-02T16:57:00"/>
    <s v="OUTROS"/>
    <x v="1"/>
    <s v="RLOC NÃO PREENCHIDO NA RESERVA"/>
    <s v="QUALIDADE DOS DADOS"/>
    <x v="0"/>
    <s v="COLUNA I"/>
  </r>
  <r>
    <s v="SABRE"/>
    <m/>
    <x v="2"/>
    <n v="3417801"/>
    <x v="2"/>
    <d v="2025-05-13T15:49:00"/>
    <s v="MMSRIB"/>
    <s v="MMSRIB"/>
    <s v="ERRO: Cancelamento de Venda: Não há PNR no sistema para cancelar, venda não inserida!"/>
    <x v="1235"/>
    <m/>
    <s v="CANCELAMENTO"/>
    <x v="6"/>
    <s v="RESERVA CANCELADA NO OBT"/>
    <s v="SISTEMA"/>
    <x v="0"/>
    <s v="COLUNA I"/>
  </r>
  <r>
    <s v="SABRE"/>
    <m/>
    <x v="2"/>
    <n v="3417828"/>
    <x v="2"/>
    <d v="2025-05-13T18:35:00"/>
    <s v="WTDDUY"/>
    <s v="WTDDUY"/>
    <s v="Código de cliente não identificado&lt;-ObterCliente&lt;-MontarPnrBase&lt;-ProcessarAereo&lt;-ProcessarItemFila[b]"/>
    <x v="1236"/>
    <d v="2025-05-13T20:51:00"/>
    <s v="CLIENTE"/>
    <x v="14"/>
    <s v="DK DE CLIENTE NÃO PREENCIDO / CLIENTE NÃO CONFIGURADO NO OBT"/>
    <s v="INDEFINIDO"/>
    <x v="1"/>
    <s v="COLUNA I"/>
  </r>
  <r>
    <s v="SABRE"/>
    <m/>
    <x v="2"/>
    <n v="3417829"/>
    <x v="2"/>
    <d v="2025-05-13T18:35:00"/>
    <s v="GQJCDD"/>
    <s v="GQJCDD"/>
    <s v="Código de cliente não identificado&lt;-ObterCliente&lt;-MontarPnrBase&lt;-ProcessarAereo&lt;-ProcessarItemFila[b]"/>
    <x v="1236"/>
    <d v="2025-05-13T20:51:00"/>
    <s v="CLIENTE"/>
    <x v="14"/>
    <s v="DK DE CLIENTE NÃO PREENCIDO / CLIENTE NÃO CONFIGURADO NO OBT"/>
    <s v="INDEFINIDO"/>
    <x v="1"/>
    <s v="COLUNA I"/>
  </r>
  <r>
    <s v="SABRE"/>
    <m/>
    <x v="2"/>
    <n v="3417830"/>
    <x v="2"/>
    <d v="2025-05-13T18:35:00"/>
    <s v="QSDABQ"/>
    <s v="QSDABQ"/>
    <s v="Não localizado cliente código [0000071989].&lt;-ObterCliente&lt;-MontarPnrBase&lt;-ProcessarAereo&lt;-ProcessarItemFila[b]"/>
    <x v="1236"/>
    <d v="2025-05-13T20:51:00"/>
    <s v="CLIENTE"/>
    <x v="13"/>
    <s v="CÓDIGO DIFERENTE DO CADASTRADO NO BENNER (CLIENTE X GRUPO)"/>
    <s v="QUALIDADE DOS DADOS"/>
    <x v="0"/>
    <n v="1"/>
  </r>
  <r>
    <s v="SABRE"/>
    <m/>
    <x v="2"/>
    <n v="3417831"/>
    <x v="2"/>
    <d v="2025-05-13T18:35:00"/>
    <s v="DWCEUN"/>
    <s v="DWCEUN"/>
    <s v="Não localizado cliente código [0000392619].&lt;-ObterCliente&lt;-MontarPnrBase&lt;-ProcessarAereo&lt;-ProcessarItemFila[b]"/>
    <x v="1236"/>
    <d v="2025-05-13T20:51:00"/>
    <s v="CLIENTE"/>
    <x v="13"/>
    <s v="CÓDIGO DIFERENTE DO CADASTRADO NO BENNER (CLIENTE X GRUPO)"/>
    <s v="QUALIDADE DOS DADOS"/>
    <x v="0"/>
    <n v="1"/>
  </r>
  <r>
    <s v="SABRE"/>
    <m/>
    <x v="2"/>
    <n v="3417833"/>
    <x v="2"/>
    <d v="2025-05-13T15:51:00"/>
    <s v="DCTDJTT"/>
    <s v="DCTDJT"/>
    <s v="Inserindo PNR - Accountings - TurVendas - Não foi possível localizar o contrato do fornecedor H84698"/>
    <x v="1237"/>
    <m/>
    <s v="FORNECEDOR"/>
    <x v="10"/>
    <s v="CONTRATO INATIVO OU DIVERGENTE"/>
    <s v="SISTEMA"/>
    <x v="1"/>
    <n v="43"/>
  </r>
  <r>
    <s v="SABRE"/>
    <m/>
    <x v="2"/>
    <n v="3417851"/>
    <x v="2"/>
    <d v="2025-05-13T16:04:00"/>
    <s v="EOYOFH"/>
    <s v="EOYOFH"/>
    <s v="Inserindo Accounting - (ExecSQL) - List index out of bounds (0)"/>
    <x v="1238"/>
    <m/>
    <s v="OUTROS"/>
    <x v="7"/>
    <s v="ERRO NA IMPORTAÇÃO/MODIFICAÇÃO DAS INFOMAÇÕES"/>
    <s v="SISTEMA"/>
    <x v="2"/>
    <s v="COLUNA I"/>
  </r>
  <r>
    <s v="SABRE"/>
    <m/>
    <x v="2"/>
    <n v="3418865"/>
    <x v="2"/>
    <d v="2025-05-13T18:35:00"/>
    <s v="MKVLFS"/>
    <s v="MKVLFS"/>
    <s v="Código de cliente não identificado&lt;-ObterCliente&lt;-MontarPnrBase&lt;-ProcessarAereo&lt;-ProcessarItemFila[b]"/>
    <x v="1239"/>
    <m/>
    <s v="CLIENTE"/>
    <x v="14"/>
    <s v="DK DE CLIENTE NÃO PREENCIDO / CLIENTE NÃO CONFIGURADO NO OBT"/>
    <s v="INDEFINIDO"/>
    <x v="1"/>
    <s v="COLUNA I"/>
  </r>
  <r>
    <s v="SABRE"/>
    <m/>
    <x v="2"/>
    <n v="3418867"/>
    <x v="2"/>
    <d v="2025-05-13T18:35:00"/>
    <s v="KJMEHT"/>
    <s v="KJMEHT"/>
    <s v="Não localizado cliente código [0000050257].&lt;-ObterCliente&lt;-MontarPnrBase&lt;-ProcessarAereo&lt;-ProcessarItemFila[b]"/>
    <x v="1240"/>
    <m/>
    <s v="CLIENTE"/>
    <x v="13"/>
    <s v="CÓDIGO DIFERENTE DO CADASTRADO NO BENNER (CLIENTE X GRUPO)"/>
    <s v="QUALIDADE DOS DADOS"/>
    <x v="0"/>
    <n v="1"/>
  </r>
  <r>
    <s v="SABRE"/>
    <m/>
    <x v="2"/>
    <n v="3418871"/>
    <x v="2"/>
    <d v="2025-05-13T18:35:00"/>
    <s v="CPBLGU"/>
    <s v="CPBLGU"/>
    <s v="Não localizado cliente código [0000063625].&lt;-ObterCliente&lt;-MontarPnrBase&lt;-ProcessarAereo&lt;-ProcessarItemFila[b]"/>
    <x v="1240"/>
    <m/>
    <s v="CLIENTE"/>
    <x v="13"/>
    <s v="CÓDIGO DIFERENTE DO CADASTRADO NO BENNER (CLIENTE X GRUPO)"/>
    <s v="QUALIDADE DOS DADOS"/>
    <x v="0"/>
    <n v="1"/>
  </r>
  <r>
    <s v="SABRE"/>
    <m/>
    <x v="2"/>
    <n v="3418876"/>
    <x v="2"/>
    <d v="2025-05-13T18:35:00"/>
    <s v="CNUFCB"/>
    <s v="CNUFCB"/>
    <s v="Não localizado cliente código [0000583808].&lt;-ObterCliente&lt;-MontarPnrBase&lt;-ProcessarAereo&lt;-ProcessarItemFila[b]"/>
    <x v="1241"/>
    <m/>
    <s v="CLIENTE"/>
    <x v="13"/>
    <s v="CÓDIGO DIFERENTE DO CADASTRADO NO BENNER (CLIENTE X GRUPO)"/>
    <s v="QUALIDADE DOS DADOS"/>
    <x v="0"/>
    <n v="1"/>
  </r>
  <r>
    <s v="SABRE"/>
    <m/>
    <x v="2"/>
    <n v="3418878"/>
    <x v="2"/>
    <d v="2025-05-13T18:35:00"/>
    <s v="KMPICM"/>
    <s v="KMPICM"/>
    <s v="Código de cliente não identificado&lt;-ObterCliente&lt;-MontarPnrBase&lt;-ProcessarAereo&lt;-ProcessarItemFila[b]"/>
    <x v="1241"/>
    <m/>
    <s v="CLIENTE"/>
    <x v="14"/>
    <s v="DK DE CLIENTE NÃO PREENCIDO / CLIENTE NÃO CONFIGURADO NO OBT"/>
    <s v="INDEFINIDO"/>
    <x v="1"/>
    <s v="COLUNA I"/>
  </r>
  <r>
    <s v="SABRE"/>
    <m/>
    <x v="2"/>
    <n v="3418880"/>
    <x v="2"/>
    <d v="2025-05-13T18:35:00"/>
    <s v="KLZXWF"/>
    <s v="KLZXWF"/>
    <s v="Código de cliente não identificado&lt;-ObterCliente&lt;-MontarPnrBase&lt;-ProcessarAereo&lt;-ProcessarItemFila[b]"/>
    <x v="1242"/>
    <m/>
    <s v="CLIENTE"/>
    <x v="14"/>
    <s v="DK DE CLIENTE NÃO PREENCIDO / CLIENTE NÃO CONFIGURADO NO OBT"/>
    <s v="INDEFINIDO"/>
    <x v="1"/>
    <s v="COLUNA I"/>
  </r>
  <r>
    <s v="SABRE"/>
    <m/>
    <x v="2"/>
    <n v="3418886"/>
    <x v="2"/>
    <d v="2025-05-13T18:35:00"/>
    <s v="EYIZVN"/>
    <s v="EYIZVN"/>
    <s v="Não localizado cliente código [0000000].&lt;-ObterCliente&lt;-MontarPnrBase&lt;-ProcessarAereo&lt;-ProcessarItemFila[b]"/>
    <x v="1243"/>
    <m/>
    <s v="CLIENTE"/>
    <x v="13"/>
    <s v="CÓDIGO DIFERENTE DO CADASTRADO NO BENNER (CLIENTE X GRUPO)"/>
    <s v="QUALIDADE DOS DADOS"/>
    <x v="0"/>
    <n v="1"/>
  </r>
  <r>
    <s v="SABRE"/>
    <m/>
    <x v="2"/>
    <n v="3418892"/>
    <x v="2"/>
    <d v="2025-05-13T18:35:00"/>
    <s v="WHBERT"/>
    <s v="WHBERT"/>
    <s v="Não localizado cliente código [1234567890].&lt;-ObterCliente&lt;-MontarPnrBase&lt;-ProcessarAereo&lt;-ProcessarItemFila[b]"/>
    <x v="1244"/>
    <m/>
    <s v="CLIENTE"/>
    <x v="13"/>
    <s v="CÓDIGO DIFERENTE DO CADASTRADO NO BENNER (CLIENTE X GRUPO)"/>
    <s v="QUALIDADE DOS DADOS"/>
    <x v="0"/>
    <n v="1"/>
  </r>
  <r>
    <s v="SABRE"/>
    <m/>
    <x v="2"/>
    <n v="3418893"/>
    <x v="2"/>
    <d v="2025-05-13T18:35:00"/>
    <s v="LIWVHD"/>
    <s v="LIWVHD"/>
    <s v="Não localizado cliente código [0000583831].&lt;-ObterCliente&lt;-MontarPnrBase&lt;-ProcessarAereo&lt;-ProcessarItemFila[b]"/>
    <x v="1244"/>
    <m/>
    <s v="CLIENTE"/>
    <x v="13"/>
    <s v="CÓDIGO DIFERENTE DO CADASTRADO NO BENNER (CLIENTE X GRUPO)"/>
    <s v="QUALIDADE DOS DADOS"/>
    <x v="0"/>
    <n v="1"/>
  </r>
  <r>
    <s v="SABRE"/>
    <m/>
    <x v="2"/>
    <n v="3418894"/>
    <x v="2"/>
    <d v="2025-05-13T18:35:00"/>
    <s v="HSRCNE"/>
    <s v="HSRCNE"/>
    <s v="Não localizado cliente código [0000583831].&lt;-ObterCliente&lt;-MontarPnrBase&lt;-ProcessarAereo&lt;-ProcessarItemFila[b]"/>
    <x v="1244"/>
    <m/>
    <s v="CLIENTE"/>
    <x v="13"/>
    <s v="CÓDIGO DIFERENTE DO CADASTRADO NO BENNER (CLIENTE X GRUPO)"/>
    <s v="QUALIDADE DOS DADOS"/>
    <x v="0"/>
    <n v="1"/>
  </r>
  <r>
    <s v="SABRE"/>
    <m/>
    <x v="2"/>
    <n v="3419774"/>
    <x v="2"/>
    <d v="2025-05-14T11:14:00"/>
    <s v="KMLMJH"/>
    <s v="KMLMJH"/>
    <s v="Não localizado cliente código [0000063625].&lt;-ObterCliente&lt;-MontarPnrBase&lt;-ProcessarAereo&lt;-ProcessarItemFila[b]"/>
    <x v="1245"/>
    <m/>
    <s v="CLIENTE"/>
    <x v="13"/>
    <s v="CÓDIGO DIFERENTE DO CADASTRADO NO BENNER (CLIENTE X GRUPO)"/>
    <s v="QUALIDADE DOS DADOS"/>
    <x v="0"/>
    <n v="1"/>
  </r>
  <r>
    <s v="SABRE"/>
    <m/>
    <x v="2"/>
    <n v="3419799"/>
    <x v="2"/>
    <d v="2025-05-14T11:14:00"/>
    <s v="WXSQDI"/>
    <s v="WXSQDI"/>
    <s v="Não localizado cliente código [0000392619].&lt;-ObterCliente&lt;-MontarPnrBase&lt;-ProcessarAereo&lt;-ProcessarItemFila[b]"/>
    <x v="1246"/>
    <m/>
    <s v="CLIENTE"/>
    <x v="13"/>
    <s v="CÓDIGO DIFERENTE DO CADASTRADO NO BENNER (CLIENTE X GRUPO)"/>
    <s v="QUALIDADE DOS DADOS"/>
    <x v="0"/>
    <n v="1"/>
  </r>
  <r>
    <s v="SABRE"/>
    <m/>
    <x v="2"/>
    <n v="3419802"/>
    <x v="2"/>
    <d v="2025-05-14T11:14:00"/>
    <s v="HQGYZQ"/>
    <s v="HQGYZQ"/>
    <s v="Não localizado cliente código [1234567890].&lt;-ObterCliente&lt;-MontarPnrBase&lt;-ProcessarAereo&lt;-ProcessarItemFila[b]"/>
    <x v="1246"/>
    <m/>
    <s v="CLIENTE"/>
    <x v="13"/>
    <s v="CÓDIGO DIFERENTE DO CADASTRADO NO BENNER (CLIENTE X GRUPO)"/>
    <s v="QUALIDADE DOS DADOS"/>
    <x v="0"/>
    <n v="1"/>
  </r>
  <r>
    <s v="SABRE"/>
    <m/>
    <x v="2"/>
    <n v="3419805"/>
    <x v="2"/>
    <d v="2025-05-14T11:14:00"/>
    <s v="IMRSGH"/>
    <s v="IMRSGH"/>
    <s v="Não localizado cliente código [0000286569].&lt;-ObterCliente&lt;-MontarPnrBase&lt;-ProcessarAereo&lt;-ProcessarItemFila[b]"/>
    <x v="1246"/>
    <m/>
    <s v="CLIENTE"/>
    <x v="13"/>
    <s v="CÓDIGO DIFERENTE DO CADASTRADO NO BENNER (CLIENTE X GRUPO)"/>
    <s v="QUALIDADE DOS DADOS"/>
    <x v="0"/>
    <n v="1"/>
  </r>
  <r>
    <s v="SABRE"/>
    <m/>
    <x v="2"/>
    <n v="3420655"/>
    <x v="2"/>
    <d v="2025-05-14T17:51:00"/>
    <s v="LPRGLQ"/>
    <s v="LPRGLQ"/>
    <s v="Não localizado cliente código [0000068873].&lt;-ObterCliente&lt;-MontarPnrBase&lt;-ProcessarAereo&lt;-ProcessarItemFila[b]"/>
    <x v="1247"/>
    <d v="2025-05-14T20:02:00"/>
    <s v="CLIENTE"/>
    <x v="13"/>
    <s v="CÓDIGO DIFERENTE DO CADASTRADO NO BENNER (CLIENTE X GRUPO)"/>
    <s v="QUALIDADE DOS DADOS"/>
    <x v="0"/>
    <n v="1"/>
  </r>
  <r>
    <s v="SABRE"/>
    <m/>
    <x v="2"/>
    <n v="3420980"/>
    <x v="2"/>
    <d v="2025-05-14T16:48:00"/>
    <s v="MRTYWJ"/>
    <s v="MRTYWJ"/>
    <s v="Não localizado cliente código [1234567890].&lt;-ObterCliente&lt;-MontarPnrBase&lt;-ProcessarAereo&lt;-ProcessarItemFila[b]"/>
    <x v="1248"/>
    <m/>
    <s v="CLIENTE"/>
    <x v="13"/>
    <s v="CÓDIGO DIFERENTE DO CADASTRADO NO BENNER (CLIENTE X GRUPO)"/>
    <s v="QUALIDADE DOS DADOS"/>
    <x v="0"/>
    <n v="1"/>
  </r>
  <r>
    <s v="SABRE"/>
    <m/>
    <x v="2"/>
    <n v="3420993"/>
    <x v="2"/>
    <d v="2025-05-14T16:48:00"/>
    <s v="CCAWON"/>
    <s v="CCAWON"/>
    <s v="Não localizado cliente código [0000063625].&lt;-ObterCliente&lt;-MontarPnrBase&lt;-ProcessarAereo&lt;-ProcessarItemFila[b]"/>
    <x v="1249"/>
    <m/>
    <s v="CLIENTE"/>
    <x v="13"/>
    <s v="CÓDIGO DIFERENTE DO CADASTRADO NO BENNER (CLIENTE X GRUPO)"/>
    <s v="QUALIDADE DOS DADOS"/>
    <x v="0"/>
    <n v="1"/>
  </r>
  <r>
    <s v="SABRE"/>
    <m/>
    <x v="2"/>
    <n v="3421009"/>
    <x v="2"/>
    <d v="2025-05-14T16:48:00"/>
    <s v="YSBRSL"/>
    <s v="YSBRSL"/>
    <s v="Não localizado cliente código [1234567890].&lt;-ObterCliente&lt;-MontarPnrBase&lt;-ProcessarAereo&lt;-ProcessarItemFila[b]"/>
    <x v="1250"/>
    <m/>
    <s v="CLIENTE"/>
    <x v="13"/>
    <s v="CÓDIGO DIFERENTE DO CADASTRADO NO BENNER (CLIENTE X GRUPO)"/>
    <s v="QUALIDADE DOS DADOS"/>
    <x v="0"/>
    <n v="1"/>
  </r>
  <r>
    <s v="SABRE"/>
    <m/>
    <x v="2"/>
    <n v="3421010"/>
    <x v="2"/>
    <d v="2025-05-14T16:48:00"/>
    <s v="YSBRSLT"/>
    <s v="YSBRSL"/>
    <s v="Não localizado cliente código [1234567890].&lt;-ObterCliente&lt;-MontarPnrBase&lt;-MontarPnr&lt;-ProcessarHotel&lt;-ProcessarItemFila[b]"/>
    <x v="1250"/>
    <m/>
    <s v="CLIENTE"/>
    <x v="13"/>
    <s v="CÓDIGO DIFERENTE DO CADASTRADO NO BENNER (CLIENTE X GRUPO)"/>
    <s v="QUALIDADE DOS DADOS"/>
    <x v="0"/>
    <n v="1"/>
  </r>
  <r>
    <s v="SABRE"/>
    <m/>
    <x v="2"/>
    <n v="3421277"/>
    <x v="2"/>
    <d v="2025-05-14T17:31:00"/>
    <s v="ONKGLN"/>
    <s v="ONKGLN"/>
    <s v="Não localizado cliente código [0000000].&lt;-ObterCliente&lt;-MontarPnrBase&lt;-ProcessarAereo&lt;-ProcessarItemFila[b]"/>
    <x v="1251"/>
    <m/>
    <s v="CLIENTE"/>
    <x v="13"/>
    <s v="CÓDIGO DIFERENTE DO CADASTRADO NO BENNER (CLIENTE X GRUPO)"/>
    <s v="QUALIDADE DOS DADOS"/>
    <x v="0"/>
    <n v="1"/>
  </r>
  <r>
    <s v="TMS"/>
    <m/>
    <x v="2"/>
    <n v="3421582"/>
    <x v="1"/>
    <d v="2025-05-14T17:49:00"/>
    <n v="15175"/>
    <n v="15175"/>
    <s v="Preenchendo XML Serviço-&gt; Preenchendo XML-&gt; Montando accounting aereo 3-&gt;Reserva MELOYX não encontrada para importar assento/bagagem!"/>
    <x v="1252"/>
    <d v="2025-05-17T19:58:00"/>
    <s v="OUTROS"/>
    <x v="15"/>
    <s v="CAMPO OBSERVAÇÃO PREENCHIDO INCORRETAMENTE"/>
    <s v="QUALIDADE DOS DADOS"/>
    <x v="1"/>
    <n v="127"/>
  </r>
  <r>
    <s v="GOVER"/>
    <m/>
    <x v="2"/>
    <n v="3421851"/>
    <x v="0"/>
    <d v="2025-05-14T22:53:00"/>
    <n v="4537303"/>
    <n v="4537303"/>
    <s v="PreencherPnr-&gt;Foi identificado um localizador sem código."/>
    <x v="1253"/>
    <d v="2025-06-02T16:57:00"/>
    <s v="OUTROS"/>
    <x v="1"/>
    <s v="RLOC NÃO PREENCHIDO NA RESERVA"/>
    <s v="QUALIDADE DOS DADOS"/>
    <x v="0"/>
    <s v="COLUNA I"/>
  </r>
  <r>
    <s v="SABRE"/>
    <m/>
    <x v="2"/>
    <n v="3422573"/>
    <x v="2"/>
    <d v="2025-05-15T11:30:00"/>
    <s v="HJXYEW"/>
    <s v="HJXYEW"/>
    <s v="Não localizado cliente código [0004223565].&lt;-ObterCliente&lt;-MontarPnrBase&lt;-ProcessarAereo&lt;-ProcessarItemFila[b]"/>
    <x v="1254"/>
    <m/>
    <s v="CLIENTE"/>
    <x v="13"/>
    <s v="CÓDIGO DIFERENTE DO CADASTRADO NO BENNER (CLIENTE X GRUPO)"/>
    <s v="QUALIDADE DOS DADOS"/>
    <x v="0"/>
    <n v="1"/>
  </r>
  <r>
    <s v="SABRE"/>
    <m/>
    <x v="2"/>
    <n v="3422667"/>
    <x v="2"/>
    <d v="2025-05-15T11:37:00"/>
    <s v="LFEZXS"/>
    <s v="LFEZXS"/>
    <s v="Não localizado cliente código [0004223565].&lt;-ObterCliente&lt;-MontarPnrBase&lt;-ProcessarAereo&lt;-ProcessarItemFila[b]"/>
    <x v="1255"/>
    <m/>
    <s v="CLIENTE"/>
    <x v="13"/>
    <s v="CÓDIGO DIFERENTE DO CADASTRADO NO BENNER (CLIENTE X GRUPO)"/>
    <s v="QUALIDADE DOS DADOS"/>
    <x v="0"/>
    <n v="1"/>
  </r>
  <r>
    <s v="SABRE"/>
    <m/>
    <x v="2"/>
    <n v="3423558"/>
    <x v="2"/>
    <d v="2025-05-15T16:04:00"/>
    <s v="ODNFYL"/>
    <s v="ODNFYL"/>
    <s v="Não localizado cliente código [0000000].&lt;-ObterCliente&lt;-MontarPnrBase&lt;-ProcessarAereo&lt;-ProcessarItemFila[b]"/>
    <x v="1256"/>
    <m/>
    <s v="CLIENTE"/>
    <x v="13"/>
    <s v="CÓDIGO DIFERENTE DO CADASTRADO NO BENNER (CLIENTE X GRUPO)"/>
    <s v="QUALIDADE DOS DADOS"/>
    <x v="0"/>
    <n v="1"/>
  </r>
  <r>
    <s v="SABRE"/>
    <m/>
    <x v="2"/>
    <n v="3423559"/>
    <x v="2"/>
    <d v="2025-05-15T16:04:00"/>
    <s v="QGAHCP"/>
    <s v="QGAHCP"/>
    <s v="Não localizado cliente código [0000000].&lt;-ObterCliente&lt;-MontarPnrBase&lt;-ProcessarAereo&lt;-ProcessarItemFila[b]"/>
    <x v="1256"/>
    <m/>
    <s v="CLIENTE"/>
    <x v="13"/>
    <s v="CÓDIGO DIFERENTE DO CADASTRADO NO BENNER (CLIENTE X GRUPO)"/>
    <s v="QUALIDADE DOS DADOS"/>
    <x v="0"/>
    <n v="1"/>
  </r>
  <r>
    <s v="SABRE"/>
    <m/>
    <x v="2"/>
    <n v="3423562"/>
    <x v="2"/>
    <d v="2025-05-16T09:46:00"/>
    <s v="OMGOVD"/>
    <s v="OMGOVD"/>
    <s v="Não localizado cliente código [0000050269].&lt;-ObterCliente&lt;-MontarPnrBase&lt;-ProcessarAereo&lt;-ProcessarItemFila[b]"/>
    <x v="1257"/>
    <d v="2025-05-16T11:48:00"/>
    <s v="CLIENTE"/>
    <x v="13"/>
    <s v="CÓDIGO DIFERENTE DO CADASTRADO NO BENNER (CLIENTE X GRUPO)"/>
    <s v="QUALIDADE DOS DADOS"/>
    <x v="0"/>
    <n v="1"/>
  </r>
  <r>
    <s v="SABRE"/>
    <m/>
    <x v="2"/>
    <n v="3423571"/>
    <x v="2"/>
    <d v="2025-05-15T16:04:00"/>
    <s v="MXIKDU"/>
    <s v="MXIKDU"/>
    <s v="Não localizado cliente código [0000583808].&lt;-ObterCliente&lt;-MontarPnrBase&lt;-ProcessarAereo&lt;-ProcessarItemFila[b]"/>
    <x v="1258"/>
    <m/>
    <s v="CLIENTE"/>
    <x v="13"/>
    <s v="CÓDIGO DIFERENTE DO CADASTRADO NO BENNER (CLIENTE X GRUPO)"/>
    <s v="QUALIDADE DOS DADOS"/>
    <x v="0"/>
    <n v="1"/>
  </r>
  <r>
    <s v="SABRE"/>
    <m/>
    <x v="2"/>
    <n v="3423574"/>
    <x v="2"/>
    <d v="2025-05-15T16:04:00"/>
    <s v="NASFQD"/>
    <s v="NASFQD"/>
    <s v="Não localizado cliente código [0000000].&lt;-ObterCliente&lt;-MontarPnrBase&lt;-ProcessarAereo&lt;-ProcessarItemFila[b]"/>
    <x v="1259"/>
    <m/>
    <s v="CLIENTE"/>
    <x v="13"/>
    <s v="CÓDIGO DIFERENTE DO CADASTRADO NO BENNER (CLIENTE X GRUPO)"/>
    <s v="QUALIDADE DOS DADOS"/>
    <x v="0"/>
    <n v="1"/>
  </r>
  <r>
    <s v="SABRE"/>
    <m/>
    <x v="2"/>
    <n v="3423576"/>
    <x v="2"/>
    <d v="2025-05-15T16:04:00"/>
    <s v="YPKPYE"/>
    <s v="YPKPYE"/>
    <s v="Não localizado cliente código [0000583808].&lt;-ObterCliente&lt;-MontarPnrBase&lt;-ProcessarAereo&lt;-ProcessarItemFila[b]"/>
    <x v="1260"/>
    <m/>
    <s v="CLIENTE"/>
    <x v="13"/>
    <s v="CÓDIGO DIFERENTE DO CADASTRADO NO BENNER (CLIENTE X GRUPO)"/>
    <s v="QUALIDADE DOS DADOS"/>
    <x v="0"/>
    <n v="1"/>
  </r>
  <r>
    <s v="RESOLVIDO"/>
    <m/>
    <x v="1"/>
    <n v="3423660"/>
    <x v="1"/>
    <d v="2025-05-15T14:55:00"/>
    <n v="6800"/>
    <n v="6800"/>
    <s v="Preenchendo XML Serviço-&gt; Preenchendo XML-&gt; Montando accounting aereo 2-&gt;Não foi informado o Localizador do Assento/Bagagem!"/>
    <x v="1261"/>
    <d v="2025-05-18T20:11:00"/>
    <s v="OUTROS"/>
    <x v="15"/>
    <s v="CAMPO OBSERVAÇÃO PREENCHIDO INCORRETAMENTE"/>
    <s v="QUALIDADE DOS DADOS"/>
    <x v="1"/>
    <n v="118"/>
  </r>
  <r>
    <s v="SABRE"/>
    <m/>
    <x v="2"/>
    <n v="3424334"/>
    <x v="2"/>
    <d v="2025-05-15T18:16:00"/>
    <s v="UTOACV"/>
    <s v="UTOACV"/>
    <s v="Não localizado cliente código [1234567890].&lt;-ObterCliente&lt;-MontarPnrBase&lt;-ProcessarAereo&lt;-ProcessarItemFila[b]"/>
    <x v="1262"/>
    <m/>
    <s v="CLIENTE"/>
    <x v="13"/>
    <s v="CÓDIGO DIFERENTE DO CADASTRADO NO BENNER (CLIENTE X GRUPO)"/>
    <s v="QUALIDADE DOS DADOS"/>
    <x v="0"/>
    <n v="1"/>
  </r>
  <r>
    <s v="SABRE"/>
    <m/>
    <x v="2"/>
    <n v="3424336"/>
    <x v="2"/>
    <d v="2025-05-15T18:16:00"/>
    <s v="MKRKFZ"/>
    <s v="MKRKFZ"/>
    <s v="Não localizado cliente código [1234567890].&lt;-ObterCliente&lt;-MontarPnrBase&lt;-ProcessarAereo&lt;-ProcessarItemFila[b]"/>
    <x v="1262"/>
    <m/>
    <s v="CLIENTE"/>
    <x v="13"/>
    <s v="CÓDIGO DIFERENTE DO CADASTRADO NO BENNER (CLIENTE X GRUPO)"/>
    <s v="QUALIDADE DOS DADOS"/>
    <x v="0"/>
    <n v="1"/>
  </r>
  <r>
    <s v="SABRE"/>
    <m/>
    <x v="2"/>
    <n v="3424338"/>
    <x v="2"/>
    <d v="2025-05-15T18:16:00"/>
    <s v="QCWGEU"/>
    <s v="QCWGEU"/>
    <s v="Não localizado cliente código [1234567890].&lt;-ObterCliente&lt;-MontarPnrBase&lt;-ProcessarAereo&lt;-ProcessarItemFila[b]"/>
    <x v="1262"/>
    <m/>
    <s v="CLIENTE"/>
    <x v="13"/>
    <s v="CÓDIGO DIFERENTE DO CADASTRADO NO BENNER (CLIENTE X GRUPO)"/>
    <s v="QUALIDADE DOS DADOS"/>
    <x v="0"/>
    <n v="1"/>
  </r>
  <r>
    <s v="SABRE"/>
    <m/>
    <x v="2"/>
    <n v="3424344"/>
    <x v="2"/>
    <d v="2025-05-15T18:16:00"/>
    <s v="WXIMVP"/>
    <s v="WXIMVP"/>
    <s v="Código de cliente não identificado&lt;-ObterCliente&lt;-MontarPnrBase&lt;-ProcessarAereo&lt;-ProcessarItemFila[b]"/>
    <x v="1263"/>
    <m/>
    <s v="CLIENTE"/>
    <x v="14"/>
    <s v="DK DE CLIENTE NÃO PREENCIDO / CLIENTE NÃO CONFIGURADO NO OBT"/>
    <s v="INDEFINIDO"/>
    <x v="1"/>
    <s v="COLUNA I"/>
  </r>
  <r>
    <s v="GOVER"/>
    <m/>
    <x v="2"/>
    <n v="3424667"/>
    <x v="0"/>
    <d v="2025-05-15T10:31:00"/>
    <n v="4537444"/>
    <s v="DWUHWB-CF-9401SF229054"/>
    <s v="PreencherPnr-&gt;Forma pagamento Cartão-&gt; Não foi possível determinar a validade do cartão, favor verificar os dados do cartão &lt;Id&gt;1499156&lt;/Id&gt;."/>
    <x v="1264"/>
    <d v="2025-06-02T16:57:00"/>
    <s v="FORMA PAGTO/RECTO"/>
    <x v="5"/>
    <s v="TAG &lt;CARTAOVALIDADE&gt; NÃO ENVIADA"/>
    <s v="SISTEMA"/>
    <x v="0"/>
    <n v="40"/>
  </r>
  <r>
    <s v="SABRE"/>
    <m/>
    <x v="2"/>
    <n v="3425067"/>
    <x v="2"/>
    <d v="2025-05-16T11:24:00"/>
    <s v="EFGFFPT"/>
    <s v="EFGFFP"/>
    <s v="Inserindo PNR - Accountings - TurVendas - Não foi possível localizar o contrato do fornecedor H84698"/>
    <x v="1265"/>
    <m/>
    <s v="FORNECEDOR"/>
    <x v="10"/>
    <s v="CONTRATO INATIVO OU DIVERGENTE"/>
    <s v="SISTEMA"/>
    <x v="1"/>
    <n v="43"/>
  </r>
  <r>
    <s v="RESOLVIDO"/>
    <m/>
    <x v="1"/>
    <n v="3425288"/>
    <x v="1"/>
    <d v="2025-05-16T10:50:00"/>
    <n v="2182"/>
    <n v="2182"/>
    <s v="Preenchendo XML Carro-&gt; Preenchendo XML-&gt; Montando accounting carro-&gt;Fornecedor com o código 415368  informado nos campos gerenciais não encontrado!"/>
    <x v="1266"/>
    <d v="2025-05-19T21:11:00"/>
    <s v="FORNECEDOR"/>
    <x v="10"/>
    <s v="CONTRATO INATIVO OU DIVERGENTE"/>
    <s v="SISTEMA"/>
    <x v="1"/>
    <n v="69"/>
  </r>
  <r>
    <s v="SABRE"/>
    <m/>
    <x v="2"/>
    <n v="3425937"/>
    <x v="2"/>
    <d v="2025-05-16T14:57:00"/>
    <s v="EEIXMD"/>
    <s v="EEIXMD"/>
    <s v="ERRO: Cancelamento de Venda: Não há PNR no sistema para cancelar, venda não inserida!"/>
    <x v="1267"/>
    <m/>
    <s v="CANCELAMENTO"/>
    <x v="6"/>
    <s v="RESERVA CANCELADA NO OBT"/>
    <s v="SISTEMA"/>
    <x v="0"/>
    <s v="COLUNA I"/>
  </r>
  <r>
    <s v="SABRE"/>
    <m/>
    <x v="2"/>
    <n v="3426125"/>
    <x v="2"/>
    <d v="2025-05-16T15:50:00"/>
    <s v="AYVJRM"/>
    <s v="AYVJRM"/>
    <s v="Não localizado cliente código [0000063625].&lt;-ObterCliente&lt;-MontarPnrBase&lt;-ProcessarAereo&lt;-ProcessarItemFila[b]"/>
    <x v="1268"/>
    <m/>
    <s v="CLIENTE"/>
    <x v="13"/>
    <s v="CÓDIGO DIFERENTE DO CADASTRADO NO BENNER (CLIENTE X GRUPO)"/>
    <s v="QUALIDADE DOS DADOS"/>
    <x v="0"/>
    <n v="1"/>
  </r>
  <r>
    <s v="SABRE"/>
    <m/>
    <x v="2"/>
    <n v="3426202"/>
    <x v="2"/>
    <d v="2025-05-16T16:23:00"/>
    <s v="HBMPZQT"/>
    <s v="HBMPZQ"/>
    <s v="ConverterPagamentosRemark-&gt;Input string was not in a correct format.&lt;-MontarAccountinsHotel&lt;-ProcessarHotel&lt;-ProcessarItemFila[b]"/>
    <x v="1269"/>
    <m/>
    <s v="FORMA PAGTO/RECTO"/>
    <x v="2"/>
    <s v="TEXTO FORA DO PADRÃO ACEITO NO CAMPO"/>
    <s v="INDEFINIDO"/>
    <x v="0"/>
    <s v="COLUNA I"/>
  </r>
  <r>
    <s v="RESOLVIDO"/>
    <m/>
    <x v="1"/>
    <n v="3426296"/>
    <x v="1"/>
    <d v="2025-05-16T16:29:00"/>
    <n v="6844"/>
    <n v="6844"/>
    <s v="Preenchendo XML Serviço-&gt; Preenchendo XML-&gt; Montando accounting aereo 2-&gt;Não foi informado o Localizador do Assento/Bagagem!"/>
    <x v="1270"/>
    <d v="2025-05-19T20:32:00"/>
    <s v="OUTROS"/>
    <x v="15"/>
    <s v="CAMPO OBSERVAÇÃO PREENCHIDO INCORRETAMENTE"/>
    <s v="QUALIDADE DOS DADOS"/>
    <x v="1"/>
    <n v="118"/>
  </r>
  <r>
    <s v="SABRE"/>
    <m/>
    <x v="2"/>
    <n v="3426489"/>
    <x v="2"/>
    <d v="2025-05-19T11:16:00"/>
    <s v="EFEAHG"/>
    <s v="EFEAHG"/>
    <s v="Não localizado cliente com CNPJ [271682000177].&lt;-ObterCliente&lt;-MontarPnrBase&lt;-ProcessarAereo&lt;-ProcessarItemFila[b]"/>
    <x v="1271"/>
    <d v="2025-05-19T13:30:00"/>
    <s v="CLIENTE"/>
    <x v="12"/>
    <s v=""/>
    <s v="QUALIDADE DOS DADOS"/>
    <x v="1"/>
    <n v="24"/>
  </r>
  <r>
    <s v="TMS"/>
    <m/>
    <x v="2"/>
    <n v="3426735"/>
    <x v="1"/>
    <d v="2025-05-16T17:23:00"/>
    <n v="2228"/>
    <n v="2228"/>
    <s v="Preenchendo XML Serviço-&gt; Preenchendo XML-&gt; Montando accounting aereo 2-&gt;Não foi informado o Localizador do Assento/Bagagem!"/>
    <x v="1272"/>
    <d v="2025-05-19T21:11:00"/>
    <s v="OUTROS"/>
    <x v="15"/>
    <s v="CAMPO OBSERVAÇÃO PREENCHIDO INCORRETAMENTE"/>
    <s v="QUALIDADE DOS DADOS"/>
    <x v="1"/>
    <n v="118"/>
  </r>
  <r>
    <s v="SABRE"/>
    <m/>
    <x v="2"/>
    <n v="3427634"/>
    <x v="2"/>
    <d v="2025-05-20T11:32:00"/>
    <s v="NBPGSC"/>
    <s v="NBPGSC"/>
    <s v="Não localizado cliente com CNPJ [9108301000108].&lt;-ObterCliente&lt;-MontarPnrBase&lt;-ProcessarAereo&lt;-ProcessarItemFila[b]"/>
    <x v="1273"/>
    <d v="2025-05-20T13:46:00"/>
    <s v="CLIENTE"/>
    <x v="12"/>
    <s v=""/>
    <s v="SISTEMA"/>
    <x v="1"/>
    <n v="24"/>
  </r>
  <r>
    <s v="SABRE"/>
    <m/>
    <x v="2"/>
    <n v="3427635"/>
    <x v="2"/>
    <d v="2025-05-20T11:32:00"/>
    <s v="NBPGSCT"/>
    <s v="NBPGSC"/>
    <s v="Não localizado cliente com CNPJ [9108301000108].&lt;-ObterCliente&lt;-MontarPnrBase&lt;-MontarPnr&lt;-ProcessarHotel&lt;-ProcessarItemFila[b]"/>
    <x v="1273"/>
    <d v="2025-05-20T13:46:00"/>
    <s v="CLIENTE"/>
    <x v="12"/>
    <s v=""/>
    <s v="SISTEMA"/>
    <x v="1"/>
    <n v="24"/>
  </r>
  <r>
    <s v="GOVER"/>
    <m/>
    <x v="2"/>
    <n v="3427781"/>
    <x v="0"/>
    <d v="2025-05-16T09:17:00"/>
    <n v="4538006"/>
    <n v="4538006"/>
    <s v="PreencherPnr-&gt;Foi identificado um localizador sem código."/>
    <x v="1274"/>
    <d v="2025-06-02T16:57:00"/>
    <s v="OUTROS"/>
    <x v="1"/>
    <s v="RLOC NÃO PREENCHIDO NA RESERVA"/>
    <s v="QUALIDADE DOS DADOS"/>
    <x v="0"/>
    <s v="COLUNA I"/>
  </r>
  <r>
    <s v="SABRE"/>
    <m/>
    <x v="2"/>
    <n v="3427885"/>
    <x v="2"/>
    <d v="2025-05-19T08:58:00"/>
    <s v="JDFQHTT"/>
    <s v="JDFQHT"/>
    <s v="ConverterPagamentosRemark-&gt;The string was not recognized as a valid DateTime. There is an unknown word starting at index 0.&lt;-MontarAccountinsHotel&lt;-ProcessarHotel&lt;-ProcessarItemFila[b]"/>
    <x v="1275"/>
    <m/>
    <s v="FORMA PAGTO/RECTO"/>
    <x v="3"/>
    <s v="REMARK U*INFOPAG-CC/REC-CC PREENCHIDO INCORRETAMENTE"/>
    <s v="QUALIDADE DOS DADOS"/>
    <x v="1"/>
    <s v="COLUNA I"/>
  </r>
  <r>
    <s v="SABRE"/>
    <m/>
    <x v="2"/>
    <n v="3427903"/>
    <x v="2"/>
    <d v="2025-05-19T11:16:00"/>
    <s v="FQLYCF"/>
    <s v="FQLYCF"/>
    <s v="Não localizado cliente com CNPJ [JTI PROCESSADORA].&lt;-ObterCliente&lt;-MontarPnrBase&lt;-ProcessarAereo&lt;-ProcessarItemFila[b]"/>
    <x v="1276"/>
    <d v="2025-05-19T13:28:00"/>
    <s v="CLIENTE"/>
    <x v="12"/>
    <s v=""/>
    <s v="QUALIDADE DOS DADOS"/>
    <x v="1"/>
    <n v="24"/>
  </r>
  <r>
    <s v="SABRE"/>
    <m/>
    <x v="2"/>
    <n v="3427904"/>
    <x v="2"/>
    <d v="2025-05-19T10:22:00"/>
    <s v="KPHLNO"/>
    <s v="KPHLNO"/>
    <s v="Código de cliente não identificado&lt;-ObterCliente&lt;-MontarPnrBase&lt;-ProcessarAereo&lt;-ProcessarItemFila[b]"/>
    <x v="1276"/>
    <d v="2025-05-19T12:29:00"/>
    <s v="CLIENTE"/>
    <x v="14"/>
    <s v="DK DE CLIENTE NÃO PREENCIDO / CLIENTE NÃO CONFIGURADO NO OBT"/>
    <s v="INDEFINIDO"/>
    <x v="1"/>
    <s v="COLUNA I"/>
  </r>
  <r>
    <s v="GOVER"/>
    <m/>
    <x v="2"/>
    <n v="3427937"/>
    <x v="0"/>
    <d v="2025-05-15T12:05:00"/>
    <n v="4537550"/>
    <n v="4537550"/>
    <s v="PreencherPnr-&gt;Foi identificado um localizador sem código."/>
    <x v="1277"/>
    <d v="2025-06-02T16:57:00"/>
    <s v="OUTROS"/>
    <x v="1"/>
    <s v="RLOC NÃO PREENCHIDO NA RESERVA"/>
    <s v="QUALIDADE DOS DADOS"/>
    <x v="0"/>
    <s v="COLUNA I"/>
  </r>
  <r>
    <s v="SABRE"/>
    <m/>
    <x v="2"/>
    <n v="3428041"/>
    <x v="2"/>
    <d v="2025-05-27T08:22:00"/>
    <s v="DHHSAE"/>
    <s v="DHHSAE"/>
    <s v="Inserindo PNR - Accountings - TurVendas - Não foi possível localizar o contrato do fornecedor IX"/>
    <x v="1278"/>
    <d v="2025-05-27T10:33:00"/>
    <s v="FORNECEDOR"/>
    <x v="10"/>
    <s v="CONTRATO INATIVO OU DIVERGENTE"/>
    <s v="SISTEMA"/>
    <x v="1"/>
    <n v="43"/>
  </r>
  <r>
    <s v="SABRE"/>
    <m/>
    <x v="2"/>
    <n v="3428163"/>
    <x v="2"/>
    <d v="2025-05-19T11:16:00"/>
    <s v="SIJZJE"/>
    <s v="SIJZJE"/>
    <s v="Código de cliente não identificado&lt;-ObterCliente&lt;-MontarPnrBase&lt;-ProcessarAereo&lt;-ProcessarItemFila[b]"/>
    <x v="1279"/>
    <m/>
    <s v="CLIENTE"/>
    <x v="14"/>
    <s v="DK DE CLIENTE NÃO PREENCIDO / CLIENTE NÃO CONFIGURADO NO OBT"/>
    <s v="INDEFINIDO"/>
    <x v="1"/>
    <s v="COLUNA I"/>
  </r>
  <r>
    <s v="SABRE"/>
    <m/>
    <x v="2"/>
    <n v="3428168"/>
    <x v="2"/>
    <d v="2025-05-19T11:16:00"/>
    <s v="CJGUDU"/>
    <s v="CJGUDU"/>
    <s v="Não localizado cliente código [0000583808].&lt;-ObterCliente&lt;-MontarPnrBase&lt;-ProcessarAereo&lt;-ProcessarItemFila[b]"/>
    <x v="1280"/>
    <m/>
    <s v="CLIENTE"/>
    <x v="13"/>
    <s v="CÓDIGO DIFERENTE DO CADASTRADO NO BENNER (CLIENTE X GRUPO)"/>
    <s v="QUALIDADE DOS DADOS"/>
    <x v="0"/>
    <n v="1"/>
  </r>
  <r>
    <s v="SABRE"/>
    <m/>
    <x v="2"/>
    <n v="3428169"/>
    <x v="2"/>
    <d v="2025-05-19T11:16:00"/>
    <s v="GHNLGC"/>
    <s v="GHNLGC"/>
    <s v="Não localizado cliente código [0000583808].&lt;-ObterCliente&lt;-MontarPnrBase&lt;-ProcessarAereo&lt;-ProcessarItemFila[b]"/>
    <x v="1281"/>
    <m/>
    <s v="CLIENTE"/>
    <x v="13"/>
    <s v="CÓDIGO DIFERENTE DO CADASTRADO NO BENNER (CLIENTE X GRUPO)"/>
    <s v="QUALIDADE DOS DADOS"/>
    <x v="0"/>
    <n v="1"/>
  </r>
  <r>
    <s v="SABRE"/>
    <m/>
    <x v="2"/>
    <n v="3428171"/>
    <x v="2"/>
    <d v="2025-05-19T11:16:00"/>
    <s v="QCCWCZ"/>
    <s v="QCCWCZ"/>
    <s v="Não localizado cliente código [0000000].&lt;-ObterCliente&lt;-MontarPnrBase&lt;-ProcessarAereo&lt;-ProcessarItemFila[b]"/>
    <x v="1282"/>
    <m/>
    <s v="CLIENTE"/>
    <x v="13"/>
    <s v="CÓDIGO DIFERENTE DO CADASTRADO NO BENNER (CLIENTE X GRUPO)"/>
    <s v="QUALIDADE DOS DADOS"/>
    <x v="0"/>
    <n v="1"/>
  </r>
  <r>
    <s v="SABRE"/>
    <m/>
    <x v="2"/>
    <n v="3428172"/>
    <x v="2"/>
    <d v="2025-05-19T11:16:00"/>
    <s v="FJIECA"/>
    <s v="FJIECA"/>
    <s v="Não localizado cliente com CNPJ [819201000115].&lt;-ObterCliente&lt;-MontarPnrBase&lt;-ProcessarAereo&lt;-ProcessarItemFila[b]"/>
    <x v="1283"/>
    <m/>
    <s v="CLIENTE"/>
    <x v="12"/>
    <s v=""/>
    <e v="#N/A"/>
    <x v="1"/>
    <n v="24"/>
  </r>
  <r>
    <s v="SABRE"/>
    <m/>
    <x v="2"/>
    <n v="3428173"/>
    <x v="2"/>
    <d v="2025-05-19T11:16:00"/>
    <s v="JHURPA"/>
    <s v="JHURPA"/>
    <s v="Não localizado cliente código [0000063625].&lt;-ObterCliente&lt;-MontarPnrBase&lt;-ProcessarAereo&lt;-ProcessarItemFila[b]"/>
    <x v="1284"/>
    <m/>
    <s v="CLIENTE"/>
    <x v="13"/>
    <s v="CÓDIGO DIFERENTE DO CADASTRADO NO BENNER (CLIENTE X GRUPO)"/>
    <s v="QUALIDADE DOS DADOS"/>
    <x v="0"/>
    <n v="1"/>
  </r>
  <r>
    <s v="SABRE"/>
    <m/>
    <x v="2"/>
    <n v="3428174"/>
    <x v="2"/>
    <d v="2025-05-19T11:16:00"/>
    <s v="CVSBYQ"/>
    <s v="CVSBYQ"/>
    <s v="Não localizado cliente código [0000000].&lt;-ObterCliente&lt;-MontarPnrBase&lt;-ProcessarAereo&lt;-ProcessarItemFila[b]"/>
    <x v="1285"/>
    <m/>
    <s v="CLIENTE"/>
    <x v="13"/>
    <s v="CÓDIGO DIFERENTE DO CADASTRADO NO BENNER (CLIENTE X GRUPO)"/>
    <s v="QUALIDADE DOS DADOS"/>
    <x v="0"/>
    <n v="1"/>
  </r>
  <r>
    <s v="SABRE"/>
    <m/>
    <x v="2"/>
    <n v="3428214"/>
    <x v="2"/>
    <d v="2025-05-19T11:45:00"/>
    <s v="CVYMBO"/>
    <s v="CVYMBO"/>
    <s v="Não localizado cliente código [0000000].&lt;-ObterCliente&lt;-MontarPnrBase&lt;-ProcessarAereo&lt;-ProcessarItemFila[b]"/>
    <x v="1286"/>
    <m/>
    <s v="CLIENTE"/>
    <x v="13"/>
    <s v="CÓDIGO DIFERENTE DO CADASTRADO NO BENNER (CLIENTE X GRUPO)"/>
    <s v="QUALIDADE DOS DADOS"/>
    <x v="0"/>
    <n v="1"/>
  </r>
  <r>
    <s v="SABRE"/>
    <m/>
    <x v="2"/>
    <n v="3428216"/>
    <x v="2"/>
    <d v="2025-05-19T13:47:00"/>
    <s v="MNPBBT"/>
    <s v="MNPBBT"/>
    <s v="Não localizado cliente código [0000068873].&lt;-ObterCliente&lt;-MontarPnrBase&lt;-ProcessarAereo&lt;-ProcessarItemFila[b]"/>
    <x v="1286"/>
    <d v="2025-05-19T15:49:00"/>
    <s v="CLIENTE"/>
    <x v="13"/>
    <s v="CÓDIGO DIFERENTE DO CADASTRADO NO BENNER (CLIENTE X GRUPO)"/>
    <s v="QUALIDADE DOS DADOS"/>
    <x v="0"/>
    <n v="1"/>
  </r>
  <r>
    <s v="SABRE"/>
    <m/>
    <x v="2"/>
    <n v="3429485"/>
    <x v="2"/>
    <d v="2025-05-20T07:07:00"/>
    <s v="JOKQKNT"/>
    <s v="JOKQKN"/>
    <s v="Não localizado cliente código [0000068873].&lt;-ObterCliente&lt;-MontarPnrBase&lt;-MontarPnr&lt;-ProcessarHotel&lt;-ProcessarItemFila[b]"/>
    <x v="1287"/>
    <d v="2025-05-20T09:08:00"/>
    <s v="CLIENTE"/>
    <x v="13"/>
    <s v="CÓDIGO DIFERENTE DO CADASTRADO NO BENNER (CLIENTE X GRUPO)"/>
    <s v="QUALIDADE DOS DADOS"/>
    <x v="0"/>
    <n v="1"/>
  </r>
  <r>
    <s v="SABRE"/>
    <m/>
    <x v="2"/>
    <n v="3429575"/>
    <x v="2"/>
    <d v="2025-05-19T16:13:00"/>
    <s v="QTNBFM"/>
    <s v="QTNBFM"/>
    <s v="Não localizado cliente com CNPJ [9108301000108].&lt;-ObterCliente&lt;-MontarPnrBase&lt;-ProcessarAereo&lt;-ProcessarItemFila[b]"/>
    <x v="1288"/>
    <m/>
    <s v="CLIENTE"/>
    <x v="12"/>
    <s v=""/>
    <e v="#N/A"/>
    <x v="1"/>
    <n v="24"/>
  </r>
  <r>
    <s v="SABRE"/>
    <m/>
    <x v="2"/>
    <n v="3429577"/>
    <x v="2"/>
    <d v="2025-05-19T16:14:00"/>
    <s v="FZUDMZ"/>
    <s v="FZUDMZ"/>
    <s v="Não localizado cliente código [0000000].&lt;-ObterCliente&lt;-MontarPnrBase&lt;-ProcessarAereo&lt;-ProcessarItemFila[b]"/>
    <x v="1288"/>
    <m/>
    <s v="CLIENTE"/>
    <x v="13"/>
    <s v="CÓDIGO DIFERENTE DO CADASTRADO NO BENNER (CLIENTE X GRUPO)"/>
    <s v="QUALIDADE DOS DADOS"/>
    <x v="0"/>
    <n v="1"/>
  </r>
  <r>
    <s v="SABRE"/>
    <m/>
    <x v="2"/>
    <n v="3429580"/>
    <x v="2"/>
    <d v="2025-05-20T07:04:00"/>
    <s v="FVUQNI"/>
    <s v="FVUQNI"/>
    <s v="Não localizado cliente com CNPJ [9108301000108].&lt;-ObterCliente&lt;-MontarPnrBase&lt;-ProcessarAereo&lt;-ProcessarItemFila[b]"/>
    <x v="1289"/>
    <d v="2025-05-20T09:17:00"/>
    <s v="CLIENTE"/>
    <x v="12"/>
    <s v=""/>
    <s v="QUALIDADE DOS DADOS"/>
    <x v="1"/>
    <n v="24"/>
  </r>
  <r>
    <s v="SABRE"/>
    <m/>
    <x v="2"/>
    <n v="3429581"/>
    <x v="2"/>
    <d v="2025-05-20T07:04:00"/>
    <s v="FVUQNIT"/>
    <s v="FVUQNI"/>
    <s v="Não localizado cliente com CNPJ [9108301000108].&lt;-ObterCliente&lt;-MontarPnrBase&lt;-MontarPnr&lt;-ProcessarHotel&lt;-ProcessarItemFila[b]"/>
    <x v="1289"/>
    <d v="2025-05-20T09:17:00"/>
    <s v="CLIENTE"/>
    <x v="12"/>
    <s v=""/>
    <s v="QUALIDADE DOS DADOS"/>
    <x v="1"/>
    <n v="24"/>
  </r>
  <r>
    <s v="SABRE"/>
    <m/>
    <x v="2"/>
    <n v="3429583"/>
    <x v="2"/>
    <d v="2025-05-19T16:15:00"/>
    <s v="QTXNAS"/>
    <s v="QTXNAS"/>
    <s v="Não localizado cliente código [1234567890].&lt;-ObterCliente&lt;-MontarPnrBase&lt;-ProcessarAereo&lt;-ProcessarItemFila[b]"/>
    <x v="1290"/>
    <m/>
    <s v="CLIENTE"/>
    <x v="13"/>
    <s v="CÓDIGO DIFERENTE DO CADASTRADO NO BENNER (CLIENTE X GRUPO)"/>
    <s v="QUALIDADE DOS DADOS"/>
    <x v="0"/>
    <n v="1"/>
  </r>
  <r>
    <s v="SABRE"/>
    <m/>
    <x v="2"/>
    <n v="3429685"/>
    <x v="2"/>
    <d v="2025-05-19T17:15:00"/>
    <s v="AOZSPW"/>
    <s v="AOZSPW"/>
    <s v="Não localizado cliente código [0000063625].&lt;-ObterCliente&lt;-MontarPnrBase&lt;-ProcessarAereo&lt;-ProcessarItemFila[b]"/>
    <x v="1291"/>
    <m/>
    <s v="CLIENTE"/>
    <x v="13"/>
    <s v="CÓDIGO DIFERENTE DO CADASTRADO NO BENNER (CLIENTE X GRUPO)"/>
    <s v="QUALIDADE DOS DADOS"/>
    <x v="0"/>
    <n v="1"/>
  </r>
  <r>
    <s v="SABRE"/>
    <m/>
    <x v="2"/>
    <n v="3429883"/>
    <x v="2"/>
    <d v="2025-05-19T18:33:00"/>
    <s v="QCWRCC"/>
    <s v="QCWRCC"/>
    <s v="Não localizado cliente código [0000392619].&lt;-ObterCliente&lt;-MontarPnrBase&lt;-ProcessarAereo&lt;-ProcessarItemFila[b]"/>
    <x v="1292"/>
    <m/>
    <s v="CLIENTE"/>
    <x v="13"/>
    <s v="CÓDIGO DIFERENTE DO CADASTRADO NO BENNER (CLIENTE X GRUPO)"/>
    <s v="QUALIDADE DOS DADOS"/>
    <x v="0"/>
    <n v="1"/>
  </r>
  <r>
    <s v="SABRE"/>
    <m/>
    <x v="2"/>
    <n v="3429887"/>
    <x v="2"/>
    <d v="2025-05-19T18:33:00"/>
    <s v="WFROCT"/>
    <s v="WFROCT"/>
    <s v="Código de cliente não identificado&lt;-ObterCliente&lt;-MontarPnrBase&lt;-ProcessarAereo&lt;-ProcessarItemFila[b]"/>
    <x v="1292"/>
    <m/>
    <s v="CLIENTE"/>
    <x v="14"/>
    <s v="DK DE CLIENTE NÃO PREENCIDO / CLIENTE NÃO CONFIGURADO NO OBT"/>
    <s v="INDEFINIDO"/>
    <x v="1"/>
    <s v="COLUNA I"/>
  </r>
  <r>
    <s v="SABRE"/>
    <m/>
    <x v="2"/>
    <n v="3429889"/>
    <x v="2"/>
    <d v="2025-05-19T18:33:00"/>
    <s v="MMLSPZ"/>
    <s v="MMLSPZ"/>
    <s v="Não localizado cliente código [0000392619].&lt;-ObterCliente&lt;-MontarPnrBase&lt;-ProcessarAereo&lt;-ProcessarItemFila[b]"/>
    <x v="1292"/>
    <m/>
    <s v="CLIENTE"/>
    <x v="13"/>
    <s v="CÓDIGO DIFERENTE DO CADASTRADO NO BENNER (CLIENTE X GRUPO)"/>
    <s v="QUALIDADE DOS DADOS"/>
    <x v="0"/>
    <n v="1"/>
  </r>
  <r>
    <s v="SABRE"/>
    <m/>
    <x v="2"/>
    <n v="3429896"/>
    <x v="2"/>
    <d v="2025-05-19T18:33:00"/>
    <s v="FEBAFR"/>
    <s v="FEBAFR"/>
    <s v="Não localizado cliente código [1234567890].&lt;-ObterCliente&lt;-MontarPnrBase&lt;-ProcessarAereo&lt;-ProcessarItemFila[b]"/>
    <x v="1292"/>
    <m/>
    <s v="CLIENTE"/>
    <x v="13"/>
    <s v="CÓDIGO DIFERENTE DO CADASTRADO NO BENNER (CLIENTE X GRUPO)"/>
    <s v="QUALIDADE DOS DADOS"/>
    <x v="0"/>
    <n v="1"/>
  </r>
  <r>
    <s v="RESOLVIDO"/>
    <m/>
    <x v="1"/>
    <n v="3430061"/>
    <x v="1"/>
    <d v="2025-05-19T18:53:00"/>
    <n v="4653"/>
    <n v="4653"/>
    <s v="Preenchendo XML Carro-&gt; Preenchendo XML-&gt; Montando accounting carro-&gt;Fornecedor com o código 415368  informado nos campos gerenciais não encontrado!"/>
    <x v="1293"/>
    <d v="2025-05-22T21:59:00"/>
    <s v="FORNECEDOR"/>
    <x v="10"/>
    <s v="CONTRATO INATIVO OU DIVERGENTE"/>
    <s v="SISTEMA"/>
    <x v="1"/>
    <n v="69"/>
  </r>
  <r>
    <s v="RESOLVIDO"/>
    <m/>
    <x v="1"/>
    <n v="3430129"/>
    <x v="1"/>
    <d v="2025-05-19T16:53:00"/>
    <n v="32830"/>
    <n v="32830"/>
    <s v="Preenchendo XML Carro-&gt; Preenchendo XML-&gt; Montando accounting carro-&gt;Fornecedor com o código 415368  informado nos campos gerenciais não encontrado!"/>
    <x v="1294"/>
    <d v="2025-05-22T22:11:00"/>
    <s v="FORNECEDOR"/>
    <x v="10"/>
    <s v="CONTRATO INATIVO OU DIVERGENTE"/>
    <s v="SISTEMA"/>
    <x v="1"/>
    <n v="69"/>
  </r>
  <r>
    <s v="RESOLVIDO"/>
    <m/>
    <x v="1"/>
    <n v="3430946"/>
    <x v="3"/>
    <d v="2025-05-20T11:24:00"/>
    <s v="16491198-52892962"/>
    <n v="52892962"/>
    <s v="WS Retorno-&gt;SV 16491198 nao foi encontrada para a credencial passada ou pode nao estar com Status de Concluida, Cancelado"/>
    <x v="1295"/>
    <m/>
    <s v="OUTROS"/>
    <x v="17"/>
    <s v=""/>
    <s v="QUALIDADE DOS DADOS"/>
    <x v="3"/>
    <s v="COLUNA I"/>
  </r>
  <r>
    <s v="GOVER"/>
    <m/>
    <x v="2"/>
    <n v="3430949"/>
    <x v="0"/>
    <d v="2025-05-19T19:45:00"/>
    <n v="4539589"/>
    <s v="AYVJRM"/>
    <s v="Inserindo PNR - Accountings - TurVendas - Não foi possível localizar o contrato do fornecedor QZ"/>
    <x v="1296"/>
    <d v="2025-06-02T16:57:00"/>
    <s v="FORNECEDOR"/>
    <x v="10"/>
    <s v="CONTRATO INATIVO OU DIVERGENTE"/>
    <s v="SISTEMA"/>
    <x v="1"/>
    <n v="43"/>
  </r>
  <r>
    <s v="SABRE"/>
    <m/>
    <x v="2"/>
    <n v="3431001"/>
    <x v="2"/>
    <d v="2025-05-20T09:31:00"/>
    <s v="JXXLPXT"/>
    <s v="JXXLPX"/>
    <s v="Inserindo PNR - Accountings - TurVendas - Não foi possível localizar o contrato do fornecedor 85644"/>
    <x v="1297"/>
    <m/>
    <s v="FORNECEDOR"/>
    <x v="10"/>
    <s v="CONTRATO INATIVO OU DIVERGENTE"/>
    <s v="SISTEMA"/>
    <x v="1"/>
    <n v="43"/>
  </r>
  <r>
    <s v="SABRE"/>
    <m/>
    <x v="2"/>
    <n v="3431201"/>
    <x v="2"/>
    <d v="2025-05-20T11:54:00"/>
    <s v="QOJSHVT"/>
    <s v="QOJSHV"/>
    <s v="Inserindo PNR - Accountings - TurVendas - Não foi possível localizar o contrato do fornecedor H84698"/>
    <x v="1298"/>
    <m/>
    <s v="FORNECEDOR"/>
    <x v="10"/>
    <s v="CONTRATO INATIVO OU DIVERGENTE"/>
    <s v="SISTEMA"/>
    <x v="1"/>
    <n v="43"/>
  </r>
  <r>
    <s v="RESOLVIDO"/>
    <m/>
    <x v="1"/>
    <n v="3431284"/>
    <x v="1"/>
    <d v="2025-05-20T10:27:00"/>
    <n v="6854"/>
    <n v="6854"/>
    <s v="Preenchendo XML Serviço-&gt; Preenchendo XML-&gt; Montando accounting aereo 2-&gt;Não foi informado o Localizador do Assento/Bagagem!"/>
    <x v="1299"/>
    <d v="2025-05-23T21:53:00"/>
    <s v="OUTROS"/>
    <x v="15"/>
    <s v="CAMPO OBSERVAÇÃO PREENCHIDO INCORRETAMENTE"/>
    <s v="QUALIDADE DOS DADOS"/>
    <x v="1"/>
    <n v="118"/>
  </r>
  <r>
    <s v="RESOLVIDO"/>
    <m/>
    <x v="1"/>
    <n v="3431600"/>
    <x v="1"/>
    <d v="2025-05-20T09:09:00"/>
    <n v="4654"/>
    <n v="4654"/>
    <s v="Preenchendo XML Carro-&gt; Preenchendo XML-&gt; Montando accounting carro-&gt;Fornecedor com o código 415368  informado nos campos gerenciais não encontrado!"/>
    <x v="1300"/>
    <d v="2025-05-23T22:34:00"/>
    <s v="FORNECEDOR"/>
    <x v="10"/>
    <s v="CONTRATO INATIVO OU DIVERGENTE"/>
    <s v="SISTEMA"/>
    <x v="1"/>
    <n v="69"/>
  </r>
  <r>
    <s v="SABRE"/>
    <m/>
    <x v="2"/>
    <n v="3431637"/>
    <x v="2"/>
    <d v="2025-05-20T15:04:00"/>
    <s v="NHHTCO"/>
    <s v="NHHTCO"/>
    <s v="Não localizado cliente código [0000068873].&lt;-ObterCliente&lt;-MontarPnrBase&lt;-ProcessarAereo&lt;-ProcessarItemFila[b]"/>
    <x v="1301"/>
    <d v="2025-05-20T17:28:00"/>
    <s v="CLIENTE"/>
    <x v="13"/>
    <s v="CÓDIGO DIFERENTE DO CADASTRADO NO BENNER (CLIENTE X GRUPO)"/>
    <s v="QUALIDADE DOS DADOS"/>
    <x v="0"/>
    <n v="1"/>
  </r>
  <r>
    <s v="GOVER"/>
    <m/>
    <x v="2"/>
    <n v="3432081"/>
    <x v="0"/>
    <d v="2025-05-20T11:54:00"/>
    <n v="4539871"/>
    <s v="DWAZEY01"/>
    <s v="Inserindo PNR - Accountings - TurVendas - Não foi possível localizar o contrato do fornecedor QV"/>
    <x v="1302"/>
    <d v="2025-06-02T16:57:00"/>
    <s v="FORNECEDOR"/>
    <x v="10"/>
    <s v="CONTRATO INATIVO OU DIVERGENTE"/>
    <s v="SISTEMA"/>
    <x v="1"/>
    <n v="43"/>
  </r>
  <r>
    <s v="SABRE"/>
    <m/>
    <x v="2"/>
    <n v="3432261"/>
    <x v="2"/>
    <d v="2025-05-20T15:04:00"/>
    <s v="LJKMAM"/>
    <s v="LJKMAM"/>
    <s v="Não localizado cliente código [0000583831].&lt;-ObterCliente&lt;-MontarPnrBase&lt;-ProcessarAereo&lt;-ProcessarItemFila[b]"/>
    <x v="1303"/>
    <m/>
    <s v="CLIENTE"/>
    <x v="13"/>
    <s v="CÓDIGO DIFERENTE DO CADASTRADO NO BENNER (CLIENTE X GRUPO)"/>
    <s v="QUALIDADE DOS DADOS"/>
    <x v="0"/>
    <n v="1"/>
  </r>
  <r>
    <s v="SABRE"/>
    <m/>
    <x v="2"/>
    <n v="3432263"/>
    <x v="2"/>
    <d v="2025-05-20T15:04:00"/>
    <s v="HAHEZX"/>
    <s v="HAHEZX"/>
    <s v="Não localizado cliente código [0000583831].&lt;-ObterCliente&lt;-MontarPnrBase&lt;-ProcessarAereo&lt;-ProcessarItemFila[b]"/>
    <x v="1304"/>
    <m/>
    <s v="CLIENTE"/>
    <x v="13"/>
    <s v="CÓDIGO DIFERENTE DO CADASTRADO NO BENNER (CLIENTE X GRUPO)"/>
    <s v="QUALIDADE DOS DADOS"/>
    <x v="0"/>
    <n v="1"/>
  </r>
  <r>
    <s v="SABRE"/>
    <m/>
    <x v="2"/>
    <n v="3432264"/>
    <x v="2"/>
    <d v="2025-05-20T15:04:00"/>
    <s v="OUWBXL"/>
    <s v="OUWBXL"/>
    <s v="Código de cliente não identificado&lt;-ObterCliente&lt;-MontarPnrBase&lt;-ProcessarAereo&lt;-ProcessarItemFila[b]"/>
    <x v="1304"/>
    <m/>
    <s v="CLIENTE"/>
    <x v="14"/>
    <s v="DK DE CLIENTE NÃO PREENCIDO / CLIENTE NÃO CONFIGURADO NO OBT"/>
    <s v="INDEFINIDO"/>
    <x v="1"/>
    <s v="COLUNA I"/>
  </r>
  <r>
    <s v="SABRE"/>
    <m/>
    <x v="2"/>
    <n v="3432265"/>
    <x v="2"/>
    <d v="2025-05-20T15:04:00"/>
    <s v="KNXWBG"/>
    <s v="KNXWBG"/>
    <s v="Código de cliente não identificado&lt;-ObterCliente&lt;-MontarPnrBase&lt;-ProcessarAereo&lt;-ProcessarItemFila[b]"/>
    <x v="1305"/>
    <m/>
    <s v="CLIENTE"/>
    <x v="14"/>
    <s v="DK DE CLIENTE NÃO PREENCIDO / CLIENTE NÃO CONFIGURADO NO OBT"/>
    <s v="INDEFINIDO"/>
    <x v="1"/>
    <s v="COLUNA I"/>
  </r>
  <r>
    <s v="SABRE"/>
    <m/>
    <x v="2"/>
    <n v="3432267"/>
    <x v="2"/>
    <d v="2025-05-20T15:04:00"/>
    <s v="LJCWCT"/>
    <s v="LJCWCT"/>
    <s v="Código de cliente não identificado&lt;-ObterCliente&lt;-MontarPnrBase&lt;-ProcessarAereo&lt;-ProcessarItemFila[b]"/>
    <x v="1305"/>
    <m/>
    <s v="CLIENTE"/>
    <x v="14"/>
    <s v="DK DE CLIENTE NÃO PREENCIDO / CLIENTE NÃO CONFIGURADO NO OBT"/>
    <s v="INDEFINIDO"/>
    <x v="1"/>
    <s v="COLUNA I"/>
  </r>
  <r>
    <s v="SABRE"/>
    <m/>
    <x v="2"/>
    <n v="3432277"/>
    <x v="2"/>
    <d v="2025-05-20T15:04:00"/>
    <s v="MPYZBF"/>
    <s v="MPYZBF"/>
    <s v="Código de cliente não identificado&lt;-ObterCliente&lt;-MontarPnrBase&lt;-ProcessarAereo&lt;-ProcessarItemFila[b]"/>
    <x v="1306"/>
    <m/>
    <s v="CLIENTE"/>
    <x v="14"/>
    <s v="DK DE CLIENTE NÃO PREENCIDO / CLIENTE NÃO CONFIGURADO NO OBT"/>
    <s v="INDEFINIDO"/>
    <x v="1"/>
    <s v="COLUNA I"/>
  </r>
  <r>
    <s v="SABRE"/>
    <m/>
    <x v="2"/>
    <n v="3432278"/>
    <x v="2"/>
    <d v="2025-05-20T15:04:00"/>
    <s v="WFFYFR"/>
    <s v="WFFYFR"/>
    <s v="Código de cliente não identificado&lt;-ObterCliente&lt;-MontarPnrBase&lt;-ProcessarAereo&lt;-ProcessarItemFila[b]"/>
    <x v="1307"/>
    <m/>
    <s v="CLIENTE"/>
    <x v="14"/>
    <s v="DK DE CLIENTE NÃO PREENCIDO / CLIENTE NÃO CONFIGURADO NO OBT"/>
    <s v="INDEFINIDO"/>
    <x v="1"/>
    <s v="COLUNA I"/>
  </r>
  <r>
    <s v="SABRE"/>
    <m/>
    <x v="2"/>
    <n v="3432279"/>
    <x v="2"/>
    <d v="2025-05-20T15:04:00"/>
    <s v="JAVMHY"/>
    <s v="JAVMHY"/>
    <s v="Não localizado cliente código [1234567890].&lt;-ObterCliente&lt;-MontarPnrBase&lt;-ProcessarAereo&lt;-ProcessarItemFila[b]"/>
    <x v="1307"/>
    <m/>
    <s v="CLIENTE"/>
    <x v="13"/>
    <s v="CÓDIGO DIFERENTE DO CADASTRADO NO BENNER (CLIENTE X GRUPO)"/>
    <s v="QUALIDADE DOS DADOS"/>
    <x v="0"/>
    <n v="1"/>
  </r>
  <r>
    <s v="SABRE"/>
    <m/>
    <x v="2"/>
    <n v="3432281"/>
    <x v="2"/>
    <d v="2025-05-20T15:04:00"/>
    <s v="YIDTXX"/>
    <s v="YIDTXX"/>
    <s v="Não localizado cliente código [0000583808].&lt;-ObterCliente&lt;-MontarPnrBase&lt;-ProcessarAereo&lt;-ProcessarItemFila[b]"/>
    <x v="1307"/>
    <m/>
    <s v="CLIENTE"/>
    <x v="13"/>
    <s v="CÓDIGO DIFERENTE DO CADASTRADO NO BENNER (CLIENTE X GRUPO)"/>
    <s v="QUALIDADE DOS DADOS"/>
    <x v="0"/>
    <n v="1"/>
  </r>
  <r>
    <s v="SABRE"/>
    <m/>
    <x v="2"/>
    <n v="3432284"/>
    <x v="2"/>
    <d v="2025-05-20T15:04:00"/>
    <s v="AFWVQD"/>
    <s v="AFWVQD"/>
    <s v="Não localizado cliente código [0000392619].&lt;-ObterCliente&lt;-MontarPnrBase&lt;-ProcessarAereo&lt;-ProcessarItemFila[b]"/>
    <x v="1308"/>
    <m/>
    <s v="CLIENTE"/>
    <x v="13"/>
    <s v="CÓDIGO DIFERENTE DO CADASTRADO NO BENNER (CLIENTE X GRUPO)"/>
    <s v="QUALIDADE DOS DADOS"/>
    <x v="0"/>
    <n v="1"/>
  </r>
  <r>
    <s v="SABRE"/>
    <m/>
    <x v="2"/>
    <n v="3432285"/>
    <x v="2"/>
    <d v="2025-05-22T12:49:00"/>
    <s v="QXHVLN"/>
    <s v="QXHVLN"/>
    <s v="Não localizado cliente código [0000583808].&lt;-ObterCliente&lt;-MontarPnrBase&lt;-ProcessarAereo&lt;-ProcessarItemFila[b]"/>
    <x v="1308"/>
    <d v="2025-05-22T15:04:00"/>
    <s v="CLIENTE"/>
    <x v="13"/>
    <s v="CÓDIGO DIFERENTE DO CADASTRADO NO BENNER (CLIENTE X GRUPO)"/>
    <s v="QUALIDADE DOS DADOS"/>
    <x v="0"/>
    <n v="1"/>
  </r>
  <r>
    <s v="SABRE"/>
    <m/>
    <x v="2"/>
    <n v="3432459"/>
    <x v="2"/>
    <d v="2025-05-20T18:16:00"/>
    <s v="MUZQPW"/>
    <s v="MUZQPW"/>
    <s v="Não localizado cliente código [0000392619].&lt;-ObterCliente&lt;-MontarPnrBase&lt;-ProcessarAereo&lt;-ProcessarItemFila[b]"/>
    <x v="1309"/>
    <d v="2025-05-20T20:19:00"/>
    <s v="CLIENTE"/>
    <x v="13"/>
    <s v="CÓDIGO DIFERENTE DO CADASTRADO NO BENNER (CLIENTE X GRUPO)"/>
    <s v="QUALIDADE DOS DADOS"/>
    <x v="0"/>
    <n v="1"/>
  </r>
  <r>
    <s v="SABRE"/>
    <m/>
    <x v="2"/>
    <n v="3432465"/>
    <x v="2"/>
    <d v="2025-05-20T18:16:00"/>
    <s v="MUBJTO"/>
    <s v="MUBJTO"/>
    <s v="Não localizado cliente código [0000000].&lt;-ObterCliente&lt;-MontarPnrBase&lt;-ProcessarAereo&lt;-ProcessarItemFila[b]"/>
    <x v="1310"/>
    <d v="2025-05-20T20:20:00"/>
    <s v="CLIENTE"/>
    <x v="13"/>
    <s v="CÓDIGO DIFERENTE DO CADASTRADO NO BENNER (CLIENTE X GRUPO)"/>
    <s v="QUALIDADE DOS DADOS"/>
    <x v="0"/>
    <n v="1"/>
  </r>
  <r>
    <s v="SABRE"/>
    <m/>
    <x v="2"/>
    <n v="3432605"/>
    <x v="2"/>
    <d v="2025-05-20T18:16:00"/>
    <s v="MCXTBN"/>
    <s v="MCXTBN"/>
    <s v="Não localizado cliente código [0000392619].&lt;-ObterCliente&lt;-MontarPnrBase&lt;-ProcessarAereo&lt;-ProcessarItemFila[b]"/>
    <x v="1311"/>
    <m/>
    <s v="CLIENTE"/>
    <x v="13"/>
    <s v="CÓDIGO DIFERENTE DO CADASTRADO NO BENNER (CLIENTE X GRUPO)"/>
    <s v="QUALIDADE DOS DADOS"/>
    <x v="0"/>
    <n v="1"/>
  </r>
  <r>
    <s v="SABRE"/>
    <m/>
    <x v="2"/>
    <n v="3432613"/>
    <x v="2"/>
    <d v="2025-05-20T18:16:00"/>
    <s v="UDXLZR"/>
    <s v="UDXLZR"/>
    <s v="Não localizado cliente código [1234567890].&lt;-ObterCliente&lt;-MontarPnrBase&lt;-ProcessarAereo&lt;-ProcessarItemFila[b]"/>
    <x v="1312"/>
    <m/>
    <s v="CLIENTE"/>
    <x v="13"/>
    <s v="CÓDIGO DIFERENTE DO CADASTRADO NO BENNER (CLIENTE X GRUPO)"/>
    <s v="QUALIDADE DOS DADOS"/>
    <x v="0"/>
    <n v="1"/>
  </r>
  <r>
    <s v="TMS"/>
    <m/>
    <x v="2"/>
    <n v="3432649"/>
    <x v="1"/>
    <d v="2025-05-20T14:50:00"/>
    <n v="6859"/>
    <n v="6859"/>
    <s v="Preenchendo XML Carro-&gt; Preenchendo XML-&gt; Montando accounting carro-&gt;Fornecedor com o código 32628  informado nos campos gerenciais não encontrado!"/>
    <x v="1313"/>
    <d v="2025-05-23T21:52:00"/>
    <s v="FORNECEDOR"/>
    <x v="10"/>
    <s v="CONTRATO INATIVO OU DIVERGENTE"/>
    <s v="SISTEMA"/>
    <x v="1"/>
    <n v="69"/>
  </r>
  <r>
    <s v="GOVER"/>
    <m/>
    <x v="2"/>
    <n v="3433158"/>
    <x v="0"/>
    <d v="2025-05-20T21:38:00"/>
    <n v="4540356"/>
    <n v="4540356"/>
    <s v="PreencherPnr-&gt;Foi identificado um localizador sem código."/>
    <x v="1314"/>
    <d v="2025-06-02T16:57:00"/>
    <s v="OUTROS"/>
    <x v="1"/>
    <s v="RLOC NÃO PREENCHIDO NA RESERVA"/>
    <s v="QUALIDADE DOS DADOS"/>
    <x v="0"/>
    <s v="COLUNA I"/>
  </r>
  <r>
    <s v="RESOLVIDO"/>
    <m/>
    <x v="1"/>
    <n v="3433217"/>
    <x v="1"/>
    <d v="2025-05-20T15:12:00"/>
    <n v="63626"/>
    <n v="63626"/>
    <s v="Inserindo PNR - Accountings - TurVendas - Não foi possível localizar o contrato do fornecedor Q9"/>
    <x v="1315"/>
    <d v="2025-05-23T22:49:00"/>
    <s v="FORNECEDOR"/>
    <x v="10"/>
    <s v="CONTRATO INATIVO OU DIVERGENTE"/>
    <s v="SISTEMA"/>
    <x v="1"/>
    <n v="43"/>
  </r>
  <r>
    <s v="TMS"/>
    <m/>
    <x v="2"/>
    <n v="3433417"/>
    <x v="1"/>
    <d v="2025-05-20T16:59:00"/>
    <n v="6671"/>
    <n v="6671"/>
    <s v="Preenchendo XML Serviço-&gt; Preenchendo XML-&gt; Montando accounting aereo 2-&gt;Não foi informado o Localizador do Assento/Bagagem!"/>
    <x v="1316"/>
    <d v="2025-05-23T23:16:00"/>
    <s v="OUTROS"/>
    <x v="15"/>
    <s v="CAMPO OBSERVAÇÃO PREENCHIDO INCORRETAMENTE"/>
    <s v="QUALIDADE DOS DADOS"/>
    <x v="1"/>
    <n v="118"/>
  </r>
  <r>
    <s v="RESOLVIDO"/>
    <m/>
    <x v="1"/>
    <n v="3433569"/>
    <x v="1"/>
    <d v="2025-05-21T08:21:00"/>
    <n v="4663"/>
    <n v="4663"/>
    <s v="Preenchendo XML Carro-&gt; Preenchendo XML-&gt; Montando accounting carro-&gt;Fornecedor com o código 415368  informado nos campos gerenciais não encontrado!"/>
    <x v="1317"/>
    <d v="2025-05-24T22:16:00"/>
    <s v="FORNECEDOR"/>
    <x v="10"/>
    <s v="CONTRATO INATIVO OU DIVERGENTE"/>
    <s v="SISTEMA"/>
    <x v="1"/>
    <n v="69"/>
  </r>
  <r>
    <s v="RESOLVIDO"/>
    <m/>
    <x v="1"/>
    <n v="3433570"/>
    <x v="1"/>
    <d v="2025-05-21T08:17:00"/>
    <n v="4662"/>
    <n v="4662"/>
    <s v="Preenchendo XML Carro-&gt; Preenchendo XML-&gt; Montando accounting carro-&gt;Fornecedor com o código 415368  informado nos campos gerenciais não encontrado!"/>
    <x v="1317"/>
    <d v="2025-05-24T22:16:00"/>
    <s v="FORNECEDOR"/>
    <x v="10"/>
    <s v="CONTRATO INATIVO OU DIVERGENTE"/>
    <s v="SISTEMA"/>
    <x v="1"/>
    <n v="69"/>
  </r>
  <r>
    <s v="SABRE"/>
    <m/>
    <x v="2"/>
    <n v="3433812"/>
    <x v="2"/>
    <d v="2025-05-21T09:26:00"/>
    <s v="OUAPZMT"/>
    <s v="OUAPZM"/>
    <s v="Inserindo PNR - Accountings - TurVendas - Não foi possível localizar o contrato do fornecedor 55080"/>
    <x v="1318"/>
    <m/>
    <s v="FORNECEDOR"/>
    <x v="10"/>
    <s v="CONTRATO INATIVO OU DIVERGENTE"/>
    <s v="SISTEMA"/>
    <x v="1"/>
    <n v="43"/>
  </r>
  <r>
    <s v="SABRE"/>
    <m/>
    <x v="2"/>
    <n v="3433953"/>
    <x v="2"/>
    <d v="2025-05-21T11:00:00"/>
    <s v="FDPCDP"/>
    <s v="FDPCDP"/>
    <s v="Não localizado cliente código [1234567890].&lt;-ObterCliente&lt;-MontarPnrBase&lt;-ProcessarAereo&lt;-ProcessarItemFila[b]"/>
    <x v="1319"/>
    <m/>
    <s v="CLIENTE"/>
    <x v="13"/>
    <s v="CÓDIGO DIFERENTE DO CADASTRADO NO BENNER (CLIENTE X GRUPO)"/>
    <s v="QUALIDADE DOS DADOS"/>
    <x v="0"/>
    <n v="1"/>
  </r>
  <r>
    <s v="SABRE"/>
    <m/>
    <x v="2"/>
    <n v="3433981"/>
    <x v="2"/>
    <d v="2025-05-21T11:08:00"/>
    <s v="YCBFGW"/>
    <s v="YCBFGW"/>
    <s v="Não localizado cliente código [1234567890].&lt;-ObterCliente&lt;-MontarPnrBase&lt;-ProcessarAereo&lt;-ProcessarItemFila[b]"/>
    <x v="1320"/>
    <m/>
    <s v="CLIENTE"/>
    <x v="13"/>
    <s v="CÓDIGO DIFERENTE DO CADASTRADO NO BENNER (CLIENTE X GRUPO)"/>
    <s v="QUALIDADE DOS DADOS"/>
    <x v="0"/>
    <n v="1"/>
  </r>
  <r>
    <s v="SABRE"/>
    <m/>
    <x v="2"/>
    <n v="3433982"/>
    <x v="2"/>
    <d v="2025-05-21T11:08:00"/>
    <s v="JKXHHH"/>
    <s v="JKXHHH"/>
    <s v="Código de cliente não identificado&lt;-ObterCliente&lt;-MontarPnrBase&lt;-ProcessarAereo&lt;-ProcessarItemFila[b]"/>
    <x v="1320"/>
    <m/>
    <s v="CLIENTE"/>
    <x v="14"/>
    <s v="DK DE CLIENTE NÃO PREENCIDO / CLIENTE NÃO CONFIGURADO NO OBT"/>
    <s v="INDEFINIDO"/>
    <x v="1"/>
    <s v="COLUNA I"/>
  </r>
  <r>
    <s v="SABRE"/>
    <m/>
    <x v="2"/>
    <n v="3434009"/>
    <x v="2"/>
    <d v="2025-05-21T11:30:00"/>
    <s v="YVVJQV"/>
    <s v="YVVJQV"/>
    <s v="Inserindo Accounting - (ExecSQL) - List index out of bounds (0)"/>
    <x v="1321"/>
    <m/>
    <s v="OUTROS"/>
    <x v="7"/>
    <s v="ERRO NA IMPORTAÇÃO/MODIFICAÇÃO DAS INFOMAÇÕES"/>
    <s v="SISTEMA"/>
    <x v="2"/>
    <s v="COLUNA I"/>
  </r>
  <r>
    <s v="SABRE"/>
    <m/>
    <x v="2"/>
    <n v="3434017"/>
    <x v="2"/>
    <d v="2025-05-21T11:42:00"/>
    <s v="SMDKBB"/>
    <s v="SMDKBB"/>
    <s v="Não localizado cliente código [0000583831].&lt;-ObterCliente&lt;-MontarPnrBase&lt;-ProcessarAereo&lt;-ProcessarItemFila[b]"/>
    <x v="1322"/>
    <m/>
    <s v="CLIENTE"/>
    <x v="13"/>
    <s v="CÓDIGO DIFERENTE DO CADASTRADO NO BENNER (CLIENTE X GRUPO)"/>
    <s v="QUALIDADE DOS DADOS"/>
    <x v="0"/>
    <n v="1"/>
  </r>
  <r>
    <s v="SABRE"/>
    <m/>
    <x v="2"/>
    <n v="3434018"/>
    <x v="2"/>
    <d v="2025-05-21T11:42:00"/>
    <s v="MNAAYG"/>
    <s v="MNAAYG"/>
    <s v="Não localizado cliente código [0000541708].&lt;-ObterCliente&lt;-MontarPnrBase&lt;-ProcessarAereo&lt;-ProcessarItemFila[b]"/>
    <x v="1322"/>
    <m/>
    <s v="CLIENTE"/>
    <x v="13"/>
    <s v="CÓDIGO DIFERENTE DO CADASTRADO NO BENNER (CLIENTE X GRUPO)"/>
    <s v="QUALIDADE DOS DADOS"/>
    <x v="0"/>
    <n v="1"/>
  </r>
  <r>
    <s v="SABRE"/>
    <m/>
    <x v="2"/>
    <n v="3434163"/>
    <x v="2"/>
    <d v="2025-05-21T13:04:00"/>
    <s v="FURGEL"/>
    <s v="FURGEL"/>
    <s v="Inserindo Accounting - (ExecSQL) - List index out of bounds (0)"/>
    <x v="1323"/>
    <m/>
    <s v="OUTROS"/>
    <x v="7"/>
    <s v="ERRO NA IMPORTAÇÃO/MODIFICAÇÃO DAS INFOMAÇÕES"/>
    <s v="SISTEMA"/>
    <x v="2"/>
    <s v="COLUNA I"/>
  </r>
  <r>
    <s v="TMS"/>
    <m/>
    <x v="2"/>
    <n v="3434894"/>
    <x v="1"/>
    <d v="2025-05-21T16:42:00"/>
    <n v="210284"/>
    <n v="210284"/>
    <s v="Preenchendo XML Hotel-&gt; Preenchendo XML-&gt; Montando accounting hotel-&gt;Solicitação de hotel referente a esta cotação não foi encontrada (Id Cotação: 1)"/>
    <x v="1324"/>
    <d v="2025-05-29T11:47:00"/>
    <s v="OUTROS"/>
    <x v="22"/>
    <s v="INDEFINIDO"/>
    <s v="INDEFINIDO"/>
    <x v="0"/>
    <s v="COLUNA I"/>
  </r>
  <r>
    <s v="SABRE"/>
    <m/>
    <x v="2"/>
    <n v="3435076"/>
    <x v="2"/>
    <d v="2025-05-21T15:39:00"/>
    <s v="UHJVAB"/>
    <s v="UHJVAB"/>
    <s v="Não localizado cliente código [0000583808].&lt;-ObterCliente&lt;-MontarPnrBase&lt;-ProcessarAereo&lt;-ProcessarItemFila[b]"/>
    <x v="1325"/>
    <m/>
    <s v="CLIENTE"/>
    <x v="13"/>
    <s v="CÓDIGO DIFERENTE DO CADASTRADO NO BENNER (CLIENTE X GRUPO)"/>
    <s v="QUALIDADE DOS DADOS"/>
    <x v="0"/>
    <n v="1"/>
  </r>
  <r>
    <s v="SABRE"/>
    <m/>
    <x v="2"/>
    <n v="3435081"/>
    <x v="2"/>
    <d v="2025-05-21T15:39:00"/>
    <s v="WWDSFC"/>
    <s v="WWDSFC"/>
    <s v="Não localizado cliente código [0000583808].&lt;-ObterCliente&lt;-MontarPnrBase&lt;-ProcessarAereo&lt;-ProcessarItemFila[b]"/>
    <x v="1326"/>
    <m/>
    <s v="CLIENTE"/>
    <x v="13"/>
    <s v="CÓDIGO DIFERENTE DO CADASTRADO NO BENNER (CLIENTE X GRUPO)"/>
    <s v="QUALIDADE DOS DADOS"/>
    <x v="0"/>
    <n v="1"/>
  </r>
  <r>
    <s v="SABRE"/>
    <m/>
    <x v="2"/>
    <n v="3435084"/>
    <x v="2"/>
    <d v="2025-05-21T15:39:00"/>
    <s v="YPINYR"/>
    <s v="YPINYR"/>
    <s v="Não localizado cliente código [0000583808].&lt;-ObterCliente&lt;-MontarPnrBase&lt;-ProcessarAereo&lt;-ProcessarItemFila[b]"/>
    <x v="1327"/>
    <m/>
    <s v="CLIENTE"/>
    <x v="13"/>
    <s v="CÓDIGO DIFERENTE DO CADASTRADO NO BENNER (CLIENTE X GRUPO)"/>
    <s v="QUALIDADE DOS DADOS"/>
    <x v="0"/>
    <n v="1"/>
  </r>
  <r>
    <s v="SABRE"/>
    <m/>
    <x v="2"/>
    <n v="3435086"/>
    <x v="2"/>
    <d v="2025-05-21T15:39:00"/>
    <s v="SNYFJE"/>
    <s v="SNYFJE"/>
    <s v="Não localizado cliente código [0000583808].&lt;-ObterCliente&lt;-MontarPnrBase&lt;-ProcessarAereo&lt;-ProcessarItemFila[b]"/>
    <x v="1327"/>
    <m/>
    <s v="CLIENTE"/>
    <x v="13"/>
    <s v="CÓDIGO DIFERENTE DO CADASTRADO NO BENNER (CLIENTE X GRUPO)"/>
    <s v="QUALIDADE DOS DADOS"/>
    <x v="0"/>
    <n v="1"/>
  </r>
  <r>
    <s v="GOVER"/>
    <m/>
    <x v="2"/>
    <n v="3435100"/>
    <x v="0"/>
    <d v="2025-05-21T17:39:00"/>
    <n v="4540943"/>
    <s v="TMYJKG"/>
    <s v="PreencherPnr-&gt;Código do cliente não informado! (SolicitacaoDTO.UnidadeCodigoIntegracao)"/>
    <x v="1328"/>
    <d v="2025-06-02T16:57:00"/>
    <s v="CLIENTE"/>
    <x v="14"/>
    <s v="DK DE CLIENTE NÃO PREENCIDO / CLIENTE NÃO CONFIGURADO NO OBT"/>
    <s v="INDEFINIDO"/>
    <x v="1"/>
    <s v="COLUNA I"/>
  </r>
  <r>
    <s v="SABRE"/>
    <m/>
    <x v="2"/>
    <n v="3435184"/>
    <x v="2"/>
    <d v="2025-05-21T16:44:00"/>
    <s v="HKQVXVT"/>
    <s v="HKQVXV"/>
    <s v="Inserindo PNR - Accountings - TurVendas - Não foi possível localizar o contrato do fornecedor 4062"/>
    <x v="1329"/>
    <m/>
    <s v="FORNECEDOR"/>
    <x v="10"/>
    <s v="CONTRATO INATIVO OU DIVERGENTE"/>
    <s v="SISTEMA"/>
    <x v="1"/>
    <n v="43"/>
  </r>
  <r>
    <s v="SABRE"/>
    <m/>
    <x v="2"/>
    <n v="3435190"/>
    <x v="2"/>
    <d v="2025-05-22T11:34:00"/>
    <s v="SKOYMZ"/>
    <s v="SKOYMZ"/>
    <s v="Não localizado cliente com CNPJ [9108301000108].&lt;-ObterCliente&lt;-MontarPnrBase&lt;-ProcessarAereo&lt;-ProcessarItemFila[b]"/>
    <x v="1330"/>
    <d v="2025-05-22T13:49:00"/>
    <s v="CLIENTE"/>
    <x v="12"/>
    <s v=""/>
    <s v="QUALIDADE DOS DADOS"/>
    <x v="1"/>
    <n v="24"/>
  </r>
  <r>
    <s v="SABRE"/>
    <m/>
    <x v="2"/>
    <n v="3435273"/>
    <x v="2"/>
    <d v="2025-05-21T18:26:00"/>
    <s v="WFDBRZ"/>
    <s v="WFDBRZ"/>
    <s v="Código de cliente não identificado&lt;-ObterCliente&lt;-MontarPnrBase&lt;-ProcessarAereo&lt;-ProcessarItemFila[b]"/>
    <x v="1331"/>
    <m/>
    <s v="CLIENTE"/>
    <x v="14"/>
    <s v="DK DE CLIENTE NÃO PREENCIDO / CLIENTE NÃO CONFIGURADO NO OBT"/>
    <s v="INDEFINIDO"/>
    <x v="1"/>
    <s v="COLUNA I"/>
  </r>
  <r>
    <s v="SABRE"/>
    <m/>
    <x v="2"/>
    <n v="3436302"/>
    <x v="2"/>
    <d v="2025-05-22T09:57:00"/>
    <s v="JPVAERT"/>
    <s v="JPVAER"/>
    <s v="ConverterPagamentosRemark-&gt;String was not recognized as a valid DateTime.&lt;-MontarAccountinsHotel&lt;-ProcessarHotel&lt;-ProcessarItemFila[b]"/>
    <x v="1332"/>
    <d v="2025-05-22T12:08:00"/>
    <s v="FORMA PAGTO/RECTO"/>
    <x v="3"/>
    <s v="REMARK U*INFOPAG-CC/REC-CC PREENCHIDO INCORRETAMENTE"/>
    <s v="QUALIDADE DOS DADOS"/>
    <x v="1"/>
    <s v="COLUNA I"/>
  </r>
  <r>
    <s v="SABRE"/>
    <m/>
    <x v="2"/>
    <n v="3436384"/>
    <x v="2"/>
    <d v="2025-05-22T09:11:00"/>
    <s v="ALDTZS"/>
    <s v="ALDTZS"/>
    <s v="Não localizado cliente código [0000000].&lt;-ObterCliente&lt;-MontarPnrBase&lt;-ProcessarAereo&lt;-ProcessarItemFila[b]"/>
    <x v="1333"/>
    <m/>
    <s v="CLIENTE"/>
    <x v="13"/>
    <s v="CÓDIGO DIFERENTE DO CADASTRADO NO BENNER (CLIENTE X GRUPO)"/>
    <s v="QUALIDADE DOS DADOS"/>
    <x v="0"/>
    <n v="1"/>
  </r>
  <r>
    <s v="SABRE"/>
    <m/>
    <x v="2"/>
    <n v="3436589"/>
    <x v="2"/>
    <d v="2025-05-22T12:01:00"/>
    <s v="HJZVSS"/>
    <s v="HJZVSS"/>
    <s v="Não localizado cliente código [0000000].&lt;-ObterCliente&lt;-MontarPnrBase&lt;-ProcessarAereo&lt;-ProcessarItemFila[b]"/>
    <x v="1334"/>
    <m/>
    <s v="CLIENTE"/>
    <x v="13"/>
    <s v="CÓDIGO DIFERENTE DO CADASTRADO NO BENNER (CLIENTE X GRUPO)"/>
    <s v="QUALIDADE DOS DADOS"/>
    <x v="0"/>
    <n v="1"/>
  </r>
  <r>
    <s v="SABRE"/>
    <m/>
    <x v="2"/>
    <n v="3436593"/>
    <x v="2"/>
    <d v="2025-05-22T12:01:00"/>
    <s v="CJUVGP"/>
    <s v="CJUVGP"/>
    <s v="Código de cliente não identificado&lt;-ObterCliente&lt;-MontarPnrBase&lt;-ProcessarAereo&lt;-ProcessarItemFila[b]"/>
    <x v="1334"/>
    <m/>
    <s v="CLIENTE"/>
    <x v="14"/>
    <s v="DK DE CLIENTE NÃO PREENCIDO / CLIENTE NÃO CONFIGURADO NO OBT"/>
    <s v="INDEFINIDO"/>
    <x v="1"/>
    <s v="COLUNA I"/>
  </r>
  <r>
    <s v="SABRE"/>
    <m/>
    <x v="2"/>
    <n v="3436600"/>
    <x v="2"/>
    <d v="2025-05-22T12:01:00"/>
    <s v="GBNIZY"/>
    <s v="GBNIZY"/>
    <s v="Código de cliente não identificado&lt;-ObterCliente&lt;-MontarPnrBase&lt;-ProcessarAereo&lt;-ProcessarItemFila[b]"/>
    <x v="1334"/>
    <m/>
    <s v="CLIENTE"/>
    <x v="14"/>
    <s v="DK DE CLIENTE NÃO PREENCIDO / CLIENTE NÃO CONFIGURADO NO OBT"/>
    <s v="INDEFINIDO"/>
    <x v="1"/>
    <s v="COLUNA I"/>
  </r>
  <r>
    <s v="TMS"/>
    <m/>
    <x v="2"/>
    <n v="3436737"/>
    <x v="1"/>
    <d v="2025-05-22T09:42:00"/>
    <n v="6896"/>
    <n v="6896"/>
    <s v="Preenchendo XML Serviço-&gt; Preenchendo XML-&gt; Montando accounting aereo 2-&gt;Não foi informado o Localizador do Assento/Bagagem!"/>
    <x v="1335"/>
    <d v="2025-05-25T22:31:00"/>
    <s v="OUTROS"/>
    <x v="15"/>
    <s v="CAMPO OBSERVAÇÃO PREENCHIDO INCORRETAMENTE"/>
    <s v="QUALIDADE DOS DADOS"/>
    <x v="1"/>
    <n v="118"/>
  </r>
  <r>
    <s v="TMS"/>
    <m/>
    <x v="2"/>
    <n v="3436739"/>
    <x v="1"/>
    <d v="2025-05-22T09:47:00"/>
    <n v="6890"/>
    <n v="6890"/>
    <s v="Preenchendo XML Serviço-&gt; Preenchendo XML-&gt; Montando accounting aereo 2-&gt;Não foi informado o Localizador do Assento/Bagagem!"/>
    <x v="1336"/>
    <d v="2025-05-25T22:31:00"/>
    <s v="OUTROS"/>
    <x v="15"/>
    <s v="CAMPO OBSERVAÇÃO PREENCHIDO INCORRETAMENTE"/>
    <s v="QUALIDADE DOS DADOS"/>
    <x v="1"/>
    <n v="118"/>
  </r>
  <r>
    <s v="TMS"/>
    <m/>
    <x v="2"/>
    <n v="3436891"/>
    <x v="1"/>
    <d v="2025-05-22T10:00:00"/>
    <n v="66584"/>
    <n v="66584"/>
    <s v="Preenchendo XML Serviço-&gt; Preenchendo XML-&gt; Montando accounting aereo 2-&gt;Não foi informado o Localizador do Assento/Bagagem!"/>
    <x v="1337"/>
    <d v="2025-05-25T22:32:00"/>
    <s v="OUTROS"/>
    <x v="15"/>
    <s v="CAMPO OBSERVAÇÃO PREENCHIDO INCORRETAMENTE"/>
    <s v="QUALIDADE DOS DADOS"/>
    <x v="1"/>
    <n v="118"/>
  </r>
  <r>
    <s v="TMS"/>
    <m/>
    <x v="2"/>
    <n v="3436892"/>
    <x v="1"/>
    <d v="2025-05-22T09:52:00"/>
    <n v="66583"/>
    <n v="66583"/>
    <s v="Preenchendo XML Serviço-&gt; Preenchendo XML-&gt; Montando accounting aereo 2-&gt;Não foi informado o Localizador do Assento/Bagagem!"/>
    <x v="1337"/>
    <d v="2025-05-25T22:32:00"/>
    <s v="OUTROS"/>
    <x v="15"/>
    <s v="CAMPO OBSERVAÇÃO PREENCHIDO INCORRETAMENTE"/>
    <s v="QUALIDADE DOS DADOS"/>
    <x v="1"/>
    <n v="118"/>
  </r>
  <r>
    <s v="TMS"/>
    <m/>
    <x v="2"/>
    <n v="3436893"/>
    <x v="1"/>
    <d v="2025-05-22T09:56:00"/>
    <n v="66582"/>
    <n v="66582"/>
    <s v="Preenchendo XML Serviço-&gt; Preenchendo XML-&gt; Montando accounting aereo 2-&gt;Não foi informado o Localizador do Assento/Bagagem!"/>
    <x v="1337"/>
    <d v="2025-05-25T22:32:00"/>
    <s v="OUTROS"/>
    <x v="15"/>
    <s v="CAMPO OBSERVAÇÃO PREENCHIDO INCORRETAMENTE"/>
    <s v="QUALIDADE DOS DADOS"/>
    <x v="1"/>
    <n v="118"/>
  </r>
  <r>
    <s v="TMS"/>
    <m/>
    <x v="2"/>
    <n v="3436894"/>
    <x v="1"/>
    <d v="2025-05-22T09:48:00"/>
    <n v="66579"/>
    <n v="66579"/>
    <s v="Preenchendo XML Serviço-&gt; Preenchendo XML-&gt; Montando accounting aereo 2-&gt;Não foi informado o Localizador do Assento/Bagagem!"/>
    <x v="1337"/>
    <d v="2025-05-25T22:32:00"/>
    <s v="OUTROS"/>
    <x v="15"/>
    <s v="CAMPO OBSERVAÇÃO PREENCHIDO INCORRETAMENTE"/>
    <s v="QUALIDADE DOS DADOS"/>
    <x v="1"/>
    <n v="118"/>
  </r>
  <r>
    <s v="TMS"/>
    <m/>
    <x v="2"/>
    <n v="3436896"/>
    <x v="1"/>
    <d v="2025-05-22T09:54:00"/>
    <n v="66578"/>
    <n v="66578"/>
    <s v="Preenchendo XML Serviço-&gt; Preenchendo XML-&gt; Montando accounting aereo 2-&gt;Não foi informado o Localizador do Assento/Bagagem!"/>
    <x v="1338"/>
    <d v="2025-05-25T22:32:00"/>
    <s v="OUTROS"/>
    <x v="15"/>
    <s v="CAMPO OBSERVAÇÃO PREENCHIDO INCORRETAMENTE"/>
    <s v="QUALIDADE DOS DADOS"/>
    <x v="1"/>
    <n v="118"/>
  </r>
  <r>
    <s v="TMS"/>
    <m/>
    <x v="2"/>
    <n v="3436899"/>
    <x v="1"/>
    <d v="2025-05-22T09:46:00"/>
    <n v="66577"/>
    <n v="66577"/>
    <s v="Preenchendo XML Serviço-&gt; Preenchendo XML-&gt; Montando accounting aereo 2-&gt;Não foi informado o Localizador do Assento/Bagagem!"/>
    <x v="1338"/>
    <d v="2025-05-25T22:32:00"/>
    <s v="OUTROS"/>
    <x v="15"/>
    <s v="CAMPO OBSERVAÇÃO PREENCHIDO INCORRETAMENTE"/>
    <s v="QUALIDADE DOS DADOS"/>
    <x v="1"/>
    <n v="118"/>
  </r>
  <r>
    <s v="RESOLVIDO"/>
    <m/>
    <x v="1"/>
    <n v="3437103"/>
    <x v="1"/>
    <d v="2025-05-22T12:18:00"/>
    <n v="106354"/>
    <n v="106354"/>
    <s v="Preenchendo XML Carro-&gt; Preenchendo XML-&gt; Montando accounting carro-&gt;Fornecedor com o código 415368  informado nos campos gerenciais não encontrado!"/>
    <x v="1339"/>
    <d v="2025-05-25T22:34:00"/>
    <s v="FORNECEDOR"/>
    <x v="10"/>
    <s v="CONTRATO INATIVO OU DIVERGENTE"/>
    <s v="SISTEMA"/>
    <x v="1"/>
    <n v="69"/>
  </r>
  <r>
    <s v="SABRE"/>
    <m/>
    <x v="2"/>
    <n v="3437150"/>
    <x v="2"/>
    <d v="2025-05-22T14:12:00"/>
    <s v="AZJMPD"/>
    <s v="AZJMPD"/>
    <s v="Não localizado cliente código [0000583808].&lt;-ObterCliente&lt;-MontarPnrBase&lt;-ProcessarAereo&lt;-ProcessarItemFila[b]"/>
    <x v="1340"/>
    <m/>
    <s v="CLIENTE"/>
    <x v="13"/>
    <s v="CÓDIGO DIFERENTE DO CADASTRADO NO BENNER (CLIENTE X GRUPO)"/>
    <s v="QUALIDADE DOS DADOS"/>
    <x v="0"/>
    <n v="1"/>
  </r>
  <r>
    <s v="SABRE"/>
    <m/>
    <x v="2"/>
    <n v="3437160"/>
    <x v="2"/>
    <d v="2025-05-22T14:14:00"/>
    <s v="CURZJY"/>
    <s v="CURZJY"/>
    <s v="Não localizado cliente código [0000392619].&lt;-ObterCliente&lt;-MontarPnrBase&lt;-ProcessarAereo&lt;-ProcessarItemFila[b]"/>
    <x v="1341"/>
    <m/>
    <s v="CLIENTE"/>
    <x v="13"/>
    <s v="CÓDIGO DIFERENTE DO CADASTRADO NO BENNER (CLIENTE X GRUPO)"/>
    <s v="QUALIDADE DOS DADOS"/>
    <x v="0"/>
    <n v="1"/>
  </r>
  <r>
    <s v="SABRE"/>
    <m/>
    <x v="2"/>
    <n v="3437178"/>
    <x v="2"/>
    <d v="2025-05-22T14:15:00"/>
    <s v="WGNTDF"/>
    <s v="WGNTDF"/>
    <s v="Não localizado cliente código [0000583808].&lt;-ObterCliente&lt;-MontarPnrBase&lt;-ProcessarAereo&lt;-ProcessarItemFila[b]"/>
    <x v="1342"/>
    <m/>
    <s v="CLIENTE"/>
    <x v="13"/>
    <s v="CÓDIGO DIFERENTE DO CADASTRADO NO BENNER (CLIENTE X GRUPO)"/>
    <s v="QUALIDADE DOS DADOS"/>
    <x v="0"/>
    <n v="1"/>
  </r>
  <r>
    <s v="SABRE"/>
    <m/>
    <x v="2"/>
    <n v="3437773"/>
    <x v="2"/>
    <d v="2025-05-22T15:24:00"/>
    <s v="EQLTUT"/>
    <s v="EQLTUT"/>
    <s v="Não localizado cliente código [0000392619].&lt;-ObterCliente&lt;-MontarPnrBase&lt;-ProcessarAereo&lt;-ProcessarItemFila[b]"/>
    <x v="1343"/>
    <m/>
    <s v="CLIENTE"/>
    <x v="13"/>
    <s v="CÓDIGO DIFERENTE DO CADASTRADO NO BENNER (CLIENTE X GRUPO)"/>
    <s v="QUALIDADE DOS DADOS"/>
    <x v="0"/>
    <n v="1"/>
  </r>
  <r>
    <s v="SABRE"/>
    <m/>
    <x v="2"/>
    <n v="3437775"/>
    <x v="2"/>
    <d v="2025-05-22T15:24:00"/>
    <s v="WFUHQK"/>
    <s v="WFUHQK"/>
    <s v="Não localizado cliente código [0000583808].&lt;-ObterCliente&lt;-MontarPnrBase&lt;-ProcessarAereo&lt;-ProcessarItemFila[b]"/>
    <x v="1343"/>
    <m/>
    <s v="CLIENTE"/>
    <x v="13"/>
    <s v="CÓDIGO DIFERENTE DO CADASTRADO NO BENNER (CLIENTE X GRUPO)"/>
    <s v="QUALIDADE DOS DADOS"/>
    <x v="0"/>
    <n v="1"/>
  </r>
  <r>
    <s v="SABRE"/>
    <m/>
    <x v="2"/>
    <n v="3437776"/>
    <x v="2"/>
    <d v="2025-05-22T15:24:00"/>
    <s v="AWZYFU"/>
    <s v="AWZYFU"/>
    <s v="Não localizado cliente código [0000583808].&lt;-ObterCliente&lt;-MontarPnrBase&lt;-ProcessarAereo&lt;-ProcessarItemFila[b]"/>
    <x v="1343"/>
    <m/>
    <s v="CLIENTE"/>
    <x v="13"/>
    <s v="CÓDIGO DIFERENTE DO CADASTRADO NO BENNER (CLIENTE X GRUPO)"/>
    <s v="QUALIDADE DOS DADOS"/>
    <x v="0"/>
    <n v="1"/>
  </r>
  <r>
    <s v="SABRE"/>
    <m/>
    <x v="2"/>
    <n v="3437791"/>
    <x v="2"/>
    <d v="2025-05-23T09:54:00"/>
    <s v="EPDRXU"/>
    <s v="EPDRXU"/>
    <s v="Não localizado cliente com CNPJ [JTI PROCESSADORA].&lt;-ObterCliente&lt;-MontarPnrBase&lt;-ProcessarAereo&lt;-ProcessarItemFila[b]"/>
    <x v="1344"/>
    <d v="2025-05-23T12:05:00"/>
    <s v="CLIENTE"/>
    <x v="12"/>
    <s v=""/>
    <s v="SISTEMA"/>
    <x v="1"/>
    <n v="24"/>
  </r>
  <r>
    <s v="SABRE"/>
    <m/>
    <x v="2"/>
    <n v="3437793"/>
    <x v="2"/>
    <d v="2025-05-23T09:54:00"/>
    <s v="JXGTYL"/>
    <s v="JXGTYL"/>
    <s v="Não localizado cliente com CNPJ [JTI PROCESSADORA].&lt;-ObterCliente&lt;-MontarPnrBase&lt;-ProcessarAereo&lt;-ProcessarItemFila[b]"/>
    <x v="1344"/>
    <d v="2025-05-23T12:06:00"/>
    <s v="CLIENTE"/>
    <x v="12"/>
    <s v=""/>
    <s v="QUALIDADE DOS DADOS"/>
    <x v="1"/>
    <n v="24"/>
  </r>
  <r>
    <s v="SABRE"/>
    <m/>
    <x v="2"/>
    <n v="3437797"/>
    <x v="2"/>
    <d v="2025-05-22T15:28:00"/>
    <s v="JXXQEH"/>
    <s v="JXXQEH"/>
    <s v="Não localizado cliente código [0000049977].&lt;-ObterCliente&lt;-MontarPnrBase&lt;-ProcessarAereo&lt;-ProcessarItemFila[b]"/>
    <x v="1345"/>
    <m/>
    <s v="CLIENTE"/>
    <x v="13"/>
    <s v="CÓDIGO DIFERENTE DO CADASTRADO NO BENNER (CLIENTE X GRUPO)"/>
    <s v="QUALIDADE DOS DADOS"/>
    <x v="0"/>
    <n v="1"/>
  </r>
  <r>
    <s v="SABRE"/>
    <m/>
    <x v="2"/>
    <n v="3438054"/>
    <x v="2"/>
    <d v="2025-05-22T18:50:00"/>
    <s v="LIIBOM"/>
    <s v="LIIBOM"/>
    <s v="Não localizado cliente código [0000050257].&lt;-ObterCliente&lt;-MontarPnrBase&lt;-ProcessarAereo&lt;-ProcessarItemFila[b]"/>
    <x v="1346"/>
    <m/>
    <s v="CLIENTE"/>
    <x v="13"/>
    <s v="CÓDIGO DIFERENTE DO CADASTRADO NO BENNER (CLIENTE X GRUPO)"/>
    <s v="QUALIDADE DOS DADOS"/>
    <x v="0"/>
    <n v="1"/>
  </r>
  <r>
    <s v="SABRE"/>
    <m/>
    <x v="2"/>
    <n v="3438055"/>
    <x v="2"/>
    <d v="2025-05-22T18:50:00"/>
    <s v="LIRCLY"/>
    <s v="LIRCLY"/>
    <s v="Não localizado cliente código [0000050257].&lt;-ObterCliente&lt;-MontarPnrBase&lt;-ProcessarAereo&lt;-ProcessarItemFila[b]"/>
    <x v="1346"/>
    <m/>
    <s v="CLIENTE"/>
    <x v="13"/>
    <s v="CÓDIGO DIFERENTE DO CADASTRADO NO BENNER (CLIENTE X GRUPO)"/>
    <s v="QUALIDADE DOS DADOS"/>
    <x v="0"/>
    <n v="1"/>
  </r>
  <r>
    <s v="SABRE"/>
    <m/>
    <x v="2"/>
    <n v="3438057"/>
    <x v="2"/>
    <d v="2025-05-22T18:50:00"/>
    <s v="WEELPU"/>
    <s v="WEELPU"/>
    <s v="Não localizado cliente código [0000050257].&lt;-ObterCliente&lt;-MontarPnrBase&lt;-ProcessarAereo&lt;-ProcessarItemFila[b]"/>
    <x v="1346"/>
    <m/>
    <s v="CLIENTE"/>
    <x v="13"/>
    <s v="CÓDIGO DIFERENTE DO CADASTRADO NO BENNER (CLIENTE X GRUPO)"/>
    <s v="QUALIDADE DOS DADOS"/>
    <x v="0"/>
    <n v="1"/>
  </r>
  <r>
    <s v="SABRE"/>
    <m/>
    <x v="2"/>
    <n v="3438058"/>
    <x v="2"/>
    <d v="2025-05-22T18:50:00"/>
    <s v="IHUMWP"/>
    <s v="IHUMWP"/>
    <s v="Não localizado cliente código [1234567890].&lt;-ObterCliente&lt;-MontarPnrBase&lt;-ProcessarAereo&lt;-ProcessarItemFila[b]"/>
    <x v="1347"/>
    <m/>
    <s v="CLIENTE"/>
    <x v="13"/>
    <s v="CÓDIGO DIFERENTE DO CADASTRADO NO BENNER (CLIENTE X GRUPO)"/>
    <s v="QUALIDADE DOS DADOS"/>
    <x v="0"/>
    <n v="1"/>
  </r>
  <r>
    <s v="LEMONTECH"/>
    <m/>
    <x v="2"/>
    <n v="3438744"/>
    <x v="3"/>
    <d v="2025-05-22T16:21:00"/>
    <s v="16675652-53159719"/>
    <s v="NVNXZK"/>
    <s v="Inserindo PNR - Accountings - TurVendas - Não foi possível localizar o contrato do fornecedor UN"/>
    <x v="1348"/>
    <d v="2025-05-26T08:01:00"/>
    <s v="FORNECEDOR"/>
    <x v="10"/>
    <s v="CONTRATO INATIVO OU DIVERGENTE"/>
    <s v="SISTEMA"/>
    <x v="1"/>
    <n v="43"/>
  </r>
  <r>
    <s v="SABRE"/>
    <m/>
    <x v="2"/>
    <n v="3439404"/>
    <x v="2"/>
    <d v="2025-05-23T12:20:00"/>
    <s v="KSLZJF"/>
    <s v="KSLZJF"/>
    <s v="ERRO: Cancelamento de Venda: Não há PNR no sistema para cancelar, venda não inserida!"/>
    <x v="1349"/>
    <m/>
    <s v="CANCELAMENTO"/>
    <x v="6"/>
    <s v="RESERVA CANCELADA NO OBT"/>
    <s v="SISTEMA"/>
    <x v="0"/>
    <s v="COLUNA I"/>
  </r>
  <r>
    <s v="TMS"/>
    <m/>
    <x v="2"/>
    <n v="3440747"/>
    <x v="1"/>
    <d v="2025-05-23T14:17:00"/>
    <n v="6922"/>
    <n v="6922"/>
    <s v="Preenchendo XML Aéreo-&gt; Preenchendo XML-&gt; Montando accounting aereo-&gt;Número do bilhete não identificado"/>
    <x v="1350"/>
    <d v="2025-05-26T23:54:00"/>
    <s v="OUTROS"/>
    <x v="17"/>
    <s v=""/>
    <e v="#N/A"/>
    <x v="3"/>
    <s v="COLUNA I"/>
  </r>
  <r>
    <s v="SABRE"/>
    <m/>
    <x v="2"/>
    <n v="3440893"/>
    <x v="2"/>
    <d v="2025-05-23T17:20:00"/>
    <s v="UJLYNR"/>
    <s v="UJLYNR"/>
    <s v="Não localizado cliente código [1234567890].&lt;-ObterCliente&lt;-MontarPnrBase&lt;-ProcessarAereo&lt;-ProcessarItemFila[b]"/>
    <x v="1351"/>
    <m/>
    <s v="CLIENTE"/>
    <x v="13"/>
    <s v="CÓDIGO DIFERENTE DO CADASTRADO NO BENNER (CLIENTE X GRUPO)"/>
    <s v="QUALIDADE DOS DADOS"/>
    <x v="0"/>
    <n v="1"/>
  </r>
  <r>
    <s v="SABRE"/>
    <m/>
    <x v="2"/>
    <n v="3440901"/>
    <x v="2"/>
    <d v="2025-05-26T06:31:00"/>
    <s v="UCLOEY"/>
    <s v="UCLOEY"/>
    <s v="Código de cliente não identificado&lt;-ObterCliente&lt;-MontarPnrBase&lt;-ProcessarAereo&lt;-ProcessarItemFila[b]"/>
    <x v="1352"/>
    <d v="2025-05-26T08:34:00"/>
    <s v="CLIENTE"/>
    <x v="14"/>
    <s v="DK DE CLIENTE NÃO PREENCIDO / CLIENTE NÃO CONFIGURADO NO OBT"/>
    <s v="INDEFINIDO"/>
    <x v="1"/>
    <s v="COLUNA I"/>
  </r>
  <r>
    <s v="SABRE"/>
    <m/>
    <x v="2"/>
    <n v="3440903"/>
    <x v="2"/>
    <d v="2025-05-23T17:39:00"/>
    <s v="SZPVQF"/>
    <s v="SZPVQF"/>
    <s v="Código de cliente não identificado&lt;-ObterCliente&lt;-MontarPnrBase&lt;-ProcessarAereo&lt;-ProcessarItemFila[b]"/>
    <x v="1353"/>
    <m/>
    <s v="CLIENTE"/>
    <x v="14"/>
    <s v="DK DE CLIENTE NÃO PREENCIDO / CLIENTE NÃO CONFIGURADO NO OBT"/>
    <s v="INDEFINIDO"/>
    <x v="1"/>
    <s v="COLUNA I"/>
  </r>
  <r>
    <s v="SABRE"/>
    <m/>
    <x v="2"/>
    <n v="3440904"/>
    <x v="2"/>
    <d v="2025-05-23T17:43:00"/>
    <s v="OJUEAA"/>
    <s v="OJUEAA"/>
    <s v="Inserindo Accounting - (ExecSQL) - List index out of bounds (0)"/>
    <x v="1353"/>
    <m/>
    <s v="OUTROS"/>
    <x v="7"/>
    <s v="ERRO NA IMPORTAÇÃO/MODIFICAÇÃO DAS INFOMAÇÕES"/>
    <s v="SISTEMA"/>
    <x v="2"/>
    <s v="COLUNA I"/>
  </r>
  <r>
    <s v="GOVER"/>
    <m/>
    <x v="2"/>
    <n v="3440939"/>
    <x v="0"/>
    <d v="2025-05-23T13:58:00"/>
    <n v="4542078"/>
    <s v="movida"/>
    <s v="PreencherPnr-&gt;Não foi encontrado nenhum item veículo para o localizador movida"/>
    <x v="1354"/>
    <d v="2025-06-02T16:57:00"/>
    <s v="OUTROS"/>
    <x v="0"/>
    <s v="TAGS DE DETALHAMENTO DO SERVIÇO NÃO ENVIADO NO XML"/>
    <s v="SISTEMA"/>
    <x v="0"/>
    <n v="46"/>
  </r>
  <r>
    <s v="SABRE"/>
    <m/>
    <x v="2"/>
    <n v="3440949"/>
    <x v="2"/>
    <d v="2025-05-23T18:20:00"/>
    <s v="YVRICA"/>
    <s v="YVRICA"/>
    <s v="Código de cliente não identificado&lt;-ObterCliente&lt;-MontarPnrBase&lt;-ProcessarAereo&lt;-ProcessarItemFila[b]"/>
    <x v="1355"/>
    <m/>
    <s v="CLIENTE"/>
    <x v="14"/>
    <s v="DK DE CLIENTE NÃO PREENCIDO / CLIENTE NÃO CONFIGURADO NO OBT"/>
    <s v="INDEFINIDO"/>
    <x v="1"/>
    <s v="COLUNA I"/>
  </r>
  <r>
    <s v="GOVER"/>
    <m/>
    <x v="2"/>
    <n v="3440965"/>
    <x v="0"/>
    <d v="2025-05-23T16:46:00"/>
    <n v="4542319"/>
    <n v="4542319"/>
    <s v="PreencherPnr-&gt;Foi identificado um localizador sem código."/>
    <x v="1356"/>
    <d v="2025-06-02T16:57:00"/>
    <s v="OUTROS"/>
    <x v="1"/>
    <s v="RLOC NÃO PREENCHIDO NA RESERVA"/>
    <s v="QUALIDADE DOS DADOS"/>
    <x v="0"/>
    <s v="COLUNA I"/>
  </r>
  <r>
    <s v="SABRE"/>
    <m/>
    <x v="2"/>
    <n v="3441824"/>
    <x v="2"/>
    <d v="2025-05-26T06:34:00"/>
    <s v="JLRKPX"/>
    <s v="JLRKPX"/>
    <s v="ERRO: Cancelamento de Venda: Não há PNR no sistema para cancelar, venda não inserida!"/>
    <x v="1357"/>
    <m/>
    <s v="CANCELAMENTO"/>
    <x v="6"/>
    <s v="RESERVA CANCELADA NO OBT"/>
    <s v="SISTEMA"/>
    <x v="0"/>
    <s v="COLUNA I"/>
  </r>
  <r>
    <s v="SABRE"/>
    <m/>
    <x v="2"/>
    <n v="3441872"/>
    <x v="2"/>
    <d v="2025-05-26T07:19:00"/>
    <s v="GSIISP"/>
    <s v="GSIISP"/>
    <s v="ERRO: Cancelamento de Venda: Não há PNR no sistema para cancelar, venda não inserida!"/>
    <x v="1358"/>
    <d v="2025-05-26T09:30:00"/>
    <s v="CANCELAMENTO"/>
    <x v="6"/>
    <s v="RESERVA CANCELADA NO OBT"/>
    <s v="SISTEMA"/>
    <x v="0"/>
    <s v="COLUNA I"/>
  </r>
  <r>
    <s v="SABRE"/>
    <m/>
    <x v="2"/>
    <n v="3441873"/>
    <x v="2"/>
    <d v="2025-05-26T07:19:00"/>
    <s v="GSIISPT"/>
    <s v="GSIISP"/>
    <s v="Inserindo PNR - Accountings - TurVendas - Não foi possível localizar o contrato do fornecedor H84698"/>
    <x v="1358"/>
    <d v="2025-05-26T09:30:00"/>
    <s v="FORNECEDOR"/>
    <x v="10"/>
    <s v="CONTRATO INATIVO OU DIVERGENTE"/>
    <s v="SISTEMA"/>
    <x v="1"/>
    <n v="43"/>
  </r>
  <r>
    <s v="SABRE"/>
    <m/>
    <x v="2"/>
    <n v="3441938"/>
    <x v="2"/>
    <d v="2025-05-26T08:01:00"/>
    <s v="CMSCKYT"/>
    <s v="CMSCKY"/>
    <s v="ConverterPagamentosRemark-&gt;Input string was not in a correct format.&lt;-MontarAccountinsHotel&lt;-ProcessarHotel&lt;-ProcessarItemFila[b]"/>
    <x v="1359"/>
    <m/>
    <s v="FORMA PAGTO/RECTO"/>
    <x v="2"/>
    <s v="TEXTO FORA DO PADRÃO ACEITO NO CAMPO"/>
    <s v="INDEFINIDO"/>
    <x v="0"/>
    <s v="COLUNA I"/>
  </r>
  <r>
    <s v="SABRE"/>
    <m/>
    <x v="2"/>
    <n v="3441939"/>
    <x v="2"/>
    <d v="2025-05-26T08:01:00"/>
    <s v="ENLKNYT"/>
    <s v="ENLKNY"/>
    <s v="ConverterPagamentosRemark-&gt;Input string was not in a correct format.&lt;-MontarAccountinsHotel&lt;-ProcessarHotel&lt;-ProcessarItemFila[b]"/>
    <x v="1359"/>
    <m/>
    <s v="FORMA PAGTO/RECTO"/>
    <x v="2"/>
    <s v="TEXTO FORA DO PADRÃO ACEITO NO CAMPO"/>
    <s v="INDEFINIDO"/>
    <x v="0"/>
    <s v="COLUNA I"/>
  </r>
  <r>
    <s v="SABRE"/>
    <m/>
    <x v="2"/>
    <n v="3442473"/>
    <x v="2"/>
    <d v="2025-05-26T09:59:00"/>
    <s v="KBFGOE"/>
    <s v="KBFGOE"/>
    <s v="Não localizado cliente com CNPJ [JTI DISTRIBUIDORA].&lt;-ObterCliente&lt;-MontarPnrBase&lt;-ProcessarAereo&lt;-ProcessarItemFila[b]"/>
    <x v="1360"/>
    <m/>
    <s v="CLIENTE"/>
    <x v="12"/>
    <s v=""/>
    <s v="QUALIDADE DOS DADOS"/>
    <x v="1"/>
    <n v="24"/>
  </r>
  <r>
    <s v="SABRE"/>
    <m/>
    <x v="2"/>
    <n v="3442474"/>
    <x v="2"/>
    <d v="2025-05-26T09:59:00"/>
    <s v="KBFGOET"/>
    <s v="KBFGOE"/>
    <s v="Não localizado cliente com CNPJ [JTI DISTRIBUIDORA].&lt;-ObterCliente&lt;-MontarPnrBase&lt;-MontarPnr&lt;-ProcessarHotel&lt;-ProcessarItemFila[b]"/>
    <x v="1361"/>
    <m/>
    <s v="CLIENTE"/>
    <x v="12"/>
    <s v=""/>
    <s v="SISTEMA"/>
    <x v="1"/>
    <n v="24"/>
  </r>
  <r>
    <s v="SABRE"/>
    <m/>
    <x v="2"/>
    <n v="3442624"/>
    <x v="2"/>
    <d v="2025-05-27T07:42:00"/>
    <s v="OOOSTD"/>
    <s v="OOOSTD"/>
    <s v="ERRO: Cancelamento de Venda: Não há PNR no sistema para cancelar, venda não inserida!"/>
    <x v="1362"/>
    <d v="2025-05-27T09:47:00"/>
    <s v="CANCELAMENTO"/>
    <x v="6"/>
    <s v="RESERVA CANCELADA NO OBT"/>
    <s v="SISTEMA"/>
    <x v="0"/>
    <s v="COLUNA I"/>
  </r>
  <r>
    <s v="GOVER"/>
    <m/>
    <x v="2"/>
    <n v="3444151"/>
    <x v="0"/>
    <d v="2025-05-26T22:01:00"/>
    <n v="4543354"/>
    <n v="4543354"/>
    <s v="PreencherPnr-&gt;Foi identificado um localizador sem código."/>
    <x v="1363"/>
    <d v="2025-06-02T16:57:00"/>
    <s v="OUTROS"/>
    <x v="1"/>
    <s v="RLOC NÃO PREENCHIDO NA RESERVA"/>
    <s v="QUALIDADE DOS DADOS"/>
    <x v="0"/>
    <s v="COLUNA I"/>
  </r>
  <r>
    <s v="SABRE"/>
    <m/>
    <x v="2"/>
    <n v="3444818"/>
    <x v="2"/>
    <d v="2025-05-27T08:04:00"/>
    <s v="JPASFK"/>
    <s v="JPASFK"/>
    <s v="Código de cliente não identificado&lt;-ObterCliente&lt;-MontarPnrBase&lt;-ProcessarAereo&lt;-ProcessarItemFila[b]"/>
    <x v="1364"/>
    <m/>
    <s v="CLIENTE"/>
    <x v="14"/>
    <s v="DK DE CLIENTE NÃO PREENCIDO / CLIENTE NÃO CONFIGURADO NO OBT"/>
    <s v="INDEFINIDO"/>
    <x v="1"/>
    <s v="COLUNA I"/>
  </r>
  <r>
    <s v="SABRE"/>
    <m/>
    <x v="2"/>
    <n v="3444819"/>
    <x v="2"/>
    <d v="2025-05-27T08:04:00"/>
    <s v="LJLDGS"/>
    <s v="LJLDGS"/>
    <s v="Não localizado cliente código [0000583808].&lt;-ObterCliente&lt;-MontarPnrBase&lt;-ProcessarAereo&lt;-ProcessarItemFila[b]"/>
    <x v="1364"/>
    <m/>
    <s v="CLIENTE"/>
    <x v="13"/>
    <s v="CÓDIGO DIFERENTE DO CADASTRADO NO BENNER (CLIENTE X GRUPO)"/>
    <s v="QUALIDADE DOS DADOS"/>
    <x v="0"/>
    <n v="1"/>
  </r>
  <r>
    <s v="SABRE"/>
    <m/>
    <x v="2"/>
    <n v="3444820"/>
    <x v="2"/>
    <d v="2025-05-27T08:04:00"/>
    <s v="LJKSZF"/>
    <s v="LJKSZF"/>
    <s v="Não localizado cliente código [0000583808].&lt;-ObterCliente&lt;-MontarPnrBase&lt;-ProcessarAereo&lt;-ProcessarItemFila[b]"/>
    <x v="1364"/>
    <m/>
    <s v="CLIENTE"/>
    <x v="13"/>
    <s v="CÓDIGO DIFERENTE DO CADASTRADO NO BENNER (CLIENTE X GRUPO)"/>
    <s v="QUALIDADE DOS DADOS"/>
    <x v="0"/>
    <n v="1"/>
  </r>
  <r>
    <s v="SABRE"/>
    <m/>
    <x v="2"/>
    <n v="3444821"/>
    <x v="2"/>
    <d v="2025-05-27T08:04:00"/>
    <s v="MANPYD"/>
    <s v="MANPYD"/>
    <s v="Não localizado cliente código [0000583808].&lt;-ObterCliente&lt;-MontarPnrBase&lt;-ProcessarAereo&lt;-ProcessarItemFila[b]"/>
    <x v="1364"/>
    <m/>
    <s v="CLIENTE"/>
    <x v="13"/>
    <s v="CÓDIGO DIFERENTE DO CADASTRADO NO BENNER (CLIENTE X GRUPO)"/>
    <s v="QUALIDADE DOS DADOS"/>
    <x v="0"/>
    <n v="1"/>
  </r>
  <r>
    <s v="SABRE"/>
    <m/>
    <x v="2"/>
    <n v="3444822"/>
    <x v="2"/>
    <d v="2025-05-27T08:04:00"/>
    <s v="UAGXAH"/>
    <s v="UAGXAH"/>
    <s v="Não localizado cliente código [0000000].&lt;-ObterCliente&lt;-MontarPnrBase&lt;-ProcessarAereo&lt;-ProcessarItemFila[b]"/>
    <x v="1365"/>
    <m/>
    <s v="CLIENTE"/>
    <x v="13"/>
    <s v="CÓDIGO DIFERENTE DO CADASTRADO NO BENNER (CLIENTE X GRUPO)"/>
    <s v="QUALIDADE DOS DADOS"/>
    <x v="0"/>
    <n v="1"/>
  </r>
  <r>
    <s v="SABRE"/>
    <m/>
    <x v="2"/>
    <n v="3444823"/>
    <x v="2"/>
    <d v="2025-05-27T08:04:00"/>
    <s v="LNQLTV"/>
    <s v="LNQLTV"/>
    <s v="Não localizado cliente código [0000000].&lt;-ObterCliente&lt;-MontarPnrBase&lt;-ProcessarAereo&lt;-ProcessarItemFila[b]"/>
    <x v="1365"/>
    <m/>
    <s v="CLIENTE"/>
    <x v="13"/>
    <s v="CÓDIGO DIFERENTE DO CADASTRADO NO BENNER (CLIENTE X GRUPO)"/>
    <s v="QUALIDADE DOS DADOS"/>
    <x v="0"/>
    <n v="1"/>
  </r>
  <r>
    <s v="SABRE"/>
    <m/>
    <x v="2"/>
    <n v="3444824"/>
    <x v="2"/>
    <d v="2025-05-27T08:04:00"/>
    <s v="DADMJB"/>
    <s v="DADMJB"/>
    <s v="Não localizado cliente código [0000000].&lt;-ObterCliente&lt;-MontarPnrBase&lt;-ProcessarAereo&lt;-ProcessarItemFila[b]"/>
    <x v="1366"/>
    <m/>
    <s v="CLIENTE"/>
    <x v="13"/>
    <s v="CÓDIGO DIFERENTE DO CADASTRADO NO BENNER (CLIENTE X GRUPO)"/>
    <s v="QUALIDADE DOS DADOS"/>
    <x v="0"/>
    <n v="1"/>
  </r>
  <r>
    <s v="TMS"/>
    <m/>
    <x v="2"/>
    <n v="3445067"/>
    <x v="1"/>
    <d v="2025-05-27T09:43:00"/>
    <n v="22223"/>
    <n v="22223"/>
    <s v="Preenchendo XML Serviço-&gt; Preenchendo XML-&gt; Montando accounting aereo 3-&gt;Reserva ITQMAF não encontrada para importar assento/bagagem!"/>
    <x v="1367"/>
    <d v="2025-05-29T12:03:00"/>
    <s v="OUTROS"/>
    <x v="15"/>
    <s v="CAMPO OBSERVAÇÃO PREENCHIDO INCORRETAMENTE"/>
    <s v="QUALIDADE DOS DADOS"/>
    <x v="1"/>
    <n v="127"/>
  </r>
  <r>
    <s v="RESOLVIDO"/>
    <m/>
    <x v="1"/>
    <n v="3445172"/>
    <x v="1"/>
    <d v="2025-05-27T09:33:00"/>
    <n v="63788"/>
    <n v="63788"/>
    <s v="Preenchendo XML Carro-&gt; Preenchendo XML-&gt; Montando accounting carro-&gt;Fornecedor com o código 415368  informado nos campos gerenciais não encontrado!"/>
    <x v="1368"/>
    <d v="2025-05-29T12:28:00"/>
    <s v="FORNECEDOR"/>
    <x v="10"/>
    <s v="CONTRATO INATIVO OU DIVERGENTE"/>
    <s v="SISTEMA"/>
    <x v="1"/>
    <n v="69"/>
  </r>
  <r>
    <s v="SABRE"/>
    <m/>
    <x v="2"/>
    <n v="3445352"/>
    <x v="2"/>
    <d v="2025-05-27T14:21:00"/>
    <s v="ESIVMD"/>
    <s v="ESIVMD"/>
    <s v="Não localizado cliente código [0000050257].&lt;-ObterCliente&lt;-MontarPnrBase&lt;-ProcessarAereo&lt;-ProcessarItemFila[b]"/>
    <x v="1369"/>
    <d v="2025-05-27T16:33:00"/>
    <s v="CLIENTE"/>
    <x v="13"/>
    <s v="CÓDIGO DIFERENTE DO CADASTRADO NO BENNER (CLIENTE X GRUPO)"/>
    <s v="QUALIDADE DOS DADOS"/>
    <x v="0"/>
    <n v="1"/>
  </r>
  <r>
    <s v="SABRE"/>
    <m/>
    <x v="2"/>
    <n v="3445800"/>
    <x v="2"/>
    <d v="2025-05-27T14:21:00"/>
    <s v="FJINTU"/>
    <s v="FJINTU"/>
    <s v="Não localizado cliente código [1234567890].&lt;-ObterCliente&lt;-MontarPnrBase&lt;-ProcessarAereo&lt;-ProcessarItemFila[b]"/>
    <x v="1370"/>
    <m/>
    <s v="CLIENTE"/>
    <x v="13"/>
    <s v="CÓDIGO DIFERENTE DO CADASTRADO NO BENNER (CLIENTE X GRUPO)"/>
    <s v="QUALIDADE DOS DADOS"/>
    <x v="0"/>
    <n v="1"/>
  </r>
  <r>
    <s v="SABRE"/>
    <m/>
    <x v="2"/>
    <n v="3445801"/>
    <x v="2"/>
    <d v="2025-05-27T14:21:00"/>
    <s v="JFLIFJ"/>
    <s v="JFLIFJ"/>
    <s v="Não localizado cliente código [1234567890].&lt;-ObterCliente&lt;-MontarPnrBase&lt;-ProcessarAereo&lt;-ProcessarItemFila[b]"/>
    <x v="1370"/>
    <m/>
    <s v="CLIENTE"/>
    <x v="13"/>
    <s v="CÓDIGO DIFERENTE DO CADASTRADO NO BENNER (CLIENTE X GRUPO)"/>
    <s v="QUALIDADE DOS DADOS"/>
    <x v="0"/>
    <n v="1"/>
  </r>
  <r>
    <s v="SABRE"/>
    <m/>
    <x v="2"/>
    <n v="3445803"/>
    <x v="2"/>
    <d v="2025-05-27T14:21:00"/>
    <s v="JZWMSH"/>
    <s v="JZWMSH"/>
    <s v="Não localizado cliente código [0000000].&lt;-ObterCliente&lt;-MontarPnrBase&lt;-ProcessarAereo&lt;-ProcessarItemFila[b]"/>
    <x v="1371"/>
    <m/>
    <s v="CLIENTE"/>
    <x v="13"/>
    <s v="CÓDIGO DIFERENTE DO CADASTRADO NO BENNER (CLIENTE X GRUPO)"/>
    <s v="QUALIDADE DOS DADOS"/>
    <x v="0"/>
    <n v="1"/>
  </r>
  <r>
    <s v="SABRE"/>
    <m/>
    <x v="2"/>
    <n v="3445809"/>
    <x v="2"/>
    <d v="2025-05-27T14:21:00"/>
    <s v="KWBPUF"/>
    <s v="KWBPUF"/>
    <s v="Não localizado cliente código [0000583831].&lt;-ObterCliente&lt;-MontarPnrBase&lt;-ProcessarAereo&lt;-ProcessarItemFila[b]"/>
    <x v="1372"/>
    <m/>
    <s v="CLIENTE"/>
    <x v="13"/>
    <s v="CÓDIGO DIFERENTE DO CADASTRADO NO BENNER (CLIENTE X GRUPO)"/>
    <s v="QUALIDADE DOS DADOS"/>
    <x v="0"/>
    <n v="1"/>
  </r>
  <r>
    <s v="SABRE"/>
    <m/>
    <x v="2"/>
    <n v="3445828"/>
    <x v="2"/>
    <d v="2025-05-28T14:53:00"/>
    <s v="AUSPRW"/>
    <s v="AUSPRW"/>
    <s v="Não localizado cliente com CNPJ [JTI PROCESSADORA].&lt;-ObterCliente&lt;-MontarPnrBase&lt;-ProcessarAereo&lt;-ProcessarItemFila[b]"/>
    <x v="1373"/>
    <d v="2025-05-28T17:03:00"/>
    <s v="CLIENTE"/>
    <x v="12"/>
    <s v=""/>
    <s v="QUALIDADE DOS DADOS"/>
    <x v="1"/>
    <n v="24"/>
  </r>
  <r>
    <s v="SABRE"/>
    <m/>
    <x v="2"/>
    <n v="3445831"/>
    <x v="2"/>
    <d v="2025-05-27T14:21:00"/>
    <s v="EEQRAF"/>
    <s v="EEQRAF"/>
    <s v="Não localizado cliente código [1234567890].&lt;-ObterCliente&lt;-MontarPnrBase&lt;-ProcessarAereo&lt;-ProcessarItemFila[b]"/>
    <x v="1373"/>
    <m/>
    <s v="CLIENTE"/>
    <x v="13"/>
    <s v="CÓDIGO DIFERENTE DO CADASTRADO NO BENNER (CLIENTE X GRUPO)"/>
    <s v="QUALIDADE DOS DADOS"/>
    <x v="0"/>
    <n v="1"/>
  </r>
  <r>
    <s v="SABRE"/>
    <m/>
    <x v="2"/>
    <n v="3446291"/>
    <x v="2"/>
    <d v="2025-05-27T15:44:00"/>
    <s v="QHONWTT"/>
    <s v="QHONWT"/>
    <s v="ConverterPagamentosRemark-&gt;Input string was not in a correct format.&lt;-MontarAccountinsHotel&lt;-ProcessarHotel&lt;-ProcessarItemFila[b]"/>
    <x v="1374"/>
    <m/>
    <s v="FORMA PAGTO/RECTO"/>
    <x v="2"/>
    <s v="TEXTO FORA DO PADRÃO ACEITO NO CAMPO"/>
    <s v="INDEFINIDO"/>
    <x v="0"/>
    <s v="COLUNA I"/>
  </r>
  <r>
    <s v="TMS"/>
    <m/>
    <x v="2"/>
    <n v="3446591"/>
    <x v="1"/>
    <d v="2025-05-27T14:08:00"/>
    <n v="2435"/>
    <n v="2435"/>
    <s v="Preenchendo XML Serviço-&gt; Preenchendo XML-&gt; Montando accounting aereo 2-&gt;Não foi informado o Localizador do Assento/Bagagem!"/>
    <x v="1375"/>
    <d v="2025-05-29T12:05:00"/>
    <s v="OUTROS"/>
    <x v="15"/>
    <s v="CAMPO OBSERVAÇÃO PREENCHIDO INCORRETAMENTE"/>
    <s v="QUALIDADE DOS DADOS"/>
    <x v="1"/>
    <n v="118"/>
  </r>
  <r>
    <s v="TMS"/>
    <m/>
    <x v="2"/>
    <n v="3446599"/>
    <x v="1"/>
    <d v="2025-05-27T15:40:00"/>
    <n v="44802"/>
    <n v="44802"/>
    <s v="Preenchendo XML Serviço-&gt; Preenchendo XML-&gt; Montando accounting aereo 3-&gt;Reserva 127442 não encontrada para importar assento/bagagem!"/>
    <x v="1376"/>
    <d v="2025-05-29T12:06:00"/>
    <s v="OUTROS"/>
    <x v="15"/>
    <s v="CAMPO OBSERVAÇÃO PREENCHIDO INCORRETAMENTE"/>
    <s v="QUALIDADE DOS DADOS"/>
    <x v="1"/>
    <n v="127"/>
  </r>
  <r>
    <s v="SABRE"/>
    <m/>
    <x v="2"/>
    <n v="3447078"/>
    <x v="2"/>
    <d v="2025-05-27T18:27:00"/>
    <s v="ONSUYB"/>
    <s v="ONSUYB"/>
    <s v="Não localizado cliente código [0000084716].&lt;-ObterCliente&lt;-MontarPnrBase&lt;-ProcessarAereo&lt;-ProcessarItemFila[b]"/>
    <x v="1377"/>
    <m/>
    <s v="CLIENTE"/>
    <x v="13"/>
    <s v="CÓDIGO DIFERENTE DO CADASTRADO NO BENNER (CLIENTE X GRUPO)"/>
    <s v="QUALIDADE DOS DADOS"/>
    <x v="0"/>
    <n v="1"/>
  </r>
  <r>
    <s v="SABRE"/>
    <m/>
    <x v="2"/>
    <n v="3447080"/>
    <x v="2"/>
    <d v="2025-05-27T18:27:00"/>
    <s v="WPFIHV"/>
    <s v="WPFIHV"/>
    <s v="Código de cliente não identificado&lt;-ObterCliente&lt;-MontarPnrBase&lt;-ProcessarAereo&lt;-ProcessarItemFila[b]"/>
    <x v="1377"/>
    <m/>
    <s v="CLIENTE"/>
    <x v="14"/>
    <s v="DK DE CLIENTE NÃO PREENCIDO / CLIENTE NÃO CONFIGURADO NO OBT"/>
    <s v="INDEFINIDO"/>
    <x v="1"/>
    <s v="COLUNA I"/>
  </r>
  <r>
    <s v="SABRE"/>
    <m/>
    <x v="2"/>
    <n v="3447081"/>
    <x v="2"/>
    <d v="2025-05-27T18:27:00"/>
    <s v="WQYMZG"/>
    <s v="WQYMZG"/>
    <s v="Não localizado cliente código [1234567890].&lt;-ObterCliente&lt;-MontarPnrBase&lt;-ProcessarAereo&lt;-ProcessarItemFila[b]"/>
    <x v="1378"/>
    <m/>
    <s v="CLIENTE"/>
    <x v="13"/>
    <s v="CÓDIGO DIFERENTE DO CADASTRADO NO BENNER (CLIENTE X GRUPO)"/>
    <s v="QUALIDADE DOS DADOS"/>
    <x v="0"/>
    <n v="1"/>
  </r>
  <r>
    <s v="SABRE"/>
    <m/>
    <x v="2"/>
    <n v="3447083"/>
    <x v="2"/>
    <d v="2025-05-27T18:27:00"/>
    <s v="YUBQUI"/>
    <s v="YUBQUI"/>
    <s v="Não localizado cliente código [0000392619].&lt;-ObterCliente&lt;-MontarPnrBase&lt;-ProcessarAereo&lt;-ProcessarItemFila[b]"/>
    <x v="1378"/>
    <m/>
    <s v="CLIENTE"/>
    <x v="13"/>
    <s v="CÓDIGO DIFERENTE DO CADASTRADO NO BENNER (CLIENTE X GRUPO)"/>
    <s v="QUALIDADE DOS DADOS"/>
    <x v="0"/>
    <n v="1"/>
  </r>
  <r>
    <s v="SABRE"/>
    <m/>
    <x v="2"/>
    <n v="3447084"/>
    <x v="2"/>
    <d v="2025-05-27T18:27:00"/>
    <s v="NMJTKM"/>
    <s v="NMJTKM"/>
    <s v="Não localizado cliente código [0000392619].&lt;-ObterCliente&lt;-MontarPnrBase&lt;-ProcessarAereo&lt;-ProcessarItemFila[b]"/>
    <x v="1378"/>
    <m/>
    <s v="CLIENTE"/>
    <x v="13"/>
    <s v="CÓDIGO DIFERENTE DO CADASTRADO NO BENNER (CLIENTE X GRUPO)"/>
    <s v="QUALIDADE DOS DADOS"/>
    <x v="0"/>
    <n v="1"/>
  </r>
  <r>
    <s v="SABRE"/>
    <m/>
    <x v="2"/>
    <n v="3447098"/>
    <x v="2"/>
    <d v="2025-05-27T18:27:00"/>
    <s v="LUQHWC"/>
    <s v="LUQHWC"/>
    <s v="Código de cliente não identificado&lt;-ObterCliente&lt;-MontarPnrBase&lt;-ProcessarAereo&lt;-ProcessarItemFila[b]"/>
    <x v="1379"/>
    <m/>
    <s v="CLIENTE"/>
    <x v="14"/>
    <s v="DK DE CLIENTE NÃO PREENCIDO / CLIENTE NÃO CONFIGURADO NO OBT"/>
    <s v="INDEFINIDO"/>
    <x v="1"/>
    <s v="COLUNA I"/>
  </r>
  <r>
    <s v="SABRE"/>
    <m/>
    <x v="2"/>
    <n v="3447992"/>
    <x v="2"/>
    <d v="2025-05-28T15:33:00"/>
    <s v="GLMBWA"/>
    <s v="GLMBWA"/>
    <s v="Não localizado cliente código [0000625887].&lt;-ObterCliente&lt;-MontarPnrBase&lt;-ProcessarAereo&lt;-ProcessarItemFila[b]"/>
    <x v="1380"/>
    <d v="2025-05-28T17:36:00"/>
    <s v="CLIENTE"/>
    <x v="13"/>
    <s v="CÓDIGO DIFERENTE DO CADASTRADO NO BENNER (CLIENTE X GRUPO)"/>
    <s v="QUALIDADE DOS DADOS"/>
    <x v="0"/>
    <n v="1"/>
  </r>
  <r>
    <s v="TMS"/>
    <m/>
    <x v="2"/>
    <n v="3448035"/>
    <x v="1"/>
    <d v="2025-05-28T08:59:00"/>
    <n v="12445"/>
    <n v="12445"/>
    <s v="Preenchendo XML Serviço-&gt; Preenchendo XML-&gt; Montando accounting aereo 2-&gt;Não foi informado o Localizador do Assento/Bagagem!"/>
    <x v="1381"/>
    <d v="2025-05-29T12:29:00"/>
    <s v="OUTROS"/>
    <x v="15"/>
    <s v="CAMPO OBSERVAÇÃO PREENCHIDO INCORRETAMENTE"/>
    <s v="QUALIDADE DOS DADOS"/>
    <x v="1"/>
    <n v="118"/>
  </r>
  <r>
    <s v="SABRE"/>
    <m/>
    <x v="2"/>
    <n v="3448504"/>
    <x v="2"/>
    <d v="2025-05-28T13:58:00"/>
    <s v="MJZOLHT"/>
    <s v="MJZOLH"/>
    <s v="ConverterPagamentosRemark-&gt;Input string was not in a correct format.&lt;-MontarAccountinsHotel&lt;-ProcessarHotel&lt;-ProcessarItemFila[b]"/>
    <x v="1382"/>
    <m/>
    <s v="FORMA PAGTO/RECTO"/>
    <x v="2"/>
    <s v="TEXTO FORA DO PADRÃO ACEITO NO CAMPO"/>
    <s v="INDEFINIDO"/>
    <x v="0"/>
    <s v="COLUNA I"/>
  </r>
  <r>
    <s v="SABRE"/>
    <m/>
    <x v="2"/>
    <n v="3448986"/>
    <x v="2"/>
    <d v="2025-05-28T16:52:00"/>
    <s v="EDEKTW"/>
    <s v="EDEKTW"/>
    <s v="Não localizado cliente código [0000392619].&lt;-ObterCliente&lt;-MontarPnrBase&lt;-ProcessarAereo&lt;-ProcessarItemFila[b]"/>
    <x v="1383"/>
    <d v="2025-05-28T19:07:00"/>
    <s v="CLIENTE"/>
    <x v="13"/>
    <s v="CÓDIGO DIFERENTE DO CADASTRADO NO BENNER (CLIENTE X GRUPO)"/>
    <s v="QUALIDADE DOS DADOS"/>
    <x v="0"/>
    <n v="1"/>
  </r>
  <r>
    <s v="SABRE"/>
    <m/>
    <x v="2"/>
    <n v="3449627"/>
    <x v="2"/>
    <d v="2025-05-28T16:52:00"/>
    <s v="NIRLVE"/>
    <s v="NIRLVE"/>
    <s v="Não localizado cliente código [0000035405].&lt;-ObterCliente&lt;-MontarPnrBase&lt;-ProcessarAereo&lt;-ProcessarItemFila[b]"/>
    <x v="1384"/>
    <m/>
    <s v="CLIENTE"/>
    <x v="13"/>
    <s v="CÓDIGO DIFERENTE DO CADASTRADO NO BENNER (CLIENTE X GRUPO)"/>
    <s v="QUALIDADE DOS DADOS"/>
    <x v="0"/>
    <n v="1"/>
  </r>
  <r>
    <s v="SABRE"/>
    <m/>
    <x v="2"/>
    <n v="3449672"/>
    <x v="2"/>
    <d v="2025-05-28T16:52:00"/>
    <s v="MYVPYI"/>
    <s v="MYVPYI"/>
    <s v="Não localizado cliente com CNPJ [8373694000114].&lt;-ObterCliente&lt;-MontarPnrBase&lt;-ProcessarAereo&lt;-ProcessarItemFila[b]"/>
    <x v="1385"/>
    <m/>
    <s v="CLIENTE"/>
    <x v="12"/>
    <s v=""/>
    <s v="QUALIDADE DOS DADOS"/>
    <x v="1"/>
    <n v="24"/>
  </r>
  <r>
    <s v="SABRE"/>
    <m/>
    <x v="2"/>
    <n v="3449681"/>
    <x v="2"/>
    <d v="2025-05-28T18:15:00"/>
    <s v="QIMVNH"/>
    <s v="QIMVNH"/>
    <s v="Não localizado cliente código [0000000].&lt;-ObterCliente&lt;-MontarPnrBase&lt;-ProcessarAereo&lt;-ProcessarItemFila[b]"/>
    <x v="1386"/>
    <d v="2025-05-28T20:17:00"/>
    <s v="CLIENTE"/>
    <x v="13"/>
    <s v="CÓDIGO DIFERENTE DO CADASTRADO NO BENNER (CLIENTE X GRUPO)"/>
    <s v="QUALIDADE DOS DADOS"/>
    <x v="0"/>
    <n v="1"/>
  </r>
  <r>
    <s v="SABRE"/>
    <m/>
    <x v="2"/>
    <n v="3449685"/>
    <x v="2"/>
    <d v="2025-05-28T16:52:00"/>
    <s v="SZFTYM"/>
    <s v="SZFTYM"/>
    <s v="Código de cliente não identificado&lt;-ObterCliente&lt;-MontarPnrBase&lt;-ProcessarAereo&lt;-ProcessarItemFila[b]"/>
    <x v="1386"/>
    <m/>
    <s v="CLIENTE"/>
    <x v="14"/>
    <s v="DK DE CLIENTE NÃO PREENCIDO / CLIENTE NÃO CONFIGURADO NO OBT"/>
    <s v="INDEFINIDO"/>
    <x v="1"/>
    <s v="COLUNA I"/>
  </r>
  <r>
    <s v="TMS"/>
    <m/>
    <x v="2"/>
    <n v="3449821"/>
    <x v="1"/>
    <d v="2025-05-28T14:54:00"/>
    <n v="7165"/>
    <n v="7165"/>
    <s v="Preenchendo XML Aéreo-&gt; Preenchendo XML-&gt; Montando accounting aereo-&gt;Número do bilhete não identificado"/>
    <x v="1387"/>
    <d v="2025-05-29T12:53:00"/>
    <s v="OUTROS"/>
    <x v="17"/>
    <s v=""/>
    <s v="QUALIDADE DOS DADOS"/>
    <x v="3"/>
    <s v="COLUNA I"/>
  </r>
  <r>
    <s v="SABRE"/>
    <m/>
    <x v="2"/>
    <n v="3449908"/>
    <x v="2"/>
    <d v="2025-05-28T18:08:00"/>
    <s v="COKVRO"/>
    <s v="COKVRO"/>
    <s v="Não localizado cliente código [0000392619].&lt;-ObterCliente&lt;-MontarPnrBase&lt;-ProcessarAereo&lt;-ProcessarItemFila[b]"/>
    <x v="1388"/>
    <m/>
    <s v="CLIENTE"/>
    <x v="13"/>
    <s v="CÓDIGO DIFERENTE DO CADASTRADO NO BENNER (CLIENTE X GRUPO)"/>
    <s v="QUALIDADE DOS DADOS"/>
    <x v="0"/>
    <n v="1"/>
  </r>
  <r>
    <s v="SABRE"/>
    <m/>
    <x v="2"/>
    <n v="3449909"/>
    <x v="2"/>
    <d v="2025-05-28T18:08:00"/>
    <s v="WCVQUB"/>
    <s v="WCVQUB"/>
    <s v="Código de cliente não identificado&lt;-ObterCliente&lt;-MontarPnrBase&lt;-ProcessarAereo&lt;-ProcessarItemFila[b]"/>
    <x v="1388"/>
    <m/>
    <s v="CLIENTE"/>
    <x v="14"/>
    <s v="DK DE CLIENTE NÃO PREENCIDO / CLIENTE NÃO CONFIGURADO NO OBT"/>
    <s v="INDEFINIDO"/>
    <x v="1"/>
    <s v="COLUNA I"/>
  </r>
  <r>
    <s v="SABRE"/>
    <m/>
    <x v="2"/>
    <n v="3450420"/>
    <x v="2"/>
    <d v="2025-05-29T10:39:00"/>
    <s v="KSRJGE"/>
    <s v="KSRJGE"/>
    <s v="Não localizado cliente código [0000000].&lt;-ObterCliente&lt;-MontarPnrBase&lt;-ProcessarAereo&lt;-ProcessarItemFila[b]"/>
    <x v="1389"/>
    <d v="2025-05-29T12:47:00"/>
    <s v="CLIENTE"/>
    <x v="13"/>
    <s v="CÓDIGO DIFERENTE DO CADASTRADO NO BENNER (CLIENTE X GRUPO)"/>
    <s v="QUALIDADE DOS DADOS"/>
    <x v="0"/>
    <n v="1"/>
  </r>
  <r>
    <s v="RESOLVIDO"/>
    <m/>
    <x v="1"/>
    <n v="3450728"/>
    <x v="1"/>
    <d v="2025-05-29T08:59:00"/>
    <n v="4737"/>
    <n v="4737"/>
    <s v="Preenchendo XML Carro-&gt; Preenchendo XML-&gt; Montando accounting carro-&gt;Fornecedor com o código 415368  informado nos campos gerenciais não encontrado!"/>
    <x v="1390"/>
    <m/>
    <s v="FORNECEDOR"/>
    <x v="10"/>
    <s v="CONTRATO INATIVO OU DIVERGENTE"/>
    <s v="SISTEMA"/>
    <x v="1"/>
    <n v="69"/>
  </r>
  <r>
    <s v="RESOLVIDO"/>
    <m/>
    <x v="1"/>
    <n v="3450849"/>
    <x v="1"/>
    <d v="2025-05-29T10:20:00"/>
    <n v="64940"/>
    <n v="64940"/>
    <s v="Inserindo Accounting Servico - Parâmetro Consolidador - TurVendas - Não foi possível localizar o contrato do fornecedor 64192"/>
    <x v="1391"/>
    <m/>
    <s v="FORNECEDOR"/>
    <x v="10"/>
    <s v="CONTRATO INATIVO OU DIVERGENTE"/>
    <s v="SISTEMA"/>
    <x v="1"/>
    <n v="69"/>
  </r>
  <r>
    <s v="SABRE"/>
    <m/>
    <x v="2"/>
    <n v="3450939"/>
    <x v="2"/>
    <d v="2025-05-29T10:39:00"/>
    <s v="QAXQEN"/>
    <s v="QAXQEN"/>
    <s v="Não localizado cliente com CNPJ [8373694000114].&lt;-ObterCliente&lt;-MontarPnrBase&lt;-ProcessarAereo&lt;-ProcessarItemFila[b]"/>
    <x v="1392"/>
    <m/>
    <s v="CLIENTE"/>
    <x v="12"/>
    <s v=""/>
    <s v="QUALIDADE DOS DADOS"/>
    <x v="1"/>
    <n v="24"/>
  </r>
  <r>
    <s v="SABRE"/>
    <m/>
    <x v="2"/>
    <n v="3451105"/>
    <x v="2"/>
    <d v="2025-05-29T12:46:00"/>
    <s v="QDLEBT"/>
    <s v="QDLEBT"/>
    <s v="Não localizado cliente código [0000583831].&lt;-ObterCliente&lt;-MontarPnrBase&lt;-ProcessarAereo&lt;-ProcessarItemFila[b]"/>
    <x v="1393"/>
    <m/>
    <s v="CLIENTE"/>
    <x v="13"/>
    <s v="CÓDIGO DIFERENTE DO CADASTRADO NO BENNER (CLIENTE X GRUPO)"/>
    <s v="QUALIDADE DOS DADOS"/>
    <x v="0"/>
    <n v="1"/>
  </r>
  <r>
    <s v="SABRE"/>
    <m/>
    <x v="2"/>
    <n v="3451269"/>
    <x v="2"/>
    <d v="2025-05-29T14:49:00"/>
    <s v="EGTNLL"/>
    <s v="EGTNLL"/>
    <s v="Não localizado cliente código [0000583808].&lt;-ObterCliente&lt;-MontarPnrBase&lt;-ProcessarAereo&lt;-ProcessarItemFila[b]"/>
    <x v="1394"/>
    <m/>
    <s v="CLIENTE"/>
    <x v="13"/>
    <s v="CÓDIGO DIFERENTE DO CADASTRADO NO BENNER (CLIENTE X GRUPO)"/>
    <s v="QUALIDADE DOS DADOS"/>
    <x v="0"/>
    <n v="1"/>
  </r>
  <r>
    <s v="SABRE"/>
    <m/>
    <x v="2"/>
    <n v="3451272"/>
    <x v="2"/>
    <d v="2025-05-29T14:49:00"/>
    <s v="CQAPIO"/>
    <s v="CQAPIO"/>
    <s v="Inserindo PNR - Accountings - TurVendas - Não foi possível localizar o contrato do fornecedor ZV"/>
    <x v="1394"/>
    <m/>
    <s v="FORNECEDOR"/>
    <x v="10"/>
    <s v="CONTRATO INATIVO OU DIVERGENTE"/>
    <s v="SISTEMA"/>
    <x v="1"/>
    <n v="43"/>
  </r>
  <r>
    <s v="SABRE"/>
    <m/>
    <x v="2"/>
    <n v="3451836"/>
    <x v="2"/>
    <d v="2025-05-29T16:45:00"/>
    <s v="GHIPVZ"/>
    <s v="GHIPVZ"/>
    <s v="Não localizado cliente código [0000392619].&lt;-ObterCliente&lt;-MontarPnrBase&lt;-ProcessarAereo&lt;-ProcessarItemFila[b]"/>
    <x v="1395"/>
    <m/>
    <s v="CLIENTE"/>
    <x v="13"/>
    <s v="CÓDIGO DIFERENTE DO CADASTRADO NO BENNER (CLIENTE X GRUPO)"/>
    <s v="QUALIDADE DOS DADOS"/>
    <x v="0"/>
    <n v="1"/>
  </r>
  <r>
    <s v="SABRE"/>
    <m/>
    <x v="2"/>
    <n v="3451841"/>
    <x v="2"/>
    <d v="2025-05-30T09:16:00"/>
    <s v="HGBIQB"/>
    <s v="HGBIQB"/>
    <s v="Não localizado cliente com CNPJ [JTI PROCESSADORA].&lt;-ObterCliente&lt;-MontarPnrBase&lt;-ProcessarAereo&lt;-ProcessarItemFila[b]"/>
    <x v="1395"/>
    <d v="2025-05-30T11:18:00"/>
    <s v="CLIENTE"/>
    <x v="12"/>
    <s v=""/>
    <e v="#N/A"/>
    <x v="1"/>
    <n v="24"/>
  </r>
  <r>
    <s v="SABRE"/>
    <m/>
    <x v="2"/>
    <n v="3452003"/>
    <x v="2"/>
    <d v="2025-05-29T16:41:00"/>
    <s v="NBLVCB"/>
    <s v="NBLVCB"/>
    <s v="Não localizado cliente código [0000625887].&lt;-ObterCliente&lt;-MontarPnrBase&lt;-ProcessarAereo&lt;-ProcessarItemFila[b]"/>
    <x v="1396"/>
    <m/>
    <s v="CLIENTE"/>
    <x v="13"/>
    <s v="CÓDIGO DIFERENTE DO CADASTRADO NO BENNER (CLIENTE X GRUPO)"/>
    <s v="QUALIDADE DOS DADOS"/>
    <x v="0"/>
    <n v="1"/>
  </r>
  <r>
    <s v="SABRE"/>
    <m/>
    <x v="2"/>
    <n v="3452476"/>
    <x v="2"/>
    <d v="2025-05-30T08:08:00"/>
    <s v="LRDVJC"/>
    <s v="LRDVJC"/>
    <s v="Inserindo Trecho - Parâmetro Fornecedor - TurVendas - Não foi possível localizar o contrato do fornecedor ZV"/>
    <x v="1397"/>
    <m/>
    <s v="FORNECEDOR"/>
    <x v="10"/>
    <s v="CONTRATO INATIVO OU DIVERGENTE"/>
    <s v="SISTEMA"/>
    <x v="1"/>
    <n v="55"/>
  </r>
  <r>
    <s v="SABRE"/>
    <m/>
    <x v="2"/>
    <n v="3452666"/>
    <x v="2"/>
    <d v="2025-05-30T09:51:00"/>
    <s v="UPVPZB"/>
    <s v="UPVPZB"/>
    <s v="Código de cliente não identificado&lt;-ObterCliente&lt;-MontarPnrBase&lt;-ProcessarAereo&lt;-ProcessarItemFila[b]"/>
    <x v="1398"/>
    <m/>
    <s v="CLIENTE"/>
    <x v="14"/>
    <s v="DK DE CLIENTE NÃO PREENCIDO / CLIENTE NÃO CONFIGURADO NO OBT"/>
    <s v="INDEFINIDO"/>
    <x v="1"/>
    <s v="COLUNA I"/>
  </r>
  <r>
    <s v="SABRE"/>
    <m/>
    <x v="2"/>
    <n v="3452886"/>
    <x v="2"/>
    <d v="2025-05-30T12:53:00"/>
    <s v="IJOUJM"/>
    <s v="IJOUJM"/>
    <s v="Não localizado cliente código [0000000].&lt;-ObterCliente&lt;-MontarPnrBase&lt;-ProcessarAereo&lt;-ProcessarItemFila[b]"/>
    <x v="1399"/>
    <d v="2025-05-30T15:06:00"/>
    <s v="CLIENTE"/>
    <x v="13"/>
    <s v="CÓDIGO DIFERENTE DO CADASTRADO NO BENNER (CLIENTE X GRUPO)"/>
    <s v="QUALIDADE DOS DADOS"/>
    <x v="0"/>
    <n v="1"/>
  </r>
  <r>
    <s v="SABRE"/>
    <m/>
    <x v="2"/>
    <n v="3453461"/>
    <x v="2"/>
    <d v="2025-05-30T12:53:00"/>
    <s v="UWKOXR"/>
    <s v="UWKOXR"/>
    <s v="Não localizado cliente código [0000000].&lt;-ObterCliente&lt;-MontarPnrBase&lt;-ProcessarAereo&lt;-ProcessarItemFila[b]"/>
    <x v="1400"/>
    <m/>
    <s v="CLIENTE"/>
    <x v="13"/>
    <s v="CÓDIGO DIFERENTE DO CADASTRADO NO BENNER (CLIENTE X GRUPO)"/>
    <s v="QUALIDADE DOS DADOS"/>
    <x v="0"/>
    <n v="1"/>
  </r>
  <r>
    <s v="SABRE"/>
    <m/>
    <x v="2"/>
    <n v="3453463"/>
    <x v="2"/>
    <d v="2025-05-30T12:53:00"/>
    <s v="ILHMLN"/>
    <s v="ILHMLN"/>
    <s v="Não localizado cliente código [0000000].&lt;-ObterCliente&lt;-MontarPnrBase&lt;-ProcessarAereo&lt;-ProcessarItemFila[b]"/>
    <x v="1400"/>
    <m/>
    <s v="CLIENTE"/>
    <x v="13"/>
    <s v="CÓDIGO DIFERENTE DO CADASTRADO NO BENNER (CLIENTE X GRUPO)"/>
    <s v="QUALIDADE DOS DADOS"/>
    <x v="0"/>
    <n v="1"/>
  </r>
  <r>
    <s v="SABRE"/>
    <m/>
    <x v="2"/>
    <n v="3453464"/>
    <x v="2"/>
    <d v="2025-05-30T12:53:00"/>
    <s v="HOSRRA"/>
    <s v="HOSRRA"/>
    <s v="Não localizado cliente código [0000000].&lt;-ObterCliente&lt;-MontarPnrBase&lt;-ProcessarAereo&lt;-ProcessarItemFila[b]"/>
    <x v="1400"/>
    <m/>
    <s v="CLIENTE"/>
    <x v="13"/>
    <s v="CÓDIGO DIFERENTE DO CADASTRADO NO BENNER (CLIENTE X GRUPO)"/>
    <s v="QUALIDADE DOS DADOS"/>
    <x v="0"/>
    <n v="1"/>
  </r>
  <r>
    <s v="SABRE"/>
    <m/>
    <x v="2"/>
    <n v="3453467"/>
    <x v="2"/>
    <d v="2025-05-30T12:53:00"/>
    <s v="OKYJAL"/>
    <s v="OKYJAL"/>
    <s v="Não localizado cliente código [0000000].&lt;-ObterCliente&lt;-MontarPnrBase&lt;-ProcessarAereo&lt;-ProcessarItemFila[b]"/>
    <x v="1400"/>
    <m/>
    <s v="CLIENTE"/>
    <x v="13"/>
    <s v="CÓDIGO DIFERENTE DO CADASTRADO NO BENNER (CLIENTE X GRUPO)"/>
    <s v="QUALIDADE DOS DADOS"/>
    <x v="0"/>
    <n v="1"/>
  </r>
  <r>
    <s v="SABRE"/>
    <m/>
    <x v="2"/>
    <n v="3453468"/>
    <x v="2"/>
    <d v="2025-05-30T12:53:00"/>
    <s v="UWZJEG"/>
    <s v="UWZJEG"/>
    <s v="Não localizado cliente código [0000000].&lt;-ObterCliente&lt;-MontarPnrBase&lt;-ProcessarAereo&lt;-ProcessarItemFila[b]"/>
    <x v="1400"/>
    <m/>
    <s v="CLIENTE"/>
    <x v="13"/>
    <s v="CÓDIGO DIFERENTE DO CADASTRADO NO BENNER (CLIENTE X GRUPO)"/>
    <s v="QUALIDADE DOS DADOS"/>
    <x v="0"/>
    <n v="1"/>
  </r>
  <r>
    <s v="SABRE"/>
    <m/>
    <x v="2"/>
    <n v="3453472"/>
    <x v="2"/>
    <d v="2025-05-30T12:53:00"/>
    <s v="JCFVXI"/>
    <s v="JCFVXI"/>
    <s v="Não localizado cliente código [0000000].&lt;-ObterCliente&lt;-MontarPnrBase&lt;-ProcessarAereo&lt;-ProcessarItemFila[b]"/>
    <x v="1401"/>
    <m/>
    <s v="CLIENTE"/>
    <x v="13"/>
    <s v="CÓDIGO DIFERENTE DO CADASTRADO NO BENNER (CLIENTE X GRUPO)"/>
    <s v="QUALIDADE DOS DADOS"/>
    <x v="0"/>
    <n v="1"/>
  </r>
  <r>
    <s v="SABRE"/>
    <m/>
    <x v="2"/>
    <n v="3453474"/>
    <x v="2"/>
    <d v="2025-05-30T12:53:00"/>
    <s v="OMNLUO"/>
    <s v="OMNLUO"/>
    <s v="Não localizado cliente código [0000000].&lt;-ObterCliente&lt;-MontarPnrBase&lt;-ProcessarAereo&lt;-ProcessarItemFila[b]"/>
    <x v="1401"/>
    <m/>
    <s v="CLIENTE"/>
    <x v="13"/>
    <s v="CÓDIGO DIFERENTE DO CADASTRADO NO BENNER (CLIENTE X GRUPO)"/>
    <s v="QUALIDADE DOS DADOS"/>
    <x v="0"/>
    <n v="1"/>
  </r>
  <r>
    <s v="SABRE"/>
    <m/>
    <x v="2"/>
    <n v="3453478"/>
    <x v="2"/>
    <d v="2025-05-30T12:53:00"/>
    <s v="UWMIBQ"/>
    <s v="UWMIBQ"/>
    <s v="Não localizado cliente código [0000000].&lt;-ObterCliente&lt;-MontarPnrBase&lt;-ProcessarAereo&lt;-ProcessarItemFila[b]"/>
    <x v="1401"/>
    <m/>
    <s v="CLIENTE"/>
    <x v="13"/>
    <s v="CÓDIGO DIFERENTE DO CADASTRADO NO BENNER (CLIENTE X GRUPO)"/>
    <s v="QUALIDADE DOS DADOS"/>
    <x v="0"/>
    <n v="1"/>
  </r>
  <r>
    <s v="SABRE"/>
    <m/>
    <x v="2"/>
    <n v="3453480"/>
    <x v="2"/>
    <d v="2025-05-30T12:53:00"/>
    <s v="UYAIQM"/>
    <s v="UYAIQM"/>
    <s v="Não localizado cliente código [0000000].&lt;-ObterCliente&lt;-MontarPnrBase&lt;-ProcessarAereo&lt;-ProcessarItemFila[b]"/>
    <x v="1401"/>
    <m/>
    <s v="CLIENTE"/>
    <x v="13"/>
    <s v="CÓDIGO DIFERENTE DO CADASTRADO NO BENNER (CLIENTE X GRUPO)"/>
    <s v="QUALIDADE DOS DADOS"/>
    <x v="0"/>
    <n v="1"/>
  </r>
  <r>
    <s v="SABRE"/>
    <m/>
    <x v="2"/>
    <n v="3453495"/>
    <x v="2"/>
    <d v="2025-05-30T12:53:00"/>
    <s v="IUHEAI"/>
    <s v="IUHEAI"/>
    <s v="Não localizado cliente código [0000000].&lt;-ObterCliente&lt;-MontarPnrBase&lt;-ProcessarAereo&lt;-ProcessarItemFila[b]"/>
    <x v="1402"/>
    <m/>
    <s v="CLIENTE"/>
    <x v="13"/>
    <s v="CÓDIGO DIFERENTE DO CADASTRADO NO BENNER (CLIENTE X GRUPO)"/>
    <s v="QUALIDADE DOS DADOS"/>
    <x v="0"/>
    <n v="1"/>
  </r>
  <r>
    <s v="SABRE"/>
    <m/>
    <x v="2"/>
    <n v="3453500"/>
    <x v="2"/>
    <d v="2025-05-30T12:53:00"/>
    <s v="QNCMTK"/>
    <s v="QNCMTK"/>
    <s v="Não localizado cliente código [0000012345].&lt;-ObterCliente&lt;-MontarPnrBase&lt;-ProcessarAereo&lt;-ProcessarItemFila[b]"/>
    <x v="1403"/>
    <m/>
    <s v="CLIENTE"/>
    <x v="13"/>
    <s v="CÓDIGO DIFERENTE DO CADASTRADO NO BENNER (CLIENTE X GRUPO)"/>
    <s v="QUALIDADE DOS DADOS"/>
    <x v="0"/>
    <n v="1"/>
  </r>
  <r>
    <s v="SABRE"/>
    <m/>
    <x v="2"/>
    <n v="3453501"/>
    <x v="2"/>
    <d v="2025-05-30T12:53:00"/>
    <s v="SWPPAB"/>
    <s v="SWPPAB"/>
    <s v="Código de cliente não identificado&lt;-ObterCliente&lt;-MontarPnrBase&lt;-ProcessarAereo&lt;-ProcessarItemFila[b]"/>
    <x v="1403"/>
    <m/>
    <s v="CLIENTE"/>
    <x v="14"/>
    <s v="DK DE CLIENTE NÃO PREENCIDO / CLIENTE NÃO CONFIGURADO NO OBT"/>
    <s v="INDEFINIDO"/>
    <x v="1"/>
    <s v="COLUNA I"/>
  </r>
  <r>
    <s v="SABRE"/>
    <m/>
    <x v="2"/>
    <n v="3453504"/>
    <x v="2"/>
    <d v="2025-05-30T12:53:00"/>
    <s v="HEPPUP"/>
    <s v="HEPPUP"/>
    <s v="Não localizado cliente código [0000012345].&lt;-ObterCliente&lt;-MontarPnrBase&lt;-ProcessarAereo&lt;-ProcessarItemFila[b]"/>
    <x v="1404"/>
    <m/>
    <s v="CLIENTE"/>
    <x v="13"/>
    <s v="CÓDIGO DIFERENTE DO CADASTRADO NO BENNER (CLIENTE X GRUPO)"/>
    <s v="QUALIDADE DOS DADOS"/>
    <x v="0"/>
    <n v="1"/>
  </r>
  <r>
    <s v="SABRE"/>
    <m/>
    <x v="2"/>
    <n v="3453615"/>
    <x v="2"/>
    <d v="2025-05-30T13:28:00"/>
    <s v="GPWEIU"/>
    <s v="GPWEIU"/>
    <s v="Código de cliente não identificado&lt;-ObterCliente&lt;-MontarPnrBase&lt;-ProcessarAereo&lt;-ProcessarItemFila[b]"/>
    <x v="1405"/>
    <m/>
    <s v="CLIENTE"/>
    <x v="14"/>
    <s v="DK DE CLIENTE NÃO PREENCIDO / CLIENTE NÃO CONFIGURADO NO OBT"/>
    <s v="INDEFINIDO"/>
    <x v="1"/>
    <s v="COLUNA I"/>
  </r>
  <r>
    <s v="GOVER"/>
    <m/>
    <x v="2"/>
    <n v="3454339"/>
    <x v="0"/>
    <d v="2025-05-29T15:25:00"/>
    <n v="4545181"/>
    <s v="QKSOOR"/>
    <s v="Inserindo Trecho - Parâmetro Fornecedor - TurVendas - Não foi possível localizar o contrato do fornecedor BV"/>
    <x v="1406"/>
    <d v="2025-06-02T16:57:00"/>
    <s v="FORNECEDOR"/>
    <x v="10"/>
    <s v="CONTRATO INATIVO OU DIVERGENTE"/>
    <s v="SISTEMA"/>
    <x v="1"/>
    <n v="55"/>
  </r>
  <r>
    <s v="SABRE"/>
    <m/>
    <x v="2"/>
    <n v="3454505"/>
    <x v="2"/>
    <d v="2025-05-30T16:55:00"/>
    <s v="IMKEST"/>
    <s v="IMKEST"/>
    <s v="Código de cliente não identificado&lt;-ObterCliente&lt;-MontarPnrBase&lt;-ProcessarAereo&lt;-ProcessarItemFila[b]"/>
    <x v="1407"/>
    <m/>
    <s v="CLIENTE"/>
    <x v="14"/>
    <s v="DK DE CLIENTE NÃO PREENCIDO / CLIENTE NÃO CONFIGURADO NO OBT"/>
    <s v="INDEFINIDO"/>
    <x v="1"/>
    <s v="COLUNA I"/>
  </r>
  <r>
    <s v="SABRE"/>
    <m/>
    <x v="2"/>
    <n v="3454609"/>
    <x v="2"/>
    <d v="2025-05-30T17:15:00"/>
    <s v="SHQDMU"/>
    <s v="SHQDMU"/>
    <s v="Não localizado cliente código [0000000].&lt;-ObterCliente&lt;-MontarPnrBase&lt;-ProcessarAereo&lt;-ProcessarItemFila[b]"/>
    <x v="1408"/>
    <m/>
    <s v="CLIENTE"/>
    <x v="13"/>
    <s v="CÓDIGO DIFERENTE DO CADASTRADO NO BENNER (CLIENTE X GRUPO)"/>
    <s v="QUALIDADE DOS DADOS"/>
    <x v="0"/>
    <n v="1"/>
  </r>
  <r>
    <s v="SABRE"/>
    <m/>
    <x v="2"/>
    <n v="3454648"/>
    <x v="2"/>
    <d v="2025-05-30T17:15:00"/>
    <s v="SMWPRD"/>
    <s v="SMWPRD"/>
    <s v="Código de cliente não identificado&lt;-ObterCliente&lt;-MontarPnrBase&lt;-ProcessarAereo&lt;-ProcessarItemFila[b]"/>
    <x v="1409"/>
    <m/>
    <s v="CLIENTE"/>
    <x v="14"/>
    <s v="DK DE CLIENTE NÃO PREENCIDO / CLIENTE NÃO CONFIGURADO NO OBT"/>
    <s v="INDEFINIDO"/>
    <x v="1"/>
    <s v="COLUNA I"/>
  </r>
  <r>
    <s v="TMS"/>
    <m/>
    <x v="2"/>
    <n v="3455196"/>
    <x v="1"/>
    <d v="2025-05-30T19:48:00"/>
    <n v="33982"/>
    <n v="33982"/>
    <s v="Preenchendo XML Serviço-&gt; Preenchendo XML-&gt; Montando accounting aereo 3-&gt;Reserva 33960 não encontrada para importar assento/bagagem!"/>
    <x v="1410"/>
    <d v="2025-06-02T13:44:00"/>
    <s v="OUTROS"/>
    <x v="17"/>
    <s v=""/>
    <s v="QUALIDADE DOS DADOS"/>
    <x v="3"/>
    <n v="126"/>
  </r>
  <r>
    <s v="GOVER"/>
    <m/>
    <x v="2"/>
    <n v="3455389"/>
    <x v="0"/>
    <d v="2025-05-30T20:14:00"/>
    <n v="4545928"/>
    <n v="4545928"/>
    <s v="PreencherPnr-&gt;Foi identificado um localizador sem código."/>
    <x v="1411"/>
    <d v="2025-06-02T16:57:00"/>
    <s v="OUTROS"/>
    <x v="1"/>
    <s v="RLOC NÃO PREENCHIDO NA RESERVA"/>
    <s v="QUALIDADE DOS DADOS"/>
    <x v="0"/>
    <s v="COLUNA I"/>
  </r>
  <r>
    <s v="SABRE"/>
    <m/>
    <x v="2"/>
    <n v="3457044"/>
    <x v="2"/>
    <d v="2025-06-02T07:22:00"/>
    <s v="FJQVZPT"/>
    <s v="FJQVZP"/>
    <s v="Inserindo PNR - Accountings - TurVendas - Não foi possível localizar o contrato do fornecedor 49032"/>
    <x v="1412"/>
    <m/>
    <s v="FORNECEDOR"/>
    <x v="10"/>
    <s v="CONTRATO INATIVO OU DIVERGENTE"/>
    <s v="SISTEMA"/>
    <x v="1"/>
    <n v="43"/>
  </r>
  <r>
    <s v="SABRE"/>
    <m/>
    <x v="2"/>
    <n v="3457133"/>
    <x v="2"/>
    <d v="2025-06-02T08:20:00"/>
    <s v="HBZPZNT"/>
    <s v="HBZPZN"/>
    <s v="ConverterPagamentosRemark-&gt;Input string was not in a correct format.&lt;-MontarAccountinsHotel&lt;-ProcessarHotel&lt;-ProcessarItemFila[b]"/>
    <x v="1413"/>
    <m/>
    <s v="FORMA PAGTO/RECTO"/>
    <x v="2"/>
    <s v="TEXTO FORA DO PADRÃO ACEITO NO CAMPO"/>
    <s v="INDEFINIDO"/>
    <x v="0"/>
    <s v="COLUNA I"/>
  </r>
  <r>
    <s v="RESOLVIDO"/>
    <m/>
    <x v="1"/>
    <n v="3457529"/>
    <x v="1"/>
    <d v="2025-06-02T12:35:00"/>
    <n v="6773"/>
    <n v="6773"/>
    <s v="Inserindo Accounting Servico - Parâmetro Consolidador - TurVendas - Não foi possível localizar o contrato do fornecedor 64192"/>
    <x v="1414"/>
    <m/>
    <s v="FORNECEDOR"/>
    <x v="10"/>
    <s v="CONTRATO INATIVO OU DIVERGENTE"/>
    <s v="SISTEMA"/>
    <x v="1"/>
    <n v="69"/>
  </r>
  <r>
    <s v="RESOLVIDO"/>
    <m/>
    <x v="1"/>
    <n v="3457624"/>
    <x v="1"/>
    <d v="2025-06-02T11:59:00"/>
    <n v="22484"/>
    <n v="22484"/>
    <s v="Inserindo Accounting Servico - Parâmetro Consolidador - TurVendas - Não foi possível localizar o contrato do fornecedor 64192"/>
    <x v="1415"/>
    <m/>
    <s v="FORNECEDOR"/>
    <x v="10"/>
    <s v="CONTRATO INATIVO OU DIVERGENTE"/>
    <s v="SISTEMA"/>
    <x v="1"/>
    <n v="69"/>
  </r>
  <r>
    <s v="RESOLVIDO"/>
    <m/>
    <x v="1"/>
    <n v="3457631"/>
    <x v="1"/>
    <d v="2025-06-02T12:21:00"/>
    <n v="22364"/>
    <n v="22364"/>
    <s v="Inserindo Accounting Servico - Parâmetro Consolidador - TurVendas - Não foi possível localizar o contrato do fornecedor 64192"/>
    <x v="1416"/>
    <m/>
    <s v="FORNECEDOR"/>
    <x v="10"/>
    <s v="CONTRATO INATIVO OU DIVERGENTE"/>
    <s v="SISTEMA"/>
    <x v="1"/>
    <n v="69"/>
  </r>
  <r>
    <s v="TMS"/>
    <m/>
    <x v="2"/>
    <n v="3457661"/>
    <x v="1"/>
    <d v="2025-06-02T09:58:00"/>
    <n v="44852"/>
    <n v="44852"/>
    <s v="Preenchendo XML Serviço-&gt; Preenchendo XML-&gt; Montando accounting aereo 2-&gt;Não foi informado o Localizador do Assento/Bagagem!"/>
    <x v="1417"/>
    <m/>
    <s v="OUTROS"/>
    <x v="15"/>
    <s v="CAMPO OBSERVAÇÃO PREENCHIDO INCORRETAMENTE"/>
    <s v="QUALIDADE DOS DADOS"/>
    <x v="1"/>
    <n v="118"/>
  </r>
  <r>
    <s v="RESOLVIDO"/>
    <m/>
    <x v="1"/>
    <n v="3457810"/>
    <x v="1"/>
    <d v="2025-06-02T12:57:00"/>
    <n v="15581"/>
    <n v="15581"/>
    <s v="Preenchendo XML Serviço-&gt; Preenchendo XML-&gt; Montando accounting aereo 3-&gt;Reserva HGMDAT não encontrada para importar assento/bagagem!"/>
    <x v="1418"/>
    <m/>
    <s v="OUTROS"/>
    <x v="15"/>
    <s v="CAMPO OBSERVAÇÃO PREENCHIDO INCORRETAMENTE"/>
    <s v="QUALIDADE DOS DADOS"/>
    <x v="1"/>
    <n v="127"/>
  </r>
  <r>
    <s v="SABRE"/>
    <m/>
    <x v="2"/>
    <n v="3458139"/>
    <x v="2"/>
    <d v="2025-06-02T12:47:00"/>
    <s v="NKDDSVT"/>
    <s v="NKDDSV"/>
    <s v="ConverterPagamentosRemark-&gt;Input string was not in a correct format.&lt;-MontarAccountinsHotel&lt;-ProcessarHotel&lt;-ProcessarItemFila[b]"/>
    <x v="1419"/>
    <m/>
    <s v="FORMA PAGTO/RECTO"/>
    <x v="2"/>
    <s v="TEXTO FORA DO PADRÃO ACEITO NO CAMPO"/>
    <s v="INDEFINIDO"/>
    <x v="0"/>
    <s v="COLUNA I"/>
  </r>
  <r>
    <s v="SABRE"/>
    <m/>
    <x v="2"/>
    <n v="3459022"/>
    <x v="2"/>
    <d v="2025-06-03T08:39:00"/>
    <s v="HNEBZF"/>
    <s v="HNEBZF"/>
    <s v="Não localizado cliente com CNPJ [JTI PROCESSADORA].&lt;-ObterCliente&lt;-MontarPnrBase&lt;-ProcessarAereo&lt;-ProcessarItemFila[b]"/>
    <x v="1420"/>
    <d v="2025-06-03T10:47:00"/>
    <s v="CLIENTE"/>
    <x v="12"/>
    <s v=""/>
    <s v="QUALIDADE DOS DADOS"/>
    <x v="1"/>
    <n v="24"/>
  </r>
  <r>
    <s v="TMS"/>
    <m/>
    <x v="2"/>
    <n v="3459048"/>
    <x v="1"/>
    <d v="2025-06-02T13:55:00"/>
    <n v="44869"/>
    <n v="44869"/>
    <s v="Preenchendo XML Serviço-&gt; Preenchendo XML-&gt; Montando accounting aereo 2-&gt;Não foi informado o Localizador do Assento/Bagagem!"/>
    <x v="1421"/>
    <d v="2025-06-03T14:06:00"/>
    <s v="OUTROS"/>
    <x v="15"/>
    <s v="CAMPO OBSERVAÇÃO PREENCHIDO INCORRETAMENTE"/>
    <s v="QUALIDADE DOS DADOS"/>
    <x v="1"/>
    <n v="118"/>
  </r>
  <r>
    <s v="GOVER"/>
    <m/>
    <x v="2"/>
    <n v="3459258"/>
    <x v="0"/>
    <d v="2025-06-02T20:03:00"/>
    <n v="4546746"/>
    <n v="4546746"/>
    <s v="PreencherPnr-&gt;Foi identificado um localizador sem código."/>
    <x v="1422"/>
    <d v="2025-06-03T14:46:00"/>
    <s v="OUTROS"/>
    <x v="1"/>
    <s v="RLOC NÃO PREENCHIDO NA RESERVA"/>
    <s v="QUALIDADE DOS DADOS"/>
    <x v="0"/>
    <s v="COLUNA I"/>
  </r>
  <r>
    <s v="TMS"/>
    <m/>
    <x v="2"/>
    <n v="3459376"/>
    <x v="1"/>
    <d v="2025-06-02T17:48:00"/>
    <n v="158"/>
    <n v="158"/>
    <s v="Preenchendo XML Serviço-&gt; Preenchendo XML-&gt; Montando accounting aereo 2-&gt;Não foi informado o Localizador do Assento/Bagagem!"/>
    <x v="1423"/>
    <d v="2025-06-03T14:27:00"/>
    <s v="OUTROS"/>
    <x v="15"/>
    <s v="CAMPO OBSERVAÇÃO PREENCHIDO INCORRETAMENTE"/>
    <s v="QUALIDADE DOS DADOS"/>
    <x v="1"/>
    <n v="118"/>
  </r>
  <r>
    <s v="TMS"/>
    <m/>
    <x v="2"/>
    <n v="3459378"/>
    <x v="1"/>
    <d v="2025-06-02T18:23:00"/>
    <n v="156"/>
    <n v="156"/>
    <s v="Preenchendo XML Serviço-&gt; Preenchendo XML-&gt; Montando accounting aereo 2-&gt;Não foi informado o Localizador do Assento/Bagagem!"/>
    <x v="1423"/>
    <d v="2025-06-03T14:28:00"/>
    <s v="OUTROS"/>
    <x v="15"/>
    <s v="CAMPO OBSERVAÇÃO PREENCHIDO INCORRETAMENTE"/>
    <s v="QUALIDADE DOS DADOS"/>
    <x v="1"/>
    <n v="118"/>
  </r>
  <r>
    <s v="GOVER"/>
    <m/>
    <x v="2"/>
    <n v="3460212"/>
    <x v="0"/>
    <d v="2025-06-03T08:45:00"/>
    <n v="4546789"/>
    <s v="DBUNMN"/>
    <s v="PreencherPnr-&gt;Não foi encontrado nenhum item veículo para o localizador DBUNMN"/>
    <x v="1424"/>
    <d v="2025-06-03T14:46:00"/>
    <s v="OUTROS"/>
    <x v="0"/>
    <s v="TAGS DE DETALHAMENTO DO SERVIÇO NÃO ENVIADO NO XML"/>
    <s v="SISTEMA"/>
    <x v="0"/>
    <n v="46"/>
  </r>
  <r>
    <s v="SABRE"/>
    <m/>
    <x v="2"/>
    <n v="3460295"/>
    <x v="2"/>
    <d v="2025-06-03T07:55:00"/>
    <s v="ITPHEGT"/>
    <s v="ITPHEG"/>
    <s v="ConverterPagamentosRemark-&gt;Input string was not in a correct format.&lt;-MontarAccountinsHotel&lt;-ProcessarHotel&lt;-ProcessarItemFila[b]"/>
    <x v="1425"/>
    <m/>
    <s v="FORMA PAGTO/RECTO"/>
    <x v="2"/>
    <s v="TEXTO FORA DO PADRÃO ACEITO NO CAMPO"/>
    <s v="INDEFINIDO"/>
    <x v="0"/>
    <s v="COLUNA I"/>
  </r>
  <r>
    <s v="SABRE"/>
    <m/>
    <x v="2"/>
    <n v="3460332"/>
    <x v="2"/>
    <d v="2025-06-03T08:10:00"/>
    <s v="SNECMLT"/>
    <s v="SNECML"/>
    <s v="ConverterPagamentosRemark-&gt;Input string was not in a correct format.&lt;-MontarAccountinsHotel&lt;-ProcessarHotel&lt;-ProcessarItemFila[b]"/>
    <x v="1426"/>
    <m/>
    <s v="FORMA PAGTO/RECTO"/>
    <x v="2"/>
    <s v="TEXTO FORA DO PADRÃO ACEITO NO CAMPO"/>
    <s v="INDEFINIDO"/>
    <x v="0"/>
    <s v="COLUNA I"/>
  </r>
  <r>
    <s v="SABRE"/>
    <m/>
    <x v="2"/>
    <n v="3460348"/>
    <x v="2"/>
    <d v="2025-06-03T08:20:00"/>
    <s v="OURNHMT"/>
    <s v="OURNHM"/>
    <s v="Não localizado cliente código [0000068873].&lt;-ObterCliente&lt;-MontarPnrBase&lt;-MontarPnr&lt;-ProcessarHotel&lt;-ProcessarItemFila[b]"/>
    <x v="1427"/>
    <m/>
    <s v="CLIENTE"/>
    <x v="13"/>
    <s v="CÓDIGO DIFERENTE DO CADASTRADO NO BENNER (CLIENTE X GRUPO)"/>
    <s v="QUALIDADE DOS DADOS"/>
    <x v="0"/>
    <n v="1"/>
  </r>
  <r>
    <s v="SABRE"/>
    <m/>
    <x v="2"/>
    <n v="3460532"/>
    <x v="2"/>
    <d v="2025-06-03T10:41:00"/>
    <s v="JAZWLO"/>
    <s v="JAZWLO"/>
    <s v="Não localizado cliente com CNPJ [JTI PROCESSADORA].&lt;-ObterCliente&lt;-MontarPnrBase&lt;-ProcessarAereo&lt;-ProcessarItemFila[b]"/>
    <x v="1428"/>
    <m/>
    <s v="CLIENTE"/>
    <x v="12"/>
    <s v=""/>
    <e v="#N/A"/>
    <x v="1"/>
    <n v="24"/>
  </r>
  <r>
    <s v="SABRE"/>
    <m/>
    <x v="2"/>
    <n v="3460535"/>
    <x v="2"/>
    <d v="2025-06-03T10:42:00"/>
    <s v="NKRGSI"/>
    <s v="NKRGSI"/>
    <s v="Não localizado cliente com CNPJ [JTI PROCESSADORA].&lt;-ObterCliente&lt;-MontarPnrBase&lt;-ProcessarAereo&lt;-ProcessarItemFila[b]"/>
    <x v="1429"/>
    <m/>
    <s v="CLIENTE"/>
    <x v="12"/>
    <s v=""/>
    <s v="QUALIDADE DOS DADOS"/>
    <x v="1"/>
    <n v="24"/>
  </r>
  <r>
    <s v="RESOLVIDO"/>
    <m/>
    <x v="1"/>
    <n v="3460794"/>
    <x v="1"/>
    <d v="2025-06-03T10:49:00"/>
    <n v="22536"/>
    <n v="22536"/>
    <s v="Inserindo Accounting Servico - Parâmetro Consolidador - TurVendas - Não foi possível localizar o contrato do fornecedor CLICKBUS"/>
    <x v="1430"/>
    <m/>
    <s v="FORNECEDOR"/>
    <x v="10"/>
    <s v="CONTRATO INATIVO OU DIVERGENTE"/>
    <s v="SISTEMA"/>
    <x v="1"/>
    <n v="69"/>
  </r>
  <r>
    <s v="SABRE"/>
    <m/>
    <x v="2"/>
    <n v="3465789"/>
    <x v="2"/>
    <d v="2025-06-05T09:39:00"/>
    <s v="ABBJZI"/>
    <s v="ABBJZI"/>
    <s v="Não localizado cliente código [0000084716].&lt;-ObterCliente&lt;-MontarPnrBase&lt;-ProcessarAereo&lt;-ProcessarItemFila[b]"/>
    <x v="1431"/>
    <m/>
    <s v="CLIENTE"/>
    <x v="13"/>
    <s v="CÓDIGO DIFERENTE DO CADASTRADO NO BENNER (CLIENTE X GRUPO)"/>
    <s v="QUALIDADE DOS DADOS"/>
    <x v="0"/>
    <n v="1"/>
  </r>
  <r>
    <s v="SABRE"/>
    <m/>
    <x v="2"/>
    <n v="3464806"/>
    <x v="2"/>
    <d v="2025-06-04T17:55:00"/>
    <s v="CNGGIS"/>
    <s v="CNGGIS"/>
    <s v="Código de cliente não identificado&lt;-ObterCliente&lt;-MontarPnrBase&lt;-ProcessarAereo&lt;-ProcessarItemFila[b]"/>
    <x v="1432"/>
    <m/>
    <s v="CLIENTE"/>
    <x v="14"/>
    <s v="DK DE CLIENTE NÃO PREENCIDO / CLIENTE NÃO CONFIGURADO NO OBT"/>
    <s v="INDEFINIDO"/>
    <x v="1"/>
    <s v="COLUNA I"/>
  </r>
  <r>
    <s v="SABRE"/>
    <m/>
    <x v="2"/>
    <n v="3465660"/>
    <x v="2"/>
    <d v="2025-06-05T08:22:00"/>
    <s v="CYYWCZ"/>
    <s v="CYYWCZ"/>
    <s v="Não localizado cliente código [0000000].&lt;-ObterCliente&lt;-MontarPnrBase&lt;-ProcessarAereo&lt;-ProcessarItemFila[b]"/>
    <x v="1433"/>
    <m/>
    <s v="CLIENTE"/>
    <x v="13"/>
    <s v="CÓDIGO DIFERENTE DO CADASTRADO NO BENNER (CLIENTE X GRUPO)"/>
    <s v="QUALIDADE DOS DADOS"/>
    <x v="0"/>
    <n v="1"/>
  </r>
  <r>
    <s v="SABRE"/>
    <m/>
    <x v="2"/>
    <n v="3465757"/>
    <x v="2"/>
    <d v="2025-06-05T09:22:00"/>
    <s v="DGUEXWT"/>
    <s v="DGUEXW"/>
    <s v="ConverterPagamentosRemark-&gt;Input string was not in a correct format.&lt;-MontarAccountinsHotel&lt;-ProcessarHotel&lt;-ProcessarItemFila[b]"/>
    <x v="1434"/>
    <m/>
    <s v="FORMA PAGTO/RECTO"/>
    <x v="2"/>
    <s v="TEXTO FORA DO PADRÃO ACEITO NO CAMPO"/>
    <s v="INDEFINIDO"/>
    <x v="0"/>
    <s v="COLUNA I"/>
  </r>
  <r>
    <s v="SABRE"/>
    <m/>
    <x v="2"/>
    <n v="3464801"/>
    <x v="2"/>
    <d v="2025-06-04T17:55:00"/>
    <s v="DMEQWO"/>
    <s v="DMEQWO"/>
    <s v="Código de cliente não identificado&lt;-ObterCliente&lt;-MontarPnrBase&lt;-ProcessarAereo&lt;-ProcessarItemFila[b]"/>
    <x v="1432"/>
    <m/>
    <s v="CLIENTE"/>
    <x v="14"/>
    <s v="DK DE CLIENTE NÃO PREENCIDO / CLIENTE NÃO CONFIGURADO NO OBT"/>
    <s v="INDEFINIDO"/>
    <x v="1"/>
    <s v="COLUNA I"/>
  </r>
  <r>
    <s v="SABRE"/>
    <m/>
    <x v="2"/>
    <n v="3468152"/>
    <x v="2"/>
    <d v="2025-06-06T08:12:00"/>
    <s v="DXENFE"/>
    <s v="DXENFE"/>
    <s v="Não localizado cliente código [0000063625].&lt;-ObterCliente&lt;-MontarPnrBase&lt;-ProcessarAereo&lt;-ProcessarItemFila[b]"/>
    <x v="1435"/>
    <m/>
    <s v="CLIENTE"/>
    <x v="13"/>
    <s v="CÓDIGO DIFERENTE DO CADASTRADO NO BENNER (CLIENTE X GRUPO)"/>
    <s v="QUALIDADE DOS DADOS"/>
    <x v="0"/>
    <n v="1"/>
  </r>
  <r>
    <s v="SABRE"/>
    <m/>
    <x v="2"/>
    <n v="3465696"/>
    <x v="2"/>
    <d v="2025-06-05T08:57:00"/>
    <s v="EMBNURT"/>
    <s v="EMBNUR"/>
    <s v="ConverterPagamentosRemark-&gt;Input string was not in a correct format.&lt;-MontarAccountinsHotel&lt;-ProcessarHotel&lt;-ProcessarItemFila[b]"/>
    <x v="1436"/>
    <m/>
    <s v="FORMA PAGTO/RECTO"/>
    <x v="2"/>
    <s v="TEXTO FORA DO PADRÃO ACEITO NO CAMPO"/>
    <s v="INDEFINIDO"/>
    <x v="0"/>
    <s v="COLUNA I"/>
  </r>
  <r>
    <s v="SABRE"/>
    <m/>
    <x v="2"/>
    <n v="3465782"/>
    <x v="2"/>
    <d v="2025-06-05T09:39:00"/>
    <s v="FDHAAH"/>
    <s v="FDHAAH"/>
    <s v="Não localizado cliente código [0000000].&lt;-ObterCliente&lt;-MontarPnrBase&lt;-ProcessarAereo&lt;-ProcessarItemFila[b]"/>
    <x v="1431"/>
    <m/>
    <s v="CLIENTE"/>
    <x v="13"/>
    <s v="CÓDIGO DIFERENTE DO CADASTRADO NO BENNER (CLIENTE X GRUPO)"/>
    <s v="QUALIDADE DOS DADOS"/>
    <x v="0"/>
    <n v="1"/>
  </r>
  <r>
    <s v="SABRE"/>
    <m/>
    <x v="2"/>
    <n v="3465781"/>
    <x v="2"/>
    <d v="2025-06-05T09:39:00"/>
    <s v="FEBGCO"/>
    <s v="FEBGCO"/>
    <s v="Não localizado cliente código [0000000].&lt;-ObterCliente&lt;-MontarPnrBase&lt;-ProcessarAereo&lt;-ProcessarItemFila[b]"/>
    <x v="1437"/>
    <m/>
    <s v="CLIENTE"/>
    <x v="13"/>
    <s v="CÓDIGO DIFERENTE DO CADASTRADO NO BENNER (CLIENTE X GRUPO)"/>
    <s v="QUALIDADE DOS DADOS"/>
    <x v="0"/>
    <n v="1"/>
  </r>
  <r>
    <s v="SABRE"/>
    <m/>
    <x v="2"/>
    <n v="3466971"/>
    <x v="2"/>
    <d v="2025-06-05T15:33:00"/>
    <s v="GYOJNS"/>
    <s v="GYOJNS"/>
    <s v="Código de cliente não identificado&lt;-ObterCliente&lt;-MontarPnrBase&lt;-ProcessarAereo&lt;-ProcessarItemFila[b]"/>
    <x v="1438"/>
    <m/>
    <s v="CLIENTE"/>
    <x v="14"/>
    <s v="DK DE CLIENTE NÃO PREENCIDO / CLIENTE NÃO CONFIGURADO NO OBT"/>
    <s v="INDEFINIDO"/>
    <x v="1"/>
    <s v="COLUNA I"/>
  </r>
  <r>
    <s v="SABRE"/>
    <m/>
    <x v="2"/>
    <n v="3461717"/>
    <x v="2"/>
    <d v="2025-06-03T16:27:00"/>
    <s v="IQPSYS"/>
    <s v="IQPSYS"/>
    <s v="Código de cliente não identificado&lt;-ObterCliente&lt;-MontarPnrBase&lt;-ProcessarAereo&lt;-ProcessarItemFila[b]"/>
    <x v="1439"/>
    <m/>
    <s v="CLIENTE"/>
    <x v="14"/>
    <s v="DK DE CLIENTE NÃO PREENCIDO / CLIENTE NÃO CONFIGURADO NO OBT"/>
    <s v="INDEFINIDO"/>
    <x v="1"/>
    <s v="COLUNA I"/>
  </r>
  <r>
    <s v="SABRE"/>
    <m/>
    <x v="2"/>
    <n v="3465791"/>
    <x v="2"/>
    <d v="2025-06-05T09:39:00"/>
    <s v="ISMEPST"/>
    <s v="ISMEPS"/>
    <s v="ConverterPagamentosRemark-&gt;Input string was not in a correct format.&lt;-MontarAccountinsHotel&lt;-ProcessarHotel&lt;-ProcessarItemFila[b]"/>
    <x v="1440"/>
    <m/>
    <s v="FORMA PAGTO/RECTO"/>
    <x v="2"/>
    <s v="TEXTO FORA DO PADRÃO ACEITO NO CAMPO"/>
    <s v="INDEFINIDO"/>
    <x v="0"/>
    <s v="COLUNA I"/>
  </r>
  <r>
    <s v="SABRE"/>
    <m/>
    <x v="2"/>
    <n v="3465659"/>
    <x v="2"/>
    <d v="2025-06-05T08:22:00"/>
    <s v="JEXGRG"/>
    <s v="JEXGRG"/>
    <s v="Não localizado cliente código [0000000].&lt;-ObterCliente&lt;-MontarPnrBase&lt;-ProcessarAereo&lt;-ProcessarItemFila[b]"/>
    <x v="1433"/>
    <m/>
    <s v="CLIENTE"/>
    <x v="13"/>
    <s v="CÓDIGO DIFERENTE DO CADASTRADO NO BENNER (CLIENTE X GRUPO)"/>
    <s v="QUALIDADE DOS DADOS"/>
    <x v="0"/>
    <n v="1"/>
  </r>
  <r>
    <s v="SABRE"/>
    <m/>
    <x v="2"/>
    <n v="3465658"/>
    <x v="2"/>
    <d v="2025-06-05T08:22:00"/>
    <s v="JFPVPZ"/>
    <s v="JFPVPZ"/>
    <s v="Não localizado cliente código [0000000].&lt;-ObterCliente&lt;-MontarPnrBase&lt;-ProcessarAereo&lt;-ProcessarItemFila[b]"/>
    <x v="1433"/>
    <m/>
    <s v="CLIENTE"/>
    <x v="13"/>
    <s v="CÓDIGO DIFERENTE DO CADASTRADO NO BENNER (CLIENTE X GRUPO)"/>
    <s v="QUALIDADE DOS DADOS"/>
    <x v="0"/>
    <n v="1"/>
  </r>
  <r>
    <s v="SABRE"/>
    <m/>
    <x v="2"/>
    <n v="3464790"/>
    <x v="2"/>
    <d v="2025-06-04T17:55:00"/>
    <s v="JWAKUC"/>
    <s v="JWAKUC"/>
    <s v="Código de cliente não identificado&lt;-ObterCliente&lt;-MontarPnrBase&lt;-ProcessarAereo&lt;-ProcessarItemFila[b]"/>
    <x v="1441"/>
    <m/>
    <s v="CLIENTE"/>
    <x v="14"/>
    <s v="DK DE CLIENTE NÃO PREENCIDO / CLIENTE NÃO CONFIGURADO NO OBT"/>
    <s v="INDEFINIDO"/>
    <x v="1"/>
    <s v="COLUNA I"/>
  </r>
  <r>
    <s v="SABRE"/>
    <m/>
    <x v="2"/>
    <n v="3466395"/>
    <x v="2"/>
    <d v="2025-06-05T12:59:00"/>
    <s v="KAVQHA"/>
    <s v="KAVQHA"/>
    <s v="Não localizado cliente com CNPJ [9108301000108].&lt;-ObterCliente&lt;-MontarPnrBase&lt;-ProcessarAereo&lt;-ProcessarItemFila[b]"/>
    <x v="1442"/>
    <d v="2025-06-05T15:03:00"/>
    <s v="CLIENTE"/>
    <x v="12"/>
    <s v=""/>
    <s v="QUALIDADE DOS DADOS"/>
    <x v="1"/>
    <n v="24"/>
  </r>
  <r>
    <s v="SABRE"/>
    <m/>
    <x v="2"/>
    <n v="3466397"/>
    <x v="2"/>
    <d v="2025-06-05T12:59:00"/>
    <s v="KAVQHAT"/>
    <s v="KAVQHA"/>
    <s v="Não localizado cliente com CNPJ [9108301000108].&lt;-ObterCliente&lt;-MontarPnrBase&lt;-MontarPnr&lt;-ProcessarHotel&lt;-ProcessarItemFila[b]"/>
    <x v="1442"/>
    <d v="2025-06-05T15:04:00"/>
    <s v="CLIENTE"/>
    <x v="12"/>
    <s v=""/>
    <s v="QUALIDADE DOS DADOS"/>
    <x v="1"/>
    <n v="24"/>
  </r>
  <r>
    <s v="SABRE"/>
    <m/>
    <x v="2"/>
    <n v="3465572"/>
    <x v="2"/>
    <d v="2025-06-05T07:53:00"/>
    <s v="KHOLYET"/>
    <s v="KHOLYE"/>
    <s v="Inserindo PNR - Accountings - TurVendas - Não foi possível localizar o contrato do fornecedor 63925"/>
    <x v="1443"/>
    <m/>
    <s v="FORNECEDOR"/>
    <x v="10"/>
    <s v="CONTRATO INATIVO OU DIVERGENTE"/>
    <s v="SISTEMA"/>
    <x v="1"/>
    <n v="43"/>
  </r>
  <r>
    <s v="SABRE"/>
    <m/>
    <x v="2"/>
    <n v="3467127"/>
    <x v="2"/>
    <d v="2025-06-05T17:42:00"/>
    <s v="MNCWOX"/>
    <s v="MNCWOX"/>
    <s v="Código de cliente não identificado&lt;-ObterCliente&lt;-MontarPnrBase&lt;-ProcessarAereo&lt;-ProcessarItemFila[b]"/>
    <x v="1444"/>
    <m/>
    <s v="CLIENTE"/>
    <x v="14"/>
    <s v="DK DE CLIENTE NÃO PREENCIDO / CLIENTE NÃO CONFIGURADO NO OBT"/>
    <s v="INDEFINIDO"/>
    <x v="1"/>
    <s v="COLUNA I"/>
  </r>
  <r>
    <s v="SABRE"/>
    <m/>
    <x v="2"/>
    <n v="3467121"/>
    <x v="2"/>
    <d v="2025-06-05T17:17:00"/>
    <s v="MQNWYJ"/>
    <s v="MQNWYJ"/>
    <s v="Código de cliente não identificado&lt;-ObterCliente&lt;-MontarPnrBase&lt;-ProcessarAereo&lt;-ProcessarItemFila[b]"/>
    <x v="1445"/>
    <m/>
    <s v="CLIENTE"/>
    <x v="14"/>
    <s v="DK DE CLIENTE NÃO PREENCIDO / CLIENTE NÃO CONFIGURADO NO OBT"/>
    <s v="INDEFINIDO"/>
    <x v="1"/>
    <s v="COLUNA I"/>
  </r>
  <r>
    <s v="SABRE"/>
    <m/>
    <x v="2"/>
    <n v="3466804"/>
    <x v="2"/>
    <d v="2025-06-05T14:10:00"/>
    <s v="NWWAQY"/>
    <s v="NWWAQY"/>
    <s v="Não localizado cliente código [0000286569].&lt;-ObterCliente&lt;-MontarPnrBase&lt;-ProcessarAereo&lt;-ProcessarItemFila[b]"/>
    <x v="1446"/>
    <m/>
    <s v="CLIENTE"/>
    <x v="13"/>
    <s v="CÓDIGO DIFERENTE DO CADASTRADO NO BENNER (CLIENTE X GRUPO)"/>
    <s v="QUALIDADE DOS DADOS"/>
    <x v="0"/>
    <n v="1"/>
  </r>
  <r>
    <s v="SABRE"/>
    <m/>
    <x v="2"/>
    <n v="3461720"/>
    <x v="2"/>
    <d v="2025-06-03T16:27:00"/>
    <s v="OQQIFB"/>
    <s v="OQQIFB"/>
    <s v="Não localizado cliente código [1234567890].&lt;-ObterCliente&lt;-MontarPnrBase&lt;-ProcessarAereo&lt;-ProcessarItemFila[b]"/>
    <x v="1439"/>
    <m/>
    <s v="CLIENTE"/>
    <x v="13"/>
    <s v="CÓDIGO DIFERENTE DO CADASTRADO NO BENNER (CLIENTE X GRUPO)"/>
    <s v="QUALIDADE DOS DADOS"/>
    <x v="0"/>
    <n v="1"/>
  </r>
  <r>
    <s v="SABRE"/>
    <m/>
    <x v="2"/>
    <n v="3468241"/>
    <x v="2"/>
    <d v="2025-06-06T09:05:00"/>
    <s v="OTWBEKT"/>
    <s v="OTWBEK"/>
    <s v="ConverterPagamentosRemark-&gt;Input string was not in a correct format.&lt;-MontarAccountinsHotel&lt;-ProcessarHotel&lt;-ProcessarItemFila[b]"/>
    <x v="1447"/>
    <m/>
    <s v="FORMA PAGTO/RECTO"/>
    <x v="2"/>
    <s v="TEXTO FORA DO PADRÃO ACEITO NO CAMPO"/>
    <s v="INDEFINIDO"/>
    <x v="0"/>
    <s v="COLUNA I"/>
  </r>
  <r>
    <s v="SABRE"/>
    <m/>
    <x v="2"/>
    <n v="3462990"/>
    <x v="2"/>
    <d v="2025-06-04T09:44:00"/>
    <s v="OUHCRT"/>
    <s v="OUHCRT"/>
    <s v="Não localizado cliente código [0000000].&lt;-ObterCliente&lt;-MontarPnrBase&lt;-ProcessarAereo&lt;-ProcessarItemFila[b]"/>
    <x v="1448"/>
    <m/>
    <s v="CLIENTE"/>
    <x v="13"/>
    <s v="CÓDIGO DIFERENTE DO CADASTRADO NO BENNER (CLIENTE X GRUPO)"/>
    <s v="QUALIDADE DOS DADOS"/>
    <x v="0"/>
    <n v="1"/>
  </r>
  <r>
    <s v="SABRE"/>
    <m/>
    <x v="2"/>
    <n v="3467027"/>
    <x v="2"/>
    <d v="2025-06-05T16:38:00"/>
    <s v="QGEBET"/>
    <s v="QGEBET"/>
    <s v="Não localizado cliente código [0000000].&lt;-ObterCliente&lt;-MontarPnrBase&lt;-ProcessarAereo&lt;-ProcessarItemFila[b]"/>
    <x v="1449"/>
    <d v="2025-06-05T18:46:00"/>
    <s v="CLIENTE"/>
    <x v="13"/>
    <s v="CÓDIGO DIFERENTE DO CADASTRADO NO BENNER (CLIENTE X GRUPO)"/>
    <s v="QUALIDADE DOS DADOS"/>
    <x v="0"/>
    <n v="1"/>
  </r>
  <r>
    <s v="SABRE"/>
    <m/>
    <x v="2"/>
    <n v="3468240"/>
    <x v="2"/>
    <d v="2025-06-06T09:05:00"/>
    <s v="SNOIHET"/>
    <s v="SNOIHE"/>
    <s v="ConverterPagamentosRemark-&gt;Input string was not in a correct format.&lt;-MontarAccountinsHotel&lt;-ProcessarHotel&lt;-ProcessarItemFila[b]"/>
    <x v="1447"/>
    <m/>
    <s v="FORMA PAGTO/RECTO"/>
    <x v="2"/>
    <s v="TEXTO FORA DO PADRÃO ACEITO NO CAMPO"/>
    <s v="INDEFINIDO"/>
    <x v="0"/>
    <s v="COLUNA I"/>
  </r>
  <r>
    <s v="SABRE"/>
    <m/>
    <x v="2"/>
    <n v="3465896"/>
    <x v="2"/>
    <d v="2025-06-05T11:01:00"/>
    <s v="UNWTCI"/>
    <s v="UNWTCI"/>
    <s v="Não localizado cliente com CNPJ [JTI PROCESSADORA].&lt;-ObterCliente&lt;-MontarPnrBase&lt;-ProcessarAereo&lt;-ProcessarItemFila[b]"/>
    <x v="1450"/>
    <m/>
    <s v="CLIENTE"/>
    <x v="12"/>
    <s v=""/>
    <s v="QUALIDADE DOS DADOS"/>
    <x v="1"/>
    <n v="24"/>
  </r>
  <r>
    <s v="SABRE"/>
    <m/>
    <x v="2"/>
    <n v="3465661"/>
    <x v="2"/>
    <d v="2025-06-05T08:22:00"/>
    <s v="UNZVGR"/>
    <s v="UNZVGR"/>
    <s v="Não localizado cliente código [0000000].&lt;-ObterCliente&lt;-MontarPnrBase&lt;-ProcessarAereo&lt;-ProcessarItemFila[b]"/>
    <x v="1433"/>
    <m/>
    <s v="CLIENTE"/>
    <x v="13"/>
    <s v="CÓDIGO DIFERENTE DO CADASTRADO NO BENNER (CLIENTE X GRUPO)"/>
    <s v="QUALIDADE DOS DADOS"/>
    <x v="0"/>
    <n v="1"/>
  </r>
  <r>
    <s v="SABRE"/>
    <m/>
    <x v="2"/>
    <n v="3464811"/>
    <x v="2"/>
    <d v="2025-06-04T17:55:00"/>
    <s v="UQOBYN"/>
    <s v="UQOBYN"/>
    <s v="Código de cliente não identificado&lt;-ObterCliente&lt;-MontarPnrBase&lt;-ProcessarAereo&lt;-ProcessarItemFila[b]"/>
    <x v="1432"/>
    <m/>
    <s v="CLIENTE"/>
    <x v="14"/>
    <s v="DK DE CLIENTE NÃO PREENCIDO / CLIENTE NÃO CONFIGURADO NO OBT"/>
    <s v="INDEFINIDO"/>
    <x v="1"/>
    <s v="COLUNA I"/>
  </r>
  <r>
    <s v="SABRE"/>
    <m/>
    <x v="2"/>
    <n v="3464803"/>
    <x v="2"/>
    <d v="2025-06-04T17:55:00"/>
    <s v="UTDYTM"/>
    <s v="UTDYTM"/>
    <s v="Código de cliente não identificado&lt;-ObterCliente&lt;-MontarPnrBase&lt;-ProcessarAereo&lt;-ProcessarItemFila[b]"/>
    <x v="1432"/>
    <m/>
    <s v="CLIENTE"/>
    <x v="14"/>
    <s v="DK DE CLIENTE NÃO PREENCIDO / CLIENTE NÃO CONFIGURADO NO OBT"/>
    <s v="INDEFINIDO"/>
    <x v="1"/>
    <s v="COLUNA I"/>
  </r>
  <r>
    <s v="SABRE"/>
    <m/>
    <x v="2"/>
    <n v="3464792"/>
    <x v="2"/>
    <d v="2025-06-04T17:55:00"/>
    <s v="WHZBZN"/>
    <s v="WHZBZN"/>
    <s v="Código de cliente não identificado&lt;-ObterCliente&lt;-MontarPnrBase&lt;-ProcessarAereo&lt;-ProcessarItemFila[b]"/>
    <x v="1441"/>
    <m/>
    <s v="CLIENTE"/>
    <x v="14"/>
    <s v="DK DE CLIENTE NÃO PREENCIDO / CLIENTE NÃO CONFIGURADO NO OBT"/>
    <s v="INDEFINIDO"/>
    <x v="1"/>
    <s v="COLUNA I"/>
  </r>
  <r>
    <s v="SABRE"/>
    <m/>
    <x v="2"/>
    <n v="3468304"/>
    <x v="2"/>
    <d v="2025-06-06T10:00:00"/>
    <s v="WVNDDO"/>
    <s v="WVNDDO"/>
    <s v="Não localizado cliente código [1234567890].&lt;-ObterCliente&lt;-MontarPnrBase&lt;-ProcessarAereo&lt;-ProcessarItemFila[b]"/>
    <x v="1451"/>
    <m/>
    <s v="CLIENTE"/>
    <x v="13"/>
    <s v="CÓDIGO DIFERENTE DO CADASTRADO NO BENNER (CLIENTE X GRUPO)"/>
    <s v="QUALIDADE DOS DADOS"/>
    <x v="0"/>
    <n v="1"/>
  </r>
  <r>
    <s v="SABRE"/>
    <m/>
    <x v="2"/>
    <n v="3467043"/>
    <x v="2"/>
    <d v="2025-06-05T16:28:00"/>
    <s v="WWHTVGT"/>
    <s v="WWHTVG"/>
    <s v="ConverterPagamentosRemark-&gt;Input string was not in a correct format.&lt;-MontarAccountinsHotel&lt;-ProcessarHotel&lt;-ProcessarItemFila[b]"/>
    <x v="1452"/>
    <m/>
    <s v="FORMA PAGTO/RECTO"/>
    <x v="2"/>
    <s v="TEXTO FORA DO PADRÃO ACEITO NO CAMPO"/>
    <s v="INDEFINIDO"/>
    <x v="0"/>
    <s v="COLUNA I"/>
  </r>
  <r>
    <s v="SABRE"/>
    <m/>
    <x v="2"/>
    <n v="3462989"/>
    <x v="2"/>
    <d v="2025-06-04T09:44:00"/>
    <s v="WYGAWH"/>
    <s v="WYGAWH"/>
    <s v="Não localizado cliente código [0000000].&lt;-ObterCliente&lt;-MontarPnrBase&lt;-ProcessarAereo&lt;-ProcessarItemFila[b]"/>
    <x v="1448"/>
    <m/>
    <s v="CLIENTE"/>
    <x v="13"/>
    <s v="CÓDIGO DIFERENTE DO CADASTRADO NO BENNER (CLIENTE X GRUPO)"/>
    <s v="QUALIDADE DOS DADOS"/>
    <x v="0"/>
    <n v="1"/>
  </r>
  <r>
    <s v="SABRE"/>
    <m/>
    <x v="2"/>
    <n v="3462991"/>
    <x v="2"/>
    <d v="2025-06-04T09:44:00"/>
    <s v="WYLMWF"/>
    <s v="WYLMWF"/>
    <s v="Não localizado cliente código [0000000].&lt;-ObterCliente&lt;-MontarPnrBase&lt;-ProcessarAereo&lt;-ProcessarItemFila[b]"/>
    <x v="1448"/>
    <m/>
    <s v="CLIENTE"/>
    <x v="13"/>
    <s v="CÓDIGO DIFERENTE DO CADASTRADO NO BENNER (CLIENTE X GRUPO)"/>
    <s v="QUALIDADE DOS DADOS"/>
    <x v="0"/>
    <n v="1"/>
  </r>
  <r>
    <s v="SABRE"/>
    <m/>
    <x v="2"/>
    <n v="3462814"/>
    <x v="2"/>
    <d v="2025-06-04T07:27:00"/>
    <s v="YCJXLH"/>
    <s v="YCJXLH"/>
    <s v="ERRO: Cancelamento de Venda: Não há PNR no sistema para cancelar, venda não inserida!"/>
    <x v="1453"/>
    <m/>
    <s v="CANCELAMENTO"/>
    <x v="6"/>
    <s v="RESERVA CANCELADA NO OBT"/>
    <s v="SISTEMA"/>
    <x v="0"/>
    <s v="COLUNA I"/>
  </r>
  <r>
    <s v="SABRE"/>
    <m/>
    <x v="2"/>
    <n v="3461284"/>
    <x v="2"/>
    <d v="2025-06-03T13:19:00"/>
    <s v="YGDMYX"/>
    <s v="YGDMYX"/>
    <s v="Não localizado cliente código [0000583808].&lt;-ObterCliente&lt;-MontarPnrBase&lt;-ProcessarAereo&lt;-ProcessarItemFila[b]"/>
    <x v="1454"/>
    <m/>
    <s v="CLIENTE"/>
    <x v="13"/>
    <s v="CÓDIGO DIFERENTE DO CADASTRADO NO BENNER (CLIENTE X GRUPO)"/>
    <s v="QUALIDADE DOS DADOS"/>
    <x v="0"/>
    <n v="1"/>
  </r>
  <r>
    <s v="SABRE"/>
    <m/>
    <x v="2"/>
    <n v="3467065"/>
    <x v="2"/>
    <d v="2025-06-05T16:45:00"/>
    <s v="YRWWXF"/>
    <s v="YRWWXF"/>
    <s v="Código de cliente não identificado&lt;-ObterCliente&lt;-MontarPnrBase&lt;-ProcessarAereo&lt;-ProcessarItemFila[b]"/>
    <x v="1455"/>
    <m/>
    <s v="CLIENTE"/>
    <x v="14"/>
    <s v="DK DE CLIENTE NÃO PREENCIDO / CLIENTE NÃO CONFIGURADO NO OBT"/>
    <s v="INDEFINIDO"/>
    <x v="1"/>
    <s v="COLUNA I"/>
  </r>
  <r>
    <s v="TMS"/>
    <m/>
    <x v="2"/>
    <n v="3463922"/>
    <x v="1"/>
    <d v="2025-06-04T11:49:00"/>
    <n v="20558"/>
    <n v="20558"/>
    <s v="Preenchendo XML Serviço-&gt; Preenchendo XML-&gt; Montando accounting aereo 3-&gt;Reserva 957445 não encontrada para importar assento/bagagem!"/>
    <x v="1456"/>
    <d v="2025-06-06T08:21:00"/>
    <s v="OUTROS"/>
    <x v="15"/>
    <s v="CAMPO OBSERVAÇÃO PREENCHIDO INCORRETAMENTE"/>
    <s v="QUALIDADE DOS DADOS"/>
    <x v="1"/>
    <n v="127"/>
  </r>
  <r>
    <s v="LEMONTECH"/>
    <m/>
    <x v="2"/>
    <n v="3466756"/>
    <x v="3"/>
    <d v="2025-06-03T18:20:00"/>
    <s v="16765383-53289924"/>
    <s v="XXXXX-83"/>
    <s v="Inserindo PNR - Accountings - TurVendas - Não foi possível localizar o contrato do fornecedor 0A"/>
    <x v="1457"/>
    <d v="2025-06-06T12:02:00"/>
    <s v="FORNECEDOR"/>
    <x v="10"/>
    <s v="CONTRATO INATIVO OU DIVERGENTE"/>
    <s v="SISTEMA"/>
    <x v="1"/>
    <n v="43"/>
  </r>
  <r>
    <s v="GOVER"/>
    <m/>
    <x v="2"/>
    <n v="3462669"/>
    <x v="0"/>
    <d v="2025-06-03T19:01:00"/>
    <n v="4547415"/>
    <n v="4547415"/>
    <s v="PreencherPnr-&gt;Foi identificado um localizador sem código."/>
    <x v="1458"/>
    <d v="2025-06-06T12:26:00"/>
    <s v="OUTROS"/>
    <x v="1"/>
    <s v="RLOC NÃO PREENCHIDO NA RESERVA"/>
    <s v="QUALIDADE DOS DADOS"/>
    <x v="0"/>
    <s v="COLUNA I"/>
  </r>
  <r>
    <s v="RESOLVIDO"/>
    <m/>
    <x v="1"/>
    <n v="3466713"/>
    <x v="0"/>
    <d v="2025-06-04T18:11:00"/>
    <n v="4548066"/>
    <s v="ULGBMJ"/>
    <s v="Inserindo Trecho - Parâmetro Fornecedor - TurVendas - Não foi possível localizar o contrato do fornecedor A"/>
    <x v="1459"/>
    <d v="2025-06-06T12:26:00"/>
    <s v="FORNECEDOR"/>
    <x v="10"/>
    <s v="CONTRATO INATIVO OU DIVERGENTE"/>
    <s v="SISTEMA"/>
    <x v="1"/>
    <n v="55"/>
  </r>
  <r>
    <s v="RESOLVIDO"/>
    <m/>
    <x v="1"/>
    <n v="3467975"/>
    <x v="0"/>
    <d v="2025-06-05T08:44:00"/>
    <n v="4548149"/>
    <s v="FRRMNB"/>
    <s v="Inserindo Trecho - Parâmetro Fornecedor - TurVendas - Não foi possível localizar o contrato do fornecedor A"/>
    <x v="1460"/>
    <d v="2025-06-06T10:46:00"/>
    <s v="FORNECEDOR"/>
    <x v="10"/>
    <s v="CONTRATO INATIVO OU DIVERGENTE"/>
    <s v="SISTEMA"/>
    <x v="1"/>
    <n v="55"/>
  </r>
  <r>
    <s v="RESOLVIDO"/>
    <m/>
    <x v="1"/>
    <n v="3466809"/>
    <x v="0"/>
    <d v="2025-06-05T08:55:00"/>
    <n v="4548156"/>
    <s v="JRMV7B"/>
    <s v="Inserindo Trecho - Parâmetro Fornecedor - TurVendas - Não foi possível localizar o contrato do fornecedor A"/>
    <x v="1461"/>
    <d v="2025-06-06T12:26:00"/>
    <s v="FORNECEDOR"/>
    <x v="10"/>
    <s v="CONTRATO INATIVO OU DIVERGENTE"/>
    <s v="SISTEMA"/>
    <x v="1"/>
    <n v="55"/>
  </r>
  <r>
    <s v="RESOLVIDO"/>
    <m/>
    <x v="1"/>
    <n v="3465762"/>
    <x v="0"/>
    <d v="2025-06-05T09:07:00"/>
    <n v="4548162"/>
    <s v="ULQPFW"/>
    <s v="Inserindo Trecho - Parâmetro Fornecedor - TurVendas - Não foi possível localizar o contrato do fornecedor A"/>
    <x v="1462"/>
    <d v="2025-06-06T12:26:00"/>
    <s v="FORNECEDOR"/>
    <x v="10"/>
    <s v="CONTRATO INATIVO OU DIVERGENTE"/>
    <s v="SISTEMA"/>
    <x v="1"/>
    <n v="55"/>
  </r>
  <r>
    <s v="RESOLVIDO"/>
    <m/>
    <x v="1"/>
    <n v="3465945"/>
    <x v="0"/>
    <d v="2025-06-05T09:10:00"/>
    <n v="4548164"/>
    <s v="WE53UR"/>
    <s v="Inserindo Trecho - Parâmetro Fornecedor - TurVendas - Não foi possível localizar o contrato do fornecedor A"/>
    <x v="1463"/>
    <d v="2025-06-06T12:26:00"/>
    <s v="FORNECEDOR"/>
    <x v="10"/>
    <s v="CONTRATO INATIVO OU DIVERGENTE"/>
    <s v="SISTEMA"/>
    <x v="1"/>
    <n v="55"/>
  </r>
  <r>
    <s v="RESOLVIDO"/>
    <m/>
    <x v="1"/>
    <n v="3465643"/>
    <x v="0"/>
    <d v="2025-06-05T09:21:00"/>
    <n v="4548176"/>
    <s v="UNFHQD"/>
    <s v="Inserindo Trecho - Parâmetro Fornecedor - TurVendas - Não foi possível localizar o contrato do fornecedor A"/>
    <x v="1464"/>
    <d v="2025-06-06T12:26:00"/>
    <s v="FORNECEDOR"/>
    <x v="10"/>
    <s v="CONTRATO INATIVO OU DIVERGENTE"/>
    <s v="SISTEMA"/>
    <x v="1"/>
    <n v="55"/>
  </r>
  <r>
    <s v="RESOLVIDO"/>
    <m/>
    <x v="1"/>
    <n v="3465752"/>
    <x v="0"/>
    <d v="2025-06-05T09:23:00"/>
    <n v="4548179"/>
    <s v="YI5Q4C"/>
    <s v="Inserindo Trecho - Parâmetro Fornecedor - TurVendas - Não foi possível localizar o contrato do fornecedor A"/>
    <x v="1465"/>
    <d v="2025-06-06T12:26:00"/>
    <s v="FORNECEDOR"/>
    <x v="10"/>
    <s v="CONTRATO INATIVO OU DIVERGENTE"/>
    <s v="SISTEMA"/>
    <x v="1"/>
    <n v="55"/>
  </r>
  <r>
    <s v="RESOLVIDO"/>
    <m/>
    <x v="1"/>
    <n v="3467978"/>
    <x v="0"/>
    <d v="2025-06-05T09:31:00"/>
    <n v="4548191"/>
    <s v="MKHRHJ"/>
    <s v="Inserindo Trecho - Parâmetro Fornecedor - TurVendas - Não foi possível localizar o contrato do fornecedor A"/>
    <x v="1460"/>
    <d v="2025-06-06T10:46:00"/>
    <s v="FORNECEDOR"/>
    <x v="10"/>
    <s v="CONTRATO INATIVO OU DIVERGENTE"/>
    <s v="SISTEMA"/>
    <x v="1"/>
    <n v="55"/>
  </r>
  <r>
    <s v="RESOLVIDO"/>
    <m/>
    <x v="1"/>
    <n v="3467974"/>
    <x v="0"/>
    <d v="2025-06-05T09:44:00"/>
    <n v="4548207"/>
    <s v="XWRMYA"/>
    <s v="Inserindo Trecho - Parâmetro Fornecedor - TurVendas - Não foi possível localizar o contrato do fornecedor A"/>
    <x v="1460"/>
    <d v="2025-06-06T12:26:00"/>
    <s v="FORNECEDOR"/>
    <x v="10"/>
    <s v="CONTRATO INATIVO OU DIVERGENTE"/>
    <s v="SISTEMA"/>
    <x v="1"/>
    <n v="55"/>
  </r>
  <r>
    <s v="RESOLVIDO"/>
    <m/>
    <x v="1"/>
    <n v="3465644"/>
    <x v="0"/>
    <d v="2025-06-05T09:53:00"/>
    <n v="4548216"/>
    <s v="JRS4TR"/>
    <s v="Inserindo Trecho - Parâmetro Fornecedor - TurVendas - Não foi possível localizar o contrato do fornecedor A"/>
    <x v="1464"/>
    <d v="2025-06-06T10:44:00"/>
    <s v="FORNECEDOR"/>
    <x v="10"/>
    <s v="CONTRATO INATIVO OU DIVERGENTE"/>
    <s v="SISTEMA"/>
    <x v="1"/>
    <n v="55"/>
  </r>
  <r>
    <s v="RESOLVIDO"/>
    <m/>
    <x v="1"/>
    <n v="3466783"/>
    <x v="0"/>
    <d v="2025-06-05T10:03:00"/>
    <n v="4548224"/>
    <s v="SJKQXP"/>
    <s v="Inserindo Trecho - Parâmetro Fornecedor - TurVendas - Não foi possível localizar o contrato do fornecedor A"/>
    <x v="1466"/>
    <d v="2025-06-06T12:26:00"/>
    <s v="FORNECEDOR"/>
    <x v="10"/>
    <s v="CONTRATO INATIVO OU DIVERGENTE"/>
    <s v="SISTEMA"/>
    <x v="1"/>
    <n v="55"/>
  </r>
  <r>
    <s v="RESOLVIDO"/>
    <m/>
    <x v="1"/>
    <n v="3467112"/>
    <x v="0"/>
    <d v="2025-06-05T10:35:00"/>
    <n v="4548261"/>
    <s v="AWLIFX"/>
    <s v="Inserindo Trecho - Parâmetro Fornecedor - TurVendas - Não foi possível localizar o contrato do fornecedor A"/>
    <x v="1467"/>
    <d v="2025-06-06T12:26:00"/>
    <s v="FORNECEDOR"/>
    <x v="10"/>
    <s v="CONTRATO INATIVO OU DIVERGENTE"/>
    <s v="SISTEMA"/>
    <x v="1"/>
    <n v="55"/>
  </r>
  <r>
    <s v="RESOLVIDO"/>
    <m/>
    <x v="1"/>
    <n v="3467113"/>
    <x v="0"/>
    <d v="2025-06-05T10:35:00"/>
    <n v="4548261"/>
    <s v="FKFJQJ"/>
    <s v="Inserindo Trecho - Parâmetro Fornecedor - TurVendas - Não foi possível localizar o contrato do fornecedor A"/>
    <x v="1467"/>
    <d v="2025-06-06T12:26:00"/>
    <s v="FORNECEDOR"/>
    <x v="10"/>
    <s v="CONTRATO INATIVO OU DIVERGENTE"/>
    <s v="SISTEMA"/>
    <x v="1"/>
    <n v="55"/>
  </r>
  <r>
    <s v="RESOLVIDO"/>
    <m/>
    <x v="1"/>
    <n v="3467114"/>
    <x v="0"/>
    <d v="2025-06-05T10:35:00"/>
    <n v="4548261"/>
    <s v="UI1UTF"/>
    <s v="Inserindo Trecho - Parâmetro Fornecedor - TurVendas - Não foi possível localizar o contrato do fornecedor A"/>
    <x v="1468"/>
    <d v="2025-06-06T12:26:00"/>
    <s v="FORNECEDOR"/>
    <x v="10"/>
    <s v="CONTRATO INATIVO OU DIVERGENTE"/>
    <s v="SISTEMA"/>
    <x v="1"/>
    <n v="55"/>
  </r>
  <r>
    <s v="RESOLVIDO"/>
    <m/>
    <x v="1"/>
    <n v="3467115"/>
    <x v="0"/>
    <d v="2025-06-05T10:35:00"/>
    <n v="4548261"/>
    <s v="ZW6BXD"/>
    <s v="Inserindo Trecho - Parâmetro Fornecedor - TurVendas - Não foi possível localizar o contrato do fornecedor A"/>
    <x v="1468"/>
    <d v="2025-06-06T12:26:00"/>
    <s v="FORNECEDOR"/>
    <x v="10"/>
    <s v="CONTRATO INATIVO OU DIVERGENTE"/>
    <s v="SISTEMA"/>
    <x v="1"/>
    <n v="55"/>
  </r>
  <r>
    <s v="RESOLVIDO"/>
    <m/>
    <x v="1"/>
    <n v="3465841"/>
    <x v="0"/>
    <d v="2025-06-05T10:52:00"/>
    <n v="4548287"/>
    <s v="IMYMMD"/>
    <s v="Inserindo Trecho - Parâmetro Fornecedor - TurVendas - Não foi possível localizar o contrato do fornecedor A"/>
    <x v="1469"/>
    <d v="2025-06-06T12:26:00"/>
    <s v="FORNECEDOR"/>
    <x v="10"/>
    <s v="CONTRATO INATIVO OU DIVERGENTE"/>
    <s v="SISTEMA"/>
    <x v="1"/>
    <n v="55"/>
  </r>
  <r>
    <s v="RESOLVIDO"/>
    <m/>
    <x v="1"/>
    <n v="3466810"/>
    <x v="0"/>
    <d v="2025-06-05T12:02:00"/>
    <n v="4548358"/>
    <s v="ENZ1RQ"/>
    <s v="Inserindo Trecho - Parâmetro Fornecedor - TurVendas - Não foi possível localizar o contrato do fornecedor A"/>
    <x v="1461"/>
    <d v="2025-06-06T12:26:00"/>
    <s v="FORNECEDOR"/>
    <x v="10"/>
    <s v="CONTRATO INATIVO OU DIVERGENTE"/>
    <s v="SISTEMA"/>
    <x v="1"/>
    <n v="55"/>
  </r>
  <r>
    <s v="RESOLVIDO"/>
    <m/>
    <x v="1"/>
    <n v="3467048"/>
    <x v="0"/>
    <d v="2025-06-05T14:37:00"/>
    <n v="4548465"/>
    <s v="TDTRKB"/>
    <s v="Inserindo Trecho - Parâmetro Fornecedor - TurVendas - Não foi possível localizar o contrato do fornecedor A"/>
    <x v="1470"/>
    <d v="2025-06-06T12:26:00"/>
    <s v="FORNECEDOR"/>
    <x v="10"/>
    <s v="CONTRATO INATIVO OU DIVERGENTE"/>
    <s v="SISTEMA"/>
    <x v="1"/>
    <n v="55"/>
  </r>
  <r>
    <s v="RESOLVIDO"/>
    <m/>
    <x v="1"/>
    <n v="3467022"/>
    <x v="0"/>
    <d v="2025-06-05T14:54:00"/>
    <n v="4548485"/>
    <s v="HFGKRY"/>
    <s v="Inserindo Trecho - Parâmetro Fornecedor - TurVendas - Não foi possível localizar o contrato do fornecedor A"/>
    <x v="1471"/>
    <d v="2025-06-06T12:26:00"/>
    <s v="FORNECEDOR"/>
    <x v="10"/>
    <s v="CONTRATO INATIVO OU DIVERGENTE"/>
    <s v="SISTEMA"/>
    <x v="1"/>
    <n v="55"/>
  </r>
  <r>
    <s v="RESOLVIDO"/>
    <m/>
    <x v="1"/>
    <n v="3466920"/>
    <x v="0"/>
    <d v="2025-06-05T15:04:00"/>
    <n v="4548497"/>
    <s v="ZGW2PY"/>
    <s v="Inserindo Trecho - Parâmetro Fornecedor - TurVendas - Não foi possível localizar o contrato do fornecedor A"/>
    <x v="1472"/>
    <d v="2025-06-06T12:26:00"/>
    <s v="FORNECEDOR"/>
    <x v="10"/>
    <s v="CONTRATO INATIVO OU DIVERGENTE"/>
    <s v="SISTEMA"/>
    <x v="1"/>
    <n v="55"/>
  </r>
  <r>
    <s v="RESOLVIDO"/>
    <m/>
    <x v="1"/>
    <n v="3466787"/>
    <x v="0"/>
    <d v="2025-06-05T15:05:00"/>
    <n v="4548499"/>
    <s v="OEQK7L"/>
    <s v="Inserindo Trecho - Parâmetro Fornecedor - TurVendas - Não foi possível localizar o contrato do fornecedor A"/>
    <x v="1466"/>
    <d v="2025-06-06T12:26:00"/>
    <s v="FORNECEDOR"/>
    <x v="10"/>
    <s v="CONTRATO INATIVO OU DIVERGENTE"/>
    <s v="SISTEMA"/>
    <x v="1"/>
    <n v="55"/>
  </r>
  <r>
    <s v="RESOLVIDO"/>
    <m/>
    <x v="1"/>
    <n v="3467016"/>
    <x v="0"/>
    <d v="2025-06-05T15:56:00"/>
    <n v="4548558"/>
    <s v="RRRLRE"/>
    <s v="Inserindo Trecho - Parâmetro Fornecedor - TurVendas - Não foi possível localizar o contrato do fornecedor A"/>
    <x v="1473"/>
    <d v="2025-06-06T10:45:00"/>
    <s v="FORNECEDOR"/>
    <x v="10"/>
    <s v="CONTRATO INATIVO OU DIVERGENTE"/>
    <s v="SISTEMA"/>
    <x v="1"/>
    <n v="55"/>
  </r>
  <r>
    <s v="RESOLVIDO"/>
    <m/>
    <x v="1"/>
    <n v="3468229"/>
    <x v="0"/>
    <d v="2025-06-05T16:02:00"/>
    <n v="4548574"/>
    <s v="WMSE2D"/>
    <s v="Inserindo Trecho - Parâmetro Fornecedor - TurVendas - Não foi possível localizar o contrato do fornecedor A"/>
    <x v="1474"/>
    <d v="2025-06-06T12:26:00"/>
    <s v="FORNECEDOR"/>
    <x v="10"/>
    <s v="CONTRATO INATIVO OU DIVERGENTE"/>
    <s v="SISTEMA"/>
    <x v="1"/>
    <n v="55"/>
  </r>
  <r>
    <s v="RESOLVIDO"/>
    <m/>
    <x v="1"/>
    <n v="3467098"/>
    <x v="0"/>
    <d v="2025-06-05T16:05:00"/>
    <n v="4548581"/>
    <s v="CEEV2Y"/>
    <s v="Inserindo Trecho - Parâmetro Fornecedor - TurVendas - Não foi possível localizar o contrato do fornecedor A"/>
    <x v="1475"/>
    <d v="2025-06-06T12:26:00"/>
    <s v="FORNECEDOR"/>
    <x v="10"/>
    <s v="CONTRATO INATIVO OU DIVERGENTE"/>
    <s v="SISTEMA"/>
    <x v="1"/>
    <n v="55"/>
  </r>
  <r>
    <s v="RESOLVIDO"/>
    <m/>
    <x v="1"/>
    <n v="3466834"/>
    <x v="0"/>
    <d v="2025-06-05T16:06:00"/>
    <n v="4548583"/>
    <s v="IPHZGX"/>
    <s v="Inserindo Trecho - Parâmetro Fornecedor - TurVendas - Não foi possível localizar o contrato do fornecedor A"/>
    <x v="1476"/>
    <d v="2025-06-06T10:45:00"/>
    <s v="FORNECEDOR"/>
    <x v="10"/>
    <s v="CONTRATO INATIVO OU DIVERGENTE"/>
    <s v="SISTEMA"/>
    <x v="1"/>
    <n v="55"/>
  </r>
  <r>
    <s v="RESOLVIDO"/>
    <m/>
    <x v="1"/>
    <n v="3467099"/>
    <x v="0"/>
    <d v="2025-06-05T16:40:00"/>
    <n v="4548625"/>
    <s v="YWYWUQ"/>
    <s v="Inserindo Trecho - Parâmetro Fornecedor - TurVendas - Não foi possível localizar o contrato do fornecedor A"/>
    <x v="1475"/>
    <d v="2025-06-06T12:26:00"/>
    <s v="FORNECEDOR"/>
    <x v="10"/>
    <s v="CONTRATO INATIVO OU DIVERGENTE"/>
    <s v="SISTEMA"/>
    <x v="1"/>
    <n v="55"/>
  </r>
  <r>
    <s v="RESOLVIDO"/>
    <m/>
    <x v="1"/>
    <n v="3467103"/>
    <x v="0"/>
    <d v="2025-06-05T16:57:00"/>
    <n v="4548641"/>
    <s v="AGQ6VF"/>
    <s v="Inserindo Trecho - Parâmetro Fornecedor - TurVendas - Não foi possível localizar o contrato do fornecedor A"/>
    <x v="1477"/>
    <d v="2025-06-06T10:45:00"/>
    <s v="FORNECEDOR"/>
    <x v="10"/>
    <s v="CONTRATO INATIVO OU DIVERGENTE"/>
    <s v="SISTEMA"/>
    <x v="1"/>
    <n v="55"/>
  </r>
  <r>
    <s v="RESOLVIDO"/>
    <m/>
    <x v="1"/>
    <n v="3467119"/>
    <x v="0"/>
    <d v="2025-06-05T17:55:00"/>
    <n v="4548685"/>
    <s v="YIG77C"/>
    <s v="Inserindo Trecho - Parâmetro Fornecedor - TurVendas - Não foi possível localizar o contrato do fornecedor A"/>
    <x v="1468"/>
    <d v="2025-06-06T12:26:00"/>
    <s v="FORNECEDOR"/>
    <x v="10"/>
    <s v="CONTRATO INATIVO OU DIVERGENTE"/>
    <s v="SISTEMA"/>
    <x v="1"/>
    <n v="55"/>
  </r>
  <r>
    <s v="RESOLVIDO"/>
    <m/>
    <x v="1"/>
    <n v="3467106"/>
    <x v="0"/>
    <d v="2025-06-05T18:15:00"/>
    <n v="4548697"/>
    <s v="DK39XZ"/>
    <s v="Inserindo Trecho - Parâmetro Fornecedor - TurVendas - Não foi possível localizar o contrato do fornecedor A"/>
    <x v="1477"/>
    <d v="2025-06-06T10:45:00"/>
    <s v="FORNECEDOR"/>
    <x v="10"/>
    <s v="CONTRATO INATIVO OU DIVERGENTE"/>
    <s v="SISTEMA"/>
    <x v="1"/>
    <n v="55"/>
  </r>
  <r>
    <s v="RESOLVIDO"/>
    <m/>
    <x v="1"/>
    <n v="3467740"/>
    <x v="0"/>
    <d v="2025-06-05T18:28:00"/>
    <n v="4548701"/>
    <s v="HFBCKY"/>
    <s v="Inserindo Trecho - Parâmetro Fornecedor - TurVendas - Não foi possível localizar o contrato do fornecedor A"/>
    <x v="1478"/>
    <d v="2025-06-06T10:46:00"/>
    <s v="FORNECEDOR"/>
    <x v="10"/>
    <s v="CONTRATO INATIVO OU DIVERGENTE"/>
    <s v="SISTEMA"/>
    <x v="1"/>
    <n v="55"/>
  </r>
  <r>
    <s v="RESOLVIDO"/>
    <m/>
    <x v="1"/>
    <n v="3467131"/>
    <x v="0"/>
    <d v="2025-06-05T18:29:00"/>
    <n v="4548704"/>
    <s v="JRSNGB"/>
    <s v="Inserindo Trecho - Parâmetro Fornecedor - TurVendas - Não foi possível localizar o contrato do fornecedor A"/>
    <x v="1479"/>
    <d v="2025-06-06T12:26:00"/>
    <s v="FORNECEDOR"/>
    <x v="10"/>
    <s v="CONTRATO INATIVO OU DIVERGENTE"/>
    <s v="SISTEMA"/>
    <x v="1"/>
    <n v="55"/>
  </r>
  <r>
    <s v="RESOLVIDO"/>
    <m/>
    <x v="1"/>
    <n v="3468268"/>
    <x v="0"/>
    <d v="2025-06-06T09:43:00"/>
    <n v="4548793"/>
    <s v="OK33SM"/>
    <s v="Inserindo Trecho - Parâmetro Fornecedor - TurVendas - Não foi possível localizar o contrato do fornecedor A"/>
    <x v="1480"/>
    <d v="2025-06-06T12:26:00"/>
    <s v="FORNECEDOR"/>
    <x v="10"/>
    <s v="CONTRATO INATIVO OU DIVERGENTE"/>
    <s v="SISTEMA"/>
    <x v="1"/>
    <n v="55"/>
  </r>
  <r>
    <s v="RESOLVIDO"/>
    <m/>
    <x v="1"/>
    <n v="3468196"/>
    <x v="0"/>
    <d v="2025-06-06T09:44:00"/>
    <n v="4548795"/>
    <s v="BQSV4B"/>
    <s v="Inserindo Trecho - Parâmetro Fornecedor - TurVendas - Não foi possível localizar o contrato do fornecedor A"/>
    <x v="1481"/>
    <d v="2025-06-06T12:26:00"/>
    <s v="FORNECEDOR"/>
    <x v="10"/>
    <s v="CONTRATO INATIVO OU DIVERGENTE"/>
    <s v="SISTEMA"/>
    <x v="1"/>
    <n v="55"/>
  </r>
  <r>
    <s v="RESOLVIDO"/>
    <m/>
    <x v="1"/>
    <n v="3468244"/>
    <x v="0"/>
    <d v="2025-06-06T09:55:00"/>
    <n v="4548808"/>
    <s v="IJ652Z"/>
    <s v="Inserindo Trecho - Parâmetro Fornecedor - TurVendas - Não foi possível localizar o contrato do fornecedor A"/>
    <x v="1482"/>
    <d v="2025-06-06T12:26:00"/>
    <s v="FORNECEDOR"/>
    <x v="10"/>
    <s v="CONTRATO INATIVO OU DIVERGENTE"/>
    <s v="SISTEMA"/>
    <x v="1"/>
    <n v="55"/>
  </r>
  <r>
    <s v="SABRE"/>
    <m/>
    <x v="2"/>
    <n v="3472251"/>
    <x v="2"/>
    <d v="2025-06-09T15:43:00"/>
    <s v="AMGYZMT"/>
    <s v="AMGYZM"/>
    <s v="ConverterPagamentosRemark-&gt;Input string was not in a correct format.&lt;-MontarAccountinsHotel&lt;-ProcessarHotel&lt;-ProcessarItemFila[b]"/>
    <x v="1483"/>
    <m/>
    <s v="FORMA PAGTO/RECTO"/>
    <x v="2"/>
    <s v="TEXTO FORA DO PADRÃO ACEITO NO CAMPO"/>
    <s v="INDEFINIDO"/>
    <x v="0"/>
    <s v="COLUNA I"/>
  </r>
  <r>
    <s v="SABRE"/>
    <m/>
    <x v="2"/>
    <n v="3477207"/>
    <x v="2"/>
    <d v="2025-06-11T17:23:00"/>
    <s v="APISAS"/>
    <s v="APISAS"/>
    <s v="Não localizado cliente código [0000000].&lt;-ObterCliente&lt;-MontarPnrBase&lt;-ProcessarAereo&lt;-ProcessarItemFila[b]"/>
    <x v="1484"/>
    <m/>
    <s v="CLIENTE"/>
    <x v="13"/>
    <s v="CÓDIGO DIFERENTE DO CADASTRADO NO BENNER (CLIENTE X GRUPO)"/>
    <s v="QUALIDADE DOS DADOS"/>
    <x v="0"/>
    <n v="1"/>
  </r>
  <r>
    <s v="SABRE"/>
    <m/>
    <x v="2"/>
    <n v="3468390"/>
    <x v="2"/>
    <d v="2025-06-06T10:47:00"/>
    <s v="CAKSZR"/>
    <s v="CAKSZR"/>
    <s v="Não localizado cliente código [0000583831].&lt;-ObterCliente&lt;-MontarPnrBase&lt;-ProcessarAereo&lt;-ProcessarItemFila[b]"/>
    <x v="1485"/>
    <m/>
    <s v="CLIENTE"/>
    <x v="13"/>
    <s v="CÓDIGO DIFERENTE DO CADASTRADO NO BENNER (CLIENTE X GRUPO)"/>
    <s v="QUALIDADE DOS DADOS"/>
    <x v="0"/>
    <n v="1"/>
  </r>
  <r>
    <s v="SABRE"/>
    <m/>
    <x v="2"/>
    <n v="3471646"/>
    <x v="2"/>
    <d v="2025-06-09T15:51:00"/>
    <s v="CBIXUTT"/>
    <s v="CBIXUT"/>
    <s v="ConverterPagamentosRemark-&gt;String was not recognized as a valid DateTime.&lt;-MontarAccountinsHotel&lt;-ProcessarHotel&lt;-ProcessarItemFila[b]"/>
    <x v="1486"/>
    <d v="2025-06-09T18:05:00"/>
    <s v="FORMA PAGTO/RECTO"/>
    <x v="3"/>
    <s v="REMARK U*INFOPAG-CC/REC-CC PREENCHIDO INCORRETAMENTE"/>
    <s v="QUALIDADE DOS DADOS"/>
    <x v="1"/>
    <s v="COLUNA I"/>
  </r>
  <r>
    <s v="SABRE"/>
    <m/>
    <x v="2"/>
    <n v="3474355"/>
    <x v="2"/>
    <d v="2025-06-10T17:40:00"/>
    <s v="CKLXOT"/>
    <s v="CKLXOT"/>
    <s v="Não localizado cliente código [0000068873].&lt;-ObterCliente&lt;-MontarPnrBase&lt;-ProcessarAereo&lt;-ProcessarItemFila[b]"/>
    <x v="1487"/>
    <d v="2025-06-10T19:46:00"/>
    <s v="CLIENTE"/>
    <x v="13"/>
    <s v="CÓDIGO DIFERENTE DO CADASTRADO NO BENNER (CLIENTE X GRUPO)"/>
    <s v="QUALIDADE DOS DADOS"/>
    <x v="0"/>
    <n v="1"/>
  </r>
  <r>
    <s v="SABRE"/>
    <m/>
    <x v="2"/>
    <n v="3482134"/>
    <x v="2"/>
    <d v="2025-06-13T18:29:00"/>
    <s v="CKOKLF"/>
    <s v="CKOKLF"/>
    <s v="Não localizado cliente código [0000583831].&lt;-ObterCliente&lt;-MontarPnrBase&lt;-ProcessarAereo&lt;-ProcessarItemFila[b]"/>
    <x v="1488"/>
    <m/>
    <s v="CLIENTE"/>
    <x v="13"/>
    <s v="CÓDIGO DIFERENTE DO CADASTRADO NO BENNER (CLIENTE X GRUPO)"/>
    <s v="QUALIDADE DOS DADOS"/>
    <x v="0"/>
    <n v="1"/>
  </r>
  <r>
    <s v="SABRE"/>
    <m/>
    <x v="2"/>
    <n v="3472699"/>
    <x v="2"/>
    <d v="2025-06-09T17:26:00"/>
    <s v="DBODBJ"/>
    <s v="DBODBJ"/>
    <s v="Não localizado cliente com CNPJ [271682000177].&lt;-ObterCliente&lt;-MontarPnrBase&lt;-ProcessarAereo&lt;-ProcessarItemFila[b]"/>
    <x v="1489"/>
    <m/>
    <s v="CLIENTE"/>
    <x v="12"/>
    <s v=""/>
    <e v="#N/A"/>
    <x v="1"/>
    <n v="24"/>
  </r>
  <r>
    <s v="SABRE"/>
    <m/>
    <x v="2"/>
    <n v="3468644"/>
    <x v="2"/>
    <d v="2025-06-11T12:25:00"/>
    <s v="EATCBMT"/>
    <s v="EATCBM"/>
    <s v="ConverterPagamentosRemark-&gt;Input string was not in a correct format.&lt;-MontarAccountinsHotel&lt;-ProcessarHotel&lt;-ProcessarItemFila[b]"/>
    <x v="1490"/>
    <d v="2025-06-11T14:31:00"/>
    <s v="FORMA PAGTO/RECTO"/>
    <x v="2"/>
    <s v="TEXTO FORA DO PADRÃO ACEITO NO CAMPO"/>
    <s v="INDEFINIDO"/>
    <x v="0"/>
    <s v="COLUNA I"/>
  </r>
  <r>
    <s v="SABRE"/>
    <m/>
    <x v="2"/>
    <n v="3476905"/>
    <x v="2"/>
    <d v="2025-06-11T14:54:00"/>
    <s v="EODFJN"/>
    <s v="EODFJN"/>
    <s v="Não localizado cliente código [0000050257].&lt;-ObterCliente&lt;-MontarPnrBase&lt;-ProcessarAereo&lt;-ProcessarItemFila[b]"/>
    <x v="1491"/>
    <m/>
    <s v="CLIENTE"/>
    <x v="13"/>
    <s v="CÓDIGO DIFERENTE DO CADASTRADO NO BENNER (CLIENTE X GRUPO)"/>
    <s v="QUALIDADE DOS DADOS"/>
    <x v="0"/>
    <n v="1"/>
  </r>
  <r>
    <s v="SABRE"/>
    <m/>
    <x v="2"/>
    <n v="3476628"/>
    <x v="2"/>
    <d v="2025-06-11T12:56:00"/>
    <s v="EPKUOV"/>
    <s v="EPKUOV"/>
    <s v="Não localizado cliente código [0000050257].&lt;-ObterCliente&lt;-MontarPnrBase&lt;-ProcessarAereo&lt;-ProcessarItemFila[b]"/>
    <x v="1492"/>
    <m/>
    <s v="CLIENTE"/>
    <x v="13"/>
    <s v="CÓDIGO DIFERENTE DO CADASTRADO NO BENNER (CLIENTE X GRUPO)"/>
    <s v="QUALIDADE DOS DADOS"/>
    <x v="0"/>
    <n v="1"/>
  </r>
  <r>
    <s v="SABRE"/>
    <m/>
    <x v="2"/>
    <n v="3474173"/>
    <x v="2"/>
    <d v="2025-06-10T14:10:00"/>
    <s v="EZBUAC"/>
    <s v="EZBUAC"/>
    <s v="Não localizado cliente código [0000000].&lt;-ObterCliente&lt;-MontarPnrBase&lt;-ProcessarAereo&lt;-ProcessarItemFila[b]"/>
    <x v="1493"/>
    <m/>
    <s v="CLIENTE"/>
    <x v="13"/>
    <s v="CÓDIGO DIFERENTE DO CADASTRADO NO BENNER (CLIENTE X GRUPO)"/>
    <s v="QUALIDADE DOS DADOS"/>
    <x v="0"/>
    <n v="1"/>
  </r>
  <r>
    <s v="SABRE"/>
    <m/>
    <x v="2"/>
    <n v="3480264"/>
    <x v="2"/>
    <d v="2025-06-13T08:45:00"/>
    <s v="FRHCAV"/>
    <s v="FRHCAV"/>
    <s v="Não localizado cliente com CNPJ [JTI PROCESSADORA].&lt;-ObterCliente&lt;-MontarPnrBase&lt;-ProcessarAereo&lt;-ProcessarItemFila[b]"/>
    <x v="1494"/>
    <d v="2025-06-13T10:47:00"/>
    <s v="CLIENTE"/>
    <x v="12"/>
    <s v=""/>
    <s v="QUALIDADE DOS DADOS"/>
    <x v="1"/>
    <n v="24"/>
  </r>
  <r>
    <s v="SABRE"/>
    <m/>
    <x v="2"/>
    <n v="3473728"/>
    <x v="2"/>
    <d v="2025-06-10T09:24:00"/>
    <s v="FVFNHX"/>
    <s v="FVFNHX"/>
    <s v="Não localizado cliente código [1234567890].&lt;-ObterCliente&lt;-MontarPnrBase&lt;-ProcessarAereo&lt;-ProcessarItemFila[b]"/>
    <x v="1495"/>
    <m/>
    <s v="CLIENTE"/>
    <x v="13"/>
    <s v="CÓDIGO DIFERENTE DO CADASTRADO NO BENNER (CLIENTE X GRUPO)"/>
    <s v="QUALIDADE DOS DADOS"/>
    <x v="0"/>
    <n v="1"/>
  </r>
  <r>
    <s v="SABRE"/>
    <m/>
    <x v="2"/>
    <n v="3469376"/>
    <x v="2"/>
    <d v="2025-06-06T14:55:00"/>
    <s v="FVVCNA"/>
    <s v="FVVCNA"/>
    <s v="Não localizado cliente código [1234567890].&lt;-ObterCliente&lt;-MontarPnrBase&lt;-ProcessarAereo&lt;-ProcessarItemFila[b]"/>
    <x v="1496"/>
    <m/>
    <s v="CLIENTE"/>
    <x v="13"/>
    <s v="CÓDIGO DIFERENTE DO CADASTRADO NO BENNER (CLIENTE X GRUPO)"/>
    <s v="QUALIDADE DOS DADOS"/>
    <x v="0"/>
    <n v="1"/>
  </r>
  <r>
    <s v="SABRE"/>
    <m/>
    <x v="2"/>
    <n v="3480234"/>
    <x v="2"/>
    <d v="2025-06-12T17:45:00"/>
    <s v="FXSQDL"/>
    <s v="FXSQDL"/>
    <s v="Não localizado cliente código [0000050269].&lt;-ObterCliente&lt;-MontarPnrBase&lt;-ProcessarAereo&lt;-ProcessarItemFila[b]"/>
    <x v="1497"/>
    <d v="2025-06-12T19:46:00"/>
    <s v="CLIENTE"/>
    <x v="13"/>
    <s v="CÓDIGO DIFERENTE DO CADASTRADO NO BENNER (CLIENTE X GRUPO)"/>
    <s v="QUALIDADE DOS DADOS"/>
    <x v="0"/>
    <n v="1"/>
  </r>
  <r>
    <s v="SABRE"/>
    <m/>
    <x v="2"/>
    <n v="3480235"/>
    <x v="2"/>
    <d v="2025-06-12T17:45:00"/>
    <s v="FXSQDLT"/>
    <s v="FXSQDL"/>
    <s v="Não localizado cliente código [0000050269].&lt;-ObterCliente&lt;-MontarPnrBase&lt;-MontarPnr&lt;-ProcessarHotel&lt;-ProcessarItemFila[b]"/>
    <x v="1497"/>
    <d v="2025-06-12T19:46:00"/>
    <s v="CLIENTE"/>
    <x v="13"/>
    <s v="CÓDIGO DIFERENTE DO CADASTRADO NO BENNER (CLIENTE X GRUPO)"/>
    <s v="QUALIDADE DOS DADOS"/>
    <x v="0"/>
    <n v="1"/>
  </r>
  <r>
    <s v="SABRE"/>
    <m/>
    <x v="2"/>
    <n v="3469554"/>
    <x v="2"/>
    <d v="2025-06-12T09:47:00"/>
    <s v="GFKYWQ"/>
    <s v="GFKYWQ"/>
    <s v="Inserindo PNR - Accountings - TurVendas - Não foi possível localizar o contrato do fornecedor 2I"/>
    <x v="1498"/>
    <d v="2025-06-12T12:02:00"/>
    <s v="FORNECEDOR"/>
    <x v="10"/>
    <s v="CONTRATO INATIVO OU DIVERGENTE"/>
    <s v="SISTEMA"/>
    <x v="1"/>
    <n v="43"/>
  </r>
  <r>
    <s v="SABRE"/>
    <m/>
    <x v="2"/>
    <n v="3468861"/>
    <x v="2"/>
    <d v="2025-06-06T13:10:00"/>
    <s v="GJPFQX"/>
    <s v="GJPFQX"/>
    <s v="Não localizado cliente código [0000583831].&lt;-ObterCliente&lt;-MontarPnrBase&lt;-ProcessarAereo&lt;-ProcessarItemFila[b]"/>
    <x v="1499"/>
    <m/>
    <s v="CLIENTE"/>
    <x v="13"/>
    <s v="CÓDIGO DIFERENTE DO CADASTRADO NO BENNER (CLIENTE X GRUPO)"/>
    <s v="QUALIDADE DOS DADOS"/>
    <x v="0"/>
    <n v="1"/>
  </r>
  <r>
    <s v="SABRE"/>
    <m/>
    <x v="2"/>
    <n v="3468433"/>
    <x v="2"/>
    <d v="2025-06-06T11:37:00"/>
    <s v="GLVFDU"/>
    <s v="GLVFDU"/>
    <s v="Não localizado cliente código [0000583831].&lt;-ObterCliente&lt;-MontarPnrBase&lt;-ProcessarAereo&lt;-ProcessarItemFila[b]"/>
    <x v="1500"/>
    <m/>
    <s v="CLIENTE"/>
    <x v="13"/>
    <s v="CÓDIGO DIFERENTE DO CADASTRADO NO BENNER (CLIENTE X GRUPO)"/>
    <s v="QUALIDADE DOS DADOS"/>
    <x v="0"/>
    <n v="1"/>
  </r>
  <r>
    <s v="SABRE"/>
    <m/>
    <x v="2"/>
    <n v="3471294"/>
    <x v="2"/>
    <d v="2025-06-09T10:33:00"/>
    <s v="GNWWCQ"/>
    <s v="GNWWCQ"/>
    <s v="Código de cliente não identificado&lt;-ObterCliente&lt;-MontarPnrBase&lt;-ProcessarAereo&lt;-ProcessarItemFila[b]"/>
    <x v="1501"/>
    <m/>
    <s v="CLIENTE"/>
    <x v="14"/>
    <s v="DK DE CLIENTE NÃO PREENCIDO / CLIENTE NÃO CONFIGURADO NO OBT"/>
    <s v="INDEFINIDO"/>
    <x v="1"/>
    <s v="COLUNA I"/>
  </r>
  <r>
    <s v="SABRE"/>
    <m/>
    <x v="2"/>
    <n v="3481539"/>
    <x v="2"/>
    <d v="2025-06-13T12:11:00"/>
    <s v="GUSOROT"/>
    <s v="GUSORO"/>
    <s v="ConverterPagamentosRemark-&gt;Input string was not in a correct format.&lt;-MontarAccountinsHotel&lt;-ProcessarHotel&lt;-ProcessarItemFila[b]"/>
    <x v="1502"/>
    <m/>
    <s v="FORMA PAGTO/RECTO"/>
    <x v="2"/>
    <s v="TEXTO FORA DO PADRÃO ACEITO NO CAMPO"/>
    <s v="INDEFINIDO"/>
    <x v="0"/>
    <s v="COLUNA I"/>
  </r>
  <r>
    <s v="SABRE"/>
    <m/>
    <x v="2"/>
    <n v="3478989"/>
    <x v="2"/>
    <d v="2025-06-12T12:35:00"/>
    <s v="HHATIF"/>
    <s v="HHATIF"/>
    <s v="Não localizado cliente código [1234567890].&lt;-ObterCliente&lt;-MontarPnrBase&lt;-ProcessarAereo&lt;-ProcessarItemFila[b]"/>
    <x v="1503"/>
    <m/>
    <s v="CLIENTE"/>
    <x v="13"/>
    <s v="CÓDIGO DIFERENTE DO CADASTRADO NO BENNER (CLIENTE X GRUPO)"/>
    <s v="QUALIDADE DOS DADOS"/>
    <x v="0"/>
    <n v="1"/>
  </r>
  <r>
    <s v="SABRE"/>
    <m/>
    <x v="2"/>
    <n v="3479156"/>
    <x v="2"/>
    <d v="2025-06-12T13:09:00"/>
    <s v="HKUWJET"/>
    <s v="HKUWJE"/>
    <s v="ConverterPagamentosRemark-&gt;Input string was not in a correct format.&lt;-MontarAccountinsHotel&lt;-ProcessarHotel&lt;-ProcessarItemFila[b]"/>
    <x v="1504"/>
    <m/>
    <s v="FORMA PAGTO/RECTO"/>
    <x v="2"/>
    <s v="TEXTO FORA DO PADRÃO ACEITO NO CAMPO"/>
    <s v="INDEFINIDO"/>
    <x v="0"/>
    <s v="COLUNA I"/>
  </r>
  <r>
    <s v="SABRE"/>
    <m/>
    <x v="2"/>
    <n v="3476371"/>
    <x v="2"/>
    <d v="2025-06-11T09:51:00"/>
    <s v="HQKDWH"/>
    <s v="HQKDWH"/>
    <s v="Não localizado cliente com CNPJ [9108301000108].&lt;-ObterCliente&lt;-MontarPnrBase&lt;-ProcessarAereo&lt;-ProcessarItemFila[b]"/>
    <x v="1505"/>
    <d v="2025-06-11T12:02:00"/>
    <s v="CLIENTE"/>
    <x v="12"/>
    <s v=""/>
    <e v="#N/A"/>
    <x v="1"/>
    <n v="24"/>
  </r>
  <r>
    <s v="SABRE"/>
    <m/>
    <x v="2"/>
    <n v="3476372"/>
    <x v="2"/>
    <d v="2025-06-11T09:51:00"/>
    <s v="HQKDWHT"/>
    <s v="HQKDWH"/>
    <s v="Não localizado cliente com CNPJ [9108301000108].&lt;-ObterCliente&lt;-MontarPnrBase&lt;-MontarPnr&lt;-ProcessarHotel&lt;-ProcessarItemFila[b]"/>
    <x v="1505"/>
    <d v="2025-06-11T12:03:00"/>
    <s v="CLIENTE"/>
    <x v="12"/>
    <s v=""/>
    <s v="QUALIDADE DOS DADOS"/>
    <x v="1"/>
    <n v="24"/>
  </r>
  <r>
    <s v="SABRE"/>
    <m/>
    <x v="2"/>
    <n v="3478426"/>
    <x v="2"/>
    <d v="2025-06-12T09:41:00"/>
    <s v="HRFBRH"/>
    <s v="HRFBRH"/>
    <s v="Não localizado cliente código [0000583808].&lt;-ObterCliente&lt;-MontarPnrBase&lt;-ProcessarAereo&lt;-ProcessarItemFila[b]"/>
    <x v="1506"/>
    <m/>
    <s v="CLIENTE"/>
    <x v="13"/>
    <s v="CÓDIGO DIFERENTE DO CADASTRADO NO BENNER (CLIENTE X GRUPO)"/>
    <s v="QUALIDADE DOS DADOS"/>
    <x v="0"/>
    <n v="1"/>
  </r>
  <r>
    <s v="SABRE"/>
    <m/>
    <x v="2"/>
    <n v="3469569"/>
    <x v="2"/>
    <d v="2025-06-06T16:22:00"/>
    <s v="HSLNQW"/>
    <s v="HSLNQW"/>
    <s v="Não localizado cliente código [1234567890].&lt;-ObterCliente&lt;-MontarPnrBase&lt;-ProcessarAereo&lt;-ProcessarItemFila[b]"/>
    <x v="1507"/>
    <m/>
    <s v="CLIENTE"/>
    <x v="13"/>
    <s v="CÓDIGO DIFERENTE DO CADASTRADO NO BENNER (CLIENTE X GRUPO)"/>
    <s v="QUALIDADE DOS DADOS"/>
    <x v="0"/>
    <n v="1"/>
  </r>
  <r>
    <s v="SABRE"/>
    <m/>
    <x v="2"/>
    <n v="3478990"/>
    <x v="2"/>
    <d v="2025-06-12T12:35:00"/>
    <s v="INJLSU"/>
    <s v="INJLSU"/>
    <s v="Não localizado cliente código [1234567890].&lt;-ObterCliente&lt;-MontarPnrBase&lt;-ProcessarAereo&lt;-ProcessarItemFila[b]"/>
    <x v="1503"/>
    <m/>
    <s v="CLIENTE"/>
    <x v="13"/>
    <s v="CÓDIGO DIFERENTE DO CADASTRADO NO BENNER (CLIENTE X GRUPO)"/>
    <s v="QUALIDADE DOS DADOS"/>
    <x v="0"/>
    <n v="1"/>
  </r>
  <r>
    <s v="SABRE"/>
    <m/>
    <x v="2"/>
    <n v="3479772"/>
    <x v="2"/>
    <d v="2025-06-12T14:49:00"/>
    <s v="ITBPJN"/>
    <s v="ITBPJN"/>
    <s v="Não localizado cliente código [0000000].&lt;-ObterCliente&lt;-MontarPnrBase&lt;-ProcessarAereo&lt;-ProcessarItemFila[b]"/>
    <x v="1508"/>
    <m/>
    <s v="CLIENTE"/>
    <x v="13"/>
    <s v="CÓDIGO DIFERENTE DO CADASTRADO NO BENNER (CLIENTE X GRUPO)"/>
    <s v="QUALIDADE DOS DADOS"/>
    <x v="0"/>
    <n v="1"/>
  </r>
  <r>
    <s v="SABRE"/>
    <m/>
    <x v="2"/>
    <n v="3474030"/>
    <x v="2"/>
    <d v="2025-06-10T13:05:00"/>
    <s v="JAKAOB"/>
    <s v="JAKAOB"/>
    <s v="Não localizado cliente com CNPJ [2379828000128].&lt;-ObterCliente&lt;-MontarPnrBase&lt;-ProcessarAereo&lt;-ProcessarItemFila[b]"/>
    <x v="1509"/>
    <m/>
    <s v="CLIENTE"/>
    <x v="12"/>
    <s v=""/>
    <s v="QUALIDADE DOS DADOS"/>
    <x v="1"/>
    <n v="24"/>
  </r>
  <r>
    <s v="SABRE"/>
    <m/>
    <x v="2"/>
    <n v="3474575"/>
    <x v="2"/>
    <d v="2025-06-10T17:41:00"/>
    <s v="JDOIAO"/>
    <s v="JDOIAO"/>
    <s v="Não localizado cliente código [1234567890].&lt;-ObterCliente&lt;-MontarPnrBase&lt;-ProcessarAereo&lt;-ProcessarItemFila[b]"/>
    <x v="1510"/>
    <m/>
    <s v="CLIENTE"/>
    <x v="13"/>
    <s v="CÓDIGO DIFERENTE DO CADASTRADO NO BENNER (CLIENTE X GRUPO)"/>
    <s v="QUALIDADE DOS DADOS"/>
    <x v="0"/>
    <n v="1"/>
  </r>
  <r>
    <s v="SABRE"/>
    <m/>
    <x v="2"/>
    <n v="3484224"/>
    <x v="2"/>
    <d v="2025-06-16T09:27:00"/>
    <s v="JFXHOUT"/>
    <s v="JFXHOU"/>
    <s v="ConverterPagamentosRemark-&gt;String was not recognized as a valid DateTime.&lt;-MontarAccountinsHotel&lt;-ProcessarHotel&lt;-ProcessarItemFila[b]"/>
    <x v="1511"/>
    <m/>
    <s v="FORMA PAGTO/RECTO"/>
    <x v="3"/>
    <s v="REMARK U*INFOPAG-CC/REC-CC PREENCHIDO INCORRETAMENTE"/>
    <s v="QUALIDADE DOS DADOS"/>
    <x v="1"/>
    <s v="COLUNA I"/>
  </r>
  <r>
    <s v="SABRE"/>
    <m/>
    <x v="2"/>
    <n v="3481959"/>
    <x v="2"/>
    <d v="2025-06-13T15:45:00"/>
    <s v="JIFXFUT"/>
    <s v="JIFXFU"/>
    <s v="ConverterPagamentosRemark-&gt;String was not recognized as a valid DateTime.&lt;-MontarAccountinsHotel&lt;-ProcessarHotel&lt;-ProcessarItemFila[b]"/>
    <x v="1512"/>
    <m/>
    <s v="FORMA PAGTO/RECTO"/>
    <x v="3"/>
    <s v="REMARK U*INFOPAG-CC/REC-CC PREENCHIDO INCORRETAMENTE"/>
    <s v="QUALIDADE DOS DADOS"/>
    <x v="1"/>
    <s v="COLUNA I"/>
  </r>
  <r>
    <s v="SABRE"/>
    <m/>
    <x v="2"/>
    <n v="3472155"/>
    <x v="2"/>
    <d v="2025-06-09T15:40:00"/>
    <s v="JNAKHR"/>
    <s v="JNAKHR"/>
    <s v="Não localizado cliente código [0000392619].&lt;-ObterCliente&lt;-MontarPnrBase&lt;-ProcessarAereo&lt;-ProcessarItemFila[b]"/>
    <x v="1513"/>
    <d v="2025-06-09T17:47:00"/>
    <s v="CLIENTE"/>
    <x v="13"/>
    <s v="CÓDIGO DIFERENTE DO CADASTRADO NO BENNER (CLIENTE X GRUPO)"/>
    <s v="QUALIDADE DOS DADOS"/>
    <x v="0"/>
    <n v="1"/>
  </r>
  <r>
    <s v="SABRE"/>
    <m/>
    <x v="2"/>
    <n v="3474176"/>
    <x v="2"/>
    <d v="2025-06-10T14:10:00"/>
    <s v="JOLMEA"/>
    <s v="JOLMEA"/>
    <s v="Código de cliente não identificado&lt;-ObterCliente&lt;-MontarPnrBase&lt;-ProcessarAereo&lt;-ProcessarItemFila[b]"/>
    <x v="1493"/>
    <m/>
    <s v="CLIENTE"/>
    <x v="14"/>
    <s v="DK DE CLIENTE NÃO PREENCIDO / CLIENTE NÃO CONFIGURADO NO OBT"/>
    <s v="INDEFINIDO"/>
    <x v="1"/>
    <s v="COLUNA I"/>
  </r>
  <r>
    <s v="SABRE"/>
    <m/>
    <x v="2"/>
    <n v="3468393"/>
    <x v="2"/>
    <d v="2025-06-06T11:37:00"/>
    <s v="JVAHLS"/>
    <s v="JVAHLS"/>
    <s v="Não localizado cliente código [0000084716].&lt;-ObterCliente&lt;-MontarPnrBase&lt;-ProcessarAereo&lt;-ProcessarItemFila[b]"/>
    <x v="1485"/>
    <d v="2025-06-06T13:46:00"/>
    <s v="CLIENTE"/>
    <x v="13"/>
    <s v="CÓDIGO DIFERENTE DO CADASTRADO NO BENNER (CLIENTE X GRUPO)"/>
    <s v="QUALIDADE DOS DADOS"/>
    <x v="0"/>
    <n v="1"/>
  </r>
  <r>
    <s v="SABRE"/>
    <m/>
    <x v="2"/>
    <n v="3484223"/>
    <x v="2"/>
    <d v="2025-06-16T09:25:00"/>
    <s v="JVBPNMT"/>
    <s v="JVBPNM"/>
    <s v="ConverterPagamentosRemark-&gt;String was not recognized as a valid DateTime.&lt;-MontarAccountinsHotel&lt;-ProcessarHotel&lt;-ProcessarItemFila[b]"/>
    <x v="1511"/>
    <m/>
    <s v="FORMA PAGTO/RECTO"/>
    <x v="3"/>
    <s v="REMARK U*INFOPAG-CC/REC-CC PREENCHIDO INCORRETAMENTE"/>
    <s v="QUALIDADE DOS DADOS"/>
    <x v="1"/>
    <s v="COLUNA I"/>
  </r>
  <r>
    <s v="SABRE"/>
    <m/>
    <x v="2"/>
    <n v="3481538"/>
    <x v="2"/>
    <d v="2025-06-13T12:06:00"/>
    <s v="JYFXTHT"/>
    <s v="JYFXTH"/>
    <s v="ConverterPagamentosRemark-&gt;Input string was not in a correct format.&lt;-MontarAccountinsHotel&lt;-ProcessarHotel&lt;-ProcessarItemFila[b]"/>
    <x v="1502"/>
    <m/>
    <s v="FORMA PAGTO/RECTO"/>
    <x v="2"/>
    <s v="TEXTO FORA DO PADRÃO ACEITO NO CAMPO"/>
    <s v="INDEFINIDO"/>
    <x v="0"/>
    <s v="COLUNA I"/>
  </r>
  <r>
    <s v="SABRE"/>
    <m/>
    <x v="2"/>
    <n v="3482130"/>
    <x v="2"/>
    <d v="2025-06-13T18:29:00"/>
    <s v="LOWPRU"/>
    <s v="LOWPRU"/>
    <s v="Não localizado cliente código [0000000].&lt;-ObterCliente&lt;-MontarPnrBase&lt;-ProcessarAereo&lt;-ProcessarItemFila[b]"/>
    <x v="1488"/>
    <m/>
    <s v="CLIENTE"/>
    <x v="13"/>
    <s v="CÓDIGO DIFERENTE DO CADASTRADO NO BENNER (CLIENTE X GRUPO)"/>
    <s v="QUALIDADE DOS DADOS"/>
    <x v="0"/>
    <n v="1"/>
  </r>
  <r>
    <s v="SABRE"/>
    <m/>
    <x v="2"/>
    <n v="3476373"/>
    <x v="2"/>
    <d v="2025-06-11T09:28:00"/>
    <s v="LPLQUTT"/>
    <s v="LPLQUT"/>
    <s v="Verificando Formas Pagto/Rec - (ExecSQL) - Ocorreu o erro 'The column name 'K9_CENTROCUSTOPAX' is specified more than once in the SET clause or column list of an INSERT. A column cannot be assigned more than one value in the same clause. Modify the clause to make sure that a column is updated only once. If this statement updates or inserts columns into a view, column aliasing can conceal the duplication in your code.' na execução do comando SQL."/>
    <x v="1514"/>
    <m/>
    <s v="OUTROS"/>
    <x v="7"/>
    <s v="ERRO NA IMPORTAÇÃO/MODIFICAÇÃO DAS INFOMAÇÕES"/>
    <s v="SISTEMA"/>
    <x v="2"/>
    <n v="163"/>
  </r>
  <r>
    <s v="SABRE"/>
    <m/>
    <x v="2"/>
    <n v="3469509"/>
    <x v="2"/>
    <d v="2025-06-06T15:56:00"/>
    <s v="MIXHZK"/>
    <s v="MIXHZK"/>
    <s v="Não localizado cliente código [0000583808].&lt;-ObterCliente&lt;-MontarPnrBase&lt;-ProcessarAereo&lt;-ProcessarItemFila[b]"/>
    <x v="1515"/>
    <m/>
    <s v="CLIENTE"/>
    <x v="13"/>
    <s v="CÓDIGO DIFERENTE DO CADASTRADO NO BENNER (CLIENTE X GRUPO)"/>
    <s v="QUALIDADE DOS DADOS"/>
    <x v="0"/>
    <n v="1"/>
  </r>
  <r>
    <s v="SABRE"/>
    <m/>
    <x v="2"/>
    <n v="3476364"/>
    <x v="2"/>
    <d v="2025-06-11T09:11:00"/>
    <s v="MRKGIS"/>
    <s v="MRKGIS"/>
    <s v="Código de cliente não identificado&lt;-ObterCliente&lt;-MontarPnrBase&lt;-ProcessarAereo&lt;-ProcessarItemFila[b]"/>
    <x v="1516"/>
    <m/>
    <s v="CLIENTE"/>
    <x v="14"/>
    <s v="DK DE CLIENTE NÃO PREENCIDO / CLIENTE NÃO CONFIGURADO NO OBT"/>
    <s v="INDEFINIDO"/>
    <x v="1"/>
    <s v="COLUNA I"/>
  </r>
  <r>
    <s v="SABRE"/>
    <m/>
    <x v="2"/>
    <n v="3484654"/>
    <x v="2"/>
    <d v="2025-06-16T14:03:00"/>
    <s v="MXCERET"/>
    <s v="MXCERE"/>
    <s v="ConverterPagamentosRemark-&gt;String was not recognized as a valid DateTime.&lt;-MontarAccountinsHotel&lt;-ProcessarHotel&lt;-ProcessarItemFila[b]"/>
    <x v="1517"/>
    <m/>
    <s v="FORMA PAGTO/RECTO"/>
    <x v="3"/>
    <s v="REMARK U*INFOPAG-CC/REC-CC PREENCHIDO INCORRETAMENTE"/>
    <s v="QUALIDADE DOS DADOS"/>
    <x v="1"/>
    <s v="COLUNA I"/>
  </r>
  <r>
    <s v="SABRE"/>
    <m/>
    <x v="2"/>
    <n v="3484400"/>
    <x v="2"/>
    <d v="2025-06-16T11:06:00"/>
    <s v="OHUGIE"/>
    <s v="OHUGIE"/>
    <s v="Não localizado cliente com CNPJ [271682000177].&lt;-ObterCliente&lt;-MontarPnrBase&lt;-ProcessarAereo&lt;-ProcessarItemFila[b]"/>
    <x v="1518"/>
    <m/>
    <s v="CLIENTE"/>
    <x v="12"/>
    <s v=""/>
    <s v="QUALIDADE DOS DADOS"/>
    <x v="1"/>
    <n v="24"/>
  </r>
  <r>
    <s v="SABRE"/>
    <m/>
    <x v="2"/>
    <n v="3478431"/>
    <x v="2"/>
    <d v="2025-06-12T09:41:00"/>
    <s v="OKRJJE"/>
    <s v="OKRJJE"/>
    <s v="Não localizado cliente código [1234567890].&lt;-ObterCliente&lt;-MontarPnrBase&lt;-ProcessarAereo&lt;-ProcessarItemFila[b]"/>
    <x v="1506"/>
    <m/>
    <s v="CLIENTE"/>
    <x v="13"/>
    <s v="CÓDIGO DIFERENTE DO CADASTRADO NO BENNER (CLIENTE X GRUPO)"/>
    <s v="QUALIDADE DOS DADOS"/>
    <x v="0"/>
    <n v="1"/>
  </r>
  <r>
    <s v="SABRE"/>
    <m/>
    <x v="2"/>
    <n v="3476522"/>
    <x v="2"/>
    <d v="2025-06-11T11:26:00"/>
    <s v="QDQBXC"/>
    <s v="QDQBXC"/>
    <s v="Código de cliente não identificado&lt;-ObterCliente&lt;-MontarPnrBase&lt;-ProcessarAereo&lt;-ProcessarItemFila[b]"/>
    <x v="1519"/>
    <m/>
    <s v="CLIENTE"/>
    <x v="14"/>
    <s v="DK DE CLIENTE NÃO PREENCIDO / CLIENTE NÃO CONFIGURADO NO OBT"/>
    <s v="INDEFINIDO"/>
    <x v="1"/>
    <s v="COLUNA I"/>
  </r>
  <r>
    <s v="SABRE"/>
    <m/>
    <x v="2"/>
    <n v="3471262"/>
    <x v="2"/>
    <d v="2025-06-09T10:02:00"/>
    <s v="QKAUTGT"/>
    <s v="QKAUTG"/>
    <s v="ConverterPagamentosRemark-&gt;Input string was not in a correct format.&lt;-MontarAccountinsHotel&lt;-ProcessarHotel&lt;-ProcessarItemFila[b]"/>
    <x v="1520"/>
    <m/>
    <s v="FORMA PAGTO/RECTO"/>
    <x v="2"/>
    <s v="TEXTO FORA DO PADRÃO ACEITO NO CAMPO"/>
    <s v="INDEFINIDO"/>
    <x v="0"/>
    <s v="COLUNA I"/>
  </r>
  <r>
    <s v="SABRE"/>
    <m/>
    <x v="2"/>
    <n v="3471006"/>
    <x v="2"/>
    <d v="2025-06-09T07:47:00"/>
    <s v="SFNBWAT"/>
    <s v="SFNBWA"/>
    <s v="ConverterPagamentosRemark-&gt;Input string was not in a correct format.&lt;-MontarAccountinsHotel&lt;-ProcessarHotel&lt;-ProcessarItemFila[b]"/>
    <x v="1521"/>
    <m/>
    <s v="FORMA PAGTO/RECTO"/>
    <x v="2"/>
    <s v="TEXTO FORA DO PADRÃO ACEITO NO CAMPO"/>
    <s v="INDEFINIDO"/>
    <x v="0"/>
    <s v="COLUNA I"/>
  </r>
  <r>
    <s v="SABRE"/>
    <m/>
    <x v="2"/>
    <n v="3468554"/>
    <x v="2"/>
    <d v="2025-06-06T12:28:00"/>
    <s v="SKQDVQ"/>
    <s v="SKQDVQ"/>
    <s v="Não localizado cliente código [1234567890].&lt;-ObterCliente&lt;-MontarPnrBase&lt;-ProcessarAereo&lt;-ProcessarItemFila[b]"/>
    <x v="1522"/>
    <m/>
    <s v="CLIENTE"/>
    <x v="13"/>
    <s v="CÓDIGO DIFERENTE DO CADASTRADO NO BENNER (CLIENTE X GRUPO)"/>
    <s v="QUALIDADE DOS DADOS"/>
    <x v="0"/>
    <n v="1"/>
  </r>
  <r>
    <s v="SABRE"/>
    <m/>
    <x v="2"/>
    <n v="3485132"/>
    <x v="2"/>
    <d v="2025-06-16T17:23:00"/>
    <s v="STSPYF"/>
    <s v="STSPYF"/>
    <s v="Código de cliente não identificado&lt;-ObterCliente&lt;-MontarPnrBase&lt;-ProcessarAereo&lt;-ProcessarItemFila[b]"/>
    <x v="1523"/>
    <m/>
    <s v="CLIENTE"/>
    <x v="14"/>
    <s v="DK DE CLIENTE NÃO PREENCIDO / CLIENTE NÃO CONFIGURADO NO OBT"/>
    <s v="INDEFINIDO"/>
    <x v="1"/>
    <s v="COLUNA I"/>
  </r>
  <r>
    <s v="SABRE"/>
    <m/>
    <x v="2"/>
    <n v="3480270"/>
    <x v="2"/>
    <d v="2025-06-12T18:14:00"/>
    <s v="UCFAJI"/>
    <s v="UCFAJI"/>
    <s v="Não localizado cliente código [0000050257].&lt;-ObterCliente&lt;-MontarPnrBase&lt;-ProcessarAereo&lt;-ProcessarItemFila[b]"/>
    <x v="1524"/>
    <m/>
    <s v="CLIENTE"/>
    <x v="13"/>
    <s v="CÓDIGO DIFERENTE DO CADASTRADO NO BENNER (CLIENTE X GRUPO)"/>
    <s v="QUALIDADE DOS DADOS"/>
    <x v="0"/>
    <n v="1"/>
  </r>
  <r>
    <s v="SABRE"/>
    <m/>
    <x v="2"/>
    <n v="3474180"/>
    <x v="2"/>
    <d v="2025-06-10T14:10:00"/>
    <s v="UGGWVM"/>
    <s v="UGGWVM"/>
    <s v="Não localizado cliente código [0000000].&lt;-ObterCliente&lt;-MontarPnrBase&lt;-ProcessarAereo&lt;-ProcessarItemFila[b]"/>
    <x v="1525"/>
    <m/>
    <s v="CLIENTE"/>
    <x v="13"/>
    <s v="CÓDIGO DIFERENTE DO CADASTRADO NO BENNER (CLIENTE X GRUPO)"/>
    <s v="QUALIDADE DOS DADOS"/>
    <x v="0"/>
    <n v="1"/>
  </r>
  <r>
    <s v="SABRE"/>
    <m/>
    <x v="2"/>
    <n v="3476904"/>
    <x v="2"/>
    <d v="2025-06-11T14:54:00"/>
    <s v="ULYFDT"/>
    <s v="ULYFDT"/>
    <s v="Não localizado cliente código [0000000].&lt;-ObterCliente&lt;-MontarPnrBase&lt;-ProcessarAereo&lt;-ProcessarItemFila[b]"/>
    <x v="1491"/>
    <m/>
    <s v="CLIENTE"/>
    <x v="13"/>
    <s v="CÓDIGO DIFERENTE DO CADASTRADO NO BENNER (CLIENTE X GRUPO)"/>
    <s v="QUALIDADE DOS DADOS"/>
    <x v="0"/>
    <n v="1"/>
  </r>
  <r>
    <s v="SABRE"/>
    <m/>
    <x v="2"/>
    <n v="3468553"/>
    <x v="2"/>
    <d v="2025-06-06T12:28:00"/>
    <s v="USRZHI"/>
    <s v="USRZHI"/>
    <s v="Não localizado cliente código [0000583831].&lt;-ObterCliente&lt;-MontarPnrBase&lt;-ProcessarAereo&lt;-ProcessarItemFila[b]"/>
    <x v="1522"/>
    <m/>
    <s v="CLIENTE"/>
    <x v="13"/>
    <s v="CÓDIGO DIFERENTE DO CADASTRADO NO BENNER (CLIENTE X GRUPO)"/>
    <s v="QUALIDADE DOS DADOS"/>
    <x v="0"/>
    <n v="1"/>
  </r>
  <r>
    <s v="SABRE"/>
    <m/>
    <x v="2"/>
    <n v="3481954"/>
    <x v="2"/>
    <d v="2025-06-13T15:39:00"/>
    <s v="WCCSBVT"/>
    <s v="WCCSBV"/>
    <s v="ConverterPagamentosRemark-&gt;String was not recognized as a valid DateTime.&lt;-MontarAccountinsHotel&lt;-ProcessarHotel&lt;-ProcessarItemFila[b]"/>
    <x v="1512"/>
    <m/>
    <s v="FORMA PAGTO/RECTO"/>
    <x v="3"/>
    <s v="REMARK U*INFOPAG-CC/REC-CC PREENCHIDO INCORRETAMENTE"/>
    <s v="QUALIDADE DOS DADOS"/>
    <x v="1"/>
    <s v="COLUNA I"/>
  </r>
  <r>
    <s v="SABRE"/>
    <m/>
    <x v="2"/>
    <n v="3484221"/>
    <x v="2"/>
    <d v="2025-06-16T09:20:00"/>
    <s v="WDALBTT"/>
    <s v="WDALBT"/>
    <s v="ConverterPagamentosRemark-&gt;String was not recognized as a valid DateTime.&lt;-MontarAccountinsHotel&lt;-ProcessarHotel&lt;-ProcessarItemFila[b]"/>
    <x v="1511"/>
    <m/>
    <s v="FORMA PAGTO/RECTO"/>
    <x v="3"/>
    <s v="REMARK U*INFOPAG-CC/REC-CC PREENCHIDO INCORRETAMENTE"/>
    <s v="QUALIDADE DOS DADOS"/>
    <x v="1"/>
    <s v="COLUNA I"/>
  </r>
  <r>
    <s v="SABRE"/>
    <m/>
    <x v="2"/>
    <n v="3474576"/>
    <x v="2"/>
    <d v="2025-06-10T17:41:00"/>
    <s v="WENQEL"/>
    <s v="WENQEL"/>
    <s v="Não localizado cliente código [0000000].&lt;-ObterCliente&lt;-MontarPnrBase&lt;-ProcessarAereo&lt;-ProcessarItemFila[b]"/>
    <x v="1526"/>
    <m/>
    <s v="CLIENTE"/>
    <x v="13"/>
    <s v="CÓDIGO DIFERENTE DO CADASTRADO NO BENNER (CLIENTE X GRUPO)"/>
    <s v="QUALIDADE DOS DADOS"/>
    <x v="0"/>
    <n v="1"/>
  </r>
  <r>
    <s v="SABRE"/>
    <m/>
    <x v="2"/>
    <n v="3478505"/>
    <x v="2"/>
    <d v="2025-06-12T09:47:00"/>
    <s v="WFDDAB"/>
    <s v="WFDDAB"/>
    <s v="Não localizado cliente com CNPJ [JTI PROCESSADORA].&lt;-ObterCliente&lt;-MontarPnrBase&lt;-ProcessarAereo&lt;-ProcessarItemFila[b]"/>
    <x v="1527"/>
    <m/>
    <s v="CLIENTE"/>
    <x v="12"/>
    <s v=""/>
    <e v="#N/A"/>
    <x v="1"/>
    <n v="24"/>
  </r>
  <r>
    <s v="SABRE"/>
    <m/>
    <x v="2"/>
    <n v="3481789"/>
    <x v="2"/>
    <d v="2025-06-13T14:46:00"/>
    <s v="WFMEXXT"/>
    <s v="WFMEXX"/>
    <s v="ConverterPagamentosRemark-&gt;String was not recognized as a valid DateTime.&lt;-MontarAccountinsHotel&lt;-ProcessarHotel&lt;-ProcessarItemFila[b]"/>
    <x v="1528"/>
    <m/>
    <s v="FORMA PAGTO/RECTO"/>
    <x v="3"/>
    <s v="REMARK U*INFOPAG-CC/REC-CC PREENCHIDO INCORRETAMENTE"/>
    <s v="QUALIDADE DOS DADOS"/>
    <x v="1"/>
    <s v="COLUNA I"/>
  </r>
  <r>
    <s v="SABRE"/>
    <m/>
    <x v="2"/>
    <n v="3476374"/>
    <x v="2"/>
    <d v="2025-06-11T14:47:00"/>
    <s v="YBGARGT"/>
    <s v="YBGARG"/>
    <s v="Verificando Formas Pagto/Rec - (ExecSQL) - Ocorreu o erro 'The column name 'K9_CENTROCUSTOPAX' is specified more than once in the SET clause or column list of an INSERT. A column cannot be assigned more than one value in the same clause. Modify the clause to make sure that a column is updated only once. If this statement updates or inserts columns into a view, column aliasing can conceal the duplication in your code.' na execução do comando SQL."/>
    <x v="1514"/>
    <d v="2025-06-11T16:49:00"/>
    <s v="OUTROS"/>
    <x v="7"/>
    <s v="ERRO NA IMPORTAÇÃO/MODIFICAÇÃO DAS INFOMAÇÕES"/>
    <s v="SISTEMA"/>
    <x v="2"/>
    <n v="163"/>
  </r>
  <r>
    <s v="SABRE"/>
    <m/>
    <x v="2"/>
    <n v="3474177"/>
    <x v="2"/>
    <d v="2025-06-10T14:10:00"/>
    <s v="YXFQHQ"/>
    <s v="YXFQHQ"/>
    <s v="Não localizado cliente código [0000000].&lt;-ObterCliente&lt;-MontarPnrBase&lt;-ProcessarAereo&lt;-ProcessarItemFila[b]"/>
    <x v="1493"/>
    <m/>
    <s v="CLIENTE"/>
    <x v="13"/>
    <s v="CÓDIGO DIFERENTE DO CADASTRADO NO BENNER (CLIENTE X GRUPO)"/>
    <s v="QUALIDADE DOS DADOS"/>
    <x v="0"/>
    <n v="1"/>
  </r>
  <r>
    <s v="TMS"/>
    <m/>
    <x v="2"/>
    <n v="3470361"/>
    <x v="1"/>
    <d v="2025-06-06T16:14:00"/>
    <n v="163"/>
    <n v="163"/>
    <s v="Preenchendo XML Serviço-&gt; Preenchendo XML-&gt; Montando accounting aereo 2-&gt;Não foi informado o Localizador do Assento/Bagagem!"/>
    <x v="1529"/>
    <d v="2025-06-12T16:13:00"/>
    <s v="OUTROS"/>
    <x v="15"/>
    <s v="CAMPO OBSERVAÇÃO PREENCHIDO INCORRETAMENTE"/>
    <s v="QUALIDADE DOS DADOS"/>
    <x v="1"/>
    <n v="118"/>
  </r>
  <r>
    <s v="TMS"/>
    <m/>
    <x v="2"/>
    <n v="3478153"/>
    <x v="1"/>
    <d v="2025-06-11T11:18:00"/>
    <n v="2667"/>
    <n v="2667"/>
    <s v="Preenchendo XML Serviço-&gt; Preenchendo XML-&gt; Montando accounting aereo 3-&gt;Reserva USRZHI não encontrada para importar assento/bagagem!"/>
    <x v="1530"/>
    <d v="2025-06-16T12:28:00"/>
    <s v="OUTROS"/>
    <x v="15"/>
    <s v="CAMPO OBSERVAÇÃO PREENCHIDO INCORRETAMENTE"/>
    <s v="QUALIDADE DOS DADOS"/>
    <x v="1"/>
    <n v="127"/>
  </r>
  <r>
    <s v="TMS"/>
    <m/>
    <x v="2"/>
    <n v="3485888"/>
    <x v="1"/>
    <d v="2025-06-16T17:36:00"/>
    <n v="45234"/>
    <n v="45234"/>
    <s v="Inserindo Accounting Servico - Parâmetro Consolidador - TurVendas - Não foi possível localizar o contrato do fornecedor QUEROP"/>
    <x v="1531"/>
    <m/>
    <s v="FORNECEDOR"/>
    <x v="10"/>
    <s v="CONTRATO INATIVO OU DIVERGENTE"/>
    <s v="SISTEMA"/>
    <x v="1"/>
    <n v="69"/>
  </r>
  <r>
    <s v="TMS"/>
    <m/>
    <x v="2"/>
    <n v="3472356"/>
    <x v="1"/>
    <d v="2025-06-09T12:36:00"/>
    <n v="66686"/>
    <n v="66686"/>
    <s v="Preenchendo XML Carro-&gt; Preenchendo XML-&gt; Montando accounting carro-&gt;Fornecedor com o código 55806  informado nos campos gerenciais não encontrado!"/>
    <x v="1532"/>
    <d v="2025-06-16T12:39:00"/>
    <s v="FORNECEDOR"/>
    <x v="10"/>
    <s v="CONTRATO INATIVO OU DIVERGENTE"/>
    <s v="SISTEMA"/>
    <x v="1"/>
    <n v="69"/>
  </r>
  <r>
    <s v="TMS"/>
    <m/>
    <x v="2"/>
    <n v="3482845"/>
    <x v="1"/>
    <d v="2025-06-13T17:21:00"/>
    <n v="67364"/>
    <n v="67364"/>
    <s v="Preenchendo XML Serviço-&gt; Preenchendo XML-&gt; Montando accounting aereo 3-&gt;Reserva Confir não encontrada para importar assento/bagagem!"/>
    <x v="1533"/>
    <d v="2025-06-16T18:04:00"/>
    <s v="OUTROS"/>
    <x v="15"/>
    <s v="CAMPO OBSERVAÇÃO PREENCHIDO INCORRETAMENTE"/>
    <s v="QUALIDADE DOS DADOS"/>
    <x v="1"/>
    <n v="127"/>
  </r>
  <r>
    <s v="TMS"/>
    <m/>
    <x v="2"/>
    <n v="3486189"/>
    <x v="1"/>
    <d v="2025-06-16T15:03:00"/>
    <n v="67868"/>
    <n v="67868"/>
    <s v="Inserindo Accounting Servico - Parâmetro Consolidador - TurVendas - Não foi possível localizar o contrato do fornecedor QUEROP"/>
    <x v="1534"/>
    <m/>
    <s v="FORNECEDOR"/>
    <x v="10"/>
    <s v="CONTRATO INATIVO OU DIVERGENTE"/>
    <s v="SISTEMA"/>
    <x v="1"/>
    <n v="69"/>
  </r>
  <r>
    <s v="TMS"/>
    <m/>
    <x v="2"/>
    <n v="3486166"/>
    <x v="1"/>
    <d v="2025-06-16T15:03:00"/>
    <n v="67872"/>
    <n v="67872"/>
    <s v="Inserindo Accounting Servico - Parâmetro Consolidador - TurVendas - Não foi possível localizar o contrato do fornecedor QUEROP"/>
    <x v="1535"/>
    <m/>
    <s v="FORNECEDOR"/>
    <x v="10"/>
    <s v="CONTRATO INATIVO OU DIVERGENTE"/>
    <s v="SISTEMA"/>
    <x v="1"/>
    <n v="69"/>
  </r>
  <r>
    <s v="TMS"/>
    <m/>
    <x v="2"/>
    <n v="3486099"/>
    <x v="1"/>
    <d v="2025-06-16T12:36:00"/>
    <n v="67884"/>
    <n v="67884"/>
    <s v="Inserindo Accounting Servico - Parâmetro Consolidador - TurVendas - Não foi possível localizar o contrato do fornecedor QUEROP"/>
    <x v="1536"/>
    <m/>
    <s v="FORNECEDOR"/>
    <x v="10"/>
    <s v="CONTRATO INATIVO OU DIVERGENTE"/>
    <s v="SISTEMA"/>
    <x v="1"/>
    <n v="69"/>
  </r>
  <r>
    <s v="TMS"/>
    <m/>
    <x v="2"/>
    <n v="3486059"/>
    <x v="1"/>
    <d v="2025-06-16T13:30:00"/>
    <n v="67888"/>
    <n v="67888"/>
    <s v="Inserindo Accounting Servico - Parâmetro Consolidador - TurVendas - Não foi possível localizar o contrato do fornecedor QUEROP"/>
    <x v="1537"/>
    <m/>
    <s v="FORNECEDOR"/>
    <x v="10"/>
    <s v="CONTRATO INATIVO OU DIVERGENTE"/>
    <s v="SISTEMA"/>
    <x v="1"/>
    <n v="69"/>
  </r>
  <r>
    <s v="TMS"/>
    <m/>
    <x v="2"/>
    <n v="3486057"/>
    <x v="1"/>
    <d v="2025-06-16T13:30:00"/>
    <n v="67891"/>
    <n v="67891"/>
    <s v="Inserindo Accounting Servico - Parâmetro Consolidador - TurVendas - Não foi possível localizar o contrato do fornecedor QUEROP"/>
    <x v="1538"/>
    <m/>
    <s v="FORNECEDOR"/>
    <x v="10"/>
    <s v="CONTRATO INATIVO OU DIVERGENTE"/>
    <s v="SISTEMA"/>
    <x v="1"/>
    <n v="69"/>
  </r>
  <r>
    <s v="TMS"/>
    <m/>
    <x v="2"/>
    <n v="3486053"/>
    <x v="1"/>
    <d v="2025-06-16T13:52:00"/>
    <n v="67894"/>
    <n v="67894"/>
    <s v="Inserindo Accounting Servico - Parâmetro Consolidador - TurVendas - Não foi possível localizar o contrato do fornecedor QUEROP"/>
    <x v="1539"/>
    <m/>
    <s v="FORNECEDOR"/>
    <x v="10"/>
    <s v="CONTRATO INATIVO OU DIVERGENTE"/>
    <s v="SISTEMA"/>
    <x v="1"/>
    <n v="69"/>
  </r>
  <r>
    <s v="TMS"/>
    <m/>
    <x v="2"/>
    <n v="3486036"/>
    <x v="1"/>
    <d v="2025-06-16T14:03:00"/>
    <n v="67901"/>
    <n v="67901"/>
    <s v="Inserindo Accounting Servico - Parâmetro Consolidador - TurVendas - Não foi possível localizar o contrato do fornecedor QUEROP"/>
    <x v="1540"/>
    <m/>
    <s v="FORNECEDOR"/>
    <x v="10"/>
    <s v="CONTRATO INATIVO OU DIVERGENTE"/>
    <s v="SISTEMA"/>
    <x v="1"/>
    <n v="69"/>
  </r>
  <r>
    <s v="TMS"/>
    <m/>
    <x v="2"/>
    <n v="3486017"/>
    <x v="1"/>
    <d v="2025-06-16T14:03:00"/>
    <n v="67904"/>
    <n v="67904"/>
    <s v="Inserindo Accounting Servico - Parâmetro Consolidador - TurVendas - Não foi possível localizar o contrato do fornecedor QUEROP"/>
    <x v="1541"/>
    <m/>
    <s v="FORNECEDOR"/>
    <x v="10"/>
    <s v="CONTRATO INATIVO OU DIVERGENTE"/>
    <s v="SISTEMA"/>
    <x v="1"/>
    <n v="69"/>
  </r>
  <r>
    <s v="TMS"/>
    <m/>
    <x v="2"/>
    <n v="3486013"/>
    <x v="1"/>
    <d v="2025-06-16T14:15:00"/>
    <n v="67907"/>
    <n v="67907"/>
    <s v="Inserindo Accounting Servico - Parâmetro Consolidador - TurVendas - Não foi possível localizar o contrato do fornecedor QUEROP"/>
    <x v="1542"/>
    <m/>
    <s v="FORNECEDOR"/>
    <x v="10"/>
    <s v="CONTRATO INATIVO OU DIVERGENTE"/>
    <s v="SISTEMA"/>
    <x v="1"/>
    <n v="69"/>
  </r>
  <r>
    <s v="TMS"/>
    <m/>
    <x v="2"/>
    <n v="3486002"/>
    <x v="1"/>
    <d v="2025-06-16T15:04:00"/>
    <n v="67911"/>
    <n v="67911"/>
    <s v="Inserindo Accounting Servico - Parâmetro Consolidador - TurVendas - Não foi possível localizar o contrato do fornecedor QUEROP"/>
    <x v="1543"/>
    <m/>
    <s v="FORNECEDOR"/>
    <x v="10"/>
    <s v="CONTRATO INATIVO OU DIVERGENTE"/>
    <s v="SISTEMA"/>
    <x v="1"/>
    <n v="69"/>
  </r>
  <r>
    <s v="TMS"/>
    <m/>
    <x v="2"/>
    <n v="3485909"/>
    <x v="1"/>
    <d v="2025-06-16T15:08:00"/>
    <n v="67936"/>
    <n v="67936"/>
    <s v="Inserindo Accounting Servico - Parâmetro Consolidador - TurVendas - Não foi possível localizar o contrato do fornecedor CLICKBUS"/>
    <x v="1544"/>
    <m/>
    <s v="FORNECEDOR"/>
    <x v="10"/>
    <s v="CONTRATO INATIVO OU DIVERGENTE"/>
    <s v="SISTEMA"/>
    <x v="1"/>
    <n v="69"/>
  </r>
  <r>
    <s v="TMS"/>
    <m/>
    <x v="2"/>
    <n v="3485634"/>
    <x v="1"/>
    <d v="2025-06-16T16:43:00"/>
    <n v="7069"/>
    <n v="7069"/>
    <s v="Inserindo Accounting Servico - Parâmetro Consolidador - TurVendas - Não foi possível localizar o contrato do fornecedor QUEROP"/>
    <x v="1545"/>
    <m/>
    <s v="FORNECEDOR"/>
    <x v="10"/>
    <s v="CONTRATO INATIVO OU DIVERGENTE"/>
    <s v="SISTEMA"/>
    <x v="1"/>
    <n v="69"/>
  </r>
  <r>
    <s v="TMS"/>
    <m/>
    <x v="2"/>
    <n v="3485632"/>
    <x v="1"/>
    <d v="2025-06-16T16:46:00"/>
    <n v="7070"/>
    <n v="7070"/>
    <s v="Inserindo Accounting Servico - Parâmetro Consolidador - TurVendas - Não foi possível localizar o contrato do fornecedor QUEROP"/>
    <x v="1546"/>
    <m/>
    <s v="FORNECEDOR"/>
    <x v="10"/>
    <s v="CONTRATO INATIVO OU DIVERGENTE"/>
    <s v="SISTEMA"/>
    <x v="1"/>
    <n v="69"/>
  </r>
  <r>
    <s v="TMS"/>
    <m/>
    <x v="2"/>
    <n v="3485630"/>
    <x v="1"/>
    <d v="2025-06-16T16:52:00"/>
    <n v="7071"/>
    <n v="7071"/>
    <s v="Inserindo Accounting Servico - Parâmetro Consolidador - TurVendas - Não foi possível localizar o contrato do fornecedor QUEROP"/>
    <x v="1547"/>
    <m/>
    <s v="FORNECEDOR"/>
    <x v="10"/>
    <s v="CONTRATO INATIVO OU DIVERGENTE"/>
    <s v="SISTEMA"/>
    <x v="1"/>
    <n v="69"/>
  </r>
  <r>
    <s v="TMS"/>
    <m/>
    <x v="2"/>
    <n v="3485109"/>
    <x v="1"/>
    <d v="2025-06-16T15:55:00"/>
    <n v="72037"/>
    <n v="72037"/>
    <s v="Preenchendo XML Serviço-&gt; Preenchendo XML-&gt; Montando accounting aereo 2-&gt;Não foi informado o Localizador do Assento/Bagagem!"/>
    <x v="1548"/>
    <d v="2025-06-17T02:29:00"/>
    <s v="OUTROS"/>
    <x v="15"/>
    <s v="CAMPO OBSERVAÇÃO PREENCHIDO INCORRETAMENTE"/>
    <s v="QUALIDADE DOS DADOS"/>
    <x v="1"/>
    <n v="118"/>
  </r>
  <r>
    <s v="TMS"/>
    <m/>
    <x v="2"/>
    <n v="3485045"/>
    <x v="1"/>
    <d v="2025-06-16T12:54:00"/>
    <n v="72176"/>
    <n v="72176"/>
    <s v="Preenchendo XML Serviço-&gt; Preenchendo XML-&gt; Montando accounting aereo 2-&gt;Não foi informado o Localizador do Assento/Bagagem!"/>
    <x v="1549"/>
    <d v="2025-06-17T02:07:00"/>
    <s v="OUTROS"/>
    <x v="15"/>
    <s v="CAMPO OBSERVAÇÃO PREENCHIDO INCORRETAMENTE"/>
    <s v="QUALIDADE DOS DADOS"/>
    <x v="1"/>
    <n v="118"/>
  </r>
  <r>
    <s v="TMS"/>
    <m/>
    <x v="2"/>
    <n v="3484677"/>
    <x v="1"/>
    <d v="2025-06-16T10:39:00"/>
    <n v="7353"/>
    <n v="7353"/>
    <s v="Preenchendo XML Serviço-&gt; Preenchendo XML-&gt; Montando accounting aereo 2-&gt;Não foi informado o Localizador do Assento/Bagagem!"/>
    <x v="1550"/>
    <d v="2025-06-16T23:55:00"/>
    <s v="OUTROS"/>
    <x v="15"/>
    <s v="CAMPO OBSERVAÇÃO PREENCHIDO INCORRETAMENTE"/>
    <s v="QUALIDADE DOS DADOS"/>
    <x v="1"/>
    <n v="118"/>
  </r>
  <r>
    <s v="GOVER"/>
    <m/>
    <x v="2"/>
    <n v="3479925"/>
    <x v="0"/>
    <d v="2025-05-02T17:13:00"/>
    <n v="4531374"/>
    <n v="4531374"/>
    <s v="PreencherPnr-&gt;Foi identificado um localizador sem código."/>
    <x v="1551"/>
    <d v="2025-06-17T10:36:00"/>
    <s v="OUTROS"/>
    <x v="1"/>
    <s v="RLOC NÃO PREENCHIDO NA RESERVA"/>
    <s v="QUALIDADE DOS DADOS"/>
    <x v="0"/>
    <s v="COLUNA I"/>
  </r>
  <r>
    <s v="GOVER"/>
    <m/>
    <x v="2"/>
    <n v="3473736"/>
    <x v="0"/>
    <d v="2025-06-05T16:23:00"/>
    <n v="4548607"/>
    <s v="MJF95Z"/>
    <s v="Inserindo Trecho - Parâmetro Fornecedor - TurVendas - Não foi possível localizar o contrato do fornecedor A"/>
    <x v="1552"/>
    <d v="2025-06-17T10:36:00"/>
    <s v="FORNECEDOR"/>
    <x v="10"/>
    <s v="CONTRATO INATIVO OU DIVERGENTE"/>
    <s v="SISTEMA"/>
    <x v="1"/>
    <n v="55"/>
  </r>
  <r>
    <s v="GOVER"/>
    <m/>
    <x v="2"/>
    <n v="3470547"/>
    <x v="0"/>
    <d v="2025-06-06T22:31:00"/>
    <n v="4549295"/>
    <n v="4549295"/>
    <s v="PreencherPnr-&gt;Foi identificado um localizador sem código."/>
    <x v="1553"/>
    <d v="2025-06-17T10:36:00"/>
    <s v="OUTROS"/>
    <x v="1"/>
    <s v="RLOC NÃO PREENCHIDO NA RESERVA"/>
    <s v="QUALIDADE DOS DADOS"/>
    <x v="0"/>
    <s v="COLUNA I"/>
  </r>
  <r>
    <s v="GOVER"/>
    <m/>
    <x v="2"/>
    <n v="3470701"/>
    <x v="0"/>
    <d v="2025-06-07T18:09:00"/>
    <n v="4549319"/>
    <n v="4549319"/>
    <s v="PreencherPnr-&gt;Foi identificado um localizador sem código."/>
    <x v="1554"/>
    <d v="2025-06-17T10:36:00"/>
    <s v="OUTROS"/>
    <x v="1"/>
    <s v="RLOC NÃO PREENCHIDO NA RESERVA"/>
    <s v="QUALIDADE DOS DADOS"/>
    <x v="0"/>
    <s v="COLUNA I"/>
  </r>
  <r>
    <s v="GOVER"/>
    <m/>
    <x v="2"/>
    <n v="3470724"/>
    <x v="0"/>
    <d v="2025-06-07T19:45:00"/>
    <n v="4549321"/>
    <n v="4549321"/>
    <s v="PreencherPnr-&gt;Foi identificado um localizador sem código."/>
    <x v="1555"/>
    <d v="2025-06-17T10:36:00"/>
    <s v="OUTROS"/>
    <x v="1"/>
    <s v="RLOC NÃO PREENCHIDO NA RESERVA"/>
    <s v="QUALIDADE DOS DADOS"/>
    <x v="0"/>
    <s v="COLUNA I"/>
  </r>
  <r>
    <s v="GOVER"/>
    <m/>
    <x v="2"/>
    <n v="3472734"/>
    <x v="0"/>
    <d v="2025-06-09T19:41:00"/>
    <n v="4550080"/>
    <n v="4550080"/>
    <s v="PreencherPnr-&gt;Foi identificado um localizador sem código."/>
    <x v="1556"/>
    <d v="2025-06-17T10:36:00"/>
    <s v="OUTROS"/>
    <x v="1"/>
    <s v="RLOC NÃO PREENCHIDO NA RESERVA"/>
    <s v="QUALIDADE DOS DADOS"/>
    <x v="0"/>
    <s v="COLUNA I"/>
  </r>
  <r>
    <s v="GOVER"/>
    <m/>
    <x v="2"/>
    <n v="3480276"/>
    <x v="0"/>
    <d v="2025-06-10T10:21:00"/>
    <n v="4550215"/>
    <n v="4550215"/>
    <s v="PreencherPnr-&gt;Foi identificado um localizador sem código."/>
    <x v="1557"/>
    <d v="2025-06-17T10:36:00"/>
    <s v="OUTROS"/>
    <x v="1"/>
    <s v="RLOC NÃO PREENCHIDO NA RESERVA"/>
    <s v="QUALIDADE DOS DADOS"/>
    <x v="0"/>
    <s v="COLUNA I"/>
  </r>
  <r>
    <s v="GOVER"/>
    <m/>
    <x v="2"/>
    <n v="3474170"/>
    <x v="0"/>
    <d v="2025-06-10T14:33:00"/>
    <n v="4550483"/>
    <n v="4550483"/>
    <s v="PreencherPnr-&gt;Foi identificado um localizador sem código."/>
    <x v="1493"/>
    <d v="2025-06-17T10:36:00"/>
    <s v="OUTROS"/>
    <x v="1"/>
    <s v="RLOC NÃO PREENCHIDO NA RESERVA"/>
    <s v="QUALIDADE DOS DADOS"/>
    <x v="0"/>
    <s v="COLUNA I"/>
  </r>
  <r>
    <s v="GOVER"/>
    <m/>
    <x v="2"/>
    <n v="3482124"/>
    <x v="0"/>
    <d v="2025-06-13T19:31:00"/>
    <n v="4552535"/>
    <n v="4552535"/>
    <s v="PreencherPnr-&gt;Foi identificado um localizador sem código."/>
    <x v="1558"/>
    <d v="2025-06-17T10:36:00"/>
    <s v="OUTROS"/>
    <x v="1"/>
    <s v="RLOC NÃO PREENCHIDO NA RESERVA"/>
    <s v="QUALIDADE DOS DADOS"/>
    <x v="0"/>
    <s v="COLUNA I"/>
  </r>
  <r>
    <m/>
    <m/>
    <x v="3"/>
    <m/>
    <x v="4"/>
    <m/>
    <m/>
    <m/>
    <m/>
    <x v="103"/>
    <m/>
    <m/>
    <x v="24"/>
    <m/>
    <m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3">
  <r>
    <n v="2438691"/>
    <s v="GOVER"/>
    <x v="0"/>
    <n v="4251938"/>
    <s v="Duplicidade"/>
    <s v="PreencherPnr-&gt;Não foi encontrado nenhum item veículo para o localizador Duplicidade"/>
    <d v="2024-01-04T16:07:00"/>
    <d v="2024-06-04T14:45:00"/>
    <s v="OUTROS"/>
    <s v="TAG - ITEM VEÍCULO"/>
    <s v="TAGS DE DETALHAMENTO DO SERVIÇO NÃO ENVIADO NO XML"/>
    <x v="0"/>
    <s v="SUPORTE OBT"/>
    <n v="46"/>
  </r>
  <r>
    <n v="2441324"/>
    <s v="GOVER"/>
    <x v="1"/>
    <n v="371069"/>
    <s v="SHZRFS"/>
    <s v="PreencherPnr-&gt;Não foi encontrado nenhum item veículo para o localizador SHZRFS"/>
    <d v="2024-01-05T18:46:00"/>
    <d v="2024-07-18T10:49:00"/>
    <s v="OUTROS"/>
    <s v="TAG - ITEM VEÍCULO"/>
    <s v="TAGS DE DETALHAMENTO DO SERVIÇO NÃO ENVIADO NO XML"/>
    <x v="0"/>
    <s v="SUPORTE OBT"/>
    <n v="46"/>
  </r>
  <r>
    <n v="2462054"/>
    <s v="GOVER"/>
    <x v="2"/>
    <n v="4260384"/>
    <s v="cotacao"/>
    <s v="PreencherPnr-&gt;Não foi encontrado nenhum item veículo para o localizador cotacao"/>
    <d v="2024-01-19T09:45:00"/>
    <d v="2024-07-18T10:44:00"/>
    <s v="OUTROS"/>
    <s v="TAG - ITEM VEÍCULO"/>
    <s v="TAGS DE DETALHAMENTO DO SERVIÇO NÃO ENVIADO NO XML"/>
    <x v="0"/>
    <s v="SUPORTE OBT"/>
    <n v="46"/>
  </r>
  <r>
    <n v="2462055"/>
    <s v="GOVER"/>
    <x v="2"/>
    <n v="4260384"/>
    <s v="OPBSKN"/>
    <s v="PreencherPnr-&gt;Não foi encontrado nenhum item veículo para o localizador OPBSKN"/>
    <d v="2024-01-19T09:45:00"/>
    <d v="2024-07-18T10:44:00"/>
    <s v="OUTROS"/>
    <s v="TAG - ITEM VEÍCULO"/>
    <s v="TAGS DE DETALHAMENTO DO SERVIÇO NÃO ENVIADO NO XML"/>
    <x v="0"/>
    <s v="SUPORTE OBT"/>
    <n v="46"/>
  </r>
  <r>
    <n v="2462882"/>
    <s v="GOVER"/>
    <x v="3"/>
    <n v="371848"/>
    <s v="HLGZQH"/>
    <s v="PreencherPnr-&gt;Não foi encontrado nenhum item veículo para o localizador HLGZQH"/>
    <d v="2024-01-19T15:37:00"/>
    <d v="2024-07-18T10:49:00"/>
    <s v="OUTROS"/>
    <s v="TAG - ITEM VEÍCULO"/>
    <s v="TAGS DE DETALHAMENTO DO SERVIÇO NÃO ENVIADO NO XML"/>
    <x v="0"/>
    <s v="SUPORTE OBT"/>
    <n v="46"/>
  </r>
  <r>
    <n v="2471974"/>
    <s v="GOVER"/>
    <x v="4"/>
    <n v="4265017"/>
    <n v="4265017"/>
    <s v="PreencherPnr-&gt;Foi identificado um localizador sem código."/>
    <d v="2024-01-24T22:53:00"/>
    <m/>
    <s v="OUTROS"/>
    <s v="RLOC NÃO INFORMADO"/>
    <s v="RLOC NÃO PREENCHIDO NA RESERVA"/>
    <x v="1"/>
    <s v="SUPORTE OBT"/>
    <s v="COLUNA I"/>
  </r>
  <r>
    <n v="2481704"/>
    <s v="GOVER"/>
    <x v="5"/>
    <n v="372367"/>
    <s v="NIGKEX"/>
    <s v="PreencherPnr-&gt;Não foi encontrado nenhum item veículo para o localizador NIGKEX"/>
    <d v="2024-01-31T10:58:00"/>
    <d v="2024-07-18T10:49:00"/>
    <s v="OUTROS"/>
    <s v="TAG - ITEM VEÍCULO"/>
    <s v="TAGS DE DETALHAMENTO DO SERVIÇO NÃO ENVIADO NO XML"/>
    <x v="0"/>
    <s v="SUPORTE OBT"/>
    <n v="46"/>
  </r>
  <r>
    <n v="2482912"/>
    <s v="GOVER"/>
    <x v="6"/>
    <n v="4267690"/>
    <s v="GDSP6494Z6A"/>
    <s v="PreencherPnr-&gt;Não foi encontrado nenhum item veículo para o localizador GDSP6494Z6A"/>
    <d v="2024-01-31T17:45:00"/>
    <d v="2024-07-18T10:44:00"/>
    <s v="OUTROS"/>
    <s v="TAG - ITEM VEÍCULO"/>
    <s v="TAGS DE DETALHAMENTO DO SERVIÇO NÃO ENVIADO NO XML"/>
    <x v="0"/>
    <s v="SUPORTE OBT"/>
    <n v="46"/>
  </r>
  <r>
    <n v="2484199"/>
    <s v="GOVER"/>
    <x v="7"/>
    <n v="4269492"/>
    <n v="4269492"/>
    <s v="PreencherPnr-&gt;Foi identificado um localizador sem código."/>
    <d v="2024-02-01T12:58:00"/>
    <d v="2024-07-18T10:44:00"/>
    <s v="OUTROS"/>
    <s v="RLOC NÃO INFORMADO"/>
    <s v="RLOC NÃO PREENCHIDO NA RESERVA"/>
    <x v="1"/>
    <s v="SUPORTE OBT"/>
    <s v="COLUNA I"/>
  </r>
  <r>
    <n v="2502681"/>
    <s v="GOVER"/>
    <x v="8"/>
    <n v="4275898"/>
    <n v="4275898"/>
    <s v="PreencherPnr-&gt;Foi identificado um localizador sem código."/>
    <d v="2024-02-14T15:48:00"/>
    <d v="2024-07-18T10:44:00"/>
    <s v="OUTROS"/>
    <s v="RLOC NÃO INFORMADO"/>
    <s v="RLOC NÃO PREENCHIDO NA RESERVA"/>
    <x v="1"/>
    <s v="SUPORTE OBT"/>
    <s v="COLUNA I"/>
  </r>
  <r>
    <n v="2506539"/>
    <s v="GOVER"/>
    <x v="9"/>
    <n v="373092"/>
    <s v="OXFWMW"/>
    <s v="PreencherPnr-&gt;Não foi encontrado nenhum item veículo para o localizador OXFWMW"/>
    <d v="2024-02-16T08:25:00"/>
    <d v="2024-07-18T10:49:00"/>
    <s v="OUTROS"/>
    <s v="TAG - ITEM VEÍCULO"/>
    <s v="TAGS DE DETALHAMENTO DO SERVIÇO NÃO ENVIADO NO XML"/>
    <x v="0"/>
    <s v="SUPORTE OBT"/>
    <n v="46"/>
  </r>
  <r>
    <n v="2506824"/>
    <s v="GOVER"/>
    <x v="10"/>
    <n v="373117"/>
    <s v="KXSJRU"/>
    <s v="PreencherPnr-&gt;Não foi encontrado nenhum item veículo para o localizador KXSJRU"/>
    <d v="2024-02-16T11:07:00"/>
    <d v="2024-06-04T12:20:00"/>
    <s v="OUTROS"/>
    <s v="TAG - ITEM VEÍCULO"/>
    <s v="TAGS DE DETALHAMENTO DO SERVIÇO NÃO ENVIADO NO XML"/>
    <x v="0"/>
    <s v="SUPORTE OBT"/>
    <n v="46"/>
  </r>
  <r>
    <n v="2510509"/>
    <s v="GOVER"/>
    <x v="11"/>
    <n v="373227"/>
    <s v="OHZMNZ"/>
    <s v="PreencherPnr-&gt;Não foi encontrado nenhum item veículo para o localizador OHZMNZ"/>
    <d v="2024-02-19T14:07:00"/>
    <d v="2024-07-18T10:49:00"/>
    <s v="OUTROS"/>
    <s v="TAG - ITEM VEÍCULO"/>
    <s v="TAGS DE DETALHAMENTO DO SERVIÇO NÃO ENVIADO NO XML"/>
    <x v="0"/>
    <s v="SUPORTE OBT"/>
    <n v="46"/>
  </r>
  <r>
    <n v="2511871"/>
    <s v="GOVER"/>
    <x v="12"/>
    <n v="373256"/>
    <s v="ORKOQU"/>
    <s v="PreencherPnr-&gt;Não foi encontrado nenhum item veículo para o localizador ORKOQU"/>
    <d v="2024-02-19T18:01:00"/>
    <d v="2024-07-18T10:49:00"/>
    <s v="OUTROS"/>
    <s v="TAG - ITEM VEÍCULO"/>
    <s v="TAGS DE DETALHAMENTO DO SERVIÇO NÃO ENVIADO NO XML"/>
    <x v="0"/>
    <s v="SUPORTE OBT"/>
    <n v="46"/>
  </r>
  <r>
    <n v="2515586"/>
    <s v="GOVER"/>
    <x v="13"/>
    <n v="373343"/>
    <s v="GDUWFL"/>
    <s v="PreencherPnr-&gt;Não foi encontrado nenhum item veículo para o localizador GDUWFL"/>
    <d v="2024-02-21T10:04:00"/>
    <d v="2024-06-04T12:20:00"/>
    <s v="OUTROS"/>
    <s v="TAG - ITEM VEÍCULO"/>
    <s v="TAGS DE DETALHAMENTO DO SERVIÇO NÃO ENVIADO NO XML"/>
    <x v="0"/>
    <s v="SUPORTE OBT"/>
    <n v="46"/>
  </r>
  <r>
    <n v="2520444"/>
    <s v="GOVER"/>
    <x v="14"/>
    <n v="373484"/>
    <s v="NKRBKN"/>
    <s v="PreencherPnr-&gt;Não foi encontrado nenhum item veículo para o localizador NKRBKN"/>
    <d v="2024-02-23T09:55:00"/>
    <d v="2024-07-18T10:49:00"/>
    <s v="OUTROS"/>
    <s v="TAG - ITEM VEÍCULO"/>
    <s v="TAGS DE DETALHAMENTO DO SERVIÇO NÃO ENVIADO NO XML"/>
    <x v="0"/>
    <s v="SUPORTE OBT"/>
    <n v="46"/>
  </r>
  <r>
    <n v="2530619"/>
    <s v="GOVER"/>
    <x v="15"/>
    <n v="4285326"/>
    <n v="4285326"/>
    <s v="PreencherPnr-&gt;Foi identificado um localizador sem código."/>
    <d v="2024-02-28T18:31:00"/>
    <d v="2024-07-18T10:44:00"/>
    <s v="OUTROS"/>
    <s v="RLOC NÃO INFORMADO"/>
    <s v="RLOC NÃO PREENCHIDO NA RESERVA"/>
    <x v="1"/>
    <s v="SUPORTE OBT"/>
    <s v="COLUNA I"/>
  </r>
  <r>
    <n v="2544555"/>
    <s v="GOVER"/>
    <x v="16"/>
    <n v="373967"/>
    <s v="40659382BR1"/>
    <s v="PreencherPnr-&gt;Não foi encontrado nenhum item veículo para o localizador 40659382BR1"/>
    <d v="2024-03-07T17:07:00"/>
    <d v="2024-07-18T10:49:00"/>
    <s v="OUTROS"/>
    <s v="TAG - ITEM VEÍCULO"/>
    <s v="TAGS DE DETALHAMENTO DO SERVIÇO NÃO ENVIADO NO XML"/>
    <x v="0"/>
    <s v="SUPORTE OBT"/>
    <n v="46"/>
  </r>
  <r>
    <n v="2544556"/>
    <s v="GOVER"/>
    <x v="16"/>
    <n v="373967"/>
    <s v="40660188BR2"/>
    <s v="PreencherPnr-&gt;Não foi encontrado nenhum item veículo para o localizador 40660188BR2"/>
    <d v="2024-03-07T17:07:00"/>
    <d v="2024-07-18T10:49:00"/>
    <s v="OUTROS"/>
    <s v="TAG - ITEM VEÍCULO"/>
    <s v="TAGS DE DETALHAMENTO DO SERVIÇO NÃO ENVIADO NO XML"/>
    <x v="0"/>
    <s v="SUPORTE OBT"/>
    <n v="46"/>
  </r>
  <r>
    <n v="2545970"/>
    <s v="GOVER"/>
    <x v="17"/>
    <n v="374371"/>
    <s v="KVTMRM"/>
    <s v="PreencherPnr-&gt;Não foi encontrado nenhum item veículo para o localizador KVTMRM"/>
    <d v="2024-03-08T14:16:00"/>
    <d v="2024-07-18T10:40:00"/>
    <s v="OUTROS"/>
    <s v="TAG - ITEM VEÍCULO"/>
    <s v="TAGS DE DETALHAMENTO DO SERVIÇO NÃO ENVIADO NO XML"/>
    <x v="0"/>
    <s v="SUPORTE OBT"/>
    <n v="46"/>
  </r>
  <r>
    <n v="2546428"/>
    <s v="GOVER"/>
    <x v="18"/>
    <n v="374393"/>
    <s v="OMMDBX"/>
    <s v="PreencherPnr-&gt;Não foi encontrado nenhum item veículo para o localizador OMMDBX"/>
    <d v="2024-03-08T15:28:00"/>
    <d v="2024-07-18T10:40:00"/>
    <s v="OUTROS"/>
    <s v="TAG - ITEM VEÍCULO"/>
    <s v="TAGS DE DETALHAMENTO DO SERVIÇO NÃO ENVIADO NO XML"/>
    <x v="0"/>
    <s v="SUPORTE OBT"/>
    <n v="46"/>
  </r>
  <r>
    <n v="2547495"/>
    <s v="TMS"/>
    <x v="19"/>
    <n v="7060"/>
    <n v="7060"/>
    <s v="Preenchendo XML Serviço-&gt; Preenchendo XML-&gt; Montando accounting aereo 15-&gt;Input string was not in a correct format."/>
    <d v="2024-03-08T21:16:00"/>
    <d v="2024-03-11T22:13:00"/>
    <s v="OUTROS"/>
    <s v="FORMATO DE TEXTO"/>
    <s v="TEXTO FORA DO PADRÃO ACEITO NO CAMPO"/>
    <x v="2"/>
    <s v="SUPORTE OBT"/>
    <s v="COLUNA I"/>
  </r>
  <r>
    <n v="2557760"/>
    <s v="GOVER"/>
    <x v="20"/>
    <n v="374703"/>
    <s v="KGIOUB"/>
    <s v="PreencherPnr-&gt;Não foi encontrado nenhum item veículo para o localizador KGIOUB"/>
    <d v="2024-03-14T09:28:00"/>
    <d v="2024-07-18T10:40:00"/>
    <s v="OUTROS"/>
    <s v="TAG - ITEM VEÍCULO"/>
    <s v="TAGS DE DETALHAMENTO DO SERVIÇO NÃO ENVIADO NO XML"/>
    <x v="0"/>
    <s v="SUPORTE OBT"/>
    <n v="46"/>
  </r>
  <r>
    <n v="2560283"/>
    <s v="GOVER"/>
    <x v="21"/>
    <n v="374798"/>
    <s v="OATUHN"/>
    <s v="PreencherPnr-&gt;Não foi encontrado nenhum item veículo para o localizador OATUHN"/>
    <d v="2024-03-15T09:37:00"/>
    <d v="2024-07-18T10:40:00"/>
    <s v="OUTROS"/>
    <s v="TAG - ITEM VEÍCULO"/>
    <s v="TAGS DE DETALHAMENTO DO SERVIÇO NÃO ENVIADO NO XML"/>
    <x v="0"/>
    <s v="SUPORTE OBT"/>
    <n v="46"/>
  </r>
  <r>
    <n v="2562909"/>
    <s v="GOVER"/>
    <x v="22"/>
    <n v="374866"/>
    <s v="CXSKGB"/>
    <s v="PreencherPnr-&gt;Não foi encontrado nenhum item veículo para o localizador CXSKGB"/>
    <d v="2024-03-16T09:10:00"/>
    <d v="2024-06-12T14:52:00"/>
    <s v="OUTROS"/>
    <s v="TAG - ITEM VEÍCULO"/>
    <s v="TAGS DE DETALHAMENTO DO SERVIÇO NÃO ENVIADO NO XML"/>
    <x v="0"/>
    <s v="SUPORTE OBT"/>
    <n v="46"/>
  </r>
  <r>
    <n v="2565804"/>
    <s v="GOVER"/>
    <x v="23"/>
    <n v="374987"/>
    <s v="STPSQY"/>
    <s v="PreencherPnr-&gt;Não foi encontrado nenhum item veículo para o localizador STPSQY"/>
    <d v="2024-03-19T08:43:00"/>
    <d v="2024-07-18T10:40:00"/>
    <s v="OUTROS"/>
    <s v="TAG - ITEM VEÍCULO"/>
    <s v="TAGS DE DETALHAMENTO DO SERVIÇO NÃO ENVIADO NO XML"/>
    <x v="0"/>
    <s v="SUPORTE OBT"/>
    <n v="46"/>
  </r>
  <r>
    <n v="2566625"/>
    <s v="GOVER"/>
    <x v="24"/>
    <n v="375016"/>
    <s v="CWVQKA"/>
    <s v="PreencherPnr-&gt;Não foi encontrado nenhum item veículo para o localizador CWVQKA"/>
    <d v="2024-03-19T13:22:00"/>
    <d v="2024-07-18T10:40:00"/>
    <s v="OUTROS"/>
    <s v="TAG - ITEM VEÍCULO"/>
    <s v="TAGS DE DETALHAMENTO DO SERVIÇO NÃO ENVIADO NO XML"/>
    <x v="0"/>
    <s v="SUPORTE OBT"/>
    <n v="46"/>
  </r>
  <r>
    <n v="2573357"/>
    <s v="GOVER"/>
    <x v="25"/>
    <n v="4300431"/>
    <n v="4300431"/>
    <s v="PreencherPnr-&gt;Foi identificado um localizador sem código."/>
    <d v="2024-03-22T10:07:00"/>
    <d v="2024-07-18T10:44:00"/>
    <s v="OUTROS"/>
    <s v="RLOC NÃO INFORMADO"/>
    <s v="RLOC NÃO PREENCHIDO NA RESERVA"/>
    <x v="1"/>
    <s v="SUPORTE OBT"/>
    <s v="COLUNA I"/>
  </r>
  <r>
    <n v="2573461"/>
    <s v="GOVER"/>
    <x v="26"/>
    <n v="4301065"/>
    <n v="4301065"/>
    <s v="PreencherPnr-&gt;Foi identificado um localizador sem código."/>
    <d v="2024-03-22T10:43:00"/>
    <d v="2024-07-18T10:44:00"/>
    <s v="OUTROS"/>
    <s v="RLOC NÃO INFORMADO"/>
    <s v="RLOC NÃO PREENCHIDO NA RESERVA"/>
    <x v="1"/>
    <s v="SUPORTE OBT"/>
    <s v="COLUNA I"/>
  </r>
  <r>
    <n v="2574438"/>
    <s v="GOVER"/>
    <x v="27"/>
    <n v="375324"/>
    <s v="ONMWHU"/>
    <s v="PreencherPnr-&gt;Não foi encontrado nenhum item veículo para o localizador ONMWHU"/>
    <d v="2024-03-22T15:01:00"/>
    <d v="2024-07-18T10:40:00"/>
    <s v="OUTROS"/>
    <s v="TAG - ITEM VEÍCULO"/>
    <s v="TAGS DE DETALHAMENTO DO SERVIÇO NÃO ENVIADO NO XML"/>
    <x v="0"/>
    <s v="SUPORTE OBT"/>
    <n v="46"/>
  </r>
  <r>
    <n v="2580328"/>
    <s v="GOVER"/>
    <x v="28"/>
    <n v="4302688"/>
    <s v="cotacao"/>
    <s v="PreencherPnr-&gt;Não foi encontrado nenhum item veículo para o localizador cotacao"/>
    <d v="2024-03-26T12:31:00"/>
    <d v="2024-06-12T14:58:00"/>
    <s v="OUTROS"/>
    <s v="TAG - ITEM VEÍCULO"/>
    <s v="TAGS DE DETALHAMENTO DO SERVIÇO NÃO ENVIADO NO XML"/>
    <x v="0"/>
    <s v="SUPORTE OBT"/>
    <n v="46"/>
  </r>
  <r>
    <n v="2580829"/>
    <s v="TMS"/>
    <x v="29"/>
    <n v="7161"/>
    <n v="7161"/>
    <s v="Preenchendo XML Serviço-&gt; Preenchendo XML-&gt; Montando accounting aereo 15-&gt;Input string was not in a correct format."/>
    <d v="2024-03-26T15:05:00"/>
    <d v="2024-03-29T21:46:00"/>
    <s v="OUTROS"/>
    <s v="FORMATO DE TEXTO"/>
    <s v="TEXTO FORA DO PADRÃO ACEITO NO CAMPO"/>
    <x v="2"/>
    <s v="SUPORTE OBT"/>
    <s v="COLUNA I"/>
  </r>
  <r>
    <n v="2586891"/>
    <s v="GOVER"/>
    <x v="30"/>
    <n v="4304906"/>
    <s v="cotacao"/>
    <s v="PreencherPnr-&gt;Não foi encontrado nenhum item veículo para o localizador cotacao"/>
    <d v="2024-03-28T15:58:00"/>
    <d v="2024-07-18T10:44:00"/>
    <s v="OUTROS"/>
    <s v="TAG - ITEM VEÍCULO"/>
    <s v="TAGS DE DETALHAMENTO DO SERVIÇO NÃO ENVIADO NO XML"/>
    <x v="0"/>
    <s v="SUPORTE OBT"/>
    <n v="46"/>
  </r>
  <r>
    <n v="2588215"/>
    <s v="TMS"/>
    <x v="31"/>
    <n v="7828"/>
    <n v="7828"/>
    <s v="Preenchendo XML Serviço-&gt; Preenchendo XML-&gt; Montando accounting aereo 15-&gt;Input string was not in a correct format."/>
    <d v="2024-03-28T21:51:00"/>
    <d v="2024-03-31T22:26:00"/>
    <s v="OUTROS"/>
    <s v="FORMATO DE TEXTO"/>
    <s v="TEXTO FORA DO PADRÃO ACEITO NO CAMPO"/>
    <x v="2"/>
    <s v="SUPORTE OBT"/>
    <s v="COLUNA I"/>
  </r>
  <r>
    <n v="2588216"/>
    <s v="TMS"/>
    <x v="32"/>
    <n v="7827"/>
    <n v="7827"/>
    <s v="Preenchendo XML Serviço-&gt; Preenchendo XML-&gt; Montando accounting aereo 15-&gt;Input string was not in a correct format."/>
    <d v="2024-03-28T21:51:00"/>
    <d v="2024-03-31T22:26:00"/>
    <s v="OUTROS"/>
    <s v="FORMATO DE TEXTO"/>
    <s v="TEXTO FORA DO PADRÃO ACEITO NO CAMPO"/>
    <x v="2"/>
    <s v="SUPORTE OBT"/>
    <s v="COLUNA I"/>
  </r>
  <r>
    <n v="2588217"/>
    <s v="TMS"/>
    <x v="33"/>
    <n v="7826"/>
    <n v="7826"/>
    <s v="Preenchendo XML Serviço-&gt; Preenchendo XML-&gt; Montando accounting aereo 15-&gt;Input string was not in a correct format."/>
    <d v="2024-03-28T21:51:00"/>
    <d v="2024-03-31T22:26:00"/>
    <s v="OUTROS"/>
    <s v="FORMATO DE TEXTO"/>
    <s v="TEXTO FORA DO PADRÃO ACEITO NO CAMPO"/>
    <x v="2"/>
    <s v="SUPORTE OBT"/>
    <s v="COLUNA I"/>
  </r>
  <r>
    <n v="2588218"/>
    <s v="TMS"/>
    <x v="34"/>
    <n v="7825"/>
    <n v="7825"/>
    <s v="Preenchendo XML Serviço-&gt; Preenchendo XML-&gt; Montando accounting aereo 15-&gt;Input string was not in a correct format."/>
    <d v="2024-03-28T21:52:00"/>
    <d v="2024-03-31T22:26:00"/>
    <s v="OUTROS"/>
    <s v="FORMATO DE TEXTO"/>
    <s v="TEXTO FORA DO PADRÃO ACEITO NO CAMPO"/>
    <x v="2"/>
    <s v="SUPORTE OBT"/>
    <s v="COLUNA I"/>
  </r>
  <r>
    <n v="2595026"/>
    <s v="GOVER"/>
    <x v="35"/>
    <n v="375870"/>
    <s v="NAUNKK"/>
    <s v="PreencherPnr-&gt;Não foi encontrado nenhum item veículo para o localizador NAUNKK"/>
    <d v="2024-04-03T10:13:00"/>
    <d v="2024-07-18T10:40:00"/>
    <s v="OUTROS"/>
    <s v="TAG - ITEM VEÍCULO"/>
    <s v="TAGS DE DETALHAMENTO DO SERVIÇO NÃO ENVIADO NO XML"/>
    <x v="0"/>
    <s v="SUPORTE OBT"/>
    <n v="46"/>
  </r>
  <r>
    <n v="2596454"/>
    <s v="GOVER"/>
    <x v="36"/>
    <n v="4309106"/>
    <s v="MV1JTMMBT5BR"/>
    <s v="PreencherPnr-&gt;Não foi encontrado nenhum item veículo para o localizador MV1JTMMBT5BR"/>
    <d v="2024-04-03T17:37:00"/>
    <d v="2024-07-18T10:44:00"/>
    <s v="OUTROS"/>
    <s v="TAG - ITEM VEÍCULO"/>
    <s v="TAGS DE DETALHAMENTO DO SERVIÇO NÃO ENVIADO NO XML"/>
    <x v="0"/>
    <s v="SUPORTE OBT"/>
    <n v="46"/>
  </r>
  <r>
    <n v="2598802"/>
    <s v="GOVER"/>
    <x v="37"/>
    <n v="4309881"/>
    <n v="4309881"/>
    <s v="PreencherPnr-&gt;Foi identificado um localizador sem código."/>
    <d v="2024-04-04T15:40:00"/>
    <d v="2024-07-18T10:44:00"/>
    <s v="OUTROS"/>
    <s v="RLOC NÃO INFORMADO"/>
    <s v="RLOC NÃO PREENCHIDO NA RESERVA"/>
    <x v="1"/>
    <s v="SUPORTE OBT"/>
    <s v="COLUNA I"/>
  </r>
  <r>
    <n v="2599009"/>
    <s v="GOVER"/>
    <x v="38"/>
    <n v="4309990"/>
    <n v="4309990"/>
    <s v="PreencherPnr-&gt;Foi identificado um localizador sem código."/>
    <d v="2024-04-04T17:02:00"/>
    <d v="2024-07-18T10:44:00"/>
    <s v="OUTROS"/>
    <s v="RLOC NÃO INFORMADO"/>
    <s v="RLOC NÃO PREENCHIDO NA RESERVA"/>
    <x v="1"/>
    <s v="SUPORTE OBT"/>
    <s v="COLUNA I"/>
  </r>
  <r>
    <n v="2601930"/>
    <s v="GOVER"/>
    <x v="39"/>
    <n v="376059"/>
    <s v="NMKPEL"/>
    <s v="PreencherPnr-&gt;Não foi encontrado nenhum item veículo para o localizador NMKPEL"/>
    <d v="2024-04-05T16:14:00"/>
    <d v="2024-07-18T10:40:00"/>
    <s v="OUTROS"/>
    <s v="TAG - ITEM VEÍCULO"/>
    <s v="TAGS DE DETALHAMENTO DO SERVIÇO NÃO ENVIADO NO XML"/>
    <x v="0"/>
    <s v="SUPORTE OBT"/>
    <n v="46"/>
  </r>
  <r>
    <n v="2607212"/>
    <s v="GOVER"/>
    <x v="40"/>
    <n v="376185"/>
    <s v="LIRUPJ"/>
    <s v="PreencherPnr-&gt;Não foi encontrado nenhum item veículo para o localizador LIRUPJ"/>
    <d v="2024-04-09T10:13:00"/>
    <d v="2024-07-18T10:40:00"/>
    <s v="OUTROS"/>
    <s v="TAG - ITEM VEÍCULO"/>
    <s v="TAGS DE DETALHAMENTO DO SERVIÇO NÃO ENVIADO NO XML"/>
    <x v="0"/>
    <s v="SUPORTE OBT"/>
    <n v="46"/>
  </r>
  <r>
    <n v="2610706"/>
    <s v="GOVER"/>
    <x v="41"/>
    <n v="376013"/>
    <s v="HZYOFE"/>
    <s v="PreencherPnr-&gt;Não foi encontrado nenhum item veículo para o localizador HZYOFE"/>
    <d v="2024-04-10T13:58:00"/>
    <d v="2024-07-18T10:40:00"/>
    <s v="OUTROS"/>
    <s v="TAG - ITEM VEÍCULO"/>
    <s v="TAGS DE DETALHAMENTO DO SERVIÇO NÃO ENVIADO NO XML"/>
    <x v="0"/>
    <s v="SUPORTE OBT"/>
    <n v="46"/>
  </r>
  <r>
    <n v="2610707"/>
    <s v="GOVER"/>
    <x v="42"/>
    <n v="376099"/>
    <s v="HGFWUD"/>
    <s v="PreencherPnr-&gt;Não foi encontrado nenhum item veículo para o localizador HGFWUD"/>
    <d v="2024-04-10T13:58:00"/>
    <d v="2024-07-18T10:40:00"/>
    <s v="OUTROS"/>
    <s v="TAG - ITEM VEÍCULO"/>
    <s v="TAGS DE DETALHAMENTO DO SERVIÇO NÃO ENVIADO NO XML"/>
    <x v="0"/>
    <s v="SUPORTE OBT"/>
    <n v="46"/>
  </r>
  <r>
    <n v="2613000"/>
    <s v="GOVER"/>
    <x v="43"/>
    <n v="376375"/>
    <s v="CQPANM"/>
    <s v="PreencherPnr-&gt;Não foi encontrado nenhum item veículo para o localizador CQPANM"/>
    <d v="2024-04-11T11:07:00"/>
    <d v="2024-07-18T10:40:00"/>
    <s v="OUTROS"/>
    <s v="TAG - ITEM VEÍCULO"/>
    <s v="TAGS DE DETALHAMENTO DO SERVIÇO NÃO ENVIADO NO XML"/>
    <x v="0"/>
    <s v="SUPORTE OBT"/>
    <n v="46"/>
  </r>
  <r>
    <n v="2617395"/>
    <s v="GOVER"/>
    <x v="44"/>
    <n v="4315539"/>
    <n v="4315539"/>
    <s v="PreencherPnr-&gt;Foi identificado um localizador sem código."/>
    <d v="2024-04-12T17:46:00"/>
    <d v="2024-07-18T10:44:00"/>
    <s v="OUTROS"/>
    <s v="RLOC NÃO INFORMADO"/>
    <s v="RLOC NÃO PREENCHIDO NA RESERVA"/>
    <x v="1"/>
    <s v="SUPORTE OBT"/>
    <s v="COLUNA I"/>
  </r>
  <r>
    <n v="2626880"/>
    <s v="GOVER"/>
    <x v="45"/>
    <n v="4316329"/>
    <n v="4316329"/>
    <s v="PreencherPnr-&gt;Foi identificado um localizador sem código."/>
    <d v="2024-04-18T08:45:00"/>
    <d v="2024-07-18T10:44:00"/>
    <s v="OUTROS"/>
    <s v="RLOC NÃO INFORMADO"/>
    <s v="RLOC NÃO PREENCHIDO NA RESERVA"/>
    <x v="1"/>
    <s v="SUPORTE OBT"/>
    <s v="COLUNA I"/>
  </r>
  <r>
    <n v="2628057"/>
    <s v="GOVER"/>
    <x v="46"/>
    <n v="376763"/>
    <s v="LPZGUM"/>
    <s v="PreencherPnr-&gt;Não foi encontrado nenhum item veículo para o localizador LPZGUM"/>
    <d v="2024-04-18T16:31:00"/>
    <d v="2024-07-18T10:40:00"/>
    <s v="OUTROS"/>
    <s v="TAG - ITEM VEÍCULO"/>
    <s v="TAGS DE DETALHAMENTO DO SERVIÇO NÃO ENVIADO NO XML"/>
    <x v="0"/>
    <s v="SUPORTE OBT"/>
    <n v="46"/>
  </r>
  <r>
    <n v="2629397"/>
    <s v="GOVER"/>
    <x v="47"/>
    <n v="376798"/>
    <s v="CBSPVW"/>
    <s v="PreencherPnr-&gt;Não foi encontrado nenhum item veículo para o localizador CBSPVW"/>
    <d v="2024-04-19T09:28:00"/>
    <d v="2024-06-04T12:20:00"/>
    <s v="OUTROS"/>
    <s v="TAG - ITEM VEÍCULO"/>
    <s v="TAGS DE DETALHAMENTO DO SERVIÇO NÃO ENVIADO NO XML"/>
    <x v="0"/>
    <s v="SUPORTE OBT"/>
    <n v="46"/>
  </r>
  <r>
    <n v="2635595"/>
    <s v="GOVER"/>
    <x v="48"/>
    <n v="4320780"/>
    <n v="4320780"/>
    <s v="PreencherPnr-&gt;Foi identificado um localizador sem código."/>
    <d v="2024-04-23T11:28:00"/>
    <d v="2024-07-18T10:44:00"/>
    <s v="OUTROS"/>
    <s v="RLOC NÃO INFORMADO"/>
    <s v="RLOC NÃO PREENCHIDO NA RESERVA"/>
    <x v="1"/>
    <s v="SUPORTE OBT"/>
    <s v="COLUNA I"/>
  </r>
  <r>
    <n v="2652138"/>
    <s v="GOVER"/>
    <x v="49"/>
    <n v="377055"/>
    <s v="IDNZGQ"/>
    <s v="PreencherPnr-&gt;Não foi encontrado nenhum item veículo para o localizador IDNZGQ"/>
    <d v="2024-05-02T08:52:00"/>
    <d v="2024-07-18T10:40:00"/>
    <s v="OUTROS"/>
    <s v="TAG - ITEM VEÍCULO"/>
    <s v="TAGS DE DETALHAMENTO DO SERVIÇO NÃO ENVIADO NO XML"/>
    <x v="0"/>
    <s v="SUPORTE OBT"/>
    <n v="46"/>
  </r>
  <r>
    <n v="2659361"/>
    <s v="GOVER"/>
    <x v="50"/>
    <n v="377651"/>
    <s v="NRDLCF"/>
    <s v="PreencherPnr-&gt;Não foi encontrado nenhum item veículo para o localizador NRDLCF"/>
    <d v="2024-05-06T12:10:00"/>
    <d v="2024-06-12T14:52:00"/>
    <s v="OUTROS"/>
    <s v="TAG - ITEM VEÍCULO"/>
    <s v="TAGS DE DETALHAMENTO DO SERVIÇO NÃO ENVIADO NO XML"/>
    <x v="0"/>
    <s v="SUPORTE OBT"/>
    <n v="46"/>
  </r>
  <r>
    <n v="2665604"/>
    <s v="GOVER"/>
    <x v="51"/>
    <n v="4330632"/>
    <n v="4330632"/>
    <s v="PreencherPnr-&gt;Foi identificado um localizador sem código."/>
    <d v="2024-05-08T14:38:00"/>
    <d v="2024-07-18T10:44:00"/>
    <s v="OUTROS"/>
    <s v="RLOC NÃO INFORMADO"/>
    <s v="RLOC NÃO PREENCHIDO NA RESERVA"/>
    <x v="1"/>
    <s v="SUPORTE OBT"/>
    <s v="COLUNA I"/>
  </r>
  <r>
    <n v="2668656"/>
    <s v="GOVER"/>
    <x v="52"/>
    <n v="4331646"/>
    <n v="4331646"/>
    <s v="PreencherPnr-&gt;Foi identificado um localizador sem código."/>
    <d v="2024-05-09T17:11:00"/>
    <m/>
    <s v="OUTROS"/>
    <s v="RLOC NÃO INFORMADO"/>
    <s v="RLOC NÃO PREENCHIDO NA RESERVA"/>
    <x v="1"/>
    <s v="SUPORTE OBT"/>
    <s v="COLUNA I"/>
  </r>
  <r>
    <n v="2687779"/>
    <s v="GOVER"/>
    <x v="53"/>
    <n v="378468"/>
    <s v="DRNNDX"/>
    <s v="PreencherPnr-&gt;Não foi encontrado nenhum item veículo para o localizador DRNNDX"/>
    <d v="2024-05-20T14:44:00"/>
    <d v="2024-06-12T14:53:00"/>
    <s v="OUTROS"/>
    <s v="TAG - ITEM VEÍCULO"/>
    <s v="TAGS DE DETALHAMENTO DO SERVIÇO NÃO ENVIADO NO XML"/>
    <x v="0"/>
    <s v="SUPORTE OBT"/>
    <n v="46"/>
  </r>
  <r>
    <n v="2690939"/>
    <s v="GOVER"/>
    <x v="54"/>
    <n v="378581"/>
    <s v="MREZSO"/>
    <s v="PreencherPnr-&gt;Não foi encontrado nenhum item veículo para o localizador MREZSO"/>
    <d v="2024-05-21T15:20:00"/>
    <d v="2024-07-18T10:40:00"/>
    <s v="OUTROS"/>
    <s v="TAG - ITEM VEÍCULO"/>
    <s v="TAGS DE DETALHAMENTO DO SERVIÇO NÃO ENVIADO NO XML"/>
    <x v="0"/>
    <s v="SUPORTE OBT"/>
    <n v="46"/>
  </r>
  <r>
    <n v="2690940"/>
    <s v="GOVER"/>
    <x v="55"/>
    <n v="378584"/>
    <s v="GECASW"/>
    <s v="PreencherPnr-&gt;Não foi encontrado nenhum item veículo para o localizador GECASW"/>
    <d v="2024-05-21T15:20:00"/>
    <d v="2024-07-18T10:40:00"/>
    <s v="OUTROS"/>
    <s v="TAG - ITEM VEÍCULO"/>
    <s v="TAGS DE DETALHAMENTO DO SERVIÇO NÃO ENVIADO NO XML"/>
    <x v="0"/>
    <s v="SUPORTE OBT"/>
    <n v="46"/>
  </r>
  <r>
    <n v="2691022"/>
    <s v="GOVER"/>
    <x v="56"/>
    <n v="378585"/>
    <s v="AIDQYR"/>
    <s v="PreencherPnr-&gt;Não foi encontrado nenhum item veículo para o localizador AIDQYR"/>
    <d v="2024-05-21T15:28:00"/>
    <d v="2024-07-18T10:40:00"/>
    <s v="OUTROS"/>
    <s v="TAG - ITEM VEÍCULO"/>
    <s v="TAGS DE DETALHAMENTO DO SERVIÇO NÃO ENVIADO NO XML"/>
    <x v="0"/>
    <s v="SUPORTE OBT"/>
    <n v="46"/>
  </r>
  <r>
    <n v="2708785"/>
    <s v="GOVER"/>
    <x v="57"/>
    <n v="379112"/>
    <s v="GDS"/>
    <s v="PreencherPnr-&gt;Não foi encontrado nenhum item veículo para o localizador GDS"/>
    <d v="2024-05-29T17:17:00"/>
    <d v="2024-07-18T10:40:00"/>
    <s v="OUTROS"/>
    <s v="TAG - ITEM VEÍCULO"/>
    <s v="TAGS DE DETALHAMENTO DO SERVIÇO NÃO ENVIADO NO XML"/>
    <x v="0"/>
    <s v="SUPORTE OBT"/>
    <n v="46"/>
  </r>
  <r>
    <n v="2714614"/>
    <s v="GOVER"/>
    <x v="58"/>
    <n v="4344911"/>
    <n v="4344911"/>
    <s v="PreencherPnr-&gt;Foi identificado um localizador sem código."/>
    <d v="2024-06-03T17:46:00"/>
    <d v="2024-07-18T10:44:00"/>
    <s v="OUTROS"/>
    <s v="RLOC NÃO INFORMADO"/>
    <s v="RLOC NÃO PREENCHIDO NA RESERVA"/>
    <x v="1"/>
    <s v="SUPORTE OBT"/>
    <s v="COLUNA I"/>
  </r>
  <r>
    <n v="2716446"/>
    <s v="GOVER"/>
    <x v="59"/>
    <n v="4345248"/>
    <s v="AVBDQZHNU"/>
    <s v="PreencherPnr-&gt;Não foi encontrado nenhum item veículo para o localizador AVBDQZHNU"/>
    <d v="2024-06-04T12:48:00"/>
    <d v="2024-07-18T10:44:00"/>
    <s v="OUTROS"/>
    <s v="TAG - ITEM VEÍCULO"/>
    <s v="TAGS DE DETALHAMENTO DO SERVIÇO NÃO ENVIADO NO XML"/>
    <x v="0"/>
    <s v="SUPORTE OBT"/>
    <n v="46"/>
  </r>
  <r>
    <n v="2716447"/>
    <s v="GOVER"/>
    <x v="59"/>
    <n v="4345248"/>
    <s v="H4345248"/>
    <s v="PreencherPnr-&gt;Não foi encontrado nenhum item veículo para o localizador H4345248"/>
    <d v="2024-06-04T12:48:00"/>
    <d v="2024-07-18T10:44:00"/>
    <s v="OUTROS"/>
    <s v="TAG - ITEM VEÍCULO"/>
    <s v="TAGS DE DETALHAMENTO DO SERVIÇO NÃO ENVIADO NO XML"/>
    <x v="0"/>
    <s v="SUPORTE OBT"/>
    <n v="46"/>
  </r>
  <r>
    <n v="2718856"/>
    <s v="GOVER"/>
    <x v="60"/>
    <n v="4345267"/>
    <n v="4345267"/>
    <s v="PreencherPnr-&gt;Foi identificado um localizador sem código."/>
    <d v="2024-06-05T02:50:00"/>
    <m/>
    <s v="OUTROS"/>
    <s v="RLOC NÃO INFORMADO"/>
    <s v="RLOC NÃO PREENCHIDO NA RESERVA"/>
    <x v="1"/>
    <s v="SUPORTE OBT"/>
    <s v="COLUNA I"/>
  </r>
  <r>
    <n v="2724955"/>
    <s v="GOVER"/>
    <x v="61"/>
    <n v="379459"/>
    <s v="HRXSNM"/>
    <s v="PreencherPnr-&gt;Não foi encontrado nenhum item veículo para o localizador HRXSNM"/>
    <d v="2024-06-07T12:37:00"/>
    <d v="2024-06-12T14:53:00"/>
    <s v="OUTROS"/>
    <s v="TAG - ITEM VEÍCULO"/>
    <s v="TAGS DE DETALHAMENTO DO SERVIÇO NÃO ENVIADO NO XML"/>
    <x v="0"/>
    <s v="SUPORTE OBT"/>
    <n v="46"/>
  </r>
  <r>
    <n v="2731229"/>
    <s v="GOVER"/>
    <x v="62"/>
    <n v="4349507"/>
    <n v="4349507"/>
    <s v="PreencherPnr-&gt;Foi identificado um localizador sem código."/>
    <d v="2024-06-11T12:34:00"/>
    <d v="2024-07-18T10:44:00"/>
    <s v="OUTROS"/>
    <s v="RLOC NÃO INFORMADO"/>
    <s v="RLOC NÃO PREENCHIDO NA RESERVA"/>
    <x v="1"/>
    <s v="SUPORTE OBT"/>
    <s v="COLUNA I"/>
  </r>
  <r>
    <n v="2742889"/>
    <s v="SABRE"/>
    <x v="63"/>
    <s v="MLGVIUT"/>
    <s v="MLGVIU"/>
    <s v="ConverterPagamentosRemark-&gt;String was not recognized as a valid DateTime.&lt;-MontarAccountinsHotel&lt;-ProcessarHotel&lt;-ProcessarItemFila[b]"/>
    <d v="2024-06-16T11:16:00"/>
    <d v="2025-05-13T09:31:00"/>
    <s v="FORMA PAGTO/RECTO"/>
    <s v="REMARK - DATA INCORRETA"/>
    <s v="REMARK U*INFOPAG-CC/REC-CC PREENCHIDO INCORRETAMENTE"/>
    <x v="1"/>
    <s v="OPERAÇÕES / SUPORTE KCS"/>
    <s v="COLUNA I"/>
  </r>
  <r>
    <n v="2752710"/>
    <s v="GOVER"/>
    <x v="64"/>
    <n v="380257"/>
    <s v="AZPSSY"/>
    <s v="PreencherPnr-&gt;Não foi encontrado nenhum item veículo para o localizador AZPSSY"/>
    <d v="2024-06-20T14:26:00"/>
    <d v="2024-07-18T10:40:00"/>
    <s v="OUTROS"/>
    <s v="TAG - ITEM VEÍCULO"/>
    <s v="TAGS DE DETALHAMENTO DO SERVIÇO NÃO ENVIADO NO XML"/>
    <x v="3"/>
    <s v="SUPORTE OBT"/>
    <n v="46"/>
  </r>
  <r>
    <n v="2759573"/>
    <s v="GOVER"/>
    <x v="65"/>
    <n v="4358782"/>
    <n v="4358782"/>
    <s v="PreencherPnr-&gt;Foi identificado um localizador sem código."/>
    <d v="2024-06-24T19:15:00"/>
    <m/>
    <s v="OUTROS"/>
    <s v="RLOC NÃO INFORMADO"/>
    <s v="RLOC NÃO PREENCHIDO NA RESERVA"/>
    <x v="1"/>
    <s v="SUPORTE OBT"/>
    <s v="COLUNA I"/>
  </r>
  <r>
    <n v="2763711"/>
    <s v="GOVER"/>
    <x v="66"/>
    <n v="4359811"/>
    <n v="4359811"/>
    <s v="PreencherPnr-&gt;Foi identificado um localizador sem código."/>
    <d v="2024-06-26T10:24:00"/>
    <d v="2024-07-18T10:44:00"/>
    <s v="OUTROS"/>
    <s v="RLOC NÃO INFORMADO"/>
    <s v="RLOC NÃO PREENCHIDO NA RESERVA"/>
    <x v="1"/>
    <s v="SUPORTE OBT"/>
    <s v="COLUNA I"/>
  </r>
  <r>
    <n v="2766772"/>
    <s v="GOVER"/>
    <x v="67"/>
    <n v="4360599"/>
    <n v="4360599"/>
    <s v="PreencherPnr-&gt;Foi identificado um localizador sem código."/>
    <d v="2024-06-27T11:21:00"/>
    <d v="2024-07-18T10:44:00"/>
    <s v="OUTROS"/>
    <s v="RLOC NÃO INFORMADO"/>
    <s v="RLOC NÃO PREENCHIDO NA RESERVA"/>
    <x v="1"/>
    <s v="SUPORTE OBT"/>
    <s v="COLUNA I"/>
  </r>
  <r>
    <n v="2789838"/>
    <s v="GOVER"/>
    <x v="68"/>
    <n v="4366908"/>
    <s v="ELTWWD"/>
    <s v="PreencherPnr-&gt;Não foi encontrado nenhum item aéreo para o localizador ELTWWD"/>
    <d v="2024-07-09T00:04:00"/>
    <m/>
    <s v="OUTROS"/>
    <s v="TAG - ITEM AEREO"/>
    <s v="TAGS DE DETALHAMENTO DO SERVIÇO NÃO ENVIADO NO XML"/>
    <x v="0"/>
    <s v="SUPORTE OBT"/>
    <s v="COLUNA I"/>
  </r>
  <r>
    <n v="2789841"/>
    <s v="GOVER"/>
    <x v="69"/>
    <n v="4366919"/>
    <s v="UM4IWT"/>
    <s v="PreencherPnr-&gt;Não foi encontrado nenhum item aéreo para o localizador UM4IWT"/>
    <d v="2024-07-09T00:04:00"/>
    <d v="2024-07-13T23:55:00"/>
    <s v="OUTROS"/>
    <s v="TAG - ITEM AEREO"/>
    <s v="TAGS DE DETALHAMENTO DO SERVIÇO NÃO ENVIADO NO XML"/>
    <x v="0"/>
    <s v="SUPORTE OBT"/>
    <s v="COLUNA I"/>
  </r>
  <r>
    <n v="2800423"/>
    <s v="GOVER"/>
    <x v="70"/>
    <n v="381325"/>
    <s v="MXFLFG"/>
    <s v="PreencherPnr-&gt;Não foi encontrado nenhum item veículo para o localizador MXFLFG"/>
    <d v="2024-07-15T10:04:00"/>
    <d v="2024-07-18T10:40:00"/>
    <s v="OUTROS"/>
    <s v="TAG - ITEM VEÍCULO"/>
    <s v="TAGS DE DETALHAMENTO DO SERVIÇO NÃO ENVIADO NO XML"/>
    <x v="3"/>
    <s v="SUPORTE OBT"/>
    <n v="46"/>
  </r>
  <r>
    <n v="2800841"/>
    <s v="GOVER"/>
    <x v="71"/>
    <n v="381348"/>
    <s v="FALHIQ"/>
    <s v="PreencherPnr-&gt;Não foi encontrado nenhum item veículo para o localizador FALHIQ"/>
    <d v="2024-07-15T14:16:00"/>
    <d v="2024-07-18T10:40:00"/>
    <s v="OUTROS"/>
    <s v="TAG - ITEM VEÍCULO"/>
    <s v="TAGS DE DETALHAMENTO DO SERVIÇO NÃO ENVIADO NO XML"/>
    <x v="0"/>
    <s v="SUPORTE OBT"/>
    <n v="46"/>
  </r>
  <r>
    <n v="2812539"/>
    <s v="GOVER"/>
    <x v="72"/>
    <n v="4374480"/>
    <n v="4374480"/>
    <s v="PreencherPnr-&gt;Foi identificado um localizador sem código."/>
    <d v="2024-07-19T16:24:00"/>
    <m/>
    <s v="OUTROS"/>
    <s v="RLOC NÃO INFORMADO"/>
    <s v="RLOC NÃO PREENCHIDO NA RESERVA"/>
    <x v="1"/>
    <s v="SUPORTE OBT"/>
    <s v="COLUNA I"/>
  </r>
  <r>
    <n v="2814798"/>
    <s v="GOVER"/>
    <x v="73"/>
    <n v="4374784"/>
    <s v="localiza"/>
    <s v="PreencherPnr-&gt;Não foi encontrado nenhum item veículo para o localizador localiza"/>
    <d v="2024-07-22T11:27:00"/>
    <d v="2024-07-30T08:36:00"/>
    <s v="OUTROS"/>
    <s v="TAG - ITEM VEÍCULO"/>
    <s v="TAGS DE DETALHAMENTO DO SERVIÇO NÃO ENVIADO NO XML"/>
    <x v="3"/>
    <s v="SUPORTE OBT"/>
    <n v="46"/>
  </r>
  <r>
    <n v="2818447"/>
    <s v="GOVER"/>
    <x v="74"/>
    <n v="4376485"/>
    <n v="4376485"/>
    <s v="PreencherPnr-&gt;Foi identificado um localizador sem código."/>
    <d v="2024-07-23T15:13:00"/>
    <d v="2024-07-30T08:36:00"/>
    <s v="OUTROS"/>
    <s v="RLOC NÃO INFORMADO"/>
    <s v="RLOC NÃO PREENCHIDO NA RESERVA"/>
    <x v="1"/>
    <s v="SUPORTE OBT"/>
    <s v="COLUNA I"/>
  </r>
  <r>
    <n v="2821392"/>
    <s v="GOVER"/>
    <x v="75"/>
    <n v="4376739"/>
    <s v="FAOJQC"/>
    <s v="PreencherPnr-&gt;Não foi encontrado nenhum item veículo para o localizador FAOJQC"/>
    <d v="2024-07-24T15:13:00"/>
    <d v="2024-07-30T08:36:00"/>
    <s v="OUTROS"/>
    <s v="TAG - ITEM VEÍCULO"/>
    <s v="TAGS DE DETALHAMENTO DO SERVIÇO NÃO ENVIADO NO XML"/>
    <x v="3"/>
    <s v="SUPORTE OBT"/>
    <n v="46"/>
  </r>
  <r>
    <n v="2823422"/>
    <s v="GOVER"/>
    <x v="76"/>
    <n v="4365069"/>
    <n v="4365069"/>
    <s v="PreencherPnr-&gt;Foi identificado um localizador sem código."/>
    <d v="2024-07-25T11:28:00"/>
    <d v="2024-07-30T08:36:00"/>
    <s v="OUTROS"/>
    <s v="RLOC NÃO INFORMADO"/>
    <s v="RLOC NÃO PREENCHIDO NA RESERVA"/>
    <x v="1"/>
    <s v="SUPORTE OBT"/>
    <s v="COLUNA I"/>
  </r>
  <r>
    <n v="2834252"/>
    <s v="GOVER"/>
    <x v="77"/>
    <n v="382020"/>
    <s v="174502243-49481"/>
    <s v="PreencherPnr-&gt;'long' does not contain a definition for 'toString2'"/>
    <d v="2024-07-30T18:29:00"/>
    <m/>
    <s v="OUTROS"/>
    <s v="DADOS DO CARTÃO"/>
    <s v="TAG &lt;CARTAOVALIDADE&gt; NÃO ENVIADA"/>
    <x v="0"/>
    <s v="SUPORTE OBT"/>
    <s v="COLUNA I"/>
  </r>
  <r>
    <n v="2838186"/>
    <s v="GOVER"/>
    <x v="78"/>
    <n v="4381568"/>
    <s v="OVPAIQ"/>
    <s v="PreencherPnr-&gt;Não foi encontrado nenhum item veículo para o localizador OVPAIQ"/>
    <d v="2024-08-01T10:44:00"/>
    <d v="2024-08-07T09:59:00"/>
    <s v="OUTROS"/>
    <s v="TAG - ITEM VEÍCULO"/>
    <s v="TAGS DE DETALHAMENTO DO SERVIÇO NÃO ENVIADO NO XML"/>
    <x v="0"/>
    <s v="SUPORTE OBT"/>
    <n v="46"/>
  </r>
  <r>
    <n v="2839290"/>
    <s v="GOVER"/>
    <x v="79"/>
    <n v="4382026"/>
    <s v="IPTOUU"/>
    <s v="PreencherPnr-&gt;Não foi encontrado nenhum item veículo para o localizador IPTOUU"/>
    <d v="2024-08-01T16:17:00"/>
    <d v="2024-08-07T09:59:00"/>
    <s v="OUTROS"/>
    <s v="TAG - ITEM VEÍCULO"/>
    <s v="TAGS DE DETALHAMENTO DO SERVIÇO NÃO ENVIADO NO XML"/>
    <x v="0"/>
    <s v="SUPORTE OBT"/>
    <n v="46"/>
  </r>
  <r>
    <n v="2846019"/>
    <s v="GOVER"/>
    <x v="80"/>
    <n v="4379492"/>
    <n v="4379492"/>
    <s v="PreencherPnr-&gt;'long' does not contain a definition for 'toString2'"/>
    <d v="2024-08-05T17:19:00"/>
    <d v="2024-08-07T09:59:00"/>
    <s v="OUTROS"/>
    <s v="DADOS DO CARTÃO"/>
    <s v="TAG &lt;CARTAOVALIDADE&gt; NÃO ENVIADA"/>
    <x v="0"/>
    <s v="SUPORTE OBT"/>
    <s v="COLUNA I"/>
  </r>
  <r>
    <n v="2846211"/>
    <s v="GOVER"/>
    <x v="81"/>
    <n v="4383947"/>
    <s v="SUQABQ"/>
    <s v="PreencherPnr-&gt;Não foi encontrado nenhum item veículo para o localizador SUQABQ"/>
    <d v="2024-08-05T17:38:00"/>
    <d v="2024-08-07T09:59:00"/>
    <s v="OUTROS"/>
    <s v="TAG - ITEM VEÍCULO"/>
    <s v="TAGS DE DETALHAMENTO DO SERVIÇO NÃO ENVIADO NO XML"/>
    <x v="0"/>
    <s v="SUPORTE OBT"/>
    <n v="46"/>
  </r>
  <r>
    <n v="2847568"/>
    <s v="GOVER"/>
    <x v="82"/>
    <n v="4383635"/>
    <s v="HSOASG"/>
    <s v="PreencherPnr-&gt;Não foi encontrado nenhum item veículo para o localizador HSOASG"/>
    <d v="2024-08-06T09:49:00"/>
    <d v="2024-08-07T09:59:00"/>
    <s v="OUTROS"/>
    <s v="TAG - ITEM VEÍCULO"/>
    <s v="TAGS DE DETALHAMENTO DO SERVIÇO NÃO ENVIADO NO XML"/>
    <x v="0"/>
    <s v="SUPORTE OBT"/>
    <n v="46"/>
  </r>
  <r>
    <n v="2854556"/>
    <s v="GOVER"/>
    <x v="83"/>
    <n v="367886"/>
    <s v="GXGNAJ"/>
    <s v="PreencherPnr-&gt;Não foi encontrado nenhum item veículo para o localizador GXGNAJ"/>
    <d v="2024-08-08T16:31:00"/>
    <d v="2024-08-16T16:49:00"/>
    <s v="OUTROS"/>
    <s v="TAG - ITEM VEÍCULO"/>
    <s v="TAGS DE DETALHAMENTO DO SERVIÇO NÃO ENVIADO NO XML"/>
    <x v="0"/>
    <s v="SUPORTE OBT"/>
    <n v="46"/>
  </r>
  <r>
    <n v="2854557"/>
    <s v="GOVER"/>
    <x v="84"/>
    <n v="368105"/>
    <s v="DJMMUF"/>
    <s v="PreencherPnr-&gt;Não foi encontrado nenhum item veículo para o localizador DJMMUF"/>
    <d v="2024-08-08T16:31:00"/>
    <d v="2024-08-16T16:49:00"/>
    <s v="OUTROS"/>
    <s v="TAG - ITEM VEÍCULO"/>
    <s v="TAGS DE DETALHAMENTO DO SERVIÇO NÃO ENVIADO NO XML"/>
    <x v="0"/>
    <s v="SUPORTE OBT"/>
    <n v="46"/>
  </r>
  <r>
    <n v="2854558"/>
    <s v="GOVER"/>
    <x v="85"/>
    <n v="368106"/>
    <s v="JGBTVX"/>
    <s v="PreencherPnr-&gt;Não foi encontrado nenhum item veículo para o localizador JGBTVX"/>
    <d v="2024-08-08T16:31:00"/>
    <d v="2024-08-16T16:49:00"/>
    <s v="OUTROS"/>
    <s v="TAG - ITEM VEÍCULO"/>
    <s v="TAGS DE DETALHAMENTO DO SERVIÇO NÃO ENVIADO NO XML"/>
    <x v="0"/>
    <s v="SUPORTE OBT"/>
    <n v="46"/>
  </r>
  <r>
    <n v="2854559"/>
    <s v="GOVER"/>
    <x v="86"/>
    <n v="368107"/>
    <s v="HUHXPC"/>
    <s v="PreencherPnr-&gt;Não foi encontrado nenhum item veículo para o localizador HUHXPC"/>
    <d v="2024-08-08T16:31:00"/>
    <d v="2024-08-16T16:49:00"/>
    <s v="OUTROS"/>
    <s v="TAG - ITEM VEÍCULO"/>
    <s v="TAGS DE DETALHAMENTO DO SERVIÇO NÃO ENVIADO NO XML"/>
    <x v="0"/>
    <s v="SUPORTE OBT"/>
    <n v="46"/>
  </r>
  <r>
    <n v="2854560"/>
    <s v="GOVER"/>
    <x v="87"/>
    <n v="368108"/>
    <s v="IXQPBK"/>
    <s v="PreencherPnr-&gt;Não foi encontrado nenhum item veículo para o localizador IXQPBK"/>
    <d v="2024-08-08T16:31:00"/>
    <d v="2024-08-16T16:49:00"/>
    <s v="OUTROS"/>
    <s v="TAG - ITEM VEÍCULO"/>
    <s v="TAGS DE DETALHAMENTO DO SERVIÇO NÃO ENVIADO NO XML"/>
    <x v="0"/>
    <s v="SUPORTE OBT"/>
    <n v="46"/>
  </r>
  <r>
    <n v="2854561"/>
    <s v="GOVER"/>
    <x v="88"/>
    <n v="368816"/>
    <s v="NWPLQE"/>
    <s v="PreencherPnr-&gt;Não foi encontrado nenhum item veículo para o localizador NWPLQE"/>
    <d v="2024-08-08T16:31:00"/>
    <d v="2024-08-16T16:49:00"/>
    <s v="OUTROS"/>
    <s v="TAG - ITEM VEÍCULO"/>
    <s v="TAGS DE DETALHAMENTO DO SERVIÇO NÃO ENVIADO NO XML"/>
    <x v="0"/>
    <s v="SUPORTE OBT"/>
    <n v="46"/>
  </r>
  <r>
    <n v="2854562"/>
    <s v="GOVER"/>
    <x v="89"/>
    <n v="370566"/>
    <s v="ILHTJX"/>
    <s v="PreencherPnr-&gt;Não foi encontrado nenhum item veículo para o localizador ILHTJX"/>
    <d v="2024-08-08T16:31:00"/>
    <d v="2024-08-16T16:49:00"/>
    <s v="OUTROS"/>
    <s v="TAG - ITEM VEÍCULO"/>
    <s v="TAGS DE DETALHAMENTO DO SERVIÇO NÃO ENVIADO NO XML"/>
    <x v="0"/>
    <s v="SUPORTE OBT"/>
    <n v="46"/>
  </r>
  <r>
    <n v="2854564"/>
    <s v="GOVER"/>
    <x v="90"/>
    <n v="4063560"/>
    <s v="AV57MEW594A"/>
    <s v="PreencherPnr-&gt;Não foi encontrado nenhum item veículo para o localizador AV57MEW594A"/>
    <d v="2024-08-08T16:33:00"/>
    <d v="2024-08-16T16:42:00"/>
    <s v="OUTROS"/>
    <s v="TAG - ITEM VEÍCULO"/>
    <s v="TAGS DE DETALHAMENTO DO SERVIÇO NÃO ENVIADO NO XML"/>
    <x v="0"/>
    <s v="SUPORTE OBT"/>
    <n v="46"/>
  </r>
  <r>
    <n v="2854573"/>
    <s v="GOVER"/>
    <x v="91"/>
    <n v="4200769"/>
    <s v="LOCALIZA"/>
    <s v="PreencherPnr-&gt;Não foi encontrado nenhum item veículo para o localizador LOCALIZA"/>
    <d v="2024-08-08T16:33:00"/>
    <d v="2024-08-16T16:42:00"/>
    <s v="OUTROS"/>
    <s v="TAG - ITEM VEÍCULO"/>
    <s v="TAGS DE DETALHAMENTO DO SERVIÇO NÃO ENVIADO NO XML"/>
    <x v="0"/>
    <s v="SUPORTE OBT"/>
    <n v="46"/>
  </r>
  <r>
    <n v="2854581"/>
    <s v="GOVER"/>
    <x v="92"/>
    <n v="4213500"/>
    <s v="MV1MG00DWIBR"/>
    <s v="PreencherPnr-&gt;Não foi encontrado nenhum item veículo para o localizador MV1MG00DWIBR"/>
    <d v="2024-08-08T16:33:00"/>
    <d v="2024-08-16T16:42:00"/>
    <s v="OUTROS"/>
    <s v="TAG - ITEM VEÍCULO"/>
    <s v="TAGS DE DETALHAMENTO DO SERVIÇO NÃO ENVIADO NO XML"/>
    <x v="0"/>
    <s v="SUPORTE OBT"/>
    <n v="46"/>
  </r>
  <r>
    <n v="2854591"/>
    <s v="GOVER"/>
    <x v="93"/>
    <n v="4229746"/>
    <s v="C4229746"/>
    <s v="PreencherPnr-&gt;Não foi encontrado nenhum item veículo para o localizador C4229746"/>
    <d v="2024-08-08T16:33:00"/>
    <d v="2024-08-16T16:42:00"/>
    <s v="OUTROS"/>
    <s v="TAG - ITEM VEÍCULO"/>
    <s v="TAGS DE DETALHAMENTO DO SERVIÇO NÃO ENVIADO NO XML"/>
    <x v="0"/>
    <s v="SUPORTE OBT"/>
    <n v="46"/>
  </r>
  <r>
    <n v="2854592"/>
    <s v="GOVER"/>
    <x v="94"/>
    <n v="4229798"/>
    <s v="MV1RRKSO6QBR"/>
    <s v="PreencherPnr-&gt;Não foi encontrado nenhum item veículo para o localizador MV1RRKSO6QBR"/>
    <d v="2024-08-08T16:33:00"/>
    <d v="2024-08-16T16:42:00"/>
    <s v="OUTROS"/>
    <s v="TAG - ITEM VEÍCULO"/>
    <s v="TAGS DE DETALHAMENTO DO SERVIÇO NÃO ENVIADO NO XML"/>
    <x v="0"/>
    <s v="SUPORTE OBT"/>
    <n v="46"/>
  </r>
  <r>
    <n v="2854594"/>
    <s v="GOVER"/>
    <x v="95"/>
    <n v="4237398"/>
    <s v="AVB4PDW9TA"/>
    <s v="PreencherPnr-&gt;Não foi encontrado nenhum item veículo para o localizador AVB4PDW9TA"/>
    <d v="2024-08-08T16:33:00"/>
    <d v="2024-08-16T16:42:00"/>
    <s v="OUTROS"/>
    <s v="TAG - ITEM VEÍCULO"/>
    <s v="TAGS DE DETALHAMENTO DO SERVIÇO NÃO ENVIADO NO XML"/>
    <x v="0"/>
    <s v="SUPORTE OBT"/>
    <n v="46"/>
  </r>
  <r>
    <n v="2854596"/>
    <s v="GOVER"/>
    <x v="96"/>
    <n v="4243779"/>
    <s v="-"/>
    <s v="PreencherPnr-&gt;Não foi encontrado nenhum item veículo para o localizador -"/>
    <d v="2024-08-08T16:33:00"/>
    <d v="2024-08-16T16:42:00"/>
    <s v="OUTROS"/>
    <s v="TAG - ITEM VEÍCULO"/>
    <s v="TAGS DE DETALHAMENTO DO SERVIÇO NÃO ENVIADO NO XML"/>
    <x v="0"/>
    <s v="SUPORTE OBT"/>
    <n v="46"/>
  </r>
  <r>
    <n v="2854597"/>
    <s v="GOVER"/>
    <x v="97"/>
    <n v="4247783"/>
    <s v="MV1JPSIG9IBR"/>
    <s v="PreencherPnr-&gt;Não foi encontrado nenhum item veículo para o localizador MV1JPSIG9IBR"/>
    <d v="2024-08-08T16:33:00"/>
    <d v="2024-08-16T16:42:00"/>
    <s v="OUTROS"/>
    <s v="TAG - ITEM VEÍCULO"/>
    <s v="TAGS DE DETALHAMENTO DO SERVIÇO NÃO ENVIADO NO XML"/>
    <x v="0"/>
    <s v="SUPORTE OBT"/>
    <n v="46"/>
  </r>
  <r>
    <n v="2854598"/>
    <s v="GOVER"/>
    <x v="97"/>
    <n v="4247783"/>
    <s v="SOMENTE-COTACAO"/>
    <s v="PreencherPnr-&gt;Não foi encontrado nenhum item veículo para o localizador SOMENTE-COTACAO"/>
    <d v="2024-08-08T16:33:00"/>
    <d v="2024-08-16T16:42:00"/>
    <s v="OUTROS"/>
    <s v="TAG - ITEM VEÍCULO"/>
    <s v="TAGS DE DETALHAMENTO DO SERVIÇO NÃO ENVIADO NO XML"/>
    <x v="0"/>
    <s v="SUPORTE OBT"/>
    <n v="46"/>
  </r>
  <r>
    <n v="2859609"/>
    <s v="GOVER"/>
    <x v="98"/>
    <n v="4387358"/>
    <s v="IXPLRS"/>
    <s v="PreencherPnr-&gt;Não foi encontrado nenhum item veículo para o localizador IXPLRS"/>
    <d v="2024-08-12T08:54:00"/>
    <d v="2024-08-13T15:40:00"/>
    <s v="OUTROS"/>
    <s v="TAG - ITEM VEÍCULO"/>
    <s v="TAGS DE DETALHAMENTO DO SERVIÇO NÃO ENVIADO NO XML"/>
    <x v="0"/>
    <s v="SUPORTE OBT"/>
    <n v="46"/>
  </r>
  <r>
    <n v="2863283"/>
    <s v="GOVER"/>
    <x v="99"/>
    <n v="4388663"/>
    <s v="WBJZBV"/>
    <s v="PreencherPnr-&gt;Não foi encontrado nenhum item veículo para o localizador WBJZBV"/>
    <d v="2024-08-13T13:34:00"/>
    <d v="2024-08-13T15:40:00"/>
    <s v="OUTROS"/>
    <s v="TAG - ITEM VEÍCULO"/>
    <s v="TAGS DE DETALHAMENTO DO SERVIÇO NÃO ENVIADO NO XML"/>
    <x v="0"/>
    <s v="SUPORTE OBT"/>
    <n v="46"/>
  </r>
  <r>
    <n v="2868697"/>
    <s v="GOVER"/>
    <x v="100"/>
    <n v="383129"/>
    <s v="HQAXGW"/>
    <s v="PreencherPnr-&gt;Não foi encontrado nenhum item veículo para o localizador HQAXGW"/>
    <d v="2024-08-15T11:43:00"/>
    <d v="2024-08-16T16:50:00"/>
    <s v="OUTROS"/>
    <s v="TAG - ITEM VEÍCULO"/>
    <s v="TAGS DE DETALHAMENTO DO SERVIÇO NÃO ENVIADO NO XML"/>
    <x v="0"/>
    <s v="SUPORTE OBT"/>
    <n v="46"/>
  </r>
  <r>
    <n v="2869610"/>
    <s v="GOVER"/>
    <x v="101"/>
    <n v="383159"/>
    <s v="174900754-13150"/>
    <s v="PreencherPnr-&gt;'long' does not contain a definition for 'toString2'"/>
    <d v="2024-08-15T16:14:00"/>
    <d v="2024-08-16T16:50:00"/>
    <s v="OUTROS"/>
    <s v="DADOS DO CARTÃO"/>
    <s v="TAG &lt;CARTAOVALIDADE&gt; NÃO ENVIADA"/>
    <x v="0"/>
    <s v="SUPORTE OBT"/>
    <s v="COLUNA I"/>
  </r>
  <r>
    <n v="2872904"/>
    <s v="GOVER"/>
    <x v="102"/>
    <n v="4252091"/>
    <s v="b2bsemdisponibilidade--hotelapenaspagamentodireto"/>
    <s v="ERRO: Cancelamento de Venda: Não há PNR no sistema para cancelar, venda não inserida!"/>
    <d v="2024-08-16T16:52:00"/>
    <d v="2024-08-21T10:16:00"/>
    <s v="CANCELAMENTO "/>
    <s v="VENDA CANCELADA"/>
    <s v="RESERVA CANCELADA NO OBT"/>
    <x v="0"/>
    <s v="SUPORTE OBT"/>
    <s v="COLUNA I"/>
  </r>
  <r>
    <n v="2879032"/>
    <s v="GOVER"/>
    <x v="103"/>
    <n v="374316"/>
    <s v="ARONVL"/>
    <s v="PreencherPnr-&gt;Não foi encontrado nenhum item veículo para o localizador ARONVL"/>
    <d v="2024-08-20T15:55:00"/>
    <d v="2024-09-02T12:29:00"/>
    <s v="OUTROS"/>
    <s v="TAG - ITEM VEÍCULO"/>
    <s v="TAGS DE DETALHAMENTO DO SERVIÇO NÃO ENVIADO NO XML"/>
    <x v="3"/>
    <s v="SUPORTE OBT"/>
    <n v="46"/>
  </r>
  <r>
    <n v="2879046"/>
    <s v="GOVER"/>
    <x v="104"/>
    <n v="4292939"/>
    <s v="MV4H1FIAASPBR"/>
    <s v="PreencherPnr-&gt;Não foi encontrado nenhum item veículo para o localizador MV4H1FIAASPBR"/>
    <d v="2024-08-20T15:58:00"/>
    <d v="2024-09-02T12:32:00"/>
    <s v="OUTROS"/>
    <s v="TAG - ITEM VEÍCULO"/>
    <s v="TAGS DE DETALHAMENTO DO SERVIÇO NÃO ENVIADO NO XML"/>
    <x v="0"/>
    <s v="SUPORTE OBT"/>
    <n v="46"/>
  </r>
  <r>
    <n v="2879047"/>
    <s v="GOVER"/>
    <x v="105"/>
    <n v="4305314"/>
    <s v="MV1OKA0QESBR"/>
    <s v="PreencherPnr-&gt;Não foi encontrado nenhum item veículo para o localizador MV1OKA0QESBR"/>
    <d v="2024-08-20T15:58:00"/>
    <d v="2024-09-02T12:32:00"/>
    <s v="OUTROS"/>
    <s v="TAG - ITEM VEÍCULO"/>
    <s v="TAGS DE DETALHAMENTO DO SERVIÇO NÃO ENVIADO NO XML"/>
    <x v="0"/>
    <s v="SUPORTE OBT"/>
    <n v="46"/>
  </r>
  <r>
    <n v="2879049"/>
    <s v="GOVER"/>
    <x v="106"/>
    <n v="4338505"/>
    <s v="AVO2QML9JA"/>
    <s v="PreencherPnr-&gt;Não foi encontrado nenhum item veículo para o localizador AVO2QML9JA"/>
    <d v="2024-08-20T15:58:00"/>
    <d v="2024-09-02T12:32:00"/>
    <s v="OUTROS"/>
    <s v="TAG - ITEM VEÍCULO"/>
    <s v="TAGS DE DETALHAMENTO DO SERVIÇO NÃO ENVIADO NO XML"/>
    <x v="0"/>
    <s v="SUPORTE OBT"/>
    <n v="46"/>
  </r>
  <r>
    <n v="2879051"/>
    <s v="GOVER"/>
    <x v="107"/>
    <n v="4367558"/>
    <s v="AQGVRD"/>
    <s v="PreencherPnr-&gt;Não foi encontrado nenhum item veículo para o localizador AQGVRD"/>
    <d v="2024-08-20T15:58:00"/>
    <d v="2024-09-02T12:32:00"/>
    <s v="OUTROS"/>
    <s v="TAG - ITEM VEÍCULO"/>
    <s v="TAGS DE DETALHAMENTO DO SERVIÇO NÃO ENVIADO NO XML"/>
    <x v="0"/>
    <s v="SUPORTE OBT"/>
    <n v="46"/>
  </r>
  <r>
    <n v="2879052"/>
    <s v="GOVER"/>
    <x v="108"/>
    <n v="4369135"/>
    <s v="MQIRNV"/>
    <s v="PreencherPnr-&gt;Não foi encontrado nenhum item veículo para o localizador MQIRNV"/>
    <d v="2024-08-20T15:58:00"/>
    <d v="2024-09-02T12:32:00"/>
    <s v="OUTROS"/>
    <s v="TAG - ITEM VEÍCULO"/>
    <s v="TAGS DE DETALHAMENTO DO SERVIÇO NÃO ENVIADO NO XML"/>
    <x v="0"/>
    <s v="SUPORTE OBT"/>
    <n v="46"/>
  </r>
  <r>
    <n v="2879053"/>
    <s v="GOVER"/>
    <x v="109"/>
    <n v="4374325"/>
    <s v="AVD5R353AMA"/>
    <s v="PreencherPnr-&gt;Não foi encontrado nenhum item veículo para o localizador AVD5R353AMA"/>
    <d v="2024-08-20T15:58:00"/>
    <d v="2024-09-02T12:32:00"/>
    <s v="OUTROS"/>
    <s v="TAG - ITEM VEÍCULO"/>
    <s v="TAGS DE DETALHAMENTO DO SERVIÇO NÃO ENVIADO NO XML"/>
    <x v="0"/>
    <s v="SUPORTE OBT"/>
    <n v="46"/>
  </r>
  <r>
    <n v="2887445"/>
    <s v="GOVER"/>
    <x v="110"/>
    <n v="4395174"/>
    <s v="OYOYCS"/>
    <s v="PreencherPnr-&gt;Não foi encontrado nenhum item veículo para o localizador OYOYCS"/>
    <d v="2024-08-23T15:48:00"/>
    <d v="2024-09-02T12:32:00"/>
    <s v="OUTROS"/>
    <s v="TAG - ITEM VEÍCULO"/>
    <s v="TAGS DE DETALHAMENTO DO SERVIÇO NÃO ENVIADO NO XML"/>
    <x v="0"/>
    <s v="SUPORTE OBT"/>
    <n v="46"/>
  </r>
  <r>
    <n v="2888649"/>
    <s v="GOVER"/>
    <x v="111"/>
    <n v="4394823"/>
    <n v="4394823"/>
    <s v="PreencherPnr-&gt;'long' does not contain a definition for 'toString2'"/>
    <d v="2024-08-23T19:06:00"/>
    <d v="2024-09-02T12:32:00"/>
    <s v="OUTROS"/>
    <s v="DADOS DO CARTÃO"/>
    <s v="TAG &lt;CARTAOVALIDADE&gt; NÃO ENVIADA"/>
    <x v="0"/>
    <s v="SUPORTE OBT"/>
    <s v="COLUNA I"/>
  </r>
  <r>
    <n v="2890862"/>
    <s v="GOVER"/>
    <x v="112"/>
    <n v="4395796"/>
    <s v="LOVZLX"/>
    <s v="PreencherPnr-&gt;Não foi encontrado nenhum item veículo para o localizador LOVZLX"/>
    <d v="2024-08-26T11:54:00"/>
    <d v="2024-09-02T12:32:00"/>
    <s v="OUTROS"/>
    <s v="TAG - ITEM VEÍCULO"/>
    <s v="TAGS DE DETALHAMENTO DO SERVIÇO NÃO ENVIADO NO XML"/>
    <x v="0"/>
    <s v="SUPORTE OBT"/>
    <n v="46"/>
  </r>
  <r>
    <n v="2891632"/>
    <s v="GOVER"/>
    <x v="113"/>
    <n v="4396084"/>
    <s v="H4396084"/>
    <s v="PreencherPnr-&gt;'long' does not contain a definition for 'toString2'"/>
    <d v="2024-08-26T17:28:00"/>
    <d v="2024-09-02T12:32:00"/>
    <s v="OUTROS"/>
    <s v="DADOS DO CARTÃO"/>
    <s v="TAG &lt;CARTAOVALIDADE&gt; NÃO ENVIADA"/>
    <x v="0"/>
    <s v="SUPORTE OBT"/>
    <s v="COLUNA I"/>
  </r>
  <r>
    <n v="2891890"/>
    <s v="GOVER"/>
    <x v="114"/>
    <n v="4396009"/>
    <s v="h4396009"/>
    <s v="PreencherPnr-&gt;'long' does not contain a definition for 'toString2'"/>
    <d v="2024-08-26T17:56:00"/>
    <d v="2024-09-02T12:32:00"/>
    <s v="OUTROS"/>
    <s v="DADOS DO CARTÃO"/>
    <s v="TAG &lt;CARTAOVALIDADE&gt; NÃO ENVIADA"/>
    <x v="0"/>
    <s v="SUPORTE OBT"/>
    <s v="COLUNA I"/>
  </r>
  <r>
    <n v="2893114"/>
    <s v="GOVER"/>
    <x v="115"/>
    <n v="4396381"/>
    <s v="EXLVZJ"/>
    <s v="PreencherPnr-&gt;Não foi encontrado nenhum item veículo para o localizador EXLVZJ"/>
    <d v="2024-08-27T07:42:00"/>
    <d v="2024-09-02T12:32:00"/>
    <s v="OUTROS"/>
    <s v="TAG - ITEM VEÍCULO"/>
    <s v="TAGS DE DETALHAMENTO DO SERVIÇO NÃO ENVIADO NO XML"/>
    <x v="0"/>
    <s v="SUPORTE OBT"/>
    <n v="46"/>
  </r>
  <r>
    <n v="2900068"/>
    <s v="GOVER"/>
    <x v="116"/>
    <n v="4397188"/>
    <s v="h4397188"/>
    <s v="PreencherPnr-&gt;'long' does not contain a definition for 'toString2'"/>
    <d v="2024-08-29T11:55:00"/>
    <d v="2024-09-02T12:32:00"/>
    <s v="OUTROS"/>
    <s v="DADOS DO CARTÃO"/>
    <s v="TAG &lt;CARTAOVALIDADE&gt; NÃO ENVIADA"/>
    <x v="0"/>
    <s v="SUPORTE OBT"/>
    <s v="COLUNA I"/>
  </r>
  <r>
    <n v="2905678"/>
    <s v="GOVER"/>
    <x v="117"/>
    <n v="4399420"/>
    <s v="ACPRGA"/>
    <s v="PreencherPnr-&gt;Não foi encontrado nenhum item veículo para o localizador ACPRGA"/>
    <d v="2024-09-02T09:49:00"/>
    <d v="2024-09-02T12:32:00"/>
    <s v="OUTROS"/>
    <s v="TAG - ITEM VEÍCULO"/>
    <s v="TAGS DE DETALHAMENTO DO SERVIÇO NÃO ENVIADO NO XML"/>
    <x v="0"/>
    <s v="SUPORTE OBT"/>
    <n v="46"/>
  </r>
  <r>
    <n v="2905763"/>
    <s v="GOVER"/>
    <x v="118"/>
    <n v="4399491"/>
    <s v="AQYSGX"/>
    <s v="PreencherPnr-&gt;Não foi encontrado nenhum item veículo para o localizador AQYSGX"/>
    <d v="2024-09-02T10:27:00"/>
    <d v="2024-09-02T12:32:00"/>
    <s v="OUTROS"/>
    <s v="TAG - ITEM VEÍCULO"/>
    <s v="TAGS DE DETALHAMENTO DO SERVIÇO NÃO ENVIADO NO XML"/>
    <x v="0"/>
    <s v="SUPORTE OBT"/>
    <n v="46"/>
  </r>
  <r>
    <n v="2906243"/>
    <s v="GOVER"/>
    <x v="119"/>
    <n v="4399730"/>
    <s v="OWDWAO"/>
    <s v="PreencherPnr-&gt;Não foi encontrado nenhum item veículo para o localizador OWDWAO"/>
    <d v="2024-09-02T13:43:00"/>
    <d v="2024-09-05T14:29:00"/>
    <s v="OUTROS"/>
    <s v="TAG - ITEM VEÍCULO"/>
    <s v="TAGS DE DETALHAMENTO DO SERVIÇO NÃO ENVIADO NO XML"/>
    <x v="0"/>
    <s v="SUPORTE OBT"/>
    <n v="46"/>
  </r>
  <r>
    <n v="2909083"/>
    <s v="GOVER"/>
    <x v="120"/>
    <n v="4398712"/>
    <s v="H4398712"/>
    <s v="PreencherPnr-&gt;'long' does not contain a definition for 'toString2'"/>
    <d v="2024-09-03T11:29:00"/>
    <d v="2024-09-05T14:29:00"/>
    <s v="OUTROS"/>
    <s v="DADOS DO CARTÃO"/>
    <s v="TAG &lt;CARTAOVALIDADE&gt; NÃO ENVIADA"/>
    <x v="0"/>
    <s v="SUPORTE OBT"/>
    <s v="COLUNA I"/>
  </r>
  <r>
    <n v="2909265"/>
    <s v="GOVER"/>
    <x v="121"/>
    <n v="383530"/>
    <s v="H383530"/>
    <s v="PreencherPnr-&gt;'long' does not contain a definition for 'toString2'"/>
    <d v="2024-09-03T13:32:00"/>
    <d v="2024-09-05T14:35:00"/>
    <s v="OUTROS"/>
    <s v="DADOS DO CARTÃO"/>
    <s v="TAG &lt;CARTAOVALIDADE&gt; NÃO ENVIADA"/>
    <x v="0"/>
    <s v="SUPORTE OBT"/>
    <s v="COLUNA I"/>
  </r>
  <r>
    <n v="2913737"/>
    <s v="GOVER"/>
    <x v="122"/>
    <n v="4401586"/>
    <s v="HBJKKX"/>
    <s v="PreencherPnr-&gt;Não foi encontrado nenhum item veículo para o localizador HBJKKX"/>
    <d v="2024-09-04T15:06:00"/>
    <d v="2024-09-05T14:29:00"/>
    <s v="OUTROS"/>
    <s v="TAG - ITEM VEÍCULO"/>
    <s v="TAGS DE DETALHAMENTO DO SERVIÇO NÃO ENVIADO NO XML"/>
    <x v="0"/>
    <s v="SUPORTE OBT"/>
    <n v="46"/>
  </r>
  <r>
    <n v="2914362"/>
    <s v="GOVER"/>
    <x v="123"/>
    <n v="4399504"/>
    <s v="H4399504"/>
    <s v="PreencherPnr-&gt;'long' does not contain a definition for 'toString2'"/>
    <d v="2024-09-04T17:55:00"/>
    <d v="2024-09-05T14:29:00"/>
    <s v="OUTROS"/>
    <s v="DADOS DO CARTÃO"/>
    <s v="TAG &lt;CARTAOVALIDADE&gt; NÃO ENVIADA"/>
    <x v="0"/>
    <s v="SUPORTE OBT"/>
    <s v="COLUNA I"/>
  </r>
  <r>
    <n v="2919931"/>
    <s v="GOVER"/>
    <x v="124"/>
    <n v="4395564"/>
    <s v="H4395564"/>
    <s v="PreencherPnr-&gt;'long' does not contain a definition for 'toString2'"/>
    <d v="2024-09-06T15:23:00"/>
    <d v="2024-10-02T09:45:00"/>
    <s v="OUTROS"/>
    <s v="DADOS DO CARTÃO"/>
    <s v="TAG &lt;CARTAOVALIDADE&gt; NÃO ENVIADA"/>
    <x v="0"/>
    <s v="SUPORTE OBT"/>
    <s v="COLUNA I"/>
  </r>
  <r>
    <n v="2920396"/>
    <s v="GOVER"/>
    <x v="125"/>
    <n v="4401280"/>
    <s v="H4401280"/>
    <s v="PreencherPnr-&gt;'long' does not contain a definition for 'toString2'"/>
    <d v="2024-09-06T16:17:00"/>
    <d v="2024-09-10T14:37:00"/>
    <s v="OUTROS"/>
    <s v="DADOS DO CARTÃO"/>
    <s v="TAG &lt;CARTAOVALIDADE&gt; NÃO ENVIADA"/>
    <x v="0"/>
    <s v="SUPORTE OBT"/>
    <s v="COLUNA I"/>
  </r>
  <r>
    <n v="2923465"/>
    <s v="TMS"/>
    <x v="126"/>
    <n v="10659"/>
    <n v="10659"/>
    <s v="Atualizando PNR - Accountings Carro - Ocorreu o erro 'The DELETE statement conflicted with the REFERENCE constraint &quot;FK_4574_57066&quot;. The conflict occurred in database &quot;Corporativo&quot;, table &quot;dbo.VM_INFCTRL&quot;, column 'ACCOUNTING'."/>
    <m/>
    <m/>
    <m/>
    <s v="ERRO DE SQL"/>
    <s v="ERRO NA IMPORTAÇÃO/MODIFICAÇÃO DAS INFOMAÇÕES"/>
    <x v="0"/>
    <s v="SUPORTE BENNER"/>
    <s v="COLUNA I"/>
  </r>
  <r>
    <n v="2924112"/>
    <s v="GOVER"/>
    <x v="127"/>
    <n v="4404323"/>
    <s v="WWZQJQ"/>
    <s v="PreencherPnr-&gt;Não foi encontrado nenhum item veículo para o localizador WWZQJQ"/>
    <d v="2024-09-09T15:22:00"/>
    <d v="2024-09-10T14:37:00"/>
    <s v="OUTROS"/>
    <s v="TAG - ITEM VEÍCULO"/>
    <s v="TAGS DE DETALHAMENTO DO SERVIÇO NÃO ENVIADO NO XML"/>
    <x v="0"/>
    <s v="SUPORTE OBT"/>
    <n v="46"/>
  </r>
  <r>
    <n v="2926702"/>
    <s v="GOVER"/>
    <x v="128"/>
    <n v="4402198"/>
    <s v="h4402198"/>
    <s v="PreencherPnr-&gt;'long' does not contain a definition for 'toString2'"/>
    <d v="2024-09-10T09:34:00"/>
    <d v="2024-09-10T14:37:00"/>
    <s v="OUTROS"/>
    <s v="DADOS DO CARTÃO"/>
    <s v="TAG &lt;CARTAOVALIDADE&gt; NÃO ENVIADA"/>
    <x v="0"/>
    <s v="SUPORTE OBT"/>
    <s v="COLUNA I"/>
  </r>
  <r>
    <n v="2926708"/>
    <s v="GOVER"/>
    <x v="129"/>
    <n v="384375"/>
    <s v="175461272-15805"/>
    <s v="PreencherPnr-&gt;'long' does not contain a definition for 'toString2'"/>
    <d v="2024-09-10T09:38:00"/>
    <d v="2024-09-10T14:44:00"/>
    <s v="OUTROS"/>
    <s v="DADOS DO CARTÃO"/>
    <s v="TAG &lt;CARTAOVALIDADE&gt; NÃO ENVIADA"/>
    <x v="0"/>
    <s v="SUPORTE OBT"/>
    <s v="COLUNA I"/>
  </r>
  <r>
    <n v="2927653"/>
    <s v="GOVER"/>
    <x v="130"/>
    <n v="4399891"/>
    <s v="H4399891"/>
    <s v="PreencherPnr-&gt;'long' does not contain a definition for 'toString2'"/>
    <d v="2024-09-10T15:49:00"/>
    <d v="2024-10-02T09:45:00"/>
    <s v="OUTROS"/>
    <s v="DADOS DO CARTÃO"/>
    <s v="TAG &lt;CARTAOVALIDADE&gt; NÃO ENVIADA"/>
    <x v="0"/>
    <s v="SUPORTE OBT"/>
    <s v="COLUNA I"/>
  </r>
  <r>
    <n v="2929717"/>
    <s v="GOVER"/>
    <x v="131"/>
    <n v="4405567"/>
    <s v="ILDWFB"/>
    <s v="PreencherPnr-&gt;Não foi encontrado nenhum item veículo para o localizador ILDWFB"/>
    <d v="2024-09-11T08:46:00"/>
    <d v="2024-10-02T09:45:00"/>
    <s v="OUTROS"/>
    <s v="TAG - ITEM VEÍCULO"/>
    <s v="TAGS DE DETALHAMENTO DO SERVIÇO NÃO ENVIADO NO XML"/>
    <x v="0"/>
    <s v="SUPORTE OBT"/>
    <n v="46"/>
  </r>
  <r>
    <n v="2937689"/>
    <s v="GOVER"/>
    <x v="132"/>
    <n v="384683"/>
    <s v="175591146-90021"/>
    <s v="PreencherPnr-&gt;'long' does not contain a definition for 'toString2'"/>
    <d v="2024-09-13T18:24:00"/>
    <d v="2024-09-17T15:50:00"/>
    <s v="OUTROS"/>
    <s v="DADOS DO CARTÃO"/>
    <s v="TAG &lt;CARTAOVALIDADE&gt; NÃO ENVIADA"/>
    <x v="0"/>
    <s v="SUPORTE OBT"/>
    <s v="COLUNA I"/>
  </r>
  <r>
    <n v="2939407"/>
    <s v="GOVER"/>
    <x v="133"/>
    <n v="4408103"/>
    <s v="NDVVPL"/>
    <s v="PreencherPnr-&gt;Não foi encontrado nenhum item veículo para o localizador NDVVPL"/>
    <d v="2024-09-16T11:44:00"/>
    <d v="2024-10-02T09:45:00"/>
    <s v="OUTROS"/>
    <s v="TAG - ITEM VEÍCULO"/>
    <s v="TAGS DE DETALHAMENTO DO SERVIÇO NÃO ENVIADO NO XML"/>
    <x v="0"/>
    <s v="SUPORTE OBT"/>
    <n v="46"/>
  </r>
  <r>
    <n v="2939653"/>
    <s v="GOVER"/>
    <x v="134"/>
    <n v="4407869"/>
    <s v="H4407869"/>
    <s v="PreencherPnr-&gt;'long' does not contain a definition for 'toString2'"/>
    <d v="2024-09-16T12:14:00"/>
    <d v="2024-10-02T09:45:00"/>
    <s v="OUTROS"/>
    <s v="DADOS DO CARTÃO"/>
    <s v="TAG &lt;CARTAOVALIDADE&gt; NÃO ENVIADA"/>
    <x v="0"/>
    <s v="SUPORTE OBT"/>
    <s v="COLUNA I"/>
  </r>
  <r>
    <n v="2942981"/>
    <s v="GOVER"/>
    <x v="135"/>
    <n v="4408983"/>
    <s v="KTESTE3"/>
    <s v="PreencherPnr-&gt;Não foi encontrado nenhum item veículo para o localizador KTESTE3"/>
    <d v="2024-09-17T12:25:00"/>
    <d v="2024-10-02T09:45:00"/>
    <s v="OUTROS"/>
    <s v="TAG - ITEM VEÍCULO"/>
    <s v="TAGS DE DETALHAMENTO DO SERVIÇO NÃO ENVIADO NO XML"/>
    <x v="0"/>
    <s v="SUPORTE OBT"/>
    <n v="46"/>
  </r>
  <r>
    <n v="2947315"/>
    <s v="TMS"/>
    <x v="136"/>
    <n v="33760"/>
    <n v="33760"/>
    <s v="Preenchendo XML Serviço-&gt; Preenchendo XML-&gt; Montando accounting aereo 15-&gt;Input string was not in a correct format."/>
    <d v="2024-09-18T18:38:00"/>
    <d v="2024-09-20T13:19:00"/>
    <s v="OUTROS"/>
    <s v="FORMATO DE TEXTO"/>
    <s v="TEXTO FORA DO PADRÃO ACEITO NO CAMPO"/>
    <x v="2"/>
    <s v="SUPORTE OBT"/>
    <s v="COLUNA I"/>
  </r>
  <r>
    <n v="2954718"/>
    <s v="GOVER"/>
    <x v="137"/>
    <n v="4411773"/>
    <s v="IFHMQZ"/>
    <s v="PreencherPnr-&gt;Não foi encontrado nenhum item veículo para o localizador IFHMQZ"/>
    <d v="2024-09-23T11:04:00"/>
    <d v="2024-10-02T09:45:00"/>
    <s v="OUTROS"/>
    <s v="TAG - ITEM VEÍCULO"/>
    <s v="TAGS DE DETALHAMENTO DO SERVIÇO NÃO ENVIADO NO XML"/>
    <x v="3"/>
    <s v="SUPORTE OBT"/>
    <n v="46"/>
  </r>
  <r>
    <n v="2958286"/>
    <s v="GOVER"/>
    <x v="138"/>
    <n v="4412872"/>
    <s v="NAVEHM"/>
    <s v="PreencherPnr-&gt;Não foi encontrado nenhum item veículo para o localizador NAVEHM"/>
    <d v="2024-09-24T13:44:00"/>
    <d v="2024-10-02T09:45:00"/>
    <s v="OUTROS"/>
    <s v="TAG - ITEM VEÍCULO"/>
    <s v="TAGS DE DETALHAMENTO DO SERVIÇO NÃO ENVIADO NO XML"/>
    <x v="0"/>
    <s v="SUPORTE OBT"/>
    <n v="46"/>
  </r>
  <r>
    <n v="2967547"/>
    <s v="GOVER"/>
    <x v="139"/>
    <n v="4411855"/>
    <s v="COTACAO"/>
    <s v="PreencherPnr-&gt;Não foi encontrado nenhum item veículo para o localizador COTACAO"/>
    <d v="2024-09-27T14:44:00"/>
    <m/>
    <s v="OUTROS"/>
    <s v="TAG - ITEM VEÍCULO"/>
    <s v="TAGS DE DETALHAMENTO DO SERVIÇO NÃO ENVIADO NO XML"/>
    <x v="0"/>
    <s v="SUPORTE OBT"/>
    <n v="46"/>
  </r>
  <r>
    <n v="2969137"/>
    <s v="GOVER"/>
    <x v="140"/>
    <n v="4415452"/>
    <s v="DHJLZK"/>
    <s v="PreencherPnr-&gt;Não foi encontrado nenhum item veículo para o localizador DHJLZK"/>
    <d v="2024-09-27T20:34:00"/>
    <d v="2024-10-02T09:45:00"/>
    <s v="OUTROS"/>
    <s v="TAG - ITEM VEÍCULO"/>
    <s v="TAGS DE DETALHAMENTO DO SERVIÇO NÃO ENVIADO NO XML"/>
    <x v="0"/>
    <s v="SUPORTE OBT"/>
    <n v="46"/>
  </r>
  <r>
    <n v="2970042"/>
    <s v="GOVER"/>
    <x v="141"/>
    <n v="4415559"/>
    <s v="FKDCUC"/>
    <s v="PreencherPnr-&gt;Não foi encontrado nenhum item veículo para o localizador FKDCUC"/>
    <d v="2024-09-30T08:34:00"/>
    <d v="2024-10-02T09:45:00"/>
    <s v="OUTROS"/>
    <s v="TAG - ITEM VEÍCULO"/>
    <s v="TAGS DE DETALHAMENTO DO SERVIÇO NÃO ENVIADO NO XML"/>
    <x v="0"/>
    <s v="SUPORTE OBT"/>
    <n v="46"/>
  </r>
  <r>
    <n v="2970341"/>
    <s v="GOVER"/>
    <x v="142"/>
    <n v="4415740"/>
    <s v="GNXWHH"/>
    <s v="PreencherPnr-&gt;Não foi encontrado nenhum item veículo para o localizador GNXWHH"/>
    <d v="2024-09-30T10:34:00"/>
    <d v="2024-10-02T09:45:00"/>
    <s v="OUTROS"/>
    <s v="TAG - ITEM VEÍCULO"/>
    <s v="TAGS DE DETALHAMENTO DO SERVIÇO NÃO ENVIADO NO XML"/>
    <x v="0"/>
    <s v="SUPORTE OBT"/>
    <n v="46"/>
  </r>
  <r>
    <n v="2970651"/>
    <s v="GOVER"/>
    <x v="143"/>
    <n v="385252"/>
    <s v="175876429-04601"/>
    <s v="PreencherPnr-&gt;'long' does not contain a definition for 'toString2'"/>
    <d v="2024-09-30T11:32:00"/>
    <d v="2024-09-30T16:52:00"/>
    <s v="OUTROS"/>
    <s v="DADOS DO CARTÃO"/>
    <s v="TAG &lt;CARTAOVALIDADE&gt; NÃO ENVIADA"/>
    <x v="0"/>
    <s v="SUPORTE OBT"/>
    <s v="COLUNA I"/>
  </r>
  <r>
    <n v="2971256"/>
    <s v="GOVER"/>
    <x v="144"/>
    <n v="4416311"/>
    <s v="FJMENM"/>
    <s v="PreencherPnr-&gt;PreencherAccountingCustom-&gt; Erro: PreencherAccounting-&gt; Erro: Centro de custo não informado!"/>
    <d v="2024-09-30T15:55:00"/>
    <d v="2024-10-02T09:45:00"/>
    <s v="OUTROS"/>
    <s v="CENTRO DE CUSTO"/>
    <s v="CENTRO DE CUSTO NÃO INFORMADO NA RESERVA"/>
    <x v="1"/>
    <s v="SUPORTE OBT"/>
    <s v="COLUNA I"/>
  </r>
  <r>
    <n v="2971359"/>
    <s v="GOVER"/>
    <x v="145"/>
    <n v="4416347"/>
    <s v="FJMENM"/>
    <s v="PreencherPnr-&gt;PreencherAccountingCustom-&gt; Erro: PreencherAccounting-&gt; Erro: Centro de custo não informado!"/>
    <d v="2024-09-30T16:06:00"/>
    <d v="2024-10-02T09:45:00"/>
    <s v="OUTROS"/>
    <s v="CENTRO DE CUSTO"/>
    <s v="CENTRO DE CUSTO NÃO INFORMADO NA RESERVA"/>
    <x v="1"/>
    <s v="SUPORTE OBT"/>
    <s v="COLUNA I"/>
  </r>
  <r>
    <n v="2971394"/>
    <s v="GOVER"/>
    <x v="146"/>
    <n v="4416374"/>
    <s v="ARJRKY"/>
    <s v="PreencherPnr-&gt;Não foi encontrado nenhum item veículo para o localizador ARJRKY"/>
    <d v="2024-09-30T16:15:00"/>
    <d v="2024-10-02T09:45:00"/>
    <s v="OUTROS"/>
    <s v="TAG - ITEM VEÍCULO"/>
    <s v="TAGS DE DETALHAMENTO DO SERVIÇO NÃO ENVIADO NO XML"/>
    <x v="3"/>
    <s v="SUPORTE OBT"/>
    <n v="46"/>
  </r>
  <r>
    <n v="2973909"/>
    <s v="TMS"/>
    <x v="147"/>
    <n v="35203"/>
    <n v="35203"/>
    <s v="Preenchendo XML Serviço-&gt; Preenchendo XML-&gt; Montando accounting aereo 15-&gt;Input string was not in a correct format."/>
    <d v="2024-10-01T10:54:00"/>
    <d v="2024-10-02T05:04:00"/>
    <s v="OUTROS"/>
    <s v="FORMATO DE TEXTO"/>
    <s v="TEXTO FORA DO PADRÃO ACEITO NO CAMPO"/>
    <x v="2"/>
    <s v="SUPORTE OBT"/>
    <s v="COLUNA I"/>
  </r>
  <r>
    <n v="2975673"/>
    <s v="TMS"/>
    <x v="148"/>
    <n v="375"/>
    <n v="375"/>
    <s v="Verificando Anexos - Could not convert variant of type (Null) into type (OleStr)"/>
    <d v="2024-10-01T18:16:00"/>
    <d v="2024-10-02T05:04:00"/>
    <s v="OUTROS"/>
    <s v="FORMATO DE TEXTO"/>
    <s v="TEXTO FORA DO PADRÃO ACEITO NO CAMPO"/>
    <x v="2"/>
    <s v="SUPORTE OBT"/>
    <s v="COLUNA I"/>
  </r>
  <r>
    <n v="2976614"/>
    <s v="TMS"/>
    <x v="149"/>
    <n v="35254"/>
    <n v="35254"/>
    <s v="Preenchendo XML Serviço-&gt; Preenchendo XML-&gt; Montando accounting aereo 15-&gt;Input string was not in a correct format."/>
    <d v="2024-10-01T23:00:00"/>
    <d v="2024-10-02T05:03:00"/>
    <s v="OUTROS"/>
    <s v="FORMATO DE TEXTO"/>
    <s v="TEXTO FORA DO PADRÃO ACEITO NO CAMPO"/>
    <x v="2"/>
    <s v="SUPORTE OBT"/>
    <s v="COLUNA I"/>
  </r>
  <r>
    <n v="2976615"/>
    <s v="TMS"/>
    <x v="150"/>
    <n v="35250"/>
    <n v="35250"/>
    <s v="Preenchendo XML Serviço-&gt; Preenchendo XML-&gt; Montando accounting aereo 15-&gt;Input string was not in a correct format."/>
    <d v="2024-10-01T23:00:00"/>
    <d v="2024-10-02T05:04:00"/>
    <s v="OUTROS"/>
    <s v="FORMATO DE TEXTO"/>
    <s v="TEXTO FORA DO PADRÃO ACEITO NO CAMPO"/>
    <x v="2"/>
    <s v="SUPORTE OBT"/>
    <s v="COLUNA I"/>
  </r>
  <r>
    <n v="2978675"/>
    <s v="TMS"/>
    <x v="151"/>
    <n v="35252"/>
    <n v="35252"/>
    <s v="Preenchendo XML Serviço-&gt; Preenchendo XML-&gt; Montando accounting aereo 15-&gt;Input string was not in a correct format."/>
    <d v="2024-10-02T17:29:00"/>
    <d v="2024-10-05T18:11:00"/>
    <s v="OUTROS"/>
    <s v="FORMATO DE TEXTO"/>
    <s v="TEXTO FORA DO PADRÃO ACEITO NO CAMPO"/>
    <x v="2"/>
    <s v="SUPORTE OBT"/>
    <s v="COLUNA I"/>
  </r>
  <r>
    <n v="2980421"/>
    <s v="GOVER"/>
    <x v="152"/>
    <n v="385296"/>
    <s v="175885546-57751"/>
    <s v="PreencherPnr-&gt;'long' does not contain a definition for 'toString2'"/>
    <d v="2024-10-03T10:02:00"/>
    <d v="2024-10-24T09:41:00"/>
    <s v="OUTROS"/>
    <s v="DADOS DO CARTÃO"/>
    <s v="TAG &lt;CARTAOVALIDADE&gt; NÃO ENVIADA"/>
    <x v="0"/>
    <s v="SUPORTE OBT"/>
    <s v="COLUNA I"/>
  </r>
  <r>
    <n v="2984284"/>
    <s v="GOVER"/>
    <x v="153"/>
    <n v="4419875"/>
    <s v="JASIGN"/>
    <s v="PreencherPnr-&gt;Não foi encontrado nenhum item veículo para o localizador JASIGN"/>
    <d v="2024-10-04T14:25:00"/>
    <d v="2024-10-24T09:43:00"/>
    <s v="OUTROS"/>
    <s v="TAG - ITEM VEÍCULO"/>
    <s v="TAGS DE DETALHAMENTO DO SERVIÇO NÃO ENVIADO NO XML"/>
    <x v="0"/>
    <s v="SUPORTE OBT"/>
    <n v="46"/>
  </r>
  <r>
    <n v="2984465"/>
    <s v="GOVER"/>
    <x v="154"/>
    <n v="4419968"/>
    <s v="ANKDKT"/>
    <s v="PreencherPnr-&gt;Não foi encontrado nenhum item veículo para o localizador ANKDKT"/>
    <d v="2024-10-04T15:35:00"/>
    <d v="2024-10-24T09:43:00"/>
    <s v="OUTROS"/>
    <s v="TAG - ITEM VEÍCULO"/>
    <s v="TAGS DE DETALHAMENTO DO SERVIÇO NÃO ENVIADO NO XML"/>
    <x v="0"/>
    <s v="SUPORTE OBT"/>
    <n v="46"/>
  </r>
  <r>
    <n v="2992269"/>
    <s v="GOVER"/>
    <x v="155"/>
    <n v="4421909"/>
    <s v="MSHCHI"/>
    <s v="PreencherPnr-&gt;Não foi encontrado nenhum item veículo para o localizador MSHCHI"/>
    <d v="2024-10-08T18:25:00"/>
    <d v="2024-10-24T09:43:00"/>
    <s v="OUTROS"/>
    <s v="TAG - ITEM VEÍCULO"/>
    <s v="TAGS DE DETALHAMENTO DO SERVIÇO NÃO ENVIADO NO XML"/>
    <x v="0"/>
    <s v="SUPORTE OBT"/>
    <n v="46"/>
  </r>
  <r>
    <n v="2999597"/>
    <s v="GOVER"/>
    <x v="156"/>
    <n v="4424089"/>
    <s v="GQVEJL"/>
    <s v="PreencherPnr-&gt;Não foi encontrado nenhum item veículo para o localizador GQVEJL"/>
    <d v="2024-10-11T08:34:00"/>
    <d v="2024-10-24T09:43:00"/>
    <s v="OUTROS"/>
    <s v="TAG - ITEM VEÍCULO"/>
    <s v="TAGS DE DETALHAMENTO DO SERVIÇO NÃO ENVIADO NO XML"/>
    <x v="0"/>
    <s v="SUPORTE OBT"/>
    <n v="46"/>
  </r>
  <r>
    <n v="3010019"/>
    <s v="TMS"/>
    <x v="157"/>
    <n v="5732"/>
    <n v="5732"/>
    <s v="Verificando Anexos - Could not convert variant of type (Null) into type (OleStr)"/>
    <d v="2024-10-16T12:59:00"/>
    <m/>
    <s v="OUTROS"/>
    <s v="FORMATO DE TEXTO"/>
    <s v="TEXTO FORA DO PADRÃO ACEITO NO CAMPO"/>
    <x v="2"/>
    <s v="SUPORTE OBT"/>
    <s v="COLUNA I"/>
  </r>
  <r>
    <n v="3013542"/>
    <s v="GOVER"/>
    <x v="158"/>
    <n v="4428062"/>
    <s v="MEKYDJ"/>
    <s v="PreencherPnr-&gt;Não foi encontrado nenhum item hotel para o localizador MEKYDJ"/>
    <d v="2024-10-17T14:56:00"/>
    <d v="2024-10-24T09:43:00"/>
    <s v="OUTROS"/>
    <s v="TAG - ITEM HOTEL"/>
    <s v=""/>
    <x v="0"/>
    <s v="SUPORTE OBT"/>
    <s v="COLUNA I"/>
  </r>
  <r>
    <n v="3013584"/>
    <s v="GOVER"/>
    <x v="159"/>
    <n v="4428129"/>
    <s v="GNDNMS"/>
    <s v="PreencherPnr-&gt;Não foi encontrado nenhum item veículo para o localizador GNDNMS"/>
    <d v="2024-10-17T15:40:00"/>
    <d v="2024-10-24T09:43:00"/>
    <s v="OUTROS"/>
    <s v="TAG - ITEM VEÍCULO"/>
    <s v="TAGS DE DETALHAMENTO DO SERVIÇO NÃO ENVIADO NO XML"/>
    <x v="3"/>
    <s v="SUPORTE OBT"/>
    <n v="46"/>
  </r>
  <r>
    <n v="3014351"/>
    <s v="GOVER"/>
    <x v="160"/>
    <n v="4398274"/>
    <s v="h4398274"/>
    <s v="PreencherPnr-&gt;'long' does not contain a definition for 'toString2'"/>
    <d v="2024-10-17T17:47:00"/>
    <d v="2024-10-24T09:43:00"/>
    <s v="OUTROS"/>
    <s v="DADOS DO CARTÃO"/>
    <s v="TAG &lt;CARTAOVALIDADE&gt; NÃO ENVIADA"/>
    <x v="0"/>
    <s v="SUPORTE OBT"/>
    <s v="COLUNA I"/>
  </r>
  <r>
    <n v="3021581"/>
    <s v="GOVER"/>
    <x v="161"/>
    <n v="4430470"/>
    <n v="16070738"/>
    <s v="PreencherPnr-&gt;'long' does not contain a definition for 'toString2'"/>
    <d v="2024-10-21T18:25:00"/>
    <m/>
    <s v="OUTROS"/>
    <s v="DADOS DO CARTÃO"/>
    <s v="TAG &lt;CARTAOVALIDADE&gt; NÃO ENVIADA"/>
    <x v="0"/>
    <s v="SUPORTE OBT"/>
    <s v="COLUNA I"/>
  </r>
  <r>
    <n v="3025132"/>
    <s v="GOVER"/>
    <x v="162"/>
    <n v="4432142"/>
    <s v="EJOWOS"/>
    <s v="PreencherPnr-&gt;Não foi encontrado nenhum item veículo para o localizador EJOWOS"/>
    <d v="2024-10-22T22:18:00"/>
    <d v="2024-10-24T09:43:00"/>
    <s v="OUTROS"/>
    <s v="TAG - ITEM VEÍCULO"/>
    <s v="TAGS DE DETALHAMENTO DO SERVIÇO NÃO ENVIADO NO XML"/>
    <x v="0"/>
    <s v="SUPORTE OBT"/>
    <n v="46"/>
  </r>
  <r>
    <n v="3025915"/>
    <s v="GOVER"/>
    <x v="163"/>
    <n v="4432585"/>
    <s v="OMPHYI"/>
    <s v="PreencherPnr-&gt;Não foi encontrado nenhum item veículo para o localizador OMPHYI"/>
    <d v="2024-10-23T11:44:00"/>
    <d v="2024-10-24T09:43:00"/>
    <s v="OUTROS"/>
    <s v="TAG - ITEM VEÍCULO"/>
    <s v="TAGS DE DETALHAMENTO DO SERVIÇO NÃO ENVIADO NO XML"/>
    <x v="0"/>
    <s v="SUPORTE OBT"/>
    <n v="46"/>
  </r>
  <r>
    <n v="3032027"/>
    <s v="GOVER"/>
    <x v="164"/>
    <n v="4434209"/>
    <s v="JEYUFO"/>
    <s v="PreencherPnr-&gt;Não foi encontrado nenhum item veículo para o localizador JEYUFO"/>
    <d v="2024-10-25T09:04:00"/>
    <d v="2024-11-13T08:33:00"/>
    <s v="OUTROS"/>
    <s v="TAG - ITEM VEÍCULO"/>
    <s v="TAGS DE DETALHAMENTO DO SERVIÇO NÃO ENVIADO NO XML"/>
    <x v="0"/>
    <s v="SUPORTE OBT"/>
    <n v="46"/>
  </r>
  <r>
    <n v="3033602"/>
    <s v="GOVER"/>
    <x v="165"/>
    <n v="4434814"/>
    <s v="CDRXNS"/>
    <s v="PreencherPnr-&gt;Não foi encontrado nenhum item veículo para o localizador CDRXNS"/>
    <d v="2024-10-25T16:47:00"/>
    <d v="2024-11-13T08:33:00"/>
    <s v="OUTROS"/>
    <s v="TAG - ITEM VEÍCULO"/>
    <s v="TAGS DE DETALHAMENTO DO SERVIÇO NÃO ENVIADO NO XML"/>
    <x v="0"/>
    <s v="SUPORTE OBT"/>
    <n v="46"/>
  </r>
  <r>
    <n v="3033628"/>
    <s v="GOVER"/>
    <x v="166"/>
    <n v="4434825"/>
    <s v="HHLKQH"/>
    <s v="PreencherPnr-&gt;Não foi encontrado nenhum item veículo para o localizador HHLKQH"/>
    <d v="2024-10-25T16:55:00"/>
    <d v="2024-11-13T08:33:00"/>
    <s v="OUTROS"/>
    <s v="TAG - ITEM VEÍCULO"/>
    <s v="TAGS DE DETALHAMENTO DO SERVIÇO NÃO ENVIADO NO XML"/>
    <x v="0"/>
    <s v="SUPORTE OBT"/>
    <n v="46"/>
  </r>
  <r>
    <n v="3036168"/>
    <s v="GOVER"/>
    <x v="167"/>
    <n v="4435416"/>
    <s v="UOJBIC"/>
    <s v="PreencherPnr-&gt;Não foi encontrado nenhum item veículo para o localizador UOJBIC"/>
    <d v="2024-10-28T11:05:00"/>
    <d v="2024-11-13T08:33:00"/>
    <s v="OUTROS"/>
    <s v="TAG - ITEM VEÍCULO"/>
    <s v="TAGS DE DETALHAMENTO DO SERVIÇO NÃO ENVIADO NO XML"/>
    <x v="0"/>
    <s v="SUPORTE OBT"/>
    <n v="46"/>
  </r>
  <r>
    <n v="3040077"/>
    <s v="LEMONTECH"/>
    <x v="168"/>
    <s v="15249749-51274121"/>
    <s v="MKUUTX-2"/>
    <s v="Inserindo PNR - Accountings - TurVendas - Não foi possível localizar o contrato do fornecedor J2"/>
    <d v="2024-10-29T14:02:00"/>
    <d v="2024-11-01T13:01:00"/>
    <s v="FORNECEDOR"/>
    <s v="CONTRATO FORNECEDOR"/>
    <s v="CONTRATO INATIVO OU DIVERGENTE"/>
    <x v="0"/>
    <s v="OPERAÇÕES / SUPORTE KCS"/>
    <n v="43"/>
  </r>
  <r>
    <n v="3047145"/>
    <s v="GOVER"/>
    <x v="169"/>
    <n v="4418817"/>
    <s v="FSOOKV"/>
    <s v="PreencherPnr-&gt;Não foi encontrado nenhum item veículo para o localizador FSOOKV"/>
    <d v="2024-10-31T15:05:00"/>
    <d v="2024-11-13T08:33:00"/>
    <s v="OUTROS"/>
    <s v="TAG - ITEM VEÍCULO"/>
    <s v="TAGS DE DETALHAMENTO DO SERVIÇO NÃO ENVIADO NO XML"/>
    <x v="0"/>
    <s v="SUPORTE OBT"/>
    <n v="46"/>
  </r>
  <r>
    <n v="3050973"/>
    <s v="GOVER"/>
    <x v="170"/>
    <n v="4439252"/>
    <s v="AEURWI"/>
    <s v="PreencherPnr-&gt;Não foi encontrado nenhum item hotel para o localizador AEURWI"/>
    <d v="2024-11-01T11:21:00"/>
    <d v="2024-11-13T08:33:00"/>
    <s v="OUTROS"/>
    <s v="TAG - ITEM HOTEL"/>
    <s v=""/>
    <x v="0"/>
    <s v="SUPORTE OBT"/>
    <s v="COLUNA I"/>
  </r>
  <r>
    <n v="3053925"/>
    <s v="GOVER"/>
    <x v="171"/>
    <n v="4439791"/>
    <n v="4439791"/>
    <s v="PreencherPnr-&gt;Foi identificado um localizador sem código."/>
    <d v="2024-11-03T14:23:00"/>
    <d v="2024-11-13T08:33:00"/>
    <s v="OUTROS"/>
    <s v="RLOC NÃO INFORMADO"/>
    <s v="RLOC NÃO PREENCHIDO NA RESERVA"/>
    <x v="1"/>
    <s v="SUPORTE OBT"/>
    <s v="COLUNA I"/>
  </r>
  <r>
    <n v="3058571"/>
    <s v="GOVER"/>
    <x v="172"/>
    <n v="4371594"/>
    <s v="GAIPCO"/>
    <s v="PreencherPnr-&gt;Não foi encontrado nenhum item veículo para o localizador GAIPCO"/>
    <d v="2024-11-05T16:46:00"/>
    <d v="2025-01-02T15:24:00"/>
    <s v="OUTROS"/>
    <s v="TAG - ITEM VEÍCULO"/>
    <s v="TAGS DE DETALHAMENTO DO SERVIÇO NÃO ENVIADO NO XML"/>
    <x v="3"/>
    <s v="SUPORTE OBT"/>
    <n v="46"/>
  </r>
  <r>
    <n v="3059339"/>
    <s v="GOVER"/>
    <x v="173"/>
    <n v="4440985"/>
    <n v="4440985"/>
    <s v="PreencherPnr-&gt;Foi identificado um localizador sem código."/>
    <d v="2024-11-05T18:14:00"/>
    <d v="2024-11-13T08:33:00"/>
    <s v="OUTROS"/>
    <s v="RLOC NÃO INFORMADO"/>
    <s v="RLOC NÃO PREENCHIDO NA RESERVA"/>
    <x v="1"/>
    <s v="SUPORTE OBT"/>
    <s v="COLUNA I"/>
  </r>
  <r>
    <n v="3064447"/>
    <s v="GOVER"/>
    <x v="174"/>
    <n v="4443382"/>
    <s v="LPMHGP"/>
    <s v="PreencherPnr-&gt;Não foi encontrado nenhum item hotel para o localizador LPMHGP"/>
    <d v="2024-11-07T15:25:00"/>
    <d v="2024-11-13T08:33:00"/>
    <s v="OUTROS"/>
    <s v="TAG - ITEM HOTEL"/>
    <s v=""/>
    <x v="0"/>
    <s v="SUPORTE OBT"/>
    <s v="COLUNA I"/>
  </r>
  <r>
    <n v="3067728"/>
    <s v="GOVER"/>
    <x v="175"/>
    <n v="4444441"/>
    <s v="FPUYSW"/>
    <s v="PreencherPnr-&gt;Não foi encontrado nenhum item veículo para o localizador FPUYSW"/>
    <d v="2024-11-08T15:14:00"/>
    <d v="2024-11-13T08:33:00"/>
    <s v="OUTROS"/>
    <s v="TAG - ITEM VEÍCULO"/>
    <s v="TAGS DE DETALHAMENTO DO SERVIÇO NÃO ENVIADO NO XML"/>
    <x v="3"/>
    <s v="SUPORTE OBT"/>
    <n v="46"/>
  </r>
  <r>
    <n v="3070837"/>
    <s v="GOVER"/>
    <x v="176"/>
    <n v="4445127"/>
    <s v="QTQZWP"/>
    <s v="PreencherPnr-&gt;Não foi encontrado nenhum item veículo para o localizador QTQZWP"/>
    <d v="2024-11-11T10:12:00"/>
    <d v="2024-11-13T08:33:00"/>
    <s v="OUTROS"/>
    <s v="TAG - ITEM VEÍCULO"/>
    <s v="TAGS DE DETALHAMENTO DO SERVIÇO NÃO ENVIADO NO XML"/>
    <x v="0"/>
    <s v="SUPORTE OBT"/>
    <n v="46"/>
  </r>
  <r>
    <n v="3084856"/>
    <s v="GOVER"/>
    <x v="177"/>
    <n v="4449231"/>
    <n v="4449231"/>
    <s v="PreencherPnr-&gt;Foi identificado um localizador sem código."/>
    <d v="2024-11-18T11:03:00"/>
    <d v="2025-01-02T15:24:00"/>
    <s v="OUTROS"/>
    <s v="RLOC NÃO INFORMADO"/>
    <s v="RLOC NÃO PREENCHIDO NA RESERVA"/>
    <x v="1"/>
    <s v="SUPORTE OBT"/>
    <s v="COLUNA I"/>
  </r>
  <r>
    <n v="3085664"/>
    <s v="TMS"/>
    <x v="178"/>
    <n v="15741"/>
    <n v="15741"/>
    <s v="Verificando Formas Pagto/Rec - (ExecSQL) - Ocorreu o erro 'The UPDATE statement conflicted with the FOREIGN KEY constraint &quot;FK_2929_90669&quot;. The conflict occurred in database &quot;Corporativo&quot;, table &quot;dbo.GN_PESSOAS&quot;, column 'HANDLE'."/>
    <m/>
    <m/>
    <m/>
    <s v="ERRO DE SQL"/>
    <s v="ERRO NA IMPORTAÇÃO/MODIFICAÇÃO DAS INFOMAÇÕES"/>
    <x v="0"/>
    <s v="SUPORTE BENNER"/>
    <s v="COLUNA I"/>
  </r>
  <r>
    <n v="3088679"/>
    <s v="GOVER"/>
    <x v="179"/>
    <n v="4450530"/>
    <n v="16440115"/>
    <s v="PreencherPnr-&gt;'long' does not contain a definition for 'toString2'"/>
    <d v="2024-11-19T15:14:00"/>
    <m/>
    <s v="OUTROS"/>
    <s v="DADOS DO CARTÃO"/>
    <s v="TAG &lt;CARTAOVALIDADE&gt; NÃO ENVIADA"/>
    <x v="0"/>
    <s v="SUPORTE OBT"/>
    <s v="COLUNA I"/>
  </r>
  <r>
    <n v="3099707"/>
    <s v="GOVER"/>
    <x v="180"/>
    <n v="4452497"/>
    <s v="NPPTYC"/>
    <s v="PreencherPnr-&gt;Não foi encontrado nenhum item veículo para o localizador NPPTYC"/>
    <d v="2024-11-25T16:04:00"/>
    <d v="2025-01-02T15:24:00"/>
    <s v="OUTROS"/>
    <s v="TAG - ITEM VEÍCULO"/>
    <s v="TAGS DE DETALHAMENTO DO SERVIÇO NÃO ENVIADO NO XML"/>
    <x v="0"/>
    <s v="SUPORTE OBT"/>
    <n v="46"/>
  </r>
  <r>
    <n v="3103745"/>
    <s v="TMS"/>
    <x v="181"/>
    <n v="15998"/>
    <n v="15998"/>
    <s v="Verificando Formas Pagto/Rec - (ExecSQL) - Ocorreu o erro 'The UPDATE statement conflicted with the FOREIGN KEY constraint &quot;FK_2929_90669&quot;. The conflict occurred in database &quot;Corporativo&quot;, table &quot;dbo.GN_PESSOAS&quot;, column 'HANDLE'."/>
    <m/>
    <m/>
    <m/>
    <s v="ERRO DE SQL"/>
    <s v="ERRO NA IMPORTAÇÃO/MODIFICAÇÃO DAS INFOMAÇÕES"/>
    <x v="0"/>
    <s v="SUPORTE BENNER"/>
    <s v="COLUNA I"/>
  </r>
  <r>
    <n v="3104986"/>
    <s v="GOVER"/>
    <x v="182"/>
    <n v="4420759"/>
    <s v="AHTSHM"/>
    <s v="PreencherPnr-&gt;AlterarAccountingCustom-&gt; Erro: AlterarAccounting-&gt; Erro: Forma pagamento Cartão Convênio-&gt; Não foi possível determinar a validade do cartão, favor verificar os dados do cartão &lt;ItemAereoRAVDTO&gt;."/>
    <d v="2024-11-27T11:50:00"/>
    <d v="2025-01-02T15:24:00"/>
    <s v="FORMA PAGAMENTO/RECEB"/>
    <s v="DADOS DO CARTÃO"/>
    <s v="TAG &lt;CARTAOVALIDADE&gt; NÃO ENVIADA"/>
    <x v="0"/>
    <s v="SUPORTE OBT"/>
    <n v="107"/>
  </r>
  <r>
    <n v="3105135"/>
    <s v="GOVER"/>
    <x v="183"/>
    <n v="4454970"/>
    <s v="IILHRF"/>
    <s v="PreencherPnr-&gt;Não foi encontrado nenhum item veículo para o localizador IILHRF"/>
    <d v="2024-11-27T11:54:00"/>
    <d v="2025-01-02T15:24:00"/>
    <s v="OUTROS"/>
    <s v="TAG - ITEM VEÍCULO"/>
    <s v="TAGS DE DETALHAMENTO DO SERVIÇO NÃO ENVIADO NO XML"/>
    <x v="0"/>
    <s v="SUPORTE OBT"/>
    <n v="46"/>
  </r>
  <r>
    <n v="3110579"/>
    <s v="GOVER"/>
    <x v="184"/>
    <n v="4455640"/>
    <s v="IPZQLE"/>
    <s v="PreencherPnr-&gt;Não foi encontrado nenhum item veículo para o localizador IPZQLE"/>
    <d v="2024-11-29T11:05:00"/>
    <d v="2025-01-02T15:24:00"/>
    <s v="OUTROS"/>
    <s v="TAG - ITEM VEÍCULO"/>
    <s v="TAGS DE DETALHAMENTO DO SERVIÇO NÃO ENVIADO NO XML"/>
    <x v="0"/>
    <s v="SUPORTE OBT"/>
    <n v="46"/>
  </r>
  <r>
    <n v="3118425"/>
    <s v="GOVER"/>
    <x v="185"/>
    <n v="4457740"/>
    <s v="JXZGRF"/>
    <s v="PreencherPnr-&gt;Não foi encontrado nenhum item veículo para o localizador JXZGRF"/>
    <d v="2024-12-03T12:54:00"/>
    <d v="2025-01-02T15:24:00"/>
    <s v="OUTROS"/>
    <s v="TAG - ITEM VEÍCULO"/>
    <s v="TAGS DE DETALHAMENTO DO SERVIÇO NÃO ENVIADO NO XML"/>
    <x v="0"/>
    <s v="SUPORTE OBT"/>
    <n v="46"/>
  </r>
  <r>
    <n v="3119226"/>
    <s v="LEMONTECH"/>
    <x v="186"/>
    <s v="15461643-22100850"/>
    <s v="FFIFJB"/>
    <s v="Inserindo Trecho - Parâmetro Fornecedor - TurVendas - Não foi possível localizar o contrato do fornecedor BG"/>
    <d v="2024-12-03T16:00:00"/>
    <d v="2024-12-09T11:26:00"/>
    <s v="FORNECEDOR"/>
    <s v="CONTRATO FORNECEDOR"/>
    <s v="CONTRATO INATIVO OU DIVERGENTE"/>
    <x v="0"/>
    <s v="OPERAÇÕES / SUPORTE KCS"/>
    <n v="55"/>
  </r>
  <r>
    <n v="3119228"/>
    <s v="LEMONTECH"/>
    <x v="187"/>
    <s v="15461803-22100918"/>
    <s v="OYFZXC"/>
    <s v="Inserindo Trecho - Parâmetro Fornecedor - TurVendas - Não foi possível localizar o contrato do fornecedor BG"/>
    <d v="2024-12-03T16:00:00"/>
    <d v="2024-12-09T11:26:00"/>
    <s v="FORNECEDOR"/>
    <s v="CONTRATO FORNECEDOR"/>
    <s v="CONTRATO INATIVO OU DIVERGENTE"/>
    <x v="0"/>
    <s v="OPERAÇÕES / SUPORTE KCS"/>
    <n v="55"/>
  </r>
  <r>
    <n v="3121924"/>
    <s v="GOVER"/>
    <x v="188"/>
    <n v="4458747"/>
    <s v="KBHJXL"/>
    <s v="PreencherPnr-&gt;Não foi encontrado nenhum item veículo para o localizador KBHJXL"/>
    <d v="2024-12-04T18:45:00"/>
    <d v="2025-01-02T15:24:00"/>
    <s v="OUTROS"/>
    <s v="TAG - ITEM VEÍCULO"/>
    <s v="TAGS DE DETALHAMENTO DO SERVIÇO NÃO ENVIADO NO XML"/>
    <x v="0"/>
    <s v="SUPORTE OBT"/>
    <n v="46"/>
  </r>
  <r>
    <n v="3124783"/>
    <s v="GOVER"/>
    <x v="189"/>
    <n v="4458982"/>
    <s v="OSKLEW"/>
    <s v="PreencherPnr-&gt;'long' does not contain a definition for 'toString2'"/>
    <d v="2024-12-05T22:27:00"/>
    <d v="2025-01-02T15:24:00"/>
    <s v="OUTROS"/>
    <s v="DADOS DO CARTÃO"/>
    <s v="TAG &lt;CARTAOVALIDADE&gt; NÃO ENVIADA"/>
    <x v="0"/>
    <s v="SUPORTE OBT"/>
    <s v="COLUNA I"/>
  </r>
  <r>
    <n v="3126772"/>
    <s v="GOVER"/>
    <x v="190"/>
    <n v="4459951"/>
    <s v="CJWVDB"/>
    <s v="PreencherPnr-&gt;Não foi encontrado nenhum item veículo para o localizador CJWVDB"/>
    <d v="2024-12-06T18:28:00"/>
    <d v="2025-01-02T15:24:00"/>
    <s v="OUTROS"/>
    <s v="TAG - ITEM VEÍCULO"/>
    <s v="TAGS DE DETALHAMENTO DO SERVIÇO NÃO ENVIADO NO XML"/>
    <x v="0"/>
    <s v="SUPORTE OBT"/>
    <n v="46"/>
  </r>
  <r>
    <n v="3129168"/>
    <s v="GOVER"/>
    <x v="191"/>
    <n v="4460559"/>
    <s v="YICZYO"/>
    <s v="PreencherPnr-&gt;Não foi encontrado nenhum item veículo para o localizador YICZYO"/>
    <d v="2024-12-09T17:24:00"/>
    <d v="2025-01-02T15:24:00"/>
    <s v="OUTROS"/>
    <s v="TAG - ITEM VEÍCULO"/>
    <s v="TAGS DE DETALHAMENTO DO SERVIÇO NÃO ENVIADO NO XML"/>
    <x v="0"/>
    <s v="SUPORTE OBT"/>
    <n v="46"/>
  </r>
  <r>
    <n v="3130928"/>
    <s v="GOVER"/>
    <x v="192"/>
    <n v="4460863"/>
    <s v="GDSSO536WA"/>
    <s v="PreencherPnr-&gt;Não foi encontrado nenhum item veículo para o localizador GDSSO536WA"/>
    <d v="2024-12-10T15:25:00"/>
    <d v="2025-01-02T15:24:00"/>
    <s v="OUTROS"/>
    <s v="TAG - ITEM VEÍCULO"/>
    <s v="TAGS DE DETALHAMENTO DO SERVIÇO NÃO ENVIADO NO XML"/>
    <x v="0"/>
    <s v="SUPORTE OBT"/>
    <n v="46"/>
  </r>
  <r>
    <n v="3137255"/>
    <s v="TMS"/>
    <x v="193"/>
    <n v="231"/>
    <n v="231"/>
    <s v="Preenchendo XML Serviço-&gt; Preenchendo XML-&gt; Montando accounting aereo 15-&gt;Input string was not in a correct format."/>
    <d v="2024-12-13T11:06:00"/>
    <d v="2024-12-17T00:10:00"/>
    <s v="OUTROS"/>
    <s v="FORMATO DE TEXTO"/>
    <s v="TEXTO FORA DO PADRÃO ACEITO NO CAMPO"/>
    <x v="2"/>
    <s v="SUPORTE OBT"/>
    <s v="COLUNA I"/>
  </r>
  <r>
    <n v="3137256"/>
    <s v="TMS"/>
    <x v="194"/>
    <n v="230"/>
    <n v="230"/>
    <s v="Preenchendo XML Serviço-&gt; Preenchendo XML-&gt; Montando accounting aereo 15-&gt;Input string was not in a correct format."/>
    <d v="2024-12-13T11:06:00"/>
    <d v="2024-12-17T00:10:00"/>
    <s v="OUTROS"/>
    <s v="FORMATO DE TEXTO"/>
    <s v="TEXTO FORA DO PADRÃO ACEITO NO CAMPO"/>
    <x v="2"/>
    <s v="SUPORTE OBT"/>
    <s v="COLUNA I"/>
  </r>
  <r>
    <n v="3138261"/>
    <s v="TMS"/>
    <x v="195"/>
    <n v="260"/>
    <n v="260"/>
    <s v="Preenchendo XML Serviço-&gt; Preenchendo XML-&gt; Montando accounting aereo 15-&gt;Input string was not in a correct format."/>
    <d v="2024-12-13T17:35:00"/>
    <d v="2024-12-17T00:09:00"/>
    <s v="OUTROS"/>
    <s v="FORMATO DE TEXTO"/>
    <s v="TEXTO FORA DO PADRÃO ACEITO NO CAMPO"/>
    <x v="2"/>
    <s v="SUPORTE OBT"/>
    <s v="COLUNA I"/>
  </r>
  <r>
    <n v="3141483"/>
    <s v="GOVER"/>
    <x v="196"/>
    <n v="4463691"/>
    <s v="MV1MG3BRW9BR"/>
    <s v="PreencherPnr-&gt;Não foi encontrado nenhum item veículo para o localizador MV1MG3BRW9BR"/>
    <d v="2024-12-17T11:55:00"/>
    <d v="2025-01-02T15:24:00"/>
    <s v="OUTROS"/>
    <s v="TAG - ITEM VEÍCULO"/>
    <s v="TAGS DE DETALHAMENTO DO SERVIÇO NÃO ENVIADO NO XML"/>
    <x v="3"/>
    <s v="SUPORTE OBT"/>
    <n v="46"/>
  </r>
  <r>
    <n v="3156891"/>
    <s v="TMS"/>
    <x v="197"/>
    <n v="521"/>
    <n v="521"/>
    <s v="Verificando Anexos - Could not convert variant of type (Null) into type (OleStr)"/>
    <d v="2024-12-31T16:48:00"/>
    <d v="2025-01-02T11:23:00"/>
    <s v="OUTROS"/>
    <s v="FORMATO DE TEXTO"/>
    <s v="TEXTO FORA DO PADRÃO ACEITO NO CAMPO"/>
    <x v="2"/>
    <s v="SUPORTE OBT"/>
    <s v="COLUNA I"/>
  </r>
  <r>
    <n v="3159209"/>
    <s v="SABRE"/>
    <x v="198"/>
    <s v="MAIKUS"/>
    <s v="MAIKUS"/>
    <s v="Inserindo Accounting - (ExecSQL) - Could not convert variant of type (Null) into type (OleStr)"/>
    <d v="2025-01-02T15:33:00"/>
    <d v="2025-02-20T20:25:00"/>
    <s v="OUTROS"/>
    <s v="ERRO NO XML"/>
    <s v=""/>
    <x v="0"/>
    <s v="SUPORTE OBT"/>
    <s v="COLUNA I"/>
  </r>
  <r>
    <n v="3159212"/>
    <s v="SABRE"/>
    <x v="199"/>
    <s v="EHTKVM"/>
    <s v="EHTKVM"/>
    <s v="Não localizado cliente com CNPJ [3334170000109].&lt;-ObterCliente&lt;-MontarPnrBase&lt;-ProcessarAereo&lt;-ProcessarItemFila[b]"/>
    <d v="2025-01-02T15:34:00"/>
    <m/>
    <s v="CLIENTE"/>
    <s v="REMARK - CNPJ"/>
    <s v=""/>
    <x v="3"/>
    <s v="OPERAÇÕES / SUPORTE KCS"/>
    <n v="24"/>
  </r>
  <r>
    <n v="3159244"/>
    <s v="SABRE"/>
    <x v="199"/>
    <s v="LSXAFH"/>
    <s v="LSXAFH"/>
    <s v="Não localizado cliente código [0000583831].&lt;-ObterCliente&lt;-MontarPnrBase&lt;-ProcessarAereo&lt;-ProcessarItemFila[b]"/>
    <d v="2025-01-02T15:35:00"/>
    <m/>
    <s v="CLIENTE"/>
    <s v="CÓD. CLIENTE DIVERGENTE"/>
    <s v="CÓDIGO DIFERENTE DO CADASTRADO NO BENNER (CLIENTE X GRUPO)"/>
    <x v="1"/>
    <s v="SUPORTE OBT"/>
    <n v="1"/>
  </r>
  <r>
    <n v="3159813"/>
    <s v="SABRE"/>
    <x v="200"/>
    <s v="MBNRUR"/>
    <s v="MBNRUR"/>
    <s v="Não localizado cliente com CNPJ [820120000135].&lt;-ObterCliente&lt;-MontarPnrBase&lt;-ProcessarAereo&lt;-ProcessarItemFila[b]"/>
    <d v="2025-01-02T18:05:00"/>
    <m/>
    <s v="CLIENTE"/>
    <s v="REMARK - CNPJ"/>
    <s v=""/>
    <x v="1"/>
    <s v="OPERAÇÕES / SUPORTE KCS"/>
    <n v="24"/>
  </r>
  <r>
    <n v="3160929"/>
    <s v="SABRE"/>
    <x v="201"/>
    <s v="LIJMMNT"/>
    <s v="LIJMMN"/>
    <s v="Inserindo PNR - Accountings - TurVendas - Não foi possível localizar o contrato do fornecedor 49032"/>
    <d v="2025-01-03T11:34:00"/>
    <m/>
    <s v="FORNECEDOR"/>
    <s v="CONTRATO FORNECEDOR"/>
    <s v="CONTRATO INATIVO OU DIVERGENTE"/>
    <x v="0"/>
    <s v="OPERAÇÕES / SUPORTE KCS"/>
    <n v="43"/>
  </r>
  <r>
    <n v="3161782"/>
    <s v="GOVER"/>
    <x v="202"/>
    <n v="4467638"/>
    <s v="LOCALIZA"/>
    <s v="PreencherPnr-&gt;Não foi encontrado nenhum item veículo para o localizador LOCALIZA"/>
    <d v="2025-01-03T17:03:00"/>
    <d v="2025-01-08T16:45:00"/>
    <s v="OUTROS"/>
    <s v="TAG - ITEM VEÍCULO"/>
    <s v="TAGS DE DETALHAMENTO DO SERVIÇO NÃO ENVIADO NO XML"/>
    <x v="1"/>
    <s v="SUPORTE OBT"/>
    <n v="46"/>
  </r>
  <r>
    <n v="3162120"/>
    <s v="SABRE"/>
    <x v="203"/>
    <s v="UHTJGE"/>
    <s v="UHTJGE"/>
    <s v="Código de cliente não identificado&lt;-ObterCliente&lt;-MontarPnrBase&lt;-ProcessarAereo&lt;-ProcessarItemFila[b]"/>
    <d v="2025-01-03T18:03:00"/>
    <m/>
    <s v="CLIENTE"/>
    <s v="CLIENTE NÃO IDENTIFICADO"/>
    <s v="DK DE CLIENTE NÃO PREENCIDO / CLIENTE NÃO CONFIGURADO NO OBT"/>
    <x v="2"/>
    <s v="OPERAÇÕES / SUPORTE KCS"/>
    <s v="COLUNA I"/>
  </r>
  <r>
    <n v="3162161"/>
    <s v="SABRE"/>
    <x v="204"/>
    <s v="GKBODBT"/>
    <s v="GKBODB"/>
    <s v="Inserindo PNR - Accountings - TurVendas - Não foi possível localizar o contrato do fornecedor 53845"/>
    <d v="2025-01-03T18:06:00"/>
    <m/>
    <s v="FORNECEDOR"/>
    <s v="CONTRATO FORNECEDOR"/>
    <s v="CONTRATO INATIVO OU DIVERGENTE"/>
    <x v="0"/>
    <s v="OPERAÇÕES / SUPORTE KCS"/>
    <n v="43"/>
  </r>
  <r>
    <n v="3162636"/>
    <s v="SABRE"/>
    <x v="205"/>
    <s v="NZYYBU"/>
    <s v="NZYYBU"/>
    <s v="Não localizado cliente com CNPJ [8435509000179].&lt;-ObterCliente&lt;-MontarPnrBase&lt;-ProcessarAereo&lt;-ProcessarItemFila[b]"/>
    <d v="2025-01-03T20:18:00"/>
    <m/>
    <s v="CLIENTE"/>
    <s v="REMARK - CNPJ"/>
    <s v=""/>
    <x v="3"/>
    <s v="OPERAÇÕES / SUPORTE KCS"/>
    <n v="24"/>
  </r>
  <r>
    <n v="3163237"/>
    <s v="SABRE"/>
    <x v="206"/>
    <s v="EUTTIY"/>
    <s v="EUTTIY"/>
    <s v="Não localizado cliente com CNPJ [8373694000114].&lt;-ObterCliente&lt;-MontarPnrBase&lt;-ProcessarAereo&lt;-ProcessarItemFila[b]"/>
    <d v="2025-01-06T11:19:00"/>
    <m/>
    <s v="CLIENTE"/>
    <s v="REMARK - CNPJ"/>
    <s v=""/>
    <x v="0"/>
    <s v="OPERAÇÕES / SUPORTE KCS"/>
    <n v="24"/>
  </r>
  <r>
    <n v="3164077"/>
    <s v="SABRE"/>
    <x v="207"/>
    <s v="KEKNGQ"/>
    <s v="KEKNGQ"/>
    <s v="Não localizado cliente com CNPJ [820120000135].&lt;-ObterCliente&lt;-MontarPnrBase&lt;-ProcessarAereo&lt;-ProcessarItemFila[b]"/>
    <d v="2025-01-06T16:03:00"/>
    <m/>
    <s v="CLIENTE"/>
    <s v="REMARK - CNPJ"/>
    <s v=""/>
    <x v="1"/>
    <s v="OPERAÇÕES / SUPORTE KCS"/>
    <n v="24"/>
  </r>
  <r>
    <n v="3164914"/>
    <s v="SABRE"/>
    <x v="208"/>
    <s v="ENGZYJ"/>
    <s v="ENGZYJ"/>
    <s v="Código de cliente não identificado&lt;-ObterCliente&lt;-MontarPnrBase&lt;-ProcessarAereo&lt;-ProcessarItemFila[b]"/>
    <d v="2025-01-06T19:36:00"/>
    <d v="2025-01-06T20:33:00"/>
    <s v="CLIENTE"/>
    <s v="CLIENTE NÃO IDENTIFICADO"/>
    <s v="DK DE CLIENTE NÃO PREENCIDO / CLIENTE NÃO CONFIGURADO NO OBT"/>
    <x v="2"/>
    <s v="OPERAÇÕES / SUPORTE KCS"/>
    <s v="COLUNA I"/>
  </r>
  <r>
    <n v="3165171"/>
    <s v="SABRE"/>
    <x v="208"/>
    <s v="GAGAFI"/>
    <s v="GAGAFI"/>
    <s v="Não localizado cliente com CNPJ [1359916000448].&lt;-ObterCliente&lt;-MontarPnrBase&lt;-ProcessarAereo&lt;-ProcessarItemFila[b]"/>
    <d v="2025-01-06T20:33:00"/>
    <m/>
    <s v="CLIENTE"/>
    <s v="REMARK - CNPJ"/>
    <s v=""/>
    <x v="1"/>
    <s v="OPERAÇÕES / SUPORTE KCS"/>
    <n v="24"/>
  </r>
  <r>
    <n v="3165173"/>
    <s v="SABRE"/>
    <x v="208"/>
    <s v="MYVOHV"/>
    <s v="MYVOHV"/>
    <s v="Não localizado cliente código [0000583808].&lt;-ObterCliente&lt;-MontarPnrBase&lt;-ProcessarAereo&lt;-ProcessarItemFila[b]"/>
    <d v="2025-01-06T20:33:00"/>
    <m/>
    <s v="CLIENTE"/>
    <s v="CÓD. CLIENTE DIVERGENTE"/>
    <s v="CÓDIGO DIFERENTE DO CADASTRADO NO BENNER (CLIENTE X GRUPO)"/>
    <x v="1"/>
    <s v="SUPORTE OBT"/>
    <n v="1"/>
  </r>
  <r>
    <n v="3165174"/>
    <s v="SABRE"/>
    <x v="208"/>
    <s v="JSJVJZ"/>
    <s v="JSJVJZ"/>
    <s v="Não localizado cliente código [0000583808].&lt;-ObterCliente&lt;-MontarPnrBase&lt;-ProcessarAereo&lt;-ProcessarItemFila[b]"/>
    <d v="2025-01-06T20:33:00"/>
    <m/>
    <s v="CLIENTE"/>
    <s v="CÓD. CLIENTE DIVERGENTE"/>
    <s v="CÓDIGO DIFERENTE DO CADASTRADO NO BENNER (CLIENTE X GRUPO)"/>
    <x v="1"/>
    <s v="SUPORTE OBT"/>
    <n v="1"/>
  </r>
  <r>
    <n v="3165176"/>
    <s v="SABRE"/>
    <x v="208"/>
    <s v="GUNBRT"/>
    <s v="GUNBRT"/>
    <s v="Não localizado cliente com CNPJ [1359916000448].&lt;-ObterCliente&lt;-MontarPnrBase&lt;-ProcessarAereo&lt;-ProcessarItemFila[b]"/>
    <d v="2025-01-06T20:33:00"/>
    <m/>
    <s v="CLIENTE"/>
    <s v="REMARK - CNPJ"/>
    <s v=""/>
    <x v="1"/>
    <s v="OPERAÇÕES / SUPORTE KCS"/>
    <n v="24"/>
  </r>
  <r>
    <n v="3165177"/>
    <s v="SABRE"/>
    <x v="208"/>
    <s v="YERPNN"/>
    <s v="YERPNN"/>
    <s v="Não localizado cliente código [0000583808].&lt;-ObterCliente&lt;-MontarPnrBase&lt;-ProcessarAereo&lt;-ProcessarItemFila[b]"/>
    <d v="2025-01-06T20:34:00"/>
    <m/>
    <s v="CLIENTE"/>
    <s v="CÓD. CLIENTE DIVERGENTE"/>
    <s v="CÓDIGO DIFERENTE DO CADASTRADO NO BENNER (CLIENTE X GRUPO)"/>
    <x v="1"/>
    <s v="SUPORTE OBT"/>
    <n v="1"/>
  </r>
  <r>
    <n v="3165178"/>
    <s v="SABRE"/>
    <x v="208"/>
    <s v="WJCWXC"/>
    <s v="WJCWXC"/>
    <s v="Não localizado cliente com CNPJ [271682000177].&lt;-ObterCliente&lt;-MontarPnrBase&lt;-ProcessarAereo&lt;-ProcessarItemFila[b]"/>
    <d v="2025-01-06T20:34:00"/>
    <m/>
    <s v="CLIENTE"/>
    <s v="REMARK - CNPJ"/>
    <s v=""/>
    <x v="1"/>
    <s v="OPERAÇÕES / SUPORTE KCS"/>
    <n v="24"/>
  </r>
  <r>
    <n v="3165179"/>
    <s v="SABRE"/>
    <x v="208"/>
    <s v="NLVWVH"/>
    <s v="NLVWVH"/>
    <s v="Não localizado cliente com CNPJ [1359916000448].&lt;-ObterCliente&lt;-MontarPnrBase&lt;-ProcessarAereo&lt;-ProcessarItemFila[b]"/>
    <d v="2025-01-06T20:34:00"/>
    <m/>
    <s v="CLIENTE"/>
    <s v="REMARK - CNPJ"/>
    <s v=""/>
    <x v="1"/>
    <s v="OPERAÇÕES / SUPORTE KCS"/>
    <n v="24"/>
  </r>
  <r>
    <n v="3165181"/>
    <s v="SABRE"/>
    <x v="208"/>
    <s v="ONGSPV"/>
    <s v="ONGSPV"/>
    <s v="Não localizado cliente com CNPJ [1359916000448].&lt;-ObterCliente&lt;-MontarPnrBase&lt;-ProcessarAereo&lt;-ProcessarItemFila[b]"/>
    <d v="2025-01-06T20:34:00"/>
    <m/>
    <s v="CLIENTE"/>
    <s v="REMARK - CNPJ"/>
    <s v=""/>
    <x v="1"/>
    <s v="OPERAÇÕES / SUPORTE KCS"/>
    <n v="24"/>
  </r>
  <r>
    <n v="3165184"/>
    <s v="SABRE"/>
    <x v="208"/>
    <s v="SGPKRI"/>
    <s v="SGPKRI"/>
    <s v="Não localizado cliente código [0000583831].&lt;-ObterCliente&lt;-MontarPnrBase&lt;-ProcessarAereo&lt;-ProcessarItemFila[b]"/>
    <d v="2025-01-06T20:34:00"/>
    <m/>
    <s v="CLIENTE"/>
    <s v="CÓD. CLIENTE DIVERGENTE"/>
    <s v="CÓDIGO DIFERENTE DO CADASTRADO NO BENNER (CLIENTE X GRUPO)"/>
    <x v="1"/>
    <s v="SUPORTE OBT"/>
    <n v="1"/>
  </r>
  <r>
    <n v="3165186"/>
    <s v="SABRE"/>
    <x v="208"/>
    <s v="SKXKWN"/>
    <s v="SKXKWN"/>
    <s v="Não localizado cliente código [1234567890].&lt;-ObterCliente&lt;-MontarPnrBase&lt;-ProcessarAereo&lt;-ProcessarItemFila[b]"/>
    <d v="2025-01-06T20:35:00"/>
    <m/>
    <s v="CLIENTE"/>
    <s v="CÓD. CLIENTE DIVERGENTE"/>
    <s v="CÓDIGO DIFERENTE DO CADASTRADO NO BENNER (CLIENTE X GRUPO)"/>
    <x v="1"/>
    <s v="SUPORTE OBT"/>
    <n v="1"/>
  </r>
  <r>
    <n v="3165190"/>
    <s v="SABRE"/>
    <x v="208"/>
    <s v="AIQESC"/>
    <s v="AIQESC"/>
    <s v="Código de cliente não identificado&lt;-ObterCliente&lt;-MontarPnrBase&lt;-ProcessarAereo&lt;-ProcessarItemFila[b]"/>
    <d v="2025-01-06T20:35:00"/>
    <m/>
    <s v="CLIENTE"/>
    <s v="CLIENTE NÃO IDENTIFICADO"/>
    <s v="DK DE CLIENTE NÃO PREENCIDO / CLIENTE NÃO CONFIGURADO NO OBT"/>
    <x v="2"/>
    <s v="OPERAÇÕES / SUPORTE KCS"/>
    <s v="COLUNA I"/>
  </r>
  <r>
    <n v="3165191"/>
    <s v="SABRE"/>
    <x v="208"/>
    <s v="GDGWUZ"/>
    <s v="GDGWUZ"/>
    <s v="Não localizado cliente com CNPJ [8373694000114].&lt;-ObterCliente&lt;-MontarPnrBase&lt;-ProcessarAereo&lt;-ProcessarItemFila[b]"/>
    <d v="2025-01-06T20:36:00"/>
    <m/>
    <s v="CLIENTE"/>
    <s v="REMARK - CNPJ"/>
    <s v=""/>
    <x v="1"/>
    <s v="OPERAÇÕES / SUPORTE KCS"/>
    <n v="24"/>
  </r>
  <r>
    <n v="3165192"/>
    <s v="SABRE"/>
    <x v="208"/>
    <s v="FSKBYM"/>
    <s v="FSKBYM"/>
    <s v="Não localizado cliente código [0000035945].&lt;-ObterCliente&lt;-MontarPnrBase&lt;-ProcessarAereo&lt;-ProcessarItemFila[b]"/>
    <d v="2025-01-06T20:36:00"/>
    <m/>
    <s v="CLIENTE"/>
    <s v="CÓD. CLIENTE DIVERGENTE"/>
    <s v="CÓDIGO DIFERENTE DO CADASTRADO NO BENNER (CLIENTE X GRUPO)"/>
    <x v="1"/>
    <s v="SUPORTE OBT"/>
    <n v="1"/>
  </r>
  <r>
    <n v="3165351"/>
    <s v="SABRE"/>
    <x v="209"/>
    <s v="IPMYYP"/>
    <s v="IPMYYP"/>
    <s v="Código de cliente não identificado&lt;-ObterCliente&lt;-MontarPnrBase&lt;-ProcessarAereo&lt;-ProcessarItemFila[b]"/>
    <d v="2025-01-07T09:20:00"/>
    <d v="2025-01-08T11:49:00"/>
    <s v="CLIENTE"/>
    <s v="CLIENTE NÃO IDENTIFICADO"/>
    <s v="DK DE CLIENTE NÃO PREENCIDO / CLIENTE NÃO CONFIGURADO NO OBT"/>
    <x v="2"/>
    <s v="OPERAÇÕES / SUPORTE KCS"/>
    <s v="COLUNA I"/>
  </r>
  <r>
    <n v="3165352"/>
    <s v="SABRE"/>
    <x v="209"/>
    <s v="IPMYYPT"/>
    <s v="IPMYYP"/>
    <s v="Código de cliente não identificado&lt;-ObterCliente&lt;-MontarPnrBase&lt;-MontarPnr&lt;-ProcessarHotel&lt;-ProcessarItemFila[b]"/>
    <d v="2025-01-07T09:20:00"/>
    <d v="2025-01-08T11:49:00"/>
    <s v="CLIENTE"/>
    <s v="CLIENTE NÃO IDENTIFICADO"/>
    <s v="DK DE CLIENTE NÃO PREENCIDO / CLIENTE NÃO CONFIGURADO NO OBT"/>
    <x v="2"/>
    <s v="OPERAÇÕES / SUPORTE KCS"/>
    <s v="COLUNA I"/>
  </r>
  <r>
    <n v="3166538"/>
    <s v="SABRE"/>
    <x v="210"/>
    <s v="QRHXNJ"/>
    <s v="QRHXNJ"/>
    <s v="Código de cliente não identificado&lt;-ObterCliente&lt;-MontarPnrBase&lt;-ProcessarAereo&lt;-ProcessarItemFila[b]"/>
    <d v="2025-01-07T17:21:00"/>
    <m/>
    <s v="CLIENTE"/>
    <s v="CLIENTE NÃO IDENTIFICADO"/>
    <s v="DK DE CLIENTE NÃO PREENCIDO / CLIENTE NÃO CONFIGURADO NO OBT"/>
    <x v="2"/>
    <s v="OPERAÇÕES / SUPORTE KCS"/>
    <s v="COLUNA I"/>
  </r>
  <r>
    <n v="3166592"/>
    <s v="SABRE"/>
    <x v="211"/>
    <s v="WPBPFS"/>
    <s v="WPBPFS"/>
    <s v="Não localizado cliente com CNPJ [271682000177].&lt;-ObterCliente&lt;-MontarPnrBase&lt;-ProcessarAereo&lt;-ProcessarItemFila[b]"/>
    <d v="2025-01-07T17:49:00"/>
    <m/>
    <s v="CLIENTE"/>
    <s v="REMARK - CNPJ"/>
    <s v=""/>
    <x v="3"/>
    <s v="OPERAÇÕES / SUPORTE KCS"/>
    <n v="24"/>
  </r>
  <r>
    <n v="3167546"/>
    <s v="SABRE"/>
    <x v="212"/>
    <s v="NJOYAB"/>
    <s v="NJOYAB"/>
    <s v="Código de cliente não identificado&lt;-ObterCliente&lt;-MontarPnrBase&lt;-ProcessarAereo&lt;-ProcessarItemFila[b]"/>
    <d v="2025-01-07T20:34:00"/>
    <m/>
    <s v="CLIENTE"/>
    <s v="CLIENTE NÃO IDENTIFICADO"/>
    <s v="DK DE CLIENTE NÃO PREENCIDO / CLIENTE NÃO CONFIGURADO NO OBT"/>
    <x v="2"/>
    <s v="OPERAÇÕES / SUPORTE KCS"/>
    <s v="COLUNA I"/>
  </r>
  <r>
    <n v="3167565"/>
    <s v="SABRE"/>
    <x v="213"/>
    <s v="UKDWJY"/>
    <s v="UKDWJY"/>
    <s v="Não localizado cliente com CNPJ [820120000135].&lt;-ObterCliente&lt;-MontarPnrBase&lt;-ProcessarAereo&lt;-ProcessarItemFila[b]"/>
    <d v="2025-01-07T20:35:00"/>
    <d v="2025-01-08T08:03:00"/>
    <s v="CLIENTE"/>
    <s v="REMARK - CNPJ"/>
    <s v=""/>
    <x v="1"/>
    <s v="OPERAÇÕES / SUPORTE KCS"/>
    <n v="24"/>
  </r>
  <r>
    <n v="3167749"/>
    <s v="GOVER"/>
    <x v="214"/>
    <n v="4470625"/>
    <n v="16864154"/>
    <s v="PreencherPnr-&gt;'long' does not contain a definition for 'toString2'"/>
    <d v="2025-01-08T09:04:00"/>
    <m/>
    <s v="OUTROS"/>
    <s v="DADOS DO CARTÃO"/>
    <s v="TAG &lt;CARTAOVALIDADE&gt; NÃO ENVIADA"/>
    <x v="0"/>
    <s v="SUPORTE OBT"/>
    <s v="COLUNA I"/>
  </r>
  <r>
    <n v="3168662"/>
    <s v="SABRE"/>
    <x v="215"/>
    <s v="AMARDB"/>
    <s v="AMARDB"/>
    <s v="Não localizado cliente código [0000583808].&lt;-ObterCliente&lt;-MontarPnrBase&lt;-ProcessarAereo&lt;-ProcessarItemFila[b]"/>
    <d v="2025-01-08T15:49:00"/>
    <m/>
    <s v="CLIENTE"/>
    <s v="CÓD. CLIENTE DIVERGENTE"/>
    <s v="CÓDIGO DIFERENTE DO CADASTRADO NO BENNER (CLIENTE X GRUPO)"/>
    <x v="1"/>
    <s v="SUPORTE OBT"/>
    <n v="1"/>
  </r>
  <r>
    <n v="3168665"/>
    <s v="SABRE"/>
    <x v="216"/>
    <s v="JBZRVR"/>
    <s v="JBZRVR"/>
    <s v="Inserindo Accounting - (ExecSQL) - Could not convert variant of type (Null) into type (OleStr)"/>
    <d v="2025-01-08T15:50:00"/>
    <d v="2025-01-08T16:50:00"/>
    <s v="OUTROS"/>
    <s v="ERRO NO XML"/>
    <s v=""/>
    <x v="0"/>
    <s v="SUPORTE OBT"/>
    <s v="COLUNA I"/>
  </r>
  <r>
    <n v="3168671"/>
    <s v="SABRE"/>
    <x v="217"/>
    <s v="WWGJCI"/>
    <s v="WWGJCI"/>
    <s v="Inserindo Accounting - (ExecSQL) - Could not convert variant of type (Null) into type (OleStr)"/>
    <d v="2025-01-08T15:52:00"/>
    <d v="2025-02-07T16:47:00"/>
    <s v="OUTROS"/>
    <s v="ERRO NO XML"/>
    <s v=""/>
    <x v="0"/>
    <s v="SUPORTE OBT"/>
    <s v="COLUNA I"/>
  </r>
  <r>
    <n v="3168672"/>
    <s v="SABRE"/>
    <x v="215"/>
    <s v="WAZJZD"/>
    <s v="WAZJZD"/>
    <s v="Código de cliente não identificado&lt;-ObterCliente&lt;-MontarPnrBase&lt;-ProcessarAereo&lt;-ProcessarItemFila[b]"/>
    <d v="2025-01-08T15:52:00"/>
    <m/>
    <s v="CLIENTE"/>
    <s v="CLIENTE NÃO IDENTIFICADO"/>
    <s v="DK DE CLIENTE NÃO PREENCIDO / CLIENTE NÃO CONFIGURADO NO OBT"/>
    <x v="2"/>
    <s v="OPERAÇÕES / SUPORTE KCS"/>
    <s v="COLUNA I"/>
  </r>
  <r>
    <n v="3168990"/>
    <s v="SABRE"/>
    <x v="218"/>
    <s v="UZXREBT"/>
    <s v="UZXREB"/>
    <s v="Inserindo PNR - Accountings - TurVendas - Não foi possível localizar o contrato do fornecedor 49032"/>
    <d v="2025-01-08T18:04:00"/>
    <m/>
    <s v="FORNECEDOR"/>
    <s v="CONTRATO FORNECEDOR"/>
    <s v="CONTRATO INATIVO OU DIVERGENTE"/>
    <x v="0"/>
    <s v="OPERAÇÕES / SUPORTE KCS"/>
    <n v="43"/>
  </r>
  <r>
    <n v="3169616"/>
    <s v="SABRE"/>
    <x v="219"/>
    <s v="CRAOZC"/>
    <s v="CRAOZC"/>
    <s v="Não localizado cliente código [0000028612].&lt;-ObterCliente&lt;-MontarPnrBase&lt;-ProcessarAereo&lt;-ProcessarItemFila[b]"/>
    <d v="2025-01-08T20:33:00"/>
    <m/>
    <s v="CLIENTE"/>
    <s v="CÓD. CLIENTE DIVERGENTE"/>
    <s v="CÓDIGO DIFERENTE DO CADASTRADO NO BENNER (CLIENTE X GRUPO)"/>
    <x v="1"/>
    <s v="SUPORTE OBT"/>
    <n v="1"/>
  </r>
  <r>
    <n v="3169622"/>
    <s v="SABRE"/>
    <x v="219"/>
    <s v="YQDVXO"/>
    <s v="YQDVXO"/>
    <s v="Não localizado cliente com CNPJ [2877632000406].&lt;-ObterCliente&lt;-MontarPnrBase&lt;-ProcessarAereo&lt;-ProcessarItemFila[b]"/>
    <d v="2025-01-08T20:34:00"/>
    <m/>
    <s v="CLIENTE"/>
    <s v="REMARK - CNPJ"/>
    <s v=""/>
    <x v="0"/>
    <s v="OPERAÇÕES / SUPORTE KCS"/>
    <n v="24"/>
  </r>
  <r>
    <n v="3169651"/>
    <s v="SABRE"/>
    <x v="219"/>
    <s v="ENPBBR"/>
    <s v="ENPBBR"/>
    <s v="Não localizado cliente código [0000063625].&lt;-ObterCliente&lt;-MontarPnrBase&lt;-ProcessarAereo&lt;-ProcessarItemFila[b]"/>
    <d v="2025-01-08T20:36:00"/>
    <m/>
    <s v="CLIENTE"/>
    <s v="CÓD. CLIENTE DIVERGENTE"/>
    <s v="CÓDIGO DIFERENTE DO CADASTRADO NO BENNER (CLIENTE X GRUPO)"/>
    <x v="1"/>
    <s v="SUPORTE OBT"/>
    <n v="1"/>
  </r>
  <r>
    <n v="3169655"/>
    <s v="SABRE"/>
    <x v="219"/>
    <s v="JSTSCW"/>
    <s v="JSTSCW"/>
    <s v="Não localizado cliente código [0000063625].&lt;-ObterCliente&lt;-MontarPnrBase&lt;-ProcessarAereo&lt;-ProcessarItemFila[b]"/>
    <d v="2025-01-08T20:36:00"/>
    <m/>
    <s v="CLIENTE"/>
    <s v="CÓD. CLIENTE DIVERGENTE"/>
    <s v="CÓDIGO DIFERENTE DO CADASTRADO NO BENNER (CLIENTE X GRUPO)"/>
    <x v="1"/>
    <s v="SUPORTE OBT"/>
    <n v="1"/>
  </r>
  <r>
    <n v="3170360"/>
    <s v="SABRE"/>
    <x v="220"/>
    <s v="ISWSUH"/>
    <s v="ISWSUH"/>
    <s v="Não localizado cliente com CNPJ [820120000135].&lt;-ObterCliente&lt;-MontarPnrBase&lt;-ProcessarAereo&lt;-ProcessarItemFila[b]"/>
    <d v="2025-01-09T11:17:00"/>
    <d v="2025-01-09T12:04:00"/>
    <s v="CLIENTE"/>
    <s v="REMARK - CNPJ"/>
    <s v=""/>
    <x v="1"/>
    <s v="OPERAÇÕES / SUPORTE KCS"/>
    <n v="24"/>
  </r>
  <r>
    <n v="3170929"/>
    <s v="SABRE"/>
    <x v="221"/>
    <s v="QSKFWM"/>
    <s v="QSKFWM"/>
    <s v="Não localizado cliente com CNPJ [3334170000109].&lt;-ObterCliente&lt;-MontarPnrBase&lt;-ProcessarAereo&lt;-ProcessarItemFila[b]"/>
    <d v="2025-01-09T14:49:00"/>
    <m/>
    <s v="CLIENTE"/>
    <s v="REMARK - CNPJ"/>
    <s v=""/>
    <x v="1"/>
    <s v="OPERAÇÕES / SUPORTE KCS"/>
    <n v="24"/>
  </r>
  <r>
    <n v="3170959"/>
    <s v="SABRE"/>
    <x v="221"/>
    <s v="AEHJHM"/>
    <s v="AEHJHM"/>
    <s v="Não localizado cliente com CNPJ [5763921000120].&lt;-ObterCliente&lt;-MontarPnrBase&lt;-ProcessarAereo&lt;-ProcessarItemFila[b]"/>
    <d v="2025-01-09T14:55:00"/>
    <m/>
    <s v="CLIENTE"/>
    <s v="REMARK - CNPJ"/>
    <s v=""/>
    <x v="1"/>
    <s v="OPERAÇÕES / SUPORTE KCS"/>
    <n v="24"/>
  </r>
  <r>
    <n v="3171114"/>
    <s v="SABRE"/>
    <x v="222"/>
    <s v="HCLCNYT"/>
    <s v="HCLCNY"/>
    <s v="Inserindo PNR - Accountings - TurVendas - Não foi possível localizar o contrato do fornecedor 49032"/>
    <d v="2025-01-09T16:04:00"/>
    <m/>
    <s v="FORNECEDOR"/>
    <s v="CONTRATO FORNECEDOR"/>
    <s v="CONTRATO INATIVO OU DIVERGENTE"/>
    <x v="0"/>
    <s v="OPERAÇÕES / SUPORTE KCS"/>
    <n v="43"/>
  </r>
  <r>
    <n v="3171183"/>
    <s v="SABRE"/>
    <x v="223"/>
    <s v="AVIJYE"/>
    <s v="AVIJYE"/>
    <s v="Código de cliente não identificado&lt;-ObterCliente&lt;-MontarPnrBase&lt;-ProcessarAereo&lt;-ProcessarItemFila[b]"/>
    <d v="2025-01-09T16:35:00"/>
    <m/>
    <s v="CLIENTE"/>
    <s v="CLIENTE NÃO IDENTIFICADO"/>
    <s v="DK DE CLIENTE NÃO PREENCIDO / CLIENTE NÃO CONFIGURADO NO OBT"/>
    <x v="2"/>
    <s v="OPERAÇÕES / SUPORTE KCS"/>
    <s v="COLUNA I"/>
  </r>
  <r>
    <n v="3171548"/>
    <s v="SABRE"/>
    <x v="224"/>
    <s v="DYCDMO"/>
    <s v="DYCDMO"/>
    <s v="Não localizado cliente com CNPJ [1281360000171].&lt;-ObterCliente&lt;-MontarPnrBase&lt;-ProcessarAereo&lt;-ProcessarItemFila[b]"/>
    <d v="2025-01-09T19:49:00"/>
    <m/>
    <s v="CLIENTE"/>
    <s v="REMARK - CNPJ"/>
    <s v=""/>
    <x v="0"/>
    <s v="OPERAÇÕES / SUPORTE KCS"/>
    <n v="24"/>
  </r>
  <r>
    <n v="3171563"/>
    <s v="SABRE"/>
    <x v="224"/>
    <s v="IEMKHB"/>
    <s v="IEMKHB"/>
    <s v="Não localizado cliente com CNPJ [2877632000406].&lt;-ObterCliente&lt;-MontarPnrBase&lt;-ProcessarAereo&lt;-ProcessarItemFila[b]"/>
    <d v="2025-01-09T19:50:00"/>
    <m/>
    <s v="CLIENTE"/>
    <s v="REMARK - CNPJ"/>
    <s v=""/>
    <x v="3"/>
    <s v="OPERAÇÕES / SUPORTE KCS"/>
    <n v="24"/>
  </r>
  <r>
    <n v="3171568"/>
    <s v="SABRE"/>
    <x v="224"/>
    <s v="UOIBUJ"/>
    <s v="UOIBUJ"/>
    <s v="Código de cliente não identificado&lt;-ObterCliente&lt;-MontarPnrBase&lt;-ProcessarAereo&lt;-ProcessarItemFila[b]"/>
    <d v="2025-01-09T19:50:00"/>
    <m/>
    <s v="CLIENTE"/>
    <s v="CLIENTE NÃO IDENTIFICADO"/>
    <s v="DK DE CLIENTE NÃO PREENCIDO / CLIENTE NÃO CONFIGURADO NO OBT"/>
    <x v="2"/>
    <s v="OPERAÇÕES / SUPORTE KCS"/>
    <s v="COLUNA I"/>
  </r>
  <r>
    <n v="3171569"/>
    <s v="SABRE"/>
    <x v="225"/>
    <s v="LFKDWG"/>
    <s v="LFKDWG"/>
    <s v="Inserindo Accounting - (ExecSQL) - Could not convert variant of type (Null) into type (OleStr)"/>
    <d v="2025-01-09T19:50:00"/>
    <d v="2025-01-31T20:21:00"/>
    <s v="OUTROS"/>
    <s v="ERRO NO XML"/>
    <s v=""/>
    <x v="0"/>
    <s v="SUPORTE OBT"/>
    <s v="COLUNA I"/>
  </r>
  <r>
    <n v="3171573"/>
    <s v="SABRE"/>
    <x v="224"/>
    <s v="UBGCGY"/>
    <s v="UBGCGY"/>
    <s v="Código de cliente não identificado&lt;-ObterCliente&lt;-MontarPnrBase&lt;-ProcessarAereo&lt;-ProcessarItemFila[b]"/>
    <d v="2025-01-09T19:50:00"/>
    <m/>
    <s v="CLIENTE"/>
    <s v="CLIENTE NÃO IDENTIFICADO"/>
    <s v="DK DE CLIENTE NÃO PREENCIDO / CLIENTE NÃO CONFIGURADO NO OBT"/>
    <x v="2"/>
    <s v="OPERAÇÕES / SUPORTE KCS"/>
    <s v="COLUNA I"/>
  </r>
  <r>
    <n v="3171774"/>
    <s v="SABRE"/>
    <x v="226"/>
    <s v="CBMTVY"/>
    <s v="CBMTVY"/>
    <s v="Código de cliente não identificado&lt;-ObterCliente&lt;-MontarPnrBase&lt;-ProcessarAereo&lt;-ProcessarItemFila[b]"/>
    <d v="2025-01-09T20:17:00"/>
    <m/>
    <s v="CLIENTE"/>
    <s v="CLIENTE NÃO IDENTIFICADO"/>
    <s v="DK DE CLIENTE NÃO PREENCIDO / CLIENTE NÃO CONFIGURADO NO OBT"/>
    <x v="2"/>
    <s v="OPERAÇÕES / SUPORTE KCS"/>
    <s v="COLUNA I"/>
  </r>
  <r>
    <n v="3172340"/>
    <s v="SABRE"/>
    <x v="227"/>
    <s v="EICIHZ"/>
    <s v="EICIHZ"/>
    <s v="Não localizado cliente com CNPJ [820120000135].&lt;-ObterCliente&lt;-MontarPnrBase&lt;-ProcessarAereo&lt;-ProcessarItemFila[b]"/>
    <d v="2025-01-10T10:17:00"/>
    <d v="2025-01-10T10:18:00"/>
    <s v="CLIENTE"/>
    <s v="REMARK - CNPJ"/>
    <s v=""/>
    <x v="3"/>
    <s v="OPERAÇÕES / SUPORTE KCS"/>
    <n v="24"/>
  </r>
  <r>
    <n v="3172470"/>
    <s v="SABRE"/>
    <x v="228"/>
    <s v="HNOLOP"/>
    <s v="HNOLOP"/>
    <s v="Inserindo Accounting - (ExecSQL) - Could not convert variant of type (Null) into type (OleStr)"/>
    <d v="2025-01-10T11:33:00"/>
    <d v="2025-02-06T23:10:00"/>
    <s v="OUTROS"/>
    <s v="ERRO NO XML"/>
    <s v=""/>
    <x v="0"/>
    <s v="SUPORTE OBT"/>
    <s v="COLUNA I"/>
  </r>
  <r>
    <n v="3172471"/>
    <s v="SABRE"/>
    <x v="229"/>
    <s v="LJSFPG"/>
    <s v="LJSFPG"/>
    <s v="Inserindo Accounting - (ExecSQL) - Could not convert variant of type (Null) into type (OleStr)"/>
    <d v="2025-01-10T11:33:00"/>
    <d v="2025-02-06T23:10:00"/>
    <s v="OUTROS"/>
    <s v="ERRO NO XML"/>
    <s v=""/>
    <x v="0"/>
    <s v="SUPORTE OBT"/>
    <s v="COLUNA I"/>
  </r>
  <r>
    <n v="3172474"/>
    <s v="SABRE"/>
    <x v="230"/>
    <s v="MRVHRY"/>
    <s v="MRVHRY"/>
    <s v="Não localizado cliente com CNPJ [2877632000406].&lt;-ObterCliente&lt;-MontarPnrBase&lt;-ProcessarAereo&lt;-ProcessarItemFila[b]"/>
    <d v="2025-01-10T11:34:00"/>
    <m/>
    <s v="CLIENTE"/>
    <s v="REMARK - CNPJ"/>
    <s v=""/>
    <x v="2"/>
    <s v="OPERAÇÕES / SUPORTE KCS"/>
    <n v="24"/>
  </r>
  <r>
    <n v="3172475"/>
    <s v="SABRE"/>
    <x v="230"/>
    <s v="NPPYHO"/>
    <s v="NPPYHO"/>
    <s v="Não localizado cliente com CNPJ [820120000135].&lt;-ObterCliente&lt;-MontarPnrBase&lt;-ProcessarAereo&lt;-ProcessarItemFila[b]"/>
    <d v="2025-01-10T11:34:00"/>
    <m/>
    <s v="CLIENTE"/>
    <s v="REMARK - CNPJ"/>
    <s v=""/>
    <x v="2"/>
    <s v="OPERAÇÕES / SUPORTE KCS"/>
    <n v="24"/>
  </r>
  <r>
    <n v="3173273"/>
    <s v="SABRE"/>
    <x v="231"/>
    <s v="SYAKEDT"/>
    <s v="SYAKED"/>
    <s v="Não localizado cliente código [EP0CLNT100].&lt;-ObterCliente&lt;-MontarPnrBase&lt;-MontarPnr&lt;-ProcessarHotel&lt;-ProcessarItemFila[b]"/>
    <d v="2025-01-10T13:20:00"/>
    <m/>
    <s v="CLIENTE"/>
    <s v="CÓD. CLIENTE DIVERGENTE"/>
    <s v="CÓDIGO DIFERENTE DO CADASTRADO NO BENNER (CLIENTE X GRUPO)"/>
    <x v="1"/>
    <s v="SUPORTE OBT"/>
    <n v="1"/>
  </r>
  <r>
    <n v="3173404"/>
    <s v="TMS"/>
    <x v="232"/>
    <n v="537"/>
    <n v="537"/>
    <s v="Preenchendo XML Serviço-&gt; Preenchendo XML-&gt; Montando accounting aereo 2-&gt;Não foi informado o Localizador do Assento/Bagagem!"/>
    <d v="2025-01-10T14:07:00"/>
    <d v="2025-01-13T21:29:00"/>
    <s v="OUTROS"/>
    <s v="ASSENTO / BAGAGEM"/>
    <s v="CAMPO OBSERVAÇÃO PREENCHIDO INCORRETAMENTE"/>
    <x v="1"/>
    <s v="OPERAÇÕES / SUPORTE KCS"/>
    <n v="118"/>
  </r>
  <r>
    <n v="3173862"/>
    <s v="SABRE"/>
    <x v="233"/>
    <s v="CPWOGUT"/>
    <s v="CPWOGU"/>
    <s v="Inserindo PNR - Accountings - TurVendas - Não foi possível localizar o contrato do fornecedor 49032"/>
    <d v="2025-01-10T16:06:00"/>
    <m/>
    <s v="FORNECEDOR"/>
    <s v="CONTRATO FORNECEDOR"/>
    <s v="CONTRATO INATIVO OU DIVERGENTE"/>
    <x v="0"/>
    <s v="OPERAÇÕES / SUPORTE KCS"/>
    <n v="43"/>
  </r>
  <r>
    <n v="3173865"/>
    <s v="SABRE"/>
    <x v="234"/>
    <s v="OGVEWLT"/>
    <s v="OGVEWL"/>
    <s v="Inserindo PNR - Accountings - TurVendas - Não foi possível localizar o contrato do fornecedor 49032"/>
    <d v="2025-01-10T16:06:00"/>
    <m/>
    <s v="FORNECEDOR"/>
    <s v="CONTRATO FORNECEDOR"/>
    <s v="CONTRATO INATIVO OU DIVERGENTE"/>
    <x v="0"/>
    <s v="OPERAÇÕES / SUPORTE KCS"/>
    <n v="43"/>
  </r>
  <r>
    <n v="3174031"/>
    <s v="SABRE"/>
    <x v="235"/>
    <s v="OIFUVBT"/>
    <s v="OIFUVB"/>
    <s v="Inserindo PNR - Accountings - TurVendas - Não foi possível localizar o contrato do fornecedor 49032"/>
    <d v="2025-01-10T16:36:00"/>
    <m/>
    <s v="FORNECEDOR"/>
    <s v="CONTRATO FORNECEDOR"/>
    <s v="CONTRATO INATIVO OU DIVERGENTE"/>
    <x v="0"/>
    <s v="OPERAÇÕES / SUPORTE KCS"/>
    <n v="43"/>
  </r>
  <r>
    <n v="3174249"/>
    <s v="SABRE"/>
    <x v="236"/>
    <s v="UGLOOI"/>
    <s v="UGLOOI"/>
    <s v="Inserindo Accounting - (ExecSQL) - Could not convert variant of type (Null) into type (OleStr)"/>
    <d v="2025-01-10T18:16:00"/>
    <d v="2025-02-10T20:39:00"/>
    <s v="OUTROS"/>
    <s v="ERRO NO XML"/>
    <s v=""/>
    <x v="0"/>
    <s v="SUPORTE OBT"/>
    <s v="COLUNA I"/>
  </r>
  <r>
    <n v="3174319"/>
    <s v="SABRE"/>
    <x v="237"/>
    <s v="IHPKQU"/>
    <s v="IHPKQU"/>
    <s v="Código de cliente não identificado&lt;-ObterCliente&lt;-MontarPnrBase&lt;-ProcessarAereo&lt;-ProcessarItemFila[b]"/>
    <d v="2025-01-10T18:49:00"/>
    <m/>
    <s v="CLIENTE"/>
    <s v="CLIENTE NÃO IDENTIFICADO"/>
    <s v="DK DE CLIENTE NÃO PREENCIDO / CLIENTE NÃO CONFIGURADO NO OBT"/>
    <x v="2"/>
    <s v="OPERAÇÕES / SUPORTE KCS"/>
    <s v="COLUNA I"/>
  </r>
  <r>
    <n v="3174356"/>
    <s v="SABRE"/>
    <x v="237"/>
    <s v="FFZEHM"/>
    <s v="FFZEHM"/>
    <s v="Inserindo Accounting - (ExecSQL) - Could not convert variant of type (Null) into type (OleStr)"/>
    <d v="2025-01-10T18:58:00"/>
    <m/>
    <s v="OUTROS"/>
    <s v="ERRO NO XML"/>
    <s v=""/>
    <x v="0"/>
    <s v="SUPORTE OBT"/>
    <s v="COLUNA I"/>
  </r>
  <r>
    <n v="3174358"/>
    <s v="SABRE"/>
    <x v="237"/>
    <s v="OSYDER"/>
    <s v="OSYDER"/>
    <s v="Inserindo Accounting - (ExecSQL) - Could not convert variant of type (Null) into type (OleStr)"/>
    <d v="2025-01-10T18:59:00"/>
    <m/>
    <s v="OUTROS"/>
    <s v="ERRO NO XML"/>
    <s v=""/>
    <x v="0"/>
    <s v="SUPORTE OBT"/>
    <s v="COLUNA I"/>
  </r>
  <r>
    <n v="3174360"/>
    <s v="SABRE"/>
    <x v="237"/>
    <s v="FXEFLN"/>
    <s v="FXEFLN"/>
    <s v="Não localizado cliente com CNPJ [2877632000406].&lt;-ObterCliente&lt;-MontarPnrBase&lt;-ProcessarAereo&lt;-ProcessarItemFila[b]"/>
    <d v="2025-01-10T18:59:00"/>
    <m/>
    <s v="CLIENTE"/>
    <s v="REMARK - CNPJ"/>
    <s v=""/>
    <x v="2"/>
    <s v="OPERAÇÕES / SUPORTE KCS"/>
    <n v="24"/>
  </r>
  <r>
    <n v="3174361"/>
    <s v="SABRE"/>
    <x v="237"/>
    <s v="MHLXAU"/>
    <s v="MHLXAU"/>
    <s v="Não localizado cliente com CNPJ [2877632000406].&lt;-ObterCliente&lt;-MontarPnrBase&lt;-ProcessarAereo&lt;-ProcessarItemFila[b]"/>
    <d v="2025-01-10T18:59:00"/>
    <m/>
    <s v="CLIENTE"/>
    <s v="REMARK - CNPJ"/>
    <s v=""/>
    <x v="2"/>
    <s v="OPERAÇÕES / SUPORTE KCS"/>
    <n v="24"/>
  </r>
  <r>
    <n v="3174362"/>
    <s v="SABRE"/>
    <x v="237"/>
    <s v="MQOODP"/>
    <s v="MQOODP"/>
    <s v="Não localizado cliente com CNPJ [2877632000406].&lt;-ObterCliente&lt;-MontarPnrBase&lt;-ProcessarAereo&lt;-ProcessarItemFila[b]"/>
    <d v="2025-01-10T19:00:00"/>
    <m/>
    <s v="CLIENTE"/>
    <s v="REMARK - CNPJ"/>
    <s v=""/>
    <x v="1"/>
    <s v="OPERAÇÕES / SUPORTE KCS"/>
    <n v="24"/>
  </r>
  <r>
    <n v="3174364"/>
    <s v="SABRE"/>
    <x v="237"/>
    <s v="EJCREZ"/>
    <s v="EJCREZ"/>
    <s v="Código de cliente não identificado&lt;-ObterCliente&lt;-MontarPnrBase&lt;-ProcessarAereo&lt;-ProcessarItemFila[b]"/>
    <d v="2025-01-10T19:00:00"/>
    <m/>
    <s v="CLIENTE"/>
    <s v="CLIENTE NÃO IDENTIFICADO"/>
    <s v="DK DE CLIENTE NÃO PREENCIDO / CLIENTE NÃO CONFIGURADO NO OBT"/>
    <x v="2"/>
    <s v="OPERAÇÕES / SUPORTE KCS"/>
    <s v="COLUNA I"/>
  </r>
  <r>
    <n v="3174367"/>
    <s v="SABRE"/>
    <x v="237"/>
    <s v="NHWQLX"/>
    <s v="NHWQLX"/>
    <s v="Não localizado cliente com CNPJ [JTI PROCESSADORA].&lt;-ObterCliente&lt;-MontarPnrBase&lt;-ProcessarAereo&lt;-ProcessarItemFila[b]"/>
    <d v="2025-01-10T19:01:00"/>
    <m/>
    <s v="CLIENTE"/>
    <s v="REMARK - CNPJ"/>
    <s v=""/>
    <x v="1"/>
    <s v="OPERAÇÕES / SUPORTE KCS"/>
    <n v="24"/>
  </r>
  <r>
    <n v="3174381"/>
    <s v="SABRE"/>
    <x v="237"/>
    <s v="OLTSRA"/>
    <s v="OLTSRA"/>
    <s v="Não localizado cliente código [0000063625].&lt;-ObterCliente&lt;-MontarPnrBase&lt;-ProcessarAereo&lt;-ProcessarItemFila[b]"/>
    <d v="2025-01-10T19:03:00"/>
    <m/>
    <s v="CLIENTE"/>
    <s v="CÓD. CLIENTE DIVERGENTE"/>
    <s v="CÓDIGO DIFERENTE DO CADASTRADO NO BENNER (CLIENTE X GRUPO)"/>
    <x v="1"/>
    <s v="SUPORTE OBT"/>
    <n v="1"/>
  </r>
  <r>
    <n v="3174384"/>
    <s v="SABRE"/>
    <x v="237"/>
    <s v="FCFVHA"/>
    <s v="FCFVHA"/>
    <s v="Não localizado cliente código [0000063625].&lt;-ObterCliente&lt;-MontarPnrBase&lt;-ProcessarAereo&lt;-ProcessarItemFila[b]"/>
    <d v="2025-01-10T19:04:00"/>
    <m/>
    <s v="CLIENTE"/>
    <s v="CÓD. CLIENTE DIVERGENTE"/>
    <s v="CÓDIGO DIFERENTE DO CADASTRADO NO BENNER (CLIENTE X GRUPO)"/>
    <x v="1"/>
    <s v="SUPORTE OBT"/>
    <n v="1"/>
  </r>
  <r>
    <n v="3174433"/>
    <s v="SABRE"/>
    <x v="238"/>
    <s v="GJDKDG"/>
    <s v="GJDKDG"/>
    <s v="Inserindo Accounting - (ExecSQL) - Could not convert variant of type (Null) into type (OleStr)"/>
    <d v="2025-01-10T19:07:00"/>
    <d v="2025-02-24T10:37:00"/>
    <s v="OUTROS"/>
    <s v="ERRO NO XML"/>
    <s v=""/>
    <x v="0"/>
    <s v="SUPORTE OBT"/>
    <s v="COLUNA I"/>
  </r>
  <r>
    <n v="3174835"/>
    <s v="TMS"/>
    <x v="239"/>
    <n v="456"/>
    <n v="456"/>
    <s v="Preenchendo XML Serviço-&gt; Preenchendo XML-&gt; Montando accounting aereo 2-&gt;Não foi informado o Localizador do Assento/Bagagem!"/>
    <d v="2025-01-10T20:35:00"/>
    <d v="2025-01-13T21:40:00"/>
    <s v="OUTROS"/>
    <s v="ASSENTO / BAGAGEM"/>
    <s v="CAMPO OBSERVAÇÃO PREENCHIDO INCORRETAMENTE"/>
    <x v="1"/>
    <s v="OPERAÇÕES / SUPORTE KCS"/>
    <n v="118"/>
  </r>
  <r>
    <n v="3174951"/>
    <s v="SABRE"/>
    <x v="240"/>
    <s v="HKODEU"/>
    <s v="HKODEU"/>
    <s v="Não localizado cliente código [0000286569].&lt;-ObterCliente&lt;-MontarPnrBase&lt;-ProcessarAereo&lt;-ProcessarItemFila[b]"/>
    <d v="2025-01-10T20:49:00"/>
    <m/>
    <s v="CLIENTE"/>
    <s v="CÓD. CLIENTE DIVERGENTE"/>
    <s v="CÓDIGO DIFERENTE DO CADASTRADO NO BENNER (CLIENTE X GRUPO)"/>
    <x v="1"/>
    <s v="SUPORTE OBT"/>
    <n v="1"/>
  </r>
  <r>
    <n v="3176188"/>
    <s v="SABRE"/>
    <x v="241"/>
    <s v="AZBJEL"/>
    <s v="AZBJEL"/>
    <s v="Não localizado cliente código [0000392619].&lt;-ObterCliente&lt;-MontarPnrBase&lt;-ProcessarAereo&lt;-ProcessarItemFila[b]"/>
    <d v="2025-01-13T12:05:00"/>
    <m/>
    <s v="CLIENTE"/>
    <s v="CÓD. CLIENTE DIVERGENTE"/>
    <s v="CÓDIGO DIFERENTE DO CADASTRADO NO BENNER (CLIENTE X GRUPO)"/>
    <x v="1"/>
    <s v="SUPORTE OBT"/>
    <n v="1"/>
  </r>
  <r>
    <n v="3176190"/>
    <s v="SABRE"/>
    <x v="241"/>
    <s v="EYHOWO"/>
    <s v="EYHOWO"/>
    <s v="Inserindo Accounting - (ExecSQL) - Could not convert variant of type (Null) into type (OleStr)"/>
    <d v="2025-01-13T12:06:00"/>
    <m/>
    <s v="OUTROS"/>
    <s v="ERRO NO XML"/>
    <s v=""/>
    <x v="0"/>
    <s v="SUPORTE OBT"/>
    <s v="COLUNA I"/>
  </r>
  <r>
    <n v="3176311"/>
    <s v="SABRE"/>
    <x v="242"/>
    <s v="QAYJCP"/>
    <s v="QAYJCP"/>
    <s v="Inserindo Accounting - (ExecSQL) - Could not convert variant of type (Null) into type (OleStr)"/>
    <d v="2025-01-13T13:32:00"/>
    <m/>
    <s v="OUTROS"/>
    <s v="ERRO NO XML"/>
    <s v=""/>
    <x v="0"/>
    <s v="SUPORTE OBT"/>
    <s v="COLUNA I"/>
  </r>
  <r>
    <n v="3176352"/>
    <s v="SABRE"/>
    <x v="243"/>
    <s v="AVSCANT"/>
    <s v="AVSCAN"/>
    <s v="Inserindo PNR - Accountings - TurVendas - Não foi possível localizar o contrato do fornecedor 49032"/>
    <d v="2025-01-13T14:19:00"/>
    <m/>
    <s v="FORNECEDOR"/>
    <s v="CONTRATO FORNECEDOR"/>
    <s v="CONTRATO INATIVO OU DIVERGENTE"/>
    <x v="0"/>
    <s v="OPERAÇÕES / SUPORTE KCS"/>
    <n v="43"/>
  </r>
  <r>
    <n v="3176354"/>
    <s v="SABRE"/>
    <x v="244"/>
    <s v="UGZZJJT"/>
    <s v="UGZZJJ"/>
    <s v="Inserindo PNR - Accountings - TurVendas - Não foi possível localizar o contrato do fornecedor 49032"/>
    <d v="2025-01-13T14:20:00"/>
    <m/>
    <s v="FORNECEDOR"/>
    <s v="CONTRATO FORNECEDOR"/>
    <s v="CONTRATO INATIVO OU DIVERGENTE"/>
    <x v="0"/>
    <s v="OPERAÇÕES / SUPORTE KCS"/>
    <n v="43"/>
  </r>
  <r>
    <n v="3177504"/>
    <s v="SABRE"/>
    <x v="245"/>
    <s v="QEIUFZ"/>
    <s v="QEIUFZ"/>
    <s v="Não localizado cliente com CNPJ [820120000135].&lt;-ObterCliente&lt;-MontarPnrBase&lt;-ProcessarAereo&lt;-ProcessarItemFila[b]"/>
    <d v="2025-01-13T17:18:00"/>
    <d v="2025-01-13T20:19:00"/>
    <s v="CLIENTE"/>
    <s v="REMARK - CNPJ"/>
    <s v=""/>
    <x v="2"/>
    <s v="OPERAÇÕES / SUPORTE KCS"/>
    <n v="24"/>
  </r>
  <r>
    <n v="3177505"/>
    <s v="SABRE"/>
    <x v="245"/>
    <s v="QILLPV"/>
    <s v="QILLPV"/>
    <s v="Não localizado cliente com CNPJ [820120000135].&lt;-ObterCliente&lt;-MontarPnrBase&lt;-ProcessarAereo&lt;-ProcessarItemFila[b]"/>
    <d v="2025-01-13T17:19:00"/>
    <d v="2025-01-13T20:19:00"/>
    <s v="CLIENTE"/>
    <s v="REMARK - CNPJ"/>
    <s v=""/>
    <x v="0"/>
    <s v="OPERAÇÕES / SUPORTE KCS"/>
    <n v="24"/>
  </r>
  <r>
    <n v="3177804"/>
    <s v="SABRE"/>
    <x v="245"/>
    <s v="HTZKRQ"/>
    <s v="HTZKRQ"/>
    <s v="Não localizado cliente código [1145032332].&lt;-ObterCliente&lt;-MontarPnrBase&lt;-ProcessarAereo&lt;-ProcessarItemFila[b]"/>
    <d v="2025-01-13T20:20:00"/>
    <m/>
    <s v="CLIENTE"/>
    <s v="CÓD. CLIENTE DIVERGENTE"/>
    <s v="CÓDIGO DIFERENTE DO CADASTRADO NO BENNER (CLIENTE X GRUPO)"/>
    <x v="1"/>
    <s v="SUPORTE OBT"/>
    <n v="1"/>
  </r>
  <r>
    <n v="3177807"/>
    <s v="SABRE"/>
    <x v="245"/>
    <s v="UZPNOR"/>
    <s v="UZPNOR"/>
    <s v="Código de cliente não identificado&lt;-ObterCliente&lt;-MontarPnrBase&lt;-ProcessarAereo&lt;-ProcessarItemFila[b]"/>
    <d v="2025-01-13T20:20:00"/>
    <m/>
    <s v="CLIENTE"/>
    <s v="CLIENTE NÃO IDENTIFICADO"/>
    <s v="DK DE CLIENTE NÃO PREENCIDO / CLIENTE NÃO CONFIGURADO NO OBT"/>
    <x v="2"/>
    <s v="OPERAÇÕES / SUPORTE KCS"/>
    <s v="COLUNA I"/>
  </r>
  <r>
    <n v="3177811"/>
    <s v="SABRE"/>
    <x v="245"/>
    <s v="QMHCKV"/>
    <s v="QMHCKV"/>
    <s v="Não localizado cliente código [0000583808].&lt;-ObterCliente&lt;-MontarPnrBase&lt;-ProcessarAereo&lt;-ProcessarItemFila[b]"/>
    <d v="2025-01-13T20:21:00"/>
    <m/>
    <s v="CLIENTE"/>
    <s v="CÓD. CLIENTE DIVERGENTE"/>
    <s v="CÓDIGO DIFERENTE DO CADASTRADO NO BENNER (CLIENTE X GRUPO)"/>
    <x v="1"/>
    <s v="SUPORTE OBT"/>
    <n v="1"/>
  </r>
  <r>
    <n v="3177814"/>
    <s v="SABRE"/>
    <x v="245"/>
    <s v="YVOMEQ"/>
    <s v="YVOMEQ"/>
    <s v="Não localizado cliente código [1234567890].&lt;-ObterCliente&lt;-MontarPnrBase&lt;-ProcessarAereo&lt;-ProcessarItemFila[b]"/>
    <d v="2025-01-13T20:21:00"/>
    <m/>
    <s v="CLIENTE"/>
    <s v="CÓD. CLIENTE DIVERGENTE"/>
    <s v="CÓDIGO DIFERENTE DO CADASTRADO NO BENNER (CLIENTE X GRUPO)"/>
    <x v="1"/>
    <s v="SUPORTE OBT"/>
    <n v="1"/>
  </r>
  <r>
    <n v="3177816"/>
    <s v="SABRE"/>
    <x v="245"/>
    <s v="QKKCWB"/>
    <s v="QKKCWB"/>
    <s v="Código de cliente não identificado&lt;-ObterCliente&lt;-MontarPnrBase&lt;-ProcessarAereo&lt;-ProcessarItemFila[b]"/>
    <d v="2025-01-13T20:22:00"/>
    <m/>
    <s v="CLIENTE"/>
    <s v="CLIENTE NÃO IDENTIFICADO"/>
    <s v="DK DE CLIENTE NÃO PREENCIDO / CLIENTE NÃO CONFIGURADO NO OBT"/>
    <x v="2"/>
    <s v="OPERAÇÕES / SUPORTE KCS"/>
    <s v="COLUNA I"/>
  </r>
  <r>
    <n v="3177817"/>
    <s v="SABRE"/>
    <x v="246"/>
    <s v="HFZIQG"/>
    <s v="HFZIQG"/>
    <s v="Não localizado cliente com CNPJ [820120000135].&lt;-ObterCliente&lt;-MontarPnrBase&lt;-ProcessarAereo&lt;-ProcessarItemFila[b]"/>
    <d v="2025-01-13T20:22:00"/>
    <d v="2025-01-14T10:03:00"/>
    <s v="CLIENTE"/>
    <s v="REMARK - CNPJ"/>
    <s v=""/>
    <x v="1"/>
    <s v="OPERAÇÕES / SUPORTE KCS"/>
    <n v="24"/>
  </r>
  <r>
    <n v="3177818"/>
    <s v="SABRE"/>
    <x v="247"/>
    <s v="ILMQQU"/>
    <s v="ILMQQU"/>
    <s v="Não localizado cliente código [0000063625].&lt;-ObterCliente&lt;-MontarPnrBase&lt;-ProcessarAereo&lt;-ProcessarItemFila[b]"/>
    <d v="2025-01-13T20:22:00"/>
    <d v="2025-01-13T20:33:00"/>
    <s v="CLIENTE"/>
    <s v="CÓD. CLIENTE DIVERGENTE"/>
    <s v="CÓDIGO DIFERENTE DO CADASTRADO NO BENNER (CLIENTE X GRUPO)"/>
    <x v="1"/>
    <s v="SUPORTE OBT"/>
    <n v="1"/>
  </r>
  <r>
    <n v="3177819"/>
    <s v="SABRE"/>
    <x v="245"/>
    <s v="KOXXSW"/>
    <s v="KOXXSW"/>
    <s v="Não localizado cliente código [0000583808].&lt;-ObterCliente&lt;-MontarPnrBase&lt;-ProcessarAereo&lt;-ProcessarItemFila[b]"/>
    <d v="2025-01-13T20:22:00"/>
    <m/>
    <s v="CLIENTE"/>
    <s v="CÓD. CLIENTE DIVERGENTE"/>
    <s v="CÓDIGO DIFERENTE DO CADASTRADO NO BENNER (CLIENTE X GRUPO)"/>
    <x v="1"/>
    <s v="SUPORTE OBT"/>
    <n v="1"/>
  </r>
  <r>
    <n v="3178775"/>
    <s v="TMS"/>
    <x v="248"/>
    <n v="459"/>
    <n v="459"/>
    <s v="Preenchendo XML Serviço-&gt; Preenchendo XML-&gt; Montando accounting aereo 3-&gt;Reserva KOXXSW não encontrada para importar assento/bagagem!"/>
    <d v="2025-01-14T09:21:00"/>
    <d v="2025-01-17T22:50:00"/>
    <s v="OUTROS"/>
    <s v="ASSENTO / BAGAGEM"/>
    <s v="CAMPO OBSERVAÇÃO PREENCHIDO INCORRETAMENTE"/>
    <x v="1"/>
    <s v="OPERAÇÕES / SUPORTE KCS"/>
    <n v="127"/>
  </r>
  <r>
    <n v="3178776"/>
    <s v="TMS"/>
    <x v="249"/>
    <n v="454"/>
    <n v="454"/>
    <s v="Preenchendo XML Serviço-&gt; Preenchendo XML-&gt; Montando accounting aereo 3-&gt;Reserva KOXXSW não encontrada para importar assento/bagagem!"/>
    <d v="2025-01-14T09:21:00"/>
    <d v="2025-01-17T22:50:00"/>
    <s v="OUTROS"/>
    <s v="ASSENTO / BAGAGEM"/>
    <s v="CAMPO OBSERVAÇÃO PREENCHIDO INCORRETAMENTE"/>
    <x v="1"/>
    <s v="OPERAÇÕES / SUPORTE KCS"/>
    <n v="127"/>
  </r>
  <r>
    <n v="3178777"/>
    <s v="TMS"/>
    <x v="250"/>
    <n v="452"/>
    <n v="452"/>
    <s v="Preenchendo XML Serviço-&gt; Preenchendo XML-&gt; Montando accounting aereo 3-&gt;Reserva KOXXSW não encontrada para importar assento/bagagem!"/>
    <d v="2025-01-14T09:21:00"/>
    <d v="2025-01-17T22:50:00"/>
    <s v="OUTROS"/>
    <s v="ASSENTO / BAGAGEM"/>
    <s v="CAMPO OBSERVAÇÃO PREENCHIDO INCORRETAMENTE"/>
    <x v="1"/>
    <s v="OPERAÇÕES / SUPORTE KCS"/>
    <n v="127"/>
  </r>
  <r>
    <n v="3178964"/>
    <s v="SABRE"/>
    <x v="251"/>
    <s v="FQORIY"/>
    <s v="FQORIY"/>
    <s v="Não localizado cliente com CNPJ [820120000135].&lt;-ObterCliente&lt;-MontarPnrBase&lt;-ProcessarAereo&lt;-ProcessarItemFila[b]"/>
    <d v="2025-01-14T11:02:00"/>
    <d v="2025-01-14T16:18:00"/>
    <s v="CLIENTE"/>
    <s v="REMARK - CNPJ"/>
    <s v=""/>
    <x v="1"/>
    <s v="OPERAÇÕES / SUPORTE KCS"/>
    <n v="24"/>
  </r>
  <r>
    <n v="3179894"/>
    <s v="SABRE"/>
    <x v="251"/>
    <s v="YAORMN"/>
    <s v="YAORMN"/>
    <s v="Não localizado cliente código [1234567890].&lt;-ObterCliente&lt;-MontarPnrBase&lt;-ProcessarAereo&lt;-ProcessarItemFila[b]"/>
    <d v="2025-01-14T16:20:00"/>
    <m/>
    <s v="CLIENTE"/>
    <s v="CÓD. CLIENTE DIVERGENTE"/>
    <s v="CÓDIGO DIFERENTE DO CADASTRADO NO BENNER (CLIENTE X GRUPO)"/>
    <x v="1"/>
    <s v="SUPORTE OBT"/>
    <n v="1"/>
  </r>
  <r>
    <n v="3179899"/>
    <s v="SABRE"/>
    <x v="251"/>
    <s v="GHJZQG"/>
    <s v="GHJZQG"/>
    <s v="Não localizado cliente com CNPJ [8373694000114].&lt;-ObterCliente&lt;-MontarPnrBase&lt;-ProcessarAereo&lt;-ProcessarItemFila[b]"/>
    <d v="2025-01-14T16:21:00"/>
    <m/>
    <s v="CLIENTE"/>
    <s v="REMARK - CNPJ"/>
    <s v=""/>
    <x v="1"/>
    <s v="OPERAÇÕES / SUPORTE KCS"/>
    <n v="24"/>
  </r>
  <r>
    <n v="3180489"/>
    <s v="SABRE"/>
    <x v="252"/>
    <s v="CDVMNIT"/>
    <s v="CDVMNI"/>
    <s v="Inserindo PNR - Accountings - TurVendas - Não foi possível localizar o contrato do fornecedor 49032"/>
    <d v="2025-01-14T17:50:00"/>
    <m/>
    <s v="FORNECEDOR"/>
    <s v="CONTRATO FORNECEDOR"/>
    <s v="CONTRATO INATIVO OU DIVERGENTE"/>
    <x v="0"/>
    <s v="OPERAÇÕES / SUPORTE KCS"/>
    <n v="43"/>
  </r>
  <r>
    <n v="3180534"/>
    <s v="SABRE"/>
    <x v="253"/>
    <s v="COPUFF"/>
    <s v="COPUFF"/>
    <s v="Não localizado cliente com CNPJ [8373694000114].&lt;-ObterCliente&lt;-MontarPnrBase&lt;-ProcessarAereo&lt;-ProcessarItemFila[b]"/>
    <d v="2025-01-14T18:19:00"/>
    <m/>
    <s v="CLIENTE"/>
    <s v="REMARK - CNPJ"/>
    <s v=""/>
    <x v="1"/>
    <s v="OPERAÇÕES / SUPORTE KCS"/>
    <n v="24"/>
  </r>
  <r>
    <n v="3180572"/>
    <s v="GOVER"/>
    <x v="254"/>
    <n v="4471995"/>
    <s v="MVBHOT"/>
    <s v="Inserindo PNR - Accountings - TurVendas - Não foi possível localizar o contrato do fornecedor PK"/>
    <d v="2025-01-14T18:45:00"/>
    <d v="2025-02-11T09:54:00"/>
    <s v="FORNECEDOR"/>
    <s v="CONTRATO FORNECEDOR"/>
    <s v="CONTRATO INATIVO OU DIVERGENTE"/>
    <x v="0"/>
    <s v="OPERAÇÕES / SUPORTE KCS"/>
    <n v="43"/>
  </r>
  <r>
    <n v="3180642"/>
    <s v="SABRE"/>
    <x v="255"/>
    <s v="YEHCVD"/>
    <s v="YEHCVD"/>
    <s v="Inserindo Accounting - (ExecSQL) - Could not convert variant of type (Null) into type (OleStr)"/>
    <d v="2025-01-14T20:18:00"/>
    <d v="2025-01-20T20:34:00"/>
    <s v="OUTROS"/>
    <s v="ERRO NO XML"/>
    <s v=""/>
    <x v="0"/>
    <s v="SUPORTE OBT"/>
    <s v="COLUNA I"/>
  </r>
  <r>
    <n v="3180643"/>
    <s v="SABRE"/>
    <x v="256"/>
    <s v="ILHKHA"/>
    <s v="ILHKHA"/>
    <s v="Não localizado cliente código [0000063625].&lt;-ObterCliente&lt;-MontarPnrBase&lt;-ProcessarAereo&lt;-ProcessarItemFila[b]"/>
    <d v="2025-01-14T20:18:00"/>
    <m/>
    <s v="CLIENTE"/>
    <s v="CÓD. CLIENTE DIVERGENTE"/>
    <s v="CÓDIGO DIFERENTE DO CADASTRADO NO BENNER (CLIENTE X GRUPO)"/>
    <x v="1"/>
    <s v="SUPORTE OBT"/>
    <n v="1"/>
  </r>
  <r>
    <n v="3180644"/>
    <s v="SABRE"/>
    <x v="256"/>
    <s v="WXEOGL"/>
    <s v="WXEOGL"/>
    <s v="Código de cliente não identificado&lt;-ObterCliente&lt;-MontarPnrBase&lt;-ProcessarAereo&lt;-ProcessarItemFila[b]"/>
    <d v="2025-01-14T20:18:00"/>
    <m/>
    <s v="CLIENTE"/>
    <s v="CLIENTE NÃO IDENTIFICADO"/>
    <s v="DK DE CLIENTE NÃO PREENCIDO / CLIENTE NÃO CONFIGURADO NO OBT"/>
    <x v="2"/>
    <s v="OPERAÇÕES / SUPORTE KCS"/>
    <s v="COLUNA I"/>
  </r>
  <r>
    <n v="3181775"/>
    <s v="SABRE"/>
    <x v="257"/>
    <s v="DBLLXKT"/>
    <s v="DBLLXK"/>
    <s v="Inserindo PNR - Accountings - TurVendas - Não foi possível localizar o contrato do fornecedor 49032"/>
    <d v="2025-01-15T11:34:00"/>
    <m/>
    <s v="FORNECEDOR"/>
    <s v="CONTRATO FORNECEDOR"/>
    <s v="CONTRATO INATIVO OU DIVERGENTE"/>
    <x v="0"/>
    <s v="OPERAÇÕES / SUPORTE KCS"/>
    <n v="43"/>
  </r>
  <r>
    <n v="3183041"/>
    <s v="SABRE"/>
    <x v="258"/>
    <s v="DBNKSR"/>
    <s v="DBNKSR"/>
    <s v="Não localizado cliente com CNPJ [820120000135].&lt;-ObterCliente&lt;-MontarPnrBase&lt;-ProcessarAereo&lt;-ProcessarItemFila[b]"/>
    <d v="2025-01-15T17:20:00"/>
    <m/>
    <s v="CLIENTE"/>
    <s v="REMARK - CNPJ"/>
    <s v=""/>
    <x v="1"/>
    <s v="OPERAÇÕES / SUPORTE KCS"/>
    <n v="24"/>
  </r>
  <r>
    <n v="3183044"/>
    <s v="SABRE"/>
    <x v="258"/>
    <s v="JSOGFX"/>
    <s v="JSOGFX"/>
    <s v="Não localizado cliente com CNPJ [820120000135].&lt;-ObterCliente&lt;-MontarPnrBase&lt;-ProcessarAereo&lt;-ProcessarItemFila[b]"/>
    <d v="2025-01-15T17:21:00"/>
    <m/>
    <s v="CLIENTE"/>
    <s v="REMARK - CNPJ"/>
    <s v=""/>
    <x v="3"/>
    <s v="OPERAÇÕES / SUPORTE KCS"/>
    <n v="24"/>
  </r>
  <r>
    <n v="3183083"/>
    <s v="SABRE"/>
    <x v="258"/>
    <s v="UUIZQN"/>
    <s v="UUIZQN"/>
    <s v="Não localizado cliente código [1234567890].&lt;-ObterCliente&lt;-MontarPnrBase&lt;-ProcessarAereo&lt;-ProcessarItemFila[b]"/>
    <d v="2025-01-15T17:25:00"/>
    <m/>
    <s v="CLIENTE"/>
    <s v="CÓD. CLIENTE DIVERGENTE"/>
    <s v="CÓDIGO DIFERENTE DO CADASTRADO NO BENNER (CLIENTE X GRUPO)"/>
    <x v="1"/>
    <s v="SUPORTE OBT"/>
    <n v="1"/>
  </r>
  <r>
    <n v="3183101"/>
    <s v="SABRE"/>
    <x v="258"/>
    <s v="OHQQHX"/>
    <s v="OHQQHX"/>
    <s v="Não localizado cliente código [0000392619].&lt;-ObterCliente&lt;-MontarPnrBase&lt;-ProcessarAereo&lt;-ProcessarItemFila[b]"/>
    <d v="2025-01-15T17:28:00"/>
    <m/>
    <s v="CLIENTE"/>
    <s v="CÓD. CLIENTE DIVERGENTE"/>
    <s v="CÓDIGO DIFERENTE DO CADASTRADO NO BENNER (CLIENTE X GRUPO)"/>
    <x v="1"/>
    <s v="SUPORTE OBT"/>
    <n v="1"/>
  </r>
  <r>
    <n v="3183103"/>
    <s v="SABRE"/>
    <x v="259"/>
    <s v="DZCQSR"/>
    <s v="DZCQSR"/>
    <s v="Não localizado cliente com CNPJ [820120000135].&lt;-ObterCliente&lt;-MontarPnrBase&lt;-ProcessarAereo&lt;-ProcessarItemFila[b]"/>
    <d v="2025-01-15T17:29:00"/>
    <d v="2025-01-15T17:48:00"/>
    <s v="CLIENTE"/>
    <s v="REMARK - CNPJ"/>
    <s v=""/>
    <x v="1"/>
    <s v="OPERAÇÕES / SUPORTE KCS"/>
    <n v="24"/>
  </r>
  <r>
    <n v="3183105"/>
    <s v="SABRE"/>
    <x v="258"/>
    <s v="OAFPQC"/>
    <s v="OAFPQC"/>
    <s v="Não localizado cliente código [2145032332].&lt;-ObterCliente&lt;-MontarPnrBase&lt;-ProcessarAereo&lt;-ProcessarItemFila[b]"/>
    <d v="2025-01-15T17:29:00"/>
    <m/>
    <s v="CLIENTE"/>
    <s v="CÓD. CLIENTE DIVERGENTE"/>
    <s v="CÓDIGO DIFERENTE DO CADASTRADO NO BENNER (CLIENTE X GRUPO)"/>
    <x v="1"/>
    <s v="SUPORTE OBT"/>
    <n v="1"/>
  </r>
  <r>
    <n v="3183174"/>
    <s v="SABRE"/>
    <x v="260"/>
    <s v="IFCIXLT"/>
    <s v="IFCIXL"/>
    <s v="Código de cliente não identificado&lt;-ObterCliente&lt;-MontarPnrBase&lt;-MontarPnr&lt;-ProcessarHotel&lt;-ProcessarItemFila[b]"/>
    <d v="2025-01-15T17:51:00"/>
    <m/>
    <s v="CLIENTE"/>
    <s v="CLIENTE NÃO IDENTIFICADO"/>
    <s v="DK DE CLIENTE NÃO PREENCIDO / CLIENTE NÃO CONFIGURADO NO OBT"/>
    <x v="2"/>
    <s v="OPERAÇÕES / SUPORTE KCS"/>
    <s v="COLUNA I"/>
  </r>
  <r>
    <n v="3183289"/>
    <s v="SABRE"/>
    <x v="261"/>
    <s v="HOGPDAT"/>
    <s v="HOGPDA"/>
    <s v="Inserindo PNR - Accountings - TurVendas - Não foi possível localizar o contrato do fornecedor 49032"/>
    <d v="2025-01-15T18:35:00"/>
    <m/>
    <s v="FORNECEDOR"/>
    <s v="CONTRATO FORNECEDOR"/>
    <s v="CONTRATO INATIVO OU DIVERGENTE"/>
    <x v="0"/>
    <s v="OPERAÇÕES / SUPORTE KCS"/>
    <n v="43"/>
  </r>
  <r>
    <n v="3183363"/>
    <s v="SABRE"/>
    <x v="262"/>
    <s v="UIMUOD"/>
    <s v="UIMUOD"/>
    <s v="Inserindo Accounting - (ExecSQL) - Could not convert variant of type (Null) into type (OleStr)"/>
    <d v="2025-01-15T19:35:00"/>
    <d v="2025-03-07T20:49:00"/>
    <s v="OUTROS"/>
    <s v="ERRO NO XML"/>
    <s v=""/>
    <x v="0"/>
    <s v="SUPORTE OBT"/>
    <s v="COLUNA I"/>
  </r>
  <r>
    <n v="3183393"/>
    <s v="SABRE"/>
    <x v="263"/>
    <s v="CLQLHO"/>
    <s v="CLQLHO"/>
    <s v="Não localizado cliente código [0000583808].&lt;-ObterCliente&lt;-MontarPnrBase&lt;-ProcessarAereo&lt;-ProcessarItemFila[b]"/>
    <d v="2025-01-15T20:49:00"/>
    <m/>
    <s v="CLIENTE"/>
    <s v="CÓD. CLIENTE DIVERGENTE"/>
    <s v="CÓDIGO DIFERENTE DO CADASTRADO NO BENNER (CLIENTE X GRUPO)"/>
    <x v="1"/>
    <s v="SUPORTE OBT"/>
    <n v="1"/>
  </r>
  <r>
    <n v="3183395"/>
    <s v="SABRE"/>
    <x v="264"/>
    <s v="WVKYLD"/>
    <s v="WVKYLD"/>
    <s v="Não localizado cliente código [1234567890].&lt;-ObterCliente&lt;-MontarPnrBase&lt;-ProcessarAereo&lt;-ProcessarItemFila[b]"/>
    <d v="2025-01-15T20:49:00"/>
    <d v="2025-01-17T20:39:00"/>
    <s v="CLIENTE"/>
    <s v="CÓD. CLIENTE DIVERGENTE"/>
    <s v="CÓDIGO DIFERENTE DO CADASTRADO NO BENNER (CLIENTE X GRUPO)"/>
    <x v="1"/>
    <s v="SUPORTE OBT"/>
    <n v="1"/>
  </r>
  <r>
    <n v="3183396"/>
    <s v="SABRE"/>
    <x v="263"/>
    <s v="ACGUKN"/>
    <s v="ACGUKN"/>
    <s v="Não localizado cliente código [1234567890].&lt;-ObterCliente&lt;-MontarPnrBase&lt;-ProcessarAereo&lt;-ProcessarItemFila[b]"/>
    <d v="2025-01-15T20:50:00"/>
    <m/>
    <s v="CLIENTE"/>
    <s v="CÓD. CLIENTE DIVERGENTE"/>
    <s v="CÓDIGO DIFERENTE DO CADASTRADO NO BENNER (CLIENTE X GRUPO)"/>
    <x v="1"/>
    <s v="SUPORTE OBT"/>
    <n v="1"/>
  </r>
  <r>
    <n v="3183402"/>
    <s v="SABRE"/>
    <x v="263"/>
    <s v="AUOZUQ"/>
    <s v="AUOZUQ"/>
    <s v="Código de cliente não identificado&lt;-ObterCliente&lt;-MontarPnrBase&lt;-ProcessarAereo&lt;-ProcessarItemFila[b]"/>
    <d v="2025-01-15T20:50:00"/>
    <m/>
    <s v="CLIENTE"/>
    <s v="CLIENTE NÃO IDENTIFICADO"/>
    <s v="DK DE CLIENTE NÃO PREENCIDO / CLIENTE NÃO CONFIGURADO NO OBT"/>
    <x v="2"/>
    <s v="OPERAÇÕES / SUPORTE KCS"/>
    <s v="COLUNA I"/>
  </r>
  <r>
    <n v="3183404"/>
    <s v="SABRE"/>
    <x v="263"/>
    <s v="LKXCLM"/>
    <s v="LKXCLM"/>
    <s v="Código de cliente não identificado&lt;-ObterCliente&lt;-MontarPnrBase&lt;-ProcessarAereo&lt;-ProcessarItemFila[b]"/>
    <d v="2025-01-15T20:51:00"/>
    <m/>
    <s v="CLIENTE"/>
    <s v="CLIENTE NÃO IDENTIFICADO"/>
    <s v="DK DE CLIENTE NÃO PREENCIDO / CLIENTE NÃO CONFIGURADO NO OBT"/>
    <x v="2"/>
    <s v="OPERAÇÕES / SUPORTE KCS"/>
    <s v="COLUNA I"/>
  </r>
  <r>
    <n v="3183407"/>
    <s v="SABRE"/>
    <x v="263"/>
    <s v="CLLQQF"/>
    <s v="CLLQQF"/>
    <s v="Não localizado cliente código [0000583808].&lt;-ObterCliente&lt;-MontarPnrBase&lt;-ProcessarAereo&lt;-ProcessarItemFila[b]"/>
    <d v="2025-01-15T20:51:00"/>
    <m/>
    <s v="CLIENTE"/>
    <s v="CÓD. CLIENTE DIVERGENTE"/>
    <s v="CÓDIGO DIFERENTE DO CADASTRADO NO BENNER (CLIENTE X GRUPO)"/>
    <x v="1"/>
    <s v="SUPORTE OBT"/>
    <n v="1"/>
  </r>
  <r>
    <n v="3183411"/>
    <s v="SABRE"/>
    <x v="263"/>
    <s v="IHZJKP"/>
    <s v="IHZJKP"/>
    <s v="Código de cliente não identificado&lt;-ObterCliente&lt;-MontarPnrBase&lt;-ProcessarAereo&lt;-ProcessarItemFila[b]"/>
    <d v="2025-01-15T20:51:00"/>
    <m/>
    <s v="CLIENTE"/>
    <s v="CLIENTE NÃO IDENTIFICADO"/>
    <s v="DK DE CLIENTE NÃO PREENCIDO / CLIENTE NÃO CONFIGURADO NO OBT"/>
    <x v="2"/>
    <s v="OPERAÇÕES / SUPORTE KCS"/>
    <s v="COLUNA I"/>
  </r>
  <r>
    <n v="3184309"/>
    <s v="TMS"/>
    <x v="265"/>
    <n v="518"/>
    <n v="518"/>
    <s v="Preenchendo XML Serviço-&gt; Preenchendo XML-&gt; Montando accounting aereo 2-&gt;Não foi informado o Localizador do Assento/Bagagem!"/>
    <d v="2025-01-16T10:10:00"/>
    <d v="2025-02-04T08:43:00"/>
    <s v="OUTROS"/>
    <s v="ASSENTO / BAGAGEM"/>
    <s v="CAMPO OBSERVAÇÃO PREENCHIDO INCORRETAMENTE"/>
    <x v="1"/>
    <s v="OPERAÇÕES / SUPORTE KCS"/>
    <n v="118"/>
  </r>
  <r>
    <n v="3186594"/>
    <s v="SABRE"/>
    <x v="266"/>
    <s v="CAUHKT"/>
    <s v="CAUHKT"/>
    <s v="Código de cliente não identificado&lt;-ObterCliente&lt;-MontarPnrBase&lt;-ProcessarAereo&lt;-ProcessarItemFila[b]"/>
    <d v="2025-01-16T20:48:00"/>
    <m/>
    <s v="CLIENTE"/>
    <s v="CLIENTE NÃO IDENTIFICADO"/>
    <s v="DK DE CLIENTE NÃO PREENCIDO / CLIENTE NÃO CONFIGURADO NO OBT"/>
    <x v="2"/>
    <s v="OPERAÇÕES / SUPORTE KCS"/>
    <s v="COLUNA I"/>
  </r>
  <r>
    <n v="3186602"/>
    <s v="SABRE"/>
    <x v="266"/>
    <s v="QBJAPU"/>
    <s v="QBJAPU"/>
    <s v="Não localizado cliente com CNPJ [3001068000183].&lt;-ObterCliente&lt;-MontarPnrBase&lt;-ProcessarAereo&lt;-ProcessarItemFila[b]"/>
    <d v="2025-01-16T20:49:00"/>
    <m/>
    <s v="CLIENTE"/>
    <s v="REMARK - CNPJ"/>
    <s v=""/>
    <x v="1"/>
    <s v="OPERAÇÕES / SUPORTE KCS"/>
    <n v="24"/>
  </r>
  <r>
    <n v="3186603"/>
    <s v="SABRE"/>
    <x v="266"/>
    <s v="DYAUIW"/>
    <s v="DYAUIW"/>
    <s v="Não localizado cliente com CNPJ [2877632000406].&lt;-ObterCliente&lt;-MontarPnrBase&lt;-ProcessarAereo&lt;-ProcessarItemFila[b]"/>
    <d v="2025-01-16T20:50:00"/>
    <m/>
    <s v="CLIENTE"/>
    <s v="REMARK - CNPJ"/>
    <s v=""/>
    <x v="3"/>
    <s v="OPERAÇÕES / SUPORTE KCS"/>
    <n v="24"/>
  </r>
  <r>
    <n v="3186604"/>
    <s v="SABRE"/>
    <x v="266"/>
    <s v="FPKFJP"/>
    <s v="FPKFJP"/>
    <s v="Inserindo Accounting - (ExecSQL) - Could not convert variant of type (Null) into type (OleStr)"/>
    <d v="2025-01-16T20:50:00"/>
    <m/>
    <s v="OUTROS"/>
    <s v="ERRO NO XML"/>
    <s v=""/>
    <x v="0"/>
    <s v="SUPORTE OBT"/>
    <s v="COLUNA I"/>
  </r>
  <r>
    <n v="3186605"/>
    <s v="SABRE"/>
    <x v="266"/>
    <s v="SWHFMW"/>
    <s v="SWHFMW"/>
    <s v="Inserindo Accounting - (ExecSQL) - Could not convert variant of type (Null) into type (OleStr)"/>
    <d v="2025-01-16T20:50:00"/>
    <m/>
    <s v="OUTROS"/>
    <s v="ERRO NO XML"/>
    <s v=""/>
    <x v="0"/>
    <s v="SUPORTE OBT"/>
    <s v="COLUNA I"/>
  </r>
  <r>
    <n v="3186616"/>
    <s v="SABRE"/>
    <x v="266"/>
    <s v="FYRNLY"/>
    <s v="FYRNLY"/>
    <s v="Não localizado cliente código [0000000].&lt;-ObterCliente&lt;-MontarPnrBase&lt;-ProcessarAereo&lt;-ProcessarItemFila[b]"/>
    <d v="2025-01-16T20:52:00"/>
    <m/>
    <s v="CLIENTE"/>
    <s v="CÓD. CLIENTE DIVERGENTE"/>
    <s v="CÓDIGO DIFERENTE DO CADASTRADO NO BENNER (CLIENTE X GRUPO)"/>
    <x v="1"/>
    <s v="SUPORTE OBT"/>
    <n v="1"/>
  </r>
  <r>
    <n v="3186625"/>
    <s v="SABRE"/>
    <x v="266"/>
    <s v="ALWGDU"/>
    <s v="ALWGDU"/>
    <s v="Não localizado cliente com CNPJ [820120000135].&lt;-ObterCliente&lt;-MontarPnrBase&lt;-ProcessarAereo&lt;-ProcessarItemFila[b]"/>
    <d v="2025-01-16T20:53:00"/>
    <m/>
    <s v="CLIENTE"/>
    <s v="REMARK - CNPJ"/>
    <s v=""/>
    <x v="1"/>
    <s v="OPERAÇÕES / SUPORTE KCS"/>
    <n v="24"/>
  </r>
  <r>
    <n v="3186626"/>
    <s v="SABRE"/>
    <x v="266"/>
    <s v="YVYRPN"/>
    <s v="YVYRPN"/>
    <s v="Não localizado cliente com CNPJ [357038000116].&lt;-ObterCliente&lt;-MontarPnrBase&lt;-ProcessarAereo&lt;-ProcessarItemFila[b]"/>
    <d v="2025-01-16T20:54:00"/>
    <m/>
    <s v="CLIENTE"/>
    <s v="REMARK - CNPJ"/>
    <s v=""/>
    <x v="2"/>
    <s v="OPERAÇÕES / SUPORTE KCS"/>
    <n v="24"/>
  </r>
  <r>
    <n v="3187473"/>
    <s v="SABRE"/>
    <x v="267"/>
    <s v="JTRDJI"/>
    <s v="JTRDJI"/>
    <s v="Não localizado cliente com CNPJ [820120000135].&lt;-ObterCliente&lt;-MontarPnrBase&lt;-ProcessarAereo&lt;-ProcessarItemFila[b]"/>
    <d v="2025-01-17T11:53:00"/>
    <m/>
    <s v="CLIENTE"/>
    <s v="REMARK - CNPJ"/>
    <s v=""/>
    <x v="2"/>
    <s v="OPERAÇÕES / SUPORTE KCS"/>
    <n v="24"/>
  </r>
  <r>
    <n v="3187474"/>
    <s v="SABRE"/>
    <x v="267"/>
    <s v="JSPQSP"/>
    <s v="JSPQSP"/>
    <s v="Não localizado cliente código [0000035945].&lt;-ObterCliente&lt;-MontarPnrBase&lt;-ProcessarAereo&lt;-ProcessarItemFila[b]"/>
    <d v="2025-01-17T11:53:00"/>
    <m/>
    <s v="CLIENTE"/>
    <s v="CÓD. CLIENTE DIVERGENTE"/>
    <s v="CÓDIGO DIFERENTE DO CADASTRADO NO BENNER (CLIENTE X GRUPO)"/>
    <x v="1"/>
    <s v="SUPORTE OBT"/>
    <n v="1"/>
  </r>
  <r>
    <n v="3187570"/>
    <s v="SABRE"/>
    <x v="264"/>
    <s v="CHVGBM"/>
    <s v="CHVGBM"/>
    <s v="Não localizado cliente com CNPJ [820120000135].&lt;-ObterCliente&lt;-MontarPnrBase&lt;-ProcessarAereo&lt;-ProcessarItemFila[b]"/>
    <d v="2025-01-17T15:32:00"/>
    <d v="2025-01-17T20:37:00"/>
    <s v="CLIENTE"/>
    <s v="REMARK - CNPJ"/>
    <s v=""/>
    <x v="1"/>
    <s v="OPERAÇÕES / SUPORTE KCS"/>
    <n v="24"/>
  </r>
  <r>
    <n v="3187595"/>
    <s v="SABRE"/>
    <x v="268"/>
    <s v="GIUBOM"/>
    <s v="GIUBOM"/>
    <s v="Código de cliente não identificado&lt;-ObterCliente&lt;-MontarPnrBase&lt;-ProcessarAereo&lt;-ProcessarItemFila[b]"/>
    <d v="2025-01-17T16:05:00"/>
    <m/>
    <s v="CLIENTE"/>
    <s v="CLIENTE NÃO IDENTIFICADO"/>
    <s v="DK DE CLIENTE NÃO PREENCIDO / CLIENTE NÃO CONFIGURADO NO OBT"/>
    <x v="2"/>
    <s v="OPERAÇÕES / SUPORTE KCS"/>
    <s v="COLUNA I"/>
  </r>
  <r>
    <n v="3187758"/>
    <s v="SABRE"/>
    <x v="269"/>
    <s v="IUSOQS"/>
    <s v="IUSOQS"/>
    <s v="Não localizado cliente com CNPJ [820120000135].&lt;-ObterCliente&lt;-MontarPnrBase&lt;-ProcessarAereo&lt;-ProcessarItemFila[b]"/>
    <d v="2025-01-17T16:33:00"/>
    <m/>
    <s v="CLIENTE"/>
    <s v="REMARK - CNPJ"/>
    <s v=""/>
    <x v="1"/>
    <s v="OPERAÇÕES / SUPORTE KCS"/>
    <n v="24"/>
  </r>
  <r>
    <n v="3187900"/>
    <s v="SABRE"/>
    <x v="270"/>
    <s v="EAXFFY"/>
    <s v="EAXFFY"/>
    <s v="Código de cliente não identificado&lt;-ObterCliente&lt;-MontarPnrBase&lt;-ProcessarAereo&lt;-ProcessarItemFila[b]"/>
    <d v="2025-01-17T16:50:00"/>
    <m/>
    <s v="CLIENTE"/>
    <s v="CLIENTE NÃO IDENTIFICADO"/>
    <s v="DK DE CLIENTE NÃO PREENCIDO / CLIENTE NÃO CONFIGURADO NO OBT"/>
    <x v="2"/>
    <s v="OPERAÇÕES / SUPORTE KCS"/>
    <s v="COLUNA I"/>
  </r>
  <r>
    <n v="3188615"/>
    <s v="SABRE"/>
    <x v="264"/>
    <s v="IYOHBB"/>
    <s v="IYOHBB"/>
    <s v="Não localizado cliente com CNPJ [3001068000183].&lt;-ObterCliente&lt;-MontarPnrBase&lt;-ProcessarAereo&lt;-ProcessarItemFila[b]"/>
    <d v="2025-01-17T20:35:00"/>
    <m/>
    <s v="CLIENTE"/>
    <s v="REMARK - CNPJ"/>
    <s v=""/>
    <x v="1"/>
    <s v="OPERAÇÕES / SUPORTE KCS"/>
    <n v="24"/>
  </r>
  <r>
    <n v="3188619"/>
    <s v="SABRE"/>
    <x v="264"/>
    <s v="YMZGRO"/>
    <s v="YMZGRO"/>
    <s v="Não localizado cliente com CNPJ [3001068000183].&lt;-ObterCliente&lt;-MontarPnrBase&lt;-ProcessarAereo&lt;-ProcessarItemFila[b]"/>
    <d v="2025-01-17T20:36:00"/>
    <m/>
    <s v="CLIENTE"/>
    <s v="REMARK - CNPJ"/>
    <s v=""/>
    <x v="3"/>
    <s v="OPERAÇÕES / SUPORTE KCS"/>
    <n v="24"/>
  </r>
  <r>
    <n v="3188620"/>
    <s v="SABRE"/>
    <x v="264"/>
    <s v="JQZYNT"/>
    <s v="JQZYNT"/>
    <s v="Não localizado cliente com CNPJ [3001068000183].&lt;-ObterCliente&lt;-MontarPnrBase&lt;-ProcessarAereo&lt;-ProcessarItemFila[b]"/>
    <d v="2025-01-17T20:36:00"/>
    <m/>
    <s v="CLIENTE"/>
    <s v="REMARK - CNPJ"/>
    <s v=""/>
    <x v="1"/>
    <s v="OPERAÇÕES / SUPORTE KCS"/>
    <n v="24"/>
  </r>
  <r>
    <n v="3188623"/>
    <s v="SABRE"/>
    <x v="264"/>
    <s v="IAOAUQ"/>
    <s v="IAOAUQ"/>
    <s v="Código de cliente não identificado&lt;-ObterCliente&lt;-MontarPnrBase&lt;-ProcessarAereo&lt;-ProcessarItemFila[b]"/>
    <d v="2025-01-17T20:37:00"/>
    <m/>
    <s v="CLIENTE"/>
    <s v="CLIENTE NÃO IDENTIFICADO"/>
    <s v="DK DE CLIENTE NÃO PREENCIDO / CLIENTE NÃO CONFIGURADO NO OBT"/>
    <x v="2"/>
    <s v="OPERAÇÕES / SUPORTE KCS"/>
    <s v="COLUNA I"/>
  </r>
  <r>
    <n v="3188628"/>
    <s v="SABRE"/>
    <x v="264"/>
    <s v="EBRLWS"/>
    <s v="EBRLWS"/>
    <s v="Não localizado cliente código [0000063625].&lt;-ObterCliente&lt;-MontarPnrBase&lt;-ProcessarAereo&lt;-ProcessarItemFila[b]"/>
    <d v="2025-01-17T20:38:00"/>
    <m/>
    <s v="CLIENTE"/>
    <s v="CÓD. CLIENTE DIVERGENTE"/>
    <s v="CÓDIGO DIFERENTE DO CADASTRADO NO BENNER (CLIENTE X GRUPO)"/>
    <x v="1"/>
    <s v="SUPORTE OBT"/>
    <n v="1"/>
  </r>
  <r>
    <n v="3188630"/>
    <s v="SABRE"/>
    <x v="264"/>
    <s v="CFOVVN"/>
    <s v="CFOVVN"/>
    <s v="Código de cliente não identificado&lt;-ObterCliente&lt;-MontarPnrBase&lt;-ProcessarAereo&lt;-ProcessarItemFila[b]"/>
    <d v="2025-01-17T20:38:00"/>
    <m/>
    <s v="CLIENTE"/>
    <s v="CLIENTE NÃO IDENTIFICADO"/>
    <s v="DK DE CLIENTE NÃO PREENCIDO / CLIENTE NÃO CONFIGURADO NO OBT"/>
    <x v="2"/>
    <s v="OPERAÇÕES / SUPORTE KCS"/>
    <s v="COLUNA I"/>
  </r>
  <r>
    <n v="3188640"/>
    <s v="SABRE"/>
    <x v="264"/>
    <s v="LBFUZO"/>
    <s v="LBFUZO"/>
    <s v="Código de cliente não identificado&lt;-ObterCliente&lt;-MontarPnrBase&lt;-ProcessarAereo&lt;-ProcessarItemFila[b]"/>
    <d v="2025-01-17T20:40:00"/>
    <m/>
    <s v="CLIENTE"/>
    <s v="CLIENTE NÃO IDENTIFICADO"/>
    <s v="DK DE CLIENTE NÃO PREENCIDO / CLIENTE NÃO CONFIGURADO NO OBT"/>
    <x v="2"/>
    <s v="OPERAÇÕES / SUPORTE KCS"/>
    <s v="COLUNA I"/>
  </r>
  <r>
    <n v="3188646"/>
    <s v="SABRE"/>
    <x v="264"/>
    <s v="SHKZPE"/>
    <s v="SHKZPE"/>
    <s v="Não localizado cliente código [0000583808].&lt;-ObterCliente&lt;-MontarPnrBase&lt;-ProcessarAereo&lt;-ProcessarItemFila[b]"/>
    <d v="2025-01-17T20:41:00"/>
    <m/>
    <s v="CLIENTE"/>
    <s v="CÓD. CLIENTE DIVERGENTE"/>
    <s v="CÓDIGO DIFERENTE DO CADASTRADO NO BENNER (CLIENTE X GRUPO)"/>
    <x v="1"/>
    <s v="SUPORTE OBT"/>
    <n v="1"/>
  </r>
  <r>
    <n v="3188648"/>
    <s v="SABRE"/>
    <x v="264"/>
    <s v="SEHUHK"/>
    <s v="SEHUHK"/>
    <s v="Não localizado cliente código [0000583808].&lt;-ObterCliente&lt;-MontarPnrBase&lt;-ProcessarAereo&lt;-ProcessarItemFila[b]"/>
    <d v="2025-01-17T20:41:00"/>
    <m/>
    <s v="CLIENTE"/>
    <s v="CÓD. CLIENTE DIVERGENTE"/>
    <s v="CÓDIGO DIFERENTE DO CADASTRADO NO BENNER (CLIENTE X GRUPO)"/>
    <x v="1"/>
    <s v="SUPORTE OBT"/>
    <n v="1"/>
  </r>
  <r>
    <n v="3188650"/>
    <s v="SABRE"/>
    <x v="264"/>
    <s v="SLRCML"/>
    <s v="SLRCML"/>
    <s v="Não localizado cliente código [0000583808].&lt;-ObterCliente&lt;-MontarPnrBase&lt;-ProcessarAereo&lt;-ProcessarItemFila[b]"/>
    <d v="2025-01-17T20:41:00"/>
    <m/>
    <s v="CLIENTE"/>
    <s v="CÓD. CLIENTE DIVERGENTE"/>
    <s v="CÓDIGO DIFERENTE DO CADASTRADO NO BENNER (CLIENTE X GRUPO)"/>
    <x v="1"/>
    <s v="SUPORTE OBT"/>
    <n v="1"/>
  </r>
  <r>
    <n v="3190149"/>
    <s v="SABRE"/>
    <x v="271"/>
    <s v="HSVMDA"/>
    <s v="HSVMDA"/>
    <s v="Não localizado cliente com CNPJ [820120000135].&lt;-ObterCliente&lt;-MontarPnrBase&lt;-ProcessarAereo&lt;-ProcessarItemFila[b]"/>
    <d v="2025-01-20T15:02:00"/>
    <d v="2025-01-20T18:22:00"/>
    <s v="CLIENTE"/>
    <s v="REMARK - CNPJ"/>
    <s v=""/>
    <x v="3"/>
    <s v="OPERAÇÕES / SUPORTE KCS"/>
    <n v="24"/>
  </r>
  <r>
    <n v="3190285"/>
    <s v="SABRE"/>
    <x v="272"/>
    <s v="YKODDWT"/>
    <s v="YKODDW"/>
    <s v="Código de cliente não identificado&lt;-ObterCliente&lt;-MontarPnrBase&lt;-MontarPnr&lt;-ProcessarHotel&lt;-ProcessarItemFila[b]"/>
    <d v="2025-01-20T17:06:00"/>
    <m/>
    <s v="CLIENTE"/>
    <s v="CLIENTE NÃO IDENTIFICADO"/>
    <s v="DK DE CLIENTE NÃO PREENCIDO / CLIENTE NÃO CONFIGURADO NO OBT"/>
    <x v="2"/>
    <s v="OPERAÇÕES / SUPORTE KCS"/>
    <s v="COLUNA I"/>
  </r>
  <r>
    <n v="3190954"/>
    <s v="TMS"/>
    <x v="273"/>
    <n v="46840"/>
    <n v="46840"/>
    <s v="Preenchendo XML Serviço-&gt; Preenchendo XML-&gt; Montando accounting aereo 3-&gt;Reserva REGULA não encontrada para importar assento/bagagem!"/>
    <d v="2025-01-20T18:21:00"/>
    <d v="2025-02-03T17:08:00"/>
    <s v="OUTROS"/>
    <s v="ASSENTO / BAGAGEM"/>
    <s v="CAMPO OBSERVAÇÃO PREENCHIDO INCORRETAMENTE"/>
    <x v="1"/>
    <s v="OPERAÇÕES / SUPORTE KCS"/>
    <n v="127"/>
  </r>
  <r>
    <n v="3190997"/>
    <s v="SABRE"/>
    <x v="271"/>
    <s v="LZSGSJ"/>
    <s v="LZSGSJ"/>
    <s v="Não localizado cliente com CNPJ [820120000135].&lt;-ObterCliente&lt;-MontarPnrBase&lt;-ProcessarAereo&lt;-ProcessarItemFila[b]"/>
    <d v="2025-01-20T18:24:00"/>
    <m/>
    <s v="CLIENTE"/>
    <s v="REMARK - CNPJ"/>
    <s v=""/>
    <x v="1"/>
    <s v="OPERAÇÕES / SUPORTE KCS"/>
    <n v="24"/>
  </r>
  <r>
    <n v="3191003"/>
    <s v="SABRE"/>
    <x v="271"/>
    <s v="DTKUXX"/>
    <s v="DTKUXX"/>
    <s v="Código de cliente não identificado&lt;-ObterCliente&lt;-MontarPnrBase&lt;-ProcessarAereo&lt;-ProcessarItemFila[b]"/>
    <d v="2025-01-20T18:25:00"/>
    <m/>
    <s v="CLIENTE"/>
    <s v="CLIENTE NÃO IDENTIFICADO"/>
    <s v="DK DE CLIENTE NÃO PREENCIDO / CLIENTE NÃO CONFIGURADO NO OBT"/>
    <x v="2"/>
    <s v="OPERAÇÕES / SUPORTE KCS"/>
    <s v="COLUNA I"/>
  </r>
  <r>
    <n v="3193983"/>
    <s v="GOVER"/>
    <x v="274"/>
    <n v="4478280"/>
    <s v="MQRPIO"/>
    <s v="PreencherPnr-&gt;PreencherAccountingCustom-&gt; Erro: PreencherAccounting-&gt; Erro: Centro de custo não informado!"/>
    <d v="2025-01-21T12:45:00"/>
    <d v="2025-02-11T09:54:00"/>
    <s v="OUTROS"/>
    <s v="CENTRO DE CUSTO"/>
    <s v="CENTRO DE CUSTO NÃO INFORMADO NA RESERVA"/>
    <x v="1"/>
    <s v="SUPORTE OBT"/>
    <s v="COLUNA I"/>
  </r>
  <r>
    <n v="3194360"/>
    <s v="SABRE"/>
    <x v="275"/>
    <s v="NXPDYQ"/>
    <s v="NXPDYQ"/>
    <s v="Não localizado cliente com CNPJ [3001068000183].&lt;-ObterCliente&lt;-MontarPnrBase&lt;-ProcessarAereo&lt;-ProcessarItemFila[b]"/>
    <d v="2025-01-21T16:20:00"/>
    <m/>
    <s v="CLIENTE"/>
    <s v="REMARK - CNPJ"/>
    <s v=""/>
    <x v="1"/>
    <s v="OPERAÇÕES / SUPORTE KCS"/>
    <n v="24"/>
  </r>
  <r>
    <n v="3194810"/>
    <s v="GOVER"/>
    <x v="276"/>
    <n v="4478539"/>
    <s v="GBVKPF"/>
    <s v="PreencherPnr-&gt;Não foi encontrado nenhum item veículo para o localizador GBVKPF"/>
    <d v="2025-01-21T18:06:00"/>
    <d v="2025-02-11T09:54:00"/>
    <s v="OUTROS"/>
    <s v="TAG - ITEM VEÍCULO"/>
    <s v="TAGS DE DETALHAMENTO DO SERVIÇO NÃO ENVIADO NO XML"/>
    <x v="1"/>
    <s v="SUPORTE OBT"/>
    <n v="46"/>
  </r>
  <r>
    <n v="3195590"/>
    <s v="SABRE"/>
    <x v="277"/>
    <s v="NZVUAC"/>
    <s v="NZVUAC"/>
    <s v="Inserindo Accounting - (ExecSQL) - Could not convert variant of type (Null) into type (OleStr)"/>
    <d v="2025-01-21T20:35:00"/>
    <m/>
    <s v="OUTROS"/>
    <s v="ERRO NO XML"/>
    <s v=""/>
    <x v="0"/>
    <s v="SUPORTE OBT"/>
    <s v="COLUNA I"/>
  </r>
  <r>
    <n v="3195595"/>
    <s v="SABRE"/>
    <x v="278"/>
    <s v="NWKESQ"/>
    <s v="NWKESQ"/>
    <s v="Não localizado cliente com CNPJ [357038000116].&lt;-ObterCliente&lt;-MontarPnrBase&lt;-ProcessarAereo&lt;-ProcessarItemFila[b]"/>
    <d v="2025-01-21T20:35:00"/>
    <d v="2025-01-22T10:05:00"/>
    <s v="CLIENTE"/>
    <s v="REMARK - CNPJ"/>
    <s v=""/>
    <x v="3"/>
    <s v="OPERAÇÕES / SUPORTE KCS"/>
    <n v="24"/>
  </r>
  <r>
    <n v="3195597"/>
    <s v="SABRE"/>
    <x v="277"/>
    <s v="WACORB"/>
    <s v="WACORB"/>
    <s v="Não localizado cliente com CNPJ [4120966000113].&lt;-ObterCliente&lt;-MontarPnrBase&lt;-ProcessarAereo&lt;-ProcessarItemFila[b]"/>
    <d v="2025-01-21T20:36:00"/>
    <m/>
    <s v="CLIENTE"/>
    <s v="REMARK - CNPJ"/>
    <s v=""/>
    <x v="1"/>
    <s v="OPERAÇÕES / SUPORTE KCS"/>
    <n v="24"/>
  </r>
  <r>
    <n v="3196086"/>
    <s v="SABRE"/>
    <x v="279"/>
    <s v="AABYOR"/>
    <s v="AABYOR"/>
    <s v="Código de cliente não identificado&lt;-ObterCliente&lt;-MontarPnrBase&lt;-ProcessarAereo&lt;-ProcessarItemFila[b]"/>
    <d v="2025-01-22T11:34:00"/>
    <m/>
    <s v="CLIENTE"/>
    <s v="CLIENTE NÃO IDENTIFICADO"/>
    <s v="DK DE CLIENTE NÃO PREENCIDO / CLIENTE NÃO CONFIGURADO NO OBT"/>
    <x v="2"/>
    <s v="OPERAÇÕES / SUPORTE KCS"/>
    <s v="COLUNA I"/>
  </r>
  <r>
    <n v="3196801"/>
    <s v="SABRE"/>
    <x v="280"/>
    <s v="UXWBMB"/>
    <s v="UXWBMB"/>
    <s v="Não localizado cliente com CNPJ [357038000116].&lt;-ObterCliente&lt;-MontarPnrBase&lt;-ProcessarAereo&lt;-ProcessarItemFila[b]"/>
    <d v="2025-01-22T14:50:00"/>
    <m/>
    <s v="CLIENTE"/>
    <s v="REMARK - CNPJ"/>
    <s v=""/>
    <x v="2"/>
    <s v="OPERAÇÕES / SUPORTE KCS"/>
    <n v="24"/>
  </r>
  <r>
    <n v="3196802"/>
    <s v="SABRE"/>
    <x v="280"/>
    <s v="UXWBMBT"/>
    <s v="UXWBMB"/>
    <s v="Não localizado cliente com CNPJ [357038000116].&lt;-ObterCliente&lt;-MontarPnrBase&lt;-MontarPnr&lt;-ProcessarHotel&lt;-ProcessarItemFila[b]"/>
    <d v="2025-01-22T14:50:00"/>
    <m/>
    <s v="CLIENTE"/>
    <s v="REMARK - CNPJ"/>
    <s v=""/>
    <x v="1"/>
    <s v="OPERAÇÕES / SUPORTE KCS"/>
    <n v="24"/>
  </r>
  <r>
    <n v="3196948"/>
    <s v="GOVER"/>
    <x v="281"/>
    <n v="4479428"/>
    <n v="4479428"/>
    <s v="PreencherPnr-&gt;Foi identificado um localizador sem código."/>
    <d v="2025-01-22T16:14:00"/>
    <d v="2025-02-11T09:54:00"/>
    <s v="OUTROS"/>
    <s v="RLOC NÃO INFORMADO"/>
    <s v="RLOC NÃO PREENCHIDO NA RESERVA"/>
    <x v="1"/>
    <s v="SUPORTE OBT"/>
    <s v="COLUNA I"/>
  </r>
  <r>
    <n v="3196957"/>
    <s v="SABRE"/>
    <x v="282"/>
    <s v="HJRDEL"/>
    <s v="HJRDEL"/>
    <s v="Código de cliente não identificado&lt;-ObterCliente&lt;-MontarPnrBase&lt;-ProcessarAereo&lt;-ProcessarItemFila[b]"/>
    <d v="2025-01-22T16:18:00"/>
    <m/>
    <s v="CLIENTE"/>
    <s v="CLIENTE NÃO IDENTIFICADO"/>
    <s v="DK DE CLIENTE NÃO PREENCIDO / CLIENTE NÃO CONFIGURADO NO OBT"/>
    <x v="2"/>
    <s v="OPERAÇÕES / SUPORTE KCS"/>
    <s v="COLUNA I"/>
  </r>
  <r>
    <n v="3196963"/>
    <s v="SABRE"/>
    <x v="282"/>
    <s v="GVVGZU"/>
    <s v="GVVGZU"/>
    <s v="Não localizado cliente código [0000583808].&lt;-ObterCliente&lt;-MontarPnrBase&lt;-ProcessarAereo&lt;-ProcessarItemFila[b]"/>
    <d v="2025-01-22T16:20:00"/>
    <m/>
    <s v="CLIENTE"/>
    <s v="CÓD. CLIENTE DIVERGENTE"/>
    <s v="CÓDIGO DIFERENTE DO CADASTRADO NO BENNER (CLIENTE X GRUPO)"/>
    <x v="1"/>
    <s v="SUPORTE OBT"/>
    <n v="1"/>
  </r>
  <r>
    <n v="3196965"/>
    <s v="SABRE"/>
    <x v="282"/>
    <s v="MTAIMO"/>
    <s v="MTAIMO"/>
    <s v="Não localizado cliente código [0000583808].&lt;-ObterCliente&lt;-MontarPnrBase&lt;-ProcessarAereo&lt;-ProcessarItemFila[b]"/>
    <d v="2025-01-22T16:20:00"/>
    <m/>
    <s v="CLIENTE"/>
    <s v="CÓD. CLIENTE DIVERGENTE"/>
    <s v="CÓDIGO DIFERENTE DO CADASTRADO NO BENNER (CLIENTE X GRUPO)"/>
    <x v="1"/>
    <s v="SUPORTE OBT"/>
    <n v="1"/>
  </r>
  <r>
    <n v="3197014"/>
    <s v="GOVER"/>
    <x v="283"/>
    <n v="4479464"/>
    <n v="4479464"/>
    <s v="PreencherPnr-&gt;Foi identificado um localizador sem código."/>
    <d v="2025-01-22T16:44:00"/>
    <d v="2025-02-11T09:54:00"/>
    <s v="OUTROS"/>
    <s v="RLOC NÃO INFORMADO"/>
    <s v="RLOC NÃO PREENCHIDO NA RESERVA"/>
    <x v="1"/>
    <s v="SUPORTE OBT"/>
    <s v="COLUNA I"/>
  </r>
  <r>
    <n v="3197026"/>
    <s v="GOVER"/>
    <x v="284"/>
    <n v="4479468"/>
    <n v="4479468"/>
    <s v="PreencherPnr-&gt;Foi identificado um localizador sem código."/>
    <d v="2025-01-22T16:54:00"/>
    <d v="2025-02-11T09:54:00"/>
    <s v="OUTROS"/>
    <s v="RLOC NÃO INFORMADO"/>
    <s v="RLOC NÃO PREENCHIDO NA RESERVA"/>
    <x v="1"/>
    <s v="SUPORTE OBT"/>
    <s v="COLUNA I"/>
  </r>
  <r>
    <n v="3198178"/>
    <s v="SABRE"/>
    <x v="285"/>
    <s v="QMCWDO"/>
    <s v="QMCWDO"/>
    <s v="Não localizado cliente código [0000583808].&lt;-ObterCliente&lt;-MontarPnrBase&lt;-ProcessarAereo&lt;-ProcessarItemFila[b]"/>
    <d v="2025-01-22T20:18:00"/>
    <m/>
    <s v="CLIENTE"/>
    <s v="CÓD. CLIENTE DIVERGENTE"/>
    <s v="CÓDIGO DIFERENTE DO CADASTRADO NO BENNER (CLIENTE X GRUPO)"/>
    <x v="1"/>
    <s v="SUPORTE OBT"/>
    <n v="1"/>
  </r>
  <r>
    <n v="3198183"/>
    <s v="SABRE"/>
    <x v="285"/>
    <s v="ELTFNE"/>
    <s v="ELTFNE"/>
    <s v="Não localizado cliente código [0000583831].&lt;-ObterCliente&lt;-MontarPnrBase&lt;-ProcessarAereo&lt;-ProcessarItemFila[b]"/>
    <d v="2025-01-22T20:19:00"/>
    <m/>
    <s v="CLIENTE"/>
    <s v="CÓD. CLIENTE DIVERGENTE"/>
    <s v="CÓDIGO DIFERENTE DO CADASTRADO NO BENNER (CLIENTE X GRUPO)"/>
    <x v="1"/>
    <s v="SUPORTE OBT"/>
    <n v="1"/>
  </r>
  <r>
    <n v="3198185"/>
    <s v="SABRE"/>
    <x v="285"/>
    <s v="JHKJUV"/>
    <s v="JHKJUV"/>
    <s v="Não localizado cliente com CNPJ [5413409000153].&lt;-ObterCliente&lt;-MontarPnrBase&lt;-ProcessarAereo&lt;-ProcessarItemFila[b]"/>
    <d v="2025-01-22T20:20:00"/>
    <m/>
    <s v="CLIENTE"/>
    <s v="REMARK - CNPJ"/>
    <s v=""/>
    <x v="3"/>
    <s v="OPERAÇÕES / SUPORTE KCS"/>
    <n v="24"/>
  </r>
  <r>
    <n v="3198186"/>
    <s v="SABRE"/>
    <x v="285"/>
    <s v="NHVFLR"/>
    <s v="NHVFLR"/>
    <s v="Código de cliente não identificado&lt;-ObterCliente&lt;-MontarPnrBase&lt;-ProcessarAereo&lt;-ProcessarItemFila[b]"/>
    <d v="2025-01-22T20:21:00"/>
    <m/>
    <s v="CLIENTE"/>
    <s v="CLIENTE NÃO IDENTIFICADO"/>
    <s v="DK DE CLIENTE NÃO PREENCIDO / CLIENTE NÃO CONFIGURADO NO OBT"/>
    <x v="2"/>
    <s v="OPERAÇÕES / SUPORTE KCS"/>
    <s v="COLUNA I"/>
  </r>
  <r>
    <n v="3198188"/>
    <s v="SABRE"/>
    <x v="285"/>
    <s v="KUKFBP"/>
    <s v="KUKFBP"/>
    <s v="Não localizado cliente com CNPJ [8896745000192].&lt;-ObterCliente&lt;-MontarPnrBase&lt;-ProcessarAereo&lt;-ProcessarItemFila[b]"/>
    <d v="2025-01-22T20:21:00"/>
    <m/>
    <s v="CLIENTE"/>
    <s v="REMARK - CNPJ"/>
    <s v=""/>
    <x v="1"/>
    <s v="OPERAÇÕES / SUPORTE KCS"/>
    <n v="24"/>
  </r>
  <r>
    <n v="3198189"/>
    <s v="SABRE"/>
    <x v="285"/>
    <s v="KTHILP"/>
    <s v="KTHILP"/>
    <s v="Código de cliente não identificado&lt;-ObterCliente&lt;-MontarPnrBase&lt;-ProcessarAereo&lt;-ProcessarItemFila[b]"/>
    <d v="2025-01-22T20:21:00"/>
    <m/>
    <s v="CLIENTE"/>
    <s v="CLIENTE NÃO IDENTIFICADO"/>
    <s v="DK DE CLIENTE NÃO PREENCIDO / CLIENTE NÃO CONFIGURADO NO OBT"/>
    <x v="2"/>
    <s v="OPERAÇÕES / SUPORTE KCS"/>
    <s v="COLUNA I"/>
  </r>
  <r>
    <n v="3198190"/>
    <s v="SABRE"/>
    <x v="285"/>
    <s v="KSNWEJ"/>
    <s v="KSNWEJ"/>
    <s v="Código de cliente não identificado&lt;-ObterCliente&lt;-MontarPnrBase&lt;-ProcessarAereo&lt;-ProcessarItemFila[b]"/>
    <d v="2025-01-22T20:21:00"/>
    <m/>
    <s v="CLIENTE"/>
    <s v="CLIENTE NÃO IDENTIFICADO"/>
    <s v="DK DE CLIENTE NÃO PREENCIDO / CLIENTE NÃO CONFIGURADO NO OBT"/>
    <x v="2"/>
    <s v="OPERAÇÕES / SUPORTE KCS"/>
    <s v="COLUNA I"/>
  </r>
  <r>
    <n v="3198192"/>
    <s v="SABRE"/>
    <x v="285"/>
    <s v="KNPVJI"/>
    <s v="KNPVJI"/>
    <s v="Não localizado cliente código [1234567890].&lt;-ObterCliente&lt;-MontarPnrBase&lt;-ProcessarAereo&lt;-ProcessarItemFila[b]"/>
    <d v="2025-01-22T20:22:00"/>
    <m/>
    <s v="CLIENTE"/>
    <s v="CÓD. CLIENTE DIVERGENTE"/>
    <s v="CÓDIGO DIFERENTE DO CADASTRADO NO BENNER (CLIENTE X GRUPO)"/>
    <x v="1"/>
    <s v="SUPORTE OBT"/>
    <n v="1"/>
  </r>
  <r>
    <n v="3198194"/>
    <s v="SABRE"/>
    <x v="285"/>
    <s v="IWEHWV"/>
    <s v="IWEHWV"/>
    <s v="Não localizado cliente com CNPJ [4120966000113].&lt;-ObterCliente&lt;-MontarPnrBase&lt;-ProcessarAereo&lt;-ProcessarItemFila[b]"/>
    <d v="2025-01-22T20:22:00"/>
    <m/>
    <s v="CLIENTE"/>
    <s v="REMARK - CNPJ"/>
    <s v=""/>
    <x v="1"/>
    <s v="OPERAÇÕES / SUPORTE KCS"/>
    <n v="24"/>
  </r>
  <r>
    <n v="3198607"/>
    <s v="SABRE"/>
    <x v="286"/>
    <s v="IZCREW"/>
    <s v="IZCREW"/>
    <s v="Não localizado cliente com CNPJ [4120966000113].&lt;-ObterCliente&lt;-MontarPnrBase&lt;-ProcessarAereo&lt;-ProcessarItemFila[b]"/>
    <d v="2025-01-23T10:34:00"/>
    <d v="2025-01-23T11:48:00"/>
    <s v="CLIENTE"/>
    <s v="REMARK - CNPJ"/>
    <s v=""/>
    <x v="3"/>
    <s v="OPERAÇÕES / SUPORTE KCS"/>
    <n v="24"/>
  </r>
  <r>
    <n v="3198771"/>
    <s v="SABRE"/>
    <x v="286"/>
    <s v="SVRVZL"/>
    <s v="SVRVZL"/>
    <s v="Não localizado cliente código [0000583808].&lt;-ObterCliente&lt;-MontarPnrBase&lt;-ProcessarAereo&lt;-ProcessarItemFila[b]"/>
    <d v="2025-01-23T11:47:00"/>
    <m/>
    <s v="CLIENTE"/>
    <s v="CÓD. CLIENTE DIVERGENTE"/>
    <s v="CÓDIGO DIFERENTE DO CADASTRADO NO BENNER (CLIENTE X GRUPO)"/>
    <x v="1"/>
    <s v="SUPORTE OBT"/>
    <n v="1"/>
  </r>
  <r>
    <n v="3198772"/>
    <s v="SABRE"/>
    <x v="286"/>
    <s v="YASJAS"/>
    <s v="YASJAS"/>
    <s v="Não localizado cliente com CNPJ [820120000135].&lt;-ObterCliente&lt;-MontarPnrBase&lt;-ProcessarAereo&lt;-ProcessarItemFila[b]"/>
    <d v="2025-01-23T11:49:00"/>
    <m/>
    <s v="CLIENTE"/>
    <s v="REMARK - CNPJ"/>
    <s v=""/>
    <x v="1"/>
    <s v="OPERAÇÕES / SUPORTE KCS"/>
    <n v="24"/>
  </r>
  <r>
    <n v="3199518"/>
    <s v="SABRE"/>
    <x v="287"/>
    <s v="JMRRLN"/>
    <s v="JMRRLN"/>
    <s v="Não localizado cliente com CNPJ [357038000116].&lt;-ObterCliente&lt;-MontarPnrBase&lt;-ProcessarAereo&lt;-ProcessarItemFila[b]"/>
    <d v="2025-01-23T15:35:00"/>
    <d v="2025-01-23T17:49:00"/>
    <s v="CLIENTE"/>
    <s v="REMARK - CNPJ"/>
    <s v=""/>
    <x v="1"/>
    <s v="OPERAÇÕES / SUPORTE KCS"/>
    <n v="24"/>
  </r>
  <r>
    <n v="3199527"/>
    <s v="SABRE"/>
    <x v="288"/>
    <s v="HDBMFFT"/>
    <s v="HDBMFF"/>
    <s v="Inserindo PNR - Accountings - TurVendas - Não foi possível localizar o contrato do fornecedor 49032"/>
    <d v="2025-01-23T15:50:00"/>
    <m/>
    <s v="FORNECEDOR"/>
    <s v="CONTRATO FORNECEDOR"/>
    <s v="CONTRATO INATIVO OU DIVERGENTE"/>
    <x v="0"/>
    <s v="OPERAÇÕES / SUPORTE KCS"/>
    <n v="43"/>
  </r>
  <r>
    <n v="3199619"/>
    <s v="GOVER"/>
    <x v="289"/>
    <n v="4480245"/>
    <s v="MZCSZD"/>
    <s v="PreencherPnr-&gt;PreencherAccountingCustom-&gt; Erro: PreencherAccounting-&gt; Erro: Centro de custo não informado!"/>
    <d v="2025-01-23T16:14:00"/>
    <d v="2025-02-11T09:54:00"/>
    <s v="OUTROS"/>
    <s v="CENTRO DE CUSTO"/>
    <s v="CENTRO DE CUSTO NÃO INFORMADO NA RESERVA"/>
    <x v="1"/>
    <s v="SUPORTE OBT"/>
    <s v="COLUNA I"/>
  </r>
  <r>
    <n v="3199628"/>
    <s v="GOVER"/>
    <x v="290"/>
    <n v="4479909"/>
    <s v="MMMMMN"/>
    <s v="PreencherPnr-&gt;Não foi encontrado nenhum item veículo para o localizador MMMMMN"/>
    <d v="2025-01-23T16:28:00"/>
    <d v="2025-02-11T09:54:00"/>
    <s v="OUTROS"/>
    <s v="TAG - ITEM VEÍCULO"/>
    <s v="TAGS DE DETALHAMENTO DO SERVIÇO NÃO ENVIADO NO XML"/>
    <x v="1"/>
    <s v="SUPORTE OBT"/>
    <n v="46"/>
  </r>
  <r>
    <n v="3199906"/>
    <s v="SABRE"/>
    <x v="287"/>
    <s v="MJUNAW"/>
    <s v="MJUNAW"/>
    <s v="Inserindo PNR - Accountings - TurVendas - Não foi possível localizar o contrato do fornecedor 7C"/>
    <d v="2025-01-23T17:48:00"/>
    <m/>
    <s v="FORNECEDOR"/>
    <s v="CONTRATO FORNECEDOR"/>
    <s v="CONTRATO INATIVO OU DIVERGENTE"/>
    <x v="0"/>
    <s v="OPERAÇÕES / SUPORTE KCS"/>
    <n v="43"/>
  </r>
  <r>
    <n v="3199907"/>
    <s v="SABRE"/>
    <x v="287"/>
    <s v="NGDESO"/>
    <s v="NGDESO"/>
    <s v="Não localizado cliente com CNPJ [3334170000109].&lt;-ObterCliente&lt;-MontarPnrBase&lt;-ProcessarAereo&lt;-ProcessarItemFila[b]"/>
    <d v="2025-01-23T17:49:00"/>
    <m/>
    <s v="CLIENTE"/>
    <s v="REMARK - CNPJ"/>
    <s v=""/>
    <x v="0"/>
    <s v="OPERAÇÕES / SUPORTE KCS"/>
    <n v="24"/>
  </r>
  <r>
    <n v="3199909"/>
    <s v="SABRE"/>
    <x v="287"/>
    <s v="EOCEVT"/>
    <s v="EOCEVT"/>
    <s v="Inserindo PNR - Accountings - TurVendas - Não foi possível localizar o contrato do fornecedor 7C"/>
    <d v="2025-01-23T17:49:00"/>
    <m/>
    <s v="FORNECEDOR"/>
    <s v="CONTRATO FORNECEDOR"/>
    <s v="CONTRATO INATIVO OU DIVERGENTE"/>
    <x v="0"/>
    <s v="OPERAÇÕES / SUPORTE KCS"/>
    <n v="43"/>
  </r>
  <r>
    <n v="3199915"/>
    <s v="SABRE"/>
    <x v="287"/>
    <s v="KHSFPE"/>
    <s v="KHSFPE"/>
    <s v="Não localizado cliente com CNPJ [820120000135].&lt;-ObterCliente&lt;-MontarPnrBase&lt;-ProcessarAereo&lt;-ProcessarItemFila[b]"/>
    <d v="2025-01-23T17:50:00"/>
    <m/>
    <s v="CLIENTE"/>
    <s v="REMARK - CNPJ"/>
    <s v=""/>
    <x v="0"/>
    <s v="OPERAÇÕES / SUPORTE KCS"/>
    <n v="24"/>
  </r>
  <r>
    <n v="3200781"/>
    <s v="SABRE"/>
    <x v="291"/>
    <s v="EVLOQK"/>
    <s v="EVLOQK"/>
    <s v="Código de cliente não identificado&lt;-ObterCliente&lt;-MontarPnrBase&lt;-ProcessarAereo&lt;-ProcessarItemFila[b]"/>
    <d v="2025-01-23T19:48:00"/>
    <m/>
    <s v="CLIENTE"/>
    <s v="CLIENTE NÃO IDENTIFICADO"/>
    <s v="DK DE CLIENTE NÃO PREENCIDO / CLIENTE NÃO CONFIGURADO NO OBT"/>
    <x v="2"/>
    <s v="OPERAÇÕES / SUPORTE KCS"/>
    <s v="COLUNA I"/>
  </r>
  <r>
    <n v="3200789"/>
    <s v="SABRE"/>
    <x v="291"/>
    <s v="CGJJJY"/>
    <s v="CGJJJY"/>
    <s v="Código de cliente não identificado&lt;-ObterCliente&lt;-MontarPnrBase&lt;-ProcessarAereo&lt;-ProcessarItemFila[b]"/>
    <d v="2025-01-23T19:49:00"/>
    <m/>
    <s v="CLIENTE"/>
    <s v="CLIENTE NÃO IDENTIFICADO"/>
    <s v="DK DE CLIENTE NÃO PREENCIDO / CLIENTE NÃO CONFIGURADO NO OBT"/>
    <x v="2"/>
    <s v="OPERAÇÕES / SUPORTE KCS"/>
    <s v="COLUNA I"/>
  </r>
  <r>
    <n v="3200790"/>
    <s v="SABRE"/>
    <x v="291"/>
    <s v="WFAFCE"/>
    <s v="WFAFCE"/>
    <s v="Código de cliente não identificado&lt;-ObterCliente&lt;-MontarPnrBase&lt;-ProcessarAereo&lt;-ProcessarItemFila[b]"/>
    <d v="2025-01-23T19:49:00"/>
    <m/>
    <s v="CLIENTE"/>
    <s v="CLIENTE NÃO IDENTIFICADO"/>
    <s v="DK DE CLIENTE NÃO PREENCIDO / CLIENTE NÃO CONFIGURADO NO OBT"/>
    <x v="2"/>
    <s v="OPERAÇÕES / SUPORTE KCS"/>
    <s v="COLUNA I"/>
  </r>
  <r>
    <n v="3200802"/>
    <s v="SABRE"/>
    <x v="291"/>
    <s v="LXDZVU"/>
    <s v="LXDZVU"/>
    <s v="Não localizado cliente com CNPJ [1930685000138].&lt;-ObterCliente&lt;-MontarPnrBase&lt;-ProcessarAereo&lt;-ProcessarItemFila[b]"/>
    <d v="2025-01-23T19:50:00"/>
    <m/>
    <s v="CLIENTE"/>
    <s v="REMARK - CNPJ"/>
    <s v=""/>
    <x v="1"/>
    <s v="OPERAÇÕES / SUPORTE KCS"/>
    <n v="24"/>
  </r>
  <r>
    <n v="3201357"/>
    <s v="SABRE"/>
    <x v="292"/>
    <s v="MEUYDY"/>
    <s v="MEUYDY"/>
    <s v="Não localizado cliente com CNPJ [357038000116].&lt;-ObterCliente&lt;-MontarPnrBase&lt;-ProcessarAereo&lt;-ProcessarItemFila[b]"/>
    <d v="2025-01-24T11:50:00"/>
    <d v="2025-01-24T20:33:00"/>
    <s v="CLIENTE"/>
    <s v="REMARK - CNPJ"/>
    <s v=""/>
    <x v="3"/>
    <s v="OPERAÇÕES / SUPORTE KCS"/>
    <n v="24"/>
  </r>
  <r>
    <n v="3202016"/>
    <s v="TMS"/>
    <x v="293"/>
    <n v="40"/>
    <n v="40"/>
    <s v="Preenchendo XML Serviço-&gt; Preenchendo XML-&gt; Montando accounting aereo 2-&gt;Não foi informado o Localizador do Assento/Bagagem!"/>
    <d v="2025-01-24T13:36:00"/>
    <d v="2025-02-04T08:46:00"/>
    <s v="OUTROS"/>
    <s v="ASSENTO / BAGAGEM"/>
    <s v="CAMPO OBSERVAÇÃO PREENCHIDO INCORRETAMENTE"/>
    <x v="1"/>
    <s v="OPERAÇÕES / SUPORTE KCS"/>
    <n v="118"/>
  </r>
  <r>
    <n v="3202516"/>
    <s v="SABRE"/>
    <x v="294"/>
    <s v="OJJJLX-1"/>
    <s v="OJJJLX"/>
    <s v="Não localizado cliente código [E000000002].&lt;-ObterCliente&lt;-MontarPnrBase&lt;-ProcessarAereo&lt;-ProcessarItemFila[b]"/>
    <d v="2025-01-24T17:24:00"/>
    <m/>
    <s v="CLIENTE"/>
    <s v="CÓD. CLIENTE DIVERGENTE"/>
    <s v="CÓDIGO DIFERENTE DO CADASTRADO NO BENNER (CLIENTE X GRUPO)"/>
    <x v="1"/>
    <s v="SUPORTE OBT"/>
    <n v="1"/>
  </r>
  <r>
    <n v="3203563"/>
    <s v="SABRE"/>
    <x v="292"/>
    <s v="UEVQXQ"/>
    <s v="UEVQXQ"/>
    <s v="Não localizado cliente com CNPJ [820120000135].&lt;-ObterCliente&lt;-MontarPnrBase&lt;-ProcessarAereo&lt;-ProcessarItemFila[b]"/>
    <d v="2025-01-24T20:37:00"/>
    <m/>
    <s v="CLIENTE"/>
    <s v="REMARK - CNPJ"/>
    <s v=""/>
    <x v="1"/>
    <s v="OPERAÇÕES / SUPORTE KCS"/>
    <n v="24"/>
  </r>
  <r>
    <n v="3203566"/>
    <s v="SABRE"/>
    <x v="292"/>
    <s v="UELNUI"/>
    <s v="UELNUI"/>
    <s v="Não localizado cliente com CNPJ [820120000135].&lt;-ObterCliente&lt;-MontarPnrBase&lt;-ProcessarAereo&lt;-ProcessarItemFila[b]"/>
    <d v="2025-01-24T20:38:00"/>
    <m/>
    <s v="CLIENTE"/>
    <s v="REMARK - CNPJ"/>
    <s v=""/>
    <x v="1"/>
    <s v="OPERAÇÕES / SUPORTE KCS"/>
    <n v="24"/>
  </r>
  <r>
    <n v="3203587"/>
    <s v="SABRE"/>
    <x v="292"/>
    <s v="QNBIKV"/>
    <s v="QNBIKV"/>
    <s v="Código de cliente não identificado&lt;-ObterCliente&lt;-MontarPnrBase&lt;-ProcessarAereo&lt;-ProcessarItemFila[b]"/>
    <d v="2025-01-24T20:41:00"/>
    <m/>
    <s v="CLIENTE"/>
    <s v="CLIENTE NÃO IDENTIFICADO"/>
    <s v="DK DE CLIENTE NÃO PREENCIDO / CLIENTE NÃO CONFIGURADO NO OBT"/>
    <x v="2"/>
    <s v="OPERAÇÕES / SUPORTE KCS"/>
    <s v="COLUNA I"/>
  </r>
  <r>
    <n v="3203588"/>
    <s v="SABRE"/>
    <x v="292"/>
    <s v="FMXGWU"/>
    <s v="FMXGWU"/>
    <s v="Não localizado cliente com CNPJ [4120966000113].&lt;-ObterCliente&lt;-MontarPnrBase&lt;-ProcessarAereo&lt;-ProcessarItemFila[b]"/>
    <d v="2025-01-24T20:42:00"/>
    <m/>
    <s v="CLIENTE"/>
    <s v="REMARK - CNPJ"/>
    <s v=""/>
    <x v="1"/>
    <s v="OPERAÇÕES / SUPORTE KCS"/>
    <n v="24"/>
  </r>
  <r>
    <n v="3205314"/>
    <s v="SABRE"/>
    <x v="295"/>
    <s v="WMDPKX"/>
    <s v="WMDPKX"/>
    <s v="Código de cliente não identificado&lt;-ObterCliente&lt;-MontarPnrBase&lt;-ProcessarAereo&lt;-ProcessarItemFila[b]"/>
    <d v="2025-01-27T14:34:00"/>
    <m/>
    <s v="CLIENTE"/>
    <s v="CLIENTE NÃO IDENTIFICADO"/>
    <s v="DK DE CLIENTE NÃO PREENCIDO / CLIENTE NÃO CONFIGURADO NO OBT"/>
    <x v="2"/>
    <s v="OPERAÇÕES / SUPORTE KCS"/>
    <s v="COLUNA I"/>
  </r>
  <r>
    <n v="3205321"/>
    <s v="SABRE"/>
    <x v="295"/>
    <s v="WCGDBG"/>
    <s v="WCGDBG"/>
    <s v="Não localizado cliente código [1234567890].&lt;-ObterCliente&lt;-MontarPnrBase&lt;-ProcessarAereo&lt;-ProcessarItemFila[b]"/>
    <d v="2025-01-27T14:34:00"/>
    <m/>
    <s v="CLIENTE"/>
    <s v="CÓD. CLIENTE DIVERGENTE"/>
    <s v="CÓDIGO DIFERENTE DO CADASTRADO NO BENNER (CLIENTE X GRUPO)"/>
    <x v="1"/>
    <s v="SUPORTE OBT"/>
    <n v="1"/>
  </r>
  <r>
    <n v="3205338"/>
    <s v="SABRE"/>
    <x v="295"/>
    <s v="NKEXRV"/>
    <s v="NKEXRV"/>
    <s v="Código de cliente não identificado&lt;-ObterCliente&lt;-MontarPnrBase&lt;-ProcessarAereo&lt;-ProcessarItemFila[b]"/>
    <d v="2025-01-27T14:35:00"/>
    <m/>
    <s v="CLIENTE"/>
    <s v="CLIENTE NÃO IDENTIFICADO"/>
    <s v="DK DE CLIENTE NÃO PREENCIDO / CLIENTE NÃO CONFIGURADO NO OBT"/>
    <x v="2"/>
    <s v="OPERAÇÕES / SUPORTE KCS"/>
    <s v="COLUNA I"/>
  </r>
  <r>
    <n v="3205344"/>
    <s v="SABRE"/>
    <x v="296"/>
    <s v="CGCPGM"/>
    <s v="CGCPGM"/>
    <s v="Não localizado cliente com CNPJ [820120000135].&lt;-ObterCliente&lt;-MontarPnrBase&lt;-ProcessarAereo&lt;-ProcessarItemFila[b]"/>
    <d v="2025-01-27T14:36:00"/>
    <d v="2025-01-31T14:33:00"/>
    <s v="CLIENTE"/>
    <s v="REMARK - CNPJ"/>
    <s v=""/>
    <x v="1"/>
    <s v="OPERAÇÕES / SUPORTE KCS"/>
    <n v="24"/>
  </r>
  <r>
    <n v="3205589"/>
    <s v="SABRE"/>
    <x v="297"/>
    <s v="NJSGPB"/>
    <s v="NJSGPB"/>
    <s v="Código de cliente não identificado&lt;-ObterCliente&lt;-MontarPnrBase&lt;-ProcessarAereo&lt;-ProcessarItemFila[b]"/>
    <d v="2025-01-27T16:33:00"/>
    <m/>
    <s v="CLIENTE"/>
    <s v="CLIENTE NÃO IDENTIFICADO"/>
    <s v="DK DE CLIENTE NÃO PREENCIDO / CLIENTE NÃO CONFIGURADO NO OBT"/>
    <x v="2"/>
    <s v="OPERAÇÕES / SUPORTE KCS"/>
    <s v="COLUNA I"/>
  </r>
  <r>
    <n v="3205655"/>
    <s v="SABRE"/>
    <x v="298"/>
    <s v="KXLBQA"/>
    <s v="KXLBQA"/>
    <s v="Não localizado cliente com CNPJ [820120000135].&lt;-ObterCliente&lt;-MontarPnrBase&lt;-ProcessarAereo&lt;-ProcessarItemFila[b]"/>
    <d v="2025-01-27T16:48:00"/>
    <d v="2025-01-27T17:34:00"/>
    <s v="CLIENTE"/>
    <s v="REMARK - CNPJ"/>
    <s v=""/>
    <x v="1"/>
    <s v="OPERAÇÕES / SUPORTE KCS"/>
    <n v="24"/>
  </r>
  <r>
    <n v="3205795"/>
    <s v="SABRE"/>
    <x v="298"/>
    <s v="MZIBMB"/>
    <s v="MZIBMB"/>
    <s v="Não localizado cliente com CNPJ [8896745000192].&lt;-ObterCliente&lt;-MontarPnrBase&lt;-ProcessarAereo&lt;-ProcessarItemFila[b]"/>
    <d v="2025-01-27T17:34:00"/>
    <m/>
    <s v="CLIENTE"/>
    <s v="REMARK - CNPJ"/>
    <s v=""/>
    <x v="3"/>
    <s v="OPERAÇÕES / SUPORTE KCS"/>
    <n v="24"/>
  </r>
  <r>
    <n v="3205800"/>
    <s v="SABRE"/>
    <x v="299"/>
    <s v="LFVQRC"/>
    <s v="LFVQRC"/>
    <s v="Não localizado cliente com CNPJ [8435509000179].&lt;-ObterCliente&lt;-MontarPnrBase&lt;-ProcessarAereo&lt;-ProcessarItemFila[b]"/>
    <d v="2025-01-27T17:35:00"/>
    <d v="2025-01-27T19:20:00"/>
    <s v="CLIENTE"/>
    <s v="REMARK - CNPJ"/>
    <s v=""/>
    <x v="1"/>
    <s v="OPERAÇÕES / SUPORTE KCS"/>
    <n v="24"/>
  </r>
  <r>
    <n v="3205998"/>
    <s v="SABRE"/>
    <x v="300"/>
    <s v="CJUXHJ"/>
    <s v="CJUXHJ"/>
    <s v="Não localizado cliente com CNPJ [820120000135].&lt;-ObterCliente&lt;-MontarPnrBase&lt;-ProcessarAereo&lt;-ProcessarItemFila[b]"/>
    <d v="2025-01-27T19:04:00"/>
    <m/>
    <s v="CLIENTE"/>
    <s v="REMARK - CNPJ"/>
    <s v=""/>
    <x v="3"/>
    <s v="OPERAÇÕES / SUPORTE KCS"/>
    <n v="24"/>
  </r>
  <r>
    <n v="3206591"/>
    <s v="SABRE"/>
    <x v="301"/>
    <s v="CVELRT"/>
    <s v="CVELRT"/>
    <s v="Inserindo Accounting - (ExecSQL) - Could not convert variant of type (Null) into type (OleStr)"/>
    <d v="2025-01-27T20:34:00"/>
    <d v="2025-01-28T16:11:00"/>
    <s v="OUTROS"/>
    <s v="ERRO NO XML"/>
    <s v=""/>
    <x v="0"/>
    <s v="SUPORTE OBT"/>
    <s v="COLUNA I"/>
  </r>
  <r>
    <n v="3206599"/>
    <s v="SABRE"/>
    <x v="302"/>
    <s v="WAZGSU"/>
    <s v="WAZGSU"/>
    <s v="Não localizado cliente com CNPJ [8435509000179].&lt;-ObterCliente&lt;-MontarPnrBase&lt;-ProcessarAereo&lt;-ProcessarItemFila[b]"/>
    <d v="2025-01-27T20:34:00"/>
    <d v="2025-01-28T09:50:00"/>
    <s v="CLIENTE"/>
    <s v="REMARK - CNPJ"/>
    <s v=""/>
    <x v="1"/>
    <s v="OPERAÇÕES / SUPORTE KCS"/>
    <n v="24"/>
  </r>
  <r>
    <n v="3208322"/>
    <s v="SABRE"/>
    <x v="303"/>
    <s v="HXTINU"/>
    <s v="HXTINU"/>
    <s v="Inserindo Accounting - (ExecSQL) - Could not convert variant of type (Null) into type (OleStr)"/>
    <d v="2025-01-28T16:03:00"/>
    <d v="2025-02-03T20:04:00"/>
    <s v="OUTROS"/>
    <s v="ERRO NO XML"/>
    <s v=""/>
    <x v="0"/>
    <s v="SUPORTE OBT"/>
    <s v="COLUNA I"/>
  </r>
  <r>
    <n v="3208326"/>
    <s v="SABRE"/>
    <x v="304"/>
    <s v="KWYRSS"/>
    <s v="KWYRSS"/>
    <s v="Não localizado cliente código [1234567890].&lt;-ObterCliente&lt;-MontarPnrBase&lt;-ProcessarAereo&lt;-ProcessarItemFila[b]"/>
    <d v="2025-01-28T16:04:00"/>
    <m/>
    <s v="CLIENTE"/>
    <s v="CÓD. CLIENTE DIVERGENTE"/>
    <s v="CÓDIGO DIFERENTE DO CADASTRADO NO BENNER (CLIENTE X GRUPO)"/>
    <x v="1"/>
    <s v="SUPORTE OBT"/>
    <n v="1"/>
  </r>
  <r>
    <n v="3208355"/>
    <s v="SABRE"/>
    <x v="304"/>
    <s v="UWQAVF"/>
    <s v="UWQAVF"/>
    <s v="Inserindo Accounting - (ExecSQL) - Could not convert variant of type (Null) into type (OleStr)"/>
    <d v="2025-01-28T16:07:00"/>
    <m/>
    <s v="OUTROS"/>
    <s v="ERRO NO XML"/>
    <s v=""/>
    <x v="0"/>
    <s v="SUPORTE OBT"/>
    <s v="COLUNA I"/>
  </r>
  <r>
    <n v="3208460"/>
    <s v="SABRE"/>
    <x v="305"/>
    <s v="WPQICB"/>
    <s v="WPQICB"/>
    <s v="Não localizado cliente com CNPJ [357038000116].&lt;-ObterCliente&lt;-MontarPnrBase&lt;-ProcessarAereo&lt;-ProcessarItemFila[b]"/>
    <d v="2025-01-28T17:06:00"/>
    <d v="2025-01-28T18:04:00"/>
    <s v="CLIENTE"/>
    <s v="REMARK - CNPJ"/>
    <s v=""/>
    <x v="1"/>
    <s v="OPERAÇÕES / SUPORTE KCS"/>
    <n v="24"/>
  </r>
  <r>
    <n v="3208677"/>
    <s v="SABRE"/>
    <x v="305"/>
    <s v="MVNHCP"/>
    <s v="MVNHCP"/>
    <s v="Não localizado cliente código [0000583808].&lt;-ObterCliente&lt;-MontarPnrBase&lt;-ProcessarAereo&lt;-ProcessarItemFila[b]"/>
    <d v="2025-01-28T18:05:00"/>
    <m/>
    <s v="CLIENTE"/>
    <s v="CÓD. CLIENTE DIVERGENTE"/>
    <s v="CÓDIGO DIFERENTE DO CADASTRADO NO BENNER (CLIENTE X GRUPO)"/>
    <x v="1"/>
    <s v="SUPORTE OBT"/>
    <n v="1"/>
  </r>
  <r>
    <n v="3208678"/>
    <s v="SABRE"/>
    <x v="305"/>
    <s v="NJFSLJ"/>
    <s v="NJFSLJ"/>
    <s v="Não localizado cliente código [1234567890].&lt;-ObterCliente&lt;-MontarPnrBase&lt;-ProcessarAereo&lt;-ProcessarItemFila[b]"/>
    <d v="2025-01-28T18:06:00"/>
    <m/>
    <s v="CLIENTE"/>
    <s v="CÓD. CLIENTE DIVERGENTE"/>
    <s v="CÓDIGO DIFERENTE DO CADASTRADO NO BENNER (CLIENTE X GRUPO)"/>
    <x v="1"/>
    <s v="SUPORTE OBT"/>
    <n v="1"/>
  </r>
  <r>
    <n v="3208797"/>
    <s v="SABRE"/>
    <x v="306"/>
    <s v="EMSSFQT"/>
    <s v="EMSSFQ"/>
    <s v="Código de cliente não identificado&lt;-ObterCliente&lt;-MontarPnrBase&lt;-MontarPnr&lt;-ProcessarHotel&lt;-ProcessarItemFila[b]"/>
    <d v="2025-01-28T19:20:00"/>
    <m/>
    <s v="CLIENTE"/>
    <s v="CLIENTE NÃO IDENTIFICADO"/>
    <s v="DK DE CLIENTE NÃO PREENCIDO / CLIENTE NÃO CONFIGURADO NO OBT"/>
    <x v="2"/>
    <s v="OPERAÇÕES / SUPORTE KCS"/>
    <s v="COLUNA I"/>
  </r>
  <r>
    <n v="3208815"/>
    <s v="SABRE"/>
    <x v="307"/>
    <s v="ABHWYV"/>
    <s v="ABHWYV"/>
    <s v="Não localizado cliente com CNPJ [4611797000114].&lt;-ObterCliente&lt;-MontarPnrBase&lt;-ProcessarAereo&lt;-ProcessarItemFila[b]"/>
    <d v="2025-01-28T19:33:00"/>
    <d v="2025-01-29T09:32:00"/>
    <s v="CLIENTE"/>
    <s v="REMARK - CNPJ"/>
    <s v=""/>
    <x v="1"/>
    <s v="OPERAÇÕES / SUPORTE KCS"/>
    <n v="24"/>
  </r>
  <r>
    <n v="3210564"/>
    <s v="GOVER"/>
    <x v="308"/>
    <n v="4482820"/>
    <n v="4482820"/>
    <s v="PreencherPnr-&gt;Foi identificado um localizador sem código."/>
    <d v="2025-01-29T15:04:00"/>
    <d v="2025-02-11T09:54:00"/>
    <s v="OUTROS"/>
    <s v="RLOC NÃO INFORMADO"/>
    <s v="RLOC NÃO PREENCHIDO NA RESERVA"/>
    <x v="1"/>
    <s v="SUPORTE OBT"/>
    <s v="COLUNA I"/>
  </r>
  <r>
    <n v="3210813"/>
    <s v="GOVER"/>
    <x v="309"/>
    <n v="4483061"/>
    <s v="HRJNKU"/>
    <s v="PreencherPnr-&gt;Não foi encontrado nenhum item hotel para o localizador HRJNKU"/>
    <d v="2025-01-29T16:34:00"/>
    <d v="2025-02-11T09:54:00"/>
    <s v="OUTROS"/>
    <s v="TAG - ITEM HOTEL"/>
    <s v=""/>
    <x v="0"/>
    <s v="SUPORTE OBT"/>
    <s v="COLUNA I"/>
  </r>
  <r>
    <n v="3213491"/>
    <s v="SABRE"/>
    <x v="310"/>
    <s v="HCPGHI"/>
    <s v="HCPGHI"/>
    <s v="Não localizado cliente com CNPJ [8435509000179].&lt;-ObterCliente&lt;-MontarPnrBase&lt;-ProcessarAereo&lt;-ProcessarItemFila[b]"/>
    <d v="2025-01-30T17:35:00"/>
    <m/>
    <s v="CLIENTE"/>
    <s v="REMARK - CNPJ"/>
    <s v=""/>
    <x v="3"/>
    <s v="OPERAÇÕES / SUPORTE KCS"/>
    <n v="24"/>
  </r>
  <r>
    <n v="3213629"/>
    <s v="SABRE"/>
    <x v="311"/>
    <s v="OCFFCP"/>
    <s v="OCFFCP"/>
    <s v="Não localizado cliente código [0000583808].&lt;-ObterCliente&lt;-MontarPnrBase&lt;-ProcessarAereo&lt;-ProcessarItemFila[b]"/>
    <d v="2025-01-30T18:47:00"/>
    <m/>
    <s v="CLIENTE"/>
    <s v="CÓD. CLIENTE DIVERGENTE"/>
    <s v="CÓDIGO DIFERENTE DO CADASTRADO NO BENNER (CLIENTE X GRUPO)"/>
    <x v="1"/>
    <s v="SUPORTE OBT"/>
    <n v="1"/>
  </r>
  <r>
    <n v="3213637"/>
    <s v="SABRE"/>
    <x v="311"/>
    <s v="LASKHU"/>
    <s v="LASKHU"/>
    <s v="Não localizado cliente com CNPJ [820120000135].&lt;-ObterCliente&lt;-MontarPnrBase&lt;-ProcessarAereo&lt;-ProcessarItemFila[b]"/>
    <d v="2025-01-30T18:49:00"/>
    <m/>
    <s v="CLIENTE"/>
    <s v="REMARK - CNPJ"/>
    <s v=""/>
    <x v="3"/>
    <s v="OPERAÇÕES / SUPORTE KCS"/>
    <n v="24"/>
  </r>
  <r>
    <n v="3213651"/>
    <s v="SABRE"/>
    <x v="311"/>
    <s v="MOFRAB"/>
    <s v="MOFRAB"/>
    <s v="Código de cliente não identificado&lt;-ObterCliente&lt;-MontarPnrBase&lt;-ProcessarAereo&lt;-ProcessarItemFila[b]"/>
    <d v="2025-01-30T18:51:00"/>
    <m/>
    <s v="CLIENTE"/>
    <s v="CLIENTE NÃO IDENTIFICADO"/>
    <s v="DK DE CLIENTE NÃO PREENCIDO / CLIENTE NÃO CONFIGURADO NO OBT"/>
    <x v="2"/>
    <s v="OPERAÇÕES / SUPORTE KCS"/>
    <s v="COLUNA I"/>
  </r>
  <r>
    <n v="3213652"/>
    <s v="SABRE"/>
    <x v="311"/>
    <s v="FXUENR"/>
    <s v="FXUENR"/>
    <s v="Não localizado cliente código [0000583808].&lt;-ObterCliente&lt;-MontarPnrBase&lt;-ProcessarAereo&lt;-ProcessarItemFila[b]"/>
    <d v="2025-01-30T18:51:00"/>
    <m/>
    <s v="CLIENTE"/>
    <s v="CÓD. CLIENTE DIVERGENTE"/>
    <s v="CÓDIGO DIFERENTE DO CADASTRADO NO BENNER (CLIENTE X GRUPO)"/>
    <x v="1"/>
    <s v="SUPORTE OBT"/>
    <n v="1"/>
  </r>
  <r>
    <n v="3213656"/>
    <s v="SABRE"/>
    <x v="311"/>
    <s v="FLXPZG"/>
    <s v="FLXPZG"/>
    <s v="Não localizado cliente código [0000072678].&lt;-ObterCliente&lt;-MontarPnrBase&lt;-ProcessarAereo&lt;-ProcessarItemFila[b]"/>
    <d v="2025-01-30T18:52:00"/>
    <m/>
    <s v="CLIENTE"/>
    <s v="CÓD. CLIENTE DIVERGENTE"/>
    <s v="CÓDIGO DIFERENTE DO CADASTRADO NO BENNER (CLIENTE X GRUPO)"/>
    <x v="1"/>
    <s v="OPERAÇÕES / SUPORTE KCS"/>
    <n v="1"/>
  </r>
  <r>
    <n v="3213743"/>
    <s v="SABRE"/>
    <x v="312"/>
    <s v="AGRZCQ"/>
    <s v="AGRZCQ"/>
    <s v="Não localizado cliente com CNPJ [4611797000114].&lt;-ObterCliente&lt;-MontarPnrBase&lt;-ProcessarAereo&lt;-ProcessarItemFila[b]"/>
    <d v="2025-01-30T19:48:00"/>
    <m/>
    <s v="CLIENTE"/>
    <s v="REMARK - CNPJ"/>
    <s v=""/>
    <x v="1"/>
    <s v="OPERAÇÕES / SUPORTE KCS"/>
    <n v="24"/>
  </r>
  <r>
    <n v="3213744"/>
    <s v="SABRE"/>
    <x v="312"/>
    <s v="FJFWIE"/>
    <s v="FJFWIE"/>
    <s v="Não localizado cliente com CNPJ [4120966000113].&lt;-ObterCliente&lt;-MontarPnrBase&lt;-ProcessarAereo&lt;-ProcessarItemFila[b]"/>
    <d v="2025-01-30T19:49:00"/>
    <m/>
    <s v="CLIENTE"/>
    <s v="REMARK - CNPJ"/>
    <s v=""/>
    <x v="3"/>
    <s v="OPERAÇÕES / SUPORTE KCS"/>
    <n v="24"/>
  </r>
  <r>
    <n v="3214628"/>
    <s v="GOVER"/>
    <x v="313"/>
    <n v="4484129"/>
    <s v="UVBIBW"/>
    <s v="PreencherPnr-&gt;Não foi encontrado nenhum item hotel para o localizador UVBIBW"/>
    <d v="2025-01-31T09:04:00"/>
    <m/>
    <s v="OUTROS"/>
    <s v="TAG - ITEM HOTEL"/>
    <s v=""/>
    <x v="0"/>
    <s v="SUPORTE OBT"/>
    <s v="COLUNA I"/>
  </r>
  <r>
    <n v="3214637"/>
    <s v="GOVER"/>
    <x v="314"/>
    <n v="4484134"/>
    <s v="GCOMJU"/>
    <s v="PreencherPnr-&gt;Não foi encontrado nenhum item hotel para o localizador GCOMJU"/>
    <d v="2025-01-31T09:14:00"/>
    <m/>
    <s v="OUTROS"/>
    <s v="TAG - ITEM HOTEL"/>
    <s v=""/>
    <x v="0"/>
    <s v="SUPORTE OBT"/>
    <s v="COLUNA I"/>
  </r>
  <r>
    <n v="3214641"/>
    <s v="SABRE"/>
    <x v="315"/>
    <s v="GPFDGF"/>
    <s v="GPFDGF"/>
    <s v="Código de cliente não identificado&lt;-ObterCliente&lt;-MontarPnrBase&lt;-ProcessarAereo&lt;-ProcessarItemFila[b]"/>
    <d v="2025-01-31T09:18:00"/>
    <m/>
    <s v="CLIENTE"/>
    <s v="CLIENTE NÃO IDENTIFICADO"/>
    <s v="DK DE CLIENTE NÃO PREENCIDO / CLIENTE NÃO CONFIGURADO NO OBT"/>
    <x v="2"/>
    <s v="OPERAÇÕES / SUPORTE KCS"/>
    <s v="COLUNA I"/>
  </r>
  <r>
    <n v="3214797"/>
    <s v="SABRE"/>
    <x v="316"/>
    <s v="JHRUVT"/>
    <s v="JHRUVT"/>
    <s v="Código de cliente não identificado&lt;-ObterCliente&lt;-MontarPnrBase&lt;-ProcessarAereo&lt;-ProcessarItemFila[b]"/>
    <d v="2025-01-31T11:18:00"/>
    <m/>
    <s v="CLIENTE"/>
    <s v="CLIENTE NÃO IDENTIFICADO"/>
    <s v="DK DE CLIENTE NÃO PREENCIDO / CLIENTE NÃO CONFIGURADO NO OBT"/>
    <x v="2"/>
    <s v="OPERAÇÕES / SUPORTE KCS"/>
    <s v="COLUNA I"/>
  </r>
  <r>
    <n v="3214852"/>
    <s v="SABRE"/>
    <x v="317"/>
    <s v="OXVWIL"/>
    <s v="OXVWIL"/>
    <s v="Não localizado cliente com CNPJ [3334170000109].&lt;-ObterCliente&lt;-MontarPnrBase&lt;-ProcessarAereo&lt;-ProcessarItemFila[b]"/>
    <d v="2025-01-31T11:48:00"/>
    <m/>
    <s v="CLIENTE"/>
    <s v="REMARK - CNPJ"/>
    <s v=""/>
    <x v="3"/>
    <s v="OPERAÇÕES / SUPORTE KCS"/>
    <n v="24"/>
  </r>
  <r>
    <n v="3215078"/>
    <s v="SABRE"/>
    <x v="318"/>
    <s v="NQXWBLT"/>
    <s v="NQXWBL"/>
    <s v="Código de cliente não identificado&lt;-ObterCliente&lt;-MontarPnrBase&lt;-MontarPnr&lt;-ProcessarHotel&lt;-ProcessarItemFila[b]"/>
    <d v="2025-01-31T14:49:00"/>
    <m/>
    <s v="CLIENTE"/>
    <s v="CLIENTE NÃO IDENTIFICADO"/>
    <s v="DK DE CLIENTE NÃO PREENCIDO / CLIENTE NÃO CONFIGURADO NO OBT"/>
    <x v="2"/>
    <s v="OPERAÇÕES / SUPORTE KCS"/>
    <s v="COLUNA I"/>
  </r>
  <r>
    <n v="3215360"/>
    <s v="SABRE"/>
    <x v="319"/>
    <s v="JFZXVV"/>
    <s v="JFZXVV"/>
    <s v="Não localizado cliente com CNPJ [3334170000109].&lt;-ObterCliente&lt;-MontarPnrBase&lt;-ProcessarAereo&lt;-ProcessarItemFila[b]"/>
    <d v="2025-01-31T15:17:00"/>
    <m/>
    <s v="CLIENTE"/>
    <s v="REMARK - CNPJ"/>
    <s v=""/>
    <x v="3"/>
    <s v="OPERAÇÕES / SUPORTE KCS"/>
    <n v="24"/>
  </r>
  <r>
    <n v="3215365"/>
    <s v="SABRE"/>
    <x v="319"/>
    <s v="CSZRYR"/>
    <s v="CSZRYR"/>
    <s v="Não localizado cliente com CNPJ [3334170000109].&lt;-ObterCliente&lt;-MontarPnrBase&lt;-ProcessarAereo&lt;-ProcessarItemFila[b]"/>
    <d v="2025-01-31T15:18:00"/>
    <m/>
    <s v="CLIENTE"/>
    <s v="REMARK - CNPJ"/>
    <s v=""/>
    <x v="3"/>
    <s v="OPERAÇÕES / SUPORTE KCS"/>
    <n v="24"/>
  </r>
  <r>
    <n v="3215368"/>
    <s v="SABRE"/>
    <x v="319"/>
    <s v="CCDFAX"/>
    <s v="CCDFAX"/>
    <s v="Não localizado cliente com CNPJ [3334170000109].&lt;-ObterCliente&lt;-MontarPnrBase&lt;-ProcessarAereo&lt;-ProcessarItemFila[b]"/>
    <d v="2025-01-31T15:18:00"/>
    <m/>
    <s v="CLIENTE"/>
    <s v="REMARK - CNPJ"/>
    <s v=""/>
    <x v="1"/>
    <s v="OPERAÇÕES / SUPORTE KCS"/>
    <n v="24"/>
  </r>
  <r>
    <n v="3216361"/>
    <s v="SABRE"/>
    <x v="225"/>
    <s v="CZXTHP"/>
    <s v="CZXTHP"/>
    <s v="Não localizado cliente com CNPJ [820120000135].&lt;-ObterCliente&lt;-MontarPnrBase&lt;-ProcessarAereo&lt;-ProcessarItemFila[b]"/>
    <d v="2025-01-31T18:03:00"/>
    <d v="2025-01-31T20:19:00"/>
    <s v="CLIENTE"/>
    <s v="REMARK - CNPJ"/>
    <s v=""/>
    <x v="3"/>
    <s v="OPERAÇÕES / SUPORTE KCS"/>
    <n v="24"/>
  </r>
  <r>
    <n v="3216438"/>
    <s v="SABRE"/>
    <x v="320"/>
    <s v="QLWOZL"/>
    <s v="QLWOZL"/>
    <s v="Não localizado cliente com CNPJ [2016507000169].&lt;-ObterCliente&lt;-MontarPnrBase&lt;-ProcessarAereo&lt;-ProcessarItemFila[b]"/>
    <d v="2025-01-31T18:35:00"/>
    <d v="2025-02-05T08:51:00"/>
    <s v="CLIENTE"/>
    <s v="REMARK - CNPJ"/>
    <s v=""/>
    <x v="1"/>
    <s v="OPERAÇÕES / SUPORTE KCS"/>
    <n v="24"/>
  </r>
  <r>
    <n v="3216439"/>
    <s v="SABRE"/>
    <x v="320"/>
    <s v="QLWOZLT"/>
    <s v="QLWOZL"/>
    <s v="Não localizado cliente com CNPJ [2016507000169].&lt;-ObterCliente&lt;-MontarPnrBase&lt;-MontarPnr&lt;-ProcessarHotel&lt;-ProcessarItemFila[b]"/>
    <d v="2025-01-31T18:35:00"/>
    <d v="2025-02-05T08:51:00"/>
    <s v="CLIENTE"/>
    <s v="REMARK - CNPJ"/>
    <s v=""/>
    <x v="1"/>
    <s v="OPERAÇÕES / SUPORTE KCS"/>
    <n v="24"/>
  </r>
  <r>
    <n v="3216560"/>
    <s v="SABRE"/>
    <x v="225"/>
    <s v="UTJAJO"/>
    <s v="UTJAJO"/>
    <s v="Código de cliente não identificado&lt;-ObterCliente&lt;-MontarPnrBase&lt;-ProcessarAereo&lt;-ProcessarItemFila[b]"/>
    <d v="2025-01-31T20:17:00"/>
    <m/>
    <s v="CLIENTE"/>
    <s v="CLIENTE NÃO IDENTIFICADO"/>
    <s v="DK DE CLIENTE NÃO PREENCIDO / CLIENTE NÃO CONFIGURADO NO OBT"/>
    <x v="2"/>
    <s v="OPERAÇÕES / SUPORTE KCS"/>
    <s v="COLUNA I"/>
  </r>
  <r>
    <n v="3216572"/>
    <s v="SABRE"/>
    <x v="225"/>
    <s v="JGEOTY"/>
    <s v="JGEOTY"/>
    <s v="Não localizado cliente código [0000035945].&lt;-ObterCliente&lt;-MontarPnrBase&lt;-ProcessarAereo&lt;-ProcessarItemFila[b]"/>
    <d v="2025-01-31T20:20:00"/>
    <m/>
    <s v="CLIENTE"/>
    <s v="CÓD. CLIENTE DIVERGENTE"/>
    <s v="CÓDIGO DIFERENTE DO CADASTRADO NO BENNER (CLIENTE X GRUPO)"/>
    <x v="1"/>
    <s v="SUPORTE OBT"/>
    <n v="1"/>
  </r>
  <r>
    <n v="3216577"/>
    <s v="SABRE"/>
    <x v="225"/>
    <s v="FREVEG"/>
    <s v="FREVEG"/>
    <s v="Não localizado cliente com CNPJ [5413409000153].&lt;-ObterCliente&lt;-MontarPnrBase&lt;-ProcessarAereo&lt;-ProcessarItemFila[b]"/>
    <d v="2025-01-31T20:21:00"/>
    <m/>
    <s v="CLIENTE"/>
    <s v="REMARK - CNPJ"/>
    <s v=""/>
    <x v="1"/>
    <s v="OPERAÇÕES / SUPORTE KCS"/>
    <n v="24"/>
  </r>
  <r>
    <n v="3220057"/>
    <s v="SABRE"/>
    <x v="321"/>
    <s v="SEHTJL"/>
    <s v="SEHTJL"/>
    <s v="Código de cliente não identificado&lt;-ObterCliente&lt;-MontarPnrBase&lt;-ProcessarAereo&lt;-ProcessarItemFila[b]"/>
    <d v="2025-02-03T12:06:00"/>
    <m/>
    <s v="CLIENTE"/>
    <s v="CLIENTE NÃO IDENTIFICADO"/>
    <s v="DK DE CLIENTE NÃO PREENCIDO / CLIENTE NÃO CONFIGURADO NO OBT"/>
    <x v="2"/>
    <s v="OPERAÇÕES / SUPORTE KCS"/>
    <s v="COLUNA I"/>
  </r>
  <r>
    <n v="3220148"/>
    <s v="SABRE"/>
    <x v="322"/>
    <s v="FLMMGB"/>
    <s v="FLMMGB"/>
    <s v="Inserindo Accounting - (ExecSQL) - Could not convert variant of type (Null) into type (OleStr)"/>
    <d v="2025-02-03T13:22:00"/>
    <d v="2025-02-03T14:51:00"/>
    <s v="OUTROS"/>
    <s v="ERRO NO XML"/>
    <s v=""/>
    <x v="0"/>
    <s v="SUPORTE OBT"/>
    <s v="COLUNA I"/>
  </r>
  <r>
    <n v="3220285"/>
    <s v="SABRE"/>
    <x v="322"/>
    <s v="NXCDYO"/>
    <s v="NXCDYO"/>
    <s v="Não localizado cliente código [0000063625].&lt;-ObterCliente&lt;-MontarPnrBase&lt;-ProcessarAereo&lt;-ProcessarItemFila[b]"/>
    <d v="2025-02-03T14:48:00"/>
    <m/>
    <s v="CLIENTE"/>
    <s v="CÓD. CLIENTE DIVERGENTE"/>
    <s v="CÓDIGO DIFERENTE DO CADASTRADO NO BENNER (CLIENTE X GRUPO)"/>
    <x v="1"/>
    <s v="SUPORTE OBT"/>
    <n v="1"/>
  </r>
  <r>
    <n v="3220286"/>
    <s v="SABRE"/>
    <x v="322"/>
    <s v="JMBPBI"/>
    <s v="JMBPBI"/>
    <s v="Inserindo Accounting - (ExecSQL) - Could not convert variant of type (Null) into type (OleStr)"/>
    <d v="2025-02-03T14:48:00"/>
    <m/>
    <s v="OUTROS"/>
    <s v="ERRO NO XML"/>
    <s v=""/>
    <x v="0"/>
    <s v="SUPORTE OBT"/>
    <s v="COLUNA I"/>
  </r>
  <r>
    <n v="3220287"/>
    <s v="SABRE"/>
    <x v="322"/>
    <s v="NYDJRP"/>
    <s v="NYDJRP"/>
    <s v="Não localizado cliente código [0000063625].&lt;-ObterCliente&lt;-MontarPnrBase&lt;-ProcessarAereo&lt;-ProcessarItemFila[b]"/>
    <d v="2025-02-03T14:48:00"/>
    <m/>
    <s v="CLIENTE"/>
    <s v="CÓD. CLIENTE DIVERGENTE"/>
    <s v="CÓDIGO DIFERENTE DO CADASTRADO NO BENNER (CLIENTE X GRUPO)"/>
    <x v="1"/>
    <s v="SUPORTE OBT"/>
    <n v="1"/>
  </r>
  <r>
    <n v="3220290"/>
    <s v="SABRE"/>
    <x v="322"/>
    <s v="FKQXRT"/>
    <s v="FKQXRT"/>
    <s v="Não localizado cliente código [0000035945].&lt;-ObterCliente&lt;-MontarPnrBase&lt;-ProcessarAereo&lt;-ProcessarItemFila[b]"/>
    <d v="2025-02-03T14:49:00"/>
    <m/>
    <s v="CLIENTE"/>
    <s v="CÓD. CLIENTE DIVERGENTE"/>
    <s v="CÓDIGO DIFERENTE DO CADASTRADO NO BENNER (CLIENTE X GRUPO)"/>
    <x v="1"/>
    <s v="SUPORTE OBT"/>
    <n v="1"/>
  </r>
  <r>
    <n v="3220291"/>
    <s v="SABRE"/>
    <x v="322"/>
    <s v="JKTSYZ"/>
    <s v="JKTSYZ"/>
    <s v="Inserindo Accounting - (ExecSQL) - Could not convert variant of type (Null) into type (OleStr)"/>
    <d v="2025-02-03T14:49:00"/>
    <m/>
    <s v="OUTROS"/>
    <s v="ERRO NO XML"/>
    <s v=""/>
    <x v="0"/>
    <s v="SUPORTE OBT"/>
    <s v="COLUNA I"/>
  </r>
  <r>
    <n v="3220293"/>
    <s v="SABRE"/>
    <x v="322"/>
    <s v="FJTULD"/>
    <s v="FJTULD"/>
    <s v="Não localizado cliente com CNPJ [820120000135].&lt;-ObterCliente&lt;-MontarPnrBase&lt;-ProcessarAereo&lt;-ProcessarItemFila[b]"/>
    <d v="2025-02-03T14:50:00"/>
    <m/>
    <s v="CLIENTE"/>
    <s v="REMARK - CNPJ"/>
    <s v=""/>
    <x v="2"/>
    <s v="OPERAÇÕES / SUPORTE KCS"/>
    <n v="24"/>
  </r>
  <r>
    <n v="3220295"/>
    <s v="SABRE"/>
    <x v="322"/>
    <s v="MNLCVW"/>
    <s v="MNLCVW"/>
    <s v="Não localizado cliente com CNPJ [820120000135].&lt;-ObterCliente&lt;-MontarPnrBase&lt;-ProcessarAereo&lt;-ProcessarItemFila[b]"/>
    <d v="2025-02-03T14:50:00"/>
    <m/>
    <s v="CLIENTE"/>
    <s v="REMARK - CNPJ"/>
    <s v=""/>
    <x v="1"/>
    <s v="OPERAÇÕES / SUPORTE KCS"/>
    <n v="24"/>
  </r>
  <r>
    <n v="3220298"/>
    <s v="SABRE"/>
    <x v="322"/>
    <s v="UTYPGA"/>
    <s v="UTYPGA"/>
    <s v="Inserindo Accounting - (ExecSQL) - Could not convert variant of type (Null) into type (OleStr)"/>
    <d v="2025-02-03T14:51:00"/>
    <m/>
    <s v="OUTROS"/>
    <s v="ERRO NO XML"/>
    <s v=""/>
    <x v="0"/>
    <s v="SUPORTE OBT"/>
    <s v="COLUNA I"/>
  </r>
  <r>
    <n v="3220299"/>
    <s v="SABRE"/>
    <x v="322"/>
    <s v="CPWSOQ"/>
    <s v="CPWSOQ"/>
    <s v="Não localizado cliente com CNPJ [820120000135].&lt;-ObterCliente&lt;-MontarPnrBase&lt;-ProcessarAereo&lt;-ProcessarItemFila[b]"/>
    <d v="2025-02-03T14:51:00"/>
    <m/>
    <s v="CLIENTE"/>
    <s v="REMARK - CNPJ"/>
    <s v=""/>
    <x v="2"/>
    <s v="OPERAÇÕES / SUPORTE KCS"/>
    <n v="24"/>
  </r>
  <r>
    <n v="3220340"/>
    <s v="SABRE"/>
    <x v="323"/>
    <s v="UAABCN"/>
    <s v="UAABCN"/>
    <s v="Código de cliente não identificado&lt;-ObterCliente&lt;-MontarPnrBase&lt;-ProcessarAereo&lt;-ProcessarItemFila[b]"/>
    <d v="2025-02-03T15:20:00"/>
    <m/>
    <s v="CLIENTE"/>
    <s v="CLIENTE NÃO IDENTIFICADO"/>
    <s v="DK DE CLIENTE NÃO PREENCIDO / CLIENTE NÃO CONFIGURADO NO OBT"/>
    <x v="2"/>
    <s v="OPERAÇÕES / SUPORTE KCS"/>
    <s v="COLUNA I"/>
  </r>
  <r>
    <n v="3220697"/>
    <s v="GOVER"/>
    <x v="324"/>
    <n v="4485088"/>
    <s v="AYQNSL"/>
    <s v="PreencherPnr-&gt;Não foi encontrado nenhum item hotel para o localizador AYQNSL"/>
    <d v="2025-02-03T16:24:00"/>
    <d v="2025-02-11T09:54:00"/>
    <s v="OUTROS"/>
    <s v="TAG - ITEM HOTEL"/>
    <s v=""/>
    <x v="0"/>
    <s v="SUPORTE OBT"/>
    <s v="COLUNA I"/>
  </r>
  <r>
    <n v="3221580"/>
    <s v="SABRE"/>
    <x v="303"/>
    <s v="AZLBHP"/>
    <s v="AZLBHP"/>
    <s v="Não localizado cliente com CNPJ [357038000116].&lt;-ObterCliente&lt;-MontarPnrBase&lt;-ProcessarAereo&lt;-ProcessarItemFila[b]"/>
    <d v="2025-02-03T18:35:00"/>
    <d v="2025-02-03T20:05:00"/>
    <s v="CLIENTE"/>
    <s v="REMARK - CNPJ"/>
    <s v=""/>
    <x v="2"/>
    <s v="OPERAÇÕES / SUPORTE KCS"/>
    <n v="24"/>
  </r>
  <r>
    <n v="3221581"/>
    <s v="SABRE"/>
    <x v="303"/>
    <s v="HLXQAT"/>
    <s v="HLXQAT"/>
    <s v="Não localizado cliente com CNPJ [357038000116].&lt;-ObterCliente&lt;-MontarPnrBase&lt;-ProcessarAereo&lt;-ProcessarItemFila[b]"/>
    <d v="2025-02-03T18:36:00"/>
    <d v="2025-02-03T20:05:00"/>
    <s v="CLIENTE"/>
    <s v="REMARK - CNPJ"/>
    <s v=""/>
    <x v="1"/>
    <s v="OPERAÇÕES / SUPORTE KCS"/>
    <n v="24"/>
  </r>
  <r>
    <n v="3221582"/>
    <s v="SABRE"/>
    <x v="303"/>
    <s v="UNWTBI"/>
    <s v="UNWTBI"/>
    <s v="Não localizado cliente com CNPJ [357038000116].&lt;-ObterCliente&lt;-MontarPnrBase&lt;-ProcessarAereo&lt;-ProcessarItemFila[b]"/>
    <d v="2025-02-03T18:36:00"/>
    <d v="2025-02-03T20:06:00"/>
    <s v="CLIENTE"/>
    <s v="REMARK - CNPJ"/>
    <s v=""/>
    <x v="3"/>
    <s v="OPERAÇÕES / SUPORTE KCS"/>
    <n v="24"/>
  </r>
  <r>
    <n v="3221585"/>
    <s v="SABRE"/>
    <x v="303"/>
    <s v="HPIGHD"/>
    <s v="HPIGHD"/>
    <s v="Não localizado cliente com CNPJ [357038000116].&lt;-ObterCliente&lt;-MontarPnrBase&lt;-ProcessarAereo&lt;-ProcessarItemFila[b]"/>
    <d v="2025-02-03T18:36:00"/>
    <d v="2025-02-03T20:07:00"/>
    <s v="CLIENTE"/>
    <s v="REMARK - CNPJ"/>
    <s v=""/>
    <x v="3"/>
    <s v="OPERAÇÕES / SUPORTE KCS"/>
    <n v="24"/>
  </r>
  <r>
    <n v="3221780"/>
    <s v="SABRE"/>
    <x v="303"/>
    <s v="NUKBZS"/>
    <s v="NUKBZS"/>
    <s v="Não localizado cliente com CNPJ [2379828000128].&lt;-ObterCliente&lt;-MontarPnrBase&lt;-ProcessarAereo&lt;-ProcessarItemFila[b]"/>
    <d v="2025-02-03T20:03:00"/>
    <m/>
    <s v="CLIENTE"/>
    <s v="REMARK - CNPJ"/>
    <s v=""/>
    <x v="1"/>
    <s v="OPERAÇÕES / SUPORTE KCS"/>
    <n v="24"/>
  </r>
  <r>
    <n v="3221788"/>
    <s v="SABRE"/>
    <x v="303"/>
    <s v="NUSKYF"/>
    <s v="NUSKYF"/>
    <s v="Não localizado cliente código [0000063625].&lt;-ObterCliente&lt;-MontarPnrBase&lt;-ProcessarAereo&lt;-ProcessarItemFila[b]"/>
    <d v="2025-02-03T20:05:00"/>
    <m/>
    <s v="CLIENTE"/>
    <s v="CÓD. CLIENTE DIVERGENTE"/>
    <s v="CÓDIGO DIFERENTE DO CADASTRADO NO BENNER (CLIENTE X GRUPO)"/>
    <x v="1"/>
    <s v="SUPORTE OBT"/>
    <n v="1"/>
  </r>
  <r>
    <n v="3221790"/>
    <s v="SABRE"/>
    <x v="303"/>
    <s v="LKJQKO"/>
    <s v="LKJQKO"/>
    <s v="Não localizado cliente com CNPJ [820120000135].&lt;-ObterCliente&lt;-MontarPnrBase&lt;-ProcessarAereo&lt;-ProcessarItemFila[b]"/>
    <d v="2025-02-03T20:06:00"/>
    <m/>
    <s v="CLIENTE"/>
    <s v="REMARK - CNPJ"/>
    <s v=""/>
    <x v="1"/>
    <s v="OPERAÇÕES / SUPORTE KCS"/>
    <n v="24"/>
  </r>
  <r>
    <n v="3221792"/>
    <s v="SABRE"/>
    <x v="303"/>
    <s v="NVLYSO"/>
    <s v="NVLYSO"/>
    <s v="Não localizado cliente com CNPJ [4120966000113].&lt;-ObterCliente&lt;-MontarPnrBase&lt;-ProcessarAereo&lt;-ProcessarItemFila[b]"/>
    <d v="2025-02-03T20:06:00"/>
    <m/>
    <s v="CLIENTE"/>
    <s v="REMARK - CNPJ"/>
    <s v=""/>
    <x v="1"/>
    <s v="OPERAÇÕES / SUPORTE KCS"/>
    <n v="24"/>
  </r>
  <r>
    <n v="3221797"/>
    <s v="SABRE"/>
    <x v="303"/>
    <s v="NVOYAB"/>
    <s v="NVOYAB"/>
    <s v="Código de cliente não identificado&lt;-ObterCliente&lt;-MontarPnrBase&lt;-ProcessarAereo&lt;-ProcessarItemFila[b]"/>
    <d v="2025-02-03T20:07:00"/>
    <m/>
    <s v="CLIENTE"/>
    <s v="CLIENTE NÃO IDENTIFICADO"/>
    <s v="DK DE CLIENTE NÃO PREENCIDO / CLIENTE NÃO CONFIGURADO NO OBT"/>
    <x v="2"/>
    <s v="OPERAÇÕES / SUPORTE KCS"/>
    <s v="COLUNA I"/>
  </r>
  <r>
    <n v="3221799"/>
    <s v="SABRE"/>
    <x v="303"/>
    <s v="EXWEUZ"/>
    <s v="EXWEUZ"/>
    <s v="Não localizado cliente com CNPJ [820120000135].&lt;-ObterCliente&lt;-MontarPnrBase&lt;-ProcessarAereo&lt;-ProcessarItemFila[b]"/>
    <d v="2025-02-03T20:08:00"/>
    <m/>
    <s v="CLIENTE"/>
    <s v="REMARK - CNPJ"/>
    <s v=""/>
    <x v="1"/>
    <s v="OPERAÇÕES / SUPORTE KCS"/>
    <n v="24"/>
  </r>
  <r>
    <n v="3221800"/>
    <s v="SABRE"/>
    <x v="303"/>
    <s v="ACEZKD"/>
    <s v="ACEZKD"/>
    <s v="Código de cliente não identificado&lt;-ObterCliente&lt;-MontarPnrBase&lt;-ProcessarAereo&lt;-ProcessarItemFila[b]"/>
    <d v="2025-02-03T20:08:00"/>
    <m/>
    <s v="CLIENTE"/>
    <s v="CLIENTE NÃO IDENTIFICADO"/>
    <s v="DK DE CLIENTE NÃO PREENCIDO / CLIENTE NÃO CONFIGURADO NO OBT"/>
    <x v="2"/>
    <s v="OPERAÇÕES / SUPORTE KCS"/>
    <s v="COLUNA I"/>
  </r>
  <r>
    <n v="3221802"/>
    <s v="SABRE"/>
    <x v="325"/>
    <s v="AXHITO"/>
    <s v="AXHITO"/>
    <s v="Não localizado cliente com CNPJ [357038000116].&lt;-ObterCliente&lt;-MontarPnrBase&lt;-ProcessarAereo&lt;-ProcessarItemFila[b]"/>
    <d v="2025-02-03T20:09:00"/>
    <d v="2025-02-05T08:04:00"/>
    <s v="CLIENTE"/>
    <s v="REMARK - CNPJ"/>
    <s v=""/>
    <x v="1"/>
    <s v="OPERAÇÕES / SUPORTE KCS"/>
    <n v="24"/>
  </r>
  <r>
    <n v="3221807"/>
    <s v="SABRE"/>
    <x v="303"/>
    <s v="AAQMIO"/>
    <s v="AAQMIO"/>
    <s v="Código de cliente não identificado&lt;-ObterCliente&lt;-MontarPnrBase&lt;-ProcessarAereo&lt;-ProcessarItemFila[b]"/>
    <d v="2025-02-03T20:10:00"/>
    <m/>
    <s v="CLIENTE"/>
    <s v="CLIENTE NÃO IDENTIFICADO"/>
    <s v="DK DE CLIENTE NÃO PREENCIDO / CLIENTE NÃO CONFIGURADO NO OBT"/>
    <x v="2"/>
    <s v="OPERAÇÕES / SUPORTE KCS"/>
    <s v="COLUNA I"/>
  </r>
  <r>
    <n v="3221812"/>
    <s v="SABRE"/>
    <x v="303"/>
    <s v="HLGZZX"/>
    <s v="HLGZZX"/>
    <s v="Código de cliente não identificado&lt;-ObterCliente&lt;-MontarPnrBase&lt;-ProcessarAereo&lt;-ProcessarItemFila[b]"/>
    <d v="2025-02-03T20:11:00"/>
    <m/>
    <s v="CLIENTE"/>
    <s v="CLIENTE NÃO IDENTIFICADO"/>
    <s v="DK DE CLIENTE NÃO PREENCIDO / CLIENTE NÃO CONFIGURADO NO OBT"/>
    <x v="2"/>
    <s v="OPERAÇÕES / SUPORTE KCS"/>
    <s v="COLUNA I"/>
  </r>
  <r>
    <n v="3222452"/>
    <s v="GOVER"/>
    <x v="326"/>
    <n v="4485474"/>
    <s v="OWGGAN"/>
    <s v="PreencherPnr-&gt;Não foi encontrado nenhum item hotel para o localizador OWGGAN"/>
    <d v="2025-02-04T09:14:00"/>
    <m/>
    <s v="OUTROS"/>
    <s v="TAG - ITEM HOTEL"/>
    <s v=""/>
    <x v="0"/>
    <s v="SUPORTE OBT"/>
    <s v="COLUNA I"/>
  </r>
  <r>
    <n v="3222923"/>
    <s v="SABRE"/>
    <x v="327"/>
    <s v="HHLWQFT"/>
    <s v="HHLWQF"/>
    <s v="Código de cliente não identificado&lt;-ObterCliente&lt;-MontarPnrBase&lt;-MontarPnr&lt;-ProcessarHotel&lt;-ProcessarItemFila[b]"/>
    <d v="2025-02-04T12:21:00"/>
    <d v="2025-02-05T08:05:00"/>
    <s v="CLIENTE"/>
    <s v="CLIENTE NÃO IDENTIFICADO"/>
    <s v="DK DE CLIENTE NÃO PREENCIDO / CLIENTE NÃO CONFIGURADO NO OBT"/>
    <x v="2"/>
    <s v="OPERAÇÕES / SUPORTE KCS"/>
    <s v="COLUNA I"/>
  </r>
  <r>
    <n v="3222946"/>
    <s v="SABRE"/>
    <x v="328"/>
    <s v="YUZFFS"/>
    <s v="YUZFFS"/>
    <s v="Não localizado cliente com CNPJ [820120000135].&lt;-ObterCliente&lt;-MontarPnrBase&lt;-ProcessarAereo&lt;-ProcessarItemFila[b]"/>
    <d v="2025-02-04T12:35:00"/>
    <d v="2025-02-05T08:40:00"/>
    <s v="CLIENTE"/>
    <s v="REMARK - CNPJ"/>
    <s v=""/>
    <x v="3"/>
    <s v="OPERAÇÕES / SUPORTE KCS"/>
    <n v="24"/>
  </r>
  <r>
    <n v="3223156"/>
    <s v="SABRE"/>
    <x v="329"/>
    <s v="JHCLJY"/>
    <s v="JHCLJY"/>
    <s v="Não localizado cliente com CNPJ [820120000135].&lt;-ObterCliente&lt;-MontarPnrBase&lt;-ProcessarAereo&lt;-ProcessarItemFila[b]"/>
    <d v="2025-02-04T15:10:00"/>
    <d v="2025-02-05T08:42:00"/>
    <s v="CLIENTE"/>
    <s v="REMARK - CNPJ"/>
    <s v=""/>
    <x v="3"/>
    <s v="OPERAÇÕES / SUPORTE KCS"/>
    <n v="24"/>
  </r>
  <r>
    <n v="3223331"/>
    <s v="SABRE"/>
    <x v="330"/>
    <s v="DSRKKQT"/>
    <s v="DSRKKQ"/>
    <s v="Código de cliente não identificado&lt;-ObterCliente&lt;-MontarPnrBase&lt;-MontarPnr&lt;-ProcessarHotel&lt;-ProcessarItemFila[b]"/>
    <d v="2025-02-04T16:25:00"/>
    <d v="2025-02-05T08:06:00"/>
    <s v="CLIENTE"/>
    <s v="CLIENTE NÃO IDENTIFICADO"/>
    <s v="DK DE CLIENTE NÃO PREENCIDO / CLIENTE NÃO CONFIGURADO NO OBT"/>
    <x v="2"/>
    <s v="OPERAÇÕES / SUPORTE KCS"/>
    <s v="COLUNA I"/>
  </r>
  <r>
    <n v="3223878"/>
    <s v="SABRE"/>
    <x v="331"/>
    <s v="UNOHSI"/>
    <s v="UNOHSI"/>
    <s v="Não localizado cliente com CNPJ [3334170000109].&lt;-ObterCliente&lt;-MontarPnrBase&lt;-ProcessarAereo&lt;-ProcessarItemFila[b]"/>
    <d v="2025-02-04T17:30:00"/>
    <d v="2025-02-05T08:46:00"/>
    <s v="CLIENTE"/>
    <s v="REMARK - CNPJ"/>
    <s v=""/>
    <x v="3"/>
    <s v="OPERAÇÕES / SUPORTE KCS"/>
    <n v="24"/>
  </r>
  <r>
    <n v="3223920"/>
    <s v="SABRE"/>
    <x v="331"/>
    <s v="OTBHHS"/>
    <s v="OTBHHS"/>
    <s v="Inserindo Accounting - (ExecSQL) - Could not convert variant of type (Null) into type (OleStr)"/>
    <d v="2025-02-04T17:34:00"/>
    <d v="2025-02-05T08:50:00"/>
    <s v="OUTROS"/>
    <s v="ERRO NO XML"/>
    <s v=""/>
    <x v="0"/>
    <s v="SUPORTE OBT"/>
    <s v="COLUNA I"/>
  </r>
  <r>
    <n v="3224058"/>
    <s v="SABRE"/>
    <x v="332"/>
    <s v="DRAAHXT"/>
    <s v="DRAAHX"/>
    <s v="Inserindo PNR - Accountings - TurVendas - Não foi possível localizar o contrato do fornecedor 49032"/>
    <d v="2025-02-04T17:51:00"/>
    <d v="2025-02-05T08:07:00"/>
    <s v="FORNECEDOR"/>
    <s v="CONTRATO FORNECEDOR"/>
    <s v="CONTRATO INATIVO OU DIVERGENTE"/>
    <x v="0"/>
    <s v="OPERAÇÕES / SUPORTE KCS"/>
    <n v="43"/>
  </r>
  <r>
    <n v="3224547"/>
    <s v="SABRE"/>
    <x v="333"/>
    <s v="NSTUMAT"/>
    <s v="NSTUMA"/>
    <s v="Não localizado cliente código [HA04100203].&lt;-ObterCliente&lt;-MontarPnrBase&lt;-MontarPnr&lt;-ProcessarHotel&lt;-ProcessarItemFila[b]"/>
    <d v="2025-02-04T19:36:00"/>
    <d v="2025-02-05T08:12:00"/>
    <s v="CLIENTE"/>
    <s v="CÓD. CLIENTE DIVERGENTE"/>
    <s v="CÓDIGO DIFERENTE DO CADASTRADO NO BENNER (CLIENTE X GRUPO)"/>
    <x v="1"/>
    <s v="SUPORTE OBT"/>
    <n v="1"/>
  </r>
  <r>
    <n v="3224605"/>
    <s v="SABRE"/>
    <x v="334"/>
    <s v="YJYGUX"/>
    <s v="YJYGUX"/>
    <s v="Não localizado cliente com CNPJ [820120000135].&lt;-ObterCliente&lt;-MontarPnrBase&lt;-ProcessarAereo&lt;-ProcessarItemFila[b]"/>
    <d v="2025-02-04T21:05:00"/>
    <d v="2025-02-05T08:53:00"/>
    <s v="CLIENTE"/>
    <s v="REMARK - CNPJ"/>
    <s v=""/>
    <x v="1"/>
    <s v="OPERAÇÕES / SUPORTE KCS"/>
    <n v="24"/>
  </r>
  <r>
    <n v="3224608"/>
    <s v="SABRE"/>
    <x v="334"/>
    <s v="DQLRDD"/>
    <s v="DQLRDD"/>
    <s v="Não localizado cliente com CNPJ [357038000116].&lt;-ObterCliente&lt;-MontarPnrBase&lt;-ProcessarAereo&lt;-ProcessarItemFila[b]"/>
    <d v="2025-02-04T21:06:00"/>
    <d v="2025-02-05T07:51:00"/>
    <s v="CLIENTE"/>
    <s v="REMARK - CNPJ"/>
    <s v=""/>
    <x v="2"/>
    <s v="OPERAÇÕES / SUPORTE KCS"/>
    <n v="24"/>
  </r>
  <r>
    <n v="3224623"/>
    <s v="SABRE"/>
    <x v="334"/>
    <s v="YJEKLS"/>
    <s v="YJEKLS"/>
    <s v="Não localizado cliente com CNPJ [357038000116].&lt;-ObterCliente&lt;-MontarPnrBase&lt;-ProcessarAereo&lt;-ProcessarItemFila[b]"/>
    <d v="2025-02-04T21:09:00"/>
    <d v="2025-02-05T07:54:00"/>
    <s v="CLIENTE"/>
    <s v="REMARK - CNPJ"/>
    <s v=""/>
    <x v="0"/>
    <s v="OPERAÇÕES / SUPORTE KCS"/>
    <n v="24"/>
  </r>
  <r>
    <n v="3224624"/>
    <s v="SABRE"/>
    <x v="334"/>
    <s v="YXEKUC"/>
    <s v="YXEKUC"/>
    <s v="Não localizado cliente com CNPJ [357038000116].&lt;-ObterCliente&lt;-MontarPnrBase&lt;-ProcessarAereo&lt;-ProcessarItemFila[b]"/>
    <d v="2025-02-04T21:09:00"/>
    <d v="2025-02-05T07:54:00"/>
    <s v="CLIENTE"/>
    <s v="REMARK - CNPJ"/>
    <s v=""/>
    <x v="1"/>
    <s v="OPERAÇÕES / SUPORTE KCS"/>
    <n v="24"/>
  </r>
  <r>
    <n v="3225181"/>
    <s v="GOVER"/>
    <x v="335"/>
    <n v="4486419"/>
    <s v="HUQZHG"/>
    <s v="PreencherPnr-&gt;Não foi encontrado nenhum item hotel para o localizador HUQZHG"/>
    <d v="2025-02-05T09:24:00"/>
    <m/>
    <s v="OUTROS"/>
    <s v="TAG - ITEM HOTEL"/>
    <s v=""/>
    <x v="0"/>
    <s v="SUPORTE OBT"/>
    <s v="COLUNA I"/>
  </r>
  <r>
    <n v="3225191"/>
    <s v="GOVER"/>
    <x v="336"/>
    <n v="4486399"/>
    <s v="FADKXQ"/>
    <s v="PreencherPnr-&gt;Não foi encontrado nenhum item hotel para o localizador FADKXQ"/>
    <d v="2025-02-05T09:35:00"/>
    <m/>
    <s v="OUTROS"/>
    <s v="TAG - ITEM HOTEL"/>
    <s v=""/>
    <x v="0"/>
    <s v="SUPORTE OBT"/>
    <s v="COLUNA I"/>
  </r>
  <r>
    <n v="3225198"/>
    <s v="SABRE"/>
    <x v="337"/>
    <s v="GHIPSO"/>
    <s v="GHIPSO"/>
    <s v="Não localizado cliente com CNPJ [820120000135].&lt;-ObterCliente&lt;-MontarPnrBase&lt;-ProcessarAereo&lt;-ProcessarItemFila[b]"/>
    <d v="2025-02-05T09:43:00"/>
    <d v="2025-02-06T21:34:00"/>
    <s v="CLIENTE"/>
    <s v="REMARK - CNPJ"/>
    <s v=""/>
    <x v="1"/>
    <s v="OPERAÇÕES / SUPORTE KCS"/>
    <n v="24"/>
  </r>
  <r>
    <n v="3225353"/>
    <s v="SABRE"/>
    <x v="338"/>
    <s v="FGSLJO"/>
    <s v="FGSLJO"/>
    <s v="Não localizado cliente com CNPJ [2016507000169].&lt;-ObterCliente&lt;-MontarPnrBase&lt;-ProcessarAereo&lt;-ProcessarItemFila[b]"/>
    <d v="2025-02-05T10:18:00"/>
    <d v="2025-02-06T22:24:00"/>
    <s v="CLIENTE"/>
    <s v="REMARK - CNPJ"/>
    <s v=""/>
    <x v="1"/>
    <s v="OPERAÇÕES / SUPORTE KCS"/>
    <n v="24"/>
  </r>
  <r>
    <n v="3225354"/>
    <s v="SABRE"/>
    <x v="338"/>
    <s v="FGSLJOT"/>
    <s v="FGSLJO"/>
    <s v="Não localizado cliente com CNPJ [2016507000169].&lt;-ObterCliente&lt;-MontarPnrBase&lt;-MontarPnr&lt;-ProcessarHotel&lt;-ProcessarItemFila[b]"/>
    <d v="2025-02-05T10:18:00"/>
    <d v="2025-02-06T22:24:00"/>
    <s v="CLIENTE"/>
    <s v="REMARK - CNPJ"/>
    <s v=""/>
    <x v="3"/>
    <s v="OPERAÇÕES / SUPORTE KCS"/>
    <n v="24"/>
  </r>
  <r>
    <n v="3225511"/>
    <s v="GOVER"/>
    <x v="339"/>
    <n v="4486586"/>
    <n v="4486586"/>
    <s v="PreencherPnr-&gt;Foi identificado um localizador sem código."/>
    <d v="2025-02-05T10:36:00"/>
    <d v="2025-02-11T09:54:00"/>
    <s v="OUTROS"/>
    <s v="RLOC NÃO INFORMADO"/>
    <s v="RLOC NÃO PREENCHIDO NA RESERVA"/>
    <x v="1"/>
    <s v="SUPORTE OBT"/>
    <s v="COLUNA I"/>
  </r>
  <r>
    <n v="3226268"/>
    <s v="SABRE"/>
    <x v="340"/>
    <s v="HTUNHX"/>
    <s v="HTUNHX"/>
    <s v="Não localizado cliente com CNPJ [357038000116].&lt;-ObterCliente&lt;-MontarPnrBase&lt;-ProcessarAereo&lt;-ProcessarItemFila[b]"/>
    <d v="2025-02-05T13:03:00"/>
    <d v="2025-02-06T22:28:00"/>
    <s v="CLIENTE"/>
    <s v="REMARK - CNPJ"/>
    <s v=""/>
    <x v="1"/>
    <s v="OPERAÇÕES / SUPORTE KCS"/>
    <n v="24"/>
  </r>
  <r>
    <n v="3226445"/>
    <s v="SABRE"/>
    <x v="337"/>
    <s v="YYTSKB"/>
    <s v="YYTSKB"/>
    <s v="Não localizado cliente código [0000583808].&lt;-ObterCliente&lt;-MontarPnrBase&lt;-ProcessarAereo&lt;-ProcessarItemFila[b]"/>
    <d v="2025-02-05T14:07:00"/>
    <d v="2025-02-06T21:35:00"/>
    <s v="CLIENTE"/>
    <s v="CÓD. CLIENTE DIVERGENTE"/>
    <s v="CÓDIGO DIFERENTE DO CADASTRADO NO BENNER (CLIENTE X GRUPO)"/>
    <x v="1"/>
    <s v="SUPORTE OBT"/>
    <n v="1"/>
  </r>
  <r>
    <n v="3226448"/>
    <s v="SABRE"/>
    <x v="337"/>
    <s v="EQZXVH"/>
    <s v="EQZXVH"/>
    <s v="Não localizado cliente código [0000063625].&lt;-ObterCliente&lt;-MontarPnrBase&lt;-ProcessarAereo&lt;-ProcessarItemFila[b]"/>
    <d v="2025-02-05T14:08:00"/>
    <d v="2025-02-06T21:36:00"/>
    <s v="CLIENTE"/>
    <s v="CÓD. CLIENTE DIVERGENTE"/>
    <s v="CÓDIGO DIFERENTE DO CADASTRADO NO BENNER (CLIENTE X GRUPO)"/>
    <x v="1"/>
    <s v="SUPORTE OBT"/>
    <n v="1"/>
  </r>
  <r>
    <n v="3226449"/>
    <s v="SABRE"/>
    <x v="341"/>
    <s v="HUQFYQ"/>
    <s v="HUQFYQ"/>
    <s v="Não localizado cliente com CNPJ [357038000116].&lt;-ObterCliente&lt;-MontarPnrBase&lt;-ProcessarAereo&lt;-ProcessarItemFila[b]"/>
    <d v="2025-02-05T14:09:00"/>
    <d v="2025-02-06T22:30:00"/>
    <s v="CLIENTE"/>
    <s v="REMARK - CNPJ"/>
    <s v=""/>
    <x v="3"/>
    <s v="OPERAÇÕES / SUPORTE KCS"/>
    <n v="24"/>
  </r>
  <r>
    <n v="3226451"/>
    <s v="SABRE"/>
    <x v="337"/>
    <s v="YYNIHH"/>
    <s v="YYNIHH"/>
    <s v="Não localizado cliente código [0000583808].&lt;-ObterCliente&lt;-MontarPnrBase&lt;-ProcessarAereo&lt;-ProcessarItemFila[b]"/>
    <d v="2025-02-05T14:09:00"/>
    <d v="2025-02-06T21:37:00"/>
    <s v="CLIENTE"/>
    <s v="CÓD. CLIENTE DIVERGENTE"/>
    <s v="CÓDIGO DIFERENTE DO CADASTRADO NO BENNER (CLIENTE X GRUPO)"/>
    <x v="1"/>
    <s v="SUPORTE OBT"/>
    <n v="1"/>
  </r>
  <r>
    <n v="3226461"/>
    <s v="SABRE"/>
    <x v="342"/>
    <s v="HYUYIL"/>
    <s v="HYUYIL"/>
    <s v="Não localizado cliente código [0000035405].&lt;-ObterCliente&lt;-MontarPnrBase&lt;-ProcessarAereo&lt;-ProcessarItemFila[b]"/>
    <d v="2025-02-05T14:11:00"/>
    <d v="2025-02-06T21:39:00"/>
    <s v="CLIENTE"/>
    <s v="CÓD. CLIENTE DIVERGENTE"/>
    <s v="CÓDIGO DIFERENTE DO CADASTRADO NO BENNER (CLIENTE X GRUPO)"/>
    <x v="1"/>
    <s v="SUPORTE OBT"/>
    <n v="1"/>
  </r>
  <r>
    <n v="3227033"/>
    <s v="SABRE"/>
    <x v="343"/>
    <s v="CEOWMR"/>
    <s v="CEOWMR"/>
    <s v="Não localizado cliente com CNPJ [820120000135].&lt;-ObterCliente&lt;-MontarPnrBase&lt;-ProcessarAereo&lt;-ProcessarItemFila[b]"/>
    <d v="2025-02-05T17:07:00"/>
    <d v="2025-02-06T23:00:00"/>
    <s v="CLIENTE"/>
    <s v="REMARK - CNPJ"/>
    <s v=""/>
    <x v="1"/>
    <s v="OPERAÇÕES / SUPORTE KCS"/>
    <n v="24"/>
  </r>
  <r>
    <n v="3227037"/>
    <s v="SABRE"/>
    <x v="344"/>
    <s v="SJSPYG"/>
    <s v="SJSPYG"/>
    <s v="Não localizado cliente com CNPJ [820120000135].&lt;-ObterCliente&lt;-MontarPnrBase&lt;-ProcessarAereo&lt;-ProcessarItemFila[b]"/>
    <d v="2025-02-05T17:07:00"/>
    <d v="2025-02-06T21:44:00"/>
    <s v="CLIENTE"/>
    <s v="REMARK - CNPJ"/>
    <s v=""/>
    <x v="1"/>
    <s v="OPERAÇÕES / SUPORTE KCS"/>
    <n v="24"/>
  </r>
  <r>
    <n v="3227490"/>
    <s v="SABRE"/>
    <x v="345"/>
    <s v="HZSBPW"/>
    <s v="HZSBPW"/>
    <s v="Não localizado cliente com CNPJ [2016507000169].&lt;-ObterCliente&lt;-MontarPnrBase&lt;-ProcessarAereo&lt;-ProcessarItemFila[b]"/>
    <d v="2025-02-05T18:06:00"/>
    <d v="2025-02-06T22:32:00"/>
    <s v="CLIENTE"/>
    <s v="REMARK - CNPJ"/>
    <s v=""/>
    <x v="1"/>
    <s v="OPERAÇÕES / SUPORTE KCS"/>
    <n v="24"/>
  </r>
  <r>
    <n v="3227601"/>
    <s v="SABRE"/>
    <x v="346"/>
    <s v="NGYEWPT"/>
    <s v="NGYEWP"/>
    <s v="Não localizado cliente código [0000059700].&lt;-ObterCliente&lt;-MontarPnrBase&lt;-MontarPnr&lt;-ProcessarHotel&lt;-ProcessarItemFila[b]"/>
    <d v="2025-02-05T18:14:00"/>
    <d v="2025-02-07T08:50:00"/>
    <s v="CLIENTE"/>
    <s v="CÓD. CLIENTE DIVERGENTE"/>
    <s v="CÓDIGO DIFERENTE DO CADASTRADO NO BENNER (CLIENTE X GRUPO)"/>
    <x v="1"/>
    <s v="SUPORTE OBT"/>
    <n v="1"/>
  </r>
  <r>
    <n v="3227712"/>
    <s v="SABRE"/>
    <x v="347"/>
    <s v="MBZVMD"/>
    <s v="MBZVMD"/>
    <s v="Inserindo Accounting - (ExecSQL) - Could not convert variant of type (Null) into type (OleStr)"/>
    <d v="2025-02-05T18:26:00"/>
    <d v="2025-02-09T10:48:00"/>
    <s v="OUTROS"/>
    <s v="ERRO NO XML"/>
    <s v=""/>
    <x v="0"/>
    <s v="SUPORTE OBT"/>
    <s v="COLUNA I"/>
  </r>
  <r>
    <n v="3227759"/>
    <s v="SABRE"/>
    <x v="344"/>
    <s v="SIYQIY"/>
    <s v="SIYQIY"/>
    <s v="Não localizado cliente com CNPJ [820120000135].&lt;-ObterCliente&lt;-MontarPnrBase&lt;-ProcessarAereo&lt;-ProcessarItemFila[b]"/>
    <d v="2025-02-05T18:52:00"/>
    <d v="2025-02-06T21:44:00"/>
    <s v="CLIENTE"/>
    <s v="REMARK - CNPJ"/>
    <s v=""/>
    <x v="1"/>
    <s v="OPERAÇÕES / SUPORTE KCS"/>
    <n v="24"/>
  </r>
  <r>
    <n v="3227810"/>
    <s v="SABRE"/>
    <x v="348"/>
    <s v="MWFBTY"/>
    <s v="MWFBTY"/>
    <s v="Não localizado cliente com CNPJ [357038000116].&lt;-ObterCliente&lt;-MontarPnrBase&lt;-ProcessarAereo&lt;-ProcessarItemFila[b]"/>
    <d v="2025-02-05T19:47:00"/>
    <d v="2025-02-06T22:33:00"/>
    <s v="CLIENTE"/>
    <s v="REMARK - CNPJ"/>
    <s v=""/>
    <x v="1"/>
    <s v="OPERAÇÕES / SUPORTE KCS"/>
    <n v="24"/>
  </r>
  <r>
    <n v="3227844"/>
    <s v="SABRE"/>
    <x v="349"/>
    <s v="LDWMXN"/>
    <s v="LDWMXN"/>
    <s v="Não localizado cliente com CNPJ [357038000116].&lt;-ObterCliente&lt;-MontarPnrBase&lt;-ProcessarAereo&lt;-ProcessarItemFila[b]"/>
    <d v="2025-02-05T19:50:00"/>
    <d v="2025-02-06T22:36:00"/>
    <s v="CLIENTE"/>
    <s v="REMARK - CNPJ"/>
    <s v=""/>
    <x v="1"/>
    <s v="OPERAÇÕES / SUPORTE KCS"/>
    <n v="24"/>
  </r>
  <r>
    <n v="3228018"/>
    <s v="SABRE"/>
    <x v="350"/>
    <s v="CJXUIO"/>
    <s v="CJXUIO"/>
    <s v="Não localizado cliente com CNPJ [357038000116].&lt;-ObterCliente&lt;-MontarPnrBase&lt;-ProcessarAereo&lt;-ProcessarItemFila[b]"/>
    <d v="2025-02-05T22:51:00"/>
    <d v="2025-02-06T22:37:00"/>
    <s v="CLIENTE"/>
    <s v="REMARK - CNPJ"/>
    <s v=""/>
    <x v="2"/>
    <s v="OPERAÇÕES / SUPORTE KCS"/>
    <n v="24"/>
  </r>
  <r>
    <n v="3228553"/>
    <s v="TMS"/>
    <x v="351"/>
    <n v="177065"/>
    <n v="177065"/>
    <s v="Preenchendo XML Serviço-&gt; Preenchendo XML-&gt; Montando accounting aereo 2-&gt;Não foi informado o Localizador do Assento/Bagagem!"/>
    <d v="2025-02-06T10:55:00"/>
    <d v="2025-02-11T00:24:00"/>
    <s v="OUTROS"/>
    <s v="ASSENTO / BAGAGEM"/>
    <s v="CAMPO OBSERVAÇÃO PREENCHIDO INCORRETAMENTE"/>
    <x v="1"/>
    <s v="OPERAÇÕES / SUPORTE KCS"/>
    <n v="118"/>
  </r>
  <r>
    <n v="3228600"/>
    <s v="SABRE"/>
    <x v="350"/>
    <s v="WZFEJW"/>
    <s v="WZFEJW"/>
    <s v="Não localizado cliente com CNPJ [357038000116].&lt;-ObterCliente&lt;-MontarPnrBase&lt;-ProcessarAereo&lt;-ProcessarItemFila[b]"/>
    <d v="2025-02-06T11:05:00"/>
    <d v="2025-02-06T22:37:00"/>
    <s v="CLIENTE"/>
    <s v="REMARK - CNPJ"/>
    <s v=""/>
    <x v="1"/>
    <s v="OPERAÇÕES / SUPORTE KCS"/>
    <n v="24"/>
  </r>
  <r>
    <n v="3228602"/>
    <s v="SABRE"/>
    <x v="350"/>
    <s v="WZFEJWT"/>
    <s v="WZFEJW"/>
    <s v="Não localizado cliente com CNPJ [357038000116].&lt;-ObterCliente&lt;-MontarPnrBase&lt;-MontarPnr&lt;-ProcessarHotel&lt;-ProcessarItemFila[b]"/>
    <d v="2025-02-06T11:05:00"/>
    <d v="2025-02-06T22:37:00"/>
    <s v="CLIENTE"/>
    <s v="REMARK - CNPJ"/>
    <s v=""/>
    <x v="1"/>
    <s v="OPERAÇÕES / SUPORTE KCS"/>
    <n v="24"/>
  </r>
  <r>
    <n v="3228605"/>
    <s v="SABRE"/>
    <x v="350"/>
    <s v="CKLTDA"/>
    <s v="CKLTDA"/>
    <s v="Não localizado cliente com CNPJ [357038000116].&lt;-ObterCliente&lt;-MontarPnrBase&lt;-ProcessarAereo&lt;-ProcessarItemFila[b]"/>
    <d v="2025-02-06T11:06:00"/>
    <d v="2025-02-06T22:37:00"/>
    <s v="CLIENTE"/>
    <s v="REMARK - CNPJ"/>
    <s v=""/>
    <x v="1"/>
    <s v="OPERAÇÕES / SUPORTE KCS"/>
    <n v="24"/>
  </r>
  <r>
    <n v="3228606"/>
    <s v="SABRE"/>
    <x v="350"/>
    <s v="CKLTDAT"/>
    <s v="CKLTDA"/>
    <s v="Não localizado cliente com CNPJ [357038000116].&lt;-ObterCliente&lt;-MontarPnrBase&lt;-MontarPnr&lt;-ProcessarHotel&lt;-ProcessarItemFila[b]"/>
    <d v="2025-02-06T11:06:00"/>
    <d v="2025-02-06T22:37:00"/>
    <s v="CLIENTE"/>
    <s v="REMARK - CNPJ"/>
    <s v=""/>
    <x v="1"/>
    <s v="OPERAÇÕES / SUPORTE KCS"/>
    <n v="24"/>
  </r>
  <r>
    <n v="3228913"/>
    <s v="SABRE"/>
    <x v="352"/>
    <s v="HQDPEQ"/>
    <s v="HQDPEQ"/>
    <s v="Não localizado cliente com CNPJ [820120000135].&lt;-ObterCliente&lt;-MontarPnrBase&lt;-ProcessarAereo&lt;-ProcessarItemFila[b]"/>
    <d v="2025-02-06T12:14:00"/>
    <d v="2025-02-06T21:15:00"/>
    <s v="CLIENTE"/>
    <s v="REMARK - CNPJ"/>
    <s v=""/>
    <x v="1"/>
    <s v="OPERAÇÕES / SUPORTE KCS"/>
    <n v="24"/>
  </r>
  <r>
    <n v="3229213"/>
    <s v="SABRE"/>
    <x v="353"/>
    <s v="IKIRAO"/>
    <s v="IKIRAO"/>
    <s v="Não localizado cliente código [0000583831].&lt;-ObterCliente&lt;-MontarPnrBase&lt;-ProcessarAereo&lt;-ProcessarItemFila[b]"/>
    <d v="2025-02-06T16:02:00"/>
    <d v="2025-02-06T21:52:00"/>
    <s v="CLIENTE"/>
    <s v="CÓD. CLIENTE DIVERGENTE"/>
    <s v="CÓDIGO DIFERENTE DO CADASTRADO NO BENNER (CLIENTE X GRUPO)"/>
    <x v="1"/>
    <s v="SUPORTE OBT"/>
    <n v="1"/>
  </r>
  <r>
    <n v="3229215"/>
    <s v="SABRE"/>
    <x v="353"/>
    <s v="UFPCJG"/>
    <s v="UFPCJG"/>
    <s v="Não localizado cliente com CNPJ [820120000135].&lt;-ObterCliente&lt;-MontarPnrBase&lt;-ProcessarAereo&lt;-ProcessarItemFila[b]"/>
    <d v="2025-02-06T16:03:00"/>
    <d v="2025-02-06T21:53:00"/>
    <s v="CLIENTE"/>
    <s v="REMARK - CNPJ"/>
    <s v=""/>
    <x v="1"/>
    <s v="OPERAÇÕES / SUPORTE KCS"/>
    <n v="24"/>
  </r>
  <r>
    <n v="3229216"/>
    <s v="SABRE"/>
    <x v="353"/>
    <s v="QSOOTH"/>
    <s v="QSOOTH"/>
    <s v="Código de cliente não identificado&lt;-ObterCliente&lt;-MontarPnrBase&lt;-ProcessarAereo&lt;-ProcessarItemFila[b]"/>
    <d v="2025-02-06T16:03:00"/>
    <d v="2025-02-06T21:53:00"/>
    <s v="CLIENTE"/>
    <s v="CLIENTE NÃO IDENTIFICADO"/>
    <s v="DK DE CLIENTE NÃO PREENCIDO / CLIENTE NÃO CONFIGURADO NO OBT"/>
    <x v="2"/>
    <s v="OPERAÇÕES / SUPORTE KCS"/>
    <s v="COLUNA I"/>
  </r>
  <r>
    <n v="3229232"/>
    <s v="SABRE"/>
    <x v="354"/>
    <s v="HNOURN"/>
    <s v="HNOURN"/>
    <s v="Inserindo Accounting - (ExecSQL) - Could not convert variant of type (Null) into type (OleStr)"/>
    <d v="2025-02-06T16:05:00"/>
    <d v="2025-02-10T17:20:00"/>
    <s v="OUTROS"/>
    <s v="ERRO NO XML"/>
    <s v=""/>
    <x v="0"/>
    <s v="SUPORTE OBT"/>
    <s v="COLUNA I"/>
  </r>
  <r>
    <n v="3229238"/>
    <s v="SABRE"/>
    <x v="353"/>
    <s v="OPLIAH"/>
    <s v="OPLIAH"/>
    <s v="Não localizado cliente com CNPJ [3988220000163].&lt;-ObterCliente&lt;-MontarPnrBase&lt;-ProcessarAereo&lt;-ProcessarItemFila[b]"/>
    <d v="2025-02-06T16:06:00"/>
    <d v="2025-02-06T21:55:00"/>
    <s v="CLIENTE"/>
    <s v="REMARK - CNPJ"/>
    <s v=""/>
    <x v="1"/>
    <s v="OPERAÇÕES / SUPORTE KCS"/>
    <n v="24"/>
  </r>
  <r>
    <n v="3229242"/>
    <s v="SABRE"/>
    <x v="355"/>
    <s v="EZUUBB"/>
    <s v="EZUUBB"/>
    <s v="Inserindo Accounting - (ExecSQL) - Could not convert variant of type (Null) into type (OleStr)"/>
    <d v="2025-02-06T16:06:00"/>
    <d v="2025-03-24T16:20:00"/>
    <s v="OUTROS"/>
    <s v="ERRO NO XML"/>
    <s v=""/>
    <x v="0"/>
    <s v="SUPORTE OBT"/>
    <s v="COLUNA I"/>
  </r>
  <r>
    <n v="3229243"/>
    <s v="SABRE"/>
    <x v="353"/>
    <s v="WNRWXV"/>
    <s v="WNRWXV"/>
    <s v="Não localizado cliente código [0000583808].&lt;-ObterCliente&lt;-MontarPnrBase&lt;-ProcessarAereo&lt;-ProcessarItemFila[b]"/>
    <d v="2025-02-06T16:07:00"/>
    <d v="2025-02-06T21:56:00"/>
    <s v="CLIENTE"/>
    <s v="CÓD. CLIENTE DIVERGENTE"/>
    <s v="CÓDIGO DIFERENTE DO CADASTRADO NO BENNER (CLIENTE X GRUPO)"/>
    <x v="1"/>
    <s v="SUPORTE OBT"/>
    <n v="1"/>
  </r>
  <r>
    <n v="3229244"/>
    <s v="SABRE"/>
    <x v="353"/>
    <s v="WTPHXZ"/>
    <s v="WTPHXZ"/>
    <s v="Não localizado cliente código [0000583808].&lt;-ObterCliente&lt;-MontarPnrBase&lt;-ProcessarAereo&lt;-ProcessarItemFila[b]"/>
    <d v="2025-02-06T16:07:00"/>
    <d v="2025-02-06T21:56:00"/>
    <s v="CLIENTE"/>
    <s v="CÓD. CLIENTE DIVERGENTE"/>
    <s v="CÓDIGO DIFERENTE DO CADASTRADO NO BENNER (CLIENTE X GRUPO)"/>
    <x v="1"/>
    <s v="SUPORTE OBT"/>
    <n v="1"/>
  </r>
  <r>
    <n v="3230426"/>
    <s v="SABRE"/>
    <x v="356"/>
    <s v="WJABJZT"/>
    <s v="WJABJZ"/>
    <s v="Código de cliente não identificado&lt;-ObterCliente&lt;-MontarPnrBase&lt;-MontarPnr&lt;-ProcessarHotel&lt;-ProcessarItemFila[b]"/>
    <d v="2025-02-06T19:50:00"/>
    <d v="2025-02-06T22:40:00"/>
    <s v="CLIENTE"/>
    <s v="CLIENTE NÃO IDENTIFICADO"/>
    <s v="DK DE CLIENTE NÃO PREENCIDO / CLIENTE NÃO CONFIGURADO NO OBT"/>
    <x v="2"/>
    <s v="OPERAÇÕES / SUPORTE KCS"/>
    <s v="COLUNA I"/>
  </r>
  <r>
    <n v="3230538"/>
    <s v="SABRE"/>
    <x v="357"/>
    <s v="OYKQDM"/>
    <s v="OYKQDM"/>
    <s v="Não localizado cliente código [0000583808].&lt;-ObterCliente&lt;-MontarPnrBase&lt;-ProcessarAereo&lt;-ProcessarItemFila[b]"/>
    <d v="2025-02-06T21:56:00"/>
    <m/>
    <s v="CLIENTE"/>
    <s v="CÓD. CLIENTE DIVERGENTE"/>
    <s v="CÓDIGO DIFERENTE DO CADASTRADO NO BENNER (CLIENTE X GRUPO)"/>
    <x v="1"/>
    <s v="SUPORTE OBT"/>
    <n v="1"/>
  </r>
  <r>
    <n v="3230559"/>
    <s v="SABRE"/>
    <x v="358"/>
    <s v="WPVPRG"/>
    <s v="WPVPRG"/>
    <s v="Não localizado cliente com CNPJ [357038000116].&lt;-ObterCliente&lt;-MontarPnrBase&lt;-ProcessarAereo&lt;-ProcessarItemFila[b]"/>
    <d v="2025-02-06T22:00:00"/>
    <d v="2025-02-07T09:35:00"/>
    <s v="CLIENTE"/>
    <s v="REMARK - CNPJ"/>
    <s v=""/>
    <x v="2"/>
    <s v="OPERAÇÕES / SUPORTE KCS"/>
    <n v="24"/>
  </r>
  <r>
    <n v="3230562"/>
    <s v="SABRE"/>
    <x v="358"/>
    <s v="YSZAED"/>
    <s v="YSZAED"/>
    <s v="Não localizado cliente com CNPJ [357038000116].&lt;-ObterCliente&lt;-MontarPnrBase&lt;-ProcessarAereo&lt;-ProcessarItemFila[b]"/>
    <d v="2025-02-06T22:01:00"/>
    <d v="2025-02-07T09:35:00"/>
    <s v="CLIENTE"/>
    <s v="REMARK - CNPJ"/>
    <s v=""/>
    <x v="1"/>
    <s v="OPERAÇÕES / SUPORTE KCS"/>
    <n v="24"/>
  </r>
  <r>
    <n v="3230564"/>
    <s v="SABRE"/>
    <x v="359"/>
    <s v="YVBKIY"/>
    <s v="YVBKIY"/>
    <s v="Não localizado cliente com CNPJ [357038000116].&lt;-ObterCliente&lt;-MontarPnrBase&lt;-ProcessarAereo&lt;-ProcessarItemFila[b]"/>
    <d v="2025-02-06T22:01:00"/>
    <d v="2025-02-07T09:35:00"/>
    <s v="CLIENTE"/>
    <s v="REMARK - CNPJ"/>
    <s v=""/>
    <x v="1"/>
    <s v="OPERAÇÕES / SUPORTE KCS"/>
    <n v="24"/>
  </r>
  <r>
    <n v="3231626"/>
    <s v="SABRE"/>
    <x v="360"/>
    <s v="HDPKYW"/>
    <s v="HDPKYW"/>
    <s v="Não localizado cliente com CNPJ [357038000116].&lt;-ObterCliente&lt;-MontarPnrBase&lt;-ProcessarAereo&lt;-ProcessarItemFila[b]"/>
    <d v="2025-02-07T11:51:00"/>
    <m/>
    <s v="CLIENTE"/>
    <s v="REMARK - CNPJ"/>
    <s v=""/>
    <x v="3"/>
    <s v="OPERAÇÕES / SUPORTE KCS"/>
    <n v="24"/>
  </r>
  <r>
    <n v="3231628"/>
    <s v="SABRE"/>
    <x v="360"/>
    <s v="HDPKYWT"/>
    <s v="HDPKYW"/>
    <s v="Não localizado cliente com CNPJ [357038000116].&lt;-ObterCliente&lt;-MontarPnrBase&lt;-MontarPnr&lt;-ProcessarHotel&lt;-ProcessarItemFila[b]"/>
    <d v="2025-02-07T11:51:00"/>
    <m/>
    <s v="CLIENTE"/>
    <s v="REMARK - CNPJ"/>
    <s v=""/>
    <x v="1"/>
    <s v="OPERAÇÕES / SUPORTE KCS"/>
    <n v="24"/>
  </r>
  <r>
    <n v="3232092"/>
    <s v="SABRE"/>
    <x v="361"/>
    <s v="IMKVLQ"/>
    <s v="IMKVLQ"/>
    <s v="Não localizado cliente código [0000583808].&lt;-ObterCliente&lt;-MontarPnrBase&lt;-ProcessarAereo&lt;-ProcessarItemFila[b]"/>
    <d v="2025-02-07T15:53:00"/>
    <m/>
    <s v="CLIENTE"/>
    <s v="CÓD. CLIENTE DIVERGENTE"/>
    <s v="CÓDIGO DIFERENTE DO CADASTRADO NO BENNER (CLIENTE X GRUPO)"/>
    <x v="1"/>
    <s v="SUPORTE OBT"/>
    <n v="1"/>
  </r>
  <r>
    <n v="3232093"/>
    <s v="SABRE"/>
    <x v="361"/>
    <s v="HSIUFO"/>
    <s v="HSIUFO"/>
    <s v="Não localizado cliente com CNPJ [4120966000113].&lt;-ObterCliente&lt;-MontarPnrBase&lt;-ProcessarAereo&lt;-ProcessarItemFila[b]"/>
    <d v="2025-02-07T15:54:00"/>
    <m/>
    <s v="CLIENTE"/>
    <s v="REMARK - CNPJ"/>
    <s v=""/>
    <x v="1"/>
    <s v="OPERAÇÕES / SUPORTE KCS"/>
    <n v="24"/>
  </r>
  <r>
    <n v="3232094"/>
    <s v="SABRE"/>
    <x v="361"/>
    <s v="FVCFEV"/>
    <s v="FVCFEV"/>
    <s v="Não localizado cliente com CNPJ [5413409000153].&lt;-ObterCliente&lt;-MontarPnrBase&lt;-ProcessarAereo&lt;-ProcessarItemFila[b]"/>
    <d v="2025-02-07T15:54:00"/>
    <m/>
    <s v="CLIENTE"/>
    <s v="REMARK - CNPJ"/>
    <s v=""/>
    <x v="1"/>
    <s v="OPERAÇÕES / SUPORTE KCS"/>
    <n v="24"/>
  </r>
  <r>
    <n v="3232099"/>
    <s v="SABRE"/>
    <x v="361"/>
    <s v="EYAPGE"/>
    <s v="EYAPGE"/>
    <s v="Código de cliente não identificado&lt;-ObterCliente&lt;-MontarPnrBase&lt;-ProcessarAereo&lt;-ProcessarItemFila[b]"/>
    <d v="2025-02-07T15:55:00"/>
    <m/>
    <s v="CLIENTE"/>
    <s v="CLIENTE NÃO IDENTIFICADO"/>
    <s v="DK DE CLIENTE NÃO PREENCIDO / CLIENTE NÃO CONFIGURADO NO OBT"/>
    <x v="2"/>
    <s v="OPERAÇÕES / SUPORTE KCS"/>
    <s v="COLUNA I"/>
  </r>
  <r>
    <n v="3232322"/>
    <s v="SABRE"/>
    <x v="362"/>
    <s v="FIKLGM"/>
    <s v="FIKLGM"/>
    <s v="Não localizado cliente com CNPJ [820120000135].&lt;-ObterCliente&lt;-MontarPnrBase&lt;-ProcessarAereo&lt;-ProcessarItemFila[b]"/>
    <d v="2025-02-07T17:19:00"/>
    <d v="2025-02-07T20:48:00"/>
    <s v="CLIENTE"/>
    <s v="REMARK - CNPJ"/>
    <s v=""/>
    <x v="1"/>
    <s v="OPERAÇÕES / SUPORTE KCS"/>
    <n v="24"/>
  </r>
  <r>
    <n v="3233049"/>
    <s v="SABRE"/>
    <x v="362"/>
    <s v="FIAPWL"/>
    <s v="FIAPWL"/>
    <s v="Não localizado cliente com CNPJ [357038000116].&lt;-ObterCliente&lt;-MontarPnrBase&lt;-ProcessarAereo&lt;-ProcessarItemFila[b]"/>
    <d v="2025-02-07T18:52:00"/>
    <d v="2025-02-07T20:48:00"/>
    <s v="CLIENTE"/>
    <s v="REMARK - CNPJ"/>
    <s v=""/>
    <x v="1"/>
    <s v="OPERAÇÕES / SUPORTE KCS"/>
    <n v="24"/>
  </r>
  <r>
    <n v="3233056"/>
    <s v="SABRE"/>
    <x v="362"/>
    <s v="KFLCJA"/>
    <s v="KFLCJA"/>
    <s v="Não localizado cliente com CNPJ [357038000116].&lt;-ObterCliente&lt;-MontarPnrBase&lt;-ProcessarAereo&lt;-ProcessarItemFila[b]"/>
    <d v="2025-02-07T18:52:00"/>
    <d v="2025-02-07T20:48:00"/>
    <s v="CLIENTE"/>
    <s v="REMARK - CNPJ"/>
    <s v=""/>
    <x v="1"/>
    <s v="OPERAÇÕES / SUPORTE KCS"/>
    <n v="24"/>
  </r>
  <r>
    <n v="3233348"/>
    <s v="SABRE"/>
    <x v="362"/>
    <s v="MNKKDC"/>
    <s v="MNKKDC"/>
    <s v="Código de cliente não identificado&lt;-ObterCliente&lt;-MontarPnrBase&lt;-ProcessarAereo&lt;-ProcessarItemFila[b]"/>
    <d v="2025-02-07T20:49:00"/>
    <m/>
    <s v="CLIENTE"/>
    <s v="CLIENTE NÃO IDENTIFICADO"/>
    <s v="DK DE CLIENTE NÃO PREENCIDO / CLIENTE NÃO CONFIGURADO NO OBT"/>
    <x v="2"/>
    <s v="OPERAÇÕES / SUPORTE KCS"/>
    <s v="COLUNA I"/>
  </r>
  <r>
    <n v="3233354"/>
    <s v="SABRE"/>
    <x v="362"/>
    <s v="COJPJG"/>
    <s v="COJPJG"/>
    <s v="Código de cliente não identificado&lt;-ObterCliente&lt;-MontarPnrBase&lt;-ProcessarAereo&lt;-ProcessarItemFila[b]"/>
    <d v="2025-02-07T20:49:00"/>
    <m/>
    <s v="CLIENTE"/>
    <s v="CLIENTE NÃO IDENTIFICADO"/>
    <s v="DK DE CLIENTE NÃO PREENCIDO / CLIENTE NÃO CONFIGURADO NO OBT"/>
    <x v="2"/>
    <s v="OPERAÇÕES / SUPORTE KCS"/>
    <s v="COLUNA I"/>
  </r>
  <r>
    <n v="3233355"/>
    <s v="SABRE"/>
    <x v="362"/>
    <s v="HSVJFW"/>
    <s v="HSVJFW"/>
    <s v="Código de cliente não identificado&lt;-ObterCliente&lt;-MontarPnrBase&lt;-ProcessarAereo&lt;-ProcessarItemFila[b]"/>
    <d v="2025-02-07T20:50:00"/>
    <m/>
    <s v="CLIENTE"/>
    <s v="CLIENTE NÃO IDENTIFICADO"/>
    <s v="DK DE CLIENTE NÃO PREENCIDO / CLIENTE NÃO CONFIGURADO NO OBT"/>
    <x v="2"/>
    <s v="OPERAÇÕES / SUPORTE KCS"/>
    <s v="COLUNA I"/>
  </r>
  <r>
    <n v="3233358"/>
    <s v="SABRE"/>
    <x v="362"/>
    <s v="WXEXDW"/>
    <s v="WXEXDW"/>
    <s v="Código de cliente não identificado&lt;-ObterCliente&lt;-MontarPnrBase&lt;-ProcessarAereo&lt;-ProcessarItemFila[b]"/>
    <d v="2025-02-07T20:50:00"/>
    <m/>
    <s v="CLIENTE"/>
    <s v="CLIENTE NÃO IDENTIFICADO"/>
    <s v="DK DE CLIENTE NÃO PREENCIDO / CLIENTE NÃO CONFIGURADO NO OBT"/>
    <x v="2"/>
    <s v="OPERAÇÕES / SUPORTE KCS"/>
    <s v="COLUNA I"/>
  </r>
  <r>
    <n v="3233364"/>
    <s v="SABRE"/>
    <x v="362"/>
    <s v="KLAYIL"/>
    <s v="KLAYIL"/>
    <s v="Não localizado cliente com CNPJ [7687005000183].&lt;-ObterCliente&lt;-MontarPnrBase&lt;-ProcessarAereo&lt;-ProcessarItemFila[b]"/>
    <d v="2025-02-07T20:51:00"/>
    <m/>
    <s v="CLIENTE"/>
    <s v="REMARK - CNPJ"/>
    <s v=""/>
    <x v="1"/>
    <s v="OPERAÇÕES / SUPORTE KCS"/>
    <n v="24"/>
  </r>
  <r>
    <n v="3233369"/>
    <s v="SABRE"/>
    <x v="362"/>
    <s v="QMKNFV"/>
    <s v="QMKNFV"/>
    <s v="Código de cliente não identificado&lt;-ObterCliente&lt;-MontarPnrBase&lt;-ProcessarAereo&lt;-ProcessarItemFila[b]"/>
    <d v="2025-02-07T20:51:00"/>
    <m/>
    <s v="CLIENTE"/>
    <s v="CLIENTE NÃO IDENTIFICADO"/>
    <s v="DK DE CLIENTE NÃO PREENCIDO / CLIENTE NÃO CONFIGURADO NO OBT"/>
    <x v="2"/>
    <s v="OPERAÇÕES / SUPORTE KCS"/>
    <s v="COLUNA I"/>
  </r>
  <r>
    <n v="3234017"/>
    <s v="TMS"/>
    <x v="363"/>
    <n v="4808"/>
    <n v="4808"/>
    <s v="Preenchendo XML Serviço-&gt; Preenchendo XML-&gt; Montando accounting aereo 2-&gt;Não foi informado o Localizador do Assento/Bagagem!"/>
    <d v="2025-02-07T23:21:00"/>
    <d v="2025-02-10T18:17:00"/>
    <s v="OUTROS"/>
    <s v="ASSENTO / BAGAGEM"/>
    <s v="CAMPO OBSERVAÇÃO PREENCHIDO INCORRETAMENTE"/>
    <x v="1"/>
    <s v="OPERAÇÕES / SUPORTE KCS"/>
    <n v="118"/>
  </r>
  <r>
    <n v="3234166"/>
    <s v="TMS"/>
    <x v="364"/>
    <n v="18013"/>
    <n v="18013"/>
    <s v="Preenchendo XML Serviço-&gt; Preenchendo XML-&gt; Montando accounting aereo 3-&gt;Reserva confir não encontrada para importar assento/bagagem!"/>
    <d v="2025-02-07T23:42:00"/>
    <d v="2025-02-10T19:21:00"/>
    <s v="OUTROS"/>
    <s v="ASSENTO / BAGAGEM"/>
    <s v="CAMPO OBSERVAÇÃO PREENCHIDO INCORRETAMENTE"/>
    <x v="1"/>
    <s v="OPERAÇÕES / SUPORTE KCS"/>
    <n v="127"/>
  </r>
  <r>
    <n v="3234556"/>
    <s v="SABRE"/>
    <x v="365"/>
    <s v="GHFCVP"/>
    <s v="GHFCVP"/>
    <s v="Não localizado cliente com CNPJ [820120000135].&lt;-ObterCliente&lt;-MontarPnrBase&lt;-ProcessarAereo&lt;-ProcessarItemFila[b]"/>
    <d v="2025-02-10T08:48:00"/>
    <m/>
    <s v="CLIENTE"/>
    <s v="REMARK - CNPJ"/>
    <s v=""/>
    <x v="3"/>
    <s v="OPERAÇÕES / SUPORTE KCS"/>
    <n v="24"/>
  </r>
  <r>
    <n v="3235417"/>
    <s v="SABRE"/>
    <x v="366"/>
    <s v="NLYOWP"/>
    <s v="NLYOWP"/>
    <s v="Não localizado cliente com CNPJ [820120000135].&lt;-ObterCliente&lt;-MontarPnrBase&lt;-ProcessarAereo&lt;-ProcessarItemFila[b]"/>
    <d v="2025-02-10T11:32:00"/>
    <m/>
    <s v="CLIENTE"/>
    <s v="REMARK - CNPJ"/>
    <s v=""/>
    <x v="1"/>
    <s v="OPERAÇÕES / SUPORTE KCS"/>
    <n v="24"/>
  </r>
  <r>
    <n v="3236652"/>
    <s v="SABRE"/>
    <x v="367"/>
    <s v="OYZJWE"/>
    <s v="OYZJWE"/>
    <s v="Não localizado cliente com CNPJ [357038000116].&lt;-ObterCliente&lt;-MontarPnrBase&lt;-ProcessarAereo&lt;-ProcessarItemFila[b]"/>
    <d v="2025-02-10T16:51:00"/>
    <m/>
    <s v="CLIENTE"/>
    <s v="REMARK - CNPJ"/>
    <s v=""/>
    <x v="3"/>
    <s v="OPERAÇÕES / SUPORTE KCS"/>
    <n v="24"/>
  </r>
  <r>
    <n v="3236653"/>
    <s v="SABRE"/>
    <x v="367"/>
    <s v="OYZJWET"/>
    <s v="OYZJWE"/>
    <s v="Não localizado cliente com CNPJ [357038000116].&lt;-ObterCliente&lt;-MontarPnrBase&lt;-MontarPnr&lt;-ProcessarHotel&lt;-ProcessarItemFila[b]"/>
    <d v="2025-02-10T16:51:00"/>
    <m/>
    <s v="CLIENTE"/>
    <s v="REMARK - CNPJ"/>
    <s v=""/>
    <x v="1"/>
    <s v="OPERAÇÕES / SUPORTE KCS"/>
    <n v="24"/>
  </r>
  <r>
    <n v="3237963"/>
    <s v="SABRE"/>
    <x v="236"/>
    <s v="JEIUVM"/>
    <s v="JEIUVM"/>
    <s v="Código de cliente não identificado&lt;-ObterCliente&lt;-MontarPnrBase&lt;-ProcessarAereo&lt;-ProcessarItemFila[b]"/>
    <d v="2025-02-10T20:33:00"/>
    <m/>
    <s v="CLIENTE"/>
    <s v="CLIENTE NÃO IDENTIFICADO"/>
    <s v="DK DE CLIENTE NÃO PREENCIDO / CLIENTE NÃO CONFIGURADO NO OBT"/>
    <x v="2"/>
    <s v="OPERAÇÕES / SUPORTE KCS"/>
    <s v="COLUNA I"/>
  </r>
  <r>
    <n v="3237965"/>
    <s v="SABRE"/>
    <x v="236"/>
    <s v="JHMVXX"/>
    <s v="JHMVXX"/>
    <s v="Código de cliente não identificado&lt;-ObterCliente&lt;-MontarPnrBase&lt;-ProcessarAereo&lt;-ProcessarItemFila[b]"/>
    <d v="2025-02-10T20:33:00"/>
    <m/>
    <s v="CLIENTE"/>
    <s v="CLIENTE NÃO IDENTIFICADO"/>
    <s v="DK DE CLIENTE NÃO PREENCIDO / CLIENTE NÃO CONFIGURADO NO OBT"/>
    <x v="2"/>
    <s v="OPERAÇÕES / SUPORTE KCS"/>
    <s v="COLUNA I"/>
  </r>
  <r>
    <n v="3237966"/>
    <s v="SABRE"/>
    <x v="236"/>
    <s v="MVAEML"/>
    <s v="MVAEML"/>
    <s v="Código de cliente não identificado&lt;-ObterCliente&lt;-MontarPnrBase&lt;-ProcessarAereo&lt;-ProcessarItemFila[b]"/>
    <d v="2025-02-10T20:33:00"/>
    <m/>
    <s v="CLIENTE"/>
    <s v="CLIENTE NÃO IDENTIFICADO"/>
    <s v="DK DE CLIENTE NÃO PREENCIDO / CLIENTE NÃO CONFIGURADO NO OBT"/>
    <x v="2"/>
    <s v="OPERAÇÕES / SUPORTE KCS"/>
    <s v="COLUNA I"/>
  </r>
  <r>
    <n v="3237974"/>
    <s v="SABRE"/>
    <x v="236"/>
    <s v="JEMGPD"/>
    <s v="JEMGPD"/>
    <s v="Não localizado cliente com CNPJ [2877632000406].&lt;-ObterCliente&lt;-MontarPnrBase&lt;-ProcessarAereo&lt;-ProcessarItemFila[b]"/>
    <d v="2025-02-10T20:34:00"/>
    <m/>
    <s v="CLIENTE"/>
    <s v="REMARK - CNPJ"/>
    <s v=""/>
    <x v="1"/>
    <s v="OPERAÇÕES / SUPORTE KCS"/>
    <n v="24"/>
  </r>
  <r>
    <n v="3237977"/>
    <s v="SABRE"/>
    <x v="236"/>
    <s v="MSSEKI"/>
    <s v="MSSEKI"/>
    <s v="Inserindo Accounting - (ExecSQL) - Could not convert variant of type (Null) into type (OleStr)"/>
    <d v="2025-02-10T20:35:00"/>
    <m/>
    <s v="OUTROS"/>
    <s v="ERRO NO XML"/>
    <s v=""/>
    <x v="0"/>
    <s v="SUPORTE OBT"/>
    <s v="COLUNA I"/>
  </r>
  <r>
    <n v="3237980"/>
    <s v="SABRE"/>
    <x v="236"/>
    <s v="JKFHDQ"/>
    <s v="JKFHDQ"/>
    <s v="Código de cliente não identificado&lt;-ObterCliente&lt;-MontarPnrBase&lt;-ProcessarAereo&lt;-ProcessarItemFila[b]"/>
    <d v="2025-02-10T20:36:00"/>
    <m/>
    <s v="CLIENTE"/>
    <s v="CLIENTE NÃO IDENTIFICADO"/>
    <s v="DK DE CLIENTE NÃO PREENCIDO / CLIENTE NÃO CONFIGURADO NO OBT"/>
    <x v="2"/>
    <s v="OPERAÇÕES / SUPORTE KCS"/>
    <s v="COLUNA I"/>
  </r>
  <r>
    <n v="3237989"/>
    <s v="SABRE"/>
    <x v="236"/>
    <s v="HAZEIY"/>
    <s v="HAZEIY"/>
    <s v="Não localizado cliente com CNPJ [820120000135].&lt;-ObterCliente&lt;-MontarPnrBase&lt;-ProcessarAereo&lt;-ProcessarItemFila[b]"/>
    <d v="2025-02-10T20:38:00"/>
    <m/>
    <s v="CLIENTE"/>
    <s v="REMARK - CNPJ"/>
    <s v=""/>
    <x v="3"/>
    <s v="OPERAÇÕES / SUPORTE KCS"/>
    <n v="24"/>
  </r>
  <r>
    <n v="3237994"/>
    <s v="SABRE"/>
    <x v="236"/>
    <s v="KORGTZ"/>
    <s v="KORGTZ"/>
    <s v="Inserindo PNR - Accountings - TurVendas - Não foi possível localizar o contrato do fornecedor 7C"/>
    <d v="2025-02-10T20:39:00"/>
    <m/>
    <s v="FORNECEDOR"/>
    <s v="CONTRATO FORNECEDOR"/>
    <s v="CONTRATO INATIVO OU DIVERGENTE"/>
    <x v="0"/>
    <s v="OPERAÇÕES / SUPORTE KCS"/>
    <n v="43"/>
  </r>
  <r>
    <n v="3238010"/>
    <s v="SABRE"/>
    <x v="236"/>
    <s v="DUZZYC"/>
    <s v="DUZZYC"/>
    <s v="Não localizado cliente código [0000028612].&lt;-ObterCliente&lt;-MontarPnrBase&lt;-ProcessarAereo&lt;-ProcessarItemFila[b]"/>
    <d v="2025-02-10T20:41:00"/>
    <m/>
    <s v="CLIENTE"/>
    <s v="CÓD. CLIENTE DIVERGENTE"/>
    <s v="CÓDIGO DIFERENTE DO CADASTRADO NO BENNER (CLIENTE X GRUPO)"/>
    <x v="1"/>
    <s v="SUPORTE OBT"/>
    <n v="1"/>
  </r>
  <r>
    <n v="3238013"/>
    <s v="SABRE"/>
    <x v="236"/>
    <s v="QANKRK"/>
    <s v="QANKRK"/>
    <s v="Não localizado cliente código [0000286569].&lt;-ObterCliente&lt;-MontarPnrBase&lt;-ProcessarAereo&lt;-ProcessarItemFila[b]"/>
    <d v="2025-02-10T20:41:00"/>
    <m/>
    <s v="CLIENTE"/>
    <s v="CÓD. CLIENTE DIVERGENTE"/>
    <s v="CÓDIGO DIFERENTE DO CADASTRADO NO BENNER (CLIENTE X GRUPO)"/>
    <x v="1"/>
    <s v="SUPORTE OBT"/>
    <n v="1"/>
  </r>
  <r>
    <n v="3238068"/>
    <s v="SABRE"/>
    <x v="368"/>
    <s v="FNTSNU"/>
    <s v="FNTSNU"/>
    <s v="Código de cliente não identificado&lt;-ObterCliente&lt;-MontarPnrBase&lt;-ProcessarAereo&lt;-ProcessarItemFila[b]"/>
    <d v="2025-02-11T00:18:00"/>
    <m/>
    <s v="CLIENTE"/>
    <s v="CLIENTE NÃO IDENTIFICADO"/>
    <s v="DK DE CLIENTE NÃO PREENCIDO / CLIENTE NÃO CONFIGURADO NO OBT"/>
    <x v="2"/>
    <s v="OPERAÇÕES / SUPORTE KCS"/>
    <s v="COLUNA I"/>
  </r>
  <r>
    <n v="3238399"/>
    <s v="GOVER"/>
    <x v="369"/>
    <n v="4357832"/>
    <s v="HOMO77"/>
    <s v="PreencherPnr-&gt;PreencherAccountingCustom-&gt; Erro: PreencherAccounting-&gt; Erro: Object reference not set to an instance of an object."/>
    <d v="2025-02-11T10:34:00"/>
    <d v="2025-02-25T10:14:00"/>
    <s v="OUTROS"/>
    <s v="CONFIGURAÇÃO OBT/ BENNER"/>
    <s v=""/>
    <x v="0"/>
    <s v="SUPORTE BENNER"/>
    <s v="COLUNA I"/>
  </r>
  <r>
    <n v="3238400"/>
    <s v="GOVER"/>
    <x v="370"/>
    <n v="4359256"/>
    <s v="HOMO79"/>
    <s v="PreencherPnr-&gt;PreencherAccountingCustom-&gt; Erro: PreencherAccounting-&gt; Erro: Object reference not set to an instance of an object."/>
    <d v="2025-02-11T10:34:00"/>
    <d v="2025-02-25T10:14:00"/>
    <s v="OUTROS"/>
    <s v="CONFIGURAÇÃO OBT/ BENNER"/>
    <s v=""/>
    <x v="0"/>
    <s v="SUPORTE BENNER"/>
    <s v="COLUNA I"/>
  </r>
  <r>
    <n v="3238401"/>
    <s v="GOVER"/>
    <x v="371"/>
    <n v="4361360"/>
    <s v="HOMO80"/>
    <s v="PreencherPnr-&gt;Código do cliente não informado! (SolicitacaoDTO.UnidadeCodigoIntegracao)"/>
    <d v="2025-02-11T10:34:00"/>
    <d v="2025-02-25T10:14:00"/>
    <s v="CLIENTE"/>
    <s v="CLIENTE NÃO IDENTIFICADO"/>
    <s v="DK DE CLIENTE NÃO PREENCIDO / CLIENTE NÃO CONFIGURADO NO OBT"/>
    <x v="2"/>
    <s v="OPERAÇÕES / SUPORTE KCS"/>
    <s v="COLUNA I"/>
  </r>
  <r>
    <n v="3238402"/>
    <s v="GOVER"/>
    <x v="372"/>
    <n v="4365165"/>
    <s v="TESTE80"/>
    <s v="PreencherPnr-&gt;PreencherAccountingCustom-&gt; Erro: PreencherAccounting-&gt; Erro: Object reference not set to an instance of an object."/>
    <d v="2025-02-11T10:34:00"/>
    <d v="2025-02-25T10:14:00"/>
    <s v="OUTROS"/>
    <s v="CONFIGURAÇÃO OBT/ BENNER"/>
    <s v=""/>
    <x v="0"/>
    <s v="SUPORTE BENNER"/>
    <s v="COLUNA I"/>
  </r>
  <r>
    <n v="3238403"/>
    <s v="GOVER"/>
    <x v="373"/>
    <n v="4365713"/>
    <s v="TESTE81"/>
    <s v="PreencherPnr-&gt;PreencherAccountingCustom-&gt; Erro: PreencherAccounting-&gt; Erro: Object reference not set to an instance of an object."/>
    <d v="2025-02-11T10:34:00"/>
    <d v="2025-02-25T10:14:00"/>
    <s v="OUTROS"/>
    <s v="CONFIGURAÇÃO OBT/ BENNER"/>
    <s v=""/>
    <x v="0"/>
    <s v="SUPORTE BENNER"/>
    <s v="COLUNA I"/>
  </r>
  <r>
    <n v="3238510"/>
    <s v="GOVER"/>
    <x v="374"/>
    <n v="4489769"/>
    <n v="4489769"/>
    <s v="PreencherPnr-&gt;Foi identificado um localizador sem código."/>
    <d v="2025-02-11T11:35:00"/>
    <d v="2025-02-25T10:15:00"/>
    <s v="OUTROS"/>
    <s v="RLOC NÃO INFORMADO"/>
    <s v="RLOC NÃO PREENCHIDO NA RESERVA"/>
    <x v="1"/>
    <s v="SUPORTE OBT"/>
    <s v="COLUNA I"/>
  </r>
  <r>
    <n v="3238573"/>
    <s v="SABRE"/>
    <x v="375"/>
    <s v="DFORNZ"/>
    <s v="DFORNZ"/>
    <s v="Não localizado cliente com CNPJ [357038000116].&lt;-ObterCliente&lt;-MontarPnrBase&lt;-ProcessarAereo&lt;-ProcessarItemFila[b]"/>
    <d v="2025-02-11T12:06:00"/>
    <m/>
    <s v="CLIENTE"/>
    <s v="REMARK - CNPJ"/>
    <s v=""/>
    <x v="1"/>
    <s v="OPERAÇÕES / SUPORTE KCS"/>
    <n v="24"/>
  </r>
  <r>
    <n v="3238574"/>
    <s v="SABRE"/>
    <x v="375"/>
    <s v="DFORNZT"/>
    <s v="DFORNZ"/>
    <s v="Não localizado cliente com CNPJ [357038000116].&lt;-ObterCliente&lt;-MontarPnrBase&lt;-MontarPnr&lt;-ProcessarHotel&lt;-ProcessarItemFila[b]"/>
    <d v="2025-02-11T12:06:00"/>
    <m/>
    <s v="CLIENTE"/>
    <s v="REMARK - CNPJ"/>
    <s v=""/>
    <x v="1"/>
    <s v="OPERAÇÕES / SUPORTE KCS"/>
    <n v="24"/>
  </r>
  <r>
    <n v="3239472"/>
    <s v="SABRE"/>
    <x v="376"/>
    <s v="OXRETB"/>
    <s v="OXRETB"/>
    <s v="Não localizado cliente com CNPJ [2016507000169].&lt;-ObterCliente&lt;-MontarPnrBase&lt;-ProcessarAereo&lt;-ProcessarItemFila[b]"/>
    <d v="2025-02-11T16:36:00"/>
    <m/>
    <s v="CLIENTE"/>
    <s v="REMARK - CNPJ"/>
    <s v=""/>
    <x v="1"/>
    <s v="OPERAÇÕES / SUPORTE KCS"/>
    <n v="24"/>
  </r>
  <r>
    <n v="3239473"/>
    <s v="SABRE"/>
    <x v="376"/>
    <s v="OXRETBT"/>
    <s v="OXRETB"/>
    <s v="Não localizado cliente com CNPJ [2016507000169].&lt;-ObterCliente&lt;-MontarPnrBase&lt;-MontarPnr&lt;-ProcessarHotel&lt;-ProcessarItemFila[b]"/>
    <d v="2025-02-11T16:36:00"/>
    <m/>
    <s v="CLIENTE"/>
    <s v="REMARK - CNPJ"/>
    <s v=""/>
    <x v="1"/>
    <s v="OPERAÇÕES / SUPORTE KCS"/>
    <n v="24"/>
  </r>
  <r>
    <n v="3239533"/>
    <s v="SABRE"/>
    <x v="377"/>
    <s v="IQMLDW"/>
    <s v="IQMLDW"/>
    <s v="Não localizado cliente com CNPJ [357038000116].&lt;-ObterCliente&lt;-MontarPnrBase&lt;-ProcessarAereo&lt;-ProcessarItemFila[b]"/>
    <d v="2025-02-11T17:08:00"/>
    <m/>
    <s v="CLIENTE"/>
    <s v="REMARK - CNPJ"/>
    <s v=""/>
    <x v="1"/>
    <s v="OPERAÇÕES / SUPORTE KCS"/>
    <n v="24"/>
  </r>
  <r>
    <n v="3239534"/>
    <s v="SABRE"/>
    <x v="377"/>
    <s v="IQMLDWT"/>
    <s v="IQMLDW"/>
    <s v="Não localizado cliente com CNPJ [357038000116].&lt;-ObterCliente&lt;-MontarPnrBase&lt;-MontarPnr&lt;-ProcessarHotel&lt;-ProcessarItemFila[b]"/>
    <d v="2025-02-11T17:09:00"/>
    <m/>
    <s v="CLIENTE"/>
    <s v="REMARK - CNPJ"/>
    <s v=""/>
    <x v="1"/>
    <s v="OPERAÇÕES / SUPORTE KCS"/>
    <n v="24"/>
  </r>
  <r>
    <n v="3239939"/>
    <s v="SABRE"/>
    <x v="378"/>
    <s v="WWWGQQT"/>
    <s v="WWWGQQ"/>
    <s v="ConverterPagamentosRemark-&gt;Input string was not in a correct format.&lt;-MontarAccountinsHotel&lt;-ProcessarHotel&lt;-ProcessarItemFila[b]"/>
    <d v="2025-02-11T18:47:00"/>
    <m/>
    <s v="FORMA PAGAMENTO/RECEB"/>
    <s v="FORMATO DE TEXTO"/>
    <s v="TEXTO FORA DO PADRÃO ACEITO NO CAMPO"/>
    <x v="2"/>
    <s v="SUPORTE OBT"/>
    <s v="COLUNA I"/>
  </r>
  <r>
    <n v="3240651"/>
    <s v="SABRE"/>
    <x v="198"/>
    <s v="YWZPKQ"/>
    <s v="YWZPKQ"/>
    <s v="Código de cliente não identificado&lt;-ObterCliente&lt;-MontarPnrBase&lt;-ProcessarAereo&lt;-ProcessarItemFila[b]"/>
    <d v="2025-02-11T20:48:00"/>
    <d v="2025-02-20T20:19:00"/>
    <s v="CLIENTE"/>
    <s v="CLIENTE NÃO IDENTIFICADO"/>
    <s v="DK DE CLIENTE NÃO PREENCIDO / CLIENTE NÃO CONFIGURADO NO OBT"/>
    <x v="2"/>
    <s v="OPERAÇÕES / SUPORTE KCS"/>
    <s v="COLUNA I"/>
  </r>
  <r>
    <n v="3240656"/>
    <s v="SABRE"/>
    <x v="379"/>
    <s v="NENXNT"/>
    <s v="NENXNT"/>
    <s v="Código de cliente não identificado&lt;-ObterCliente&lt;-MontarPnrBase&lt;-ProcessarAereo&lt;-ProcessarItemFila[b]"/>
    <d v="2025-02-11T20:49:00"/>
    <m/>
    <s v="CLIENTE"/>
    <s v="CLIENTE NÃO IDENTIFICADO"/>
    <s v="DK DE CLIENTE NÃO PREENCIDO / CLIENTE NÃO CONFIGURADO NO OBT"/>
    <x v="2"/>
    <s v="OPERAÇÕES / SUPORTE KCS"/>
    <s v="COLUNA I"/>
  </r>
  <r>
    <n v="3240664"/>
    <s v="SABRE"/>
    <x v="379"/>
    <s v="HZQVZT"/>
    <s v="HZQVZT"/>
    <s v="Inserindo Accounting - (ExecSQL) - Could not convert variant of type (Null) into type (OleStr)"/>
    <d v="2025-02-11T20:50:00"/>
    <m/>
    <s v="OUTROS"/>
    <s v="ERRO NO XML"/>
    <s v=""/>
    <x v="0"/>
    <s v="SUPORTE OBT"/>
    <s v="COLUNA I"/>
  </r>
  <r>
    <n v="3240665"/>
    <s v="SABRE"/>
    <x v="379"/>
    <s v="JUCUSU"/>
    <s v="JUCUSU"/>
    <s v="Não localizado cliente código [0000583808].&lt;-ObterCliente&lt;-MontarPnrBase&lt;-ProcessarAereo&lt;-ProcessarItemFila[b]"/>
    <d v="2025-02-11T20:50:00"/>
    <m/>
    <s v="CLIENTE"/>
    <s v="CÓD. CLIENTE DIVERGENTE"/>
    <s v="CÓDIGO DIFERENTE DO CADASTRADO NO BENNER (CLIENTE X GRUPO)"/>
    <x v="1"/>
    <s v="SUPORTE OBT"/>
    <n v="1"/>
  </r>
  <r>
    <n v="3240666"/>
    <s v="SABRE"/>
    <x v="379"/>
    <s v="MKDIUJ"/>
    <s v="MKDIUJ"/>
    <s v="Não localizado cliente código [0000583808].&lt;-ObterCliente&lt;-MontarPnrBase&lt;-ProcessarAereo&lt;-ProcessarItemFila[b]"/>
    <d v="2025-02-11T20:51:00"/>
    <m/>
    <s v="CLIENTE"/>
    <s v="CÓD. CLIENTE DIVERGENTE"/>
    <s v="CÓDIGO DIFERENTE DO CADASTRADO NO BENNER (CLIENTE X GRUPO)"/>
    <x v="1"/>
    <s v="SUPORTE OBT"/>
    <n v="1"/>
  </r>
  <r>
    <n v="3240668"/>
    <s v="SABRE"/>
    <x v="379"/>
    <s v="MIVKIH"/>
    <s v="MIVKIH"/>
    <s v="Não localizado cliente código [0000583808].&lt;-ObterCliente&lt;-MontarPnrBase&lt;-ProcessarAereo&lt;-ProcessarItemFila[b]"/>
    <d v="2025-02-11T20:51:00"/>
    <m/>
    <s v="CLIENTE"/>
    <s v="CÓD. CLIENTE DIVERGENTE"/>
    <s v="CÓDIGO DIFERENTE DO CADASTRADO NO BENNER (CLIENTE X GRUPO)"/>
    <x v="1"/>
    <s v="SUPORTE OBT"/>
    <n v="1"/>
  </r>
  <r>
    <n v="3240673"/>
    <s v="SABRE"/>
    <x v="379"/>
    <s v="IDZTDB"/>
    <s v="IDZTDB"/>
    <s v="Não localizado cliente com CNPJ [NAO PRECISA CONTABILIZAR-GOVER].&lt;-ObterCliente&lt;-MontarPnrBase&lt;-ProcessarAereo&lt;-ProcessarItemFila[b]"/>
    <d v="2025-02-11T20:52:00"/>
    <m/>
    <s v="CLIENTE"/>
    <s v="REMARK - CNPJ"/>
    <s v=""/>
    <x v="1"/>
    <s v="OPERAÇÕES / SUPORTE KCS"/>
    <n v="24"/>
  </r>
  <r>
    <n v="3240674"/>
    <s v="SABRE"/>
    <x v="379"/>
    <s v="YZETKE"/>
    <s v="YZETKE"/>
    <s v="Não localizado cliente código [0000063625].&lt;-ObterCliente&lt;-MontarPnrBase&lt;-ProcessarAereo&lt;-ProcessarItemFila[b]"/>
    <d v="2025-02-11T20:52:00"/>
    <m/>
    <s v="CLIENTE"/>
    <s v="CÓD. CLIENTE DIVERGENTE"/>
    <s v="CÓDIGO DIFERENTE DO CADASTRADO NO BENNER (CLIENTE X GRUPO)"/>
    <x v="1"/>
    <s v="SUPORTE OBT"/>
    <n v="1"/>
  </r>
  <r>
    <n v="3240675"/>
    <s v="SABRE"/>
    <x v="379"/>
    <s v="DSMEXW"/>
    <s v="DSMEXW"/>
    <s v="Não localizado cliente código [0000063625].&lt;-ObterCliente&lt;-MontarPnrBase&lt;-ProcessarAereo&lt;-ProcessarItemFila[b]"/>
    <d v="2025-02-11T20:52:00"/>
    <m/>
    <s v="CLIENTE"/>
    <s v="CÓD. CLIENTE DIVERGENTE"/>
    <s v="CÓDIGO DIFERENTE DO CADASTRADO NO BENNER (CLIENTE X GRUPO)"/>
    <x v="1"/>
    <s v="SUPORTE OBT"/>
    <n v="1"/>
  </r>
  <r>
    <n v="3240677"/>
    <s v="SABRE"/>
    <x v="379"/>
    <s v="HYLJFF"/>
    <s v="HYLJFF"/>
    <s v="Não localizado cliente código [1234567890].&lt;-ObterCliente&lt;-MontarPnrBase&lt;-ProcessarAereo&lt;-ProcessarItemFila[b]"/>
    <d v="2025-02-11T20:53:00"/>
    <m/>
    <s v="CLIENTE"/>
    <s v="CÓD. CLIENTE DIVERGENTE"/>
    <s v="CÓDIGO DIFERENTE DO CADASTRADO NO BENNER (CLIENTE X GRUPO)"/>
    <x v="1"/>
    <s v="SUPORTE OBT"/>
    <n v="1"/>
  </r>
  <r>
    <n v="3240678"/>
    <s v="SABRE"/>
    <x v="379"/>
    <s v="APGOAC"/>
    <s v="APGOAC"/>
    <s v="Não localizado cliente com CNPJ [NAO PRECISA CONTABILIZAR-GOVER].&lt;-ObterCliente&lt;-MontarPnrBase&lt;-ProcessarAereo&lt;-ProcessarItemFila[b]"/>
    <d v="2025-02-11T20:53:00"/>
    <m/>
    <s v="CLIENTE"/>
    <s v="REMARK - CNPJ"/>
    <s v=""/>
    <x v="3"/>
    <s v="OPERAÇÕES / SUPORTE KCS"/>
    <n v="24"/>
  </r>
  <r>
    <n v="3240679"/>
    <s v="SABRE"/>
    <x v="379"/>
    <s v="GEIXFX"/>
    <s v="GEIXFX"/>
    <s v="Código de cliente não identificado&lt;-ObterCliente&lt;-MontarPnrBase&lt;-ProcessarAereo&lt;-ProcessarItemFila[b]"/>
    <d v="2025-02-11T20:53:00"/>
    <m/>
    <s v="CLIENTE"/>
    <s v="CLIENTE NÃO IDENTIFICADO"/>
    <s v="DK DE CLIENTE NÃO PREENCIDO / CLIENTE NÃO CONFIGURADO NO OBT"/>
    <x v="2"/>
    <s v="OPERAÇÕES / SUPORTE KCS"/>
    <s v="COLUNA I"/>
  </r>
  <r>
    <n v="3240680"/>
    <s v="SABRE"/>
    <x v="379"/>
    <s v="GEQPNB"/>
    <s v="GEQPNB"/>
    <s v="Código de cliente não identificado&lt;-ObterCliente&lt;-MontarPnrBase&lt;-ProcessarAereo&lt;-ProcessarItemFila[b]"/>
    <d v="2025-02-11T20:53:00"/>
    <m/>
    <s v="CLIENTE"/>
    <s v="CLIENTE NÃO IDENTIFICADO"/>
    <s v="DK DE CLIENTE NÃO PREENCIDO / CLIENTE NÃO CONFIGURADO NO OBT"/>
    <x v="2"/>
    <s v="OPERAÇÕES / SUPORTE KCS"/>
    <s v="COLUNA I"/>
  </r>
  <r>
    <n v="3240691"/>
    <s v="SABRE"/>
    <x v="380"/>
    <s v="MCKGNE"/>
    <s v="MCKGNE"/>
    <s v="Código de cliente não identificado&lt;-ObterCliente&lt;-MontarPnrBase&lt;-ProcessarAereo&lt;-ProcessarItemFila[b]"/>
    <d v="2025-02-11T20:55:00"/>
    <d v="2025-02-14T17:19:00"/>
    <s v="CLIENTE"/>
    <s v="CLIENTE NÃO IDENTIFICADO"/>
    <s v="DK DE CLIENTE NÃO PREENCIDO / CLIENTE NÃO CONFIGURADO NO OBT"/>
    <x v="2"/>
    <s v="OPERAÇÕES / SUPORTE KCS"/>
    <s v="COLUNA I"/>
  </r>
  <r>
    <n v="3241014"/>
    <s v="SABRE"/>
    <x v="381"/>
    <s v="GAXXQUT"/>
    <s v="GAXXQU"/>
    <s v="ConverterPagamentosRemark-&gt;Input string was not in a correct format.&lt;-MontarAccountinsHotel&lt;-ProcessarHotel&lt;-ProcessarItemFila[b]"/>
    <d v="2025-02-12T11:34:00"/>
    <d v="2025-02-12T12:03:00"/>
    <s v="FORMA PAGAMENTO/RECEB"/>
    <s v="FORMATO DE TEXTO"/>
    <s v="TEXTO FORA DO PADRÃO ACEITO NO CAMPO"/>
    <x v="2"/>
    <s v="SUPORTE OBT"/>
    <s v="COLUNA I"/>
  </r>
  <r>
    <n v="3241113"/>
    <s v="SABRE"/>
    <x v="382"/>
    <s v="WRSYAOT"/>
    <s v="WRSYAO"/>
    <s v="ConverterPagamentosRemark-&gt;Input string was not in a correct format.&lt;-MontarAccountinsHotel&lt;-ProcessarHotel&lt;-ProcessarItemFila[b]"/>
    <d v="2025-02-12T12:33:00"/>
    <m/>
    <s v="FORMA PAGAMENTO/RECEB"/>
    <s v="FORMATO DE TEXTO"/>
    <s v="TEXTO FORA DO PADRÃO ACEITO NO CAMPO"/>
    <x v="2"/>
    <s v="SUPORTE OBT"/>
    <s v="COLUNA I"/>
  </r>
  <r>
    <n v="3241114"/>
    <s v="SABRE"/>
    <x v="383"/>
    <s v="EYBDXGT"/>
    <s v="EYBDXG"/>
    <s v="ConverterPagamentosRemark-&gt;Input string was not in a correct format.&lt;-MontarAccountinsHotel&lt;-ProcessarHotel&lt;-ProcessarItemFila[b]"/>
    <d v="2025-02-12T12:33:00"/>
    <d v="2025-02-13T18:48:00"/>
    <s v="FORMA PAGAMENTO/RECEB"/>
    <s v="FORMATO DE TEXTO"/>
    <s v="TEXTO FORA DO PADRÃO ACEITO NO CAMPO"/>
    <x v="2"/>
    <s v="SUPORTE OBT"/>
    <s v="COLUNA I"/>
  </r>
  <r>
    <n v="3241458"/>
    <s v="GOVER"/>
    <x v="384"/>
    <n v="4490304"/>
    <s v="YR3PRH"/>
    <s v="Inserindo Trecho - Parâmetro Fornecedor - TurVendas - Não foi possível localizar o contrato do fornecedor YU"/>
    <d v="2025-02-12T13:25:00"/>
    <d v="2025-02-25T10:15:00"/>
    <s v="FORNECEDOR"/>
    <s v="CONTRATO FORNECEDOR"/>
    <s v="CONTRATO INATIVO OU DIVERGENTE"/>
    <x v="0"/>
    <s v="OPERAÇÕES / SUPORTE KCS"/>
    <n v="55"/>
  </r>
  <r>
    <n v="3242204"/>
    <s v="SABRE"/>
    <x v="385"/>
    <s v="LMWRAM"/>
    <s v="LMWRAM"/>
    <s v="Não localizado cliente com CNPJ [357038000116].&lt;-ObterCliente&lt;-MontarPnrBase&lt;-ProcessarAereo&lt;-ProcessarItemFila[b]"/>
    <d v="2025-02-12T16:38:00"/>
    <m/>
    <s v="CLIENTE"/>
    <s v="REMARK - CNPJ"/>
    <s v=""/>
    <x v="1"/>
    <s v="OPERAÇÕES / SUPORTE KCS"/>
    <n v="24"/>
  </r>
  <r>
    <n v="3242205"/>
    <s v="SABRE"/>
    <x v="385"/>
    <s v="LMWRAMT"/>
    <s v="LMWRAM"/>
    <s v="Não localizado cliente com CNPJ [357038000116].&lt;-ObterCliente&lt;-MontarPnrBase&lt;-MontarPnr&lt;-ProcessarHotel&lt;-ProcessarItemFila[b]"/>
    <d v="2025-02-12T16:38:00"/>
    <m/>
    <s v="CLIENTE"/>
    <s v="REMARK - CNPJ"/>
    <s v=""/>
    <x v="1"/>
    <s v="OPERAÇÕES / SUPORTE KCS"/>
    <n v="24"/>
  </r>
  <r>
    <n v="3243939"/>
    <s v="SABRE"/>
    <x v="386"/>
    <s v="WSOUSW"/>
    <s v="WSOUSW"/>
    <s v="Não localizado cliente com CNPJ [4120966000113].&lt;-ObterCliente&lt;-MontarPnrBase&lt;-ProcessarAereo&lt;-ProcessarItemFila[b]"/>
    <d v="2025-02-13T12:20:00"/>
    <d v="2025-02-25T09:45:00"/>
    <s v="CLIENTE"/>
    <s v="REMARK - CNPJ"/>
    <s v=""/>
    <x v="0"/>
    <s v="OPERAÇÕES / SUPORTE KCS"/>
    <n v="24"/>
  </r>
  <r>
    <n v="3243958"/>
    <s v="SABRE"/>
    <x v="387"/>
    <s v="IIRJWA"/>
    <s v="IIRJWA"/>
    <s v="Não localizado cliente código [0000583808].&lt;-ObterCliente&lt;-MontarPnrBase&lt;-ProcessarAereo&lt;-ProcessarItemFila[b]"/>
    <d v="2025-02-13T12:23:00"/>
    <m/>
    <s v="CLIENTE"/>
    <s v="CÓD. CLIENTE DIVERGENTE"/>
    <s v="CÓDIGO DIFERENTE DO CADASTRADO NO BENNER (CLIENTE X GRUPO)"/>
    <x v="1"/>
    <s v="SUPORTE OBT"/>
    <n v="1"/>
  </r>
  <r>
    <n v="3243976"/>
    <s v="SABRE"/>
    <x v="262"/>
    <s v="LJNBFQ"/>
    <s v="LJNBFQ"/>
    <s v="Inserindo Accounting - (ExecSQL) - Could not convert variant of type (Null) into type (OleStr)"/>
    <d v="2025-02-13T12:25:00"/>
    <d v="2025-03-07T20:53:00"/>
    <s v="OUTROS"/>
    <s v="ERRO NO XML"/>
    <s v=""/>
    <x v="0"/>
    <s v="SUPORTE OBT"/>
    <s v="COLUNA I"/>
  </r>
  <r>
    <n v="3243989"/>
    <s v="SABRE"/>
    <x v="387"/>
    <s v="ACYHCY"/>
    <s v="ACYHCY"/>
    <s v="Não localizado cliente código [0000050269].&lt;-ObterCliente&lt;-MontarPnrBase&lt;-ProcessarAereo&lt;-ProcessarItemFila[b]"/>
    <d v="2025-02-13T12:28:00"/>
    <m/>
    <s v="CLIENTE"/>
    <s v="CÓD. CLIENTE DIVERGENTE"/>
    <s v="CÓDIGO DIFERENTE DO CADASTRADO NO BENNER (CLIENTE X GRUPO)"/>
    <x v="1"/>
    <s v="SUPORTE OBT"/>
    <n v="1"/>
  </r>
  <r>
    <n v="3243995"/>
    <s v="SABRE"/>
    <x v="387"/>
    <s v="LJZQKY"/>
    <s v="LJZQKY"/>
    <s v="Código de cliente não identificado&lt;-ObterCliente&lt;-MontarPnrBase&lt;-ProcessarAereo&lt;-ProcessarItemFila[b]"/>
    <d v="2025-02-13T12:29:00"/>
    <m/>
    <s v="CLIENTE"/>
    <s v="CLIENTE NÃO IDENTIFICADO"/>
    <s v="DK DE CLIENTE NÃO PREENCIDO / CLIENTE NÃO CONFIGURADO NO OBT"/>
    <x v="2"/>
    <s v="OPERAÇÕES / SUPORTE KCS"/>
    <s v="COLUNA I"/>
  </r>
  <r>
    <n v="3243997"/>
    <s v="SABRE"/>
    <x v="387"/>
    <s v="DJEMYO"/>
    <s v="DJEMYO"/>
    <s v="Não localizado cliente código [1234567890].&lt;-ObterCliente&lt;-MontarPnrBase&lt;-ProcessarAereo&lt;-ProcessarItemFila[b]"/>
    <d v="2025-02-13T12:29:00"/>
    <m/>
    <s v="CLIENTE"/>
    <s v="CÓD. CLIENTE DIVERGENTE"/>
    <s v="CÓDIGO DIFERENTE DO CADASTRADO NO BENNER (CLIENTE X GRUPO)"/>
    <x v="1"/>
    <s v="SUPORTE OBT"/>
    <n v="1"/>
  </r>
  <r>
    <n v="3243998"/>
    <s v="SABRE"/>
    <x v="387"/>
    <s v="KXCVAX"/>
    <s v="KXCVAX"/>
    <s v="Código de cliente não identificado&lt;-ObterCliente&lt;-MontarPnrBase&lt;-ProcessarAereo&lt;-ProcessarItemFila[b]"/>
    <d v="2025-02-13T12:29:00"/>
    <m/>
    <s v="CLIENTE"/>
    <s v="CLIENTE NÃO IDENTIFICADO"/>
    <s v="DK DE CLIENTE NÃO PREENCIDO / CLIENTE NÃO CONFIGURADO NO OBT"/>
    <x v="2"/>
    <s v="OPERAÇÕES / SUPORTE KCS"/>
    <s v="COLUNA I"/>
  </r>
  <r>
    <n v="3244002"/>
    <s v="SABRE"/>
    <x v="387"/>
    <s v="JHWGAE"/>
    <s v="JHWGAE"/>
    <s v="Não localizado cliente código [0000583831].&lt;-ObterCliente&lt;-MontarPnrBase&lt;-ProcessarAereo&lt;-ProcessarItemFila[b]"/>
    <d v="2025-02-13T12:30:00"/>
    <m/>
    <s v="CLIENTE"/>
    <s v="CÓD. CLIENTE DIVERGENTE"/>
    <s v="CÓDIGO DIFERENTE DO CADASTRADO NO BENNER (CLIENTE X GRUPO)"/>
    <x v="1"/>
    <s v="SUPORTE OBT"/>
    <n v="1"/>
  </r>
  <r>
    <n v="3244153"/>
    <s v="TMS"/>
    <x v="388"/>
    <n v="52639"/>
    <n v="52639"/>
    <s v="Preenchendo XML Serviço-&gt; Preenchendo XML-&gt; Montando accounting aereo 3-&gt;Reserva F4 não encontrada para importar assento/bagagem!"/>
    <d v="2025-02-13T13:18:00"/>
    <d v="2025-02-16T20:17:00"/>
    <s v="OUTROS"/>
    <s v="NOVA MENSAGEM"/>
    <s v=""/>
    <x v="1"/>
    <e v="#N/A"/>
    <n v="123"/>
  </r>
  <r>
    <n v="3245146"/>
    <s v="SABRE"/>
    <x v="383"/>
    <s v="QWBIMLT"/>
    <s v="QWBIML"/>
    <s v="ConverterPagamentosRemark-&gt;Input string was not in a correct format.&lt;-MontarAccountinsHotel&lt;-ProcessarHotel&lt;-ProcessarItemFila[b]"/>
    <d v="2025-02-13T18:34:00"/>
    <d v="2025-02-13T18:49:00"/>
    <s v="FORMA PAGAMENTO/RECEB"/>
    <s v="FORMATO DE TEXTO"/>
    <s v="TEXTO FORA DO PADRÃO ACEITO NO CAMPO"/>
    <x v="2"/>
    <s v="SUPORTE OBT"/>
    <s v="COLUNA I"/>
  </r>
  <r>
    <n v="3245155"/>
    <s v="SABRE"/>
    <x v="389"/>
    <s v="GGSJCXT"/>
    <s v="GGSJCX"/>
    <s v="ConverterPagamentosRemark-&gt;Input string was not in a correct format.&lt;-MontarAccountinsHotel&lt;-ProcessarHotel&lt;-ProcessarItemFila[b]"/>
    <d v="2025-02-13T18:48:00"/>
    <d v="2025-02-14T11:06:00"/>
    <s v="FORMA PAGAMENTO/RECEB"/>
    <s v="FORMATO DE TEXTO"/>
    <s v="TEXTO FORA DO PADRÃO ACEITO NO CAMPO"/>
    <x v="2"/>
    <s v="SUPORTE OBT"/>
    <s v="COLUNA I"/>
  </r>
  <r>
    <n v="3245970"/>
    <s v="SABRE"/>
    <x v="390"/>
    <s v="FEZMYF"/>
    <s v="FEZMYF"/>
    <s v="Não localizado cliente código [0000071840].&lt;-ObterCliente&lt;-MontarPnrBase&lt;-ProcessarAereo&lt;-ProcessarItemFila[b]"/>
    <d v="2025-02-14T00:48:00"/>
    <m/>
    <s v="CLIENTE"/>
    <s v="CÓD. CLIENTE DIVERGENTE"/>
    <s v="CÓDIGO DIFERENTE DO CADASTRADO NO BENNER (CLIENTE X GRUPO)"/>
    <x v="1"/>
    <s v="SUPORTE OBT"/>
    <n v="1"/>
  </r>
  <r>
    <n v="3245971"/>
    <s v="SABRE"/>
    <x v="390"/>
    <s v="UVIGBN"/>
    <s v="UVIGBN"/>
    <s v="Não localizado cliente com CNPJ [2379828000128].&lt;-ObterCliente&lt;-MontarPnrBase&lt;-ProcessarAereo&lt;-ProcessarItemFila[b]"/>
    <d v="2025-02-14T00:48:00"/>
    <m/>
    <s v="CLIENTE"/>
    <s v="REMARK - CNPJ"/>
    <s v=""/>
    <x v="2"/>
    <s v="OPERAÇÕES / SUPORTE KCS"/>
    <n v="24"/>
  </r>
  <r>
    <n v="3245973"/>
    <s v="SABRE"/>
    <x v="390"/>
    <s v="FHTAMY"/>
    <s v="FHTAMY"/>
    <s v="Código de cliente não identificado&lt;-ObterCliente&lt;-MontarPnrBase&lt;-ProcessarAereo&lt;-ProcessarItemFila[b]"/>
    <d v="2025-02-14T00:48:00"/>
    <m/>
    <s v="CLIENTE"/>
    <s v="CLIENTE NÃO IDENTIFICADO"/>
    <s v="DK DE CLIENTE NÃO PREENCIDO / CLIENTE NÃO CONFIGURADO NO OBT"/>
    <x v="2"/>
    <s v="OPERAÇÕES / SUPORTE KCS"/>
    <s v="COLUNA I"/>
  </r>
  <r>
    <n v="3245976"/>
    <s v="SABRE"/>
    <x v="390"/>
    <s v="LRNISG"/>
    <s v="LRNISG"/>
    <s v="Não localizado cliente código [0000071840].&lt;-ObterCliente&lt;-MontarPnrBase&lt;-ProcessarAereo&lt;-ProcessarItemFila[b]"/>
    <d v="2025-02-14T00:49:00"/>
    <m/>
    <s v="CLIENTE"/>
    <s v="CÓD. CLIENTE DIVERGENTE"/>
    <s v="CÓDIGO DIFERENTE DO CADASTRADO NO BENNER (CLIENTE X GRUPO)"/>
    <x v="1"/>
    <s v="SUPORTE OBT"/>
    <n v="1"/>
  </r>
  <r>
    <n v="3245977"/>
    <s v="SABRE"/>
    <x v="391"/>
    <s v="GNMERM"/>
    <s v="GNMERM"/>
    <s v="Não localizado cliente código [0000053687].&lt;-ObterCliente&lt;-MontarPnrBase&lt;-ProcessarAereo&lt;-ProcessarItemFila[b]"/>
    <d v="2025-02-14T00:49:00"/>
    <d v="2025-02-14T13:03:00"/>
    <s v="CLIENTE"/>
    <s v="CÓD. CLIENTE DIVERGENTE"/>
    <s v="CÓDIGO DIFERENTE DO CADASTRADO NO BENNER (CLIENTE X GRUPO)"/>
    <x v="1"/>
    <s v="SUPORTE OBT"/>
    <n v="1"/>
  </r>
  <r>
    <n v="3245998"/>
    <s v="SABRE"/>
    <x v="392"/>
    <s v="EXQTQO"/>
    <s v="EXQTQO"/>
    <s v="Não localizado cliente código [0000583808].&lt;-ObterCliente&lt;-MontarPnrBase&lt;-ProcessarAereo&lt;-ProcessarItemFila[b]"/>
    <d v="2025-02-14T00:52:00"/>
    <d v="2025-02-17T15:21:00"/>
    <s v="CLIENTE"/>
    <s v="CÓD. CLIENTE DIVERGENTE"/>
    <s v="CÓDIGO DIFERENTE DO CADASTRADO NO BENNER (CLIENTE X GRUPO)"/>
    <x v="1"/>
    <s v="SUPORTE OBT"/>
    <n v="1"/>
  </r>
  <r>
    <n v="3246001"/>
    <s v="SABRE"/>
    <x v="390"/>
    <s v="CCFFIH"/>
    <s v="CCFFIH"/>
    <s v="Não localizado cliente código [0000583831].&lt;-ObterCliente&lt;-MontarPnrBase&lt;-ProcessarAereo&lt;-ProcessarItemFila[b]"/>
    <d v="2025-02-14T00:53:00"/>
    <m/>
    <s v="CLIENTE"/>
    <s v="CÓD. CLIENTE DIVERGENTE"/>
    <s v="CÓDIGO DIFERENTE DO CADASTRADO NO BENNER (CLIENTE X GRUPO)"/>
    <x v="1"/>
    <s v="SUPORTE OBT"/>
    <n v="1"/>
  </r>
  <r>
    <n v="3246011"/>
    <s v="SABRE"/>
    <x v="390"/>
    <s v="NDHQDW"/>
    <s v="NDHQDW"/>
    <s v="Não localizado cliente código [0000583808].&lt;-ObterCliente&lt;-MontarPnrBase&lt;-ProcessarAereo&lt;-ProcessarItemFila[b]"/>
    <d v="2025-02-14T00:55:00"/>
    <m/>
    <s v="CLIENTE"/>
    <s v="CÓD. CLIENTE DIVERGENTE"/>
    <s v="CÓDIGO DIFERENTE DO CADASTRADO NO BENNER (CLIENTE X GRUPO)"/>
    <x v="1"/>
    <s v="SUPORTE OBT"/>
    <n v="1"/>
  </r>
  <r>
    <n v="3246079"/>
    <s v="GOVER"/>
    <x v="393"/>
    <n v="4491554"/>
    <s v="YQRTHV"/>
    <s v="PreencherPnr-&gt;Não foi encontrado nenhum item veículo para o localizador YQRTHV"/>
    <d v="2025-02-14T06:23:00"/>
    <d v="2025-02-25T10:15:00"/>
    <s v="OUTROS"/>
    <s v="TAG - ITEM VEÍCULO"/>
    <s v="TAGS DE DETALHAMENTO DO SERVIÇO NÃO ENVIADO NO XML"/>
    <x v="1"/>
    <s v="SUPORTE OBT"/>
    <n v="46"/>
  </r>
  <r>
    <n v="3246354"/>
    <s v="SABRE"/>
    <x v="394"/>
    <s v="OEYAXTT"/>
    <s v="OEYAXT"/>
    <s v="Não localizado cliente código [SA04130104].&lt;-ObterCliente&lt;-MontarPnrBase&lt;-MontarPnr&lt;-ProcessarHotel&lt;-ProcessarItemFila[b]"/>
    <d v="2025-02-14T10:20:00"/>
    <m/>
    <s v="CLIENTE"/>
    <s v="CÓD. CLIENTE DIVERGENTE"/>
    <s v="CÓDIGO DIFERENTE DO CADASTRADO NO BENNER (CLIENTE X GRUPO)"/>
    <x v="1"/>
    <s v="SUPORTE OBT"/>
    <n v="1"/>
  </r>
  <r>
    <n v="3246476"/>
    <s v="SABRE"/>
    <x v="395"/>
    <s v="MDHQQIT"/>
    <s v="MDHQQI"/>
    <s v="ConverterPagamentosRemark-&gt;Input string was not in a correct format.&lt;-MontarAccountinsHotel&lt;-ProcessarHotel&lt;-ProcessarItemFila[b]"/>
    <d v="2025-02-14T11:06:00"/>
    <d v="2025-02-14T12:33:00"/>
    <s v="FORMA PAGAMENTO/RECEB"/>
    <s v="FORMATO DE TEXTO"/>
    <s v="TEXTO FORA DO PADRÃO ACEITO NO CAMPO"/>
    <x v="2"/>
    <s v="SUPORTE OBT"/>
    <s v="COLUNA I"/>
  </r>
  <r>
    <n v="3246780"/>
    <s v="SABRE"/>
    <x v="396"/>
    <s v="MAZDKUT"/>
    <s v="MAZDKU"/>
    <s v="ConverterPagamentosRemark-&gt;Input string was not in a correct format.&lt;-MontarAccountinsHotel&lt;-ProcessarHotel&lt;-ProcessarItemFila[b]"/>
    <d v="2025-02-14T12:19:00"/>
    <d v="2025-02-14T12:34:00"/>
    <s v="FORMA PAGAMENTO/RECEB"/>
    <s v="FORMATO DE TEXTO"/>
    <s v="TEXTO FORA DO PADRÃO ACEITO NO CAMPO"/>
    <x v="2"/>
    <s v="SUPORTE OBT"/>
    <s v="COLUNA I"/>
  </r>
  <r>
    <n v="3246802"/>
    <s v="SABRE"/>
    <x v="397"/>
    <s v="NLJSBWT"/>
    <s v="NLJSBW"/>
    <s v="ConverterPagamentosRemark-&gt;Input string was not in a correct format.&lt;-MontarAccountinsHotel&lt;-ProcessarHotel&lt;-ProcessarItemFila[b]"/>
    <d v="2025-02-14T12:33:00"/>
    <d v="2025-02-17T10:51:00"/>
    <s v="FORMA PAGAMENTO/RECEB"/>
    <s v="FORMATO DE TEXTO"/>
    <s v="TEXTO FORA DO PADRÃO ACEITO NO CAMPO"/>
    <x v="2"/>
    <s v="SUPORTE OBT"/>
    <s v="COLUNA I"/>
  </r>
  <r>
    <n v="3247891"/>
    <s v="SABRE"/>
    <x v="398"/>
    <s v="IYLSEQ"/>
    <s v="IYLSEQ"/>
    <s v="Não localizado cliente código [0000068439].&lt;-ObterCliente&lt;-MontarPnrBase&lt;-ProcessarAereo&lt;-ProcessarItemFila[b]"/>
    <d v="2025-02-14T17:04:00"/>
    <m/>
    <s v="CLIENTE"/>
    <s v="CÓD. CLIENTE DIVERGENTE"/>
    <s v="CÓDIGO DIFERENTE DO CADASTRADO NO BENNER (CLIENTE X GRUPO)"/>
    <x v="1"/>
    <s v="SUPORTE OBT"/>
    <n v="1"/>
  </r>
  <r>
    <n v="3247893"/>
    <s v="SABRE"/>
    <x v="398"/>
    <s v="IYLSEQC"/>
    <s v="IYLSEQ"/>
    <s v="Não localizado cliente código [0000068439].&lt;-ObterCliente&lt;-MontarPnrBase&lt;-MontarPnr&lt;-ProcessarCarro&lt;-ProcessarItemFila[b]"/>
    <d v="2025-02-14T17:05:00"/>
    <m/>
    <s v="CLIENTE"/>
    <s v="CÓD. CLIENTE DIVERGENTE"/>
    <s v="CÓDIGO DIFERENTE DO CADASTRADO NO BENNER (CLIENTE X GRUPO)"/>
    <x v="1"/>
    <s v="SUPORTE OBT"/>
    <n v="1"/>
  </r>
  <r>
    <n v="3248086"/>
    <s v="SABRE"/>
    <x v="399"/>
    <s v="NJFSJT"/>
    <s v="NJFSJT"/>
    <s v="Não localizado cliente com CNPJ [2016507000169].&lt;-ObterCliente&lt;-MontarPnrBase&lt;-ProcessarAereo&lt;-ProcessarItemFila[b]"/>
    <d v="2025-02-14T18:07:00"/>
    <d v="2025-02-17T10:49:00"/>
    <s v="CLIENTE"/>
    <s v="REMARK - CNPJ"/>
    <s v=""/>
    <x v="1"/>
    <s v="OPERAÇÕES / SUPORTE KCS"/>
    <n v="24"/>
  </r>
  <r>
    <n v="3248121"/>
    <s v="SABRE"/>
    <x v="400"/>
    <s v="JRFRQQ"/>
    <s v="JRFRQQ"/>
    <s v="Não localizado cliente com CNPJ [JTI DISTRIBUIDORA NOVA CONCEICAO].&lt;-ObterCliente&lt;-MontarPnrBase&lt;-ProcessarAereo&lt;-ProcessarItemFila[b]"/>
    <d v="2025-02-14T18:18:00"/>
    <d v="2025-02-17T10:34:00"/>
    <s v="CLIENTE"/>
    <s v="REMARK - CNPJ"/>
    <s v=""/>
    <x v="3"/>
    <s v="OPERAÇÕES / SUPORTE KCS"/>
    <n v="24"/>
  </r>
  <r>
    <n v="3248151"/>
    <s v="SABRE"/>
    <x v="392"/>
    <s v="KHVHXP"/>
    <s v="KHVHXP"/>
    <s v="Não localizado cliente código [0000392619].&lt;-ObterCliente&lt;-MontarPnrBase&lt;-ProcessarAereo&lt;-ProcessarItemFila[b]"/>
    <d v="2025-02-14T18:33:00"/>
    <d v="2025-02-17T15:20:00"/>
    <s v="CLIENTE"/>
    <s v="CÓD. CLIENTE DIVERGENTE"/>
    <s v="CÓDIGO DIFERENTE DO CADASTRADO NO BENNER (CLIENTE X GRUPO)"/>
    <x v="1"/>
    <s v="SUPORTE OBT"/>
    <n v="1"/>
  </r>
  <r>
    <n v="3248152"/>
    <s v="SABRE"/>
    <x v="392"/>
    <s v="WPVNZZ"/>
    <s v="WPVNZZ"/>
    <s v="Não localizado cliente código [0000050269].&lt;-ObterCliente&lt;-MontarPnrBase&lt;-ProcessarAereo&lt;-ProcessarItemFila[b]"/>
    <d v="2025-02-14T18:34:00"/>
    <d v="2025-02-17T15:20:00"/>
    <s v="CLIENTE"/>
    <s v="CÓD. CLIENTE DIVERGENTE"/>
    <s v="CÓDIGO DIFERENTE DO CADASTRADO NO BENNER (CLIENTE X GRUPO)"/>
    <x v="1"/>
    <s v="SUPORTE OBT"/>
    <n v="1"/>
  </r>
  <r>
    <n v="3249128"/>
    <s v="SABRE"/>
    <x v="401"/>
    <s v="OEKGUV"/>
    <s v="OEKGUV"/>
    <s v="Código de cliente não identificado&lt;-ObterCliente&lt;-MontarPnrBase&lt;-ProcessarAereo&lt;-ProcessarItemFila[b]"/>
    <d v="2025-02-14T21:33:00"/>
    <m/>
    <s v="CLIENTE"/>
    <s v="CLIENTE NÃO IDENTIFICADO"/>
    <s v="DK DE CLIENTE NÃO PREENCIDO / CLIENTE NÃO CONFIGURADO NO OBT"/>
    <x v="2"/>
    <s v="OPERAÇÕES / SUPORTE KCS"/>
    <s v="COLUNA I"/>
  </r>
  <r>
    <n v="3249129"/>
    <s v="SABRE"/>
    <x v="402"/>
    <s v="YTVDGG"/>
    <s v="YTVDGG"/>
    <s v="Não localizado cliente com CNPJ [JTI PROCESSADORA].&lt;-ObterCliente&lt;-MontarPnrBase&lt;-ProcessarAereo&lt;-ProcessarItemFila[b]"/>
    <d v="2025-02-14T21:33:00"/>
    <d v="2025-02-17T10:48:00"/>
    <s v="CLIENTE"/>
    <s v="REMARK - CNPJ"/>
    <s v=""/>
    <x v="1"/>
    <s v="OPERAÇÕES / SUPORTE KCS"/>
    <n v="24"/>
  </r>
  <r>
    <n v="3249130"/>
    <s v="SABRE"/>
    <x v="401"/>
    <s v="KMHQOT"/>
    <s v="KMHQOT"/>
    <s v="Código de cliente não identificado&lt;-ObterCliente&lt;-MontarPnrBase&lt;-ProcessarAereo&lt;-ProcessarItemFila[b]"/>
    <d v="2025-02-14T21:34:00"/>
    <m/>
    <s v="CLIENTE"/>
    <s v="CLIENTE NÃO IDENTIFICADO"/>
    <s v="DK DE CLIENTE NÃO PREENCIDO / CLIENTE NÃO CONFIGURADO NO OBT"/>
    <x v="2"/>
    <s v="OPERAÇÕES / SUPORTE KCS"/>
    <s v="COLUNA I"/>
  </r>
  <r>
    <n v="3249132"/>
    <s v="SABRE"/>
    <x v="401"/>
    <s v="FWADDV"/>
    <s v="FWADDV"/>
    <s v="Código de cliente não identificado&lt;-ObterCliente&lt;-MontarPnrBase&lt;-ProcessarAereo&lt;-ProcessarItemFila[b]"/>
    <d v="2025-02-14T21:34:00"/>
    <m/>
    <s v="CLIENTE"/>
    <s v="CLIENTE NÃO IDENTIFICADO"/>
    <s v="DK DE CLIENTE NÃO PREENCIDO / CLIENTE NÃO CONFIGURADO NO OBT"/>
    <x v="2"/>
    <s v="OPERAÇÕES / SUPORTE KCS"/>
    <s v="COLUNA I"/>
  </r>
  <r>
    <n v="3249137"/>
    <s v="SABRE"/>
    <x v="403"/>
    <s v="SKOCPA"/>
    <s v="SKOCPA"/>
    <s v="Inserindo Accounting - (ExecSQL) - Could not convert variant of type (Null) into type (OleStr)"/>
    <d v="2025-02-14T21:35:00"/>
    <d v="2025-02-17T10:50:00"/>
    <s v="OUTROS"/>
    <s v="ERRO NO XML"/>
    <s v=""/>
    <x v="0"/>
    <s v="SUPORTE OBT"/>
    <s v="COLUNA I"/>
  </r>
  <r>
    <n v="3249147"/>
    <s v="SABRE"/>
    <x v="404"/>
    <s v="MOYDXS"/>
    <s v="MOYDXS"/>
    <s v="Não localizado cliente com CNPJ [JTIPROCESSADORA].&lt;-ObterCliente&lt;-MontarPnrBase&lt;-ProcessarAereo&lt;-ProcessarItemFila[b]"/>
    <d v="2025-02-14T21:36:00"/>
    <d v="2025-02-17T10:49:00"/>
    <s v="CLIENTE"/>
    <s v="REMARK - CNPJ"/>
    <s v=""/>
    <x v="1"/>
    <s v="OPERAÇÕES / SUPORTE KCS"/>
    <n v="24"/>
  </r>
  <r>
    <n v="3249148"/>
    <s v="SABRE"/>
    <x v="405"/>
    <s v="URNYEQ"/>
    <s v="URNYEQ"/>
    <s v="Não localizado cliente com CNPJ [JTIPROCESSADORA].&lt;-ObterCliente&lt;-MontarPnrBase&lt;-ProcessarAereo&lt;-ProcessarItemFila[b]"/>
    <d v="2025-02-14T21:36:00"/>
    <d v="2025-02-17T09:48:00"/>
    <s v="CLIENTE"/>
    <s v="REMARK - CNPJ"/>
    <s v=""/>
    <x v="1"/>
    <s v="OPERAÇÕES / SUPORTE KCS"/>
    <n v="24"/>
  </r>
  <r>
    <n v="3249149"/>
    <s v="SABRE"/>
    <x v="262"/>
    <s v="FXNLYW"/>
    <s v="FXNLYW"/>
    <s v="Verificando Trechos - Excluindo Trechos - Could not convert variant of type (Null) into type (OleStr)"/>
    <d v="2025-02-14T21:36:00"/>
    <d v="2025-03-07T20:54:00"/>
    <s v="OUTROS"/>
    <s v="ERRO NO XML"/>
    <s v=""/>
    <x v="0"/>
    <s v="SUPORTE OBT"/>
    <s v="COLUNA I"/>
  </r>
  <r>
    <n v="3249153"/>
    <s v="SABRE"/>
    <x v="401"/>
    <s v="QWAVQA"/>
    <s v="QWAVQA"/>
    <s v="Código de cliente não identificado&lt;-ObterCliente&lt;-MontarPnrBase&lt;-ProcessarAereo&lt;-ProcessarItemFila[b]"/>
    <d v="2025-02-14T21:37:00"/>
    <m/>
    <s v="CLIENTE"/>
    <s v="CLIENTE NÃO IDENTIFICADO"/>
    <s v="DK DE CLIENTE NÃO PREENCIDO / CLIENTE NÃO CONFIGURADO NO OBT"/>
    <x v="2"/>
    <s v="OPERAÇÕES / SUPORTE KCS"/>
    <s v="COLUNA I"/>
  </r>
  <r>
    <n v="3249479"/>
    <s v="SABRE"/>
    <x v="406"/>
    <s v="YEMZUR"/>
    <s v="YEMZUR"/>
    <s v="Não localizado cliente código [0000068777].&lt;-ObterCliente&lt;-MontarPnrBase&lt;-ProcessarAereo&lt;-ProcessarItemFila[b]"/>
    <d v="2025-02-17T09:33:00"/>
    <m/>
    <s v="CLIENTE"/>
    <s v="CÓD. CLIENTE DIVERGENTE"/>
    <s v="CÓDIGO DIFERENTE DO CADASTRADO NO BENNER (CLIENTE X GRUPO)"/>
    <x v="1"/>
    <s v="SUPORTE OBT"/>
    <n v="1"/>
  </r>
  <r>
    <n v="3249534"/>
    <s v="SABRE"/>
    <x v="392"/>
    <s v="JLUORM"/>
    <s v="JLUORM"/>
    <s v="Não localizado cliente código [0000035945].&lt;-ObterCliente&lt;-MontarPnrBase&lt;-ProcessarAereo&lt;-ProcessarItemFila[b]"/>
    <d v="2025-02-17T10:19:00"/>
    <d v="2025-02-17T15:22:00"/>
    <s v="CLIENTE"/>
    <s v="CÓD. CLIENTE DIVERGENTE"/>
    <s v="CÓDIGO DIFERENTE DO CADASTRADO NO BENNER (CLIENTE X GRUPO)"/>
    <x v="1"/>
    <s v="SUPORTE OBT"/>
    <n v="1"/>
  </r>
  <r>
    <n v="3249543"/>
    <s v="SABRE"/>
    <x v="392"/>
    <s v="YOSPEB"/>
    <s v="YOSPEB"/>
    <s v="Não localizado cliente código [0000035945].&lt;-ObterCliente&lt;-MontarPnrBase&lt;-ProcessarAereo&lt;-ProcessarItemFila[b]"/>
    <d v="2025-02-17T10:33:00"/>
    <d v="2025-02-17T15:22:00"/>
    <s v="CLIENTE"/>
    <s v="CÓD. CLIENTE DIVERGENTE"/>
    <s v="CÓDIGO DIFERENTE DO CADASTRADO NO BENNER (CLIENTE X GRUPO)"/>
    <x v="1"/>
    <s v="SUPORTE OBT"/>
    <n v="1"/>
  </r>
  <r>
    <n v="3249544"/>
    <s v="SABRE"/>
    <x v="392"/>
    <s v="GGPDNR"/>
    <s v="GGPDNR"/>
    <s v="Não localizado cliente código [0000035945].&lt;-ObterCliente&lt;-MontarPnrBase&lt;-ProcessarAereo&lt;-ProcessarItemFila[b]"/>
    <d v="2025-02-17T10:33:00"/>
    <d v="2025-02-17T15:22:00"/>
    <s v="CLIENTE"/>
    <s v="CÓD. CLIENTE DIVERGENTE"/>
    <s v="CÓDIGO DIFERENTE DO CADASTRADO NO BENNER (CLIENTE X GRUPO)"/>
    <x v="1"/>
    <s v="SUPORTE OBT"/>
    <n v="1"/>
  </r>
  <r>
    <n v="3249545"/>
    <s v="SABRE"/>
    <x v="407"/>
    <s v="QWDQJX"/>
    <s v="QWDQJX"/>
    <s v="Não localizado cliente código [0000035945].&lt;-ObterCliente&lt;-MontarPnrBase&lt;-ProcessarAereo&lt;-ProcessarItemFila[b]"/>
    <d v="2025-02-17T10:33:00"/>
    <m/>
    <s v="CLIENTE"/>
    <s v="CÓD. CLIENTE DIVERGENTE"/>
    <s v="CÓDIGO DIFERENTE DO CADASTRADO NO BENNER (CLIENTE X GRUPO)"/>
    <x v="1"/>
    <s v="SUPORTE OBT"/>
    <n v="1"/>
  </r>
  <r>
    <n v="3249546"/>
    <s v="SABRE"/>
    <x v="392"/>
    <s v="EVPVJF"/>
    <s v="EVPVJF"/>
    <s v="Não localizado cliente código [0000035945].&lt;-ObterCliente&lt;-MontarPnrBase&lt;-ProcessarAereo&lt;-ProcessarItemFila[b]"/>
    <d v="2025-02-17T10:33:00"/>
    <d v="2025-02-17T15:20:00"/>
    <s v="CLIENTE"/>
    <s v="CÓD. CLIENTE DIVERGENTE"/>
    <s v="CÓDIGO DIFERENTE DO CADASTRADO NO BENNER (CLIENTE X GRUPO)"/>
    <x v="1"/>
    <s v="SUPORTE OBT"/>
    <n v="1"/>
  </r>
  <r>
    <n v="3249547"/>
    <s v="SABRE"/>
    <x v="392"/>
    <s v="YRETYI"/>
    <s v="YRETYI"/>
    <s v="Não localizado cliente código [0000035945].&lt;-ObterCliente&lt;-MontarPnrBase&lt;-ProcessarAereo&lt;-ProcessarItemFila[b]"/>
    <d v="2025-02-17T10:33:00"/>
    <d v="2025-02-17T15:21:00"/>
    <s v="CLIENTE"/>
    <s v="CÓD. CLIENTE DIVERGENTE"/>
    <s v="CÓDIGO DIFERENTE DO CADASTRADO NO BENNER (CLIENTE X GRUPO)"/>
    <x v="1"/>
    <s v="SUPORTE OBT"/>
    <n v="1"/>
  </r>
  <r>
    <n v="3249548"/>
    <s v="SABRE"/>
    <x v="392"/>
    <s v="SLJROX"/>
    <s v="SLJROX"/>
    <s v="Não localizado cliente código [0000035945].&lt;-ObterCliente&lt;-MontarPnrBase&lt;-ProcessarAereo&lt;-ProcessarItemFila[b]"/>
    <d v="2025-02-17T10:33:00"/>
    <d v="2025-02-17T15:21:00"/>
    <s v="CLIENTE"/>
    <s v="CÓD. CLIENTE DIVERGENTE"/>
    <s v="CÓDIGO DIFERENTE DO CADASTRADO NO BENNER (CLIENTE X GRUPO)"/>
    <x v="1"/>
    <s v="SUPORTE OBT"/>
    <n v="1"/>
  </r>
  <r>
    <n v="3249549"/>
    <s v="SABRE"/>
    <x v="392"/>
    <s v="SIVDEA"/>
    <s v="SIVDEA"/>
    <s v="Não localizado cliente código [0000035945].&lt;-ObterCliente&lt;-MontarPnrBase&lt;-ProcessarAereo&lt;-ProcessarItemFila[b]"/>
    <d v="2025-02-17T10:33:00"/>
    <d v="2025-02-17T15:21:00"/>
    <s v="CLIENTE"/>
    <s v="CÓD. CLIENTE DIVERGENTE"/>
    <s v="CÓDIGO DIFERENTE DO CADASTRADO NO BENNER (CLIENTE X GRUPO)"/>
    <x v="1"/>
    <s v="SUPORTE OBT"/>
    <n v="1"/>
  </r>
  <r>
    <n v="3249550"/>
    <s v="SABRE"/>
    <x v="392"/>
    <s v="YIGVHL"/>
    <s v="YIGVHL"/>
    <s v="Não localizado cliente código [0000035945].&lt;-ObterCliente&lt;-MontarPnrBase&lt;-ProcessarAereo&lt;-ProcessarItemFila[b]"/>
    <d v="2025-02-17T10:33:00"/>
    <d v="2025-02-17T15:22:00"/>
    <s v="CLIENTE"/>
    <s v="CÓD. CLIENTE DIVERGENTE"/>
    <s v="CÓDIGO DIFERENTE DO CADASTRADO NO BENNER (CLIENTE X GRUPO)"/>
    <x v="1"/>
    <s v="SUPORTE OBT"/>
    <n v="1"/>
  </r>
  <r>
    <n v="3249560"/>
    <s v="SABRE"/>
    <x v="392"/>
    <s v="SLWODO"/>
    <s v="SLWODO"/>
    <s v="Inserindo Accounting - (ExecSQL) - Could not convert variant of type (Null) into type (OleStr)"/>
    <d v="2025-02-17T10:49:00"/>
    <d v="2025-02-17T15:22:00"/>
    <s v="OUTROS"/>
    <s v="ERRO NO XML"/>
    <s v=""/>
    <x v="0"/>
    <s v="SUPORTE OBT"/>
    <s v="COLUNA I"/>
  </r>
  <r>
    <n v="3249600"/>
    <s v="SABRE"/>
    <x v="408"/>
    <s v="USEUZL"/>
    <s v="USEUZL"/>
    <s v="Não localizado cliente código [0000050269].&lt;-ObterCliente&lt;-MontarPnrBase&lt;-ProcessarAereo&lt;-ProcessarItemFila[b]"/>
    <d v="2025-02-17T11:04:00"/>
    <m/>
    <s v="CLIENTE"/>
    <s v="CÓD. CLIENTE DIVERGENTE"/>
    <s v="CÓDIGO DIFERENTE DO CADASTRADO NO BENNER (CLIENTE X GRUPO)"/>
    <x v="1"/>
    <s v="SUPORTE OBT"/>
    <n v="1"/>
  </r>
  <r>
    <n v="3249601"/>
    <s v="SABRE"/>
    <x v="408"/>
    <s v="USEUZLT"/>
    <s v="USEUZL"/>
    <s v="Não localizado cliente código [0000050269].&lt;-ObterCliente&lt;-MontarPnrBase&lt;-MontarPnr&lt;-ProcessarHotel&lt;-ProcessarItemFila[b]"/>
    <d v="2025-02-17T11:04:00"/>
    <m/>
    <s v="CLIENTE"/>
    <s v="CÓD. CLIENTE DIVERGENTE"/>
    <s v="CÓDIGO DIFERENTE DO CADASTRADO NO BENNER (CLIENTE X GRUPO)"/>
    <x v="1"/>
    <s v="SUPORTE OBT"/>
    <n v="1"/>
  </r>
  <r>
    <n v="3249761"/>
    <s v="SABRE"/>
    <x v="409"/>
    <s v="KKAMPO"/>
    <s v="KKAMPO"/>
    <s v="Código de cliente não identificado&lt;-ObterCliente&lt;-MontarPnrBase&lt;-ProcessarAereo&lt;-ProcessarItemFila[b]"/>
    <d v="2025-02-17T13:35:00"/>
    <m/>
    <s v="CLIENTE"/>
    <s v="CLIENTE NÃO IDENTIFICADO"/>
    <s v="DK DE CLIENTE NÃO PREENCIDO / CLIENTE NÃO CONFIGURADO NO OBT"/>
    <x v="2"/>
    <s v="OPERAÇÕES / SUPORTE KCS"/>
    <s v="COLUNA I"/>
  </r>
  <r>
    <n v="3250280"/>
    <s v="SABRE"/>
    <x v="410"/>
    <s v="MAMCPR"/>
    <s v="MAMCPR"/>
    <s v="Não localizado cliente código [0000583831].&lt;-ObterCliente&lt;-MontarPnrBase&lt;-ProcessarAereo&lt;-ProcessarItemFila[b]"/>
    <d v="2025-02-17T15:21:00"/>
    <d v="2025-02-21T12:32:00"/>
    <s v="CLIENTE"/>
    <s v="CÓD. CLIENTE DIVERGENTE"/>
    <s v="CÓDIGO DIFERENTE DO CADASTRADO NO BENNER (CLIENTE X GRUPO)"/>
    <x v="1"/>
    <s v="SUPORTE OBT"/>
    <n v="1"/>
  </r>
  <r>
    <n v="3250289"/>
    <s v="SABRE"/>
    <x v="392"/>
    <s v="KWNJXG"/>
    <s v="KWNJXG"/>
    <s v="Não localizado cliente código [0000583808].&lt;-ObterCliente&lt;-MontarPnrBase&lt;-ProcessarAereo&lt;-ProcessarItemFila[b]"/>
    <d v="2025-02-17T15:22:00"/>
    <m/>
    <s v="CLIENTE"/>
    <s v="CÓD. CLIENTE DIVERGENTE"/>
    <s v="CÓDIGO DIFERENTE DO CADASTRADO NO BENNER (CLIENTE X GRUPO)"/>
    <x v="1"/>
    <s v="SUPORTE OBT"/>
    <n v="1"/>
  </r>
  <r>
    <n v="3250291"/>
    <s v="SABRE"/>
    <x v="392"/>
    <s v="WITHBK"/>
    <s v="WITHBK"/>
    <s v="Não localizado cliente código [0000286569].&lt;-ObterCliente&lt;-MontarPnrBase&lt;-ProcessarAereo&lt;-ProcessarItemFila[b]"/>
    <d v="2025-02-17T15:23:00"/>
    <m/>
    <s v="CLIENTE"/>
    <s v="CÓD. CLIENTE DIVERGENTE"/>
    <s v="CÓDIGO DIFERENTE DO CADASTRADO NO BENNER (CLIENTE X GRUPO)"/>
    <x v="1"/>
    <s v="SUPORTE OBT"/>
    <n v="1"/>
  </r>
  <r>
    <n v="3250713"/>
    <s v="SABRE"/>
    <x v="411"/>
    <s v="JYPNBE"/>
    <s v="JYPNBE"/>
    <s v="Não localizado cliente código [0004220155].&lt;-ObterCliente&lt;-MontarPnrBase&lt;-ProcessarAereo&lt;-ProcessarItemFila[b]"/>
    <d v="2025-02-17T18:05:00"/>
    <d v="2025-02-18T12:19:00"/>
    <s v="CLIENTE"/>
    <s v="CÓD. CLIENTE DIVERGENTE"/>
    <s v="CÓDIGO DIFERENTE DO CADASTRADO NO BENNER (CLIENTE X GRUPO)"/>
    <x v="1"/>
    <s v="SUPORTE OBT"/>
    <n v="1"/>
  </r>
  <r>
    <n v="3250730"/>
    <s v="SABRE"/>
    <x v="412"/>
    <s v="DHQJBE"/>
    <s v="DHQJBE"/>
    <s v="Código de cliente não identificado&lt;-ObterCliente&lt;-MontarPnrBase&lt;-ProcessarAereo&lt;-ProcessarItemFila[b]"/>
    <d v="2025-02-17T18:08:00"/>
    <m/>
    <s v="CLIENTE"/>
    <s v="CLIENTE NÃO IDENTIFICADO"/>
    <s v="DK DE CLIENTE NÃO PREENCIDO / CLIENTE NÃO CONFIGURADO NO OBT"/>
    <x v="2"/>
    <s v="OPERAÇÕES / SUPORTE KCS"/>
    <s v="COLUNA I"/>
  </r>
  <r>
    <n v="3250754"/>
    <s v="SABRE"/>
    <x v="413"/>
    <s v="NLQKDQ"/>
    <s v="NLQKDQ"/>
    <s v="Não localizado cliente com CNPJ [357038000116].&lt;-ObterCliente&lt;-MontarPnrBase&lt;-ProcessarAereo&lt;-ProcessarItemFila[b]"/>
    <d v="2025-02-17T18:37:00"/>
    <m/>
    <s v="CLIENTE"/>
    <s v="REMARK - CNPJ"/>
    <s v=""/>
    <x v="3"/>
    <s v="OPERAÇÕES / SUPORTE KCS"/>
    <n v="24"/>
  </r>
  <r>
    <n v="3250768"/>
    <s v="SABRE"/>
    <x v="414"/>
    <s v="UABCUX"/>
    <s v="UABCUX"/>
    <s v="Não localizado cliente com CNPJ [357038000116].&lt;-ObterCliente&lt;-MontarPnrBase&lt;-ProcessarAereo&lt;-ProcessarItemFila[b]"/>
    <d v="2025-02-17T18:53:00"/>
    <m/>
    <s v="CLIENTE"/>
    <s v="REMARK - CNPJ"/>
    <s v=""/>
    <x v="3"/>
    <s v="OPERAÇÕES / SUPORTE KCS"/>
    <n v="24"/>
  </r>
  <r>
    <n v="3250769"/>
    <s v="SABRE"/>
    <x v="414"/>
    <s v="UABCUXT"/>
    <s v="UABCUX"/>
    <s v="Não localizado cliente com CNPJ [357038000116].&lt;-ObterCliente&lt;-MontarPnrBase&lt;-MontarPnr&lt;-ProcessarHotel&lt;-ProcessarItemFila[b]"/>
    <d v="2025-02-17T18:53:00"/>
    <m/>
    <s v="CLIENTE"/>
    <s v="REMARK - CNPJ"/>
    <s v=""/>
    <x v="3"/>
    <s v="OPERAÇÕES / SUPORTE KCS"/>
    <n v="24"/>
  </r>
  <r>
    <n v="3250791"/>
    <s v="SABRE"/>
    <x v="415"/>
    <s v="LHUMDA"/>
    <s v="LHUMDA"/>
    <s v="Não localizado cliente com CNPJ [2016507000169].&lt;-ObterCliente&lt;-MontarPnrBase&lt;-ProcessarAereo&lt;-ProcessarItemFila[b]"/>
    <d v="2025-02-17T19:06:00"/>
    <m/>
    <s v="CLIENTE"/>
    <s v="REMARK - CNPJ"/>
    <s v=""/>
    <x v="1"/>
    <s v="OPERAÇÕES / SUPORTE KCS"/>
    <n v="24"/>
  </r>
  <r>
    <n v="3250792"/>
    <s v="SABRE"/>
    <x v="415"/>
    <s v="LHUMDAT"/>
    <s v="LHUMDA"/>
    <s v="Não localizado cliente com CNPJ [2016507000169].&lt;-ObterCliente&lt;-MontarPnrBase&lt;-MontarPnr&lt;-ProcessarHotel&lt;-ProcessarItemFila[b]"/>
    <d v="2025-02-17T19:07:00"/>
    <m/>
    <s v="CLIENTE"/>
    <s v="REMARK - CNPJ"/>
    <s v=""/>
    <x v="3"/>
    <s v="OPERAÇÕES / SUPORTE KCS"/>
    <n v="24"/>
  </r>
  <r>
    <n v="3250793"/>
    <s v="SABRE"/>
    <x v="415"/>
    <s v="LHUMDAC"/>
    <s v="LHUMDA"/>
    <s v="Não localizado cliente com CNPJ [2016507000169].&lt;-ObterCliente&lt;-MontarPnrBase&lt;-MontarPnr&lt;-ProcessarCarro&lt;-ProcessarItemFila[b]"/>
    <d v="2025-02-17T19:07:00"/>
    <m/>
    <s v="CLIENTE"/>
    <s v="REMARK - CNPJ"/>
    <s v=""/>
    <x v="3"/>
    <s v="OPERAÇÕES / SUPORTE KCS"/>
    <n v="24"/>
  </r>
  <r>
    <n v="3251407"/>
    <s v="SABRE"/>
    <x v="416"/>
    <s v="LWXQNR"/>
    <s v="LWXQNR"/>
    <s v="Não localizado cliente com CNPJ [JTI PROCESSADORA].&lt;-ObterCliente&lt;-MontarPnrBase&lt;-ProcessarAereo&lt;-ProcessarItemFila[b]"/>
    <d v="2025-02-17T21:34:00"/>
    <d v="2025-02-18T10:49:00"/>
    <s v="CLIENTE"/>
    <s v="REMARK - CNPJ"/>
    <s v=""/>
    <x v="1"/>
    <s v="OPERAÇÕES / SUPORTE KCS"/>
    <n v="24"/>
  </r>
  <r>
    <n v="3251413"/>
    <s v="SABRE"/>
    <x v="417"/>
    <s v="LWHUVH"/>
    <s v="LWHUVH"/>
    <s v="Não localizado cliente com CNPJ [JTI PROCESSADORA].&lt;-ObterCliente&lt;-MontarPnrBase&lt;-ProcessarAereo&lt;-ProcessarItemFila[b]"/>
    <d v="2025-02-17T21:34:00"/>
    <d v="2025-02-18T10:49:00"/>
    <s v="CLIENTE"/>
    <s v="REMARK - CNPJ"/>
    <s v=""/>
    <x v="3"/>
    <s v="OPERAÇÕES / SUPORTE KCS"/>
    <n v="24"/>
  </r>
  <r>
    <n v="3251422"/>
    <s v="SABRE"/>
    <x v="417"/>
    <s v="AQFEWZ"/>
    <s v="AQFEWZ"/>
    <s v="Não localizado cliente com CNPJ [JTI PROCESSAODORA].&lt;-ObterCliente&lt;-MontarPnrBase&lt;-ProcessarAereo&lt;-ProcessarItemFila[b]"/>
    <d v="2025-02-17T21:35:00"/>
    <d v="2025-02-18T10:50:00"/>
    <s v="CLIENTE"/>
    <s v="REMARK - CNPJ"/>
    <s v=""/>
    <x v="3"/>
    <s v="OPERAÇÕES / SUPORTE KCS"/>
    <n v="24"/>
  </r>
  <r>
    <n v="3251425"/>
    <s v="SABRE"/>
    <x v="386"/>
    <s v="GVGWNU"/>
    <s v="GVGWNU"/>
    <s v="Não localizado cliente código [0004224627].&lt;-ObterCliente&lt;-MontarPnrBase&lt;-ProcessarAereo&lt;-ProcessarItemFila[b]"/>
    <d v="2025-02-17T21:35:00"/>
    <d v="2025-02-25T09:48:00"/>
    <s v="CLIENTE"/>
    <s v="CÓD. CLIENTE DIVERGENTE"/>
    <s v="CÓDIGO DIFERENTE DO CADASTRADO NO BENNER (CLIENTE X GRUPO)"/>
    <x v="1"/>
    <s v="SUPORTE OBT"/>
    <n v="1"/>
  </r>
  <r>
    <n v="3251436"/>
    <s v="SABRE"/>
    <x v="417"/>
    <s v="YRGZIH"/>
    <s v="YRGZIH"/>
    <s v="Não localizado cliente com CNPJ [JTI PROCESSAODORA].&lt;-ObterCliente&lt;-MontarPnrBase&lt;-ProcessarAereo&lt;-ProcessarItemFila[b]"/>
    <d v="2025-02-17T21:36:00"/>
    <d v="2025-02-18T10:50:00"/>
    <s v="CLIENTE"/>
    <s v="REMARK - CNPJ"/>
    <s v=""/>
    <x v="3"/>
    <s v="OPERAÇÕES / SUPORTE KCS"/>
    <n v="24"/>
  </r>
  <r>
    <n v="3251452"/>
    <s v="SABRE"/>
    <x v="418"/>
    <s v="ANUDNH"/>
    <s v="ANUDNH"/>
    <s v="Código de cliente não identificado&lt;-ObterCliente&lt;-MontarPnrBase&lt;-ProcessarAereo&lt;-ProcessarItemFila[b]"/>
    <d v="2025-02-17T21:37:00"/>
    <m/>
    <s v="CLIENTE"/>
    <s v="CLIENTE NÃO IDENTIFICADO"/>
    <s v="DK DE CLIENTE NÃO PREENCIDO / CLIENTE NÃO CONFIGURADO NO OBT"/>
    <x v="2"/>
    <s v="OPERAÇÕES / SUPORTE KCS"/>
    <s v="COLUNA I"/>
  </r>
  <r>
    <n v="3251454"/>
    <s v="SABRE"/>
    <x v="418"/>
    <s v="HZITWL"/>
    <s v="HZITWL"/>
    <s v="Não localizado cliente código [0000026561].&lt;-ObterCliente&lt;-MontarPnrBase&lt;-ProcessarAereo&lt;-ProcessarItemFila[b]"/>
    <d v="2025-02-17T21:37:00"/>
    <m/>
    <s v="CLIENTE"/>
    <s v="CÓD. CLIENTE DIVERGENTE"/>
    <s v="CÓDIGO DIFERENTE DO CADASTRADO NO BENNER (CLIENTE X GRUPO)"/>
    <x v="1"/>
    <s v="SUPORTE OBT"/>
    <n v="1"/>
  </r>
  <r>
    <n v="3252768"/>
    <s v="SABRE"/>
    <x v="419"/>
    <s v="MNHWCOT"/>
    <s v="MNHWCO"/>
    <s v="ConverterPagamentosRemark-&gt;Input string was not in a correct format.&lt;-MontarAccountinsHotel&lt;-ProcessarHotel&lt;-ProcessarItemFila[b]"/>
    <d v="2025-02-18T11:34:00"/>
    <d v="2025-02-18T11:51:00"/>
    <s v="FORMA PAGAMENTO/RECEB"/>
    <s v="FORMATO DE TEXTO"/>
    <s v="TEXTO FORA DO PADRÃO ACEITO NO CAMPO"/>
    <x v="2"/>
    <s v="SUPORTE OBT"/>
    <s v="COLUNA I"/>
  </r>
  <r>
    <n v="3252792"/>
    <s v="SABRE"/>
    <x v="419"/>
    <s v="YQAFTIT"/>
    <s v="YQAFTI"/>
    <s v="ConverterPagamentosRemark-&gt;Input string was not in a correct format.&lt;-MontarAccountinsHotel&lt;-ProcessarHotel&lt;-ProcessarItemFila[b]"/>
    <d v="2025-02-18T11:51:00"/>
    <m/>
    <s v="FORMA PAGAMENTO/RECEB"/>
    <s v="FORMATO DE TEXTO"/>
    <s v="TEXTO FORA DO PADRÃO ACEITO NO CAMPO"/>
    <x v="2"/>
    <s v="SUPORTE OBT"/>
    <s v="COLUNA I"/>
  </r>
  <r>
    <n v="3254373"/>
    <s v="SABRE"/>
    <x v="420"/>
    <s v="HPBPUWT"/>
    <s v="HPBPUW"/>
    <s v="ConverterPagamentosRemark-&gt;Input string was not in a correct format.&lt;-MontarAccountinsHotel&lt;-ProcessarHotel&lt;-ProcessarItemFila[b]"/>
    <d v="2025-02-18T19:21:00"/>
    <m/>
    <s v="FORMA PAGAMENTO/RECEB"/>
    <s v="FORMATO DE TEXTO"/>
    <s v="TEXTO FORA DO PADRÃO ACEITO NO CAMPO"/>
    <x v="2"/>
    <s v="SUPORTE OBT"/>
    <s v="COLUNA I"/>
  </r>
  <r>
    <n v="3255177"/>
    <s v="SABRE"/>
    <x v="421"/>
    <s v="YRIGMJ"/>
    <s v="YRIGMJ"/>
    <s v="Código de cliente não identificado&lt;-ObterCliente&lt;-MontarPnrBase&lt;-ProcessarAereo&lt;-ProcessarItemFila[b]"/>
    <d v="2025-02-19T08:19:00"/>
    <m/>
    <s v="CLIENTE"/>
    <s v="CLIENTE NÃO IDENTIFICADO"/>
    <s v="DK DE CLIENTE NÃO PREENCIDO / CLIENTE NÃO CONFIGURADO NO OBT"/>
    <x v="2"/>
    <s v="OPERAÇÕES / SUPORTE KCS"/>
    <s v="COLUNA I"/>
  </r>
  <r>
    <n v="3255185"/>
    <s v="SABRE"/>
    <x v="421"/>
    <s v="WUCAZJ"/>
    <s v="WUCAZJ"/>
    <s v="Código de cliente não identificado&lt;-ObterCliente&lt;-MontarPnrBase&lt;-ProcessarAereo&lt;-ProcessarItemFila[b]"/>
    <d v="2025-02-19T08:21:00"/>
    <m/>
    <s v="CLIENTE"/>
    <s v="CLIENTE NÃO IDENTIFICADO"/>
    <s v="DK DE CLIENTE NÃO PREENCIDO / CLIENTE NÃO CONFIGURADO NO OBT"/>
    <x v="2"/>
    <s v="OPERAÇÕES / SUPORTE KCS"/>
    <s v="COLUNA I"/>
  </r>
  <r>
    <n v="3255238"/>
    <s v="SABRE"/>
    <x v="422"/>
    <s v="EYQXFA"/>
    <s v="EYQXFA"/>
    <s v="Não localizado cliente código [0000035945].&lt;-ObterCliente&lt;-MontarPnrBase&lt;-ProcessarAereo&lt;-ProcessarItemFila[b]"/>
    <d v="2025-02-19T09:05:00"/>
    <m/>
    <s v="CLIENTE"/>
    <s v="CÓD. CLIENTE DIVERGENTE"/>
    <s v="CÓDIGO DIFERENTE DO CADASTRADO NO BENNER (CLIENTE X GRUPO)"/>
    <x v="1"/>
    <s v="SUPORTE OBT"/>
    <n v="1"/>
  </r>
  <r>
    <n v="3255240"/>
    <s v="SABRE"/>
    <x v="422"/>
    <s v="UPHYER"/>
    <s v="UPHYER"/>
    <s v="Não localizado cliente código [0000035945].&lt;-ObterCliente&lt;-MontarPnrBase&lt;-ProcessarAereo&lt;-ProcessarItemFila[b]"/>
    <d v="2025-02-19T09:05:00"/>
    <m/>
    <s v="CLIENTE"/>
    <s v="CÓD. CLIENTE DIVERGENTE"/>
    <s v="CÓDIGO DIFERENTE DO CADASTRADO NO BENNER (CLIENTE X GRUPO)"/>
    <x v="1"/>
    <s v="SUPORTE OBT"/>
    <n v="1"/>
  </r>
  <r>
    <n v="3255365"/>
    <s v="SABRE"/>
    <x v="423"/>
    <s v="USUXZM"/>
    <s v="USUXZM"/>
    <s v="Inserindo Accounting - (ExecSQL) - Could not convert variant of type (Null) into type (OleStr)"/>
    <d v="2025-02-19T09:49:00"/>
    <m/>
    <s v="OUTROS"/>
    <s v="ERRO NO XML"/>
    <s v=""/>
    <x v="0"/>
    <s v="SUPORTE OBT"/>
    <s v="COLUNA I"/>
  </r>
  <r>
    <n v="3255642"/>
    <s v="SABRE"/>
    <x v="424"/>
    <s v="SVDIOWT"/>
    <s v="SVDIOW"/>
    <s v="Código de cliente não identificado&lt;-ObterCliente&lt;-MontarPnrBase&lt;-MontarPnr&lt;-ProcessarHotel&lt;-ProcessarItemFila[b]"/>
    <d v="2025-02-19T12:08:00"/>
    <m/>
    <s v="CLIENTE"/>
    <s v="CLIENTE NÃO IDENTIFICADO"/>
    <s v="DK DE CLIENTE NÃO PREENCIDO / CLIENTE NÃO CONFIGURADO NO OBT"/>
    <x v="2"/>
    <s v="OPERAÇÕES / SUPORTE KCS"/>
    <s v="COLUNA I"/>
  </r>
  <r>
    <n v="3255762"/>
    <s v="SABRE"/>
    <x v="425"/>
    <s v="KVEHVA"/>
    <s v="KVEHVA"/>
    <s v="Inserindo Accounting - (ExecSQL) - Could not convert variant of type (Null) into type (OleStr)"/>
    <d v="2025-02-19T13:21:00"/>
    <m/>
    <s v="OUTROS"/>
    <s v="ERRO NO XML"/>
    <s v=""/>
    <x v="0"/>
    <s v="SUPORTE OBT"/>
    <s v="COLUNA I"/>
  </r>
  <r>
    <n v="3256236"/>
    <s v="SABRE"/>
    <x v="426"/>
    <s v="DPBYRV"/>
    <s v="DPBYRV"/>
    <s v="Inserindo Accounting - (ExecSQL) - Could not convert variant of type (Null) into type (OleStr)"/>
    <d v="2025-02-19T19:03:00"/>
    <d v="2025-02-21T12:17:00"/>
    <s v="OUTROS"/>
    <s v="ERRO NO XML"/>
    <s v=""/>
    <x v="0"/>
    <s v="SUPORTE OBT"/>
    <s v="COLUNA I"/>
  </r>
  <r>
    <n v="3256240"/>
    <s v="SABRE"/>
    <x v="427"/>
    <s v="WFQTFT"/>
    <s v="WFQTFT"/>
    <s v="Não localizado cliente código [0004223565].&lt;-ObterCliente&lt;-MontarPnrBase&lt;-ProcessarAereo&lt;-ProcessarItemFila[b]"/>
    <d v="2025-02-19T19:04:00"/>
    <m/>
    <s v="CLIENTE"/>
    <s v="CÓD. CLIENTE DIVERGENTE"/>
    <s v="CÓDIGO DIFERENTE DO CADASTRADO NO BENNER (CLIENTE X GRUPO)"/>
    <x v="1"/>
    <s v="SUPORTE OBT"/>
    <n v="1"/>
  </r>
  <r>
    <n v="3256265"/>
    <s v="SABRE"/>
    <x v="428"/>
    <s v="EXZKLY"/>
    <s v="EXZKLY"/>
    <s v="Código de cliente não identificado&lt;-ObterCliente&lt;-MontarPnrBase&lt;-ProcessarAereo&lt;-ProcessarItemFila[b]"/>
    <d v="2025-02-19T20:32:00"/>
    <m/>
    <s v="CLIENTE"/>
    <s v="CLIENTE NÃO IDENTIFICADO"/>
    <s v="DK DE CLIENTE NÃO PREENCIDO / CLIENTE NÃO CONFIGURADO NO OBT"/>
    <x v="2"/>
    <s v="OPERAÇÕES / SUPORTE KCS"/>
    <s v="COLUNA I"/>
  </r>
  <r>
    <n v="3256658"/>
    <s v="TMS"/>
    <x v="429"/>
    <n v="52704"/>
    <n v="52704"/>
    <s v="Preenchendo XML Serviço-&gt; Preenchendo XML-&gt; Montando accounting aereo 15-&gt;Input string was not in a correct format."/>
    <d v="2025-02-20T10:00:00"/>
    <d v="2025-02-22T22:17:00"/>
    <s v="OUTROS"/>
    <s v="FORMATO DE TEXTO"/>
    <s v="TEXTO FORA DO PADRÃO ACEITO NO CAMPO"/>
    <x v="2"/>
    <s v="SUPORTE OBT"/>
    <s v="COLUNA I"/>
  </r>
  <r>
    <n v="3257383"/>
    <s v="TMS"/>
    <x v="430"/>
    <n v="17008"/>
    <n v="17008"/>
    <s v="Verificando Formas Pagto/Rec - (ExecSQL) - Ocorreu o erro 'The UPDATE statement conflicted with the FOREIGN KEY constraint &quot;FK_2929_90669&quot;. The conflict occurred in database &quot;Corporativo&quot;, table &quot;dbo.GN_PESSOAS&quot;, column 'HANDLE'."/>
    <m/>
    <m/>
    <m/>
    <s v="ERRO DE SQL"/>
    <s v="ERRO NA IMPORTAÇÃO/MODIFICAÇÃO DAS INFOMAÇÕES"/>
    <x v="0"/>
    <s v="SUPORTE BENNER"/>
    <s v="COLUNA I"/>
  </r>
  <r>
    <n v="3257723"/>
    <s v="SABRE"/>
    <x v="431"/>
    <s v="QWVNCK"/>
    <s v="QWVNCK"/>
    <s v="Não localizado cliente código [0004222573].&lt;-ObterCliente&lt;-MontarPnrBase&lt;-ProcessarAereo&lt;-ProcessarItemFila[b]"/>
    <d v="2025-02-20T13:04:00"/>
    <m/>
    <s v="CLIENTE"/>
    <s v="CÓD. CLIENTE DIVERGENTE"/>
    <s v="CÓDIGO DIFERENTE DO CADASTRADO NO BENNER (CLIENTE X GRUPO)"/>
    <x v="1"/>
    <s v="SUPORTE OBT"/>
    <n v="1"/>
  </r>
  <r>
    <n v="3257726"/>
    <s v="SABRE"/>
    <x v="432"/>
    <s v="CZPMZC"/>
    <s v="CZPMZC"/>
    <s v="Não localizado cliente código [0123456789].&lt;-ObterCliente&lt;-MontarPnrBase&lt;-ProcessarAereo&lt;-ProcessarItemFila[b]"/>
    <d v="2025-02-20T13:05:00"/>
    <d v="2025-02-21T08:33:00"/>
    <s v="CLIENTE"/>
    <s v="CÓD. CLIENTE DIVERGENTE"/>
    <s v="CÓDIGO DIFERENTE DO CADASTRADO NO BENNER (CLIENTE X GRUPO)"/>
    <x v="1"/>
    <s v="SUPORTE OBT"/>
    <n v="1"/>
  </r>
  <r>
    <n v="3257749"/>
    <s v="SABRE"/>
    <x v="433"/>
    <s v="ALDUPY"/>
    <s v="ALDUPY"/>
    <s v="Não localizado cliente código [0004224627].&lt;-ObterCliente&lt;-MontarPnrBase&lt;-ProcessarAereo&lt;-ProcessarItemFila[b]"/>
    <d v="2025-02-20T13:10:00"/>
    <m/>
    <s v="CLIENTE"/>
    <s v="CÓD. CLIENTE DIVERGENTE"/>
    <s v="CÓDIGO DIFERENTE DO CADASTRADO NO BENNER (CLIENTE X GRUPO)"/>
    <x v="1"/>
    <s v="SUPORTE OBT"/>
    <n v="1"/>
  </r>
  <r>
    <n v="3257793"/>
    <s v="SABRE"/>
    <x v="434"/>
    <s v="IKIIOOT"/>
    <s v="IKIIOO"/>
    <s v="ConverterPagamentosRemark-&gt;Input string was not in a correct format.&lt;-MontarAccountinsHotel&lt;-ProcessarHotel&lt;-ProcessarItemFila[b]"/>
    <d v="2025-02-20T14:48:00"/>
    <m/>
    <s v="FORMA PAGAMENTO/RECEB"/>
    <s v="FORMATO DE TEXTO"/>
    <s v="TEXTO FORA DO PADRÃO ACEITO NO CAMPO"/>
    <x v="2"/>
    <s v="SUPORTE OBT"/>
    <s v="COLUNA I"/>
  </r>
  <r>
    <n v="3258574"/>
    <s v="TMS"/>
    <x v="435"/>
    <n v="5051"/>
    <n v="5051"/>
    <s v="Preenchendo XML Serviço-&gt; Preenchendo XML-&gt; Montando accounting aereo 3-&gt;Reserva 3MR445 não encontrada para importar assento/bagagem!"/>
    <d v="2025-02-20T15:34:00"/>
    <d v="2025-02-23T22:36:00"/>
    <s v="OUTROS"/>
    <s v="ASSENTO / BAGAGEM"/>
    <s v="CAMPO OBSERVAÇÃO PREENCHIDO INCORRETAMENTE"/>
    <x v="1"/>
    <s v="OPERAÇÕES / SUPORTE KCS"/>
    <n v="127"/>
  </r>
  <r>
    <n v="3259586"/>
    <s v="SABRE"/>
    <x v="198"/>
    <s v="JEOZXH"/>
    <s v="JEOZXH"/>
    <s v="Não localizado cliente código [0000583808].&lt;-ObterCliente&lt;-MontarPnrBase&lt;-ProcessarAereo&lt;-ProcessarItemFila[b]"/>
    <d v="2025-02-20T20:19:00"/>
    <m/>
    <s v="CLIENTE"/>
    <s v="CÓD. CLIENTE DIVERGENTE"/>
    <s v="CÓDIGO DIFERENTE DO CADASTRADO NO BENNER (CLIENTE X GRUPO)"/>
    <x v="1"/>
    <s v="SUPORTE OBT"/>
    <n v="1"/>
  </r>
  <r>
    <n v="3259587"/>
    <s v="SABRE"/>
    <x v="198"/>
    <s v="JQBDUB"/>
    <s v="JQBDUB"/>
    <s v="Código de cliente não identificado&lt;-ObterCliente&lt;-MontarPnrBase&lt;-ProcessarAereo&lt;-ProcessarItemFila[b]"/>
    <d v="2025-02-20T20:19:00"/>
    <m/>
    <s v="CLIENTE"/>
    <s v="CLIENTE NÃO IDENTIFICADO"/>
    <s v="DK DE CLIENTE NÃO PREENCIDO / CLIENTE NÃO CONFIGURADO NO OBT"/>
    <x v="2"/>
    <s v="OPERAÇÕES / SUPORTE KCS"/>
    <s v="COLUNA I"/>
  </r>
  <r>
    <n v="3259588"/>
    <s v="SABRE"/>
    <x v="436"/>
    <s v="QFCPMW"/>
    <s v="QFCPMW"/>
    <s v="Não localizado cliente com CNPJ [9108301000108].&lt;-ObterCliente&lt;-MontarPnrBase&lt;-ProcessarAereo&lt;-ProcessarItemFila[b]"/>
    <d v="2025-02-20T20:20:00"/>
    <d v="2025-02-21T08:33:00"/>
    <s v="CLIENTE"/>
    <s v="REMARK - CNPJ"/>
    <s v=""/>
    <x v="1"/>
    <s v="OPERAÇÕES / SUPORTE KCS"/>
    <n v="24"/>
  </r>
  <r>
    <n v="3259853"/>
    <s v="TMS"/>
    <x v="437"/>
    <n v="1053"/>
    <n v="1053"/>
    <s v="Preenchendo XML Serviço-&gt; Preenchendo XML-&gt; Montando accounting aereo 2-&gt;Não foi informado o Localizador do Assento/Bagagem!"/>
    <d v="2025-02-20T22:02:00"/>
    <d v="2025-02-23T22:41:00"/>
    <s v="OUTROS"/>
    <s v="ASSENTO / BAGAGEM"/>
    <s v="CAMPO OBSERVAÇÃO PREENCHIDO INCORRETAMENTE"/>
    <x v="1"/>
    <s v="OPERAÇÕES / SUPORTE KCS"/>
    <n v="118"/>
  </r>
  <r>
    <n v="3260098"/>
    <s v="SABRE"/>
    <x v="438"/>
    <s v="CNRUIK"/>
    <s v="CNRUIK"/>
    <s v="Código de cliente não identificado&lt;-ObterCliente&lt;-MontarPnrBase&lt;-ProcessarAereo&lt;-ProcessarItemFila[b]"/>
    <d v="2025-02-21T08:18:00"/>
    <m/>
    <s v="CLIENTE"/>
    <s v="CLIENTE NÃO IDENTIFICADO"/>
    <s v="DK DE CLIENTE NÃO PREENCIDO / CLIENTE NÃO CONFIGURADO NO OBT"/>
    <x v="2"/>
    <s v="OPERAÇÕES / SUPORTE KCS"/>
    <s v="COLUNA I"/>
  </r>
  <r>
    <n v="3260766"/>
    <s v="SABRE"/>
    <x v="439"/>
    <s v="FIKJCN"/>
    <s v="FIKJCN"/>
    <s v="Não localizado cliente código [0004223565].&lt;-ObterCliente&lt;-MontarPnrBase&lt;-ProcessarAereo&lt;-ProcessarItemFila[b]"/>
    <d v="2025-02-21T12:34:00"/>
    <d v="2025-02-24T15:03:00"/>
    <s v="CLIENTE"/>
    <s v="CÓD. CLIENTE DIVERGENTE"/>
    <s v="CÓDIGO DIFERENTE DO CADASTRADO NO BENNER (CLIENTE X GRUPO)"/>
    <x v="1"/>
    <s v="SUPORTE OBT"/>
    <n v="1"/>
  </r>
  <r>
    <n v="3260784"/>
    <s v="SABRE"/>
    <x v="410"/>
    <s v="NLKYTN"/>
    <s v="NLKYTN"/>
    <s v="Não localizado cliente com CNPJ [1924579000141].&lt;-ObterCliente&lt;-MontarPnrBase&lt;-ProcessarAereo&lt;-ProcessarItemFila[b]"/>
    <d v="2025-02-21T12:36:00"/>
    <m/>
    <s v="CLIENTE"/>
    <s v="REMARK - CNPJ"/>
    <s v=""/>
    <x v="1"/>
    <s v="OPERAÇÕES / SUPORTE KCS"/>
    <n v="24"/>
  </r>
  <r>
    <n v="3260926"/>
    <s v="SABRE"/>
    <x v="440"/>
    <s v="AHCRLF"/>
    <s v="AHCRLF"/>
    <s v="Código de cliente não identificado&lt;-ObterCliente&lt;-MontarPnrBase&lt;-ProcessarAereo&lt;-ProcessarItemFila[b]"/>
    <d v="2025-02-21T14:03:00"/>
    <m/>
    <s v="CLIENTE"/>
    <s v="CLIENTE NÃO IDENTIFICADO"/>
    <s v="DK DE CLIENTE NÃO PREENCIDO / CLIENTE NÃO CONFIGURADO NO OBT"/>
    <x v="2"/>
    <s v="OPERAÇÕES / SUPORTE KCS"/>
    <s v="COLUNA I"/>
  </r>
  <r>
    <n v="3260945"/>
    <s v="SABRE"/>
    <x v="440"/>
    <s v="HNUIXI"/>
    <s v="HNUIXI"/>
    <s v="Não localizado cliente código [0000583808].&lt;-ObterCliente&lt;-MontarPnrBase&lt;-ProcessarAereo&lt;-ProcessarItemFila[b]"/>
    <d v="2025-02-21T14:05:00"/>
    <m/>
    <s v="CLIENTE"/>
    <s v="CÓD. CLIENTE DIVERGENTE"/>
    <s v="CÓDIGO DIFERENTE DO CADASTRADO NO BENNER (CLIENTE X GRUPO)"/>
    <x v="1"/>
    <s v="SUPORTE OBT"/>
    <n v="1"/>
  </r>
  <r>
    <n v="3260963"/>
    <s v="SABRE"/>
    <x v="441"/>
    <s v="GCAMSUT"/>
    <s v="GCAMSU"/>
    <s v="Não localizado cliente código [HA02000504].&lt;-ObterCliente&lt;-MontarPnrBase&lt;-MontarPnr&lt;-ProcessarHotel&lt;-ProcessarItemFila[b]"/>
    <d v="2025-02-21T14:21:00"/>
    <m/>
    <s v="CLIENTE"/>
    <s v="CÓD. CLIENTE DIVERGENTE"/>
    <s v="CÓDIGO DIFERENTE DO CADASTRADO NO BENNER (CLIENTE X GRUPO)"/>
    <x v="1"/>
    <s v="SUPORTE OBT"/>
    <n v="1"/>
  </r>
  <r>
    <n v="3261825"/>
    <s v="TMS"/>
    <x v="442"/>
    <n v="3002"/>
    <n v="3002"/>
    <s v="Preenchendo XML Serviço-&gt; Preenchendo XML-&gt; Montando accounting aereo 2-&gt;Não foi informado o Localizador do Assento/Bagagem!"/>
    <d v="2025-02-21T17:29:00"/>
    <d v="2025-02-24T23:13:00"/>
    <s v="OUTROS"/>
    <s v="ASSENTO / BAGAGEM"/>
    <s v="CAMPO OBSERVAÇÃO PREENCHIDO INCORRETAMENTE"/>
    <x v="1"/>
    <s v="OPERAÇÕES / SUPORTE KCS"/>
    <n v="118"/>
  </r>
  <r>
    <n v="3262221"/>
    <s v="SABRE"/>
    <x v="443"/>
    <s v="YLCCRMT"/>
    <s v="YLCCRM"/>
    <s v="Verificando Formas Pagto/Rec - (ExecSQL) - TurVendas - Não foi possível localizar o contrato do fornecedor 49032"/>
    <d v="2025-02-21T18:20:00"/>
    <m/>
    <s v="FORNECEDOR"/>
    <s v="NOVA MENSAGEM"/>
    <s v=""/>
    <x v="1"/>
    <e v="#N/A"/>
    <n v="56"/>
  </r>
  <r>
    <n v="3263625"/>
    <s v="SABRE"/>
    <x v="238"/>
    <s v="YJAGFH"/>
    <s v="YJAGFH"/>
    <s v="Não localizado cliente código [0000050269].&lt;-ObterCliente&lt;-MontarPnrBase&lt;-ProcessarAereo&lt;-ProcessarItemFila[b]"/>
    <d v="2025-02-24T10:33:00"/>
    <m/>
    <s v="CLIENTE"/>
    <s v="CÓD. CLIENTE DIVERGENTE"/>
    <s v="CÓDIGO DIFERENTE DO CADASTRADO NO BENNER (CLIENTE X GRUPO)"/>
    <x v="1"/>
    <s v="SUPORTE OBT"/>
    <n v="1"/>
  </r>
  <r>
    <n v="3263629"/>
    <s v="SABRE"/>
    <x v="238"/>
    <s v="MTIPLY"/>
    <s v="MTIPLY"/>
    <s v="Não localizado cliente código [0004223565].&lt;-ObterCliente&lt;-MontarPnrBase&lt;-ProcessarAereo&lt;-ProcessarItemFila[b]"/>
    <d v="2025-02-24T10:35:00"/>
    <m/>
    <s v="CLIENTE"/>
    <s v="CÓD. CLIENTE DIVERGENTE"/>
    <s v="CÓDIGO DIFERENTE DO CADASTRADO NO BENNER (CLIENTE X GRUPO)"/>
    <x v="1"/>
    <s v="SUPORTE OBT"/>
    <n v="1"/>
  </r>
  <r>
    <n v="3263662"/>
    <s v="SABRE"/>
    <x v="238"/>
    <s v="HTKYKJ"/>
    <s v="HTKYKJ"/>
    <s v="Não localizado cliente com CNPJ [3334170000109].&lt;-ObterCliente&lt;-MontarPnrBase&lt;-ProcessarAereo&lt;-ProcessarItemFila[b]"/>
    <d v="2025-02-24T10:41:00"/>
    <m/>
    <s v="CLIENTE"/>
    <s v="REMARK - CNPJ"/>
    <s v=""/>
    <x v="3"/>
    <s v="OPERAÇÕES / SUPORTE KCS"/>
    <n v="24"/>
  </r>
  <r>
    <n v="3263693"/>
    <s v="SABRE"/>
    <x v="238"/>
    <s v="NKUUUB"/>
    <s v="NKUUUB"/>
    <s v="Não localizado cliente código [1234567890].&lt;-ObterCliente&lt;-MontarPnrBase&lt;-ProcessarAereo&lt;-ProcessarItemFila[b]"/>
    <d v="2025-02-24T10:50:00"/>
    <m/>
    <s v="CLIENTE"/>
    <s v="CÓD. CLIENTE DIVERGENTE"/>
    <s v="CÓDIGO DIFERENTE DO CADASTRADO NO BENNER (CLIENTE X GRUPO)"/>
    <x v="1"/>
    <s v="SUPORTE OBT"/>
    <n v="1"/>
  </r>
  <r>
    <n v="3263757"/>
    <s v="TMS"/>
    <x v="444"/>
    <n v="54142"/>
    <n v="54142"/>
    <s v="Preenchendo XML Serviço-&gt; Preenchendo XML-&gt; Montando accounting aereo 3-&gt;Reserva 141252 não encontrada para importar assento/bagagem!"/>
    <d v="2025-02-24T11:00:00"/>
    <d v="2025-02-25T05:02:00"/>
    <s v="OUTROS"/>
    <s v="ASSENTO / BAGAGEM"/>
    <s v="CAMPO OBSERVAÇÃO PREENCHIDO INCORRETAMENTE"/>
    <x v="1"/>
    <s v="OPERAÇÕES / SUPORTE KCS"/>
    <n v="127"/>
  </r>
  <r>
    <n v="3264451"/>
    <s v="SABRE"/>
    <x v="445"/>
    <s v="NNWMJU"/>
    <s v="NNWMJU"/>
    <s v="Código de cliente não identificado&lt;-ObterCliente&lt;-MontarPnrBase&lt;-ProcessarAereo&lt;-ProcessarItemFila[b]"/>
    <d v="2025-02-24T15:46:00"/>
    <d v="2025-02-24T18:17:00"/>
    <s v="CLIENTE"/>
    <s v="CLIENTE NÃO IDENTIFICADO"/>
    <s v="DK DE CLIENTE NÃO PREENCIDO / CLIENTE NÃO CONFIGURADO NO OBT"/>
    <x v="2"/>
    <s v="OPERAÇÕES / SUPORTE KCS"/>
    <s v="COLUNA I"/>
  </r>
  <r>
    <n v="3266085"/>
    <s v="TMS"/>
    <x v="446"/>
    <n v="25319"/>
    <n v="25319"/>
    <s v="Verificando Anexos - Could not convert variant of type (Null) into type (OleStr)"/>
    <d v="2025-02-24T23:00:00"/>
    <d v="2025-02-25T05:02:00"/>
    <s v="OUTROS"/>
    <s v="FORMATO DE TEXTO"/>
    <s v="TEXTO FORA DO PADRÃO ACEITO NO CAMPO"/>
    <x v="2"/>
    <s v="SUPORTE OBT"/>
    <s v="COLUNA I"/>
  </r>
  <r>
    <n v="3266483"/>
    <s v="SABRE"/>
    <x v="386"/>
    <s v="CMCGPE"/>
    <s v="CMCGPE"/>
    <s v="Verificando Anexos - TurVendas - Não foi possível localizar o contrato do fornecedor ID"/>
    <d v="2025-02-25T09:39:00"/>
    <m/>
    <s v="FORNECEDOR"/>
    <s v="NOVA MENSAGEM"/>
    <s v=""/>
    <x v="3"/>
    <e v="#N/A"/>
    <n v="34"/>
  </r>
  <r>
    <n v="3266488"/>
    <s v="SABRE"/>
    <x v="386"/>
    <s v="DRUJXG"/>
    <s v="DRUJXG"/>
    <s v="Não localizado cliente código [0000072678].&lt;-ObterCliente&lt;-MontarPnrBase&lt;-ProcessarAereo&lt;-ProcessarItemFila[b]"/>
    <d v="2025-02-25T09:40:00"/>
    <m/>
    <s v="CLIENTE"/>
    <s v="CÓD. CLIENTE DIVERGENTE"/>
    <s v="CÓDIGO DIFERENTE DO CADASTRADO NO BENNER (CLIENTE X GRUPO)"/>
    <x v="1"/>
    <s v="OPERAÇÕES / SUPORTE KCS"/>
    <n v="1"/>
  </r>
  <r>
    <n v="3266493"/>
    <s v="SABRE"/>
    <x v="386"/>
    <s v="FKAZGG"/>
    <s v="FKAZGG"/>
    <s v="Não localizado cliente código [0004223565].&lt;-ObterCliente&lt;-MontarPnrBase&lt;-ProcessarAereo&lt;-ProcessarItemFila[b]"/>
    <d v="2025-02-25T09:41:00"/>
    <m/>
    <s v="CLIENTE"/>
    <s v="CÓD. CLIENTE DIVERGENTE"/>
    <s v="CÓDIGO DIFERENTE DO CADASTRADO NO BENNER (CLIENTE X GRUPO)"/>
    <x v="1"/>
    <s v="SUPORTE OBT"/>
    <n v="1"/>
  </r>
  <r>
    <n v="3266494"/>
    <s v="SABRE"/>
    <x v="386"/>
    <s v="HTMFOF"/>
    <s v="HTMFOF"/>
    <s v="Verificando Anexos - TurVendas - Não foi possível localizar o contrato do fornecedor ID"/>
    <d v="2025-02-25T09:42:00"/>
    <m/>
    <s v="FORNECEDOR"/>
    <s v="NOVA MENSAGEM"/>
    <s v=""/>
    <x v="1"/>
    <e v="#N/A"/>
    <n v="34"/>
  </r>
  <r>
    <n v="3266502"/>
    <s v="SABRE"/>
    <x v="386"/>
    <s v="FJEAWQ"/>
    <s v="FJEAWQ"/>
    <s v="Não localizado cliente código [0004224627].&lt;-ObterCliente&lt;-MontarPnrBase&lt;-ProcessarAereo&lt;-ProcessarItemFila[b]"/>
    <d v="2025-02-25T09:43:00"/>
    <m/>
    <s v="CLIENTE"/>
    <s v="CÓD. CLIENTE DIVERGENTE"/>
    <s v="CÓDIGO DIFERENTE DO CADASTRADO NO BENNER (CLIENTE X GRUPO)"/>
    <x v="1"/>
    <s v="SUPORTE OBT"/>
    <n v="1"/>
  </r>
  <r>
    <n v="3266507"/>
    <s v="SABRE"/>
    <x v="386"/>
    <s v="GOEDJH"/>
    <s v="GOEDJH"/>
    <s v="Código de cliente não identificado&lt;-ObterCliente&lt;-MontarPnrBase&lt;-ProcessarAereo&lt;-ProcessarItemFila[b]"/>
    <d v="2025-02-25T09:44:00"/>
    <m/>
    <s v="CLIENTE"/>
    <s v="CLIENTE NÃO IDENTIFICADO"/>
    <s v="DK DE CLIENTE NÃO PREENCIDO / CLIENTE NÃO CONFIGURADO NO OBT"/>
    <x v="2"/>
    <s v="OPERAÇÕES / SUPORTE KCS"/>
    <s v="COLUNA I"/>
  </r>
  <r>
    <n v="3266514"/>
    <s v="SABRE"/>
    <x v="386"/>
    <s v="CKDSCH"/>
    <s v="CKDSCH"/>
    <s v="Código de cliente não identificado&lt;-ObterCliente&lt;-MontarPnrBase&lt;-ProcessarAereo&lt;-ProcessarItemFila[b]"/>
    <d v="2025-02-25T09:45:00"/>
    <m/>
    <s v="CLIENTE"/>
    <s v="CLIENTE NÃO IDENTIFICADO"/>
    <s v="DK DE CLIENTE NÃO PREENCIDO / CLIENTE NÃO CONFIGURADO NO OBT"/>
    <x v="2"/>
    <s v="OPERAÇÕES / SUPORTE KCS"/>
    <s v="COLUNA I"/>
  </r>
  <r>
    <n v="3266517"/>
    <s v="SABRE"/>
    <x v="386"/>
    <s v="EDKFVS"/>
    <s v="EDKFVS"/>
    <s v="Não localizado cliente código [0004223565].&lt;-ObterCliente&lt;-MontarPnrBase&lt;-ProcessarAereo&lt;-ProcessarItemFila[b]"/>
    <d v="2025-02-25T09:45:00"/>
    <m/>
    <s v="CLIENTE"/>
    <s v="CÓD. CLIENTE DIVERGENTE"/>
    <s v="CÓDIGO DIFERENTE DO CADASTRADO NO BENNER (CLIENTE X GRUPO)"/>
    <x v="1"/>
    <s v="SUPORTE OBT"/>
    <n v="1"/>
  </r>
  <r>
    <n v="3266523"/>
    <s v="SABRE"/>
    <x v="386"/>
    <s v="MVVDUZ"/>
    <s v="MVVDUZ"/>
    <s v="Código de cliente não identificado&lt;-ObterCliente&lt;-MontarPnrBase&lt;-ProcessarAereo&lt;-ProcessarItemFila[b]"/>
    <d v="2025-02-25T09:46:00"/>
    <m/>
    <s v="CLIENTE"/>
    <s v="CLIENTE NÃO IDENTIFICADO"/>
    <s v="DK DE CLIENTE NÃO PREENCIDO / CLIENTE NÃO CONFIGURADO NO OBT"/>
    <x v="2"/>
    <s v="OPERAÇÕES / SUPORTE KCS"/>
    <s v="COLUNA I"/>
  </r>
  <r>
    <n v="3266525"/>
    <s v="SABRE"/>
    <x v="386"/>
    <s v="HNTILI"/>
    <s v="HNTILI"/>
    <s v="Não localizado cliente código [0004223565].&lt;-ObterCliente&lt;-MontarPnrBase&lt;-ProcessarAereo&lt;-ProcessarItemFila[b]"/>
    <d v="2025-02-25T09:46:00"/>
    <m/>
    <s v="CLIENTE"/>
    <s v="CÓD. CLIENTE DIVERGENTE"/>
    <s v="CÓDIGO DIFERENTE DO CADASTRADO NO BENNER (CLIENTE X GRUPO)"/>
    <x v="1"/>
    <s v="SUPORTE OBT"/>
    <n v="1"/>
  </r>
  <r>
    <n v="3266593"/>
    <s v="SABRE"/>
    <x v="447"/>
    <s v="HKPTKYT"/>
    <s v="HKPTKY"/>
    <s v="Código de cliente não identificado&lt;-ObterCliente&lt;-MontarPnrBase&lt;-MontarPnr&lt;-ProcessarHotel&lt;-ProcessarItemFila[b]"/>
    <d v="2025-02-25T10:06:00"/>
    <m/>
    <s v="CLIENTE"/>
    <s v="CLIENTE NÃO IDENTIFICADO"/>
    <s v="DK DE CLIENTE NÃO PREENCIDO / CLIENTE NÃO CONFIGURADO NO OBT"/>
    <x v="2"/>
    <s v="OPERAÇÕES / SUPORTE KCS"/>
    <s v="COLUNA I"/>
  </r>
  <r>
    <n v="3266687"/>
    <s v="LEMONTECH"/>
    <x v="448"/>
    <s v="16028724-22311748"/>
    <s v="CMCGPE"/>
    <s v="Inserindo Trecho - Parâmetro Fornecedor - TurVendas - Não foi possível localizar o contrato do fornecedor ID"/>
    <d v="2025-02-25T11:01:00"/>
    <d v="2025-02-28T10:01:00"/>
    <s v="FORNECEDOR"/>
    <s v="CONTRATO FORNECEDOR"/>
    <s v="CONTRATO INATIVO OU DIVERGENTE"/>
    <x v="0"/>
    <s v="OPERAÇÕES / SUPORTE KCS"/>
    <n v="55"/>
  </r>
  <r>
    <n v="3267303"/>
    <s v="SABRE"/>
    <x v="449"/>
    <s v="EGPAXO"/>
    <s v="EGPAXO"/>
    <s v="Não localizado cliente código [0000392619].&lt;-ObterCliente&lt;-MontarPnrBase&lt;-ProcessarAereo&lt;-ProcessarItemFila[b]"/>
    <d v="2025-02-25T13:04:00"/>
    <m/>
    <s v="CLIENTE"/>
    <s v="CÓD. CLIENTE DIVERGENTE"/>
    <s v="CÓDIGO DIFERENTE DO CADASTRADO NO BENNER (CLIENTE X GRUPO)"/>
    <x v="1"/>
    <s v="SUPORTE OBT"/>
    <n v="1"/>
  </r>
  <r>
    <n v="3267306"/>
    <s v="SABRE"/>
    <x v="449"/>
    <s v="NCGGOV"/>
    <s v="NCGGOV"/>
    <s v="Não localizado cliente código [0000583831].&lt;-ObterCliente&lt;-MontarPnrBase&lt;-ProcessarAereo&lt;-ProcessarItemFila[b]"/>
    <d v="2025-02-25T13:04:00"/>
    <m/>
    <s v="CLIENTE"/>
    <s v="CÓD. CLIENTE DIVERGENTE"/>
    <s v="CÓDIGO DIFERENTE DO CADASTRADO NO BENNER (CLIENTE X GRUPO)"/>
    <x v="1"/>
    <s v="SUPORTE OBT"/>
    <n v="1"/>
  </r>
  <r>
    <n v="3267309"/>
    <s v="SABRE"/>
    <x v="450"/>
    <s v="IVSPTG"/>
    <s v="IVSPTG"/>
    <s v="Código de cliente não identificado&lt;-ObterCliente&lt;-MontarPnrBase&lt;-ProcessarAereo&lt;-ProcessarItemFila[b]"/>
    <d v="2025-02-25T13:05:00"/>
    <d v="2025-02-25T16:48:00"/>
    <s v="CLIENTE"/>
    <s v="CLIENTE NÃO IDENTIFICADO"/>
    <s v="DK DE CLIENTE NÃO PREENCIDO / CLIENTE NÃO CONFIGURADO NO OBT"/>
    <x v="2"/>
    <s v="OPERAÇÕES / SUPORTE KCS"/>
    <s v="COLUNA I"/>
  </r>
  <r>
    <n v="3267310"/>
    <s v="SABRE"/>
    <x v="450"/>
    <s v="CIQSSD"/>
    <s v="CIQSSD"/>
    <s v="Não localizado cliente código [0004224627].&lt;-ObterCliente&lt;-MontarPnrBase&lt;-ProcessarAereo&lt;-ProcessarItemFila[b]"/>
    <d v="2025-02-25T13:05:00"/>
    <d v="2025-02-25T16:48:00"/>
    <s v="CLIENTE"/>
    <s v="CÓD. CLIENTE DIVERGENTE"/>
    <s v="CÓDIGO DIFERENTE DO CADASTRADO NO BENNER (CLIENTE X GRUPO)"/>
    <x v="1"/>
    <s v="SUPORTE OBT"/>
    <n v="1"/>
  </r>
  <r>
    <n v="3267323"/>
    <s v="SABRE"/>
    <x v="451"/>
    <s v="HJHDEI"/>
    <s v="HJHDEI"/>
    <s v="Não localizado cliente código [0004224627].&lt;-ObterCliente&lt;-MontarPnrBase&lt;-ProcessarAereo&lt;-ProcessarItemFila[b]"/>
    <d v="2025-02-25T13:06:00"/>
    <d v="2025-02-25T16:48:00"/>
    <s v="CLIENTE"/>
    <s v="CÓD. CLIENTE DIVERGENTE"/>
    <s v="CÓDIGO DIFERENTE DO CADASTRADO NO BENNER (CLIENTE X GRUPO)"/>
    <x v="1"/>
    <s v="SUPORTE OBT"/>
    <n v="1"/>
  </r>
  <r>
    <n v="3268280"/>
    <s v="SABRE"/>
    <x v="452"/>
    <s v="NVMXCH"/>
    <s v="NVMXCH"/>
    <s v="Código de cliente não identificado&lt;-ObterCliente&lt;-MontarPnrBase&lt;-ProcessarAereo&lt;-ProcessarItemFila[b]"/>
    <d v="2025-02-25T17:48:00"/>
    <d v="2025-02-25T20:17:00"/>
    <s v="CLIENTE"/>
    <s v="CLIENTE NÃO IDENTIFICADO"/>
    <s v="DK DE CLIENTE NÃO PREENCIDO / CLIENTE NÃO CONFIGURADO NO OBT"/>
    <x v="2"/>
    <s v="OPERAÇÕES / SUPORTE KCS"/>
    <s v="COLUNA I"/>
  </r>
  <r>
    <n v="3268864"/>
    <s v="SABRE"/>
    <x v="452"/>
    <s v="CGJYDX"/>
    <s v="CGJYDX"/>
    <s v="Código de cliente não identificado&lt;-ObterCliente&lt;-MontarPnrBase&lt;-ProcessarAereo&lt;-ProcessarItemFila[b]"/>
    <d v="2025-02-25T20:18:00"/>
    <m/>
    <s v="CLIENTE"/>
    <s v="CLIENTE NÃO IDENTIFICADO"/>
    <s v="DK DE CLIENTE NÃO PREENCIDO / CLIENTE NÃO CONFIGURADO NO OBT"/>
    <x v="2"/>
    <s v="OPERAÇÕES / SUPORTE KCS"/>
    <s v="COLUNA I"/>
  </r>
  <r>
    <n v="3268866"/>
    <s v="SABRE"/>
    <x v="452"/>
    <s v="SENELJ"/>
    <s v="SENELJ"/>
    <s v="Não localizado cliente código [0000063625].&lt;-ObterCliente&lt;-MontarPnrBase&lt;-ProcessarAereo&lt;-ProcessarItemFila[b]"/>
    <d v="2025-02-25T20:19:00"/>
    <m/>
    <s v="CLIENTE"/>
    <s v="CÓD. CLIENTE DIVERGENTE"/>
    <s v="CÓDIGO DIFERENTE DO CADASTRADO NO BENNER (CLIENTE X GRUPO)"/>
    <x v="1"/>
    <s v="SUPORTE OBT"/>
    <n v="1"/>
  </r>
  <r>
    <n v="3268867"/>
    <s v="SABRE"/>
    <x v="452"/>
    <s v="YZVKKQ"/>
    <s v="YZVKKQ"/>
    <s v="Código de cliente não identificado&lt;-ObterCliente&lt;-MontarPnrBase&lt;-ProcessarAereo&lt;-ProcessarItemFila[b]"/>
    <d v="2025-02-25T20:19:00"/>
    <m/>
    <s v="CLIENTE"/>
    <s v="CLIENTE NÃO IDENTIFICADO"/>
    <s v="DK DE CLIENTE NÃO PREENCIDO / CLIENTE NÃO CONFIGURADO NO OBT"/>
    <x v="2"/>
    <s v="OPERAÇÕES / SUPORTE KCS"/>
    <s v="COLUNA I"/>
  </r>
  <r>
    <n v="3268878"/>
    <s v="SABRE"/>
    <x v="452"/>
    <s v="AVDUWC"/>
    <s v="AVDUWC"/>
    <s v="Não localizado cliente código [0004224627].&lt;-ObterCliente&lt;-MontarPnrBase&lt;-ProcessarAereo&lt;-ProcessarItemFila[b]"/>
    <d v="2025-02-25T20:21:00"/>
    <m/>
    <s v="CLIENTE"/>
    <s v="CÓD. CLIENTE DIVERGENTE"/>
    <s v="CÓDIGO DIFERENTE DO CADASTRADO NO BENNER (CLIENTE X GRUPO)"/>
    <x v="1"/>
    <s v="SUPORTE OBT"/>
    <n v="1"/>
  </r>
  <r>
    <n v="3268879"/>
    <s v="SABRE"/>
    <x v="452"/>
    <s v="IOZZEU"/>
    <s v="IOZZEU"/>
    <s v="Não localizado cliente código [0004224627].&lt;-ObterCliente&lt;-MontarPnrBase&lt;-ProcessarAereo&lt;-ProcessarItemFila[b]"/>
    <d v="2025-02-25T20:21:00"/>
    <m/>
    <s v="CLIENTE"/>
    <s v="CÓD. CLIENTE DIVERGENTE"/>
    <s v="CÓDIGO DIFERENTE DO CADASTRADO NO BENNER (CLIENTE X GRUPO)"/>
    <x v="1"/>
    <s v="SUPORTE OBT"/>
    <n v="1"/>
  </r>
  <r>
    <n v="3268881"/>
    <s v="SABRE"/>
    <x v="452"/>
    <s v="IQJANG"/>
    <s v="IQJANG"/>
    <s v="Código de cliente não identificado&lt;-ObterCliente&lt;-MontarPnrBase&lt;-ProcessarAereo&lt;-ProcessarItemFila[b]"/>
    <d v="2025-02-25T20:21:00"/>
    <m/>
    <s v="CLIENTE"/>
    <s v="CLIENTE NÃO IDENTIFICADO"/>
    <s v="DK DE CLIENTE NÃO PREENCIDO / CLIENTE NÃO CONFIGURADO NO OBT"/>
    <x v="2"/>
    <s v="OPERAÇÕES / SUPORTE KCS"/>
    <s v="COLUNA I"/>
  </r>
  <r>
    <n v="3269814"/>
    <s v="TMS"/>
    <x v="453"/>
    <n v="174"/>
    <n v="174"/>
    <s v="Verificando Anexos - Could not convert variant of type (Null) into type (OleStr)"/>
    <d v="2025-02-26T11:56:00"/>
    <m/>
    <s v="OUTROS"/>
    <s v="FORMATO DE TEXTO"/>
    <s v="TEXTO FORA DO PADRÃO ACEITO NO CAMPO"/>
    <x v="2"/>
    <s v="SUPORTE OBT"/>
    <s v="COLUNA I"/>
  </r>
  <r>
    <n v="3269817"/>
    <s v="TMS"/>
    <x v="454"/>
    <n v="173"/>
    <n v="173"/>
    <s v="Verificando Anexos - Could not convert variant of type (Null) into type (OleStr)"/>
    <d v="2025-02-26T11:56:00"/>
    <m/>
    <s v="OUTROS"/>
    <s v="FORMATO DE TEXTO"/>
    <s v="TEXTO FORA DO PADRÃO ACEITO NO CAMPO"/>
    <x v="2"/>
    <s v="SUPORTE OBT"/>
    <s v="COLUNA I"/>
  </r>
  <r>
    <n v="3269820"/>
    <s v="TMS"/>
    <x v="455"/>
    <n v="171"/>
    <n v="171"/>
    <s v="Verificando Anexos - Could not convert variant of type (Null) into type (OleStr)"/>
    <d v="2025-02-26T11:56:00"/>
    <m/>
    <s v="OUTROS"/>
    <s v="FORMATO DE TEXTO"/>
    <s v="TEXTO FORA DO PADRÃO ACEITO NO CAMPO"/>
    <x v="2"/>
    <s v="SUPORTE OBT"/>
    <s v="COLUNA I"/>
  </r>
  <r>
    <n v="3269919"/>
    <s v="TMS"/>
    <x v="456"/>
    <n v="7940"/>
    <n v="7940"/>
    <s v="Preenchendo XML Serviço-&gt; Preenchendo XML-&gt; Montando accounting aereo 3-&gt;Reserva 127442 não encontrada para importar assento/bagagem!"/>
    <d v="2025-02-26T12:07:00"/>
    <m/>
    <s v="OUTROS"/>
    <s v="ASSENTO / BAGAGEM"/>
    <s v="CAMPO OBSERVAÇÃO PREENCHIDO INCORRETAMENTE"/>
    <x v="1"/>
    <s v="OPERAÇÕES / SUPORTE KCS"/>
    <n v="127"/>
  </r>
  <r>
    <n v="3270053"/>
    <s v="SABRE"/>
    <x v="457"/>
    <s v="GJCFQR"/>
    <s v="GJCFQR"/>
    <s v="Não localizado cliente código [0000063134].&lt;-ObterCliente&lt;-MontarPnrBase&lt;-ProcessarAereo&lt;-ProcessarItemFila[b]"/>
    <d v="2025-02-26T13:47:00"/>
    <d v="2025-02-26T16:17:00"/>
    <s v="CLIENTE"/>
    <s v="CÓD. CLIENTE DIVERGENTE"/>
    <s v="CÓDIGO DIFERENTE DO CADASTRADO NO BENNER (CLIENTE X GRUPO)"/>
    <x v="1"/>
    <s v="SUPORTE OBT"/>
    <n v="1"/>
  </r>
  <r>
    <n v="3270078"/>
    <s v="SABRE"/>
    <x v="458"/>
    <s v="MNWIWX"/>
    <s v="MNWIWX"/>
    <s v="Não localizado cliente código [0000063625].&lt;-ObterCliente&lt;-MontarPnrBase&lt;-ProcessarAereo&lt;-ProcessarItemFila[b]"/>
    <d v="2025-02-26T13:51:00"/>
    <m/>
    <s v="CLIENTE"/>
    <s v="CÓD. CLIENTE DIVERGENTE"/>
    <s v="CÓDIGO DIFERENTE DO CADASTRADO NO BENNER (CLIENTE X GRUPO)"/>
    <x v="1"/>
    <s v="SUPORTE OBT"/>
    <n v="1"/>
  </r>
  <r>
    <n v="3270083"/>
    <s v="SABRE"/>
    <x v="459"/>
    <s v="MLICTN"/>
    <s v="MLICTN"/>
    <s v="Não localizado cliente com CNPJ [4120966000113].&lt;-ObterCliente&lt;-MontarPnrBase&lt;-ProcessarAereo&lt;-ProcessarItemFila[b]"/>
    <d v="2025-02-26T13:52:00"/>
    <d v="2025-02-26T17:47:00"/>
    <s v="CLIENTE"/>
    <s v="REMARK - CNPJ"/>
    <s v=""/>
    <x v="1"/>
    <s v="OPERAÇÕES / SUPORTE KCS"/>
    <n v="24"/>
  </r>
  <r>
    <n v="3270188"/>
    <s v="SABRE"/>
    <x v="460"/>
    <s v="HXKUYP"/>
    <s v="HXKUYP"/>
    <s v="Não localizado cliente código [0004224627].&lt;-ObterCliente&lt;-MontarPnrBase&lt;-ProcessarAereo&lt;-ProcessarItemFila[b]"/>
    <d v="2025-02-26T15:03:00"/>
    <d v="2025-02-26T17:51:00"/>
    <s v="CLIENTE"/>
    <s v="CÓD. CLIENTE DIVERGENTE"/>
    <s v="CÓDIGO DIFERENTE DO CADASTRADO NO BENNER (CLIENTE X GRUPO)"/>
    <x v="1"/>
    <s v="SUPORTE OBT"/>
    <n v="1"/>
  </r>
  <r>
    <n v="3270200"/>
    <s v="SABRE"/>
    <x v="461"/>
    <s v="WNITGG"/>
    <s v="WNITGG"/>
    <s v="Código de cliente não identificado&lt;-ObterCliente&lt;-MontarPnrBase&lt;-ProcessarAereo&lt;-ProcessarItemFila[b]"/>
    <d v="2025-02-26T15:05:00"/>
    <m/>
    <s v="CLIENTE"/>
    <s v="CLIENTE NÃO IDENTIFICADO"/>
    <s v="DK DE CLIENTE NÃO PREENCIDO / CLIENTE NÃO CONFIGURADO NO OBT"/>
    <x v="2"/>
    <s v="OPERAÇÕES / SUPORTE KCS"/>
    <s v="COLUNA I"/>
  </r>
  <r>
    <n v="3270295"/>
    <s v="SABRE"/>
    <x v="462"/>
    <s v="UXYOFE"/>
    <s v="UXYOFE"/>
    <s v="Não localizado cliente código [0004222573].&lt;-ObterCliente&lt;-MontarPnrBase&lt;-ProcessarAereo&lt;-ProcessarItemFila[b]"/>
    <d v="2025-02-26T16:03:00"/>
    <d v="2025-03-05T21:18:00"/>
    <s v="CLIENTE"/>
    <s v="CÓD. CLIENTE DIVERGENTE"/>
    <s v="CÓDIGO DIFERENTE DO CADASTRADO NO BENNER (CLIENTE X GRUPO)"/>
    <x v="1"/>
    <s v="SUPORTE OBT"/>
    <n v="1"/>
  </r>
  <r>
    <n v="3270324"/>
    <s v="SABRE"/>
    <x v="462"/>
    <s v="IKPZXA"/>
    <s v="IKPZXA"/>
    <s v="Não localizado cliente código [0004224627].&lt;-ObterCliente&lt;-MontarPnrBase&lt;-ProcessarAereo&lt;-ProcessarItemFila[b]"/>
    <d v="2025-02-26T16:17:00"/>
    <d v="2025-03-05T21:18:00"/>
    <s v="CLIENTE"/>
    <s v="CÓD. CLIENTE DIVERGENTE"/>
    <s v="CÓDIGO DIFERENTE DO CADASTRADO NO BENNER (CLIENTE X GRUPO)"/>
    <x v="1"/>
    <s v="SUPORTE OBT"/>
    <n v="1"/>
  </r>
  <r>
    <n v="3270475"/>
    <s v="SABRE"/>
    <x v="463"/>
    <s v="JFGKFX"/>
    <s v="JFGKFX"/>
    <s v="Código de cliente não identificado&lt;-ObterCliente&lt;-MontarPnrBase&lt;-ProcessarAereo&lt;-ProcessarItemFila[b]"/>
    <d v="2025-02-26T17:21:00"/>
    <m/>
    <s v="CLIENTE"/>
    <s v="CLIENTE NÃO IDENTIFICADO"/>
    <s v="DK DE CLIENTE NÃO PREENCIDO / CLIENTE NÃO CONFIGURADO NO OBT"/>
    <x v="2"/>
    <s v="OPERAÇÕES / SUPORTE KCS"/>
    <s v="COLUNA I"/>
  </r>
  <r>
    <n v="3270995"/>
    <s v="TMS"/>
    <x v="464"/>
    <n v="42856"/>
    <n v="42856"/>
    <s v="Preenchendo XML Serviço-&gt; Preenchendo XML-&gt; Montando accounting aereo 2-&gt;Não foi informado o Localizador do Assento/Bagagem!"/>
    <d v="2025-02-26T18:17:00"/>
    <d v="2025-03-01T18:34:00"/>
    <s v="OUTROS"/>
    <s v="ASSENTO / BAGAGEM"/>
    <s v="CAMPO OBSERVAÇÃO PREENCHIDO INCORRETAMENTE"/>
    <x v="1"/>
    <s v="OPERAÇÕES / SUPORTE KCS"/>
    <n v="118"/>
  </r>
  <r>
    <n v="3271465"/>
    <s v="SABRE"/>
    <x v="465"/>
    <s v="KWUUFF"/>
    <s v="KWUUFF"/>
    <s v="Não localizado cliente com CNPJ [4120966000113].&lt;-ObterCliente&lt;-MontarPnrBase&lt;-ProcessarAereo&lt;-ProcessarItemFila[b]"/>
    <d v="2025-02-26T20:33:00"/>
    <d v="2025-02-27T10:33:00"/>
    <s v="CLIENTE"/>
    <s v="REMARK - CNPJ"/>
    <s v=""/>
    <x v="3"/>
    <s v="OPERAÇÕES / SUPORTE KCS"/>
    <n v="24"/>
  </r>
  <r>
    <n v="3271476"/>
    <s v="SABRE"/>
    <x v="466"/>
    <s v="NDPAWN"/>
    <s v="NDPAWN"/>
    <s v="Código de cliente não identificado&lt;-ObterCliente&lt;-MontarPnrBase&lt;-ProcessarAereo&lt;-ProcessarItemFila[b]"/>
    <d v="2025-02-26T20:35:00"/>
    <d v="2025-02-27T10:06:00"/>
    <s v="CLIENTE"/>
    <s v="CLIENTE NÃO IDENTIFICADO"/>
    <s v="DK DE CLIENTE NÃO PREENCIDO / CLIENTE NÃO CONFIGURADO NO OBT"/>
    <x v="2"/>
    <s v="OPERAÇÕES / SUPORTE KCS"/>
    <s v="COLUNA I"/>
  </r>
  <r>
    <n v="3271840"/>
    <s v="SABRE"/>
    <x v="467"/>
    <s v="CAJDCPT"/>
    <s v="CAJDCP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1"/>
    <s v="SABRE"/>
    <x v="468"/>
    <s v="JYQXNYT"/>
    <s v="JYQXNY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2"/>
    <s v="SABRE"/>
    <x v="468"/>
    <s v="HYERVUT"/>
    <s v="HYERVU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3"/>
    <s v="SABRE"/>
    <x v="468"/>
    <s v="GKDAKWT"/>
    <s v="GKDAKW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4"/>
    <s v="SABRE"/>
    <x v="468"/>
    <s v="YTMSMZT"/>
    <s v="YTMSMZ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5"/>
    <s v="SABRE"/>
    <x v="468"/>
    <s v="SPWZVZT"/>
    <s v="SPWZVZ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6"/>
    <s v="SABRE"/>
    <x v="469"/>
    <s v="GCGCCAT"/>
    <s v="GCGCCA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7"/>
    <s v="SABRE"/>
    <x v="469"/>
    <s v="ITCGOTT"/>
    <s v="ITCGOT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8"/>
    <s v="SABRE"/>
    <x v="470"/>
    <s v="GYZPBQT"/>
    <s v="GYZPBQ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1849"/>
    <s v="SABRE"/>
    <x v="470"/>
    <s v="GADTBOT"/>
    <s v="GADTBO"/>
    <s v="ConverterPagamentosRemark-&gt;Input string was not in a correct format.&lt;-MontarAccountinsHotel&lt;-ProcessarHotel&lt;-ProcessarItemFila[b]"/>
    <d v="2025-02-27T09:33:00"/>
    <m/>
    <s v="FORMA PAGTO/RECTO"/>
    <s v="FORMATO DE TEXTO"/>
    <s v="TEXTO FORA DO PADRÃO ACEITO NO CAMPO"/>
    <x v="2"/>
    <s v="SUPORTE OBT"/>
    <s v="COLUNA I"/>
  </r>
  <r>
    <n v="3272507"/>
    <s v="TMS"/>
    <x v="471"/>
    <n v="3017"/>
    <n v="3017"/>
    <s v="Preenchendo XML Serviço-&gt; Preenchendo XML-&gt; Montando accounting aereo 3-&gt;Reserva ASSENT não encontrada para importar assento/bagagem!"/>
    <d v="2025-02-27T12:37:00"/>
    <d v="2025-03-02T18:55:00"/>
    <s v="OUTROS"/>
    <s v="ASSENTO / BAGAGEM"/>
    <s v="CAMPO OBSERVAÇÃO PREENCHIDO INCORRETAMENTE"/>
    <x v="1"/>
    <s v="OPERAÇÕES / SUPORTE KCS"/>
    <n v="127"/>
  </r>
  <r>
    <n v="3272950"/>
    <s v="SABRE"/>
    <x v="472"/>
    <s v="UGBUWET"/>
    <s v="UGBUWE"/>
    <s v="ConverterPagamentosRemark-&gt;Input string was not in a correct format.&lt;-MontarAccountinsHotel&lt;-ProcessarHotel&lt;-ProcessarItemFila[b]"/>
    <d v="2025-02-27T15:47:00"/>
    <m/>
    <s v="FORMA PAGTO/RECTO"/>
    <s v="FORMATO DE TEXTO"/>
    <s v="TEXTO FORA DO PADRÃO ACEITO NO CAMPO"/>
    <x v="2"/>
    <s v="SUPORTE OBT"/>
    <s v="COLUNA I"/>
  </r>
  <r>
    <n v="3273228"/>
    <s v="SABRE"/>
    <x v="473"/>
    <s v="OIPKMST"/>
    <s v="OIPKMS"/>
    <s v="Código de cliente não identificado&lt;-ObterCliente&lt;-MontarPnrBase&lt;-MontarPnr&lt;-ProcessarHotel&lt;-ProcessarItemFila[b]"/>
    <d v="2025-02-27T17:20:00"/>
    <m/>
    <s v="CLIENTE"/>
    <s v="CLIENTE NÃO IDENTIFICADO"/>
    <s v="DK DE CLIENTE NÃO PREENCIDO / CLIENTE NÃO CONFIGURADO NO OBT"/>
    <x v="2"/>
    <s v="OPERAÇÕES / SUPORTE KCS"/>
    <s v="COLUNA I"/>
  </r>
  <r>
    <n v="3274012"/>
    <s v="SABRE"/>
    <x v="462"/>
    <s v="WFXBMP"/>
    <s v="WFXBMP"/>
    <s v="Não localizado cliente com CNPJ [JTI PROCESSADORA].&lt;-ObterCliente&lt;-MontarPnrBase&lt;-ProcessarAereo&lt;-ProcessarItemFila[b]"/>
    <d v="2025-02-27T19:03:00"/>
    <d v="2025-03-05T21:22:00"/>
    <s v="CLIENTE"/>
    <s v="REMARK - CNPJ"/>
    <s v=""/>
    <x v="3"/>
    <s v="OPERAÇÕES / SUPORTE KCS"/>
    <n v="24"/>
  </r>
  <r>
    <n v="3274055"/>
    <s v="TMS"/>
    <x v="474"/>
    <n v="72"/>
    <n v="72"/>
    <s v="Preenchendo XML Serviço-&gt; Preenchendo XML-&gt; Montando accounting aereo 2-&gt;Não foi informado o Localizador do Assento/Bagagem!"/>
    <d v="2025-02-27T19:09:00"/>
    <d v="2025-03-02T18:56:00"/>
    <s v="OUTROS"/>
    <s v="ASSENTO / BAGAGEM"/>
    <s v="CAMPO OBSERVAÇÃO PREENCHIDO INCORRETAMENTE"/>
    <x v="1"/>
    <s v="OPERAÇÕES / SUPORTE KCS"/>
    <n v="118"/>
  </r>
  <r>
    <n v="3274057"/>
    <s v="TMS"/>
    <x v="475"/>
    <n v="68"/>
    <n v="68"/>
    <s v="Preenchendo XML Serviço-&gt; Preenchendo XML-&gt; Montando accounting aereo 2-&gt;Não foi informado o Localizador do Assento/Bagagem!"/>
    <d v="2025-02-27T19:09:00"/>
    <d v="2025-03-02T18:56:00"/>
    <s v="OUTROS"/>
    <s v="ASSENTO / BAGAGEM"/>
    <s v="CAMPO OBSERVAÇÃO PREENCHIDO INCORRETAMENTE"/>
    <x v="1"/>
    <s v="OPERAÇÕES / SUPORTE KCS"/>
    <n v="118"/>
  </r>
  <r>
    <n v="3274104"/>
    <s v="SABRE"/>
    <x v="462"/>
    <s v="UFKYRD"/>
    <s v="UFKYRD"/>
    <s v="Não localizado cliente código [0004224627].&lt;-ObterCliente&lt;-MontarPnrBase&lt;-ProcessarAereo&lt;-ProcessarItemFila[b]"/>
    <d v="2025-02-27T19:17:00"/>
    <d v="2025-03-05T21:25:00"/>
    <s v="CLIENTE"/>
    <s v="CÓD. CLIENTE DIVERGENTE"/>
    <s v="CÓDIGO DIFERENTE DO CADASTRADO NO BENNER (CLIENTE X GRUPO)"/>
    <x v="1"/>
    <s v="SUPORTE OBT"/>
    <n v="1"/>
  </r>
  <r>
    <n v="3274107"/>
    <s v="SABRE"/>
    <x v="462"/>
    <s v="ODLSWS"/>
    <s v="ODLSWS"/>
    <s v="Não localizado cliente com CNPJ [JTI PROCESSADORA].&lt;-ObterCliente&lt;-MontarPnrBase&lt;-ProcessarAereo&lt;-ProcessarItemFila[b]"/>
    <d v="2025-02-27T19:18:00"/>
    <d v="2025-03-05T21:25:00"/>
    <s v="CLIENTE"/>
    <s v="REMARK - CNPJ"/>
    <s v=""/>
    <x v="3"/>
    <s v="OPERAÇÕES / SUPORTE KCS"/>
    <n v="24"/>
  </r>
  <r>
    <n v="3274239"/>
    <s v="SABRE"/>
    <x v="476"/>
    <s v="YTWPCIT"/>
    <s v="YTWPCI"/>
    <s v="ConverterPagamentosRemark-&gt;Input string was not in a correct format.&lt;-MontarAccountinsHotel&lt;-ProcessarHotel&lt;-ProcessarItemFila[b]"/>
    <d v="2025-02-27T19:48:00"/>
    <m/>
    <s v="FORMA PAGTO/RECTO"/>
    <s v="FORMATO DE TEXTO"/>
    <s v="TEXTO FORA DO PADRÃO ACEITO NO CAMPO"/>
    <x v="2"/>
    <s v="SUPORTE OBT"/>
    <s v="COLUNA I"/>
  </r>
  <r>
    <n v="3274240"/>
    <s v="SABRE"/>
    <x v="476"/>
    <s v="CKFOBVT"/>
    <s v="CKFOBV"/>
    <s v="ConverterPagamentosRemark-&gt;Input string was not in a correct format.&lt;-MontarAccountinsHotel&lt;-ProcessarHotel&lt;-ProcessarItemFila[b]"/>
    <d v="2025-02-27T19:48:00"/>
    <m/>
    <s v="FORMA PAGTO/RECTO"/>
    <s v="FORMATO DE TEXTO"/>
    <s v="TEXTO FORA DO PADRÃO ACEITO NO CAMPO"/>
    <x v="2"/>
    <s v="SUPORTE OBT"/>
    <s v="COLUNA I"/>
  </r>
  <r>
    <n v="3274241"/>
    <s v="SABRE"/>
    <x v="476"/>
    <s v="YHYKCIT"/>
    <s v="YHYKCI"/>
    <s v="ConverterPagamentosRemark-&gt;Input string was not in a correct format.&lt;-MontarAccountinsHotel&lt;-ProcessarHotel&lt;-ProcessarItemFila[b]"/>
    <d v="2025-02-27T19:48:00"/>
    <m/>
    <s v="FORMA PAGTO/RECTO"/>
    <s v="FORMATO DE TEXTO"/>
    <s v="TEXTO FORA DO PADRÃO ACEITO NO CAMPO"/>
    <x v="2"/>
    <s v="SUPORTE OBT"/>
    <s v="COLUNA I"/>
  </r>
  <r>
    <n v="3274242"/>
    <s v="SABRE"/>
    <x v="477"/>
    <s v="YZXRVMT"/>
    <s v="YZXRVM"/>
    <s v="ConverterPagamentosRemark-&gt;Input string was not in a correct format.&lt;-MontarAccountinsHotel&lt;-ProcessarHotel&lt;-ProcessarItemFila[b]"/>
    <d v="2025-02-27T19:48:00"/>
    <m/>
    <s v="FORMA PAGTO/RECTO"/>
    <s v="FORMATO DE TEXTO"/>
    <s v="TEXTO FORA DO PADRÃO ACEITO NO CAMPO"/>
    <x v="2"/>
    <s v="SUPORTE OBT"/>
    <s v="COLUNA I"/>
  </r>
  <r>
    <n v="3274394"/>
    <s v="TMS"/>
    <x v="478"/>
    <n v="53270"/>
    <n v="53270"/>
    <s v="Preenchendo XML Serviço-&gt; Preenchendo XML-&gt; Montando accounting aereo 2-&gt;Não foi informado o Localizador do Assento/Bagagem!"/>
    <d v="2025-02-28T00:28:00"/>
    <d v="2025-03-02T18:56:00"/>
    <s v="OUTROS"/>
    <s v="ASSENTO / BAGAGEM"/>
    <s v="CAMPO OBSERVAÇÃO PREENCHIDO INCORRETAMENTE"/>
    <x v="1"/>
    <s v="OPERAÇÕES / SUPORTE KCS"/>
    <n v="118"/>
  </r>
  <r>
    <n v="3274666"/>
    <s v="SABRE"/>
    <x v="462"/>
    <s v="KNCURY"/>
    <s v="KNCURY"/>
    <s v="Não localizado cliente código [0004224627].&lt;-ObterCliente&lt;-MontarPnrBase&lt;-ProcessarAereo&lt;-ProcessarItemFila[b]"/>
    <d v="2025-02-28T10:17:00"/>
    <d v="2025-03-05T21:27:00"/>
    <s v="CLIENTE"/>
    <s v="CÓD. CLIENTE DIVERGENTE"/>
    <s v="CÓDIGO DIFERENTE DO CADASTRADO NO BENNER (CLIENTE X GRUPO)"/>
    <x v="1"/>
    <s v="SUPORTE OBT"/>
    <n v="1"/>
  </r>
  <r>
    <n v="3274667"/>
    <s v="SABRE"/>
    <x v="462"/>
    <s v="EZSSZB"/>
    <s v="EZSSZB"/>
    <s v="Não localizado cliente com CNPJ [JTI PROCESSADORA].&lt;-ObterCliente&lt;-MontarPnrBase&lt;-ProcessarAereo&lt;-ProcessarItemFila[b]"/>
    <d v="2025-02-28T10:17:00"/>
    <d v="2025-03-05T21:27:00"/>
    <s v="CLIENTE"/>
    <s v="REMARK - CNPJ"/>
    <s v=""/>
    <x v="3"/>
    <s v="OPERAÇÕES / SUPORTE KCS"/>
    <n v="24"/>
  </r>
  <r>
    <n v="3275329"/>
    <s v="TMS"/>
    <x v="479"/>
    <n v="67"/>
    <n v="67"/>
    <s v="Preenchendo XML Serviço-&gt; Preenchendo XML-&gt; Montando accounting aereo 2-&gt;Não foi informado o Localizador do Assento/Bagagem!"/>
    <d v="2025-02-28T13:07:00"/>
    <d v="2025-03-03T19:18:00"/>
    <s v="OUTROS"/>
    <s v="ASSENTO / BAGAGEM"/>
    <s v="CAMPO OBSERVAÇÃO PREENCHIDO INCORRETAMENTE"/>
    <x v="1"/>
    <s v="OPERAÇÕES / SUPORTE KCS"/>
    <n v="118"/>
  </r>
  <r>
    <n v="3275692"/>
    <s v="SABRE"/>
    <x v="462"/>
    <s v="DMQHOW"/>
    <s v="DMQHOW"/>
    <s v="Não localizado cliente código [0000068777].&lt;-ObterCliente&lt;-MontarPnrBase&lt;-ProcessarAereo&lt;-ProcessarItemFila[b]"/>
    <d v="2025-02-28T16:03:00"/>
    <d v="2025-03-05T21:22:00"/>
    <s v="CLIENTE"/>
    <s v="CÓD. CLIENTE DIVERGENTE"/>
    <s v="CÓDIGO DIFERENTE DO CADASTRADO NO BENNER (CLIENTE X GRUPO)"/>
    <x v="1"/>
    <s v="SUPORTE OBT"/>
    <n v="1"/>
  </r>
  <r>
    <n v="3275912"/>
    <s v="SABRE"/>
    <x v="480"/>
    <s v="WJBHLP"/>
    <s v="WJBHLP"/>
    <s v="Não localizado cliente código [0004223565].&lt;-ObterCliente&lt;-MontarPnrBase&lt;-ProcessarAereo&lt;-ProcessarItemFila[b]"/>
    <d v="2025-02-28T17:19:00"/>
    <m/>
    <s v="CLIENTE"/>
    <s v="CÓD. CLIENTE DIVERGENTE"/>
    <s v="CÓDIGO DIFERENTE DO CADASTRADO NO BENNER (CLIENTE X GRUPO)"/>
    <x v="1"/>
    <s v="SUPORTE OBT"/>
    <n v="1"/>
  </r>
  <r>
    <n v="3275916"/>
    <s v="SABRE"/>
    <x v="480"/>
    <s v="FGHEJM"/>
    <s v="FGHEJM"/>
    <s v="Não localizado cliente código [0000583808].&lt;-ObterCliente&lt;-MontarPnrBase&lt;-ProcessarAereo&lt;-ProcessarItemFila[b]"/>
    <d v="2025-02-28T17:19:00"/>
    <m/>
    <s v="CLIENTE"/>
    <s v="CÓD. CLIENTE DIVERGENTE"/>
    <s v="CÓDIGO DIFERENTE DO CADASTRADO NO BENNER (CLIENTE X GRUPO)"/>
    <x v="1"/>
    <s v="SUPORTE OBT"/>
    <n v="1"/>
  </r>
  <r>
    <n v="3275921"/>
    <s v="SABRE"/>
    <x v="480"/>
    <s v="KDFPXC"/>
    <s v="KDFPXC"/>
    <s v="Código de cliente não identificado&lt;-ObterCliente&lt;-MontarPnrBase&lt;-ProcessarAereo&lt;-ProcessarItemFila[b]"/>
    <d v="2025-02-28T17:20:00"/>
    <m/>
    <s v="CLIENTE"/>
    <s v="CLIENTE NÃO IDENTIFICADO"/>
    <s v="DK DE CLIENTE NÃO PREENCIDO / CLIENTE NÃO CONFIGURADO NO OBT"/>
    <x v="2"/>
    <s v="OPERAÇÕES / SUPORTE KCS"/>
    <s v="COLUNA I"/>
  </r>
  <r>
    <n v="3275924"/>
    <s v="SABRE"/>
    <x v="480"/>
    <s v="FHKRKR"/>
    <s v="FHKRKR"/>
    <s v="Não localizado cliente código [0000583808].&lt;-ObterCliente&lt;-MontarPnrBase&lt;-ProcessarAereo&lt;-ProcessarItemFila[b]"/>
    <d v="2025-02-28T17:20:00"/>
    <m/>
    <s v="CLIENTE"/>
    <s v="CÓD. CLIENTE DIVERGENTE"/>
    <s v="CÓDIGO DIFERENTE DO CADASTRADO NO BENNER (CLIENTE X GRUPO)"/>
    <x v="1"/>
    <s v="SUPORTE OBT"/>
    <n v="1"/>
  </r>
  <r>
    <n v="3275925"/>
    <s v="SABRE"/>
    <x v="480"/>
    <s v="EGJXNY"/>
    <s v="EGJXNY"/>
    <s v="Não localizado cliente código [0000392619].&lt;-ObterCliente&lt;-MontarPnrBase&lt;-ProcessarAereo&lt;-ProcessarItemFila[b]"/>
    <d v="2025-02-28T17:20:00"/>
    <m/>
    <s v="CLIENTE"/>
    <s v="CÓD. CLIENTE DIVERGENTE"/>
    <s v="CÓDIGO DIFERENTE DO CADASTRADO NO BENNER (CLIENTE X GRUPO)"/>
    <x v="1"/>
    <s v="SUPORTE OBT"/>
    <n v="1"/>
  </r>
  <r>
    <n v="3275927"/>
    <s v="SABRE"/>
    <x v="480"/>
    <s v="UROGQE"/>
    <s v="UROGQE"/>
    <s v="Código de cliente não identificado&lt;-ObterCliente&lt;-MontarPnrBase&lt;-ProcessarAereo&lt;-ProcessarItemFila[b]"/>
    <d v="2025-02-28T17:20:00"/>
    <m/>
    <s v="CLIENTE"/>
    <s v="CLIENTE NÃO IDENTIFICADO"/>
    <s v="DK DE CLIENTE NÃO PREENCIDO / CLIENTE NÃO CONFIGURADO NO OBT"/>
    <x v="2"/>
    <s v="OPERAÇÕES / SUPORTE KCS"/>
    <s v="COLUNA I"/>
  </r>
  <r>
    <n v="3275940"/>
    <s v="SABRE"/>
    <x v="480"/>
    <s v="CPSIPH"/>
    <s v="CPSIPH"/>
    <s v="Não localizado cliente código [1234567890].&lt;-ObterCliente&lt;-MontarPnrBase&lt;-ProcessarAereo&lt;-ProcessarItemFila[b]"/>
    <d v="2025-02-28T17:22:00"/>
    <m/>
    <s v="CLIENTE"/>
    <s v="CÓD. CLIENTE DIVERGENTE"/>
    <s v="CÓDIGO DIFERENTE DO CADASTRADO NO BENNER (CLIENTE X GRUPO)"/>
    <x v="1"/>
    <s v="SUPORTE OBT"/>
    <n v="1"/>
  </r>
  <r>
    <n v="3275957"/>
    <s v="SABRE"/>
    <x v="481"/>
    <s v="SEZRSM"/>
    <s v="SEZRSM"/>
    <s v="Não localizado cliente código [0004223565].&lt;-ObterCliente&lt;-MontarPnrBase&lt;-ProcessarAereo&lt;-ProcessarItemFila[b]"/>
    <d v="2025-02-28T17:24:00"/>
    <d v="2025-02-28T19:32:00"/>
    <s v="CLIENTE"/>
    <s v="CÓD. CLIENTE DIVERGENTE"/>
    <s v="CÓDIGO DIFERENTE DO CADASTRADO NO BENNER (CLIENTE X GRUPO)"/>
    <x v="1"/>
    <s v="SUPORTE OBT"/>
    <n v="1"/>
  </r>
  <r>
    <n v="3275963"/>
    <s v="SABRE"/>
    <x v="480"/>
    <s v="GXEFUP"/>
    <s v="GXEFUP"/>
    <s v="Não localizado cliente código [0000050257].&lt;-ObterCliente&lt;-MontarPnrBase&lt;-ProcessarAereo&lt;-ProcessarItemFila[b]"/>
    <d v="2025-02-28T17:25:00"/>
    <m/>
    <s v="CLIENTE"/>
    <s v="CÓD. CLIENTE DIVERGENTE"/>
    <s v="CÓDIGO DIFERENTE DO CADASTRADO NO BENNER (CLIENTE X GRUPO)"/>
    <x v="1"/>
    <s v="SUPORTE OBT"/>
    <n v="1"/>
  </r>
  <r>
    <n v="3275968"/>
    <s v="SABRE"/>
    <x v="480"/>
    <s v="INMRBJ"/>
    <s v="INMRBJ"/>
    <s v="Não localizado cliente código [0004222573].&lt;-ObterCliente&lt;-MontarPnrBase&lt;-ProcessarAereo&lt;-ProcessarItemFila[b]"/>
    <d v="2025-02-28T17:25:00"/>
    <m/>
    <s v="CLIENTE"/>
    <s v="CÓD. CLIENTE DIVERGENTE"/>
    <s v="CÓDIGO DIFERENTE DO CADASTRADO NO BENNER (CLIENTE X GRUPO)"/>
    <x v="1"/>
    <s v="SUPORTE OBT"/>
    <n v="1"/>
  </r>
  <r>
    <n v="3276175"/>
    <s v="TMS"/>
    <x v="482"/>
    <n v="5193"/>
    <n v="5193"/>
    <s v="Preenchendo XML Serviço-&gt; Preenchendo XML-&gt; Montando accounting aereo 2-&gt;Não foi informado o Localizador do Assento/Bagagem!"/>
    <d v="2025-02-28T18:13:00"/>
    <d v="2025-03-03T19:11:00"/>
    <s v="OUTROS"/>
    <s v="ASSENTO / BAGAGEM"/>
    <s v="CAMPO OBSERVAÇÃO PREENCHIDO INCORRETAMENTE"/>
    <x v="1"/>
    <s v="OPERAÇÕES / SUPORTE KCS"/>
    <n v="118"/>
  </r>
  <r>
    <n v="3276545"/>
    <s v="SABRE"/>
    <x v="483"/>
    <s v="GVEXXF"/>
    <s v="GVEXXF"/>
    <s v="Código de cliente não identificado&lt;-ObterCliente&lt;-MontarPnrBase&lt;-ProcessarAereo&lt;-ProcessarItemFila[b]"/>
    <d v="2025-02-28T18:50:00"/>
    <m/>
    <s v="CLIENTE"/>
    <s v="CLIENTE NÃO IDENTIFICADO"/>
    <s v="DK DE CLIENTE NÃO PREENCIDO / CLIENTE NÃO CONFIGURADO NO OBT"/>
    <x v="2"/>
    <s v="OPERAÇÕES / SUPORTE KCS"/>
    <s v="COLUNA I"/>
  </r>
  <r>
    <n v="3276711"/>
    <s v="SABRE"/>
    <x v="484"/>
    <s v="OKSIAE"/>
    <s v="OKSIAE"/>
    <s v="Não localizado cliente código [0000050257].&lt;-ObterCliente&lt;-MontarPnrBase&lt;-ProcessarAereo&lt;-ProcessarItemFila[b]"/>
    <d v="2025-02-28T19:05:00"/>
    <m/>
    <s v="CLIENTE"/>
    <s v="CÓD. CLIENTE DIVERGENTE"/>
    <s v="CÓDIGO DIFERENTE DO CADASTRADO NO BENNER (CLIENTE X GRUPO)"/>
    <x v="1"/>
    <s v="SUPORTE OBT"/>
    <n v="1"/>
  </r>
  <r>
    <n v="3276712"/>
    <s v="SABRE"/>
    <x v="484"/>
    <s v="IPEZPW"/>
    <s v="IPEZPW"/>
    <s v="Não localizado cliente código [0000583808].&lt;-ObterCliente&lt;-MontarPnrBase&lt;-ProcessarAereo&lt;-ProcessarItemFila[b]"/>
    <d v="2025-02-28T19:05:00"/>
    <m/>
    <s v="CLIENTE"/>
    <s v="CÓD. CLIENTE DIVERGENTE"/>
    <s v="CÓDIGO DIFERENTE DO CADASTRADO NO BENNER (CLIENTE X GRUPO)"/>
    <x v="1"/>
    <s v="SUPORTE OBT"/>
    <n v="1"/>
  </r>
  <r>
    <n v="3276727"/>
    <s v="SABRE"/>
    <x v="485"/>
    <s v="YTJUSS"/>
    <s v="YTJUSS"/>
    <s v="Não localizado cliente código [0004224627].&lt;-ObterCliente&lt;-MontarPnrBase&lt;-ProcessarAereo&lt;-ProcessarItemFila[b]"/>
    <d v="2025-02-28T19:06:00"/>
    <d v="2025-02-28T19:13:00"/>
    <s v="CLIENTE"/>
    <s v="CÓD. CLIENTE DIVERGENTE"/>
    <s v="CÓDIGO DIFERENTE DO CADASTRADO NO BENNER (CLIENTE X GRUPO)"/>
    <x v="1"/>
    <s v="SUPORTE OBT"/>
    <n v="1"/>
  </r>
  <r>
    <n v="3276765"/>
    <s v="SABRE"/>
    <x v="486"/>
    <s v="ALOEYST"/>
    <s v="ALOEYS"/>
    <s v="ConverterPagamentosRemark-&gt;Input string was not in a correct format.&lt;-MontarAccountinsHotel&lt;-ProcessarHotel&lt;-ProcessarItemFila[b]"/>
    <d v="2025-02-28T19:08:00"/>
    <d v="2025-03-05T12:41:00"/>
    <s v="FORMA PAGTO/RECTO"/>
    <s v="FORMATO DE TEXTO"/>
    <s v="TEXTO FORA DO PADRÃO ACEITO NO CAMPO"/>
    <x v="2"/>
    <s v="SUPORTE OBT"/>
    <s v="COLUNA I"/>
  </r>
  <r>
    <n v="3276778"/>
    <s v="SABRE"/>
    <x v="487"/>
    <s v="QXLJOKT"/>
    <s v="QXLJOK"/>
    <s v="ConverterPagamentosRemark-&gt;Input string was not in a correct format.&lt;-MontarAccountinsHotel&lt;-ProcessarHotel&lt;-ProcessarItemFila[b]"/>
    <d v="2025-02-28T19:08:00"/>
    <m/>
    <s v="FORMA PAGTO/RECTO"/>
    <s v="FORMATO DE TEXTO"/>
    <s v="TEXTO FORA DO PADRÃO ACEITO NO CAMPO"/>
    <x v="2"/>
    <s v="SUPORTE OBT"/>
    <s v="COLUNA I"/>
  </r>
  <r>
    <n v="3276779"/>
    <s v="SABRE"/>
    <x v="488"/>
    <s v="QOUNYNT"/>
    <s v="QOUNYN"/>
    <s v="ConverterPagamentosRemark-&gt;Input string was not in a correct format.&lt;-MontarAccountinsHotel&lt;-ProcessarHotel&lt;-ProcessarItemFila[b]"/>
    <d v="2025-02-28T19:08:00"/>
    <m/>
    <s v="FORMA PAGTO/RECTO"/>
    <s v="FORMATO DE TEXTO"/>
    <s v="TEXTO FORA DO PADRÃO ACEITO NO CAMPO"/>
    <x v="2"/>
    <s v="SUPORTE OBT"/>
    <s v="COLUNA I"/>
  </r>
  <r>
    <n v="3276781"/>
    <s v="SABRE"/>
    <x v="488"/>
    <s v="GVOIXVT"/>
    <s v="GVOIXV"/>
    <s v="ConverterPagamentosRemark-&gt;Input string was not in a correct format.&lt;-MontarAccountinsHotel&lt;-ProcessarHotel&lt;-ProcessarItemFila[b]"/>
    <d v="2025-02-28T19:08:00"/>
    <m/>
    <s v="FORMA PAGTO/RECTO"/>
    <s v="FORMATO DE TEXTO"/>
    <s v="TEXTO FORA DO PADRÃO ACEITO NO CAMPO"/>
    <x v="2"/>
    <s v="SUPORTE OBT"/>
    <s v="COLUNA I"/>
  </r>
  <r>
    <n v="3279961"/>
    <s v="GOVER"/>
    <x v="489"/>
    <n v="4500166"/>
    <n v="4500166"/>
    <s v="PreencherPnr-&gt;Foi identificado um localizador sem código."/>
    <d v="2025-03-05T09:26:00"/>
    <d v="2025-03-06T16:09:00"/>
    <s v="OUTROS"/>
    <s v="RLOC NÃO INFORMADO"/>
    <s v="RLOC NÃO PREENCHIDO NA RESERVA"/>
    <x v="1"/>
    <s v="SUPORTE OBT"/>
    <s v="COLUNA I"/>
  </r>
  <r>
    <n v="3280215"/>
    <s v="SABRE"/>
    <x v="490"/>
    <s v="YBJPITT"/>
    <s v="YBJPIT"/>
    <s v="ConverterPagamentosRemark-&gt;Input string was not in a correct format.&lt;-MontarAccountinsHotel&lt;-ProcessarHotel&lt;-ProcessarItemFila[b]"/>
    <d v="2025-03-05T12:42:00"/>
    <m/>
    <s v="FORMA PAGTO/RECTO"/>
    <s v="FORMATO DE TEXTO"/>
    <s v="TEXTO FORA DO PADRÃO ACEITO NO CAMPO"/>
    <x v="2"/>
    <s v="SUPORTE OBT"/>
    <s v="COLUNA I"/>
  </r>
  <r>
    <n v="3280857"/>
    <s v="SABRE"/>
    <x v="491"/>
    <s v="EAAIYV"/>
    <s v="EAAIYV"/>
    <s v="Não localizado cliente código [0004224627].&lt;-ObterCliente&lt;-MontarPnrBase&lt;-ProcessarAereo&lt;-ProcessarItemFila[b]"/>
    <d v="2025-03-05T15:48:00"/>
    <m/>
    <s v="CLIENTE"/>
    <s v="CÓD. CLIENTE DIVERGENTE"/>
    <s v="CÓDIGO DIFERENTE DO CADASTRADO NO BENNER (CLIENTE X GRUPO)"/>
    <x v="1"/>
    <s v="SUPORTE OBT"/>
    <n v="1"/>
  </r>
  <r>
    <n v="3280860"/>
    <s v="SABRE"/>
    <x v="491"/>
    <s v="WLBKTM"/>
    <s v="WLBKTM"/>
    <s v="Não localizado cliente código [0004224627].&lt;-ObterCliente&lt;-MontarPnrBase&lt;-ProcessarAereo&lt;-ProcessarItemFila[b]"/>
    <d v="2025-03-05T15:48:00"/>
    <m/>
    <s v="CLIENTE"/>
    <s v="CÓD. CLIENTE DIVERGENTE"/>
    <s v="CÓDIGO DIFERENTE DO CADASTRADO NO BENNER (CLIENTE X GRUPO)"/>
    <x v="1"/>
    <s v="SUPORTE OBT"/>
    <n v="1"/>
  </r>
  <r>
    <n v="3280901"/>
    <s v="SABRE"/>
    <x v="491"/>
    <s v="QPLQKI"/>
    <s v="QPLQKI"/>
    <s v="Inserindo Accounting - (ExecSQL) - Could not convert variant of type (Null) into type (OleStr)"/>
    <d v="2025-03-05T15:51:00"/>
    <m/>
    <s v="OUTROS"/>
    <s v="ERRO NO XML"/>
    <s v=""/>
    <x v="0"/>
    <s v="SUPORTE OBT"/>
    <s v="COLUNA I"/>
  </r>
  <r>
    <n v="3280903"/>
    <s v="SABRE"/>
    <x v="491"/>
    <s v="FIOUWH"/>
    <s v="FIOUWH"/>
    <s v="Não localizado cliente código [0004224627].&lt;-ObterCliente&lt;-MontarPnrBase&lt;-ProcessarAereo&lt;-ProcessarItemFila[b]"/>
    <d v="2025-03-05T15:51:00"/>
    <m/>
    <s v="CLIENTE"/>
    <s v="CÓD. CLIENTE DIVERGENTE"/>
    <s v="CÓDIGO DIFERENTE DO CADASTRADO NO BENNER (CLIENTE X GRUPO)"/>
    <x v="1"/>
    <s v="SUPORTE OBT"/>
    <n v="1"/>
  </r>
  <r>
    <n v="3280905"/>
    <s v="SABRE"/>
    <x v="492"/>
    <s v="FOHAWL"/>
    <s v="FOHAWL"/>
    <s v="Não localizado cliente com CNPJ [JTI DISTRIBUIDORA NOVA CONCEICAO].&lt;-ObterCliente&lt;-MontarPnrBase&lt;-ProcessarAereo&lt;-ProcessarItemFila[b]"/>
    <d v="2025-03-05T15:51:00"/>
    <d v="2025-03-06T10:04:00"/>
    <s v="CLIENTE"/>
    <s v="REMARK - CNPJ"/>
    <s v=""/>
    <x v="1"/>
    <s v="OPERAÇÕES / SUPORTE KCS"/>
    <n v="24"/>
  </r>
  <r>
    <n v="3280906"/>
    <s v="SABRE"/>
    <x v="491"/>
    <s v="JREXYM"/>
    <s v="JREXYM"/>
    <s v="Não localizado cliente código [0004224627].&lt;-ObterCliente&lt;-MontarPnrBase&lt;-ProcessarAereo&lt;-ProcessarItemFila[b]"/>
    <d v="2025-03-05T15:51:00"/>
    <m/>
    <s v="CLIENTE"/>
    <s v="CÓD. CLIENTE DIVERGENTE"/>
    <s v="CÓDIGO DIFERENTE DO CADASTRADO NO BENNER (CLIENTE X GRUPO)"/>
    <x v="1"/>
    <s v="SUPORTE OBT"/>
    <n v="1"/>
  </r>
  <r>
    <n v="3280907"/>
    <s v="SABRE"/>
    <x v="491"/>
    <s v="LZHNHD"/>
    <s v="LZHNHD"/>
    <s v="Não localizado cliente código [0004223565].&lt;-ObterCliente&lt;-MontarPnrBase&lt;-ProcessarAereo&lt;-ProcessarItemFila[b]"/>
    <d v="2025-03-05T15:52:00"/>
    <m/>
    <s v="CLIENTE"/>
    <s v="CÓD. CLIENTE DIVERGENTE"/>
    <s v="CÓDIGO DIFERENTE DO CADASTRADO NO BENNER (CLIENTE X GRUPO)"/>
    <x v="1"/>
    <s v="SUPORTE OBT"/>
    <n v="1"/>
  </r>
  <r>
    <n v="3280910"/>
    <s v="SABRE"/>
    <x v="493"/>
    <s v="MRRDDP"/>
    <s v="MRRDDP"/>
    <s v="Não localizado cliente código [0004223565].&lt;-ObterCliente&lt;-MontarPnrBase&lt;-ProcessarAereo&lt;-ProcessarItemFila[b]"/>
    <d v="2025-03-05T15:52:00"/>
    <d v="2025-03-06T10:18:00"/>
    <s v="CLIENTE"/>
    <s v="CÓD. CLIENTE DIVERGENTE"/>
    <s v="CÓDIGO DIFERENTE DO CADASTRADO NO BENNER (CLIENTE X GRUPO)"/>
    <x v="1"/>
    <s v="SUPORTE OBT"/>
    <n v="1"/>
  </r>
  <r>
    <n v="3280915"/>
    <s v="SABRE"/>
    <x v="494"/>
    <s v="LMDXYJ"/>
    <s v="LMDXYJ"/>
    <s v="Não localizado cliente código [0004223565].&lt;-ObterCliente&lt;-MontarPnrBase&lt;-ProcessarAereo&lt;-ProcessarItemFila[b]"/>
    <d v="2025-03-05T15:52:00"/>
    <d v="2025-03-06T10:18:00"/>
    <s v="CLIENTE"/>
    <s v="CÓD. CLIENTE DIVERGENTE"/>
    <s v="CÓDIGO DIFERENTE DO CADASTRADO NO BENNER (CLIENTE X GRUPO)"/>
    <x v="1"/>
    <s v="SUPORTE OBT"/>
    <n v="1"/>
  </r>
  <r>
    <n v="3280983"/>
    <s v="GOVER"/>
    <x v="495"/>
    <n v="4500599"/>
    <s v="SGJBDT"/>
    <s v="PreencherPnr-&gt;AlterarAccountingCustom-&gt; Erro: AlterarAccounting-&gt; Erro: Canal de venda com descrição POSTO SHELL não encontrado!"/>
    <d v="2025-03-05T16:29:00"/>
    <d v="2025-03-06T16:09:00"/>
    <s v="OUTROS"/>
    <s v="NOVA MENSAGEM"/>
    <s v=""/>
    <x v="1"/>
    <e v="#N/A"/>
    <s v="COLUNA I"/>
  </r>
  <r>
    <n v="3281126"/>
    <s v="SABRE"/>
    <x v="496"/>
    <s v="YDODMO"/>
    <s v="YDODMO"/>
    <s v="Não localizado cliente código [0000392619].&lt;-ObterCliente&lt;-MontarPnrBase&lt;-ProcessarAereo&lt;-ProcessarItemFila[b]"/>
    <d v="2025-03-05T17:48:00"/>
    <m/>
    <s v="CLIENTE"/>
    <s v="CÓD. CLIENTE DIVERGENTE"/>
    <s v="CÓDIGO DIFERENTE DO CADASTRADO NO BENNER (CLIENTE X GRUPO)"/>
    <x v="1"/>
    <s v="SUPORTE OBT"/>
    <n v="1"/>
  </r>
  <r>
    <n v="3281289"/>
    <s v="SABRE"/>
    <x v="497"/>
    <s v="MARBLL"/>
    <s v="MARBLL"/>
    <s v="Não localizado cliente código [0004223565].&lt;-ObterCliente&lt;-MontarPnrBase&lt;-ProcessarAereo&lt;-ProcessarItemFila[b]"/>
    <d v="2025-03-05T19:09:00"/>
    <d v="2025-03-05T20:33:00"/>
    <s v="CLIENTE"/>
    <s v="CÓD. CLIENTE DIVERGENTE"/>
    <s v="CÓDIGO DIFERENTE DO CADASTRADO NO BENNER (CLIENTE X GRUPO)"/>
    <x v="1"/>
    <s v="SUPORTE OBT"/>
    <n v="1"/>
  </r>
  <r>
    <n v="3281696"/>
    <s v="SABRE"/>
    <x v="497"/>
    <s v="LIUSOH"/>
    <s v="LIUSOH"/>
    <s v="Código de cliente não identificado&lt;-ObterCliente&lt;-MontarPnrBase&lt;-ProcessarAereo&lt;-ProcessarItemFila[b]"/>
    <d v="2025-03-05T20:32:00"/>
    <m/>
    <s v="CLIENTE"/>
    <s v="CLIENTE NÃO IDENTIFICADO"/>
    <s v="DK DE CLIENTE NÃO PREENCIDO / CLIENTE NÃO CONFIGURADO NO OBT"/>
    <x v="2"/>
    <s v="OPERAÇÕES / SUPORTE KCS"/>
    <s v="COLUNA I"/>
  </r>
  <r>
    <n v="3281699"/>
    <s v="SABRE"/>
    <x v="498"/>
    <s v="KPZKNN"/>
    <s v="KPZKNN"/>
    <s v="Não localizado cliente com CNPJ [50534767JTI PROCESSADORA].&lt;-ObterCliente&lt;-MontarPnrBase&lt;-ProcessarAereo&lt;-ProcessarItemFila[b]"/>
    <d v="2025-03-05T20:33:00"/>
    <d v="2025-03-06T15:33:00"/>
    <s v="CLIENTE"/>
    <s v="REMARK - CNPJ"/>
    <s v=""/>
    <x v="3"/>
    <s v="OPERAÇÕES / SUPORTE KCS"/>
    <n v="24"/>
  </r>
  <r>
    <n v="3281708"/>
    <s v="TMS"/>
    <x v="499"/>
    <n v="77"/>
    <n v="77"/>
    <s v="Preenchendo XML Serviço-&gt; Preenchendo XML-&gt; Montando accounting aereo 2-&gt;Não foi informado o Localizador do Assento/Bagagem!"/>
    <d v="2025-03-05T20:34:00"/>
    <d v="2025-03-06T15:04:00"/>
    <s v="OUTROS"/>
    <s v="ASSENTO / BAGAGEM"/>
    <s v="CAMPO OBSERVAÇÃO PREENCHIDO INCORRETAMENTE"/>
    <x v="1"/>
    <s v="OPERAÇÕES / SUPORTE KCS"/>
    <n v="118"/>
  </r>
  <r>
    <n v="3281716"/>
    <s v="SABRE"/>
    <x v="497"/>
    <s v="OYQXOR"/>
    <s v="OYQXOR"/>
    <s v="Código de cliente não identificado&lt;-ObterCliente&lt;-MontarPnrBase&lt;-ProcessarAereo&lt;-ProcessarItemFila[b]"/>
    <d v="2025-03-05T20:34:00"/>
    <m/>
    <s v="CLIENTE"/>
    <s v="CLIENTE NÃO IDENTIFICADO"/>
    <s v="DK DE CLIENTE NÃO PREENCIDO / CLIENTE NÃO CONFIGURADO NO OBT"/>
    <x v="2"/>
    <s v="OPERAÇÕES / SUPORTE KCS"/>
    <s v="COLUNA I"/>
  </r>
  <r>
    <n v="3281883"/>
    <s v="SABRE"/>
    <x v="462"/>
    <s v="QOWHXJ"/>
    <s v="QOWHXJ"/>
    <s v="Não localizado cliente código [0000392619].&lt;-ObterCliente&lt;-MontarPnrBase&lt;-ProcessarAereo&lt;-ProcessarItemFila[b]"/>
    <d v="2025-03-05T21:18:00"/>
    <m/>
    <s v="CLIENTE"/>
    <s v="CÓD. CLIENTE DIVERGENTE"/>
    <s v="CÓDIGO DIFERENTE DO CADASTRADO NO BENNER (CLIENTE X GRUPO)"/>
    <x v="1"/>
    <s v="SUPORTE OBT"/>
    <n v="1"/>
  </r>
  <r>
    <n v="3281885"/>
    <s v="SABRE"/>
    <x v="462"/>
    <s v="CZKLVP"/>
    <s v="CZKLVP"/>
    <s v="Código de cliente não identificado&lt;-ObterCliente&lt;-MontarPnrBase&lt;-ProcessarAereo&lt;-ProcessarItemFila[b]"/>
    <d v="2025-03-05T21:18:00"/>
    <m/>
    <s v="CLIENTE"/>
    <s v="CLIENTE NÃO IDENTIFICADO"/>
    <s v="DK DE CLIENTE NÃO PREENCIDO / CLIENTE NÃO CONFIGURADO NO OBT"/>
    <x v="2"/>
    <s v="OPERAÇÕES / SUPORTE KCS"/>
    <s v="COLUNA I"/>
  </r>
  <r>
    <n v="3281887"/>
    <s v="SABRE"/>
    <x v="462"/>
    <s v="YFABFI"/>
    <s v="YFABFI"/>
    <s v="Não localizado cliente código [0000471515].&lt;-ObterCliente&lt;-MontarPnrBase&lt;-ProcessarAereo&lt;-ProcessarItemFila[b]"/>
    <d v="2025-03-05T21:19:00"/>
    <m/>
    <s v="CLIENTE"/>
    <s v="CÓD. CLIENTE DIVERGENTE"/>
    <s v="CÓDIGO DIFERENTE DO CADASTRADO NO BENNER (CLIENTE X GRUPO)"/>
    <x v="1"/>
    <s v="SUPORTE OBT"/>
    <n v="1"/>
  </r>
  <r>
    <n v="3281896"/>
    <s v="SABRE"/>
    <x v="462"/>
    <s v="UXNWDH"/>
    <s v="UXNWDH"/>
    <s v="Não localizado cliente código [0000583831].&lt;-ObterCliente&lt;-MontarPnrBase&lt;-ProcessarAereo&lt;-ProcessarItemFila[b]"/>
    <d v="2025-03-05T21:22:00"/>
    <m/>
    <s v="CLIENTE"/>
    <s v="CÓD. CLIENTE DIVERGENTE"/>
    <s v="CÓDIGO DIFERENTE DO CADASTRADO NO BENNER (CLIENTE X GRUPO)"/>
    <x v="1"/>
    <s v="SUPORTE OBT"/>
    <n v="1"/>
  </r>
  <r>
    <n v="3281897"/>
    <s v="SABRE"/>
    <x v="462"/>
    <s v="WDUOAS"/>
    <s v="WDUOAS"/>
    <s v="Não localizado cliente com CNPJ [JTI PROCESSADORA].&lt;-ObterCliente&lt;-MontarPnrBase&lt;-ProcessarAereo&lt;-ProcessarItemFila[b]"/>
    <d v="2025-03-05T21:22:00"/>
    <m/>
    <s v="CLIENTE"/>
    <s v="REMARK - CNPJ"/>
    <s v=""/>
    <x v="1"/>
    <s v="OPERAÇÕES / SUPORTE KCS"/>
    <n v="24"/>
  </r>
  <r>
    <n v="3281899"/>
    <s v="SABRE"/>
    <x v="462"/>
    <s v="UHDXBL"/>
    <s v="UHDXBL"/>
    <s v="Código de cliente não identificado&lt;-ObterCliente&lt;-MontarPnrBase&lt;-ProcessarAereo&lt;-ProcessarItemFila[b]"/>
    <d v="2025-03-05T21:25:00"/>
    <m/>
    <s v="CLIENTE"/>
    <s v="CLIENTE NÃO IDENTIFICADO"/>
    <s v="DK DE CLIENTE NÃO PREENCIDO / CLIENTE NÃO CONFIGURADO NO OBT"/>
    <x v="2"/>
    <s v="OPERAÇÕES / SUPORTE KCS"/>
    <s v="COLUNA I"/>
  </r>
  <r>
    <n v="3281900"/>
    <s v="SABRE"/>
    <x v="462"/>
    <s v="SMWDNX"/>
    <s v="SMWDNX"/>
    <s v="Não localizado cliente código [0004223565].&lt;-ObterCliente&lt;-MontarPnrBase&lt;-ProcessarAereo&lt;-ProcessarItemFila[b]"/>
    <d v="2025-03-05T21:25:00"/>
    <m/>
    <s v="CLIENTE"/>
    <s v="CÓD. CLIENTE DIVERGENTE"/>
    <s v="CÓDIGO DIFERENTE DO CADASTRADO NO BENNER (CLIENTE X GRUPO)"/>
    <x v="1"/>
    <s v="SUPORTE OBT"/>
    <n v="1"/>
  </r>
  <r>
    <n v="3281901"/>
    <s v="SABRE"/>
    <x v="462"/>
    <s v="GKZVXN"/>
    <s v="GKZVXN"/>
    <s v="Não localizado cliente código [0004222573].&lt;-ObterCliente&lt;-MontarPnrBase&lt;-ProcessarAereo&lt;-ProcessarItemFila[b]"/>
    <d v="2025-03-05T21:25:00"/>
    <m/>
    <s v="CLIENTE"/>
    <s v="CÓD. CLIENTE DIVERGENTE"/>
    <s v="CÓDIGO DIFERENTE DO CADASTRADO NO BENNER (CLIENTE X GRUPO)"/>
    <x v="1"/>
    <s v="SUPORTE OBT"/>
    <n v="1"/>
  </r>
  <r>
    <n v="3281955"/>
    <s v="SABRE"/>
    <x v="500"/>
    <s v="WKZYLB"/>
    <s v="WKZYLB"/>
    <s v="Não localizado cliente com CNPJ [61338844001537].&lt;-ObterCliente&lt;-MontarPnrBase&lt;-ProcessarAereo&lt;-ProcessarItemFila[b]"/>
    <d v="2025-03-06T07:36:00"/>
    <d v="2025-03-06T10:22:00"/>
    <s v="CLIENTE"/>
    <s v="REMARK - CNPJ"/>
    <s v=""/>
    <x v="3"/>
    <s v="OPERAÇÕES / SUPORTE KCS"/>
    <n v="24"/>
  </r>
  <r>
    <n v="3282125"/>
    <s v="SABRE"/>
    <x v="501"/>
    <s v="SMMLPTT"/>
    <s v="SMMLPT"/>
    <s v="ConverterPagamentosRemark-&gt;Input string was not in a correct format.&lt;-MontarAccountinsHotel&lt;-ProcessarHotel&lt;-ProcessarItemFila[b]"/>
    <d v="2025-03-06T09:49:00"/>
    <m/>
    <s v="FORMA PAGTO/RECTO"/>
    <s v="FORMATO DE TEXTO"/>
    <s v="TEXTO FORA DO PADRÃO ACEITO NO CAMPO"/>
    <x v="2"/>
    <s v="SUPORTE OBT"/>
    <s v="COLUNA I"/>
  </r>
  <r>
    <n v="3282126"/>
    <s v="SABRE"/>
    <x v="502"/>
    <s v="SLBWYST"/>
    <s v="SLBWYS"/>
    <s v="ConverterPagamentosRemark-&gt;Input string was not in a correct format.&lt;-MontarAccountinsHotel&lt;-ProcessarHotel&lt;-ProcessarItemFila[b]"/>
    <d v="2025-03-06T09:50:00"/>
    <m/>
    <s v="FORMA PAGTO/RECTO"/>
    <s v="FORMATO DE TEXTO"/>
    <s v="TEXTO FORA DO PADRÃO ACEITO NO CAMPO"/>
    <x v="2"/>
    <s v="SUPORTE OBT"/>
    <s v="COLUNA I"/>
  </r>
  <r>
    <n v="3282128"/>
    <s v="SABRE"/>
    <x v="503"/>
    <s v="GKQFBMT"/>
    <s v="GKQFBM"/>
    <s v="ConverterPagamentosRemark-&gt;Input string was not in a correct format.&lt;-MontarAccountinsHotel&lt;-ProcessarHotel&lt;-ProcessarItemFila[b]"/>
    <d v="2025-03-06T09:50:00"/>
    <m/>
    <s v="FORMA PAGTO/RECTO"/>
    <s v="FORMATO DE TEXTO"/>
    <s v="TEXTO FORA DO PADRÃO ACEITO NO CAMPO"/>
    <x v="2"/>
    <s v="SUPORTE OBT"/>
    <s v="COLUNA I"/>
  </r>
  <r>
    <n v="3282130"/>
    <s v="SABRE"/>
    <x v="503"/>
    <s v="NZNXPCT"/>
    <s v="NZNXPC"/>
    <s v="ConverterPagamentosRemark-&gt;Input string was not in a correct format.&lt;-MontarAccountinsHotel&lt;-ProcessarHotel&lt;-ProcessarItemFila[b]"/>
    <d v="2025-03-06T09:50:00"/>
    <m/>
    <s v="FORMA PAGTO/RECTO"/>
    <s v="FORMATO DE TEXTO"/>
    <s v="TEXTO FORA DO PADRÃO ACEITO NO CAMPO"/>
    <x v="2"/>
    <s v="SUPORTE OBT"/>
    <s v="COLUNA I"/>
  </r>
  <r>
    <n v="3282473"/>
    <s v="SABRE"/>
    <x v="504"/>
    <s v="YFQUMP"/>
    <s v="YFQUMP"/>
    <s v="Código de cliente não identificado&lt;-ObterCliente&lt;-MontarPnrBase&lt;-ProcessarAereo&lt;-ProcessarItemFila[b]"/>
    <d v="2025-03-06T13:06:00"/>
    <m/>
    <s v="CLIENTE"/>
    <s v="CLIENTE NÃO IDENTIFICADO"/>
    <s v="DK DE CLIENTE NÃO PREENCIDO / CLIENTE NÃO CONFIGURADO NO OBT"/>
    <x v="2"/>
    <s v="OPERAÇÕES / SUPORTE KCS"/>
    <s v="COLUNA I"/>
  </r>
  <r>
    <n v="3283593"/>
    <s v="SABRE"/>
    <x v="505"/>
    <s v="CPTVZYT"/>
    <s v="CPTVZY"/>
    <s v="ConverterPagamentosRemark-&gt;Input string was not in a correct format.&lt;-MontarAccountinsHotel&lt;-ProcessarHotel&lt;-ProcessarItemFila[b]"/>
    <d v="2025-03-06T17:18:00"/>
    <m/>
    <s v="FORMA PAGTO/RECTO"/>
    <s v="FORMATO DE TEXTO"/>
    <s v="TEXTO FORA DO PADRÃO ACEITO NO CAMPO"/>
    <x v="2"/>
    <s v="SUPORTE OBT"/>
    <s v="COLUNA I"/>
  </r>
  <r>
    <n v="3283594"/>
    <s v="SABRE"/>
    <x v="506"/>
    <s v="SLYJNMT"/>
    <s v="SLYJNM"/>
    <s v="ConverterPagamentosRemark-&gt;Input string was not in a correct format.&lt;-MontarAccountinsHotel&lt;-ProcessarHotel&lt;-ProcessarItemFila[b]"/>
    <d v="2025-03-06T17:18:00"/>
    <m/>
    <s v="FORMA PAGTO/RECTO"/>
    <s v="FORMATO DE TEXTO"/>
    <s v="TEXTO FORA DO PADRÃO ACEITO NO CAMPO"/>
    <x v="2"/>
    <s v="SUPORTE OBT"/>
    <s v="COLUNA I"/>
  </r>
  <r>
    <n v="3283595"/>
    <s v="SABRE"/>
    <x v="506"/>
    <s v="UUMPKWT"/>
    <s v="UUMPKW"/>
    <s v="ConverterPagamentosRemark-&gt;Input string was not in a correct format.&lt;-MontarAccountinsHotel&lt;-ProcessarHotel&lt;-ProcessarItemFila[b]"/>
    <d v="2025-03-06T17:19:00"/>
    <m/>
    <s v="FORMA PAGTO/RECTO"/>
    <s v="FORMATO DE TEXTO"/>
    <s v="TEXTO FORA DO PADRÃO ACEITO NO CAMPO"/>
    <x v="2"/>
    <s v="SUPORTE OBT"/>
    <s v="COLUNA I"/>
  </r>
  <r>
    <n v="3283596"/>
    <s v="SABRE"/>
    <x v="506"/>
    <s v="QGLEFUT"/>
    <s v="QGLEFU"/>
    <s v="ConverterPagamentosRemark-&gt;Input string was not in a correct format.&lt;-MontarAccountinsHotel&lt;-ProcessarHotel&lt;-ProcessarItemFila[b]"/>
    <d v="2025-03-06T17:19:00"/>
    <m/>
    <s v="FORMA PAGTO/RECTO"/>
    <s v="FORMATO DE TEXTO"/>
    <s v="TEXTO FORA DO PADRÃO ACEITO NO CAMPO"/>
    <x v="2"/>
    <s v="SUPORTE OBT"/>
    <s v="COLUNA I"/>
  </r>
  <r>
    <n v="3283598"/>
    <s v="SABRE"/>
    <x v="507"/>
    <s v="JPSQEGT"/>
    <s v="JPSQEG"/>
    <s v="ConverterPagamentosRemark-&gt;Input string was not in a correct format.&lt;-MontarAccountinsHotel&lt;-ProcessarHotel&lt;-ProcessarItemFila[b]"/>
    <d v="2025-03-06T17:19:00"/>
    <m/>
    <s v="FORMA PAGTO/RECTO"/>
    <s v="FORMATO DE TEXTO"/>
    <s v="TEXTO FORA DO PADRÃO ACEITO NO CAMPO"/>
    <x v="2"/>
    <s v="SUPORTE OBT"/>
    <s v="COLUNA I"/>
  </r>
  <r>
    <n v="3283727"/>
    <s v="SABRE"/>
    <x v="508"/>
    <s v="ITJFTH"/>
    <s v="ITJFTH"/>
    <s v="Não localizado cliente código [0004220155].&lt;-ObterCliente&lt;-MontarPnrBase&lt;-ProcessarAereo&lt;-ProcessarItemFila[b]"/>
    <d v="2025-03-06T18:08:00"/>
    <d v="2025-03-07T19:19:00"/>
    <s v="CLIENTE"/>
    <s v="CÓD. CLIENTE DIVERGENTE"/>
    <s v="CÓDIGO DIFERENTE DO CADASTRADO NO BENNER (CLIENTE X GRUPO)"/>
    <x v="1"/>
    <s v="SUPORTE OBT"/>
    <n v="1"/>
  </r>
  <r>
    <n v="3283765"/>
    <s v="SABRE"/>
    <x v="509"/>
    <s v="WCLVBF"/>
    <s v="WCLVBF"/>
    <s v="Inserindo Accounting - (ExecSQL) - Could not convert variant of type (Null) into type (OleStr)"/>
    <d v="2025-03-06T18:37:00"/>
    <m/>
    <s v="OUTROS"/>
    <s v="ERRO NO XML"/>
    <s v=""/>
    <x v="0"/>
    <s v="SUPORTE OBT"/>
    <s v="COLUNA I"/>
  </r>
  <r>
    <n v="3283772"/>
    <s v="SABRE"/>
    <x v="510"/>
    <s v="ELPFFE"/>
    <s v="ELPFFE"/>
    <s v="Inserindo Accounting - (ExecSQL) - Could not convert variant of type (Null) into type (OleStr)"/>
    <d v="2025-03-06T18:37:00"/>
    <m/>
    <s v="OUTROS"/>
    <s v="ERRO NO XML"/>
    <s v=""/>
    <x v="0"/>
    <s v="SUPORTE OBT"/>
    <s v="COLUNA I"/>
  </r>
  <r>
    <n v="3283820"/>
    <s v="SABRE"/>
    <x v="511"/>
    <s v="UTIVDFT"/>
    <s v="UTIVDF"/>
    <s v="ConverterPagamentosRemark-&gt;Input string was not in a correct format.&lt;-MontarAccountinsHotel&lt;-ProcessarHotel&lt;-ProcessarItemFila[b]"/>
    <d v="2025-03-06T19:04:00"/>
    <m/>
    <s v="FORMA PAGTO/RECTO"/>
    <s v="FORMATO DE TEXTO"/>
    <s v="TEXTO FORA DO PADRÃO ACEITO NO CAMPO"/>
    <x v="2"/>
    <s v="SUPORTE OBT"/>
    <s v="COLUNA I"/>
  </r>
  <r>
    <n v="3284942"/>
    <s v="SABRE"/>
    <x v="512"/>
    <s v="LGGVGV"/>
    <s v="LGGVGV"/>
    <s v="Não localizado cliente código [0004223565].&lt;-ObterCliente&lt;-MontarPnrBase&lt;-ProcessarAereo&lt;-ProcessarItemFila[b]"/>
    <d v="2025-03-07T11:03:00"/>
    <m/>
    <s v="CLIENTE"/>
    <s v="CÓD. CLIENTE DIVERGENTE"/>
    <s v="CÓDIGO DIFERENTE DO CADASTRADO NO BENNER (CLIENTE X GRUPO)"/>
    <x v="1"/>
    <s v="SUPORTE OBT"/>
    <n v="1"/>
  </r>
  <r>
    <n v="3285114"/>
    <s v="SABRE"/>
    <x v="513"/>
    <s v="UQORJQ"/>
    <s v="UQORJQ"/>
    <s v="Não localizado cliente código [0004220155].&lt;-ObterCliente&lt;-MontarPnrBase&lt;-ProcessarAereo&lt;-ProcessarItemFila[b]"/>
    <d v="2025-03-07T12:21:00"/>
    <m/>
    <s v="CLIENTE"/>
    <s v="CÓD. CLIENTE DIVERGENTE"/>
    <s v="CÓDIGO DIFERENTE DO CADASTRADO NO BENNER (CLIENTE X GRUPO)"/>
    <x v="1"/>
    <s v="SUPORTE OBT"/>
    <n v="1"/>
  </r>
  <r>
    <n v="3285124"/>
    <s v="SABRE"/>
    <x v="513"/>
    <s v="LHHLOX"/>
    <s v="LHHLOX"/>
    <s v="Não localizado cliente código [0004224627].&lt;-ObterCliente&lt;-MontarPnrBase&lt;-ProcessarAereo&lt;-ProcessarItemFila[b]"/>
    <d v="2025-03-07T12:22:00"/>
    <m/>
    <s v="CLIENTE"/>
    <s v="CÓD. CLIENTE DIVERGENTE"/>
    <s v="CÓDIGO DIFERENTE DO CADASTRADO NO BENNER (CLIENTE X GRUPO)"/>
    <x v="1"/>
    <s v="SUPORTE OBT"/>
    <n v="1"/>
  </r>
  <r>
    <n v="3285128"/>
    <s v="SABRE"/>
    <x v="513"/>
    <s v="SZOYOO"/>
    <s v="SZOYOO"/>
    <s v="Código de cliente não identificado&lt;-ObterCliente&lt;-MontarPnrBase&lt;-ProcessarAereo&lt;-ProcessarItemFila[b]"/>
    <d v="2025-03-07T12:23:00"/>
    <m/>
    <s v="CLIENTE"/>
    <s v="CLIENTE NÃO IDENTIFICADO"/>
    <s v="DK DE CLIENTE NÃO PREENCIDO / CLIENTE NÃO CONFIGURADO NO OBT"/>
    <x v="2"/>
    <s v="OPERAÇÕES / SUPORTE KCS"/>
    <s v="COLUNA I"/>
  </r>
  <r>
    <n v="3285212"/>
    <s v="SABRE"/>
    <x v="514"/>
    <s v="LUVDJST"/>
    <s v="LUVDJS"/>
    <s v="ConverterPagamentosRemark-&gt;Input string was not in a correct format.&lt;-MontarAccountinsHotel&lt;-ProcessarHotel&lt;-ProcessarItemFila[b]"/>
    <d v="2025-03-07T13:04:00"/>
    <m/>
    <s v="FORMA PAGTO/RECTO"/>
    <s v="FORMATO DE TEXTO"/>
    <s v="TEXTO FORA DO PADRÃO ACEITO NO CAMPO"/>
    <x v="2"/>
    <s v="SUPORTE OBT"/>
    <s v="COLUNA I"/>
  </r>
  <r>
    <n v="3285213"/>
    <s v="SABRE"/>
    <x v="515"/>
    <s v="WMOMKWT"/>
    <s v="WMOMKW"/>
    <s v="ConverterPagamentosRemark-&gt;Input string was not in a correct format.&lt;-MontarAccountinsHotel&lt;-ProcessarHotel&lt;-ProcessarItemFila[b]"/>
    <d v="2025-03-07T13:04:00"/>
    <m/>
    <s v="FORMA PAGTO/RECTO"/>
    <s v="FORMATO DE TEXTO"/>
    <s v="TEXTO FORA DO PADRÃO ACEITO NO CAMPO"/>
    <x v="2"/>
    <s v="SUPORTE OBT"/>
    <s v="COLUNA I"/>
  </r>
  <r>
    <n v="3285237"/>
    <s v="SABRE"/>
    <x v="516"/>
    <s v="UPIQIAT"/>
    <s v="UPIQIA"/>
    <s v="ConverterPagamentosRemark-&gt;Input string was not in a correct format.&lt;-MontarAccountinsHotel&lt;-ProcessarHotel&lt;-ProcessarItemFila[b]"/>
    <d v="2025-03-07T13:18:00"/>
    <m/>
    <s v="FORMA PAGTO/RECTO"/>
    <s v="FORMATO DE TEXTO"/>
    <s v="TEXTO FORA DO PADRÃO ACEITO NO CAMPO"/>
    <x v="2"/>
    <s v="SUPORTE OBT"/>
    <s v="COLUNA I"/>
  </r>
  <r>
    <n v="3285531"/>
    <s v="SABRE"/>
    <x v="517"/>
    <s v="DMNUOK"/>
    <s v="DMNUOK"/>
    <s v="Não localizado cliente código [0004222573].&lt;-ObterCliente&lt;-MontarPnrBase&lt;-ProcessarAereo&lt;-ProcessarItemFila[b]"/>
    <d v="2025-03-07T14:47:00"/>
    <m/>
    <s v="CLIENTE"/>
    <s v="CÓD. CLIENTE DIVERGENTE"/>
    <s v="CÓDIGO DIFERENTE DO CADASTRADO NO BENNER (CLIENTE X GRUPO)"/>
    <x v="1"/>
    <s v="SUPORTE OBT"/>
    <n v="1"/>
  </r>
  <r>
    <n v="3285727"/>
    <s v="TMS"/>
    <x v="518"/>
    <n v="35197"/>
    <n v="35197"/>
    <s v="Inserindo PNR - Accountings - TurVendas - Não foi possível localizar o contrato do fornecedor F3"/>
    <d v="2025-03-07T15:23:00"/>
    <d v="2025-03-10T22:14:00"/>
    <s v="FORNECEDOR"/>
    <s v="CONTRATO FORNECEDOR"/>
    <s v="CONTRATO INATIVO OU DIVERGENTE"/>
    <x v="0"/>
    <s v="OPERAÇÕES / SUPORTE KCS"/>
    <n v="43"/>
  </r>
  <r>
    <n v="3285916"/>
    <s v="SABRE"/>
    <x v="519"/>
    <s v="JOQSEU"/>
    <s v="JOQSEU"/>
    <s v="Não localizado cliente código [0000068777].&lt;-ObterCliente&lt;-MontarPnrBase&lt;-ProcessarAereo&lt;-ProcessarItemFila[b]"/>
    <d v="2025-03-07T15:49:00"/>
    <m/>
    <s v="CLIENTE"/>
    <s v="CÓD. CLIENTE DIVERGENTE"/>
    <s v="CÓDIGO DIFERENTE DO CADASTRADO NO BENNER (CLIENTE X GRUPO)"/>
    <x v="1"/>
    <s v="SUPORTE OBT"/>
    <n v="1"/>
  </r>
  <r>
    <n v="3286269"/>
    <s v="SABRE"/>
    <x v="520"/>
    <s v="EVUJUT"/>
    <s v="EVUJUT"/>
    <s v="Código de cliente não identificado&lt;-ObterCliente&lt;-MontarPnrBase&lt;-ProcessarAereo&lt;-ProcessarItemFila[b]"/>
    <d v="2025-03-07T16:48:00"/>
    <d v="2025-03-07T19:33:00"/>
    <s v="CLIENTE"/>
    <s v="CLIENTE NÃO IDENTIFICADO"/>
    <s v="DK DE CLIENTE NÃO PREENCIDO / CLIENTE NÃO CONFIGURADO NO OBT"/>
    <x v="2"/>
    <s v="OPERAÇÕES / SUPORTE KCS"/>
    <s v="COLUNA I"/>
  </r>
  <r>
    <n v="3286573"/>
    <s v="SABRE"/>
    <x v="521"/>
    <s v="UCBWIHT"/>
    <s v="UCBWIH"/>
    <s v="ConverterPagamentosRemark-&gt;Input string was not in a correct format.&lt;-MontarAccountinsHotel&lt;-ProcessarHotel&lt;-ProcessarItemFila[b]"/>
    <d v="2025-03-07T18:04:00"/>
    <m/>
    <s v="FORMA PAGTO/RECTO"/>
    <s v="FORMATO DE TEXTO"/>
    <s v="TEXTO FORA DO PADRÃO ACEITO NO CAMPO"/>
    <x v="2"/>
    <s v="SUPORTE OBT"/>
    <s v="COLUNA I"/>
  </r>
  <r>
    <n v="3286574"/>
    <s v="SABRE"/>
    <x v="521"/>
    <s v="LCITVFT"/>
    <s v="LCITVF"/>
    <s v="ConverterPagamentosRemark-&gt;Input string was not in a correct format.&lt;-MontarAccountinsHotel&lt;-ProcessarHotel&lt;-ProcessarItemFila[b]"/>
    <d v="2025-03-07T18:04:00"/>
    <m/>
    <s v="FORMA PAGTO/RECTO"/>
    <s v="FORMATO DE TEXTO"/>
    <s v="TEXTO FORA DO PADRÃO ACEITO NO CAMPO"/>
    <x v="2"/>
    <s v="SUPORTE OBT"/>
    <s v="COLUNA I"/>
  </r>
  <r>
    <n v="3286613"/>
    <s v="SABRE"/>
    <x v="522"/>
    <s v="HITPZGT"/>
    <s v="HITPZG"/>
    <s v="ConverterPagamentosRemark-&gt;Input string was not in a correct format.&lt;-MontarAccountinsHotel&lt;-ProcessarHotel&lt;-ProcessarItemFila[b]"/>
    <d v="2025-03-07T18:18:00"/>
    <m/>
    <s v="FORMA PAGTO/RECTO"/>
    <s v="FORMATO DE TEXTO"/>
    <s v="TEXTO FORA DO PADRÃO ACEITO NO CAMPO"/>
    <x v="2"/>
    <s v="SUPORTE OBT"/>
    <s v="COLUNA I"/>
  </r>
  <r>
    <n v="3286791"/>
    <s v="SABRE"/>
    <x v="523"/>
    <s v="UOBPZR"/>
    <s v="UOBPZR"/>
    <s v="Inserindo Accounting - (ExecSQL) - Could not convert variant of type (Null) into type (OleStr)"/>
    <d v="2025-03-07T19:37:00"/>
    <d v="2025-03-10T12:34:00"/>
    <s v="OUTROS"/>
    <s v="ERRO NO XML"/>
    <s v=""/>
    <x v="0"/>
    <s v="SUPORTE OBT"/>
    <s v="COLUNA I"/>
  </r>
  <r>
    <n v="3286792"/>
    <s v="SABRE"/>
    <x v="524"/>
    <s v="UDCTYZ"/>
    <s v="UDCTYZ"/>
    <s v="Inserindo Accounting - (ExecSQL) - Could not convert variant of type (Null) into type (OleStr)"/>
    <d v="2025-03-07T19:37:00"/>
    <d v="2025-03-10T17:34:00"/>
    <s v="OUTROS"/>
    <s v="ERRO NO XML"/>
    <s v=""/>
    <x v="0"/>
    <s v="SUPORTE OBT"/>
    <s v="COLUNA I"/>
  </r>
  <r>
    <n v="3286793"/>
    <s v="SABRE"/>
    <x v="525"/>
    <s v="WJCCDN"/>
    <s v="WJCCDN"/>
    <s v="Inserindo Accounting - (ExecSQL) - Could not convert variant of type (Null) into type (OleStr)"/>
    <d v="2025-03-07T19:37:00"/>
    <d v="2025-03-10T17:34:00"/>
    <s v="OUTROS"/>
    <s v="ERRO NO XML"/>
    <s v=""/>
    <x v="0"/>
    <s v="SUPORTE OBT"/>
    <s v="COLUNA I"/>
  </r>
  <r>
    <n v="3286794"/>
    <s v="SABRE"/>
    <x v="525"/>
    <s v="WTYGUZ"/>
    <s v="WTYGUZ"/>
    <s v="Não localizado cliente código [0004222573].&lt;-ObterCliente&lt;-MontarPnrBase&lt;-ProcessarAereo&lt;-ProcessarItemFila[b]"/>
    <d v="2025-03-07T19:37:00"/>
    <d v="2025-03-10T17:34:00"/>
    <s v="CLIENTE"/>
    <s v="CÓD. CLIENTE DIVERGENTE"/>
    <s v="CÓDIGO DIFERENTE DO CADASTRADO NO BENNER (CLIENTE X GRUPO)"/>
    <x v="1"/>
    <s v="SUPORTE OBT"/>
    <n v="1"/>
  </r>
  <r>
    <n v="3286826"/>
    <s v="TMS"/>
    <x v="526"/>
    <n v="5367"/>
    <n v="5367"/>
    <s v="Preenchendo XML Serviço-&gt; Preenchendo XML-&gt; Montando accounting aereo 2-&gt;Não foi informado o Localizador do Assento/Bagagem!"/>
    <d v="2025-03-07T20:32:00"/>
    <d v="2025-03-10T21:34:00"/>
    <s v="OUTROS"/>
    <s v="ASSENTO / BAGAGEM"/>
    <s v="CAMPO OBSERVAÇÃO PREENCHIDO INCORRETAMENTE"/>
    <x v="1"/>
    <s v="OPERAÇÕES / SUPORTE KCS"/>
    <n v="118"/>
  </r>
  <r>
    <n v="3287018"/>
    <s v="SABRE"/>
    <x v="262"/>
    <s v="LHVSCV"/>
    <s v="LHVSCV"/>
    <s v="Não localizado cliente código [1234567890].&lt;-ObterCliente&lt;-MontarPnrBase&lt;-ProcessarAereo&lt;-ProcessarItemFila[b]"/>
    <d v="2025-03-07T20:47:00"/>
    <m/>
    <s v="CLIENTE"/>
    <s v="CÓD. CLIENTE DIVERGENTE"/>
    <s v="CÓDIGO DIFERENTE DO CADASTRADO NO BENNER (CLIENTE X GRUPO)"/>
    <x v="1"/>
    <s v="SUPORTE OBT"/>
    <n v="1"/>
  </r>
  <r>
    <n v="3287021"/>
    <s v="SABRE"/>
    <x v="262"/>
    <s v="SXOFEP"/>
    <s v="SXOFEP"/>
    <s v="Não localizado cliente código [0004223565].&lt;-ObterCliente&lt;-MontarPnrBase&lt;-ProcessarAereo&lt;-ProcessarItemFila[b]"/>
    <d v="2025-03-07T20:47:00"/>
    <m/>
    <s v="CLIENTE"/>
    <s v="CÓD. CLIENTE DIVERGENTE"/>
    <s v="CÓDIGO DIFERENTE DO CADASTRADO NO BENNER (CLIENTE X GRUPO)"/>
    <x v="1"/>
    <s v="SUPORTE OBT"/>
    <n v="1"/>
  </r>
  <r>
    <n v="3287024"/>
    <s v="SABRE"/>
    <x v="262"/>
    <s v="LFAPRV"/>
    <s v="LFAPRV"/>
    <s v="Código de cliente não identificado&lt;-ObterCliente&lt;-MontarPnrBase&lt;-ProcessarAereo&lt;-ProcessarItemFila[b]"/>
    <d v="2025-03-07T20:47:00"/>
    <m/>
    <s v="CLIENTE"/>
    <s v="CLIENTE NÃO IDENTIFICADO"/>
    <s v="DK DE CLIENTE NÃO PREENCIDO / CLIENTE NÃO CONFIGURADO NO OBT"/>
    <x v="2"/>
    <s v="OPERAÇÕES / SUPORTE KCS"/>
    <s v="COLUNA I"/>
  </r>
  <r>
    <n v="3287051"/>
    <s v="SABRE"/>
    <x v="527"/>
    <s v="SXSZQK"/>
    <s v="SXSZQK"/>
    <s v="Código de cliente não identificado&lt;-ObterCliente&lt;-MontarPnrBase&lt;-ProcessarAereo&lt;-ProcessarItemFila[b]"/>
    <d v="2025-03-07T20:49:00"/>
    <d v="2025-03-10T17:05:00"/>
    <s v="CLIENTE"/>
    <s v="CLIENTE NÃO IDENTIFICADO"/>
    <s v="DK DE CLIENTE NÃO PREENCIDO / CLIENTE NÃO CONFIGURADO NO OBT"/>
    <x v="2"/>
    <s v="OPERAÇÕES / SUPORTE KCS"/>
    <s v="COLUNA I"/>
  </r>
  <r>
    <n v="3287088"/>
    <s v="SABRE"/>
    <x v="262"/>
    <s v="UNGBMW"/>
    <s v="UNGBMW"/>
    <s v="Não localizado cliente código [0004220155].&lt;-ObterCliente&lt;-MontarPnrBase&lt;-ProcessarAereo&lt;-ProcessarItemFila[b]"/>
    <d v="2025-03-07T20:51:00"/>
    <m/>
    <s v="CLIENTE"/>
    <s v="CÓD. CLIENTE DIVERGENTE"/>
    <s v="CÓDIGO DIFERENTE DO CADASTRADO NO BENNER (CLIENTE X GRUPO)"/>
    <x v="1"/>
    <s v="SUPORTE OBT"/>
    <n v="1"/>
  </r>
  <r>
    <n v="3287105"/>
    <s v="SABRE"/>
    <x v="528"/>
    <s v="LBYAFH"/>
    <s v="LBYAFH"/>
    <s v="Não localizado cliente código [0004222573].&lt;-ObterCliente&lt;-MontarPnrBase&lt;-ProcessarAereo&lt;-ProcessarItemFila[b]"/>
    <d v="2025-03-07T20:52:00"/>
    <d v="2025-03-11T11:08:00"/>
    <s v="CLIENTE"/>
    <s v="CÓD. CLIENTE DIVERGENTE"/>
    <s v="CÓDIGO DIFERENTE DO CADASTRADO NO BENNER (CLIENTE X GRUPO)"/>
    <x v="1"/>
    <s v="SUPORTE OBT"/>
    <n v="1"/>
  </r>
  <r>
    <n v="3287108"/>
    <s v="SABRE"/>
    <x v="529"/>
    <s v="UBHGVV"/>
    <s v="UBHGVV"/>
    <s v="Não localizado cliente código [0004223565].&lt;-ObterCliente&lt;-MontarPnrBase&lt;-ProcessarAereo&lt;-ProcessarItemFila[b]"/>
    <d v="2025-03-07T20:53:00"/>
    <d v="2025-03-11T11:23:00"/>
    <s v="CLIENTE"/>
    <s v="CÓD. CLIENTE DIVERGENTE"/>
    <s v="CÓDIGO DIFERENTE DO CADASTRADO NO BENNER (CLIENTE X GRUPO)"/>
    <x v="1"/>
    <s v="SUPORTE OBT"/>
    <n v="1"/>
  </r>
  <r>
    <n v="3287112"/>
    <s v="SABRE"/>
    <x v="262"/>
    <s v="UCKBQX"/>
    <s v="UCKBQX"/>
    <s v="Não localizado cliente código [0004223565].&lt;-ObterCliente&lt;-MontarPnrBase&lt;-ProcessarAereo&lt;-ProcessarItemFila[b]"/>
    <d v="2025-03-07T20:53:00"/>
    <m/>
    <s v="CLIENTE"/>
    <s v="CÓD. CLIENTE DIVERGENTE"/>
    <s v="CÓDIGO DIFERENTE DO CADASTRADO NO BENNER (CLIENTE X GRUPO)"/>
    <x v="1"/>
    <s v="SUPORTE OBT"/>
    <n v="1"/>
  </r>
  <r>
    <n v="3287115"/>
    <s v="SABRE"/>
    <x v="262"/>
    <s v="WKONBP"/>
    <s v="WKONBP"/>
    <s v="Não localizado cliente código [0000583808].&lt;-ObterCliente&lt;-MontarPnrBase&lt;-ProcessarAereo&lt;-ProcessarItemFila[b]"/>
    <d v="2025-03-07T20:53:00"/>
    <m/>
    <s v="CLIENTE"/>
    <s v="CÓD. CLIENTE DIVERGENTE"/>
    <s v="CÓDIGO DIFERENTE DO CADASTRADO NO BENNER (CLIENTE X GRUPO)"/>
    <x v="1"/>
    <s v="SUPORTE OBT"/>
    <n v="1"/>
  </r>
  <r>
    <n v="3287116"/>
    <s v="SABRE"/>
    <x v="530"/>
    <s v="MEZZEF"/>
    <s v="MEZZEF"/>
    <s v="Não localizado cliente código [0004222573].&lt;-ObterCliente&lt;-MontarPnrBase&lt;-ProcessarAereo&lt;-ProcessarItemFila[b]"/>
    <d v="2025-03-07T20:53:00"/>
    <d v="2025-03-11T11:24:00"/>
    <s v="CLIENTE"/>
    <s v="CÓD. CLIENTE DIVERGENTE"/>
    <s v="CÓDIGO DIFERENTE DO CADASTRADO NO BENNER (CLIENTE X GRUPO)"/>
    <x v="1"/>
    <s v="SUPORTE OBT"/>
    <n v="1"/>
  </r>
  <r>
    <n v="3287129"/>
    <s v="SABRE"/>
    <x v="262"/>
    <s v="SWCRTD"/>
    <s v="SWCRTD"/>
    <s v="Não localizado cliente código [1234567890].&lt;-ObterCliente&lt;-MontarPnrBase&lt;-ProcessarAereo&lt;-ProcessarItemFila[b]"/>
    <d v="2025-03-07T20:54:00"/>
    <m/>
    <s v="CLIENTE"/>
    <s v="CÓD. CLIENTE DIVERGENTE"/>
    <s v="CÓDIGO DIFERENTE DO CADASTRADO NO BENNER (CLIENTE X GRUPO)"/>
    <x v="1"/>
    <s v="SUPORTE OBT"/>
    <n v="1"/>
  </r>
  <r>
    <n v="3287133"/>
    <s v="SABRE"/>
    <x v="531"/>
    <s v="GMHDRN"/>
    <s v="GMHDRN"/>
    <s v="Não localizado cliente código [0004224627].&lt;-ObterCliente&lt;-MontarPnrBase&lt;-ProcessarAereo&lt;-ProcessarItemFila[b]"/>
    <d v="2025-03-07T20:54:00"/>
    <d v="2025-03-11T11:55:00"/>
    <s v="CLIENTE"/>
    <s v="CÓD. CLIENTE DIVERGENTE"/>
    <s v="CÓDIGO DIFERENTE DO CADASTRADO NO BENNER (CLIENTE X GRUPO)"/>
    <x v="1"/>
    <s v="SUPORTE OBT"/>
    <n v="1"/>
  </r>
  <r>
    <n v="3287137"/>
    <s v="SABRE"/>
    <x v="262"/>
    <s v="MFIMZW"/>
    <s v="MFIMZW"/>
    <s v="Não localizado cliente código [1234567890].&lt;-ObterCliente&lt;-MontarPnrBase&lt;-ProcessarAereo&lt;-ProcessarItemFila[b]"/>
    <d v="2025-03-07T20:55:00"/>
    <m/>
    <s v="CLIENTE"/>
    <s v="CÓD. CLIENTE DIVERGENTE"/>
    <s v="CÓDIGO DIFERENTE DO CADASTRADO NO BENNER (CLIENTE X GRUPO)"/>
    <x v="1"/>
    <s v="SUPORTE OBT"/>
    <n v="1"/>
  </r>
  <r>
    <n v="3287140"/>
    <s v="SABRE"/>
    <x v="262"/>
    <s v="UCQZPS"/>
    <s v="UCQZPS"/>
    <s v="Não localizado cliente código [0000392619].&lt;-ObterCliente&lt;-MontarPnrBase&lt;-ProcessarAereo&lt;-ProcessarItemFila[b]"/>
    <d v="2025-03-07T20:55:00"/>
    <m/>
    <s v="CLIENTE"/>
    <s v="CÓD. CLIENTE DIVERGENTE"/>
    <s v="CÓDIGO DIFERENTE DO CADASTRADO NO BENNER (CLIENTE X GRUPO)"/>
    <x v="1"/>
    <s v="SUPORTE OBT"/>
    <n v="1"/>
  </r>
  <r>
    <n v="3287148"/>
    <s v="SABRE"/>
    <x v="532"/>
    <s v="QCUJEE"/>
    <s v="QCUJEE"/>
    <s v="Não localizado cliente código [0004222573].&lt;-ObterCliente&lt;-MontarPnrBase&lt;-ProcessarAereo&lt;-ProcessarItemFila[b]"/>
    <d v="2025-03-07T20:55:00"/>
    <d v="2025-03-11T20:33:00"/>
    <s v="CLIENTE"/>
    <s v="CÓD. CLIENTE DIVERGENTE"/>
    <s v="CÓDIGO DIFERENTE DO CADASTRADO NO BENNER (CLIENTE X GRUPO)"/>
    <x v="1"/>
    <s v="SUPORTE OBT"/>
    <n v="1"/>
  </r>
  <r>
    <n v="3287152"/>
    <s v="SABRE"/>
    <x v="262"/>
    <s v="JZLHWJ"/>
    <s v="JZLHWJ"/>
    <s v="Não localizado cliente código [0000392619].&lt;-ObterCliente&lt;-MontarPnrBase&lt;-ProcessarAereo&lt;-ProcessarItemFila[b]"/>
    <d v="2025-03-07T20:55:00"/>
    <m/>
    <s v="CLIENTE"/>
    <s v="CÓD. CLIENTE DIVERGENTE"/>
    <s v="CÓDIGO DIFERENTE DO CADASTRADO NO BENNER (CLIENTE X GRUPO)"/>
    <x v="1"/>
    <s v="SUPORTE OBT"/>
    <n v="1"/>
  </r>
  <r>
    <n v="3287153"/>
    <s v="SABRE"/>
    <x v="262"/>
    <s v="CKZXRP"/>
    <s v="CKZXRP"/>
    <s v="Não localizado cliente código [0000392619].&lt;-ObterCliente&lt;-MontarPnrBase&lt;-ProcessarAereo&lt;-ProcessarItemFila[b]"/>
    <d v="2025-03-07T20:56:00"/>
    <m/>
    <s v="CLIENTE"/>
    <s v="CÓD. CLIENTE DIVERGENTE"/>
    <s v="CÓDIGO DIFERENTE DO CADASTRADO NO BENNER (CLIENTE X GRUPO)"/>
    <x v="1"/>
    <s v="SUPORTE OBT"/>
    <n v="1"/>
  </r>
  <r>
    <n v="3288296"/>
    <s v="SABRE"/>
    <x v="533"/>
    <s v="DMKMLI"/>
    <s v="DMKMLI"/>
    <s v="Não localizado cliente código [0000068435].&lt;-ObterCliente&lt;-MontarPnrBase&lt;-ProcessarAereo&lt;-ProcessarItemFila[b]"/>
    <d v="2025-03-10T10:18:00"/>
    <d v="2025-03-13T10:48:00"/>
    <s v="CLIENTE"/>
    <s v="CÓD. CLIENTE DIVERGENTE"/>
    <s v="CÓDIGO DIFERENTE DO CADASTRADO NO BENNER (CLIENTE X GRUPO)"/>
    <x v="1"/>
    <s v="SUPORTE OBT"/>
    <n v="1"/>
  </r>
  <r>
    <n v="3288566"/>
    <s v="SABRE"/>
    <x v="534"/>
    <s v="MFWGAQ"/>
    <s v="MFWGAQ"/>
    <s v="Não localizado cliente código [0000068777].&lt;-ObterCliente&lt;-MontarPnrBase&lt;-ProcessarAereo&lt;-ProcessarItemFila[b]"/>
    <d v="2025-03-10T12:33:00"/>
    <m/>
    <s v="CLIENTE"/>
    <s v="CÓD. CLIENTE DIVERGENTE"/>
    <s v="CÓDIGO DIFERENTE DO CADASTRADO NO BENNER (CLIENTE X GRUPO)"/>
    <x v="1"/>
    <s v="SUPORTE OBT"/>
    <n v="1"/>
  </r>
  <r>
    <n v="3288567"/>
    <s v="SABRE"/>
    <x v="534"/>
    <s v="MFWGAQT"/>
    <s v="MFWGAQ"/>
    <s v="Não localizado cliente código [0000068777].&lt;-ObterCliente&lt;-MontarPnrBase&lt;-MontarPnr&lt;-ProcessarHotel&lt;-ProcessarItemFila[b]"/>
    <d v="2025-03-10T12:33:00"/>
    <m/>
    <s v="CLIENTE"/>
    <s v="CÓD. CLIENTE DIVERGENTE"/>
    <s v="CÓDIGO DIFERENTE DO CADASTRADO NO BENNER (CLIENTE X GRUPO)"/>
    <x v="1"/>
    <s v="SUPORTE OBT"/>
    <n v="1"/>
  </r>
  <r>
    <n v="3288748"/>
    <s v="SABRE"/>
    <x v="535"/>
    <s v="DJEATW"/>
    <s v="DJEATW"/>
    <s v="Código de cliente não identificado&lt;-ObterCliente&lt;-MontarPnrBase&lt;-ProcessarAereo&lt;-ProcessarItemFila[b]"/>
    <d v="2025-03-10T13:51:00"/>
    <m/>
    <s v="CLIENTE"/>
    <s v="CLIENTE NÃO IDENTIFICADO"/>
    <s v="DK DE CLIENTE NÃO PREENCIDO / CLIENTE NÃO CONFIGURADO NO OBT"/>
    <x v="2"/>
    <s v="OPERAÇÕES / SUPORTE KCS"/>
    <s v="COLUNA I"/>
  </r>
  <r>
    <n v="3288750"/>
    <s v="SABRE"/>
    <x v="535"/>
    <s v="OQYIXA"/>
    <s v="OQYIXA"/>
    <s v="Não localizado cliente código [0000583831].&lt;-ObterCliente&lt;-MontarPnrBase&lt;-ProcessarAereo&lt;-ProcessarItemFila[b]"/>
    <d v="2025-03-10T13:51:00"/>
    <m/>
    <s v="CLIENTE"/>
    <s v="CÓD. CLIENTE DIVERGENTE"/>
    <s v="CÓDIGO DIFERENTE DO CADASTRADO NO BENNER (CLIENTE X GRUPO)"/>
    <x v="1"/>
    <s v="SUPORTE OBT"/>
    <n v="1"/>
  </r>
  <r>
    <n v="3288751"/>
    <s v="SABRE"/>
    <x v="535"/>
    <s v="OIWLZE"/>
    <s v="OIWLZE"/>
    <s v="Não localizado cliente código [0000583831].&lt;-ObterCliente&lt;-MontarPnrBase&lt;-ProcessarAereo&lt;-ProcessarItemFila[b]"/>
    <d v="2025-03-10T13:51:00"/>
    <m/>
    <s v="CLIENTE"/>
    <s v="CÓD. CLIENTE DIVERGENTE"/>
    <s v="CÓDIGO DIFERENTE DO CADASTRADO NO BENNER (CLIENTE X GRUPO)"/>
    <x v="1"/>
    <s v="SUPORTE OBT"/>
    <n v="1"/>
  </r>
  <r>
    <n v="3288752"/>
    <s v="SABRE"/>
    <x v="535"/>
    <s v="CESHHN"/>
    <s v="CESHHN"/>
    <s v="Código de cliente não identificado&lt;-ObterCliente&lt;-MontarPnrBase&lt;-ProcessarAereo&lt;-ProcessarItemFila[b]"/>
    <d v="2025-03-10T13:51:00"/>
    <m/>
    <s v="CLIENTE"/>
    <s v="CLIENTE NÃO IDENTIFICADO"/>
    <s v="DK DE CLIENTE NÃO PREENCIDO / CLIENTE NÃO CONFIGURADO NO OBT"/>
    <x v="2"/>
    <s v="OPERAÇÕES / SUPORTE KCS"/>
    <s v="COLUNA I"/>
  </r>
  <r>
    <n v="3288756"/>
    <s v="SABRE"/>
    <x v="536"/>
    <s v="CGHSYW"/>
    <s v="CGHSYW"/>
    <s v="Verificando Trechos - Excluindo Trechos - Could not convert variant of type (Null) into type (OleStr)"/>
    <d v="2025-03-10T13:52:00"/>
    <d v="2025-03-18T18:55:00"/>
    <s v="OUTROS"/>
    <s v="ERRO NO XML"/>
    <s v=""/>
    <x v="0"/>
    <s v="SUPORTE OBT"/>
    <s v="COLUNA I"/>
  </r>
  <r>
    <n v="3289013"/>
    <s v="TMS"/>
    <x v="537"/>
    <n v="56419"/>
    <n v="56419"/>
    <s v="Preenchendo XML Serviço-&gt; Preenchendo XML-&gt; Montando accounting aereo 2-&gt;Não foi informado o Localizador do Assento/Bagagem!"/>
    <d v="2025-03-10T15:43:00"/>
    <d v="2025-03-13T22:43:00"/>
    <s v="OUTROS"/>
    <s v="ASSENTO / BAGAGEM"/>
    <s v="CAMPO OBSERVAÇÃO PREENCHIDO INCORRETAMENTE"/>
    <x v="1"/>
    <s v="OPERAÇÕES / SUPORTE KCS"/>
    <n v="118"/>
  </r>
  <r>
    <n v="3289730"/>
    <s v="SABRE"/>
    <x v="525"/>
    <s v="KYBRMG"/>
    <s v="KYBRMG"/>
    <s v="Não localizado cliente código [0000068435].&lt;-ObterCliente&lt;-MontarPnrBase&lt;-ProcessarAereo&lt;-ProcessarItemFila[b]"/>
    <d v="2025-03-10T17:34:00"/>
    <m/>
    <s v="CLIENTE"/>
    <s v="CÓD. CLIENTE DIVERGENTE"/>
    <s v="CÓDIGO DIFERENTE DO CADASTRADO NO BENNER (CLIENTE X GRUPO)"/>
    <x v="1"/>
    <s v="SUPORTE OBT"/>
    <n v="1"/>
  </r>
  <r>
    <n v="3290261"/>
    <s v="SABRE"/>
    <x v="538"/>
    <s v="GJQTHOT"/>
    <s v="GJQTHO"/>
    <s v="ConverterPagamentosRemark-&gt;Input string was not in a correct format.&lt;-MontarAccountinsHotel&lt;-ProcessarHotel&lt;-ProcessarItemFila[b]"/>
    <d v="2025-03-10T19:33:00"/>
    <m/>
    <s v="FORMA PAGTO/RECTO"/>
    <s v="FORMATO DE TEXTO"/>
    <s v="TEXTO FORA DO PADRÃO ACEITO NO CAMPO"/>
    <x v="2"/>
    <s v="SUPORTE OBT"/>
    <s v="COLUNA I"/>
  </r>
  <r>
    <n v="3290275"/>
    <s v="SABRE"/>
    <x v="539"/>
    <s v="OCQSJT"/>
    <s v="OCQSJT"/>
    <s v="Não localizado cliente código [0000068440].&lt;-ObterCliente&lt;-MontarPnrBase&lt;-ProcessarAereo&lt;-ProcessarItemFila[b]"/>
    <d v="2025-03-10T20:03:00"/>
    <d v="2025-03-11T12:03:00"/>
    <s v="CLIENTE"/>
    <s v="CÓD. CLIENTE DIVERGENTE"/>
    <s v="CÓDIGO DIFERENTE DO CADASTRADO NO BENNER (CLIENTE X GRUPO)"/>
    <x v="1"/>
    <s v="SUPORTE OBT"/>
    <n v="1"/>
  </r>
  <r>
    <n v="3290284"/>
    <s v="SABRE"/>
    <x v="540"/>
    <s v="OOKFDY"/>
    <s v="OOKFDY"/>
    <s v="Não localizado cliente código [0004222573].&lt;-ObterCliente&lt;-MontarPnrBase&lt;-ProcessarAereo&lt;-ProcessarItemFila[b]"/>
    <d v="2025-03-10T20:19:00"/>
    <d v="2025-03-11T19:36:00"/>
    <s v="CLIENTE"/>
    <s v="CÓD. CLIENTE DIVERGENTE"/>
    <s v="CÓDIGO DIFERENTE DO CADASTRADO NO BENNER (CLIENTE X GRUPO)"/>
    <x v="1"/>
    <s v="SUPORTE OBT"/>
    <n v="1"/>
  </r>
  <r>
    <n v="3290298"/>
    <s v="SABRE"/>
    <x v="541"/>
    <s v="YIFHCI"/>
    <s v="YIFHCI"/>
    <s v="Não localizado cliente código [0004222573].&lt;-ObterCliente&lt;-MontarPnrBase&lt;-ProcessarAereo&lt;-ProcessarItemFila[b]"/>
    <d v="2025-03-10T20:21:00"/>
    <d v="2025-03-11T19:51:00"/>
    <s v="CLIENTE"/>
    <s v="CÓD. CLIENTE DIVERGENTE"/>
    <s v="CÓDIGO DIFERENTE DO CADASTRADO NO BENNER (CLIENTE X GRUPO)"/>
    <x v="1"/>
    <s v="SUPORTE OBT"/>
    <n v="1"/>
  </r>
  <r>
    <n v="3290301"/>
    <s v="SABRE"/>
    <x v="542"/>
    <s v="DDRQBF"/>
    <s v="DDRQBF"/>
    <s v="Não localizado cliente código [0004224627].&lt;-ObterCliente&lt;-MontarPnrBase&lt;-ProcessarAereo&lt;-ProcessarItemFila[b]"/>
    <d v="2025-03-10T20:22:00"/>
    <d v="2025-03-11T13:33:00"/>
    <s v="CLIENTE"/>
    <s v="CÓD. CLIENTE DIVERGENTE"/>
    <s v="CÓDIGO DIFERENTE DO CADASTRADO NO BENNER (CLIENTE X GRUPO)"/>
    <x v="1"/>
    <s v="SUPORTE OBT"/>
    <n v="1"/>
  </r>
  <r>
    <n v="3290302"/>
    <s v="SABRE"/>
    <x v="543"/>
    <s v="EFNQPY"/>
    <s v="EFNQPY"/>
    <s v="Não localizado cliente código [0004224627].&lt;-ObterCliente&lt;-MontarPnrBase&lt;-ProcessarAereo&lt;-ProcessarItemFila[b]"/>
    <d v="2025-03-10T20:22:00"/>
    <d v="2025-03-11T12:33:00"/>
    <s v="CLIENTE"/>
    <s v="CÓD. CLIENTE DIVERGENTE"/>
    <s v="CÓDIGO DIFERENTE DO CADASTRADO NO BENNER (CLIENTE X GRUPO)"/>
    <x v="1"/>
    <s v="SUPORTE OBT"/>
    <n v="1"/>
  </r>
  <r>
    <n v="3290308"/>
    <s v="SABRE"/>
    <x v="544"/>
    <s v="WTQLKO"/>
    <s v="WTQLKO"/>
    <s v="Não localizado cliente código [0004224627].&lt;-ObterCliente&lt;-MontarPnrBase&lt;-ProcessarAereo&lt;-ProcessarItemFila[b]"/>
    <d v="2025-03-10T20:23:00"/>
    <d v="2025-03-11T13:34:00"/>
    <s v="CLIENTE"/>
    <s v="CÓD. CLIENTE DIVERGENTE"/>
    <s v="CÓDIGO DIFERENTE DO CADASTRADO NO BENNER (CLIENTE X GRUPO)"/>
    <x v="1"/>
    <s v="SUPORTE OBT"/>
    <n v="1"/>
  </r>
  <r>
    <n v="3290314"/>
    <s v="SABRE"/>
    <x v="545"/>
    <s v="JXNBBH"/>
    <s v="JXNBBH"/>
    <s v="Código de cliente não identificado&lt;-ObterCliente&lt;-MontarPnrBase&lt;-ProcessarAereo&lt;-ProcessarItemFila[b]"/>
    <d v="2025-03-10T20:24:00"/>
    <m/>
    <s v="CLIENTE"/>
    <s v="CLIENTE NÃO IDENTIFICADO"/>
    <s v="DK DE CLIENTE NÃO PREENCIDO / CLIENTE NÃO CONFIGURADO NO OBT"/>
    <x v="2"/>
    <s v="OPERAÇÕES / SUPORTE KCS"/>
    <s v="COLUNA I"/>
  </r>
  <r>
    <n v="3290315"/>
    <s v="SABRE"/>
    <x v="545"/>
    <s v="IVPCZQ"/>
    <s v="IVPCZQ"/>
    <s v="Código de cliente não identificado&lt;-ObterCliente&lt;-MontarPnrBase&lt;-ProcessarAereo&lt;-ProcessarItemFila[b]"/>
    <d v="2025-03-10T20:24:00"/>
    <m/>
    <s v="CLIENTE"/>
    <s v="CLIENTE NÃO IDENTIFICADO"/>
    <s v="DK DE CLIENTE NÃO PREENCIDO / CLIENTE NÃO CONFIGURADO NO OBT"/>
    <x v="2"/>
    <s v="OPERAÇÕES / SUPORTE KCS"/>
    <s v="COLUNA I"/>
  </r>
  <r>
    <n v="3290316"/>
    <s v="SABRE"/>
    <x v="545"/>
    <s v="GRILFA"/>
    <s v="GRILFA"/>
    <s v="Código de cliente não identificado&lt;-ObterCliente&lt;-MontarPnrBase&lt;-ProcessarAereo&lt;-ProcessarItemFila[b]"/>
    <d v="2025-03-10T20:24:00"/>
    <m/>
    <s v="CLIENTE"/>
    <s v="CLIENTE NÃO IDENTIFICADO"/>
    <s v="DK DE CLIENTE NÃO PREENCIDO / CLIENTE NÃO CONFIGURADO NO OBT"/>
    <x v="2"/>
    <s v="OPERAÇÕES / SUPORTE KCS"/>
    <s v="COLUNA I"/>
  </r>
  <r>
    <n v="3290318"/>
    <s v="SABRE"/>
    <x v="545"/>
    <s v="HFDGEZ"/>
    <s v="HFDGEZ"/>
    <s v="Código de cliente não identificado&lt;-ObterCliente&lt;-MontarPnrBase&lt;-ProcessarAereo&lt;-ProcessarItemFila[b]"/>
    <d v="2025-03-10T20:25:00"/>
    <m/>
    <s v="CLIENTE"/>
    <s v="CLIENTE NÃO IDENTIFICADO"/>
    <s v="DK DE CLIENTE NÃO PREENCIDO / CLIENTE NÃO CONFIGURADO NO OBT"/>
    <x v="2"/>
    <s v="OPERAÇÕES / SUPORTE KCS"/>
    <s v="COLUNA I"/>
  </r>
  <r>
    <n v="3290320"/>
    <s v="SABRE"/>
    <x v="545"/>
    <s v="ASJMFN"/>
    <s v="ASJMFN"/>
    <s v="Código de cliente não identificado&lt;-ObterCliente&lt;-MontarPnrBase&lt;-ProcessarAereo&lt;-ProcessarItemFila[b]"/>
    <d v="2025-03-10T20:25:00"/>
    <m/>
    <s v="CLIENTE"/>
    <s v="CLIENTE NÃO IDENTIFICADO"/>
    <s v="DK DE CLIENTE NÃO PREENCIDO / CLIENTE NÃO CONFIGURADO NO OBT"/>
    <x v="2"/>
    <s v="OPERAÇÕES / SUPORTE KCS"/>
    <s v="COLUNA I"/>
  </r>
  <r>
    <n v="3290321"/>
    <s v="SABRE"/>
    <x v="545"/>
    <s v="HGXYIF"/>
    <s v="HGXYIF"/>
    <s v="Código de cliente não identificado&lt;-ObterCliente&lt;-MontarPnrBase&lt;-ProcessarAereo&lt;-ProcessarItemFila[b]"/>
    <d v="2025-03-10T20:25:00"/>
    <m/>
    <s v="CLIENTE"/>
    <s v="CLIENTE NÃO IDENTIFICADO"/>
    <s v="DK DE CLIENTE NÃO PREENCIDO / CLIENTE NÃO CONFIGURADO NO OBT"/>
    <x v="2"/>
    <s v="OPERAÇÕES / SUPORTE KCS"/>
    <s v="COLUNA I"/>
  </r>
  <r>
    <n v="3290322"/>
    <s v="SABRE"/>
    <x v="545"/>
    <s v="GMIMMK"/>
    <s v="GMIMMK"/>
    <s v="Código de cliente não identificado&lt;-ObterCliente&lt;-MontarPnrBase&lt;-ProcessarAereo&lt;-ProcessarItemFila[b]"/>
    <d v="2025-03-10T20:25:00"/>
    <m/>
    <s v="CLIENTE"/>
    <s v="CLIENTE NÃO IDENTIFICADO"/>
    <s v="DK DE CLIENTE NÃO PREENCIDO / CLIENTE NÃO CONFIGURADO NO OBT"/>
    <x v="2"/>
    <s v="OPERAÇÕES / SUPORTE KCS"/>
    <s v="COLUNA I"/>
  </r>
  <r>
    <n v="3290323"/>
    <s v="SABRE"/>
    <x v="545"/>
    <s v="OCZBOU"/>
    <s v="OCZBOU"/>
    <s v="Código de cliente não identificado&lt;-ObterCliente&lt;-MontarPnrBase&lt;-ProcessarAereo&lt;-ProcessarItemFila[b]"/>
    <d v="2025-03-10T20:25:00"/>
    <m/>
    <s v="CLIENTE"/>
    <s v="CLIENTE NÃO IDENTIFICADO"/>
    <s v="DK DE CLIENTE NÃO PREENCIDO / CLIENTE NÃO CONFIGURADO NO OBT"/>
    <x v="2"/>
    <s v="OPERAÇÕES / SUPORTE KCS"/>
    <s v="COLUNA I"/>
  </r>
  <r>
    <n v="3290324"/>
    <s v="SABRE"/>
    <x v="545"/>
    <s v="NNLTYZ"/>
    <s v="NNLTYZ"/>
    <s v="Código de cliente não identificado&lt;-ObterCliente&lt;-MontarPnrBase&lt;-ProcessarAereo&lt;-ProcessarItemFila[b]"/>
    <d v="2025-03-10T20:25:00"/>
    <m/>
    <s v="CLIENTE"/>
    <s v="CLIENTE NÃO IDENTIFICADO"/>
    <s v="DK DE CLIENTE NÃO PREENCIDO / CLIENTE NÃO CONFIGURADO NO OBT"/>
    <x v="2"/>
    <s v="OPERAÇÕES / SUPORTE KCS"/>
    <s v="COLUNA I"/>
  </r>
  <r>
    <n v="3290329"/>
    <s v="SABRE"/>
    <x v="545"/>
    <s v="KSHSUR"/>
    <s v="KSHSUR"/>
    <s v="Código de cliente não identificado&lt;-ObterCliente&lt;-MontarPnrBase&lt;-ProcessarAereo&lt;-ProcessarItemFila[b]"/>
    <d v="2025-03-10T20:26:00"/>
    <m/>
    <s v="CLIENTE"/>
    <s v="CLIENTE NÃO IDENTIFICADO"/>
    <s v="DK DE CLIENTE NÃO PREENCIDO / CLIENTE NÃO CONFIGURADO NO OBT"/>
    <x v="2"/>
    <s v="OPERAÇÕES / SUPORTE KCS"/>
    <s v="COLUNA I"/>
  </r>
  <r>
    <n v="3290332"/>
    <s v="SABRE"/>
    <x v="545"/>
    <s v="OQYNMN"/>
    <s v="OQYNMN"/>
    <s v="Código de cliente não identificado&lt;-ObterCliente&lt;-MontarPnrBase&lt;-ProcessarAereo&lt;-ProcessarItemFila[b]"/>
    <d v="2025-03-10T20:26:00"/>
    <m/>
    <s v="CLIENTE"/>
    <s v="CLIENTE NÃO IDENTIFICADO"/>
    <s v="DK DE CLIENTE NÃO PREENCIDO / CLIENTE NÃO CONFIGURADO NO OBT"/>
    <x v="2"/>
    <s v="OPERAÇÕES / SUPORTE KCS"/>
    <s v="COLUNA I"/>
  </r>
  <r>
    <n v="3290731"/>
    <s v="TMS"/>
    <x v="546"/>
    <n v="3130"/>
    <n v="3130"/>
    <s v="Preenchendo XML Serviço-&gt; Preenchendo XML-&gt; Montando accounting aereo 3-&gt;Reserva Assent não encontrada para importar assento/bagagem!"/>
    <d v="2025-03-10T22:41:00"/>
    <d v="2025-03-13T23:12:00"/>
    <s v="OUTROS"/>
    <s v="ASSENTO / BAGAGEM"/>
    <s v="CAMPO OBSERVAÇÃO PREENCHIDO INCORRETAMENTE"/>
    <x v="1"/>
    <s v="OPERAÇÕES / SUPORTE KCS"/>
    <n v="127"/>
  </r>
  <r>
    <n v="3290732"/>
    <s v="TMS"/>
    <x v="547"/>
    <n v="3129"/>
    <n v="3129"/>
    <s v="Preenchendo XML Serviço-&gt; Preenchendo XML-&gt; Montando accounting aereo 3-&gt;Reserva Assent não encontrada para importar assento/bagagem!"/>
    <d v="2025-03-10T22:41:00"/>
    <d v="2025-03-13T23:13:00"/>
    <s v="OUTROS"/>
    <s v="ASSENTO / BAGAGEM"/>
    <s v="CAMPO OBSERVAÇÃO PREENCHIDO INCORRETAMENTE"/>
    <x v="1"/>
    <s v="OPERAÇÕES / SUPORTE KCS"/>
    <n v="127"/>
  </r>
  <r>
    <n v="3290907"/>
    <s v="TMS"/>
    <x v="548"/>
    <n v="13906"/>
    <n v="13906"/>
    <s v="Preenchendo XML Serviço-&gt; Preenchendo XML-&gt; Montando accounting aereo 3-&gt;Reserva 685469 não encontrada para importar assento/bagagem!"/>
    <d v="2025-03-10T23:14:00"/>
    <d v="2025-03-13T23:29:00"/>
    <s v="OUTROS"/>
    <s v="ASSENTO / BAGAGEM"/>
    <s v="CAMPO OBSERVAÇÃO PREENCHIDO INCORRETAMENTE"/>
    <x v="1"/>
    <s v="OPERAÇÕES / SUPORTE KCS"/>
    <n v="127"/>
  </r>
  <r>
    <n v="3291253"/>
    <s v="TMS"/>
    <x v="549"/>
    <n v="3438"/>
    <n v="3438"/>
    <s v="Preenchendo XML Serviço-&gt; Preenchendo XML-&gt; Montando accounting aereo 2-&gt;Não foi informado o Localizador do Assento/Bagagem!"/>
    <d v="2025-03-11T09:37:00"/>
    <d v="2025-03-17T17:44:00"/>
    <s v="OUTROS"/>
    <s v="ASSENTO / BAGAGEM"/>
    <s v="CAMPO OBSERVAÇÃO PREENCHIDO INCORRETAMENTE"/>
    <x v="1"/>
    <s v="OPERAÇÕES / SUPORTE KCS"/>
    <n v="118"/>
  </r>
  <r>
    <n v="3291655"/>
    <s v="SABRE"/>
    <x v="550"/>
    <s v="MFCVPG"/>
    <s v="MFCVPG"/>
    <s v="Não localizado cliente código [0000068777].&lt;-ObterCliente&lt;-MontarPnrBase&lt;-ProcessarAereo&lt;-ProcessarItemFila[b]"/>
    <d v="2025-03-11T11:32:00"/>
    <m/>
    <s v="CLIENTE"/>
    <s v="CÓD. CLIENTE DIVERGENTE"/>
    <s v="CÓDIGO DIFERENTE DO CADASTRADO NO BENNER (CLIENTE X GRUPO)"/>
    <x v="1"/>
    <s v="SUPORTE OBT"/>
    <n v="1"/>
  </r>
  <r>
    <n v="3291657"/>
    <s v="SABRE"/>
    <x v="551"/>
    <s v="JZLSFA"/>
    <s v="JZLSFA"/>
    <s v="Não localizado cliente código [0000068777].&lt;-ObterCliente&lt;-MontarPnrBase&lt;-ProcessarAereo&lt;-ProcessarItemFila[b]"/>
    <d v="2025-03-11T11:33:00"/>
    <m/>
    <s v="CLIENTE"/>
    <s v="CÓD. CLIENTE DIVERGENTE"/>
    <s v="CÓDIGO DIFERENTE DO CADASTRADO NO BENNER (CLIENTE X GRUPO)"/>
    <x v="1"/>
    <s v="SUPORTE OBT"/>
    <n v="1"/>
  </r>
  <r>
    <n v="3291660"/>
    <s v="SABRE"/>
    <x v="552"/>
    <s v="ALYJBZ"/>
    <s v="ALYJBZ"/>
    <s v="Não localizado cliente código [0004223565].&lt;-ObterCliente&lt;-MontarPnrBase&lt;-ProcessarAereo&lt;-ProcessarItemFila[b]"/>
    <d v="2025-03-11T11:33:00"/>
    <d v="2025-03-12T12:04:00"/>
    <s v="CLIENTE"/>
    <s v="CÓD. CLIENTE DIVERGENTE"/>
    <s v="CÓDIGO DIFERENTE DO CADASTRADO NO BENNER (CLIENTE X GRUPO)"/>
    <x v="1"/>
    <s v="SUPORTE OBT"/>
    <n v="1"/>
  </r>
  <r>
    <n v="3291744"/>
    <s v="SABRE"/>
    <x v="553"/>
    <s v="ALYJRJ"/>
    <s v="ALYJRJ"/>
    <s v="Não localizado cliente código [0000068777].&lt;-ObterCliente&lt;-MontarPnrBase&lt;-ProcessarAereo&lt;-ProcessarItemFila[b]"/>
    <d v="2025-03-11T12:18:00"/>
    <m/>
    <s v="CLIENTE"/>
    <s v="CÓD. CLIENTE DIVERGENTE"/>
    <s v="CÓDIGO DIFERENTE DO CADASTRADO NO BENNER (CLIENTE X GRUPO)"/>
    <x v="1"/>
    <s v="SUPORTE OBT"/>
    <n v="1"/>
  </r>
  <r>
    <n v="3292055"/>
    <s v="SABRE"/>
    <x v="532"/>
    <s v="FDTDIU"/>
    <s v="FDTDIU"/>
    <s v="Não localizado cliente com CNPJ [2379828000128].&lt;-ObterCliente&lt;-MontarPnrBase&lt;-ProcessarAereo&lt;-ProcessarItemFila[b]"/>
    <d v="2025-03-11T15:33:00"/>
    <d v="2025-03-11T20:34:00"/>
    <s v="CLIENTE"/>
    <s v="REMARK - CNPJ"/>
    <s v=""/>
    <x v="2"/>
    <s v="OPERAÇÕES / SUPORTE KCS"/>
    <n v="24"/>
  </r>
  <r>
    <n v="3292118"/>
    <s v="TMS"/>
    <x v="554"/>
    <n v="56708"/>
    <n v="56708"/>
    <s v="Preenchendo XML Serviço-&gt; Preenchendo XML-&gt; Montando accounting aereo 3-&gt;Reserva Latamc não encontrada para importar assento/bagagem!"/>
    <d v="2025-03-11T15:52:00"/>
    <d v="2025-03-14T22:56:00"/>
    <s v="OUTROS"/>
    <s v="ASSENTO / BAGAGEM"/>
    <s v="CAMPO OBSERVAÇÃO PREENCHIDO INCORRETAMENTE"/>
    <x v="1"/>
    <s v="OPERAÇÕES / SUPORTE KCS"/>
    <n v="127"/>
  </r>
  <r>
    <n v="3292266"/>
    <s v="SABRE"/>
    <x v="555"/>
    <s v="QYEKIQT"/>
    <s v="QYEKIQ"/>
    <s v="ConverterPagamentosRemark-&gt;Input string was not in a correct format.&lt;-MontarAccountinsHotel&lt;-ProcessarHotel&lt;-ProcessarItemFila[b]"/>
    <d v="2025-03-11T16:04:00"/>
    <m/>
    <s v="FORMA PAGTO/RECTO"/>
    <s v="FORMATO DE TEXTO"/>
    <s v="TEXTO FORA DO PADRÃO ACEITO NO CAMPO"/>
    <x v="2"/>
    <s v="SUPORTE OBT"/>
    <s v="COLUNA I"/>
  </r>
  <r>
    <n v="3292267"/>
    <s v="SABRE"/>
    <x v="556"/>
    <s v="ASCTHVT"/>
    <s v="ASCTHV"/>
    <s v="ConverterPagamentosRemark-&gt;Input string was not in a correct format.&lt;-MontarAccountinsHotel&lt;-ProcessarHotel&lt;-ProcessarItemFila[b]"/>
    <d v="2025-03-11T16:05:00"/>
    <m/>
    <s v="FORMA PAGTO/RECTO"/>
    <s v="FORMATO DE TEXTO"/>
    <s v="TEXTO FORA DO PADRÃO ACEITO NO CAMPO"/>
    <x v="2"/>
    <s v="SUPORTE OBT"/>
    <s v="COLUNA I"/>
  </r>
  <r>
    <n v="3292269"/>
    <s v="SABRE"/>
    <x v="556"/>
    <s v="DAFBAKT"/>
    <s v="DAFBAK"/>
    <s v="ConverterPagamentosRemark-&gt;Input string was not in a correct format.&lt;-MontarAccountinsHotel&lt;-ProcessarHotel&lt;-ProcessarItemFila[b]"/>
    <d v="2025-03-11T16:05:00"/>
    <m/>
    <s v="FORMA PAGTO/RECTO"/>
    <s v="FORMATO DE TEXTO"/>
    <s v="TEXTO FORA DO PADRÃO ACEITO NO CAMPO"/>
    <x v="2"/>
    <s v="SUPORTE OBT"/>
    <s v="COLUNA I"/>
  </r>
  <r>
    <n v="3293463"/>
    <s v="SABRE"/>
    <x v="557"/>
    <s v="MCYIBXT"/>
    <s v="MCYIBX"/>
    <s v="ConverterPagamentosRemark-&gt;Input string was not in a correct format.&lt;-MontarAccountinsHotel&lt;-ProcessarHotel&lt;-ProcessarItemFila[b]"/>
    <d v="2025-03-11T19:17:00"/>
    <m/>
    <s v="FORMA PAGTO/RECTO"/>
    <s v="FORMATO DE TEXTO"/>
    <s v="TEXTO FORA DO PADRÃO ACEITO NO CAMPO"/>
    <x v="2"/>
    <s v="SUPORTE OBT"/>
    <s v="COLUNA I"/>
  </r>
  <r>
    <n v="3293499"/>
    <s v="SABRE"/>
    <x v="558"/>
    <s v="GLDPFL"/>
    <s v="GLDPFL"/>
    <s v="Não localizado cliente código [0004222573].&lt;-ObterCliente&lt;-MontarPnrBase&lt;-ProcessarAereo&lt;-ProcessarItemFila[b]"/>
    <d v="2025-03-11T20:33:00"/>
    <d v="2025-03-12T16:33:00"/>
    <s v="CLIENTE"/>
    <s v="CÓD. CLIENTE DIVERGENTE"/>
    <s v="CÓDIGO DIFERENTE DO CADASTRADO NO BENNER (CLIENTE X GRUPO)"/>
    <x v="1"/>
    <s v="SUPORTE OBT"/>
    <n v="1"/>
  </r>
  <r>
    <n v="3293502"/>
    <s v="SABRE"/>
    <x v="532"/>
    <s v="GLRBEM"/>
    <s v="GLRBEM"/>
    <s v="Código de cliente não identificado&lt;-ObterCliente&lt;-MontarPnrBase&lt;-ProcessarAereo&lt;-ProcessarItemFila[b]"/>
    <d v="2025-03-11T20:34:00"/>
    <m/>
    <s v="CLIENTE"/>
    <s v="CLIENTE NÃO IDENTIFICADO"/>
    <s v="DK DE CLIENTE NÃO PREENCIDO / CLIENTE NÃO CONFIGURADO NO OBT"/>
    <x v="2"/>
    <s v="OPERAÇÕES / SUPORTE KCS"/>
    <s v="COLUNA I"/>
  </r>
  <r>
    <n v="3293505"/>
    <s v="SABRE"/>
    <x v="532"/>
    <s v="IFSWFW"/>
    <s v="IFSWFW"/>
    <s v="Não localizado cliente código [0000063625].&lt;-ObterCliente&lt;-MontarPnrBase&lt;-ProcessarAereo&lt;-ProcessarItemFila[b]"/>
    <d v="2025-03-11T20:34:00"/>
    <m/>
    <s v="CLIENTE"/>
    <s v="CÓD. CLIENTE DIVERGENTE"/>
    <s v="CÓDIGO DIFERENTE DO CADASTRADO NO BENNER (CLIENTE X GRUPO)"/>
    <x v="1"/>
    <s v="SUPORTE OBT"/>
    <n v="1"/>
  </r>
  <r>
    <n v="3293506"/>
    <s v="SABRE"/>
    <x v="532"/>
    <s v="FOVNNI"/>
    <s v="FOVNNI"/>
    <s v="Não localizado cliente código [0000063625].&lt;-ObterCliente&lt;-MontarPnrBase&lt;-ProcessarAereo&lt;-ProcessarItemFila[b]"/>
    <d v="2025-03-11T20:35:00"/>
    <m/>
    <s v="CLIENTE"/>
    <s v="CÓD. CLIENTE DIVERGENTE"/>
    <s v="CÓDIGO DIFERENTE DO CADASTRADO NO BENNER (CLIENTE X GRUPO)"/>
    <x v="1"/>
    <s v="SUPORTE OBT"/>
    <n v="1"/>
  </r>
  <r>
    <n v="3293507"/>
    <s v="SABRE"/>
    <x v="532"/>
    <s v="UKYBCI"/>
    <s v="UKYBCI"/>
    <s v="Não localizado cliente código [0000583808].&lt;-ObterCliente&lt;-MontarPnrBase&lt;-ProcessarAereo&lt;-ProcessarItemFila[b]"/>
    <d v="2025-03-11T20:35:00"/>
    <m/>
    <s v="CLIENTE"/>
    <s v="CÓD. CLIENTE DIVERGENTE"/>
    <s v="CÓDIGO DIFERENTE DO CADASTRADO NO BENNER (CLIENTE X GRUPO)"/>
    <x v="1"/>
    <s v="SUPORTE OBT"/>
    <n v="1"/>
  </r>
  <r>
    <n v="3293509"/>
    <s v="SABRE"/>
    <x v="532"/>
    <s v="WKHWXS"/>
    <s v="WKHWXS"/>
    <s v="Não localizado cliente código [0000392619].&lt;-ObterCliente&lt;-MontarPnrBase&lt;-ProcessarAereo&lt;-ProcessarItemFila[b]"/>
    <d v="2025-03-11T20:35:00"/>
    <m/>
    <s v="CLIENTE"/>
    <s v="CÓD. CLIENTE DIVERGENTE"/>
    <s v="CÓDIGO DIFERENTE DO CADASTRADO NO BENNER (CLIENTE X GRUPO)"/>
    <x v="1"/>
    <s v="SUPORTE OBT"/>
    <n v="1"/>
  </r>
  <r>
    <n v="3293511"/>
    <s v="SABRE"/>
    <x v="532"/>
    <s v="LPQOYH"/>
    <s v="LPQOYH"/>
    <s v="Não localizado cliente código [0000583808].&lt;-ObterCliente&lt;-MontarPnrBase&lt;-ProcessarAereo&lt;-ProcessarItemFila[b]"/>
    <d v="2025-03-11T20:35:00"/>
    <m/>
    <s v="CLIENTE"/>
    <s v="CÓD. CLIENTE DIVERGENTE"/>
    <s v="CÓDIGO DIFERENTE DO CADASTRADO NO BENNER (CLIENTE X GRUPO)"/>
    <x v="1"/>
    <s v="SUPORTE OBT"/>
    <n v="1"/>
  </r>
  <r>
    <n v="3293513"/>
    <s v="SABRE"/>
    <x v="532"/>
    <s v="FPDJHG"/>
    <s v="FPDJHG"/>
    <s v="Não localizado cliente código [0000392619].&lt;-ObterCliente&lt;-MontarPnrBase&lt;-ProcessarAereo&lt;-ProcessarItemFila[b]"/>
    <d v="2025-03-11T20:36:00"/>
    <m/>
    <s v="CLIENTE"/>
    <s v="CÓD. CLIENTE DIVERGENTE"/>
    <s v="CÓDIGO DIFERENTE DO CADASTRADO NO BENNER (CLIENTE X GRUPO)"/>
    <x v="1"/>
    <s v="SUPORTE OBT"/>
    <n v="1"/>
  </r>
  <r>
    <n v="3293519"/>
    <s v="SABRE"/>
    <x v="559"/>
    <s v="FODNXL"/>
    <s v="FODNXL"/>
    <s v="Não localizado cliente código [0004220155].&lt;-ObterCliente&lt;-MontarPnrBase&lt;-ProcessarAereo&lt;-ProcessarItemFila[b]"/>
    <d v="2025-03-11T20:36:00"/>
    <d v="2025-03-12T12:17:00"/>
    <s v="CLIENTE"/>
    <s v="CÓD. CLIENTE DIVERGENTE"/>
    <s v="CÓDIGO DIFERENTE DO CADASTRADO NO BENNER (CLIENTE X GRUPO)"/>
    <x v="1"/>
    <s v="SUPORTE OBT"/>
    <n v="1"/>
  </r>
  <r>
    <n v="3293520"/>
    <s v="SABRE"/>
    <x v="560"/>
    <s v="NNWROO"/>
    <s v="NNWROO"/>
    <s v="Não localizado cliente código [0004223565].&lt;-ObterCliente&lt;-MontarPnrBase&lt;-ProcessarAereo&lt;-ProcessarItemFila[b]"/>
    <d v="2025-03-11T20:36:00"/>
    <d v="2025-03-12T16:48:00"/>
    <s v="CLIENTE"/>
    <s v="CÓD. CLIENTE DIVERGENTE"/>
    <s v="CÓDIGO DIFERENTE DO CADASTRADO NO BENNER (CLIENTE X GRUPO)"/>
    <x v="1"/>
    <s v="SUPORTE OBT"/>
    <n v="1"/>
  </r>
  <r>
    <n v="3293521"/>
    <s v="SABRE"/>
    <x v="561"/>
    <s v="CVWGTB"/>
    <s v="CVWGTB"/>
    <s v="Não localizado cliente código [0004223565].&lt;-ObterCliente&lt;-MontarPnrBase&lt;-ProcessarAereo&lt;-ProcessarItemFila[b]"/>
    <d v="2025-03-11T20:37:00"/>
    <d v="2025-03-12T16:48:00"/>
    <s v="CLIENTE"/>
    <s v="CÓD. CLIENTE DIVERGENTE"/>
    <s v="CÓDIGO DIFERENTE DO CADASTRADO NO BENNER (CLIENTE X GRUPO)"/>
    <x v="1"/>
    <s v="SUPORTE OBT"/>
    <n v="1"/>
  </r>
  <r>
    <n v="3293531"/>
    <s v="SABRE"/>
    <x v="562"/>
    <s v="UJZRJC"/>
    <s v="UJZRJC"/>
    <s v="Não localizado cliente código [0004224627].&lt;-ObterCliente&lt;-MontarPnrBase&lt;-ProcessarAereo&lt;-ProcessarItemFila[b]"/>
    <d v="2025-03-11T20:37:00"/>
    <d v="2025-03-12T16:48:00"/>
    <s v="CLIENTE"/>
    <s v="CÓD. CLIENTE DIVERGENTE"/>
    <s v="CÓDIGO DIFERENTE DO CADASTRADO NO BENNER (CLIENTE X GRUPO)"/>
    <x v="1"/>
    <s v="SUPORTE OBT"/>
    <n v="1"/>
  </r>
  <r>
    <n v="3293543"/>
    <s v="SABRE"/>
    <x v="563"/>
    <s v="KPXEOB"/>
    <s v="KPXEOB"/>
    <s v="Não localizado cliente código [0004222573].&lt;-ObterCliente&lt;-MontarPnrBase&lt;-ProcessarAereo&lt;-ProcessarItemFila[b]"/>
    <d v="2025-03-11T20:39:00"/>
    <d v="2025-03-12T17:04:00"/>
    <s v="CLIENTE"/>
    <s v="CÓD. CLIENTE DIVERGENTE"/>
    <s v="CÓDIGO DIFERENTE DO CADASTRADO NO BENNER (CLIENTE X GRUPO)"/>
    <x v="1"/>
    <s v="SUPORTE OBT"/>
    <n v="1"/>
  </r>
  <r>
    <n v="3293545"/>
    <s v="SABRE"/>
    <x v="532"/>
    <s v="AEPPSQ"/>
    <s v="AEPPSQ"/>
    <s v="Código de cliente não identificado&lt;-ObterCliente&lt;-MontarPnrBase&lt;-ProcessarAereo&lt;-ProcessarItemFila[b]"/>
    <d v="2025-03-11T20:39:00"/>
    <m/>
    <s v="CLIENTE"/>
    <s v="CLIENTE NÃO IDENTIFICADO"/>
    <s v="DK DE CLIENTE NÃO PREENCIDO / CLIENTE NÃO CONFIGURADO NO OBT"/>
    <x v="2"/>
    <s v="OPERAÇÕES / SUPORTE KCS"/>
    <s v="COLUNA I"/>
  </r>
  <r>
    <n v="3293546"/>
    <s v="SABRE"/>
    <x v="532"/>
    <s v="FYBUAZ"/>
    <s v="FYBUAZ"/>
    <s v="Código de cliente não identificado&lt;-ObterCliente&lt;-MontarPnrBase&lt;-ProcessarAereo&lt;-ProcessarItemFila[b]"/>
    <d v="2025-03-11T20:39:00"/>
    <m/>
    <s v="CLIENTE"/>
    <s v="CLIENTE NÃO IDENTIFICADO"/>
    <s v="DK DE CLIENTE NÃO PREENCIDO / CLIENTE NÃO CONFIGURADO NO OBT"/>
    <x v="2"/>
    <s v="OPERAÇÕES / SUPORTE KCS"/>
    <s v="COLUNA I"/>
  </r>
  <r>
    <n v="3293548"/>
    <s v="SABRE"/>
    <x v="563"/>
    <s v="FXRKTL"/>
    <s v="FXRKTL"/>
    <s v="Não localizado cliente código [0004223565].&lt;-ObterCliente&lt;-MontarPnrBase&lt;-ProcessarAereo&lt;-ProcessarItemFila[b]"/>
    <d v="2025-03-11T20:39:00"/>
    <d v="2025-03-12T17:04:00"/>
    <s v="CLIENTE"/>
    <s v="CÓD. CLIENTE DIVERGENTE"/>
    <s v="CÓDIGO DIFERENTE DO CADASTRADO NO BENNER (CLIENTE X GRUPO)"/>
    <x v="1"/>
    <s v="SUPORTE OBT"/>
    <n v="1"/>
  </r>
  <r>
    <n v="3293549"/>
    <s v="SABRE"/>
    <x v="532"/>
    <s v="MEFBCY"/>
    <s v="MEFBCY"/>
    <s v="Código de cliente não identificado&lt;-ObterCliente&lt;-MontarPnrBase&lt;-ProcessarAereo&lt;-ProcessarItemFila[b]"/>
    <d v="2025-03-11T20:39:00"/>
    <m/>
    <s v="CLIENTE"/>
    <s v="CLIENTE NÃO IDENTIFICADO"/>
    <s v="DK DE CLIENTE NÃO PREENCIDO / CLIENTE NÃO CONFIGURADO NO OBT"/>
    <x v="2"/>
    <s v="OPERAÇÕES / SUPORTE KCS"/>
    <s v="COLUNA I"/>
  </r>
  <r>
    <n v="3293551"/>
    <s v="SABRE"/>
    <x v="563"/>
    <s v="FKSGCO"/>
    <s v="FKSGCO"/>
    <s v="Não localizado cliente código [0004223565].&lt;-ObterCliente&lt;-MontarPnrBase&lt;-ProcessarAereo&lt;-ProcessarItemFila[b]"/>
    <d v="2025-03-11T20:39:00"/>
    <d v="2025-03-12T17:04:00"/>
    <s v="CLIENTE"/>
    <s v="CÓD. CLIENTE DIVERGENTE"/>
    <s v="CÓDIGO DIFERENTE DO CADASTRADO NO BENNER (CLIENTE X GRUPO)"/>
    <x v="1"/>
    <s v="SUPORTE OBT"/>
    <n v="1"/>
  </r>
  <r>
    <n v="3293552"/>
    <s v="SABRE"/>
    <x v="559"/>
    <s v="FZMMVK"/>
    <s v="FZMMVK"/>
    <s v="Não localizado cliente código [0004224627].&lt;-ObterCliente&lt;-MontarPnrBase&lt;-ProcessarAereo&lt;-ProcessarItemFila[b]"/>
    <d v="2025-03-11T20:39:00"/>
    <d v="2025-03-12T12:18:00"/>
    <s v="CLIENTE"/>
    <s v="CÓD. CLIENTE DIVERGENTE"/>
    <s v="CÓDIGO DIFERENTE DO CADASTRADO NO BENNER (CLIENTE X GRUPO)"/>
    <x v="1"/>
    <s v="SUPORTE OBT"/>
    <n v="1"/>
  </r>
  <r>
    <n v="3293553"/>
    <s v="SABRE"/>
    <x v="564"/>
    <s v="FZAGKX"/>
    <s v="FZAGKX"/>
    <s v="Não localizado cliente código [0004223565].&lt;-ObterCliente&lt;-MontarPnrBase&lt;-ProcessarAereo&lt;-ProcessarItemFila[b]"/>
    <d v="2025-03-11T20:40:00"/>
    <d v="2025-03-12T11:46:00"/>
    <s v="CLIENTE"/>
    <s v="CÓD. CLIENTE DIVERGENTE"/>
    <s v="CÓDIGO DIFERENTE DO CADASTRADO NO BENNER (CLIENTE X GRUPO)"/>
    <x v="1"/>
    <s v="SUPORTE OBT"/>
    <n v="1"/>
  </r>
  <r>
    <n v="3293554"/>
    <s v="SABRE"/>
    <x v="565"/>
    <s v="MRNJFA"/>
    <s v="MRNJFA"/>
    <s v="Não localizado cliente código [0004223565].&lt;-ObterCliente&lt;-MontarPnrBase&lt;-ProcessarAereo&lt;-ProcessarItemFila[b]"/>
    <d v="2025-03-11T20:40:00"/>
    <d v="2025-03-12T12:48:00"/>
    <s v="CLIENTE"/>
    <s v="CÓD. CLIENTE DIVERGENTE"/>
    <s v="CÓDIGO DIFERENTE DO CADASTRADO NO BENNER (CLIENTE X GRUPO)"/>
    <x v="1"/>
    <s v="SUPORTE OBT"/>
    <n v="1"/>
  </r>
  <r>
    <n v="3293555"/>
    <s v="SABRE"/>
    <x v="566"/>
    <s v="AIERDC"/>
    <s v="AIERDC"/>
    <s v="Código de cliente não identificado&lt;-ObterCliente&lt;-MontarPnrBase&lt;-ProcessarAereo&lt;-ProcessarItemFila[b]"/>
    <d v="2025-03-11T20:40:00"/>
    <d v="2025-03-12T12:04:00"/>
    <s v="CLIENTE"/>
    <s v="CLIENTE NÃO IDENTIFICADO"/>
    <s v="DK DE CLIENTE NÃO PREENCIDO / CLIENTE NÃO CONFIGURADO NO OBT"/>
    <x v="2"/>
    <s v="OPERAÇÕES / SUPORTE KCS"/>
    <s v="COLUNA I"/>
  </r>
  <r>
    <n v="3294582"/>
    <s v="TMS"/>
    <x v="567"/>
    <n v="3511"/>
    <n v="3511"/>
    <s v="Preenchendo XML Serviço-&gt; Preenchendo XML-&gt; Montando accounting aereo 2-&gt;Não foi informado o Localizador do Assento/Bagagem!"/>
    <d v="2025-03-12T10:44:00"/>
    <d v="2025-03-17T17:44:00"/>
    <s v="OUTROS"/>
    <s v="ASSENTO / BAGAGEM"/>
    <s v="CAMPO OBSERVAÇÃO PREENCHIDO INCORRETAMENTE"/>
    <x v="1"/>
    <s v="OPERAÇÕES / SUPORTE KCS"/>
    <n v="118"/>
  </r>
  <r>
    <n v="3294767"/>
    <s v="SABRE"/>
    <x v="568"/>
    <s v="WDNZOFT"/>
    <s v="WDNZOF"/>
    <s v="ConverterPagamentosRemark-&gt;Input string was not in a correct format.&lt;-MontarAccountinsHotel&lt;-ProcessarHotel&lt;-ProcessarItemFila[b]"/>
    <d v="2025-03-12T12:48:00"/>
    <m/>
    <s v="FORMA PAGTO/RECTO"/>
    <s v="FORMATO DE TEXTO"/>
    <s v="TEXTO FORA DO PADRÃO ACEITO NO CAMPO"/>
    <x v="2"/>
    <s v="SUPORTE OBT"/>
    <s v="COLUNA I"/>
  </r>
  <r>
    <n v="3294769"/>
    <s v="SABRE"/>
    <x v="569"/>
    <s v="ENUPHAT"/>
    <s v="ENUPHA"/>
    <s v="ConverterPagamentosRemark-&gt;Input string was not in a correct format.&lt;-MontarAccountinsHotel&lt;-ProcessarHotel&lt;-ProcessarItemFila[b]"/>
    <d v="2025-03-12T12:49:00"/>
    <m/>
    <s v="FORMA PAGTO/RECTO"/>
    <s v="FORMATO DE TEXTO"/>
    <s v="TEXTO FORA DO PADRÃO ACEITO NO CAMPO"/>
    <x v="2"/>
    <s v="SUPORTE OBT"/>
    <s v="COLUNA I"/>
  </r>
  <r>
    <n v="3294795"/>
    <s v="SABRE"/>
    <x v="570"/>
    <s v="YGSHEA"/>
    <s v="YGSHEA"/>
    <s v="Não localizado cliente código [0004224627].&lt;-ObterCliente&lt;-MontarPnrBase&lt;-ProcessarAereo&lt;-ProcessarItemFila[b]"/>
    <d v="2025-03-12T13:03:00"/>
    <d v="2025-03-13T09:48:00"/>
    <s v="CLIENTE"/>
    <s v="CÓD. CLIENTE DIVERGENTE"/>
    <s v="CÓDIGO DIFERENTE DO CADASTRADO NO BENNER (CLIENTE X GRUPO)"/>
    <x v="1"/>
    <s v="SUPORTE OBT"/>
    <n v="1"/>
  </r>
  <r>
    <n v="3295021"/>
    <s v="TMS"/>
    <x v="571"/>
    <n v="46977"/>
    <n v="46977"/>
    <s v="Preenchendo XML Serviço-&gt; Preenchendo XML-&gt; Montando accounting aereo 3-&gt;Reserva AWQUUX não encontrada para importar assento/bagagem!"/>
    <d v="2025-03-12T15:52:00"/>
    <m/>
    <s v="OUTROS"/>
    <s v="ASSENTO / BAGAGEM"/>
    <s v="CAMPO OBSERVAÇÃO PREENCHIDO INCORRETAMENTE"/>
    <x v="1"/>
    <s v="OPERAÇÕES / SUPORTE KCS"/>
    <n v="127"/>
  </r>
  <r>
    <n v="3295048"/>
    <s v="SABRE"/>
    <x v="572"/>
    <s v="FQAHFG"/>
    <s v="FQAHFG"/>
    <s v="Não localizado cliente código [0000050269].&lt;-ObterCliente&lt;-MontarPnrBase&lt;-ProcessarAereo&lt;-ProcessarItemFila[b]"/>
    <d v="2025-03-12T16:02:00"/>
    <m/>
    <s v="CLIENTE"/>
    <s v="CÓD. CLIENTE DIVERGENTE"/>
    <s v="CÓDIGO DIFERENTE DO CADASTRADO NO BENNER (CLIENTE X GRUPO)"/>
    <x v="1"/>
    <s v="SUPORTE OBT"/>
    <n v="1"/>
  </r>
  <r>
    <n v="3295050"/>
    <s v="SABRE"/>
    <x v="572"/>
    <s v="FQAHFGC"/>
    <s v="FQAHFG"/>
    <s v="Não localizado cliente código [0000050269].&lt;-ObterCliente&lt;-MontarPnrBase&lt;-MontarPnr&lt;-ProcessarCarro&lt;-ProcessarItemFila[b]"/>
    <d v="2025-03-12T16:02:00"/>
    <m/>
    <s v="CLIENTE"/>
    <s v="CÓD. CLIENTE DIVERGENTE"/>
    <s v="CÓDIGO DIFERENTE DO CADASTRADO NO BENNER (CLIENTE X GRUPO)"/>
    <x v="1"/>
    <s v="SUPORTE OBT"/>
    <n v="1"/>
  </r>
  <r>
    <n v="3295584"/>
    <s v="TMS"/>
    <x v="572"/>
    <n v="43103"/>
    <n v="43103"/>
    <s v="Preenchendo XML Serviço-&gt; Preenchendo XML-&gt; Montando accounting aereo 2-&gt;Não foi informado o Localizador do Assento/Bagagem!"/>
    <d v="2025-03-12T17:24:00"/>
    <d v="2025-03-15T23:14:00"/>
    <s v="OUTROS"/>
    <s v="ASSENTO / BAGAGEM"/>
    <s v="CAMPO OBSERVAÇÃO PREENCHIDO INCORRETAMENTE"/>
    <x v="1"/>
    <s v="OPERAÇÕES / SUPORTE KCS"/>
    <n v="118"/>
  </r>
  <r>
    <n v="3296020"/>
    <s v="SABRE"/>
    <x v="573"/>
    <s v="HDBMVA"/>
    <s v="HDBMVA"/>
    <s v="Não localizado cliente código [0004223565].&lt;-ObterCliente&lt;-MontarPnrBase&lt;-ProcessarAereo&lt;-ProcessarItemFila[b]"/>
    <d v="2025-03-12T18:32:00"/>
    <d v="2025-03-13T10:03:00"/>
    <s v="CLIENTE"/>
    <s v="CÓD. CLIENTE DIVERGENTE"/>
    <s v="CÓDIGO DIFERENTE DO CADASTRADO NO BENNER (CLIENTE X GRUPO)"/>
    <x v="1"/>
    <s v="SUPORTE OBT"/>
    <n v="1"/>
  </r>
  <r>
    <n v="3296021"/>
    <s v="SABRE"/>
    <x v="574"/>
    <s v="FPYUFK"/>
    <s v="FPYUFK"/>
    <s v="Não localizado cliente código [0004223565].&lt;-ObterCliente&lt;-MontarPnrBase&lt;-ProcessarAereo&lt;-ProcessarItemFila[b]"/>
    <d v="2025-03-12T18:32:00"/>
    <d v="2025-03-13T11:03:00"/>
    <s v="CLIENTE"/>
    <s v="CÓD. CLIENTE DIVERGENTE"/>
    <s v="CÓDIGO DIFERENTE DO CADASTRADO NO BENNER (CLIENTE X GRUPO)"/>
    <x v="1"/>
    <s v="SUPORTE OBT"/>
    <n v="1"/>
  </r>
  <r>
    <n v="3296166"/>
    <s v="SABRE"/>
    <x v="575"/>
    <s v="JEDQJX"/>
    <s v="JEDQJX"/>
    <s v="Não localizado cliente código [0000583831].&lt;-ObterCliente&lt;-MontarPnrBase&lt;-ProcessarAereo&lt;-ProcessarItemFila[b]"/>
    <d v="2025-03-12T20:09:00"/>
    <m/>
    <s v="CLIENTE"/>
    <s v="CÓD. CLIENTE DIVERGENTE"/>
    <s v="CÓDIGO DIFERENTE DO CADASTRADO NO BENNER (CLIENTE X GRUPO)"/>
    <x v="1"/>
    <s v="SUPORTE OBT"/>
    <n v="1"/>
  </r>
  <r>
    <n v="3296169"/>
    <s v="SABRE"/>
    <x v="576"/>
    <s v="EMXXVB"/>
    <s v="EMXXVB"/>
    <s v="Não localizado cliente código [0004223565].&lt;-ObterCliente&lt;-MontarPnrBase&lt;-ProcessarAereo&lt;-ProcessarItemFila[b]"/>
    <d v="2025-03-12T20:10:00"/>
    <d v="2025-03-13T16:33:00"/>
    <s v="CLIENTE"/>
    <s v="CÓD. CLIENTE DIVERGENTE"/>
    <s v="CÓDIGO DIFERENTE DO CADASTRADO NO BENNER (CLIENTE X GRUPO)"/>
    <x v="1"/>
    <s v="SUPORTE OBT"/>
    <n v="1"/>
  </r>
  <r>
    <n v="3296177"/>
    <s v="SABRE"/>
    <x v="575"/>
    <s v="SHAFOY"/>
    <s v="SHAFOY"/>
    <s v="Código de cliente não identificado&lt;-ObterCliente&lt;-MontarPnrBase&lt;-ProcessarAereo&lt;-ProcessarItemFila[b]"/>
    <d v="2025-03-12T20:11:00"/>
    <m/>
    <s v="CLIENTE"/>
    <s v="CLIENTE NÃO IDENTIFICADO"/>
    <s v="DK DE CLIENTE NÃO PREENCIDO / CLIENTE NÃO CONFIGURADO NO OBT"/>
    <x v="2"/>
    <s v="OPERAÇÕES / SUPORTE KCS"/>
    <s v="COLUNA I"/>
  </r>
  <r>
    <n v="3296178"/>
    <s v="SABRE"/>
    <x v="577"/>
    <s v="YYKKPP"/>
    <s v="YYKKPP"/>
    <s v="Não localizado cliente código [0004224627].&lt;-ObterCliente&lt;-MontarPnrBase&lt;-ProcessarAereo&lt;-ProcessarItemFila[b]"/>
    <d v="2025-03-12T20:12:00"/>
    <d v="2025-03-13T16:51:00"/>
    <s v="CLIENTE"/>
    <s v="CÓD. CLIENTE DIVERGENTE"/>
    <s v="CÓDIGO DIFERENTE DO CADASTRADO NO BENNER (CLIENTE X GRUPO)"/>
    <x v="1"/>
    <s v="SUPORTE OBT"/>
    <n v="1"/>
  </r>
  <r>
    <n v="3296186"/>
    <s v="SABRE"/>
    <x v="575"/>
    <s v="HBXSPY"/>
    <s v="HBXSPY"/>
    <s v="Não localizado cliente código [0000583808].&lt;-ObterCliente&lt;-MontarPnrBase&lt;-ProcessarAereo&lt;-ProcessarItemFila[b]"/>
    <d v="2025-03-12T20:14:00"/>
    <m/>
    <s v="CLIENTE"/>
    <s v="CÓD. CLIENTE DIVERGENTE"/>
    <s v="CÓDIGO DIFERENTE DO CADASTRADO NO BENNER (CLIENTE X GRUPO)"/>
    <x v="1"/>
    <s v="SUPORTE OBT"/>
    <n v="1"/>
  </r>
  <r>
    <n v="3296189"/>
    <s v="SABRE"/>
    <x v="575"/>
    <s v="LJJIGK"/>
    <s v="LJJIGK"/>
    <s v="Código de cliente não identificado&lt;-ObterCliente&lt;-MontarPnrBase&lt;-ProcessarAereo&lt;-ProcessarItemFila[b]"/>
    <d v="2025-03-12T20:14:00"/>
    <m/>
    <s v="CLIENTE"/>
    <s v="CLIENTE NÃO IDENTIFICADO"/>
    <s v="DK DE CLIENTE NÃO PREENCIDO / CLIENTE NÃO CONFIGURADO NO OBT"/>
    <x v="2"/>
    <s v="OPERAÇÕES / SUPORTE KCS"/>
    <s v="COLUNA I"/>
  </r>
  <r>
    <n v="3296191"/>
    <s v="SABRE"/>
    <x v="578"/>
    <s v="MDUIQJ"/>
    <s v="MDUIQJ"/>
    <s v="Não localizado cliente código [0004222573].&lt;-ObterCliente&lt;-MontarPnrBase&lt;-ProcessarAereo&lt;-ProcessarItemFila[b]"/>
    <d v="2025-03-12T20:15:00"/>
    <d v="2025-03-13T17:19:00"/>
    <s v="CLIENTE"/>
    <s v="CÓD. CLIENTE DIVERGENTE"/>
    <s v="CÓDIGO DIFERENTE DO CADASTRADO NO BENNER (CLIENTE X GRUPO)"/>
    <x v="1"/>
    <s v="SUPORTE OBT"/>
    <n v="1"/>
  </r>
  <r>
    <n v="3296192"/>
    <s v="SABRE"/>
    <x v="579"/>
    <s v="QUBNWZ"/>
    <s v="QUBNWZ"/>
    <s v="Código de cliente não identificado&lt;-ObterCliente&lt;-MontarPnrBase&lt;-ProcessarAereo&lt;-ProcessarItemFila[b]"/>
    <d v="2025-03-12T20:15:00"/>
    <d v="2025-03-13T11:48:00"/>
    <s v="CLIENTE"/>
    <s v="CLIENTE NÃO IDENTIFICADO"/>
    <s v="DK DE CLIENTE NÃO PREENCIDO / CLIENTE NÃO CONFIGURADO NO OBT"/>
    <x v="2"/>
    <s v="OPERAÇÕES / SUPORTE KCS"/>
    <s v="COLUNA I"/>
  </r>
  <r>
    <n v="3296193"/>
    <s v="SABRE"/>
    <x v="575"/>
    <s v="DFSLIE"/>
    <s v="DFSLIE"/>
    <s v="Não localizado cliente código [0000583808].&lt;-ObterCliente&lt;-MontarPnrBase&lt;-ProcessarAereo&lt;-ProcessarItemFila[b]"/>
    <d v="2025-03-12T20:15:00"/>
    <m/>
    <s v="CLIENTE"/>
    <s v="CÓD. CLIENTE DIVERGENTE"/>
    <s v="CÓDIGO DIFERENTE DO CADASTRADO NO BENNER (CLIENTE X GRUPO)"/>
    <x v="1"/>
    <s v="SUPORTE OBT"/>
    <n v="1"/>
  </r>
  <r>
    <n v="3296198"/>
    <s v="SABRE"/>
    <x v="575"/>
    <s v="SQBENY"/>
    <s v="SQBENY"/>
    <s v="Não localizado cliente código [0000063625].&lt;-ObterCliente&lt;-MontarPnrBase&lt;-ProcessarAereo&lt;-ProcessarItemFila[b]"/>
    <d v="2025-03-12T20:16:00"/>
    <m/>
    <s v="CLIENTE"/>
    <s v="CÓD. CLIENTE DIVERGENTE"/>
    <s v="CÓDIGO DIFERENTE DO CADASTRADO NO BENNER (CLIENTE X GRUPO)"/>
    <x v="1"/>
    <s v="SUPORTE OBT"/>
    <n v="1"/>
  </r>
  <r>
    <n v="3296200"/>
    <s v="SABRE"/>
    <x v="580"/>
    <s v="JSXUIC"/>
    <s v="JSXUIC"/>
    <s v="Não localizado cliente código [0004223565].&lt;-ObterCliente&lt;-MontarPnrBase&lt;-ProcessarAereo&lt;-ProcessarItemFila[b]"/>
    <d v="2025-03-12T20:16:00"/>
    <d v="2025-03-13T17:35:00"/>
    <s v="CLIENTE"/>
    <s v="CÓD. CLIENTE DIVERGENTE"/>
    <s v="CÓDIGO DIFERENTE DO CADASTRADO NO BENNER (CLIENTE X GRUPO)"/>
    <x v="1"/>
    <s v="SUPORTE OBT"/>
    <n v="1"/>
  </r>
  <r>
    <n v="3296201"/>
    <s v="SABRE"/>
    <x v="581"/>
    <s v="LJXJXZ"/>
    <s v="LJXJXZ"/>
    <s v="Não localizado cliente código [0004223565].&lt;-ObterCliente&lt;-MontarPnrBase&lt;-ProcessarAereo&lt;-ProcessarItemFila[b]"/>
    <d v="2025-03-12T20:16:00"/>
    <d v="2025-03-13T17:35:00"/>
    <s v="CLIENTE"/>
    <s v="CÓD. CLIENTE DIVERGENTE"/>
    <s v="CÓDIGO DIFERENTE DO CADASTRADO NO BENNER (CLIENTE X GRUPO)"/>
    <x v="1"/>
    <s v="SUPORTE OBT"/>
    <n v="1"/>
  </r>
  <r>
    <n v="3296206"/>
    <s v="SABRE"/>
    <x v="575"/>
    <s v="CJLWKN"/>
    <s v="CJLWKN"/>
    <s v="Não localizado cliente código [0004223565].&lt;-ObterCliente&lt;-MontarPnrBase&lt;-ProcessarAereo&lt;-ProcessarItemFila[b]"/>
    <d v="2025-03-12T20:17:00"/>
    <m/>
    <s v="CLIENTE"/>
    <s v="CÓD. CLIENTE DIVERGENTE"/>
    <s v="CÓDIGO DIFERENTE DO CADASTRADO NO BENNER (CLIENTE X GRUPO)"/>
    <x v="1"/>
    <s v="SUPORTE OBT"/>
    <n v="1"/>
  </r>
  <r>
    <n v="3296208"/>
    <s v="SABRE"/>
    <x v="575"/>
    <s v="CTMCXW"/>
    <s v="CTMCXW"/>
    <s v="Não localizado cliente código [0004223565].&lt;-ObterCliente&lt;-MontarPnrBase&lt;-ProcessarAereo&lt;-ProcessarItemFila[b]"/>
    <d v="2025-03-12T20:17:00"/>
    <m/>
    <s v="CLIENTE"/>
    <s v="CÓD. CLIENTE DIVERGENTE"/>
    <s v="CÓDIGO DIFERENTE DO CADASTRADO NO BENNER (CLIENTE X GRUPO)"/>
    <x v="1"/>
    <s v="SUPORTE OBT"/>
    <n v="1"/>
  </r>
  <r>
    <n v="3296850"/>
    <s v="SABRE"/>
    <x v="582"/>
    <s v="LIILHZT"/>
    <s v="LIILHZ"/>
    <s v="ConverterPagamentosRemark-&gt;Input string was not in a correct format.&lt;-MontarAccountinsHotel&lt;-ProcessarHotel&lt;-ProcessarItemFila[b]"/>
    <d v="2025-03-13T09:33:00"/>
    <m/>
    <s v="FORMA PAGTO/RECTO"/>
    <s v="FORMATO DE TEXTO"/>
    <s v="TEXTO FORA DO PADRÃO ACEITO NO CAMPO"/>
    <x v="2"/>
    <s v="SUPORTE OBT"/>
    <s v="COLUNA I"/>
  </r>
  <r>
    <n v="3296851"/>
    <s v="SABRE"/>
    <x v="582"/>
    <s v="DLHCEYT"/>
    <s v="DLHCEY"/>
    <s v="ConverterPagamentosRemark-&gt;Input string was not in a correct format.&lt;-MontarAccountinsHotel&lt;-ProcessarHotel&lt;-ProcessarItemFila[b]"/>
    <d v="2025-03-13T09:34:00"/>
    <m/>
    <s v="FORMA PAGTO/RECTO"/>
    <s v="FORMATO DE TEXTO"/>
    <s v="TEXTO FORA DO PADRÃO ACEITO NO CAMPO"/>
    <x v="2"/>
    <s v="SUPORTE OBT"/>
    <s v="COLUNA I"/>
  </r>
  <r>
    <n v="3296852"/>
    <s v="SABRE"/>
    <x v="582"/>
    <s v="MZVDSCT"/>
    <s v="MZVDSC"/>
    <s v="ConverterPagamentosRemark-&gt;Input string was not in a correct format.&lt;-MontarAccountinsHotel&lt;-ProcessarHotel&lt;-ProcessarItemFila[b]"/>
    <d v="2025-03-13T09:34:00"/>
    <m/>
    <s v="FORMA PAGTO/RECTO"/>
    <s v="FORMATO DE TEXTO"/>
    <s v="TEXTO FORA DO PADRÃO ACEITO NO CAMPO"/>
    <x v="2"/>
    <s v="SUPORTE OBT"/>
    <s v="COLUNA I"/>
  </r>
  <r>
    <n v="3297297"/>
    <s v="TMS"/>
    <x v="583"/>
    <n v="2946"/>
    <n v="2946"/>
    <s v="Preenchendo XML Aéreo-&gt; Preenchendo XML-&gt; Nullable object must have a value."/>
    <d v="2025-03-13T12:13:00"/>
    <m/>
    <s v="OUTROS"/>
    <s v="NOVA MENSAGEM"/>
    <s v=""/>
    <x v="1"/>
    <e v="#N/A"/>
    <s v="COLUNA I"/>
  </r>
  <r>
    <n v="3297307"/>
    <s v="SABRE"/>
    <x v="584"/>
    <s v="MZBPBNT"/>
    <s v="MZBPBN"/>
    <s v="ConverterPagamentosRemark-&gt;Input string was not in a correct format.&lt;-MontarAccountinsHotel&lt;-ProcessarHotel&lt;-ProcessarItemFila[b]"/>
    <d v="2025-03-13T12:18:00"/>
    <m/>
    <s v="FORMA PAGTO/RECTO"/>
    <s v="FORMATO DE TEXTO"/>
    <s v="TEXTO FORA DO PADRÃO ACEITO NO CAMPO"/>
    <x v="2"/>
    <s v="SUPORTE OBT"/>
    <s v="COLUNA I"/>
  </r>
  <r>
    <n v="3297308"/>
    <s v="SABRE"/>
    <x v="585"/>
    <s v="OOWLTPT"/>
    <s v="OOWLTP"/>
    <s v="ConverterPagamentosRemark-&gt;Input string was not in a correct format.&lt;-MontarAccountinsHotel&lt;-ProcessarHotel&lt;-ProcessarItemFila[b]"/>
    <d v="2025-03-13T12:18:00"/>
    <m/>
    <s v="FORMA PAGTO/RECTO"/>
    <s v="FORMATO DE TEXTO"/>
    <s v="TEXTO FORA DO PADRÃO ACEITO NO CAMPO"/>
    <x v="2"/>
    <s v="SUPORTE OBT"/>
    <s v="COLUNA I"/>
  </r>
  <r>
    <n v="3297309"/>
    <s v="SABRE"/>
    <x v="585"/>
    <s v="MKJMNGT"/>
    <s v="MKJMNG"/>
    <s v="ConverterPagamentosRemark-&gt;Input string was not in a correct format.&lt;-MontarAccountinsHotel&lt;-ProcessarHotel&lt;-ProcessarItemFila[b]"/>
    <d v="2025-03-13T12:18:00"/>
    <m/>
    <s v="FORMA PAGTO/RECTO"/>
    <s v="FORMATO DE TEXTO"/>
    <s v="TEXTO FORA DO PADRÃO ACEITO NO CAMPO"/>
    <x v="2"/>
    <s v="SUPORTE OBT"/>
    <s v="COLUNA I"/>
  </r>
  <r>
    <n v="3297408"/>
    <s v="SABRE"/>
    <x v="586"/>
    <s v="IUFOVVT"/>
    <s v="IUFOVV"/>
    <s v="ConverterPagamentosRemark-&gt;Input string was not in a correct format.&lt;-MontarAccountinsHotel&lt;-ProcessarHotel&lt;-ProcessarItemFila[b]"/>
    <d v="2025-03-13T13:19:00"/>
    <m/>
    <s v="FORMA PAGTO/RECTO"/>
    <s v="FORMATO DE TEXTO"/>
    <s v="TEXTO FORA DO PADRÃO ACEITO NO CAMPO"/>
    <x v="2"/>
    <s v="SUPORTE OBT"/>
    <s v="COLUNA I"/>
  </r>
  <r>
    <n v="3297518"/>
    <s v="SABRE"/>
    <x v="587"/>
    <s v="ITDSFRT"/>
    <s v="ITDSFR"/>
    <s v="ConverterPagamentosRemark-&gt;Input string was not in a correct format.&lt;-MontarAccountinsHotel&lt;-ProcessarHotel&lt;-ProcessarItemFila[b]"/>
    <d v="2025-03-13T14:18:00"/>
    <m/>
    <s v="FORMA PAGTO/RECTO"/>
    <s v="FORMATO DE TEXTO"/>
    <s v="TEXTO FORA DO PADRÃO ACEITO NO CAMPO"/>
    <x v="2"/>
    <s v="SUPORTE OBT"/>
    <s v="COLUNA I"/>
  </r>
  <r>
    <n v="3297519"/>
    <s v="SABRE"/>
    <x v="587"/>
    <s v="JELMXHT"/>
    <s v="JELMXH"/>
    <s v="ConverterPagamentosRemark-&gt;Input string was not in a correct format.&lt;-MontarAccountinsHotel&lt;-ProcessarHotel&lt;-ProcessarItemFila[b]"/>
    <d v="2025-03-13T14:18:00"/>
    <m/>
    <s v="FORMA PAGTO/RECTO"/>
    <s v="FORMATO DE TEXTO"/>
    <s v="TEXTO FORA DO PADRÃO ACEITO NO CAMPO"/>
    <x v="2"/>
    <s v="SUPORTE OBT"/>
    <s v="COLUNA I"/>
  </r>
  <r>
    <n v="3298613"/>
    <s v="SABRE"/>
    <x v="588"/>
    <s v="KNPLFP"/>
    <s v="KNPLFP"/>
    <s v="Não localizado cliente código [0000068777].&lt;-ObterCliente&lt;-MontarPnrBase&lt;-ProcessarAereo&lt;-ProcessarItemFila[b]"/>
    <d v="2025-03-13T16:03:00"/>
    <m/>
    <s v="CLIENTE"/>
    <s v="CÓD. CLIENTE DIVERGENTE"/>
    <s v="CÓDIGO DIFERENTE DO CADASTRADO NO BENNER (CLIENTE X GRUPO)"/>
    <x v="1"/>
    <s v="SUPORTE OBT"/>
    <n v="1"/>
  </r>
  <r>
    <n v="3298614"/>
    <s v="SABRE"/>
    <x v="588"/>
    <s v="KNPLFPT"/>
    <s v="KNPLFP"/>
    <s v="Não localizado cliente código [0000068777].&lt;-ObterCliente&lt;-MontarPnrBase&lt;-MontarPnr&lt;-ProcessarHotel&lt;-ProcessarItemFila[b]"/>
    <d v="2025-03-13T16:03:00"/>
    <m/>
    <s v="CLIENTE"/>
    <s v="CÓD. CLIENTE DIVERGENTE"/>
    <s v="CÓDIGO DIFERENTE DO CADASTRADO NO BENNER (CLIENTE X GRUPO)"/>
    <x v="1"/>
    <s v="SUPORTE OBT"/>
    <n v="1"/>
  </r>
  <r>
    <n v="3298864"/>
    <s v="SABRE"/>
    <x v="589"/>
    <s v="YMBPHE"/>
    <s v="YMBPHE"/>
    <s v="Não localizado cliente código [0004223565].&lt;-ObterCliente&lt;-MontarPnrBase&lt;-ProcessarAereo&lt;-ProcessarItemFila[b]"/>
    <d v="2025-03-13T16:50:00"/>
    <d v="2025-03-14T11:48:00"/>
    <s v="CLIENTE"/>
    <s v="CÓD. CLIENTE DIVERGENTE"/>
    <s v="CÓDIGO DIFERENTE DO CADASTRADO NO BENNER (CLIENTE X GRUPO)"/>
    <x v="1"/>
    <s v="SUPORTE OBT"/>
    <n v="1"/>
  </r>
  <r>
    <n v="3299217"/>
    <s v="SABRE"/>
    <x v="590"/>
    <s v="HOKQHOT"/>
    <s v="HOKQHO"/>
    <s v="ConverterPagamentosRemark-&gt;Input string was not in a correct format.&lt;-MontarAccountinsHotel&lt;-ProcessarHotel&lt;-ProcessarItemFila[b]"/>
    <d v="2025-03-13T18:03:00"/>
    <m/>
    <s v="FORMA PAGTO/RECTO"/>
    <s v="FORMATO DE TEXTO"/>
    <s v="TEXTO FORA DO PADRÃO ACEITO NO CAMPO"/>
    <x v="2"/>
    <s v="SUPORTE OBT"/>
    <s v="COLUNA I"/>
  </r>
  <r>
    <n v="3299220"/>
    <s v="SABRE"/>
    <x v="591"/>
    <s v="AWCBZUT"/>
    <s v="AWCBZU"/>
    <s v="ConverterPagamentosRemark-&gt;Input string was not in a correct format.&lt;-MontarAccountinsHotel&lt;-ProcessarHotel&lt;-ProcessarItemFila[b]"/>
    <d v="2025-03-13T18:03:00"/>
    <m/>
    <s v="FORMA PAGTO/RECTO"/>
    <s v="FORMATO DE TEXTO"/>
    <s v="TEXTO FORA DO PADRÃO ACEITO NO CAMPO"/>
    <x v="2"/>
    <s v="SUPORTE OBT"/>
    <s v="COLUNA I"/>
  </r>
  <r>
    <n v="3299223"/>
    <s v="SABRE"/>
    <x v="591"/>
    <s v="EVLAVUT"/>
    <s v="EVLAVU"/>
    <s v="ConverterPagamentosRemark-&gt;Input string was not in a correct format.&lt;-MontarAccountinsHotel&lt;-ProcessarHotel&lt;-ProcessarItemFila[b]"/>
    <d v="2025-03-13T18:04:00"/>
    <m/>
    <s v="FORMA PAGTO/RECTO"/>
    <s v="FORMATO DE TEXTO"/>
    <s v="TEXTO FORA DO PADRÃO ACEITO NO CAMPO"/>
    <x v="2"/>
    <s v="SUPORTE OBT"/>
    <s v="COLUNA I"/>
  </r>
  <r>
    <n v="3299224"/>
    <s v="SABRE"/>
    <x v="591"/>
    <s v="QBZNBET"/>
    <s v="QBZNBE"/>
    <s v="ConverterPagamentosRemark-&gt;Input string was not in a correct format.&lt;-MontarAccountinsHotel&lt;-ProcessarHotel&lt;-ProcessarItemFila[b]"/>
    <d v="2025-03-13T18:04:00"/>
    <m/>
    <s v="FORMA PAGTO/RECTO"/>
    <s v="FORMATO DE TEXTO"/>
    <s v="TEXTO FORA DO PADRÃO ACEITO NO CAMPO"/>
    <x v="2"/>
    <s v="SUPORTE OBT"/>
    <s v="COLUNA I"/>
  </r>
  <r>
    <n v="3299532"/>
    <s v="SABRE"/>
    <x v="592"/>
    <s v="QLOETRT"/>
    <s v="QLOETR"/>
    <s v="ConverterPagamentosRemark-&gt;Input string was not in a correct format.&lt;-MontarAccountinsHotel&lt;-ProcessarHotel&lt;-ProcessarItemFila[b]"/>
    <d v="2025-03-13T19:04:00"/>
    <m/>
    <s v="FORMA PAGTO/RECTO"/>
    <s v="FORMATO DE TEXTO"/>
    <s v="TEXTO FORA DO PADRÃO ACEITO NO CAMPO"/>
    <x v="2"/>
    <s v="SUPORTE OBT"/>
    <s v="COLUNA I"/>
  </r>
  <r>
    <n v="3299810"/>
    <s v="SABRE"/>
    <x v="593"/>
    <s v="USZMRY"/>
    <s v="USZMRY"/>
    <s v="Não localizado cliente código [0004222573].&lt;-ObterCliente&lt;-MontarPnrBase&lt;-ProcessarAereo&lt;-ProcessarItemFila[b]"/>
    <d v="2025-03-13T20:34:00"/>
    <d v="2025-03-14T15:35:00"/>
    <s v="CLIENTE"/>
    <s v="CÓD. CLIENTE DIVERGENTE"/>
    <s v="CÓDIGO DIFERENTE DO CADASTRADO NO BENNER (CLIENTE X GRUPO)"/>
    <x v="1"/>
    <s v="SUPORTE OBT"/>
    <n v="1"/>
  </r>
  <r>
    <n v="3299813"/>
    <s v="SABRE"/>
    <x v="593"/>
    <s v="SWFPFV"/>
    <s v="SWFPFV"/>
    <s v="Não localizado cliente código [0004222573].&lt;-ObterCliente&lt;-MontarPnrBase&lt;-ProcessarAereo&lt;-ProcessarItemFila[b]"/>
    <d v="2025-03-13T20:35:00"/>
    <d v="2025-03-14T15:35:00"/>
    <s v="CLIENTE"/>
    <s v="CÓD. CLIENTE DIVERGENTE"/>
    <s v="CÓDIGO DIFERENTE DO CADASTRADO NO BENNER (CLIENTE X GRUPO)"/>
    <x v="1"/>
    <s v="SUPORTE OBT"/>
    <n v="1"/>
  </r>
  <r>
    <n v="3299815"/>
    <s v="SABRE"/>
    <x v="594"/>
    <s v="ORAUGI"/>
    <s v="ORAUGI"/>
    <s v="Código de cliente não identificado&lt;-ObterCliente&lt;-MontarPnrBase&lt;-ProcessarAereo&lt;-ProcessarItemFila[b]"/>
    <d v="2025-03-13T20:36:00"/>
    <m/>
    <s v="CLIENTE"/>
    <s v="CLIENTE NÃO IDENTIFICADO"/>
    <s v="DK DE CLIENTE NÃO PREENCIDO / CLIENTE NÃO CONFIGURADO NO OBT"/>
    <x v="2"/>
    <s v="OPERAÇÕES / SUPORTE KCS"/>
    <s v="COLUNA I"/>
  </r>
  <r>
    <n v="3299818"/>
    <s v="SABRE"/>
    <x v="594"/>
    <s v="JXYVQH"/>
    <s v="JXYVQH"/>
    <s v="Código de cliente não identificado&lt;-ObterCliente&lt;-MontarPnrBase&lt;-ProcessarAereo&lt;-ProcessarItemFila[b]"/>
    <d v="2025-03-13T20:39:00"/>
    <m/>
    <s v="CLIENTE"/>
    <s v="CLIENTE NÃO IDENTIFICADO"/>
    <s v="DK DE CLIENTE NÃO PREENCIDO / CLIENTE NÃO CONFIGURADO NO OBT"/>
    <x v="2"/>
    <s v="OPERAÇÕES / SUPORTE KCS"/>
    <s v="COLUNA I"/>
  </r>
  <r>
    <n v="3299829"/>
    <s v="SABRE"/>
    <x v="594"/>
    <s v="JGBIBH"/>
    <s v="JGBIBH"/>
    <s v="Não localizado cliente código [0004223565].&lt;-ObterCliente&lt;-MontarPnrBase&lt;-ProcessarAereo&lt;-ProcessarItemFila[b]"/>
    <d v="2025-03-13T20:42:00"/>
    <m/>
    <s v="CLIENTE"/>
    <s v="CÓD. CLIENTE DIVERGENTE"/>
    <s v="CÓDIGO DIFERENTE DO CADASTRADO NO BENNER (CLIENTE X GRUPO)"/>
    <x v="1"/>
    <s v="SUPORTE OBT"/>
    <n v="1"/>
  </r>
  <r>
    <n v="3299830"/>
    <s v="SABRE"/>
    <x v="595"/>
    <s v="AXAVXA"/>
    <s v="AXAVXA"/>
    <s v="Não localizado cliente código [0004223565].&lt;-ObterCliente&lt;-MontarPnrBase&lt;-ProcessarAereo&lt;-ProcessarItemFila[b]"/>
    <d v="2025-03-13T20:42:00"/>
    <d v="2025-03-14T16:03:00"/>
    <s v="CLIENTE"/>
    <s v="CÓD. CLIENTE DIVERGENTE"/>
    <s v="CÓDIGO DIFERENTE DO CADASTRADO NO BENNER (CLIENTE X GRUPO)"/>
    <x v="1"/>
    <s v="SUPORTE OBT"/>
    <n v="1"/>
  </r>
  <r>
    <n v="3299831"/>
    <s v="SABRE"/>
    <x v="596"/>
    <s v="IRPDCE"/>
    <s v="IRPDCE"/>
    <s v="Não localizado cliente código [0004223565].&lt;-ObterCliente&lt;-MontarPnrBase&lt;-ProcessarAereo&lt;-ProcessarItemFila[b]"/>
    <d v="2025-03-13T20:42:00"/>
    <d v="2025-03-14T16:03:00"/>
    <s v="CLIENTE"/>
    <s v="CÓD. CLIENTE DIVERGENTE"/>
    <s v="CÓDIGO DIFERENTE DO CADASTRADO NO BENNER (CLIENTE X GRUPO)"/>
    <x v="1"/>
    <s v="SUPORTE OBT"/>
    <n v="1"/>
  </r>
  <r>
    <n v="3299845"/>
    <s v="SABRE"/>
    <x v="594"/>
    <s v="QMACQJ"/>
    <s v="QMACQJ"/>
    <s v="Código de cliente não identificado&lt;-ObterCliente&lt;-MontarPnrBase&lt;-ProcessarAereo&lt;-ProcessarItemFila[b]"/>
    <d v="2025-03-13T20:44:00"/>
    <m/>
    <s v="CLIENTE"/>
    <s v="CLIENTE NÃO IDENTIFICADO"/>
    <s v="DK DE CLIENTE NÃO PREENCIDO / CLIENTE NÃO CONFIGURADO NO OBT"/>
    <x v="2"/>
    <s v="OPERAÇÕES / SUPORTE KCS"/>
    <s v="COLUNA I"/>
  </r>
  <r>
    <n v="3300259"/>
    <s v="SABRE"/>
    <x v="597"/>
    <s v="AZJHHET"/>
    <s v="AZJHHE"/>
    <s v="Inserindo PNR - Accountings - TurVendas - Não foi possível localizar o contrato do fornecedor 34817"/>
    <d v="2025-03-14T07:48:00"/>
    <m/>
    <s v="FORNECEDOR"/>
    <s v="CONTRATO FORNECEDOR"/>
    <s v="CONTRATO INATIVO OU DIVERGENTE"/>
    <x v="0"/>
    <s v="OPERAÇÕES / SUPORTE KCS"/>
    <n v="43"/>
  </r>
  <r>
    <n v="3300510"/>
    <s v="SABRE"/>
    <x v="598"/>
    <s v="YJYWFZT"/>
    <s v="YJYWFZ"/>
    <s v="ConverterPagamentosRemark-&gt;Input string was not in a correct format.&lt;-MontarAccountinsHotel&lt;-ProcessarHotel&lt;-ProcessarItemFila[b]"/>
    <d v="2025-03-14T10:52:00"/>
    <m/>
    <s v="FORMA PAGTO/RECTO"/>
    <s v="FORMATO DE TEXTO"/>
    <s v="TEXTO FORA DO PADRÃO ACEITO NO CAMPO"/>
    <x v="2"/>
    <s v="SUPORTE OBT"/>
    <s v="COLUNA I"/>
  </r>
  <r>
    <n v="3300605"/>
    <s v="SABRE"/>
    <x v="599"/>
    <s v="KXWEDQT"/>
    <s v="KXWEDQ"/>
    <s v="ConverterPagamentosRemark-&gt;Input string was not in a correct format.&lt;-MontarAccountinsHotel&lt;-ProcessarHotel&lt;-ProcessarItemFila[b]"/>
    <d v="2025-03-14T11:08:00"/>
    <m/>
    <s v="FORMA PAGTO/RECTO"/>
    <s v="FORMATO DE TEXTO"/>
    <s v="TEXTO FORA DO PADRÃO ACEITO NO CAMPO"/>
    <x v="2"/>
    <s v="SUPORTE OBT"/>
    <s v="COLUNA I"/>
  </r>
  <r>
    <n v="3300680"/>
    <s v="TMS"/>
    <x v="600"/>
    <n v="3287"/>
    <n v="3287"/>
    <s v="Preenchendo XML Aéreo-&gt; Preenchendo XML-&gt; Montando accounting aereo-&gt;Montando trecho da accounting-&gt;Input string was not in a correct format."/>
    <d v="2025-03-14T11:18:00"/>
    <d v="2025-03-17T17:44:00"/>
    <s v="OUTROS"/>
    <s v="FORMATO DE TEXTO"/>
    <s v="TEXTO FORA DO PADRÃO ACEITO NO CAMPO"/>
    <x v="2"/>
    <s v="SUPORTE OBT"/>
    <s v="COLUNA I"/>
  </r>
  <r>
    <n v="3300946"/>
    <s v="SABRE"/>
    <x v="601"/>
    <s v="LOYMOJ"/>
    <s v="LOYMOJ"/>
    <s v="Inserindo Accounting - (ExecSQL) - Could not convert variant of type (Null) into type (OleStr)"/>
    <d v="2025-03-14T12:20:00"/>
    <d v="2025-03-17T13:05:00"/>
    <s v="OUTROS"/>
    <s v="ERRO NO XML"/>
    <s v=""/>
    <x v="0"/>
    <s v="SUPORTE OBT"/>
    <s v="COLUNA I"/>
  </r>
  <r>
    <n v="3301059"/>
    <s v="SABRE"/>
    <x v="602"/>
    <s v="MDXLCI"/>
    <s v="MDXLCI"/>
    <s v="Não localizado cliente código [0004223565].&lt;-ObterCliente&lt;-MontarPnrBase&lt;-ProcessarAereo&lt;-ProcessarItemFila[b]"/>
    <d v="2025-03-14T13:35:00"/>
    <d v="2025-03-17T12:34:00"/>
    <s v="CLIENTE"/>
    <s v="CÓD. CLIENTE DIVERGENTE"/>
    <s v="CÓDIGO DIFERENTE DO CADASTRADO NO BENNER (CLIENTE X GRUPO)"/>
    <x v="1"/>
    <s v="SUPORTE OBT"/>
    <n v="1"/>
  </r>
  <r>
    <n v="3301066"/>
    <s v="SABRE"/>
    <x v="603"/>
    <s v="QUAEFX"/>
    <s v="QUAEFX"/>
    <s v="Código de cliente não identificado&lt;-ObterCliente&lt;-MontarPnrBase&lt;-ProcessarAereo&lt;-ProcessarItemFila[b]"/>
    <d v="2025-03-14T13:38:00"/>
    <m/>
    <s v="CLIENTE"/>
    <s v="CLIENTE NÃO IDENTIFICADO"/>
    <s v="DK DE CLIENTE NÃO PREENCIDO / CLIENTE NÃO CONFIGURADO NO OBT"/>
    <x v="2"/>
    <s v="OPERAÇÕES / SUPORTE KCS"/>
    <s v="COLUNA I"/>
  </r>
  <r>
    <n v="3301259"/>
    <s v="GOVER"/>
    <x v="604"/>
    <n v="4505036"/>
    <s v="AV78TIX364A"/>
    <s v="PreencherPnr-&gt;Não foi encontrado nenhum item veículo para o localizador AV78TIX364A"/>
    <d v="2025-03-14T15:44:00"/>
    <d v="2025-03-18T10:44:00"/>
    <s v="OUTROS"/>
    <s v="TAG - ITEM VEÍCULO"/>
    <s v="TAGS DE DETALHAMENTO DO SERVIÇO NÃO ENVIADO NO XML"/>
    <x v="3"/>
    <s v="SUPORTE OBT"/>
    <n v="46"/>
  </r>
  <r>
    <n v="3301260"/>
    <s v="GOVER"/>
    <x v="604"/>
    <n v="4505036"/>
    <s v="cotacao"/>
    <s v="PreencherPnr-&gt;Não foi encontrado nenhum item veículo para o localizador cotacao"/>
    <d v="2025-03-14T15:44:00"/>
    <d v="2025-03-18T10:44:00"/>
    <s v="OUTROS"/>
    <s v="TAG - ITEM VEÍCULO"/>
    <s v="TAGS DE DETALHAMENTO DO SERVIÇO NÃO ENVIADO NO XML"/>
    <x v="3"/>
    <s v="SUPORTE OBT"/>
    <n v="46"/>
  </r>
  <r>
    <n v="3301477"/>
    <s v="SABRE"/>
    <x v="605"/>
    <s v="EEYOTK"/>
    <s v="EEYOTK"/>
    <s v="Não localizado cliente código [0000069078].&lt;-ObterCliente&lt;-MontarPnrBase&lt;-ProcessarAereo&lt;-ProcessarItemFila[b]"/>
    <d v="2025-03-14T16:49:00"/>
    <m/>
    <s v="CLIENTE"/>
    <s v="CÓD. CLIENTE DIVERGENTE"/>
    <s v="CÓDIGO DIFERENTE DO CADASTRADO NO BENNER (CLIENTE X GRUPO)"/>
    <x v="1"/>
    <s v="SUPORTE OBT"/>
    <n v="1"/>
  </r>
  <r>
    <n v="3302050"/>
    <s v="SABRE"/>
    <x v="606"/>
    <s v="IRNHGI"/>
    <s v="IRNHGI"/>
    <s v="Código de cliente não identificado&lt;-ObterCliente&lt;-MontarPnrBase&lt;-ProcessarAereo&lt;-ProcessarItemFila[b]"/>
    <d v="2025-03-14T17:49:00"/>
    <m/>
    <s v="CLIENTE"/>
    <s v="CLIENTE NÃO IDENTIFICADO"/>
    <s v="DK DE CLIENTE NÃO PREENCIDO / CLIENTE NÃO CONFIGURADO NO OBT"/>
    <x v="2"/>
    <s v="OPERAÇÕES / SUPORTE KCS"/>
    <s v="COLUNA I"/>
  </r>
  <r>
    <n v="3302079"/>
    <s v="SABRE"/>
    <x v="607"/>
    <s v="LOTBUA"/>
    <s v="LOTBUA"/>
    <s v="Não localizado cliente código [0004223565].&lt;-ObterCliente&lt;-MontarPnrBase&lt;-ProcessarAereo&lt;-ProcessarItemFila[b]"/>
    <d v="2025-03-14T17:53:00"/>
    <d v="2025-03-17T14:48:00"/>
    <s v="CLIENTE"/>
    <s v="CÓD. CLIENTE DIVERGENTE"/>
    <s v="CÓDIGO DIFERENTE DO CADASTRADO NO BENNER (CLIENTE X GRUPO)"/>
    <x v="1"/>
    <s v="SUPORTE OBT"/>
    <n v="1"/>
  </r>
  <r>
    <n v="3302080"/>
    <s v="SABRE"/>
    <x v="606"/>
    <s v="KXJOYE"/>
    <s v="KXJOYE"/>
    <s v="Não localizado cliente código [0000286569].&lt;-ObterCliente&lt;-MontarPnrBase&lt;-ProcessarAereo&lt;-ProcessarItemFila[b]"/>
    <d v="2025-03-14T17:54:00"/>
    <m/>
    <s v="CLIENTE"/>
    <s v="CÓD. CLIENTE DIVERGENTE"/>
    <s v="CÓDIGO DIFERENTE DO CADASTRADO NO BENNER (CLIENTE X GRUPO)"/>
    <x v="1"/>
    <s v="SUPORTE OBT"/>
    <n v="1"/>
  </r>
  <r>
    <n v="3302081"/>
    <s v="SABRE"/>
    <x v="606"/>
    <s v="IDWFDK"/>
    <s v="IDWFDK"/>
    <s v="Não localizado cliente código [0000392619].&lt;-ObterCliente&lt;-MontarPnrBase&lt;-ProcessarAereo&lt;-ProcessarItemFila[b]"/>
    <d v="2025-03-14T17:54:00"/>
    <m/>
    <s v="CLIENTE"/>
    <s v="CÓD. CLIENTE DIVERGENTE"/>
    <s v="CÓDIGO DIFERENTE DO CADASTRADO NO BENNER (CLIENTE X GRUPO)"/>
    <x v="1"/>
    <s v="SUPORTE OBT"/>
    <n v="1"/>
  </r>
  <r>
    <n v="3302611"/>
    <s v="SABRE"/>
    <x v="608"/>
    <s v="ADKDNS"/>
    <s v="ADKDNS"/>
    <s v="Não localizado cliente código [0004224627].&lt;-ObterCliente&lt;-MontarPnrBase&lt;-ProcessarAereo&lt;-ProcessarItemFila[b]"/>
    <d v="2025-03-14T19:51:00"/>
    <d v="2025-03-17T10:19:00"/>
    <s v="CLIENTE"/>
    <s v="CÓD. CLIENTE DIVERGENTE"/>
    <s v="CÓDIGO DIFERENTE DO CADASTRADO NO BENNER (CLIENTE X GRUPO)"/>
    <x v="1"/>
    <s v="SUPORTE OBT"/>
    <n v="1"/>
  </r>
  <r>
    <n v="3302630"/>
    <s v="SABRE"/>
    <x v="609"/>
    <s v="NGHTJJ"/>
    <s v="NGHTJJ"/>
    <s v="Código de cliente não identificado&lt;-ObterCliente&lt;-MontarPnrBase&lt;-ProcessarAereo&lt;-ProcessarItemFila[b]"/>
    <d v="2025-03-14T20:03:00"/>
    <m/>
    <s v="CLIENTE"/>
    <s v="CLIENTE NÃO IDENTIFICADO"/>
    <s v="DK DE CLIENTE NÃO PREENCIDO / CLIENTE NÃO CONFIGURADO NO OBT"/>
    <x v="2"/>
    <s v="OPERAÇÕES / SUPORTE KCS"/>
    <s v="COLUNA I"/>
  </r>
  <r>
    <n v="3302638"/>
    <s v="SABRE"/>
    <x v="609"/>
    <s v="YKUKDZ"/>
    <s v="YKUKDZ"/>
    <s v="Não localizado cliente código [0000286569].&lt;-ObterCliente&lt;-MontarPnrBase&lt;-ProcessarAereo&lt;-ProcessarItemFila[b]"/>
    <d v="2025-03-14T20:04:00"/>
    <m/>
    <s v="CLIENTE"/>
    <s v="CÓD. CLIENTE DIVERGENTE"/>
    <s v="CÓDIGO DIFERENTE DO CADASTRADO NO BENNER (CLIENTE X GRUPO)"/>
    <x v="1"/>
    <s v="SUPORTE OBT"/>
    <n v="1"/>
  </r>
  <r>
    <n v="3302645"/>
    <s v="SABRE"/>
    <x v="609"/>
    <s v="IQJAPO"/>
    <s v="IQJAPO"/>
    <s v="Código de cliente não identificado&lt;-ObterCliente&lt;-MontarPnrBase&lt;-ProcessarAereo&lt;-ProcessarItemFila[b]"/>
    <d v="2025-03-14T20:05:00"/>
    <m/>
    <s v="CLIENTE"/>
    <s v="CLIENTE NÃO IDENTIFICADO"/>
    <s v="DK DE CLIENTE NÃO PREENCIDO / CLIENTE NÃO CONFIGURADO NO OBT"/>
    <x v="2"/>
    <s v="OPERAÇÕES / SUPORTE KCS"/>
    <s v="COLUNA I"/>
  </r>
  <r>
    <n v="3302648"/>
    <s v="SABRE"/>
    <x v="609"/>
    <s v="SKZPFV"/>
    <s v="SKZPFV"/>
    <s v="Não localizado cliente código [1234567890].&lt;-ObterCliente&lt;-MontarPnrBase&lt;-ProcessarAereo&lt;-ProcessarItemFila[b]"/>
    <d v="2025-03-14T20:05:00"/>
    <m/>
    <s v="CLIENTE"/>
    <s v="CÓD. CLIENTE DIVERGENTE"/>
    <s v="CÓDIGO DIFERENTE DO CADASTRADO NO BENNER (CLIENTE X GRUPO)"/>
    <x v="1"/>
    <s v="SUPORTE OBT"/>
    <n v="1"/>
  </r>
  <r>
    <n v="3302653"/>
    <s v="SABRE"/>
    <x v="609"/>
    <s v="SAYZZK"/>
    <s v="SAYZZK"/>
    <s v="Não localizado cliente código [1234567890].&lt;-ObterCliente&lt;-MontarPnrBase&lt;-ProcessarAereo&lt;-ProcessarItemFila[b]"/>
    <d v="2025-03-14T20:07:00"/>
    <m/>
    <s v="CLIENTE"/>
    <s v="CÓD. CLIENTE DIVERGENTE"/>
    <s v="CÓDIGO DIFERENTE DO CADASTRADO NO BENNER (CLIENTE X GRUPO)"/>
    <x v="1"/>
    <s v="SUPORTE OBT"/>
    <n v="1"/>
  </r>
  <r>
    <n v="3302654"/>
    <s v="SABRE"/>
    <x v="609"/>
    <s v="YTVYQG"/>
    <s v="YTVYQG"/>
    <s v="Código de cliente não identificado&lt;-ObterCliente&lt;-MontarPnrBase&lt;-ProcessarAereo&lt;-ProcessarItemFila[b]"/>
    <d v="2025-03-14T20:07:00"/>
    <m/>
    <s v="CLIENTE"/>
    <s v="CLIENTE NÃO IDENTIFICADO"/>
    <s v="DK DE CLIENTE NÃO PREENCIDO / CLIENTE NÃO CONFIGURADO NO OBT"/>
    <x v="2"/>
    <s v="OPERAÇÕES / SUPORTE KCS"/>
    <s v="COLUNA I"/>
  </r>
  <r>
    <n v="3303589"/>
    <s v="SABRE"/>
    <x v="610"/>
    <s v="YUGMGHT"/>
    <s v="YUGMGH"/>
    <s v="ConverterPagamentosRemark-&gt;Input string was not in a correct format.&lt;-MontarAccountinsHotel&lt;-ProcessarHotel&lt;-ProcessarItemFila[b]"/>
    <d v="2025-03-17T08:49:00"/>
    <m/>
    <s v="FORMA PAGTO/RECTO"/>
    <s v="FORMATO DE TEXTO"/>
    <s v="TEXTO FORA DO PADRÃO ACEITO NO CAMPO"/>
    <x v="2"/>
    <s v="SUPORTE OBT"/>
    <s v="COLUNA I"/>
  </r>
  <r>
    <n v="3303590"/>
    <s v="SABRE"/>
    <x v="610"/>
    <s v="JBGUKPT"/>
    <s v="JBGUKP"/>
    <s v="ConverterPagamentosRemark-&gt;Input string was not in a correct format.&lt;-MontarAccountinsHotel&lt;-ProcessarHotel&lt;-ProcessarItemFila[b]"/>
    <d v="2025-03-17T08:49:00"/>
    <m/>
    <s v="FORMA PAGTO/RECTO"/>
    <s v="FORMATO DE TEXTO"/>
    <s v="TEXTO FORA DO PADRÃO ACEITO NO CAMPO"/>
    <x v="2"/>
    <s v="SUPORTE OBT"/>
    <s v="COLUNA I"/>
  </r>
  <r>
    <n v="3303591"/>
    <s v="SABRE"/>
    <x v="610"/>
    <s v="JPHXZOT"/>
    <s v="JPHXZO"/>
    <s v="ConverterPagamentosRemark-&gt;Input string was not in a correct format.&lt;-MontarAccountinsHotel&lt;-ProcessarHotel&lt;-ProcessarItemFila[b]"/>
    <d v="2025-03-17T08:49:00"/>
    <m/>
    <s v="FORMA PAGTO/RECTO"/>
    <s v="FORMATO DE TEXTO"/>
    <s v="TEXTO FORA DO PADRÃO ACEITO NO CAMPO"/>
    <x v="2"/>
    <s v="SUPORTE OBT"/>
    <s v="COLUNA I"/>
  </r>
  <r>
    <n v="3304707"/>
    <s v="SABRE"/>
    <x v="611"/>
    <s v="ULKWVXT"/>
    <s v="ULKWVX"/>
    <s v="Inserindo PNR - Accountings - TurVendas - Não foi possível localizar o contrato do fornecedor 48142"/>
    <d v="2025-03-17T15:19:00"/>
    <m/>
    <s v="FORNECEDOR"/>
    <s v="CONTRATO FORNECEDOR"/>
    <s v="CONTRATO INATIVO OU DIVERGENTE"/>
    <x v="0"/>
    <s v="OPERAÇÕES / SUPORTE KCS"/>
    <n v="43"/>
  </r>
  <r>
    <n v="3304747"/>
    <s v="SABRE"/>
    <x v="612"/>
    <s v="KNQQIK"/>
    <s v="KNQQIK"/>
    <s v="Não localizado cliente código [1234567890].&lt;-ObterCliente&lt;-MontarPnrBase&lt;-ProcessarAereo&lt;-ProcessarItemFila[b]"/>
    <d v="2025-03-17T15:50:00"/>
    <d v="2025-03-17T17:41:00"/>
    <s v="CLIENTE"/>
    <s v="CÓD. CLIENTE DIVERGENTE"/>
    <s v="CÓDIGO DIFERENTE DO CADASTRADO NO BENNER (CLIENTE X GRUPO)"/>
    <x v="1"/>
    <s v="SUPORTE OBT"/>
    <n v="1"/>
  </r>
  <r>
    <n v="3305162"/>
    <s v="SABRE"/>
    <x v="612"/>
    <s v="IMCJRH"/>
    <s v="IMCJRH"/>
    <s v="Não localizado cliente código [0004222573].&lt;-ObterCliente&lt;-MontarPnrBase&lt;-ProcessarAereo&lt;-ProcessarItemFila[b]"/>
    <d v="2025-03-17T17:36:00"/>
    <m/>
    <s v="CLIENTE"/>
    <s v="CÓD. CLIENTE DIVERGENTE"/>
    <s v="CÓDIGO DIFERENTE DO CADASTRADO NO BENNER (CLIENTE X GRUPO)"/>
    <x v="1"/>
    <s v="SUPORTE OBT"/>
    <n v="1"/>
  </r>
  <r>
    <n v="3305175"/>
    <s v="SABRE"/>
    <x v="612"/>
    <s v="WFMACT"/>
    <s v="WFMACT"/>
    <s v="Código de cliente não identificado&lt;-ObterCliente&lt;-MontarPnrBase&lt;-ProcessarAereo&lt;-ProcessarItemFila[b]"/>
    <d v="2025-03-17T17:38:00"/>
    <m/>
    <s v="CLIENTE"/>
    <s v="CLIENTE NÃO IDENTIFICADO"/>
    <s v="DK DE CLIENTE NÃO PREENCIDO / CLIENTE NÃO CONFIGURADO NO OBT"/>
    <x v="2"/>
    <s v="OPERAÇÕES / SUPORTE KCS"/>
    <s v="COLUNA I"/>
  </r>
  <r>
    <n v="3305211"/>
    <s v="SABRE"/>
    <x v="612"/>
    <s v="NEWKQA"/>
    <s v="NEWKQA"/>
    <s v="Código de cliente não identificado&lt;-ObterCliente&lt;-MontarPnrBase&lt;-ProcessarAereo&lt;-ProcessarItemFila[b]"/>
    <d v="2025-03-17T17:39:00"/>
    <m/>
    <s v="CLIENTE"/>
    <s v="CLIENTE NÃO IDENTIFICADO"/>
    <s v="DK DE CLIENTE NÃO PREENCIDO / CLIENTE NÃO CONFIGURADO NO OBT"/>
    <x v="2"/>
    <s v="OPERAÇÕES / SUPORTE KCS"/>
    <s v="COLUNA I"/>
  </r>
  <r>
    <n v="3305218"/>
    <s v="SABRE"/>
    <x v="612"/>
    <s v="CWGVSL"/>
    <s v="CWGVSL"/>
    <s v="Código de cliente não identificado&lt;-ObterCliente&lt;-MontarPnrBase&lt;-ProcessarAereo&lt;-ProcessarItemFila[b]"/>
    <d v="2025-03-17T17:40:00"/>
    <m/>
    <s v="CLIENTE"/>
    <s v="CLIENTE NÃO IDENTIFICADO"/>
    <s v="DK DE CLIENTE NÃO PREENCIDO / CLIENTE NÃO CONFIGURADO NO OBT"/>
    <x v="2"/>
    <s v="OPERAÇÕES / SUPORTE KCS"/>
    <s v="COLUNA I"/>
  </r>
  <r>
    <n v="3305236"/>
    <s v="SABRE"/>
    <x v="612"/>
    <s v="NERRZB"/>
    <s v="NERRZB"/>
    <s v="Não localizado cliente código [0004224627].&lt;-ObterCliente&lt;-MontarPnrBase&lt;-ProcessarAereo&lt;-ProcessarItemFila[b]"/>
    <d v="2025-03-17T17:41:00"/>
    <m/>
    <s v="CLIENTE"/>
    <s v="CÓD. CLIENTE DIVERGENTE"/>
    <s v="CÓDIGO DIFERENTE DO CADASTRADO NO BENNER (CLIENTE X GRUPO)"/>
    <x v="1"/>
    <s v="SUPORTE OBT"/>
    <n v="1"/>
  </r>
  <r>
    <n v="3305237"/>
    <s v="SABRE"/>
    <x v="612"/>
    <s v="KNHHVW"/>
    <s v="KNHHVW"/>
    <s v="Não localizado cliente código [0000063625].&lt;-ObterCliente&lt;-MontarPnrBase&lt;-ProcessarAereo&lt;-ProcessarItemFila[b]"/>
    <d v="2025-03-17T17:42:00"/>
    <m/>
    <s v="CLIENTE"/>
    <s v="CÓD. CLIENTE DIVERGENTE"/>
    <s v="CÓDIGO DIFERENTE DO CADASTRADO NO BENNER (CLIENTE X GRUPO)"/>
    <x v="1"/>
    <s v="SUPORTE OBT"/>
    <n v="1"/>
  </r>
  <r>
    <n v="3305243"/>
    <s v="SABRE"/>
    <x v="612"/>
    <s v="MCOJVC"/>
    <s v="MCOJVC"/>
    <s v="Não localizado cliente código [1234567890].&lt;-ObterCliente&lt;-MontarPnrBase&lt;-ProcessarAereo&lt;-ProcessarItemFila[b]"/>
    <d v="2025-03-17T17:43:00"/>
    <m/>
    <s v="CLIENTE"/>
    <s v="CÓD. CLIENTE DIVERGENTE"/>
    <s v="CÓDIGO DIFERENTE DO CADASTRADO NO BENNER (CLIENTE X GRUPO)"/>
    <x v="1"/>
    <s v="SUPORTE OBT"/>
    <n v="1"/>
  </r>
  <r>
    <n v="3305245"/>
    <s v="SABRE"/>
    <x v="612"/>
    <s v="NKNUIE"/>
    <s v="NKNUIE"/>
    <s v="Não localizado cliente código [0004223565].&lt;-ObterCliente&lt;-MontarPnrBase&lt;-ProcessarAereo&lt;-ProcessarItemFila[b]"/>
    <d v="2025-03-17T17:43:00"/>
    <m/>
    <s v="CLIENTE"/>
    <s v="CÓD. CLIENTE DIVERGENTE"/>
    <s v="CÓDIGO DIFERENTE DO CADASTRADO NO BENNER (CLIENTE X GRUPO)"/>
    <x v="1"/>
    <s v="SUPORTE OBT"/>
    <n v="1"/>
  </r>
  <r>
    <n v="3305493"/>
    <s v="SABRE"/>
    <x v="613"/>
    <s v="JEHXSUT"/>
    <s v="JEHXSU"/>
    <s v="ConverterPagamentosRemark-&gt;Input string was not in a correct format.&lt;-MontarAccountinsHotel&lt;-ProcessarHotel&lt;-ProcessarItemFila[b]"/>
    <d v="2025-03-17T18:06:00"/>
    <m/>
    <s v="FORMA PAGTO/RECTO"/>
    <s v="FORMATO DE TEXTO"/>
    <s v="TEXTO FORA DO PADRÃO ACEITO NO CAMPO"/>
    <x v="2"/>
    <s v="SUPORTE OBT"/>
    <s v="COLUNA I"/>
  </r>
  <r>
    <n v="3305494"/>
    <s v="SABRE"/>
    <x v="614"/>
    <s v="JCZBFQT"/>
    <s v="JCZBFQ"/>
    <s v="ConverterPagamentosRemark-&gt;Input string was not in a correct format.&lt;-MontarAccountinsHotel&lt;-ProcessarHotel&lt;-ProcessarItemFila[b]"/>
    <d v="2025-03-17T18:06:00"/>
    <m/>
    <s v="FORMA PAGTO/RECTO"/>
    <s v="FORMATO DE TEXTO"/>
    <s v="TEXTO FORA DO PADRÃO ACEITO NO CAMPO"/>
    <x v="2"/>
    <s v="SUPORTE OBT"/>
    <s v="COLUNA I"/>
  </r>
  <r>
    <n v="3305495"/>
    <s v="SABRE"/>
    <x v="614"/>
    <s v="SHKHIXT"/>
    <s v="SHKHIX"/>
    <s v="ConverterPagamentosRemark-&gt;Input string was not in a correct format.&lt;-MontarAccountinsHotel&lt;-ProcessarHotel&lt;-ProcessarItemFila[b]"/>
    <d v="2025-03-17T18:06:00"/>
    <m/>
    <s v="FORMA PAGTO/RECTO"/>
    <s v="FORMATO DE TEXTO"/>
    <s v="TEXTO FORA DO PADRÃO ACEITO NO CAMPO"/>
    <x v="2"/>
    <s v="SUPORTE OBT"/>
    <s v="COLUNA I"/>
  </r>
  <r>
    <n v="3305496"/>
    <s v="SABRE"/>
    <x v="614"/>
    <s v="MUIDOUT"/>
    <s v="MUIDOU"/>
    <s v="ConverterPagamentosRemark-&gt;Input string was not in a correct format.&lt;-MontarAccountinsHotel&lt;-ProcessarHotel&lt;-ProcessarItemFila[b]"/>
    <d v="2025-03-17T18:06:00"/>
    <m/>
    <s v="FORMA PAGTO/RECTO"/>
    <s v="FORMATO DE TEXTO"/>
    <s v="TEXTO FORA DO PADRÃO ACEITO NO CAMPO"/>
    <x v="2"/>
    <s v="SUPORTE OBT"/>
    <s v="COLUNA I"/>
  </r>
  <r>
    <n v="3305499"/>
    <s v="SABRE"/>
    <x v="615"/>
    <s v="CZBUGDT"/>
    <s v="CZBUGD"/>
    <s v="ConverterPagamentosRemark-&gt;Input string was not in a correct format.&lt;-MontarAccountinsHotel&lt;-ProcessarHotel&lt;-ProcessarItemFila[b]"/>
    <d v="2025-03-17T18:06:00"/>
    <m/>
    <s v="FORMA PAGTO/RECTO"/>
    <s v="FORMATO DE TEXTO"/>
    <s v="TEXTO FORA DO PADRÃO ACEITO NO CAMPO"/>
    <x v="2"/>
    <s v="SUPORTE OBT"/>
    <s v="COLUNA I"/>
  </r>
  <r>
    <n v="3305920"/>
    <s v="SABRE"/>
    <x v="616"/>
    <s v="FWBZEM"/>
    <s v="FWBZEM"/>
    <s v="Código de cliente não identificado&lt;-ObterCliente&lt;-MontarPnrBase&lt;-ProcessarAereo&lt;-ProcessarItemFila[b]"/>
    <d v="2025-03-17T19:36:00"/>
    <m/>
    <s v="CLIENTE"/>
    <s v="CLIENTE NÃO IDENTIFICADO"/>
    <s v="DK DE CLIENTE NÃO PREENCIDO / CLIENTE NÃO CONFIGURADO NO OBT"/>
    <x v="2"/>
    <s v="OPERAÇÕES / SUPORTE KCS"/>
    <s v="COLUNA I"/>
  </r>
  <r>
    <n v="3305939"/>
    <s v="SABRE"/>
    <x v="616"/>
    <s v="MDVFEN"/>
    <s v="MDVFEN"/>
    <s v="Código de cliente não identificado&lt;-ObterCliente&lt;-MontarPnrBase&lt;-ProcessarAereo&lt;-ProcessarItemFila[b]"/>
    <d v="2025-03-17T19:37:00"/>
    <m/>
    <s v="CLIENTE"/>
    <s v="CLIENTE NÃO IDENTIFICADO"/>
    <s v="DK DE CLIENTE NÃO PREENCIDO / CLIENTE NÃO CONFIGURADO NO OBT"/>
    <x v="2"/>
    <s v="OPERAÇÕES / SUPORTE KCS"/>
    <s v="COLUNA I"/>
  </r>
  <r>
    <n v="3305948"/>
    <s v="TMS"/>
    <x v="617"/>
    <n v="1375"/>
    <n v="1375"/>
    <s v="Preenchendo XML Serviço-&gt; Preenchendo XML-&gt; Montando accounting aereo 2-&gt;Não foi informado o Localizador do Assento/Bagagem!"/>
    <d v="2025-03-17T19:38:00"/>
    <d v="2025-03-18T06:05:00"/>
    <s v="OUTROS"/>
    <s v="ASSENTO / BAGAGEM"/>
    <s v="CAMPO OBSERVAÇÃO PREENCHIDO INCORRETAMENTE"/>
    <x v="1"/>
    <s v="OPERAÇÕES / SUPORTE KCS"/>
    <n v="118"/>
  </r>
  <r>
    <n v="3307282"/>
    <s v="GOVER"/>
    <x v="618"/>
    <n v="381463"/>
    <s v="174312986-12462"/>
    <s v="PreencherPnr-&gt;Forma pagamento Cartão-&gt; Não foi possível determinar a validade do cartão, favor verificar os dados do cartão &lt;Id&gt;1341225&lt;/Id&gt;."/>
    <d v="2025-03-18T11:12:00"/>
    <d v="2025-03-18T15:12:00"/>
    <s v="FORMA PAGTO/RECTO"/>
    <s v="DADOS DO CARTÃO"/>
    <s v="TAG &lt;CARTAOVALIDADE&gt; NÃO ENVIADA"/>
    <x v="0"/>
    <s v="SUPORTE OBT"/>
    <n v="40"/>
  </r>
  <r>
    <n v="3307283"/>
    <s v="GOVER"/>
    <x v="619"/>
    <n v="381492"/>
    <s v="174320998-58961"/>
    <s v="PreencherPnr-&gt;Forma pagamento Cartão-&gt; Não foi possível determinar a validade do cartão, favor verificar os dados do cartão &lt;Id&gt;1341224&lt;/Id&gt;."/>
    <d v="2025-03-18T11:12:00"/>
    <d v="2025-03-18T15:12:00"/>
    <s v="FORMA PAGTO/RECTO"/>
    <s v="DADOS DO CARTÃO"/>
    <s v="TAG &lt;CARTAOVALIDADE&gt; NÃO ENVIADA"/>
    <x v="0"/>
    <s v="SUPORTE OBT"/>
    <n v="40"/>
  </r>
  <r>
    <n v="3307284"/>
    <s v="GOVER"/>
    <x v="620"/>
    <n v="381493"/>
    <s v="174321223-94863"/>
    <s v="PreencherPnr-&gt;Forma pagamento Cartão-&gt; Não foi possível determinar a validade do cartão, favor verificar os dados do cartão &lt;Id&gt;1341226&lt;/Id&gt;."/>
    <d v="2025-03-18T11:12:00"/>
    <d v="2025-03-18T15:12:00"/>
    <s v="FORMA PAGTO/RECTO"/>
    <s v="DADOS DO CARTÃO"/>
    <s v="TAG &lt;CARTAOVALIDADE&gt; NÃO ENVIADA"/>
    <x v="0"/>
    <s v="SUPORTE OBT"/>
    <n v="40"/>
  </r>
  <r>
    <n v="3307285"/>
    <s v="GOVER"/>
    <x v="621"/>
    <n v="381495"/>
    <s v="174321247-90421"/>
    <s v="PreencherPnr-&gt;Forma pagamento Cartão-&gt; Não foi possível determinar a validade do cartão, favor verificar os dados do cartão &lt;Id&gt;1341227&lt;/Id&gt;."/>
    <d v="2025-03-18T11:12:00"/>
    <d v="2025-03-18T15:12:00"/>
    <s v="FORMA PAGTO/RECTO"/>
    <s v="DADOS DO CARTÃO"/>
    <s v="TAG &lt;CARTAOVALIDADE&gt; NÃO ENVIADA"/>
    <x v="0"/>
    <s v="SUPORTE OBT"/>
    <n v="40"/>
  </r>
  <r>
    <n v="3307286"/>
    <s v="GOVER"/>
    <x v="622"/>
    <n v="381516"/>
    <s v="174322061-30048"/>
    <s v="PreencherPnr-&gt;Forma pagamento Cartão-&gt; Não foi possível determinar a validade do cartão, favor verificar os dados do cartão &lt;Id&gt;1341228&lt;/Id&gt;."/>
    <d v="2025-03-18T11:12:00"/>
    <d v="2025-03-18T15:12:00"/>
    <s v="FORMA PAGTO/RECTO"/>
    <s v="DADOS DO CARTÃO"/>
    <s v="TAG &lt;CARTAOVALIDADE&gt; NÃO ENVIADA"/>
    <x v="0"/>
    <s v="SUPORTE OBT"/>
    <n v="40"/>
  </r>
  <r>
    <n v="3307287"/>
    <s v="GOVER"/>
    <x v="623"/>
    <n v="4110674"/>
    <s v="DLSTWY"/>
    <s v="PreencherPnr-&gt;PreencherAccountingCustom-&gt; Erro: PreencherAccounting-&gt; Erro: Centro de custo não informado!"/>
    <d v="2025-03-18T11:14:00"/>
    <d v="2025-03-18T15:14:00"/>
    <s v="OUTROS"/>
    <s v="CENTRO DE CUSTO"/>
    <s v="CENTRO DE CUSTO NÃO INFORMADO NA RESERVA"/>
    <x v="1"/>
    <s v="SUPORTE OBT"/>
    <s v="COLUNA I"/>
  </r>
  <r>
    <n v="3307288"/>
    <s v="GOVER"/>
    <x v="624"/>
    <n v="4115143"/>
    <s v="GUCVNI"/>
    <s v="PreencherPnr-&gt;PreencherAccountingCustom-&gt; Erro: PreencherAccounting-&gt; Erro: Centro de custo não informado!"/>
    <d v="2025-03-18T11:14:00"/>
    <d v="2025-03-18T15:14:00"/>
    <s v="OUTROS"/>
    <s v="CENTRO DE CUSTO"/>
    <s v="CENTRO DE CUSTO NÃO INFORMADO NA RESERVA"/>
    <x v="1"/>
    <s v="SUPORTE OBT"/>
    <s v="COLUNA I"/>
  </r>
  <r>
    <n v="3307289"/>
    <s v="GOVER"/>
    <x v="625"/>
    <n v="4116134"/>
    <s v="GUCVNI"/>
    <s v="PreencherPnr-&gt;PreencherAccountingCustom-&gt; Erro: PreencherAccounting-&gt; Erro: Centro de custo não informado!"/>
    <d v="2025-03-18T11:14:00"/>
    <d v="2025-03-18T15:14:00"/>
    <s v="OUTROS"/>
    <s v="CENTRO DE CUSTO"/>
    <s v="CENTRO DE CUSTO NÃO INFORMADO NA RESERVA"/>
    <x v="1"/>
    <s v="SUPORTE OBT"/>
    <s v="COLUNA I"/>
  </r>
  <r>
    <n v="3307290"/>
    <s v="GOVER"/>
    <x v="626"/>
    <n v="4368840"/>
    <s v="DHUYRS01"/>
    <s v="PreencherPnr-&gt;AlterarAccountingCustom-&gt; Erro: AlterarAccounting-&gt; Erro: GetOrInsertReferencial1-&gt; Erro: O tamanho máximo do campo &quot;Código&quot; é 60 caracteres."/>
    <m/>
    <m/>
    <m/>
    <s v="Nº DE CARACTERES EXCEDIDO"/>
    <s v="EXCEDEU O Nº DE CARACTERES NO CAMPO FINALIDADE (60)"/>
    <x v="1"/>
    <s v="SUPORTE OBT"/>
    <s v="COLUNA I"/>
  </r>
  <r>
    <n v="3307291"/>
    <s v="GOVER"/>
    <x v="627"/>
    <n v="4369880"/>
    <n v="14784627"/>
    <s v="PreencherPnr-&gt;AlterarAccountingCustom-&gt; Erro: AlterarAccounting-&gt; Erro: GetOrInsertReferencial1-&gt; Erro: O tamanho máximo do campo &quot;Código&quot; é 60 caracteres."/>
    <m/>
    <m/>
    <m/>
    <s v="Nº DE CARACTERES EXCEDIDO"/>
    <s v="EXCEDEU O Nº DE CARACTERES NO CAMPO FINALIDADE (60)"/>
    <x v="1"/>
    <s v="SUPORTE OBT"/>
    <s v="COLUNA I"/>
  </r>
  <r>
    <n v="3307292"/>
    <s v="GOVER"/>
    <x v="628"/>
    <n v="4370166"/>
    <s v="IMOVWL"/>
    <s v="PreencherPnr-&gt;AlterarAccountingCustom-&gt; Erro: AlterarAccounting-&gt; Erro: GetOrInsertReferencial1-&gt; Erro: O tamanho máximo do campo &quot;Código&quot; é 60 caracteres."/>
    <m/>
    <m/>
    <m/>
    <s v="Nº DE CARACTERES EXCEDIDO"/>
    <s v="EXCEDEU O Nº DE CARACTERES NO CAMPO FINALIDADE (60)"/>
    <x v="1"/>
    <s v="SUPORTE OBT"/>
    <s v="COLUNA I"/>
  </r>
  <r>
    <n v="3307293"/>
    <s v="GOVER"/>
    <x v="628"/>
    <n v="4370166"/>
    <s v="KXUQKN"/>
    <s v="PreencherPnr-&gt;AlterarAccountingCustom-&gt; Erro: AlterarAccounting-&gt; Erro: GetOrInsertReferencial1-&gt; Erro: O tamanho máximo do campo &quot;Código&quot; é 60 caracteres."/>
    <m/>
    <m/>
    <m/>
    <s v="Nº DE CARACTERES EXCEDIDO"/>
    <s v="EXCEDEU O Nº DE CARACTERES NO CAMPO FINALIDADE (60)"/>
    <x v="1"/>
    <s v="SUPORTE OBT"/>
    <s v="COLUNA I"/>
  </r>
  <r>
    <n v="3307294"/>
    <s v="GOVER"/>
    <x v="629"/>
    <n v="4370183"/>
    <n v="14789776"/>
    <s v="PreencherPnr-&gt;AlterarAccountingCustom-&gt; Erro: AlterarAccounting-&gt; Erro: GetOrInsertReferencial1-&gt; Erro: O tamanho máximo do campo &quot;Código&quot; é 60 caracteres."/>
    <m/>
    <m/>
    <m/>
    <s v="Nº DE CARACTERES EXCEDIDO"/>
    <s v="EXCEDEU O Nº DE CARACTERES NO CAMPO FINALIDADE (60)"/>
    <x v="1"/>
    <s v="SUPORTE OBT"/>
    <s v="COLUNA I"/>
  </r>
  <r>
    <n v="3307295"/>
    <s v="GOVER"/>
    <x v="630"/>
    <n v="4374675"/>
    <s v="HGW3FC"/>
    <s v="Atualizando PNR - Accountings - '' is not a valid integer value"/>
    <d v="2025-03-18T11:15:00"/>
    <d v="2025-03-18T15:15:00"/>
    <s v="OUTROS"/>
    <s v="NOVA MENSAGEM"/>
    <s v=""/>
    <x v="3"/>
    <e v="#N/A"/>
    <s v="COLUNA I"/>
  </r>
  <r>
    <n v="3307349"/>
    <s v="SABRE"/>
    <x v="631"/>
    <s v="ESBZSQ"/>
    <s v="ESBZSQ"/>
    <s v="Não localizado cliente código [0004223565].&lt;-ObterCliente&lt;-MontarPnrBase&lt;-ProcessarAereo&lt;-ProcessarItemFila[b]"/>
    <d v="2025-03-18T11:36:00"/>
    <d v="2025-03-18T12:08:00"/>
    <s v="CLIENTE"/>
    <s v="CÓD. CLIENTE DIVERGENTE"/>
    <s v="CÓDIGO DIFERENTE DO CADASTRADO NO BENNER (CLIENTE X GRUPO)"/>
    <x v="1"/>
    <s v="SUPORTE OBT"/>
    <n v="1"/>
  </r>
  <r>
    <n v="3307351"/>
    <s v="SABRE"/>
    <x v="632"/>
    <s v="CSIJVBT"/>
    <s v="CSIJVB"/>
    <s v="ConverterPagamentosRemark-&gt;Input string was not in a correct format.&lt;-MontarAccountinsHotel&lt;-ProcessarHotel&lt;-ProcessarItemFila[b]"/>
    <d v="2025-03-18T11:36:00"/>
    <m/>
    <s v="FORMA PAGTO/RECTO"/>
    <s v="FORMATO DE TEXTO"/>
    <s v="TEXTO FORA DO PADRÃO ACEITO NO CAMPO"/>
    <x v="2"/>
    <s v="SUPORTE OBT"/>
    <s v="COLUNA I"/>
  </r>
  <r>
    <n v="3307352"/>
    <s v="SABRE"/>
    <x v="632"/>
    <s v="CLFARVT"/>
    <s v="CLFARV"/>
    <s v="ConverterPagamentosRemark-&gt;Input string was not in a correct format.&lt;-MontarAccountinsHotel&lt;-ProcessarHotel&lt;-ProcessarItemFila[b]"/>
    <d v="2025-03-18T11:37:00"/>
    <m/>
    <s v="FORMA PAGTO/RECTO"/>
    <s v="FORMATO DE TEXTO"/>
    <s v="TEXTO FORA DO PADRÃO ACEITO NO CAMPO"/>
    <x v="2"/>
    <s v="SUPORTE OBT"/>
    <s v="COLUNA I"/>
  </r>
  <r>
    <n v="3307428"/>
    <s v="SABRE"/>
    <x v="631"/>
    <s v="AEZWNW"/>
    <s v="AEZWNW"/>
    <s v="Não localizado cliente código [0004223565].&lt;-ObterCliente&lt;-MontarPnrBase&lt;-ProcessarAereo&lt;-ProcessarItemFila[b]"/>
    <d v="2025-03-18T12:06:00"/>
    <m/>
    <s v="CLIENTE"/>
    <s v="CÓD. CLIENTE DIVERGENTE"/>
    <s v="CÓDIGO DIFERENTE DO CADASTRADO NO BENNER (CLIENTE X GRUPO)"/>
    <x v="1"/>
    <s v="SUPORTE OBT"/>
    <n v="1"/>
  </r>
  <r>
    <n v="3307431"/>
    <s v="GOVER"/>
    <x v="633"/>
    <n v="4198763"/>
    <n v="4198763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2"/>
    <s v="GOVER"/>
    <x v="634"/>
    <n v="4202742"/>
    <n v="4202742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3"/>
    <s v="GOVER"/>
    <x v="635"/>
    <n v="4203062"/>
    <n v="4203062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4"/>
    <s v="GOVER"/>
    <x v="636"/>
    <n v="4203809"/>
    <n v="4203809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5"/>
    <s v="GOVER"/>
    <x v="637"/>
    <n v="4206418"/>
    <n v="4206418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6"/>
    <s v="GOVER"/>
    <x v="638"/>
    <n v="4208156"/>
    <n v="4208156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7"/>
    <s v="GOVER"/>
    <x v="639"/>
    <n v="4213269"/>
    <n v="4213269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8"/>
    <s v="GOVER"/>
    <x v="640"/>
    <n v="4214260"/>
    <n v="4214260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39"/>
    <s v="GOVER"/>
    <x v="641"/>
    <n v="4214263"/>
    <n v="4214263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0"/>
    <s v="GOVER"/>
    <x v="642"/>
    <n v="4219627"/>
    <n v="4219627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2"/>
    <s v="GOVER"/>
    <x v="643"/>
    <n v="4226249"/>
    <n v="4226249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3"/>
    <s v="GOVER"/>
    <x v="644"/>
    <n v="4226516"/>
    <n v="4226516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4"/>
    <s v="GOVER"/>
    <x v="645"/>
    <n v="4228343"/>
    <n v="4228343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5"/>
    <s v="GOVER"/>
    <x v="646"/>
    <n v="4228594"/>
    <n v="4228594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6"/>
    <s v="GOVER"/>
    <x v="647"/>
    <n v="4229281"/>
    <n v="4229281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7"/>
    <s v="GOVER"/>
    <x v="648"/>
    <n v="4234613"/>
    <n v="4234613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48"/>
    <s v="GOVER"/>
    <x v="649"/>
    <n v="4238444"/>
    <n v="4238444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50"/>
    <s v="GOVER"/>
    <x v="650"/>
    <n v="4247796"/>
    <n v="4247796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51"/>
    <s v="GOVER"/>
    <x v="651"/>
    <n v="4249483"/>
    <n v="4249483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52"/>
    <s v="GOVER"/>
    <x v="652"/>
    <n v="4249982"/>
    <n v="4249982"/>
    <s v="PreencherPnr-&gt;Foi identificado um localizador sem código."/>
    <d v="2025-03-18T12:07:00"/>
    <d v="2025-04-09T14:46:00"/>
    <s v="OUTROS"/>
    <s v="RLOC NÃO INFORMADO"/>
    <s v="RLOC NÃO PREENCHIDO NA RESERVA"/>
    <x v="1"/>
    <s v="SUPORTE OBT"/>
    <s v="COLUNA I"/>
  </r>
  <r>
    <n v="3307457"/>
    <s v="GOVER"/>
    <x v="653"/>
    <n v="4341981"/>
    <s v="GKLWSE"/>
    <s v="PreencherPnr-&gt;Número de voo informado é inválido:  '    "/>
    <d v="2025-03-18T12:08:00"/>
    <d v="2025-04-09T14:46:00"/>
    <s v="OUTROS"/>
    <s v="Nº DO VOO"/>
    <s v="Nº DO VOO NÃO PREENCHIDO OU INCORRETO NA RESERVA"/>
    <x v="1"/>
    <s v="SUPORTE OBT"/>
    <s v="COLUNA I"/>
  </r>
  <r>
    <n v="3307461"/>
    <s v="GOVER"/>
    <x v="654"/>
    <n v="4393087"/>
    <n v="4393087"/>
    <s v="PreencherPnr-&gt;Foi identificado um localizador sem código."/>
    <d v="2025-03-18T12:08:00"/>
    <d v="2025-04-09T14:46:00"/>
    <s v="OUTROS"/>
    <s v="RLOC NÃO INFORMADO"/>
    <s v="RLOC NÃO PREENCHIDO NA RESERVA"/>
    <x v="1"/>
    <s v="SUPORTE OBT"/>
    <s v="COLUNA I"/>
  </r>
  <r>
    <n v="3307462"/>
    <s v="GOVER"/>
    <x v="655"/>
    <n v="4394675"/>
    <n v="4394675"/>
    <s v="PreencherPnr-&gt;Foi identificado um localizador sem código."/>
    <d v="2025-03-18T12:08:00"/>
    <d v="2025-04-09T14:46:00"/>
    <s v="OUTROS"/>
    <s v="RLOC NÃO INFORMADO"/>
    <s v="RLOC NÃO PREENCHIDO NA RESERVA"/>
    <x v="1"/>
    <s v="SUPORTE OBT"/>
    <s v="COLUNA I"/>
  </r>
  <r>
    <n v="3307465"/>
    <s v="GOVER"/>
    <x v="656"/>
    <n v="4396109"/>
    <n v="4396109"/>
    <s v="PreencherPnr-&gt;Foi identificado um localizador sem código."/>
    <d v="2025-03-18T12:08:00"/>
    <d v="2025-04-09T14:46:00"/>
    <s v="OUTROS"/>
    <s v="RLOC NÃO INFORMADO"/>
    <s v="RLOC NÃO PREENCHIDO NA RESERVA"/>
    <x v="1"/>
    <s v="SUPORTE OBT"/>
    <s v="COLUNA I"/>
  </r>
  <r>
    <n v="3307467"/>
    <s v="GOVER"/>
    <x v="657"/>
    <n v="4402692"/>
    <n v="4402692"/>
    <s v="PreencherPnr-&gt;Foi identificado um localizador sem código."/>
    <d v="2025-03-18T12:09:00"/>
    <d v="2025-04-09T14:46:00"/>
    <s v="OUTROS"/>
    <s v="RLOC NÃO INFORMADO"/>
    <s v="RLOC NÃO PREENCHIDO NA RESERVA"/>
    <x v="1"/>
    <s v="SUPORTE OBT"/>
    <s v="COLUNA I"/>
  </r>
  <r>
    <n v="3307470"/>
    <s v="GOVER"/>
    <x v="658"/>
    <n v="4412818"/>
    <n v="4412818"/>
    <s v="PreencherPnr-&gt;Foi identificado um localizador sem código."/>
    <d v="2025-03-18T12:09:00"/>
    <d v="2025-04-09T14:46:00"/>
    <s v="OUTROS"/>
    <s v="RLOC NÃO INFORMADO"/>
    <s v="RLOC NÃO PREENCHIDO NA RESERVA"/>
    <x v="1"/>
    <s v="SUPORTE OBT"/>
    <s v="COLUNA I"/>
  </r>
  <r>
    <n v="3307472"/>
    <s v="GOVER"/>
    <x v="659"/>
    <n v="4418900"/>
    <n v="4418900"/>
    <s v="PreencherPnr-&gt;Foi identificado um localizador sem código."/>
    <d v="2025-03-18T12:09:00"/>
    <d v="2025-04-09T14:46:00"/>
    <s v="OUTROS"/>
    <s v="RLOC NÃO INFORMADO"/>
    <s v="RLOC NÃO PREENCHIDO NA RESERVA"/>
    <x v="1"/>
    <s v="SUPORTE OBT"/>
    <s v="COLUNA I"/>
  </r>
  <r>
    <n v="3307473"/>
    <s v="GOVER"/>
    <x v="660"/>
    <n v="4422136"/>
    <n v="4422136"/>
    <s v="PreencherPnr-&gt;Foi identificado um localizador sem código."/>
    <d v="2025-03-18T12:09:00"/>
    <d v="2025-04-09T14:46:00"/>
    <s v="OUTROS"/>
    <s v="RLOC NÃO INFORMADO"/>
    <s v="RLOC NÃO PREENCHIDO NA RESERVA"/>
    <x v="1"/>
    <s v="SUPORTE OBT"/>
    <s v="COLUNA I"/>
  </r>
  <r>
    <n v="3307474"/>
    <s v="GOVER"/>
    <x v="661"/>
    <n v="4430661"/>
    <n v="4430661"/>
    <s v="PreencherPnr-&gt;Foi identificado um localizador sem código."/>
    <d v="2025-03-18T12:09:00"/>
    <d v="2025-04-09T14:46:00"/>
    <s v="OUTROS"/>
    <s v="RLOC NÃO INFORMADO"/>
    <s v="RLOC NÃO PREENCHIDO NA RESERVA"/>
    <x v="1"/>
    <s v="SUPORTE OBT"/>
    <s v="COLUNA I"/>
  </r>
  <r>
    <n v="3307475"/>
    <s v="GOVER"/>
    <x v="662"/>
    <n v="4433239"/>
    <n v="4433239"/>
    <s v="PreencherPnr-&gt;Foi identificado um localizador sem código."/>
    <d v="2025-03-18T12:09:00"/>
    <d v="2025-04-09T14:47:00"/>
    <s v="OUTROS"/>
    <s v="RLOC NÃO INFORMADO"/>
    <s v="RLOC NÃO PREENCHIDO NA RESERVA"/>
    <x v="1"/>
    <s v="SUPORTE OBT"/>
    <s v="COLUNA I"/>
  </r>
  <r>
    <n v="3307476"/>
    <s v="GOVER"/>
    <x v="663"/>
    <n v="4433489"/>
    <n v="4433489"/>
    <s v="PreencherPnr-&gt;Foi identificado um localizador sem código."/>
    <d v="2025-03-18T12:09:00"/>
    <d v="2025-04-09T14:47:00"/>
    <s v="OUTROS"/>
    <s v="RLOC NÃO INFORMADO"/>
    <s v="RLOC NÃO PREENCHIDO NA RESERVA"/>
    <x v="1"/>
    <s v="SUPORTE OBT"/>
    <s v="COLUNA I"/>
  </r>
  <r>
    <n v="3307478"/>
    <s v="GOVER"/>
    <x v="664"/>
    <n v="4437048"/>
    <n v="4437048"/>
    <s v="PreencherPnr-&gt;Foi identificado um localizador sem código."/>
    <d v="2025-03-18T12:09:00"/>
    <d v="2025-04-09T14:47:00"/>
    <s v="OUTROS"/>
    <s v="RLOC NÃO INFORMADO"/>
    <s v="RLOC NÃO PREENCHIDO NA RESERVA"/>
    <x v="1"/>
    <s v="SUPORTE OBT"/>
    <s v="COLUNA I"/>
  </r>
  <r>
    <n v="3307481"/>
    <s v="GOVER"/>
    <x v="665"/>
    <n v="4458190"/>
    <s v="GTATMK"/>
    <s v="PreencherPnr-&gt;Número de voo informado é inválido:  811_ "/>
    <d v="2025-03-18T12:09:00"/>
    <d v="2025-04-09T14:47:00"/>
    <s v="OUTROS"/>
    <s v="Nº DO VOO"/>
    <s v="Nº DO VOO NÃO PREENCHIDO OU INCORRETO NA RESERVA"/>
    <x v="1"/>
    <s v="SUPORTE OBT"/>
    <s v="COLUNA I"/>
  </r>
  <r>
    <n v="3307554"/>
    <s v="GOVER"/>
    <x v="666"/>
    <n v="379121"/>
    <s v="FHISKW"/>
    <s v="PreencherPnr-&gt;Número de voo informado é inválido:  886_ "/>
    <d v="2025-03-18T12:22:00"/>
    <d v="2025-04-09T14:42:00"/>
    <s v="OUTROS"/>
    <s v="Nº DO VOO"/>
    <s v="Nº DO VOO NÃO PREENCHIDO OU INCORRETO NA RESERVA"/>
    <x v="1"/>
    <s v="SUPORTE OBT"/>
    <s v="COLUNA I"/>
  </r>
  <r>
    <n v="3307564"/>
    <s v="GOVER"/>
    <x v="667"/>
    <n v="4077196"/>
    <s v="CGEBHA"/>
    <s v="PreencherPnr-&gt;Número de voo informado é inválido:  507_ "/>
    <d v="2025-03-18T12:25:00"/>
    <d v="2025-04-09T14:45:00"/>
    <s v="OUTROS"/>
    <s v="Nº DO VOO"/>
    <s v="Nº DO VOO NÃO PREENCHIDO OU INCORRETO NA RESERVA"/>
    <x v="1"/>
    <s v="SUPORTE OBT"/>
    <s v="COLUNA I"/>
  </r>
  <r>
    <n v="3307565"/>
    <s v="GOVER"/>
    <x v="668"/>
    <n v="4080080"/>
    <s v="ZTLTMX"/>
    <s v="PreencherPnr-&gt;Número de voo informado é inválido:  858_ "/>
    <d v="2025-03-18T12:25:00"/>
    <d v="2025-04-09T14:45:00"/>
    <s v="OUTROS"/>
    <s v="Nº DO VOO"/>
    <s v="Nº DO VOO NÃO PREENCHIDO OU INCORRETO NA RESERVA"/>
    <x v="1"/>
    <s v="SUPORTE OBT"/>
    <s v="COLUNA I"/>
  </r>
  <r>
    <n v="3307567"/>
    <s v="GOVER"/>
    <x v="669"/>
    <n v="4199219"/>
    <s v="OHIORU"/>
    <s v="PreencherPnr-&gt;AlterarAccountingCustom-&gt; Erro: AlterarAccounting-&gt; Erro: Administradora não encontrada para Bandeira: Hipercard"/>
    <d v="2025-03-18T12:25:00"/>
    <d v="2025-04-09T14:46:00"/>
    <s v="OUTROS"/>
    <s v="BANDEIRA DO CARTÃO"/>
    <s v="ERRO NO OBT, TAG OU PRRENCHIMENTO DO CARTÃO"/>
    <x v="0"/>
    <s v="SUPORTE OBT"/>
    <s v="COLUNA I"/>
  </r>
  <r>
    <n v="3307570"/>
    <s v="GOVER"/>
    <x v="670"/>
    <n v="4299956"/>
    <s v="YRLEHW"/>
    <s v="PreencherPnr-&gt;Número de voo informado é inválido:  149_ "/>
    <d v="2025-03-18T12:25:00"/>
    <d v="2025-04-09T14:46:00"/>
    <s v="OUTROS"/>
    <s v="Nº DO VOO"/>
    <s v="Nº DO VOO NÃO PREENCHIDO OU INCORRETO NA RESERVA"/>
    <x v="1"/>
    <s v="SUPORTE OBT"/>
    <s v="COLUNA I"/>
  </r>
  <r>
    <n v="3307677"/>
    <s v="SABRE"/>
    <x v="671"/>
    <s v="NMBRIP"/>
    <s v="NMBRIP"/>
    <s v="Não localizado cliente código [0000050269].&lt;-ObterCliente&lt;-MontarPnrBase&lt;-ProcessarAereo&lt;-ProcessarItemFila[b]"/>
    <d v="2025-03-18T12:49:00"/>
    <m/>
    <s v="CLIENTE"/>
    <s v="CÓD. CLIENTE DIVERGENTE"/>
    <s v="CÓDIGO DIFERENTE DO CADASTRADO NO BENNER (CLIENTE X GRUPO)"/>
    <x v="1"/>
    <s v="SUPORTE OBT"/>
    <n v="1"/>
  </r>
  <r>
    <n v="3307681"/>
    <s v="SABRE"/>
    <x v="671"/>
    <s v="NMBRIPT"/>
    <s v="NMBRIP"/>
    <s v="Não localizado cliente código [0000050269].&lt;-ObterCliente&lt;-MontarPnrBase&lt;-MontarPnr&lt;-ProcessarHotel&lt;-ProcessarItemFila[b]"/>
    <d v="2025-03-18T12:49:00"/>
    <m/>
    <s v="CLIENTE"/>
    <s v="CÓD. CLIENTE DIVERGENTE"/>
    <s v="CÓDIGO DIFERENTE DO CADASTRADO NO BENNER (CLIENTE X GRUPO)"/>
    <x v="1"/>
    <s v="SUPORTE OBT"/>
    <n v="1"/>
  </r>
  <r>
    <n v="3307682"/>
    <s v="SABRE"/>
    <x v="671"/>
    <s v="NMBRIPC"/>
    <s v="NMBRIP"/>
    <s v="Não localizado cliente código [0000050269].&lt;-ObterCliente&lt;-MontarPnrBase&lt;-MontarPnr&lt;-ProcessarCarro&lt;-ProcessarItemFila[b]"/>
    <d v="2025-03-18T12:49:00"/>
    <m/>
    <s v="CLIENTE"/>
    <s v="CÓD. CLIENTE DIVERGENTE"/>
    <s v="CÓDIGO DIFERENTE DO CADASTRADO NO BENNER (CLIENTE X GRUPO)"/>
    <x v="1"/>
    <s v="SUPORTE OBT"/>
    <n v="1"/>
  </r>
  <r>
    <n v="3307683"/>
    <s v="SABRE"/>
    <x v="671"/>
    <s v="IGJZGD"/>
    <s v="IGJZGD"/>
    <s v="Não localizado cliente código [0000050269].&lt;-ObterCliente&lt;-MontarPnrBase&lt;-ProcessarAereo&lt;-ProcessarItemFila[b]"/>
    <d v="2025-03-18T12:49:00"/>
    <m/>
    <s v="CLIENTE"/>
    <s v="CÓD. CLIENTE DIVERGENTE"/>
    <s v="CÓDIGO DIFERENTE DO CADASTRADO NO BENNER (CLIENTE X GRUPO)"/>
    <x v="1"/>
    <s v="SUPORTE OBT"/>
    <n v="1"/>
  </r>
  <r>
    <n v="3307684"/>
    <s v="SABRE"/>
    <x v="671"/>
    <s v="IGJZGDT"/>
    <s v="IGJZGD"/>
    <s v="Não localizado cliente código [0000050269].&lt;-ObterCliente&lt;-MontarPnrBase&lt;-MontarPnr&lt;-ProcessarHotel&lt;-ProcessarItemFila[b]"/>
    <d v="2025-03-18T12:49:00"/>
    <m/>
    <s v="CLIENTE"/>
    <s v="CÓD. CLIENTE DIVERGENTE"/>
    <s v="CÓDIGO DIFERENTE DO CADASTRADO NO BENNER (CLIENTE X GRUPO)"/>
    <x v="1"/>
    <s v="SUPORTE OBT"/>
    <n v="1"/>
  </r>
  <r>
    <n v="3307688"/>
    <s v="SABRE"/>
    <x v="672"/>
    <s v="WBUWXNT"/>
    <s v="WBUWXN"/>
    <s v="ConverterPagamentosRemark-&gt;Input string was not in a correct format.&lt;-MontarAccountinsHotel&lt;-ProcessarHotel&lt;-ProcessarItemFila[b]"/>
    <d v="2025-03-18T12:49:00"/>
    <m/>
    <s v="FORMA PAGTO/RECTO"/>
    <s v="FORMATO DE TEXTO"/>
    <s v="TEXTO FORA DO PADRÃO ACEITO NO CAMPO"/>
    <x v="2"/>
    <s v="SUPORTE OBT"/>
    <s v="COLUNA I"/>
  </r>
  <r>
    <n v="3307849"/>
    <s v="TMS"/>
    <x v="673"/>
    <n v="55510"/>
    <n v="55510"/>
    <s v="Preenchendo XML Serviço-&gt; Preenchendo XML-&gt; Montando accounting aereo 2-&gt;Não foi informado o Localizador do Assento/Bagagem!"/>
    <d v="2025-03-18T13:17:00"/>
    <m/>
    <s v="OUTROS"/>
    <s v="ASSENTO / BAGAGEM"/>
    <s v="CAMPO OBSERVAÇÃO PREENCHIDO INCORRETAMENTE"/>
    <x v="1"/>
    <s v="OPERAÇÕES / SUPORTE KCS"/>
    <n v="118"/>
  </r>
  <r>
    <n v="3308027"/>
    <s v="GOVER"/>
    <x v="674"/>
    <n v="4396472"/>
    <n v="15350093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28"/>
    <s v="GOVER"/>
    <x v="675"/>
    <n v="4397177"/>
    <s v="H4397177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29"/>
    <s v="GOVER"/>
    <x v="676"/>
    <n v="4397290"/>
    <s v="H4397290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0"/>
    <s v="GOVER"/>
    <x v="677"/>
    <n v="4397878"/>
    <n v="15380977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1"/>
    <s v="GOVER"/>
    <x v="678"/>
    <n v="4398776"/>
    <s v="H4398776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2"/>
    <s v="GOVER"/>
    <x v="679"/>
    <n v="4398952"/>
    <s v="AUBHQG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3"/>
    <s v="GOVER"/>
    <x v="679"/>
    <n v="4398952"/>
    <s v="DJZAQH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4"/>
    <s v="GOVER"/>
    <x v="680"/>
    <n v="4398961"/>
    <s v="IQHGRE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5"/>
    <s v="GOVER"/>
    <x v="680"/>
    <n v="4398961"/>
    <s v="MI21SP"/>
    <s v="PreencherPnr-&gt;Código do cliente não informado! (SolicitacaoDTO.UnidadeCodigoIntegracao)"/>
    <d v="2025-03-18T14:05:00"/>
    <d v="2025-04-09T14:46:00"/>
    <s v="CLIENTE"/>
    <s v="CLIENTE NÃO IDENTIFICADO"/>
    <s v="DK DE CLIENTE NÃO PREENCIDO / CLIENTE NÃO CONFIGURADO NO OBT"/>
    <x v="2"/>
    <s v="OPERAÇÕES / SUPORTE KCS"/>
    <s v="COLUNA I"/>
  </r>
  <r>
    <n v="3308036"/>
    <s v="GOVER"/>
    <x v="681"/>
    <n v="4448746"/>
    <s v="KGSIXA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37"/>
    <s v="GOVER"/>
    <x v="681"/>
    <n v="4448746"/>
    <s v="KLJKWG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38"/>
    <s v="GOVER"/>
    <x v="682"/>
    <n v="4448762"/>
    <n v="16402111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39"/>
    <s v="GOVER"/>
    <x v="683"/>
    <n v="4455913"/>
    <s v="DLTHOB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40"/>
    <s v="GOVER"/>
    <x v="684"/>
    <n v="4461541"/>
    <s v="JKBW7G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41"/>
    <s v="GOVER"/>
    <x v="685"/>
    <n v="4462388"/>
    <n v="16701695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42"/>
    <s v="GOVER"/>
    <x v="686"/>
    <n v="4462390"/>
    <n v="16701678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043"/>
    <s v="GOVER"/>
    <x v="687"/>
    <n v="4464021"/>
    <s v="MS1GGB"/>
    <s v="PreencherPnr-&gt;Código do cliente não informado! (SolicitacaoDTO.UnidadeCodigoIntegracao)"/>
    <d v="2025-03-18T14:05:00"/>
    <d v="2025-04-09T14:47:00"/>
    <s v="CLIENTE"/>
    <s v="CLIENTE NÃO IDENTIFICADO"/>
    <s v="DK DE CLIENTE NÃO PREENCIDO / CLIENTE NÃO CONFIGURADO NO OBT"/>
    <x v="2"/>
    <s v="OPERAÇÕES / SUPORTE KCS"/>
    <s v="COLUNA I"/>
  </r>
  <r>
    <n v="3308180"/>
    <s v="GOVER"/>
    <x v="688"/>
    <n v="4226517"/>
    <s v="JTWMGR"/>
    <s v="Inserindo Trecho - Parâmetro Fornecedor - TurVendas - Não foi possível localizar o contrato do fornecedor CC"/>
    <d v="2025-03-18T15:15:00"/>
    <d v="2025-04-09T14:46:00"/>
    <s v="FORNECEDOR"/>
    <s v="CONTRATO FORNECEDOR"/>
    <s v="CONTRATO INATIVO OU DIVERGENTE"/>
    <x v="0"/>
    <s v="OPERAÇÕES / SUPORTE KCS"/>
    <n v="55"/>
  </r>
  <r>
    <n v="3308181"/>
    <s v="GOVER"/>
    <x v="689"/>
    <n v="4254472"/>
    <s v="OEEEGG"/>
    <s v="Inserindo PNR - Accountings - TurVendas - Não foi possível localizar o contrato do fornecedor 9V"/>
    <d v="2025-03-18T15:15:00"/>
    <d v="2025-04-09T14:46:00"/>
    <s v="FORNECEDOR"/>
    <s v="CONTRATO FORNECEDOR"/>
    <s v="CONTRATO INATIVO OU DIVERGENTE"/>
    <x v="0"/>
    <s v="OPERAÇÕES / SUPORTE KCS"/>
    <n v="43"/>
  </r>
  <r>
    <n v="3308182"/>
    <s v="GOVER"/>
    <x v="690"/>
    <n v="4267291"/>
    <s v="BNCGWK01"/>
    <s v="Inserindo Trecho - Parâmetro Fornecedor - TurVendas - Não foi possível localizar o contrato do fornecedor AG"/>
    <d v="2025-03-18T15:15:00"/>
    <d v="2025-04-09T14:46:00"/>
    <s v="FORNECEDOR"/>
    <s v="CONTRATO FORNECEDOR"/>
    <s v="CONTRATO INATIVO OU DIVERGENTE"/>
    <x v="0"/>
    <s v="OPERAÇÕES / SUPORTE KCS"/>
    <n v="55"/>
  </r>
  <r>
    <n v="3308183"/>
    <s v="GOVER"/>
    <x v="691"/>
    <n v="4347873"/>
    <s v="JIWNUW"/>
    <s v="Inserindo PNR - Accountings - TurVendas - Não foi possível localizar o contrato do fornecedor 9K"/>
    <d v="2025-03-18T15:15:00"/>
    <d v="2025-04-09T14:46:00"/>
    <s v="FORNECEDOR"/>
    <s v="CONTRATO FORNECEDOR"/>
    <s v="CONTRATO INATIVO OU DIVERGENTE"/>
    <x v="0"/>
    <s v="OPERAÇÕES / SUPORTE KCS"/>
    <n v="43"/>
  </r>
  <r>
    <n v="3308184"/>
    <s v="GOVER"/>
    <x v="692"/>
    <n v="4361254"/>
    <s v="MKBDQU"/>
    <s v="Inserindo PNR - Accountings - TurVendas - Não foi possível localizar o contrato do fornecedor G3_"/>
    <d v="2025-03-18T15:15:00"/>
    <d v="2025-04-09T14:46:00"/>
    <s v="FORNECEDOR"/>
    <s v="CONTRATO FORNECEDOR"/>
    <s v="CONTRATO INATIVO OU DIVERGENTE"/>
    <x v="0"/>
    <s v="OPERAÇÕES / SUPORTE KCS"/>
    <n v="43"/>
  </r>
  <r>
    <n v="3308185"/>
    <s v="GOVER"/>
    <x v="693"/>
    <n v="4378785"/>
    <s v="MREHBG0"/>
    <s v="Inserindo PNR - Accountings - TurVendas - Não foi possível localizar o contrato do fornecedor GH"/>
    <d v="2025-03-18T15:15:00"/>
    <d v="2025-04-09T14:46:00"/>
    <s v="FORNECEDOR"/>
    <s v="CONTRATO FORNECEDOR"/>
    <s v="CONTRATO INATIVO OU DIVERGENTE"/>
    <x v="0"/>
    <s v="OPERAÇÕES / SUPORTE KCS"/>
    <n v="43"/>
  </r>
  <r>
    <n v="3308186"/>
    <s v="GOVER"/>
    <x v="694"/>
    <n v="4415010"/>
    <s v="SBORGF"/>
    <s v="Inserindo Trecho - Parâmetro Fornecedor - TurVendas - Não foi possível localizar o contrato do fornecedor IX"/>
    <d v="2025-03-18T15:15:00"/>
    <d v="2025-04-09T14:46:00"/>
    <s v="FORNECEDOR"/>
    <s v="CONTRATO FORNECEDOR"/>
    <s v="CONTRATO INATIVO OU DIVERGENTE"/>
    <x v="0"/>
    <s v="OPERAÇÕES / SUPORTE KCS"/>
    <n v="55"/>
  </r>
  <r>
    <n v="3308187"/>
    <s v="GOVER"/>
    <x v="695"/>
    <n v="4456180"/>
    <s v="YJHHDB"/>
    <s v="Inserindo Trecho - Parâmetro Fornecedor - TurVendas - Não foi possível localizar o contrato do fornecedor BT"/>
    <d v="2025-03-18T15:15:00"/>
    <d v="2025-04-09T14:47:00"/>
    <s v="FORNECEDOR"/>
    <s v="CONTRATO FORNECEDOR"/>
    <s v="CONTRATO INATIVO OU DIVERGENTE"/>
    <x v="0"/>
    <s v="OPERAÇÕES / SUPORTE KCS"/>
    <n v="55"/>
  </r>
  <r>
    <n v="3308203"/>
    <s v="SABRE"/>
    <x v="696"/>
    <s v="QDDWUH"/>
    <s v="QDDWUH"/>
    <s v="Inserindo PNR - Accountings - TurVendas - Não foi possível localizar o contrato do fornecedor X1"/>
    <d v="2025-03-18T15:19:00"/>
    <m/>
    <s v="FORNECEDOR"/>
    <s v="CONTRATO FORNECEDOR"/>
    <s v="CONTRATO INATIVO OU DIVERGENTE"/>
    <x v="0"/>
    <s v="OPERAÇÕES / SUPORTE KCS"/>
    <n v="43"/>
  </r>
  <r>
    <n v="3308205"/>
    <s v="GOVER"/>
    <x v="697"/>
    <n v="373277"/>
    <s v="FQYRZU"/>
    <s v="Inserindo PNR - Accountings - TurVendas - Não foi possível localizar o contrato do fornecedor JT"/>
    <d v="2025-03-18T15:22:00"/>
    <d v="2025-04-09T14:42:00"/>
    <s v="FORNECEDOR"/>
    <s v="CONTRATO FORNECEDOR"/>
    <s v="CONTRATO INATIVO OU DIVERGENTE"/>
    <x v="0"/>
    <s v="OPERAÇÕES / SUPORTE KCS"/>
    <n v="43"/>
  </r>
  <r>
    <n v="3308207"/>
    <s v="GOVER"/>
    <x v="698"/>
    <n v="377032"/>
    <s v="OXVNUE"/>
    <s v="Inserindo PNR - Accountings - TurVendas - Não foi possível localizar o contrato do fornecedor PS"/>
    <d v="2025-03-18T15:22:00"/>
    <d v="2025-04-09T14:42:00"/>
    <s v="FORNECEDOR"/>
    <s v="CONTRATO FORNECEDOR"/>
    <s v="CONTRATO INATIVO OU DIVERGENTE"/>
    <x v="0"/>
    <s v="OPERAÇÕES / SUPORTE KCS"/>
    <n v="43"/>
  </r>
  <r>
    <n v="3308208"/>
    <s v="GOVER"/>
    <x v="699"/>
    <n v="379099"/>
    <s v="MVIURV"/>
    <s v="Inserindo Trecho - Parâmetro Fornecedor - TurVendas - Não foi possível localizar o contrato do fornecedor OA"/>
    <d v="2025-03-18T15:22:00"/>
    <d v="2025-04-09T14:42:00"/>
    <s v="FORNECEDOR"/>
    <s v="CONTRATO FORNECEDOR"/>
    <s v="CONTRATO INATIVO OU DIVERGENTE"/>
    <x v="0"/>
    <s v="OPERAÇÕES / SUPORTE KCS"/>
    <n v="55"/>
  </r>
  <r>
    <n v="3308209"/>
    <s v="GOVER"/>
    <x v="700"/>
    <n v="4119701"/>
    <s v="TIKSWW01"/>
    <s v="Inserindo PNR - Accountings - TurVendas - Não foi possível localizar o contrato do fornecedor KK"/>
    <d v="2025-03-18T15:24:00"/>
    <d v="2025-04-09T14:45:00"/>
    <s v="FORNECEDOR"/>
    <s v="CONTRATO FORNECEDOR"/>
    <s v="CONTRATO INATIVO OU DIVERGENTE"/>
    <x v="0"/>
    <s v="OPERAÇÕES / SUPORTE KCS"/>
    <n v="43"/>
  </r>
  <r>
    <n v="3308210"/>
    <s v="GOVER"/>
    <x v="701"/>
    <n v="4205297"/>
    <s v="ISOAIR"/>
    <s v="Inserindo Trecho - Parâmetro Fornecedor - TurVendas - Não foi possível localizar o contrato do fornecedor DR"/>
    <d v="2025-03-18T15:24:00"/>
    <d v="2025-04-09T14:46:00"/>
    <s v="FORNECEDOR"/>
    <s v="CONTRATO FORNECEDOR"/>
    <s v="CONTRATO INATIVO OU DIVERGENTE"/>
    <x v="0"/>
    <s v="OPERAÇÕES / SUPORTE KCS"/>
    <n v="55"/>
  </r>
  <r>
    <n v="3308211"/>
    <s v="GOVER"/>
    <x v="702"/>
    <n v="4397871"/>
    <n v="15377664"/>
    <s v="PreencherPnr-&gt;AlterarAccountingCustom-&gt; Erro: AlterarAccounting-&gt; Erro: Canal de venda com descrição  KON-OPE-RIO-PVI-BTC RJ não encontrado!"/>
    <d v="2025-03-18T15:25:00"/>
    <d v="2025-04-09T14:46:00"/>
    <s v="OUTROS"/>
    <s v="CANAL DE VENDA NÃO IDENTIFICADO"/>
    <s v=""/>
    <x v="2"/>
    <s v="OPERAÇÕES / SUPORTE KCS"/>
    <s v="COLUNA I"/>
  </r>
  <r>
    <n v="3308212"/>
    <s v="GOVER"/>
    <x v="703"/>
    <n v="4398960"/>
    <n v="15403154"/>
    <s v="PreencherPnr-&gt;AlterarAccountingCustom-&gt; Erro: AlterarAccounting-&gt; Erro: Canal de venda com descrição  KON-OPE-RIO-PVI-BTC RJ não encontrado!"/>
    <d v="2025-03-18T15:25:00"/>
    <d v="2025-04-09T14:46:00"/>
    <s v="OUTROS"/>
    <s v="CANAL DE VENDA NÃO IDENTIFICADO"/>
    <s v=""/>
    <x v="2"/>
    <s v="OPERAÇÕES / SUPORTE KCS"/>
    <s v="COLUNA I"/>
  </r>
  <r>
    <n v="3308213"/>
    <s v="GOVER"/>
    <x v="704"/>
    <n v="4399068"/>
    <n v="15405832"/>
    <s v="PreencherPnr-&gt;AlterarAccountingCustom-&gt; Erro: AlterarAccounting-&gt; Erro: Canal de venda com descrição  KON-OPE-RIO-PVI-BTC RJ não encontrado!"/>
    <d v="2025-03-18T15:25:00"/>
    <d v="2025-04-09T14:46:00"/>
    <s v="OUTROS"/>
    <s v="CANAL DE VENDA NÃO IDENTIFICADO"/>
    <s v=""/>
    <x v="2"/>
    <s v="OPERAÇÕES / SUPORTE KCS"/>
    <s v="COLUNA I"/>
  </r>
  <r>
    <n v="3308214"/>
    <s v="GOVER"/>
    <x v="705"/>
    <n v="4403232"/>
    <n v="15495281"/>
    <s v="PreencherPnr-&gt;AlterarAccountingCustom-&gt; Erro: AlterarAccounting-&gt; Erro: Canal de venda com descrição  KON-OPE-RIO-PVI-BTC RJ não encontrado!"/>
    <d v="2025-03-18T15:25:00"/>
    <d v="2025-04-09T14:46:00"/>
    <s v="OUTROS"/>
    <s v="CANAL DE VENDA NÃO IDENTIFICADO"/>
    <s v=""/>
    <x v="2"/>
    <s v="OPERAÇÕES / SUPORTE KCS"/>
    <s v="COLUNA I"/>
  </r>
  <r>
    <n v="3308383"/>
    <s v="SABRE"/>
    <x v="706"/>
    <s v="QTJFVDT"/>
    <s v="QTJFVD"/>
    <s v="ConverterPagamentosRemark-&gt;Input string was not in a correct format.&lt;-MontarAccountinsHotel&lt;-ProcessarHotel&lt;-ProcessarItemFila[b]"/>
    <d v="2025-03-18T16:21:00"/>
    <m/>
    <s v="FORMA PAGTO/RECTO"/>
    <s v="FORMATO DE TEXTO"/>
    <s v="TEXTO FORA DO PADRÃO ACEITO NO CAMPO"/>
    <x v="2"/>
    <s v="SUPORTE OBT"/>
    <s v="COLUNA I"/>
  </r>
  <r>
    <n v="3309001"/>
    <s v="SABRE"/>
    <x v="707"/>
    <s v="JAKIMG"/>
    <s v="JAKIMG"/>
    <s v="Não localizado cliente código [0004223565].&lt;-ObterCliente&lt;-MontarPnrBase&lt;-ProcessarAereo&lt;-ProcessarItemFila[b]"/>
    <d v="2025-03-18T18:49:00"/>
    <d v="2025-03-19T13:49:00"/>
    <s v="CLIENTE"/>
    <s v="CÓD. CLIENTE DIVERGENTE"/>
    <s v="CÓDIGO DIFERENTE DO CADASTRADO NO BENNER (CLIENTE X GRUPO)"/>
    <x v="1"/>
    <s v="SUPORTE OBT"/>
    <n v="1"/>
  </r>
  <r>
    <n v="3309006"/>
    <s v="SABRE"/>
    <x v="707"/>
    <s v="FXMPUB"/>
    <s v="FXMPUB"/>
    <s v="Não localizado cliente código [0004224627].&lt;-ObterCliente&lt;-MontarPnrBase&lt;-ProcessarAereo&lt;-ProcessarItemFila[b]"/>
    <d v="2025-03-18T18:50:00"/>
    <d v="2025-03-19T13:49:00"/>
    <s v="CLIENTE"/>
    <s v="CÓD. CLIENTE DIVERGENTE"/>
    <s v="CÓDIGO DIFERENTE DO CADASTRADO NO BENNER (CLIENTE X GRUPO)"/>
    <x v="1"/>
    <s v="SUPORTE OBT"/>
    <n v="1"/>
  </r>
  <r>
    <n v="3309022"/>
    <s v="SABRE"/>
    <x v="536"/>
    <s v="ENEAVP"/>
    <s v="ENEAVP"/>
    <s v="Código de cliente não identificado&lt;-ObterCliente&lt;-MontarPnrBase&lt;-ProcessarAereo&lt;-ProcessarItemFila[b]"/>
    <d v="2025-03-18T18:53:00"/>
    <m/>
    <s v="CLIENTE"/>
    <s v="CLIENTE NÃO IDENTIFICADO"/>
    <s v="DK DE CLIENTE NÃO PREENCIDO / CLIENTE NÃO CONFIGURADO NO OBT"/>
    <x v="2"/>
    <s v="OPERAÇÕES / SUPORTE KCS"/>
    <s v="COLUNA I"/>
  </r>
  <r>
    <n v="3309026"/>
    <s v="SABRE"/>
    <x v="707"/>
    <s v="MCCWAP"/>
    <s v="MCCWAP"/>
    <s v="Não localizado cliente código [0004224627].&lt;-ObterCliente&lt;-MontarPnrBase&lt;-ProcessarAereo&lt;-ProcessarItemFila[b]"/>
    <d v="2025-03-18T18:53:00"/>
    <d v="2025-03-19T13:49:00"/>
    <s v="CLIENTE"/>
    <s v="CÓD. CLIENTE DIVERGENTE"/>
    <s v="CÓDIGO DIFERENTE DO CADASTRADO NO BENNER (CLIENTE X GRUPO)"/>
    <x v="1"/>
    <s v="SUPORTE OBT"/>
    <n v="1"/>
  </r>
  <r>
    <n v="3309035"/>
    <s v="SABRE"/>
    <x v="708"/>
    <s v="OXQZMC"/>
    <s v="OXQZMC"/>
    <s v="Não localizado cliente código [0004223565].&lt;-ObterCliente&lt;-MontarPnrBase&lt;-ProcessarAereo&lt;-ProcessarItemFila[b]"/>
    <d v="2025-03-18T18:54:00"/>
    <d v="2025-03-19T14:04:00"/>
    <s v="CLIENTE"/>
    <s v="CÓD. CLIENTE DIVERGENTE"/>
    <s v="CÓDIGO DIFERENTE DO CADASTRADO NO BENNER (CLIENTE X GRUPO)"/>
    <x v="1"/>
    <s v="SUPORTE OBT"/>
    <n v="1"/>
  </r>
  <r>
    <n v="3309036"/>
    <s v="SABRE"/>
    <x v="708"/>
    <s v="QUOLIM"/>
    <s v="QUOLIM"/>
    <s v="Não localizado cliente código [0004223565].&lt;-ObterCliente&lt;-MontarPnrBase&lt;-ProcessarAereo&lt;-ProcessarItemFila[b]"/>
    <d v="2025-03-18T18:55:00"/>
    <d v="2025-03-19T14:04:00"/>
    <s v="CLIENTE"/>
    <s v="CÓD. CLIENTE DIVERGENTE"/>
    <s v="CÓDIGO DIFERENTE DO CADASTRADO NO BENNER (CLIENTE X GRUPO)"/>
    <x v="1"/>
    <s v="SUPORTE OBT"/>
    <n v="1"/>
  </r>
  <r>
    <n v="3309043"/>
    <s v="SABRE"/>
    <x v="709"/>
    <s v="LQQZUU"/>
    <s v="LQQZUU"/>
    <s v="Não localizado cliente código [0004224627].&lt;-ObterCliente&lt;-MontarPnrBase&lt;-ProcessarAereo&lt;-ProcessarItemFila[b]"/>
    <d v="2025-03-18T18:55:00"/>
    <d v="2025-03-19T15:19:00"/>
    <s v="CLIENTE"/>
    <s v="CÓD. CLIENTE DIVERGENTE"/>
    <s v="CÓDIGO DIFERENTE DO CADASTRADO NO BENNER (CLIENTE X GRUPO)"/>
    <x v="1"/>
    <s v="SUPORTE OBT"/>
    <n v="1"/>
  </r>
  <r>
    <n v="3309046"/>
    <s v="SABRE"/>
    <x v="710"/>
    <s v="FZZBSH"/>
    <s v="FZZBSH"/>
    <s v="Não localizado cliente código [0004224627].&lt;-ObterCliente&lt;-MontarPnrBase&lt;-ProcessarAereo&lt;-ProcessarItemFila[b]"/>
    <d v="2025-03-18T18:56:00"/>
    <d v="2025-03-19T15:19:00"/>
    <s v="CLIENTE"/>
    <s v="CÓD. CLIENTE DIVERGENTE"/>
    <s v="CÓDIGO DIFERENTE DO CADASTRADO NO BENNER (CLIENTE X GRUPO)"/>
    <x v="1"/>
    <s v="SUPORTE OBT"/>
    <n v="1"/>
  </r>
  <r>
    <n v="3309052"/>
    <s v="SABRE"/>
    <x v="711"/>
    <s v="HUDZBX"/>
    <s v="HUDZBX"/>
    <s v="Não localizado cliente código [0000050269].&lt;-ObterCliente&lt;-MontarPnrBase&lt;-ProcessarAereo&lt;-ProcessarItemFila[b]"/>
    <d v="2025-03-18T18:56:00"/>
    <d v="2025-03-19T11:19:00"/>
    <s v="CLIENTE"/>
    <s v="CÓD. CLIENTE DIVERGENTE"/>
    <s v="CÓDIGO DIFERENTE DO CADASTRADO NO BENNER (CLIENTE X GRUPO)"/>
    <x v="1"/>
    <s v="SUPORTE OBT"/>
    <n v="1"/>
  </r>
  <r>
    <n v="3309053"/>
    <s v="SABRE"/>
    <x v="710"/>
    <s v="MXLBEJ"/>
    <s v="MXLBEJ"/>
    <s v="Não localizado cliente código [0004223565].&lt;-ObterCliente&lt;-MontarPnrBase&lt;-ProcessarAereo&lt;-ProcessarItemFila[b]"/>
    <d v="2025-03-18T18:56:00"/>
    <d v="2025-03-19T15:19:00"/>
    <s v="CLIENTE"/>
    <s v="CÓD. CLIENTE DIVERGENTE"/>
    <s v="CÓDIGO DIFERENTE DO CADASTRADO NO BENNER (CLIENTE X GRUPO)"/>
    <x v="1"/>
    <s v="SUPORTE OBT"/>
    <n v="1"/>
  </r>
  <r>
    <n v="3309054"/>
    <s v="SABRE"/>
    <x v="536"/>
    <s v="SOHZTL"/>
    <s v="SOHZTL"/>
    <s v="Código de cliente não identificado&lt;-ObterCliente&lt;-MontarPnrBase&lt;-ProcessarAereo&lt;-ProcessarItemFila[b]"/>
    <d v="2025-03-18T18:56:00"/>
    <m/>
    <s v="CLIENTE"/>
    <s v="CLIENTE NÃO IDENTIFICADO"/>
    <s v="DK DE CLIENTE NÃO PREENCIDO / CLIENTE NÃO CONFIGURADO NO OBT"/>
    <x v="2"/>
    <s v="OPERAÇÕES / SUPORTE KCS"/>
    <s v="COLUNA I"/>
  </r>
  <r>
    <n v="3309057"/>
    <s v="SABRE"/>
    <x v="712"/>
    <s v="MCAYRT"/>
    <s v="MCAYRT"/>
    <s v="Não localizado cliente código [0004224627].&lt;-ObterCliente&lt;-MontarPnrBase&lt;-ProcessarAereo&lt;-ProcessarItemFila[b]"/>
    <d v="2025-03-18T18:57:00"/>
    <d v="2025-03-19T15:19:00"/>
    <s v="CLIENTE"/>
    <s v="CÓD. CLIENTE DIVERGENTE"/>
    <s v="CÓDIGO DIFERENTE DO CADASTRADO NO BENNER (CLIENTE X GRUPO)"/>
    <x v="1"/>
    <s v="SUPORTE OBT"/>
    <n v="1"/>
  </r>
  <r>
    <n v="3309060"/>
    <s v="SABRE"/>
    <x v="713"/>
    <s v="FLSDLC"/>
    <s v="FLSDLC"/>
    <s v="Não localizado cliente código [0004222573].&lt;-ObterCliente&lt;-MontarPnrBase&lt;-ProcessarAereo&lt;-ProcessarItemFila[b]"/>
    <d v="2025-03-18T18:57:00"/>
    <d v="2025-03-19T15:19:00"/>
    <s v="CLIENTE"/>
    <s v="CÓD. CLIENTE DIVERGENTE"/>
    <s v="CÓDIGO DIFERENTE DO CADASTRADO NO BENNER (CLIENTE X GRUPO)"/>
    <x v="1"/>
    <s v="SUPORTE OBT"/>
    <n v="1"/>
  </r>
  <r>
    <n v="3309393"/>
    <s v="SABRE"/>
    <x v="714"/>
    <s v="CFQZUDT"/>
    <s v="CFQZUD"/>
    <s v="ConverterPagamentosRemark-&gt;Input string was not in a correct format.&lt;-MontarAccountinsHotel&lt;-ProcessarHotel&lt;-ProcessarItemFila[b]"/>
    <d v="2025-03-18T19:49:00"/>
    <m/>
    <s v="FORMA PAGTO/RECTO"/>
    <s v="FORMATO DE TEXTO"/>
    <s v="TEXTO FORA DO PADRÃO ACEITO NO CAMPO"/>
    <x v="2"/>
    <s v="SUPORTE OBT"/>
    <s v="COLUNA I"/>
  </r>
  <r>
    <n v="3309558"/>
    <s v="SABRE"/>
    <x v="715"/>
    <s v="QHPOJA"/>
    <s v="QHPOJA"/>
    <s v="Código de cliente não identificado&lt;-ObterCliente&lt;-MontarPnrBase&lt;-ProcessarAereo&lt;-ProcessarItemFila[b]"/>
    <d v="2025-03-18T20:18:00"/>
    <m/>
    <s v="CLIENTE"/>
    <s v="CLIENTE NÃO IDENTIFICADO"/>
    <s v="DK DE CLIENTE NÃO PREENCIDO / CLIENTE NÃO CONFIGURADO NO OBT"/>
    <x v="2"/>
    <s v="OPERAÇÕES / SUPORTE KCS"/>
    <s v="COLUNA I"/>
  </r>
  <r>
    <n v="3309560"/>
    <s v="SABRE"/>
    <x v="715"/>
    <s v="EWOFNZ"/>
    <s v="EWOFNZ"/>
    <s v="Código de cliente não identificado&lt;-ObterCliente&lt;-MontarPnrBase&lt;-ProcessarAereo&lt;-ProcessarItemFila[b]"/>
    <d v="2025-03-18T20:19:00"/>
    <m/>
    <s v="CLIENTE"/>
    <s v="CLIENTE NÃO IDENTIFICADO"/>
    <s v="DK DE CLIENTE NÃO PREENCIDO / CLIENTE NÃO CONFIGURADO NO OBT"/>
    <x v="2"/>
    <s v="OPERAÇÕES / SUPORTE KCS"/>
    <s v="COLUNA I"/>
  </r>
  <r>
    <n v="3309563"/>
    <s v="SABRE"/>
    <x v="713"/>
    <s v="LQSKHC"/>
    <s v="LQSKHC"/>
    <s v="Não localizado cliente código [0004224627].&lt;-ObterCliente&lt;-MontarPnrBase&lt;-ProcessarAereo&lt;-ProcessarItemFila[b]"/>
    <d v="2025-03-18T20:19:00"/>
    <d v="2025-03-19T15:20:00"/>
    <s v="CLIENTE"/>
    <s v="CÓD. CLIENTE DIVERGENTE"/>
    <s v="CÓDIGO DIFERENTE DO CADASTRADO NO BENNER (CLIENTE X GRUPO)"/>
    <x v="1"/>
    <s v="SUPORTE OBT"/>
    <n v="1"/>
  </r>
  <r>
    <n v="3309565"/>
    <s v="SABRE"/>
    <x v="716"/>
    <s v="YQZHUA"/>
    <s v="YQZHUA"/>
    <s v="Código de cliente não identificado&lt;-ObterCliente&lt;-MontarPnrBase&lt;-ProcessarAereo&lt;-ProcessarItemFila[b]"/>
    <d v="2025-03-18T20:19:00"/>
    <d v="2025-03-19T15:49:00"/>
    <s v="CLIENTE"/>
    <s v="CLIENTE NÃO IDENTIFICADO"/>
    <s v="DK DE CLIENTE NÃO PREENCIDO / CLIENTE NÃO CONFIGURADO NO OBT"/>
    <x v="2"/>
    <s v="OPERAÇÕES / SUPORTE KCS"/>
    <s v="COLUNA I"/>
  </r>
  <r>
    <n v="3309574"/>
    <s v="SABRE"/>
    <x v="715"/>
    <s v="OOTBDZ"/>
    <s v="OOTBDZ"/>
    <s v="Código de cliente não identificado&lt;-ObterCliente&lt;-MontarPnrBase&lt;-ProcessarAereo&lt;-ProcessarItemFila[b]"/>
    <d v="2025-03-18T20:20:00"/>
    <m/>
    <s v="CLIENTE"/>
    <s v="CLIENTE NÃO IDENTIFICADO"/>
    <s v="DK DE CLIENTE NÃO PREENCIDO / CLIENTE NÃO CONFIGURADO NO OBT"/>
    <x v="2"/>
    <s v="OPERAÇÕES / SUPORTE KCS"/>
    <s v="COLUNA I"/>
  </r>
  <r>
    <n v="3310656"/>
    <s v="SABRE"/>
    <x v="717"/>
    <s v="QXXUSH"/>
    <s v="QXXUSH"/>
    <s v="Não localizado cliente código [0000068957].&lt;-ObterCliente&lt;-MontarPnrBase&lt;-ProcessarAereo&lt;-ProcessarItemFila[b]"/>
    <d v="2025-03-19T12:49:00"/>
    <m/>
    <s v="CLIENTE"/>
    <s v="CÓD. CLIENTE DIVERGENTE"/>
    <s v="CÓDIGO DIFERENTE DO CADASTRADO NO BENNER (CLIENTE X GRUPO)"/>
    <x v="1"/>
    <s v="SUPORTE OBT"/>
    <n v="1"/>
  </r>
  <r>
    <n v="3310891"/>
    <s v="SABRE"/>
    <x v="718"/>
    <s v="DWGEUZ"/>
    <s v="DWGEUZ"/>
    <s v="Inserindo Accounting - (ExecSQL) - Could not convert variant of type (Null) into type (OleStr)"/>
    <d v="2025-03-19T13:20:00"/>
    <d v="2025-03-19T20:19:00"/>
    <s v="OUTROS"/>
    <s v="ERRO NO XML"/>
    <s v=""/>
    <x v="0"/>
    <s v="SUPORTE OBT"/>
    <s v="COLUNA I"/>
  </r>
  <r>
    <n v="3310899"/>
    <s v="TMS"/>
    <x v="719"/>
    <n v="19456"/>
    <n v="19456"/>
    <s v="Preenchendo XML Serviço-&gt; Preenchendo XML-&gt; Montando accounting aereo 3-&gt;Reserva KIRLOB não encontrada para importar assento/bagagem!"/>
    <d v="2025-03-19T13:22:00"/>
    <d v="2025-03-22T19:27:00"/>
    <s v="OUTROS"/>
    <s v="ASSENTO / BAGAGEM"/>
    <s v="CAMPO OBSERVAÇÃO PREENCHIDO INCORRETAMENTE"/>
    <x v="1"/>
    <s v="OPERAÇÕES / SUPORTE KCS"/>
    <n v="127"/>
  </r>
  <r>
    <n v="3311050"/>
    <s v="TMS"/>
    <x v="720"/>
    <n v="14637"/>
    <n v="14637"/>
    <s v="Preenchendo XML Serviço-&gt; Preenchendo XML-&gt; Montando accounting aereo 2-&gt;Não foi informado o Localizador do Assento/Bagagem!"/>
    <d v="2025-03-19T13:51:00"/>
    <d v="2025-03-22T19:28:00"/>
    <s v="OUTROS"/>
    <s v="ASSENTO / BAGAGEM"/>
    <s v="CAMPO OBSERVAÇÃO PREENCHIDO INCORRETAMENTE"/>
    <x v="1"/>
    <s v="OPERAÇÕES / SUPORTE KCS"/>
    <n v="118"/>
  </r>
  <r>
    <n v="3311051"/>
    <s v="TMS"/>
    <x v="721"/>
    <n v="14636"/>
    <n v="14636"/>
    <s v="Preenchendo XML Serviço-&gt; Preenchendo XML-&gt; Montando accounting aereo 2-&gt;Não foi informado o Localizador do Assento/Bagagem!"/>
    <d v="2025-03-19T13:51:00"/>
    <d v="2025-03-22T19:28:00"/>
    <s v="OUTROS"/>
    <s v="ASSENTO / BAGAGEM"/>
    <s v="CAMPO OBSERVAÇÃO PREENCHIDO INCORRETAMENTE"/>
    <x v="1"/>
    <s v="OPERAÇÕES / SUPORTE KCS"/>
    <n v="118"/>
  </r>
  <r>
    <n v="3311342"/>
    <s v="SABRE"/>
    <x v="722"/>
    <s v="SOCCSBT"/>
    <s v="SOCCSB"/>
    <s v="ConverterPagamentosRemark-&gt;Input string was not in a correct format.&lt;-MontarAccountinsHotel&lt;-ProcessarHotel&lt;-ProcessarItemFila[b]"/>
    <d v="2025-03-19T15:34:00"/>
    <m/>
    <s v="FORMA PAGTO/RECTO"/>
    <s v="FORMATO DE TEXTO"/>
    <s v="TEXTO FORA DO PADRÃO ACEITO NO CAMPO"/>
    <x v="2"/>
    <s v="SUPORTE OBT"/>
    <s v="COLUNA I"/>
  </r>
  <r>
    <n v="3311343"/>
    <s v="SABRE"/>
    <x v="722"/>
    <s v="KWSGHNT"/>
    <s v="KWSGHN"/>
    <s v="ConverterPagamentosRemark-&gt;Input string was not in a correct format.&lt;-MontarAccountinsHotel&lt;-ProcessarHotel&lt;-ProcessarItemFila[b]"/>
    <d v="2025-03-19T15:34:00"/>
    <m/>
    <s v="FORMA PAGTO/RECTO"/>
    <s v="FORMATO DE TEXTO"/>
    <s v="TEXTO FORA DO PADRÃO ACEITO NO CAMPO"/>
    <x v="2"/>
    <s v="SUPORTE OBT"/>
    <s v="COLUNA I"/>
  </r>
  <r>
    <n v="3311344"/>
    <s v="SABRE"/>
    <x v="722"/>
    <s v="UGUICRT"/>
    <s v="UGUICR"/>
    <s v="ConverterPagamentosRemark-&gt;Input string was not in a correct format.&lt;-MontarAccountinsHotel&lt;-ProcessarHotel&lt;-ProcessarItemFila[b]"/>
    <d v="2025-03-19T15:35:00"/>
    <m/>
    <s v="FORMA PAGTO/RECTO"/>
    <s v="FORMATO DE TEXTO"/>
    <s v="TEXTO FORA DO PADRÃO ACEITO NO CAMPO"/>
    <x v="2"/>
    <s v="SUPORTE OBT"/>
    <s v="COLUNA I"/>
  </r>
  <r>
    <n v="3311345"/>
    <s v="SABRE"/>
    <x v="722"/>
    <s v="ANRJBDT"/>
    <s v="ANRJBD"/>
    <s v="ConverterPagamentosRemark-&gt;Input string was not in a correct format.&lt;-MontarAccountinsHotel&lt;-ProcessarHotel&lt;-ProcessarItemFila[b]"/>
    <d v="2025-03-19T15:35:00"/>
    <m/>
    <s v="FORMA PAGTO/RECTO"/>
    <s v="FORMATO DE TEXTO"/>
    <s v="TEXTO FORA DO PADRÃO ACEITO NO CAMPO"/>
    <x v="2"/>
    <s v="SUPORTE OBT"/>
    <s v="COLUNA I"/>
  </r>
  <r>
    <n v="3311372"/>
    <s v="SABRE"/>
    <x v="716"/>
    <s v="CNBCKTT"/>
    <s v="CNBCKT"/>
    <s v="ConverterPagamentosRemark-&gt;Input string was not in a correct format.&lt;-MontarAccountinsHotel&lt;-ProcessarHotel&lt;-ProcessarItemFila[b]"/>
    <d v="2025-03-19T15:49:00"/>
    <m/>
    <s v="FORMA PAGTO/RECTO"/>
    <s v="FORMATO DE TEXTO"/>
    <s v="TEXTO FORA DO PADRÃO ACEITO NO CAMPO"/>
    <x v="2"/>
    <s v="SUPORTE OBT"/>
    <s v="COLUNA I"/>
  </r>
  <r>
    <n v="3311433"/>
    <s v="SABRE"/>
    <x v="723"/>
    <s v="UDUIFD"/>
    <s v="UDUIFD"/>
    <s v="Não localizado cliente código [0004223565].&lt;-ObterCliente&lt;-MontarPnrBase&lt;-ProcessarAereo&lt;-ProcessarItemFila[b]"/>
    <d v="2025-03-19T16:09:00"/>
    <d v="2025-03-20T12:19:00"/>
    <s v="CLIENTE"/>
    <s v="CÓD. CLIENTE DIVERGENTE"/>
    <s v="CÓDIGO DIFERENTE DO CADASTRADO NO BENNER (CLIENTE X GRUPO)"/>
    <x v="1"/>
    <s v="SUPORTE OBT"/>
    <n v="1"/>
  </r>
  <r>
    <n v="3312325"/>
    <s v="TMS"/>
    <x v="724"/>
    <n v="3183"/>
    <n v="3183"/>
    <s v="Preenchendo XML Hotel-&gt; Preenchendo XML-&gt; Montando accounting hotel-&gt;Solicitação de hotel referente a esta cotação não foi encontrada (Id Cotação: 1)"/>
    <d v="2025-03-19T19:24:00"/>
    <d v="2025-03-22T19:27:00"/>
    <s v="OUTROS"/>
    <s v="COTAÇÃO"/>
    <s v="INDEFINIDO"/>
    <x v="2"/>
    <s v="SUPORTE OBT"/>
    <s v="COLUNA I"/>
  </r>
  <r>
    <n v="3312491"/>
    <s v="SABRE"/>
    <x v="725"/>
    <s v="WGAFMD"/>
    <s v="WGAFMD"/>
    <s v="ERRO: Cancelamento de Venda: Não há PNR no sistema para cancelar, venda não inserida!"/>
    <d v="2025-03-19T19:47:00"/>
    <m/>
    <s v="CANCELAMENTO"/>
    <s v="VENDA CANCELADA"/>
    <s v="RESERVA CANCELADA NO OBT"/>
    <x v="0"/>
    <s v="SUPORTE OBT"/>
    <s v="COLUNA I"/>
  </r>
  <r>
    <n v="3312626"/>
    <s v="TMS"/>
    <x v="726"/>
    <n v="15525"/>
    <n v="15525"/>
    <s v="Preenchendo XML Serviço-&gt; Preenchendo XML-&gt; Montando accounting aereo 2-&gt;Não foi informado o Localizador do Assento/Bagagem!"/>
    <d v="2025-03-19T20:05:00"/>
    <d v="2025-03-22T19:28:00"/>
    <s v="OUTROS"/>
    <s v="ASSENTO / BAGAGEM"/>
    <s v="CAMPO OBSERVAÇÃO PREENCHIDO INCORRETAMENTE"/>
    <x v="1"/>
    <s v="OPERAÇÕES / SUPORTE KCS"/>
    <n v="118"/>
  </r>
  <r>
    <n v="3312665"/>
    <s v="SABRE"/>
    <x v="727"/>
    <s v="YQHIZJ"/>
    <s v="YQHIZJ"/>
    <s v="Inserindo Accounting - (ExecSQL) - Could not convert variant of type (Null) into type (OleStr)"/>
    <d v="2025-03-19T20:20:00"/>
    <d v="2025-03-20T15:57:00"/>
    <s v="OUTROS"/>
    <s v="ERRO NO XML"/>
    <s v=""/>
    <x v="0"/>
    <s v="SUPORTE OBT"/>
    <s v="COLUNA I"/>
  </r>
  <r>
    <n v="3312670"/>
    <s v="SABRE"/>
    <x v="728"/>
    <s v="HUTWNY"/>
    <s v="HUTWNY"/>
    <s v="Não localizado cliente código [0004223565].&lt;-ObterCliente&lt;-MontarPnrBase&lt;-ProcessarAereo&lt;-ProcessarItemFila[b]"/>
    <d v="2025-03-19T20:22:00"/>
    <d v="2025-03-20T12:49:00"/>
    <s v="CLIENTE"/>
    <s v="CÓD. CLIENTE DIVERGENTE"/>
    <s v="CÓDIGO DIFERENTE DO CADASTRADO NO BENNER (CLIENTE X GRUPO)"/>
    <x v="1"/>
    <s v="SUPORTE OBT"/>
    <n v="1"/>
  </r>
  <r>
    <n v="3312671"/>
    <s v="SABRE"/>
    <x v="729"/>
    <s v="ISPKJB"/>
    <s v="ISPKJB"/>
    <s v="Não localizado cliente código [0000063625].&lt;-ObterCliente&lt;-MontarPnrBase&lt;-ProcessarAereo&lt;-ProcessarItemFila[b]"/>
    <d v="2025-03-19T20:22:00"/>
    <d v="2025-04-09T13:17:00"/>
    <s v="CLIENTE"/>
    <s v="CÓD. CLIENTE DIVERGENTE"/>
    <s v="CÓDIGO DIFERENTE DO CADASTRADO NO BENNER (CLIENTE X GRUPO)"/>
    <x v="1"/>
    <s v="SUPORTE OBT"/>
    <n v="1"/>
  </r>
  <r>
    <n v="3312672"/>
    <s v="SABRE"/>
    <x v="718"/>
    <s v="KYOCYO"/>
    <s v="KYOCYO"/>
    <s v="Não localizado cliente código [0000583808].&lt;-ObterCliente&lt;-MontarPnrBase&lt;-ProcessarAereo&lt;-ProcessarItemFila[b]"/>
    <d v="2025-03-19T20:22:00"/>
    <m/>
    <s v="CLIENTE"/>
    <s v="CÓD. CLIENTE DIVERGENTE"/>
    <s v="CÓDIGO DIFERENTE DO CADASTRADO NO BENNER (CLIENTE X GRUPO)"/>
    <x v="1"/>
    <s v="SUPORTE OBT"/>
    <n v="1"/>
  </r>
  <r>
    <n v="3312673"/>
    <s v="SABRE"/>
    <x v="718"/>
    <s v="LUKVXL"/>
    <s v="LUKVXL"/>
    <s v="Inserindo Accounting - (ExecSQL) - Could not convert variant of type (Null) into type (OleStr)"/>
    <d v="2025-03-19T20:22:00"/>
    <m/>
    <s v="OUTROS"/>
    <s v="ERRO NO XML"/>
    <s v=""/>
    <x v="0"/>
    <s v="SUPORTE OBT"/>
    <s v="COLUNA I"/>
  </r>
  <r>
    <n v="3312675"/>
    <s v="SABRE"/>
    <x v="728"/>
    <s v="YLVUEP"/>
    <s v="YLVUEP"/>
    <s v="Não localizado cliente código [0004222573].&lt;-ObterCliente&lt;-MontarPnrBase&lt;-ProcessarAereo&lt;-ProcessarItemFila[b]"/>
    <d v="2025-03-19T20:23:00"/>
    <d v="2025-03-20T12:49:00"/>
    <s v="CLIENTE"/>
    <s v="CÓD. CLIENTE DIVERGENTE"/>
    <s v="CÓDIGO DIFERENTE DO CADASTRADO NO BENNER (CLIENTE X GRUPO)"/>
    <x v="1"/>
    <s v="SUPORTE OBT"/>
    <n v="1"/>
  </r>
  <r>
    <n v="3312690"/>
    <s v="SABRE"/>
    <x v="718"/>
    <s v="LCELIN"/>
    <s v="LCELIN"/>
    <s v="Código de cliente não identificado&lt;-ObterCliente&lt;-MontarPnrBase&lt;-ProcessarAereo&lt;-ProcessarItemFila[b]"/>
    <d v="2025-03-19T20:25:00"/>
    <m/>
    <s v="CLIENTE"/>
    <s v="CLIENTE NÃO IDENTIFICADO"/>
    <s v="DK DE CLIENTE NÃO PREENCIDO / CLIENTE NÃO CONFIGURADO NO OBT"/>
    <x v="2"/>
    <s v="OPERAÇÕES / SUPORTE KCS"/>
    <s v="COLUNA I"/>
  </r>
  <r>
    <n v="3312691"/>
    <s v="SABRE"/>
    <x v="718"/>
    <s v="AMAHOI"/>
    <s v="AMAHOI"/>
    <s v="Código de cliente não identificado&lt;-ObterCliente&lt;-MontarPnrBase&lt;-ProcessarAereo&lt;-ProcessarItemFila[b]"/>
    <d v="2025-03-19T20:25:00"/>
    <m/>
    <s v="CLIENTE"/>
    <s v="CLIENTE NÃO IDENTIFICADO"/>
    <s v="DK DE CLIENTE NÃO PREENCIDO / CLIENTE NÃO CONFIGURADO NO OBT"/>
    <x v="2"/>
    <s v="OPERAÇÕES / SUPORTE KCS"/>
    <s v="COLUNA I"/>
  </r>
  <r>
    <n v="3312693"/>
    <s v="SABRE"/>
    <x v="730"/>
    <s v="LSWQDI"/>
    <s v="LSWQDI"/>
    <s v="Código de cliente não identificado&lt;-ObterCliente&lt;-MontarPnrBase&lt;-ProcessarAereo&lt;-ProcessarItemFila[b]"/>
    <d v="2025-03-19T20:25:00"/>
    <d v="2025-03-20T10:20:00"/>
    <s v="CLIENTE"/>
    <s v="CLIENTE NÃO IDENTIFICADO"/>
    <s v="DK DE CLIENTE NÃO PREENCIDO / CLIENTE NÃO CONFIGURADO NO OBT"/>
    <x v="2"/>
    <s v="OPERAÇÕES / SUPORTE KCS"/>
    <s v="COLUNA I"/>
  </r>
  <r>
    <n v="3312694"/>
    <s v="SABRE"/>
    <x v="718"/>
    <s v="MMNUMJ"/>
    <s v="MMNUMJ"/>
    <s v="Código de cliente não identificado&lt;-ObterCliente&lt;-MontarPnrBase&lt;-ProcessarAereo&lt;-ProcessarItemFila[b]"/>
    <d v="2025-03-19T20:25:00"/>
    <m/>
    <s v="CLIENTE"/>
    <s v="CLIENTE NÃO IDENTIFICADO"/>
    <s v="DK DE CLIENTE NÃO PREENCIDO / CLIENTE NÃO CONFIGURADO NO OBT"/>
    <x v="2"/>
    <s v="OPERAÇÕES / SUPORTE KCS"/>
    <s v="COLUNA I"/>
  </r>
  <r>
    <n v="3313043"/>
    <s v="SABRE"/>
    <x v="731"/>
    <s v="LCMZIYT"/>
    <s v="LCMZIY"/>
    <s v="ConverterPagamentosRemark-&gt;Input string was not in a correct format.&lt;-MontarAccountinsHotel&lt;-ProcessarHotel&lt;-ProcessarItemFila[b]"/>
    <d v="2025-03-20T10:05:00"/>
    <m/>
    <s v="FORMA PAGTO/RECTO"/>
    <s v="FORMATO DE TEXTO"/>
    <s v="TEXTO FORA DO PADRÃO ACEITO NO CAMPO"/>
    <x v="2"/>
    <s v="SUPORTE OBT"/>
    <s v="COLUNA I"/>
  </r>
  <r>
    <n v="3313044"/>
    <s v="SABRE"/>
    <x v="731"/>
    <s v="HPPZEST"/>
    <s v="HPPZES"/>
    <s v="ConverterPagamentosRemark-&gt;Input string was not in a correct format.&lt;-MontarAccountinsHotel&lt;-ProcessarHotel&lt;-ProcessarItemFila[b]"/>
    <d v="2025-03-20T10:05:00"/>
    <m/>
    <s v="FORMA PAGTO/RECTO"/>
    <s v="FORMATO DE TEXTO"/>
    <s v="TEXTO FORA DO PADRÃO ACEITO NO CAMPO"/>
    <x v="2"/>
    <s v="SUPORTE OBT"/>
    <s v="COLUNA I"/>
  </r>
  <r>
    <n v="3313045"/>
    <s v="SABRE"/>
    <x v="732"/>
    <s v="AZNOXVT"/>
    <s v="AZNOXV"/>
    <s v="ConverterPagamentosRemark-&gt;Input string was not in a correct format.&lt;-MontarAccountinsHotel&lt;-ProcessarHotel&lt;-ProcessarItemFila[b]"/>
    <d v="2025-03-20T10:05:00"/>
    <m/>
    <s v="FORMA PAGTO/RECTO"/>
    <s v="FORMATO DE TEXTO"/>
    <s v="TEXTO FORA DO PADRÃO ACEITO NO CAMPO"/>
    <x v="2"/>
    <s v="SUPORTE OBT"/>
    <s v="COLUNA I"/>
  </r>
  <r>
    <n v="3313046"/>
    <s v="SABRE"/>
    <x v="732"/>
    <s v="AMTLNZT"/>
    <s v="AMTLNZ"/>
    <s v="ConverterPagamentosRemark-&gt;Input string was not in a correct format.&lt;-MontarAccountinsHotel&lt;-ProcessarHotel&lt;-ProcessarItemFila[b]"/>
    <d v="2025-03-20T10:05:00"/>
    <m/>
    <s v="FORMA PAGTO/RECTO"/>
    <s v="FORMATO DE TEXTO"/>
    <s v="TEXTO FORA DO PADRÃO ACEITO NO CAMPO"/>
    <x v="2"/>
    <s v="SUPORTE OBT"/>
    <s v="COLUNA I"/>
  </r>
  <r>
    <n v="3313047"/>
    <s v="SABRE"/>
    <x v="732"/>
    <s v="EUGCEQT"/>
    <s v="EUGCEQ"/>
    <s v="ConverterPagamentosRemark-&gt;Input string was not in a correct format.&lt;-MontarAccountinsHotel&lt;-ProcessarHotel&lt;-ProcessarItemFila[b]"/>
    <d v="2025-03-20T10:05:00"/>
    <m/>
    <s v="FORMA PAGTO/RECTO"/>
    <s v="FORMATO DE TEXTO"/>
    <s v="TEXTO FORA DO PADRÃO ACEITO NO CAMPO"/>
    <x v="2"/>
    <s v="SUPORTE OBT"/>
    <s v="COLUNA I"/>
  </r>
  <r>
    <n v="3313048"/>
    <s v="SABRE"/>
    <x v="732"/>
    <s v="JFXVWRT"/>
    <s v="JFXVWR"/>
    <s v="ConverterPagamentosRemark-&gt;Input string was not in a correct format.&lt;-MontarAccountinsHotel&lt;-ProcessarHotel&lt;-ProcessarItemFila[b]"/>
    <d v="2025-03-20T10:06:00"/>
    <m/>
    <s v="FORMA PAGTO/RECTO"/>
    <s v="FORMATO DE TEXTO"/>
    <s v="TEXTO FORA DO PADRÃO ACEITO NO CAMPO"/>
    <x v="2"/>
    <s v="SUPORTE OBT"/>
    <s v="COLUNA I"/>
  </r>
  <r>
    <n v="3313107"/>
    <s v="SABRE"/>
    <x v="733"/>
    <s v="ESVYHN"/>
    <s v="ESVYHN"/>
    <s v="Não localizado cliente código [0000068777].&lt;-ObterCliente&lt;-MontarPnrBase&lt;-ProcessarAereo&lt;-ProcessarItemFila[b]"/>
    <d v="2025-03-20T10:21:00"/>
    <m/>
    <s v="CLIENTE"/>
    <s v="CÓD. CLIENTE DIVERGENTE"/>
    <s v="CÓDIGO DIFERENTE DO CADASTRADO NO BENNER (CLIENTE X GRUPO)"/>
    <x v="1"/>
    <s v="SUPORTE OBT"/>
    <n v="1"/>
  </r>
  <r>
    <n v="3313135"/>
    <s v="GOVER"/>
    <x v="734"/>
    <n v="4433467"/>
    <n v="4433467"/>
    <s v="PreencherPnr-&gt;Foi identificado um localizador sem código."/>
    <d v="2025-03-20T10:41:00"/>
    <d v="2025-04-09T14:47:00"/>
    <s v="OUTROS"/>
    <s v="RLOC NÃO INFORMADO"/>
    <s v="RLOC NÃO PREENCHIDO NA RESERVA"/>
    <x v="1"/>
    <s v="SUPORTE OBT"/>
    <s v="COLUNA I"/>
  </r>
  <r>
    <n v="3313136"/>
    <s v="GOVER"/>
    <x v="735"/>
    <n v="4433472"/>
    <n v="4433472"/>
    <s v="PreencherPnr-&gt;Foi identificado um localizador sem código."/>
    <d v="2025-03-20T10:41:00"/>
    <d v="2025-04-09T14:47:00"/>
    <s v="OUTROS"/>
    <s v="RLOC NÃO INFORMADO"/>
    <s v="RLOC NÃO PREENCHIDO NA RESERVA"/>
    <x v="1"/>
    <s v="SUPORTE OBT"/>
    <s v="COLUNA I"/>
  </r>
  <r>
    <n v="3313137"/>
    <s v="GOVER"/>
    <x v="736"/>
    <n v="4433481"/>
    <n v="4433481"/>
    <s v="PreencherPnr-&gt;Foi identificado um localizador sem código."/>
    <d v="2025-03-20T10:41:00"/>
    <d v="2025-04-09T14:47:00"/>
    <s v="OUTROS"/>
    <s v="RLOC NÃO INFORMADO"/>
    <s v="RLOC NÃO PREENCHIDO NA RESERVA"/>
    <x v="1"/>
    <s v="SUPORTE OBT"/>
    <s v="COLUNA I"/>
  </r>
  <r>
    <n v="3313196"/>
    <s v="GOVER"/>
    <x v="737"/>
    <n v="4486393"/>
    <s v="FCOTPH"/>
    <s v="PreencherPnr-&gt;AlterarAccountingCustom-&gt; Erro: AlterarAccounting-&gt; Erro: Forma pagamento Cartão Convênio-&gt; Não foi possível determinar a validade do cartão, favor verificar os dados do cartão &lt;ItemAereoRAVDTO&gt;."/>
    <d v="2025-03-20T11:06:00"/>
    <d v="2025-04-29T08:44:00"/>
    <s v="FORMA PAGTO/RECTO"/>
    <s v="DADOS DO CARTÃO"/>
    <s v="TAG &lt;CARTAOVALIDADE&gt; NÃO ENVIADA"/>
    <x v="0"/>
    <s v="SUPORTE OBT"/>
    <n v="107"/>
  </r>
  <r>
    <n v="3313255"/>
    <s v="SABRE"/>
    <x v="738"/>
    <s v="KVKIXUT"/>
    <s v="KVKIXU"/>
    <s v="ConverterPagamentosRemark-&gt;Input string was not in a correct format.&lt;-MontarAccountinsHotel&lt;-ProcessarHotel&lt;-ProcessarItemFila[b]"/>
    <d v="2025-03-20T11:38:00"/>
    <m/>
    <s v="FORMA PAGTO/RECTO"/>
    <s v="FORMATO DE TEXTO"/>
    <s v="TEXTO FORA DO PADRÃO ACEITO NO CAMPO"/>
    <x v="2"/>
    <s v="SUPORTE OBT"/>
    <s v="COLUNA I"/>
  </r>
  <r>
    <n v="3313257"/>
    <s v="SABRE"/>
    <x v="738"/>
    <s v="YPIYOXT"/>
    <s v="YPIYOX"/>
    <s v="ConverterPagamentosRemark-&gt;Input string was not in a correct format.&lt;-MontarAccountinsHotel&lt;-ProcessarHotel&lt;-ProcessarItemFila[b]"/>
    <d v="2025-03-20T11:38:00"/>
    <m/>
    <s v="FORMA PAGTO/RECTO"/>
    <s v="FORMATO DE TEXTO"/>
    <s v="TEXTO FORA DO PADRÃO ACEITO NO CAMPO"/>
    <x v="2"/>
    <s v="SUPORTE OBT"/>
    <s v="COLUNA I"/>
  </r>
  <r>
    <n v="3314071"/>
    <s v="TMS"/>
    <x v="739"/>
    <n v="18372"/>
    <n v="18372"/>
    <s v="Preenchendo XML Serviço-&gt; Preenchendo XML-&gt; Montando accounting aereo 3-&gt;Reserva NI8319 não encontrada para importar assento/bagagem!"/>
    <d v="2025-03-20T15:53:00"/>
    <m/>
    <s v="OUTROS"/>
    <s v="ASSENTO / BAGAGEM"/>
    <s v="CAMPO OBSERVAÇÃO PREENCHIDO INCORRETAMENTE"/>
    <x v="1"/>
    <s v="OPERAÇÕES / SUPORTE KCS"/>
    <n v="127"/>
  </r>
  <r>
    <n v="3314072"/>
    <s v="SABRE"/>
    <x v="727"/>
    <s v="CDMPJT"/>
    <s v="CDMPJT"/>
    <s v="Código de cliente não identificado&lt;-ObterCliente&lt;-MontarPnrBase&lt;-ProcessarAereo&lt;-ProcessarItemFila[b]"/>
    <d v="2025-03-20T15:53:00"/>
    <m/>
    <s v="CLIENTE"/>
    <s v="CLIENTE NÃO IDENTIFICADO"/>
    <s v="DK DE CLIENTE NÃO PREENCIDO / CLIENTE NÃO CONFIGURADO NO OBT"/>
    <x v="2"/>
    <s v="OPERAÇÕES / SUPORTE KCS"/>
    <s v="COLUNA I"/>
  </r>
  <r>
    <n v="3314078"/>
    <s v="SABRE"/>
    <x v="727"/>
    <s v="AELHTE"/>
    <s v="AELHTE"/>
    <s v="Não localizado cliente código [0000063625].&lt;-ObterCliente&lt;-MontarPnrBase&lt;-ProcessarAereo&lt;-ProcessarItemFila[b]"/>
    <d v="2025-03-20T15:55:00"/>
    <m/>
    <s v="CLIENTE"/>
    <s v="CÓD. CLIENTE DIVERGENTE"/>
    <s v="CÓDIGO DIFERENTE DO CADASTRADO NO BENNER (CLIENTE X GRUPO)"/>
    <x v="1"/>
    <s v="SUPORTE OBT"/>
    <n v="1"/>
  </r>
  <r>
    <n v="3314129"/>
    <s v="SABRE"/>
    <x v="727"/>
    <s v="GUKNCN"/>
    <s v="GUKNCN"/>
    <s v="Não localizado cliente código [0004224627].&lt;-ObterCliente&lt;-MontarPnrBase&lt;-ProcessarAereo&lt;-ProcessarItemFila[b]"/>
    <d v="2025-03-20T15:59:00"/>
    <m/>
    <s v="CLIENTE"/>
    <s v="CÓD. CLIENTE DIVERGENTE"/>
    <s v="CÓDIGO DIFERENTE DO CADASTRADO NO BENNER (CLIENTE X GRUPO)"/>
    <x v="1"/>
    <s v="SUPORTE OBT"/>
    <n v="1"/>
  </r>
  <r>
    <n v="3314226"/>
    <s v="SABRE"/>
    <x v="740"/>
    <s v="YVFPPXT"/>
    <s v="YVFPPX"/>
    <s v="ConverterPagamentosRemark-&gt;Input string was not in a correct format.&lt;-MontarAccountinsHotel&lt;-ProcessarHotel&lt;-ProcessarItemFila[b]"/>
    <d v="2025-03-20T16:05:00"/>
    <m/>
    <s v="FORMA PAGTO/RECTO"/>
    <s v="FORMATO DE TEXTO"/>
    <s v="TEXTO FORA DO PADRÃO ACEITO NO CAMPO"/>
    <x v="2"/>
    <s v="SUPORTE OBT"/>
    <s v="COLUNA I"/>
  </r>
  <r>
    <n v="3314355"/>
    <s v="LEMONTECH"/>
    <x v="741"/>
    <s v="16188715-13019913"/>
    <n v="16188715"/>
    <s v="Emissor de código  não encontrado!"/>
    <d v="2025-03-20T17:02:00"/>
    <d v="2025-03-23T16:01:00"/>
    <s v="AGENTE"/>
    <s v="EMISSOR DE CÓDIGO"/>
    <s v=""/>
    <x v="2"/>
    <s v="SUPORTE BENNER"/>
    <s v="COLUNA I"/>
  </r>
  <r>
    <n v="3314478"/>
    <s v="SABRE"/>
    <x v="742"/>
    <s v="YVDDAIT"/>
    <s v="YVDDAI"/>
    <s v="ConverterPagamentosRemark-&gt;Input string was not in a correct format.&lt;-MontarAccountinsHotel&lt;-ProcessarHotel&lt;-ProcessarItemFila[b]"/>
    <d v="2025-03-20T17:49:00"/>
    <m/>
    <s v="FORMA PAGTO/RECTO"/>
    <s v="FORMATO DE TEXTO"/>
    <s v="TEXTO FORA DO PADRÃO ACEITO NO CAMPO"/>
    <x v="2"/>
    <s v="SUPORTE OBT"/>
    <s v="COLUNA I"/>
  </r>
  <r>
    <n v="3314832"/>
    <s v="SABRE"/>
    <x v="743"/>
    <s v="ACQUWA"/>
    <s v="ACQUWA"/>
    <s v="Não localizado cliente código [0000583831].&lt;-ObterCliente&lt;-MontarPnrBase&lt;-ProcessarAereo&lt;-ProcessarItemFila[b]"/>
    <d v="2025-03-20T19:06:00"/>
    <m/>
    <s v="CLIENTE"/>
    <s v="CÓD. CLIENTE DIVERGENTE"/>
    <s v="CÓDIGO DIFERENTE DO CADASTRADO NO BENNER (CLIENTE X GRUPO)"/>
    <x v="1"/>
    <s v="SUPORTE OBT"/>
    <n v="1"/>
  </r>
  <r>
    <n v="3314833"/>
    <s v="SABRE"/>
    <x v="743"/>
    <s v="WZVOPC"/>
    <s v="WZVOPC"/>
    <s v="Não localizado cliente código [0000583831].&lt;-ObterCliente&lt;-MontarPnrBase&lt;-ProcessarAereo&lt;-ProcessarItemFila[b]"/>
    <d v="2025-03-20T19:07:00"/>
    <m/>
    <s v="CLIENTE"/>
    <s v="CÓD. CLIENTE DIVERGENTE"/>
    <s v="CÓDIGO DIFERENTE DO CADASTRADO NO BENNER (CLIENTE X GRUPO)"/>
    <x v="1"/>
    <s v="SUPORTE OBT"/>
    <n v="1"/>
  </r>
  <r>
    <n v="3314835"/>
    <s v="SABRE"/>
    <x v="744"/>
    <s v="KKRXBY"/>
    <s v="KKRXBY"/>
    <s v="Inserindo Accounting - (ExecSQL) - Could not convert variant of type (Null) into type (OleStr)"/>
    <d v="2025-03-20T19:07:00"/>
    <d v="2025-03-21T13:05:00"/>
    <s v="OUTROS"/>
    <s v="ERRO NO XML"/>
    <s v=""/>
    <x v="0"/>
    <s v="SUPORTE OBT"/>
    <s v="COLUNA I"/>
  </r>
  <r>
    <n v="3314854"/>
    <s v="SABRE"/>
    <x v="743"/>
    <s v="KKEGCF"/>
    <s v="KKEGCF"/>
    <s v="Não localizado cliente código [0000392619].&lt;-ObterCliente&lt;-MontarPnrBase&lt;-ProcessarAereo&lt;-ProcessarItemFila[b]"/>
    <d v="2025-03-20T19:08:00"/>
    <m/>
    <s v="CLIENTE"/>
    <s v="CÓD. CLIENTE DIVERGENTE"/>
    <s v="CÓDIGO DIFERENTE DO CADASTRADO NO BENNER (CLIENTE X GRUPO)"/>
    <x v="1"/>
    <s v="SUPORTE OBT"/>
    <n v="1"/>
  </r>
  <r>
    <n v="3314855"/>
    <s v="SABRE"/>
    <x v="743"/>
    <s v="NUYZFQ"/>
    <s v="NUYZFQ"/>
    <s v="Não localizado cliente código [0000392619].&lt;-ObterCliente&lt;-MontarPnrBase&lt;-ProcessarAereo&lt;-ProcessarItemFila[b]"/>
    <d v="2025-03-20T19:09:00"/>
    <m/>
    <s v="CLIENTE"/>
    <s v="CÓD. CLIENTE DIVERGENTE"/>
    <s v="CÓDIGO DIFERENTE DO CADASTRADO NO BENNER (CLIENTE X GRUPO)"/>
    <x v="1"/>
    <s v="SUPORTE OBT"/>
    <n v="1"/>
  </r>
  <r>
    <n v="3314860"/>
    <s v="SABRE"/>
    <x v="745"/>
    <s v="GFVFAD"/>
    <s v="GFVFAD"/>
    <s v="Não localizado cliente código [0004222573].&lt;-ObterCliente&lt;-MontarPnrBase&lt;-ProcessarAereo&lt;-ProcessarItemFila[b]"/>
    <d v="2025-03-20T19:09:00"/>
    <d v="2025-03-21T20:36:00"/>
    <s v="CLIENTE"/>
    <s v="CÓD. CLIENTE DIVERGENTE"/>
    <s v="CÓDIGO DIFERENTE DO CADASTRADO NO BENNER (CLIENTE X GRUPO)"/>
    <x v="1"/>
    <s v="SUPORTE OBT"/>
    <n v="1"/>
  </r>
  <r>
    <n v="3314867"/>
    <s v="SABRE"/>
    <x v="743"/>
    <s v="SKJKSO"/>
    <s v="SKJKSO"/>
    <s v="Código de cliente não identificado&lt;-ObterCliente&lt;-MontarPnrBase&lt;-ProcessarAereo&lt;-ProcessarItemFila[b]"/>
    <d v="2025-03-20T19:10:00"/>
    <m/>
    <s v="CLIENTE"/>
    <s v="CLIENTE NÃO IDENTIFICADO"/>
    <s v="DK DE CLIENTE NÃO PREENCIDO / CLIENTE NÃO CONFIGURADO NO OBT"/>
    <x v="2"/>
    <s v="OPERAÇÕES / SUPORTE KCS"/>
    <s v="COLUNA I"/>
  </r>
  <r>
    <n v="3315383"/>
    <s v="SABRE"/>
    <x v="746"/>
    <s v="SAEUXO"/>
    <s v="SAEUXO"/>
    <s v="Código de cliente não identificado&lt;-ObterCliente&lt;-MontarPnrBase&lt;-ProcessarAereo&lt;-ProcessarItemFila[b]"/>
    <d v="2025-03-20T20:33:00"/>
    <m/>
    <s v="CLIENTE"/>
    <s v="CLIENTE NÃO IDENTIFICADO"/>
    <s v="DK DE CLIENTE NÃO PREENCIDO / CLIENTE NÃO CONFIGURADO NO OBT"/>
    <x v="2"/>
    <s v="OPERAÇÕES / SUPORTE KCS"/>
    <s v="COLUNA I"/>
  </r>
  <r>
    <n v="3315399"/>
    <s v="TMS"/>
    <x v="747"/>
    <n v="87"/>
    <n v="87"/>
    <s v="Preenchendo XML Serviço-&gt; Preenchendo XML-&gt; Montando accounting aereo 2-&gt;Não foi informado o Localizador do Assento/Bagagem!"/>
    <d v="2025-03-20T20:35:00"/>
    <d v="2025-03-23T19:47:00"/>
    <s v="OUTROS"/>
    <s v="ASSENTO / BAGAGEM"/>
    <s v="CAMPO OBSERVAÇÃO PREENCHIDO INCORRETAMENTE"/>
    <x v="1"/>
    <s v="OPERAÇÕES / SUPORTE KCS"/>
    <n v="118"/>
  </r>
  <r>
    <n v="3315751"/>
    <s v="LEMONTECH"/>
    <x v="748"/>
    <s v="16205902-13034612"/>
    <n v="16205902"/>
    <s v="Emissor de código  não encontrado!"/>
    <d v="2025-03-21T09:02:00"/>
    <d v="2025-03-24T08:00:00"/>
    <s v="AGENTE"/>
    <s v="EMISSOR DE CÓDIGO"/>
    <s v=""/>
    <x v="2"/>
    <s v="SUPORTE BENNER"/>
    <s v="COLUNA I"/>
  </r>
  <r>
    <n v="3315753"/>
    <s v="LEMONTECH"/>
    <x v="749"/>
    <s v="16216889-13040243"/>
    <n v="16216889"/>
    <s v="Emissor de código  não encontrado!"/>
    <d v="2025-03-21T09:03:00"/>
    <d v="2025-03-24T08:01:00"/>
    <s v="AGENTE"/>
    <s v="EMISSOR DE CÓDIGO"/>
    <s v=""/>
    <x v="2"/>
    <s v="SUPORTE BENNER"/>
    <s v="COLUNA I"/>
  </r>
  <r>
    <n v="3315899"/>
    <s v="GOVER"/>
    <x v="750"/>
    <n v="4504794"/>
    <s v="movida"/>
    <s v="PreencherPnr-&gt;Não foi encontrado nenhum item veículo para o localizador movida"/>
    <d v="2025-03-21T10:36:00"/>
    <d v="2025-04-09T14:47:00"/>
    <s v="OUTROS"/>
    <s v="TAG - ITEM VEÍCULO"/>
    <s v="TAGS DE DETALHAMENTO DO SERVIÇO NÃO ENVIADO NO XML"/>
    <x v="1"/>
    <s v="SUPORTE OBT"/>
    <n v="46"/>
  </r>
  <r>
    <n v="3315948"/>
    <s v="GOVER"/>
    <x v="751"/>
    <n v="4473445"/>
    <n v="16919861"/>
    <s v="PreencherPnr-&gt;Forma pagamento Cartão-&gt; Não foi possível determinar a validade do cartão, favor verificar os dados do cartão &lt;Id&gt;1408359&lt;/Id&gt;."/>
    <d v="2025-03-21T11:22:00"/>
    <d v="2025-04-29T08:44:00"/>
    <s v="FORMA PAGTO/RECTO"/>
    <s v="DADOS DO CARTÃO"/>
    <s v="TAG &lt;CARTAOVALIDADE&gt; NÃO ENVIADA"/>
    <x v="0"/>
    <s v="SUPORTE OBT"/>
    <n v="40"/>
  </r>
  <r>
    <n v="3316707"/>
    <s v="TMS"/>
    <x v="752"/>
    <n v="14762"/>
    <n v="14762"/>
    <s v="Preenchendo XML Carro-&gt; Preenchendo XML-&gt; Montando accounting carro-&gt;Fornecedor com o código 55806  informado nos campos gerenciais não encontrado!"/>
    <d v="2025-03-21T14:31:00"/>
    <d v="2025-03-24T21:18:00"/>
    <s v="FORNECEDOR"/>
    <s v="CONTRATO FORNECEDOR"/>
    <s v="CONTRATO INATIVO OU DIVERGENTE"/>
    <x v="0"/>
    <s v="OPERAÇÕES / SUPORTE KCS"/>
    <n v="69"/>
  </r>
  <r>
    <n v="3316792"/>
    <s v="SABRE"/>
    <x v="753"/>
    <s v="OLCTUXT"/>
    <s v="OLCTUX"/>
    <s v="ConverterPagamentosRemark-&gt;Input string was not in a correct format.&lt;-MontarAccountinsHotel&lt;-ProcessarHotel&lt;-ProcessarItemFila[b]"/>
    <d v="2025-03-21T14:50:00"/>
    <m/>
    <s v="FORMA PAGTO/RECTO"/>
    <s v="FORMATO DE TEXTO"/>
    <s v="TEXTO FORA DO PADRÃO ACEITO NO CAMPO"/>
    <x v="2"/>
    <s v="SUPORTE OBT"/>
    <s v="COLUNA I"/>
  </r>
  <r>
    <n v="3316795"/>
    <s v="SABRE"/>
    <x v="753"/>
    <s v="KVETAUT"/>
    <s v="KVETAU"/>
    <s v="ConverterPagamentosRemark-&gt;Input string was not in a correct format.&lt;-MontarAccountinsHotel&lt;-ProcessarHotel&lt;-ProcessarItemFila[b]"/>
    <d v="2025-03-21T14:50:00"/>
    <m/>
    <s v="FORMA PAGTO/RECTO"/>
    <s v="FORMATO DE TEXTO"/>
    <s v="TEXTO FORA DO PADRÃO ACEITO NO CAMPO"/>
    <x v="2"/>
    <s v="SUPORTE OBT"/>
    <s v="COLUNA I"/>
  </r>
  <r>
    <n v="3316796"/>
    <s v="SABRE"/>
    <x v="753"/>
    <s v="KVOJEZT"/>
    <s v="KVOJEZ"/>
    <s v="ConverterPagamentosRemark-&gt;Input string was not in a correct format.&lt;-MontarAccountinsHotel&lt;-ProcessarHotel&lt;-ProcessarItemFila[b]"/>
    <d v="2025-03-21T14:50:00"/>
    <m/>
    <s v="FORMA PAGTO/RECTO"/>
    <s v="FORMATO DE TEXTO"/>
    <s v="TEXTO FORA DO PADRÃO ACEITO NO CAMPO"/>
    <x v="2"/>
    <s v="SUPORTE OBT"/>
    <s v="COLUNA I"/>
  </r>
  <r>
    <n v="3317358"/>
    <s v="SABRE"/>
    <x v="745"/>
    <s v="KVJHZD"/>
    <s v="KVJHZD"/>
    <s v="Não localizado cliente código [0123456789].&lt;-ObterCliente&lt;-MontarPnrBase&lt;-ProcessarAereo&lt;-ProcessarItemFila[b]"/>
    <d v="2025-03-21T17:49:00"/>
    <d v="2025-03-21T20:38:00"/>
    <s v="CLIENTE"/>
    <s v="CÓD. CLIENTE DIVERGENTE"/>
    <s v="CÓDIGO DIFERENTE DO CADASTRADO NO BENNER (CLIENTE X GRUPO)"/>
    <x v="1"/>
    <s v="SUPORTE OBT"/>
    <n v="1"/>
  </r>
  <r>
    <n v="3317359"/>
    <s v="SABRE"/>
    <x v="745"/>
    <s v="QYJSQQ"/>
    <s v="QYJSQQ"/>
    <s v="Não localizado cliente código [0123456789].&lt;-ObterCliente&lt;-MontarPnrBase&lt;-ProcessarAereo&lt;-ProcessarItemFila[b]"/>
    <d v="2025-03-21T17:49:00"/>
    <d v="2025-03-21T20:38:00"/>
    <s v="CLIENTE"/>
    <s v="CÓD. CLIENTE DIVERGENTE"/>
    <s v="CÓDIGO DIFERENTE DO CADASTRADO NO BENNER (CLIENTE X GRUPO)"/>
    <x v="1"/>
    <s v="SUPORTE OBT"/>
    <n v="1"/>
  </r>
  <r>
    <n v="3317996"/>
    <s v="TMS"/>
    <x v="754"/>
    <n v="102655"/>
    <n v="102655"/>
    <s v="Preenchendo XML Carro-&gt; Preenchendo XML-&gt; Montando accounting carro-&gt;Fornecedor com o código 415368  informado nos campos gerenciais não encontrado!"/>
    <d v="2025-03-21T19:50:00"/>
    <d v="2025-03-24T20:37:00"/>
    <s v="FORNECEDOR"/>
    <s v="CONTRATO FORNECEDOR"/>
    <s v="CONTRATO INATIVO OU DIVERGENTE"/>
    <x v="0"/>
    <s v="OPERAÇÕES / SUPORTE KCS"/>
    <n v="69"/>
  </r>
  <r>
    <n v="3318077"/>
    <s v="TMS"/>
    <x v="755"/>
    <n v="3930"/>
    <n v="3930"/>
    <s v="Preenchendo XML Carro-&gt; Preenchendo XML-&gt; Montando accounting carro-&gt;Fornecedor com o código 415368  informado nos campos gerenciais não encontrado!"/>
    <d v="2025-03-21T20:03:00"/>
    <d v="2025-03-24T20:48:00"/>
    <s v="FORNECEDOR"/>
    <s v="CONTRATO FORNECEDOR"/>
    <s v="CONTRATO INATIVO OU DIVERGENTE"/>
    <x v="0"/>
    <s v="OPERAÇÕES / SUPORTE KCS"/>
    <n v="69"/>
  </r>
  <r>
    <n v="3318300"/>
    <s v="SABRE"/>
    <x v="745"/>
    <s v="MZZXAN"/>
    <s v="MZZXAN"/>
    <s v="Código de cliente não identificado&lt;-ObterCliente&lt;-MontarPnrBase&lt;-ProcessarAereo&lt;-ProcessarItemFila[b]"/>
    <d v="2025-03-21T20:35:00"/>
    <m/>
    <s v="CLIENTE"/>
    <s v="CLIENTE NÃO IDENTIFICADO"/>
    <s v="DK DE CLIENTE NÃO PREENCIDO / CLIENTE NÃO CONFIGURADO NO OBT"/>
    <x v="2"/>
    <s v="OPERAÇÕES / SUPORTE KCS"/>
    <s v="COLUNA I"/>
  </r>
  <r>
    <n v="3318307"/>
    <s v="SABRE"/>
    <x v="745"/>
    <s v="EEIXVR"/>
    <s v="EEIXVR"/>
    <s v="Código de cliente não identificado&lt;-ObterCliente&lt;-MontarPnrBase&lt;-ProcessarAereo&lt;-ProcessarItemFila[b]"/>
    <d v="2025-03-21T20:36:00"/>
    <m/>
    <s v="CLIENTE"/>
    <s v="CLIENTE NÃO IDENTIFICADO"/>
    <s v="DK DE CLIENTE NÃO PREENCIDO / CLIENTE NÃO CONFIGURADO NO OBT"/>
    <x v="2"/>
    <s v="OPERAÇÕES / SUPORTE KCS"/>
    <s v="COLUNA I"/>
  </r>
  <r>
    <n v="3318327"/>
    <s v="SABRE"/>
    <x v="745"/>
    <s v="MZUVME"/>
    <s v="MZUVME"/>
    <s v="Não localizado cliente código [0000583808].&lt;-ObterCliente&lt;-MontarPnrBase&lt;-ProcessarAereo&lt;-ProcessarItemFila[b]"/>
    <d v="2025-03-21T20:39:00"/>
    <m/>
    <s v="CLIENTE"/>
    <s v="CÓD. CLIENTE DIVERGENTE"/>
    <s v="CÓDIGO DIFERENTE DO CADASTRADO NO BENNER (CLIENTE X GRUPO)"/>
    <x v="1"/>
    <s v="SUPORTE OBT"/>
    <n v="1"/>
  </r>
  <r>
    <n v="3318330"/>
    <s v="SABRE"/>
    <x v="745"/>
    <s v="GMKRKS"/>
    <s v="GMKRKS"/>
    <s v="Não localizado cliente código [0000583808].&lt;-ObterCliente&lt;-MontarPnrBase&lt;-ProcessarAereo&lt;-ProcessarItemFila[b]"/>
    <d v="2025-03-21T20:39:00"/>
    <m/>
    <s v="CLIENTE"/>
    <s v="CÓD. CLIENTE DIVERGENTE"/>
    <s v="CÓDIGO DIFERENTE DO CADASTRADO NO BENNER (CLIENTE X GRUPO)"/>
    <x v="1"/>
    <s v="SUPORTE OBT"/>
    <n v="1"/>
  </r>
  <r>
    <n v="3318332"/>
    <s v="SABRE"/>
    <x v="756"/>
    <s v="HTONOH"/>
    <s v="HTONOH"/>
    <s v="Código de cliente não identificado&lt;-ObterCliente&lt;-MontarPnrBase&lt;-ProcessarAereo&lt;-ProcessarItemFila[b]"/>
    <d v="2025-03-21T20:39:00"/>
    <d v="2025-03-24T10:05:00"/>
    <s v="CLIENTE"/>
    <s v="CLIENTE NÃO IDENTIFICADO"/>
    <s v="DK DE CLIENTE NÃO PREENCIDO / CLIENTE NÃO CONFIGURADO NO OBT"/>
    <x v="2"/>
    <s v="OPERAÇÕES / SUPORTE KCS"/>
    <s v="COLUNA I"/>
  </r>
  <r>
    <n v="3318340"/>
    <s v="SABRE"/>
    <x v="745"/>
    <s v="SQZMWF"/>
    <s v="SQZMWF"/>
    <s v="Não localizado cliente código [0000583808].&lt;-ObterCliente&lt;-MontarPnrBase&lt;-ProcessarAereo&lt;-ProcessarItemFila[b]"/>
    <d v="2025-03-21T20:40:00"/>
    <m/>
    <s v="CLIENTE"/>
    <s v="CÓD. CLIENTE DIVERGENTE"/>
    <s v="CÓDIGO DIFERENTE DO CADASTRADO NO BENNER (CLIENTE X GRUPO)"/>
    <x v="1"/>
    <s v="SUPORTE OBT"/>
    <n v="1"/>
  </r>
  <r>
    <n v="3318346"/>
    <s v="SABRE"/>
    <x v="745"/>
    <s v="HYVNRZ"/>
    <s v="HYVNRZ"/>
    <s v="Código de cliente não identificado&lt;-ObterCliente&lt;-MontarPnrBase&lt;-ProcessarAereo&lt;-ProcessarItemFila[b]"/>
    <d v="2025-03-21T20:40:00"/>
    <m/>
    <s v="CLIENTE"/>
    <s v="CLIENTE NÃO IDENTIFICADO"/>
    <s v="DK DE CLIENTE NÃO PREENCIDO / CLIENTE NÃO CONFIGURADO NO OBT"/>
    <x v="2"/>
    <s v="OPERAÇÕES / SUPORTE KCS"/>
    <s v="COLUNA I"/>
  </r>
  <r>
    <n v="3318348"/>
    <s v="SABRE"/>
    <x v="745"/>
    <s v="AUOFTV"/>
    <s v="AUOFTV"/>
    <s v="Código de cliente não identificado&lt;-ObterCliente&lt;-MontarPnrBase&lt;-ProcessarAereo&lt;-ProcessarItemFila[b]"/>
    <d v="2025-03-21T20:40:00"/>
    <m/>
    <s v="CLIENTE"/>
    <s v="CLIENTE NÃO IDENTIFICADO"/>
    <s v="DK DE CLIENTE NÃO PREENCIDO / CLIENTE NÃO CONFIGURADO NO OBT"/>
    <x v="2"/>
    <s v="OPERAÇÕES / SUPORTE KCS"/>
    <s v="COLUNA I"/>
  </r>
  <r>
    <n v="3318350"/>
    <s v="SABRE"/>
    <x v="745"/>
    <s v="OGFJTM"/>
    <s v="OGFJTM"/>
    <s v="Não localizado cliente código [0000063625].&lt;-ObterCliente&lt;-MontarPnrBase&lt;-ProcessarAereo&lt;-ProcessarItemFila[b]"/>
    <d v="2025-03-21T20:41:00"/>
    <m/>
    <s v="CLIENTE"/>
    <s v="CÓD. CLIENTE DIVERGENTE"/>
    <s v="CÓDIGO DIFERENTE DO CADASTRADO NO BENNER (CLIENTE X GRUPO)"/>
    <x v="1"/>
    <s v="SUPORTE OBT"/>
    <n v="1"/>
  </r>
  <r>
    <n v="3318352"/>
    <s v="SABRE"/>
    <x v="745"/>
    <s v="OQKPXZ"/>
    <s v="OQKPXZ"/>
    <s v="Não localizado cliente código [0000028612].&lt;-ObterCliente&lt;-MontarPnrBase&lt;-ProcessarAereo&lt;-ProcessarItemFila[b]"/>
    <d v="2025-03-21T20:41:00"/>
    <m/>
    <s v="CLIENTE"/>
    <s v="CÓD. CLIENTE DIVERGENTE"/>
    <s v="CÓDIGO DIFERENTE DO CADASTRADO NO BENNER (CLIENTE X GRUPO)"/>
    <x v="1"/>
    <s v="SUPORTE OBT"/>
    <n v="1"/>
  </r>
  <r>
    <n v="3318358"/>
    <s v="SABRE"/>
    <x v="745"/>
    <s v="NOSLYE"/>
    <s v="NOSLYE"/>
    <s v="Não localizado cliente código [0000035945].&lt;-ObterCliente&lt;-MontarPnrBase&lt;-ProcessarAereo&lt;-ProcessarItemFila[b]"/>
    <d v="2025-03-21T20:41:00"/>
    <m/>
    <s v="CLIENTE"/>
    <s v="CÓD. CLIENTE DIVERGENTE"/>
    <s v="CÓDIGO DIFERENTE DO CADASTRADO NO BENNER (CLIENTE X GRUPO)"/>
    <x v="1"/>
    <s v="SUPORTE OBT"/>
    <n v="1"/>
  </r>
  <r>
    <n v="3318556"/>
    <s v="TMS"/>
    <x v="757"/>
    <n v="3295"/>
    <n v="3295"/>
    <s v="Preenchendo XML Serviço-&gt; Preenchendo XML-&gt; Montando accounting aereo 3-&gt;Reserva GOJFNR não encontrada para importar assento/bagagem!"/>
    <d v="2025-03-22T01:27:00"/>
    <d v="2025-03-24T20:54:00"/>
    <s v="OUTROS"/>
    <s v="ASSENTO / BAGAGEM"/>
    <s v="CAMPO OBSERVAÇÃO PREENCHIDO INCORRETAMENTE"/>
    <x v="1"/>
    <s v="OPERAÇÕES / SUPORTE KCS"/>
    <n v="127"/>
  </r>
  <r>
    <n v="3318737"/>
    <s v="SABRE"/>
    <x v="758"/>
    <s v="AWBJTZ"/>
    <s v="AWBJTZ"/>
    <s v="Não localizado cliente com CNPJ [8684547000165].&lt;-ObterCliente&lt;-MontarPnrBase&lt;-ProcessarAereo&lt;-ProcessarItemFila[b]"/>
    <d v="2025-03-23T13:31:00"/>
    <d v="2025-03-23T14:31:00"/>
    <s v="CLIENTE"/>
    <s v="REMARK - CNPJ"/>
    <s v=""/>
    <x v="1"/>
    <s v="OPERAÇÕES / SUPORTE KCS"/>
    <n v="24"/>
  </r>
  <r>
    <n v="3319364"/>
    <s v="SABRE"/>
    <x v="759"/>
    <s v="NWARGH"/>
    <s v="NWARGH"/>
    <s v="Código de cliente não identificado&lt;-ObterCliente&lt;-MontarPnrBase&lt;-ProcessarAereo&lt;-ProcessarItemFila[b]"/>
    <d v="2025-03-24T12:52:00"/>
    <m/>
    <s v="CLIENTE"/>
    <s v="CLIENTE NÃO IDENTIFICADO"/>
    <s v="DK DE CLIENTE NÃO PREENCIDO / CLIENTE NÃO CONFIGURADO NO OBT"/>
    <x v="2"/>
    <s v="OPERAÇÕES / SUPORTE KCS"/>
    <s v="COLUNA I"/>
  </r>
  <r>
    <n v="3319419"/>
    <s v="SABRE"/>
    <x v="760"/>
    <s v="YUDRLET"/>
    <s v="YUDRLE"/>
    <s v="ConverterPagamentosRemark-&gt;Input string was not in a correct format.&lt;-MontarAccountinsHotel&lt;-ProcessarHotel&lt;-ProcessarItemFila[b]"/>
    <d v="2025-03-24T13:09:00"/>
    <m/>
    <s v="FORMA PAGTO/RECTO"/>
    <s v="FORMATO DE TEXTO"/>
    <s v="TEXTO FORA DO PADRÃO ACEITO NO CAMPO"/>
    <x v="2"/>
    <s v="SUPORTE OBT"/>
    <s v="COLUNA I"/>
  </r>
  <r>
    <n v="3319421"/>
    <s v="SABRE"/>
    <x v="761"/>
    <s v="QVNEMIT"/>
    <s v="QVNEMI"/>
    <s v="ConverterPagamentosRemark-&gt;Input string was not in a correct format.&lt;-MontarAccountinsHotel&lt;-ProcessarHotel&lt;-ProcessarItemFila[b]"/>
    <d v="2025-03-24T13:09:00"/>
    <m/>
    <s v="FORMA PAGTO/RECTO"/>
    <s v="FORMATO DE TEXTO"/>
    <s v="TEXTO FORA DO PADRÃO ACEITO NO CAMPO"/>
    <x v="2"/>
    <s v="SUPORTE OBT"/>
    <s v="COLUNA I"/>
  </r>
  <r>
    <n v="3319422"/>
    <s v="SABRE"/>
    <x v="761"/>
    <s v="LGLITNT"/>
    <s v="LGLITN"/>
    <s v="ConverterPagamentosRemark-&gt;Input string was not in a correct format.&lt;-MontarAccountinsHotel&lt;-ProcessarHotel&lt;-ProcessarItemFila[b]"/>
    <d v="2025-03-24T13:09:00"/>
    <m/>
    <s v="FORMA PAGTO/RECTO"/>
    <s v="FORMATO DE TEXTO"/>
    <s v="TEXTO FORA DO PADRÃO ACEITO NO CAMPO"/>
    <x v="2"/>
    <s v="SUPORTE OBT"/>
    <s v="COLUNA I"/>
  </r>
  <r>
    <n v="3319423"/>
    <s v="SABRE"/>
    <x v="762"/>
    <s v="CFMUVWT"/>
    <s v="CFMUVW"/>
    <s v="ConverterPagamentosRemark-&gt;Input string was not in a correct format.&lt;-MontarAccountinsHotel&lt;-ProcessarHotel&lt;-ProcessarItemFila[b]"/>
    <d v="2025-03-24T13:09:00"/>
    <m/>
    <s v="FORMA PAGTO/RECTO"/>
    <s v="FORMATO DE TEXTO"/>
    <s v="TEXTO FORA DO PADRÃO ACEITO NO CAMPO"/>
    <x v="2"/>
    <s v="SUPORTE OBT"/>
    <s v="COLUNA I"/>
  </r>
  <r>
    <n v="3319424"/>
    <s v="SABRE"/>
    <x v="762"/>
    <s v="GOIXRQT"/>
    <s v="GOIXRQ"/>
    <s v="ConverterPagamentosRemark-&gt;Input string was not in a correct format.&lt;-MontarAccountinsHotel&lt;-ProcessarHotel&lt;-ProcessarItemFila[b]"/>
    <d v="2025-03-24T13:09:00"/>
    <m/>
    <s v="FORMA PAGTO/RECTO"/>
    <s v="FORMATO DE TEXTO"/>
    <s v="TEXTO FORA DO PADRÃO ACEITO NO CAMPO"/>
    <x v="2"/>
    <s v="SUPORTE OBT"/>
    <s v="COLUNA I"/>
  </r>
  <r>
    <n v="3320202"/>
    <s v="TMS"/>
    <x v="763"/>
    <n v="89"/>
    <n v="89"/>
    <s v="Preenchendo XML Serviço-&gt; Preenchendo XML-&gt; Montando accounting aereo 2-&gt;Não foi informado o Localizador do Assento/Bagagem!"/>
    <d v="2025-03-24T15:16:00"/>
    <d v="2025-03-27T17:02:00"/>
    <s v="OUTROS"/>
    <s v="ASSENTO / BAGAGEM"/>
    <s v="CAMPO OBSERVAÇÃO PREENCHIDO INCORRETAMENTE"/>
    <x v="1"/>
    <s v="OPERAÇÕES / SUPORTE KCS"/>
    <n v="118"/>
  </r>
  <r>
    <n v="3320224"/>
    <s v="SABRE"/>
    <x v="764"/>
    <s v="CUDIDDT"/>
    <s v="CUDIDD"/>
    <s v="ConverterPagamentosRemark-&gt;Input string was not in a correct format.&lt;-MontarAccountinsHotel&lt;-ProcessarHotel&lt;-ProcessarItemFila[b]"/>
    <d v="2025-03-24T15:20:00"/>
    <m/>
    <s v="FORMA PAGTO/RECTO"/>
    <s v="FORMATO DE TEXTO"/>
    <s v="TEXTO FORA DO PADRÃO ACEITO NO CAMPO"/>
    <x v="2"/>
    <s v="SUPORTE OBT"/>
    <s v="COLUNA I"/>
  </r>
  <r>
    <n v="3320495"/>
    <s v="SABRE"/>
    <x v="355"/>
    <s v="OWVTWD"/>
    <s v="OWVTWD"/>
    <s v="Não localizado cliente código [1234567890].&lt;-ObterCliente&lt;-MontarPnrBase&lt;-ProcessarAereo&lt;-ProcessarItemFila[b]"/>
    <d v="2025-03-24T16:22:00"/>
    <m/>
    <s v="CLIENTE"/>
    <s v="CÓD. CLIENTE DIVERGENTE"/>
    <s v="CÓDIGO DIFERENTE DO CADASTRADO NO BENNER (CLIENTE X GRUPO)"/>
    <x v="1"/>
    <s v="SUPORTE OBT"/>
    <n v="1"/>
  </r>
  <r>
    <n v="3320544"/>
    <s v="SABRE"/>
    <x v="765"/>
    <s v="CTDAIP"/>
    <s v="CTDAIP"/>
    <s v="ERRO: Cancelamento de Venda: Não há PNR no sistema para cancelar, venda não inserida!"/>
    <d v="2025-03-24T16:52:00"/>
    <d v="2025-03-25T08:22:00"/>
    <s v="CANCELAMENTO"/>
    <s v="VENDA CANCELADA"/>
    <s v="RESERVA CANCELADA NO OBT"/>
    <x v="0"/>
    <s v="SUPORTE OBT"/>
    <s v="COLUNA I"/>
  </r>
  <r>
    <n v="3321185"/>
    <s v="SABRE"/>
    <x v="766"/>
    <s v="EJEVHK"/>
    <s v="EJEVHK"/>
    <s v="Não localizado cliente código [0000583808].&lt;-ObterCliente&lt;-MontarPnrBase&lt;-ProcessarAereo&lt;-ProcessarItemFila[b]"/>
    <d v="2025-03-24T20:18:00"/>
    <m/>
    <s v="CLIENTE"/>
    <s v="CÓD. CLIENTE DIVERGENTE"/>
    <s v="CÓDIGO DIFERENTE DO CADASTRADO NO BENNER (CLIENTE X GRUPO)"/>
    <x v="1"/>
    <s v="SUPORTE OBT"/>
    <n v="1"/>
  </r>
  <r>
    <n v="3321198"/>
    <s v="SABRE"/>
    <x v="766"/>
    <s v="EQFNWZ"/>
    <s v="EQFNWZ"/>
    <s v="Não localizado cliente código [0000583831].&lt;-ObterCliente&lt;-MontarPnrBase&lt;-ProcessarAereo&lt;-ProcessarItemFila[b]"/>
    <d v="2025-03-24T20:19:00"/>
    <m/>
    <s v="CLIENTE"/>
    <s v="CÓD. CLIENTE DIVERGENTE"/>
    <s v="CÓDIGO DIFERENTE DO CADASTRADO NO BENNER (CLIENTE X GRUPO)"/>
    <x v="1"/>
    <s v="SUPORTE OBT"/>
    <n v="1"/>
  </r>
  <r>
    <n v="3321221"/>
    <s v="SABRE"/>
    <x v="766"/>
    <s v="OWRJHC"/>
    <s v="OWRJHC"/>
    <s v="Não localizado cliente código [0000583831].&lt;-ObterCliente&lt;-MontarPnrBase&lt;-ProcessarAereo&lt;-ProcessarItemFila[b]"/>
    <d v="2025-03-24T20:21:00"/>
    <m/>
    <s v="CLIENTE"/>
    <s v="CÓD. CLIENTE DIVERGENTE"/>
    <s v="CÓDIGO DIFERENTE DO CADASTRADO NO BENNER (CLIENTE X GRUPO)"/>
    <x v="1"/>
    <s v="SUPORTE OBT"/>
    <n v="1"/>
  </r>
  <r>
    <n v="3321256"/>
    <s v="SABRE"/>
    <x v="767"/>
    <s v="NIFGKW"/>
    <s v="NIFGKW"/>
    <s v="Código de cliente não identificado&lt;-ObterCliente&lt;-MontarPnrBase&lt;-ProcessarAereo&lt;-ProcessarItemFila[b]"/>
    <d v="2025-03-24T20:23:00"/>
    <d v="2025-03-25T09:34:00"/>
    <s v="CLIENTE"/>
    <s v="CLIENTE NÃO IDENTIFICADO"/>
    <s v="DK DE CLIENTE NÃO PREENCIDO / CLIENTE NÃO CONFIGURADO NO OBT"/>
    <x v="2"/>
    <s v="OPERAÇÕES / SUPORTE KCS"/>
    <s v="COLUNA I"/>
  </r>
  <r>
    <n v="3321638"/>
    <s v="TMS"/>
    <x v="768"/>
    <n v="55010"/>
    <n v="55010"/>
    <s v="Preenchendo XML Serviço-&gt; Preenchendo XML-&gt; Montando accounting aereo 2-&gt;Não foi informado o Localizador do Assento/Bagagem!"/>
    <d v="2025-03-24T21:10:00"/>
    <d v="2025-03-27T16:57:00"/>
    <s v="OUTROS"/>
    <s v="ASSENTO / BAGAGEM"/>
    <s v="CAMPO OBSERVAÇÃO PREENCHIDO INCORRETAMENTE"/>
    <x v="1"/>
    <s v="OPERAÇÕES / SUPORTE KCS"/>
    <n v="118"/>
  </r>
  <r>
    <n v="3322021"/>
    <s v="SABRE"/>
    <x v="769"/>
    <s v="KVRBSKT"/>
    <s v="KVRBSK"/>
    <s v="ConverterPagamentosRemark-&gt;Input string was not in a correct format.&lt;-MontarAccountinsHotel&lt;-ProcessarHotel&lt;-ProcessarItemFila[b]"/>
    <d v="2025-03-25T09:49:00"/>
    <m/>
    <s v="FORMA PAGTO/RECTO"/>
    <s v="FORMATO DE TEXTO"/>
    <s v="TEXTO FORA DO PADRÃO ACEITO NO CAMPO"/>
    <x v="2"/>
    <s v="SUPORTE OBT"/>
    <s v="COLUNA I"/>
  </r>
  <r>
    <n v="3322160"/>
    <s v="SABRE"/>
    <x v="770"/>
    <s v="OHHGQV"/>
    <s v="OHHGQV"/>
    <s v="Não localizado cliente código [0000583808].&lt;-ObterCliente&lt;-MontarPnrBase&lt;-ProcessarAereo&lt;-ProcessarItemFila[b]"/>
    <d v="2025-03-25T11:35:00"/>
    <m/>
    <s v="CLIENTE"/>
    <s v="CÓD. CLIENTE DIVERGENTE"/>
    <s v="CÓDIGO DIFERENTE DO CADASTRADO NO BENNER (CLIENTE X GRUPO)"/>
    <x v="1"/>
    <s v="SUPORTE OBT"/>
    <n v="1"/>
  </r>
  <r>
    <n v="3322162"/>
    <s v="SABRE"/>
    <x v="770"/>
    <s v="CALNOD"/>
    <s v="CALNOD"/>
    <s v="Código de cliente não identificado&lt;-ObterCliente&lt;-MontarPnrBase&lt;-ProcessarAereo&lt;-ProcessarItemFila[b]"/>
    <d v="2025-03-25T11:35:00"/>
    <m/>
    <s v="CLIENTE"/>
    <s v="CLIENTE NÃO IDENTIFICADO"/>
    <s v="DK DE CLIENTE NÃO PREENCIDO / CLIENTE NÃO CONFIGURADO NO OBT"/>
    <x v="2"/>
    <s v="OPERAÇÕES / SUPORTE KCS"/>
    <s v="COLUNA I"/>
  </r>
  <r>
    <n v="3322168"/>
    <s v="SABRE"/>
    <x v="770"/>
    <s v="QNPDJQ"/>
    <s v="QNPDJQ"/>
    <s v="Não localizado cliente código [0000583808].&lt;-ObterCliente&lt;-MontarPnrBase&lt;-ProcessarAereo&lt;-ProcessarItemFila[b]"/>
    <d v="2025-03-25T11:36:00"/>
    <m/>
    <s v="CLIENTE"/>
    <s v="CÓD. CLIENTE DIVERGENTE"/>
    <s v="CÓDIGO DIFERENTE DO CADASTRADO NO BENNER (CLIENTE X GRUPO)"/>
    <x v="1"/>
    <s v="SUPORTE OBT"/>
    <n v="1"/>
  </r>
  <r>
    <n v="3322169"/>
    <s v="SABRE"/>
    <x v="770"/>
    <s v="ENETZP"/>
    <s v="ENETZP"/>
    <s v="Código de cliente não identificado&lt;-ObterCliente&lt;-MontarPnrBase&lt;-ProcessarAereo&lt;-ProcessarItemFila[b]"/>
    <d v="2025-03-25T11:36:00"/>
    <m/>
    <s v="CLIENTE"/>
    <s v="CLIENTE NÃO IDENTIFICADO"/>
    <s v="DK DE CLIENTE NÃO PREENCIDO / CLIENTE NÃO CONFIGURADO NO OBT"/>
    <x v="2"/>
    <s v="OPERAÇÕES / SUPORTE KCS"/>
    <s v="COLUNA I"/>
  </r>
  <r>
    <n v="3322173"/>
    <s v="SABRE"/>
    <x v="770"/>
    <s v="GBBXTS"/>
    <s v="GBBXTS"/>
    <s v="Não localizado cliente código [0000583808].&lt;-ObterCliente&lt;-MontarPnrBase&lt;-ProcessarAereo&lt;-ProcessarItemFila[b]"/>
    <d v="2025-03-25T11:36:00"/>
    <m/>
    <s v="CLIENTE"/>
    <s v="CÓD. CLIENTE DIVERGENTE"/>
    <s v="CÓDIGO DIFERENTE DO CADASTRADO NO BENNER (CLIENTE X GRUPO)"/>
    <x v="1"/>
    <s v="SUPORTE OBT"/>
    <n v="1"/>
  </r>
  <r>
    <n v="3322806"/>
    <s v="TMS"/>
    <x v="771"/>
    <n v="55921"/>
    <n v="55921"/>
    <s v="Preenchendo XML Serviço-&gt; Preenchendo XML-&gt; Montando accounting aereo 2-&gt;Não foi informado o Localizador do Assento/Bagagem!"/>
    <d v="2025-03-25T15:21:00"/>
    <d v="2025-03-28T22:14:00"/>
    <s v="OUTROS"/>
    <s v="ASSENTO / BAGAGEM"/>
    <s v="CAMPO OBSERVAÇÃO PREENCHIDO INCORRETAMENTE"/>
    <x v="1"/>
    <s v="OPERAÇÕES / SUPORTE KCS"/>
    <n v="118"/>
  </r>
  <r>
    <n v="3323109"/>
    <s v="SABRE"/>
    <x v="772"/>
    <s v="STBRVD"/>
    <s v="STBRVD"/>
    <s v="Não localizado cliente código [0000050269].&lt;-ObterCliente&lt;-MontarPnrBase&lt;-ProcessarAereo&lt;-ProcessarItemFila[b]"/>
    <d v="2025-03-25T17:49:00"/>
    <d v="2025-03-28T08:04:00"/>
    <s v="CLIENTE"/>
    <s v="CÓD. CLIENTE DIVERGENTE"/>
    <s v="CÓDIGO DIFERENTE DO CADASTRADO NO BENNER (CLIENTE X GRUPO)"/>
    <x v="1"/>
    <s v="SUPORTE OBT"/>
    <n v="1"/>
  </r>
  <r>
    <n v="3323654"/>
    <s v="SABRE"/>
    <x v="773"/>
    <s v="JUSFLH"/>
    <s v="JUSFLH"/>
    <s v="Não localizado cliente código [0000063625].&lt;-ObterCliente&lt;-MontarPnrBase&lt;-ProcessarAereo&lt;-ProcessarItemFila[b]"/>
    <d v="2025-03-25T18:36:00"/>
    <m/>
    <s v="CLIENTE"/>
    <s v="CÓD. CLIENTE DIVERGENTE"/>
    <s v="CÓDIGO DIFERENTE DO CADASTRADO NO BENNER (CLIENTE X GRUPO)"/>
    <x v="1"/>
    <s v="SUPORTE OBT"/>
    <n v="1"/>
  </r>
  <r>
    <n v="3323892"/>
    <s v="SABRE"/>
    <x v="774"/>
    <s v="MGIBJI"/>
    <s v="MGIBJI"/>
    <s v="Não localizado cliente código [0000063625].&lt;-ObterCliente&lt;-MontarPnrBase&lt;-ProcessarAereo&lt;-ProcessarItemFila[b]"/>
    <d v="2025-03-25T20:19:00"/>
    <d v="2025-03-26T11:51:00"/>
    <s v="CLIENTE"/>
    <s v="CÓD. CLIENTE DIVERGENTE"/>
    <s v="CÓDIGO DIFERENTE DO CADASTRADO NO BENNER (CLIENTE X GRUPO)"/>
    <x v="1"/>
    <s v="SUPORTE OBT"/>
    <n v="1"/>
  </r>
  <r>
    <n v="3323894"/>
    <s v="SABRE"/>
    <x v="775"/>
    <s v="GSIXAV"/>
    <s v="GSIXAV"/>
    <s v="Código de cliente não identificado&lt;-ObterCliente&lt;-MontarPnrBase&lt;-ProcessarAereo&lt;-ProcessarItemFila[b]"/>
    <d v="2025-03-25T20:19:00"/>
    <m/>
    <s v="CLIENTE"/>
    <s v="CLIENTE NÃO IDENTIFICADO"/>
    <s v="DK DE CLIENTE NÃO PREENCIDO / CLIENTE NÃO CONFIGURADO NO OBT"/>
    <x v="2"/>
    <s v="OPERAÇÕES / SUPORTE KCS"/>
    <s v="COLUNA I"/>
  </r>
  <r>
    <n v="3323909"/>
    <s v="TMS"/>
    <x v="776"/>
    <n v="5773"/>
    <n v="5773"/>
    <s v="Preenchendo XML Serviço-&gt; Preenchendo XML-&gt; Montando accounting aereo 2-&gt;Não foi informado o Localizador do Assento/Bagagem!"/>
    <d v="2025-03-25T20:27:00"/>
    <d v="2025-03-28T21:27:00"/>
    <s v="OUTROS"/>
    <s v="ASSENTO / BAGAGEM"/>
    <s v="CAMPO OBSERVAÇÃO PREENCHIDO INCORRETAMENTE"/>
    <x v="1"/>
    <s v="OPERAÇÕES / SUPORTE KCS"/>
    <n v="118"/>
  </r>
  <r>
    <n v="3323956"/>
    <s v="SABRE"/>
    <x v="468"/>
    <s v="ASTLWKT"/>
    <s v="ASTLWK"/>
    <s v="ConverterPagamentosRemark-&gt;Input string was not in a correct format.&lt;-MontarAccountinsHotel&lt;-ProcessarHotel&lt;-ProcessarItemFila[b]"/>
    <d v="2025-03-25T22:47:00"/>
    <m/>
    <s v="FORMA PAGTO/RECTO"/>
    <s v="FORMATO DE TEXTO"/>
    <s v="TEXTO FORA DO PADRÃO ACEITO NO CAMPO"/>
    <x v="2"/>
    <s v="SUPORTE OBT"/>
    <s v="COLUNA I"/>
  </r>
  <r>
    <n v="3323957"/>
    <s v="SABRE"/>
    <x v="731"/>
    <s v="CFSYRLT"/>
    <s v="CFSYRL"/>
    <s v="ConverterPagamentosRemark-&gt;Input string was not in a correct format.&lt;-MontarAccountinsHotel&lt;-ProcessarHotel&lt;-ProcessarItemFila[b]"/>
    <d v="2025-03-25T22:47:00"/>
    <m/>
    <s v="FORMA PAGTO/RECTO"/>
    <s v="FORMATO DE TEXTO"/>
    <s v="TEXTO FORA DO PADRÃO ACEITO NO CAMPO"/>
    <x v="2"/>
    <s v="SUPORTE OBT"/>
    <s v="COLUNA I"/>
  </r>
  <r>
    <n v="3324615"/>
    <s v="TMS"/>
    <x v="777"/>
    <n v="11424"/>
    <n v="11424"/>
    <s v="Preenchendo XML Carro-&gt; Preenchendo XML-&gt; Montando accounting carro-&gt;Fornecedor com o código 415368  informado nos campos gerenciais não encontrado!"/>
    <d v="2025-03-26T04:28:00"/>
    <d v="2025-03-28T22:16:00"/>
    <s v="FORNECEDOR"/>
    <s v="CONTRATO FORNECEDOR"/>
    <s v="CONTRATO INATIVO OU DIVERGENTE"/>
    <x v="0"/>
    <s v="OPERAÇÕES / SUPORTE KCS"/>
    <n v="69"/>
  </r>
  <r>
    <n v="3324885"/>
    <s v="SABRE"/>
    <x v="778"/>
    <s v="UDIXAP"/>
    <s v="UDIXAP"/>
    <s v="Não localizado cliente código [0000071989].&lt;-ObterCliente&lt;-MontarPnrBase&lt;-ProcessarAereo&lt;-ProcessarItemFila[b]"/>
    <d v="2025-03-26T09:32:00"/>
    <d v="2025-03-26T11:51:00"/>
    <s v="CLIENTE"/>
    <s v="CÓD. CLIENTE DIVERGENTE"/>
    <s v="CÓDIGO DIFERENTE DO CADASTRADO NO BENNER (CLIENTE X GRUPO)"/>
    <x v="1"/>
    <s v="SUPORTE OBT"/>
    <n v="1"/>
  </r>
  <r>
    <n v="3324894"/>
    <s v="SABRE"/>
    <x v="779"/>
    <s v="APSUYI"/>
    <s v="APSUYI"/>
    <s v="ERRO: Cancelamento de Venda: Não há PNR no sistema para cancelar, venda não inserida!"/>
    <d v="2025-03-26T09:46:00"/>
    <m/>
    <s v="CANCELAMENTO"/>
    <s v="VENDA CANCELADA"/>
    <s v="RESERVA CANCELADA NO OBT"/>
    <x v="0"/>
    <s v="SUPORTE OBT"/>
    <s v="COLUNA I"/>
  </r>
  <r>
    <n v="3324901"/>
    <s v="SABRE"/>
    <x v="780"/>
    <s v="MIEATET"/>
    <s v="MIEATE"/>
    <s v="ConverterPagamentosRemark-&gt;Input string was not in a correct format.&lt;-MontarAccountinsHotel&lt;-ProcessarHotel&lt;-ProcessarItemFila[b]"/>
    <d v="2025-03-26T09:47:00"/>
    <m/>
    <s v="FORMA PAGTO/RECTO"/>
    <s v="FORMATO DE TEXTO"/>
    <s v="TEXTO FORA DO PADRÃO ACEITO NO CAMPO"/>
    <x v="2"/>
    <s v="SUPORTE OBT"/>
    <s v="COLUNA I"/>
  </r>
  <r>
    <n v="3324931"/>
    <s v="SABRE"/>
    <x v="781"/>
    <s v="HPTFQOT"/>
    <s v="HPTFQO"/>
    <s v="ConverterPagamentosRemark-&gt;Input string was not in a correct format.&lt;-MontarAccountinsHotel&lt;-ProcessarHotel&lt;-ProcessarItemFila[b]"/>
    <d v="2025-03-26T10:03:00"/>
    <m/>
    <s v="FORMA PAGTO/RECTO"/>
    <s v="FORMATO DE TEXTO"/>
    <s v="TEXTO FORA DO PADRÃO ACEITO NO CAMPO"/>
    <x v="2"/>
    <s v="SUPORTE OBT"/>
    <s v="COLUNA I"/>
  </r>
  <r>
    <n v="3325087"/>
    <s v="SABRE"/>
    <x v="772"/>
    <s v="GOXTON"/>
    <s v="GOXTON"/>
    <s v="Não localizado cliente código [0000068777].&lt;-ObterCliente&lt;-MontarPnrBase&lt;-ProcessarAereo&lt;-ProcessarItemFila[b]"/>
    <d v="2025-03-26T11:33:00"/>
    <d v="2025-03-28T08:05:00"/>
    <s v="CLIENTE"/>
    <s v="CÓD. CLIENTE DIVERGENTE"/>
    <s v="CÓDIGO DIFERENTE DO CADASTRADO NO BENNER (CLIENTE X GRUPO)"/>
    <x v="1"/>
    <s v="SUPORTE OBT"/>
    <n v="1"/>
  </r>
  <r>
    <n v="3325110"/>
    <s v="SABRE"/>
    <x v="782"/>
    <s v="HIKQNI"/>
    <s v="HIKQNI"/>
    <s v="Não localizado cliente código [0000028612].&lt;-ObterCliente&lt;-MontarPnrBase&lt;-ProcessarAereo&lt;-ProcessarItemFila[b]"/>
    <d v="2025-03-26T11:48:00"/>
    <m/>
    <s v="CLIENTE"/>
    <s v="CÓD. CLIENTE DIVERGENTE"/>
    <s v="CÓDIGO DIFERENTE DO CADASTRADO NO BENNER (CLIENTE X GRUPO)"/>
    <x v="1"/>
    <s v="SUPORTE OBT"/>
    <n v="1"/>
  </r>
  <r>
    <n v="3325112"/>
    <s v="SABRE"/>
    <x v="782"/>
    <s v="SZVRLP"/>
    <s v="SZVRLP"/>
    <s v="Não localizado cliente código [0000035405].&lt;-ObterCliente&lt;-MontarPnrBase&lt;-ProcessarAereo&lt;-ProcessarItemFila[b]"/>
    <d v="2025-03-26T11:49:00"/>
    <m/>
    <s v="CLIENTE"/>
    <s v="CÓD. CLIENTE DIVERGENTE"/>
    <s v="CÓDIGO DIFERENTE DO CADASTRADO NO BENNER (CLIENTE X GRUPO)"/>
    <x v="1"/>
    <s v="SUPORTE OBT"/>
    <n v="1"/>
  </r>
  <r>
    <n v="3325118"/>
    <s v="SABRE"/>
    <x v="782"/>
    <s v="MBBEDJ"/>
    <s v="MBBEDJ"/>
    <s v="Código de cliente não identificado&lt;-ObterCliente&lt;-MontarPnrBase&lt;-ProcessarAereo&lt;-ProcessarItemFila[b]"/>
    <d v="2025-03-26T11:49:00"/>
    <m/>
    <s v="CLIENTE"/>
    <s v="CLIENTE NÃO IDENTIFICADO"/>
    <s v="DK DE CLIENTE NÃO PREENCIDO / CLIENTE NÃO CONFIGURADO NO OBT"/>
    <x v="2"/>
    <s v="OPERAÇÕES / SUPORTE KCS"/>
    <s v="COLUNA I"/>
  </r>
  <r>
    <n v="3325179"/>
    <s v="SABRE"/>
    <x v="783"/>
    <s v="UPLYKT"/>
    <s v="UPLYKT"/>
    <s v="Código de cliente não identificado&lt;-ObterCliente&lt;-MontarPnrBase&lt;-ProcessarAereo&lt;-ProcessarItemFila[b]"/>
    <d v="2025-03-26T12:33:00"/>
    <m/>
    <s v="CLIENTE"/>
    <s v="CLIENTE NÃO IDENTIFICADO"/>
    <s v="DK DE CLIENTE NÃO PREENCIDO / CLIENTE NÃO CONFIGURADO NO OBT"/>
    <x v="2"/>
    <s v="OPERAÇÕES / SUPORTE KCS"/>
    <s v="COLUNA I"/>
  </r>
  <r>
    <n v="3325180"/>
    <s v="SABRE"/>
    <x v="783"/>
    <s v="FXIWRE"/>
    <s v="FXIWRE"/>
    <s v="Código de cliente não identificado&lt;-ObterCliente&lt;-MontarPnrBase&lt;-ProcessarAereo&lt;-ProcessarItemFila[b]"/>
    <d v="2025-03-26T12:33:00"/>
    <m/>
    <s v="CLIENTE"/>
    <s v="CLIENTE NÃO IDENTIFICADO"/>
    <s v="DK DE CLIENTE NÃO PREENCIDO / CLIENTE NÃO CONFIGURADO NO OBT"/>
    <x v="2"/>
    <s v="OPERAÇÕES / SUPORTE KCS"/>
    <s v="COLUNA I"/>
  </r>
  <r>
    <n v="3325224"/>
    <s v="SABRE"/>
    <x v="784"/>
    <s v="SINCNIT"/>
    <s v="SINCNI"/>
    <s v="ConverterPagamentosRemark-&gt;Input string was not in a correct format.&lt;-MontarAccountinsHotel&lt;-ProcessarHotel&lt;-ProcessarItemFila[b]"/>
    <d v="2025-03-26T13:02:00"/>
    <m/>
    <s v="FORMA PAGTO/RECTO"/>
    <s v="FORMATO DE TEXTO"/>
    <s v="TEXTO FORA DO PADRÃO ACEITO NO CAMPO"/>
    <x v="2"/>
    <s v="SUPORTE OBT"/>
    <s v="COLUNA I"/>
  </r>
  <r>
    <n v="3326508"/>
    <s v="SABRE"/>
    <x v="785"/>
    <s v="MUUQWJ"/>
    <s v="MUUQWJ"/>
    <s v="Não localizado cliente código [0000583808].&lt;-ObterCliente&lt;-MontarPnrBase&lt;-ProcessarAereo&lt;-ProcessarItemFila[b]"/>
    <d v="2025-03-26T18:07:00"/>
    <m/>
    <s v="CLIENTE"/>
    <s v="CÓD. CLIENTE DIVERGENTE"/>
    <s v="CÓDIGO DIFERENTE DO CADASTRADO NO BENNER (CLIENTE X GRUPO)"/>
    <x v="1"/>
    <s v="SUPORTE OBT"/>
    <n v="1"/>
  </r>
  <r>
    <n v="3326514"/>
    <s v="SABRE"/>
    <x v="785"/>
    <s v="SZKBQS"/>
    <s v="SZKBQS"/>
    <s v="Não localizado cliente código [0000583808].&lt;-ObterCliente&lt;-MontarPnrBase&lt;-ProcessarAereo&lt;-ProcessarItemFila[b]"/>
    <d v="2025-03-26T18:08:00"/>
    <m/>
    <s v="CLIENTE"/>
    <s v="CÓD. CLIENTE DIVERGENTE"/>
    <s v="CÓDIGO DIFERENTE DO CADASTRADO NO BENNER (CLIENTE X GRUPO)"/>
    <x v="1"/>
    <s v="SUPORTE OBT"/>
    <n v="1"/>
  </r>
  <r>
    <n v="3326520"/>
    <s v="SABRE"/>
    <x v="785"/>
    <s v="DUROZP"/>
    <s v="DUROZP"/>
    <s v="Não localizado cliente código [0000583808].&lt;-ObterCliente&lt;-MontarPnrBase&lt;-ProcessarAereo&lt;-ProcessarItemFila[b]"/>
    <d v="2025-03-26T18:09:00"/>
    <m/>
    <s v="CLIENTE"/>
    <s v="CÓD. CLIENTE DIVERGENTE"/>
    <s v="CÓDIGO DIFERENTE DO CADASTRADO NO BENNER (CLIENTE X GRUPO)"/>
    <x v="1"/>
    <s v="SUPORTE OBT"/>
    <n v="1"/>
  </r>
  <r>
    <n v="3326549"/>
    <s v="SABRE"/>
    <x v="786"/>
    <s v="FNTLRP"/>
    <s v="FNTLRP"/>
    <s v="Código de cliente não identificado&lt;-ObterCliente&lt;-MontarPnrBase&lt;-ProcessarAereo&lt;-ProcessarItemFila[b]"/>
    <d v="2025-03-26T18:11:00"/>
    <d v="2025-03-28T12:46:00"/>
    <s v="CLIENTE"/>
    <s v="CLIENTE NÃO IDENTIFICADO"/>
    <s v="DK DE CLIENTE NÃO PREENCIDO / CLIENTE NÃO CONFIGURADO NO OBT"/>
    <x v="2"/>
    <s v="OPERAÇÕES / SUPORTE KCS"/>
    <s v="COLUNA I"/>
  </r>
  <r>
    <n v="3326652"/>
    <s v="SABRE"/>
    <x v="785"/>
    <s v="FJCWSU"/>
    <s v="FJCWSU"/>
    <s v="Não localizado cliente código [0000583831].&lt;-ObterCliente&lt;-MontarPnrBase&lt;-ProcessarAereo&lt;-ProcessarItemFila[b]"/>
    <d v="2025-03-26T18:15:00"/>
    <m/>
    <s v="CLIENTE"/>
    <s v="CÓD. CLIENTE DIVERGENTE"/>
    <s v="CÓDIGO DIFERENTE DO CADASTRADO NO BENNER (CLIENTE X GRUPO)"/>
    <x v="1"/>
    <s v="SUPORTE OBT"/>
    <n v="1"/>
  </r>
  <r>
    <n v="3327361"/>
    <s v="TMS"/>
    <x v="787"/>
    <n v="11473"/>
    <n v="11473"/>
    <s v="Preenchendo XML Serviço-&gt; Preenchendo XML-&gt; Montando accounting aereo 2-&gt;Não foi informado o Localizador do Assento/Bagagem!"/>
    <d v="2025-03-26T21:44:00"/>
    <d v="2025-03-29T21:54:00"/>
    <s v="OUTROS"/>
    <s v="ASSENTO / BAGAGEM"/>
    <s v="CAMPO OBSERVAÇÃO PREENCHIDO INCORRETAMENTE"/>
    <x v="1"/>
    <s v="OPERAÇÕES / SUPORTE KCS"/>
    <n v="118"/>
  </r>
  <r>
    <n v="3328206"/>
    <s v="TMS"/>
    <x v="788"/>
    <n v="5592"/>
    <n v="5592"/>
    <s v="Inserindo PNR - Accountings - TurVendas - Não foi possível localizar o contrato do fornecedor XZ"/>
    <d v="2025-03-27T15:09:00"/>
    <d v="2025-03-30T22:06:00"/>
    <s v="FORNECEDOR"/>
    <s v="CONTRATO FORNECEDOR"/>
    <s v="CONTRATO INATIVO OU DIVERGENTE"/>
    <x v="0"/>
    <s v="OPERAÇÕES / SUPORTE KCS"/>
    <n v="43"/>
  </r>
  <r>
    <n v="3328823"/>
    <s v="TMS"/>
    <x v="789"/>
    <n v="56820"/>
    <n v="56820"/>
    <s v="Preenchendo XML Serviço-&gt; Preenchendo XML-&gt; Montando accounting aereo 2-&gt;Não foi informado o Localizador do Assento/Bagagem!"/>
    <d v="2025-03-27T16:49:00"/>
    <d v="2025-03-30T22:09:00"/>
    <s v="OUTROS"/>
    <s v="ASSENTO / BAGAGEM"/>
    <s v="CAMPO OBSERVAÇÃO PREENCHIDO INCORRETAMENTE"/>
    <x v="1"/>
    <s v="OPERAÇÕES / SUPORTE KCS"/>
    <n v="118"/>
  </r>
  <r>
    <n v="3328829"/>
    <s v="TMS"/>
    <x v="790"/>
    <n v="56799"/>
    <n v="56799"/>
    <s v="Preenchendo XML Serviço-&gt; Preenchendo XML-&gt; Montando accounting aereo 2-&gt;Não foi informado o Localizador do Assento/Bagagem!"/>
    <d v="2025-03-27T16:49:00"/>
    <d v="2025-03-30T22:09:00"/>
    <s v="OUTROS"/>
    <s v="ASSENTO / BAGAGEM"/>
    <s v="CAMPO OBSERVAÇÃO PREENCHIDO INCORRETAMENTE"/>
    <x v="1"/>
    <s v="OPERAÇÕES / SUPORTE KCS"/>
    <n v="118"/>
  </r>
  <r>
    <n v="3328866"/>
    <s v="SABRE"/>
    <x v="791"/>
    <s v="GNIKWK"/>
    <s v="GNIKWK"/>
    <s v="Não localizado cliente código [0000050269].&lt;-ObterCliente&lt;-MontarPnrBase&lt;-ProcessarAereo&lt;-ProcessarItemFila[b]"/>
    <d v="2025-03-27T16:53:00"/>
    <m/>
    <s v="CLIENTE"/>
    <s v="CÓD. CLIENTE DIVERGENTE"/>
    <s v="CÓDIGO DIFERENTE DO CADASTRADO NO BENNER (CLIENTE X GRUPO)"/>
    <x v="1"/>
    <s v="SUPORTE OBT"/>
    <n v="1"/>
  </r>
  <r>
    <n v="3328867"/>
    <s v="SABRE"/>
    <x v="792"/>
    <s v="KLEUMP"/>
    <s v="KLEUMP"/>
    <s v="Não localizado cliente código [0000068777].&lt;-ObterCliente&lt;-MontarPnrBase&lt;-ProcessarAereo&lt;-ProcessarItemFila[b]"/>
    <d v="2025-03-27T16:53:00"/>
    <d v="2025-04-07T08:21:00"/>
    <s v="CLIENTE"/>
    <s v="CÓD. CLIENTE DIVERGENTE"/>
    <s v="CÓDIGO DIFERENTE DO CADASTRADO NO BENNER (CLIENTE X GRUPO)"/>
    <x v="1"/>
    <s v="SUPORTE OBT"/>
    <n v="1"/>
  </r>
  <r>
    <n v="3328873"/>
    <s v="SABRE"/>
    <x v="793"/>
    <s v="KMIILV"/>
    <s v="KMIILV"/>
    <s v="Não localizado cliente código [0123456789].&lt;-ObterCliente&lt;-MontarPnrBase&lt;-ProcessarAereo&lt;-ProcessarItemFila[b]"/>
    <d v="2025-03-27T16:53:00"/>
    <m/>
    <s v="CLIENTE"/>
    <s v="CÓD. CLIENTE DIVERGENTE"/>
    <s v="CÓDIGO DIFERENTE DO CADASTRADO NO BENNER (CLIENTE X GRUPO)"/>
    <x v="1"/>
    <s v="SUPORTE OBT"/>
    <n v="1"/>
  </r>
  <r>
    <n v="3329049"/>
    <s v="SABRE"/>
    <x v="794"/>
    <s v="SLDJDZT"/>
    <s v="SLDJDZ"/>
    <s v="ConverterPagamentosRemark-&gt;Input string was not in a correct format.&lt;-MontarAccountinsHotel&lt;-ProcessarHotel&lt;-ProcessarItemFila[b]"/>
    <d v="2025-03-27T17:06:00"/>
    <m/>
    <s v="FORMA PAGTO/RECTO"/>
    <s v="FORMATO DE TEXTO"/>
    <s v="TEXTO FORA DO PADRÃO ACEITO NO CAMPO"/>
    <x v="2"/>
    <s v="SUPORTE OBT"/>
    <s v="COLUNA I"/>
  </r>
  <r>
    <n v="3329547"/>
    <s v="SABRE"/>
    <x v="795"/>
    <s v="DOEMED"/>
    <s v="DOEMED"/>
    <s v="Código de cliente não identificado&lt;-ObterCliente&lt;-MontarPnrBase&lt;-ProcessarAereo&lt;-ProcessarItemFila[b]"/>
    <d v="2025-03-27T20:17:00"/>
    <d v="2025-03-28T12:02:00"/>
    <s v="CLIENTE"/>
    <s v="CLIENTE NÃO IDENTIFICADO"/>
    <s v="DK DE CLIENTE NÃO PREENCIDO / CLIENTE NÃO CONFIGURADO NO OBT"/>
    <x v="2"/>
    <s v="OPERAÇÕES / SUPORTE KCS"/>
    <s v="COLUNA I"/>
  </r>
  <r>
    <n v="3329549"/>
    <s v="SABRE"/>
    <x v="796"/>
    <s v="FPAGSL"/>
    <s v="FPAGSL"/>
    <s v="Código de cliente não identificado&lt;-ObterCliente&lt;-MontarPnrBase&lt;-ProcessarAereo&lt;-ProcessarItemFila[b]"/>
    <d v="2025-03-27T20:18:00"/>
    <d v="2025-03-28T17:04:00"/>
    <s v="CLIENTE"/>
    <s v="CLIENTE NÃO IDENTIFICADO"/>
    <s v="DK DE CLIENTE NÃO PREENCIDO / CLIENTE NÃO CONFIGURADO NO OBT"/>
    <x v="2"/>
    <s v="OPERAÇÕES / SUPORTE KCS"/>
    <s v="COLUNA I"/>
  </r>
  <r>
    <n v="3329551"/>
    <s v="SABRE"/>
    <x v="797"/>
    <s v="DKCHWS"/>
    <s v="DKCHWS"/>
    <s v="Código de cliente não identificado&lt;-ObterCliente&lt;-MontarPnrBase&lt;-ProcessarAereo&lt;-ProcessarItemFila[b]"/>
    <d v="2025-03-27T20:18:00"/>
    <d v="2025-03-28T17:04:00"/>
    <s v="CLIENTE"/>
    <s v="CLIENTE NÃO IDENTIFICADO"/>
    <s v="DK DE CLIENTE NÃO PREENCIDO / CLIENTE NÃO CONFIGURADO NO OBT"/>
    <x v="2"/>
    <s v="OPERAÇÕES / SUPORTE KCS"/>
    <s v="COLUNA I"/>
  </r>
  <r>
    <n v="3329555"/>
    <s v="SABRE"/>
    <x v="798"/>
    <s v="QHSBGW"/>
    <s v="QHSBGW"/>
    <s v="Código de cliente não identificado&lt;-ObterCliente&lt;-MontarPnrBase&lt;-ProcessarAereo&lt;-ProcessarItemFila[b]"/>
    <d v="2025-03-27T20:20:00"/>
    <m/>
    <s v="CLIENTE"/>
    <s v="CLIENTE NÃO IDENTIFICADO"/>
    <s v="DK DE CLIENTE NÃO PREENCIDO / CLIENTE NÃO CONFIGURADO NO OBT"/>
    <x v="2"/>
    <s v="OPERAÇÕES / SUPORTE KCS"/>
    <s v="COLUNA I"/>
  </r>
  <r>
    <n v="3329566"/>
    <s v="SABRE"/>
    <x v="799"/>
    <s v="KUZISQ"/>
    <s v="KUZISQ"/>
    <s v="Não localizado cliente com CNPJ [2379828000128].&lt;-ObterCliente&lt;-MontarPnrBase&lt;-ProcessarAereo&lt;-ProcessarItemFila[b]"/>
    <d v="2025-03-27T20:22:00"/>
    <d v="2025-03-28T19:46:00"/>
    <s v="CLIENTE"/>
    <s v="REMARK - CNPJ"/>
    <s v=""/>
    <x v="3"/>
    <s v="OPERAÇÕES / SUPORTE KCS"/>
    <n v="24"/>
  </r>
  <r>
    <n v="3330246"/>
    <s v="SABRE"/>
    <x v="772"/>
    <s v="YFQJUA"/>
    <s v="YFQJUA"/>
    <s v="Código de cliente não identificado&lt;-ObterCliente&lt;-MontarPnrBase&lt;-ProcessarAereo&lt;-ProcessarItemFila[b]"/>
    <d v="2025-03-28T08:04:00"/>
    <m/>
    <s v="CLIENTE"/>
    <s v="CLIENTE NÃO IDENTIFICADO"/>
    <s v="DK DE CLIENTE NÃO PREENCIDO / CLIENTE NÃO CONFIGURADO NO OBT"/>
    <x v="2"/>
    <s v="OPERAÇÕES / SUPORTE KCS"/>
    <s v="COLUNA I"/>
  </r>
  <r>
    <n v="3330247"/>
    <s v="SABRE"/>
    <x v="772"/>
    <s v="OHLZVR"/>
    <s v="OHLZVR"/>
    <s v="Não localizado cliente código [0000583808].&lt;-ObterCliente&lt;-MontarPnrBase&lt;-ProcessarAereo&lt;-ProcessarItemFila[b]"/>
    <d v="2025-03-28T08:04:00"/>
    <m/>
    <s v="CLIENTE"/>
    <s v="CÓD. CLIENTE DIVERGENTE"/>
    <s v="CÓDIGO DIFERENTE DO CADASTRADO NO BENNER (CLIENTE X GRUPO)"/>
    <x v="1"/>
    <s v="SUPORTE OBT"/>
    <n v="1"/>
  </r>
  <r>
    <n v="3330248"/>
    <s v="SABRE"/>
    <x v="772"/>
    <s v="GKQHAY"/>
    <s v="GKQHAY"/>
    <s v="Não localizado cliente código [0000583808].&lt;-ObterCliente&lt;-MontarPnrBase&lt;-ProcessarAereo&lt;-ProcessarItemFila[b]"/>
    <d v="2025-03-28T08:04:00"/>
    <m/>
    <s v="CLIENTE"/>
    <s v="CÓD. CLIENTE DIVERGENTE"/>
    <s v="CÓDIGO DIFERENTE DO CADASTRADO NO BENNER (CLIENTE X GRUPO)"/>
    <x v="1"/>
    <s v="SUPORTE OBT"/>
    <n v="1"/>
  </r>
  <r>
    <n v="3330249"/>
    <s v="SABRE"/>
    <x v="772"/>
    <s v="OEPUAW"/>
    <s v="OEPUAW"/>
    <s v="Não localizado cliente código [0000583808].&lt;-ObterCliente&lt;-MontarPnrBase&lt;-ProcessarAereo&lt;-ProcessarItemFila[b]"/>
    <d v="2025-03-28T08:04:00"/>
    <m/>
    <s v="CLIENTE"/>
    <s v="CÓD. CLIENTE DIVERGENTE"/>
    <s v="CÓDIGO DIFERENTE DO CADASTRADO NO BENNER (CLIENTE X GRUPO)"/>
    <x v="1"/>
    <s v="SUPORTE OBT"/>
    <n v="1"/>
  </r>
  <r>
    <n v="3330250"/>
    <s v="SABRE"/>
    <x v="772"/>
    <s v="IIXSWD"/>
    <s v="IIXSWD"/>
    <s v="Não localizado cliente código [0000286569].&lt;-ObterCliente&lt;-MontarPnrBase&lt;-ProcessarAereo&lt;-ProcessarItemFila[b]"/>
    <d v="2025-03-28T08:05:00"/>
    <m/>
    <s v="CLIENTE"/>
    <s v="CÓD. CLIENTE DIVERGENTE"/>
    <s v="CÓDIGO DIFERENTE DO CADASTRADO NO BENNER (CLIENTE X GRUPO)"/>
    <x v="1"/>
    <s v="SUPORTE OBT"/>
    <n v="1"/>
  </r>
  <r>
    <n v="3330251"/>
    <s v="SABRE"/>
    <x v="772"/>
    <s v="QYNVCS"/>
    <s v="QYNVCS"/>
    <s v="Não localizado cliente com CNPJ [2295585000140].&lt;-ObterCliente&lt;-MontarPnrBase&lt;-ProcessarAereo&lt;-ProcessarItemFila[b]"/>
    <d v="2025-03-28T08:06:00"/>
    <m/>
    <s v="CLIENTE"/>
    <s v="REMARK - CNPJ"/>
    <s v=""/>
    <x v="1"/>
    <s v="OPERAÇÕES / SUPORTE KCS"/>
    <n v="24"/>
  </r>
  <r>
    <n v="3330384"/>
    <s v="SABRE"/>
    <x v="800"/>
    <s v="DJDTAW"/>
    <s v="DJDTAW"/>
    <s v="ERRO: Cancelamento de Venda: Não há PNR no sistema para cancelar, venda não inserida!"/>
    <d v="2025-03-28T09:31:00"/>
    <m/>
    <s v="CANCELAMENTO"/>
    <s v="VENDA CANCELADA"/>
    <s v="RESERVA CANCELADA NO OBT"/>
    <x v="0"/>
    <s v="SUPORTE OBT"/>
    <s v="COLUNA I"/>
  </r>
  <r>
    <n v="3330461"/>
    <s v="TMS"/>
    <x v="801"/>
    <n v="195771"/>
    <n v="195771"/>
    <s v="Preenchendo XML Serviço-&gt; Preenchendo XML-&gt; Montando accounting aereo 2-&gt;Não foi informado o Localizador do Assento/Bagagem!"/>
    <d v="2025-03-28T09:49:00"/>
    <d v="2025-04-09T13:26:00"/>
    <s v="OUTROS"/>
    <s v="ASSENTO / BAGAGEM"/>
    <s v="CAMPO OBSERVAÇÃO PREENCHIDO INCORRETAMENTE"/>
    <x v="1"/>
    <s v="OPERAÇÕES / SUPORTE KCS"/>
    <n v="118"/>
  </r>
  <r>
    <n v="3330635"/>
    <s v="SABRE"/>
    <x v="802"/>
    <s v="NVHLNQT"/>
    <s v="NVHLNQ"/>
    <s v="ConverterPagamentosRemark-&gt;Input string was not in a correct format.&lt;-MontarAccountinsHotel&lt;-ProcessarHotel&lt;-ProcessarItemFila[b]"/>
    <d v="2025-03-28T11:32:00"/>
    <m/>
    <s v="FORMA PAGTO/RECTO"/>
    <s v="FORMATO DE TEXTO"/>
    <s v="TEXTO FORA DO PADRÃO ACEITO NO CAMPO"/>
    <x v="2"/>
    <s v="SUPORTE OBT"/>
    <s v="COLUNA I"/>
  </r>
  <r>
    <n v="3330637"/>
    <s v="SABRE"/>
    <x v="802"/>
    <s v="KYWXBOT"/>
    <s v="KYWXBO"/>
    <s v="ConverterPagamentosRemark-&gt;Input string was not in a correct format.&lt;-MontarAccountinsHotel&lt;-ProcessarHotel&lt;-ProcessarItemFila[b]"/>
    <d v="2025-03-28T11:32:00"/>
    <m/>
    <s v="FORMA PAGTO/RECTO"/>
    <s v="FORMATO DE TEXTO"/>
    <s v="TEXTO FORA DO PADRÃO ACEITO NO CAMPO"/>
    <x v="2"/>
    <s v="SUPORTE OBT"/>
    <s v="COLUNA I"/>
  </r>
  <r>
    <n v="3330690"/>
    <s v="SABRE"/>
    <x v="803"/>
    <s v="NCNBUGT"/>
    <s v="NCNBUG"/>
    <s v="ConverterPagamentosRemark-&gt;Input string was not in a correct format.&lt;-MontarAccountinsHotel&lt;-ProcessarHotel&lt;-ProcessarItemFila[b]"/>
    <d v="2025-03-28T12:31:00"/>
    <m/>
    <s v="FORMA PAGTO/RECTO"/>
    <s v="FORMATO DE TEXTO"/>
    <s v="TEXTO FORA DO PADRÃO ACEITO NO CAMPO"/>
    <x v="2"/>
    <s v="SUPORTE OBT"/>
    <s v="COLUNA I"/>
  </r>
  <r>
    <n v="3330819"/>
    <s v="SABRE"/>
    <x v="804"/>
    <s v="LQOAIX"/>
    <s v="LQOAIX"/>
    <s v="Código de cliente não identificado&lt;-ObterCliente&lt;-MontarPnrBase&lt;-ProcessarAereo&lt;-ProcessarItemFila[b]"/>
    <d v="2025-03-28T13:31:00"/>
    <m/>
    <s v="CLIENTE"/>
    <s v="CLIENTE NÃO IDENTIFICADO"/>
    <s v="DK DE CLIENTE NÃO PREENCIDO / CLIENTE NÃO CONFIGURADO NO OBT"/>
    <x v="2"/>
    <s v="OPERAÇÕES / SUPORTE KCS"/>
    <s v="COLUNA I"/>
  </r>
  <r>
    <n v="3331011"/>
    <s v="TMS"/>
    <x v="805"/>
    <n v="196122"/>
    <n v="196122"/>
    <s v="Preenchendo XML Hotel-&gt; Preenchendo XML-&gt; Montando accounting hotel-&gt;Solicitação de hotel referente a esta cotação não foi encontrada (Id Cotação: 1)"/>
    <d v="2025-03-28T15:23:00"/>
    <d v="2025-04-09T13:26:00"/>
    <s v="OUTROS"/>
    <s v="COTAÇÃO"/>
    <s v="INDEFINIDO"/>
    <x v="2"/>
    <s v="SUPORTE OBT"/>
    <s v="COLUNA I"/>
  </r>
  <r>
    <n v="3331552"/>
    <s v="TMS"/>
    <x v="806"/>
    <n v="56590"/>
    <n v="56590"/>
    <s v="Preenchendo XML Serviço-&gt; Preenchendo XML-&gt; Montando accounting aereo 2-&gt;Não foi informado o Localizador do Assento/Bagagem!"/>
    <d v="2025-03-28T16:28:00"/>
    <d v="2025-03-31T23:10:00"/>
    <s v="OUTROS"/>
    <s v="ASSENTO / BAGAGEM"/>
    <s v="CAMPO OBSERVAÇÃO PREENCHIDO INCORRETAMENTE"/>
    <x v="1"/>
    <s v="OPERAÇÕES / SUPORTE KCS"/>
    <n v="118"/>
  </r>
  <r>
    <n v="3331553"/>
    <s v="TMS"/>
    <x v="807"/>
    <n v="56441"/>
    <n v="56441"/>
    <s v="Preenchendo XML Serviço-&gt; Preenchendo XML-&gt; Montando accounting aereo 2-&gt;Não foi informado o Localizador do Assento/Bagagem!"/>
    <d v="2025-03-28T16:29:00"/>
    <d v="2025-03-31T23:10:00"/>
    <s v="OUTROS"/>
    <s v="ASSENTO / BAGAGEM"/>
    <s v="CAMPO OBSERVAÇÃO PREENCHIDO INCORRETAMENTE"/>
    <x v="1"/>
    <s v="OPERAÇÕES / SUPORTE KCS"/>
    <n v="118"/>
  </r>
  <r>
    <n v="3332247"/>
    <s v="SABRE"/>
    <x v="808"/>
    <s v="JZOFNV"/>
    <s v="JZOFNV"/>
    <s v="Não localizado cliente código [0000063625].&lt;-ObterCliente&lt;-MontarPnrBase&lt;-ProcessarAereo&lt;-ProcessarItemFila[b]"/>
    <d v="2025-03-28T20:35:00"/>
    <m/>
    <s v="CLIENTE"/>
    <s v="CÓD. CLIENTE DIVERGENTE"/>
    <s v="CÓDIGO DIFERENTE DO CADASTRADO NO BENNER (CLIENTE X GRUPO)"/>
    <x v="1"/>
    <s v="SUPORTE OBT"/>
    <n v="1"/>
  </r>
  <r>
    <n v="3332251"/>
    <s v="SABRE"/>
    <x v="809"/>
    <s v="AQACMG"/>
    <s v="AQACMG"/>
    <s v="Código de cliente não identificado&lt;-ObterCliente&lt;-MontarPnrBase&lt;-ProcessarAereo&lt;-ProcessarItemFila[b]"/>
    <d v="2025-03-28T20:36:00"/>
    <d v="2025-03-31T12:03:00"/>
    <s v="CLIENTE"/>
    <s v="CLIENTE NÃO IDENTIFICADO"/>
    <s v="DK DE CLIENTE NÃO PREENCIDO / CLIENTE NÃO CONFIGURADO NO OBT"/>
    <x v="2"/>
    <s v="OPERAÇÕES / SUPORTE KCS"/>
    <s v="COLUNA I"/>
  </r>
  <r>
    <n v="3332254"/>
    <s v="SABRE"/>
    <x v="810"/>
    <s v="HZHPBD"/>
    <s v="HZHPBD"/>
    <s v="Código de cliente não identificado&lt;-ObterCliente&lt;-MontarPnrBase&lt;-ProcessarAereo&lt;-ProcessarItemFila[b]"/>
    <d v="2025-03-28T20:36:00"/>
    <d v="2025-03-31T13:03:00"/>
    <s v="CLIENTE"/>
    <s v="CLIENTE NÃO IDENTIFICADO"/>
    <s v="DK DE CLIENTE NÃO PREENCIDO / CLIENTE NÃO CONFIGURADO NO OBT"/>
    <x v="2"/>
    <s v="OPERAÇÕES / SUPORTE KCS"/>
    <s v="COLUNA I"/>
  </r>
  <r>
    <n v="3332269"/>
    <s v="SABRE"/>
    <x v="811"/>
    <s v="JMKASA"/>
    <s v="JMKASA"/>
    <s v="Não localizado cliente código [0000068873].&lt;-ObterCliente&lt;-MontarPnrBase&lt;-ProcessarAereo&lt;-ProcessarItemFila[b]"/>
    <d v="2025-03-28T20:39:00"/>
    <d v="2025-03-31T16:37:00"/>
    <s v="CLIENTE"/>
    <s v="CÓD. CLIENTE DIVERGENTE"/>
    <s v="CÓDIGO DIFERENTE DO CADASTRADO NO BENNER (CLIENTE X GRUPO)"/>
    <x v="1"/>
    <s v="SUPORTE OBT"/>
    <n v="1"/>
  </r>
  <r>
    <n v="3332270"/>
    <s v="SABRE"/>
    <x v="808"/>
    <s v="UCQZWT"/>
    <s v="UCQZWT"/>
    <s v="Não localizado cliente código [0000071989].&lt;-ObterCliente&lt;-MontarPnrBase&lt;-ProcessarAereo&lt;-ProcessarItemFila[b]"/>
    <d v="2025-03-28T20:39:00"/>
    <m/>
    <s v="CLIENTE"/>
    <s v="CÓD. CLIENTE DIVERGENTE"/>
    <s v="CÓDIGO DIFERENTE DO CADASTRADO NO BENNER (CLIENTE X GRUPO)"/>
    <x v="1"/>
    <s v="SUPORTE OBT"/>
    <n v="1"/>
  </r>
  <r>
    <n v="3332957"/>
    <s v="TMS"/>
    <x v="812"/>
    <n v="15980"/>
    <n v="15980"/>
    <s v="Preenchendo XML Serviço-&gt; Preenchendo XML-&gt; Montando accounting aereo 2-&gt;Não foi informado o Localizador do Assento/Bagagem!"/>
    <d v="2025-03-28T22:45:00"/>
    <d v="2025-03-31T23:30:00"/>
    <s v="OUTROS"/>
    <s v="ASSENTO / BAGAGEM"/>
    <s v="CAMPO OBSERVAÇÃO PREENCHIDO INCORRETAMENTE"/>
    <x v="1"/>
    <s v="OPERAÇÕES / SUPORTE KCS"/>
    <n v="118"/>
  </r>
  <r>
    <n v="3333590"/>
    <s v="TMS"/>
    <x v="813"/>
    <n v="5784"/>
    <n v="5784"/>
    <s v="Preenchendo XML Serviço-&gt; Preenchendo XML-&gt; Montando accounting aereo 2-&gt;Não foi informado o Localizador do Assento/Bagagem!"/>
    <d v="2025-03-31T10:35:00"/>
    <d v="2025-04-03T23:44:00"/>
    <s v="OUTROS"/>
    <s v="ASSENTO / BAGAGEM"/>
    <s v="CAMPO OBSERVAÇÃO PREENCHIDO INCORRETAMENTE"/>
    <x v="1"/>
    <s v="OPERAÇÕES / SUPORTE KCS"/>
    <n v="118"/>
  </r>
  <r>
    <n v="3333591"/>
    <s v="TMS"/>
    <x v="814"/>
    <n v="5783"/>
    <n v="5783"/>
    <s v="Preenchendo XML Serviço-&gt; Preenchendo XML-&gt; Montando accounting aereo 2-&gt;Não foi informado o Localizador do Assento/Bagagem!"/>
    <d v="2025-03-31T10:35:00"/>
    <d v="2025-04-03T23:44:00"/>
    <s v="OUTROS"/>
    <s v="ASSENTO / BAGAGEM"/>
    <s v="CAMPO OBSERVAÇÃO PREENCHIDO INCORRETAMENTE"/>
    <x v="1"/>
    <s v="OPERAÇÕES / SUPORTE KCS"/>
    <n v="118"/>
  </r>
  <r>
    <n v="3333593"/>
    <s v="TMS"/>
    <x v="815"/>
    <n v="5782"/>
    <n v="5782"/>
    <s v="Preenchendo XML Serviço-&gt; Preenchendo XML-&gt; Montando accounting aereo 2-&gt;Não foi informado o Localizador do Assento/Bagagem!"/>
    <d v="2025-03-31T10:36:00"/>
    <d v="2025-04-03T23:44:00"/>
    <s v="OUTROS"/>
    <s v="ASSENTO / BAGAGEM"/>
    <s v="CAMPO OBSERVAÇÃO PREENCHIDO INCORRETAMENTE"/>
    <x v="1"/>
    <s v="OPERAÇÕES / SUPORTE KCS"/>
    <n v="118"/>
  </r>
  <r>
    <n v="3333594"/>
    <s v="TMS"/>
    <x v="816"/>
    <n v="5781"/>
    <n v="5781"/>
    <s v="Preenchendo XML Serviço-&gt; Preenchendo XML-&gt; Montando accounting aereo 2-&gt;Não foi informado o Localizador do Assento/Bagagem!"/>
    <d v="2025-03-31T10:36:00"/>
    <d v="2025-04-03T23:45:00"/>
    <s v="OUTROS"/>
    <s v="ASSENTO / BAGAGEM"/>
    <s v="CAMPO OBSERVAÇÃO PREENCHIDO INCORRETAMENTE"/>
    <x v="1"/>
    <s v="OPERAÇÕES / SUPORTE KCS"/>
    <n v="118"/>
  </r>
  <r>
    <n v="3333717"/>
    <s v="SABRE"/>
    <x v="817"/>
    <s v="JINSRK"/>
    <s v="JINSRK"/>
    <s v="ERRO: Cancelamento de Venda: Não há PNR no sistema para cancelar, venda não inserida!"/>
    <d v="2025-03-31T11:31:00"/>
    <m/>
    <s v="CANCELAMENTO"/>
    <s v="VENDA CANCELADA"/>
    <s v="RESERVA CANCELADA NO OBT"/>
    <x v="0"/>
    <s v="SUPORTE OBT"/>
    <s v="COLUNA I"/>
  </r>
  <r>
    <n v="3333730"/>
    <s v="SABRE"/>
    <x v="817"/>
    <s v="OJUPMP"/>
    <s v="OJUPMP"/>
    <s v="Código de cliente não identificado&lt;-ObterCliente&lt;-MontarPnrBase&lt;-ProcessarAereo&lt;-ProcessarItemFila[b]"/>
    <d v="2025-03-31T11:35:00"/>
    <m/>
    <s v="CLIENTE"/>
    <s v="CLIENTE NÃO IDENTIFICADO"/>
    <s v="DK DE CLIENTE NÃO PREENCIDO / CLIENTE NÃO CONFIGURADO NO OBT"/>
    <x v="2"/>
    <s v="OPERAÇÕES / SUPORTE KCS"/>
    <s v="COLUNA I"/>
  </r>
  <r>
    <n v="3333733"/>
    <s v="SABRE"/>
    <x v="818"/>
    <s v="AMVNEJT"/>
    <s v="AMVNEJ"/>
    <s v="ConverterPagamentosRemark-&gt;Input string was not in a correct format.&lt;-MontarAccountinsHotel&lt;-ProcessarHotel&lt;-ProcessarItemFila[b]"/>
    <d v="2025-03-31T11:35:00"/>
    <m/>
    <s v="FORMA PAGTO/RECTO"/>
    <s v="FORMATO DE TEXTO"/>
    <s v="TEXTO FORA DO PADRÃO ACEITO NO CAMPO"/>
    <x v="2"/>
    <s v="SUPORTE OBT"/>
    <s v="COLUNA I"/>
  </r>
  <r>
    <n v="3333753"/>
    <s v="SABRE"/>
    <x v="818"/>
    <s v="FGKRIC"/>
    <s v="FGKRIC"/>
    <s v="ERRO: Cancelamento de Venda: Não há PNR no sistema para cancelar, venda não inserida!"/>
    <d v="2025-03-31T11:46:00"/>
    <m/>
    <s v="CANCELAMENTO"/>
    <s v="VENDA CANCELADA"/>
    <s v="RESERVA CANCELADA NO OBT"/>
    <x v="0"/>
    <s v="SUPORTE OBT"/>
    <s v="COLUNA I"/>
  </r>
  <r>
    <n v="3334035"/>
    <s v="SABRE"/>
    <x v="819"/>
    <s v="HBZZWF"/>
    <s v="HBZZWF"/>
    <s v="Não localizado cliente código [1234567890].&lt;-ObterCliente&lt;-MontarPnrBase&lt;-ProcessarAereo&lt;-ProcessarItemFila[b]"/>
    <d v="2025-03-31T14:47:00"/>
    <m/>
    <s v="CLIENTE"/>
    <s v="CÓD. CLIENTE DIVERGENTE"/>
    <s v="CÓDIGO DIFERENTE DO CADASTRADO NO BENNER (CLIENTE X GRUPO)"/>
    <x v="1"/>
    <s v="SUPORTE OBT"/>
    <n v="1"/>
  </r>
  <r>
    <n v="3334036"/>
    <s v="SABRE"/>
    <x v="819"/>
    <s v="QSGKYN"/>
    <s v="QSGKYN"/>
    <s v="Não localizado cliente código [1234567890].&lt;-ObterCliente&lt;-MontarPnrBase&lt;-ProcessarAereo&lt;-ProcessarItemFila[b]"/>
    <d v="2025-03-31T14:48:00"/>
    <m/>
    <s v="CLIENTE"/>
    <s v="CÓD. CLIENTE DIVERGENTE"/>
    <s v="CÓDIGO DIFERENTE DO CADASTRADO NO BENNER (CLIENTE X GRUPO)"/>
    <x v="1"/>
    <s v="SUPORTE OBT"/>
    <n v="1"/>
  </r>
  <r>
    <n v="3334037"/>
    <s v="SABRE"/>
    <x v="819"/>
    <s v="SOFLQH"/>
    <s v="SOFLQH"/>
    <s v="Código de cliente não identificado&lt;-ObterCliente&lt;-MontarPnrBase&lt;-ProcessarAereo&lt;-ProcessarItemFila[b]"/>
    <d v="2025-03-31T14:48:00"/>
    <m/>
    <s v="CLIENTE"/>
    <s v="CLIENTE NÃO IDENTIFICADO"/>
    <s v="DK DE CLIENTE NÃO PREENCIDO / CLIENTE NÃO CONFIGURADO NO OBT"/>
    <x v="2"/>
    <s v="OPERAÇÕES / SUPORTE KCS"/>
    <s v="COLUNA I"/>
  </r>
  <r>
    <n v="3334041"/>
    <s v="SABRE"/>
    <x v="819"/>
    <s v="OJNZYT"/>
    <s v="OJNZYT"/>
    <s v="Não localizado cliente código [1234567890].&lt;-ObterCliente&lt;-MontarPnrBase&lt;-ProcessarAereo&lt;-ProcessarItemFila[b]"/>
    <d v="2025-03-31T14:49:00"/>
    <m/>
    <s v="CLIENTE"/>
    <s v="CÓD. CLIENTE DIVERGENTE"/>
    <s v="CÓDIGO DIFERENTE DO CADASTRADO NO BENNER (CLIENTE X GRUPO)"/>
    <x v="1"/>
    <s v="SUPORTE OBT"/>
    <n v="1"/>
  </r>
  <r>
    <n v="3334043"/>
    <s v="SABRE"/>
    <x v="819"/>
    <s v="SPTUTV"/>
    <s v="SPTUTV"/>
    <s v="Não localizado cliente código [1234567890].&lt;-ObterCliente&lt;-MontarPnrBase&lt;-ProcessarAereo&lt;-ProcessarItemFila[b]"/>
    <d v="2025-03-31T14:49:00"/>
    <m/>
    <s v="CLIENTE"/>
    <s v="CÓD. CLIENTE DIVERGENTE"/>
    <s v="CÓDIGO DIFERENTE DO CADASTRADO NO BENNER (CLIENTE X GRUPO)"/>
    <x v="1"/>
    <s v="SUPORTE OBT"/>
    <n v="1"/>
  </r>
  <r>
    <n v="3335167"/>
    <s v="TMS"/>
    <x v="820"/>
    <n v="57257"/>
    <n v="57257"/>
    <s v="Preenchendo XML Serviço-&gt; Preenchendo XML-&gt; Montando accounting aereo 3-&gt;Reserva LOC-DA não encontrada para importar assento/bagagem!"/>
    <d v="2025-03-31T18:06:00"/>
    <d v="2025-04-03T23:59:00"/>
    <s v="OUTROS"/>
    <s v="ASSENTO / BAGAGEM"/>
    <s v="CAMPO OBSERVAÇÃO PREENCHIDO INCORRETAMENTE"/>
    <x v="1"/>
    <s v="OPERAÇÕES / SUPORTE KCS"/>
    <n v="127"/>
  </r>
  <r>
    <n v="3335199"/>
    <s v="TMS"/>
    <x v="821"/>
    <n v="55415"/>
    <n v="55415"/>
    <s v="Preenchendo XML Serviço-&gt; Preenchendo XML-&gt; Montando accounting aereo 2-&gt;Não foi informado o Localizador do Assento/Bagagem!"/>
    <d v="2025-03-31T18:10:00"/>
    <d v="2025-04-03T23:59:00"/>
    <s v="OUTROS"/>
    <s v="ASSENTO / BAGAGEM"/>
    <s v="CAMPO OBSERVAÇÃO PREENCHIDO INCORRETAMENTE"/>
    <x v="1"/>
    <s v="OPERAÇÕES / SUPORTE KCS"/>
    <n v="118"/>
  </r>
  <r>
    <n v="3335200"/>
    <s v="TMS"/>
    <x v="822"/>
    <n v="55414"/>
    <n v="55414"/>
    <s v="Preenchendo XML Serviço-&gt; Preenchendo XML-&gt; Montando accounting aereo 3-&gt;Reserva CONFIR não encontrada para importar assento/bagagem!"/>
    <d v="2025-03-31T18:11:00"/>
    <d v="2025-04-03T23:59:00"/>
    <s v="OUTROS"/>
    <s v="ASSENTO / BAGAGEM"/>
    <s v="CAMPO OBSERVAÇÃO PREENCHIDO INCORRETAMENTE"/>
    <x v="1"/>
    <s v="OPERAÇÕES / SUPORTE KCS"/>
    <n v="127"/>
  </r>
  <r>
    <n v="3335266"/>
    <s v="SABRE"/>
    <x v="823"/>
    <s v="NPEMMT"/>
    <s v="NPEMMT"/>
    <s v="Não localizado cliente código [0000063625].&lt;-ObterCliente&lt;-MontarPnrBase&lt;-ProcessarAereo&lt;-ProcessarItemFila[b]"/>
    <d v="2025-03-31T18:19:00"/>
    <m/>
    <s v="CLIENTE"/>
    <s v="CÓD. CLIENTE DIVERGENTE"/>
    <s v="CÓDIGO DIFERENTE DO CADASTRADO NO BENNER (CLIENTE X GRUPO)"/>
    <x v="1"/>
    <s v="SUPORTE OBT"/>
    <n v="1"/>
  </r>
  <r>
    <n v="3335698"/>
    <s v="SABRE"/>
    <x v="824"/>
    <s v="LEKKYR"/>
    <s v="LEKKYR"/>
    <s v="Não localizado cliente código [0000071989].&lt;-ObterCliente&lt;-MontarPnrBase&lt;-ProcessarAereo&lt;-ProcessarItemFila[b]"/>
    <d v="2025-03-31T20:33:00"/>
    <m/>
    <s v="CLIENTE"/>
    <s v="CÓD. CLIENTE DIVERGENTE"/>
    <s v="CÓDIGO DIFERENTE DO CADASTRADO NO BENNER (CLIENTE X GRUPO)"/>
    <x v="1"/>
    <s v="SUPORTE OBT"/>
    <n v="1"/>
  </r>
  <r>
    <n v="3336867"/>
    <s v="SABRE"/>
    <x v="825"/>
    <s v="ASWIRC"/>
    <s v="ASWIRC"/>
    <s v="Não localizado cliente código [0000050269].&lt;-ObterCliente&lt;-MontarPnrBase&lt;-ProcessarAereo&lt;-ProcessarItemFila[b]"/>
    <d v="2025-04-01T12:17:00"/>
    <m/>
    <s v="CLIENTE"/>
    <s v="CÓD. CLIENTE DIVERGENTE"/>
    <s v="CÓDIGO DIFERENTE DO CADASTRADO NO BENNER (CLIENTE X GRUPO)"/>
    <x v="1"/>
    <s v="SUPORTE OBT"/>
    <n v="1"/>
  </r>
  <r>
    <n v="3336868"/>
    <s v="SABRE"/>
    <x v="825"/>
    <s v="ASWIRCT"/>
    <s v="ASWIRC"/>
    <s v="Não localizado cliente código [0000050269].&lt;-ObterCliente&lt;-MontarPnrBase&lt;-MontarPnr&lt;-ProcessarHotel&lt;-ProcessarItemFila[b]"/>
    <d v="2025-04-01T12:17:00"/>
    <m/>
    <s v="CLIENTE"/>
    <s v="CÓD. CLIENTE DIVERGENTE"/>
    <s v="CÓDIGO DIFERENTE DO CADASTRADO NO BENNER (CLIENTE X GRUPO)"/>
    <x v="1"/>
    <s v="SUPORTE OBT"/>
    <n v="1"/>
  </r>
  <r>
    <n v="3336869"/>
    <s v="SABRE"/>
    <x v="825"/>
    <s v="ASWIRCC"/>
    <s v="ASWIRC"/>
    <s v="Não localizado cliente código [0000050269].&lt;-ObterCliente&lt;-MontarPnrBase&lt;-MontarPnr&lt;-ProcessarCarro&lt;-ProcessarItemFila[b]"/>
    <d v="2025-04-01T12:17:00"/>
    <m/>
    <s v="CLIENTE"/>
    <s v="CÓD. CLIENTE DIVERGENTE"/>
    <s v="CÓDIGO DIFERENTE DO CADASTRADO NO BENNER (CLIENTE X GRUPO)"/>
    <x v="1"/>
    <s v="SUPORTE OBT"/>
    <n v="1"/>
  </r>
  <r>
    <n v="3336919"/>
    <s v="SABRE"/>
    <x v="826"/>
    <s v="UXCOZC"/>
    <s v="UXCOZC"/>
    <s v="Código de cliente não identificado&lt;-ObterCliente&lt;-MontarPnrBase&lt;-ProcessarAereo&lt;-ProcessarItemFila[b]"/>
    <d v="2025-04-01T13:01:00"/>
    <d v="2025-04-02T17:46:00"/>
    <s v="CLIENTE"/>
    <s v="CLIENTE NÃO IDENTIFICADO"/>
    <s v="DK DE CLIENTE NÃO PREENCIDO / CLIENTE NÃO CONFIGURADO NO OBT"/>
    <x v="2"/>
    <s v="OPERAÇÕES / SUPORTE KCS"/>
    <s v="COLUNA I"/>
  </r>
  <r>
    <n v="3336921"/>
    <s v="SABRE"/>
    <x v="826"/>
    <s v="GCKJYR"/>
    <s v="GCKJYR"/>
    <s v="Código de cliente não identificado&lt;-ObterCliente&lt;-MontarPnrBase&lt;-ProcessarAereo&lt;-ProcessarItemFila[b]"/>
    <d v="2025-04-01T13:01:00"/>
    <d v="2025-04-02T17:46:00"/>
    <s v="CLIENTE"/>
    <s v="CLIENTE NÃO IDENTIFICADO"/>
    <s v="DK DE CLIENTE NÃO PREENCIDO / CLIENTE NÃO CONFIGURADO NO OBT"/>
    <x v="2"/>
    <s v="OPERAÇÕES / SUPORTE KCS"/>
    <s v="COLUNA I"/>
  </r>
  <r>
    <n v="3337079"/>
    <s v="SABRE"/>
    <x v="827"/>
    <s v="UYQRIS"/>
    <s v="UYQRIS"/>
    <s v="Código de cliente não identificado&lt;-ObterCliente&lt;-MontarPnrBase&lt;-ProcessarAereo&lt;-ProcessarItemFila[b]"/>
    <d v="2025-04-01T14:49:00"/>
    <d v="2025-04-01T18:03:00"/>
    <s v="CLIENTE"/>
    <s v="CLIENTE NÃO IDENTIFICADO"/>
    <s v="DK DE CLIENTE NÃO PREENCIDO / CLIENTE NÃO CONFIGURADO NO OBT"/>
    <x v="2"/>
    <s v="OPERAÇÕES / SUPORTE KCS"/>
    <s v="COLUNA I"/>
  </r>
  <r>
    <n v="3337093"/>
    <s v="SABRE"/>
    <x v="828"/>
    <s v="GXDMEE"/>
    <s v="GXDMEE"/>
    <s v="Código de cliente não identificado&lt;-ObterCliente&lt;-MontarPnrBase&lt;-ProcessarAereo&lt;-ProcessarItemFila[b]"/>
    <d v="2025-04-01T14:50:00"/>
    <m/>
    <s v="CLIENTE"/>
    <s v="CLIENTE NÃO IDENTIFICADO"/>
    <s v="DK DE CLIENTE NÃO PREENCIDO / CLIENTE NÃO CONFIGURADO NO OBT"/>
    <x v="2"/>
    <s v="OPERAÇÕES / SUPORTE KCS"/>
    <s v="COLUNA I"/>
  </r>
  <r>
    <n v="3337543"/>
    <s v="SABRE"/>
    <x v="829"/>
    <s v="GSVJEG"/>
    <s v="GSVJEG"/>
    <s v="Não localizado cliente código [0000068777].&lt;-ObterCliente&lt;-MontarPnrBase&lt;-ProcessarAereo&lt;-ProcessarItemFila[b]"/>
    <d v="2025-04-01T17:25:00"/>
    <m/>
    <s v="CLIENTE"/>
    <s v="CÓD. CLIENTE DIVERGENTE"/>
    <s v="CÓDIGO DIFERENTE DO CADASTRADO NO BENNER (CLIENTE X GRUPO)"/>
    <x v="1"/>
    <s v="SUPORTE OBT"/>
    <n v="1"/>
  </r>
  <r>
    <n v="3337544"/>
    <s v="SABRE"/>
    <x v="829"/>
    <s v="GSVJEGT"/>
    <s v="GSVJEG"/>
    <s v="Não localizado cliente código [0000068777].&lt;-ObterCliente&lt;-MontarPnrBase&lt;-MontarPnr&lt;-ProcessarHotel&lt;-ProcessarItemFila[b]"/>
    <d v="2025-04-01T17:25:00"/>
    <m/>
    <s v="CLIENTE"/>
    <s v="CÓD. CLIENTE DIVERGENTE"/>
    <s v="CÓDIGO DIFERENTE DO CADASTRADO NO BENNER (CLIENTE X GRUPO)"/>
    <x v="1"/>
    <s v="SUPORTE OBT"/>
    <n v="1"/>
  </r>
  <r>
    <n v="3337785"/>
    <s v="GOVER"/>
    <x v="830"/>
    <n v="4514729"/>
    <n v="4514729"/>
    <s v="PreencherPnr-&gt;Foi identificado um localizador sem código."/>
    <d v="2025-04-01T18:09:00"/>
    <d v="2025-04-09T14:47:00"/>
    <s v="OUTROS"/>
    <s v="RLOC NÃO INFORMADO"/>
    <s v="RLOC NÃO PREENCHIDO NA RESERVA"/>
    <x v="1"/>
    <s v="SUPORTE OBT"/>
    <s v="COLUNA I"/>
  </r>
  <r>
    <n v="3338341"/>
    <s v="SABRE"/>
    <x v="831"/>
    <s v="ATIKXT"/>
    <s v="ATIKXT"/>
    <s v="Não localizado cliente código [0000583831].&lt;-ObterCliente&lt;-MontarPnrBase&lt;-ProcessarAereo&lt;-ProcessarItemFila[b]"/>
    <d v="2025-04-01T20:17:00"/>
    <m/>
    <s v="CLIENTE"/>
    <s v="CÓD. CLIENTE DIVERGENTE"/>
    <s v="CÓDIGO DIFERENTE DO CADASTRADO NO BENNER (CLIENTE X GRUPO)"/>
    <x v="1"/>
    <s v="SUPORTE OBT"/>
    <n v="1"/>
  </r>
  <r>
    <n v="3338351"/>
    <s v="SABRE"/>
    <x v="831"/>
    <s v="GSKUFS"/>
    <s v="GSKUFS"/>
    <s v="Código de cliente não identificado&lt;-ObterCliente&lt;-MontarPnrBase&lt;-ProcessarAereo&lt;-ProcessarItemFila[b]"/>
    <d v="2025-04-01T20:19:00"/>
    <m/>
    <s v="CLIENTE"/>
    <s v="CLIENTE NÃO IDENTIFICADO"/>
    <s v="DK DE CLIENTE NÃO PREENCIDO / CLIENTE NÃO CONFIGURADO NO OBT"/>
    <x v="2"/>
    <s v="OPERAÇÕES / SUPORTE KCS"/>
    <s v="COLUNA I"/>
  </r>
  <r>
    <n v="3338353"/>
    <s v="SABRE"/>
    <x v="832"/>
    <s v="LRQMNK"/>
    <s v="LRQMNK"/>
    <s v="Código de cliente não identificado&lt;-ObterCliente&lt;-MontarPnrBase&lt;-ProcessarAereo&lt;-ProcessarItemFila[b]"/>
    <d v="2025-04-01T20:19:00"/>
    <d v="2025-04-02T16:33:00"/>
    <s v="CLIENTE"/>
    <s v="CLIENTE NÃO IDENTIFICADO"/>
    <s v="DK DE CLIENTE NÃO PREENCIDO / CLIENTE NÃO CONFIGURADO NO OBT"/>
    <x v="2"/>
    <s v="OPERAÇÕES / SUPORTE KCS"/>
    <s v="COLUNA I"/>
  </r>
  <r>
    <n v="3338355"/>
    <s v="SABRE"/>
    <x v="831"/>
    <s v="QPQNDZ"/>
    <s v="QPQNDZ"/>
    <s v="Código de cliente não identificado&lt;-ObterCliente&lt;-MontarPnrBase&lt;-ProcessarAereo&lt;-ProcessarItemFila[b]"/>
    <d v="2025-04-01T20:19:00"/>
    <m/>
    <s v="CLIENTE"/>
    <s v="CLIENTE NÃO IDENTIFICADO"/>
    <s v="DK DE CLIENTE NÃO PREENCIDO / CLIENTE NÃO CONFIGURADO NO OBT"/>
    <x v="2"/>
    <s v="OPERAÇÕES / SUPORTE KCS"/>
    <s v="COLUNA I"/>
  </r>
  <r>
    <n v="3338357"/>
    <s v="SABRE"/>
    <x v="831"/>
    <s v="FQXXSZ"/>
    <s v="FQXXSZ"/>
    <s v="Não localizado cliente código [0000071989].&lt;-ObterCliente&lt;-MontarPnrBase&lt;-ProcessarAereo&lt;-ProcessarItemFila[b]"/>
    <d v="2025-04-01T20:19:00"/>
    <m/>
    <s v="CLIENTE"/>
    <s v="CÓD. CLIENTE DIVERGENTE"/>
    <s v="CÓDIGO DIFERENTE DO CADASTRADO NO BENNER (CLIENTE X GRUPO)"/>
    <x v="1"/>
    <s v="SUPORTE OBT"/>
    <n v="1"/>
  </r>
  <r>
    <n v="3341528"/>
    <s v="SABRE"/>
    <x v="833"/>
    <s v="GNGAIN"/>
    <s v="GNGAIN"/>
    <s v="Não localizado cliente código [0000392619].&lt;-ObterCliente&lt;-MontarPnrBase&lt;-ProcessarAereo&lt;-ProcessarItemFila[b]"/>
    <d v="2025-04-02T14:06:00"/>
    <m/>
    <s v="CLIENTE"/>
    <s v="CÓD. CLIENTE DIVERGENTE"/>
    <s v="CÓDIGO DIFERENTE DO CADASTRADO NO BENNER (CLIENTE X GRUPO)"/>
    <x v="1"/>
    <s v="SUPORTE OBT"/>
    <n v="1"/>
  </r>
  <r>
    <n v="3341542"/>
    <s v="SABRE"/>
    <x v="833"/>
    <s v="MOQDRT"/>
    <s v="MOQDRT"/>
    <s v="Não localizado cliente código [0000392619].&lt;-ObterCliente&lt;-MontarPnrBase&lt;-ProcessarAereo&lt;-ProcessarItemFila[b]"/>
    <d v="2025-04-02T14:08:00"/>
    <m/>
    <s v="CLIENTE"/>
    <s v="CÓD. CLIENTE DIVERGENTE"/>
    <s v="CÓDIGO DIFERENTE DO CADASTRADO NO BENNER (CLIENTE X GRUPO)"/>
    <x v="1"/>
    <s v="SUPORTE OBT"/>
    <n v="1"/>
  </r>
  <r>
    <n v="3341543"/>
    <s v="SABRE"/>
    <x v="833"/>
    <s v="GPXXXX"/>
    <s v="GPXXXX"/>
    <s v="Não localizado cliente código [0000392619].&lt;-ObterCliente&lt;-MontarPnrBase&lt;-ProcessarAereo&lt;-ProcessarItemFila[b]"/>
    <d v="2025-04-02T14:08:00"/>
    <m/>
    <s v="CLIENTE"/>
    <s v="CÓD. CLIENTE DIVERGENTE"/>
    <s v="CÓDIGO DIFERENTE DO CADASTRADO NO BENNER (CLIENTE X GRUPO)"/>
    <x v="1"/>
    <s v="SUPORTE OBT"/>
    <n v="1"/>
  </r>
  <r>
    <n v="3342577"/>
    <s v="TMS"/>
    <x v="834"/>
    <n v="3425"/>
    <n v="3425"/>
    <s v="Preenchendo XML Serviço-&gt; Preenchendo XML-&gt; Montando accounting aereo 3-&gt;Reserva 5F não encontrada para importar assento/bagagem!"/>
    <d v="2025-04-02T18:14:00"/>
    <d v="2025-04-05T18:05:00"/>
    <s v="OUTROS"/>
    <s v="NOVA MENSAGEM"/>
    <s v=""/>
    <x v="1"/>
    <e v="#N/A"/>
    <n v="123"/>
  </r>
  <r>
    <n v="3343061"/>
    <s v="SABRE"/>
    <x v="835"/>
    <s v="ACQDWE"/>
    <s v="ACQDWE"/>
    <s v="Não localizado cliente código [1234567890].&lt;-ObterCliente&lt;-MontarPnrBase&lt;-ProcessarAereo&lt;-ProcessarItemFila[b]"/>
    <d v="2025-04-02T19:48:00"/>
    <m/>
    <s v="CLIENTE"/>
    <s v="CÓD. CLIENTE DIVERGENTE"/>
    <s v="CÓDIGO DIFERENTE DO CADASTRADO NO BENNER (CLIENTE X GRUPO)"/>
    <x v="1"/>
    <s v="SUPORTE OBT"/>
    <n v="1"/>
  </r>
  <r>
    <n v="3343655"/>
    <s v="GOVER"/>
    <x v="836"/>
    <n v="4515692"/>
    <n v="4515692"/>
    <s v="PreencherPnr-&gt;Foi identificado um localizador sem código."/>
    <d v="2025-04-03T09:54:00"/>
    <d v="2025-04-09T14:47:00"/>
    <s v="OUTROS"/>
    <s v="RLOC NÃO INFORMADO"/>
    <s v="RLOC NÃO PREENCHIDO NA RESERVA"/>
    <x v="1"/>
    <s v="SUPORTE OBT"/>
    <s v="COLUNA I"/>
  </r>
  <r>
    <n v="3343656"/>
    <s v="GOVER"/>
    <x v="837"/>
    <n v="4515952"/>
    <n v="4515952"/>
    <s v="PreencherPnr-&gt;Foi identificado um localizador sem código."/>
    <d v="2025-04-03T09:54:00"/>
    <d v="2025-04-09T14:47:00"/>
    <s v="OUTROS"/>
    <s v="RLOC NÃO INFORMADO"/>
    <s v="RLOC NÃO PREENCHIDO NA RESERVA"/>
    <x v="1"/>
    <s v="SUPORTE OBT"/>
    <s v="COLUNA I"/>
  </r>
  <r>
    <n v="3343799"/>
    <s v="GOVER"/>
    <x v="838"/>
    <n v="4517446"/>
    <n v="4517446"/>
    <s v="PreencherPnr-&gt;Foi identificado um localizador sem código."/>
    <d v="2025-04-03T11:17:00"/>
    <d v="2025-04-09T14:47:00"/>
    <s v="OUTROS"/>
    <s v="RLOC NÃO INFORMADO"/>
    <s v="RLOC NÃO PREENCHIDO NA RESERVA"/>
    <x v="1"/>
    <s v="SUPORTE OBT"/>
    <s v="COLUNA I"/>
  </r>
  <r>
    <n v="3343804"/>
    <s v="SABRE"/>
    <x v="839"/>
    <s v="FQCBIA"/>
    <s v="FQCBIA"/>
    <s v="Não localizado cliente código [1234567890].&lt;-ObterCliente&lt;-MontarPnrBase&lt;-ProcessarAereo&lt;-ProcessarItemFila[b]"/>
    <d v="2025-04-03T11:17:00"/>
    <m/>
    <s v="CLIENTE"/>
    <s v="CÓD. CLIENTE DIVERGENTE"/>
    <s v="CÓDIGO DIFERENTE DO CADASTRADO NO BENNER (CLIENTE X GRUPO)"/>
    <x v="1"/>
    <s v="SUPORTE OBT"/>
    <n v="1"/>
  </r>
  <r>
    <n v="3343809"/>
    <s v="SABRE"/>
    <x v="839"/>
    <s v="EQBRDL"/>
    <s v="EQBRDL"/>
    <s v="Não localizado cliente código [0000035945].&lt;-ObterCliente&lt;-MontarPnrBase&lt;-ProcessarAereo&lt;-ProcessarItemFila[b]"/>
    <d v="2025-04-03T11:18:00"/>
    <m/>
    <s v="CLIENTE"/>
    <s v="CÓD. CLIENTE DIVERGENTE"/>
    <s v="CÓDIGO DIFERENTE DO CADASTRADO NO BENNER (CLIENTE X GRUPO)"/>
    <x v="1"/>
    <s v="SUPORTE OBT"/>
    <n v="1"/>
  </r>
  <r>
    <n v="3343810"/>
    <s v="SABRE"/>
    <x v="839"/>
    <s v="JRRGJI"/>
    <s v="JRRGJI"/>
    <s v="Não localizado cliente código [0000035945].&lt;-ObterCliente&lt;-MontarPnrBase&lt;-ProcessarAereo&lt;-ProcessarItemFila[b]"/>
    <d v="2025-04-03T11:18:00"/>
    <m/>
    <s v="CLIENTE"/>
    <s v="CÓD. CLIENTE DIVERGENTE"/>
    <s v="CÓDIGO DIFERENTE DO CADASTRADO NO BENNER (CLIENTE X GRUPO)"/>
    <x v="1"/>
    <s v="SUPORTE OBT"/>
    <n v="1"/>
  </r>
  <r>
    <n v="3343814"/>
    <s v="SABRE"/>
    <x v="840"/>
    <s v="NFZLWQ"/>
    <s v="NFZLWQ"/>
    <s v="Código de cliente não identificado&lt;-ObterCliente&lt;-MontarPnrBase&lt;-ProcessarAereo&lt;-ProcessarItemFila[b]"/>
    <d v="2025-04-03T11:18:00"/>
    <d v="2025-04-04T10:02:00"/>
    <s v="CLIENTE"/>
    <s v="CLIENTE NÃO IDENTIFICADO"/>
    <s v="DK DE CLIENTE NÃO PREENCIDO / CLIENTE NÃO CONFIGURADO NO OBT"/>
    <x v="2"/>
    <s v="OPERAÇÕES / SUPORTE KCS"/>
    <s v="COLUNA I"/>
  </r>
  <r>
    <n v="3343979"/>
    <s v="SABRE"/>
    <x v="841"/>
    <s v="JOCUVI"/>
    <s v="JOCUVI"/>
    <s v="Não localizado cliente código [0000050269].&lt;-ObterCliente&lt;-MontarPnrBase&lt;-ProcessarAereo&lt;-ProcessarItemFila[b]"/>
    <d v="2025-04-03T11:47:00"/>
    <m/>
    <s v="CLIENTE"/>
    <s v="CÓD. CLIENTE DIVERGENTE"/>
    <s v="CÓDIGO DIFERENTE DO CADASTRADO NO BENNER (CLIENTE X GRUPO)"/>
    <x v="1"/>
    <s v="SUPORTE OBT"/>
    <n v="1"/>
  </r>
  <r>
    <n v="3343980"/>
    <s v="SABRE"/>
    <x v="841"/>
    <s v="JOCUVIT"/>
    <s v="JOCUVI"/>
    <s v="Não localizado cliente código [0000050269].&lt;-ObterCliente&lt;-MontarPnrBase&lt;-MontarPnr&lt;-ProcessarHotel&lt;-ProcessarItemFila[b]"/>
    <d v="2025-04-03T11:47:00"/>
    <m/>
    <s v="CLIENTE"/>
    <s v="CÓD. CLIENTE DIVERGENTE"/>
    <s v="CÓDIGO DIFERENTE DO CADASTRADO NO BENNER (CLIENTE X GRUPO)"/>
    <x v="1"/>
    <s v="SUPORTE OBT"/>
    <n v="1"/>
  </r>
  <r>
    <n v="3343981"/>
    <s v="SABRE"/>
    <x v="841"/>
    <s v="JOCUVIC"/>
    <s v="JOCUVI"/>
    <s v="Não localizado cliente código [0000050269].&lt;-ObterCliente&lt;-MontarPnrBase&lt;-MontarPnr&lt;-ProcessarCarro&lt;-ProcessarItemFila[b]"/>
    <d v="2025-04-03T11:47:00"/>
    <m/>
    <s v="CLIENTE"/>
    <s v="CÓD. CLIENTE DIVERGENTE"/>
    <s v="CÓDIGO DIFERENTE DO CADASTRADO NO BENNER (CLIENTE X GRUPO)"/>
    <x v="1"/>
    <s v="SUPORTE OBT"/>
    <n v="1"/>
  </r>
  <r>
    <n v="3344463"/>
    <s v="SABRE"/>
    <x v="842"/>
    <s v="WIBTPD"/>
    <s v="WIBTPD"/>
    <s v="Não localizado cliente código [0000063625].&lt;-ObterCliente&lt;-MontarPnrBase&lt;-ProcessarAereo&lt;-ProcessarItemFila[b]"/>
    <d v="2025-04-03T14:33:00"/>
    <m/>
    <s v="CLIENTE"/>
    <s v="CÓD. CLIENTE DIVERGENTE"/>
    <s v="CÓDIGO DIFERENTE DO CADASTRADO NO BENNER (CLIENTE X GRUPO)"/>
    <x v="1"/>
    <s v="SUPORTE OBT"/>
    <n v="1"/>
  </r>
  <r>
    <n v="3344466"/>
    <s v="SABRE"/>
    <x v="842"/>
    <s v="IHRKFH"/>
    <s v="IHRKFH"/>
    <s v="Não localizado cliente código [1234567890].&lt;-ObterCliente&lt;-MontarPnrBase&lt;-ProcessarAereo&lt;-ProcessarItemFila[b]"/>
    <d v="2025-04-03T14:33:00"/>
    <m/>
    <s v="CLIENTE"/>
    <s v="CÓD. CLIENTE DIVERGENTE"/>
    <s v="CÓDIGO DIFERENTE DO CADASTRADO NO BENNER (CLIENTE X GRUPO)"/>
    <x v="1"/>
    <s v="SUPORTE OBT"/>
    <n v="1"/>
  </r>
  <r>
    <n v="3344690"/>
    <s v="SABRE"/>
    <x v="843"/>
    <s v="FNGNJB"/>
    <s v="FNGNJB"/>
    <s v="Não localizado cliente código [0004223565].&lt;-ObterCliente&lt;-MontarPnrBase&lt;-ProcessarAereo&lt;-ProcessarItemFila[b]"/>
    <d v="2025-04-03T16:22:00"/>
    <m/>
    <s v="CLIENTE"/>
    <s v="CÓD. CLIENTE DIVERGENTE"/>
    <s v="CÓDIGO DIFERENTE DO CADASTRADO NO BENNER (CLIENTE X GRUPO)"/>
    <x v="1"/>
    <s v="SUPORTE OBT"/>
    <n v="1"/>
  </r>
  <r>
    <n v="3345288"/>
    <s v="SABRE"/>
    <x v="844"/>
    <s v="KGWTGR"/>
    <s v="KGWTGR"/>
    <s v="Não localizado cliente código [0000063625].&lt;-ObterCliente&lt;-MontarPnrBase&lt;-ProcessarAereo&lt;-ProcessarItemFila[b]"/>
    <d v="2025-04-03T17:47:00"/>
    <m/>
    <s v="CLIENTE"/>
    <s v="CÓD. CLIENTE DIVERGENTE"/>
    <s v="CÓDIGO DIFERENTE DO CADASTRADO NO BENNER (CLIENTE X GRUPO)"/>
    <x v="1"/>
    <s v="SUPORTE OBT"/>
    <n v="1"/>
  </r>
  <r>
    <n v="3345296"/>
    <s v="SABRE"/>
    <x v="844"/>
    <s v="FOFVSI"/>
    <s v="FOFVSI"/>
    <s v="Não localizado cliente código [0000063625].&lt;-ObterCliente&lt;-MontarPnrBase&lt;-ProcessarAereo&lt;-ProcessarItemFila[b]"/>
    <d v="2025-04-03T17:48:00"/>
    <m/>
    <s v="CLIENTE"/>
    <s v="CÓD. CLIENTE DIVERGENTE"/>
    <s v="CÓDIGO DIFERENTE DO CADASTRADO NO BENNER (CLIENTE X GRUPO)"/>
    <x v="1"/>
    <s v="SUPORTE OBT"/>
    <n v="1"/>
  </r>
  <r>
    <n v="3345696"/>
    <s v="TMS"/>
    <x v="845"/>
    <n v="1637"/>
    <n v="1637"/>
    <s v="Preenchendo XML Serviço-&gt; Preenchendo XML-&gt; Montando accounting aereo 2-&gt;Não foi informado o Localizador do Assento/Bagagem!"/>
    <d v="2025-04-03T18:47:00"/>
    <d v="2025-04-06T18:25:00"/>
    <s v="OUTROS"/>
    <s v="ASSENTO / BAGAGEM"/>
    <s v="CAMPO OBSERVAÇÃO PREENCHIDO INCORRETAMENTE"/>
    <x v="1"/>
    <s v="OPERAÇÕES / SUPORTE KCS"/>
    <n v="118"/>
  </r>
  <r>
    <n v="3345755"/>
    <s v="GOVER"/>
    <x v="846"/>
    <n v="4517490"/>
    <s v="LOFHFV"/>
    <s v="PreencherPnr-&gt;Código do cliente não informado! (SolicitacaoDTO.UnidadeCodigoIntegracao)"/>
    <d v="2025-04-03T18:54:00"/>
    <d v="2025-04-09T14:47:00"/>
    <s v="CLIENTE"/>
    <s v="CLIENTE NÃO IDENTIFICADO"/>
    <s v="DK DE CLIENTE NÃO PREENCIDO / CLIENTE NÃO CONFIGURADO NO OBT"/>
    <x v="2"/>
    <s v="OPERAÇÕES / SUPORTE KCS"/>
    <s v="COLUNA I"/>
  </r>
  <r>
    <n v="3345756"/>
    <s v="GOVER"/>
    <x v="846"/>
    <n v="4517490"/>
    <s v="XHPMKF"/>
    <s v="PreencherPnr-&gt;Código do cliente não informado! (SolicitacaoDTO.UnidadeCodigoIntegracao)"/>
    <d v="2025-04-03T18:54:00"/>
    <d v="2025-04-09T14:47:00"/>
    <s v="CLIENTE"/>
    <s v="CLIENTE NÃO IDENTIFICADO"/>
    <s v="DK DE CLIENTE NÃO PREENCIDO / CLIENTE NÃO CONFIGURADO NO OBT"/>
    <x v="2"/>
    <s v="OPERAÇÕES / SUPORTE KCS"/>
    <s v="COLUNA I"/>
  </r>
  <r>
    <n v="3345817"/>
    <s v="TMS"/>
    <x v="847"/>
    <n v="58004"/>
    <n v="58004"/>
    <s v="Preenchendo XML Serviço-&gt; Preenchendo XML-&gt; Montando accounting aereo 2-&gt;Não foi informado o Localizador do Assento/Bagagem!"/>
    <d v="2025-04-03T19:02:00"/>
    <d v="2025-04-06T18:27:00"/>
    <s v="OUTROS"/>
    <s v="ASSENTO / BAGAGEM"/>
    <s v="CAMPO OBSERVAÇÃO PREENCHIDO INCORRETAMENTE"/>
    <x v="1"/>
    <s v="OPERAÇÕES / SUPORTE KCS"/>
    <n v="118"/>
  </r>
  <r>
    <n v="3346220"/>
    <s v="SABRE"/>
    <x v="848"/>
    <s v="MDHEQV"/>
    <s v="MDHEQV"/>
    <s v="Não localizado cliente código [0000392619].&lt;-ObterCliente&lt;-MontarPnrBase&lt;-ProcessarAereo&lt;-ProcessarItemFila[b]"/>
    <d v="2025-04-03T20:17:00"/>
    <m/>
    <s v="CLIENTE"/>
    <s v="CÓD. CLIENTE DIVERGENTE"/>
    <s v="CÓDIGO DIFERENTE DO CADASTRADO NO BENNER (CLIENTE X GRUPO)"/>
    <x v="1"/>
    <s v="SUPORTE OBT"/>
    <n v="1"/>
  </r>
  <r>
    <n v="3346221"/>
    <s v="SABRE"/>
    <x v="729"/>
    <s v="EZWEFL"/>
    <s v="EZWEFL"/>
    <s v="Não localizado cliente código [0000583831].&lt;-ObterCliente&lt;-MontarPnrBase&lt;-ProcessarAereo&lt;-ProcessarItemFila[b]"/>
    <d v="2025-04-03T20:17:00"/>
    <d v="2025-04-09T13:18:00"/>
    <s v="CLIENTE"/>
    <s v="CÓD. CLIENTE DIVERGENTE"/>
    <s v="CÓDIGO DIFERENTE DO CADASTRADO NO BENNER (CLIENTE X GRUPO)"/>
    <x v="1"/>
    <s v="SUPORTE OBT"/>
    <n v="1"/>
  </r>
  <r>
    <n v="3346222"/>
    <s v="SABRE"/>
    <x v="848"/>
    <s v="GRGJEA"/>
    <s v="GRGJEA"/>
    <s v="Código de cliente não identificado&lt;-ObterCliente&lt;-MontarPnrBase&lt;-ProcessarAereo&lt;-ProcessarItemFila[b]"/>
    <d v="2025-04-03T20:17:00"/>
    <m/>
    <s v="CLIENTE"/>
    <s v="CLIENTE NÃO IDENTIFICADO"/>
    <s v="DK DE CLIENTE NÃO PREENCIDO / CLIENTE NÃO CONFIGURADO NO OBT"/>
    <x v="2"/>
    <s v="OPERAÇÕES / SUPORTE KCS"/>
    <s v="COLUNA I"/>
  </r>
  <r>
    <n v="3346458"/>
    <s v="TMS"/>
    <x v="849"/>
    <n v="58079"/>
    <n v="58079"/>
    <s v="Preenchendo XML Serviço-&gt; Preenchendo XML-&gt; Montando accounting aereo 3-&gt;Reserva CONFIR não encontrada para importar assento/bagagem!"/>
    <d v="2025-04-03T23:54:00"/>
    <d v="2025-04-06T18:27:00"/>
    <s v="OUTROS"/>
    <s v="ASSENTO / BAGAGEM"/>
    <s v="CAMPO OBSERVAÇÃO PREENCHIDO INCORRETAMENTE"/>
    <x v="1"/>
    <s v="OPERAÇÕES / SUPORTE KCS"/>
    <n v="127"/>
  </r>
  <r>
    <n v="3346490"/>
    <s v="TMS"/>
    <x v="850"/>
    <n v="57997"/>
    <n v="57997"/>
    <s v="Preenchendo XML Serviço-&gt; Preenchendo XML-&gt; Montando accounting aereo 2-&gt;Não foi informado o Localizador do Assento/Bagagem!"/>
    <d v="2025-04-03T23:58:00"/>
    <d v="2025-04-06T18:28:00"/>
    <s v="OUTROS"/>
    <s v="ASSENTO / BAGAGEM"/>
    <s v="CAMPO OBSERVAÇÃO PREENCHIDO INCORRETAMENTE"/>
    <x v="1"/>
    <s v="OPERAÇÕES / SUPORTE KCS"/>
    <n v="118"/>
  </r>
  <r>
    <n v="3347680"/>
    <s v="SABRE"/>
    <x v="851"/>
    <s v="YTSNQKT"/>
    <s v="YTSNQK"/>
    <s v="Inserindo PNR - Accountings - TurVendas - Não foi possível localizar o contrato do fornecedor H57225"/>
    <d v="2025-04-04T16:48:00"/>
    <m/>
    <s v="FORNECEDOR"/>
    <s v="CONTRATO FORNECEDOR"/>
    <s v="CONTRATO INATIVO OU DIVERGENTE"/>
    <x v="0"/>
    <s v="OPERAÇÕES / SUPORTE KCS"/>
    <n v="43"/>
  </r>
  <r>
    <n v="3347752"/>
    <s v="GOVER"/>
    <x v="852"/>
    <n v="4514760"/>
    <s v="COTACAO-LOCALIZA"/>
    <s v="PreencherPnr-&gt;Não foi encontrado nenhum item veículo para o localizador COTACAO-LOCALIZA"/>
    <d v="2025-04-04T17:05:00"/>
    <d v="2025-04-09T14:47:00"/>
    <s v="OUTROS"/>
    <s v="TAG - ITEM VEÍCULO"/>
    <s v="TAGS DE DETALHAMENTO DO SERVIÇO NÃO ENVIADO NO XML"/>
    <x v="3"/>
    <s v="SUPORTE OBT"/>
    <n v="46"/>
  </r>
  <r>
    <n v="3348258"/>
    <s v="SABRE"/>
    <x v="853"/>
    <s v="MLBXFL"/>
    <s v="MLBXFL"/>
    <s v="Código de cliente não identificado&lt;-ObterCliente&lt;-MontarPnrBase&lt;-ProcessarAereo&lt;-ProcessarItemFila[b]"/>
    <d v="2025-04-04T18:18:00"/>
    <m/>
    <s v="CLIENTE"/>
    <s v="CLIENTE NÃO IDENTIFICADO"/>
    <s v="DK DE CLIENTE NÃO PREENCIDO / CLIENTE NÃO CONFIGURADO NO OBT"/>
    <x v="2"/>
    <s v="OPERAÇÕES / SUPORTE KCS"/>
    <s v="COLUNA I"/>
  </r>
  <r>
    <n v="3348758"/>
    <s v="TMS"/>
    <x v="854"/>
    <n v="62285"/>
    <n v="62285"/>
    <s v="Preenchendo XML Carro-&gt; Preenchendo XML-&gt; Montando accounting carro-&gt;Fornecedor com o código 68417  informado nos campos gerenciais não encontrado!"/>
    <d v="2025-04-04T19:20:00"/>
    <d v="2025-04-07T19:55:00"/>
    <s v="FORNECEDOR"/>
    <s v="CONTRATO FORNECEDOR"/>
    <s v="CONTRATO INATIVO OU DIVERGENTE"/>
    <x v="0"/>
    <s v="OPERAÇÕES / SUPORTE KCS"/>
    <n v="69"/>
  </r>
  <r>
    <n v="3349551"/>
    <s v="SABRE"/>
    <x v="792"/>
    <s v="KLEUMPT"/>
    <s v="KLEUMP"/>
    <s v="Não localizado cliente código [0000068777].&lt;-ObterCliente&lt;-MontarPnrBase&lt;-MontarPnr&lt;-ProcessarHotel&lt;-ProcessarItemFila[b]"/>
    <d v="2025-04-07T08:21:00"/>
    <m/>
    <s v="CLIENTE"/>
    <s v="CÓD. CLIENTE DIVERGENTE"/>
    <s v="CÓDIGO DIFERENTE DO CADASTRADO NO BENNER (CLIENTE X GRUPO)"/>
    <x v="1"/>
    <s v="SUPORTE OBT"/>
    <n v="1"/>
  </r>
  <r>
    <n v="3350034"/>
    <s v="TMS"/>
    <x v="855"/>
    <n v="61123"/>
    <n v="61123"/>
    <s v="Preenchendo XML Serviço-&gt; Preenchendo XML-&gt; Montando accounting aereo 2-&gt;Não foi informado o Localizador do Assento/Bagagem!"/>
    <d v="2025-04-07T12:40:00"/>
    <d v="2025-04-09T13:23:00"/>
    <s v="OUTROS"/>
    <s v="ASSENTO / BAGAGEM"/>
    <s v="CAMPO OBSERVAÇÃO PREENCHIDO INCORRETAMENTE"/>
    <x v="1"/>
    <s v="OPERAÇÕES / SUPORTE KCS"/>
    <n v="118"/>
  </r>
  <r>
    <n v="3350398"/>
    <s v="SABRE"/>
    <x v="856"/>
    <s v="ITPGHX"/>
    <s v="ITPGHX"/>
    <s v="Não localizado cliente com CNPJ [JTI DISTRIBUIDORA NOVA CONCEICAO].&lt;-ObterCliente&lt;-MontarPnrBase&lt;-ProcessarAereo&lt;-ProcessarItemFila[b]"/>
    <d v="2025-04-07T13:19:00"/>
    <m/>
    <s v="CLIENTE"/>
    <s v="REMARK - CNPJ"/>
    <s v=""/>
    <x v="3"/>
    <s v="OPERAÇÕES / SUPORTE KCS"/>
    <n v="24"/>
  </r>
  <r>
    <n v="3350678"/>
    <s v="SABRE"/>
    <x v="857"/>
    <s v="YLOPCH"/>
    <s v="YLOPCH"/>
    <s v="Não localizado cliente código [0000392619].&lt;-ObterCliente&lt;-MontarPnrBase&lt;-ProcessarAereo&lt;-ProcessarItemFila[b]"/>
    <d v="2025-04-07T15:02:00"/>
    <m/>
    <s v="CLIENTE"/>
    <s v="CÓD. CLIENTE DIVERGENTE"/>
    <s v="CÓDIGO DIFERENTE DO CADASTRADO NO BENNER (CLIENTE X GRUPO)"/>
    <x v="1"/>
    <s v="SUPORTE OBT"/>
    <n v="1"/>
  </r>
  <r>
    <n v="3350988"/>
    <s v="SABRE"/>
    <x v="858"/>
    <s v="NAHEMZT"/>
    <s v="NAHEMZ"/>
    <s v="ConverterPagamentosRemark-&gt;Input string was not in a correct format.&lt;-MontarAccountinsHotel&lt;-ProcessarHotel&lt;-ProcessarItemFila[b]"/>
    <d v="2025-04-07T17:17:00"/>
    <m/>
    <s v="FORMA PAGTO/RECTO"/>
    <s v="FORMATO DE TEXTO"/>
    <s v="TEXTO FORA DO PADRÃO ACEITO NO CAMPO"/>
    <x v="2"/>
    <s v="SUPORTE OBT"/>
    <s v="COLUNA I"/>
  </r>
  <r>
    <n v="3351209"/>
    <s v="TMS"/>
    <x v="859"/>
    <n v="61228"/>
    <n v="61228"/>
    <s v="Preenchendo XML Serviço-&gt; Preenchendo XML-&gt; Montando accounting aereo 3-&gt;Reserva KXMSTR não encontrada para importar assento/bagagem!"/>
    <d v="2025-04-07T18:43:00"/>
    <d v="2025-04-09T13:23:00"/>
    <s v="OUTROS"/>
    <s v="ASSENTO / BAGAGEM"/>
    <s v="CAMPO OBSERVAÇÃO PREENCHIDO INCORRETAMENTE"/>
    <x v="1"/>
    <s v="OPERAÇÕES / SUPORTE KCS"/>
    <n v="127"/>
  </r>
  <r>
    <n v="3351230"/>
    <s v="TMS"/>
    <x v="860"/>
    <n v="61151"/>
    <n v="61151"/>
    <s v="Preenchendo XML Serviço-&gt; Preenchendo XML-&gt; Montando accounting aereo 2-&gt;Não foi informado o Localizador do Assento/Bagagem!"/>
    <d v="2025-04-07T18:44:00"/>
    <d v="2025-04-09T13:23:00"/>
    <s v="OUTROS"/>
    <s v="ASSENTO / BAGAGEM"/>
    <s v="CAMPO OBSERVAÇÃO PREENCHIDO INCORRETAMENTE"/>
    <x v="1"/>
    <s v="OPERAÇÕES / SUPORTE KCS"/>
    <n v="118"/>
  </r>
  <r>
    <n v="3351242"/>
    <s v="TMS"/>
    <x v="861"/>
    <n v="61143"/>
    <n v="61143"/>
    <s v="Preenchendo XML Serviço-&gt; Preenchendo XML-&gt; Montando accounting aereo 3-&gt;Reserva LA9574 não encontrada para importar assento/bagagem!"/>
    <d v="2025-04-07T18:45:00"/>
    <d v="2025-04-09T13:23:00"/>
    <s v="OUTROS"/>
    <s v="ASSENTO / BAGAGEM"/>
    <s v="CAMPO OBSERVAÇÃO PREENCHIDO INCORRETAMENTE"/>
    <x v="1"/>
    <s v="OPERAÇÕES / SUPORTE KCS"/>
    <n v="127"/>
  </r>
  <r>
    <n v="3351245"/>
    <s v="TMS"/>
    <x v="862"/>
    <n v="61140"/>
    <n v="61140"/>
    <s v="Preenchendo XML Serviço-&gt; Preenchendo XML-&gt; Montando accounting aereo 3-&gt;Reserva LA9574 não encontrada para importar assento/bagagem!"/>
    <d v="2025-04-07T18:45:00"/>
    <d v="2025-04-09T13:23:00"/>
    <s v="OUTROS"/>
    <s v="ASSENTO / BAGAGEM"/>
    <s v="CAMPO OBSERVAÇÃO PREENCHIDO INCORRETAMENTE"/>
    <x v="1"/>
    <s v="OPERAÇÕES / SUPORTE KCS"/>
    <n v="127"/>
  </r>
  <r>
    <n v="3351313"/>
    <s v="SABRE"/>
    <x v="863"/>
    <s v="CVNKJS"/>
    <s v="CVNKJS"/>
    <s v="Não localizado cliente código [0000035945].&lt;-ObterCliente&lt;-MontarPnrBase&lt;-ProcessarAereo&lt;-ProcessarItemFila[b]"/>
    <d v="2025-04-07T18:49:00"/>
    <m/>
    <s v="CLIENTE"/>
    <s v="CÓD. CLIENTE DIVERGENTE"/>
    <s v="CÓDIGO DIFERENTE DO CADASTRADO NO BENNER (CLIENTE X GRUPO)"/>
    <x v="1"/>
    <s v="SUPORTE OBT"/>
    <n v="1"/>
  </r>
  <r>
    <n v="3351334"/>
    <s v="SABRE"/>
    <x v="863"/>
    <s v="IEDMCV"/>
    <s v="IEDMCV"/>
    <s v="Não localizado cliente código [0000392619].&lt;-ObterCliente&lt;-MontarPnrBase&lt;-ProcessarAereo&lt;-ProcessarItemFila[b]"/>
    <d v="2025-04-07T18:49:00"/>
    <m/>
    <s v="CLIENTE"/>
    <s v="CÓD. CLIENTE DIVERGENTE"/>
    <s v="CÓDIGO DIFERENTE DO CADASTRADO NO BENNER (CLIENTE X GRUPO)"/>
    <x v="1"/>
    <s v="SUPORTE OBT"/>
    <n v="1"/>
  </r>
  <r>
    <n v="3351339"/>
    <s v="SABRE"/>
    <x v="863"/>
    <s v="GTTQOK"/>
    <s v="GTTQOK"/>
    <s v="Código de cliente não identificado&lt;-ObterCliente&lt;-MontarPnrBase&lt;-ProcessarAereo&lt;-ProcessarItemFila[b]"/>
    <d v="2025-04-07T18:50:00"/>
    <m/>
    <s v="CLIENTE"/>
    <s v="CLIENTE NÃO IDENTIFICADO"/>
    <s v="DK DE CLIENTE NÃO PREENCIDO / CLIENTE NÃO CONFIGURADO NO OBT"/>
    <x v="2"/>
    <s v="OPERAÇÕES / SUPORTE KCS"/>
    <s v="COLUNA I"/>
  </r>
  <r>
    <n v="3351342"/>
    <s v="SABRE"/>
    <x v="863"/>
    <s v="GTWZQK"/>
    <s v="GTWZQK"/>
    <s v="Código de cliente não identificado&lt;-ObterCliente&lt;-MontarPnrBase&lt;-ProcessarAereo&lt;-ProcessarItemFila[b]"/>
    <d v="2025-04-07T18:50:00"/>
    <m/>
    <s v="CLIENTE"/>
    <s v="CLIENTE NÃO IDENTIFICADO"/>
    <s v="DK DE CLIENTE NÃO PREENCIDO / CLIENTE NÃO CONFIGURADO NO OBT"/>
    <x v="2"/>
    <s v="OPERAÇÕES / SUPORTE KCS"/>
    <s v="COLUNA I"/>
  </r>
  <r>
    <n v="3351345"/>
    <s v="SABRE"/>
    <x v="863"/>
    <s v="MQTBAK"/>
    <s v="MQTBAK"/>
    <s v="Não localizado cliente com CNPJ [820120000135].&lt;-ObterCliente&lt;-MontarPnrBase&lt;-ProcessarAereo&lt;-ProcessarItemFila[b]"/>
    <d v="2025-04-07T18:50:00"/>
    <m/>
    <s v="CLIENTE"/>
    <s v="REMARK - CNPJ"/>
    <s v=""/>
    <x v="3"/>
    <s v="OPERAÇÕES / SUPORTE KCS"/>
    <n v="24"/>
  </r>
  <r>
    <n v="3351354"/>
    <s v="SABRE"/>
    <x v="863"/>
    <s v="IBDIHT"/>
    <s v="IBDIHT"/>
    <s v="Não localizado cliente código [0000583831].&lt;-ObterCliente&lt;-MontarPnrBase&lt;-ProcessarAereo&lt;-ProcessarItemFila[b]"/>
    <d v="2025-04-07T18:50:00"/>
    <m/>
    <s v="CLIENTE"/>
    <s v="CÓD. CLIENTE DIVERGENTE"/>
    <s v="CÓDIGO DIFERENTE DO CADASTRADO NO BENNER (CLIENTE X GRUPO)"/>
    <x v="1"/>
    <s v="SUPORTE OBT"/>
    <n v="1"/>
  </r>
  <r>
    <n v="3351355"/>
    <s v="TMS"/>
    <x v="864"/>
    <n v="59653"/>
    <n v="59653"/>
    <s v="Preenchendo XML Hotel-&gt; Preenchendo XML-&gt; Montando accounting hotel-&gt;Solicitação de hotel referente a esta cotação não foi encontrada (Id Cotação: 1)"/>
    <d v="2025-04-07T18:50:00"/>
    <d v="2025-04-09T13:25:00"/>
    <s v="OUTROS"/>
    <s v="COTAÇÃO"/>
    <s v="INDEFINIDO"/>
    <x v="2"/>
    <s v="SUPORTE OBT"/>
    <s v="COLUNA I"/>
  </r>
  <r>
    <n v="3351376"/>
    <s v="SABRE"/>
    <x v="863"/>
    <s v="MJVGJS"/>
    <s v="MJVGJS"/>
    <s v="Não localizado cliente código [1234567890].&lt;-ObterCliente&lt;-MontarPnrBase&lt;-ProcessarAereo&lt;-ProcessarItemFila[b]"/>
    <d v="2025-04-07T18:52:00"/>
    <m/>
    <s v="CLIENTE"/>
    <s v="CÓD. CLIENTE DIVERGENTE"/>
    <s v="CÓDIGO DIFERENTE DO CADASTRADO NO BENNER (CLIENTE X GRUPO)"/>
    <x v="1"/>
    <s v="SUPORTE OBT"/>
    <n v="1"/>
  </r>
  <r>
    <n v="3351810"/>
    <s v="TMS"/>
    <x v="865"/>
    <n v="58347"/>
    <n v="58347"/>
    <s v="Preenchendo XML Serviço-&gt; Preenchendo XML-&gt; Montando accounting aereo 2-&gt;Não foi informado o Localizador do Assento/Bagagem!"/>
    <d v="2025-04-07T19:33:00"/>
    <d v="2025-04-09T14:12:00"/>
    <s v="OUTROS"/>
    <s v="ASSENTO / BAGAGEM"/>
    <s v="CAMPO OBSERVAÇÃO PREENCHIDO INCORRETAMENTE"/>
    <x v="1"/>
    <s v="OPERAÇÕES / SUPORTE KCS"/>
    <n v="118"/>
  </r>
  <r>
    <n v="3351811"/>
    <s v="TMS"/>
    <x v="866"/>
    <n v="58346"/>
    <n v="58346"/>
    <s v="Preenchendo XML Serviço-&gt; Preenchendo XML-&gt; Montando accounting aereo 2-&gt;Não foi informado o Localizador do Assento/Bagagem!"/>
    <d v="2025-04-07T19:33:00"/>
    <d v="2025-04-09T14:12:00"/>
    <s v="OUTROS"/>
    <s v="ASSENTO / BAGAGEM"/>
    <s v="CAMPO OBSERVAÇÃO PREENCHIDO INCORRETAMENTE"/>
    <x v="1"/>
    <s v="OPERAÇÕES / SUPORTE KCS"/>
    <n v="118"/>
  </r>
  <r>
    <n v="3351832"/>
    <s v="TMS"/>
    <x v="867"/>
    <n v="58222"/>
    <n v="58222"/>
    <s v="Preenchendo XML Serviço-&gt; Preenchendo XML-&gt; Montando accounting aereo 2-&gt;Não foi informado o Localizador do Assento/Bagagem!"/>
    <d v="2025-04-07T19:36:00"/>
    <d v="2025-04-09T14:13:00"/>
    <s v="OUTROS"/>
    <s v="ASSENTO / BAGAGEM"/>
    <s v="CAMPO OBSERVAÇÃO PREENCHIDO INCORRETAMENTE"/>
    <x v="1"/>
    <s v="OPERAÇÕES / SUPORTE KCS"/>
    <n v="118"/>
  </r>
  <r>
    <n v="3351833"/>
    <s v="TMS"/>
    <x v="868"/>
    <n v="58217"/>
    <n v="58217"/>
    <s v="Preenchendo XML Serviço-&gt; Preenchendo XML-&gt; Montando accounting aereo 2-&gt;Não foi informado o Localizador do Assento/Bagagem!"/>
    <d v="2025-04-07T19:36:00"/>
    <d v="2025-04-09T14:13:00"/>
    <s v="OUTROS"/>
    <s v="ASSENTO / BAGAGEM"/>
    <s v="CAMPO OBSERVAÇÃO PREENCHIDO INCORRETAMENTE"/>
    <x v="1"/>
    <s v="OPERAÇÕES / SUPORTE KCS"/>
    <n v="118"/>
  </r>
  <r>
    <n v="3352055"/>
    <s v="SABRE"/>
    <x v="869"/>
    <s v="LEJTLY"/>
    <s v="LEJTLY"/>
    <s v="Código de cliente não identificado&lt;-ObterCliente&lt;-MontarPnrBase&lt;-ProcessarAereo&lt;-ProcessarItemFila[b]"/>
    <d v="2025-04-07T20:02:00"/>
    <m/>
    <s v="CLIENTE"/>
    <s v="CLIENTE NÃO IDENTIFICADO"/>
    <s v="DK DE CLIENTE NÃO PREENCIDO / CLIENTE NÃO CONFIGURADO NO OBT"/>
    <x v="2"/>
    <s v="OPERAÇÕES / SUPORTE KCS"/>
    <s v="COLUNA I"/>
  </r>
  <r>
    <n v="3352057"/>
    <s v="SABRE"/>
    <x v="869"/>
    <s v="FTGGRB"/>
    <s v="FTGGRB"/>
    <s v="Não localizado cliente código [0000035945].&lt;-ObterCliente&lt;-MontarPnrBase&lt;-ProcessarAereo&lt;-ProcessarItemFila[b]"/>
    <d v="2025-04-07T20:02:00"/>
    <m/>
    <s v="CLIENTE"/>
    <s v="CÓD. CLIENTE DIVERGENTE"/>
    <s v="CÓDIGO DIFERENTE DO CADASTRADO NO BENNER (CLIENTE X GRUPO)"/>
    <x v="1"/>
    <s v="SUPORTE OBT"/>
    <n v="1"/>
  </r>
  <r>
    <n v="3352073"/>
    <s v="SABRE"/>
    <x v="870"/>
    <s v="SAWUEC"/>
    <s v="SAWUEC"/>
    <s v="Não localizado cliente código [0000035945].&lt;-ObterCliente&lt;-MontarPnrBase&lt;-ProcessarAereo&lt;-ProcessarItemFila[b]"/>
    <d v="2025-04-07T20:17:00"/>
    <m/>
    <s v="CLIENTE"/>
    <s v="CÓD. CLIENTE DIVERGENTE"/>
    <s v="CÓDIGO DIFERENTE DO CADASTRADO NO BENNER (CLIENTE X GRUPO)"/>
    <x v="1"/>
    <s v="SUPORTE OBT"/>
    <n v="1"/>
  </r>
  <r>
    <n v="3353698"/>
    <s v="SABRE"/>
    <x v="871"/>
    <s v="AOOTWF"/>
    <s v="AOOTWF"/>
    <s v="Não localizado cliente código [1234567890].&lt;-ObterCliente&lt;-MontarPnrBase&lt;-ProcessarAereo&lt;-ProcessarItemFila[b]"/>
    <d v="2025-04-08T17:21:00"/>
    <m/>
    <s v="CLIENTE"/>
    <s v="CÓD. CLIENTE DIVERGENTE"/>
    <s v="CÓDIGO DIFERENTE DO CADASTRADO NO BENNER (CLIENTE X GRUPO)"/>
    <x v="1"/>
    <s v="SUPORTE OBT"/>
    <n v="1"/>
  </r>
  <r>
    <n v="3353712"/>
    <s v="SABRE"/>
    <x v="872"/>
    <s v="DCWOUU"/>
    <s v="DCWOUU"/>
    <s v="Não localizado cliente código [0000063625].&lt;-ObterCliente&lt;-MontarPnrBase&lt;-ProcessarAereo&lt;-ProcessarItemFila[b]"/>
    <d v="2025-04-08T17:23:00"/>
    <d v="2025-04-09T13:46:00"/>
    <s v="CLIENTE"/>
    <s v="CÓD. CLIENTE DIVERGENTE"/>
    <s v="CÓDIGO DIFERENTE DO CADASTRADO NO BENNER (CLIENTE X GRUPO)"/>
    <x v="1"/>
    <s v="SUPORTE OBT"/>
    <n v="1"/>
  </r>
  <r>
    <n v="3353715"/>
    <s v="SABRE"/>
    <x v="873"/>
    <s v="INHAHZ"/>
    <s v="INHAHZ"/>
    <s v="Não localizado cliente código [0000063625].&lt;-ObterCliente&lt;-MontarPnrBase&lt;-ProcessarAereo&lt;-ProcessarItemFila[b]"/>
    <d v="2025-04-08T17:23:00"/>
    <d v="2025-04-09T12:17:00"/>
    <s v="CLIENTE"/>
    <s v="CÓD. CLIENTE DIVERGENTE"/>
    <s v="CÓDIGO DIFERENTE DO CADASTRADO NO BENNER (CLIENTE X GRUPO)"/>
    <x v="1"/>
    <s v="SUPORTE OBT"/>
    <n v="1"/>
  </r>
  <r>
    <n v="3353887"/>
    <s v="SABRE"/>
    <x v="874"/>
    <s v="HIAMMF"/>
    <s v="HIAMMF"/>
    <s v="Não localizado cliente código [1234567890].&lt;-ObterCliente&lt;-MontarPnrBase&lt;-ProcessarAereo&lt;-ProcessarItemFila[b]"/>
    <d v="2025-04-08T18:18:00"/>
    <m/>
    <s v="CLIENTE"/>
    <s v="CÓD. CLIENTE DIVERGENTE"/>
    <s v="CÓDIGO DIFERENTE DO CADASTRADO NO BENNER (CLIENTE X GRUPO)"/>
    <x v="1"/>
    <s v="SUPORTE OBT"/>
    <n v="1"/>
  </r>
  <r>
    <n v="3353891"/>
    <s v="SABRE"/>
    <x v="875"/>
    <s v="OFHWOR"/>
    <s v="OFHWOR"/>
    <s v="Não localizado cliente código [0000068873].&lt;-ObterCliente&lt;-MontarPnrBase&lt;-ProcessarAereo&lt;-ProcessarItemFila[b]"/>
    <d v="2025-04-08T18:18:00"/>
    <d v="2025-04-09T11:32:00"/>
    <s v="CLIENTE"/>
    <s v="CÓD. CLIENTE DIVERGENTE"/>
    <s v="CÓDIGO DIFERENTE DO CADASTRADO NO BENNER (CLIENTE X GRUPO)"/>
    <x v="1"/>
    <s v="SUPORTE OBT"/>
    <n v="1"/>
  </r>
  <r>
    <n v="3353895"/>
    <s v="SABRE"/>
    <x v="876"/>
    <s v="KKHRCI"/>
    <s v="KKHRCI"/>
    <s v="Código de cliente não identificado&lt;-ObterCliente&lt;-MontarPnrBase&lt;-ProcessarAereo&lt;-ProcessarItemFila[b]"/>
    <d v="2025-04-08T18:22:00"/>
    <d v="2025-04-09T14:17:00"/>
    <s v="CLIENTE"/>
    <s v="CLIENTE NÃO IDENTIFICADO"/>
    <s v="DK DE CLIENTE NÃO PREENCIDO / CLIENTE NÃO CONFIGURADO NO OBT"/>
    <x v="2"/>
    <s v="OPERAÇÕES / SUPORTE KCS"/>
    <s v="COLUNA I"/>
  </r>
  <r>
    <n v="3353904"/>
    <s v="SABRE"/>
    <x v="877"/>
    <s v="IQHEAK"/>
    <s v="IQHEAK"/>
    <s v="Código de cliente não identificado&lt;-ObterCliente&lt;-MontarPnrBase&lt;-ProcessarAereo&lt;-ProcessarItemFila[b]"/>
    <d v="2025-04-08T18:35:00"/>
    <d v="2025-04-09T14:17:00"/>
    <s v="CLIENTE"/>
    <s v="CLIENTE NÃO IDENTIFICADO"/>
    <s v="DK DE CLIENTE NÃO PREENCIDO / CLIENTE NÃO CONFIGURADO NO OBT"/>
    <x v="2"/>
    <s v="OPERAÇÕES / SUPORTE KCS"/>
    <s v="COLUNA I"/>
  </r>
  <r>
    <n v="3354509"/>
    <s v="TMS"/>
    <x v="878"/>
    <n v="101"/>
    <n v="101"/>
    <s v="Preenchendo XML Serviço-&gt; Preenchendo XML-&gt; Montando accounting aereo 2-&gt;Não foi informado o Localizador do Assento/Bagagem!"/>
    <d v="2025-04-08T19:57:00"/>
    <d v="2025-04-09T14:20:00"/>
    <s v="OUTROS"/>
    <s v="ASSENTO / BAGAGEM"/>
    <s v="CAMPO OBSERVAÇÃO PREENCHIDO INCORRETAMENTE"/>
    <x v="1"/>
    <s v="OPERAÇÕES / SUPORTE KCS"/>
    <n v="118"/>
  </r>
  <r>
    <n v="3354575"/>
    <s v="SABRE"/>
    <x v="879"/>
    <s v="YEQEXQ"/>
    <s v="YEQEXQ"/>
    <s v="Não localizado cliente código [0000583831].&lt;-ObterCliente&lt;-MontarPnrBase&lt;-ProcessarAereo&lt;-ProcessarItemFila[b]"/>
    <d v="2025-04-08T20:03:00"/>
    <d v="2025-04-09T13:47:00"/>
    <s v="CLIENTE"/>
    <s v="CÓD. CLIENTE DIVERGENTE"/>
    <s v="CÓDIGO DIFERENTE DO CADASTRADO NO BENNER (CLIENTE X GRUPO)"/>
    <x v="1"/>
    <s v="SUPORTE OBT"/>
    <n v="1"/>
  </r>
  <r>
    <n v="3354583"/>
    <s v="SABRE"/>
    <x v="880"/>
    <s v="KLHVTK"/>
    <s v="KLHVTK"/>
    <s v="Não localizado cliente código [0000583808].&lt;-ObterCliente&lt;-MontarPnrBase&lt;-ProcessarAereo&lt;-ProcessarItemFila[b]"/>
    <d v="2025-04-08T20:04:00"/>
    <m/>
    <s v="CLIENTE"/>
    <s v="CÓD. CLIENTE DIVERGENTE"/>
    <s v="CÓDIGO DIFERENTE DO CADASTRADO NO BENNER (CLIENTE X GRUPO)"/>
    <x v="1"/>
    <s v="SUPORTE OBT"/>
    <n v="1"/>
  </r>
  <r>
    <n v="3356276"/>
    <s v="SABRE"/>
    <x v="881"/>
    <s v="NQPMGT"/>
    <s v="NQPMGT"/>
    <s v="Não localizado cliente código [0000068777].&lt;-ObterCliente&lt;-MontarPnrBase&lt;-ProcessarAereo&lt;-ProcessarItemFila[b]"/>
    <d v="2025-04-09T17:32:00"/>
    <d v="2025-04-09T21:04:00"/>
    <s v="CLIENTE"/>
    <s v="CÓD. CLIENTE DIVERGENTE"/>
    <s v="CÓDIGO DIFERENTE DO CADASTRADO NO BENNER (CLIENTE X GRUPO)"/>
    <x v="1"/>
    <s v="SUPORTE OBT"/>
    <n v="1"/>
  </r>
  <r>
    <n v="3356315"/>
    <s v="SABRE"/>
    <x v="882"/>
    <s v="LUWANST"/>
    <s v="LUWANS"/>
    <s v="ConverterPagamentosRemark-&gt;Input string was not in a correct format.&lt;-MontarAccountinsHotel&lt;-ProcessarHotel&lt;-ProcessarItemFila[b]"/>
    <d v="2025-04-09T17:49:00"/>
    <m/>
    <s v="FORMA PAGTO/RECTO"/>
    <s v="FORMATO DE TEXTO"/>
    <s v="TEXTO FORA DO PADRÃO ACEITO NO CAMPO"/>
    <x v="2"/>
    <s v="SUPORTE OBT"/>
    <s v="COLUNA I"/>
  </r>
  <r>
    <n v="3356460"/>
    <s v="SABRE"/>
    <x v="883"/>
    <s v="DAKGLY"/>
    <s v="DAKGLY"/>
    <s v="Não localizado cliente código [1234567890].&lt;-ObterCliente&lt;-MontarPnrBase&lt;-ProcessarAereo&lt;-ProcessarItemFila[b]"/>
    <d v="2025-04-09T19:03:00"/>
    <m/>
    <s v="CLIENTE"/>
    <s v="CÓD. CLIENTE DIVERGENTE"/>
    <s v="CÓDIGO DIFERENTE DO CADASTRADO NO BENNER (CLIENTE X GRUPO)"/>
    <x v="1"/>
    <s v="SUPORTE OBT"/>
    <n v="1"/>
  </r>
  <r>
    <n v="3356462"/>
    <s v="SABRE"/>
    <x v="883"/>
    <s v="IMGRPF"/>
    <s v="IMGRPF"/>
    <s v="Não localizado cliente código [1234567890].&lt;-ObterCliente&lt;-MontarPnrBase&lt;-ProcessarAereo&lt;-ProcessarItemFila[b]"/>
    <d v="2025-04-09T19:03:00"/>
    <m/>
    <s v="CLIENTE"/>
    <s v="CÓD. CLIENTE DIVERGENTE"/>
    <s v="CÓDIGO DIFERENTE DO CADASTRADO NO BENNER (CLIENTE X GRUPO)"/>
    <x v="1"/>
    <s v="SUPORTE OBT"/>
    <n v="1"/>
  </r>
  <r>
    <n v="3356469"/>
    <s v="SABRE"/>
    <x v="883"/>
    <s v="DIYANR"/>
    <s v="DIYANR"/>
    <s v="Código de cliente não identificado&lt;-ObterCliente&lt;-MontarPnrBase&lt;-ProcessarAereo&lt;-ProcessarItemFila[b]"/>
    <d v="2025-04-09T19:04:00"/>
    <m/>
    <s v="CLIENTE"/>
    <s v="CLIENTE NÃO IDENTIFICADO"/>
    <s v="DK DE CLIENTE NÃO PREENCIDO / CLIENTE NÃO CONFIGURADO NO OBT"/>
    <x v="2"/>
    <s v="OPERAÇÕES / SUPORTE KCS"/>
    <s v="COLUNA I"/>
  </r>
  <r>
    <n v="3356484"/>
    <s v="SABRE"/>
    <x v="883"/>
    <s v="SYGPGE"/>
    <s v="SYGPGE"/>
    <s v="Não localizado cliente código [0000583808].&lt;-ObterCliente&lt;-MontarPnrBase&lt;-ProcessarAereo&lt;-ProcessarItemFila[b]"/>
    <d v="2025-04-09T19:05:00"/>
    <m/>
    <s v="CLIENTE"/>
    <s v="CÓD. CLIENTE DIVERGENTE"/>
    <s v="CÓDIGO DIFERENTE DO CADASTRADO NO BENNER (CLIENTE X GRUPO)"/>
    <x v="1"/>
    <s v="SUPORTE OBT"/>
    <n v="1"/>
  </r>
  <r>
    <n v="3356491"/>
    <s v="SABRE"/>
    <x v="883"/>
    <s v="WFJRVW"/>
    <s v="WFJRVW"/>
    <s v="Código de cliente não identificado&lt;-ObterCliente&lt;-MontarPnrBase&lt;-ProcessarAereo&lt;-ProcessarItemFila[b]"/>
    <d v="2025-04-09T19:05:00"/>
    <m/>
    <s v="CLIENTE"/>
    <s v="CLIENTE NÃO IDENTIFICADO"/>
    <s v="DK DE CLIENTE NÃO PREENCIDO / CLIENTE NÃO CONFIGURADO NO OBT"/>
    <x v="2"/>
    <s v="OPERAÇÕES / SUPORTE KCS"/>
    <s v="COLUNA I"/>
  </r>
  <r>
    <n v="3357288"/>
    <s v="SABRE"/>
    <x v="884"/>
    <s v="NYSNLT"/>
    <s v="NYSNLT"/>
    <s v="Código de cliente não identificado&lt;-ObterCliente&lt;-MontarPnrBase&lt;-ProcessarAereo&lt;-ProcessarItemFila[b]"/>
    <d v="2025-04-09T20:46:00"/>
    <m/>
    <s v="CLIENTE"/>
    <s v="CLIENTE NÃO IDENTIFICADO"/>
    <s v="DK DE CLIENTE NÃO PREENCIDO / CLIENTE NÃO CONFIGURADO NO OBT"/>
    <x v="2"/>
    <s v="OPERAÇÕES / SUPORTE KCS"/>
    <s v="COLUNA I"/>
  </r>
  <r>
    <n v="3357293"/>
    <s v="SABRE"/>
    <x v="884"/>
    <s v="KHKWEQ"/>
    <s v="KHKWEQ"/>
    <s v="Não localizado cliente código [1234567890].&lt;-ObterCliente&lt;-MontarPnrBase&lt;-ProcessarAereo&lt;-ProcessarItemFila[b]"/>
    <d v="2025-04-09T20:47:00"/>
    <m/>
    <s v="CLIENTE"/>
    <s v="CÓD. CLIENTE DIVERGENTE"/>
    <s v="CÓDIGO DIFERENTE DO CADASTRADO NO BENNER (CLIENTE X GRUPO)"/>
    <x v="1"/>
    <s v="SUPORTE OBT"/>
    <n v="1"/>
  </r>
  <r>
    <n v="3357336"/>
    <s v="TMS"/>
    <x v="885"/>
    <n v="17202"/>
    <n v="17202"/>
    <s v="Preenchendo XML Serviço-&gt; Preenchendo XML-&gt; Montando accounting aereo 2-&gt;Não foi informado o Localizador do Assento/Bagagem!"/>
    <d v="2025-04-09T20:53:00"/>
    <d v="2025-04-12T20:23:00"/>
    <s v="OUTROS"/>
    <s v="ASSENTO / BAGAGEM"/>
    <s v="CAMPO OBSERVAÇÃO PREENCHIDO INCORRETAMENTE"/>
    <x v="1"/>
    <s v="OPERAÇÕES / SUPORTE KCS"/>
    <n v="118"/>
  </r>
  <r>
    <n v="3357365"/>
    <s v="SABRE"/>
    <x v="881"/>
    <s v="CEJLXN"/>
    <s v="CEJLXN"/>
    <s v="Não localizado cliente código [0000583808].&lt;-ObterCliente&lt;-MontarPnrBase&lt;-ProcessarAereo&lt;-ProcessarItemFila[b]"/>
    <d v="2025-04-09T21:02:00"/>
    <m/>
    <s v="CLIENTE"/>
    <s v="CÓD. CLIENTE DIVERGENTE"/>
    <s v="CÓDIGO DIFERENTE DO CADASTRADO NO BENNER (CLIENTE X GRUPO)"/>
    <x v="1"/>
    <s v="SUPORTE OBT"/>
    <n v="1"/>
  </r>
  <r>
    <n v="3357366"/>
    <s v="SABRE"/>
    <x v="881"/>
    <s v="NOYQBS"/>
    <s v="NOYQBS"/>
    <s v="Código de cliente não identificado&lt;-ObterCliente&lt;-MontarPnrBase&lt;-ProcessarAereo&lt;-ProcessarItemFila[b]"/>
    <d v="2025-04-09T21:04:00"/>
    <m/>
    <s v="CLIENTE"/>
    <s v="CLIENTE NÃO IDENTIFICADO"/>
    <s v="DK DE CLIENTE NÃO PREENCIDO / CLIENTE NÃO CONFIGURADO NO OBT"/>
    <x v="2"/>
    <s v="OPERAÇÕES / SUPORTE KCS"/>
    <s v="COLUNA I"/>
  </r>
  <r>
    <n v="3357367"/>
    <s v="SABRE"/>
    <x v="881"/>
    <s v="QRKRAF"/>
    <s v="QRKRAF"/>
    <s v="Código de cliente não identificado&lt;-ObterCliente&lt;-MontarPnrBase&lt;-ProcessarAereo&lt;-ProcessarItemFila[b]"/>
    <d v="2025-04-09T21:04:00"/>
    <m/>
    <s v="CLIENTE"/>
    <s v="CLIENTE NÃO IDENTIFICADO"/>
    <s v="DK DE CLIENTE NÃO PREENCIDO / CLIENTE NÃO CONFIGURADO NO OBT"/>
    <x v="2"/>
    <s v="OPERAÇÕES / SUPORTE KCS"/>
    <s v="COLUNA I"/>
  </r>
  <r>
    <n v="3357584"/>
    <s v="SABRE"/>
    <x v="886"/>
    <s v="ELMZFQT"/>
    <s v="ELMZFQ"/>
    <s v="Inserindo PNR - Accountings - TurVendas - Não foi possível localizar o contrato do fornecedor H84698"/>
    <d v="2025-04-10T09:31:00"/>
    <m/>
    <s v="FORNECEDOR"/>
    <s v="CONTRATO FORNECEDOR"/>
    <s v="CONTRATO INATIVO OU DIVERGENTE"/>
    <x v="0"/>
    <s v="OPERAÇÕES / SUPORTE KCS"/>
    <n v="43"/>
  </r>
  <r>
    <n v="3357858"/>
    <s v="SABRE"/>
    <x v="887"/>
    <s v="SWLEDHT"/>
    <s v="SWLEDH"/>
    <s v="Inserindo PNR - Accountings - TurVendas - Não foi possível localizar o contrato do fornecedor H84698"/>
    <d v="2025-04-10T12:46:00"/>
    <m/>
    <s v="FORNECEDOR"/>
    <s v="CONTRATO FORNECEDOR"/>
    <s v="CONTRATO INATIVO OU DIVERGENTE"/>
    <x v="0"/>
    <s v="OPERAÇÕES / SUPORTE KCS"/>
    <n v="43"/>
  </r>
  <r>
    <n v="3357887"/>
    <s v="SABRE"/>
    <x v="888"/>
    <s v="EZPFPE"/>
    <s v="EZPFPE"/>
    <s v="Código de cliente não identificado&lt;-ObterCliente&lt;-MontarPnrBase&lt;-ProcessarAereo&lt;-ProcessarItemFila[b]"/>
    <d v="2025-04-10T13:03:00"/>
    <d v="2025-04-11T18:46:00"/>
    <s v="CLIENTE"/>
    <s v="CLIENTE NÃO IDENTIFICADO"/>
    <s v="DK DE CLIENTE NÃO PREENCIDO / CLIENTE NÃO CONFIGURADO NO OBT"/>
    <x v="2"/>
    <s v="OPERAÇÕES / SUPORTE KCS"/>
    <s v="COLUNA I"/>
  </r>
  <r>
    <n v="3357913"/>
    <s v="SABRE"/>
    <x v="889"/>
    <s v="LFQSKQ"/>
    <s v="LFQSKQ"/>
    <s v="ERRO: Cancelamento de Venda: Não há PNR no sistema para cancelar, venda não inserida!"/>
    <d v="2025-04-10T13:17:00"/>
    <m/>
    <s v="CANCELAMENTO"/>
    <s v="VENDA CANCELADA"/>
    <s v="RESERVA CANCELADA NO OBT"/>
    <x v="0"/>
    <s v="SUPORTE OBT"/>
    <s v="COLUNA I"/>
  </r>
  <r>
    <n v="3357933"/>
    <s v="SABRE"/>
    <x v="890"/>
    <s v="LGVUHX"/>
    <s v="LGVUHX"/>
    <s v="Não localizado cliente código [0000028635].&lt;-ObterCliente&lt;-MontarPnrBase&lt;-ProcessarAereo&lt;-ProcessarItemFila[b]"/>
    <d v="2025-04-10T13:23:00"/>
    <m/>
    <s v="CLIENTE"/>
    <s v="CÓD. CLIENTE DIVERGENTE"/>
    <s v="CÓDIGO DIFERENTE DO CADASTRADO NO BENNER (CLIENTE X GRUPO)"/>
    <x v="1"/>
    <s v="SUPORTE OBT"/>
    <n v="1"/>
  </r>
  <r>
    <n v="3357934"/>
    <s v="SABRE"/>
    <x v="890"/>
    <s v="YZMGBB"/>
    <s v="YZMGBB"/>
    <s v="Não localizado cliente código [0000028635].&lt;-ObterCliente&lt;-MontarPnrBase&lt;-ProcessarAereo&lt;-ProcessarItemFila[b]"/>
    <d v="2025-04-10T13:23:00"/>
    <m/>
    <s v="CLIENTE"/>
    <s v="CÓD. CLIENTE DIVERGENTE"/>
    <s v="CÓDIGO DIFERENTE DO CADASTRADO NO BENNER (CLIENTE X GRUPO)"/>
    <x v="1"/>
    <s v="SUPORTE OBT"/>
    <n v="1"/>
  </r>
  <r>
    <n v="3358225"/>
    <s v="SABRE"/>
    <x v="891"/>
    <s v="CFFCUP"/>
    <s v="CFFCUP"/>
    <s v="Código de cliente não identificado&lt;-ObterCliente&lt;-MontarPnrBase&lt;-ProcessarAereo&lt;-ProcessarItemFila[b]"/>
    <d v="2025-04-10T14:35:00"/>
    <m/>
    <s v="CLIENTE"/>
    <s v="CLIENTE NÃO IDENTIFICADO"/>
    <s v="DK DE CLIENTE NÃO PREENCIDO / CLIENTE NÃO CONFIGURADO NO OBT"/>
    <x v="2"/>
    <s v="OPERAÇÕES / SUPORTE KCS"/>
    <s v="COLUNA I"/>
  </r>
  <r>
    <n v="3358715"/>
    <s v="SABRE"/>
    <x v="892"/>
    <s v="KEYLSA"/>
    <s v="KEYLSA"/>
    <s v="Não localizado cliente código [1234567890].&lt;-ObterCliente&lt;-MontarPnrBase&lt;-ProcessarAereo&lt;-ProcessarItemFila[b]"/>
    <d v="2025-04-10T16:18:00"/>
    <m/>
    <s v="CLIENTE"/>
    <s v="CÓD. CLIENTE DIVERGENTE"/>
    <s v="CÓDIGO DIFERENTE DO CADASTRADO NO BENNER (CLIENTE X GRUPO)"/>
    <x v="1"/>
    <s v="SUPORTE OBT"/>
    <n v="1"/>
  </r>
  <r>
    <n v="3358719"/>
    <s v="SABRE"/>
    <x v="892"/>
    <s v="GEOIKX"/>
    <s v="GEOIKX"/>
    <s v="Código de cliente não identificado&lt;-ObterCliente&lt;-MontarPnrBase&lt;-ProcessarAereo&lt;-ProcessarItemFila[b]"/>
    <d v="2025-04-10T16:19:00"/>
    <m/>
    <s v="CLIENTE"/>
    <s v="CLIENTE NÃO IDENTIFICADO"/>
    <s v="DK DE CLIENTE NÃO PREENCIDO / CLIENTE NÃO CONFIGURADO NO OBT"/>
    <x v="2"/>
    <s v="OPERAÇÕES / SUPORTE KCS"/>
    <s v="COLUNA I"/>
  </r>
  <r>
    <n v="3359015"/>
    <s v="SABRE"/>
    <x v="893"/>
    <s v="LUQRWU"/>
    <s v="LUQRWU"/>
    <s v="Não localizado cliente código [0000583808].&lt;-ObterCliente&lt;-MontarPnrBase&lt;-ProcessarAereo&lt;-ProcessarItemFila[b]"/>
    <d v="2025-04-10T18:34:00"/>
    <m/>
    <s v="CLIENTE"/>
    <s v="CÓD. CLIENTE DIVERGENTE"/>
    <s v="CÓDIGO DIFERENTE DO CADASTRADO NO BENNER (CLIENTE X GRUPO)"/>
    <x v="1"/>
    <s v="SUPORTE OBT"/>
    <n v="1"/>
  </r>
  <r>
    <n v="3359018"/>
    <s v="SABRE"/>
    <x v="894"/>
    <s v="HXHTSF"/>
    <s v="HXHTSF"/>
    <s v="Não localizado cliente com CNPJ [JTI DISTRIBUIDORA NOVA CONCEICAO].&lt;-ObterCliente&lt;-MontarPnrBase&lt;-ProcessarAereo&lt;-ProcessarItemFila[b]"/>
    <d v="2025-04-10T18:37:00"/>
    <d v="2025-04-11T15:32:00"/>
    <s v="CLIENTE"/>
    <s v="REMARK - CNPJ"/>
    <s v=""/>
    <x v="1"/>
    <s v="OPERAÇÕES / SUPORTE KCS"/>
    <n v="24"/>
  </r>
  <r>
    <n v="3359377"/>
    <s v="SABRE"/>
    <x v="895"/>
    <s v="GGCFKT"/>
    <s v="GGCFKT"/>
    <s v="Não localizado cliente com CNPJ [JTI DISTRIBUIDORA NOVA CONCEICAO].&lt;-ObterCliente&lt;-MontarPnrBase&lt;-ProcessarAereo&lt;-ProcessarItemFila[b]"/>
    <d v="2025-04-10T20:17:00"/>
    <d v="2025-04-11T15:02:00"/>
    <s v="CLIENTE"/>
    <s v="REMARK - CNPJ"/>
    <s v=""/>
    <x v="1"/>
    <s v="OPERAÇÕES / SUPORTE KCS"/>
    <n v="24"/>
  </r>
  <r>
    <n v="3359391"/>
    <s v="SABRE"/>
    <x v="896"/>
    <s v="ITXMPH"/>
    <s v="ITXMPH"/>
    <s v="Não localizado cliente código [0000028612].&lt;-ObterCliente&lt;-MontarPnrBase&lt;-ProcessarAereo&lt;-ProcessarItemFila[b]"/>
    <d v="2025-04-10T20:18:00"/>
    <m/>
    <s v="CLIENTE"/>
    <s v="CÓD. CLIENTE DIVERGENTE"/>
    <s v="CÓDIGO DIFERENTE DO CADASTRADO NO BENNER (CLIENTE X GRUPO)"/>
    <x v="1"/>
    <s v="SUPORTE OBT"/>
    <n v="1"/>
  </r>
  <r>
    <n v="3359399"/>
    <s v="SABRE"/>
    <x v="896"/>
    <s v="YSLAXJ"/>
    <s v="YSLAXJ"/>
    <s v="Não localizado cliente código [0000049977].&lt;-ObterCliente&lt;-MontarPnrBase&lt;-ProcessarAereo&lt;-ProcessarItemFila[b]"/>
    <d v="2025-04-10T20:18:00"/>
    <m/>
    <s v="CLIENTE"/>
    <s v="CÓD. CLIENTE DIVERGENTE"/>
    <s v="CÓDIGO DIFERENTE DO CADASTRADO NO BENNER (CLIENTE X GRUPO)"/>
    <x v="1"/>
    <s v="SUPORTE OBT"/>
    <n v="1"/>
  </r>
  <r>
    <n v="3359402"/>
    <s v="SABRE"/>
    <x v="896"/>
    <s v="UDARRK"/>
    <s v="UDARRK"/>
    <s v="Não localizado cliente código [1234567890].&lt;-ObterCliente&lt;-MontarPnrBase&lt;-ProcessarAereo&lt;-ProcessarItemFila[b]"/>
    <d v="2025-04-10T20:18:00"/>
    <m/>
    <s v="CLIENTE"/>
    <s v="CÓD. CLIENTE DIVERGENTE"/>
    <s v="CÓDIGO DIFERENTE DO CADASTRADO NO BENNER (CLIENTE X GRUPO)"/>
    <x v="1"/>
    <s v="SUPORTE OBT"/>
    <n v="1"/>
  </r>
  <r>
    <n v="3359403"/>
    <s v="SABRE"/>
    <x v="896"/>
    <s v="LGAWUU"/>
    <s v="LGAWUU"/>
    <s v="Código de cliente não identificado&lt;-ObterCliente&lt;-MontarPnrBase&lt;-ProcessarAereo&lt;-ProcessarItemFila[b]"/>
    <d v="2025-04-10T20:18:00"/>
    <m/>
    <s v="CLIENTE"/>
    <s v="CLIENTE NÃO IDENTIFICADO"/>
    <s v="DK DE CLIENTE NÃO PREENCIDO / CLIENTE NÃO CONFIGURADO NO OBT"/>
    <x v="2"/>
    <s v="OPERAÇÕES / SUPORTE KCS"/>
    <s v="COLUNA I"/>
  </r>
  <r>
    <n v="3359775"/>
    <s v="SABRE"/>
    <x v="897"/>
    <s v="HZNZPM"/>
    <s v="HZNZPM"/>
    <s v="Não localizado cliente código [0000063625].&lt;-ObterCliente&lt;-MontarPnrBase&lt;-ProcessarAereo&lt;-ProcessarItemFila[b]"/>
    <d v="2025-04-10T21:31:00"/>
    <m/>
    <s v="CLIENTE"/>
    <s v="CÓD. CLIENTE DIVERGENTE"/>
    <s v="CÓDIGO DIFERENTE DO CADASTRADO NO BENNER (CLIENTE X GRUPO)"/>
    <x v="1"/>
    <s v="SUPORTE OBT"/>
    <n v="1"/>
  </r>
  <r>
    <n v="3360301"/>
    <s v="SABRE"/>
    <x v="898"/>
    <s v="IOLCEN"/>
    <s v="IOLCEN"/>
    <s v="Não localizado cliente código [0000028635].&lt;-ObterCliente&lt;-MontarPnrBase&lt;-ProcessarAereo&lt;-ProcessarItemFila[b]"/>
    <d v="2025-04-11T13:08:00"/>
    <m/>
    <s v="CLIENTE"/>
    <s v="CÓD. CLIENTE DIVERGENTE"/>
    <s v="CÓDIGO DIFERENTE DO CADASTRADO NO BENNER (CLIENTE X GRUPO)"/>
    <x v="1"/>
    <s v="SUPORTE OBT"/>
    <n v="1"/>
  </r>
  <r>
    <n v="3360302"/>
    <s v="SABRE"/>
    <x v="899"/>
    <s v="KJXDVO"/>
    <s v="KJXDVO"/>
    <s v="Não localizado cliente código [0000028635].&lt;-ObterCliente&lt;-MontarPnrBase&lt;-ProcessarAereo&lt;-ProcessarItemFila[b]"/>
    <d v="2025-04-11T13:08:00"/>
    <m/>
    <s v="CLIENTE"/>
    <s v="CÓD. CLIENTE DIVERGENTE"/>
    <s v="CÓDIGO DIFERENTE DO CADASTRADO NO BENNER (CLIENTE X GRUPO)"/>
    <x v="1"/>
    <s v="SUPORTE OBT"/>
    <n v="1"/>
  </r>
  <r>
    <n v="3360381"/>
    <s v="TMS"/>
    <x v="900"/>
    <n v="61989"/>
    <n v="61989"/>
    <s v="Preenchendo XML Hotel-&gt; Preenchendo XML-&gt; Montando accounting hotel-&gt;Solicitação de hotel referente a esta cotação não foi encontrada (Id Cotação: 2)"/>
    <d v="2025-04-11T13:58:00"/>
    <d v="2025-04-14T21:08:00"/>
    <s v="OUTROS"/>
    <s v="COTAÇÃO"/>
    <s v="INDEFINIDO"/>
    <x v="2"/>
    <s v="SUPORTE OBT"/>
    <s v="COLUNA I"/>
  </r>
  <r>
    <n v="3361498"/>
    <s v="SABRE"/>
    <x v="901"/>
    <s v="UQGYGT"/>
    <s v="UQGYGT"/>
    <s v="Inserindo Accounting - (ExecSQL) - List index out of bounds (0)"/>
    <d v="2025-04-11T18:05:00"/>
    <m/>
    <s v="OUTROS"/>
    <s v="ERRO DE SQL"/>
    <s v="ERRO NA IMPORTAÇÃO/MODIFICAÇÃO DAS INFOMAÇÕES"/>
    <x v="0"/>
    <s v="SUPORTE BENNER"/>
    <s v="COLUNA I"/>
  </r>
  <r>
    <n v="3361603"/>
    <s v="GOVER"/>
    <x v="902"/>
    <n v="4518928"/>
    <n v="4518928"/>
    <s v="PreencherPnr-&gt;Foi identificado um localizador sem código."/>
    <d v="2025-04-11T19:05:00"/>
    <d v="2025-04-29T08:44:00"/>
    <s v="OUTROS"/>
    <s v="RLOC NÃO INFORMADO"/>
    <s v="RLOC NÃO PREENCHIDO NA RESERVA"/>
    <x v="1"/>
    <s v="SUPORTE OBT"/>
    <s v="COLUNA I"/>
  </r>
  <r>
    <n v="3361614"/>
    <s v="SABRE"/>
    <x v="903"/>
    <s v="MRGFSB"/>
    <s v="MRGFSB"/>
    <s v="Não localizado cliente com CNPJ [271682000177].&lt;-ObterCliente&lt;-MontarPnrBase&lt;-ProcessarAereo&lt;-ProcessarItemFila[b]"/>
    <d v="2025-04-11T19:31:00"/>
    <d v="2025-04-14T12:17:00"/>
    <s v="CLIENTE"/>
    <s v="REMARK - CNPJ"/>
    <s v=""/>
    <x v="1"/>
    <s v="OPERAÇÕES / SUPORTE KCS"/>
    <n v="24"/>
  </r>
  <r>
    <n v="3361622"/>
    <s v="SABRE"/>
    <x v="904"/>
    <s v="YETAEH"/>
    <s v="YETAEH"/>
    <s v="Não localizado cliente código [1234567890].&lt;-ObterCliente&lt;-MontarPnrBase&lt;-ProcessarAereo&lt;-ProcessarItemFila[b]"/>
    <d v="2025-04-11T19:32:00"/>
    <m/>
    <s v="CLIENTE"/>
    <s v="CÓD. CLIENTE DIVERGENTE"/>
    <s v="CÓDIGO DIFERENTE DO CADASTRADO NO BENNER (CLIENTE X GRUPO)"/>
    <x v="1"/>
    <s v="SUPORTE OBT"/>
    <n v="1"/>
  </r>
  <r>
    <n v="3361899"/>
    <s v="TMS"/>
    <x v="905"/>
    <n v="29415"/>
    <n v="29415"/>
    <s v="Preenchendo XML Serviço-&gt; Preenchendo XML-&gt; Montando accounting aereo 3-&gt;Reserva 29415 não encontrada para importar assento/bagagem!"/>
    <d v="2025-04-11T20:21:00"/>
    <d v="2025-04-14T21:18:00"/>
    <s v="OUTROS"/>
    <s v="NOVA MENSAGEM"/>
    <s v=""/>
    <x v="3"/>
    <e v="#N/A"/>
    <n v="126"/>
  </r>
  <r>
    <n v="3361904"/>
    <s v="TMS"/>
    <x v="906"/>
    <n v="29328"/>
    <n v="29328"/>
    <s v="Preenchendo XML Serviço-&gt; Preenchendo XML-&gt; Montando accounting aereo 3-&gt;Reserva 29328 não encontrada para importar assento/bagagem!"/>
    <d v="2025-04-11T20:22:00"/>
    <d v="2025-04-14T21:18:00"/>
    <s v="OUTROS"/>
    <s v="NOVA MENSAGEM"/>
    <s v=""/>
    <x v="3"/>
    <e v="#N/A"/>
    <n v="126"/>
  </r>
  <r>
    <n v="3361960"/>
    <s v="SABRE"/>
    <x v="907"/>
    <s v="JWXZAI"/>
    <s v="JWXZAI"/>
    <s v="Código de cliente não identificado&lt;-ObterCliente&lt;-MontarPnrBase&lt;-ProcessarAereo&lt;-ProcessarItemFila[b]"/>
    <d v="2025-04-11T20:31:00"/>
    <m/>
    <s v="CLIENTE"/>
    <s v="CLIENTE NÃO IDENTIFICADO"/>
    <s v="DK DE CLIENTE NÃO PREENCIDO / CLIENTE NÃO CONFIGURADO NO OBT"/>
    <x v="2"/>
    <s v="OPERAÇÕES / SUPORTE KCS"/>
    <s v="COLUNA I"/>
  </r>
  <r>
    <n v="3361962"/>
    <s v="SABRE"/>
    <x v="907"/>
    <s v="JJIEVZ"/>
    <s v="JJIEVZ"/>
    <s v="Não localizado cliente código [0000035945].&lt;-ObterCliente&lt;-MontarPnrBase&lt;-ProcessarAereo&lt;-ProcessarItemFila[b]"/>
    <d v="2025-04-11T20:31:00"/>
    <m/>
    <s v="CLIENTE"/>
    <s v="CÓD. CLIENTE DIVERGENTE"/>
    <s v="CÓDIGO DIFERENTE DO CADASTRADO NO BENNER (CLIENTE X GRUPO)"/>
    <x v="1"/>
    <s v="SUPORTE OBT"/>
    <n v="1"/>
  </r>
  <r>
    <n v="3362105"/>
    <s v="TMS"/>
    <x v="908"/>
    <n v="20553"/>
    <n v="20553"/>
    <s v="Preenchendo XML Serviço-&gt; Preenchendo XML-&gt; Montando accounting aereo 3-&gt;Reserva BAGAGE não encontrada para importar assento/bagagem!"/>
    <d v="2025-04-11T20:48:00"/>
    <d v="2025-04-14T21:32:00"/>
    <s v="OUTROS"/>
    <s v="ASSENTO / BAGAGEM"/>
    <s v="CAMPO OBSERVAÇÃO PREENCHIDO INCORRETAMENTE"/>
    <x v="1"/>
    <s v="OPERAÇÕES / SUPORTE KCS"/>
    <n v="127"/>
  </r>
  <r>
    <n v="3362271"/>
    <s v="TMS"/>
    <x v="909"/>
    <n v="11715"/>
    <n v="11715"/>
    <s v="Preenchendo XML Serviço-&gt; Preenchendo XML-&gt; Montando accounting aereo 2-&gt;Não foi informado o Localizador do Assento/Bagagem!"/>
    <d v="2025-04-11T21:05:00"/>
    <d v="2025-04-14T21:45:00"/>
    <s v="OUTROS"/>
    <s v="ASSENTO / BAGAGEM"/>
    <s v="CAMPO OBSERVAÇÃO PREENCHIDO INCORRETAMENTE"/>
    <x v="1"/>
    <s v="OPERAÇÕES / SUPORTE KCS"/>
    <n v="118"/>
  </r>
  <r>
    <n v="3362735"/>
    <s v="SABRE"/>
    <x v="910"/>
    <s v="HSDDYI"/>
    <s v="HSDDYI"/>
    <s v="Código de cliente não identificado&lt;-ObterCliente&lt;-MontarPnrBase&lt;-ProcessarAereo&lt;-ProcessarItemFila[b]"/>
    <d v="2025-04-13T17:32:00"/>
    <m/>
    <s v="CLIENTE"/>
    <s v="CLIENTE NÃO IDENTIFICADO"/>
    <s v="DK DE CLIENTE NÃO PREENCIDO / CLIENTE NÃO CONFIGURADO NO OBT"/>
    <x v="2"/>
    <s v="OPERAÇÕES / SUPORTE KCS"/>
    <s v="COLUNA I"/>
  </r>
  <r>
    <n v="3362737"/>
    <s v="SABRE"/>
    <x v="910"/>
    <s v="EFRBWL"/>
    <s v="EFRBWL"/>
    <s v="Não localizado cliente código [0000392619].&lt;-ObterCliente&lt;-MontarPnrBase&lt;-ProcessarAereo&lt;-ProcessarItemFila[b]"/>
    <d v="2025-04-13T17:33:00"/>
    <m/>
    <s v="CLIENTE"/>
    <s v="CÓD. CLIENTE DIVERGENTE"/>
    <s v="CÓDIGO DIFERENTE DO CADASTRADO NO BENNER (CLIENTE X GRUPO)"/>
    <x v="1"/>
    <s v="SUPORTE OBT"/>
    <n v="1"/>
  </r>
  <r>
    <n v="3362738"/>
    <s v="SABRE"/>
    <x v="910"/>
    <s v="OTESLA"/>
    <s v="OTESLA"/>
    <s v="Não localizado cliente código [0000063625].&lt;-ObterCliente&lt;-MontarPnrBase&lt;-ProcessarAereo&lt;-ProcessarItemFila[b]"/>
    <d v="2025-04-13T17:33:00"/>
    <m/>
    <s v="CLIENTE"/>
    <s v="CÓD. CLIENTE DIVERGENTE"/>
    <s v="CÓDIGO DIFERENTE DO CADASTRADO NO BENNER (CLIENTE X GRUPO)"/>
    <x v="1"/>
    <s v="SUPORTE OBT"/>
    <n v="1"/>
  </r>
  <r>
    <n v="3362741"/>
    <s v="SABRE"/>
    <x v="910"/>
    <s v="IWUOPZ"/>
    <s v="IWUOPZ"/>
    <s v="Não localizado cliente código [1234567890].&lt;-ObterCliente&lt;-MontarPnrBase&lt;-ProcessarAereo&lt;-ProcessarItemFila[b]"/>
    <d v="2025-04-13T17:33:00"/>
    <m/>
    <s v="CLIENTE"/>
    <s v="CÓD. CLIENTE DIVERGENTE"/>
    <s v="CÓDIGO DIFERENTE DO CADASTRADO NO BENNER (CLIENTE X GRUPO)"/>
    <x v="1"/>
    <s v="SUPORTE OBT"/>
    <n v="1"/>
  </r>
  <r>
    <n v="3362743"/>
    <s v="SABRE"/>
    <x v="910"/>
    <s v="YPCLGR"/>
    <s v="YPCLGR"/>
    <s v="Código de cliente não identificado&lt;-ObterCliente&lt;-MontarPnrBase&lt;-ProcessarAereo&lt;-ProcessarItemFila[b]"/>
    <d v="2025-04-13T17:34:00"/>
    <m/>
    <s v="CLIENTE"/>
    <s v="CLIENTE NÃO IDENTIFICADO"/>
    <s v="DK DE CLIENTE NÃO PREENCIDO / CLIENTE NÃO CONFIGURADO NO OBT"/>
    <x v="2"/>
    <s v="OPERAÇÕES / SUPORTE KCS"/>
    <s v="COLUNA I"/>
  </r>
  <r>
    <n v="3362746"/>
    <s v="SABRE"/>
    <x v="910"/>
    <s v="AGXIVO"/>
    <s v="AGXIVO"/>
    <s v="Código de cliente não identificado&lt;-ObterCliente&lt;-MontarPnrBase&lt;-ProcessarAereo&lt;-ProcessarItemFila[b]"/>
    <d v="2025-04-13T17:34:00"/>
    <m/>
    <s v="CLIENTE"/>
    <s v="CLIENTE NÃO IDENTIFICADO"/>
    <s v="DK DE CLIENTE NÃO PREENCIDO / CLIENTE NÃO CONFIGURADO NO OBT"/>
    <x v="2"/>
    <s v="OPERAÇÕES / SUPORTE KCS"/>
    <s v="COLUNA I"/>
  </r>
  <r>
    <n v="3362747"/>
    <s v="SABRE"/>
    <x v="910"/>
    <s v="QGAFWN"/>
    <s v="QGAFWN"/>
    <s v="Não localizado cliente código [1234567890].&lt;-ObterCliente&lt;-MontarPnrBase&lt;-ProcessarAereo&lt;-ProcessarItemFila[b]"/>
    <d v="2025-04-13T17:34:00"/>
    <m/>
    <s v="CLIENTE"/>
    <s v="CÓD. CLIENTE DIVERGENTE"/>
    <s v="CÓDIGO DIFERENTE DO CADASTRADO NO BENNER (CLIENTE X GRUPO)"/>
    <x v="1"/>
    <s v="SUPORTE OBT"/>
    <n v="1"/>
  </r>
  <r>
    <n v="3362748"/>
    <s v="SABRE"/>
    <x v="910"/>
    <s v="YGSNXQ"/>
    <s v="YGSNXQ"/>
    <s v="Não localizado cliente com CNPJ [1924579000141].&lt;-ObterCliente&lt;-MontarPnrBase&lt;-ProcessarAereo&lt;-ProcessarItemFila[b]"/>
    <d v="2025-04-13T17:34:00"/>
    <m/>
    <s v="CLIENTE"/>
    <s v="REMARK - CNPJ"/>
    <s v=""/>
    <x v="1"/>
    <s v="OPERAÇÕES / SUPORTE KCS"/>
    <n v="24"/>
  </r>
  <r>
    <n v="3362751"/>
    <s v="SABRE"/>
    <x v="910"/>
    <s v="SSDRCS"/>
    <s v="SSDRCS"/>
    <s v="Não localizado cliente código [0000286569].&lt;-ObterCliente&lt;-MontarPnrBase&lt;-ProcessarAereo&lt;-ProcessarItemFila[b]"/>
    <d v="2025-04-13T17:36:00"/>
    <m/>
    <s v="CLIENTE"/>
    <s v="CÓD. CLIENTE DIVERGENTE"/>
    <s v="CÓDIGO DIFERENTE DO CADASTRADO NO BENNER (CLIENTE X GRUPO)"/>
    <x v="1"/>
    <s v="SUPORTE OBT"/>
    <n v="1"/>
  </r>
  <r>
    <n v="3362755"/>
    <s v="SABRE"/>
    <x v="910"/>
    <s v="ABUSWN"/>
    <s v="ABUSWN"/>
    <s v="Código de cliente não identificado&lt;-ObterCliente&lt;-MontarPnrBase&lt;-ProcessarAereo&lt;-ProcessarItemFila[b]"/>
    <d v="2025-04-13T17:37:00"/>
    <m/>
    <s v="CLIENTE"/>
    <s v="CLIENTE NÃO IDENTIFICADO"/>
    <s v="DK DE CLIENTE NÃO PREENCIDO / CLIENTE NÃO CONFIGURADO NO OBT"/>
    <x v="2"/>
    <s v="OPERAÇÕES / SUPORTE KCS"/>
    <s v="COLUNA I"/>
  </r>
  <r>
    <n v="3362757"/>
    <s v="SABRE"/>
    <x v="910"/>
    <s v="FYCZAJ"/>
    <s v="FYCZAJ"/>
    <s v="Código de cliente não identificado&lt;-ObterCliente&lt;-MontarPnrBase&lt;-ProcessarAereo&lt;-ProcessarItemFila[b]"/>
    <d v="2025-04-13T17:37:00"/>
    <m/>
    <s v="CLIENTE"/>
    <s v="CLIENTE NÃO IDENTIFICADO"/>
    <s v="DK DE CLIENTE NÃO PREENCIDO / CLIENTE NÃO CONFIGURADO NO OBT"/>
    <x v="2"/>
    <s v="OPERAÇÕES / SUPORTE KCS"/>
    <s v="COLUNA I"/>
  </r>
  <r>
    <n v="3362758"/>
    <s v="SABRE"/>
    <x v="910"/>
    <s v="KWJVLN"/>
    <s v="KWJVLN"/>
    <s v="Código de cliente não identificado&lt;-ObterCliente&lt;-MontarPnrBase&lt;-ProcessarAereo&lt;-ProcessarItemFila[b]"/>
    <d v="2025-04-13T17:37:00"/>
    <m/>
    <s v="CLIENTE"/>
    <s v="CLIENTE NÃO IDENTIFICADO"/>
    <s v="DK DE CLIENTE NÃO PREENCIDO / CLIENTE NÃO CONFIGURADO NO OBT"/>
    <x v="2"/>
    <s v="OPERAÇÕES / SUPORTE KCS"/>
    <s v="COLUNA I"/>
  </r>
  <r>
    <n v="3362760"/>
    <s v="SABRE"/>
    <x v="910"/>
    <s v="KGNCGR"/>
    <s v="KGNCGR"/>
    <s v="Código de cliente não identificado&lt;-ObterCliente&lt;-MontarPnrBase&lt;-ProcessarAereo&lt;-ProcessarItemFila[b]"/>
    <d v="2025-04-13T17:37:00"/>
    <m/>
    <s v="CLIENTE"/>
    <s v="CLIENTE NÃO IDENTIFICADO"/>
    <s v="DK DE CLIENTE NÃO PREENCIDO / CLIENTE NÃO CONFIGURADO NO OBT"/>
    <x v="2"/>
    <s v="OPERAÇÕES / SUPORTE KCS"/>
    <s v="COLUNA I"/>
  </r>
  <r>
    <n v="3362763"/>
    <s v="SABRE"/>
    <x v="910"/>
    <s v="DLYQKX"/>
    <s v="DLYQKX"/>
    <s v="Código de cliente não identificado&lt;-ObterCliente&lt;-MontarPnrBase&lt;-ProcessarAereo&lt;-ProcessarItemFila[b]"/>
    <d v="2025-04-13T17:38:00"/>
    <m/>
    <s v="CLIENTE"/>
    <s v="CLIENTE NÃO IDENTIFICADO"/>
    <s v="DK DE CLIENTE NÃO PREENCIDO / CLIENTE NÃO CONFIGURADO NO OBT"/>
    <x v="2"/>
    <s v="OPERAÇÕES / SUPORTE KCS"/>
    <s v="COLUNA I"/>
  </r>
  <r>
    <n v="3362764"/>
    <s v="SABRE"/>
    <x v="910"/>
    <s v="YGKPHK"/>
    <s v="YGKPHK"/>
    <s v="Código de cliente não identificado&lt;-ObterCliente&lt;-MontarPnrBase&lt;-ProcessarAereo&lt;-ProcessarItemFila[b]"/>
    <d v="2025-04-13T17:38:00"/>
    <m/>
    <s v="CLIENTE"/>
    <s v="CLIENTE NÃO IDENTIFICADO"/>
    <s v="DK DE CLIENTE NÃO PREENCIDO / CLIENTE NÃO CONFIGURADO NO OBT"/>
    <x v="2"/>
    <s v="OPERAÇÕES / SUPORTE KCS"/>
    <s v="COLUNA I"/>
  </r>
  <r>
    <n v="3362766"/>
    <s v="SABRE"/>
    <x v="910"/>
    <s v="AIKEGX"/>
    <s v="AIKEGX"/>
    <s v="Código de cliente não identificado&lt;-ObterCliente&lt;-MontarPnrBase&lt;-ProcessarAereo&lt;-ProcessarItemFila[b]"/>
    <d v="2025-04-13T17:38:00"/>
    <m/>
    <s v="CLIENTE"/>
    <s v="CLIENTE NÃO IDENTIFICADO"/>
    <s v="DK DE CLIENTE NÃO PREENCIDO / CLIENTE NÃO CONFIGURADO NO OBT"/>
    <x v="2"/>
    <s v="OPERAÇÕES / SUPORTE KCS"/>
    <s v="COLUNA I"/>
  </r>
  <r>
    <n v="3363262"/>
    <s v="SABRE"/>
    <x v="911"/>
    <s v="WDDHQB"/>
    <s v="WDDHQB"/>
    <s v="Não localizado cliente código [0000392619].&lt;-ObterCliente&lt;-MontarPnrBase&lt;-ProcessarAereo&lt;-ProcessarItemFila[b]"/>
    <d v="2025-04-14T12:19:00"/>
    <m/>
    <s v="CLIENTE"/>
    <s v="CÓD. CLIENTE DIVERGENTE"/>
    <s v="CÓDIGO DIFERENTE DO CADASTRADO NO BENNER (CLIENTE X GRUPO)"/>
    <x v="1"/>
    <s v="SUPORTE OBT"/>
    <n v="1"/>
  </r>
  <r>
    <n v="3363911"/>
    <s v="TMS"/>
    <x v="912"/>
    <n v="6523"/>
    <n v="6523"/>
    <s v="Preenchendo XML Aéreo-&gt; Preenchendo XML-&gt; Montando accounting aereo-&gt;Montando trecho da accounting-&gt;Input string was not in a correct format."/>
    <d v="2025-04-14T15:27:00"/>
    <d v="2025-04-17T22:43:00"/>
    <s v="OUTROS"/>
    <s v="FORMATO DE TEXTO"/>
    <s v="TEXTO FORA DO PADRÃO ACEITO NO CAMPO"/>
    <x v="2"/>
    <s v="SUPORTE OBT"/>
    <s v="COLUNA I"/>
  </r>
  <r>
    <n v="3364210"/>
    <s v="TMS"/>
    <x v="913"/>
    <n v="15630"/>
    <n v="15630"/>
    <s v="Preenchendo XML Serviço-&gt; Preenchendo XML-&gt; Montando accounting aereo 2-&gt;Não foi informado o Localizador do Assento/Bagagem!"/>
    <d v="2025-04-14T16:07:00"/>
    <d v="2025-04-17T23:20:00"/>
    <s v="OUTROS"/>
    <s v="ASSENTO / BAGAGEM"/>
    <s v="CAMPO OBSERVAÇÃO PREENCHIDO INCORRETAMENTE"/>
    <x v="1"/>
    <s v="OPERAÇÕES / SUPORTE KCS"/>
    <n v="118"/>
  </r>
  <r>
    <n v="3364374"/>
    <s v="SABRE"/>
    <x v="914"/>
    <s v="YJNQOM"/>
    <s v="YJNQOM"/>
    <s v="Não localizado cliente código [0000583808].&lt;-ObterCliente&lt;-MontarPnrBase&lt;-ProcessarAereo&lt;-ProcessarItemFila[b]"/>
    <d v="2025-04-14T16:47:00"/>
    <m/>
    <s v="CLIENTE"/>
    <s v="CÓD. CLIENTE DIVERGENTE"/>
    <s v="CÓDIGO DIFERENTE DO CADASTRADO NO BENNER (CLIENTE X GRUPO)"/>
    <x v="1"/>
    <s v="SUPORTE OBT"/>
    <n v="1"/>
  </r>
  <r>
    <n v="3364376"/>
    <s v="SABRE"/>
    <x v="914"/>
    <s v="HQTHKE"/>
    <s v="HQTHKE"/>
    <s v="Não localizado cliente código [1234567890].&lt;-ObterCliente&lt;-MontarPnrBase&lt;-ProcessarAereo&lt;-ProcessarItemFila[b]"/>
    <d v="2025-04-14T16:48:00"/>
    <m/>
    <s v="CLIENTE"/>
    <s v="CÓD. CLIENTE DIVERGENTE"/>
    <s v="CÓDIGO DIFERENTE DO CADASTRADO NO BENNER (CLIENTE X GRUPO)"/>
    <x v="1"/>
    <s v="SUPORTE OBT"/>
    <n v="1"/>
  </r>
  <r>
    <n v="3364391"/>
    <s v="SABRE"/>
    <x v="914"/>
    <s v="AXOOPP"/>
    <s v="AXOOPP"/>
    <s v="Não localizado cliente código [0000063625].&lt;-ObterCliente&lt;-MontarPnrBase&lt;-ProcessarAereo&lt;-ProcessarItemFila[b]"/>
    <d v="2025-04-14T16:50:00"/>
    <m/>
    <s v="CLIENTE"/>
    <s v="CÓD. CLIENTE DIVERGENTE"/>
    <s v="CÓDIGO DIFERENTE DO CADASTRADO NO BENNER (CLIENTE X GRUPO)"/>
    <x v="1"/>
    <s v="SUPORTE OBT"/>
    <n v="1"/>
  </r>
  <r>
    <n v="3364398"/>
    <s v="SABRE"/>
    <x v="914"/>
    <s v="WRVMOS"/>
    <s v="WRVMOS"/>
    <s v="Não localizado cliente código [0000035945].&lt;-ObterCliente&lt;-MontarPnrBase&lt;-ProcessarAereo&lt;-ProcessarItemFila[b]"/>
    <d v="2025-04-14T16:51:00"/>
    <m/>
    <s v="CLIENTE"/>
    <s v="CÓD. CLIENTE DIVERGENTE"/>
    <s v="CÓDIGO DIFERENTE DO CADASTRADO NO BENNER (CLIENTE X GRUPO)"/>
    <x v="1"/>
    <s v="SUPORTE OBT"/>
    <n v="1"/>
  </r>
  <r>
    <n v="3364621"/>
    <s v="SABRE"/>
    <x v="915"/>
    <s v="OHGXUMT"/>
    <s v="OHGXUM"/>
    <s v="Código de cliente não identificado&lt;-ObterCliente&lt;-MontarPnrBase&lt;-MontarPnr&lt;-ProcessarHotel&lt;-ProcessarItemFila[b]"/>
    <d v="2025-04-14T18:16:00"/>
    <m/>
    <s v="CLIENTE"/>
    <s v="CLIENTE NÃO IDENTIFICADO"/>
    <s v="DK DE CLIENTE NÃO PREENCIDO / CLIENTE NÃO CONFIGURADO NO OBT"/>
    <x v="2"/>
    <s v="OPERAÇÕES / SUPORTE KCS"/>
    <s v="COLUNA I"/>
  </r>
  <r>
    <n v="3364744"/>
    <s v="SABRE"/>
    <x v="916"/>
    <s v="GCYBKL"/>
    <s v="GCYBKL"/>
    <s v="Não localizado cliente código [0000035945].&lt;-ObterCliente&lt;-MontarPnrBase&lt;-ProcessarAereo&lt;-ProcessarItemFila[b]"/>
    <d v="2025-04-14T19:47:00"/>
    <m/>
    <s v="CLIENTE"/>
    <s v="CÓD. CLIENTE DIVERGENTE"/>
    <s v="CÓDIGO DIFERENTE DO CADASTRADO NO BENNER (CLIENTE X GRUPO)"/>
    <x v="1"/>
    <s v="SUPORTE OBT"/>
    <n v="1"/>
  </r>
  <r>
    <n v="3364761"/>
    <s v="SABRE"/>
    <x v="916"/>
    <s v="LLHJNQ"/>
    <s v="LLHJNQ"/>
    <s v="Não localizado cliente código [0000063625].&lt;-ObterCliente&lt;-MontarPnrBase&lt;-ProcessarAereo&lt;-ProcessarItemFila[b]"/>
    <d v="2025-04-14T19:49:00"/>
    <m/>
    <s v="CLIENTE"/>
    <s v="CÓD. CLIENTE DIVERGENTE"/>
    <s v="CÓDIGO DIFERENTE DO CADASTRADO NO BENNER (CLIENTE X GRUPO)"/>
    <x v="1"/>
    <s v="SUPORTE OBT"/>
    <n v="1"/>
  </r>
  <r>
    <n v="3364771"/>
    <s v="SABRE"/>
    <x v="917"/>
    <s v="UXWXIG"/>
    <s v="UXWXIG"/>
    <s v="Código de cliente não identificado&lt;-ObterCliente&lt;-MontarPnrBase&lt;-ProcessarAereo&lt;-ProcessarItemFila[b]"/>
    <d v="2025-04-14T20:17:00"/>
    <m/>
    <s v="CLIENTE"/>
    <s v="CLIENTE NÃO IDENTIFICADO"/>
    <s v="DK DE CLIENTE NÃO PREENCIDO / CLIENTE NÃO CONFIGURADO NO OBT"/>
    <x v="2"/>
    <s v="OPERAÇÕES / SUPORTE KCS"/>
    <s v="COLUNA I"/>
  </r>
  <r>
    <n v="3364773"/>
    <s v="SABRE"/>
    <x v="917"/>
    <s v="CWIFYL"/>
    <s v="CWIFYL"/>
    <s v="Não localizado cliente com CNPJ [271682000177].&lt;-ObterCliente&lt;-MontarPnrBase&lt;-ProcessarAereo&lt;-ProcessarItemFila[b]"/>
    <d v="2025-04-14T20:17:00"/>
    <m/>
    <s v="CLIENTE"/>
    <s v="REMARK - CNPJ"/>
    <s v=""/>
    <x v="3"/>
    <s v="OPERAÇÕES / SUPORTE KCS"/>
    <n v="24"/>
  </r>
  <r>
    <n v="3364777"/>
    <s v="SABRE"/>
    <x v="917"/>
    <s v="LJOILP"/>
    <s v="LJOILP"/>
    <s v="Não localizado cliente código [0000063625].&lt;-ObterCliente&lt;-MontarPnrBase&lt;-ProcessarAereo&lt;-ProcessarItemFila[b]"/>
    <d v="2025-04-14T20:18:00"/>
    <m/>
    <s v="CLIENTE"/>
    <s v="CÓD. CLIENTE DIVERGENTE"/>
    <s v="CÓDIGO DIFERENTE DO CADASTRADO NO BENNER (CLIENTE X GRUPO)"/>
    <x v="1"/>
    <s v="SUPORTE OBT"/>
    <n v="1"/>
  </r>
  <r>
    <n v="3365996"/>
    <s v="SABRE"/>
    <x v="918"/>
    <s v="GADGPL"/>
    <s v="GADGPL"/>
    <s v="Não localizado cliente código [0000068957].&lt;-ObterCliente&lt;-MontarPnrBase&lt;-ProcessarAereo&lt;-ProcessarItemFila[b]"/>
    <d v="2025-04-15T12:03:00"/>
    <m/>
    <s v="CLIENTE"/>
    <s v="CÓD. CLIENTE DIVERGENTE"/>
    <s v="CÓDIGO DIFERENTE DO CADASTRADO NO BENNER (CLIENTE X GRUPO)"/>
    <x v="1"/>
    <s v="SUPORTE OBT"/>
    <n v="1"/>
  </r>
  <r>
    <n v="3366910"/>
    <s v="TMS"/>
    <x v="919"/>
    <n v="11753"/>
    <n v="11753"/>
    <s v="Preenchendo XML Carro-&gt; Preenchendo XML-&gt; Montando accounting carro-&gt;Fornecedor com o código 415368  informado nos campos gerenciais não encontrado!"/>
    <d v="2025-04-15T16:26:00"/>
    <d v="2025-04-18T22:23:00"/>
    <s v="FORNECEDOR"/>
    <s v="CONTRATO FORNECEDOR"/>
    <s v="CONTRATO INATIVO OU DIVERGENTE"/>
    <x v="0"/>
    <s v="OPERAÇÕES / SUPORTE KCS"/>
    <n v="69"/>
  </r>
  <r>
    <n v="3367149"/>
    <s v="SABRE"/>
    <x v="920"/>
    <s v="LVVZGW"/>
    <s v="LVVZGW"/>
    <s v="Não localizado cliente código [0000068873].&lt;-ObterCliente&lt;-MontarPnrBase&lt;-ProcessarAereo&lt;-ProcessarItemFila[b]"/>
    <d v="2025-04-15T17:06:00"/>
    <d v="2025-04-16T11:05:00"/>
    <s v="CLIENTE"/>
    <s v="CÓD. CLIENTE DIVERGENTE"/>
    <s v="CÓDIGO DIFERENTE DO CADASTRADO NO BENNER (CLIENTE X GRUPO)"/>
    <x v="1"/>
    <s v="SUPORTE OBT"/>
    <n v="1"/>
  </r>
  <r>
    <n v="3367338"/>
    <s v="SABRE"/>
    <x v="921"/>
    <s v="UNEMOW"/>
    <s v="UNEMOW"/>
    <s v="Código de cliente não identificado&lt;-ObterCliente&lt;-MontarPnrBase&lt;-ProcessarAereo&lt;-ProcessarItemFila[b]"/>
    <d v="2025-04-15T18:32:00"/>
    <d v="2025-04-16T16:32:00"/>
    <s v="CLIENTE"/>
    <s v="CLIENTE NÃO IDENTIFICADO"/>
    <s v="DK DE CLIENTE NÃO PREENCIDO / CLIENTE NÃO CONFIGURADO NO OBT"/>
    <x v="2"/>
    <s v="OPERAÇÕES / SUPORTE KCS"/>
    <s v="COLUNA I"/>
  </r>
  <r>
    <n v="3367487"/>
    <s v="SABRE"/>
    <x v="922"/>
    <s v="LDPSVQ"/>
    <s v="LDPSVQ"/>
    <s v="Código de cliente não identificado&lt;-ObterCliente&lt;-MontarPnrBase&lt;-ProcessarAereo&lt;-ProcessarItemFila[b]"/>
    <d v="2025-04-15T21:02:00"/>
    <m/>
    <s v="CLIENTE"/>
    <s v="CLIENTE NÃO IDENTIFICADO"/>
    <s v="DK DE CLIENTE NÃO PREENCIDO / CLIENTE NÃO CONFIGURADO NO OBT"/>
    <x v="2"/>
    <s v="OPERAÇÕES / SUPORTE KCS"/>
    <s v="COLUNA I"/>
  </r>
  <r>
    <n v="3367488"/>
    <s v="SABRE"/>
    <x v="922"/>
    <s v="NQIPVW"/>
    <s v="NQIPVW"/>
    <s v="Código de cliente não identificado&lt;-ObterCliente&lt;-MontarPnrBase&lt;-ProcessarAereo&lt;-ProcessarItemFila[b]"/>
    <d v="2025-04-15T21:02:00"/>
    <m/>
    <s v="CLIENTE"/>
    <s v="CLIENTE NÃO IDENTIFICADO"/>
    <s v="DK DE CLIENTE NÃO PREENCIDO / CLIENTE NÃO CONFIGURADO NO OBT"/>
    <x v="2"/>
    <s v="OPERAÇÕES / SUPORTE KCS"/>
    <s v="COLUNA I"/>
  </r>
  <r>
    <n v="3367490"/>
    <s v="SABRE"/>
    <x v="922"/>
    <s v="KVBFQC"/>
    <s v="KVBFQC"/>
    <s v="Código de cliente não identificado&lt;-ObterCliente&lt;-MontarPnrBase&lt;-ProcessarAereo&lt;-ProcessarItemFila[b]"/>
    <d v="2025-04-15T21:02:00"/>
    <m/>
    <s v="CLIENTE"/>
    <s v="CLIENTE NÃO IDENTIFICADO"/>
    <s v="DK DE CLIENTE NÃO PREENCIDO / CLIENTE NÃO CONFIGURADO NO OBT"/>
    <x v="2"/>
    <s v="OPERAÇÕES / SUPORTE KCS"/>
    <s v="COLUNA I"/>
  </r>
  <r>
    <n v="3367491"/>
    <s v="SABRE"/>
    <x v="922"/>
    <s v="IMFKLN"/>
    <s v="IMFKLN"/>
    <s v="Não localizado cliente código [1234567890].&lt;-ObterCliente&lt;-MontarPnrBase&lt;-ProcessarAereo&lt;-ProcessarItemFila[b]"/>
    <d v="2025-04-15T21:02:00"/>
    <m/>
    <s v="CLIENTE"/>
    <s v="CÓD. CLIENTE DIVERGENTE"/>
    <s v="CÓDIGO DIFERENTE DO CADASTRADO NO BENNER (CLIENTE X GRUPO)"/>
    <x v="1"/>
    <s v="SUPORTE OBT"/>
    <n v="1"/>
  </r>
  <r>
    <n v="3367696"/>
    <s v="TMS"/>
    <x v="923"/>
    <n v="30046"/>
    <n v="30046"/>
    <s v="Preenchendo XML Serviço-&gt; Preenchendo XML-&gt; Montando accounting aereo 3-&gt;Reserva 30046 não encontrada para importar assento/bagagem!"/>
    <d v="2025-04-15T21:38:00"/>
    <d v="2025-04-18T22:21:00"/>
    <s v="OUTROS"/>
    <s v="NOVA MENSAGEM"/>
    <s v=""/>
    <x v="3"/>
    <e v="#N/A"/>
    <n v="126"/>
  </r>
  <r>
    <n v="3367908"/>
    <s v="TMS"/>
    <x v="924"/>
    <n v="20662"/>
    <n v="20662"/>
    <s v="Preenchendo XML Carro-&gt; Preenchendo XML-&gt; Montando accounting carro-&gt;Fornecedor com o código 415368  informado nos campos gerenciais não encontrado!"/>
    <d v="2025-04-15T22:05:00"/>
    <d v="2025-04-18T22:23:00"/>
    <s v="FORNECEDOR"/>
    <s v="CONTRATO FORNECEDOR"/>
    <s v="CONTRATO INATIVO OU DIVERGENTE"/>
    <x v="0"/>
    <s v="OPERAÇÕES / SUPORTE KCS"/>
    <n v="69"/>
  </r>
  <r>
    <n v="3368365"/>
    <s v="TMS"/>
    <x v="925"/>
    <n v="5171"/>
    <n v="5171"/>
    <s v="Preenchendo XML Aéreo-&gt; Preenchendo XML-&gt; Montando accounting aereo-&gt;Número do bilhete não identificado"/>
    <d v="2025-04-16T09:11:00"/>
    <d v="2025-04-21T14:02:00"/>
    <s v="OUTROS"/>
    <s v="NOVA MENSAGEM"/>
    <s v=""/>
    <x v="0"/>
    <e v="#N/A"/>
    <s v="COLUNA I"/>
  </r>
  <r>
    <n v="3368368"/>
    <s v="GOVER"/>
    <x v="926"/>
    <n v="4510978"/>
    <n v="4510978"/>
    <s v="PreencherPnr-&gt;Foi identificado um localizador sem código."/>
    <d v="2025-04-16T09:14:00"/>
    <d v="2025-04-29T08:44:00"/>
    <s v="OUTROS"/>
    <s v="RLOC NÃO INFORMADO"/>
    <s v="RLOC NÃO PREENCHIDO NA RESERVA"/>
    <x v="1"/>
    <s v="SUPORTE OBT"/>
    <s v="COLUNA I"/>
  </r>
  <r>
    <n v="3368736"/>
    <s v="SABRE"/>
    <x v="927"/>
    <s v="CMTOOHT"/>
    <s v="CMTOOH"/>
    <s v="Inserindo PNR - Accountings - TurVendas - Não foi possível localizar o contrato do fornecedor H84698"/>
    <d v="2025-04-16T11:46:00"/>
    <m/>
    <s v="FORNECEDOR"/>
    <s v="CONTRATO FORNECEDOR"/>
    <s v="CONTRATO INATIVO OU DIVERGENTE"/>
    <x v="0"/>
    <s v="OPERAÇÕES / SUPORTE KCS"/>
    <n v="43"/>
  </r>
  <r>
    <n v="3368857"/>
    <s v="GOVER"/>
    <x v="928"/>
    <n v="4523332"/>
    <n v="4523332"/>
    <s v="PreencherPnr-&gt;Foi identificado um localizador sem código."/>
    <d v="2025-04-16T13:04:00"/>
    <d v="2025-04-29T08:44:00"/>
    <s v="OUTROS"/>
    <s v="RLOC NÃO INFORMADO"/>
    <s v="RLOC NÃO PREENCHIDO NA RESERVA"/>
    <x v="1"/>
    <s v="SUPORTE OBT"/>
    <s v="COLUNA I"/>
  </r>
  <r>
    <n v="3368957"/>
    <s v="SABRE"/>
    <x v="929"/>
    <s v="UHPZOT"/>
    <s v="UHPZOT"/>
    <s v="Não localizado cliente com CNPJ [JTI PROCESSADORA].&lt;-ObterCliente&lt;-MontarPnrBase&lt;-ProcessarAereo&lt;-ProcessarItemFila[b]"/>
    <d v="2025-04-16T13:48:00"/>
    <d v="2025-04-17T13:03:00"/>
    <s v="CLIENTE"/>
    <s v="REMARK - CNPJ"/>
    <s v=""/>
    <x v="0"/>
    <s v="OPERAÇÕES / SUPORTE KCS"/>
    <n v="24"/>
  </r>
  <r>
    <n v="3368963"/>
    <s v="SABRE"/>
    <x v="930"/>
    <s v="NNAGKD"/>
    <s v="NNAGKD"/>
    <s v="Código de cliente não identificado&lt;-ObterCliente&lt;-MontarPnrBase&lt;-ProcessarAereo&lt;-ProcessarItemFila[b]"/>
    <d v="2025-04-16T13:48:00"/>
    <m/>
    <s v="CLIENTE"/>
    <s v="CLIENTE NÃO IDENTIFICADO"/>
    <s v="DK DE CLIENTE NÃO PREENCIDO / CLIENTE NÃO CONFIGURADO NO OBT"/>
    <x v="2"/>
    <s v="OPERAÇÕES / SUPORTE KCS"/>
    <s v="COLUNA I"/>
  </r>
  <r>
    <n v="3368968"/>
    <s v="SABRE"/>
    <x v="930"/>
    <s v="CITLHL"/>
    <s v="CITLHL"/>
    <s v="Código de cliente não identificado&lt;-ObterCliente&lt;-MontarPnrBase&lt;-ProcessarAereo&lt;-ProcessarItemFila[b]"/>
    <d v="2025-04-16T13:49:00"/>
    <m/>
    <s v="CLIENTE"/>
    <s v="CLIENTE NÃO IDENTIFICADO"/>
    <s v="DK DE CLIENTE NÃO PREENCIDO / CLIENTE NÃO CONFIGURADO NO OBT"/>
    <x v="2"/>
    <s v="OPERAÇÕES / SUPORTE KCS"/>
    <s v="COLUNA I"/>
  </r>
  <r>
    <n v="3368969"/>
    <s v="SABRE"/>
    <x v="930"/>
    <s v="IGTKEZ"/>
    <s v="IGTKEZ"/>
    <s v="Não localizado cliente código [0000063625].&lt;-ObterCliente&lt;-MontarPnrBase&lt;-ProcessarAereo&lt;-ProcessarItemFila[b]"/>
    <d v="2025-04-16T13:49:00"/>
    <m/>
    <s v="CLIENTE"/>
    <s v="CÓD. CLIENTE DIVERGENTE"/>
    <s v="CÓDIGO DIFERENTE DO CADASTRADO NO BENNER (CLIENTE X GRUPO)"/>
    <x v="1"/>
    <s v="SUPORTE OBT"/>
    <n v="1"/>
  </r>
  <r>
    <n v="3368970"/>
    <s v="SABRE"/>
    <x v="930"/>
    <s v="JQETJV"/>
    <s v="JQETJV"/>
    <s v="Não localizado cliente código [0000063625].&lt;-ObterCliente&lt;-MontarPnrBase&lt;-ProcessarAereo&lt;-ProcessarItemFila[b]"/>
    <d v="2025-04-16T13:49:00"/>
    <m/>
    <s v="CLIENTE"/>
    <s v="CÓD. CLIENTE DIVERGENTE"/>
    <s v="CÓDIGO DIFERENTE DO CADASTRADO NO BENNER (CLIENTE X GRUPO)"/>
    <x v="1"/>
    <s v="SUPORTE OBT"/>
    <n v="1"/>
  </r>
  <r>
    <n v="3369034"/>
    <s v="SABRE"/>
    <x v="931"/>
    <s v="JNTUBFT"/>
    <s v="JNTUBF"/>
    <s v="Inserindo PNR - Accountings - TurVendas - Não foi possível localizar o contrato do fornecedor H84698"/>
    <d v="2025-04-16T14:46:00"/>
    <m/>
    <s v="FORNECEDOR"/>
    <s v="CONTRATO FORNECEDOR"/>
    <s v="CONTRATO INATIVO OU DIVERGENTE"/>
    <x v="0"/>
    <s v="OPERAÇÕES / SUPORTE KCS"/>
    <n v="43"/>
  </r>
  <r>
    <n v="3369039"/>
    <s v="SABRE"/>
    <x v="932"/>
    <s v="FEHTBM"/>
    <s v="FEHTBM"/>
    <s v="Não localizado cliente código [1234567890].&lt;-ObterCliente&lt;-MontarPnrBase&lt;-ProcessarAereo&lt;-ProcessarItemFila[b]"/>
    <d v="2025-04-16T14:47:00"/>
    <m/>
    <s v="CLIENTE"/>
    <s v="CÓD. CLIENTE DIVERGENTE"/>
    <s v="CÓDIGO DIFERENTE DO CADASTRADO NO BENNER (CLIENTE X GRUPO)"/>
    <x v="1"/>
    <s v="SUPORTE OBT"/>
    <n v="1"/>
  </r>
  <r>
    <n v="3369873"/>
    <s v="TMS"/>
    <x v="933"/>
    <n v="105"/>
    <n v="105"/>
    <s v="Preenchendo XML Serviço-&gt; Preenchendo XML-&gt; Montando accounting aereo 2-&gt;Não foi informado o Localizador do Assento/Bagagem!"/>
    <d v="2025-04-16T16:56:00"/>
    <d v="2025-04-19T22:45:00"/>
    <s v="OUTROS"/>
    <s v="ASSENTO / BAGAGEM"/>
    <s v="CAMPO OBSERVAÇÃO PREENCHIDO INCORRETAMENTE"/>
    <x v="1"/>
    <s v="OPERAÇÕES / SUPORTE KCS"/>
    <n v="118"/>
  </r>
  <r>
    <n v="3370391"/>
    <s v="SABRE"/>
    <x v="934"/>
    <s v="SERGQG"/>
    <s v="SERGQG"/>
    <s v="Código de cliente não identificado&lt;-ObterCliente&lt;-MontarPnrBase&lt;-ProcessarAereo&lt;-ProcessarItemFila[b]"/>
    <d v="2025-04-16T20:32:00"/>
    <m/>
    <s v="CLIENTE"/>
    <s v="CLIENTE NÃO IDENTIFICADO"/>
    <s v="DK DE CLIENTE NÃO PREENCIDO / CLIENTE NÃO CONFIGURADO NO OBT"/>
    <x v="2"/>
    <s v="OPERAÇÕES / SUPORTE KCS"/>
    <s v="COLUNA I"/>
  </r>
  <r>
    <n v="3370392"/>
    <s v="SABRE"/>
    <x v="934"/>
    <s v="FTCFZC"/>
    <s v="FTCFZC"/>
    <s v="Não localizado cliente código [0000286569].&lt;-ObterCliente&lt;-MontarPnrBase&lt;-ProcessarAereo&lt;-ProcessarItemFila[b]"/>
    <d v="2025-04-16T20:32:00"/>
    <m/>
    <s v="CLIENTE"/>
    <s v="CÓD. CLIENTE DIVERGENTE"/>
    <s v="CÓDIGO DIFERENTE DO CADASTRADO NO BENNER (CLIENTE X GRUPO)"/>
    <x v="1"/>
    <s v="SUPORTE OBT"/>
    <n v="1"/>
  </r>
  <r>
    <n v="3370396"/>
    <s v="SABRE"/>
    <x v="934"/>
    <s v="YVWUBC"/>
    <s v="YVWUBC"/>
    <s v="Não localizado cliente código [0000063625].&lt;-ObterCliente&lt;-MontarPnrBase&lt;-ProcessarAereo&lt;-ProcessarItemFila[b]"/>
    <d v="2025-04-16T20:34:00"/>
    <m/>
    <s v="CLIENTE"/>
    <s v="CÓD. CLIENTE DIVERGENTE"/>
    <s v="CÓDIGO DIFERENTE DO CADASTRADO NO BENNER (CLIENTE X GRUPO)"/>
    <x v="1"/>
    <s v="SUPORTE OBT"/>
    <n v="1"/>
  </r>
  <r>
    <n v="3370408"/>
    <s v="SABRE"/>
    <x v="934"/>
    <s v="IVDCUQ"/>
    <s v="IVDCUQ"/>
    <s v="Código de cliente não identificado&lt;-ObterCliente&lt;-MontarPnrBase&lt;-ProcessarAereo&lt;-ProcessarItemFila[b]"/>
    <d v="2025-04-16T20:35:00"/>
    <m/>
    <s v="CLIENTE"/>
    <s v="CLIENTE NÃO IDENTIFICADO"/>
    <s v="DK DE CLIENTE NÃO PREENCIDO / CLIENTE NÃO CONFIGURADO NO OBT"/>
    <x v="2"/>
    <s v="OPERAÇÕES / SUPORTE KCS"/>
    <s v="COLUNA I"/>
  </r>
  <r>
    <n v="3370409"/>
    <s v="SABRE"/>
    <x v="934"/>
    <s v="GGQHNL"/>
    <s v="GGQHNL"/>
    <s v="Código de cliente não identificado&lt;-ObterCliente&lt;-MontarPnrBase&lt;-ProcessarAereo&lt;-ProcessarItemFila[b]"/>
    <d v="2025-04-16T20:35:00"/>
    <m/>
    <s v="CLIENTE"/>
    <s v="CLIENTE NÃO IDENTIFICADO"/>
    <s v="DK DE CLIENTE NÃO PREENCIDO / CLIENTE NÃO CONFIGURADO NO OBT"/>
    <x v="2"/>
    <s v="OPERAÇÕES / SUPORTE KCS"/>
    <s v="COLUNA I"/>
  </r>
  <r>
    <n v="3370410"/>
    <s v="SABRE"/>
    <x v="934"/>
    <s v="GKEHGZ"/>
    <s v="GKEHGZ"/>
    <s v="Não localizado cliente código [1234567890].&lt;-ObterCliente&lt;-MontarPnrBase&lt;-ProcessarAereo&lt;-ProcessarItemFila[b]"/>
    <d v="2025-04-16T20:35:00"/>
    <m/>
    <s v="CLIENTE"/>
    <s v="CÓD. CLIENTE DIVERGENTE"/>
    <s v="CÓDIGO DIFERENTE DO CADASTRADO NO BENNER (CLIENTE X GRUPO)"/>
    <x v="1"/>
    <s v="SUPORTE OBT"/>
    <n v="1"/>
  </r>
  <r>
    <n v="3370411"/>
    <s v="SABRE"/>
    <x v="934"/>
    <s v="QBEJIG"/>
    <s v="QBEJIG"/>
    <s v="Não localizado cliente código [0000387475].&lt;-ObterCliente&lt;-MontarPnrBase&lt;-ProcessarAereo&lt;-ProcessarItemFila[b]"/>
    <d v="2025-04-16T20:35:00"/>
    <m/>
    <s v="CLIENTE"/>
    <s v="CÓD. CLIENTE DIVERGENTE"/>
    <s v="CÓDIGO DIFERENTE DO CADASTRADO NO BENNER (CLIENTE X GRUPO)"/>
    <x v="1"/>
    <s v="SUPORTE OBT"/>
    <n v="1"/>
  </r>
  <r>
    <n v="3370661"/>
    <s v="TMS"/>
    <x v="935"/>
    <n v="46206"/>
    <n v="46206"/>
    <s v="Preenchendo XML Aéreo-&gt; Preenchendo XML-&gt; Montando accounting aereo-&gt;Número do bilhete não identificado"/>
    <d v="2025-04-16T21:58:00"/>
    <d v="2025-04-19T22:41:00"/>
    <s v="OUTROS"/>
    <s v="NOVA MENSAGEM"/>
    <s v=""/>
    <x v="3"/>
    <e v="#N/A"/>
    <s v="COLUNA I"/>
  </r>
  <r>
    <n v="3371154"/>
    <s v="TMS"/>
    <x v="936"/>
    <n v="5228"/>
    <n v="5228"/>
    <s v="Preenchendo XML Aéreo-&gt; Preenchendo XML-&gt; Montando accounting aereo-&gt;Número do bilhete não identificado"/>
    <d v="2025-04-17T09:04:00"/>
    <d v="2025-04-21T14:02:00"/>
    <s v="OUTROS"/>
    <s v="NOVA MENSAGEM"/>
    <s v=""/>
    <x v="1"/>
    <e v="#N/A"/>
    <s v="COLUNA I"/>
  </r>
  <r>
    <n v="3372971"/>
    <s v="TMS"/>
    <x v="937"/>
    <n v="11796"/>
    <n v="11796"/>
    <s v="Preenchendo XML Carro-&gt; Preenchendo XML-&gt; Montando accounting carro-&gt;Fornecedor com o código 70934  informado nos campos gerenciais não encontrado!"/>
    <d v="2025-04-17T17:35:00"/>
    <d v="2025-04-20T23:04:00"/>
    <s v="FORNECEDOR"/>
    <s v="CONTRATO FORNECEDOR"/>
    <s v="CONTRATO INATIVO OU DIVERGENTE"/>
    <x v="0"/>
    <s v="OPERAÇÕES / SUPORTE KCS"/>
    <n v="69"/>
  </r>
  <r>
    <n v="3373004"/>
    <s v="TMS"/>
    <x v="938"/>
    <n v="109"/>
    <n v="109"/>
    <s v="Preenchendo XML Serviço-&gt; Preenchendo XML-&gt; Montando accounting aereo 2-&gt;Não foi informado o Localizador do Assento/Bagagem!"/>
    <d v="2025-04-17T17:40:00"/>
    <d v="2025-04-20T23:04:00"/>
    <s v="OUTROS"/>
    <s v="ASSENTO / BAGAGEM"/>
    <s v="CAMPO OBSERVAÇÃO PREENCHIDO INCORRETAMENTE"/>
    <x v="1"/>
    <s v="OPERAÇÕES / SUPORTE KCS"/>
    <n v="118"/>
  </r>
  <r>
    <n v="3373071"/>
    <s v="SABRE"/>
    <x v="939"/>
    <s v="STLUEFT"/>
    <s v="STLUEF"/>
    <s v="ConverterPagamentosRemark-&gt;The string was not recognized as a valid DateTime. There is an unknown word starting at index 0.&lt;-MontarAccountinsHotel&lt;-ProcessarHotel&lt;-ProcessarItemFila[b]"/>
    <d v="2025-04-17T17:51:00"/>
    <d v="2025-04-22T10:05:00"/>
    <s v="FORMA PAGTO/RECTO"/>
    <s v="REMARK - DATA INCORRETA"/>
    <s v="REMARK U*INFOPAG-CC/REC-CC PREENCHIDO INCORRETAMENTE"/>
    <x v="1"/>
    <s v="OPERAÇÕES / SUPORTE KCS"/>
    <s v="COLUNA I"/>
  </r>
  <r>
    <n v="3373073"/>
    <s v="SABRE"/>
    <x v="940"/>
    <s v="WVXCXNT"/>
    <s v="WVXCXN"/>
    <s v="ConverterPagamentosRemark-&gt;The string was not recognized as a valid DateTime. There is an unknown word starting at index 0.&lt;-MontarAccountinsHotel&lt;-ProcessarHotel&lt;-ProcessarItemFila[b]"/>
    <d v="2025-04-17T17:51:00"/>
    <d v="2025-04-22T10:05:00"/>
    <s v="FORMA PAGTO/RECTO"/>
    <s v="REMARK - DATA INCORRETA"/>
    <s v="REMARK U*INFOPAG-CC/REC-CC PREENCHIDO INCORRETAMENTE"/>
    <x v="1"/>
    <s v="OPERAÇÕES / SUPORTE KCS"/>
    <s v="COLUNA I"/>
  </r>
  <r>
    <n v="3373280"/>
    <s v="TMS"/>
    <x v="941"/>
    <n v="17759"/>
    <n v="17759"/>
    <s v="Preenchendo XML Aéreo-&gt; Preenchendo XML-&gt; Montando accounting aereo-&gt;Número do bilhete não identificado"/>
    <d v="2025-04-17T18:16:00"/>
    <d v="2025-04-20T23:04:00"/>
    <s v="OUTROS"/>
    <s v="NOVA MENSAGEM"/>
    <s v=""/>
    <x v="3"/>
    <e v="#N/A"/>
    <s v="COLUNA I"/>
  </r>
  <r>
    <n v="3373499"/>
    <s v="SABRE"/>
    <x v="942"/>
    <s v="DGMTDN"/>
    <s v="DGMTDN"/>
    <s v="Não localizado cliente código [0000583831].&lt;-ObterCliente&lt;-MontarPnrBase&lt;-ProcessarAereo&lt;-ProcessarItemFila[b]"/>
    <d v="2025-04-17T19:08:00"/>
    <m/>
    <s v="CLIENTE"/>
    <s v="CÓD. CLIENTE DIVERGENTE"/>
    <s v="CÓDIGO DIFERENTE DO CADASTRADO NO BENNER (CLIENTE X GRUPO)"/>
    <x v="1"/>
    <s v="SUPORTE OBT"/>
    <n v="1"/>
  </r>
  <r>
    <n v="3373501"/>
    <s v="SABRE"/>
    <x v="942"/>
    <s v="ANGSCK"/>
    <s v="ANGSCK"/>
    <s v="Código de cliente não identificado&lt;-ObterCliente&lt;-MontarPnrBase&lt;-ProcessarAereo&lt;-ProcessarItemFila[b]"/>
    <d v="2025-04-17T19:08:00"/>
    <m/>
    <s v="CLIENTE"/>
    <s v="CLIENTE NÃO IDENTIFICADO"/>
    <s v="DK DE CLIENTE NÃO PREENCIDO / CLIENTE NÃO CONFIGURADO NO OBT"/>
    <x v="2"/>
    <s v="OPERAÇÕES / SUPORTE KCS"/>
    <s v="COLUNA I"/>
  </r>
  <r>
    <n v="3373506"/>
    <s v="SABRE"/>
    <x v="942"/>
    <s v="OIXRMY"/>
    <s v="OIXRMY"/>
    <s v="Não localizado cliente com CNPJ [JTI PROCESSADORA].&lt;-ObterCliente&lt;-MontarPnrBase&lt;-ProcessarAereo&lt;-ProcessarItemFila[b]"/>
    <d v="2025-04-17T19:09:00"/>
    <m/>
    <s v="CLIENTE"/>
    <s v="REMARK - CNPJ"/>
    <s v=""/>
    <x v="1"/>
    <s v="OPERAÇÕES / SUPORTE KCS"/>
    <n v="24"/>
  </r>
  <r>
    <n v="3373569"/>
    <s v="SABRE"/>
    <x v="943"/>
    <s v="YEKHNQ"/>
    <s v="YEKHNQ"/>
    <s v="Não localizado cliente código [0000392619].&lt;-ObterCliente&lt;-MontarPnrBase&lt;-ProcessarAereo&lt;-ProcessarItemFila[b]"/>
    <d v="2025-04-17T20:33:00"/>
    <m/>
    <s v="CLIENTE"/>
    <s v="CÓD. CLIENTE DIVERGENTE"/>
    <s v="CÓDIGO DIFERENTE DO CADASTRADO NO BENNER (CLIENTE X GRUPO)"/>
    <x v="1"/>
    <s v="SUPORTE OBT"/>
    <n v="1"/>
  </r>
  <r>
    <n v="3374621"/>
    <s v="GOVER"/>
    <x v="944"/>
    <n v="4525379"/>
    <n v="4525379"/>
    <s v="PreencherPnr-&gt;Foi identificado um localizador sem código."/>
    <d v="2025-04-20T15:13:00"/>
    <d v="2025-04-29T08:44:00"/>
    <s v="OUTROS"/>
    <s v="RLOC NÃO INFORMADO"/>
    <s v="RLOC NÃO PREENCHIDO NA RESERVA"/>
    <x v="1"/>
    <s v="SUPORTE OBT"/>
    <s v="COLUNA I"/>
  </r>
  <r>
    <n v="3374833"/>
    <s v="SABRE"/>
    <x v="945"/>
    <s v="MWCRJP"/>
    <s v="MWCRJP"/>
    <s v="Não localizado cliente código [0000068873].&lt;-ObterCliente&lt;-MontarPnrBase&lt;-ProcessarAereo&lt;-ProcessarItemFila[b]"/>
    <d v="2025-04-22T08:05:00"/>
    <m/>
    <s v="CLIENTE"/>
    <s v="CÓD. CLIENTE DIVERGENTE"/>
    <s v="CÓDIGO DIFERENTE DO CADASTRADO NO BENNER (CLIENTE X GRUPO)"/>
    <x v="1"/>
    <s v="SUPORTE OBT"/>
    <n v="1"/>
  </r>
  <r>
    <n v="3374834"/>
    <s v="SABRE"/>
    <x v="945"/>
    <s v="MWCRJPT"/>
    <s v="MWCRJP"/>
    <s v="Não localizado cliente código [0000068873].&lt;-ObterCliente&lt;-MontarPnrBase&lt;-MontarPnr&lt;-ProcessarHotel&lt;-ProcessarItemFila[b]"/>
    <d v="2025-04-22T08:05:00"/>
    <m/>
    <s v="CLIENTE"/>
    <s v="CÓD. CLIENTE DIVERGENTE"/>
    <s v="CÓDIGO DIFERENTE DO CADASTRADO NO BENNER (CLIENTE X GRUPO)"/>
    <x v="1"/>
    <s v="SUPORTE OBT"/>
    <n v="1"/>
  </r>
  <r>
    <n v="3374900"/>
    <s v="SABRE"/>
    <x v="946"/>
    <s v="WYPHIGT"/>
    <s v="WYPHIG"/>
    <s v="Inserindo PNR - Accountings - TurVendas - Não foi possível localizar o contrato do fornecedor 8080"/>
    <d v="2025-04-22T09:02:00"/>
    <m/>
    <s v="FORNECEDOR"/>
    <s v="CONTRATO FORNECEDOR"/>
    <s v="CONTRATO INATIVO OU DIVERGENTE"/>
    <x v="0"/>
    <s v="OPERAÇÕES / SUPORTE KCS"/>
    <n v="43"/>
  </r>
  <r>
    <n v="3374901"/>
    <s v="SABRE"/>
    <x v="947"/>
    <s v="JGKOZZT"/>
    <s v="JGKOZZ"/>
    <s v="Inserindo PNR - Accountings - TurVendas - Não foi possível localizar o contrato do fornecedor 8080"/>
    <d v="2025-04-22T09:02:00"/>
    <d v="2025-04-22T17:46:00"/>
    <s v="FORNECEDOR"/>
    <s v="CONTRATO FORNECEDOR"/>
    <s v="CONTRATO INATIVO OU DIVERGENTE"/>
    <x v="0"/>
    <s v="OPERAÇÕES / SUPORTE KCS"/>
    <n v="43"/>
  </r>
  <r>
    <n v="3374902"/>
    <s v="SABRE"/>
    <x v="948"/>
    <s v="KJEJXPT"/>
    <s v="KJEJXP"/>
    <s v="Inserindo PNR - Accountings - TurVendas - Não foi possível localizar o contrato do fornecedor 8080"/>
    <d v="2025-04-22T09:02:00"/>
    <d v="2025-04-22T17:46:00"/>
    <s v="FORNECEDOR"/>
    <s v="CONTRATO FORNECEDOR"/>
    <s v="CONTRATO INATIVO OU DIVERGENTE"/>
    <x v="0"/>
    <s v="OPERAÇÕES / SUPORTE KCS"/>
    <n v="43"/>
  </r>
  <r>
    <n v="3375058"/>
    <s v="SABRE"/>
    <x v="949"/>
    <s v="YGLCSW"/>
    <s v="YGLCSW"/>
    <s v="Não localizado cliente código [0000068873].&lt;-ObterCliente&lt;-MontarPnrBase&lt;-ProcessarAereo&lt;-ProcessarItemFila[b]"/>
    <d v="2025-04-22T10:52:00"/>
    <d v="2025-04-22T17:52:00"/>
    <s v="CLIENTE"/>
    <s v="CÓD. CLIENTE DIVERGENTE"/>
    <s v="CÓDIGO DIFERENTE DO CADASTRADO NO BENNER (CLIENTE X GRUPO)"/>
    <x v="1"/>
    <s v="SUPORTE OBT"/>
    <n v="1"/>
  </r>
  <r>
    <n v="3375363"/>
    <s v="SABRE"/>
    <x v="950"/>
    <s v="OGTGOA"/>
    <s v="OGTGOA"/>
    <s v="Não localizado cliente código [0000049977].&lt;-ObterCliente&lt;-MontarPnrBase&lt;-ProcessarAereo&lt;-ProcessarItemFila[b]"/>
    <d v="2025-04-22T12:03:00"/>
    <m/>
    <s v="CLIENTE"/>
    <s v="CÓD. CLIENTE DIVERGENTE"/>
    <s v="CÓDIGO DIFERENTE DO CADASTRADO NO BENNER (CLIENTE X GRUPO)"/>
    <x v="1"/>
    <s v="SUPORTE OBT"/>
    <n v="1"/>
  </r>
  <r>
    <n v="3375500"/>
    <s v="TMS"/>
    <x v="951"/>
    <n v="59725"/>
    <n v="59725"/>
    <s v="Preenchendo XML Serviço-&gt; Preenchendo XML-&gt; Montando accounting aereo 2-&gt;Não foi informado o Localizador do Assento/Bagagem!"/>
    <d v="2025-04-22T12:27:00"/>
    <d v="2025-04-25T19:55:00"/>
    <s v="OUTROS"/>
    <s v="ASSENTO / BAGAGEM"/>
    <s v="CAMPO OBSERVAÇÃO PREENCHIDO INCORRETAMENTE"/>
    <x v="1"/>
    <s v="OPERAÇÕES / SUPORTE KCS"/>
    <n v="118"/>
  </r>
  <r>
    <n v="3375886"/>
    <s v="SABRE"/>
    <x v="952"/>
    <s v="KURNAI"/>
    <s v="KURNAI"/>
    <s v="Não localizado cliente código [0000050269].&lt;-ObterCliente&lt;-MontarPnrBase&lt;-ProcessarAereo&lt;-ProcessarItemFila[b]"/>
    <d v="2025-04-22T15:03:00"/>
    <d v="2025-04-23T08:48:00"/>
    <s v="CLIENTE"/>
    <s v="CÓD. CLIENTE DIVERGENTE"/>
    <s v="CÓDIGO DIFERENTE DO CADASTRADO NO BENNER (CLIENTE X GRUPO)"/>
    <x v="1"/>
    <s v="SUPORTE OBT"/>
    <n v="1"/>
  </r>
  <r>
    <n v="3376164"/>
    <s v="SABRE"/>
    <x v="953"/>
    <s v="KTKYHL"/>
    <s v="KTKYHL"/>
    <s v="Não localizado cliente código [0000068957].&lt;-ObterCliente&lt;-MontarPnrBase&lt;-ProcessarAereo&lt;-ProcessarItemFila[b]"/>
    <d v="2025-04-22T17:19:00"/>
    <d v="2025-04-22T20:05:00"/>
    <s v="CLIENTE"/>
    <s v="CÓD. CLIENTE DIVERGENTE"/>
    <s v="CÓDIGO DIFERENTE DO CADASTRADO NO BENNER (CLIENTE X GRUPO)"/>
    <x v="1"/>
    <s v="SUPORTE OBT"/>
    <n v="1"/>
  </r>
  <r>
    <n v="3376168"/>
    <s v="SABRE"/>
    <x v="953"/>
    <s v="FHGYUV"/>
    <s v="FHGYUV"/>
    <s v="Não localizado cliente código [0000050269].&lt;-ObterCliente&lt;-MontarPnrBase&lt;-ProcessarAereo&lt;-ProcessarItemFila[b]"/>
    <d v="2025-04-22T17:20:00"/>
    <d v="2025-04-22T20:05:00"/>
    <s v="CLIENTE"/>
    <s v="CÓD. CLIENTE DIVERGENTE"/>
    <s v="CÓDIGO DIFERENTE DO CADASTRADO NO BENNER (CLIENTE X GRUPO)"/>
    <x v="1"/>
    <s v="SUPORTE OBT"/>
    <n v="1"/>
  </r>
  <r>
    <n v="3376180"/>
    <s v="SABRE"/>
    <x v="953"/>
    <s v="FCYVZN"/>
    <s v="FCYVZN"/>
    <s v="Não localizado cliente código [0000050269].&lt;-ObterCliente&lt;-MontarPnrBase&lt;-ProcessarAereo&lt;-ProcessarItemFila[b]"/>
    <d v="2025-04-22T17:32:00"/>
    <d v="2025-04-22T20:05:00"/>
    <s v="CLIENTE"/>
    <s v="CÓD. CLIENTE DIVERGENTE"/>
    <s v="CÓDIGO DIFERENTE DO CADASTRADO NO BENNER (CLIENTE X GRUPO)"/>
    <x v="1"/>
    <s v="SUPORTE OBT"/>
    <n v="1"/>
  </r>
  <r>
    <n v="3376182"/>
    <s v="SABRE"/>
    <x v="954"/>
    <s v="NOQIXU"/>
    <s v="NOQIXU"/>
    <s v="Não localizado cliente código [0000050269].&lt;-ObterCliente&lt;-MontarPnrBase&lt;-ProcessarAereo&lt;-ProcessarItemFila[b]"/>
    <d v="2025-04-22T17:33:00"/>
    <d v="2025-04-23T08:48:00"/>
    <s v="CLIENTE"/>
    <s v="CÓD. CLIENTE DIVERGENTE"/>
    <s v="CÓDIGO DIFERENTE DO CADASTRADO NO BENNER (CLIENTE X GRUPO)"/>
    <x v="1"/>
    <s v="SUPORTE OBT"/>
    <n v="1"/>
  </r>
  <r>
    <n v="3376188"/>
    <s v="SABRE"/>
    <x v="955"/>
    <s v="YOFUDM"/>
    <s v="YOFUDM"/>
    <s v="Não localizado cliente código [0000069078].&lt;-ObterCliente&lt;-MontarPnrBase&lt;-ProcessarAereo&lt;-ProcessarItemFila[b]"/>
    <d v="2025-04-22T17:33:00"/>
    <d v="2025-04-23T08:48:00"/>
    <s v="CLIENTE"/>
    <s v="CÓD. CLIENTE DIVERGENTE"/>
    <s v="CÓDIGO DIFERENTE DO CADASTRADO NO BENNER (CLIENTE X GRUPO)"/>
    <x v="1"/>
    <s v="SUPORTE OBT"/>
    <n v="1"/>
  </r>
  <r>
    <n v="3376468"/>
    <s v="TMS"/>
    <x v="956"/>
    <n v="44795"/>
    <n v="44795"/>
    <s v="Preenchendo XML Hotel-&gt; Preenchendo XML-&gt; Montando accounting hotel-&gt;Solicitação de hotel referente a esta cotação não foi encontrada (Id Cotação: 1)"/>
    <d v="2025-04-22T18:03:00"/>
    <d v="2025-04-25T19:16:00"/>
    <s v="OUTROS"/>
    <s v="COTAÇÃO"/>
    <s v="INDEFINIDO"/>
    <x v="2"/>
    <s v="SUPORTE OBT"/>
    <s v="COLUNA I"/>
  </r>
  <r>
    <n v="3376605"/>
    <s v="SABRE"/>
    <x v="957"/>
    <s v="HMGABI"/>
    <s v="HMGABI"/>
    <s v="Não localizado cliente código [0000583831].&lt;-ObterCliente&lt;-MontarPnrBase&lt;-ProcessarAereo&lt;-ProcessarItemFila[b]"/>
    <d v="2025-04-22T18:18:00"/>
    <m/>
    <s v="CLIENTE"/>
    <s v="CÓD. CLIENTE DIVERGENTE"/>
    <s v="CÓDIGO DIFERENTE DO CADASTRADO NO BENNER (CLIENTE X GRUPO)"/>
    <x v="1"/>
    <s v="SUPORTE OBT"/>
    <n v="1"/>
  </r>
  <r>
    <n v="3376609"/>
    <s v="SABRE"/>
    <x v="958"/>
    <s v="FNYKVH"/>
    <s v="FNYKVH"/>
    <s v="Não localizado cliente com CNPJ [JTI PROCESSADORA].&lt;-ObterCliente&lt;-MontarPnrBase&lt;-ProcessarAereo&lt;-ProcessarItemFila[b]"/>
    <d v="2025-04-22T18:18:00"/>
    <d v="2025-04-23T16:04:00"/>
    <s v="CLIENTE"/>
    <s v="REMARK - CNPJ"/>
    <s v=""/>
    <x v="3"/>
    <s v="OPERAÇÕES / SUPORTE KCS"/>
    <n v="24"/>
  </r>
  <r>
    <n v="3376684"/>
    <s v="TMS"/>
    <x v="959"/>
    <n v="3580"/>
    <n v="3580"/>
    <s v="Preenchendo XML Serviço-&gt; Preenchendo XML-&gt; Montando accounting aereo 2-&gt;Não foi informado o Localizador do Assento/Bagagem!"/>
    <d v="2025-04-22T18:26:00"/>
    <d v="2025-04-25T19:42:00"/>
    <s v="OUTROS"/>
    <s v="ASSENTO / BAGAGEM"/>
    <s v="CAMPO OBSERVAÇÃO PREENCHIDO INCORRETAMENTE"/>
    <x v="1"/>
    <s v="OPERAÇÕES / SUPORTE KCS"/>
    <n v="118"/>
  </r>
  <r>
    <n v="3376788"/>
    <s v="TMS"/>
    <x v="960"/>
    <n v="59843"/>
    <n v="59843"/>
    <s v="Preenchendo XML Serviço-&gt; Preenchendo XML-&gt; Montando accounting aereo 2-&gt;Não foi informado o Localizador do Assento/Bagagem!"/>
    <d v="2025-04-22T18:37:00"/>
    <d v="2025-04-25T19:55:00"/>
    <s v="OUTROS"/>
    <s v="ASSENTO / BAGAGEM"/>
    <s v="CAMPO OBSERVAÇÃO PREENCHIDO INCORRETAMENTE"/>
    <x v="1"/>
    <s v="OPERAÇÕES / SUPORTE KCS"/>
    <n v="118"/>
  </r>
  <r>
    <n v="3377121"/>
    <s v="TMS"/>
    <x v="961"/>
    <n v="5350"/>
    <n v="5350"/>
    <s v="Preenchendo XML Aéreo-&gt; Preenchendo XML-&gt; Montando accounting aereo-&gt;Número do bilhete não identificado"/>
    <d v="2025-04-22T19:22:00"/>
    <d v="2025-04-25T20:34:00"/>
    <s v="OUTROS"/>
    <s v="NOVA MENSAGEM"/>
    <s v=""/>
    <x v="3"/>
    <e v="#N/A"/>
    <s v="COLUNA I"/>
  </r>
  <r>
    <n v="3377167"/>
    <s v="SABRE"/>
    <x v="962"/>
    <s v="ELJHVJ"/>
    <s v="ELJHVJ"/>
    <s v="Código de cliente não identificado&lt;-ObterCliente&lt;-MontarPnrBase&lt;-ProcessarAereo&lt;-ProcessarItemFila[b]"/>
    <d v="2025-04-22T20:02:00"/>
    <m/>
    <s v="CLIENTE"/>
    <s v="CLIENTE NÃO IDENTIFICADO"/>
    <s v="DK DE CLIENTE NÃO PREENCIDO / CLIENTE NÃO CONFIGURADO NO OBT"/>
    <x v="2"/>
    <s v="OPERAÇÕES / SUPORTE KCS"/>
    <s v="COLUNA I"/>
  </r>
  <r>
    <n v="3377168"/>
    <s v="SABRE"/>
    <x v="962"/>
    <s v="FNZHMG"/>
    <s v="FNZHMG"/>
    <s v="Não localizado cliente código [0000000].&lt;-ObterCliente&lt;-MontarPnrBase&lt;-ProcessarAereo&lt;-ProcessarItemFila[b]"/>
    <d v="2025-04-22T20:03:00"/>
    <m/>
    <s v="CLIENTE"/>
    <s v="CÓD. CLIENTE DIVERGENTE"/>
    <s v="CÓDIGO DIFERENTE DO CADASTRADO NO BENNER (CLIENTE X GRUPO)"/>
    <x v="1"/>
    <s v="SUPORTE OBT"/>
    <n v="1"/>
  </r>
  <r>
    <n v="3377169"/>
    <s v="SABRE"/>
    <x v="963"/>
    <s v="MMJMWS"/>
    <s v="MMJMWS"/>
    <s v="Não localizado cliente código [0000050257].&lt;-ObterCliente&lt;-MontarPnrBase&lt;-ProcessarAereo&lt;-ProcessarItemFila[b]"/>
    <d v="2025-04-22T20:03:00"/>
    <d v="2025-04-24T19:12:00"/>
    <s v="CLIENTE"/>
    <s v="CÓD. CLIENTE DIVERGENTE"/>
    <s v="CÓDIGO DIFERENTE DO CADASTRADO NO BENNER (CLIENTE X GRUPO)"/>
    <x v="1"/>
    <s v="SUPORTE OBT"/>
    <n v="1"/>
  </r>
  <r>
    <n v="3377170"/>
    <s v="SABRE"/>
    <x v="962"/>
    <s v="ECBUTP"/>
    <s v="ECBUTP"/>
    <s v="Não localizado cliente código [0000286569].&lt;-ObterCliente&lt;-MontarPnrBase&lt;-ProcessarAereo&lt;-ProcessarItemFila[b]"/>
    <d v="2025-04-22T20:03:00"/>
    <m/>
    <s v="CLIENTE"/>
    <s v="CÓD. CLIENTE DIVERGENTE"/>
    <s v="CÓDIGO DIFERENTE DO CADASTRADO NO BENNER (CLIENTE X GRUPO)"/>
    <x v="1"/>
    <s v="SUPORTE OBT"/>
    <n v="1"/>
  </r>
  <r>
    <n v="3377643"/>
    <s v="GOVER"/>
    <x v="964"/>
    <n v="4526239"/>
    <n v="4526239"/>
    <s v="PreencherPnr-&gt;Foi identificado um localizador sem código."/>
    <d v="2025-04-23T00:34:00"/>
    <d v="2025-04-29T08:44:00"/>
    <s v="OUTROS"/>
    <s v="RLOC NÃO INFORMADO"/>
    <s v="RLOC NÃO PREENCHIDO NA RESERVA"/>
    <x v="1"/>
    <s v="SUPORTE OBT"/>
    <s v="COLUNA I"/>
  </r>
  <r>
    <n v="3377705"/>
    <s v="SABRE"/>
    <x v="965"/>
    <s v="WGNHVA"/>
    <s v="WGNHVA"/>
    <s v="ERRO: Cancelamento de Venda: Não há PNR no sistema para cancelar, venda não inserida!"/>
    <d v="2025-04-23T08:31:00"/>
    <m/>
    <s v="CANCELAMENTO"/>
    <s v="VENDA CANCELADA"/>
    <s v="RESERVA CANCELADA NO OBT"/>
    <x v="0"/>
    <s v="SUPORTE OBT"/>
    <s v="COLUNA I"/>
  </r>
  <r>
    <n v="3377870"/>
    <s v="SABRE"/>
    <x v="966"/>
    <s v="MJCKAU"/>
    <s v="MJCKAU"/>
    <s v="Código de cliente não identificado&lt;-ObterCliente&lt;-MontarPnrBase&lt;-ProcessarAereo&lt;-ProcessarItemFila[b]"/>
    <d v="2025-04-23T10:34:00"/>
    <m/>
    <s v="CLIENTE"/>
    <s v="CLIENTE NÃO IDENTIFICADO"/>
    <s v="DK DE CLIENTE NÃO PREENCIDO / CLIENTE NÃO CONFIGURADO NO OBT"/>
    <x v="2"/>
    <s v="OPERAÇÕES / SUPORTE KCS"/>
    <s v="COLUNA I"/>
  </r>
  <r>
    <n v="3378173"/>
    <s v="SABRE"/>
    <x v="967"/>
    <s v="SZPOSS"/>
    <s v="SZPOSS"/>
    <s v="Código de cliente não identificado&lt;-ObterCliente&lt;-MontarPnrBase&lt;-ProcessarAereo&lt;-ProcessarItemFila[b]"/>
    <d v="2025-04-23T12:18:00"/>
    <m/>
    <s v="CLIENTE"/>
    <s v="CLIENTE NÃO IDENTIFICADO"/>
    <s v="DK DE CLIENTE NÃO PREENCIDO / CLIENTE NÃO CONFIGURADO NO OBT"/>
    <x v="2"/>
    <s v="OPERAÇÕES / SUPORTE KCS"/>
    <s v="COLUNA I"/>
  </r>
  <r>
    <n v="3378240"/>
    <s v="TMS"/>
    <x v="968"/>
    <n v="4721"/>
    <n v="4721"/>
    <s v="Preenchendo XML Carro-&gt; Preenchendo XML-&gt; Montando accounting carro-&gt;Fornecedor com o código 415368  informado nos campos gerenciais não encontrado!"/>
    <d v="2025-04-23T12:26:00"/>
    <d v="2025-04-26T18:57:00"/>
    <s v="FORNECEDOR"/>
    <s v="CONTRATO FORNECEDOR"/>
    <s v="CONTRATO INATIVO OU DIVERGENTE"/>
    <x v="0"/>
    <s v="OPERAÇÕES / SUPORTE KCS"/>
    <n v="69"/>
  </r>
  <r>
    <n v="3378774"/>
    <s v="GOVER"/>
    <x v="969"/>
    <n v="4525508"/>
    <n v="18094072"/>
    <s v="PreencherPnr-&gt;Forma pagamento Cartão-&gt; Não foi possível determinar a validade do cartão, favor verificar os dados do cartão &lt;Id&gt;1452239&lt;/Id&gt;."/>
    <d v="2025-04-23T16:15:00"/>
    <m/>
    <s v="FORMA PAGTO/RECTO"/>
    <s v="DADOS DO CARTÃO"/>
    <s v="TAG &lt;CARTAOVALIDADE&gt; NÃO ENVIADA"/>
    <x v="0"/>
    <s v="SUPORTE OBT"/>
    <n v="40"/>
  </r>
  <r>
    <n v="3378806"/>
    <s v="SABRE"/>
    <x v="970"/>
    <s v="FOUZLL"/>
    <s v="FOUZLL"/>
    <s v="Não localizado cliente código [0000049977].&lt;-ObterCliente&lt;-MontarPnrBase&lt;-ProcessarAereo&lt;-ProcessarItemFila[b]"/>
    <d v="2025-04-23T16:35:00"/>
    <m/>
    <s v="CLIENTE"/>
    <s v="CÓD. CLIENTE DIVERGENTE"/>
    <s v="CÓDIGO DIFERENTE DO CADASTRADO NO BENNER (CLIENTE X GRUPO)"/>
    <x v="1"/>
    <s v="SUPORTE OBT"/>
    <n v="1"/>
  </r>
  <r>
    <n v="3378807"/>
    <s v="SABRE"/>
    <x v="970"/>
    <s v="SWGBYS"/>
    <s v="SWGBYS"/>
    <s v="Não localizado cliente código [0000049977].&lt;-ObterCliente&lt;-MontarPnrBase&lt;-ProcessarAereo&lt;-ProcessarItemFila[b]"/>
    <d v="2025-04-23T16:35:00"/>
    <m/>
    <s v="CLIENTE"/>
    <s v="CÓD. CLIENTE DIVERGENTE"/>
    <s v="CÓDIGO DIFERENTE DO CADASTRADO NO BENNER (CLIENTE X GRUPO)"/>
    <x v="1"/>
    <s v="SUPORTE OBT"/>
    <n v="1"/>
  </r>
  <r>
    <n v="3378812"/>
    <s v="SABRE"/>
    <x v="970"/>
    <s v="FOROHS"/>
    <s v="FOROHS"/>
    <s v="Código de cliente não identificado&lt;-ObterCliente&lt;-MontarPnrBase&lt;-ProcessarAereo&lt;-ProcessarItemFila[b]"/>
    <d v="2025-04-23T16:36:00"/>
    <m/>
    <s v="CLIENTE"/>
    <s v="CLIENTE NÃO IDENTIFICADO"/>
    <s v="DK DE CLIENTE NÃO PREENCIDO / CLIENTE NÃO CONFIGURADO NO OBT"/>
    <x v="2"/>
    <s v="OPERAÇÕES / SUPORTE KCS"/>
    <s v="COLUNA I"/>
  </r>
  <r>
    <n v="3378829"/>
    <s v="SABRE"/>
    <x v="971"/>
    <s v="SQZFKNT"/>
    <s v="SQZFKN"/>
    <s v="Inserindo PNR - Accountings - TurVendas - Não foi possível localizar o contrato do fornecedor H84698"/>
    <d v="2025-04-23T16:46:00"/>
    <m/>
    <s v="FORNECEDOR"/>
    <s v="CONTRATO FORNECEDOR"/>
    <s v="CONTRATO INATIVO OU DIVERGENTE"/>
    <x v="0"/>
    <s v="OPERAÇÕES / SUPORTE KCS"/>
    <n v="43"/>
  </r>
  <r>
    <n v="3379060"/>
    <s v="TMS"/>
    <x v="972"/>
    <n v="6313"/>
    <n v="6313"/>
    <s v="Preenchendo XML Serviço-&gt; Preenchendo XML-&gt; Montando accounting aereo 2-&gt;Não foi informado o Localizador do Assento/Bagagem!"/>
    <d v="2025-04-23T17:58:00"/>
    <d v="2025-04-26T18:56:00"/>
    <s v="OUTROS"/>
    <s v="ASSENTO / BAGAGEM"/>
    <s v="CAMPO OBSERVAÇÃO PREENCHIDO INCORRETAMENTE"/>
    <x v="1"/>
    <s v="OPERAÇÕES / SUPORTE KCS"/>
    <n v="118"/>
  </r>
  <r>
    <n v="3379527"/>
    <s v="TMS"/>
    <x v="973"/>
    <n v="17"/>
    <n v="17"/>
    <s v="Preenchendo XML Serviço-&gt; Preenchendo XML-&gt; Montando accounting aereo 3-&gt;Reserva GENIAL não encontrada para importar assento/bagagem!"/>
    <d v="2025-04-23T18:46:00"/>
    <d v="2025-04-26T18:57:00"/>
    <s v="OUTROS"/>
    <s v="ASSENTO / BAGAGEM"/>
    <s v="CAMPO OBSERVAÇÃO PREENCHIDO INCORRETAMENTE"/>
    <x v="1"/>
    <s v="OPERAÇÕES / SUPORTE KCS"/>
    <n v="127"/>
  </r>
  <r>
    <n v="3379973"/>
    <s v="SABRE"/>
    <x v="974"/>
    <s v="HWDVLN"/>
    <s v="HWDVLN"/>
    <s v="Não localizado cliente código [0000063625].&lt;-ObterCliente&lt;-MontarPnrBase&lt;-ProcessarAereo&lt;-ProcessarItemFila[b]"/>
    <d v="2025-04-23T19:48:00"/>
    <m/>
    <s v="CLIENTE"/>
    <s v="CÓD. CLIENTE DIVERGENTE"/>
    <s v="CÓDIGO DIFERENTE DO CADASTRADO NO BENNER (CLIENTE X GRUPO)"/>
    <x v="1"/>
    <s v="SUPORTE OBT"/>
    <n v="1"/>
  </r>
  <r>
    <n v="3380033"/>
    <s v="SABRE"/>
    <x v="975"/>
    <s v="EFFUIW"/>
    <s v="EFFUIW"/>
    <s v="Não localizado cliente código [1234567890].&lt;-ObterCliente&lt;-MontarPnrBase&lt;-ProcessarAereo&lt;-ProcessarItemFila[b]"/>
    <d v="2025-04-23T20:33:00"/>
    <m/>
    <s v="CLIENTE"/>
    <s v="CÓD. CLIENTE DIVERGENTE"/>
    <s v="CÓDIGO DIFERENTE DO CADASTRADO NO BENNER (CLIENTE X GRUPO)"/>
    <x v="1"/>
    <s v="SUPORTE OBT"/>
    <n v="1"/>
  </r>
  <r>
    <n v="3380274"/>
    <s v="TMS"/>
    <x v="976"/>
    <n v="3604"/>
    <n v="3604"/>
    <s v="Preenchendo XML Serviço-&gt; Preenchendo XML-&gt; Montando accounting aereo 2-&gt;Não foi informado o Localizador do Assento/Bagagem!"/>
    <d v="2025-04-24T06:16:00"/>
    <d v="2025-04-27T19:17:00"/>
    <s v="OUTROS"/>
    <s v="ASSENTO / BAGAGEM"/>
    <s v="CAMPO OBSERVAÇÃO PREENCHIDO INCORRETAMENTE"/>
    <x v="1"/>
    <s v="OPERAÇÕES / SUPORTE KCS"/>
    <n v="118"/>
  </r>
  <r>
    <n v="3381646"/>
    <s v="SABRE"/>
    <x v="977"/>
    <s v="AMEVQDT"/>
    <s v="AMEVQD"/>
    <s v="ConverterPagamentosRemark-&gt;Input string was not in a correct format.&lt;-MontarAccountinsHotel&lt;-ProcessarHotel&lt;-ProcessarItemFila[b]"/>
    <d v="2025-04-24T17:35:00"/>
    <m/>
    <s v="FORMA PAGTO/RECTO"/>
    <s v="FORMATO DE TEXTO"/>
    <s v="TEXTO FORA DO PADRÃO ACEITO NO CAMPO"/>
    <x v="2"/>
    <s v="SUPORTE OBT"/>
    <s v="COLUNA I"/>
  </r>
  <r>
    <n v="3381923"/>
    <s v="SABRE"/>
    <x v="978"/>
    <s v="GXFGMK"/>
    <s v="GXFGMK"/>
    <s v="Código de cliente não identificado&lt;-ObterCliente&lt;-MontarPnrBase&lt;-ProcessarAereo&lt;-ProcessarItemFila[b]"/>
    <d v="2025-04-24T18:32:00"/>
    <d v="2025-04-25T09:01:00"/>
    <s v="CLIENTE"/>
    <s v="CLIENTE NÃO IDENTIFICADO"/>
    <s v="DK DE CLIENTE NÃO PREENCIDO / CLIENTE NÃO CONFIGURADO NO OBT"/>
    <x v="2"/>
    <s v="OPERAÇÕES / SUPORTE KCS"/>
    <s v="COLUNA I"/>
  </r>
  <r>
    <n v="3382223"/>
    <s v="TMS"/>
    <x v="979"/>
    <n v="20888"/>
    <n v="20888"/>
    <s v="Preenchendo XML Carro-&gt; Preenchendo XML-&gt; Montando accounting carro-&gt;Fornecedor com o código 415368  informado nos campos gerenciais não encontrado!"/>
    <d v="2025-04-24T19:03:00"/>
    <d v="2025-04-27T19:17:00"/>
    <s v="FORNECEDOR"/>
    <s v="CONTRATO FORNECEDOR"/>
    <s v="CONTRATO INATIVO OU DIVERGENTE"/>
    <x v="0"/>
    <s v="OPERAÇÕES / SUPORTE KCS"/>
    <n v="69"/>
  </r>
  <r>
    <n v="3382261"/>
    <s v="SABRE"/>
    <x v="963"/>
    <s v="LWPPXE"/>
    <s v="LWPPXE"/>
    <s v="Não localizado cliente código [0000583831].&lt;-ObterCliente&lt;-MontarPnrBase&lt;-ProcessarAereo&lt;-ProcessarItemFila[b]"/>
    <d v="2025-04-24T19:07:00"/>
    <m/>
    <s v="CLIENTE"/>
    <s v="CÓD. CLIENTE DIVERGENTE"/>
    <s v="CÓDIGO DIFERENTE DO CADASTRADO NO BENNER (CLIENTE X GRUPO)"/>
    <x v="1"/>
    <s v="SUPORTE OBT"/>
    <n v="1"/>
  </r>
  <r>
    <n v="3382264"/>
    <s v="SABRE"/>
    <x v="963"/>
    <s v="HDQRUD"/>
    <s v="HDQRUD"/>
    <s v="Não localizado cliente código [0000583831].&lt;-ObterCliente&lt;-MontarPnrBase&lt;-ProcessarAereo&lt;-ProcessarItemFila[b]"/>
    <d v="2025-04-24T19:07:00"/>
    <m/>
    <s v="CLIENTE"/>
    <s v="CÓD. CLIENTE DIVERGENTE"/>
    <s v="CÓDIGO DIFERENTE DO CADASTRADO NO BENNER (CLIENTE X GRUPO)"/>
    <x v="1"/>
    <s v="SUPORTE OBT"/>
    <n v="1"/>
  </r>
  <r>
    <n v="3382280"/>
    <s v="SABRE"/>
    <x v="963"/>
    <s v="CYWJVS"/>
    <s v="CYWJVS"/>
    <s v="Não localizado cliente código [0000000].&lt;-ObterCliente&lt;-MontarPnrBase&lt;-ProcessarAereo&lt;-ProcessarItemFila[b]"/>
    <d v="2025-04-24T19:09:00"/>
    <m/>
    <s v="CLIENTE"/>
    <s v="CÓD. CLIENTE DIVERGENTE"/>
    <s v="CÓDIGO DIFERENTE DO CADASTRADO NO BENNER (CLIENTE X GRUPO)"/>
    <x v="1"/>
    <s v="SUPORTE OBT"/>
    <n v="1"/>
  </r>
  <r>
    <n v="3382290"/>
    <s v="SABRE"/>
    <x v="963"/>
    <s v="SCODNW"/>
    <s v="SCODNW"/>
    <s v="Não localizado cliente código [1234567890].&lt;-ObterCliente&lt;-MontarPnrBase&lt;-ProcessarAereo&lt;-ProcessarItemFila[b]"/>
    <d v="2025-04-24T19:10:00"/>
    <m/>
    <s v="CLIENTE"/>
    <s v="CÓD. CLIENTE DIVERGENTE"/>
    <s v="CÓDIGO DIFERENTE DO CADASTRADO NO BENNER (CLIENTE X GRUPO)"/>
    <x v="1"/>
    <s v="SUPORTE OBT"/>
    <n v="1"/>
  </r>
  <r>
    <n v="3382304"/>
    <s v="SABRE"/>
    <x v="963"/>
    <s v="ECWKRU"/>
    <s v="ECWKRU"/>
    <s v="Não localizado cliente código [0000050257].&lt;-ObterCliente&lt;-MontarPnrBase&lt;-ProcessarAereo&lt;-ProcessarItemFila[b]"/>
    <d v="2025-04-24T19:11:00"/>
    <m/>
    <s v="CLIENTE"/>
    <s v="CÓD. CLIENTE DIVERGENTE"/>
    <s v="CÓDIGO DIFERENTE DO CADASTRADO NO BENNER (CLIENTE X GRUPO)"/>
    <x v="1"/>
    <s v="SUPORTE OBT"/>
    <n v="1"/>
  </r>
  <r>
    <n v="3382307"/>
    <s v="SABRE"/>
    <x v="963"/>
    <s v="EDXQJF"/>
    <s v="EDXQJF"/>
    <s v="Não localizado cliente código [0000050257].&lt;-ObterCliente&lt;-MontarPnrBase&lt;-ProcessarAereo&lt;-ProcessarItemFila[b]"/>
    <d v="2025-04-24T19:11:00"/>
    <m/>
    <s v="CLIENTE"/>
    <s v="CÓD. CLIENTE DIVERGENTE"/>
    <s v="CÓDIGO DIFERENTE DO CADASTRADO NO BENNER (CLIENTE X GRUPO)"/>
    <x v="1"/>
    <s v="SUPORTE OBT"/>
    <n v="1"/>
  </r>
  <r>
    <n v="3382310"/>
    <s v="SABRE"/>
    <x v="963"/>
    <s v="EHUTTL"/>
    <s v="EHUTTL"/>
    <s v="Não localizado cliente código [0000000].&lt;-ObterCliente&lt;-MontarPnrBase&lt;-ProcessarAereo&lt;-ProcessarItemFila[b]"/>
    <d v="2025-04-24T19:12:00"/>
    <m/>
    <s v="CLIENTE"/>
    <s v="CÓD. CLIENTE DIVERGENTE"/>
    <s v="CÓDIGO DIFERENTE DO CADASTRADO NO BENNER (CLIENTE X GRUPO)"/>
    <x v="1"/>
    <s v="SUPORTE OBT"/>
    <n v="1"/>
  </r>
  <r>
    <n v="3382313"/>
    <s v="SABRE"/>
    <x v="963"/>
    <s v="DMRFNT"/>
    <s v="DMRFNT"/>
    <s v="Não localizado cliente código [0000392619].&lt;-ObterCliente&lt;-MontarPnrBase&lt;-ProcessarAereo&lt;-ProcessarItemFila[b]"/>
    <d v="2025-04-24T19:12:00"/>
    <m/>
    <s v="CLIENTE"/>
    <s v="CÓD. CLIENTE DIVERGENTE"/>
    <s v="CÓDIGO DIFERENTE DO CADASTRADO NO BENNER (CLIENTE X GRUPO)"/>
    <x v="1"/>
    <s v="SUPORTE OBT"/>
    <n v="1"/>
  </r>
  <r>
    <n v="3382329"/>
    <s v="SABRE"/>
    <x v="963"/>
    <s v="DLQSEF"/>
    <s v="DLQSEF"/>
    <s v="Código de cliente não identificado&lt;-ObterCliente&lt;-MontarPnrBase&lt;-ProcessarAereo&lt;-ProcessarItemFila[b]"/>
    <d v="2025-04-24T19:14:00"/>
    <m/>
    <s v="CLIENTE"/>
    <s v="CLIENTE NÃO IDENTIFICADO"/>
    <s v="DK DE CLIENTE NÃO PREENCIDO / CLIENTE NÃO CONFIGURADO NO OBT"/>
    <x v="2"/>
    <s v="OPERAÇÕES / SUPORTE KCS"/>
    <s v="COLUNA I"/>
  </r>
  <r>
    <n v="3382453"/>
    <s v="TMS"/>
    <x v="980"/>
    <n v="11922"/>
    <n v="11922"/>
    <s v="Preenchendo XML Serviço-&gt; Preenchendo XML-&gt; Montando accounting aereo 2-&gt;Não foi informado o Localizador do Assento/Bagagem!"/>
    <d v="2025-04-24T19:29:00"/>
    <d v="2025-04-27T19:17:00"/>
    <s v="OUTROS"/>
    <s v="ASSENTO / BAGAGEM"/>
    <s v="CAMPO OBSERVAÇÃO PREENCHIDO INCORRETAMENTE"/>
    <x v="1"/>
    <s v="OPERAÇÕES / SUPORTE KCS"/>
    <n v="118"/>
  </r>
  <r>
    <n v="3382666"/>
    <s v="SABRE"/>
    <x v="981"/>
    <s v="HATWUY"/>
    <s v="HATWUY"/>
    <s v="Código de cliente não identificado&lt;-ObterCliente&lt;-MontarPnrBase&lt;-ProcessarAereo&lt;-ProcessarItemFila[b]"/>
    <d v="2025-04-24T20:19:00"/>
    <m/>
    <s v="CLIENTE"/>
    <s v="CLIENTE NÃO IDENTIFICADO"/>
    <s v="DK DE CLIENTE NÃO PREENCIDO / CLIENTE NÃO CONFIGURADO NO OBT"/>
    <x v="2"/>
    <s v="OPERAÇÕES / SUPORTE KCS"/>
    <s v="COLUNA I"/>
  </r>
  <r>
    <n v="3382668"/>
    <s v="SABRE"/>
    <x v="981"/>
    <s v="WBYDIA"/>
    <s v="WBYDIA"/>
    <s v="Código de cliente não identificado&lt;-ObterCliente&lt;-MontarPnrBase&lt;-ProcessarAereo&lt;-ProcessarItemFila[b]"/>
    <d v="2025-04-24T20:19:00"/>
    <m/>
    <s v="CLIENTE"/>
    <s v="CLIENTE NÃO IDENTIFICADO"/>
    <s v="DK DE CLIENTE NÃO PREENCIDO / CLIENTE NÃO CONFIGURADO NO OBT"/>
    <x v="2"/>
    <s v="OPERAÇÕES / SUPORTE KCS"/>
    <s v="COLUNA I"/>
  </r>
  <r>
    <n v="3382669"/>
    <s v="SABRE"/>
    <x v="981"/>
    <s v="WPHTIU"/>
    <s v="WPHTIU"/>
    <s v="Código de cliente não identificado&lt;-ObterCliente&lt;-MontarPnrBase&lt;-ProcessarAereo&lt;-ProcessarItemFila[b]"/>
    <d v="2025-04-24T20:19:00"/>
    <m/>
    <s v="CLIENTE"/>
    <s v="CLIENTE NÃO IDENTIFICADO"/>
    <s v="DK DE CLIENTE NÃO PREENCIDO / CLIENTE NÃO CONFIGURADO NO OBT"/>
    <x v="2"/>
    <s v="OPERAÇÕES / SUPORTE KCS"/>
    <s v="COLUNA I"/>
  </r>
  <r>
    <n v="3382670"/>
    <s v="SABRE"/>
    <x v="981"/>
    <s v="DRMTFC"/>
    <s v="DRMTFC"/>
    <s v="Código de cliente não identificado&lt;-ObterCliente&lt;-MontarPnrBase&lt;-ProcessarAereo&lt;-ProcessarItemFila[b]"/>
    <d v="2025-04-24T20:19:00"/>
    <m/>
    <s v="CLIENTE"/>
    <s v="CLIENTE NÃO IDENTIFICADO"/>
    <s v="DK DE CLIENTE NÃO PREENCIDO / CLIENTE NÃO CONFIGURADO NO OBT"/>
    <x v="2"/>
    <s v="OPERAÇÕES / SUPORTE KCS"/>
    <s v="COLUNA I"/>
  </r>
  <r>
    <n v="3383186"/>
    <s v="SABRE"/>
    <x v="982"/>
    <s v="AKPJXS"/>
    <s v="AKPJXS"/>
    <s v="Não localizado cliente com CNPJ [JTI PROCESSADORA].&lt;-ObterCliente&lt;-MontarPnrBase&lt;-ProcessarAereo&lt;-ProcessarItemFila[b]"/>
    <d v="2025-04-25T11:34:00"/>
    <d v="2025-04-28T13:34:00"/>
    <s v="CLIENTE"/>
    <s v="REMARK - CNPJ"/>
    <s v=""/>
    <x v="1"/>
    <s v="OPERAÇÕES / SUPORTE KCS"/>
    <n v="24"/>
  </r>
  <r>
    <n v="3383192"/>
    <s v="SABRE"/>
    <x v="983"/>
    <s v="YMPHNY"/>
    <s v="YMPHNY"/>
    <s v="Não localizado cliente código [0000000].&lt;-ObterCliente&lt;-MontarPnrBase&lt;-ProcessarAereo&lt;-ProcessarItemFila[b]"/>
    <d v="2025-04-25T11:35:00"/>
    <m/>
    <s v="CLIENTE"/>
    <s v="CÓD. CLIENTE DIVERGENTE"/>
    <s v="CÓDIGO DIFERENTE DO CADASTRADO NO BENNER (CLIENTE X GRUPO)"/>
    <x v="1"/>
    <s v="SUPORTE OBT"/>
    <n v="1"/>
  </r>
  <r>
    <n v="3383214"/>
    <s v="SABRE"/>
    <x v="983"/>
    <s v="FBWEME"/>
    <s v="FBWEME"/>
    <s v="Código de cliente não identificado&lt;-ObterCliente&lt;-MontarPnrBase&lt;-ProcessarAereo&lt;-ProcessarItemFila[b]"/>
    <d v="2025-04-25T11:36:00"/>
    <m/>
    <s v="CLIENTE"/>
    <s v="CLIENTE NÃO IDENTIFICADO"/>
    <s v="DK DE CLIENTE NÃO PREENCIDO / CLIENTE NÃO CONFIGURADO NO OBT"/>
    <x v="2"/>
    <s v="OPERAÇÕES / SUPORTE KCS"/>
    <s v="COLUNA I"/>
  </r>
  <r>
    <n v="3383758"/>
    <s v="SABRE"/>
    <x v="984"/>
    <s v="LVPHIVT"/>
    <s v="LVPHIV"/>
    <s v="Verificando Formas Pagamento/Recebimento - Inserindo Parâmetros - TurVendas - Não foi possível localizar o contrato do fornecedor 49298"/>
    <d v="2025-04-25T13:36:00"/>
    <d v="2025-04-25T14:21:00"/>
    <s v="FORNECEDOR"/>
    <s v="NOVA MENSAGEM"/>
    <s v=""/>
    <x v="3"/>
    <e v="#N/A"/>
    <n v="79"/>
  </r>
  <r>
    <n v="3383929"/>
    <s v="SABRE"/>
    <x v="985"/>
    <s v="HXWWJNT"/>
    <s v="HXWWJN"/>
    <s v="Verificando Formas Pagto/Rec - (ExecSQL) - TurVendas - Não foi possível localizar o contrato do fornecedor H84698"/>
    <d v="2025-04-25T14:01:00"/>
    <m/>
    <s v="FORNECEDOR"/>
    <s v="CONTRATO FORNECEDOR"/>
    <s v="CONTRATO INATIVO OU DIVERGENTE"/>
    <x v="0"/>
    <s v="OPERAÇÕES / SUPORTE KCS"/>
    <n v="56"/>
  </r>
  <r>
    <n v="3384270"/>
    <s v="SABRE"/>
    <x v="986"/>
    <s v="EYDDXD"/>
    <s v="EYDDXD"/>
    <s v="Inserindo Accounting - (ExecSQL) - List index out of bounds (0)"/>
    <d v="2025-04-25T16:08:00"/>
    <m/>
    <s v="OUTROS"/>
    <s v="ERRO DE SQL"/>
    <s v="ERRO NA IMPORTAÇÃO/MODIFICAÇÃO DAS INFOMAÇÕES"/>
    <x v="0"/>
    <s v="SUPORTE BENNER"/>
    <s v="COLUNA I"/>
  </r>
  <r>
    <n v="3384347"/>
    <s v="SABRE"/>
    <x v="987"/>
    <s v="NJMTAA"/>
    <s v="NJMTAA"/>
    <s v="Inserindo Accounting - (ExecSQL) - List index out of bounds (0)"/>
    <d v="2025-04-25T16:37:00"/>
    <m/>
    <s v="OUTROS"/>
    <s v="ERRO DE SQL"/>
    <s v="ERRO NA IMPORTAÇÃO/MODIFICAÇÃO DAS INFOMAÇÕES"/>
    <x v="0"/>
    <s v="SUPORTE BENNER"/>
    <s v="COLUNA I"/>
  </r>
  <r>
    <n v="3384634"/>
    <s v="SABRE"/>
    <x v="988"/>
    <s v="UBXSOPT"/>
    <s v="UBXSOP"/>
    <s v="Inserindo PNR - Accountings - TurVendas - Não foi possível localizar o contrato do fornecedor 49298"/>
    <d v="2025-04-25T18:07:00"/>
    <m/>
    <s v="FORNECEDOR"/>
    <s v="CONTRATO FORNECEDOR"/>
    <s v="CONTRATO INATIVO OU DIVERGENTE"/>
    <x v="0"/>
    <s v="OPERAÇÕES / SUPORTE KCS"/>
    <n v="43"/>
  </r>
  <r>
    <n v="3385309"/>
    <s v="TMS"/>
    <x v="989"/>
    <n v="20920"/>
    <n v="20920"/>
    <s v="Preenchendo XML Serviço-&gt; Preenchendo XML-&gt; Montando accounting aereo 2-&gt;Não foi informado o Localizador do Assento/Bagagem!"/>
    <d v="2025-04-25T19:31:00"/>
    <d v="2025-04-28T14:24:00"/>
    <s v="OUTROS"/>
    <s v="ASSENTO / BAGAGEM"/>
    <s v="CAMPO OBSERVAÇÃO PREENCHIDO INCORRETAMENTE"/>
    <x v="1"/>
    <s v="OPERAÇÕES / SUPORTE KCS"/>
    <n v="118"/>
  </r>
  <r>
    <n v="3385370"/>
    <s v="SABRE"/>
    <x v="990"/>
    <s v="FPNCDR"/>
    <s v="FPNCDR"/>
    <s v="Código de cliente não identificado&lt;-ObterCliente&lt;-MontarPnrBase&lt;-ProcessarAereo&lt;-ProcessarItemFila[b]"/>
    <d v="2025-04-25T19:36:00"/>
    <m/>
    <s v="CLIENTE"/>
    <s v="CLIENTE NÃO IDENTIFICADO"/>
    <s v="DK DE CLIENTE NÃO PREENCIDO / CLIENTE NÃO CONFIGURADO NO OBT"/>
    <x v="2"/>
    <s v="OPERAÇÕES / SUPORTE KCS"/>
    <s v="COLUNA I"/>
  </r>
  <r>
    <n v="3385371"/>
    <s v="SABRE"/>
    <x v="990"/>
    <s v="SXSYCT"/>
    <s v="SXSYCT"/>
    <s v="Código de cliente não identificado&lt;-ObterCliente&lt;-MontarPnrBase&lt;-ProcessarAereo&lt;-ProcessarItemFila[b]"/>
    <d v="2025-04-25T19:36:00"/>
    <m/>
    <s v="CLIENTE"/>
    <s v="CLIENTE NÃO IDENTIFICADO"/>
    <s v="DK DE CLIENTE NÃO PREENCIDO / CLIENTE NÃO CONFIGURADO NO OBT"/>
    <x v="2"/>
    <s v="OPERAÇÕES / SUPORTE KCS"/>
    <s v="COLUNA I"/>
  </r>
  <r>
    <n v="3385372"/>
    <s v="SABRE"/>
    <x v="990"/>
    <s v="NVNXZK"/>
    <s v="NVNXZK"/>
    <s v="Código de cliente não identificado&lt;-ObterCliente&lt;-MontarPnrBase&lt;-ProcessarAereo&lt;-ProcessarItemFila[b]"/>
    <d v="2025-04-25T19:36:00"/>
    <m/>
    <s v="CLIENTE"/>
    <s v="CLIENTE NÃO IDENTIFICADO"/>
    <s v="DK DE CLIENTE NÃO PREENCIDO / CLIENTE NÃO CONFIGURADO NO OBT"/>
    <x v="2"/>
    <s v="OPERAÇÕES / SUPORTE KCS"/>
    <s v="COLUNA I"/>
  </r>
  <r>
    <n v="3385373"/>
    <s v="SABRE"/>
    <x v="990"/>
    <s v="MMLJGF"/>
    <s v="MMLJGF"/>
    <s v="Código de cliente não identificado&lt;-ObterCliente&lt;-MontarPnrBase&lt;-ProcessarAereo&lt;-ProcessarItemFila[b]"/>
    <d v="2025-04-25T19:36:00"/>
    <m/>
    <s v="CLIENTE"/>
    <s v="CLIENTE NÃO IDENTIFICADO"/>
    <s v="DK DE CLIENTE NÃO PREENCIDO / CLIENTE NÃO CONFIGURADO NO OBT"/>
    <x v="2"/>
    <s v="OPERAÇÕES / SUPORTE KCS"/>
    <s v="COLUNA I"/>
  </r>
  <r>
    <n v="3385379"/>
    <s v="SABRE"/>
    <x v="990"/>
    <s v="SYOIFJ"/>
    <s v="SYOIFJ"/>
    <s v="Não localizado cliente código [1234567890].&lt;-ObterCliente&lt;-MontarPnrBase&lt;-ProcessarAereo&lt;-ProcessarItemFila[b]"/>
    <d v="2025-04-25T19:37:00"/>
    <m/>
    <s v="CLIENTE"/>
    <s v="CÓD. CLIENTE DIVERGENTE"/>
    <s v="CÓDIGO DIFERENTE DO CADASTRADO NO BENNER (CLIENTE X GRUPO)"/>
    <x v="1"/>
    <s v="SUPORTE OBT"/>
    <n v="1"/>
  </r>
  <r>
    <n v="3385381"/>
    <s v="SABRE"/>
    <x v="990"/>
    <s v="EXBEON"/>
    <s v="EXBEON"/>
    <s v="Não localizado cliente código [1234567890].&lt;-ObterCliente&lt;-MontarPnrBase&lt;-ProcessarAereo&lt;-ProcessarItemFila[b]"/>
    <d v="2025-04-25T19:37:00"/>
    <m/>
    <s v="CLIENTE"/>
    <s v="CÓD. CLIENTE DIVERGENTE"/>
    <s v="CÓDIGO DIFERENTE DO CADASTRADO NO BENNER (CLIENTE X GRUPO)"/>
    <x v="1"/>
    <s v="SUPORTE OBT"/>
    <n v="1"/>
  </r>
  <r>
    <n v="3385390"/>
    <s v="SABRE"/>
    <x v="990"/>
    <s v="SBRARU"/>
    <s v="SBRARU"/>
    <s v="Não localizado cliente código [0000583808].&lt;-ObterCliente&lt;-MontarPnrBase&lt;-ProcessarAereo&lt;-ProcessarItemFila[b]"/>
    <d v="2025-04-25T19:37:00"/>
    <m/>
    <s v="CLIENTE"/>
    <s v="CÓD. CLIENTE DIVERGENTE"/>
    <s v="CÓDIGO DIFERENTE DO CADASTRADO NO BENNER (CLIENTE X GRUPO)"/>
    <x v="1"/>
    <s v="SUPORTE OBT"/>
    <n v="1"/>
  </r>
  <r>
    <n v="3385393"/>
    <s v="SABRE"/>
    <x v="990"/>
    <s v="ECEXHE"/>
    <s v="ECEXHE"/>
    <s v="Não localizado cliente código [0000583808].&lt;-ObterCliente&lt;-MontarPnrBase&lt;-ProcessarAereo&lt;-ProcessarItemFila[b]"/>
    <d v="2025-04-25T19:38:00"/>
    <m/>
    <s v="CLIENTE"/>
    <s v="CÓD. CLIENTE DIVERGENTE"/>
    <s v="CÓDIGO DIFERENTE DO CADASTRADO NO BENNER (CLIENTE X GRUPO)"/>
    <x v="1"/>
    <s v="SUPORTE OBT"/>
    <n v="1"/>
  </r>
  <r>
    <n v="3385400"/>
    <s v="SABRE"/>
    <x v="990"/>
    <s v="NGXARX"/>
    <s v="NGXARX"/>
    <s v="Não localizado cliente código [0000583831].&lt;-ObterCliente&lt;-MontarPnrBase&lt;-ProcessarAereo&lt;-ProcessarItemFila[b]"/>
    <d v="2025-04-25T19:38:00"/>
    <m/>
    <s v="CLIENTE"/>
    <s v="CÓD. CLIENTE DIVERGENTE"/>
    <s v="CÓDIGO DIFERENTE DO CADASTRADO NO BENNER (CLIENTE X GRUPO)"/>
    <x v="1"/>
    <s v="SUPORTE OBT"/>
    <n v="1"/>
  </r>
  <r>
    <n v="3385401"/>
    <s v="SABRE"/>
    <x v="990"/>
    <s v="UAGZKS"/>
    <s v="UAGZKS"/>
    <s v="Código de cliente não identificado&lt;-ObterCliente&lt;-MontarPnrBase&lt;-ProcessarAereo&lt;-ProcessarItemFila[b]"/>
    <d v="2025-04-25T19:38:00"/>
    <m/>
    <s v="CLIENTE"/>
    <s v="CLIENTE NÃO IDENTIFICADO"/>
    <s v="DK DE CLIENTE NÃO PREENCIDO / CLIENTE NÃO CONFIGURADO NO OBT"/>
    <x v="2"/>
    <s v="OPERAÇÕES / SUPORTE KCS"/>
    <s v="COLUNA I"/>
  </r>
  <r>
    <n v="3385403"/>
    <s v="SABRE"/>
    <x v="990"/>
    <s v="WFJWEJ"/>
    <s v="WFJWEJ"/>
    <s v="Código de cliente não identificado&lt;-ObterCliente&lt;-MontarPnrBase&lt;-ProcessarAereo&lt;-ProcessarItemFila[b]"/>
    <d v="2025-04-25T19:38:00"/>
    <m/>
    <s v="CLIENTE"/>
    <s v="CLIENTE NÃO IDENTIFICADO"/>
    <s v="DK DE CLIENTE NÃO PREENCIDO / CLIENTE NÃO CONFIGURADO NO OBT"/>
    <x v="2"/>
    <s v="OPERAÇÕES / SUPORTE KCS"/>
    <s v="COLUNA I"/>
  </r>
  <r>
    <n v="3385405"/>
    <s v="SABRE"/>
    <x v="990"/>
    <s v="FQLHQO"/>
    <s v="FQLHQO"/>
    <s v="Código de cliente não identificado&lt;-ObterCliente&lt;-MontarPnrBase&lt;-ProcessarAereo&lt;-ProcessarItemFila[b]"/>
    <d v="2025-04-25T19:38:00"/>
    <m/>
    <s v="CLIENTE"/>
    <s v="CLIENTE NÃO IDENTIFICADO"/>
    <s v="DK DE CLIENTE NÃO PREENCIDO / CLIENTE NÃO CONFIGURADO NO OBT"/>
    <x v="2"/>
    <s v="OPERAÇÕES / SUPORTE KCS"/>
    <s v="COLUNA I"/>
  </r>
  <r>
    <n v="3385413"/>
    <s v="SABRE"/>
    <x v="990"/>
    <s v="HWKUSK"/>
    <s v="HWKUSK"/>
    <s v="Código de cliente não identificado&lt;-ObterCliente&lt;-MontarPnrBase&lt;-ProcessarAereo&lt;-ProcessarItemFila[b]"/>
    <d v="2025-04-25T19:39:00"/>
    <m/>
    <s v="CLIENTE"/>
    <s v="CLIENTE NÃO IDENTIFICADO"/>
    <s v="DK DE CLIENTE NÃO PREENCIDO / CLIENTE NÃO CONFIGURADO NO OBT"/>
    <x v="2"/>
    <s v="OPERAÇÕES / SUPORTE KCS"/>
    <s v="COLUNA I"/>
  </r>
  <r>
    <n v="3386729"/>
    <s v="SABRE"/>
    <x v="991"/>
    <s v="DITHJC"/>
    <s v="DITHJC"/>
    <s v="Não localizado cliente código [0000000].&lt;-ObterCliente&lt;-MontarPnrBase&lt;-ProcessarAereo&lt;-ProcessarItemFila[b]"/>
    <d v="2025-04-28T11:50:00"/>
    <m/>
    <s v="CLIENTE"/>
    <s v="CÓD. CLIENTE DIVERGENTE"/>
    <s v="CÓDIGO DIFERENTE DO CADASTRADO NO BENNER (CLIENTE X GRUPO)"/>
    <x v="1"/>
    <s v="SUPORTE OBT"/>
    <n v="1"/>
  </r>
  <r>
    <n v="3386733"/>
    <s v="SABRE"/>
    <x v="991"/>
    <s v="ICEIJK"/>
    <s v="ICEIJK"/>
    <s v="Código de cliente não identificado&lt;-ObterCliente&lt;-MontarPnrBase&lt;-ProcessarAereo&lt;-ProcessarItemFila[b]"/>
    <d v="2025-04-28T11:50:00"/>
    <m/>
    <s v="CLIENTE"/>
    <s v="CLIENTE NÃO IDENTIFICADO"/>
    <s v="DK DE CLIENTE NÃO PREENCIDO / CLIENTE NÃO CONFIGURADO NO OBT"/>
    <x v="2"/>
    <s v="OPERAÇÕES / SUPORTE KCS"/>
    <s v="COLUNA I"/>
  </r>
  <r>
    <n v="3386734"/>
    <s v="SABRE"/>
    <x v="991"/>
    <s v="KGEAQH"/>
    <s v="KGEAQH"/>
    <s v="Código de cliente não identificado&lt;-ObterCliente&lt;-MontarPnrBase&lt;-ProcessarAereo&lt;-ProcessarItemFila[b]"/>
    <d v="2025-04-28T11:50:00"/>
    <m/>
    <s v="CLIENTE"/>
    <s v="CLIENTE NÃO IDENTIFICADO"/>
    <s v="DK DE CLIENTE NÃO PREENCIDO / CLIENTE NÃO CONFIGURADO NO OBT"/>
    <x v="2"/>
    <s v="OPERAÇÕES / SUPORTE KCS"/>
    <s v="COLUNA I"/>
  </r>
  <r>
    <n v="3386784"/>
    <s v="TMS"/>
    <x v="992"/>
    <n v="210"/>
    <n v="210"/>
    <s v="Preenchendo XML Rodoviário-&gt; Preenchendo XML-&gt; Montando accounting rodoviário-&gt;Fornecedor com o apelido VAIDEBUS não encontrado, ou existe mais de um Fornecedor com o mesmo apelido."/>
    <d v="2025-04-28T12:26:00"/>
    <m/>
    <s v="FORNECEDOR"/>
    <s v="NOVA MENSAGEM"/>
    <s v=""/>
    <x v="1"/>
    <e v="#N/A"/>
    <n v="79"/>
  </r>
  <r>
    <n v="3386909"/>
    <s v="TMS"/>
    <x v="993"/>
    <n v="6194"/>
    <n v="6194"/>
    <s v="Inserindo Trecho - Parâmetro Fornecedor - TurVendas - Não foi possível localizar o contrato do fornecedor XZ"/>
    <d v="2025-04-28T13:35:00"/>
    <d v="2025-04-29T07:46:00"/>
    <s v="FORNECEDOR"/>
    <s v="CONTRATO FORNECEDOR"/>
    <s v="CONTRATO INATIVO OU DIVERGENTE"/>
    <x v="0"/>
    <s v="OPERAÇÕES / SUPORTE KCS"/>
    <n v="55"/>
  </r>
  <r>
    <n v="3386910"/>
    <s v="SABRE"/>
    <x v="994"/>
    <s v="KSRJCX"/>
    <s v="KSRJCX"/>
    <s v="Não localizado cliente código [0000068435].&lt;-ObterCliente&lt;-MontarPnrBase&lt;-ProcessarAereo&lt;-ProcessarItemFila[b]"/>
    <d v="2025-04-28T13:35:00"/>
    <m/>
    <s v="CLIENTE"/>
    <s v="CÓD. CLIENTE DIVERGENTE"/>
    <s v="CÓDIGO DIFERENTE DO CADASTRADO NO BENNER (CLIENTE X GRUPO)"/>
    <x v="1"/>
    <s v="SUPORTE OBT"/>
    <n v="1"/>
  </r>
  <r>
    <n v="3386966"/>
    <s v="SABRE"/>
    <x v="995"/>
    <s v="MVPWGB"/>
    <s v="MVPWGB"/>
    <s v="ERRO: Cancelamento de Venda: Não há PNR no sistema para cancelar, venda não inserida!"/>
    <d v="2025-04-28T13:46:00"/>
    <d v="2025-04-28T15:02:00"/>
    <s v="CANCELAMENTO"/>
    <s v="VENDA CANCELADA"/>
    <s v="RESERVA CANCELADA NO OBT"/>
    <x v="0"/>
    <s v="SUPORTE OBT"/>
    <s v="COLUNA I"/>
  </r>
  <r>
    <n v="3387196"/>
    <s v="SABRE"/>
    <x v="996"/>
    <s v="UNCBDXT"/>
    <s v="UNCBDX"/>
    <s v="Verificando Formas Pagto/Rec - (ExecSQL) - TurVendas - Não foi possível localizar o contrato do fornecedor H84698"/>
    <d v="2025-04-28T14:17:00"/>
    <d v="2025-04-28T15:02:00"/>
    <s v="FORNECEDOR"/>
    <s v="CONTRATO FORNECEDOR"/>
    <s v="CONTRATO INATIVO OU DIVERGENTE"/>
    <x v="0"/>
    <s v="OPERAÇÕES / SUPORTE KCS"/>
    <n v="56"/>
  </r>
  <r>
    <n v="3387739"/>
    <s v="SABRE"/>
    <x v="997"/>
    <s v="UNWVRQ"/>
    <s v="UNWVRQ"/>
    <s v="Não localizado cliente código [0000063625].&lt;-ObterCliente&lt;-MontarPnrBase&lt;-ProcessarAereo&lt;-ProcessarItemFila[b]"/>
    <d v="2025-04-28T15:50:00"/>
    <m/>
    <s v="CLIENTE"/>
    <s v="CÓD. CLIENTE DIVERGENTE"/>
    <s v="CÓDIGO DIFERENTE DO CADASTRADO NO BENNER (CLIENTE X GRUPO)"/>
    <x v="1"/>
    <s v="SUPORTE OBT"/>
    <n v="1"/>
  </r>
  <r>
    <n v="3387743"/>
    <s v="SABRE"/>
    <x v="997"/>
    <s v="ERMVUI"/>
    <s v="ERMVUI"/>
    <s v="Não localizado cliente com CNPJ [271682000177].&lt;-ObterCliente&lt;-MontarPnrBase&lt;-ProcessarAereo&lt;-ProcessarItemFila[b]"/>
    <d v="2025-04-28T15:51:00"/>
    <m/>
    <s v="CLIENTE"/>
    <s v="REMARK - CNPJ"/>
    <s v=""/>
    <x v="1"/>
    <s v="OPERAÇÕES / SUPORTE KCS"/>
    <n v="24"/>
  </r>
  <r>
    <n v="3388050"/>
    <s v="SABRE"/>
    <x v="998"/>
    <s v="GWMYPX"/>
    <s v="GWMYPX"/>
    <s v="Não localizado cliente código [0000583808].&lt;-ObterCliente&lt;-MontarPnrBase&lt;-ProcessarAereo&lt;-ProcessarItemFila[b]"/>
    <d v="2025-04-28T17:23:00"/>
    <m/>
    <s v="CLIENTE"/>
    <s v="CÓD. CLIENTE DIVERGENTE"/>
    <s v="CÓDIGO DIFERENTE DO CADASTRADO NO BENNER (CLIENTE X GRUPO)"/>
    <x v="1"/>
    <s v="SUPORTE OBT"/>
    <n v="1"/>
  </r>
  <r>
    <n v="3388051"/>
    <s v="SABRE"/>
    <x v="998"/>
    <s v="NOPXAN"/>
    <s v="NOPXAN"/>
    <s v="Não localizado cliente código [1234567890].&lt;-ObterCliente&lt;-MontarPnrBase&lt;-ProcessarAereo&lt;-ProcessarItemFila[b]"/>
    <d v="2025-04-28T17:23:00"/>
    <m/>
    <s v="CLIENTE"/>
    <s v="CÓD. CLIENTE DIVERGENTE"/>
    <s v="CÓDIGO DIFERENTE DO CADASTRADO NO BENNER (CLIENTE X GRUPO)"/>
    <x v="1"/>
    <s v="SUPORTE OBT"/>
    <n v="1"/>
  </r>
  <r>
    <n v="3388175"/>
    <s v="SABRE"/>
    <x v="999"/>
    <s v="MVIYZXT"/>
    <s v="MVIYZX"/>
    <s v="ConverterPagamentosRemark-&gt;The string was not recognized as a valid DateTime. There is an unknown word starting at index 0.&lt;-MontarAccountinsHotel&lt;-ProcessarHotel&lt;-ProcessarItemFila[b]"/>
    <d v="2025-04-28T18:19:00"/>
    <m/>
    <s v="FORMA PAGTO/RECTO"/>
    <s v="REMARK - DATA INCORRETA"/>
    <s v="REMARK U*INFOPAG-CC/REC-CC PREENCHIDO INCORRETAMENTE"/>
    <x v="1"/>
    <s v="OPERAÇÕES / SUPORTE KCS"/>
    <s v="COLUNA I"/>
  </r>
  <r>
    <n v="3388176"/>
    <s v="SABRE"/>
    <x v="999"/>
    <s v="OOCCTOT"/>
    <s v="OOCCTO"/>
    <s v="ConverterPagamentosRemark-&gt;The string was not recognized as a valid DateTime. There is an unknown word starting at index 0.&lt;-MontarAccountinsHotel&lt;-ProcessarHotel&lt;-ProcessarItemFila[b]"/>
    <d v="2025-04-28T18:19:00"/>
    <m/>
    <s v="FORMA PAGTO/RECTO"/>
    <s v="REMARK - DATA INCORRETA"/>
    <s v="REMARK U*INFOPAG-CC/REC-CC PREENCHIDO INCORRETAMENTE"/>
    <x v="1"/>
    <s v="OPERAÇÕES / SUPORTE KCS"/>
    <s v="COLUNA I"/>
  </r>
  <r>
    <n v="3388177"/>
    <s v="SABRE"/>
    <x v="999"/>
    <s v="HJIPVET"/>
    <s v="HJIPVE"/>
    <s v="ConverterPagamentosRemark-&gt;The string was not recognized as a valid DateTime. There is an unknown word starting at index 0.&lt;-MontarAccountinsHotel&lt;-ProcessarHotel&lt;-ProcessarItemFila[b]"/>
    <d v="2025-04-28T18:19:00"/>
    <m/>
    <s v="FORMA PAGTO/RECTO"/>
    <s v="REMARK - DATA INCORRETA"/>
    <s v="REMARK U*INFOPAG-CC/REC-CC PREENCHIDO INCORRETAMENTE"/>
    <x v="1"/>
    <s v="OPERAÇÕES / SUPORTE KCS"/>
    <s v="COLUNA I"/>
  </r>
  <r>
    <n v="3388186"/>
    <s v="SABRE"/>
    <x v="1000"/>
    <s v="HJLLBZT"/>
    <s v="HJLLBZ"/>
    <s v="ConverterPagamentosRemark-&gt;The string was not recognized as a valid DateTime. There is an unknown word starting at index 0.&lt;-MontarAccountinsHotel&lt;-ProcessarHotel&lt;-ProcessarItemFila[b]"/>
    <d v="2025-04-28T18:34:00"/>
    <m/>
    <s v="FORMA PAGTO/RECTO"/>
    <s v="REMARK - DATA INCORRETA"/>
    <s v="REMARK U*INFOPAG-CC/REC-CC PREENCHIDO INCORRETAMENTE"/>
    <x v="1"/>
    <s v="OPERAÇÕES / SUPORTE KCS"/>
    <s v="COLUNA I"/>
  </r>
  <r>
    <n v="3388210"/>
    <s v="SABRE"/>
    <x v="1000"/>
    <s v="QCQAFNT"/>
    <s v="QCQAFN"/>
    <s v="ConverterPagamentosRemark-&gt;The string was not recognized as a valid DateTime. There is an unknown word starting at index 0.&lt;-MontarAccountinsHotel&lt;-ProcessarHotel&lt;-ProcessarItemFila[b]"/>
    <d v="2025-04-28T18:49:00"/>
    <m/>
    <s v="FORMA PAGTO/RECTO"/>
    <s v="REMARK - DATA INCORRETA"/>
    <s v="REMARK U*INFOPAG-CC/REC-CC PREENCHIDO INCORRETAMENTE"/>
    <x v="1"/>
    <s v="OPERAÇÕES / SUPORTE KCS"/>
    <s v="COLUNA I"/>
  </r>
  <r>
    <n v="3388211"/>
    <s v="SABRE"/>
    <x v="1001"/>
    <s v="OOYDUUT"/>
    <s v="OOYDUU"/>
    <s v="ConverterPagamentosRemark-&gt;The string was not recognized as a valid DateTime. There is an unknown word starting at index 0.&lt;-MontarAccountinsHotel&lt;-ProcessarHotel&lt;-ProcessarItemFila[b]"/>
    <d v="2025-04-28T18:49:00"/>
    <m/>
    <s v="FORMA PAGTO/RECTO"/>
    <s v="REMARK - DATA INCORRETA"/>
    <s v="REMARK U*INFOPAG-CC/REC-CC PREENCHIDO INCORRETAMENTE"/>
    <x v="1"/>
    <s v="OPERAÇÕES / SUPORTE KCS"/>
    <s v="COLUNA I"/>
  </r>
  <r>
    <n v="3388212"/>
    <s v="SABRE"/>
    <x v="1001"/>
    <s v="QAJXFBT"/>
    <s v="QAJXFB"/>
    <s v="ConverterPagamentosRemark-&gt;The string was not recognized as a valid DateTime. There is an unknown word starting at index 0.&lt;-MontarAccountinsHotel&lt;-ProcessarHotel&lt;-ProcessarItemFila[b]"/>
    <d v="2025-04-28T18:49:00"/>
    <m/>
    <s v="FORMA PAGTO/RECTO"/>
    <s v="REMARK - DATA INCORRETA"/>
    <s v="REMARK U*INFOPAG-CC/REC-CC PREENCHIDO INCORRETAMENTE"/>
    <x v="1"/>
    <s v="OPERAÇÕES / SUPORTE KCS"/>
    <s v="COLUNA I"/>
  </r>
  <r>
    <n v="3388276"/>
    <s v="SABRE"/>
    <x v="1002"/>
    <s v="MYCXEMT"/>
    <s v="MYCXEM"/>
    <s v="ConverterPagamentosRemark-&gt;The string was not recognized as a valid DateTime. There is an unknown word starting at index 0.&lt;-MontarAccountinsHotel&lt;-ProcessarHotel&lt;-ProcessarItemFila[b]"/>
    <d v="2025-04-28T19:18:00"/>
    <d v="2025-04-29T08:47:00"/>
    <s v="FORMA PAGTO/RECTO"/>
    <s v="REMARK - DATA INCORRETA"/>
    <s v="REMARK U*INFOPAG-CC/REC-CC PREENCHIDO INCORRETAMENTE"/>
    <x v="1"/>
    <s v="OPERAÇÕES / SUPORTE KCS"/>
    <s v="COLUNA I"/>
  </r>
  <r>
    <n v="3388560"/>
    <s v="GOVER"/>
    <x v="1003"/>
    <n v="4528489"/>
    <s v="AKJVHX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61"/>
    <s v="GOVER"/>
    <x v="1003"/>
    <n v="4528489"/>
    <s v="JJ6I5Z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63"/>
    <s v="GOVER"/>
    <x v="1004"/>
    <n v="4528831"/>
    <s v="QSXQGM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64"/>
    <s v="GOVER"/>
    <x v="1005"/>
    <n v="4528839"/>
    <s v="WPW18X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65"/>
    <s v="GOVER"/>
    <x v="1006"/>
    <n v="4528865"/>
    <s v="MGDBXA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66"/>
    <s v="GOVER"/>
    <x v="1006"/>
    <n v="4528865"/>
    <s v="QTDWGB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67"/>
    <s v="GOVER"/>
    <x v="1007"/>
    <n v="4528898"/>
    <s v="MEMWHJ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0"/>
    <s v="GOVER"/>
    <x v="1008"/>
    <n v="4528937"/>
    <s v="NNI72N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1"/>
    <s v="GOVER"/>
    <x v="1009"/>
    <n v="4528962"/>
    <s v="MFDABY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3"/>
    <s v="GOVER"/>
    <x v="1010"/>
    <n v="4529019"/>
    <s v="NHWWKX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4"/>
    <s v="GOVER"/>
    <x v="1011"/>
    <n v="4529025"/>
    <s v="NHOXVH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5"/>
    <s v="GOVER"/>
    <x v="1012"/>
    <n v="4529041"/>
    <s v="MAXVMM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6"/>
    <s v="GOVER"/>
    <x v="1013"/>
    <n v="4529109"/>
    <s v="NEONFY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7"/>
    <s v="GOVER"/>
    <x v="1014"/>
    <n v="4529197"/>
    <s v="MRISTG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8"/>
    <s v="GOVER"/>
    <x v="1015"/>
    <n v="4529213"/>
    <s v="FW4FXN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79"/>
    <s v="GOVER"/>
    <x v="1016"/>
    <n v="4529239"/>
    <s v="QAGZOA"/>
    <s v="Verificando Anexos - Could not convert variant of type (Null) into type (OleStr)"/>
    <d v="2025-04-28T21:04:00"/>
    <d v="2025-04-29T08:45:00"/>
    <s v="OUTROS"/>
    <s v="FORMATO DE TEXTO"/>
    <s v="TEXTO FORA DO PADRÃO ACEITO NO CAMPO"/>
    <x v="2"/>
    <s v="SUPORTE OBT"/>
    <s v="COLUNA I"/>
  </r>
  <r>
    <n v="3388580"/>
    <s v="GOVER"/>
    <x v="1017"/>
    <n v="4529266"/>
    <s v="HJCIPC"/>
    <s v="Verificando Anexos - Could not convert variant of type (Null) into type (OleStr)"/>
    <d v="2025-04-28T21:14:00"/>
    <d v="2025-04-29T08:45:00"/>
    <s v="OUTROS"/>
    <s v="FORMATO DE TEXTO"/>
    <s v="TEXTO FORA DO PADRÃO ACEITO NO CAMPO"/>
    <x v="2"/>
    <s v="SUPORTE OBT"/>
    <s v="COLUNA I"/>
  </r>
  <r>
    <n v="3388581"/>
    <s v="GOVER"/>
    <x v="1018"/>
    <n v="4528232"/>
    <s v="GAKODN"/>
    <s v="Verificando Anexos - Could not convert variant of type (Null) into type (OleStr)"/>
    <d v="2025-04-28T21:24:00"/>
    <d v="2025-04-29T08:44:00"/>
    <s v="OUTROS"/>
    <s v="FORMATO DE TEXTO"/>
    <s v="TEXTO FORA DO PADRÃO ACEITO NO CAMPO"/>
    <x v="2"/>
    <s v="SUPORTE OBT"/>
    <s v="COLUNA I"/>
  </r>
  <r>
    <n v="3388582"/>
    <s v="GOVER"/>
    <x v="1019"/>
    <n v="4528364"/>
    <s v="DSRJVM"/>
    <s v="Verificando Anexos - Could not convert variant of type (Null) into type (OleStr)"/>
    <d v="2025-04-28T21:24:00"/>
    <d v="2025-04-29T08:44:00"/>
    <s v="OUTROS"/>
    <s v="FORMATO DE TEXTO"/>
    <s v="TEXTO FORA DO PADRÃO ACEITO NO CAMPO"/>
    <x v="2"/>
    <s v="SUPORTE OBT"/>
    <s v="COLUNA I"/>
  </r>
  <r>
    <n v="3388583"/>
    <s v="GOVER"/>
    <x v="1019"/>
    <n v="4528364"/>
    <s v="IPJNTX"/>
    <s v="Verificando Anexos - Could not convert variant of type (Null) into type (OleStr)"/>
    <d v="2025-04-28T21:24:00"/>
    <d v="2025-04-29T08:44:00"/>
    <s v="OUTROS"/>
    <s v="FORMATO DE TEXTO"/>
    <s v="TEXTO FORA DO PADRÃO ACEITO NO CAMPO"/>
    <x v="2"/>
    <s v="SUPORTE OBT"/>
    <s v="COLUNA I"/>
  </r>
  <r>
    <n v="3388584"/>
    <s v="GOVER"/>
    <x v="1020"/>
    <n v="4528742"/>
    <s v="YFFAHA"/>
    <s v="Verificando Anexos - Could not convert variant of type (Null) into type (OleStr)"/>
    <d v="2025-04-28T21:33:00"/>
    <d v="2025-04-29T08:45:00"/>
    <s v="OUTROS"/>
    <s v="FORMATO DE TEXTO"/>
    <s v="TEXTO FORA DO PADRÃO ACEITO NO CAMPO"/>
    <x v="2"/>
    <s v="SUPORTE OBT"/>
    <s v="COLUNA I"/>
  </r>
  <r>
    <n v="3388586"/>
    <s v="GOVER"/>
    <x v="1021"/>
    <n v="4529332"/>
    <s v="LOCQWV"/>
    <s v="Verificando Anexos - Could not convert variant of type (Null) into type (OleStr)"/>
    <d v="2025-04-28T21:34:00"/>
    <d v="2025-04-29T08:45:00"/>
    <s v="OUTROS"/>
    <s v="FORMATO DE TEXTO"/>
    <s v="TEXTO FORA DO PADRÃO ACEITO NO CAMPO"/>
    <x v="2"/>
    <s v="SUPORTE OBT"/>
    <s v="COLUNA I"/>
  </r>
  <r>
    <n v="3388588"/>
    <s v="GOVER"/>
    <x v="1022"/>
    <n v="4528487"/>
    <s v="KMZINT"/>
    <s v="Verificando Anexos - Could not convert variant of type (Null) into type (OleStr)"/>
    <d v="2025-04-28T21:54:00"/>
    <d v="2025-04-29T08:45:00"/>
    <s v="OUTROS"/>
    <s v="FORMATO DE TEXTO"/>
    <s v="TEXTO FORA DO PADRÃO ACEITO NO CAMPO"/>
    <x v="2"/>
    <s v="SUPORTE OBT"/>
    <s v="COLUNA I"/>
  </r>
  <r>
    <n v="3388592"/>
    <s v="GOVER"/>
    <x v="1023"/>
    <n v="4529231"/>
    <s v="IMVJUM"/>
    <s v="Verificando Anexos - Could not convert variant of type (Null) into type (OleStr)"/>
    <d v="2025-04-28T22:15:00"/>
    <d v="2025-04-29T08:45:00"/>
    <s v="OUTROS"/>
    <s v="FORMATO DE TEXTO"/>
    <s v="TEXTO FORA DO PADRÃO ACEITO NO CAMPO"/>
    <x v="2"/>
    <s v="SUPORTE OBT"/>
    <s v="COLUNA I"/>
  </r>
  <r>
    <n v="3388593"/>
    <s v="GOVER"/>
    <x v="1023"/>
    <n v="4529231"/>
    <s v="SGN4UI"/>
    <s v="Verificando Anexos - Could not convert variant of type (Null) into type (OleStr)"/>
    <d v="2025-04-28T22:15:00"/>
    <d v="2025-04-29T08:45:00"/>
    <s v="OUTROS"/>
    <s v="FORMATO DE TEXTO"/>
    <s v="TEXTO FORA DO PADRÃO ACEITO NO CAMPO"/>
    <x v="2"/>
    <s v="SUPORTE OBT"/>
    <s v="COLUNA I"/>
  </r>
  <r>
    <n v="3388600"/>
    <s v="GOVER"/>
    <x v="1024"/>
    <n v="4528592"/>
    <s v="DKV37T"/>
    <s v="Verificando Anexos - Could not convert variant of type (Null) into type (OleStr)"/>
    <d v="2025-04-29T00:05:00"/>
    <d v="2025-04-29T08:45:00"/>
    <s v="OUTROS"/>
    <s v="FORMATO DE TEXTO"/>
    <s v="TEXTO FORA DO PADRÃO ACEITO NO CAMPO"/>
    <x v="2"/>
    <s v="SUPORTE OBT"/>
    <s v="COLUNA I"/>
  </r>
  <r>
    <n v="3388601"/>
    <s v="GOVER"/>
    <x v="1024"/>
    <n v="4528592"/>
    <s v="MPMKJN"/>
    <s v="Verificando Anexos - Could not convert variant of type (Null) into type (OleStr)"/>
    <d v="2025-04-29T00:05:00"/>
    <d v="2025-04-29T08:45:00"/>
    <s v="OUTROS"/>
    <s v="FORMATO DE TEXTO"/>
    <s v="TEXTO FORA DO PADRÃO ACEITO NO CAMPO"/>
    <x v="2"/>
    <s v="SUPORTE OBT"/>
    <s v="COLUNA I"/>
  </r>
  <r>
    <n v="3388603"/>
    <s v="GOVER"/>
    <x v="1025"/>
    <n v="4528783"/>
    <s v="JLSNTU"/>
    <s v="Verificando Anexos - Could not convert variant of type (Null) into type (OleStr)"/>
    <d v="2025-04-29T00:05:00"/>
    <d v="2025-04-29T08:45:00"/>
    <s v="OUTROS"/>
    <s v="FORMATO DE TEXTO"/>
    <s v="TEXTO FORA DO PADRÃO ACEITO NO CAMPO"/>
    <x v="2"/>
    <s v="SUPORTE OBT"/>
    <s v="COLUNA I"/>
  </r>
  <r>
    <n v="3388604"/>
    <s v="GOVER"/>
    <x v="1026"/>
    <n v="4529088"/>
    <s v="NLJ1WW"/>
    <s v="Verificando Anexos - Could not convert variant of type (Null) into type (OleStr)"/>
    <d v="2025-04-29T00:05:00"/>
    <d v="2025-04-29T08:45:00"/>
    <s v="OUTROS"/>
    <s v="FORMATO DE TEXTO"/>
    <s v="TEXTO FORA DO PADRÃO ACEITO NO CAMPO"/>
    <x v="2"/>
    <s v="SUPORTE OBT"/>
    <s v="COLUNA I"/>
  </r>
  <r>
    <n v="3388605"/>
    <s v="GOVER"/>
    <x v="1027"/>
    <n v="4529134"/>
    <s v="FNKCTA"/>
    <s v="Verificando Anexos - Could not convert variant of type (Null) into type (OleStr)"/>
    <d v="2025-04-29T00:05:00"/>
    <d v="2025-04-29T08:45:00"/>
    <s v="OUTROS"/>
    <s v="FORMATO DE TEXTO"/>
    <s v="TEXTO FORA DO PADRÃO ACEITO NO CAMPO"/>
    <x v="2"/>
    <s v="SUPORTE OBT"/>
    <s v="COLUNA I"/>
  </r>
  <r>
    <n v="3388606"/>
    <s v="GOVER"/>
    <x v="1027"/>
    <n v="4529134"/>
    <s v="NNQWMP"/>
    <s v="Verificando Anexos - Could not convert variant of type (Null) into type (OleStr)"/>
    <d v="2025-04-29T00:05:00"/>
    <d v="2025-04-29T08:45:00"/>
    <s v="OUTROS"/>
    <s v="FORMATO DE TEXTO"/>
    <s v="TEXTO FORA DO PADRÃO ACEITO NO CAMPO"/>
    <x v="2"/>
    <s v="SUPORTE OBT"/>
    <s v="COLUNA I"/>
  </r>
  <r>
    <n v="3388686"/>
    <s v="GOVER"/>
    <x v="1028"/>
    <n v="4529277"/>
    <s v="RGJW7F"/>
    <s v="Verificando Anexos - Could not convert variant of type (Null) into type (OleStr)"/>
    <d v="2025-04-29T01:54:00"/>
    <d v="2025-04-29T08:45:00"/>
    <s v="OUTROS"/>
    <s v="FORMATO DE TEXTO"/>
    <s v="TEXTO FORA DO PADRÃO ACEITO NO CAMPO"/>
    <x v="2"/>
    <s v="SUPORTE OBT"/>
    <s v="COLUNA I"/>
  </r>
  <r>
    <n v="3388774"/>
    <s v="TMS"/>
    <x v="1029"/>
    <n v="2633"/>
    <n v="2633"/>
    <s v="Preenchendo XML Aéreo-&gt; Preenchendo XML-&gt; Montando accounting aereo-&gt;Número do bilhete não identificado"/>
    <d v="2025-04-29T02:05:00"/>
    <d v="2025-04-29T07:49:00"/>
    <s v="OUTROS"/>
    <s v="NOVA MENSAGEM"/>
    <s v=""/>
    <x v="1"/>
    <e v="#N/A"/>
    <s v="COLUNA I"/>
  </r>
  <r>
    <n v="3389071"/>
    <s v="TMS"/>
    <x v="1030"/>
    <n v="117"/>
    <n v="117"/>
    <s v="Preenchendo XML Serviço-&gt; Preenchendo XML-&gt; Montando accounting aereo 2-&gt;Não foi informado o Localizador do Assento/Bagagem!"/>
    <d v="2025-04-29T02:46:00"/>
    <d v="2025-04-29T07:51:00"/>
    <s v="OUTROS"/>
    <s v="ASSENTO / BAGAGEM"/>
    <s v="CAMPO OBSERVAÇÃO PREENCHIDO INCORRETAMENTE"/>
    <x v="1"/>
    <s v="OPERAÇÕES / SUPORTE KCS"/>
    <n v="118"/>
  </r>
  <r>
    <n v="3389315"/>
    <s v="GOVER"/>
    <x v="1031"/>
    <n v="4529315"/>
    <s v="GLFTUG"/>
    <s v="Verificando Anexos - Could not convert variant of type (Null) into type (OleStr)"/>
    <d v="2025-04-29T07:34:00"/>
    <d v="2025-04-29T08:45:00"/>
    <s v="OUTROS"/>
    <s v="FORMATO DE TEXTO"/>
    <s v="TEXTO FORA DO PADRÃO ACEITO NO CAMPO"/>
    <x v="2"/>
    <s v="SUPORTE OBT"/>
    <s v="COLUNA I"/>
  </r>
  <r>
    <n v="3389316"/>
    <s v="GOVER"/>
    <x v="1021"/>
    <n v="4529331"/>
    <s v="LLZY7G"/>
    <s v="Verificando Anexos - Could not convert variant of type (Null) into type (OleStr)"/>
    <d v="2025-04-29T07:34:00"/>
    <d v="2025-04-29T08:45:00"/>
    <s v="OUTROS"/>
    <s v="FORMATO DE TEXTO"/>
    <s v="TEXTO FORA DO PADRÃO ACEITO NO CAMPO"/>
    <x v="2"/>
    <s v="SUPORTE OBT"/>
    <s v="COLUNA I"/>
  </r>
  <r>
    <n v="3389330"/>
    <s v="GOVER"/>
    <x v="1032"/>
    <n v="4528659"/>
    <s v="JH6BRF"/>
    <s v="Verificando Anexos - Could not convert variant of type (Null) into type (OleStr)"/>
    <d v="2025-04-29T07:54:00"/>
    <d v="2025-04-29T08:45:00"/>
    <s v="OUTROS"/>
    <s v="FORMATO DE TEXTO"/>
    <s v="TEXTO FORA DO PADRÃO ACEITO NO CAMPO"/>
    <x v="2"/>
    <s v="SUPORTE OBT"/>
    <s v="COLUNA I"/>
  </r>
  <r>
    <n v="3389344"/>
    <s v="GOVER"/>
    <x v="1033"/>
    <n v="4529313"/>
    <s v="ZLV19G"/>
    <s v="Verificando Anexos - Could not convert variant of type (Null) into type (OleStr)"/>
    <d v="2025-04-29T08:15:00"/>
    <d v="2025-04-29T08:45:00"/>
    <s v="OUTROS"/>
    <s v="FORMATO DE TEXTO"/>
    <s v="TEXTO FORA DO PADRÃO ACEITO NO CAMPO"/>
    <x v="2"/>
    <s v="SUPORTE OBT"/>
    <s v="COLUNA I"/>
  </r>
  <r>
    <n v="3389352"/>
    <s v="GOVER"/>
    <x v="1034"/>
    <n v="4528911"/>
    <s v="YMPRQG"/>
    <s v="Verificando Anexos - Could not convert variant of type (Null) into type (OleStr)"/>
    <d v="2025-04-29T08:37:00"/>
    <d v="2025-04-29T08:45:00"/>
    <s v="OUTROS"/>
    <s v="FORMATO DE TEXTO"/>
    <s v="TEXTO FORA DO PADRÃO ACEITO NO CAMPO"/>
    <x v="2"/>
    <s v="SUPORTE OBT"/>
    <s v="COLUNA I"/>
  </r>
  <r>
    <n v="3389353"/>
    <s v="GOVER"/>
    <x v="1035"/>
    <n v="4529343"/>
    <s v="NKVFTJ"/>
    <s v="Verificando Anexos - Could not convert variant of type (Null) into type (OleStr)"/>
    <d v="2025-04-29T08:37:00"/>
    <d v="2025-04-29T08:45:00"/>
    <s v="OUTROS"/>
    <s v="FORMATO DE TEXTO"/>
    <s v="TEXTO FORA DO PADRÃO ACEITO NO CAMPO"/>
    <x v="2"/>
    <s v="SUPORTE OBT"/>
    <s v="COLUNA I"/>
  </r>
  <r>
    <n v="3389697"/>
    <s v="SABRE"/>
    <x v="1036"/>
    <s v="UEDZOVT"/>
    <s v="UEDZOV"/>
    <s v="Inserindo PNR - Accountings - TurVendas - Não foi possível localizar o contrato do fornecedor 49298"/>
    <d v="2025-04-29T11:50:00"/>
    <m/>
    <s v="FORNECEDOR"/>
    <s v="CONTRATO FORNECEDOR"/>
    <s v="CONTRATO INATIVO OU DIVERGENTE"/>
    <x v="0"/>
    <s v="OPERAÇÕES / SUPORTE KCS"/>
    <n v="43"/>
  </r>
  <r>
    <n v="3389698"/>
    <s v="SABRE"/>
    <x v="1037"/>
    <s v="KEVMZLT"/>
    <s v="KEVMZL"/>
    <s v="Inserindo PNR - Accountings - TurVendas - Não foi possível localizar o contrato do fornecedor 49298"/>
    <d v="2025-04-29T11:50:00"/>
    <m/>
    <s v="FORNECEDOR"/>
    <s v="CONTRATO FORNECEDOR"/>
    <s v="CONTRATO INATIVO OU DIVERGENTE"/>
    <x v="0"/>
    <s v="OPERAÇÕES / SUPORTE KCS"/>
    <n v="43"/>
  </r>
  <r>
    <n v="3389884"/>
    <s v="SABRE"/>
    <x v="1038"/>
    <s v="FKYGNPT"/>
    <s v="FKYGNP"/>
    <s v="Verificando Formas Pagto/Rec - (ExecSQL) - TurVendas - Não foi possível localizar o contrato do fornecedor 49298"/>
    <d v="2025-04-29T13:50:00"/>
    <d v="2025-04-29T18:36:00"/>
    <s v="FORNECEDOR"/>
    <s v="NOVA MENSAGEM"/>
    <s v=""/>
    <x v="3"/>
    <e v="#N/A"/>
    <n v="56"/>
  </r>
  <r>
    <n v="3390130"/>
    <s v="TMS"/>
    <x v="1039"/>
    <n v="7305"/>
    <n v="7305"/>
    <s v="Preenchendo XML Serviço-&gt; Preenchendo XML-&gt; Montando accounting aereo 2-&gt;Não foi informado o Localizador do Assento/Bagagem!"/>
    <d v="2025-04-29T14:15:00"/>
    <d v="2025-05-02T21:13:00"/>
    <s v="OUTROS"/>
    <s v="ASSENTO / BAGAGEM"/>
    <s v="CAMPO OBSERVAÇÃO PREENCHIDO INCORRETAMENTE"/>
    <x v="1"/>
    <s v="OPERAÇÕES / SUPORTE KCS"/>
    <n v="118"/>
  </r>
  <r>
    <n v="3390131"/>
    <s v="TMS"/>
    <x v="1040"/>
    <n v="7304"/>
    <n v="7304"/>
    <s v="Preenchendo XML Serviço-&gt; Preenchendo XML-&gt; Montando accounting aereo 2-&gt;Não foi informado o Localizador do Assento/Bagagem!"/>
    <d v="2025-04-29T14:16:00"/>
    <d v="2025-05-02T21:13:00"/>
    <s v="OUTROS"/>
    <s v="ASSENTO / BAGAGEM"/>
    <s v="CAMPO OBSERVAÇÃO PREENCHIDO INCORRETAMENTE"/>
    <x v="1"/>
    <s v="OPERAÇÕES / SUPORTE KCS"/>
    <n v="118"/>
  </r>
  <r>
    <n v="3390132"/>
    <s v="TMS"/>
    <x v="1041"/>
    <n v="7303"/>
    <n v="7303"/>
    <s v="Preenchendo XML Serviço-&gt; Preenchendo XML-&gt; Montando accounting aereo 2-&gt;Não foi informado o Localizador do Assento/Bagagem!"/>
    <d v="2025-04-29T14:16:00"/>
    <d v="2025-05-02T21:13:00"/>
    <s v="OUTROS"/>
    <s v="ASSENTO / BAGAGEM"/>
    <s v="CAMPO OBSERVAÇÃO PREENCHIDO INCORRETAMENTE"/>
    <x v="1"/>
    <s v="OPERAÇÕES / SUPORTE KCS"/>
    <n v="118"/>
  </r>
  <r>
    <n v="3390133"/>
    <s v="TMS"/>
    <x v="1042"/>
    <n v="7302"/>
    <n v="7302"/>
    <s v="Preenchendo XML Serviço-&gt; Preenchendo XML-&gt; Montando accounting aereo 2-&gt;Não foi informado o Localizador do Assento/Bagagem!"/>
    <d v="2025-04-29T14:16:00"/>
    <d v="2025-05-02T21:13:00"/>
    <s v="OUTROS"/>
    <s v="ASSENTO / BAGAGEM"/>
    <s v="CAMPO OBSERVAÇÃO PREENCHIDO INCORRETAMENTE"/>
    <x v="1"/>
    <s v="OPERAÇÕES / SUPORTE KCS"/>
    <n v="118"/>
  </r>
  <r>
    <n v="3390273"/>
    <s v="TMS"/>
    <x v="1043"/>
    <n v="61021"/>
    <n v="61021"/>
    <s v="Preenchendo XML Serviço-&gt; Preenchendo XML-&gt; Montando accounting aereo 2-&gt;Não foi informado o Localizador do Assento/Bagagem!"/>
    <d v="2025-04-29T14:29:00"/>
    <d v="2025-05-02T21:36:00"/>
    <s v="OUTROS"/>
    <s v="ASSENTO / BAGAGEM"/>
    <s v="CAMPO OBSERVAÇÃO PREENCHIDO INCORRETAMENTE"/>
    <x v="1"/>
    <s v="OPERAÇÕES / SUPORTE KCS"/>
    <n v="118"/>
  </r>
  <r>
    <n v="3390622"/>
    <s v="TMS"/>
    <x v="1044"/>
    <n v="5720"/>
    <n v="5720"/>
    <s v="Preenchendo XML Aéreo-&gt; Preenchendo XML-&gt; Montando accounting aereo-&gt;Número do bilhete não identificado"/>
    <d v="2025-04-29T15:21:00"/>
    <d v="2025-05-02T22:05:00"/>
    <s v="OUTROS"/>
    <s v="NOVA MENSAGEM"/>
    <s v=""/>
    <x v="3"/>
    <e v="#N/A"/>
    <s v="COLUNA I"/>
  </r>
  <r>
    <n v="3390674"/>
    <s v="SABRE"/>
    <x v="1045"/>
    <s v="QQIAVR"/>
    <s v="QQIAVR"/>
    <s v="Não localizado cliente código [0000392619].&lt;-ObterCliente&lt;-MontarPnrBase&lt;-ProcessarAereo&lt;-ProcessarItemFila[b]"/>
    <d v="2025-04-29T15:48:00"/>
    <m/>
    <s v="CLIENTE"/>
    <s v="CÓD. CLIENTE DIVERGENTE"/>
    <s v="CÓDIGO DIFERENTE DO CADASTRADO NO BENNER (CLIENTE X GRUPO)"/>
    <x v="1"/>
    <s v="SUPORTE OBT"/>
    <n v="1"/>
  </r>
  <r>
    <n v="3390676"/>
    <s v="SABRE"/>
    <x v="1046"/>
    <s v="CUGXYD"/>
    <s v="CUGXYD"/>
    <s v="Não localizado cliente código [0000050269].&lt;-ObterCliente&lt;-MontarPnrBase&lt;-ProcessarAereo&lt;-ProcessarItemFila[b]"/>
    <d v="2025-04-29T15:49:00"/>
    <d v="2025-04-29T18:31:00"/>
    <s v="CLIENTE"/>
    <s v="CÓD. CLIENTE DIVERGENTE"/>
    <s v="CÓDIGO DIFERENTE DO CADASTRADO NO BENNER (CLIENTE X GRUPO)"/>
    <x v="1"/>
    <s v="SUPORTE OBT"/>
    <n v="1"/>
  </r>
  <r>
    <n v="3390857"/>
    <s v="SABRE"/>
    <x v="1047"/>
    <s v="HPANFST"/>
    <s v="HPANFS"/>
    <s v="Verificando Formas Pagto/Rec - (ExecSQL) - TurVendas - Não foi possível localizar o contrato do fornecedor H84698"/>
    <d v="2025-04-29T17:01:00"/>
    <d v="2025-05-06T17:01:00"/>
    <s v="FORNECEDOR"/>
    <s v="CONTRATO FORNECEDOR"/>
    <s v="CONTRATO INATIVO OU DIVERGENTE"/>
    <x v="0"/>
    <s v="OPERAÇÕES / SUPORTE KCS"/>
    <n v="56"/>
  </r>
  <r>
    <n v="3390941"/>
    <s v="SABRE"/>
    <x v="1048"/>
    <s v="AFCXRWT"/>
    <s v="AFCXRW"/>
    <s v="Inserindo PNR - Accountings - TurVendas - Não foi possível localizar o contrato do fornecedor 49298"/>
    <d v="2025-04-29T17:07:00"/>
    <m/>
    <s v="FORNECEDOR"/>
    <s v="CONTRATO FORNECEDOR"/>
    <s v="CONTRATO INATIVO OU DIVERGENTE"/>
    <x v="0"/>
    <s v="OPERAÇÕES / SUPORTE KCS"/>
    <n v="43"/>
  </r>
  <r>
    <n v="3391046"/>
    <s v="SABRE"/>
    <x v="1048"/>
    <s v="IHIKIA"/>
    <s v="IHIKIA"/>
    <s v="Código de cliente não identificado&lt;-ObterCliente&lt;-MontarPnrBase&lt;-ProcessarAereo&lt;-ProcessarItemFila[b]"/>
    <d v="2025-04-29T17:24:00"/>
    <m/>
    <s v="CLIENTE"/>
    <s v="CLIENTE NÃO IDENTIFICADO"/>
    <s v="DK DE CLIENTE NÃO PREENCIDO / CLIENTE NÃO CONFIGURADO NO OBT"/>
    <x v="2"/>
    <s v="OPERAÇÕES / SUPORTE KCS"/>
    <s v="COLUNA I"/>
  </r>
  <r>
    <n v="3391079"/>
    <s v="SABRE"/>
    <x v="1049"/>
    <s v="DOODZGT"/>
    <s v="DOODZG"/>
    <s v="ConverterPagamentosRemark-&gt;Input string was not in a correct format.&lt;-MontarAccountinsHotel&lt;-ProcessarHotel&lt;-ProcessarItemFila[b]"/>
    <d v="2025-04-29T17:46:00"/>
    <d v="2025-05-02T14:46:00"/>
    <s v="FORMA PAGTO/RECTO"/>
    <s v="FORMATO DE TEXTO"/>
    <s v="TEXTO FORA DO PADRÃO ACEITO NO CAMPO"/>
    <x v="2"/>
    <s v="SUPORTE OBT"/>
    <s v="COLUNA I"/>
  </r>
  <r>
    <n v="3391268"/>
    <s v="SABRE"/>
    <x v="1050"/>
    <s v="CCPOTG"/>
    <s v="CCPOTG"/>
    <s v="Inserindo Accounting - (ExecSQL) - List index out of bounds (0)"/>
    <d v="2025-04-29T19:06:00"/>
    <m/>
    <s v="OUTROS"/>
    <s v="ERRO DE SQL"/>
    <s v="ERRO NA IMPORTAÇÃO/MODIFICAÇÃO DAS INFOMAÇÕES"/>
    <x v="0"/>
    <s v="SUPORTE BENNER"/>
    <s v="COLUNA I"/>
  </r>
  <r>
    <n v="3391432"/>
    <s v="SABRE"/>
    <x v="1051"/>
    <s v="FTVUUM"/>
    <s v="FTVUUM"/>
    <s v="Código de cliente não identificado&lt;-ObterCliente&lt;-MontarPnrBase&lt;-ProcessarAereo&lt;-ProcessarItemFila[b]"/>
    <d v="2025-04-29T20:03:00"/>
    <m/>
    <s v="CLIENTE"/>
    <s v="CLIENTE NÃO IDENTIFICADO"/>
    <s v="DK DE CLIENTE NÃO PREENCIDO / CLIENTE NÃO CONFIGURADO NO OBT"/>
    <x v="2"/>
    <s v="OPERAÇÕES / SUPORTE KCS"/>
    <s v="COLUNA I"/>
  </r>
  <r>
    <n v="3391443"/>
    <s v="TMS"/>
    <x v="1052"/>
    <n v="64357"/>
    <n v="64357"/>
    <s v="Preenchendo XML Serviço-&gt; Preenchendo XML-&gt; Montando accounting aereo 2-&gt;Não foi informado o Localizador do Assento/Bagagem!"/>
    <d v="2025-04-29T20:04:00"/>
    <d v="2025-05-02T20:57:00"/>
    <s v="OUTROS"/>
    <s v="ASSENTO / BAGAGEM"/>
    <s v="CAMPO OBSERVAÇÃO PREENCHIDO INCORRETAMENTE"/>
    <x v="1"/>
    <s v="OPERAÇÕES / SUPORTE KCS"/>
    <n v="118"/>
  </r>
  <r>
    <n v="3391449"/>
    <s v="TMS"/>
    <x v="1053"/>
    <n v="64317"/>
    <n v="64317"/>
    <s v="Preenchendo XML Serviço-&gt; Preenchendo XML-&gt; Montando accounting aereo 2-&gt;Não foi informado o Localizador do Assento/Bagagem!"/>
    <d v="2025-04-29T20:05:00"/>
    <d v="2025-05-02T20:57:00"/>
    <s v="OUTROS"/>
    <s v="ASSENTO / BAGAGEM"/>
    <s v="CAMPO OBSERVAÇÃO PREENCHIDO INCORRETAMENTE"/>
    <x v="1"/>
    <s v="OPERAÇÕES / SUPORTE KCS"/>
    <n v="118"/>
  </r>
  <r>
    <n v="3391908"/>
    <s v="TMS"/>
    <x v="1054"/>
    <n v="120"/>
    <n v="120"/>
    <s v="Preenchendo XML Serviço-&gt; Preenchendo XML-&gt; Montando accounting aereo 2-&gt;Não foi informado o Localizador do Assento/Bagagem!"/>
    <d v="2025-04-29T21:11:00"/>
    <d v="2025-05-02T21:41:00"/>
    <s v="OUTROS"/>
    <s v="ASSENTO / BAGAGEM"/>
    <s v="CAMPO OBSERVAÇÃO PREENCHIDO INCORRETAMENTE"/>
    <x v="1"/>
    <s v="OPERAÇÕES / SUPORTE KCS"/>
    <n v="118"/>
  </r>
  <r>
    <n v="3392114"/>
    <s v="SABRE"/>
    <x v="1055"/>
    <s v="NNVAPE"/>
    <s v="NNVAPE"/>
    <s v="Código de cliente não identificado&lt;-ObterCliente&lt;-MontarPnrBase&lt;-ProcessarAereo&lt;-ProcessarItemFila[b]"/>
    <d v="2025-04-29T21:47:00"/>
    <m/>
    <s v="CLIENTE"/>
    <s v="CLIENTE NÃO IDENTIFICADO"/>
    <s v="DK DE CLIENTE NÃO PREENCIDO / CLIENTE NÃO CONFIGURADO NO OBT"/>
    <x v="2"/>
    <s v="OPERAÇÕES / SUPORTE KCS"/>
    <s v="COLUNA I"/>
  </r>
  <r>
    <n v="3392115"/>
    <s v="SABRE"/>
    <x v="1055"/>
    <s v="UAPHRH"/>
    <s v="UAPHRH"/>
    <s v="Não localizado cliente código [0000392619].&lt;-ObterCliente&lt;-MontarPnrBase&lt;-ProcessarAereo&lt;-ProcessarItemFila[b]"/>
    <d v="2025-04-29T21:47:00"/>
    <m/>
    <s v="CLIENTE"/>
    <s v="CÓD. CLIENTE DIVERGENTE"/>
    <s v="CÓDIGO DIFERENTE DO CADASTRADO NO BENNER (CLIENTE X GRUPO)"/>
    <x v="1"/>
    <s v="SUPORTE OBT"/>
    <n v="1"/>
  </r>
  <r>
    <n v="3392116"/>
    <s v="SABRE"/>
    <x v="1055"/>
    <s v="QOOUUA"/>
    <s v="QOOUUA"/>
    <s v="Não localizado cliente código [0000392619].&lt;-ObterCliente&lt;-MontarPnrBase&lt;-ProcessarAereo&lt;-ProcessarItemFila[b]"/>
    <d v="2025-04-29T21:48:00"/>
    <m/>
    <s v="CLIENTE"/>
    <s v="CÓD. CLIENTE DIVERGENTE"/>
    <s v="CÓDIGO DIFERENTE DO CADASTRADO NO BENNER (CLIENTE X GRUPO)"/>
    <x v="1"/>
    <s v="SUPORTE OBT"/>
    <n v="1"/>
  </r>
  <r>
    <n v="3392117"/>
    <s v="SABRE"/>
    <x v="1055"/>
    <s v="IDSIIH"/>
    <s v="IDSIIH"/>
    <s v="Não localizado cliente código [0000071989].&lt;-ObterCliente&lt;-MontarPnrBase&lt;-ProcessarAereo&lt;-ProcessarItemFila[b]"/>
    <d v="2025-04-29T21:48:00"/>
    <m/>
    <s v="CLIENTE"/>
    <s v="CÓD. CLIENTE DIVERGENTE"/>
    <s v="CÓDIGO DIFERENTE DO CADASTRADO NO BENNER (CLIENTE X GRUPO)"/>
    <x v="1"/>
    <s v="SUPORTE OBT"/>
    <n v="1"/>
  </r>
  <r>
    <n v="3392449"/>
    <s v="SABRE"/>
    <x v="1056"/>
    <s v="GJQKCT"/>
    <s v="GJQKCT"/>
    <s v="Não localizado cliente código [1234567890].&lt;-ObterCliente&lt;-MontarPnrBase&lt;-ProcessarAereo&lt;-ProcessarItemFila[b]"/>
    <d v="2025-04-30T11:20:00"/>
    <m/>
    <s v="CLIENTE"/>
    <s v="CÓD. CLIENTE DIVERGENTE"/>
    <s v="CÓDIGO DIFERENTE DO CADASTRADO NO BENNER (CLIENTE X GRUPO)"/>
    <x v="1"/>
    <s v="SUPORTE OBT"/>
    <n v="1"/>
  </r>
  <r>
    <n v="3392529"/>
    <s v="SABRE"/>
    <x v="1057"/>
    <s v="AWMHXQ"/>
    <s v="AWMHXQ"/>
    <s v="Não localizado cliente código [0000063625].&lt;-ObterCliente&lt;-MontarPnrBase&lt;-ProcessarAereo&lt;-ProcessarItemFila[b]"/>
    <d v="2025-04-30T12:03:00"/>
    <d v="2025-04-30T12:33:00"/>
    <s v="CLIENTE"/>
    <s v="CÓD. CLIENTE DIVERGENTE"/>
    <s v="CÓDIGO DIFERENTE DO CADASTRADO NO BENNER (CLIENTE X GRUPO)"/>
    <x v="1"/>
    <s v="SUPORTE OBT"/>
    <n v="1"/>
  </r>
  <r>
    <n v="3392945"/>
    <s v="TMS"/>
    <x v="1058"/>
    <n v="7365"/>
    <n v="7365"/>
    <s v="Preenchendo XML Serviço-&gt; Preenchendo XML-&gt; Montando accounting aereo 2-&gt;Não foi informado o Localizador do Assento/Bagagem!"/>
    <d v="2025-04-30T14:58:00"/>
    <d v="2025-05-03T21:17:00"/>
    <s v="OUTROS"/>
    <s v="ASSENTO / BAGAGEM"/>
    <s v="CAMPO OBSERVAÇÃO PREENCHIDO INCORRETAMENTE"/>
    <x v="1"/>
    <s v="OPERAÇÕES / SUPORTE KCS"/>
    <n v="118"/>
  </r>
  <r>
    <n v="3393293"/>
    <s v="SABRE"/>
    <x v="1059"/>
    <s v="IQJKHR"/>
    <s v="IQJKHR"/>
    <s v="Não localizado cliente código [0000068873].&lt;-ObterCliente&lt;-MontarPnrBase&lt;-ProcessarAereo&lt;-ProcessarItemFila[b]"/>
    <d v="2025-04-30T15:50:00"/>
    <d v="2025-05-02T11:32:00"/>
    <s v="CLIENTE"/>
    <s v="CÓD. CLIENTE DIVERGENTE"/>
    <s v="CÓDIGO DIFERENTE DO CADASTRADO NO BENNER (CLIENTE X GRUPO)"/>
    <x v="1"/>
    <s v="SUPORTE OBT"/>
    <n v="1"/>
  </r>
  <r>
    <n v="3393300"/>
    <s v="TMS"/>
    <x v="1060"/>
    <n v="61137"/>
    <n v="61137"/>
    <s v="Preenchendo XML Serviço-&gt; Preenchendo XML-&gt; Montando accounting aereo 2-&gt;Não foi informado o Localizador do Assento/Bagagem!"/>
    <d v="2025-04-30T15:52:00"/>
    <d v="2025-05-03T21:18:00"/>
    <s v="OUTROS"/>
    <s v="ASSENTO / BAGAGEM"/>
    <s v="CAMPO OBSERVAÇÃO PREENCHIDO INCORRETAMENTE"/>
    <x v="1"/>
    <s v="OPERAÇÕES / SUPORTE KCS"/>
    <n v="118"/>
  </r>
  <r>
    <n v="3393309"/>
    <s v="TMS"/>
    <x v="1061"/>
    <n v="59706"/>
    <n v="59706"/>
    <s v="Preenchendo XML Serviço-&gt; Preenchendo XML-&gt; Montando accounting aereo 2-&gt;Não foi informado o Localizador do Assento/Bagagem!"/>
    <d v="2025-04-30T15:55:00"/>
    <d v="2025-05-03T21:18:00"/>
    <s v="OUTROS"/>
    <s v="ASSENTO / BAGAGEM"/>
    <s v="CAMPO OBSERVAÇÃO PREENCHIDO INCORRETAMENTE"/>
    <x v="1"/>
    <s v="OPERAÇÕES / SUPORTE KCS"/>
    <n v="118"/>
  </r>
  <r>
    <n v="3393853"/>
    <s v="GOVER"/>
    <x v="1062"/>
    <n v="4530810"/>
    <s v="NPBYMK"/>
    <s v="PreencherPnr-&gt;Código do cliente não informado! (SolicitacaoDTO.UnidadeCodigoIntegracao)"/>
    <d v="2025-04-30T18:00:00"/>
    <d v="2025-05-08T16:06:00"/>
    <s v="CLIENTE"/>
    <s v="CLIENTE NÃO IDENTIFICADO"/>
    <s v="DK DE CLIENTE NÃO PREENCIDO / CLIENTE NÃO CONFIGURADO NO OBT"/>
    <x v="2"/>
    <s v="OPERAÇÕES / SUPORTE KCS"/>
    <s v="COLUNA I"/>
  </r>
  <r>
    <n v="3394211"/>
    <s v="SABRE"/>
    <x v="1063"/>
    <s v="WYZLEE"/>
    <s v="WYZLEE"/>
    <s v="Não localizado cliente código [082264].&lt;-ObterCliente&lt;-MontarPnrBase&lt;-ProcessarAereo&lt;-ProcessarItemFila[b]"/>
    <d v="2025-04-30T20:17:00"/>
    <m/>
    <s v="CLIENTE"/>
    <s v="CÓD. CLIENTE DIVERGENTE"/>
    <s v="CÓDIGO DIFERENTE DO CADASTRADO NO BENNER (CLIENTE X GRUPO)"/>
    <x v="1"/>
    <s v="SUPORTE OBT"/>
    <n v="1"/>
  </r>
  <r>
    <n v="3394602"/>
    <s v="TMS"/>
    <x v="1064"/>
    <n v="21219"/>
    <n v="21219"/>
    <s v="Preenchendo XML Carro-&gt; Preenchendo XML-&gt; Montando accounting carro-&gt;Fornecedor com o código 415368  informado nos campos gerenciais não encontrado!"/>
    <d v="2025-04-30T20:56:00"/>
    <d v="2025-05-03T21:17:00"/>
    <s v="FORNECEDOR"/>
    <s v="CONTRATO FORNECEDOR"/>
    <s v="CONTRATO INATIVO OU DIVERGENTE"/>
    <x v="0"/>
    <s v="OPERAÇÕES / SUPORTE KCS"/>
    <n v="69"/>
  </r>
  <r>
    <n v="3394781"/>
    <s v="TMS"/>
    <x v="1065"/>
    <n v="61246"/>
    <n v="61246"/>
    <s v="Preenchendo XML Serviço-&gt; Preenchendo XML-&gt; Montando accounting aereo 2-&gt;Não foi informado o Localizador do Assento/Bagagem!"/>
    <d v="2025-04-30T21:18:00"/>
    <d v="2025-05-03T21:18:00"/>
    <s v="OUTROS"/>
    <s v="ASSENTO / BAGAGEM"/>
    <s v="CAMPO OBSERVAÇÃO PREENCHIDO INCORRETAMENTE"/>
    <x v="1"/>
    <s v="OPERAÇÕES / SUPORTE KCS"/>
    <n v="118"/>
  </r>
  <r>
    <n v="3394793"/>
    <s v="TMS"/>
    <x v="1066"/>
    <n v="61191"/>
    <n v="61191"/>
    <s v="Preenchendo XML Serviço-&gt; Preenchendo XML-&gt; Montando accounting aereo 2-&gt;Não foi informado o Localizador do Assento/Bagagem!"/>
    <d v="2025-04-30T21:20:00"/>
    <d v="2025-05-03T21:18:00"/>
    <s v="OUTROS"/>
    <s v="ASSENTO / BAGAGEM"/>
    <s v="CAMPO OBSERVAÇÃO PREENCHIDO INCORRETAMENTE"/>
    <x v="1"/>
    <s v="OPERAÇÕES / SUPORTE KCS"/>
    <n v="118"/>
  </r>
  <r>
    <n v="3397326"/>
    <s v="SABRE"/>
    <x v="1067"/>
    <s v="DQCXTTT"/>
    <s v="DQCXTT"/>
    <s v="ConverterPagamentosRemark-&gt;Input string was not in a correct format.&lt;-MontarAccountinsHotel&lt;-ProcessarHotel&lt;-ProcessarItemFila[b]"/>
    <d v="2025-05-02T12:46:00"/>
    <m/>
    <s v="FORMA PAGTO/RECTO"/>
    <s v="FORMATO DE TEXTO"/>
    <s v="TEXTO FORA DO PADRÃO ACEITO NO CAMPO"/>
    <x v="2"/>
    <s v="SUPORTE OBT"/>
    <s v="COLUNA I"/>
  </r>
  <r>
    <n v="3397459"/>
    <s v="SABRE"/>
    <x v="1068"/>
    <s v="JOLFUE"/>
    <s v="JOLFUE"/>
    <s v="Não localizado cliente código [0000583808].&lt;-ObterCliente&lt;-MontarPnrBase&lt;-ProcessarAereo&lt;-ProcessarItemFila[b]"/>
    <d v="2025-05-02T14:33:00"/>
    <m/>
    <s v="CLIENTE"/>
    <s v="CÓD. CLIENTE DIVERGENTE"/>
    <s v="CÓDIGO DIFERENTE DO CADASTRADO NO BENNER (CLIENTE X GRUPO)"/>
    <x v="1"/>
    <s v="SUPORTE OBT"/>
    <n v="1"/>
  </r>
  <r>
    <n v="3397461"/>
    <s v="SABRE"/>
    <x v="1068"/>
    <s v="KFTTZB"/>
    <s v="KFTTZB"/>
    <s v="Não localizado cliente com CNPJ [1924579000141].&lt;-ObterCliente&lt;-MontarPnrBase&lt;-ProcessarAereo&lt;-ProcessarItemFila[b]"/>
    <d v="2025-05-02T14:34:00"/>
    <m/>
    <s v="CLIENTE"/>
    <s v="REMARK - CNPJ"/>
    <s v=""/>
    <x v="3"/>
    <s v="OPERAÇÕES / SUPORTE KCS"/>
    <n v="24"/>
  </r>
  <r>
    <n v="3397462"/>
    <s v="SABRE"/>
    <x v="1068"/>
    <s v="HHCSID"/>
    <s v="HHCSID"/>
    <s v="Não localizado cliente código [0000063625].&lt;-ObterCliente&lt;-MontarPnrBase&lt;-ProcessarAereo&lt;-ProcessarItemFila[b]"/>
    <d v="2025-05-02T14:34:00"/>
    <m/>
    <s v="CLIENTE"/>
    <s v="CÓD. CLIENTE DIVERGENTE"/>
    <s v="CÓDIGO DIFERENTE DO CADASTRADO NO BENNER (CLIENTE X GRUPO)"/>
    <x v="1"/>
    <s v="SUPORTE OBT"/>
    <n v="1"/>
  </r>
  <r>
    <n v="3397508"/>
    <s v="SABRE"/>
    <x v="1069"/>
    <s v="DOQMAC"/>
    <s v="DOQMAC"/>
    <s v="Não localizado cliente código [0000068873].&lt;-ObterCliente&lt;-MontarPnrBase&lt;-ProcessarAereo&lt;-ProcessarItemFila[b]"/>
    <d v="2025-05-02T15:06:00"/>
    <d v="2025-05-05T11:33:00"/>
    <s v="CLIENTE"/>
    <s v="CÓD. CLIENTE DIVERGENTE"/>
    <s v="CÓDIGO DIFERENTE DO CADASTRADO NO BENNER (CLIENTE X GRUPO)"/>
    <x v="1"/>
    <s v="SUPORTE OBT"/>
    <n v="1"/>
  </r>
  <r>
    <n v="3398438"/>
    <s v="SABRE"/>
    <x v="1070"/>
    <s v="NDJJIO"/>
    <s v="NDJJIO"/>
    <s v="Inserindo PNR - Accountings - TurVendas - Não foi possível localizar o contrato do fornecedor KG"/>
    <d v="2025-05-02T17:46:00"/>
    <d v="2025-05-05T11:02:00"/>
    <s v="FORNECEDOR"/>
    <s v="CONTRATO FORNECEDOR"/>
    <s v="CONTRATO INATIVO OU DIVERGENTE"/>
    <x v="0"/>
    <s v="OPERAÇÕES / SUPORTE KCS"/>
    <n v="43"/>
  </r>
  <r>
    <n v="3398543"/>
    <s v="SABRE"/>
    <x v="1071"/>
    <s v="QROUJJ"/>
    <s v="QROUJJ"/>
    <s v="Código de cliente não identificado&lt;-ObterCliente&lt;-MontarPnrBase&lt;-ProcessarAereo&lt;-ProcessarItemFila[b]"/>
    <d v="2025-05-02T18:50:00"/>
    <d v="2025-05-02T19:05:00"/>
    <s v="CLIENTE"/>
    <s v="CLIENTE NÃO IDENTIFICADO"/>
    <s v="DK DE CLIENTE NÃO PREENCIDO / CLIENTE NÃO CONFIGURADO NO OBT"/>
    <x v="2"/>
    <s v="OPERAÇÕES / SUPORTE KCS"/>
    <s v="COLUNA I"/>
  </r>
  <r>
    <n v="3398674"/>
    <s v="TMS"/>
    <x v="1072"/>
    <n v="30731"/>
    <n v="30731"/>
    <s v="Preenchendo XML Serviço-&gt; Preenchendo XML-&gt; Montando accounting aereo 3-&gt;Reserva 30731 não encontrada para importar assento/bagagem!"/>
    <d v="2025-05-02T20:59:00"/>
    <d v="2025-05-05T22:20:00"/>
    <s v="OUTROS"/>
    <s v="NOVA MENSAGEM"/>
    <s v=""/>
    <x v="1"/>
    <e v="#N/A"/>
    <n v="126"/>
  </r>
  <r>
    <n v="3399221"/>
    <s v="TMS"/>
    <x v="1073"/>
    <n v="18294"/>
    <n v="18294"/>
    <s v="Preenchendo XML Carro-&gt; Preenchendo XML-&gt; Montando accounting carro-&gt;Fornecedor com o código 415368  informado nos campos gerenciais não encontrado!"/>
    <d v="2025-05-02T22:03:00"/>
    <d v="2025-05-05T23:25:00"/>
    <s v="FORNECEDOR"/>
    <s v="CONTRATO FORNECEDOR"/>
    <s v="CONTRATO INATIVO OU DIVERGENTE"/>
    <x v="0"/>
    <s v="OPERAÇÕES / SUPORTE KCS"/>
    <n v="69"/>
  </r>
  <r>
    <n v="3399324"/>
    <s v="SABRE"/>
    <x v="1074"/>
    <s v="AWUTOO"/>
    <s v="AWUTOO"/>
    <s v="Código de cliente não identificado&lt;-ObterCliente&lt;-MontarPnrBase&lt;-ProcessarAereo&lt;-ProcessarItemFila[b]"/>
    <d v="2025-05-03T19:03:00"/>
    <m/>
    <s v="CLIENTE"/>
    <s v="CLIENTE NÃO IDENTIFICADO"/>
    <s v="DK DE CLIENTE NÃO PREENCIDO / CLIENTE NÃO CONFIGURADO NO OBT"/>
    <x v="2"/>
    <s v="OPERAÇÕES / SUPORTE KCS"/>
    <s v="COLUNA I"/>
  </r>
  <r>
    <n v="3399325"/>
    <s v="SABRE"/>
    <x v="1074"/>
    <s v="AZHJHS"/>
    <s v="AZHJHS"/>
    <s v="Código de cliente não identificado&lt;-ObterCliente&lt;-MontarPnrBase&lt;-ProcessarAereo&lt;-ProcessarItemFila[b]"/>
    <d v="2025-05-03T19:03:00"/>
    <m/>
    <s v="CLIENTE"/>
    <s v="CLIENTE NÃO IDENTIFICADO"/>
    <s v="DK DE CLIENTE NÃO PREENCIDO / CLIENTE NÃO CONFIGURADO NO OBT"/>
    <x v="2"/>
    <s v="OPERAÇÕES / SUPORTE KCS"/>
    <s v="COLUNA I"/>
  </r>
  <r>
    <n v="3399326"/>
    <s v="SABRE"/>
    <x v="1075"/>
    <s v="JZVCWX"/>
    <s v="JZVCWX"/>
    <s v="Não localizado cliente código [0000050269].&lt;-ObterCliente&lt;-MontarPnrBase&lt;-ProcessarAereo&lt;-ProcessarItemFila[b]"/>
    <d v="2025-05-03T19:04:00"/>
    <d v="2025-05-05T11:18:00"/>
    <s v="CLIENTE"/>
    <s v="CÓD. CLIENTE DIVERGENTE"/>
    <s v="CÓDIGO DIFERENTE DO CADASTRADO NO BENNER (CLIENTE X GRUPO)"/>
    <x v="1"/>
    <s v="SUPORTE OBT"/>
    <n v="1"/>
  </r>
  <r>
    <n v="3399327"/>
    <s v="SABRE"/>
    <x v="1074"/>
    <s v="KBVOFC"/>
    <s v="KBVOFC"/>
    <s v="Não localizado cliente código [0000583808].&lt;-ObterCliente&lt;-MontarPnrBase&lt;-ProcessarAereo&lt;-ProcessarItemFila[b]"/>
    <d v="2025-05-03T19:04:00"/>
    <m/>
    <s v="CLIENTE"/>
    <s v="CÓD. CLIENTE DIVERGENTE"/>
    <s v="CÓDIGO DIFERENTE DO CADASTRADO NO BENNER (CLIENTE X GRUPO)"/>
    <x v="1"/>
    <s v="SUPORTE OBT"/>
    <n v="1"/>
  </r>
  <r>
    <n v="3399656"/>
    <s v="TMS"/>
    <x v="1076"/>
    <n v="1971"/>
    <n v="1971"/>
    <s v="Preenchendo XML Carro-&gt; Preenchendo XML-&gt; Montando accounting carro-&gt;Fornecedor com o código 5414  informado nos campos gerenciais não encontrado!"/>
    <d v="2025-05-05T10:02:00"/>
    <d v="2025-05-08T11:15:00"/>
    <s v="FORNECEDOR"/>
    <s v="CONTRATO FORNECEDOR"/>
    <s v="CONTRATO INATIVO OU DIVERGENTE"/>
    <x v="0"/>
    <s v="OPERAÇÕES / SUPORTE KCS"/>
    <n v="69"/>
  </r>
  <r>
    <n v="3399858"/>
    <s v="SABRE"/>
    <x v="1077"/>
    <s v="KBGWRJ"/>
    <s v="KBGWRJ"/>
    <s v="Não localizado cliente código [0000068777].&lt;-ObterCliente&lt;-MontarPnrBase&lt;-ProcessarAereo&lt;-ProcessarItemFila[b]"/>
    <d v="2025-05-05T11:19:00"/>
    <d v="2025-05-05T11:22:00"/>
    <s v="CLIENTE"/>
    <s v="CÓD. CLIENTE DIVERGENTE"/>
    <s v="CÓDIGO DIFERENTE DO CADASTRADO NO BENNER (CLIENTE X GRUPO)"/>
    <x v="1"/>
    <s v="SUPORTE OBT"/>
    <n v="1"/>
  </r>
  <r>
    <n v="3399880"/>
    <s v="SABRE"/>
    <x v="1078"/>
    <s v="EMBCEZT"/>
    <s v="EMBCEZ"/>
    <s v="Inserindo PNR - Accountings - TurVendas - Não foi possível localizar o contrato do fornecedor H84698"/>
    <d v="2025-05-05T11:46:00"/>
    <m/>
    <s v="FORNECEDOR"/>
    <s v="CONTRATO FORNECEDOR"/>
    <s v="CONTRATO INATIVO OU DIVERGENTE"/>
    <x v="0"/>
    <s v="OPERAÇÕES / SUPORTE KCS"/>
    <n v="43"/>
  </r>
  <r>
    <n v="3399942"/>
    <s v="SABRE"/>
    <x v="1079"/>
    <s v="HYHZOE"/>
    <s v="HYHZOE"/>
    <s v="Código de cliente não identificado&lt;-ObterCliente&lt;-MontarPnrBase&lt;-ProcessarAereo&lt;-ProcessarItemFila[b]"/>
    <d v="2025-05-05T12:03:00"/>
    <m/>
    <s v="CLIENTE"/>
    <s v="CLIENTE NÃO IDENTIFICADO"/>
    <s v="DK DE CLIENTE NÃO PREENCIDO / CLIENTE NÃO CONFIGURADO NO OBT"/>
    <x v="2"/>
    <s v="OPERAÇÕES / SUPORTE KCS"/>
    <s v="COLUNA I"/>
  </r>
  <r>
    <n v="3400119"/>
    <s v="SABRE"/>
    <x v="1080"/>
    <s v="HYVHPX"/>
    <s v="HYVHPX"/>
    <s v="Não localizado cliente código [0000000].&lt;-ObterCliente&lt;-MontarPnrBase&lt;-ProcessarAereo&lt;-ProcessarItemFila[b]"/>
    <d v="2025-05-05T14:03:00"/>
    <m/>
    <s v="CLIENTE"/>
    <s v="CÓD. CLIENTE DIVERGENTE"/>
    <s v="CÓDIGO DIFERENTE DO CADASTRADO NO BENNER (CLIENTE X GRUPO)"/>
    <x v="1"/>
    <s v="SUPORTE OBT"/>
    <n v="1"/>
  </r>
  <r>
    <n v="3400120"/>
    <s v="SABRE"/>
    <x v="1080"/>
    <s v="LHIFJE"/>
    <s v="LHIFJE"/>
    <s v="Não localizado cliente código [0000000].&lt;-ObterCliente&lt;-MontarPnrBase&lt;-ProcessarAereo&lt;-ProcessarItemFila[b]"/>
    <d v="2025-05-05T14:03:00"/>
    <m/>
    <s v="CLIENTE"/>
    <s v="CÓD. CLIENTE DIVERGENTE"/>
    <s v="CÓDIGO DIFERENTE DO CADASTRADO NO BENNER (CLIENTE X GRUPO)"/>
    <x v="1"/>
    <s v="SUPORTE OBT"/>
    <n v="1"/>
  </r>
  <r>
    <n v="3400121"/>
    <s v="SABRE"/>
    <x v="1080"/>
    <s v="ISOTZE"/>
    <s v="ISOTZE"/>
    <s v="Não localizado cliente código [0000000].&lt;-ObterCliente&lt;-MontarPnrBase&lt;-ProcessarAereo&lt;-ProcessarItemFila[b]"/>
    <d v="2025-05-05T14:03:00"/>
    <m/>
    <s v="CLIENTE"/>
    <s v="CÓD. CLIENTE DIVERGENTE"/>
    <s v="CÓDIGO DIFERENTE DO CADASTRADO NO BENNER (CLIENTE X GRUPO)"/>
    <x v="1"/>
    <s v="SUPORTE OBT"/>
    <n v="1"/>
  </r>
  <r>
    <n v="3400331"/>
    <s v="SABRE"/>
    <x v="1081"/>
    <s v="NRKQRZ"/>
    <s v="NRKQRZ"/>
    <s v="Não localizado cliente código [0000063625].&lt;-ObterCliente&lt;-MontarPnrBase&lt;-ProcessarAereo&lt;-ProcessarItemFila[b]"/>
    <d v="2025-05-05T15:47:00"/>
    <m/>
    <s v="CLIENTE"/>
    <s v="CÓD. CLIENTE DIVERGENTE"/>
    <s v="CÓDIGO DIFERENTE DO CADASTRADO NO BENNER (CLIENTE X GRUPO)"/>
    <x v="1"/>
    <s v="SUPORTE OBT"/>
    <n v="1"/>
  </r>
  <r>
    <n v="3400332"/>
    <s v="SABRE"/>
    <x v="1081"/>
    <s v="NSUETG"/>
    <s v="NSUETG"/>
    <s v="Não localizado cliente código [0000063625].&lt;-ObterCliente&lt;-MontarPnrBase&lt;-ProcessarAereo&lt;-ProcessarItemFila[b]"/>
    <d v="2025-05-05T15:47:00"/>
    <m/>
    <s v="CLIENTE"/>
    <s v="CÓD. CLIENTE DIVERGENTE"/>
    <s v="CÓDIGO DIFERENTE DO CADASTRADO NO BENNER (CLIENTE X GRUPO)"/>
    <x v="1"/>
    <s v="SUPORTE OBT"/>
    <n v="1"/>
  </r>
  <r>
    <n v="3400938"/>
    <s v="SABRE"/>
    <x v="1082"/>
    <s v="FJPDTJC"/>
    <s v="FJPDTJ"/>
    <s v="Inserindo Accounting Carro - (ExecSQL) - Not a legal OleAut date"/>
    <d v="2025-05-05T17:02:00"/>
    <d v="2025-05-05T17:17:00"/>
    <s v="OUTROS"/>
    <s v="REMARK - DATA INCORRETA"/>
    <s v="REMARK U*INFOPAG-CC/REC-CC PREENCHIDO INCORRETAMENTE"/>
    <x v="1"/>
    <s v="OPERAÇÕES / SUPORTE KCS"/>
    <s v="COLUNA I"/>
  </r>
  <r>
    <n v="3401662"/>
    <s v="SABRE"/>
    <x v="1083"/>
    <s v="QPDNBH"/>
    <s v="QPDNBH"/>
    <s v="Não localizado cliente código [0000583831].&lt;-ObterCliente&lt;-MontarPnrBase&lt;-ProcessarAereo&lt;-ProcessarItemFila[b]"/>
    <d v="2025-05-05T20:01:00"/>
    <m/>
    <s v="CLIENTE"/>
    <s v="CÓD. CLIENTE DIVERGENTE"/>
    <s v="CÓDIGO DIFERENTE DO CADASTRADO NO BENNER (CLIENTE X GRUPO)"/>
    <x v="1"/>
    <s v="SUPORTE OBT"/>
    <n v="1"/>
  </r>
  <r>
    <n v="3401663"/>
    <s v="SABRE"/>
    <x v="1083"/>
    <s v="WFEEEL"/>
    <s v="WFEEEL"/>
    <s v="Não localizado cliente código [0000583831].&lt;-ObterCliente&lt;-MontarPnrBase&lt;-ProcessarAereo&lt;-ProcessarItemFila[b]"/>
    <d v="2025-05-05T20:02:00"/>
    <m/>
    <s v="CLIENTE"/>
    <s v="CÓD. CLIENTE DIVERGENTE"/>
    <s v="CÓDIGO DIFERENTE DO CADASTRADO NO BENNER (CLIENTE X GRUPO)"/>
    <x v="1"/>
    <s v="SUPORTE OBT"/>
    <n v="1"/>
  </r>
  <r>
    <n v="3401717"/>
    <s v="TMS"/>
    <x v="1084"/>
    <n v="6575"/>
    <n v="6575"/>
    <s v="Preenchendo XML Serviço-&gt; Preenchendo XML-&gt; Montando accounting aereo 2-&gt;Não foi informado o Localizador do Assento/Bagagem!"/>
    <d v="2025-05-05T21:57:00"/>
    <d v="2025-05-08T10:46:00"/>
    <s v="OUTROS"/>
    <s v="ASSENTO / BAGAGEM"/>
    <s v="CAMPO OBSERVAÇÃO PREENCHIDO INCORRETAMENTE"/>
    <x v="1"/>
    <s v="OPERAÇÕES / SUPORTE KCS"/>
    <n v="118"/>
  </r>
  <r>
    <n v="3402336"/>
    <s v="SABRE"/>
    <x v="1085"/>
    <s v="HOEKNNT"/>
    <s v="HOEKNN"/>
    <s v="ConverterPagamentosRemark-&gt;String was not recognized as a valid DateTime.&lt;-MontarAccountinsHotel&lt;-ProcessarHotel&lt;-ProcessarItemFila[b]"/>
    <d v="2025-05-06T08:46:00"/>
    <d v="2025-05-06T14:04:00"/>
    <s v="FORMA PAGTO/RECTO"/>
    <s v="REMARK - DATA INCORRETA"/>
    <s v="REMARK U*INFOPAG-CC/REC-CC PREENCHIDO INCORRETAMENTE"/>
    <x v="1"/>
    <s v="OPERAÇÕES / SUPORTE KCS"/>
    <s v="COLUNA I"/>
  </r>
  <r>
    <n v="3402793"/>
    <s v="SABRE"/>
    <x v="1086"/>
    <s v="GJDRSC"/>
    <s v="GJDRSC"/>
    <s v="Não localizado cliente código [1234567890].&lt;-ObterCliente&lt;-MontarPnrBase&lt;-ProcessarAereo&lt;-ProcessarItemFila[b]"/>
    <d v="2025-05-06T11:04:00"/>
    <m/>
    <s v="CLIENTE"/>
    <s v="CÓD. CLIENTE DIVERGENTE"/>
    <s v="CÓDIGO DIFERENTE DO CADASTRADO NO BENNER (CLIENTE X GRUPO)"/>
    <x v="1"/>
    <s v="SUPORTE OBT"/>
    <n v="1"/>
  </r>
  <r>
    <n v="3402794"/>
    <s v="SABRE"/>
    <x v="1086"/>
    <s v="GJDRSCT"/>
    <s v="GJDRSC"/>
    <s v="Não localizado cliente código [1234567890].&lt;-ObterCliente&lt;-MontarPnrBase&lt;-MontarPnr&lt;-ProcessarHotel&lt;-ProcessarItemFila[b]"/>
    <d v="2025-05-06T11:04:00"/>
    <m/>
    <s v="CLIENTE"/>
    <s v="CÓD. CLIENTE DIVERGENTE"/>
    <s v="CÓDIGO DIFERENTE DO CADASTRADO NO BENNER (CLIENTE X GRUPO)"/>
    <x v="1"/>
    <s v="SUPORTE OBT"/>
    <n v="1"/>
  </r>
  <r>
    <n v="3402907"/>
    <s v="SABRE"/>
    <x v="1087"/>
    <s v="YJWLFP"/>
    <s v="YJWLFP"/>
    <s v="Não localizado cliente código [0000068873].&lt;-ObterCliente&lt;-MontarPnrBase&lt;-ProcessarAereo&lt;-ProcessarItemFila[b]"/>
    <d v="2025-05-06T12:03:00"/>
    <d v="2025-05-06T15:53:00"/>
    <s v="CLIENTE"/>
    <s v="CÓD. CLIENTE DIVERGENTE"/>
    <s v="CÓDIGO DIFERENTE DO CADASTRADO NO BENNER (CLIENTE X GRUPO)"/>
    <x v="1"/>
    <s v="SUPORTE OBT"/>
    <n v="1"/>
  </r>
  <r>
    <n v="3402909"/>
    <s v="SABRE"/>
    <x v="1087"/>
    <s v="YJWLFPT"/>
    <s v="YJWLFP"/>
    <s v="Não localizado cliente código [0000068873].&lt;-ObterCliente&lt;-MontarPnrBase&lt;-MontarPnr&lt;-ProcessarHotel&lt;-ProcessarItemFila[b]"/>
    <d v="2025-05-06T12:03:00"/>
    <d v="2025-05-06T15:53:00"/>
    <s v="CLIENTE"/>
    <s v="CÓD. CLIENTE DIVERGENTE"/>
    <s v="CÓDIGO DIFERENTE DO CADASTRADO NO BENNER (CLIENTE X GRUPO)"/>
    <x v="1"/>
    <s v="SUPORTE OBT"/>
    <n v="1"/>
  </r>
  <r>
    <n v="3402969"/>
    <s v="SABRE"/>
    <x v="1088"/>
    <s v="LFXPYL"/>
    <s v="LFXPYL"/>
    <s v="Não localizado cliente código [0000583808].&lt;-ObterCliente&lt;-MontarPnrBase&lt;-ProcessarAereo&lt;-ProcessarItemFila[b]"/>
    <d v="2025-05-06T12:48:00"/>
    <m/>
    <s v="CLIENTE"/>
    <s v="CÓD. CLIENTE DIVERGENTE"/>
    <s v="CÓDIGO DIFERENTE DO CADASTRADO NO BENNER (CLIENTE X GRUPO)"/>
    <x v="1"/>
    <s v="SUPORTE OBT"/>
    <n v="1"/>
  </r>
  <r>
    <n v="3403050"/>
    <s v="SABRE"/>
    <x v="1089"/>
    <s v="JTANCZ"/>
    <s v="JTANCZ"/>
    <s v="Não localizado cliente código [1234567890].&lt;-ObterCliente&lt;-MontarPnrBase&lt;-ProcessarAereo&lt;-ProcessarItemFila[b]"/>
    <d v="2025-05-06T13:18:00"/>
    <m/>
    <s v="CLIENTE"/>
    <s v="CÓD. CLIENTE DIVERGENTE"/>
    <s v="CÓDIGO DIFERENTE DO CADASTRADO NO BENNER (CLIENTE X GRUPO)"/>
    <x v="1"/>
    <s v="SUPORTE OBT"/>
    <n v="1"/>
  </r>
  <r>
    <n v="3403127"/>
    <s v="SABRE"/>
    <x v="1090"/>
    <s v="YMDUEG"/>
    <s v="YMDUEG"/>
    <s v="Não localizado cliente código [0000583808].&lt;-ObterCliente&lt;-MontarPnrBase&lt;-ProcessarAereo&lt;-ProcessarItemFila[b]"/>
    <d v="2025-05-06T13:47:00"/>
    <m/>
    <s v="CLIENTE"/>
    <s v="CÓD. CLIENTE DIVERGENTE"/>
    <s v="CÓDIGO DIFERENTE DO CADASTRADO NO BENNER (CLIENTE X GRUPO)"/>
    <x v="1"/>
    <s v="SUPORTE OBT"/>
    <n v="1"/>
  </r>
  <r>
    <n v="3403308"/>
    <s v="SABRE"/>
    <x v="1091"/>
    <s v="HXEWCA"/>
    <s v="HXEWCA"/>
    <s v="Não localizado cliente código [0000583808].&lt;-ObterCliente&lt;-MontarPnrBase&lt;-ProcessarAereo&lt;-ProcessarItemFila[b]"/>
    <d v="2025-05-06T15:32:00"/>
    <m/>
    <s v="CLIENTE"/>
    <s v="CÓD. CLIENTE DIVERGENTE"/>
    <s v="CÓDIGO DIFERENTE DO CADASTRADO NO BENNER (CLIENTE X GRUPO)"/>
    <x v="1"/>
    <s v="SUPORTE OBT"/>
    <n v="1"/>
  </r>
  <r>
    <n v="3403352"/>
    <s v="SABRE"/>
    <x v="1092"/>
    <s v="SBQZHD"/>
    <s v="SBQZHD"/>
    <s v="Código de cliente não identificado&lt;-ObterCliente&lt;-MontarPnrBase&lt;-ProcessarAereo&lt;-ProcessarItemFila[b]"/>
    <d v="2025-05-06T15:48:00"/>
    <m/>
    <s v="CLIENTE"/>
    <s v="CLIENTE NÃO IDENTIFICADO"/>
    <s v="DK DE CLIENTE NÃO PREENCIDO / CLIENTE NÃO CONFIGURADO NO OBT"/>
    <x v="2"/>
    <s v="OPERAÇÕES / SUPORTE KCS"/>
    <s v="COLUNA I"/>
  </r>
  <r>
    <n v="3403415"/>
    <s v="TMS"/>
    <x v="1093"/>
    <n v="6590"/>
    <n v="6590"/>
    <s v="Preenchendo XML Serviço-&gt; Preenchendo XML-&gt; Montando accounting aereo 2-&gt;Não foi informado o Localizador do Assento/Bagagem!"/>
    <d v="2025-05-06T16:14:00"/>
    <d v="2025-05-08T10:46:00"/>
    <s v="OUTROS"/>
    <s v="ASSENTO / BAGAGEM"/>
    <s v="CAMPO OBSERVAÇÃO PREENCHIDO INCORRETAMENTE"/>
    <x v="1"/>
    <s v="OPERAÇÕES / SUPORTE KCS"/>
    <n v="118"/>
  </r>
  <r>
    <n v="3403459"/>
    <s v="SABRE"/>
    <x v="1094"/>
    <s v="QRGAAH"/>
    <s v="QRGAAH"/>
    <s v="Não localizado cliente código [0000000].&lt;-ObterCliente&lt;-MontarPnrBase&lt;-ProcessarAereo&lt;-ProcessarItemFila[b]"/>
    <d v="2025-05-06T16:18:00"/>
    <m/>
    <s v="CLIENTE"/>
    <s v="CÓD. CLIENTE DIVERGENTE"/>
    <s v="CÓDIGO DIFERENTE DO CADASTRADO NO BENNER (CLIENTE X GRUPO)"/>
    <x v="1"/>
    <s v="SUPORTE OBT"/>
    <n v="1"/>
  </r>
  <r>
    <n v="3403463"/>
    <s v="SABRE"/>
    <x v="1094"/>
    <s v="FMNSEI"/>
    <s v="FMNSEI"/>
    <s v="Não localizado cliente código [0000000].&lt;-ObterCliente&lt;-MontarPnrBase&lt;-ProcessarAereo&lt;-ProcessarItemFila[b]"/>
    <d v="2025-05-06T16:18:00"/>
    <m/>
    <s v="CLIENTE"/>
    <s v="CÓD. CLIENTE DIVERGENTE"/>
    <s v="CÓDIGO DIFERENTE DO CADASTRADO NO BENNER (CLIENTE X GRUPO)"/>
    <x v="1"/>
    <s v="SUPORTE OBT"/>
    <n v="1"/>
  </r>
  <r>
    <n v="3403998"/>
    <s v="SABRE"/>
    <x v="1095"/>
    <s v="EPZSDY"/>
    <s v="EPZSDY"/>
    <s v="Não localizado cliente código [0000000].&lt;-ObterCliente&lt;-MontarPnrBase&lt;-ProcessarAereo&lt;-ProcessarItemFila[b]"/>
    <d v="2025-05-06T17:38:00"/>
    <d v="2025-05-07T12:03:00"/>
    <s v="CLIENTE"/>
    <s v="CÓD. CLIENTE DIVERGENTE"/>
    <s v="CÓDIGO DIFERENTE DO CADASTRADO NO BENNER (CLIENTE X GRUPO)"/>
    <x v="1"/>
    <s v="SUPORTE OBT"/>
    <n v="1"/>
  </r>
  <r>
    <n v="3404088"/>
    <s v="TMS"/>
    <x v="1096"/>
    <n v="44224"/>
    <n v="44224"/>
    <s v="Preenchendo XML Serviço-&gt; Preenchendo XML-&gt; Montando accounting aereo 2-&gt;Não foi informado o Localizador do Assento/Bagagem!"/>
    <d v="2025-05-06T17:47:00"/>
    <d v="2025-05-08T11:22:00"/>
    <s v="OUTROS"/>
    <s v="ASSENTO / BAGAGEM"/>
    <s v="CAMPO OBSERVAÇÃO PREENCHIDO INCORRETAMENTE"/>
    <x v="1"/>
    <s v="OPERAÇÕES / SUPORTE KCS"/>
    <n v="118"/>
  </r>
  <r>
    <n v="3404402"/>
    <s v="SABRE"/>
    <x v="1097"/>
    <s v="UFFGYP"/>
    <s v="UFFGYP"/>
    <s v="Não localizado cliente código [1234567890].&lt;-ObterCliente&lt;-MontarPnrBase&lt;-ProcessarAereo&lt;-ProcessarItemFila[b]"/>
    <d v="2025-05-06T18:32:00"/>
    <m/>
    <s v="CLIENTE"/>
    <s v="CÓD. CLIENTE DIVERGENTE"/>
    <s v="CÓDIGO DIFERENTE DO CADASTRADO NO BENNER (CLIENTE X GRUPO)"/>
    <x v="1"/>
    <s v="SUPORTE OBT"/>
    <n v="1"/>
  </r>
  <r>
    <n v="3404403"/>
    <s v="SABRE"/>
    <x v="1097"/>
    <s v="UFFGYPT"/>
    <s v="UFFGYP"/>
    <s v="Não localizado cliente código [1234567890].&lt;-ObterCliente&lt;-MontarPnrBase&lt;-MontarPnr&lt;-ProcessarHotel&lt;-ProcessarItemFila[b]"/>
    <d v="2025-05-06T18:32:00"/>
    <m/>
    <s v="CLIENTE"/>
    <s v="CÓD. CLIENTE DIVERGENTE"/>
    <s v="CÓDIGO DIFERENTE DO CADASTRADO NO BENNER (CLIENTE X GRUPO)"/>
    <x v="1"/>
    <s v="SUPORTE OBT"/>
    <n v="1"/>
  </r>
  <r>
    <n v="3404409"/>
    <s v="SABRE"/>
    <x v="1098"/>
    <s v="KKOXEG"/>
    <s v="KKOXEG"/>
    <s v="Não localizado cliente código [0000000].&lt;-ObterCliente&lt;-MontarPnrBase&lt;-ProcessarAereo&lt;-ProcessarItemFila[b]"/>
    <d v="2025-05-06T18:33:00"/>
    <m/>
    <s v="CLIENTE"/>
    <s v="CÓD. CLIENTE DIVERGENTE"/>
    <s v="CÓDIGO DIFERENTE DO CADASTRADO NO BENNER (CLIENTE X GRUPO)"/>
    <x v="1"/>
    <s v="SUPORTE OBT"/>
    <n v="1"/>
  </r>
  <r>
    <n v="3404412"/>
    <s v="SABRE"/>
    <x v="1099"/>
    <s v="KJPOIU"/>
    <s v="KJPOIU"/>
    <s v="Não localizado cliente código [0000050269].&lt;-ObterCliente&lt;-MontarPnrBase&lt;-ProcessarAereo&lt;-ProcessarItemFila[b]"/>
    <d v="2025-05-06T18:34:00"/>
    <d v="2025-05-06T19:46:00"/>
    <s v="CLIENTE"/>
    <s v="CÓD. CLIENTE DIVERGENTE"/>
    <s v="CÓDIGO DIFERENTE DO CADASTRADO NO BENNER (CLIENTE X GRUPO)"/>
    <x v="1"/>
    <s v="SUPORTE OBT"/>
    <n v="1"/>
  </r>
  <r>
    <n v="3404628"/>
    <s v="SABRE"/>
    <x v="1100"/>
    <s v="HUNLLG"/>
    <s v="HUNLLG"/>
    <s v="Não localizado cliente código [0000583808].&lt;-ObterCliente&lt;-MontarPnrBase&lt;-ProcessarAereo&lt;-ProcessarItemFila[b]"/>
    <d v="2025-05-06T19:03:00"/>
    <m/>
    <s v="CLIENTE"/>
    <s v="CÓD. CLIENTE DIVERGENTE"/>
    <s v="CÓDIGO DIFERENTE DO CADASTRADO NO BENNER (CLIENTE X GRUPO)"/>
    <x v="1"/>
    <s v="SUPORTE OBT"/>
    <n v="1"/>
  </r>
  <r>
    <n v="3404629"/>
    <s v="SABRE"/>
    <x v="1100"/>
    <s v="IWDKZX"/>
    <s v="IWDKZX"/>
    <s v="Não localizado cliente código [0000392619].&lt;-ObterCliente&lt;-MontarPnrBase&lt;-ProcessarAereo&lt;-ProcessarItemFila[b]"/>
    <d v="2025-05-06T19:03:00"/>
    <m/>
    <s v="CLIENTE"/>
    <s v="CÓD. CLIENTE DIVERGENTE"/>
    <s v="CÓDIGO DIFERENTE DO CADASTRADO NO BENNER (CLIENTE X GRUPO)"/>
    <x v="1"/>
    <s v="SUPORTE OBT"/>
    <n v="1"/>
  </r>
  <r>
    <n v="3404680"/>
    <s v="SABRE"/>
    <x v="1101"/>
    <s v="DEKNCM"/>
    <s v="DEKNCM"/>
    <s v="Não localizado cliente código [0000392619].&lt;-ObterCliente&lt;-MontarPnrBase&lt;-ProcessarAereo&lt;-ProcessarItemFila[b]"/>
    <d v="2025-05-06T20:16:00"/>
    <m/>
    <s v="CLIENTE"/>
    <s v="CÓD. CLIENTE DIVERGENTE"/>
    <s v="CÓDIGO DIFERENTE DO CADASTRADO NO BENNER (CLIENTE X GRUPO)"/>
    <x v="1"/>
    <s v="SUPORTE OBT"/>
    <n v="1"/>
  </r>
  <r>
    <n v="3404685"/>
    <s v="SABRE"/>
    <x v="1101"/>
    <s v="IXTEFI"/>
    <s v="IXTEFI"/>
    <s v="Código de cliente não identificado&lt;-ObterCliente&lt;-MontarPnrBase&lt;-ProcessarAereo&lt;-ProcessarItemFila[b]"/>
    <d v="2025-05-06T20:17:00"/>
    <m/>
    <s v="CLIENTE"/>
    <s v="CLIENTE NÃO IDENTIFICADO"/>
    <s v="DK DE CLIENTE NÃO PREENCIDO / CLIENTE NÃO CONFIGURADO NO OBT"/>
    <x v="2"/>
    <s v="OPERAÇÕES / SUPORTE KCS"/>
    <s v="COLUNA I"/>
  </r>
  <r>
    <n v="3404690"/>
    <s v="SABRE"/>
    <x v="1101"/>
    <s v="IYEJCS"/>
    <s v="IYEJCS"/>
    <s v="Não localizado cliente código [0000050269].&lt;-ObterCliente&lt;-MontarPnrBase&lt;-ProcessarAereo&lt;-ProcessarItemFila[b]"/>
    <d v="2025-05-06T20:17:00"/>
    <m/>
    <s v="CLIENTE"/>
    <s v="CÓD. CLIENTE DIVERGENTE"/>
    <s v="CÓDIGO DIFERENTE DO CADASTRADO NO BENNER (CLIENTE X GRUPO)"/>
    <x v="1"/>
    <s v="SUPORTE OBT"/>
    <n v="1"/>
  </r>
  <r>
    <n v="3405245"/>
    <s v="GOVER"/>
    <x v="1102"/>
    <n v="4532541"/>
    <s v="MV1MG4IQ1NBR"/>
    <s v="PreencherPnr-&gt;Código do cliente não informado! (SolicitacaoDTO.UnidadeCodigoIntegracao)"/>
    <d v="2025-05-07T09:46:00"/>
    <d v="2025-05-08T16:06:00"/>
    <s v="CLIENTE"/>
    <s v="CLIENTE NÃO IDENTIFICADO"/>
    <s v="DK DE CLIENTE NÃO PREENCIDO / CLIENTE NÃO CONFIGURADO NO OBT"/>
    <x v="2"/>
    <s v="OPERAÇÕES / SUPORTE KCS"/>
    <s v="COLUNA I"/>
  </r>
  <r>
    <n v="3405528"/>
    <s v="SABRE"/>
    <x v="1103"/>
    <s v="WQAPPO"/>
    <s v="WQAPPO"/>
    <s v="Não localizado cliente código [1234567890].&lt;-ObterCliente&lt;-MontarPnrBase&lt;-ProcessarAereo&lt;-ProcessarItemFila[b]"/>
    <d v="2025-05-07T12:04:00"/>
    <m/>
    <s v="CLIENTE"/>
    <s v="CÓD. CLIENTE DIVERGENTE"/>
    <s v="CÓDIGO DIFERENTE DO CADASTRADO NO BENNER (CLIENTE X GRUPO)"/>
    <x v="1"/>
    <s v="SUPORTE OBT"/>
    <n v="1"/>
  </r>
  <r>
    <n v="3405538"/>
    <s v="SABRE"/>
    <x v="1104"/>
    <s v="OAWTJF"/>
    <s v="OAWTJF"/>
    <s v="Código de cliente não identificado&lt;-ObterCliente&lt;-MontarPnrBase&lt;-ProcessarAereo&lt;-ProcessarItemFila[b]"/>
    <d v="2025-05-07T12:05:00"/>
    <d v="2025-05-07T13:18:00"/>
    <s v="CLIENTE"/>
    <s v="CLIENTE NÃO IDENTIFICADO"/>
    <s v="DK DE CLIENTE NÃO PREENCIDO / CLIENTE NÃO CONFIGURADO NO OBT"/>
    <x v="2"/>
    <s v="OPERAÇÕES / SUPORTE KCS"/>
    <s v="COLUNA I"/>
  </r>
  <r>
    <n v="3405559"/>
    <s v="SABRE"/>
    <x v="1105"/>
    <s v="GZUBWR"/>
    <s v="GZUBWR"/>
    <s v="Não localizado cliente código [0000000].&lt;-ObterCliente&lt;-MontarPnrBase&lt;-ProcessarAereo&lt;-ProcessarItemFila[b]"/>
    <d v="2025-05-07T12:17:00"/>
    <m/>
    <s v="CLIENTE"/>
    <s v="CÓD. CLIENTE DIVERGENTE"/>
    <s v="CÓDIGO DIFERENTE DO CADASTRADO NO BENNER (CLIENTE X GRUPO)"/>
    <x v="1"/>
    <s v="SUPORTE OBT"/>
    <n v="1"/>
  </r>
  <r>
    <n v="3405560"/>
    <s v="SABRE"/>
    <x v="1106"/>
    <s v="NCTJQI"/>
    <s v="NCTJQI"/>
    <s v="Código de cliente não identificado&lt;-ObterCliente&lt;-MontarPnrBase&lt;-ProcessarAereo&lt;-ProcessarItemFila[b]"/>
    <d v="2025-05-07T12:17:00"/>
    <d v="2025-05-08T11:47:00"/>
    <s v="CLIENTE"/>
    <s v="CLIENTE NÃO IDENTIFICADO"/>
    <s v="DK DE CLIENTE NÃO PREENCIDO / CLIENTE NÃO CONFIGURADO NO OBT"/>
    <x v="2"/>
    <s v="OPERAÇÕES / SUPORTE KCS"/>
    <s v="COLUNA I"/>
  </r>
  <r>
    <n v="3405615"/>
    <s v="SABRE"/>
    <x v="1107"/>
    <s v="DLJQIQ"/>
    <s v="DLJQIQ"/>
    <s v="Não localizado cliente código [1234567890].&lt;-ObterCliente&lt;-MontarPnrBase&lt;-ProcessarAereo&lt;-ProcessarItemFila[b]"/>
    <d v="2025-05-07T13:04:00"/>
    <m/>
    <s v="CLIENTE"/>
    <s v="CÓD. CLIENTE DIVERGENTE"/>
    <s v="CÓDIGO DIFERENTE DO CADASTRADO NO BENNER (CLIENTE X GRUPO)"/>
    <x v="1"/>
    <s v="SUPORTE OBT"/>
    <n v="1"/>
  </r>
  <r>
    <n v="3405649"/>
    <s v="SABRE"/>
    <x v="1108"/>
    <s v="HMJFEQT"/>
    <s v="HMJFEQ"/>
    <s v="Código de cliente não identificado&lt;-ObterCliente&lt;-MontarPnrBase&lt;-MontarPnr&lt;-ProcessarHotel&lt;-ProcessarItemFila[b]"/>
    <d v="2025-05-07T13:32:00"/>
    <m/>
    <s v="CLIENTE"/>
    <s v="CLIENTE NÃO IDENTIFICADO"/>
    <s v="DK DE CLIENTE NÃO PREENCIDO / CLIENTE NÃO CONFIGURADO NO OBT"/>
    <x v="2"/>
    <s v="OPERAÇÕES / SUPORTE KCS"/>
    <s v="COLUNA I"/>
  </r>
  <r>
    <n v="3406463"/>
    <s v="TMS"/>
    <x v="1109"/>
    <n v="44247"/>
    <n v="44247"/>
    <s v="Inserindo Accounting Servico - Parâmetro Consolidador - TurVendas - Não foi possível localizar o contrato do fornecedor 64192"/>
    <d v="2025-05-07T18:26:00"/>
    <d v="2025-05-08T11:22:00"/>
    <s v="FORNECEDOR"/>
    <s v="CONTRATO FORNECEDOR"/>
    <s v="CONTRATO INATIVO OU DIVERGENTE"/>
    <x v="0"/>
    <s v="OPERAÇÕES / SUPORTE KCS"/>
    <n v="69"/>
  </r>
  <r>
    <n v="3406539"/>
    <s v="TMS"/>
    <x v="1110"/>
    <n v="62027"/>
    <n v="62027"/>
    <s v="Inserindo Accounting Servico - Parâmetro Consolidador - TurVendas - Não foi possível localizar o contrato do fornecedor 64192"/>
    <d v="2025-05-07T18:38:00"/>
    <d v="2025-05-08T11:33:00"/>
    <s v="FORNECEDOR"/>
    <s v="CONTRATO FORNECEDOR"/>
    <s v="CONTRATO INATIVO OU DIVERGENTE"/>
    <x v="0"/>
    <s v="OPERAÇÕES / SUPORTE KCS"/>
    <n v="69"/>
  </r>
  <r>
    <n v="3406586"/>
    <s v="SABRE"/>
    <x v="1111"/>
    <s v="GREUME"/>
    <s v="GREUME"/>
    <s v="Código de cliente não identificado&lt;-ObterCliente&lt;-MontarPnrBase&lt;-ProcessarAereo&lt;-ProcessarItemFila[b]"/>
    <d v="2025-05-07T18:47:00"/>
    <m/>
    <s v="CLIENTE"/>
    <s v="CLIENTE NÃO IDENTIFICADO"/>
    <s v="DK DE CLIENTE NÃO PREENCIDO / CLIENTE NÃO CONFIGURADO NO OBT"/>
    <x v="2"/>
    <s v="OPERAÇÕES / SUPORTE KCS"/>
    <s v="COLUNA I"/>
  </r>
  <r>
    <n v="3406597"/>
    <s v="SABRE"/>
    <x v="1111"/>
    <s v="SVMNRI"/>
    <s v="SVMNRI"/>
    <s v="Não localizado cliente código [1234567890].&lt;-ObterCliente&lt;-MontarPnrBase&lt;-ProcessarAereo&lt;-ProcessarItemFila[b]"/>
    <d v="2025-05-07T18:48:00"/>
    <m/>
    <s v="CLIENTE"/>
    <s v="CÓD. CLIENTE DIVERGENTE"/>
    <s v="CÓDIGO DIFERENTE DO CADASTRADO NO BENNER (CLIENTE X GRUPO)"/>
    <x v="1"/>
    <s v="SUPORTE OBT"/>
    <n v="1"/>
  </r>
  <r>
    <n v="3406604"/>
    <s v="SABRE"/>
    <x v="1111"/>
    <s v="HFFYPR"/>
    <s v="HFFYPR"/>
    <s v="Não localizado cliente código [1234567890].&lt;-ObterCliente&lt;-MontarPnrBase&lt;-ProcessarAereo&lt;-ProcessarItemFila[b]"/>
    <d v="2025-05-07T18:48:00"/>
    <m/>
    <s v="CLIENTE"/>
    <s v="CÓD. CLIENTE DIVERGENTE"/>
    <s v="CÓDIGO DIFERENTE DO CADASTRADO NO BENNER (CLIENTE X GRUPO)"/>
    <x v="1"/>
    <s v="SUPORTE OBT"/>
    <n v="1"/>
  </r>
  <r>
    <n v="3406640"/>
    <s v="TMS"/>
    <x v="1112"/>
    <n v="17124"/>
    <n v="17124"/>
    <s v="Preenchendo XML Hotel-&gt; Preenchendo XML-&gt; Montando accounting hotel-&gt;Solicitação de hotel referente a esta cotação não foi encontrada (Id Cotação: 1)"/>
    <d v="2025-05-07T18:54:00"/>
    <d v="2025-05-08T11:39:00"/>
    <s v="OUTROS"/>
    <s v="COTAÇÃO"/>
    <s v="INDEFINIDO"/>
    <x v="2"/>
    <s v="SUPORTE OBT"/>
    <s v="COLUNA I"/>
  </r>
  <r>
    <n v="3406854"/>
    <s v="SABRE"/>
    <x v="1113"/>
    <s v="EPJDCP"/>
    <s v="EPJDCP"/>
    <s v="Código de cliente não identificado&lt;-ObterCliente&lt;-MontarPnrBase&lt;-ProcessarAereo&lt;-ProcessarItemFila[b]"/>
    <d v="2025-05-07T20:32:00"/>
    <m/>
    <s v="CLIENTE"/>
    <s v="CLIENTE NÃO IDENTIFICADO"/>
    <s v="DK DE CLIENTE NÃO PREENCIDO / CLIENTE NÃO CONFIGURADO NO OBT"/>
    <x v="2"/>
    <s v="OPERAÇÕES / SUPORTE KCS"/>
    <s v="COLUNA I"/>
  </r>
  <r>
    <n v="3406857"/>
    <s v="SABRE"/>
    <x v="1113"/>
    <s v="YNGYDQ"/>
    <s v="YNGYDQ"/>
    <s v="Não localizado cliente código [1234567890].&lt;-ObterCliente&lt;-MontarPnrBase&lt;-ProcessarAereo&lt;-ProcessarItemFila[b]"/>
    <d v="2025-05-07T20:32:00"/>
    <m/>
    <s v="CLIENTE"/>
    <s v="CÓD. CLIENTE DIVERGENTE"/>
    <s v="CÓDIGO DIFERENTE DO CADASTRADO NO BENNER (CLIENTE X GRUPO)"/>
    <x v="1"/>
    <s v="SUPORTE OBT"/>
    <n v="1"/>
  </r>
  <r>
    <n v="3407101"/>
    <s v="TMS"/>
    <x v="1114"/>
    <n v="44266"/>
    <n v="44266"/>
    <s v="Inserindo Accounting Servico - Parâmetro Consolidador - TurVendas - Não foi possível localizar o contrato do fornecedor 64192"/>
    <d v="2025-05-07T23:03:00"/>
    <d v="2025-05-08T11:21:00"/>
    <s v="FORNECEDOR"/>
    <s v="CONTRATO FORNECEDOR"/>
    <s v="CONTRATO INATIVO OU DIVERGENTE"/>
    <x v="0"/>
    <s v="OPERAÇÕES / SUPORTE KCS"/>
    <n v="69"/>
  </r>
  <r>
    <n v="3407103"/>
    <s v="TMS"/>
    <x v="1115"/>
    <n v="44265"/>
    <n v="44265"/>
    <s v="Inserindo Accounting Servico - Parâmetro Consolidador - TurVendas - Não foi possível localizar o contrato do fornecedor 64192"/>
    <d v="2025-05-07T23:03:00"/>
    <d v="2025-05-08T11:21:00"/>
    <s v="FORNECEDOR"/>
    <s v="CONTRATO FORNECEDOR"/>
    <s v="CONTRATO INATIVO OU DIVERGENTE"/>
    <x v="0"/>
    <s v="OPERAÇÕES / SUPORTE KCS"/>
    <n v="69"/>
  </r>
  <r>
    <n v="3407106"/>
    <s v="TMS"/>
    <x v="1116"/>
    <n v="44261"/>
    <n v="44261"/>
    <s v="Inserindo Accounting Servico - Parâmetro Consolidador - TurVendas - Não foi possível localizar o contrato do fornecedor 64192"/>
    <d v="2025-05-07T23:04:00"/>
    <d v="2025-05-08T11:21:00"/>
    <s v="FORNECEDOR"/>
    <s v="CONTRATO FORNECEDOR"/>
    <s v="CONTRATO INATIVO OU DIVERGENTE"/>
    <x v="0"/>
    <s v="OPERAÇÕES / SUPORTE KCS"/>
    <n v="69"/>
  </r>
  <r>
    <n v="3407108"/>
    <s v="TMS"/>
    <x v="1117"/>
    <n v="44259"/>
    <n v="44259"/>
    <s v="Inserindo Accounting Servico - Parâmetro Consolidador - TurVendas - Não foi possível localizar o contrato do fornecedor 64192"/>
    <d v="2025-05-07T23:04:00"/>
    <d v="2025-05-08T11:21:00"/>
    <s v="FORNECEDOR"/>
    <s v="CONTRATO FORNECEDOR"/>
    <s v="CONTRATO INATIVO OU DIVERGENTE"/>
    <x v="0"/>
    <s v="OPERAÇÕES / SUPORTE KCS"/>
    <n v="69"/>
  </r>
  <r>
    <n v="3407109"/>
    <s v="TMS"/>
    <x v="1118"/>
    <n v="44258"/>
    <n v="44258"/>
    <s v="Inserindo Accounting Servico - Parâmetro Consolidador - TurVendas - Não foi possível localizar o contrato do fornecedor 64192"/>
    <d v="2025-05-07T23:04:00"/>
    <d v="2025-05-08T11:22:00"/>
    <s v="FORNECEDOR"/>
    <s v="CONTRATO FORNECEDOR"/>
    <s v="CONTRATO INATIVO OU DIVERGENTE"/>
    <x v="0"/>
    <s v="OPERAÇÕES / SUPORTE KCS"/>
    <n v="69"/>
  </r>
  <r>
    <n v="3407181"/>
    <s v="TMS"/>
    <x v="1119"/>
    <n v="62079"/>
    <n v="62079"/>
    <s v="Inserindo Accounting Servico - Parâmetro Consolidador - TurVendas - Não foi possível localizar o contrato do fornecedor 64192"/>
    <d v="2025-05-07T23:12:00"/>
    <d v="2025-05-08T11:33:00"/>
    <s v="FORNECEDOR"/>
    <s v="CONTRATO FORNECEDOR"/>
    <s v="CONTRATO INATIVO OU DIVERGENTE"/>
    <x v="0"/>
    <s v="OPERAÇÕES / SUPORTE KCS"/>
    <n v="69"/>
  </r>
  <r>
    <n v="3408304"/>
    <s v="TMS"/>
    <x v="1120"/>
    <n v="44262"/>
    <n v="44262"/>
    <s v="Inserindo Accounting Servico - Parâmetro Consolidador - TurVendas - Não foi possível localizar o contrato do fornecedor 64192"/>
    <d v="2025-05-08T11:21:00"/>
    <m/>
    <s v="FORNECEDOR"/>
    <s v="CONTRATO FORNECEDOR"/>
    <s v="CONTRATO INATIVO OU DIVERGENTE"/>
    <x v="0"/>
    <s v="OPERAÇÕES / SUPORTE KCS"/>
    <n v="69"/>
  </r>
  <r>
    <n v="3408350"/>
    <s v="TMS"/>
    <x v="1121"/>
    <n v="62128"/>
    <n v="62128"/>
    <s v="Inserindo Accounting Servico - Parâmetro Consolidador - TurVendas - Não foi possível localizar o contrato do fornecedor 64192"/>
    <d v="2025-05-08T11:32:00"/>
    <m/>
    <s v="FORNECEDOR"/>
    <s v="CONTRATO FORNECEDOR"/>
    <s v="CONTRATO INATIVO OU DIVERGENTE"/>
    <x v="0"/>
    <s v="OPERAÇÕES / SUPORTE KCS"/>
    <n v="69"/>
  </r>
  <r>
    <n v="3408579"/>
    <s v="SABRE"/>
    <x v="1122"/>
    <s v="MJPZQL"/>
    <s v="MJPZQL"/>
    <s v="Não localizado cliente código [0000583808].&lt;-ObterCliente&lt;-MontarPnrBase&lt;-ProcessarAereo&lt;-ProcessarItemFila[b]"/>
    <d v="2025-05-08T13:04:00"/>
    <m/>
    <s v="CLIENTE"/>
    <s v="CÓD. CLIENTE DIVERGENTE"/>
    <s v="CÓDIGO DIFERENTE DO CADASTRADO NO BENNER (CLIENTE X GRUPO)"/>
    <x v="1"/>
    <s v="SUPORTE OBT"/>
    <n v="1"/>
  </r>
  <r>
    <n v="3408580"/>
    <s v="SABRE"/>
    <x v="1122"/>
    <s v="LEYHYD"/>
    <s v="LEYHYD"/>
    <s v="Não localizado cliente código [0000000].&lt;-ObterCliente&lt;-MontarPnrBase&lt;-ProcessarAereo&lt;-ProcessarItemFila[b]"/>
    <d v="2025-05-08T13:05:00"/>
    <m/>
    <s v="CLIENTE"/>
    <s v="CÓD. CLIENTE DIVERGENTE"/>
    <s v="CÓDIGO DIFERENTE DO CADASTRADO NO BENNER (CLIENTE X GRUPO)"/>
    <x v="1"/>
    <s v="SUPORTE OBT"/>
    <n v="1"/>
  </r>
  <r>
    <n v="3408581"/>
    <s v="SABRE"/>
    <x v="1122"/>
    <s v="NFTYSX"/>
    <s v="NFTYSX"/>
    <s v="Não localizado cliente código [1234567890].&lt;-ObterCliente&lt;-MontarPnrBase&lt;-ProcessarAereo&lt;-ProcessarItemFila[b]"/>
    <d v="2025-05-08T13:05:00"/>
    <m/>
    <s v="CLIENTE"/>
    <s v="CÓD. CLIENTE DIVERGENTE"/>
    <s v="CÓDIGO DIFERENTE DO CADASTRADO NO BENNER (CLIENTE X GRUPO)"/>
    <x v="1"/>
    <s v="SUPORTE OBT"/>
    <n v="1"/>
  </r>
  <r>
    <n v="3408591"/>
    <s v="SABRE"/>
    <x v="1122"/>
    <s v="NUPULL"/>
    <s v="NUPULL"/>
    <s v="Não localizado cliente código [1234567890].&lt;-ObterCliente&lt;-MontarPnrBase&lt;-ProcessarAereo&lt;-ProcessarItemFila[b]"/>
    <d v="2025-05-08T13:08:00"/>
    <m/>
    <s v="CLIENTE"/>
    <s v="CÓD. CLIENTE DIVERGENTE"/>
    <s v="CÓDIGO DIFERENTE DO CADASTRADO NO BENNER (CLIENTE X GRUPO)"/>
    <x v="1"/>
    <s v="SUPORTE OBT"/>
    <n v="1"/>
  </r>
  <r>
    <n v="3409618"/>
    <s v="TMS"/>
    <x v="1123"/>
    <n v="44341"/>
    <n v="44341"/>
    <s v="Preenchendo XML Rodoviário-&gt; Preenchendo XML-&gt; Montando accounting rodoviário-&gt;AlterarAccounting-&gt;Buscar Usuário-&gt;Server was unable to process request. ---&gt; store procedure: Interface_Controle_Detalhe_Proc : Execution Timeout Expired.  The timeout period elapsed prior to completion of the operation or the server is not responding."/>
    <m/>
    <m/>
    <m/>
    <s v="NOVA MENSAGEM"/>
    <s v=""/>
    <x v="1"/>
    <e v="#N/A"/>
    <s v="COLUNA I"/>
  </r>
  <r>
    <n v="3410258"/>
    <s v="SABRE"/>
    <x v="1124"/>
    <s v="GQLNXC"/>
    <s v="GQLNXC"/>
    <s v="Código de cliente não identificado&lt;-ObterCliente&lt;-MontarPnrBase&lt;-ProcessarAereo&lt;-ProcessarItemFila[b]"/>
    <d v="2025-05-08T20:03:00"/>
    <m/>
    <s v="CLIENTE"/>
    <s v="CLIENTE NÃO IDENTIFICADO"/>
    <s v="DK DE CLIENTE NÃO PREENCIDO / CLIENTE NÃO CONFIGURADO NO OBT"/>
    <x v="2"/>
    <s v="OPERAÇÕES / SUPORTE KCS"/>
    <s v="COLUNA I"/>
  </r>
  <r>
    <n v="3410261"/>
    <s v="SABRE"/>
    <x v="1124"/>
    <s v="JBAABI"/>
    <s v="JBAABI"/>
    <s v="Não localizado cliente código [1234567890].&lt;-ObterCliente&lt;-MontarPnrBase&lt;-ProcessarAereo&lt;-ProcessarItemFila[b]"/>
    <d v="2025-05-08T20:03:00"/>
    <m/>
    <s v="CLIENTE"/>
    <s v="CÓD. CLIENTE DIVERGENTE"/>
    <s v="CÓDIGO DIFERENTE DO CADASTRADO NO BENNER (CLIENTE X GRUPO)"/>
    <x v="1"/>
    <s v="SUPORTE OBT"/>
    <n v="1"/>
  </r>
  <r>
    <n v="3410262"/>
    <s v="SABRE"/>
    <x v="1124"/>
    <s v="INVIGB"/>
    <s v="INVIGB"/>
    <s v="Código de cliente não identificado&lt;-ObterCliente&lt;-MontarPnrBase&lt;-ProcessarAereo&lt;-ProcessarItemFila[b]"/>
    <d v="2025-05-08T20:03:00"/>
    <m/>
    <s v="CLIENTE"/>
    <s v="CLIENTE NÃO IDENTIFICADO"/>
    <s v="DK DE CLIENTE NÃO PREENCIDO / CLIENTE NÃO CONFIGURADO NO OBT"/>
    <x v="2"/>
    <s v="OPERAÇÕES / SUPORTE KCS"/>
    <s v="COLUNA I"/>
  </r>
  <r>
    <n v="3410265"/>
    <s v="SABRE"/>
    <x v="1124"/>
    <s v="CMOYCP"/>
    <s v="CMOYCP"/>
    <s v="Não localizado cliente com CNPJ [1924579000141].&lt;-ObterCliente&lt;-MontarPnrBase&lt;-ProcessarAereo&lt;-ProcessarItemFila[b]"/>
    <d v="2025-05-08T20:03:00"/>
    <m/>
    <s v="CLIENTE"/>
    <s v="REMARK - CNPJ"/>
    <s v=""/>
    <x v="1"/>
    <s v="OPERAÇÕES / SUPORTE KCS"/>
    <n v="24"/>
  </r>
  <r>
    <n v="3410272"/>
    <s v="SABRE"/>
    <x v="1124"/>
    <s v="YFMFAW"/>
    <s v="YFMFAW"/>
    <s v="Não localizado cliente código [0000583808].&lt;-ObterCliente&lt;-MontarPnrBase&lt;-ProcessarAereo&lt;-ProcessarItemFila[b]"/>
    <d v="2025-05-08T20:05:00"/>
    <m/>
    <s v="CLIENTE"/>
    <s v="CÓD. CLIENTE DIVERGENTE"/>
    <s v="CÓDIGO DIFERENTE DO CADASTRADO NO BENNER (CLIENTE X GRUPO)"/>
    <x v="1"/>
    <s v="SUPORTE OBT"/>
    <n v="1"/>
  </r>
  <r>
    <n v="3410276"/>
    <s v="SABRE"/>
    <x v="1124"/>
    <s v="YRWXYZ"/>
    <s v="YRWXYZ"/>
    <s v="Não localizado cliente código [0000063625].&lt;-ObterCliente&lt;-MontarPnrBase&lt;-ProcessarAereo&lt;-ProcessarItemFila[b]"/>
    <d v="2025-05-08T20:07:00"/>
    <m/>
    <s v="CLIENTE"/>
    <s v="CÓD. CLIENTE DIVERGENTE"/>
    <s v="CÓDIGO DIFERENTE DO CADASTRADO NO BENNER (CLIENTE X GRUPO)"/>
    <x v="1"/>
    <s v="SUPORTE OBT"/>
    <n v="1"/>
  </r>
  <r>
    <n v="3410280"/>
    <s v="SABRE"/>
    <x v="1124"/>
    <s v="IZNPUQ"/>
    <s v="IZNPUQ"/>
    <s v="Não localizado cliente código [0000050269].&lt;-ObterCliente&lt;-MontarPnrBase&lt;-ProcessarAereo&lt;-ProcessarItemFila[b]"/>
    <d v="2025-05-08T20:08:00"/>
    <m/>
    <s v="CLIENTE"/>
    <s v="CÓD. CLIENTE DIVERGENTE"/>
    <s v="CÓDIGO DIFERENTE DO CADASTRADO NO BENNER (CLIENTE X GRUPO)"/>
    <x v="1"/>
    <s v="SUPORTE OBT"/>
    <n v="1"/>
  </r>
  <r>
    <n v="3410281"/>
    <s v="SABRE"/>
    <x v="1124"/>
    <s v="CFZFPV"/>
    <s v="CFZFPV"/>
    <s v="Não localizado cliente código [0000050269].&lt;-ObterCliente&lt;-MontarPnrBase&lt;-ProcessarAereo&lt;-ProcessarItemFila[b]"/>
    <d v="2025-05-08T20:08:00"/>
    <m/>
    <s v="CLIENTE"/>
    <s v="CÓD. CLIENTE DIVERGENTE"/>
    <s v="CÓDIGO DIFERENTE DO CADASTRADO NO BENNER (CLIENTE X GRUPO)"/>
    <x v="1"/>
    <s v="SUPORTE OBT"/>
    <n v="1"/>
  </r>
  <r>
    <n v="3410309"/>
    <s v="TMS"/>
    <x v="1125"/>
    <n v="6700"/>
    <n v="6700"/>
    <s v="Preenchendo XML Serviço-&gt; Preenchendo XML-&gt; Montando accounting aereo 2-&gt;Não foi informado o Localizador do Assento/Bagagem!"/>
    <d v="2025-05-08T22:57:00"/>
    <d v="2025-05-11T23:55:00"/>
    <s v="OUTROS"/>
    <s v="ASSENTO / BAGAGEM"/>
    <s v="CAMPO OBSERVAÇÃO PREENCHIDO INCORRETAMENTE"/>
    <x v="1"/>
    <s v="OPERAÇÕES / SUPORTE KCS"/>
    <n v="118"/>
  </r>
  <r>
    <n v="3410982"/>
    <s v="TMS"/>
    <x v="1126"/>
    <n v="6704"/>
    <n v="6704"/>
    <s v="Preenchendo XML Serviço-&gt; Preenchendo XML-&gt; Montando accounting aereo 2-&gt;Não foi informado o Localizador do Assento/Bagagem!"/>
    <d v="2025-05-09T11:11:00"/>
    <d v="2025-05-12T12:08:00"/>
    <s v="OUTROS"/>
    <s v="ASSENTO / BAGAGEM"/>
    <s v="CAMPO OBSERVAÇÃO PREENCHIDO INCORRETAMENTE"/>
    <x v="1"/>
    <s v="OPERAÇÕES / SUPORTE KCS"/>
    <n v="118"/>
  </r>
  <r>
    <n v="3411120"/>
    <s v="SABRE"/>
    <x v="1127"/>
    <s v="YZAEKNT"/>
    <s v="YZAEKN"/>
    <s v="Inserindo PNR - Accountings - TurVendas - Não foi possível localizar o contrato do fornecedor H84698"/>
    <d v="2025-05-09T11:30:00"/>
    <m/>
    <s v="FORNECEDOR"/>
    <s v="CONTRATO FORNECEDOR"/>
    <s v="CONTRATO INATIVO OU DIVERGENTE"/>
    <x v="0"/>
    <s v="OPERAÇÕES / SUPORTE KCS"/>
    <n v="43"/>
  </r>
  <r>
    <n v="3411319"/>
    <s v="SABRE"/>
    <x v="1128"/>
    <s v="KWJHHR"/>
    <s v="KWJHHR"/>
    <s v="ERRO: Cancelamento de Venda: Não há PNR no sistema para cancelar, venda não inserida!"/>
    <d v="2025-05-09T12:16:00"/>
    <m/>
    <s v="CANCELAMENTO"/>
    <s v="VENDA CANCELADA"/>
    <s v="RESERVA CANCELADA NO OBT"/>
    <x v="0"/>
    <s v="SUPORTE OBT"/>
    <s v="COLUNA I"/>
  </r>
  <r>
    <n v="3411410"/>
    <s v="SABRE"/>
    <x v="1129"/>
    <s v="WZCTIZ"/>
    <s v="WZCTIZ"/>
    <s v="Não localizado cliente código [1234567890].&lt;-ObterCliente&lt;-MontarPnrBase&lt;-ProcessarAereo&lt;-ProcessarItemFila[b]"/>
    <d v="2025-05-09T13:32:00"/>
    <m/>
    <s v="CLIENTE"/>
    <s v="CÓD. CLIENTE DIVERGENTE"/>
    <s v="CÓDIGO DIFERENTE DO CADASTRADO NO BENNER (CLIENTE X GRUPO)"/>
    <x v="1"/>
    <s v="SUPORTE OBT"/>
    <n v="1"/>
  </r>
  <r>
    <n v="3411412"/>
    <s v="SABRE"/>
    <x v="1129"/>
    <s v="CFCHKM"/>
    <s v="CFCHKM"/>
    <s v="Não localizado cliente código [0000050269].&lt;-ObterCliente&lt;-MontarPnrBase&lt;-ProcessarAereo&lt;-ProcessarItemFila[b]"/>
    <d v="2025-05-09T13:32:00"/>
    <m/>
    <s v="CLIENTE"/>
    <s v="CÓD. CLIENTE DIVERGENTE"/>
    <s v="CÓDIGO DIFERENTE DO CADASTRADO NO BENNER (CLIENTE X GRUPO)"/>
    <x v="1"/>
    <s v="SUPORTE OBT"/>
    <n v="1"/>
  </r>
  <r>
    <n v="3411413"/>
    <s v="SABRE"/>
    <x v="1129"/>
    <s v="CYJQNZ"/>
    <s v="CYJQNZ"/>
    <s v="Não localizado cliente código [0000392619].&lt;-ObterCliente&lt;-MontarPnrBase&lt;-ProcessarAereo&lt;-ProcessarItemFila[b]"/>
    <d v="2025-05-09T13:33:00"/>
    <m/>
    <s v="CLIENTE"/>
    <s v="CÓD. CLIENTE DIVERGENTE"/>
    <s v="CÓDIGO DIFERENTE DO CADASTRADO NO BENNER (CLIENTE X GRUPO)"/>
    <x v="1"/>
    <s v="SUPORTE OBT"/>
    <n v="1"/>
  </r>
  <r>
    <n v="3411415"/>
    <s v="SABRE"/>
    <x v="1129"/>
    <s v="ECIEST"/>
    <s v="ECIEST"/>
    <s v="Código de cliente não identificado&lt;-ObterCliente&lt;-MontarPnrBase&lt;-ProcessarAereo&lt;-ProcessarItemFila[b]"/>
    <d v="2025-05-09T13:33:00"/>
    <m/>
    <s v="CLIENTE"/>
    <s v="CLIENTE NÃO IDENTIFICADO"/>
    <s v="DK DE CLIENTE NÃO PREENCIDO / CLIENTE NÃO CONFIGURADO NO OBT"/>
    <x v="2"/>
    <s v="OPERAÇÕES / SUPORTE KCS"/>
    <s v="COLUNA I"/>
  </r>
  <r>
    <n v="3411416"/>
    <s v="SABRE"/>
    <x v="1129"/>
    <s v="KYIETR"/>
    <s v="KYIETR"/>
    <s v="Não localizado cliente código [0000392619].&lt;-ObterCliente&lt;-MontarPnrBase&lt;-ProcessarAereo&lt;-ProcessarItemFila[b]"/>
    <d v="2025-05-09T13:33:00"/>
    <m/>
    <s v="CLIENTE"/>
    <s v="CÓD. CLIENTE DIVERGENTE"/>
    <s v="CÓDIGO DIFERENTE DO CADASTRADO NO BENNER (CLIENTE X GRUPO)"/>
    <x v="1"/>
    <s v="SUPORTE OBT"/>
    <n v="1"/>
  </r>
  <r>
    <n v="3411437"/>
    <s v="SABRE"/>
    <x v="1130"/>
    <s v="ANFUQB"/>
    <s v="ANFUQB"/>
    <s v="Código de cliente não identificado&lt;-ObterCliente&lt;-MontarPnrBase&lt;-ProcessarAereo&lt;-ProcessarItemFila[b]"/>
    <d v="2025-05-09T13:35:00"/>
    <d v="2025-05-12T12:18:00"/>
    <s v="CLIENTE"/>
    <s v="CLIENTE NÃO IDENTIFICADO"/>
    <s v="DK DE CLIENTE NÃO PREENCIDO / CLIENTE NÃO CONFIGURADO NO OBT"/>
    <x v="2"/>
    <s v="OPERAÇÕES / SUPORTE KCS"/>
    <s v="COLUNA I"/>
  </r>
  <r>
    <n v="3411442"/>
    <s v="SABRE"/>
    <x v="1131"/>
    <s v="ANKRCQ"/>
    <s v="ANKRCQ"/>
    <s v="Código de cliente não identificado&lt;-ObterCliente&lt;-MontarPnrBase&lt;-ProcessarAereo&lt;-ProcessarItemFila[b]"/>
    <d v="2025-05-09T13:35:00"/>
    <d v="2025-05-12T12:17:00"/>
    <s v="CLIENTE"/>
    <s v="CLIENTE NÃO IDENTIFICADO"/>
    <s v="DK DE CLIENTE NÃO PREENCIDO / CLIENTE NÃO CONFIGURADO NO OBT"/>
    <x v="2"/>
    <s v="OPERAÇÕES / SUPORTE KCS"/>
    <s v="COLUNA I"/>
  </r>
  <r>
    <n v="3411801"/>
    <s v="SABRE"/>
    <x v="1132"/>
    <s v="QEYSEA"/>
    <s v="QEYSEA"/>
    <s v="Código de cliente não identificado&lt;-ObterCliente&lt;-MontarPnrBase&lt;-ProcessarAereo&lt;-ProcessarItemFila[b]"/>
    <d v="2025-05-09T16:32:00"/>
    <m/>
    <s v="CLIENTE"/>
    <s v="CLIENTE NÃO IDENTIFICADO"/>
    <s v="DK DE CLIENTE NÃO PREENCIDO / CLIENTE NÃO CONFIGURADO NO OBT"/>
    <x v="2"/>
    <s v="OPERAÇÕES / SUPORTE KCS"/>
    <s v="COLUNA I"/>
  </r>
  <r>
    <n v="3411805"/>
    <s v="SABRE"/>
    <x v="1132"/>
    <s v="IXFJHL"/>
    <s v="IXFJHL"/>
    <s v="Não localizado cliente código [0000000].&lt;-ObterCliente&lt;-MontarPnrBase&lt;-ProcessarAereo&lt;-ProcessarItemFila[b]"/>
    <d v="2025-05-09T16:33:00"/>
    <m/>
    <s v="CLIENTE"/>
    <s v="CÓD. CLIENTE DIVERGENTE"/>
    <s v="CÓDIGO DIFERENTE DO CADASTRADO NO BENNER (CLIENTE X GRUPO)"/>
    <x v="1"/>
    <s v="SUPORTE OBT"/>
    <n v="1"/>
  </r>
  <r>
    <n v="3411822"/>
    <s v="SABRE"/>
    <x v="1132"/>
    <s v="ALPBSO"/>
    <s v="ALPBSO"/>
    <s v="Não localizado cliente com CNPJ [819201000115].&lt;-ObterCliente&lt;-MontarPnrBase&lt;-ProcessarAereo&lt;-ProcessarItemFila[b]"/>
    <d v="2025-05-09T16:35:00"/>
    <m/>
    <s v="CLIENTE"/>
    <s v="REMARK - CNPJ"/>
    <s v=""/>
    <x v="1"/>
    <s v="OPERAÇÕES / SUPORTE KCS"/>
    <n v="24"/>
  </r>
  <r>
    <n v="3411834"/>
    <s v="SABRE"/>
    <x v="1132"/>
    <s v="QDZECS"/>
    <s v="QDZECS"/>
    <s v="Não localizado cliente código [0000063625].&lt;-ObterCliente&lt;-MontarPnrBase&lt;-ProcessarAereo&lt;-ProcessarItemFila[b]"/>
    <d v="2025-05-09T16:36:00"/>
    <m/>
    <s v="CLIENTE"/>
    <s v="CÓD. CLIENTE DIVERGENTE"/>
    <s v="CÓDIGO DIFERENTE DO CADASTRADO NO BENNER (CLIENTE X GRUPO)"/>
    <x v="1"/>
    <s v="SUPORTE OBT"/>
    <n v="1"/>
  </r>
  <r>
    <n v="3411936"/>
    <s v="SABRE"/>
    <x v="1133"/>
    <s v="MKZMWI"/>
    <s v="MKZMWI"/>
    <s v="Não localizado cliente código [0000068873].&lt;-ObterCliente&lt;-MontarPnrBase&lt;-ProcessarAereo&lt;-ProcessarItemFila[b]"/>
    <d v="2025-05-09T17:08:00"/>
    <m/>
    <s v="CLIENTE"/>
    <s v="CÓD. CLIENTE DIVERGENTE"/>
    <s v="CÓDIGO DIFERENTE DO CADASTRADO NO BENNER (CLIENTE X GRUPO)"/>
    <x v="1"/>
    <s v="SUPORTE OBT"/>
    <n v="1"/>
  </r>
  <r>
    <n v="3412492"/>
    <s v="TMS"/>
    <x v="1134"/>
    <n v="44405"/>
    <n v="44405"/>
    <s v="Preenchendo XML Serviço-&gt; Preenchendo XML-&gt; Montando accounting aereo 2-&gt;Não foi informado o Localizador do Assento/Bagagem!"/>
    <d v="2025-05-09T18:02:00"/>
    <d v="2025-05-12T18:46:00"/>
    <s v="OUTROS"/>
    <s v="ASSENTO / BAGAGEM"/>
    <s v="CAMPO OBSERVAÇÃO PREENCHIDO INCORRETAMENTE"/>
    <x v="1"/>
    <s v="OPERAÇÕES / SUPORTE KCS"/>
    <n v="118"/>
  </r>
  <r>
    <n v="3412703"/>
    <s v="TMS"/>
    <x v="1135"/>
    <n v="12160"/>
    <n v="12160"/>
    <s v="Preenchendo XML Serviço-&gt; Preenchendo XML-&gt; Montando accounting aereo 2-&gt;Não foi informado o Localizador do Assento/Bagagem!"/>
    <d v="2025-05-09T18:28:00"/>
    <d v="2025-05-12T19:11:00"/>
    <s v="OUTROS"/>
    <s v="ASSENTO / BAGAGEM"/>
    <s v="CAMPO OBSERVAÇÃO PREENCHIDO INCORRETAMENTE"/>
    <x v="1"/>
    <s v="OPERAÇÕES / SUPORTE KCS"/>
    <n v="118"/>
  </r>
  <r>
    <n v="3412721"/>
    <s v="TMS"/>
    <x v="1136"/>
    <n v="125"/>
    <n v="125"/>
    <s v="Preenchendo XML Serviço-&gt; Preenchendo XML-&gt; Montando accounting aereo 2-&gt;Não foi informado o Localizador do Assento/Bagagem!"/>
    <d v="2025-05-09T18:32:00"/>
    <d v="2025-05-12T19:15:00"/>
    <s v="OUTROS"/>
    <s v="ASSENTO / BAGAGEM"/>
    <s v="CAMPO OBSERVAÇÃO PREENCHIDO INCORRETAMENTE"/>
    <x v="1"/>
    <s v="OPERAÇÕES / SUPORTE KCS"/>
    <n v="118"/>
  </r>
  <r>
    <n v="3413070"/>
    <s v="SABRE"/>
    <x v="1137"/>
    <s v="YZVUYB"/>
    <s v="YZVUYB"/>
    <s v="Código de cliente não identificado&lt;-ObterCliente&lt;-MontarPnrBase&lt;-ProcessarAereo&lt;-ProcessarItemFila[b]"/>
    <d v="2025-05-09T20:17:00"/>
    <m/>
    <s v="CLIENTE"/>
    <s v="CLIENTE NÃO IDENTIFICADO"/>
    <s v="DK DE CLIENTE NÃO PREENCIDO / CLIENTE NÃO CONFIGURADO NO OBT"/>
    <x v="2"/>
    <s v="OPERAÇÕES / SUPORTE KCS"/>
    <s v="COLUNA I"/>
  </r>
  <r>
    <n v="3413072"/>
    <s v="SABRE"/>
    <x v="1137"/>
    <s v="MHCSUS"/>
    <s v="MHCSUS"/>
    <s v="Não localizado cliente código [0000286569].&lt;-ObterCliente&lt;-MontarPnrBase&lt;-ProcessarAereo&lt;-ProcessarItemFila[b]"/>
    <d v="2025-05-09T20:18:00"/>
    <m/>
    <s v="CLIENTE"/>
    <s v="CÓD. CLIENTE DIVERGENTE"/>
    <s v="CÓDIGO DIFERENTE DO CADASTRADO NO BENNER (CLIENTE X GRUPO)"/>
    <x v="1"/>
    <s v="SUPORTE OBT"/>
    <n v="1"/>
  </r>
  <r>
    <n v="3413077"/>
    <s v="SABRE"/>
    <x v="1137"/>
    <s v="GTKUIC"/>
    <s v="GTKUIC"/>
    <s v="Não localizado cliente código [0000000].&lt;-ObterCliente&lt;-MontarPnrBase&lt;-ProcessarAereo&lt;-ProcessarItemFila[b]"/>
    <d v="2025-05-09T20:20:00"/>
    <m/>
    <s v="CLIENTE"/>
    <s v="CÓD. CLIENTE DIVERGENTE"/>
    <s v="CÓDIGO DIFERENTE DO CADASTRADO NO BENNER (CLIENTE X GRUPO)"/>
    <x v="1"/>
    <s v="SUPORTE OBT"/>
    <n v="1"/>
  </r>
  <r>
    <n v="3413080"/>
    <s v="SABRE"/>
    <x v="1137"/>
    <s v="FWTODY"/>
    <s v="FWTODY"/>
    <s v="Não localizado cliente código [0000000].&lt;-ObterCliente&lt;-MontarPnrBase&lt;-ProcessarAereo&lt;-ProcessarItemFila[b]"/>
    <d v="2025-05-09T20:20:00"/>
    <m/>
    <s v="CLIENTE"/>
    <s v="CÓD. CLIENTE DIVERGENTE"/>
    <s v="CÓDIGO DIFERENTE DO CADASTRADO NO BENNER (CLIENTE X GRUPO)"/>
    <x v="1"/>
    <s v="SUPORTE OBT"/>
    <n v="1"/>
  </r>
  <r>
    <n v="3413082"/>
    <s v="SABRE"/>
    <x v="1137"/>
    <s v="FPELMB"/>
    <s v="FPELMB"/>
    <s v="Código de cliente não identificado&lt;-ObterCliente&lt;-MontarPnrBase&lt;-ProcessarAereo&lt;-ProcessarItemFila[b]"/>
    <d v="2025-05-09T20:20:00"/>
    <m/>
    <s v="CLIENTE"/>
    <s v="CLIENTE NÃO IDENTIFICADO"/>
    <s v="DK DE CLIENTE NÃO PREENCIDO / CLIENTE NÃO CONFIGURADO NO OBT"/>
    <x v="2"/>
    <s v="OPERAÇÕES / SUPORTE KCS"/>
    <s v="COLUNA I"/>
  </r>
  <r>
    <n v="3413085"/>
    <s v="SABRE"/>
    <x v="1137"/>
    <s v="FXYNSU"/>
    <s v="FXYNSU"/>
    <s v="Código de cliente não identificado&lt;-ObterCliente&lt;-MontarPnrBase&lt;-ProcessarAereo&lt;-ProcessarItemFila[b]"/>
    <d v="2025-05-09T20:21:00"/>
    <m/>
    <s v="CLIENTE"/>
    <s v="CLIENTE NÃO IDENTIFICADO"/>
    <s v="DK DE CLIENTE NÃO PREENCIDO / CLIENTE NÃO CONFIGURADO NO OBT"/>
    <x v="2"/>
    <s v="OPERAÇÕES / SUPORTE KCS"/>
    <s v="COLUNA I"/>
  </r>
  <r>
    <n v="3413086"/>
    <s v="SABRE"/>
    <x v="1137"/>
    <s v="YVUENO"/>
    <s v="YVUENO"/>
    <s v="Código de cliente não identificado&lt;-ObterCliente&lt;-MontarPnrBase&lt;-ProcessarAereo&lt;-ProcessarItemFila[b]"/>
    <d v="2025-05-09T20:21:00"/>
    <m/>
    <s v="CLIENTE"/>
    <s v="CLIENTE NÃO IDENTIFICADO"/>
    <s v="DK DE CLIENTE NÃO PREENCIDO / CLIENTE NÃO CONFIGURADO NO OBT"/>
    <x v="2"/>
    <s v="OPERAÇÕES / SUPORTE KCS"/>
    <s v="COLUNA I"/>
  </r>
  <r>
    <n v="3413160"/>
    <s v="TMS"/>
    <x v="1138"/>
    <n v="31960"/>
    <n v="31960"/>
    <s v="Preenchendo XML Serviço-&gt; Preenchendo XML-&gt; Montando accounting aereo 3-&gt;Reserva FMIU8A não encontrada para importar assento/bagagem!"/>
    <d v="2025-05-09T23:19:00"/>
    <d v="2025-05-12T12:20:00"/>
    <s v="OUTROS"/>
    <s v="ASSENTO / BAGAGEM"/>
    <s v="CAMPO OBSERVAÇÃO PREENCHIDO INCORRETAMENTE"/>
    <x v="1"/>
    <s v="OPERAÇÕES / SUPORTE KCS"/>
    <n v="127"/>
  </r>
  <r>
    <n v="3413162"/>
    <s v="TMS"/>
    <x v="1139"/>
    <n v="31958"/>
    <n v="31958"/>
    <s v="Preenchendo XML Serviço-&gt; Preenchendo XML-&gt; Montando accounting aereo 3-&gt;Reserva KMPGVD não encontrada para importar assento/bagagem!"/>
    <d v="2025-05-09T23:19:00"/>
    <d v="2025-05-12T12:20:00"/>
    <s v="OUTROS"/>
    <s v="ASSENTO / BAGAGEM"/>
    <s v="CAMPO OBSERVAÇÃO PREENCHIDO INCORRETAMENTE"/>
    <x v="1"/>
    <s v="OPERAÇÕES / SUPORTE KCS"/>
    <n v="127"/>
  </r>
  <r>
    <n v="3413164"/>
    <s v="TMS"/>
    <x v="1140"/>
    <n v="31956"/>
    <n v="31956"/>
    <s v="Preenchendo XML Serviço-&gt; Preenchendo XML-&gt; Montando accounting aereo 3-&gt;Reserva MS5SWR não encontrada para importar assento/bagagem!"/>
    <d v="2025-05-09T23:20:00"/>
    <d v="2025-05-12T12:21:00"/>
    <s v="OUTROS"/>
    <s v="ASSENTO / BAGAGEM"/>
    <s v="CAMPO OBSERVAÇÃO PREENCHIDO INCORRETAMENTE"/>
    <x v="1"/>
    <s v="OPERAÇÕES / SUPORTE KCS"/>
    <n v="127"/>
  </r>
  <r>
    <n v="3413166"/>
    <s v="TMS"/>
    <x v="1141"/>
    <n v="31954"/>
    <n v="31954"/>
    <s v="Preenchendo XML Serviço-&gt; Preenchendo XML-&gt; Montando accounting aereo 3-&gt;Reserva DK7DJJ não encontrada para importar assento/bagagem!"/>
    <d v="2025-05-09T23:20:00"/>
    <d v="2025-05-12T12:21:00"/>
    <s v="OUTROS"/>
    <s v="ASSENTO / BAGAGEM"/>
    <s v="CAMPO OBSERVAÇÃO PREENCHIDO INCORRETAMENTE"/>
    <x v="1"/>
    <s v="OPERAÇÕES / SUPORTE KCS"/>
    <n v="127"/>
  </r>
  <r>
    <n v="3413465"/>
    <s v="TMS"/>
    <x v="1142"/>
    <n v="19086"/>
    <n v="19086"/>
    <s v="Preenchendo XML Serviço-&gt; Preenchendo XML-&gt; Montando accounting aereo 2-&gt;Não foi informado o Localizador do Assento/Bagagem!"/>
    <d v="2025-05-10T00:07:00"/>
    <d v="2025-05-12T19:35:00"/>
    <s v="OUTROS"/>
    <s v="ASSENTO / BAGAGEM"/>
    <s v="CAMPO OBSERVAÇÃO PREENCHIDO INCORRETAMENTE"/>
    <x v="1"/>
    <s v="OPERAÇÕES / SUPORTE KCS"/>
    <n v="118"/>
  </r>
  <r>
    <n v="3413610"/>
    <s v="GOVER"/>
    <x v="1143"/>
    <n v="4535285"/>
    <n v="4535285"/>
    <s v="PreencherPnr-&gt;Foi identificado um localizador sem código."/>
    <d v="2025-05-11T17:33:00"/>
    <d v="2025-06-02T16:57:00"/>
    <s v="OUTROS"/>
    <s v="RLOC NÃO INFORMADO"/>
    <s v="RLOC NÃO PREENCHIDO NA RESERVA"/>
    <x v="1"/>
    <s v="SUPORTE OBT"/>
    <s v="COLUNA I"/>
  </r>
  <r>
    <n v="3413674"/>
    <s v="SABRE"/>
    <x v="1144"/>
    <s v="DVVZDE"/>
    <s v="DVVZDE"/>
    <s v="Não localizado cliente código [0000050269].&lt;-ObterCliente&lt;-MontarPnrBase&lt;-ProcessarAereo&lt;-ProcessarItemFila[b]"/>
    <d v="2025-05-12T08:47:00"/>
    <d v="2025-05-12T13:47:00"/>
    <s v="CLIENTE"/>
    <s v="CÓD. CLIENTE DIVERGENTE"/>
    <s v="CÓDIGO DIFERENTE DO CADASTRADO NO BENNER (CLIENTE X GRUPO)"/>
    <x v="1"/>
    <s v="SUPORTE OBT"/>
    <n v="1"/>
  </r>
  <r>
    <n v="3413675"/>
    <s v="SABRE"/>
    <x v="1144"/>
    <s v="DVVZDET"/>
    <s v="DVVZDE"/>
    <s v="Não localizado cliente código [0000050269].&lt;-ObterCliente&lt;-MontarPnrBase&lt;-MontarPnr&lt;-ProcessarHotel&lt;-ProcessarItemFila[b]"/>
    <d v="2025-05-12T08:47:00"/>
    <d v="2025-05-12T13:47:00"/>
    <s v="CLIENTE"/>
    <s v="CÓD. CLIENTE DIVERGENTE"/>
    <s v="CÓDIGO DIFERENTE DO CADASTRADO NO BENNER (CLIENTE X GRUPO)"/>
    <x v="1"/>
    <s v="SUPORTE OBT"/>
    <n v="1"/>
  </r>
  <r>
    <n v="3413676"/>
    <s v="SABRE"/>
    <x v="1144"/>
    <s v="DVVZDEC"/>
    <s v="DVVZDE"/>
    <s v="Não localizado cliente código [0000050269].&lt;-ObterCliente&lt;-MontarPnrBase&lt;-MontarPnr&lt;-ProcessarCarro&lt;-ProcessarItemFila[b]"/>
    <d v="2025-05-12T08:47:00"/>
    <d v="2025-05-12T13:47:00"/>
    <s v="CLIENTE"/>
    <s v="CÓD. CLIENTE DIVERGENTE"/>
    <s v="CÓDIGO DIFERENTE DO CADASTRADO NO BENNER (CLIENTE X GRUPO)"/>
    <x v="1"/>
    <s v="SUPORTE OBT"/>
    <n v="1"/>
  </r>
  <r>
    <n v="3413863"/>
    <s v="SABRE"/>
    <x v="1145"/>
    <s v="CFVHXG"/>
    <s v="CFVHXG"/>
    <s v="Não localizado cliente código [0000068875].&lt;-ObterCliente&lt;-MontarPnrBase&lt;-ProcessarAereo&lt;-ProcessarItemFila[b]"/>
    <d v="2025-05-12T10:47:00"/>
    <m/>
    <s v="CLIENTE"/>
    <s v="CÓD. CLIENTE DIVERGENTE"/>
    <s v="CÓDIGO DIFERENTE DO CADASTRADO NO BENNER (CLIENTE X GRUPO)"/>
    <x v="1"/>
    <s v="SUPORTE OBT"/>
    <n v="1"/>
  </r>
  <r>
    <n v="3413864"/>
    <s v="SABRE"/>
    <x v="1145"/>
    <s v="CFVHXGT"/>
    <s v="CFVHXG"/>
    <s v="Não localizado cliente código [0000068875].&lt;-ObterCliente&lt;-MontarPnrBase&lt;-MontarPnr&lt;-ProcessarHotel&lt;-ProcessarItemFila[b]"/>
    <d v="2025-05-12T10:47:00"/>
    <m/>
    <s v="CLIENTE"/>
    <s v="CÓD. CLIENTE DIVERGENTE"/>
    <s v="CÓDIGO DIFERENTE DO CADASTRADO NO BENNER (CLIENTE X GRUPO)"/>
    <x v="1"/>
    <s v="SUPORTE OBT"/>
    <n v="1"/>
  </r>
  <r>
    <n v="3414687"/>
    <s v="SABRE"/>
    <x v="1146"/>
    <s v="GTLJPP"/>
    <s v="GTLJPP"/>
    <s v="Não localizado cliente código [0000000].&lt;-ObterCliente&lt;-MontarPnrBase&lt;-ProcessarAereo&lt;-ProcessarItemFila[b]"/>
    <d v="2025-05-12T14:17:00"/>
    <m/>
    <s v="CLIENTE"/>
    <s v="CÓD. CLIENTE DIVERGENTE"/>
    <s v="CÓDIGO DIFERENTE DO CADASTRADO NO BENNER (CLIENTE X GRUPO)"/>
    <x v="1"/>
    <s v="SUPORTE OBT"/>
    <n v="1"/>
  </r>
  <r>
    <n v="3414697"/>
    <s v="SABRE"/>
    <x v="1147"/>
    <s v="EZSHFG"/>
    <s v="EZSHFG"/>
    <s v="Não localizado cliente código [0000583808].&lt;-ObterCliente&lt;-MontarPnrBase&lt;-ProcessarAereo&lt;-ProcessarItemFila[b]"/>
    <d v="2025-05-12T14:22:00"/>
    <m/>
    <s v="CLIENTE"/>
    <s v="CÓD. CLIENTE DIVERGENTE"/>
    <s v="CÓDIGO DIFERENTE DO CADASTRADO NO BENNER (CLIENTE X GRUPO)"/>
    <x v="1"/>
    <s v="SUPORTE OBT"/>
    <n v="1"/>
  </r>
  <r>
    <n v="3414698"/>
    <s v="SABRE"/>
    <x v="1148"/>
    <s v="NYGURI"/>
    <s v="NYGURI"/>
    <s v="Código de cliente não identificado&lt;-ObterCliente&lt;-MontarPnrBase&lt;-ProcessarAereo&lt;-ProcessarItemFila[b]"/>
    <d v="2025-05-12T14:22:00"/>
    <m/>
    <s v="CLIENTE"/>
    <s v="CLIENTE NÃO IDENTIFICADO"/>
    <s v="DK DE CLIENTE NÃO PREENCIDO / CLIENTE NÃO CONFIGURADO NO OBT"/>
    <x v="2"/>
    <s v="OPERAÇÕES / SUPORTE KCS"/>
    <s v="COLUNA I"/>
  </r>
  <r>
    <n v="3414869"/>
    <s v="SABRE"/>
    <x v="1149"/>
    <s v="QMUPBV"/>
    <s v="QMUPBV"/>
    <s v="Código de cliente não identificado&lt;-ObterCliente&lt;-MontarPnrBase&lt;-ProcessarAereo&lt;-ProcessarItemFila[b]"/>
    <d v="2025-05-12T15:47:00"/>
    <d v="2025-05-13T20:48:00"/>
    <s v="CLIENTE"/>
    <s v="CLIENTE NÃO IDENTIFICADO"/>
    <s v="DK DE CLIENTE NÃO PREENCIDO / CLIENTE NÃO CONFIGURADO NO OBT"/>
    <x v="2"/>
    <s v="OPERAÇÕES / SUPORTE KCS"/>
    <s v="COLUNA I"/>
  </r>
  <r>
    <n v="3415236"/>
    <s v="TMS"/>
    <x v="1150"/>
    <n v="207874"/>
    <n v="207874"/>
    <s v="Preenchendo XML Hotel-&gt; Preenchendo XML-&gt; Montando accounting hotel-&gt;Solicitação de hotel referente a esta cotação não foi encontrada (Id Cotação: 2)"/>
    <d v="2025-05-12T18:14:00"/>
    <d v="2025-05-14T14:03:00"/>
    <s v="OUTROS"/>
    <s v="COTAÇÃO"/>
    <s v="INDEFINIDO"/>
    <x v="2"/>
    <s v="SUPORTE OBT"/>
    <s v="COLUNA I"/>
  </r>
  <r>
    <n v="3415297"/>
    <s v="SABRE"/>
    <x v="1151"/>
    <s v="LVBWUU"/>
    <s v="LVBWUU"/>
    <s v="Não localizado cliente código [0000583808].&lt;-ObterCliente&lt;-MontarPnrBase&lt;-ProcessarAereo&lt;-ProcessarItemFila[b]"/>
    <d v="2025-05-12T18:33:00"/>
    <m/>
    <s v="CLIENTE"/>
    <s v="CÓD. CLIENTE DIVERGENTE"/>
    <s v="CÓDIGO DIFERENTE DO CADASTRADO NO BENNER (CLIENTE X GRUPO)"/>
    <x v="1"/>
    <s v="SUPORTE OBT"/>
    <n v="1"/>
  </r>
  <r>
    <n v="3415333"/>
    <s v="SABRE"/>
    <x v="1151"/>
    <s v="DYMWEP"/>
    <s v="DYMWEP"/>
    <s v="Não localizado cliente código [0000392619].&lt;-ObterCliente&lt;-MontarPnrBase&lt;-ProcessarAereo&lt;-ProcessarItemFila[b]"/>
    <d v="2025-05-12T18:34:00"/>
    <m/>
    <s v="CLIENTE"/>
    <s v="CÓD. CLIENTE DIVERGENTE"/>
    <s v="CÓDIGO DIFERENTE DO CADASTRADO NO BENNER (CLIENTE X GRUPO)"/>
    <x v="1"/>
    <s v="SUPORTE OBT"/>
    <n v="1"/>
  </r>
  <r>
    <n v="3415336"/>
    <s v="SABRE"/>
    <x v="1151"/>
    <s v="FABYPP"/>
    <s v="FABYPP"/>
    <s v="Não localizado cliente código [0000583808].&lt;-ObterCliente&lt;-MontarPnrBase&lt;-ProcessarAereo&lt;-ProcessarItemFila[b]"/>
    <d v="2025-05-12T18:35:00"/>
    <m/>
    <s v="CLIENTE"/>
    <s v="CÓD. CLIENTE DIVERGENTE"/>
    <s v="CÓDIGO DIFERENTE DO CADASTRADO NO BENNER (CLIENTE X GRUPO)"/>
    <x v="1"/>
    <s v="SUPORTE OBT"/>
    <n v="1"/>
  </r>
  <r>
    <n v="3415342"/>
    <s v="SABRE"/>
    <x v="1151"/>
    <s v="SXSFYQ"/>
    <s v="SXSFYQ"/>
    <s v="Não localizado cliente código [0000392619].&lt;-ObterCliente&lt;-MontarPnrBase&lt;-ProcessarAereo&lt;-ProcessarItemFila[b]"/>
    <d v="2025-05-12T18:35:00"/>
    <m/>
    <s v="CLIENTE"/>
    <s v="CÓD. CLIENTE DIVERGENTE"/>
    <s v="CÓDIGO DIFERENTE DO CADASTRADO NO BENNER (CLIENTE X GRUPO)"/>
    <x v="1"/>
    <s v="SUPORTE OBT"/>
    <n v="1"/>
  </r>
  <r>
    <n v="3415349"/>
    <s v="SABRE"/>
    <x v="1151"/>
    <s v="WNVRAG"/>
    <s v="WNVRAG"/>
    <s v="Não localizado cliente código [0000050257].&lt;-ObterCliente&lt;-MontarPnrBase&lt;-ProcessarAereo&lt;-ProcessarItemFila[b]"/>
    <d v="2025-05-12T18:35:00"/>
    <m/>
    <s v="CLIENTE"/>
    <s v="CÓD. CLIENTE DIVERGENTE"/>
    <s v="CÓDIGO DIFERENTE DO CADASTRADO NO BENNER (CLIENTE X GRUPO)"/>
    <x v="1"/>
    <s v="SUPORTE OBT"/>
    <n v="1"/>
  </r>
  <r>
    <n v="3415913"/>
    <s v="TMS"/>
    <x v="1152"/>
    <n v="6256"/>
    <n v="6256"/>
    <s v="Preenchendo XML Aéreo-&gt; Preenchendo XML-&gt; Montando accounting aereo-&gt;Número do bilhete não identificado"/>
    <d v="2025-05-12T19:48:00"/>
    <d v="2025-05-14T14:09:00"/>
    <s v="OUTROS"/>
    <s v="NOVA MENSAGEM"/>
    <s v=""/>
    <x v="3"/>
    <e v="#N/A"/>
    <s v="COLUNA I"/>
  </r>
  <r>
    <n v="3415947"/>
    <s v="SABRE"/>
    <x v="1153"/>
    <s v="OKRQXN"/>
    <s v="OKRQXN"/>
    <s v="Não localizado cliente código [0000050257].&lt;-ObterCliente&lt;-MontarPnrBase&lt;-ProcessarAereo&lt;-ProcessarItemFila[b]"/>
    <d v="2025-05-12T20:47:00"/>
    <m/>
    <s v="CLIENTE"/>
    <s v="CÓD. CLIENTE DIVERGENTE"/>
    <s v="CÓDIGO DIFERENTE DO CADASTRADO NO BENNER (CLIENTE X GRUPO)"/>
    <x v="1"/>
    <s v="SUPORTE OBT"/>
    <n v="1"/>
  </r>
  <r>
    <n v="3415948"/>
    <s v="SABRE"/>
    <x v="1153"/>
    <s v="WNIAKM"/>
    <s v="WNIAKM"/>
    <s v="Não localizado cliente código [0000392619].&lt;-ObterCliente&lt;-MontarPnrBase&lt;-ProcessarAereo&lt;-ProcessarItemFila[b]"/>
    <d v="2025-05-12T20:47:00"/>
    <m/>
    <s v="CLIENTE"/>
    <s v="CÓD. CLIENTE DIVERGENTE"/>
    <s v="CÓDIGO DIFERENTE DO CADASTRADO NO BENNER (CLIENTE X GRUPO)"/>
    <x v="1"/>
    <s v="SUPORTE OBT"/>
    <n v="1"/>
  </r>
  <r>
    <n v="3415950"/>
    <s v="SABRE"/>
    <x v="1153"/>
    <s v="YBEXVB"/>
    <s v="YBEXVB"/>
    <s v="Não localizado cliente código [0000392619].&lt;-ObterCliente&lt;-MontarPnrBase&lt;-ProcessarAereo&lt;-ProcessarItemFila[b]"/>
    <d v="2025-05-12T20:47:00"/>
    <m/>
    <s v="CLIENTE"/>
    <s v="CÓD. CLIENTE DIVERGENTE"/>
    <s v="CÓDIGO DIFERENTE DO CADASTRADO NO BENNER (CLIENTE X GRUPO)"/>
    <x v="1"/>
    <s v="SUPORTE OBT"/>
    <n v="1"/>
  </r>
  <r>
    <n v="3415952"/>
    <s v="SABRE"/>
    <x v="1153"/>
    <s v="UJEFCF"/>
    <s v="UJEFCF"/>
    <s v="Código de cliente não identificado&lt;-ObterCliente&lt;-MontarPnrBase&lt;-ProcessarAereo&lt;-ProcessarItemFila[b]"/>
    <d v="2025-05-12T20:47:00"/>
    <m/>
    <s v="CLIENTE"/>
    <s v="CLIENTE NÃO IDENTIFICADO"/>
    <s v="DK DE CLIENTE NÃO PREENCIDO / CLIENTE NÃO CONFIGURADO NO OBT"/>
    <x v="2"/>
    <s v="OPERAÇÕES / SUPORTE KCS"/>
    <s v="COLUNA I"/>
  </r>
  <r>
    <n v="3415954"/>
    <s v="SABRE"/>
    <x v="1153"/>
    <s v="WOZEZT"/>
    <s v="WOZEZT"/>
    <s v="Não localizado cliente código [0000392619].&lt;-ObterCliente&lt;-MontarPnrBase&lt;-ProcessarAereo&lt;-ProcessarItemFila[b]"/>
    <d v="2025-05-12T20:48:00"/>
    <m/>
    <s v="CLIENTE"/>
    <s v="CÓD. CLIENTE DIVERGENTE"/>
    <s v="CÓDIGO DIFERENTE DO CADASTRADO NO BENNER (CLIENTE X GRUPO)"/>
    <x v="1"/>
    <s v="SUPORTE OBT"/>
    <n v="1"/>
  </r>
  <r>
    <n v="3415955"/>
    <s v="SABRE"/>
    <x v="1153"/>
    <s v="YFCMAE"/>
    <s v="YFCMAE"/>
    <s v="Código de cliente não identificado&lt;-ObterCliente&lt;-MontarPnrBase&lt;-ProcessarAereo&lt;-ProcessarItemFila[b]"/>
    <d v="2025-05-12T20:48:00"/>
    <m/>
    <s v="CLIENTE"/>
    <s v="CLIENTE NÃO IDENTIFICADO"/>
    <s v="DK DE CLIENTE NÃO PREENCIDO / CLIENTE NÃO CONFIGURADO NO OBT"/>
    <x v="2"/>
    <s v="OPERAÇÕES / SUPORTE KCS"/>
    <s v="COLUNA I"/>
  </r>
  <r>
    <n v="3416370"/>
    <s v="TMS"/>
    <x v="1154"/>
    <n v="62740"/>
    <n v="62740"/>
    <s v="Preenchendo XML Serviço-&gt; Preenchendo XML-&gt; Montando accounting aereo 2-&gt;Não foi informado o Localizador do Assento/Bagagem!"/>
    <d v="2025-05-13T01:00:00"/>
    <d v="2025-05-14T13:42:00"/>
    <s v="OUTROS"/>
    <s v="ASSENTO / BAGAGEM"/>
    <s v="CAMPO OBSERVAÇÃO PREENCHIDO INCORRETAMENTE"/>
    <x v="1"/>
    <s v="OPERAÇÕES / SUPORTE KCS"/>
    <n v="118"/>
  </r>
  <r>
    <n v="3416371"/>
    <s v="TMS"/>
    <x v="1155"/>
    <n v="62735"/>
    <n v="62735"/>
    <s v="Preenchendo XML Serviço-&gt; Preenchendo XML-&gt; Montando accounting aereo 2-&gt;Não foi informado o Localizador do Assento/Bagagem!"/>
    <d v="2025-05-13T01:00:00"/>
    <d v="2025-05-14T13:42:00"/>
    <s v="OUTROS"/>
    <s v="ASSENTO / BAGAGEM"/>
    <s v="CAMPO OBSERVAÇÃO PREENCHIDO INCORRETAMENTE"/>
    <x v="1"/>
    <s v="OPERAÇÕES / SUPORTE KCS"/>
    <n v="118"/>
  </r>
  <r>
    <n v="3416372"/>
    <s v="TMS"/>
    <x v="1156"/>
    <n v="62733"/>
    <n v="62733"/>
    <s v="Preenchendo XML Serviço-&gt; Preenchendo XML-&gt; Montando accounting aereo 2-&gt;Não foi informado o Localizador do Assento/Bagagem!"/>
    <d v="2025-05-13T01:00:00"/>
    <d v="2025-05-14T13:43:00"/>
    <s v="OUTROS"/>
    <s v="ASSENTO / BAGAGEM"/>
    <s v="CAMPO OBSERVAÇÃO PREENCHIDO INCORRETAMENTE"/>
    <x v="1"/>
    <s v="OPERAÇÕES / SUPORTE KCS"/>
    <n v="118"/>
  </r>
  <r>
    <n v="3416373"/>
    <s v="TMS"/>
    <x v="1157"/>
    <n v="62731"/>
    <n v="62731"/>
    <s v="Preenchendo XML Serviço-&gt; Preenchendo XML-&gt; Montando accounting aereo 2-&gt;Não foi informado o Localizador do Assento/Bagagem!"/>
    <d v="2025-05-13T01:00:00"/>
    <d v="2025-05-14T13:43:00"/>
    <s v="OUTROS"/>
    <s v="ASSENTO / BAGAGEM"/>
    <s v="CAMPO OBSERVAÇÃO PREENCHIDO INCORRETAMENTE"/>
    <x v="1"/>
    <s v="OPERAÇÕES / SUPORTE KCS"/>
    <n v="118"/>
  </r>
  <r>
    <n v="3417335"/>
    <s v="TMS"/>
    <x v="1158"/>
    <n v="18693"/>
    <n v="18693"/>
    <s v="Preenchendo XML Serviço-&gt; Preenchendo XML-&gt; Montando accounting aereo 3-&gt;Reserva 0EJDRV não encontrada para importar assento/bagagem!"/>
    <d v="2025-05-13T13:31:00"/>
    <d v="2025-05-14T14:03:00"/>
    <s v="OUTROS"/>
    <s v="ASSENTO / BAGAGEM"/>
    <s v="CAMPO OBSERVAÇÃO PREENCHIDO INCORRETAMENTE"/>
    <x v="1"/>
    <s v="OPERAÇÕES / SUPORTE KCS"/>
    <n v="127"/>
  </r>
  <r>
    <n v="3417643"/>
    <s v="GOVER"/>
    <x v="1159"/>
    <n v="4535649"/>
    <n v="4535649"/>
    <s v="PreencherPnr-&gt;Foi identificado um localizador sem código."/>
    <d v="2025-05-13T16:54:00"/>
    <d v="2025-06-02T16:57:00"/>
    <s v="OUTROS"/>
    <s v="RLOC NÃO INFORMADO"/>
    <s v="RLOC NÃO PREENCHIDO NA RESERVA"/>
    <x v="1"/>
    <s v="SUPORTE OBT"/>
    <s v="COLUNA I"/>
  </r>
  <r>
    <n v="3417801"/>
    <s v="SABRE"/>
    <x v="1160"/>
    <s v="MMSRIB"/>
    <s v="MMSRIB"/>
    <s v="ERRO: Cancelamento de Venda: Não há PNR no sistema para cancelar, venda não inserida!"/>
    <d v="2025-05-13T18:01:00"/>
    <m/>
    <s v="CANCELAMENTO"/>
    <s v="VENDA CANCELADA"/>
    <s v="RESERVA CANCELADA NO OBT"/>
    <x v="0"/>
    <s v="SUPORTE OBT"/>
    <s v="COLUNA I"/>
  </r>
  <r>
    <n v="3417828"/>
    <s v="SABRE"/>
    <x v="1149"/>
    <s v="WTDDUY"/>
    <s v="WTDDUY"/>
    <s v="Código de cliente não identificado&lt;-ObterCliente&lt;-MontarPnrBase&lt;-ProcessarAereo&lt;-ProcessarItemFila[b]"/>
    <d v="2025-05-13T18:04:00"/>
    <d v="2025-05-13T20:51:00"/>
    <s v="CLIENTE"/>
    <s v="CLIENTE NÃO IDENTIFICADO"/>
    <s v="DK DE CLIENTE NÃO PREENCIDO / CLIENTE NÃO CONFIGURADO NO OBT"/>
    <x v="2"/>
    <s v="OPERAÇÕES / SUPORTE KCS"/>
    <s v="COLUNA I"/>
  </r>
  <r>
    <n v="3417829"/>
    <s v="SABRE"/>
    <x v="1149"/>
    <s v="GQJCDD"/>
    <s v="GQJCDD"/>
    <s v="Código de cliente não identificado&lt;-ObterCliente&lt;-MontarPnrBase&lt;-ProcessarAereo&lt;-ProcessarItemFila[b]"/>
    <d v="2025-05-13T18:04:00"/>
    <d v="2025-05-13T20:51:00"/>
    <s v="CLIENTE"/>
    <s v="CLIENTE NÃO IDENTIFICADO"/>
    <s v="DK DE CLIENTE NÃO PREENCIDO / CLIENTE NÃO CONFIGURADO NO OBT"/>
    <x v="2"/>
    <s v="OPERAÇÕES / SUPORTE KCS"/>
    <s v="COLUNA I"/>
  </r>
  <r>
    <n v="3417830"/>
    <s v="SABRE"/>
    <x v="1149"/>
    <s v="QSDABQ"/>
    <s v="QSDABQ"/>
    <s v="Não localizado cliente código [0000071989].&lt;-ObterCliente&lt;-MontarPnrBase&lt;-ProcessarAereo&lt;-ProcessarItemFila[b]"/>
    <d v="2025-05-13T18:04:00"/>
    <d v="2025-05-13T20:51:00"/>
    <s v="CLIENTE"/>
    <s v="CÓD. CLIENTE DIVERGENTE"/>
    <s v="CÓDIGO DIFERENTE DO CADASTRADO NO BENNER (CLIENTE X GRUPO)"/>
    <x v="1"/>
    <s v="SUPORTE OBT"/>
    <n v="1"/>
  </r>
  <r>
    <n v="3417831"/>
    <s v="SABRE"/>
    <x v="1149"/>
    <s v="DWCEUN"/>
    <s v="DWCEUN"/>
    <s v="Não localizado cliente código [0000392619].&lt;-ObterCliente&lt;-MontarPnrBase&lt;-ProcessarAereo&lt;-ProcessarItemFila[b]"/>
    <d v="2025-05-13T18:04:00"/>
    <d v="2025-05-13T20:51:00"/>
    <s v="CLIENTE"/>
    <s v="CÓD. CLIENTE DIVERGENTE"/>
    <s v="CÓDIGO DIFERENTE DO CADASTRADO NO BENNER (CLIENTE X GRUPO)"/>
    <x v="1"/>
    <s v="SUPORTE OBT"/>
    <n v="1"/>
  </r>
  <r>
    <n v="3417833"/>
    <s v="SABRE"/>
    <x v="1161"/>
    <s v="DCTDJTT"/>
    <s v="DCTDJT"/>
    <s v="Inserindo PNR - Accountings - TurVendas - Não foi possível localizar o contrato do fornecedor H84698"/>
    <d v="2025-05-13T18:05:00"/>
    <m/>
    <s v="FORNECEDOR"/>
    <s v="CONTRATO FORNECEDOR"/>
    <s v="CONTRATO INATIVO OU DIVERGENTE"/>
    <x v="0"/>
    <s v="OPERAÇÕES / SUPORTE KCS"/>
    <n v="43"/>
  </r>
  <r>
    <n v="3417851"/>
    <s v="SABRE"/>
    <x v="1162"/>
    <s v="EOYOFH"/>
    <s v="EOYOFH"/>
    <s v="Inserindo Accounting - (ExecSQL) - List index out of bounds (0)"/>
    <d v="2025-05-13T18:09:00"/>
    <m/>
    <s v="OUTROS"/>
    <s v="ERRO DE SQL"/>
    <s v="ERRO NA IMPORTAÇÃO/MODIFICAÇÃO DAS INFOMAÇÕES"/>
    <x v="0"/>
    <s v="SUPORTE BENNER"/>
    <s v="COLUNA I"/>
  </r>
  <r>
    <n v="3418865"/>
    <s v="SABRE"/>
    <x v="1149"/>
    <s v="MKVLFS"/>
    <s v="MKVLFS"/>
    <s v="Código de cliente não identificado&lt;-ObterCliente&lt;-MontarPnrBase&lt;-ProcessarAereo&lt;-ProcessarItemFila[b]"/>
    <d v="2025-05-13T20:48:00"/>
    <m/>
    <s v="CLIENTE"/>
    <s v="CLIENTE NÃO IDENTIFICADO"/>
    <s v="DK DE CLIENTE NÃO PREENCIDO / CLIENTE NÃO CONFIGURADO NO OBT"/>
    <x v="2"/>
    <s v="OPERAÇÕES / SUPORTE KCS"/>
    <s v="COLUNA I"/>
  </r>
  <r>
    <n v="3418867"/>
    <s v="SABRE"/>
    <x v="1149"/>
    <s v="KJMEHT"/>
    <s v="KJMEHT"/>
    <s v="Não localizado cliente código [0000050257].&lt;-ObterCliente&lt;-MontarPnrBase&lt;-ProcessarAereo&lt;-ProcessarItemFila[b]"/>
    <d v="2025-05-13T20:49:00"/>
    <m/>
    <s v="CLIENTE"/>
    <s v="CÓD. CLIENTE DIVERGENTE"/>
    <s v="CÓDIGO DIFERENTE DO CADASTRADO NO BENNER (CLIENTE X GRUPO)"/>
    <x v="1"/>
    <s v="SUPORTE OBT"/>
    <n v="1"/>
  </r>
  <r>
    <n v="3418871"/>
    <s v="SABRE"/>
    <x v="1149"/>
    <s v="CPBLGU"/>
    <s v="CPBLGU"/>
    <s v="Não localizado cliente código [0000063625].&lt;-ObterCliente&lt;-MontarPnrBase&lt;-ProcessarAereo&lt;-ProcessarItemFila[b]"/>
    <d v="2025-05-13T20:49:00"/>
    <m/>
    <s v="CLIENTE"/>
    <s v="CÓD. CLIENTE DIVERGENTE"/>
    <s v="CÓDIGO DIFERENTE DO CADASTRADO NO BENNER (CLIENTE X GRUPO)"/>
    <x v="1"/>
    <s v="SUPORTE OBT"/>
    <n v="1"/>
  </r>
  <r>
    <n v="3418876"/>
    <s v="SABRE"/>
    <x v="1149"/>
    <s v="CNUFCB"/>
    <s v="CNUFCB"/>
    <s v="Não localizado cliente código [0000583808].&lt;-ObterCliente&lt;-MontarPnrBase&lt;-ProcessarAereo&lt;-ProcessarItemFila[b]"/>
    <d v="2025-05-13T20:50:00"/>
    <m/>
    <s v="CLIENTE"/>
    <s v="CÓD. CLIENTE DIVERGENTE"/>
    <s v="CÓDIGO DIFERENTE DO CADASTRADO NO BENNER (CLIENTE X GRUPO)"/>
    <x v="1"/>
    <s v="SUPORTE OBT"/>
    <n v="1"/>
  </r>
  <r>
    <n v="3418878"/>
    <s v="SABRE"/>
    <x v="1149"/>
    <s v="KMPICM"/>
    <s v="KMPICM"/>
    <s v="Código de cliente não identificado&lt;-ObterCliente&lt;-MontarPnrBase&lt;-ProcessarAereo&lt;-ProcessarItemFila[b]"/>
    <d v="2025-05-13T20:50:00"/>
    <m/>
    <s v="CLIENTE"/>
    <s v="CLIENTE NÃO IDENTIFICADO"/>
    <s v="DK DE CLIENTE NÃO PREENCIDO / CLIENTE NÃO CONFIGURADO NO OBT"/>
    <x v="2"/>
    <s v="OPERAÇÕES / SUPORTE KCS"/>
    <s v="COLUNA I"/>
  </r>
  <r>
    <n v="3418880"/>
    <s v="SABRE"/>
    <x v="1149"/>
    <s v="KLZXWF"/>
    <s v="KLZXWF"/>
    <s v="Código de cliente não identificado&lt;-ObterCliente&lt;-MontarPnrBase&lt;-ProcessarAereo&lt;-ProcessarItemFila[b]"/>
    <d v="2025-05-13T20:51:00"/>
    <m/>
    <s v="CLIENTE"/>
    <s v="CLIENTE NÃO IDENTIFICADO"/>
    <s v="DK DE CLIENTE NÃO PREENCIDO / CLIENTE NÃO CONFIGURADO NO OBT"/>
    <x v="2"/>
    <s v="OPERAÇÕES / SUPORTE KCS"/>
    <s v="COLUNA I"/>
  </r>
  <r>
    <n v="3418886"/>
    <s v="SABRE"/>
    <x v="1149"/>
    <s v="EYIZVN"/>
    <s v="EYIZVN"/>
    <s v="Não localizado cliente código [0000000].&lt;-ObterCliente&lt;-MontarPnrBase&lt;-ProcessarAereo&lt;-ProcessarItemFila[b]"/>
    <d v="2025-05-13T20:52:00"/>
    <m/>
    <s v="CLIENTE"/>
    <s v="CÓD. CLIENTE DIVERGENTE"/>
    <s v="CÓDIGO DIFERENTE DO CADASTRADO NO BENNER (CLIENTE X GRUPO)"/>
    <x v="1"/>
    <s v="SUPORTE OBT"/>
    <n v="1"/>
  </r>
  <r>
    <n v="3418892"/>
    <s v="SABRE"/>
    <x v="1149"/>
    <s v="WHBERT"/>
    <s v="WHBERT"/>
    <s v="Não localizado cliente código [1234567890].&lt;-ObterCliente&lt;-MontarPnrBase&lt;-ProcessarAereo&lt;-ProcessarItemFila[b]"/>
    <d v="2025-05-13T20:53:00"/>
    <m/>
    <s v="CLIENTE"/>
    <s v="CÓD. CLIENTE DIVERGENTE"/>
    <s v="CÓDIGO DIFERENTE DO CADASTRADO NO BENNER (CLIENTE X GRUPO)"/>
    <x v="1"/>
    <s v="SUPORTE OBT"/>
    <n v="1"/>
  </r>
  <r>
    <n v="3418893"/>
    <s v="SABRE"/>
    <x v="1149"/>
    <s v="LIWVHD"/>
    <s v="LIWVHD"/>
    <s v="Não localizado cliente código [0000583831].&lt;-ObterCliente&lt;-MontarPnrBase&lt;-ProcessarAereo&lt;-ProcessarItemFila[b]"/>
    <d v="2025-05-13T20:53:00"/>
    <m/>
    <s v="CLIENTE"/>
    <s v="CÓD. CLIENTE DIVERGENTE"/>
    <s v="CÓDIGO DIFERENTE DO CADASTRADO NO BENNER (CLIENTE X GRUPO)"/>
    <x v="1"/>
    <s v="SUPORTE OBT"/>
    <n v="1"/>
  </r>
  <r>
    <n v="3418894"/>
    <s v="SABRE"/>
    <x v="1149"/>
    <s v="HSRCNE"/>
    <s v="HSRCNE"/>
    <s v="Não localizado cliente código [0000583831].&lt;-ObterCliente&lt;-MontarPnrBase&lt;-ProcessarAereo&lt;-ProcessarItemFila[b]"/>
    <d v="2025-05-13T20:53:00"/>
    <m/>
    <s v="CLIENTE"/>
    <s v="CÓD. CLIENTE DIVERGENTE"/>
    <s v="CÓDIGO DIFERENTE DO CADASTRADO NO BENNER (CLIENTE X GRUPO)"/>
    <x v="1"/>
    <s v="SUPORTE OBT"/>
    <n v="1"/>
  </r>
  <r>
    <n v="3419774"/>
    <s v="SABRE"/>
    <x v="1163"/>
    <s v="KMLMJH"/>
    <s v="KMLMJH"/>
    <s v="Não localizado cliente código [0000063625].&lt;-ObterCliente&lt;-MontarPnrBase&lt;-ProcessarAereo&lt;-ProcessarItemFila[b]"/>
    <d v="2025-05-14T13:19:00"/>
    <m/>
    <s v="CLIENTE"/>
    <s v="CÓD. CLIENTE DIVERGENTE"/>
    <s v="CÓDIGO DIFERENTE DO CADASTRADO NO BENNER (CLIENTE X GRUPO)"/>
    <x v="1"/>
    <s v="SUPORTE OBT"/>
    <n v="1"/>
  </r>
  <r>
    <n v="3419799"/>
    <s v="SABRE"/>
    <x v="1163"/>
    <s v="WXSQDI"/>
    <s v="WXSQDI"/>
    <s v="Não localizado cliente código [0000392619].&lt;-ObterCliente&lt;-MontarPnrBase&lt;-ProcessarAereo&lt;-ProcessarItemFila[b]"/>
    <d v="2025-05-14T13:22:00"/>
    <m/>
    <s v="CLIENTE"/>
    <s v="CÓD. CLIENTE DIVERGENTE"/>
    <s v="CÓDIGO DIFERENTE DO CADASTRADO NO BENNER (CLIENTE X GRUPO)"/>
    <x v="1"/>
    <s v="SUPORTE OBT"/>
    <n v="1"/>
  </r>
  <r>
    <n v="3419802"/>
    <s v="SABRE"/>
    <x v="1163"/>
    <s v="HQGYZQ"/>
    <s v="HQGYZQ"/>
    <s v="Não localizado cliente código [1234567890].&lt;-ObterCliente&lt;-MontarPnrBase&lt;-ProcessarAereo&lt;-ProcessarItemFila[b]"/>
    <d v="2025-05-14T13:22:00"/>
    <m/>
    <s v="CLIENTE"/>
    <s v="CÓD. CLIENTE DIVERGENTE"/>
    <s v="CÓDIGO DIFERENTE DO CADASTRADO NO BENNER (CLIENTE X GRUPO)"/>
    <x v="1"/>
    <s v="SUPORTE OBT"/>
    <n v="1"/>
  </r>
  <r>
    <n v="3419805"/>
    <s v="SABRE"/>
    <x v="1163"/>
    <s v="IMRSGH"/>
    <s v="IMRSGH"/>
    <s v="Não localizado cliente código [0000286569].&lt;-ObterCliente&lt;-MontarPnrBase&lt;-ProcessarAereo&lt;-ProcessarItemFila[b]"/>
    <d v="2025-05-14T13:22:00"/>
    <m/>
    <s v="CLIENTE"/>
    <s v="CÓD. CLIENTE DIVERGENTE"/>
    <s v="CÓDIGO DIFERENTE DO CADASTRADO NO BENNER (CLIENTE X GRUPO)"/>
    <x v="1"/>
    <s v="SUPORTE OBT"/>
    <n v="1"/>
  </r>
  <r>
    <n v="3420655"/>
    <s v="SABRE"/>
    <x v="1164"/>
    <s v="LPRGLQ"/>
    <s v="LPRGLQ"/>
    <s v="Não localizado cliente código [0000068873].&lt;-ObterCliente&lt;-MontarPnrBase&lt;-ProcessarAereo&lt;-ProcessarItemFila[b]"/>
    <d v="2025-05-14T17:24:00"/>
    <d v="2025-05-14T20:02:00"/>
    <s v="CLIENTE"/>
    <s v="CÓD. CLIENTE DIVERGENTE"/>
    <s v="CÓDIGO DIFERENTE DO CADASTRADO NO BENNER (CLIENTE X GRUPO)"/>
    <x v="1"/>
    <s v="SUPORTE OBT"/>
    <n v="1"/>
  </r>
  <r>
    <n v="3420980"/>
    <s v="SABRE"/>
    <x v="1165"/>
    <s v="MRTYWJ"/>
    <s v="MRTYWJ"/>
    <s v="Não localizado cliente código [1234567890].&lt;-ObterCliente&lt;-MontarPnrBase&lt;-ProcessarAereo&lt;-ProcessarItemFila[b]"/>
    <d v="2025-05-14T19:03:00"/>
    <m/>
    <s v="CLIENTE"/>
    <s v="CÓD. CLIENTE DIVERGENTE"/>
    <s v="CÓDIGO DIFERENTE DO CADASTRADO NO BENNER (CLIENTE X GRUPO)"/>
    <x v="1"/>
    <s v="SUPORTE OBT"/>
    <n v="1"/>
  </r>
  <r>
    <n v="3420993"/>
    <s v="SABRE"/>
    <x v="1165"/>
    <s v="CCAWON"/>
    <s v="CCAWON"/>
    <s v="Não localizado cliente código [0000063625].&lt;-ObterCliente&lt;-MontarPnrBase&lt;-ProcessarAereo&lt;-ProcessarItemFila[b]"/>
    <d v="2025-05-14T19:04:00"/>
    <m/>
    <s v="CLIENTE"/>
    <s v="CÓD. CLIENTE DIVERGENTE"/>
    <s v="CÓDIGO DIFERENTE DO CADASTRADO NO BENNER (CLIENTE X GRUPO)"/>
    <x v="1"/>
    <s v="SUPORTE OBT"/>
    <n v="1"/>
  </r>
  <r>
    <n v="3421009"/>
    <s v="SABRE"/>
    <x v="1165"/>
    <s v="YSBRSL"/>
    <s v="YSBRSL"/>
    <s v="Não localizado cliente código [1234567890].&lt;-ObterCliente&lt;-MontarPnrBase&lt;-ProcessarAereo&lt;-ProcessarItemFila[b]"/>
    <d v="2025-05-14T19:06:00"/>
    <m/>
    <s v="CLIENTE"/>
    <s v="CÓD. CLIENTE DIVERGENTE"/>
    <s v="CÓDIGO DIFERENTE DO CADASTRADO NO BENNER (CLIENTE X GRUPO)"/>
    <x v="1"/>
    <s v="SUPORTE OBT"/>
    <n v="1"/>
  </r>
  <r>
    <n v="3421010"/>
    <s v="SABRE"/>
    <x v="1165"/>
    <s v="YSBRSLT"/>
    <s v="YSBRSL"/>
    <s v="Não localizado cliente código [1234567890].&lt;-ObterCliente&lt;-MontarPnrBase&lt;-MontarPnr&lt;-ProcessarHotel&lt;-ProcessarItemFila[b]"/>
    <d v="2025-05-14T19:06:00"/>
    <m/>
    <s v="CLIENTE"/>
    <s v="CÓD. CLIENTE DIVERGENTE"/>
    <s v="CÓDIGO DIFERENTE DO CADASTRADO NO BENNER (CLIENTE X GRUPO)"/>
    <x v="1"/>
    <s v="SUPORTE OBT"/>
    <n v="1"/>
  </r>
  <r>
    <n v="3421277"/>
    <s v="SABRE"/>
    <x v="1166"/>
    <s v="ONKGLN"/>
    <s v="ONKGLN"/>
    <s v="Não localizado cliente código [0000000].&lt;-ObterCliente&lt;-MontarPnrBase&lt;-ProcessarAereo&lt;-ProcessarItemFila[b]"/>
    <d v="2025-05-14T19:33:00"/>
    <m/>
    <s v="CLIENTE"/>
    <s v="CÓD. CLIENTE DIVERGENTE"/>
    <s v="CÓDIGO DIFERENTE DO CADASTRADO NO BENNER (CLIENTE X GRUPO)"/>
    <x v="1"/>
    <s v="SUPORTE OBT"/>
    <n v="1"/>
  </r>
  <r>
    <n v="3421582"/>
    <s v="TMS"/>
    <x v="1167"/>
    <n v="15175"/>
    <n v="15175"/>
    <s v="Preenchendo XML Serviço-&gt; Preenchendo XML-&gt; Montando accounting aereo 3-&gt;Reserva MELOYX não encontrada para importar assento/bagagem!"/>
    <d v="2025-05-14T20:02:00"/>
    <d v="2025-05-17T19:58:00"/>
    <s v="OUTROS"/>
    <s v="ASSENTO / BAGAGEM"/>
    <s v="CAMPO OBSERVAÇÃO PREENCHIDO INCORRETAMENTE"/>
    <x v="1"/>
    <s v="OPERAÇÕES / SUPORTE KCS"/>
    <n v="127"/>
  </r>
  <r>
    <n v="3421851"/>
    <s v="GOVER"/>
    <x v="1168"/>
    <n v="4537303"/>
    <n v="4537303"/>
    <s v="PreencherPnr-&gt;Foi identificado um localizador sem código."/>
    <d v="2025-05-14T23:14:00"/>
    <d v="2025-06-02T16:57:00"/>
    <s v="OUTROS"/>
    <s v="RLOC NÃO INFORMADO"/>
    <s v="RLOC NÃO PREENCHIDO NA RESERVA"/>
    <x v="1"/>
    <s v="SUPORTE OBT"/>
    <s v="COLUNA I"/>
  </r>
  <r>
    <n v="3422573"/>
    <s v="SABRE"/>
    <x v="1169"/>
    <s v="HJXYEW"/>
    <s v="HJXYEW"/>
    <s v="Não localizado cliente código [0004223565].&lt;-ObterCliente&lt;-MontarPnrBase&lt;-ProcessarAereo&lt;-ProcessarItemFila[b]"/>
    <d v="2025-05-15T13:37:00"/>
    <m/>
    <s v="CLIENTE"/>
    <s v="CÓD. CLIENTE DIVERGENTE"/>
    <s v="CÓDIGO DIFERENTE DO CADASTRADO NO BENNER (CLIENTE X GRUPO)"/>
    <x v="1"/>
    <s v="SUPORTE OBT"/>
    <n v="1"/>
  </r>
  <r>
    <n v="3422667"/>
    <s v="SABRE"/>
    <x v="1170"/>
    <s v="LFEZXS"/>
    <s v="LFEZXS"/>
    <s v="Não localizado cliente código [0004223565].&lt;-ObterCliente&lt;-MontarPnrBase&lt;-ProcessarAereo&lt;-ProcessarItemFila[b]"/>
    <d v="2025-05-15T13:51:00"/>
    <m/>
    <s v="CLIENTE"/>
    <s v="CÓD. CLIENTE DIVERGENTE"/>
    <s v="CÓDIGO DIFERENTE DO CADASTRADO NO BENNER (CLIENTE X GRUPO)"/>
    <x v="1"/>
    <s v="SUPORTE OBT"/>
    <n v="1"/>
  </r>
  <r>
    <n v="3423558"/>
    <s v="SABRE"/>
    <x v="1171"/>
    <s v="ODNFYL"/>
    <s v="ODNFYL"/>
    <s v="Não localizado cliente código [0000000].&lt;-ObterCliente&lt;-MontarPnrBase&lt;-ProcessarAereo&lt;-ProcessarItemFila[b]"/>
    <d v="2025-05-15T18:20:00"/>
    <m/>
    <s v="CLIENTE"/>
    <s v="CÓD. CLIENTE DIVERGENTE"/>
    <s v="CÓDIGO DIFERENTE DO CADASTRADO NO BENNER (CLIENTE X GRUPO)"/>
    <x v="1"/>
    <s v="SUPORTE OBT"/>
    <n v="1"/>
  </r>
  <r>
    <n v="3423559"/>
    <s v="SABRE"/>
    <x v="1171"/>
    <s v="QGAHCP"/>
    <s v="QGAHCP"/>
    <s v="Não localizado cliente código [0000000].&lt;-ObterCliente&lt;-MontarPnrBase&lt;-ProcessarAereo&lt;-ProcessarItemFila[b]"/>
    <d v="2025-05-15T18:20:00"/>
    <m/>
    <s v="CLIENTE"/>
    <s v="CÓD. CLIENTE DIVERGENTE"/>
    <s v="CÓDIGO DIFERENTE DO CADASTRADO NO BENNER (CLIENTE X GRUPO)"/>
    <x v="1"/>
    <s v="SUPORTE OBT"/>
    <n v="1"/>
  </r>
  <r>
    <n v="3423562"/>
    <s v="SABRE"/>
    <x v="1172"/>
    <s v="OMGOVD"/>
    <s v="OMGOVD"/>
    <s v="Não localizado cliente código [0000050269].&lt;-ObterCliente&lt;-MontarPnrBase&lt;-ProcessarAereo&lt;-ProcessarItemFila[b]"/>
    <d v="2025-05-15T18:22:00"/>
    <d v="2025-05-16T11:48:00"/>
    <s v="CLIENTE"/>
    <s v="CÓD. CLIENTE DIVERGENTE"/>
    <s v="CÓDIGO DIFERENTE DO CADASTRADO NO BENNER (CLIENTE X GRUPO)"/>
    <x v="1"/>
    <s v="SUPORTE OBT"/>
    <n v="1"/>
  </r>
  <r>
    <n v="3423571"/>
    <s v="SABRE"/>
    <x v="1171"/>
    <s v="MXIKDU"/>
    <s v="MXIKDU"/>
    <s v="Não localizado cliente código [0000583808].&lt;-ObterCliente&lt;-MontarPnrBase&lt;-ProcessarAereo&lt;-ProcessarItemFila[b]"/>
    <d v="2025-05-15T18:26:00"/>
    <m/>
    <s v="CLIENTE"/>
    <s v="CÓD. CLIENTE DIVERGENTE"/>
    <s v="CÓDIGO DIFERENTE DO CADASTRADO NO BENNER (CLIENTE X GRUPO)"/>
    <x v="1"/>
    <s v="SUPORTE OBT"/>
    <n v="1"/>
  </r>
  <r>
    <n v="3423574"/>
    <s v="SABRE"/>
    <x v="1171"/>
    <s v="NASFQD"/>
    <s v="NASFQD"/>
    <s v="Não localizado cliente código [0000000].&lt;-ObterCliente&lt;-MontarPnrBase&lt;-ProcessarAereo&lt;-ProcessarItemFila[b]"/>
    <d v="2025-05-15T18:27:00"/>
    <m/>
    <s v="CLIENTE"/>
    <s v="CÓD. CLIENTE DIVERGENTE"/>
    <s v="CÓDIGO DIFERENTE DO CADASTRADO NO BENNER (CLIENTE X GRUPO)"/>
    <x v="1"/>
    <s v="SUPORTE OBT"/>
    <n v="1"/>
  </r>
  <r>
    <n v="3423576"/>
    <s v="SABRE"/>
    <x v="1171"/>
    <s v="YPKPYE"/>
    <s v="YPKPYE"/>
    <s v="Não localizado cliente código [0000583808].&lt;-ObterCliente&lt;-MontarPnrBase&lt;-ProcessarAereo&lt;-ProcessarItemFila[b]"/>
    <d v="2025-05-15T18:28:00"/>
    <m/>
    <s v="CLIENTE"/>
    <s v="CÓD. CLIENTE DIVERGENTE"/>
    <s v="CÓDIGO DIFERENTE DO CADASTRADO NO BENNER (CLIENTE X GRUPO)"/>
    <x v="1"/>
    <s v="SUPORTE OBT"/>
    <n v="1"/>
  </r>
  <r>
    <n v="3423660"/>
    <s v="TMS"/>
    <x v="1173"/>
    <n v="6800"/>
    <n v="6800"/>
    <s v="Preenchendo XML Serviço-&gt; Preenchendo XML-&gt; Montando accounting aereo 2-&gt;Não foi informado o Localizador do Assento/Bagagem!"/>
    <d v="2025-05-15T19:13:00"/>
    <d v="2025-05-18T20:11:00"/>
    <s v="OUTROS"/>
    <s v="ASSENTO / BAGAGEM"/>
    <s v="CAMPO OBSERVAÇÃO PREENCHIDO INCORRETAMENTE"/>
    <x v="1"/>
    <s v="OPERAÇÕES / SUPORTE KCS"/>
    <n v="118"/>
  </r>
  <r>
    <n v="3424334"/>
    <s v="SABRE"/>
    <x v="1174"/>
    <s v="UTOACV"/>
    <s v="UTOACV"/>
    <s v="Não localizado cliente código [1234567890].&lt;-ObterCliente&lt;-MontarPnrBase&lt;-ProcessarAereo&lt;-ProcessarItemFila[b]"/>
    <d v="2025-05-15T20:33:00"/>
    <m/>
    <s v="CLIENTE"/>
    <s v="CÓD. CLIENTE DIVERGENTE"/>
    <s v="CÓDIGO DIFERENTE DO CADASTRADO NO BENNER (CLIENTE X GRUPO)"/>
    <x v="1"/>
    <s v="SUPORTE OBT"/>
    <n v="1"/>
  </r>
  <r>
    <n v="3424336"/>
    <s v="SABRE"/>
    <x v="1174"/>
    <s v="MKRKFZ"/>
    <s v="MKRKFZ"/>
    <s v="Não localizado cliente código [1234567890].&lt;-ObterCliente&lt;-MontarPnrBase&lt;-ProcessarAereo&lt;-ProcessarItemFila[b]"/>
    <d v="2025-05-15T20:33:00"/>
    <m/>
    <s v="CLIENTE"/>
    <s v="CÓD. CLIENTE DIVERGENTE"/>
    <s v="CÓDIGO DIFERENTE DO CADASTRADO NO BENNER (CLIENTE X GRUPO)"/>
    <x v="1"/>
    <s v="SUPORTE OBT"/>
    <n v="1"/>
  </r>
  <r>
    <n v="3424338"/>
    <s v="SABRE"/>
    <x v="1174"/>
    <s v="QCWGEU"/>
    <s v="QCWGEU"/>
    <s v="Não localizado cliente código [1234567890].&lt;-ObterCliente&lt;-MontarPnrBase&lt;-ProcessarAereo&lt;-ProcessarItemFila[b]"/>
    <d v="2025-05-15T20:33:00"/>
    <m/>
    <s v="CLIENTE"/>
    <s v="CÓD. CLIENTE DIVERGENTE"/>
    <s v="CÓDIGO DIFERENTE DO CADASTRADO NO BENNER (CLIENTE X GRUPO)"/>
    <x v="1"/>
    <s v="SUPORTE OBT"/>
    <n v="1"/>
  </r>
  <r>
    <n v="3424344"/>
    <s v="SABRE"/>
    <x v="1174"/>
    <s v="WXIMVP"/>
    <s v="WXIMVP"/>
    <s v="Código de cliente não identificado&lt;-ObterCliente&lt;-MontarPnrBase&lt;-ProcessarAereo&lt;-ProcessarItemFila[b]"/>
    <d v="2025-05-15T20:34:00"/>
    <m/>
    <s v="CLIENTE"/>
    <s v="CLIENTE NÃO IDENTIFICADO"/>
    <s v="DK DE CLIENTE NÃO PREENCIDO / CLIENTE NÃO CONFIGURADO NO OBT"/>
    <x v="2"/>
    <s v="OPERAÇÕES / SUPORTE KCS"/>
    <s v="COLUNA I"/>
  </r>
  <r>
    <n v="3424667"/>
    <s v="GOVER"/>
    <x v="1175"/>
    <n v="4537444"/>
    <s v="DWUHWB-CF-9401SF229054"/>
    <s v="PreencherPnr-&gt;Forma pagamento Cartão-&gt; Não foi possível determinar a validade do cartão, favor verificar os dados do cartão &lt;Id&gt;1499156&lt;/Id&gt;."/>
    <d v="2025-05-16T09:24:00"/>
    <d v="2025-06-02T16:57:00"/>
    <s v="FORMA PAGTO/RECTO"/>
    <s v="DADOS DO CARTÃO"/>
    <s v="TAG &lt;CARTAOVALIDADE&gt; NÃO ENVIADA"/>
    <x v="0"/>
    <s v="SUPORTE OBT"/>
    <n v="40"/>
  </r>
  <r>
    <n v="3425067"/>
    <s v="SABRE"/>
    <x v="1176"/>
    <s v="EFGFFPT"/>
    <s v="EFGFFP"/>
    <s v="Inserindo PNR - Accountings - TurVendas - Não foi possível localizar o contrato do fornecedor H84698"/>
    <d v="2025-05-16T13:31:00"/>
    <m/>
    <s v="FORNECEDOR"/>
    <s v="CONTRATO FORNECEDOR"/>
    <s v="CONTRATO INATIVO OU DIVERGENTE"/>
    <x v="0"/>
    <s v="OPERAÇÕES / SUPORTE KCS"/>
    <n v="43"/>
  </r>
  <r>
    <n v="3425288"/>
    <s v="TMS"/>
    <x v="1177"/>
    <n v="2182"/>
    <n v="2182"/>
    <s v="Preenchendo XML Carro-&gt; Preenchendo XML-&gt; Montando accounting carro-&gt;Fornecedor com o código 415368  informado nos campos gerenciais não encontrado!"/>
    <d v="2025-05-16T13:57:00"/>
    <d v="2025-05-19T21:11:00"/>
    <s v="FORNECEDOR"/>
    <s v="CONTRATO FORNECEDOR"/>
    <s v="CONTRATO INATIVO OU DIVERGENTE"/>
    <x v="0"/>
    <s v="OPERAÇÕES / SUPORTE KCS"/>
    <n v="69"/>
  </r>
  <r>
    <n v="3425937"/>
    <s v="SABRE"/>
    <x v="1178"/>
    <s v="EEIXMD"/>
    <s v="EEIXMD"/>
    <s v="ERRO: Cancelamento de Venda: Não há PNR no sistema para cancelar, venda não inserida!"/>
    <d v="2025-05-16T17:04:00"/>
    <m/>
    <s v="CANCELAMENTO"/>
    <s v="VENDA CANCELADA"/>
    <s v="RESERVA CANCELADA NO OBT"/>
    <x v="0"/>
    <s v="SUPORTE OBT"/>
    <s v="COLUNA I"/>
  </r>
  <r>
    <n v="3426125"/>
    <s v="SABRE"/>
    <x v="1179"/>
    <s v="AYVJRM"/>
    <s v="AYVJRM"/>
    <s v="Não localizado cliente código [0000063625].&lt;-ObterCliente&lt;-MontarPnrBase&lt;-ProcessarAereo&lt;-ProcessarItemFila[b]"/>
    <d v="2025-05-16T18:03:00"/>
    <m/>
    <s v="CLIENTE"/>
    <s v="CÓD. CLIENTE DIVERGENTE"/>
    <s v="CÓDIGO DIFERENTE DO CADASTRADO NO BENNER (CLIENTE X GRUPO)"/>
    <x v="1"/>
    <s v="SUPORTE OBT"/>
    <n v="1"/>
  </r>
  <r>
    <n v="3426202"/>
    <s v="SABRE"/>
    <x v="1180"/>
    <s v="HBMPZQT"/>
    <s v="HBMPZQ"/>
    <s v="ConverterPagamentosRemark-&gt;Input string was not in a correct format.&lt;-MontarAccountinsHotel&lt;-ProcessarHotel&lt;-ProcessarItemFila[b]"/>
    <d v="2025-05-16T18:31:00"/>
    <m/>
    <s v="FORMA PAGTO/RECTO"/>
    <s v="FORMATO DE TEXTO"/>
    <s v="TEXTO FORA DO PADRÃO ACEITO NO CAMPO"/>
    <x v="2"/>
    <s v="SUPORTE OBT"/>
    <s v="COLUNA I"/>
  </r>
  <r>
    <n v="3426296"/>
    <s v="TMS"/>
    <x v="1181"/>
    <n v="6844"/>
    <n v="6844"/>
    <s v="Preenchendo XML Serviço-&gt; Preenchendo XML-&gt; Montando accounting aereo 2-&gt;Não foi informado o Localizador do Assento/Bagagem!"/>
    <d v="2025-05-16T19:31:00"/>
    <d v="2025-05-19T20:32:00"/>
    <s v="OUTROS"/>
    <s v="ASSENTO / BAGAGEM"/>
    <s v="CAMPO OBSERVAÇÃO PREENCHIDO INCORRETAMENTE"/>
    <x v="1"/>
    <s v="OPERAÇÕES / SUPORTE KCS"/>
    <n v="118"/>
  </r>
  <r>
    <n v="3426489"/>
    <s v="SABRE"/>
    <x v="1182"/>
    <s v="EFEAHG"/>
    <s v="EFEAHG"/>
    <s v="Não localizado cliente com CNPJ [271682000177].&lt;-ObterCliente&lt;-MontarPnrBase&lt;-ProcessarAereo&lt;-ProcessarItemFila[b]"/>
    <d v="2025-05-16T19:48:00"/>
    <d v="2025-05-19T13:30:00"/>
    <s v="CLIENTE"/>
    <s v="REMARK - CNPJ"/>
    <s v=""/>
    <x v="1"/>
    <s v="OPERAÇÕES / SUPORTE KCS"/>
    <n v="24"/>
  </r>
  <r>
    <n v="3426735"/>
    <s v="TMS"/>
    <x v="1183"/>
    <n v="2228"/>
    <n v="2228"/>
    <s v="Preenchendo XML Serviço-&gt; Preenchendo XML-&gt; Montando accounting aereo 2-&gt;Não foi informado o Localizador do Assento/Bagagem!"/>
    <d v="2025-05-16T20:20:00"/>
    <d v="2025-05-19T21:11:00"/>
    <s v="OUTROS"/>
    <s v="ASSENTO / BAGAGEM"/>
    <s v="CAMPO OBSERVAÇÃO PREENCHIDO INCORRETAMENTE"/>
    <x v="1"/>
    <s v="OPERAÇÕES / SUPORTE KCS"/>
    <n v="118"/>
  </r>
  <r>
    <n v="3427634"/>
    <s v="SABRE"/>
    <x v="1184"/>
    <s v="NBPGSC"/>
    <s v="NBPGSC"/>
    <s v="Não localizado cliente com CNPJ [9108301000108].&lt;-ObterCliente&lt;-MontarPnrBase&lt;-ProcessarAereo&lt;-ProcessarItemFila[b]"/>
    <d v="2025-05-19T08:47:00"/>
    <d v="2025-05-20T13:46:00"/>
    <s v="CLIENTE"/>
    <s v="REMARK - CNPJ"/>
    <s v=""/>
    <x v="0"/>
    <s v="OPERAÇÕES / SUPORTE KCS"/>
    <n v="24"/>
  </r>
  <r>
    <n v="3427635"/>
    <s v="SABRE"/>
    <x v="1184"/>
    <s v="NBPGSCT"/>
    <s v="NBPGSC"/>
    <s v="Não localizado cliente com CNPJ [9108301000108].&lt;-ObterCliente&lt;-MontarPnrBase&lt;-MontarPnr&lt;-ProcessarHotel&lt;-ProcessarItemFila[b]"/>
    <d v="2025-05-19T08:47:00"/>
    <d v="2025-05-20T13:46:00"/>
    <s v="CLIENTE"/>
    <s v="REMARK - CNPJ"/>
    <s v=""/>
    <x v="0"/>
    <s v="OPERAÇÕES / SUPORTE KCS"/>
    <n v="24"/>
  </r>
  <r>
    <n v="3427781"/>
    <s v="GOVER"/>
    <x v="1185"/>
    <n v="4538006"/>
    <n v="4538006"/>
    <s v="PreencherPnr-&gt;Foi identificado um localizador sem código."/>
    <d v="2025-05-19T10:14:00"/>
    <d v="2025-06-02T16:57:00"/>
    <s v="OUTROS"/>
    <s v="RLOC NÃO INFORMADO"/>
    <s v="RLOC NÃO PREENCHIDO NA RESERVA"/>
    <x v="1"/>
    <s v="SUPORTE OBT"/>
    <s v="COLUNA I"/>
  </r>
  <r>
    <n v="3427885"/>
    <s v="SABRE"/>
    <x v="1186"/>
    <s v="JDFQHTT"/>
    <s v="JDFQHT"/>
    <s v="ConverterPagamentosRemark-&gt;The string was not recognized as a valid DateTime. There is an unknown word starting at index 0.&lt;-MontarAccountinsHotel&lt;-ProcessarHotel&lt;-ProcessarItemFila[b]"/>
    <d v="2025-05-19T11:08:00"/>
    <m/>
    <s v="FORMA PAGTO/RECTO"/>
    <s v="REMARK - DATA INCORRETA"/>
    <s v="REMARK U*INFOPAG-CC/REC-CC PREENCHIDO INCORRETAMENTE"/>
    <x v="1"/>
    <s v="OPERAÇÕES / SUPORTE KCS"/>
    <s v="COLUNA I"/>
  </r>
  <r>
    <n v="3427903"/>
    <s v="SABRE"/>
    <x v="1182"/>
    <s v="FQLYCF"/>
    <s v="FQLYCF"/>
    <s v="Não localizado cliente com CNPJ [JTI PROCESSADORA].&lt;-ObterCliente&lt;-MontarPnrBase&lt;-ProcessarAereo&lt;-ProcessarItemFila[b]"/>
    <d v="2025-05-19T11:20:00"/>
    <d v="2025-05-19T13:28:00"/>
    <s v="CLIENTE"/>
    <s v="REMARK - CNPJ"/>
    <s v=""/>
    <x v="1"/>
    <s v="OPERAÇÕES / SUPORTE KCS"/>
    <n v="24"/>
  </r>
  <r>
    <n v="3427904"/>
    <s v="SABRE"/>
    <x v="1187"/>
    <s v="KPHLNO"/>
    <s v="KPHLNO"/>
    <s v="Código de cliente não identificado&lt;-ObterCliente&lt;-MontarPnrBase&lt;-ProcessarAereo&lt;-ProcessarItemFila[b]"/>
    <d v="2025-05-19T11:20:00"/>
    <d v="2025-05-19T12:29:00"/>
    <s v="CLIENTE"/>
    <s v="CLIENTE NÃO IDENTIFICADO"/>
    <s v="DK DE CLIENTE NÃO PREENCIDO / CLIENTE NÃO CONFIGURADO NO OBT"/>
    <x v="2"/>
    <s v="OPERAÇÕES / SUPORTE KCS"/>
    <s v="COLUNA I"/>
  </r>
  <r>
    <n v="3427937"/>
    <s v="GOVER"/>
    <x v="1188"/>
    <n v="4537550"/>
    <n v="4537550"/>
    <s v="PreencherPnr-&gt;Foi identificado um localizador sem código."/>
    <d v="2025-05-19T11:34:00"/>
    <d v="2025-06-02T16:57:00"/>
    <s v="OUTROS"/>
    <s v="RLOC NÃO INFORMADO"/>
    <s v="RLOC NÃO PREENCHIDO NA RESERVA"/>
    <x v="1"/>
    <s v="SUPORTE OBT"/>
    <s v="COLUNA I"/>
  </r>
  <r>
    <n v="3428041"/>
    <s v="SABRE"/>
    <x v="1189"/>
    <s v="DHHSAE"/>
    <s v="DHHSAE"/>
    <s v="Inserindo PNR - Accountings - TurVendas - Não foi possível localizar o contrato do fornecedor IX"/>
    <d v="2025-05-19T12:20:00"/>
    <d v="2025-05-27T10:33:00"/>
    <s v="FORNECEDOR"/>
    <s v="CONTRATO FORNECEDOR"/>
    <s v="CONTRATO INATIVO OU DIVERGENTE"/>
    <x v="0"/>
    <s v="OPERAÇÕES / SUPORTE KCS"/>
    <n v="43"/>
  </r>
  <r>
    <n v="3428163"/>
    <s v="SABRE"/>
    <x v="1182"/>
    <s v="SIJZJE"/>
    <s v="SIJZJE"/>
    <s v="Código de cliente não identificado&lt;-ObterCliente&lt;-MontarPnrBase&lt;-ProcessarAereo&lt;-ProcessarItemFila[b]"/>
    <d v="2025-05-19T13:24:00"/>
    <m/>
    <s v="CLIENTE"/>
    <s v="CLIENTE NÃO IDENTIFICADO"/>
    <s v="DK DE CLIENTE NÃO PREENCIDO / CLIENTE NÃO CONFIGURADO NO OBT"/>
    <x v="2"/>
    <s v="OPERAÇÕES / SUPORTE KCS"/>
    <s v="COLUNA I"/>
  </r>
  <r>
    <n v="3428168"/>
    <s v="SABRE"/>
    <x v="1182"/>
    <s v="CJGUDU"/>
    <s v="CJGUDU"/>
    <s v="Não localizado cliente código [0000583808].&lt;-ObterCliente&lt;-MontarPnrBase&lt;-ProcessarAereo&lt;-ProcessarItemFila[b]"/>
    <d v="2025-05-19T13:26:00"/>
    <m/>
    <s v="CLIENTE"/>
    <s v="CÓD. CLIENTE DIVERGENTE"/>
    <s v="CÓDIGO DIFERENTE DO CADASTRADO NO BENNER (CLIENTE X GRUPO)"/>
    <x v="1"/>
    <s v="SUPORTE OBT"/>
    <n v="1"/>
  </r>
  <r>
    <n v="3428169"/>
    <s v="SABRE"/>
    <x v="1182"/>
    <s v="GHNLGC"/>
    <s v="GHNLGC"/>
    <s v="Não localizado cliente código [0000583808].&lt;-ObterCliente&lt;-MontarPnrBase&lt;-ProcessarAereo&lt;-ProcessarItemFila[b]"/>
    <d v="2025-05-19T13:27:00"/>
    <m/>
    <s v="CLIENTE"/>
    <s v="CÓD. CLIENTE DIVERGENTE"/>
    <s v="CÓDIGO DIFERENTE DO CADASTRADO NO BENNER (CLIENTE X GRUPO)"/>
    <x v="1"/>
    <s v="SUPORTE OBT"/>
    <n v="1"/>
  </r>
  <r>
    <n v="3428171"/>
    <s v="SABRE"/>
    <x v="1182"/>
    <s v="QCCWCZ"/>
    <s v="QCCWCZ"/>
    <s v="Não localizado cliente código [0000000].&lt;-ObterCliente&lt;-MontarPnrBase&lt;-ProcessarAereo&lt;-ProcessarItemFila[b]"/>
    <d v="2025-05-19T13:28:00"/>
    <m/>
    <s v="CLIENTE"/>
    <s v="CÓD. CLIENTE DIVERGENTE"/>
    <s v="CÓDIGO DIFERENTE DO CADASTRADO NO BENNER (CLIENTE X GRUPO)"/>
    <x v="1"/>
    <s v="SUPORTE OBT"/>
    <n v="1"/>
  </r>
  <r>
    <n v="3428172"/>
    <s v="SABRE"/>
    <x v="1182"/>
    <s v="FJIECA"/>
    <s v="FJIECA"/>
    <s v="Não localizado cliente com CNPJ [819201000115].&lt;-ObterCliente&lt;-MontarPnrBase&lt;-ProcessarAereo&lt;-ProcessarItemFila[b]"/>
    <d v="2025-05-19T13:29:00"/>
    <m/>
    <s v="CLIENTE"/>
    <s v="REMARK - CNPJ"/>
    <s v=""/>
    <x v="3"/>
    <s v="OPERAÇÕES / SUPORTE KCS"/>
    <n v="24"/>
  </r>
  <r>
    <n v="3428173"/>
    <s v="SABRE"/>
    <x v="1182"/>
    <s v="JHURPA"/>
    <s v="JHURPA"/>
    <s v="Não localizado cliente código [0000063625].&lt;-ObterCliente&lt;-MontarPnrBase&lt;-ProcessarAereo&lt;-ProcessarItemFila[b]"/>
    <d v="2025-05-19T13:30:00"/>
    <m/>
    <s v="CLIENTE"/>
    <s v="CÓD. CLIENTE DIVERGENTE"/>
    <s v="CÓDIGO DIFERENTE DO CADASTRADO NO BENNER (CLIENTE X GRUPO)"/>
    <x v="1"/>
    <s v="SUPORTE OBT"/>
    <n v="1"/>
  </r>
  <r>
    <n v="3428174"/>
    <s v="SABRE"/>
    <x v="1182"/>
    <s v="CVSBYQ"/>
    <s v="CVSBYQ"/>
    <s v="Não localizado cliente código [0000000].&lt;-ObterCliente&lt;-MontarPnrBase&lt;-ProcessarAereo&lt;-ProcessarItemFila[b]"/>
    <d v="2025-05-19T13:32:00"/>
    <m/>
    <s v="CLIENTE"/>
    <s v="CÓD. CLIENTE DIVERGENTE"/>
    <s v="CÓDIGO DIFERENTE DO CADASTRADO NO BENNER (CLIENTE X GRUPO)"/>
    <x v="1"/>
    <s v="SUPORTE OBT"/>
    <n v="1"/>
  </r>
  <r>
    <n v="3428214"/>
    <s v="SABRE"/>
    <x v="1190"/>
    <s v="CVYMBO"/>
    <s v="CVYMBO"/>
    <s v="Não localizado cliente código [0000000].&lt;-ObterCliente&lt;-MontarPnrBase&lt;-ProcessarAereo&lt;-ProcessarItemFila[b]"/>
    <d v="2025-05-19T13:49:00"/>
    <m/>
    <s v="CLIENTE"/>
    <s v="CÓD. CLIENTE DIVERGENTE"/>
    <s v="CÓDIGO DIFERENTE DO CADASTRADO NO BENNER (CLIENTE X GRUPO)"/>
    <x v="1"/>
    <s v="SUPORTE OBT"/>
    <n v="1"/>
  </r>
  <r>
    <n v="3428216"/>
    <s v="SABRE"/>
    <x v="1191"/>
    <s v="MNPBBT"/>
    <s v="MNPBBT"/>
    <s v="Não localizado cliente código [0000068873].&lt;-ObterCliente&lt;-MontarPnrBase&lt;-ProcessarAereo&lt;-ProcessarItemFila[b]"/>
    <d v="2025-05-19T13:49:00"/>
    <d v="2025-05-19T15:49:00"/>
    <s v="CLIENTE"/>
    <s v="CÓD. CLIENTE DIVERGENTE"/>
    <s v="CÓDIGO DIFERENTE DO CADASTRADO NO BENNER (CLIENTE X GRUPO)"/>
    <x v="1"/>
    <s v="SUPORTE OBT"/>
    <n v="1"/>
  </r>
  <r>
    <n v="3429485"/>
    <s v="SABRE"/>
    <x v="1192"/>
    <s v="JOKQKNT"/>
    <s v="JOKQKN"/>
    <s v="Não localizado cliente código [0000068873].&lt;-ObterCliente&lt;-MontarPnrBase&lt;-MontarPnr&lt;-ProcessarHotel&lt;-ProcessarItemFila[b]"/>
    <d v="2025-05-19T17:51:00"/>
    <d v="2025-05-20T09:08:00"/>
    <s v="CLIENTE"/>
    <s v="CÓD. CLIENTE DIVERGENTE"/>
    <s v="CÓDIGO DIFERENTE DO CADASTRADO NO BENNER (CLIENTE X GRUPO)"/>
    <x v="1"/>
    <s v="SUPORTE OBT"/>
    <n v="1"/>
  </r>
  <r>
    <n v="3429575"/>
    <s v="SABRE"/>
    <x v="1193"/>
    <s v="QTNBFM"/>
    <s v="QTNBFM"/>
    <s v="Não localizado cliente com CNPJ [9108301000108].&lt;-ObterCliente&lt;-MontarPnrBase&lt;-ProcessarAereo&lt;-ProcessarItemFila[b]"/>
    <d v="2025-05-19T18:20:00"/>
    <m/>
    <s v="CLIENTE"/>
    <s v="REMARK - CNPJ"/>
    <s v=""/>
    <x v="3"/>
    <s v="OPERAÇÕES / SUPORTE KCS"/>
    <n v="24"/>
  </r>
  <r>
    <n v="3429577"/>
    <s v="SABRE"/>
    <x v="1194"/>
    <s v="FZUDMZ"/>
    <s v="FZUDMZ"/>
    <s v="Não localizado cliente código [0000000].&lt;-ObterCliente&lt;-MontarPnrBase&lt;-ProcessarAereo&lt;-ProcessarItemFila[b]"/>
    <d v="2025-05-19T18:20:00"/>
    <m/>
    <s v="CLIENTE"/>
    <s v="CÓD. CLIENTE DIVERGENTE"/>
    <s v="CÓDIGO DIFERENTE DO CADASTRADO NO BENNER (CLIENTE X GRUPO)"/>
    <x v="1"/>
    <s v="SUPORTE OBT"/>
    <n v="1"/>
  </r>
  <r>
    <n v="3429580"/>
    <s v="SABRE"/>
    <x v="1195"/>
    <s v="FVUQNI"/>
    <s v="FVUQNI"/>
    <s v="Não localizado cliente com CNPJ [9108301000108].&lt;-ObterCliente&lt;-MontarPnrBase&lt;-ProcessarAereo&lt;-ProcessarItemFila[b]"/>
    <d v="2025-05-19T18:21:00"/>
    <d v="2025-05-20T09:17:00"/>
    <s v="CLIENTE"/>
    <s v="REMARK - CNPJ"/>
    <s v=""/>
    <x v="1"/>
    <s v="OPERAÇÕES / SUPORTE KCS"/>
    <n v="24"/>
  </r>
  <r>
    <n v="3429581"/>
    <s v="SABRE"/>
    <x v="1195"/>
    <s v="FVUQNIT"/>
    <s v="FVUQNI"/>
    <s v="Não localizado cliente com CNPJ [9108301000108].&lt;-ObterCliente&lt;-MontarPnrBase&lt;-MontarPnr&lt;-ProcessarHotel&lt;-ProcessarItemFila[b]"/>
    <d v="2025-05-19T18:21:00"/>
    <d v="2025-05-20T09:17:00"/>
    <s v="CLIENTE"/>
    <s v="REMARK - CNPJ"/>
    <s v=""/>
    <x v="1"/>
    <s v="OPERAÇÕES / SUPORTE KCS"/>
    <n v="24"/>
  </r>
  <r>
    <n v="3429583"/>
    <s v="SABRE"/>
    <x v="1196"/>
    <s v="QTXNAS"/>
    <s v="QTXNAS"/>
    <s v="Não localizado cliente código [1234567890].&lt;-ObterCliente&lt;-MontarPnrBase&lt;-ProcessarAereo&lt;-ProcessarItemFila[b]"/>
    <d v="2025-05-19T18:22:00"/>
    <m/>
    <s v="CLIENTE"/>
    <s v="CÓD. CLIENTE DIVERGENTE"/>
    <s v="CÓDIGO DIFERENTE DO CADASTRADO NO BENNER (CLIENTE X GRUPO)"/>
    <x v="1"/>
    <s v="SUPORTE OBT"/>
    <n v="1"/>
  </r>
  <r>
    <n v="3429685"/>
    <s v="SABRE"/>
    <x v="1197"/>
    <s v="AOZSPW"/>
    <s v="AOZSPW"/>
    <s v="Não localizado cliente código [0000063625].&lt;-ObterCliente&lt;-MontarPnrBase&lt;-ProcessarAereo&lt;-ProcessarItemFila[b]"/>
    <d v="2025-05-19T19:19:00"/>
    <m/>
    <s v="CLIENTE"/>
    <s v="CÓD. CLIENTE DIVERGENTE"/>
    <s v="CÓDIGO DIFERENTE DO CADASTRADO NO BENNER (CLIENTE X GRUPO)"/>
    <x v="1"/>
    <s v="SUPORTE OBT"/>
    <n v="1"/>
  </r>
  <r>
    <n v="3429883"/>
    <s v="SABRE"/>
    <x v="1198"/>
    <s v="QCWRCC"/>
    <s v="QCWRCC"/>
    <s v="Não localizado cliente código [0000392619].&lt;-ObterCliente&lt;-MontarPnrBase&lt;-ProcessarAereo&lt;-ProcessarItemFila[b]"/>
    <d v="2025-05-19T20:49:00"/>
    <m/>
    <s v="CLIENTE"/>
    <s v="CÓD. CLIENTE DIVERGENTE"/>
    <s v="CÓDIGO DIFERENTE DO CADASTRADO NO BENNER (CLIENTE X GRUPO)"/>
    <x v="1"/>
    <s v="SUPORTE OBT"/>
    <n v="1"/>
  </r>
  <r>
    <n v="3429887"/>
    <s v="SABRE"/>
    <x v="1198"/>
    <s v="WFROCT"/>
    <s v="WFROCT"/>
    <s v="Código de cliente não identificado&lt;-ObterCliente&lt;-MontarPnrBase&lt;-ProcessarAereo&lt;-ProcessarItemFila[b]"/>
    <d v="2025-05-19T20:49:00"/>
    <m/>
    <s v="CLIENTE"/>
    <s v="CLIENTE NÃO IDENTIFICADO"/>
    <s v="DK DE CLIENTE NÃO PREENCIDO / CLIENTE NÃO CONFIGURADO NO OBT"/>
    <x v="2"/>
    <s v="OPERAÇÕES / SUPORTE KCS"/>
    <s v="COLUNA I"/>
  </r>
  <r>
    <n v="3429889"/>
    <s v="SABRE"/>
    <x v="1198"/>
    <s v="MMLSPZ"/>
    <s v="MMLSPZ"/>
    <s v="Não localizado cliente código [0000392619].&lt;-ObterCliente&lt;-MontarPnrBase&lt;-ProcessarAereo&lt;-ProcessarItemFila[b]"/>
    <d v="2025-05-19T20:49:00"/>
    <m/>
    <s v="CLIENTE"/>
    <s v="CÓD. CLIENTE DIVERGENTE"/>
    <s v="CÓDIGO DIFERENTE DO CADASTRADO NO BENNER (CLIENTE X GRUPO)"/>
    <x v="1"/>
    <s v="SUPORTE OBT"/>
    <n v="1"/>
  </r>
  <r>
    <n v="3429896"/>
    <s v="SABRE"/>
    <x v="1198"/>
    <s v="FEBAFR"/>
    <s v="FEBAFR"/>
    <s v="Não localizado cliente código [1234567890].&lt;-ObterCliente&lt;-MontarPnrBase&lt;-ProcessarAereo&lt;-ProcessarItemFila[b]"/>
    <d v="2025-05-19T20:49:00"/>
    <m/>
    <s v="CLIENTE"/>
    <s v="CÓD. CLIENTE DIVERGENTE"/>
    <s v="CÓDIGO DIFERENTE DO CADASTRADO NO BENNER (CLIENTE X GRUPO)"/>
    <x v="1"/>
    <s v="SUPORTE OBT"/>
    <n v="1"/>
  </r>
  <r>
    <n v="3430061"/>
    <s v="TMS"/>
    <x v="1199"/>
    <n v="4653"/>
    <n v="4653"/>
    <s v="Preenchendo XML Carro-&gt; Preenchendo XML-&gt; Montando accounting carro-&gt;Fornecedor com o código 415368  informado nos campos gerenciais não encontrado!"/>
    <d v="2025-05-19T21:11:00"/>
    <d v="2025-05-22T21:59:00"/>
    <s v="FORNECEDOR"/>
    <s v="CONTRATO FORNECEDOR"/>
    <s v="CONTRATO INATIVO OU DIVERGENTE"/>
    <x v="0"/>
    <s v="OPERAÇÕES / SUPORTE KCS"/>
    <n v="69"/>
  </r>
  <r>
    <n v="3430129"/>
    <s v="TMS"/>
    <x v="1200"/>
    <n v="32830"/>
    <n v="32830"/>
    <s v="Preenchendo XML Carro-&gt; Preenchendo XML-&gt; Montando accounting carro-&gt;Fornecedor com o código 415368  informado nos campos gerenciais não encontrado!"/>
    <d v="2025-05-19T21:19:00"/>
    <d v="2025-05-22T22:11:00"/>
    <s v="FORNECEDOR"/>
    <s v="CONTRATO FORNECEDOR"/>
    <s v="CONTRATO INATIVO OU DIVERGENTE"/>
    <x v="0"/>
    <s v="OPERAÇÕES / SUPORTE KCS"/>
    <n v="69"/>
  </r>
  <r>
    <n v="3430946"/>
    <s v="LEMONTECH"/>
    <x v="1201"/>
    <s v="16491198-52892962"/>
    <n v="52892962"/>
    <s v="WS Retorno-&gt;SV 16491198 nao foi encontrada para a credencial passada ou pode nao estar com Status de Concluida, Cancelado"/>
    <d v="2025-05-20T11:24:00"/>
    <m/>
    <s v="OUTROS"/>
    <s v="NOVA MENSAGEM"/>
    <s v=""/>
    <x v="1"/>
    <e v="#N/A"/>
    <s v="COLUNA I"/>
  </r>
  <r>
    <n v="3430949"/>
    <s v="GOVER"/>
    <x v="1202"/>
    <n v="4539589"/>
    <s v="AYVJRM"/>
    <s v="Inserindo PNR - Accountings - TurVendas - Não foi possível localizar o contrato do fornecedor QZ"/>
    <d v="2025-05-20T11:25:00"/>
    <d v="2025-06-02T16:57:00"/>
    <s v="FORNECEDOR"/>
    <s v="CONTRATO FORNECEDOR"/>
    <s v="CONTRATO INATIVO OU DIVERGENTE"/>
    <x v="0"/>
    <s v="OPERAÇÕES / SUPORTE KCS"/>
    <n v="43"/>
  </r>
  <r>
    <n v="3431001"/>
    <s v="SABRE"/>
    <x v="1203"/>
    <s v="JXXLPXT"/>
    <s v="JXXLPX"/>
    <s v="Inserindo PNR - Accountings - TurVendas - Não foi possível localizar o contrato do fornecedor 85644"/>
    <d v="2025-05-20T11:50:00"/>
    <m/>
    <s v="FORNECEDOR"/>
    <s v="CONTRATO FORNECEDOR"/>
    <s v="CONTRATO INATIVO OU DIVERGENTE"/>
    <x v="0"/>
    <s v="OPERAÇÕES / SUPORTE KCS"/>
    <n v="43"/>
  </r>
  <r>
    <n v="3431201"/>
    <s v="SABRE"/>
    <x v="1204"/>
    <s v="QOJSHVT"/>
    <s v="QOJSHV"/>
    <s v="Inserindo PNR - Accountings - TurVendas - Não foi possível localizar o contrato do fornecedor H84698"/>
    <d v="2025-05-20T14:02:00"/>
    <m/>
    <s v="FORNECEDOR"/>
    <s v="CONTRATO FORNECEDOR"/>
    <s v="CONTRATO INATIVO OU DIVERGENTE"/>
    <x v="0"/>
    <s v="OPERAÇÕES / SUPORTE KCS"/>
    <n v="43"/>
  </r>
  <r>
    <n v="3431284"/>
    <s v="TMS"/>
    <x v="1205"/>
    <n v="6854"/>
    <n v="6854"/>
    <s v="Preenchendo XML Serviço-&gt; Preenchendo XML-&gt; Montando accounting aereo 2-&gt;Não foi informado o Localizador do Assento/Bagagem!"/>
    <d v="2025-05-20T14:49:00"/>
    <d v="2025-05-23T21:53:00"/>
    <s v="OUTROS"/>
    <s v="ASSENTO / BAGAGEM"/>
    <s v="CAMPO OBSERVAÇÃO PREENCHIDO INCORRETAMENTE"/>
    <x v="1"/>
    <s v="OPERAÇÕES / SUPORTE KCS"/>
    <n v="118"/>
  </r>
  <r>
    <n v="3431600"/>
    <s v="TMS"/>
    <x v="1206"/>
    <n v="4654"/>
    <n v="4654"/>
    <s v="Preenchendo XML Carro-&gt; Preenchendo XML-&gt; Montando accounting carro-&gt;Fornecedor com o código 415368  informado nos campos gerenciais não encontrado!"/>
    <d v="2025-05-20T15:18:00"/>
    <d v="2025-05-23T22:34:00"/>
    <s v="FORNECEDOR"/>
    <s v="CONTRATO FORNECEDOR"/>
    <s v="CONTRATO INATIVO OU DIVERGENTE"/>
    <x v="0"/>
    <s v="OPERAÇÕES / SUPORTE KCS"/>
    <n v="69"/>
  </r>
  <r>
    <n v="3431637"/>
    <s v="SABRE"/>
    <x v="1207"/>
    <s v="NHHTCO"/>
    <s v="NHHTCO"/>
    <s v="Não localizado cliente código [0000068873].&lt;-ObterCliente&lt;-MontarPnrBase&lt;-ProcessarAereo&lt;-ProcessarItemFila[b]"/>
    <d v="2025-05-20T15:23:00"/>
    <d v="2025-05-20T17:28:00"/>
    <s v="CLIENTE"/>
    <s v="CÓD. CLIENTE DIVERGENTE"/>
    <s v="CÓDIGO DIFERENTE DO CADASTRADO NO BENNER (CLIENTE X GRUPO)"/>
    <x v="1"/>
    <s v="SUPORTE OBT"/>
    <n v="1"/>
  </r>
  <r>
    <n v="3432081"/>
    <s v="GOVER"/>
    <x v="1204"/>
    <n v="4539871"/>
    <s v="DWAZEY01"/>
    <s v="Inserindo PNR - Accountings - TurVendas - Não foi possível localizar o contrato do fornecedor QV"/>
    <d v="2025-05-20T16:35:00"/>
    <d v="2025-06-02T16:57:00"/>
    <s v="FORNECEDOR"/>
    <s v="CONTRATO FORNECEDOR"/>
    <s v="CONTRATO INATIVO OU DIVERGENTE"/>
    <x v="0"/>
    <s v="OPERAÇÕES / SUPORTE KCS"/>
    <n v="43"/>
  </r>
  <r>
    <n v="3432261"/>
    <s v="SABRE"/>
    <x v="1207"/>
    <s v="LJKMAM"/>
    <s v="LJKMAM"/>
    <s v="Não localizado cliente código [0000583831].&lt;-ObterCliente&lt;-MontarPnrBase&lt;-ProcessarAereo&lt;-ProcessarItemFila[b]"/>
    <d v="2025-05-20T17:22:00"/>
    <m/>
    <s v="CLIENTE"/>
    <s v="CÓD. CLIENTE DIVERGENTE"/>
    <s v="CÓDIGO DIFERENTE DO CADASTRADO NO BENNER (CLIENTE X GRUPO)"/>
    <x v="1"/>
    <s v="SUPORTE OBT"/>
    <n v="1"/>
  </r>
  <r>
    <n v="3432263"/>
    <s v="SABRE"/>
    <x v="1207"/>
    <s v="HAHEZX"/>
    <s v="HAHEZX"/>
    <s v="Não localizado cliente código [0000583831].&lt;-ObterCliente&lt;-MontarPnrBase&lt;-ProcessarAereo&lt;-ProcessarItemFila[b]"/>
    <d v="2025-05-20T17:23:00"/>
    <m/>
    <s v="CLIENTE"/>
    <s v="CÓD. CLIENTE DIVERGENTE"/>
    <s v="CÓDIGO DIFERENTE DO CADASTRADO NO BENNER (CLIENTE X GRUPO)"/>
    <x v="1"/>
    <s v="SUPORTE OBT"/>
    <n v="1"/>
  </r>
  <r>
    <n v="3432264"/>
    <s v="SABRE"/>
    <x v="1207"/>
    <s v="OUWBXL"/>
    <s v="OUWBXL"/>
    <s v="Código de cliente não identificado&lt;-ObterCliente&lt;-MontarPnrBase&lt;-ProcessarAereo&lt;-ProcessarItemFila[b]"/>
    <d v="2025-05-20T17:23:00"/>
    <m/>
    <s v="CLIENTE"/>
    <s v="CLIENTE NÃO IDENTIFICADO"/>
    <s v="DK DE CLIENTE NÃO PREENCIDO / CLIENTE NÃO CONFIGURADO NO OBT"/>
    <x v="2"/>
    <s v="OPERAÇÕES / SUPORTE KCS"/>
    <s v="COLUNA I"/>
  </r>
  <r>
    <n v="3432265"/>
    <s v="SABRE"/>
    <x v="1207"/>
    <s v="KNXWBG"/>
    <s v="KNXWBG"/>
    <s v="Código de cliente não identificado&lt;-ObterCliente&lt;-MontarPnrBase&lt;-ProcessarAereo&lt;-ProcessarItemFila[b]"/>
    <d v="2025-05-20T17:24:00"/>
    <m/>
    <s v="CLIENTE"/>
    <s v="CLIENTE NÃO IDENTIFICADO"/>
    <s v="DK DE CLIENTE NÃO PREENCIDO / CLIENTE NÃO CONFIGURADO NO OBT"/>
    <x v="2"/>
    <s v="OPERAÇÕES / SUPORTE KCS"/>
    <s v="COLUNA I"/>
  </r>
  <r>
    <n v="3432267"/>
    <s v="SABRE"/>
    <x v="1207"/>
    <s v="LJCWCT"/>
    <s v="LJCWCT"/>
    <s v="Código de cliente não identificado&lt;-ObterCliente&lt;-MontarPnrBase&lt;-ProcessarAereo&lt;-ProcessarItemFila[b]"/>
    <d v="2025-05-20T17:24:00"/>
    <m/>
    <s v="CLIENTE"/>
    <s v="CLIENTE NÃO IDENTIFICADO"/>
    <s v="DK DE CLIENTE NÃO PREENCIDO / CLIENTE NÃO CONFIGURADO NO OBT"/>
    <x v="2"/>
    <s v="OPERAÇÕES / SUPORTE KCS"/>
    <s v="COLUNA I"/>
  </r>
  <r>
    <n v="3432277"/>
    <s v="SABRE"/>
    <x v="1207"/>
    <s v="MPYZBF"/>
    <s v="MPYZBF"/>
    <s v="Código de cliente não identificado&lt;-ObterCliente&lt;-MontarPnrBase&lt;-ProcessarAereo&lt;-ProcessarItemFila[b]"/>
    <d v="2025-05-20T17:25:00"/>
    <m/>
    <s v="CLIENTE"/>
    <s v="CLIENTE NÃO IDENTIFICADO"/>
    <s v="DK DE CLIENTE NÃO PREENCIDO / CLIENTE NÃO CONFIGURADO NO OBT"/>
    <x v="2"/>
    <s v="OPERAÇÕES / SUPORTE KCS"/>
    <s v="COLUNA I"/>
  </r>
  <r>
    <n v="3432278"/>
    <s v="SABRE"/>
    <x v="1207"/>
    <s v="WFFYFR"/>
    <s v="WFFYFR"/>
    <s v="Código de cliente não identificado&lt;-ObterCliente&lt;-MontarPnrBase&lt;-ProcessarAereo&lt;-ProcessarItemFila[b]"/>
    <d v="2025-05-20T17:26:00"/>
    <m/>
    <s v="CLIENTE"/>
    <s v="CLIENTE NÃO IDENTIFICADO"/>
    <s v="DK DE CLIENTE NÃO PREENCIDO / CLIENTE NÃO CONFIGURADO NO OBT"/>
    <x v="2"/>
    <s v="OPERAÇÕES / SUPORTE KCS"/>
    <s v="COLUNA I"/>
  </r>
  <r>
    <n v="3432279"/>
    <s v="SABRE"/>
    <x v="1207"/>
    <s v="JAVMHY"/>
    <s v="JAVMHY"/>
    <s v="Não localizado cliente código [1234567890].&lt;-ObterCliente&lt;-MontarPnrBase&lt;-ProcessarAereo&lt;-ProcessarItemFila[b]"/>
    <d v="2025-05-20T17:26:00"/>
    <m/>
    <s v="CLIENTE"/>
    <s v="CÓD. CLIENTE DIVERGENTE"/>
    <s v="CÓDIGO DIFERENTE DO CADASTRADO NO BENNER (CLIENTE X GRUPO)"/>
    <x v="1"/>
    <s v="SUPORTE OBT"/>
    <n v="1"/>
  </r>
  <r>
    <n v="3432281"/>
    <s v="SABRE"/>
    <x v="1207"/>
    <s v="YIDTXX"/>
    <s v="YIDTXX"/>
    <s v="Não localizado cliente código [0000583808].&lt;-ObterCliente&lt;-MontarPnrBase&lt;-ProcessarAereo&lt;-ProcessarItemFila[b]"/>
    <d v="2025-05-20T17:26:00"/>
    <m/>
    <s v="CLIENTE"/>
    <s v="CÓD. CLIENTE DIVERGENTE"/>
    <s v="CÓDIGO DIFERENTE DO CADASTRADO NO BENNER (CLIENTE X GRUPO)"/>
    <x v="1"/>
    <s v="SUPORTE OBT"/>
    <n v="1"/>
  </r>
  <r>
    <n v="3432284"/>
    <s v="SABRE"/>
    <x v="1207"/>
    <s v="AFWVQD"/>
    <s v="AFWVQD"/>
    <s v="Não localizado cliente código [0000392619].&lt;-ObterCliente&lt;-MontarPnrBase&lt;-ProcessarAereo&lt;-ProcessarItemFila[b]"/>
    <d v="2025-05-20T17:28:00"/>
    <m/>
    <s v="CLIENTE"/>
    <s v="CÓD. CLIENTE DIVERGENTE"/>
    <s v="CÓDIGO DIFERENTE DO CADASTRADO NO BENNER (CLIENTE X GRUPO)"/>
    <x v="1"/>
    <s v="SUPORTE OBT"/>
    <n v="1"/>
  </r>
  <r>
    <n v="3432285"/>
    <s v="SABRE"/>
    <x v="1208"/>
    <s v="QXHVLN"/>
    <s v="QXHVLN"/>
    <s v="Não localizado cliente código [0000583808].&lt;-ObterCliente&lt;-MontarPnrBase&lt;-ProcessarAereo&lt;-ProcessarItemFila[b]"/>
    <d v="2025-05-20T17:28:00"/>
    <d v="2025-05-22T15:04:00"/>
    <s v="CLIENTE"/>
    <s v="CÓD. CLIENTE DIVERGENTE"/>
    <s v="CÓDIGO DIFERENTE DO CADASTRADO NO BENNER (CLIENTE X GRUPO)"/>
    <x v="1"/>
    <s v="SUPORTE OBT"/>
    <n v="1"/>
  </r>
  <r>
    <n v="3432459"/>
    <s v="SABRE"/>
    <x v="1209"/>
    <s v="MUZQPW"/>
    <s v="MUZQPW"/>
    <s v="Não localizado cliente código [0000392619].&lt;-ObterCliente&lt;-MontarPnrBase&lt;-ProcessarAereo&lt;-ProcessarItemFila[b]"/>
    <d v="2025-05-20T18:34:00"/>
    <d v="2025-05-20T20:19:00"/>
    <s v="CLIENTE"/>
    <s v="CÓD. CLIENTE DIVERGENTE"/>
    <s v="CÓDIGO DIFERENTE DO CADASTRADO NO BENNER (CLIENTE X GRUPO)"/>
    <x v="1"/>
    <s v="SUPORTE OBT"/>
    <n v="1"/>
  </r>
  <r>
    <n v="3432465"/>
    <s v="SABRE"/>
    <x v="1209"/>
    <s v="MUBJTO"/>
    <s v="MUBJTO"/>
    <s v="Não localizado cliente código [0000000].&lt;-ObterCliente&lt;-MontarPnrBase&lt;-ProcessarAereo&lt;-ProcessarItemFila[b]"/>
    <d v="2025-05-20T18:35:00"/>
    <d v="2025-05-20T20:20:00"/>
    <s v="CLIENTE"/>
    <s v="CÓD. CLIENTE DIVERGENTE"/>
    <s v="CÓDIGO DIFERENTE DO CADASTRADO NO BENNER (CLIENTE X GRUPO)"/>
    <x v="1"/>
    <s v="SUPORTE OBT"/>
    <n v="1"/>
  </r>
  <r>
    <n v="3432605"/>
    <s v="SABRE"/>
    <x v="1209"/>
    <s v="MCXTBN"/>
    <s v="MCXTBN"/>
    <s v="Não localizado cliente código [0000392619].&lt;-ObterCliente&lt;-MontarPnrBase&lt;-ProcessarAereo&lt;-ProcessarItemFila[b]"/>
    <d v="2025-05-20T20:19:00"/>
    <m/>
    <s v="CLIENTE"/>
    <s v="CÓD. CLIENTE DIVERGENTE"/>
    <s v="CÓDIGO DIFERENTE DO CADASTRADO NO BENNER (CLIENTE X GRUPO)"/>
    <x v="1"/>
    <s v="SUPORTE OBT"/>
    <n v="1"/>
  </r>
  <r>
    <n v="3432613"/>
    <s v="SABRE"/>
    <x v="1209"/>
    <s v="UDXLZR"/>
    <s v="UDXLZR"/>
    <s v="Não localizado cliente código [1234567890].&lt;-ObterCliente&lt;-MontarPnrBase&lt;-ProcessarAereo&lt;-ProcessarItemFila[b]"/>
    <d v="2025-05-20T20:21:00"/>
    <m/>
    <s v="CLIENTE"/>
    <s v="CÓD. CLIENTE DIVERGENTE"/>
    <s v="CÓDIGO DIFERENTE DO CADASTRADO NO BENNER (CLIENTE X GRUPO)"/>
    <x v="1"/>
    <s v="SUPORTE OBT"/>
    <n v="1"/>
  </r>
  <r>
    <n v="3432649"/>
    <s v="TMS"/>
    <x v="1210"/>
    <n v="6859"/>
    <n v="6859"/>
    <s v="Preenchendo XML Carro-&gt; Preenchendo XML-&gt; Montando accounting carro-&gt;Fornecedor com o código 32628  informado nos campos gerenciais não encontrado!"/>
    <d v="2025-05-20T20:52:00"/>
    <d v="2025-05-23T21:52:00"/>
    <s v="FORNECEDOR"/>
    <s v="CONTRATO FORNECEDOR"/>
    <s v="CONTRATO INATIVO OU DIVERGENTE"/>
    <x v="0"/>
    <s v="OPERAÇÕES / SUPORTE KCS"/>
    <n v="69"/>
  </r>
  <r>
    <n v="3433158"/>
    <s v="GOVER"/>
    <x v="1211"/>
    <n v="4540356"/>
    <n v="4540356"/>
    <s v="PreencherPnr-&gt;Foi identificado um localizador sem código."/>
    <d v="2025-05-20T21:54:00"/>
    <d v="2025-06-02T16:57:00"/>
    <s v="OUTROS"/>
    <s v="RLOC NÃO INFORMADO"/>
    <s v="RLOC NÃO PREENCHIDO NA RESERVA"/>
    <x v="1"/>
    <s v="SUPORTE OBT"/>
    <s v="COLUNA I"/>
  </r>
  <r>
    <n v="3433217"/>
    <s v="TMS"/>
    <x v="1212"/>
    <n v="63626"/>
    <n v="63626"/>
    <s v="Inserindo PNR - Accountings - TurVendas - Não foi possível localizar o contrato do fornecedor Q9"/>
    <d v="2025-05-20T22:01:00"/>
    <d v="2025-05-23T22:49:00"/>
    <s v="FORNECEDOR"/>
    <s v="CONTRATO FORNECEDOR"/>
    <s v="CONTRATO INATIVO OU DIVERGENTE"/>
    <x v="0"/>
    <s v="OPERAÇÕES / SUPORTE KCS"/>
    <n v="43"/>
  </r>
  <r>
    <n v="3433417"/>
    <s v="TMS"/>
    <x v="1213"/>
    <n v="6671"/>
    <n v="6671"/>
    <s v="Preenchendo XML Serviço-&gt; Preenchendo XML-&gt; Montando accounting aereo 2-&gt;Não foi informado o Localizador do Assento/Bagagem!"/>
    <d v="2025-05-20T22:38:00"/>
    <d v="2025-05-23T23:16:00"/>
    <s v="OUTROS"/>
    <s v="ASSENTO / BAGAGEM"/>
    <s v="CAMPO OBSERVAÇÃO PREENCHIDO INCORRETAMENTE"/>
    <x v="1"/>
    <s v="OPERAÇÕES / SUPORTE KCS"/>
    <n v="118"/>
  </r>
  <r>
    <n v="3433569"/>
    <s v="TMS"/>
    <x v="1214"/>
    <n v="4663"/>
    <n v="4663"/>
    <s v="Preenchendo XML Carro-&gt; Preenchendo XML-&gt; Montando accounting carro-&gt;Fornecedor com o código 415368  informado nos campos gerenciais não encontrado!"/>
    <d v="2025-05-21T09:08:00"/>
    <d v="2025-05-24T22:16:00"/>
    <s v="FORNECEDOR"/>
    <s v="CONTRATO FORNECEDOR"/>
    <s v="CONTRATO INATIVO OU DIVERGENTE"/>
    <x v="0"/>
    <s v="OPERAÇÕES / SUPORTE KCS"/>
    <n v="69"/>
  </r>
  <r>
    <n v="3433570"/>
    <s v="TMS"/>
    <x v="1215"/>
    <n v="4662"/>
    <n v="4662"/>
    <s v="Preenchendo XML Carro-&gt; Preenchendo XML-&gt; Montando accounting carro-&gt;Fornecedor com o código 415368  informado nos campos gerenciais não encontrado!"/>
    <d v="2025-05-21T09:08:00"/>
    <d v="2025-05-24T22:16:00"/>
    <s v="FORNECEDOR"/>
    <s v="CONTRATO FORNECEDOR"/>
    <s v="CONTRATO INATIVO OU DIVERGENTE"/>
    <x v="0"/>
    <s v="OPERAÇÕES / SUPORTE KCS"/>
    <n v="69"/>
  </r>
  <r>
    <n v="3433812"/>
    <s v="SABRE"/>
    <x v="1216"/>
    <s v="OUAPZMT"/>
    <s v="OUAPZM"/>
    <s v="Inserindo PNR - Accountings - TurVendas - Não foi possível localizar o contrato do fornecedor 55080"/>
    <d v="2025-05-21T11:31:00"/>
    <m/>
    <s v="FORNECEDOR"/>
    <s v="CONTRATO FORNECEDOR"/>
    <s v="CONTRATO INATIVO OU DIVERGENTE"/>
    <x v="0"/>
    <s v="OPERAÇÕES / SUPORTE KCS"/>
    <n v="43"/>
  </r>
  <r>
    <n v="3433953"/>
    <s v="SABRE"/>
    <x v="1217"/>
    <s v="FDPCDP"/>
    <s v="FDPCDP"/>
    <s v="Não localizado cliente código [1234567890].&lt;-ObterCliente&lt;-MontarPnrBase&lt;-ProcessarAereo&lt;-ProcessarItemFila[b]"/>
    <d v="2025-05-21T13:06:00"/>
    <m/>
    <s v="CLIENTE"/>
    <s v="CÓD. CLIENTE DIVERGENTE"/>
    <s v="CÓDIGO DIFERENTE DO CADASTRADO NO BENNER (CLIENTE X GRUPO)"/>
    <x v="1"/>
    <s v="SUPORTE OBT"/>
    <n v="1"/>
  </r>
  <r>
    <n v="3433981"/>
    <s v="SABRE"/>
    <x v="1218"/>
    <s v="YCBFGW"/>
    <s v="YCBFGW"/>
    <s v="Não localizado cliente código [1234567890].&lt;-ObterCliente&lt;-MontarPnrBase&lt;-ProcessarAereo&lt;-ProcessarItemFila[b]"/>
    <d v="2025-05-21T13:19:00"/>
    <m/>
    <s v="CLIENTE"/>
    <s v="CÓD. CLIENTE DIVERGENTE"/>
    <s v="CÓDIGO DIFERENTE DO CADASTRADO NO BENNER (CLIENTE X GRUPO)"/>
    <x v="1"/>
    <s v="SUPORTE OBT"/>
    <n v="1"/>
  </r>
  <r>
    <n v="3433982"/>
    <s v="SABRE"/>
    <x v="1218"/>
    <s v="JKXHHH"/>
    <s v="JKXHHH"/>
    <s v="Código de cliente não identificado&lt;-ObterCliente&lt;-MontarPnrBase&lt;-ProcessarAereo&lt;-ProcessarItemFila[b]"/>
    <d v="2025-05-21T13:19:00"/>
    <m/>
    <s v="CLIENTE"/>
    <s v="CLIENTE NÃO IDENTIFICADO"/>
    <s v="DK DE CLIENTE NÃO PREENCIDO / CLIENTE NÃO CONFIGURADO NO OBT"/>
    <x v="2"/>
    <s v="OPERAÇÕES / SUPORTE KCS"/>
    <s v="COLUNA I"/>
  </r>
  <r>
    <n v="3434009"/>
    <s v="SABRE"/>
    <x v="1219"/>
    <s v="YVVJQV"/>
    <s v="YVVJQV"/>
    <s v="Inserindo Accounting - (ExecSQL) - List index out of bounds (0)"/>
    <d v="2025-05-21T13:37:00"/>
    <m/>
    <s v="OUTROS"/>
    <s v="ERRO DE SQL"/>
    <s v="ERRO NA IMPORTAÇÃO/MODIFICAÇÃO DAS INFOMAÇÕES"/>
    <x v="0"/>
    <s v="SUPORTE BENNER"/>
    <s v="COLUNA I"/>
  </r>
  <r>
    <n v="3434017"/>
    <s v="SABRE"/>
    <x v="1220"/>
    <s v="SMDKBB"/>
    <s v="SMDKBB"/>
    <s v="Não localizado cliente código [0000583831].&lt;-ObterCliente&lt;-MontarPnrBase&lt;-ProcessarAereo&lt;-ProcessarItemFila[b]"/>
    <d v="2025-05-21T13:49:00"/>
    <m/>
    <s v="CLIENTE"/>
    <s v="CÓD. CLIENTE DIVERGENTE"/>
    <s v="CÓDIGO DIFERENTE DO CADASTRADO NO BENNER (CLIENTE X GRUPO)"/>
    <x v="1"/>
    <s v="SUPORTE OBT"/>
    <n v="1"/>
  </r>
  <r>
    <n v="3434018"/>
    <s v="SABRE"/>
    <x v="1220"/>
    <s v="MNAAYG"/>
    <s v="MNAAYG"/>
    <s v="Não localizado cliente código [0000541708].&lt;-ObterCliente&lt;-MontarPnrBase&lt;-ProcessarAereo&lt;-ProcessarItemFila[b]"/>
    <d v="2025-05-21T13:49:00"/>
    <m/>
    <s v="CLIENTE"/>
    <s v="CÓD. CLIENTE DIVERGENTE"/>
    <s v="CÓDIGO DIFERENTE DO CADASTRADO NO BENNER (CLIENTE X GRUPO)"/>
    <x v="1"/>
    <s v="SUPORTE OBT"/>
    <n v="1"/>
  </r>
  <r>
    <n v="3434163"/>
    <s v="SABRE"/>
    <x v="1221"/>
    <s v="FURGEL"/>
    <s v="FURGEL"/>
    <s v="Inserindo Accounting - (ExecSQL) - List index out of bounds (0)"/>
    <d v="2025-05-21T15:08:00"/>
    <m/>
    <s v="OUTROS"/>
    <s v="ERRO DE SQL"/>
    <s v="ERRO NA IMPORTAÇÃO/MODIFICAÇÃO DAS INFOMAÇÕES"/>
    <x v="0"/>
    <s v="SUPORTE BENNER"/>
    <s v="COLUNA I"/>
  </r>
  <r>
    <n v="3434894"/>
    <s v="TMS"/>
    <x v="1222"/>
    <n v="210284"/>
    <n v="210284"/>
    <s v="Preenchendo XML Hotel-&gt; Preenchendo XML-&gt; Montando accounting hotel-&gt;Solicitação de hotel referente a esta cotação não foi encontrada (Id Cotação: 1)"/>
    <d v="2025-05-21T16:50:00"/>
    <d v="2025-05-29T11:47:00"/>
    <s v="OUTROS"/>
    <s v="COTAÇÃO"/>
    <s v="INDEFINIDO"/>
    <x v="2"/>
    <s v="SUPORTE OBT"/>
    <s v="COLUNA I"/>
  </r>
  <r>
    <n v="3435076"/>
    <s v="SABRE"/>
    <x v="1223"/>
    <s v="UHJVAB"/>
    <s v="UHJVAB"/>
    <s v="Não localizado cliente código [0000583808].&lt;-ObterCliente&lt;-MontarPnrBase&lt;-ProcessarAereo&lt;-ProcessarItemFila[b]"/>
    <d v="2025-05-21T17:49:00"/>
    <m/>
    <s v="CLIENTE"/>
    <s v="CÓD. CLIENTE DIVERGENTE"/>
    <s v="CÓDIGO DIFERENTE DO CADASTRADO NO BENNER (CLIENTE X GRUPO)"/>
    <x v="1"/>
    <s v="SUPORTE OBT"/>
    <n v="1"/>
  </r>
  <r>
    <n v="3435081"/>
    <s v="SABRE"/>
    <x v="1223"/>
    <s v="WWDSFC"/>
    <s v="WWDSFC"/>
    <s v="Não localizado cliente código [0000583808].&lt;-ObterCliente&lt;-MontarPnrBase&lt;-ProcessarAereo&lt;-ProcessarItemFila[b]"/>
    <d v="2025-05-21T17:50:00"/>
    <m/>
    <s v="CLIENTE"/>
    <s v="CÓD. CLIENTE DIVERGENTE"/>
    <s v="CÓDIGO DIFERENTE DO CADASTRADO NO BENNER (CLIENTE X GRUPO)"/>
    <x v="1"/>
    <s v="SUPORTE OBT"/>
    <n v="1"/>
  </r>
  <r>
    <n v="3435084"/>
    <s v="SABRE"/>
    <x v="1223"/>
    <s v="YPINYR"/>
    <s v="YPINYR"/>
    <s v="Não localizado cliente código [0000583808].&lt;-ObterCliente&lt;-MontarPnrBase&lt;-ProcessarAereo&lt;-ProcessarItemFila[b]"/>
    <d v="2025-05-21T17:51:00"/>
    <m/>
    <s v="CLIENTE"/>
    <s v="CÓD. CLIENTE DIVERGENTE"/>
    <s v="CÓDIGO DIFERENTE DO CADASTRADO NO BENNER (CLIENTE X GRUPO)"/>
    <x v="1"/>
    <s v="SUPORTE OBT"/>
    <n v="1"/>
  </r>
  <r>
    <n v="3435086"/>
    <s v="SABRE"/>
    <x v="1223"/>
    <s v="SNYFJE"/>
    <s v="SNYFJE"/>
    <s v="Não localizado cliente código [0000583808].&lt;-ObterCliente&lt;-MontarPnrBase&lt;-ProcessarAereo&lt;-ProcessarItemFila[b]"/>
    <d v="2025-05-21T17:51:00"/>
    <m/>
    <s v="CLIENTE"/>
    <s v="CÓD. CLIENTE DIVERGENTE"/>
    <s v="CÓDIGO DIFERENTE DO CADASTRADO NO BENNER (CLIENTE X GRUPO)"/>
    <x v="1"/>
    <s v="SUPORTE OBT"/>
    <n v="1"/>
  </r>
  <r>
    <n v="3435100"/>
    <s v="GOVER"/>
    <x v="1224"/>
    <n v="4540943"/>
    <s v="TMYJKG"/>
    <s v="PreencherPnr-&gt;Código do cliente não informado! (SolicitacaoDTO.UnidadeCodigoIntegracao)"/>
    <d v="2025-05-21T17:54:00"/>
    <d v="2025-06-02T16:57:00"/>
    <s v="CLIENTE"/>
    <s v="CLIENTE NÃO IDENTIFICADO"/>
    <s v="DK DE CLIENTE NÃO PREENCIDO / CLIENTE NÃO CONFIGURADO NO OBT"/>
    <x v="2"/>
    <s v="OPERAÇÕES / SUPORTE KCS"/>
    <s v="COLUNA I"/>
  </r>
  <r>
    <n v="3435184"/>
    <s v="SABRE"/>
    <x v="1225"/>
    <s v="HKQVXVT"/>
    <s v="HKQVXV"/>
    <s v="Inserindo PNR - Accountings - TurVendas - Não foi possível localizar o contrato do fornecedor 4062"/>
    <d v="2025-05-21T18:46:00"/>
    <m/>
    <s v="FORNECEDOR"/>
    <s v="CONTRATO FORNECEDOR"/>
    <s v="CONTRATO INATIVO OU DIVERGENTE"/>
    <x v="0"/>
    <s v="OPERAÇÕES / SUPORTE KCS"/>
    <n v="43"/>
  </r>
  <r>
    <n v="3435190"/>
    <s v="SABRE"/>
    <x v="1226"/>
    <s v="SKOYMZ"/>
    <s v="SKOYMZ"/>
    <s v="Não localizado cliente com CNPJ [9108301000108].&lt;-ObterCliente&lt;-MontarPnrBase&lt;-ProcessarAereo&lt;-ProcessarItemFila[b]"/>
    <d v="2025-05-21T18:49:00"/>
    <d v="2025-05-22T13:49:00"/>
    <s v="CLIENTE"/>
    <s v="REMARK - CNPJ"/>
    <s v=""/>
    <x v="1"/>
    <s v="OPERAÇÕES / SUPORTE KCS"/>
    <n v="24"/>
  </r>
  <r>
    <n v="3435273"/>
    <s v="SABRE"/>
    <x v="1227"/>
    <s v="WFDBRZ"/>
    <s v="WFDBRZ"/>
    <s v="Código de cliente não identificado&lt;-ObterCliente&lt;-MontarPnrBase&lt;-ProcessarAereo&lt;-ProcessarItemFila[b]"/>
    <d v="2025-05-21T20:34:00"/>
    <m/>
    <s v="CLIENTE"/>
    <s v="CLIENTE NÃO IDENTIFICADO"/>
    <s v="DK DE CLIENTE NÃO PREENCIDO / CLIENTE NÃO CONFIGURADO NO OBT"/>
    <x v="2"/>
    <s v="OPERAÇÕES / SUPORTE KCS"/>
    <s v="COLUNA I"/>
  </r>
  <r>
    <n v="3436302"/>
    <s v="SABRE"/>
    <x v="1228"/>
    <s v="JPVAERT"/>
    <s v="JPVAER"/>
    <s v="ConverterPagamentosRemark-&gt;String was not recognized as a valid DateTime.&lt;-MontarAccountinsHotel&lt;-ProcessarHotel&lt;-ProcessarItemFila[b]"/>
    <d v="2025-05-22T10:51:00"/>
    <d v="2025-05-22T12:08:00"/>
    <s v="FORMA PAGTO/RECTO"/>
    <s v="REMARK - DATA INCORRETA"/>
    <s v="REMARK U*INFOPAG-CC/REC-CC PREENCHIDO INCORRETAMENTE"/>
    <x v="1"/>
    <s v="OPERAÇÕES / SUPORTE KCS"/>
    <s v="COLUNA I"/>
  </r>
  <r>
    <n v="3436384"/>
    <s v="SABRE"/>
    <x v="1229"/>
    <s v="ALDTZS"/>
    <s v="ALDTZS"/>
    <s v="Não localizado cliente código [0000000].&lt;-ObterCliente&lt;-MontarPnrBase&lt;-ProcessarAereo&lt;-ProcessarItemFila[b]"/>
    <d v="2025-05-22T11:20:00"/>
    <m/>
    <s v="CLIENTE"/>
    <s v="CÓD. CLIENTE DIVERGENTE"/>
    <s v="CÓDIGO DIFERENTE DO CADASTRADO NO BENNER (CLIENTE X GRUPO)"/>
    <x v="1"/>
    <s v="SUPORTE OBT"/>
    <n v="1"/>
  </r>
  <r>
    <n v="3436589"/>
    <s v="SABRE"/>
    <x v="1230"/>
    <s v="HJZVSS"/>
    <s v="HJZVSS"/>
    <s v="Não localizado cliente código [0000000].&lt;-ObterCliente&lt;-MontarPnrBase&lt;-ProcessarAereo&lt;-ProcessarItemFila[b]"/>
    <d v="2025-05-22T14:05:00"/>
    <m/>
    <s v="CLIENTE"/>
    <s v="CÓD. CLIENTE DIVERGENTE"/>
    <s v="CÓDIGO DIFERENTE DO CADASTRADO NO BENNER (CLIENTE X GRUPO)"/>
    <x v="1"/>
    <s v="SUPORTE OBT"/>
    <n v="1"/>
  </r>
  <r>
    <n v="3436593"/>
    <s v="SABRE"/>
    <x v="1230"/>
    <s v="CJUVGP"/>
    <s v="CJUVGP"/>
    <s v="Código de cliente não identificado&lt;-ObterCliente&lt;-MontarPnrBase&lt;-ProcessarAereo&lt;-ProcessarItemFila[b]"/>
    <d v="2025-05-22T14:05:00"/>
    <m/>
    <s v="CLIENTE"/>
    <s v="CLIENTE NÃO IDENTIFICADO"/>
    <s v="DK DE CLIENTE NÃO PREENCIDO / CLIENTE NÃO CONFIGURADO NO OBT"/>
    <x v="2"/>
    <s v="OPERAÇÕES / SUPORTE KCS"/>
    <s v="COLUNA I"/>
  </r>
  <r>
    <n v="3436600"/>
    <s v="SABRE"/>
    <x v="1230"/>
    <s v="GBNIZY"/>
    <s v="GBNIZY"/>
    <s v="Código de cliente não identificado&lt;-ObterCliente&lt;-MontarPnrBase&lt;-ProcessarAereo&lt;-ProcessarItemFila[b]"/>
    <d v="2025-05-22T14:05:00"/>
    <m/>
    <s v="CLIENTE"/>
    <s v="CLIENTE NÃO IDENTIFICADO"/>
    <s v="DK DE CLIENTE NÃO PREENCIDO / CLIENTE NÃO CONFIGURADO NO OBT"/>
    <x v="2"/>
    <s v="OPERAÇÕES / SUPORTE KCS"/>
    <s v="COLUNA I"/>
  </r>
  <r>
    <n v="3436737"/>
    <s v="TMS"/>
    <x v="1231"/>
    <n v="6896"/>
    <n v="6896"/>
    <s v="Preenchendo XML Serviço-&gt; Preenchendo XML-&gt; Montando accounting aereo 2-&gt;Não foi informado o Localizador do Assento/Bagagem!"/>
    <d v="2025-05-22T15:26:00"/>
    <d v="2025-05-25T22:31:00"/>
    <s v="OUTROS"/>
    <s v="ASSENTO / BAGAGEM"/>
    <s v="CAMPO OBSERVAÇÃO PREENCHIDO INCORRETAMENTE"/>
    <x v="1"/>
    <s v="OPERAÇÕES / SUPORTE KCS"/>
    <n v="118"/>
  </r>
  <r>
    <n v="3436739"/>
    <s v="TMS"/>
    <x v="1232"/>
    <n v="6890"/>
    <n v="6890"/>
    <s v="Preenchendo XML Serviço-&gt; Preenchendo XML-&gt; Montando accounting aereo 2-&gt;Não foi informado o Localizador do Assento/Bagagem!"/>
    <d v="2025-05-22T15:27:00"/>
    <d v="2025-05-25T22:31:00"/>
    <s v="OUTROS"/>
    <s v="ASSENTO / BAGAGEM"/>
    <s v="CAMPO OBSERVAÇÃO PREENCHIDO INCORRETAMENTE"/>
    <x v="1"/>
    <s v="OPERAÇÕES / SUPORTE KCS"/>
    <n v="118"/>
  </r>
  <r>
    <n v="3436891"/>
    <s v="TMS"/>
    <x v="1233"/>
    <n v="66584"/>
    <n v="66584"/>
    <s v="Preenchendo XML Serviço-&gt; Preenchendo XML-&gt; Montando accounting aereo 2-&gt;Não foi informado o Localizador do Assento/Bagagem!"/>
    <d v="2025-05-22T15:45:00"/>
    <d v="2025-05-25T22:32:00"/>
    <s v="OUTROS"/>
    <s v="ASSENTO / BAGAGEM"/>
    <s v="CAMPO OBSERVAÇÃO PREENCHIDO INCORRETAMENTE"/>
    <x v="1"/>
    <s v="OPERAÇÕES / SUPORTE KCS"/>
    <n v="118"/>
  </r>
  <r>
    <n v="3436892"/>
    <s v="TMS"/>
    <x v="1234"/>
    <n v="66583"/>
    <n v="66583"/>
    <s v="Preenchendo XML Serviço-&gt; Preenchendo XML-&gt; Montando accounting aereo 2-&gt;Não foi informado o Localizador do Assento/Bagagem!"/>
    <d v="2025-05-22T15:45:00"/>
    <d v="2025-05-25T22:32:00"/>
    <s v="OUTROS"/>
    <s v="ASSENTO / BAGAGEM"/>
    <s v="CAMPO OBSERVAÇÃO PREENCHIDO INCORRETAMENTE"/>
    <x v="1"/>
    <s v="OPERAÇÕES / SUPORTE KCS"/>
    <n v="118"/>
  </r>
  <r>
    <n v="3436893"/>
    <s v="TMS"/>
    <x v="1235"/>
    <n v="66582"/>
    <n v="66582"/>
    <s v="Preenchendo XML Serviço-&gt; Preenchendo XML-&gt; Montando accounting aereo 2-&gt;Não foi informado o Localizador do Assento/Bagagem!"/>
    <d v="2025-05-22T15:45:00"/>
    <d v="2025-05-25T22:32:00"/>
    <s v="OUTROS"/>
    <s v="ASSENTO / BAGAGEM"/>
    <s v="CAMPO OBSERVAÇÃO PREENCHIDO INCORRETAMENTE"/>
    <x v="1"/>
    <s v="OPERAÇÕES / SUPORTE KCS"/>
    <n v="118"/>
  </r>
  <r>
    <n v="3436894"/>
    <s v="TMS"/>
    <x v="1236"/>
    <n v="66579"/>
    <n v="66579"/>
    <s v="Preenchendo XML Serviço-&gt; Preenchendo XML-&gt; Montando accounting aereo 2-&gt;Não foi informado o Localizador do Assento/Bagagem!"/>
    <d v="2025-05-22T15:45:00"/>
    <d v="2025-05-25T22:32:00"/>
    <s v="OUTROS"/>
    <s v="ASSENTO / BAGAGEM"/>
    <s v="CAMPO OBSERVAÇÃO PREENCHIDO INCORRETAMENTE"/>
    <x v="1"/>
    <s v="OPERAÇÕES / SUPORTE KCS"/>
    <n v="118"/>
  </r>
  <r>
    <n v="3436896"/>
    <s v="TMS"/>
    <x v="1237"/>
    <n v="66578"/>
    <n v="66578"/>
    <s v="Preenchendo XML Serviço-&gt; Preenchendo XML-&gt; Montando accounting aereo 2-&gt;Não foi informado o Localizador do Assento/Bagagem!"/>
    <d v="2025-05-22T15:46:00"/>
    <d v="2025-05-25T22:32:00"/>
    <s v="OUTROS"/>
    <s v="ASSENTO / BAGAGEM"/>
    <s v="CAMPO OBSERVAÇÃO PREENCHIDO INCORRETAMENTE"/>
    <x v="1"/>
    <s v="OPERAÇÕES / SUPORTE KCS"/>
    <n v="118"/>
  </r>
  <r>
    <n v="3436899"/>
    <s v="TMS"/>
    <x v="1238"/>
    <n v="66577"/>
    <n v="66577"/>
    <s v="Preenchendo XML Serviço-&gt; Preenchendo XML-&gt; Montando accounting aereo 2-&gt;Não foi informado o Localizador do Assento/Bagagem!"/>
    <d v="2025-05-22T15:46:00"/>
    <d v="2025-05-25T22:32:00"/>
    <s v="OUTROS"/>
    <s v="ASSENTO / BAGAGEM"/>
    <s v="CAMPO OBSERVAÇÃO PREENCHIDO INCORRETAMENTE"/>
    <x v="1"/>
    <s v="OPERAÇÕES / SUPORTE KCS"/>
    <n v="118"/>
  </r>
  <r>
    <n v="3437103"/>
    <s v="TMS"/>
    <x v="1239"/>
    <n v="106354"/>
    <n v="106354"/>
    <s v="Preenchendo XML Carro-&gt; Preenchendo XML-&gt; Montando accounting carro-&gt;Fornecedor com o código 415368  informado nos campos gerenciais não encontrado!"/>
    <d v="2025-05-22T16:13:00"/>
    <d v="2025-05-25T22:34:00"/>
    <s v="FORNECEDOR"/>
    <s v="CONTRATO FORNECEDOR"/>
    <s v="CONTRATO INATIVO OU DIVERGENTE"/>
    <x v="0"/>
    <s v="OPERAÇÕES / SUPORTE KCS"/>
    <n v="69"/>
  </r>
  <r>
    <n v="3437150"/>
    <s v="SABRE"/>
    <x v="1240"/>
    <s v="AZJMPD"/>
    <s v="AZJMPD"/>
    <s v="Não localizado cliente código [0000583808].&lt;-ObterCliente&lt;-MontarPnrBase&lt;-ProcessarAereo&lt;-ProcessarItemFila[b]"/>
    <d v="2025-05-22T16:19:00"/>
    <m/>
    <s v="CLIENTE"/>
    <s v="CÓD. CLIENTE DIVERGENTE"/>
    <s v="CÓDIGO DIFERENTE DO CADASTRADO NO BENNER (CLIENTE X GRUPO)"/>
    <x v="1"/>
    <s v="SUPORTE OBT"/>
    <n v="1"/>
  </r>
  <r>
    <n v="3437160"/>
    <s v="SABRE"/>
    <x v="1241"/>
    <s v="CURZJY"/>
    <s v="CURZJY"/>
    <s v="Não localizado cliente código [0000392619].&lt;-ObterCliente&lt;-MontarPnrBase&lt;-ProcessarAereo&lt;-ProcessarItemFila[b]"/>
    <d v="2025-05-22T16:20:00"/>
    <m/>
    <s v="CLIENTE"/>
    <s v="CÓD. CLIENTE DIVERGENTE"/>
    <s v="CÓDIGO DIFERENTE DO CADASTRADO NO BENNER (CLIENTE X GRUPO)"/>
    <x v="1"/>
    <s v="SUPORTE OBT"/>
    <n v="1"/>
  </r>
  <r>
    <n v="3437178"/>
    <s v="SABRE"/>
    <x v="1242"/>
    <s v="WGNTDF"/>
    <s v="WGNTDF"/>
    <s v="Não localizado cliente código [0000583808].&lt;-ObterCliente&lt;-MontarPnrBase&lt;-ProcessarAereo&lt;-ProcessarItemFila[b]"/>
    <d v="2025-05-22T16:22:00"/>
    <m/>
    <s v="CLIENTE"/>
    <s v="CÓD. CLIENTE DIVERGENTE"/>
    <s v="CÓDIGO DIFERENTE DO CADASTRADO NO BENNER (CLIENTE X GRUPO)"/>
    <x v="1"/>
    <s v="SUPORTE OBT"/>
    <n v="1"/>
  </r>
  <r>
    <n v="3437773"/>
    <s v="SABRE"/>
    <x v="1243"/>
    <s v="EQLTUT"/>
    <s v="EQLTUT"/>
    <s v="Não localizado cliente código [0000392619].&lt;-ObterCliente&lt;-MontarPnrBase&lt;-ProcessarAereo&lt;-ProcessarItemFila[b]"/>
    <d v="2025-05-22T17:34:00"/>
    <m/>
    <s v="CLIENTE"/>
    <s v="CÓD. CLIENTE DIVERGENTE"/>
    <s v="CÓDIGO DIFERENTE DO CADASTRADO NO BENNER (CLIENTE X GRUPO)"/>
    <x v="1"/>
    <s v="SUPORTE OBT"/>
    <n v="1"/>
  </r>
  <r>
    <n v="3437775"/>
    <s v="SABRE"/>
    <x v="1243"/>
    <s v="WFUHQK"/>
    <s v="WFUHQK"/>
    <s v="Não localizado cliente código [0000583808].&lt;-ObterCliente&lt;-MontarPnrBase&lt;-ProcessarAereo&lt;-ProcessarItemFila[b]"/>
    <d v="2025-05-22T17:34:00"/>
    <m/>
    <s v="CLIENTE"/>
    <s v="CÓD. CLIENTE DIVERGENTE"/>
    <s v="CÓDIGO DIFERENTE DO CADASTRADO NO BENNER (CLIENTE X GRUPO)"/>
    <x v="1"/>
    <s v="SUPORTE OBT"/>
    <n v="1"/>
  </r>
  <r>
    <n v="3437776"/>
    <s v="SABRE"/>
    <x v="1243"/>
    <s v="AWZYFU"/>
    <s v="AWZYFU"/>
    <s v="Não localizado cliente código [0000583808].&lt;-ObterCliente&lt;-MontarPnrBase&lt;-ProcessarAereo&lt;-ProcessarItemFila[b]"/>
    <d v="2025-05-22T17:34:00"/>
    <m/>
    <s v="CLIENTE"/>
    <s v="CÓD. CLIENTE DIVERGENTE"/>
    <s v="CÓDIGO DIFERENTE DO CADASTRADO NO BENNER (CLIENTE X GRUPO)"/>
    <x v="1"/>
    <s v="SUPORTE OBT"/>
    <n v="1"/>
  </r>
  <r>
    <n v="3437791"/>
    <s v="SABRE"/>
    <x v="1244"/>
    <s v="EPDRXU"/>
    <s v="EPDRXU"/>
    <s v="Não localizado cliente com CNPJ [JTI PROCESSADORA].&lt;-ObterCliente&lt;-MontarPnrBase&lt;-ProcessarAereo&lt;-ProcessarItemFila[b]"/>
    <d v="2025-05-22T17:35:00"/>
    <d v="2025-05-23T12:05:00"/>
    <s v="CLIENTE"/>
    <s v="REMARK - CNPJ"/>
    <s v=""/>
    <x v="0"/>
    <s v="OPERAÇÕES / SUPORTE KCS"/>
    <n v="24"/>
  </r>
  <r>
    <n v="3437793"/>
    <s v="SABRE"/>
    <x v="1244"/>
    <s v="JXGTYL"/>
    <s v="JXGTYL"/>
    <s v="Não localizado cliente com CNPJ [JTI PROCESSADORA].&lt;-ObterCliente&lt;-MontarPnrBase&lt;-ProcessarAereo&lt;-ProcessarItemFila[b]"/>
    <d v="2025-05-22T17:35:00"/>
    <d v="2025-05-23T12:06:00"/>
    <s v="CLIENTE"/>
    <s v="REMARK - CNPJ"/>
    <s v=""/>
    <x v="1"/>
    <s v="OPERAÇÕES / SUPORTE KCS"/>
    <n v="24"/>
  </r>
  <r>
    <n v="3437797"/>
    <s v="SABRE"/>
    <x v="1245"/>
    <s v="JXXQEH"/>
    <s v="JXXQEH"/>
    <s v="Não localizado cliente código [0000049977].&lt;-ObterCliente&lt;-MontarPnrBase&lt;-ProcessarAereo&lt;-ProcessarItemFila[b]"/>
    <d v="2025-05-22T17:36:00"/>
    <m/>
    <s v="CLIENTE"/>
    <s v="CÓD. CLIENTE DIVERGENTE"/>
    <s v="CÓDIGO DIFERENTE DO CADASTRADO NO BENNER (CLIENTE X GRUPO)"/>
    <x v="1"/>
    <s v="SUPORTE OBT"/>
    <n v="1"/>
  </r>
  <r>
    <n v="3438054"/>
    <s v="SABRE"/>
    <x v="1246"/>
    <s v="LIIBOM"/>
    <s v="LIIBOM"/>
    <s v="Não localizado cliente código [0000050257].&lt;-ObterCliente&lt;-MontarPnrBase&lt;-ProcessarAereo&lt;-ProcessarItemFila[b]"/>
    <d v="2025-05-22T21:05:00"/>
    <m/>
    <s v="CLIENTE"/>
    <s v="CÓD. CLIENTE DIVERGENTE"/>
    <s v="CÓDIGO DIFERENTE DO CADASTRADO NO BENNER (CLIENTE X GRUPO)"/>
    <x v="1"/>
    <s v="SUPORTE OBT"/>
    <n v="1"/>
  </r>
  <r>
    <n v="3438055"/>
    <s v="SABRE"/>
    <x v="1246"/>
    <s v="LIRCLY"/>
    <s v="LIRCLY"/>
    <s v="Não localizado cliente código [0000050257].&lt;-ObterCliente&lt;-MontarPnrBase&lt;-ProcessarAereo&lt;-ProcessarItemFila[b]"/>
    <d v="2025-05-22T21:05:00"/>
    <m/>
    <s v="CLIENTE"/>
    <s v="CÓD. CLIENTE DIVERGENTE"/>
    <s v="CÓDIGO DIFERENTE DO CADASTRADO NO BENNER (CLIENTE X GRUPO)"/>
    <x v="1"/>
    <s v="SUPORTE OBT"/>
    <n v="1"/>
  </r>
  <r>
    <n v="3438057"/>
    <s v="SABRE"/>
    <x v="1246"/>
    <s v="WEELPU"/>
    <s v="WEELPU"/>
    <s v="Não localizado cliente código [0000050257].&lt;-ObterCliente&lt;-MontarPnrBase&lt;-ProcessarAereo&lt;-ProcessarItemFila[b]"/>
    <d v="2025-05-22T21:05:00"/>
    <m/>
    <s v="CLIENTE"/>
    <s v="CÓD. CLIENTE DIVERGENTE"/>
    <s v="CÓDIGO DIFERENTE DO CADASTRADO NO BENNER (CLIENTE X GRUPO)"/>
    <x v="1"/>
    <s v="SUPORTE OBT"/>
    <n v="1"/>
  </r>
  <r>
    <n v="3438058"/>
    <s v="SABRE"/>
    <x v="1246"/>
    <s v="IHUMWP"/>
    <s v="IHUMWP"/>
    <s v="Não localizado cliente código [1234567890].&lt;-ObterCliente&lt;-MontarPnrBase&lt;-ProcessarAereo&lt;-ProcessarItemFila[b]"/>
    <d v="2025-05-22T21:06:00"/>
    <m/>
    <s v="CLIENTE"/>
    <s v="CÓD. CLIENTE DIVERGENTE"/>
    <s v="CÓDIGO DIFERENTE DO CADASTRADO NO BENNER (CLIENTE X GRUPO)"/>
    <x v="1"/>
    <s v="SUPORTE OBT"/>
    <n v="1"/>
  </r>
  <r>
    <n v="3438744"/>
    <s v="LEMONTECH"/>
    <x v="1247"/>
    <s v="16675652-53159719"/>
    <s v="NVNXZK"/>
    <s v="Inserindo PNR - Accountings - TurVendas - Não foi possível localizar o contrato do fornecedor UN"/>
    <d v="2025-05-23T09:03:00"/>
    <d v="2025-05-26T08:01:00"/>
    <s v="FORNECEDOR"/>
    <s v="CONTRATO FORNECEDOR"/>
    <s v="CONTRATO INATIVO OU DIVERGENTE"/>
    <x v="0"/>
    <s v="OPERAÇÕES / SUPORTE KCS"/>
    <n v="43"/>
  </r>
  <r>
    <n v="3439404"/>
    <s v="SABRE"/>
    <x v="1248"/>
    <s v="KSLZJF"/>
    <s v="KSLZJF"/>
    <s v="ERRO: Cancelamento de Venda: Não há PNR no sistema para cancelar, venda não inserida!"/>
    <d v="2025-05-23T14:31:00"/>
    <m/>
    <s v="CANCELAMENTO"/>
    <s v="VENDA CANCELADA"/>
    <s v="RESERVA CANCELADA NO OBT"/>
    <x v="0"/>
    <s v="SUPORTE OBT"/>
    <s v="COLUNA I"/>
  </r>
  <r>
    <n v="3440747"/>
    <s v="TMS"/>
    <x v="1249"/>
    <n v="6922"/>
    <n v="6922"/>
    <s v="Preenchendo XML Aéreo-&gt; Preenchendo XML-&gt; Montando accounting aereo-&gt;Número do bilhete não identificado"/>
    <d v="2025-05-23T18:14:00"/>
    <d v="2025-05-26T23:54:00"/>
    <s v="OUTROS"/>
    <s v="NOVA MENSAGEM"/>
    <s v=""/>
    <x v="3"/>
    <e v="#N/A"/>
    <s v="COLUNA I"/>
  </r>
  <r>
    <n v="3440893"/>
    <s v="SABRE"/>
    <x v="1250"/>
    <s v="UJLYNR"/>
    <s v="UJLYNR"/>
    <s v="Não localizado cliente código [1234567890].&lt;-ObterCliente&lt;-MontarPnrBase&lt;-ProcessarAereo&lt;-ProcessarItemFila[b]"/>
    <d v="2025-05-23T19:34:00"/>
    <m/>
    <s v="CLIENTE"/>
    <s v="CÓD. CLIENTE DIVERGENTE"/>
    <s v="CÓDIGO DIFERENTE DO CADASTRADO NO BENNER (CLIENTE X GRUPO)"/>
    <x v="1"/>
    <s v="SUPORTE OBT"/>
    <n v="1"/>
  </r>
  <r>
    <n v="3440901"/>
    <s v="SABRE"/>
    <x v="1251"/>
    <s v="UCLOEY"/>
    <s v="UCLOEY"/>
    <s v="Código de cliente não identificado&lt;-ObterCliente&lt;-MontarPnrBase&lt;-ProcessarAereo&lt;-ProcessarItemFila[b]"/>
    <d v="2025-05-23T19:36:00"/>
    <d v="2025-05-26T08:34:00"/>
    <s v="CLIENTE"/>
    <s v="CLIENTE NÃO IDENTIFICADO"/>
    <s v="DK DE CLIENTE NÃO PREENCIDO / CLIENTE NÃO CONFIGURADO NO OBT"/>
    <x v="2"/>
    <s v="OPERAÇÕES / SUPORTE KCS"/>
    <s v="COLUNA I"/>
  </r>
  <r>
    <n v="3440903"/>
    <s v="SABRE"/>
    <x v="1252"/>
    <s v="SZPVQF"/>
    <s v="SZPVQF"/>
    <s v="Código de cliente não identificado&lt;-ObterCliente&lt;-MontarPnrBase&lt;-ProcessarAereo&lt;-ProcessarItemFila[b]"/>
    <d v="2025-05-23T19:52:00"/>
    <m/>
    <s v="CLIENTE"/>
    <s v="CLIENTE NÃO IDENTIFICADO"/>
    <s v="DK DE CLIENTE NÃO PREENCIDO / CLIENTE NÃO CONFIGURADO NO OBT"/>
    <x v="2"/>
    <s v="OPERAÇÕES / SUPORTE KCS"/>
    <s v="COLUNA I"/>
  </r>
  <r>
    <n v="3440904"/>
    <s v="SABRE"/>
    <x v="1253"/>
    <s v="OJUEAA"/>
    <s v="OJUEAA"/>
    <s v="Inserindo Accounting - (ExecSQL) - List index out of bounds (0)"/>
    <d v="2025-05-23T19:52:00"/>
    <m/>
    <s v="OUTROS"/>
    <s v="ERRO DE SQL"/>
    <s v="ERRO NA IMPORTAÇÃO/MODIFICAÇÃO DAS INFOMAÇÕES"/>
    <x v="0"/>
    <s v="SUPORTE BENNER"/>
    <s v="COLUNA I"/>
  </r>
  <r>
    <n v="3440939"/>
    <s v="GOVER"/>
    <x v="1254"/>
    <n v="4542078"/>
    <s v="movida"/>
    <s v="PreencherPnr-&gt;Não foi encontrado nenhum item veículo para o localizador movida"/>
    <d v="2025-05-23T20:17:00"/>
    <d v="2025-06-02T16:57:00"/>
    <s v="OUTROS"/>
    <s v="TAG - ITEM VEÍCULO"/>
    <s v="TAGS DE DETALHAMENTO DO SERVIÇO NÃO ENVIADO NO XML"/>
    <x v="0"/>
    <s v="SUPORTE OBT"/>
    <n v="46"/>
  </r>
  <r>
    <n v="3440949"/>
    <s v="SABRE"/>
    <x v="1255"/>
    <s v="YVRICA"/>
    <s v="YVRICA"/>
    <s v="Código de cliente não identificado&lt;-ObterCliente&lt;-MontarPnrBase&lt;-ProcessarAereo&lt;-ProcessarItemFila[b]"/>
    <d v="2025-05-23T20:34:00"/>
    <m/>
    <s v="CLIENTE"/>
    <s v="CLIENTE NÃO IDENTIFICADO"/>
    <s v="DK DE CLIENTE NÃO PREENCIDO / CLIENTE NÃO CONFIGURADO NO OBT"/>
    <x v="2"/>
    <s v="OPERAÇÕES / SUPORTE KCS"/>
    <s v="COLUNA I"/>
  </r>
  <r>
    <n v="3440965"/>
    <s v="GOVER"/>
    <x v="1256"/>
    <n v="4542319"/>
    <n v="4542319"/>
    <s v="PreencherPnr-&gt;Foi identificado um localizador sem código."/>
    <d v="2025-05-23T21:07:00"/>
    <d v="2025-06-02T16:57:00"/>
    <s v="OUTROS"/>
    <s v="RLOC NÃO INFORMADO"/>
    <s v="RLOC NÃO PREENCHIDO NA RESERVA"/>
    <x v="1"/>
    <s v="SUPORTE OBT"/>
    <s v="COLUNA I"/>
  </r>
  <r>
    <n v="3441824"/>
    <s v="SABRE"/>
    <x v="1257"/>
    <s v="JLRKPX"/>
    <s v="JLRKPX"/>
    <s v="ERRO: Cancelamento de Venda: Não há PNR no sistema para cancelar, venda não inserida!"/>
    <d v="2025-05-26T08:35:00"/>
    <m/>
    <s v="CANCELAMENTO"/>
    <s v="VENDA CANCELADA"/>
    <s v="RESERVA CANCELADA NO OBT"/>
    <x v="0"/>
    <s v="SUPORTE OBT"/>
    <s v="COLUNA I"/>
  </r>
  <r>
    <n v="3441872"/>
    <s v="SABRE"/>
    <x v="1258"/>
    <s v="GSIISP"/>
    <s v="GSIISP"/>
    <s v="ERRO: Cancelamento de Venda: Não há PNR no sistema para cancelar, venda não inserida!"/>
    <d v="2025-05-26T09:16:00"/>
    <d v="2025-05-26T09:30:00"/>
    <s v="CANCELAMENTO"/>
    <s v="VENDA CANCELADA"/>
    <s v="RESERVA CANCELADA NO OBT"/>
    <x v="0"/>
    <s v="SUPORTE OBT"/>
    <s v="COLUNA I"/>
  </r>
  <r>
    <n v="3441873"/>
    <s v="SABRE"/>
    <x v="1258"/>
    <s v="GSIISPT"/>
    <s v="GSIISP"/>
    <s v="Inserindo PNR - Accountings - TurVendas - Não foi possível localizar o contrato do fornecedor H84698"/>
    <d v="2025-05-26T09:16:00"/>
    <d v="2025-05-26T09:30:00"/>
    <s v="FORNECEDOR"/>
    <s v="CONTRATO FORNECEDOR"/>
    <s v="CONTRATO INATIVO OU DIVERGENTE"/>
    <x v="0"/>
    <s v="OPERAÇÕES / SUPORTE KCS"/>
    <n v="43"/>
  </r>
  <r>
    <n v="3441938"/>
    <s v="SABRE"/>
    <x v="1259"/>
    <s v="CMSCKYT"/>
    <s v="CMSCKY"/>
    <s v="ConverterPagamentosRemark-&gt;Input string was not in a correct format.&lt;-MontarAccountinsHotel&lt;-ProcessarHotel&lt;-ProcessarItemFila[b]"/>
    <d v="2025-05-26T10:05:00"/>
    <m/>
    <s v="FORMA PAGTO/RECTO"/>
    <s v="FORMATO DE TEXTO"/>
    <s v="TEXTO FORA DO PADRÃO ACEITO NO CAMPO"/>
    <x v="2"/>
    <s v="SUPORTE OBT"/>
    <s v="COLUNA I"/>
  </r>
  <r>
    <n v="3441939"/>
    <s v="SABRE"/>
    <x v="1259"/>
    <s v="ENLKNYT"/>
    <s v="ENLKNY"/>
    <s v="ConverterPagamentosRemark-&gt;Input string was not in a correct format.&lt;-MontarAccountinsHotel&lt;-ProcessarHotel&lt;-ProcessarItemFila[b]"/>
    <d v="2025-05-26T10:05:00"/>
    <m/>
    <s v="FORMA PAGTO/RECTO"/>
    <s v="FORMATO DE TEXTO"/>
    <s v="TEXTO FORA DO PADRÃO ACEITO NO CAMPO"/>
    <x v="2"/>
    <s v="SUPORTE OBT"/>
    <s v="COLUNA I"/>
  </r>
  <r>
    <n v="3442473"/>
    <s v="SABRE"/>
    <x v="1260"/>
    <s v="KBFGOE"/>
    <s v="KBFGOE"/>
    <s v="Não localizado cliente com CNPJ [JTI DISTRIBUIDORA].&lt;-ObterCliente&lt;-MontarPnrBase&lt;-ProcessarAereo&lt;-ProcessarItemFila[b]"/>
    <d v="2025-05-26T12:05:00"/>
    <m/>
    <s v="CLIENTE"/>
    <s v="REMARK - CNPJ"/>
    <s v=""/>
    <x v="1"/>
    <s v="OPERAÇÕES / SUPORTE KCS"/>
    <n v="24"/>
  </r>
  <r>
    <n v="3442474"/>
    <s v="SABRE"/>
    <x v="1260"/>
    <s v="KBFGOET"/>
    <s v="KBFGOE"/>
    <s v="Não localizado cliente com CNPJ [JTI DISTRIBUIDORA].&lt;-ObterCliente&lt;-MontarPnrBase&lt;-MontarPnr&lt;-ProcessarHotel&lt;-ProcessarItemFila[b]"/>
    <d v="2025-05-26T12:06:00"/>
    <m/>
    <s v="CLIENTE"/>
    <s v="REMARK - CNPJ"/>
    <s v=""/>
    <x v="0"/>
    <s v="OPERAÇÕES / SUPORTE KCS"/>
    <n v="24"/>
  </r>
  <r>
    <n v="3442624"/>
    <s v="SABRE"/>
    <x v="1261"/>
    <s v="OOOSTD"/>
    <s v="OOOSTD"/>
    <s v="ERRO: Cancelamento de Venda: Não há PNR no sistema para cancelar, venda não inserida!"/>
    <d v="2025-05-26T14:01:00"/>
    <d v="2025-05-27T09:47:00"/>
    <s v="CANCELAMENTO"/>
    <s v="VENDA CANCELADA"/>
    <s v="RESERVA CANCELADA NO OBT"/>
    <x v="0"/>
    <s v="SUPORTE OBT"/>
    <s v="COLUNA I"/>
  </r>
  <r>
    <n v="3444151"/>
    <s v="GOVER"/>
    <x v="1262"/>
    <n v="4543354"/>
    <n v="4543354"/>
    <s v="PreencherPnr-&gt;Foi identificado um localizador sem código."/>
    <d v="2025-05-26T22:14:00"/>
    <d v="2025-06-02T16:57:00"/>
    <s v="OUTROS"/>
    <s v="RLOC NÃO INFORMADO"/>
    <s v="RLOC NÃO PREENCHIDO NA RESERVA"/>
    <x v="1"/>
    <s v="SUPORTE OBT"/>
    <s v="COLUNA I"/>
  </r>
  <r>
    <n v="3444818"/>
    <s v="SABRE"/>
    <x v="1263"/>
    <s v="JPASFK"/>
    <s v="JPASFK"/>
    <s v="Código de cliente não identificado&lt;-ObterCliente&lt;-MontarPnrBase&lt;-ProcessarAereo&lt;-ProcessarItemFila[b]"/>
    <d v="2025-05-27T10:18:00"/>
    <m/>
    <s v="CLIENTE"/>
    <s v="CLIENTE NÃO IDENTIFICADO"/>
    <s v="DK DE CLIENTE NÃO PREENCIDO / CLIENTE NÃO CONFIGURADO NO OBT"/>
    <x v="2"/>
    <s v="OPERAÇÕES / SUPORTE KCS"/>
    <s v="COLUNA I"/>
  </r>
  <r>
    <n v="3444819"/>
    <s v="SABRE"/>
    <x v="1263"/>
    <s v="LJLDGS"/>
    <s v="LJLDGS"/>
    <s v="Não localizado cliente código [0000583808].&lt;-ObterCliente&lt;-MontarPnrBase&lt;-ProcessarAereo&lt;-ProcessarItemFila[b]"/>
    <d v="2025-05-27T10:18:00"/>
    <m/>
    <s v="CLIENTE"/>
    <s v="CÓD. CLIENTE DIVERGENTE"/>
    <s v="CÓDIGO DIFERENTE DO CADASTRADO NO BENNER (CLIENTE X GRUPO)"/>
    <x v="1"/>
    <s v="SUPORTE OBT"/>
    <n v="1"/>
  </r>
  <r>
    <n v="3444820"/>
    <s v="SABRE"/>
    <x v="1263"/>
    <s v="LJKSZF"/>
    <s v="LJKSZF"/>
    <s v="Não localizado cliente código [0000583808].&lt;-ObterCliente&lt;-MontarPnrBase&lt;-ProcessarAereo&lt;-ProcessarItemFila[b]"/>
    <d v="2025-05-27T10:18:00"/>
    <m/>
    <s v="CLIENTE"/>
    <s v="CÓD. CLIENTE DIVERGENTE"/>
    <s v="CÓDIGO DIFERENTE DO CADASTRADO NO BENNER (CLIENTE X GRUPO)"/>
    <x v="1"/>
    <s v="SUPORTE OBT"/>
    <n v="1"/>
  </r>
  <r>
    <n v="3444821"/>
    <s v="SABRE"/>
    <x v="1263"/>
    <s v="MANPYD"/>
    <s v="MANPYD"/>
    <s v="Não localizado cliente código [0000583808].&lt;-ObterCliente&lt;-MontarPnrBase&lt;-ProcessarAereo&lt;-ProcessarItemFila[b]"/>
    <d v="2025-05-27T10:18:00"/>
    <m/>
    <s v="CLIENTE"/>
    <s v="CÓD. CLIENTE DIVERGENTE"/>
    <s v="CÓDIGO DIFERENTE DO CADASTRADO NO BENNER (CLIENTE X GRUPO)"/>
    <x v="1"/>
    <s v="SUPORTE OBT"/>
    <n v="1"/>
  </r>
  <r>
    <n v="3444822"/>
    <s v="SABRE"/>
    <x v="1263"/>
    <s v="UAGXAH"/>
    <s v="UAGXAH"/>
    <s v="Não localizado cliente código [0000000].&lt;-ObterCliente&lt;-MontarPnrBase&lt;-ProcessarAereo&lt;-ProcessarItemFila[b]"/>
    <d v="2025-05-27T10:20:00"/>
    <m/>
    <s v="CLIENTE"/>
    <s v="CÓD. CLIENTE DIVERGENTE"/>
    <s v="CÓDIGO DIFERENTE DO CADASTRADO NO BENNER (CLIENTE X GRUPO)"/>
    <x v="1"/>
    <s v="SUPORTE OBT"/>
    <n v="1"/>
  </r>
  <r>
    <n v="3444823"/>
    <s v="SABRE"/>
    <x v="1263"/>
    <s v="LNQLTV"/>
    <s v="LNQLTV"/>
    <s v="Não localizado cliente código [0000000].&lt;-ObterCliente&lt;-MontarPnrBase&lt;-ProcessarAereo&lt;-ProcessarItemFila[b]"/>
    <d v="2025-05-27T10:20:00"/>
    <m/>
    <s v="CLIENTE"/>
    <s v="CÓD. CLIENTE DIVERGENTE"/>
    <s v="CÓDIGO DIFERENTE DO CADASTRADO NO BENNER (CLIENTE X GRUPO)"/>
    <x v="1"/>
    <s v="SUPORTE OBT"/>
    <n v="1"/>
  </r>
  <r>
    <n v="3444824"/>
    <s v="SABRE"/>
    <x v="1263"/>
    <s v="DADMJB"/>
    <s v="DADMJB"/>
    <s v="Não localizado cliente código [0000000].&lt;-ObterCliente&lt;-MontarPnrBase&lt;-ProcessarAereo&lt;-ProcessarItemFila[b]"/>
    <d v="2025-05-27T10:21:00"/>
    <m/>
    <s v="CLIENTE"/>
    <s v="CÓD. CLIENTE DIVERGENTE"/>
    <s v="CÓDIGO DIFERENTE DO CADASTRADO NO BENNER (CLIENTE X GRUPO)"/>
    <x v="1"/>
    <s v="SUPORTE OBT"/>
    <n v="1"/>
  </r>
  <r>
    <n v="3445067"/>
    <s v="TMS"/>
    <x v="1264"/>
    <n v="22223"/>
    <n v="22223"/>
    <s v="Preenchendo XML Serviço-&gt; Preenchendo XML-&gt; Montando accounting aereo 3-&gt;Reserva ITQMAF não encontrada para importar assento/bagagem!"/>
    <d v="2025-05-27T11:22:00"/>
    <d v="2025-05-29T12:03:00"/>
    <s v="OUTROS"/>
    <s v="ASSENTO / BAGAGEM"/>
    <s v="CAMPO OBSERVAÇÃO PREENCHIDO INCORRETAMENTE"/>
    <x v="1"/>
    <s v="OPERAÇÕES / SUPORTE KCS"/>
    <n v="127"/>
  </r>
  <r>
    <n v="3445172"/>
    <s v="TMS"/>
    <x v="1265"/>
    <n v="63788"/>
    <n v="63788"/>
    <s v="Preenchendo XML Carro-&gt; Preenchendo XML-&gt; Montando accounting carro-&gt;Fornecedor com o código 415368  informado nos campos gerenciais não encontrado!"/>
    <d v="2025-05-27T11:37:00"/>
    <d v="2025-05-29T12:28:00"/>
    <s v="FORNECEDOR"/>
    <s v="CONTRATO FORNECEDOR"/>
    <s v="CONTRATO INATIVO OU DIVERGENTE"/>
    <x v="0"/>
    <s v="OPERAÇÕES / SUPORTE KCS"/>
    <n v="69"/>
  </r>
  <r>
    <n v="3445352"/>
    <s v="SABRE"/>
    <x v="1266"/>
    <s v="ESIVMD"/>
    <s v="ESIVMD"/>
    <s v="Não localizado cliente código [0000050257].&lt;-ObterCliente&lt;-MontarPnrBase&lt;-ProcessarAereo&lt;-ProcessarItemFila[b]"/>
    <d v="2025-05-27T12:33:00"/>
    <d v="2025-05-27T16:33:00"/>
    <s v="CLIENTE"/>
    <s v="CÓD. CLIENTE DIVERGENTE"/>
    <s v="CÓDIGO DIFERENTE DO CADASTRADO NO BENNER (CLIENTE X GRUPO)"/>
    <x v="1"/>
    <s v="SUPORTE OBT"/>
    <n v="1"/>
  </r>
  <r>
    <n v="3445800"/>
    <s v="SABRE"/>
    <x v="1266"/>
    <s v="FJINTU"/>
    <s v="FJINTU"/>
    <s v="Não localizado cliente código [1234567890].&lt;-ObterCliente&lt;-MontarPnrBase&lt;-ProcessarAereo&lt;-ProcessarItemFila[b]"/>
    <d v="2025-05-27T16:34:00"/>
    <m/>
    <s v="CLIENTE"/>
    <s v="CÓD. CLIENTE DIVERGENTE"/>
    <s v="CÓDIGO DIFERENTE DO CADASTRADO NO BENNER (CLIENTE X GRUPO)"/>
    <x v="1"/>
    <s v="SUPORTE OBT"/>
    <n v="1"/>
  </r>
  <r>
    <n v="3445801"/>
    <s v="SABRE"/>
    <x v="1266"/>
    <s v="JFLIFJ"/>
    <s v="JFLIFJ"/>
    <s v="Não localizado cliente código [1234567890].&lt;-ObterCliente&lt;-MontarPnrBase&lt;-ProcessarAereo&lt;-ProcessarItemFila[b]"/>
    <d v="2025-05-27T16:34:00"/>
    <m/>
    <s v="CLIENTE"/>
    <s v="CÓD. CLIENTE DIVERGENTE"/>
    <s v="CÓDIGO DIFERENTE DO CADASTRADO NO BENNER (CLIENTE X GRUPO)"/>
    <x v="1"/>
    <s v="SUPORTE OBT"/>
    <n v="1"/>
  </r>
  <r>
    <n v="3445803"/>
    <s v="SABRE"/>
    <x v="1266"/>
    <s v="JZWMSH"/>
    <s v="JZWMSH"/>
    <s v="Não localizado cliente código [0000000].&lt;-ObterCliente&lt;-MontarPnrBase&lt;-ProcessarAereo&lt;-ProcessarItemFila[b]"/>
    <d v="2025-05-27T16:35:00"/>
    <m/>
    <s v="CLIENTE"/>
    <s v="CÓD. CLIENTE DIVERGENTE"/>
    <s v="CÓDIGO DIFERENTE DO CADASTRADO NO BENNER (CLIENTE X GRUPO)"/>
    <x v="1"/>
    <s v="SUPORTE OBT"/>
    <n v="1"/>
  </r>
  <r>
    <n v="3445809"/>
    <s v="SABRE"/>
    <x v="1266"/>
    <s v="KWBPUF"/>
    <s v="KWBPUF"/>
    <s v="Não localizado cliente código [0000583831].&lt;-ObterCliente&lt;-MontarPnrBase&lt;-ProcessarAereo&lt;-ProcessarItemFila[b]"/>
    <d v="2025-05-27T16:37:00"/>
    <m/>
    <s v="CLIENTE"/>
    <s v="CÓD. CLIENTE DIVERGENTE"/>
    <s v="CÓDIGO DIFERENTE DO CADASTRADO NO BENNER (CLIENTE X GRUPO)"/>
    <x v="1"/>
    <s v="SUPORTE OBT"/>
    <n v="1"/>
  </r>
  <r>
    <n v="3445828"/>
    <s v="SABRE"/>
    <x v="1267"/>
    <s v="AUSPRW"/>
    <s v="AUSPRW"/>
    <s v="Não localizado cliente com CNPJ [JTI PROCESSADORA].&lt;-ObterCliente&lt;-MontarPnrBase&lt;-ProcessarAereo&lt;-ProcessarItemFila[b]"/>
    <d v="2025-05-27T16:38:00"/>
    <d v="2025-05-28T17:03:00"/>
    <s v="CLIENTE"/>
    <s v="REMARK - CNPJ"/>
    <s v=""/>
    <x v="1"/>
    <s v="OPERAÇÕES / SUPORTE KCS"/>
    <n v="24"/>
  </r>
  <r>
    <n v="3445831"/>
    <s v="SABRE"/>
    <x v="1266"/>
    <s v="EEQRAF"/>
    <s v="EEQRAF"/>
    <s v="Não localizado cliente código [1234567890].&lt;-ObterCliente&lt;-MontarPnrBase&lt;-ProcessarAereo&lt;-ProcessarItemFila[b]"/>
    <d v="2025-05-27T16:38:00"/>
    <m/>
    <s v="CLIENTE"/>
    <s v="CÓD. CLIENTE DIVERGENTE"/>
    <s v="CÓDIGO DIFERENTE DO CADASTRADO NO BENNER (CLIENTE X GRUPO)"/>
    <x v="1"/>
    <s v="SUPORTE OBT"/>
    <n v="1"/>
  </r>
  <r>
    <n v="3446291"/>
    <s v="SABRE"/>
    <x v="1268"/>
    <s v="QHONWTT"/>
    <s v="QHONWT"/>
    <s v="ConverterPagamentosRemark-&gt;Input string was not in a correct format.&lt;-MontarAccountinsHotel&lt;-ProcessarHotel&lt;-ProcessarItemFila[b]"/>
    <d v="2025-05-27T17:47:00"/>
    <m/>
    <s v="FORMA PAGTO/RECTO"/>
    <s v="FORMATO DE TEXTO"/>
    <s v="TEXTO FORA DO PADRÃO ACEITO NO CAMPO"/>
    <x v="2"/>
    <s v="SUPORTE OBT"/>
    <s v="COLUNA I"/>
  </r>
  <r>
    <n v="3446591"/>
    <s v="TMS"/>
    <x v="1269"/>
    <n v="2435"/>
    <n v="2435"/>
    <s v="Preenchendo XML Serviço-&gt; Preenchendo XML-&gt; Montando accounting aereo 2-&gt;Não foi informado o Localizador do Assento/Bagagem!"/>
    <d v="2025-05-27T18:32:00"/>
    <d v="2025-05-29T12:05:00"/>
    <s v="OUTROS"/>
    <s v="ASSENTO / BAGAGEM"/>
    <s v="CAMPO OBSERVAÇÃO PREENCHIDO INCORRETAMENTE"/>
    <x v="1"/>
    <s v="OPERAÇÕES / SUPORTE KCS"/>
    <n v="118"/>
  </r>
  <r>
    <n v="3446599"/>
    <s v="TMS"/>
    <x v="1270"/>
    <n v="44802"/>
    <n v="44802"/>
    <s v="Preenchendo XML Serviço-&gt; Preenchendo XML-&gt; Montando accounting aereo 3-&gt;Reserva 127442 não encontrada para importar assento/bagagem!"/>
    <d v="2025-05-27T18:34:00"/>
    <d v="2025-05-29T12:06:00"/>
    <s v="OUTROS"/>
    <s v="ASSENTO / BAGAGEM"/>
    <s v="CAMPO OBSERVAÇÃO PREENCHIDO INCORRETAMENTE"/>
    <x v="1"/>
    <s v="OPERAÇÕES / SUPORTE KCS"/>
    <n v="127"/>
  </r>
  <r>
    <n v="3447078"/>
    <s v="SABRE"/>
    <x v="1271"/>
    <s v="ONSUYB"/>
    <s v="ONSUYB"/>
    <s v="Não localizado cliente código [0000084716].&lt;-ObterCliente&lt;-MontarPnrBase&lt;-ProcessarAereo&lt;-ProcessarItemFila[b]"/>
    <d v="2025-05-27T20:32:00"/>
    <m/>
    <s v="CLIENTE"/>
    <s v="CÓD. CLIENTE DIVERGENTE"/>
    <s v="CÓDIGO DIFERENTE DO CADASTRADO NO BENNER (CLIENTE X GRUPO)"/>
    <x v="1"/>
    <s v="SUPORTE OBT"/>
    <n v="1"/>
  </r>
  <r>
    <n v="3447080"/>
    <s v="SABRE"/>
    <x v="1271"/>
    <s v="WPFIHV"/>
    <s v="WPFIHV"/>
    <s v="Código de cliente não identificado&lt;-ObterCliente&lt;-MontarPnrBase&lt;-ProcessarAereo&lt;-ProcessarItemFila[b]"/>
    <d v="2025-05-27T20:32:00"/>
    <m/>
    <s v="CLIENTE"/>
    <s v="CLIENTE NÃO IDENTIFICADO"/>
    <s v="DK DE CLIENTE NÃO PREENCIDO / CLIENTE NÃO CONFIGURADO NO OBT"/>
    <x v="2"/>
    <s v="OPERAÇÕES / SUPORTE KCS"/>
    <s v="COLUNA I"/>
  </r>
  <r>
    <n v="3447081"/>
    <s v="SABRE"/>
    <x v="1271"/>
    <s v="WQYMZG"/>
    <s v="WQYMZG"/>
    <s v="Não localizado cliente código [1234567890].&lt;-ObterCliente&lt;-MontarPnrBase&lt;-ProcessarAereo&lt;-ProcessarItemFila[b]"/>
    <d v="2025-05-27T20:33:00"/>
    <m/>
    <s v="CLIENTE"/>
    <s v="CÓD. CLIENTE DIVERGENTE"/>
    <s v="CÓDIGO DIFERENTE DO CADASTRADO NO BENNER (CLIENTE X GRUPO)"/>
    <x v="1"/>
    <s v="SUPORTE OBT"/>
    <n v="1"/>
  </r>
  <r>
    <n v="3447083"/>
    <s v="SABRE"/>
    <x v="1271"/>
    <s v="YUBQUI"/>
    <s v="YUBQUI"/>
    <s v="Não localizado cliente código [0000392619].&lt;-ObterCliente&lt;-MontarPnrBase&lt;-ProcessarAereo&lt;-ProcessarItemFila[b]"/>
    <d v="2025-05-27T20:33:00"/>
    <m/>
    <s v="CLIENTE"/>
    <s v="CÓD. CLIENTE DIVERGENTE"/>
    <s v="CÓDIGO DIFERENTE DO CADASTRADO NO BENNER (CLIENTE X GRUPO)"/>
    <x v="1"/>
    <s v="SUPORTE OBT"/>
    <n v="1"/>
  </r>
  <r>
    <n v="3447084"/>
    <s v="SABRE"/>
    <x v="1271"/>
    <s v="NMJTKM"/>
    <s v="NMJTKM"/>
    <s v="Não localizado cliente código [0000392619].&lt;-ObterCliente&lt;-MontarPnrBase&lt;-ProcessarAereo&lt;-ProcessarItemFila[b]"/>
    <d v="2025-05-27T20:33:00"/>
    <m/>
    <s v="CLIENTE"/>
    <s v="CÓD. CLIENTE DIVERGENTE"/>
    <s v="CÓDIGO DIFERENTE DO CADASTRADO NO BENNER (CLIENTE X GRUPO)"/>
    <x v="1"/>
    <s v="SUPORTE OBT"/>
    <n v="1"/>
  </r>
  <r>
    <n v="3447098"/>
    <s v="SABRE"/>
    <x v="1271"/>
    <s v="LUQHWC"/>
    <s v="LUQHWC"/>
    <s v="Código de cliente não identificado&lt;-ObterCliente&lt;-MontarPnrBase&lt;-ProcessarAereo&lt;-ProcessarItemFila[b]"/>
    <d v="2025-05-27T20:35:00"/>
    <m/>
    <s v="CLIENTE"/>
    <s v="CLIENTE NÃO IDENTIFICADO"/>
    <s v="DK DE CLIENTE NÃO PREENCIDO / CLIENTE NÃO CONFIGURADO NO OBT"/>
    <x v="2"/>
    <s v="OPERAÇÕES / SUPORTE KCS"/>
    <s v="COLUNA I"/>
  </r>
  <r>
    <n v="3447992"/>
    <s v="SABRE"/>
    <x v="1272"/>
    <s v="GLMBWA"/>
    <s v="GLMBWA"/>
    <s v="Não localizado cliente código [0000625887].&lt;-ObterCliente&lt;-MontarPnrBase&lt;-ProcessarAereo&lt;-ProcessarItemFila[b]"/>
    <d v="2025-05-28T11:49:00"/>
    <d v="2025-05-28T17:36:00"/>
    <s v="CLIENTE"/>
    <s v="CÓD. CLIENTE DIVERGENTE"/>
    <s v="CÓDIGO DIFERENTE DO CADASTRADO NO BENNER (CLIENTE X GRUPO)"/>
    <x v="1"/>
    <s v="SUPORTE OBT"/>
    <n v="1"/>
  </r>
  <r>
    <n v="3448035"/>
    <s v="TMS"/>
    <x v="1273"/>
    <n v="12445"/>
    <n v="12445"/>
    <s v="Preenchendo XML Serviço-&gt; Preenchendo XML-&gt; Montando accounting aereo 2-&gt;Não foi informado o Localizador do Assento/Bagagem!"/>
    <d v="2025-05-28T11:56:00"/>
    <d v="2025-05-29T12:29:00"/>
    <s v="OUTROS"/>
    <s v="ASSENTO / BAGAGEM"/>
    <s v="CAMPO OBSERVAÇÃO PREENCHIDO INCORRETAMENTE"/>
    <x v="1"/>
    <s v="OPERAÇÕES / SUPORTE KCS"/>
    <n v="118"/>
  </r>
  <r>
    <n v="3448504"/>
    <s v="SABRE"/>
    <x v="1274"/>
    <s v="MJZOLHT"/>
    <s v="MJZOLH"/>
    <s v="ConverterPagamentosRemark-&gt;Input string was not in a correct format.&lt;-MontarAccountinsHotel&lt;-ProcessarHotel&lt;-ProcessarItemFila[b]"/>
    <d v="2025-05-28T16:02:00"/>
    <m/>
    <s v="FORMA PAGTO/RECTO"/>
    <s v="FORMATO DE TEXTO"/>
    <s v="TEXTO FORA DO PADRÃO ACEITO NO CAMPO"/>
    <x v="2"/>
    <s v="SUPORTE OBT"/>
    <s v="COLUNA I"/>
  </r>
  <r>
    <n v="3448986"/>
    <s v="SABRE"/>
    <x v="1275"/>
    <s v="EDEKTW"/>
    <s v="EDEKTW"/>
    <s v="Não localizado cliente código [0000392619].&lt;-ObterCliente&lt;-MontarPnrBase&lt;-ProcessarAereo&lt;-ProcessarItemFila[b]"/>
    <d v="2025-05-28T17:47:00"/>
    <d v="2025-05-28T19:07:00"/>
    <s v="CLIENTE"/>
    <s v="CÓD. CLIENTE DIVERGENTE"/>
    <s v="CÓDIGO DIFERENTE DO CADASTRADO NO BENNER (CLIENTE X GRUPO)"/>
    <x v="1"/>
    <s v="SUPORTE OBT"/>
    <n v="1"/>
  </r>
  <r>
    <n v="3449627"/>
    <s v="SABRE"/>
    <x v="1275"/>
    <s v="NIRLVE"/>
    <s v="NIRLVE"/>
    <s v="Não localizado cliente código [0000035405].&lt;-ObterCliente&lt;-MontarPnrBase&lt;-ProcessarAereo&lt;-ProcessarItemFila[b]"/>
    <d v="2025-05-28T19:03:00"/>
    <m/>
    <s v="CLIENTE"/>
    <s v="CÓD. CLIENTE DIVERGENTE"/>
    <s v="CÓDIGO DIFERENTE DO CADASTRADO NO BENNER (CLIENTE X GRUPO)"/>
    <x v="1"/>
    <s v="SUPORTE OBT"/>
    <n v="1"/>
  </r>
  <r>
    <n v="3449672"/>
    <s v="SABRE"/>
    <x v="1275"/>
    <s v="MYVPYI"/>
    <s v="MYVPYI"/>
    <s v="Não localizado cliente com CNPJ [8373694000114].&lt;-ObterCliente&lt;-MontarPnrBase&lt;-ProcessarAereo&lt;-ProcessarItemFila[b]"/>
    <d v="2025-05-28T19:07:00"/>
    <m/>
    <s v="CLIENTE"/>
    <s v="REMARK - CNPJ"/>
    <s v=""/>
    <x v="1"/>
    <s v="OPERAÇÕES / SUPORTE KCS"/>
    <n v="24"/>
  </r>
  <r>
    <n v="3449681"/>
    <s v="SABRE"/>
    <x v="1276"/>
    <s v="QIMVNH"/>
    <s v="QIMVNH"/>
    <s v="Não localizado cliente código [0000000].&lt;-ObterCliente&lt;-MontarPnrBase&lt;-ProcessarAereo&lt;-ProcessarItemFila[b]"/>
    <d v="2025-05-28T19:08:00"/>
    <d v="2025-05-28T20:17:00"/>
    <s v="CLIENTE"/>
    <s v="CÓD. CLIENTE DIVERGENTE"/>
    <s v="CÓDIGO DIFERENTE DO CADASTRADO NO BENNER (CLIENTE X GRUPO)"/>
    <x v="1"/>
    <s v="SUPORTE OBT"/>
    <n v="1"/>
  </r>
  <r>
    <n v="3449685"/>
    <s v="SABRE"/>
    <x v="1275"/>
    <s v="SZFTYM"/>
    <s v="SZFTYM"/>
    <s v="Código de cliente não identificado&lt;-ObterCliente&lt;-MontarPnrBase&lt;-ProcessarAereo&lt;-ProcessarItemFila[b]"/>
    <d v="2025-05-28T19:08:00"/>
    <m/>
    <s v="CLIENTE"/>
    <s v="CLIENTE NÃO IDENTIFICADO"/>
    <s v="DK DE CLIENTE NÃO PREENCIDO / CLIENTE NÃO CONFIGURADO NO OBT"/>
    <x v="2"/>
    <s v="OPERAÇÕES / SUPORTE KCS"/>
    <s v="COLUNA I"/>
  </r>
  <r>
    <n v="3449821"/>
    <s v="TMS"/>
    <x v="1277"/>
    <n v="7165"/>
    <n v="7165"/>
    <s v="Preenchendo XML Aéreo-&gt; Preenchendo XML-&gt; Montando accounting aereo-&gt;Número do bilhete não identificado"/>
    <d v="2025-05-28T19:25:00"/>
    <d v="2025-05-29T12:53:00"/>
    <s v="OUTROS"/>
    <s v="NOVA MENSAGEM"/>
    <s v=""/>
    <x v="1"/>
    <e v="#N/A"/>
    <s v="COLUNA I"/>
  </r>
  <r>
    <n v="3449908"/>
    <s v="SABRE"/>
    <x v="1278"/>
    <s v="COKVRO"/>
    <s v="COKVRO"/>
    <s v="Não localizado cliente código [0000392619].&lt;-ObterCliente&lt;-MontarPnrBase&lt;-ProcessarAereo&lt;-ProcessarItemFila[b]"/>
    <d v="2025-05-28T20:17:00"/>
    <m/>
    <s v="CLIENTE"/>
    <s v="CÓD. CLIENTE DIVERGENTE"/>
    <s v="CÓDIGO DIFERENTE DO CADASTRADO NO BENNER (CLIENTE X GRUPO)"/>
    <x v="1"/>
    <s v="SUPORTE OBT"/>
    <n v="1"/>
  </r>
  <r>
    <n v="3449909"/>
    <s v="SABRE"/>
    <x v="1278"/>
    <s v="WCVQUB"/>
    <s v="WCVQUB"/>
    <s v="Código de cliente não identificado&lt;-ObterCliente&lt;-MontarPnrBase&lt;-ProcessarAereo&lt;-ProcessarItemFila[b]"/>
    <d v="2025-05-28T20:17:00"/>
    <m/>
    <s v="CLIENTE"/>
    <s v="CLIENTE NÃO IDENTIFICADO"/>
    <s v="DK DE CLIENTE NÃO PREENCIDO / CLIENTE NÃO CONFIGURADO NO OBT"/>
    <x v="2"/>
    <s v="OPERAÇÕES / SUPORTE KCS"/>
    <s v="COLUNA I"/>
  </r>
  <r>
    <n v="3450420"/>
    <s v="SABRE"/>
    <x v="1279"/>
    <s v="KSRJGE"/>
    <s v="KSRJGE"/>
    <s v="Não localizado cliente código [0000000].&lt;-ObterCliente&lt;-MontarPnrBase&lt;-ProcessarAereo&lt;-ProcessarItemFila[b]"/>
    <d v="2025-05-29T11:03:00"/>
    <d v="2025-05-29T12:47:00"/>
    <s v="CLIENTE"/>
    <s v="CÓD. CLIENTE DIVERGENTE"/>
    <s v="CÓDIGO DIFERENTE DO CADASTRADO NO BENNER (CLIENTE X GRUPO)"/>
    <x v="1"/>
    <s v="SUPORTE OBT"/>
    <n v="1"/>
  </r>
  <r>
    <n v="3450728"/>
    <s v="TMS"/>
    <x v="1280"/>
    <n v="4737"/>
    <n v="4737"/>
    <s v="Preenchendo XML Carro-&gt; Preenchendo XML-&gt; Montando accounting carro-&gt;Fornecedor com o código 415368  informado nos campos gerenciais não encontrado!"/>
    <d v="2025-05-29T12:06:00"/>
    <m/>
    <s v="FORNECEDOR"/>
    <s v="CONTRATO FORNECEDOR"/>
    <s v="CONTRATO INATIVO OU DIVERGENTE"/>
    <x v="0"/>
    <s v="OPERAÇÕES / SUPORTE KCS"/>
    <n v="69"/>
  </r>
  <r>
    <n v="3450849"/>
    <s v="TMS"/>
    <x v="1281"/>
    <n v="64940"/>
    <n v="64940"/>
    <s v="Inserindo Accounting Servico - Parâmetro Consolidador - TurVendas - Não foi possível localizar o contrato do fornecedor 64192"/>
    <d v="2025-05-29T12:27:00"/>
    <m/>
    <s v="FORNECEDOR"/>
    <s v="CONTRATO FORNECEDOR"/>
    <s v="CONTRATO INATIVO OU DIVERGENTE"/>
    <x v="0"/>
    <s v="OPERAÇÕES / SUPORTE KCS"/>
    <n v="69"/>
  </r>
  <r>
    <n v="3450939"/>
    <s v="SABRE"/>
    <x v="1279"/>
    <s v="QAXQEN"/>
    <s v="QAXQEN"/>
    <s v="Não localizado cliente com CNPJ [8373694000114].&lt;-ObterCliente&lt;-MontarPnrBase&lt;-ProcessarAereo&lt;-ProcessarItemFila[b]"/>
    <d v="2025-05-29T12:49:00"/>
    <m/>
    <s v="CLIENTE"/>
    <s v="REMARK - CNPJ"/>
    <s v=""/>
    <x v="1"/>
    <s v="OPERAÇÕES / SUPORTE KCS"/>
    <n v="24"/>
  </r>
  <r>
    <n v="3451105"/>
    <s v="SABRE"/>
    <x v="1282"/>
    <s v="QDLEBT"/>
    <s v="QDLEBT"/>
    <s v="Não localizado cliente código [0000583831].&lt;-ObterCliente&lt;-MontarPnrBase&lt;-ProcessarAereo&lt;-ProcessarItemFila[b]"/>
    <d v="2025-05-29T14:47:00"/>
    <m/>
    <s v="CLIENTE"/>
    <s v="CÓD. CLIENTE DIVERGENTE"/>
    <s v="CÓDIGO DIFERENTE DO CADASTRADO NO BENNER (CLIENTE X GRUPO)"/>
    <x v="1"/>
    <s v="SUPORTE OBT"/>
    <n v="1"/>
  </r>
  <r>
    <n v="3451269"/>
    <s v="SABRE"/>
    <x v="1283"/>
    <s v="EGTNLL"/>
    <s v="EGTNLL"/>
    <s v="Não localizado cliente código [0000583808].&lt;-ObterCliente&lt;-MontarPnrBase&lt;-ProcessarAereo&lt;-ProcessarItemFila[b]"/>
    <d v="2025-05-29T17:03:00"/>
    <m/>
    <s v="CLIENTE"/>
    <s v="CÓD. CLIENTE DIVERGENTE"/>
    <s v="CÓDIGO DIFERENTE DO CADASTRADO NO BENNER (CLIENTE X GRUPO)"/>
    <x v="1"/>
    <s v="SUPORTE OBT"/>
    <n v="1"/>
  </r>
  <r>
    <n v="3451272"/>
    <s v="SABRE"/>
    <x v="1283"/>
    <s v="CQAPIO"/>
    <s v="CQAPIO"/>
    <s v="Inserindo PNR - Accountings - TurVendas - Não foi possível localizar o contrato do fornecedor ZV"/>
    <d v="2025-05-29T17:03:00"/>
    <m/>
    <s v="FORNECEDOR"/>
    <s v="CONTRATO FORNECEDOR"/>
    <s v="CONTRATO INATIVO OU DIVERGENTE"/>
    <x v="0"/>
    <s v="OPERAÇÕES / SUPORTE KCS"/>
    <n v="43"/>
  </r>
  <r>
    <n v="3451836"/>
    <s v="SABRE"/>
    <x v="1284"/>
    <s v="GHIPVZ"/>
    <s v="GHIPVZ"/>
    <s v="Não localizado cliente código [0000392619].&lt;-ObterCliente&lt;-MontarPnrBase&lt;-ProcessarAereo&lt;-ProcessarItemFila[b]"/>
    <d v="2025-05-29T18:47:00"/>
    <m/>
    <s v="CLIENTE"/>
    <s v="CÓD. CLIENTE DIVERGENTE"/>
    <s v="CÓDIGO DIFERENTE DO CADASTRADO NO BENNER (CLIENTE X GRUPO)"/>
    <x v="1"/>
    <s v="SUPORTE OBT"/>
    <n v="1"/>
  </r>
  <r>
    <n v="3451841"/>
    <s v="SABRE"/>
    <x v="1285"/>
    <s v="HGBIQB"/>
    <s v="HGBIQB"/>
    <s v="Não localizado cliente com CNPJ [JTI PROCESSADORA].&lt;-ObterCliente&lt;-MontarPnrBase&lt;-ProcessarAereo&lt;-ProcessarItemFila[b]"/>
    <d v="2025-05-29T18:47:00"/>
    <d v="2025-05-30T11:18:00"/>
    <s v="CLIENTE"/>
    <s v="REMARK - CNPJ"/>
    <s v=""/>
    <x v="3"/>
    <s v="OPERAÇÕES / SUPORTE KCS"/>
    <n v="24"/>
  </r>
  <r>
    <n v="3452003"/>
    <s v="SABRE"/>
    <x v="1286"/>
    <s v="NBLVCB"/>
    <s v="NBLVCB"/>
    <s v="Não localizado cliente código [0000625887].&lt;-ObterCliente&lt;-MontarPnrBase&lt;-ProcessarAereo&lt;-ProcessarItemFila[b]"/>
    <d v="2025-05-29T19:06:00"/>
    <m/>
    <s v="CLIENTE"/>
    <s v="CÓD. CLIENTE DIVERGENTE"/>
    <s v="CÓDIGO DIFERENTE DO CADASTRADO NO BENNER (CLIENTE X GRUPO)"/>
    <x v="1"/>
    <s v="SUPORTE OBT"/>
    <n v="1"/>
  </r>
  <r>
    <n v="3452476"/>
    <s v="SABRE"/>
    <x v="1287"/>
    <s v="LRDVJC"/>
    <s v="LRDVJC"/>
    <s v="Inserindo Trecho - Parâmetro Fornecedor - TurVendas - Não foi possível localizar o contrato do fornecedor ZV"/>
    <d v="2025-05-30T10:23:00"/>
    <m/>
    <s v="FORNECEDOR"/>
    <s v="CONTRATO FORNECEDOR"/>
    <s v="CONTRATO INATIVO OU DIVERGENTE"/>
    <x v="0"/>
    <s v="OPERAÇÕES / SUPORTE KCS"/>
    <n v="55"/>
  </r>
  <r>
    <n v="3452666"/>
    <s v="SABRE"/>
    <x v="1288"/>
    <s v="UPVPZB"/>
    <s v="UPVPZB"/>
    <s v="Código de cliente não identificado&lt;-ObterCliente&lt;-MontarPnrBase&lt;-ProcessarAereo&lt;-ProcessarItemFila[b]"/>
    <d v="2025-05-30T12:03:00"/>
    <m/>
    <s v="CLIENTE"/>
    <s v="CLIENTE NÃO IDENTIFICADO"/>
    <s v="DK DE CLIENTE NÃO PREENCIDO / CLIENTE NÃO CONFIGURADO NO OBT"/>
    <x v="2"/>
    <s v="OPERAÇÕES / SUPORTE KCS"/>
    <s v="COLUNA I"/>
  </r>
  <r>
    <n v="3452886"/>
    <s v="SABRE"/>
    <x v="1289"/>
    <s v="IJOUJM"/>
    <s v="IJOUJM"/>
    <s v="Não localizado cliente código [0000000].&lt;-ObterCliente&lt;-MontarPnrBase&lt;-ProcessarAereo&lt;-ProcessarItemFila[b]"/>
    <d v="2025-05-30T12:49:00"/>
    <d v="2025-05-30T15:06:00"/>
    <s v="CLIENTE"/>
    <s v="CÓD. CLIENTE DIVERGENTE"/>
    <s v="CÓDIGO DIFERENTE DO CADASTRADO NO BENNER (CLIENTE X GRUPO)"/>
    <x v="1"/>
    <s v="SUPORTE OBT"/>
    <n v="1"/>
  </r>
  <r>
    <n v="3453461"/>
    <s v="SABRE"/>
    <x v="1289"/>
    <s v="UWKOXR"/>
    <s v="UWKOXR"/>
    <s v="Não localizado cliente código [0000000].&lt;-ObterCliente&lt;-MontarPnrBase&lt;-ProcessarAereo&lt;-ProcessarItemFila[b]"/>
    <d v="2025-05-30T15:04:00"/>
    <m/>
    <s v="CLIENTE"/>
    <s v="CÓD. CLIENTE DIVERGENTE"/>
    <s v="CÓDIGO DIFERENTE DO CADASTRADO NO BENNER (CLIENTE X GRUPO)"/>
    <x v="1"/>
    <s v="SUPORTE OBT"/>
    <n v="1"/>
  </r>
  <r>
    <n v="3453463"/>
    <s v="SABRE"/>
    <x v="1289"/>
    <s v="ILHMLN"/>
    <s v="ILHMLN"/>
    <s v="Não localizado cliente código [0000000].&lt;-ObterCliente&lt;-MontarPnrBase&lt;-ProcessarAereo&lt;-ProcessarItemFila[b]"/>
    <d v="2025-05-30T15:04:00"/>
    <m/>
    <s v="CLIENTE"/>
    <s v="CÓD. CLIENTE DIVERGENTE"/>
    <s v="CÓDIGO DIFERENTE DO CADASTRADO NO BENNER (CLIENTE X GRUPO)"/>
    <x v="1"/>
    <s v="SUPORTE OBT"/>
    <n v="1"/>
  </r>
  <r>
    <n v="3453464"/>
    <s v="SABRE"/>
    <x v="1289"/>
    <s v="HOSRRA"/>
    <s v="HOSRRA"/>
    <s v="Não localizado cliente código [0000000].&lt;-ObterCliente&lt;-MontarPnrBase&lt;-ProcessarAereo&lt;-ProcessarItemFila[b]"/>
    <d v="2025-05-30T15:04:00"/>
    <m/>
    <s v="CLIENTE"/>
    <s v="CÓD. CLIENTE DIVERGENTE"/>
    <s v="CÓDIGO DIFERENTE DO CADASTRADO NO BENNER (CLIENTE X GRUPO)"/>
    <x v="1"/>
    <s v="SUPORTE OBT"/>
    <n v="1"/>
  </r>
  <r>
    <n v="3453467"/>
    <s v="SABRE"/>
    <x v="1289"/>
    <s v="OKYJAL"/>
    <s v="OKYJAL"/>
    <s v="Não localizado cliente código [0000000].&lt;-ObterCliente&lt;-MontarPnrBase&lt;-ProcessarAereo&lt;-ProcessarItemFila[b]"/>
    <d v="2025-05-30T15:04:00"/>
    <m/>
    <s v="CLIENTE"/>
    <s v="CÓD. CLIENTE DIVERGENTE"/>
    <s v="CÓDIGO DIFERENTE DO CADASTRADO NO BENNER (CLIENTE X GRUPO)"/>
    <x v="1"/>
    <s v="SUPORTE OBT"/>
    <n v="1"/>
  </r>
  <r>
    <n v="3453468"/>
    <s v="SABRE"/>
    <x v="1289"/>
    <s v="UWZJEG"/>
    <s v="UWZJEG"/>
    <s v="Não localizado cliente código [0000000].&lt;-ObterCliente&lt;-MontarPnrBase&lt;-ProcessarAereo&lt;-ProcessarItemFila[b]"/>
    <d v="2025-05-30T15:04:00"/>
    <m/>
    <s v="CLIENTE"/>
    <s v="CÓD. CLIENTE DIVERGENTE"/>
    <s v="CÓDIGO DIFERENTE DO CADASTRADO NO BENNER (CLIENTE X GRUPO)"/>
    <x v="1"/>
    <s v="SUPORTE OBT"/>
    <n v="1"/>
  </r>
  <r>
    <n v="3453472"/>
    <s v="SABRE"/>
    <x v="1289"/>
    <s v="JCFVXI"/>
    <s v="JCFVXI"/>
    <s v="Não localizado cliente código [0000000].&lt;-ObterCliente&lt;-MontarPnrBase&lt;-ProcessarAereo&lt;-ProcessarItemFila[b]"/>
    <d v="2025-05-30T15:05:00"/>
    <m/>
    <s v="CLIENTE"/>
    <s v="CÓD. CLIENTE DIVERGENTE"/>
    <s v="CÓDIGO DIFERENTE DO CADASTRADO NO BENNER (CLIENTE X GRUPO)"/>
    <x v="1"/>
    <s v="SUPORTE OBT"/>
    <n v="1"/>
  </r>
  <r>
    <n v="3453474"/>
    <s v="SABRE"/>
    <x v="1289"/>
    <s v="OMNLUO"/>
    <s v="OMNLUO"/>
    <s v="Não localizado cliente código [0000000].&lt;-ObterCliente&lt;-MontarPnrBase&lt;-ProcessarAereo&lt;-ProcessarItemFila[b]"/>
    <d v="2025-05-30T15:05:00"/>
    <m/>
    <s v="CLIENTE"/>
    <s v="CÓD. CLIENTE DIVERGENTE"/>
    <s v="CÓDIGO DIFERENTE DO CADASTRADO NO BENNER (CLIENTE X GRUPO)"/>
    <x v="1"/>
    <s v="SUPORTE OBT"/>
    <n v="1"/>
  </r>
  <r>
    <n v="3453478"/>
    <s v="SABRE"/>
    <x v="1289"/>
    <s v="UWMIBQ"/>
    <s v="UWMIBQ"/>
    <s v="Não localizado cliente código [0000000].&lt;-ObterCliente&lt;-MontarPnrBase&lt;-ProcessarAereo&lt;-ProcessarItemFila[b]"/>
    <d v="2025-05-30T15:05:00"/>
    <m/>
    <s v="CLIENTE"/>
    <s v="CÓD. CLIENTE DIVERGENTE"/>
    <s v="CÓDIGO DIFERENTE DO CADASTRADO NO BENNER (CLIENTE X GRUPO)"/>
    <x v="1"/>
    <s v="SUPORTE OBT"/>
    <n v="1"/>
  </r>
  <r>
    <n v="3453480"/>
    <s v="SABRE"/>
    <x v="1289"/>
    <s v="UYAIQM"/>
    <s v="UYAIQM"/>
    <s v="Não localizado cliente código [0000000].&lt;-ObterCliente&lt;-MontarPnrBase&lt;-ProcessarAereo&lt;-ProcessarItemFila[b]"/>
    <d v="2025-05-30T15:05:00"/>
    <m/>
    <s v="CLIENTE"/>
    <s v="CÓD. CLIENTE DIVERGENTE"/>
    <s v="CÓDIGO DIFERENTE DO CADASTRADO NO BENNER (CLIENTE X GRUPO)"/>
    <x v="1"/>
    <s v="SUPORTE OBT"/>
    <n v="1"/>
  </r>
  <r>
    <n v="3453495"/>
    <s v="SABRE"/>
    <x v="1289"/>
    <s v="IUHEAI"/>
    <s v="IUHEAI"/>
    <s v="Não localizado cliente código [0000000].&lt;-ObterCliente&lt;-MontarPnrBase&lt;-ProcessarAereo&lt;-ProcessarItemFila[b]"/>
    <d v="2025-05-30T15:06:00"/>
    <m/>
    <s v="CLIENTE"/>
    <s v="CÓD. CLIENTE DIVERGENTE"/>
    <s v="CÓDIGO DIFERENTE DO CADASTRADO NO BENNER (CLIENTE X GRUPO)"/>
    <x v="1"/>
    <s v="SUPORTE OBT"/>
    <n v="1"/>
  </r>
  <r>
    <n v="3453500"/>
    <s v="SABRE"/>
    <x v="1289"/>
    <s v="QNCMTK"/>
    <s v="QNCMTK"/>
    <s v="Não localizado cliente código [0000012345].&lt;-ObterCliente&lt;-MontarPnrBase&lt;-ProcessarAereo&lt;-ProcessarItemFila[b]"/>
    <d v="2025-05-30T15:07:00"/>
    <m/>
    <s v="CLIENTE"/>
    <s v="CÓD. CLIENTE DIVERGENTE"/>
    <s v="CÓDIGO DIFERENTE DO CADASTRADO NO BENNER (CLIENTE X GRUPO)"/>
    <x v="1"/>
    <s v="SUPORTE OBT"/>
    <n v="1"/>
  </r>
  <r>
    <n v="3453501"/>
    <s v="SABRE"/>
    <x v="1289"/>
    <s v="SWPPAB"/>
    <s v="SWPPAB"/>
    <s v="Código de cliente não identificado&lt;-ObterCliente&lt;-MontarPnrBase&lt;-ProcessarAereo&lt;-ProcessarItemFila[b]"/>
    <d v="2025-05-30T15:07:00"/>
    <m/>
    <s v="CLIENTE"/>
    <s v="CLIENTE NÃO IDENTIFICADO"/>
    <s v="DK DE CLIENTE NÃO PREENCIDO / CLIENTE NÃO CONFIGURADO NO OBT"/>
    <x v="2"/>
    <s v="OPERAÇÕES / SUPORTE KCS"/>
    <s v="COLUNA I"/>
  </r>
  <r>
    <n v="3453504"/>
    <s v="SABRE"/>
    <x v="1289"/>
    <s v="HEPPUP"/>
    <s v="HEPPUP"/>
    <s v="Não localizado cliente código [0000012345].&lt;-ObterCliente&lt;-MontarPnrBase&lt;-ProcessarAereo&lt;-ProcessarItemFila[b]"/>
    <d v="2025-05-30T15:08:00"/>
    <m/>
    <s v="CLIENTE"/>
    <s v="CÓD. CLIENTE DIVERGENTE"/>
    <s v="CÓDIGO DIFERENTE DO CADASTRADO NO BENNER (CLIENTE X GRUPO)"/>
    <x v="1"/>
    <s v="SUPORTE OBT"/>
    <n v="1"/>
  </r>
  <r>
    <n v="3453615"/>
    <s v="SABRE"/>
    <x v="1290"/>
    <s v="GPWEIU"/>
    <s v="GPWEIU"/>
    <s v="Código de cliente não identificado&lt;-ObterCliente&lt;-MontarPnrBase&lt;-ProcessarAereo&lt;-ProcessarItemFila[b]"/>
    <d v="2025-05-30T15:37:00"/>
    <m/>
    <s v="CLIENTE"/>
    <s v="CLIENTE NÃO IDENTIFICADO"/>
    <s v="DK DE CLIENTE NÃO PREENCIDO / CLIENTE NÃO CONFIGURADO NO OBT"/>
    <x v="2"/>
    <s v="OPERAÇÕES / SUPORTE KCS"/>
    <s v="COLUNA I"/>
  </r>
  <r>
    <n v="3454339"/>
    <s v="GOVER"/>
    <x v="1291"/>
    <n v="4545181"/>
    <s v="QKSOOR"/>
    <s v="Inserindo Trecho - Parâmetro Fornecedor - TurVendas - Não foi possível localizar o contrato do fornecedor BV"/>
    <d v="2025-05-30T18:44:00"/>
    <d v="2025-06-02T16:57:00"/>
    <s v="FORNECEDOR"/>
    <s v="CONTRATO FORNECEDOR"/>
    <s v="CONTRATO INATIVO OU DIVERGENTE"/>
    <x v="0"/>
    <s v="OPERAÇÕES / SUPORTE KCS"/>
    <n v="55"/>
  </r>
  <r>
    <n v="3454505"/>
    <s v="SABRE"/>
    <x v="1292"/>
    <s v="IMKEST"/>
    <s v="IMKEST"/>
    <s v="Código de cliente não identificado&lt;-ObterCliente&lt;-MontarPnrBase&lt;-ProcessarAereo&lt;-ProcessarItemFila[b]"/>
    <d v="2025-05-30T19:03:00"/>
    <m/>
    <s v="CLIENTE"/>
    <s v="CLIENTE NÃO IDENTIFICADO"/>
    <s v="DK DE CLIENTE NÃO PREENCIDO / CLIENTE NÃO CONFIGURADO NO OBT"/>
    <x v="2"/>
    <s v="OPERAÇÕES / SUPORTE KCS"/>
    <s v="COLUNA I"/>
  </r>
  <r>
    <n v="3454609"/>
    <s v="SABRE"/>
    <x v="1293"/>
    <s v="SHQDMU"/>
    <s v="SHQDMU"/>
    <s v="Não localizado cliente código [0000000].&lt;-ObterCliente&lt;-MontarPnrBase&lt;-ProcessarAereo&lt;-ProcessarItemFila[b]"/>
    <d v="2025-05-30T19:17:00"/>
    <m/>
    <s v="CLIENTE"/>
    <s v="CÓD. CLIENTE DIVERGENTE"/>
    <s v="CÓDIGO DIFERENTE DO CADASTRADO NO BENNER (CLIENTE X GRUPO)"/>
    <x v="1"/>
    <s v="SUPORTE OBT"/>
    <n v="1"/>
  </r>
  <r>
    <n v="3454648"/>
    <s v="SABRE"/>
    <x v="1293"/>
    <s v="SMWPRD"/>
    <s v="SMWPRD"/>
    <s v="Código de cliente não identificado&lt;-ObterCliente&lt;-MontarPnrBase&lt;-ProcessarAereo&lt;-ProcessarItemFila[b]"/>
    <d v="2025-05-30T19:21:00"/>
    <m/>
    <s v="CLIENTE"/>
    <s v="CLIENTE NÃO IDENTIFICADO"/>
    <s v="DK DE CLIENTE NÃO PREENCIDO / CLIENTE NÃO CONFIGURADO NO OBT"/>
    <x v="2"/>
    <s v="OPERAÇÕES / SUPORTE KCS"/>
    <s v="COLUNA I"/>
  </r>
  <r>
    <n v="3455196"/>
    <s v="TMS"/>
    <x v="1294"/>
    <n v="33982"/>
    <n v="33982"/>
    <s v="Preenchendo XML Serviço-&gt; Preenchendo XML-&gt; Montando accounting aereo 3-&gt;Reserva 33960 não encontrada para importar assento/bagagem!"/>
    <d v="2025-05-31T00:27:00"/>
    <d v="2025-06-02T13:44:00"/>
    <s v="OUTROS"/>
    <s v="NOVA MENSAGEM"/>
    <s v=""/>
    <x v="1"/>
    <e v="#N/A"/>
    <n v="126"/>
  </r>
  <r>
    <n v="3455389"/>
    <s v="GOVER"/>
    <x v="1295"/>
    <n v="4545928"/>
    <n v="4545928"/>
    <s v="PreencherPnr-&gt;Foi identificado um localizador sem código."/>
    <d v="2025-06-01T15:04:00"/>
    <d v="2025-06-02T16:57:00"/>
    <s v="OUTROS"/>
    <s v="RLOC NÃO INFORMADO"/>
    <s v="RLOC NÃO PREENCHIDO NA RESERVA"/>
    <x v="1"/>
    <s v="SUPORTE OBT"/>
    <s v="COLUNA I"/>
  </r>
  <r>
    <n v="3457044"/>
    <s v="SABRE"/>
    <x v="1296"/>
    <s v="FJQVZPT"/>
    <s v="FJQVZP"/>
    <s v="Inserindo PNR - Accountings - TurVendas - Não foi possível localizar o contrato do fornecedor 49032"/>
    <d v="2025-06-02T09:31:00"/>
    <m/>
    <s v="FORNECEDOR"/>
    <s v="CONTRATO FORNECEDOR"/>
    <s v="CONTRATO INATIVO OU DIVERGENTE"/>
    <x v="0"/>
    <s v="OPERAÇÕES / SUPORTE KCS"/>
    <n v="43"/>
  </r>
  <r>
    <n v="3457133"/>
    <s v="SABRE"/>
    <x v="1297"/>
    <s v="HBZPZNT"/>
    <s v="HBZPZN"/>
    <s v="ConverterPagamentosRemark-&gt;Input string was not in a correct format.&lt;-MontarAccountinsHotel&lt;-ProcessarHotel&lt;-ProcessarItemFila[b]"/>
    <d v="2025-06-02T10:32:00"/>
    <m/>
    <s v="FORMA PAGTO/RECTO"/>
    <s v="FORMATO DE TEXTO"/>
    <s v="TEXTO FORA DO PADRÃO ACEITO NO CAMPO"/>
    <x v="2"/>
    <s v="SUPORTE OBT"/>
    <s v="COLUNA I"/>
  </r>
  <r>
    <n v="3457529"/>
    <s v="TMS"/>
    <x v="1298"/>
    <n v="6773"/>
    <n v="6773"/>
    <s v="Inserindo Accounting Servico - Parâmetro Consolidador - TurVendas - Não foi possível localizar o contrato do fornecedor 64192"/>
    <d v="2025-06-02T13:14:00"/>
    <m/>
    <s v="FORNECEDOR"/>
    <s v="CONTRATO FORNECEDOR"/>
    <s v="CONTRATO INATIVO OU DIVERGENTE"/>
    <x v="0"/>
    <s v="OPERAÇÕES / SUPORTE KCS"/>
    <n v="69"/>
  </r>
  <r>
    <n v="3457624"/>
    <s v="TMS"/>
    <x v="1299"/>
    <n v="22484"/>
    <n v="22484"/>
    <s v="Inserindo Accounting Servico - Parâmetro Consolidador - TurVendas - Não foi possível localizar o contrato do fornecedor 64192"/>
    <d v="2025-06-02T13:28:00"/>
    <m/>
    <s v="FORNECEDOR"/>
    <s v="CONTRATO FORNECEDOR"/>
    <s v="CONTRATO INATIVO OU DIVERGENTE"/>
    <x v="0"/>
    <s v="OPERAÇÕES / SUPORTE KCS"/>
    <n v="69"/>
  </r>
  <r>
    <n v="3457631"/>
    <s v="TMS"/>
    <x v="1300"/>
    <n v="22364"/>
    <n v="22364"/>
    <s v="Inserindo Accounting Servico - Parâmetro Consolidador - TurVendas - Não foi possível localizar o contrato do fornecedor 64192"/>
    <d v="2025-06-02T13:29:00"/>
    <m/>
    <s v="FORNECEDOR"/>
    <s v="CONTRATO FORNECEDOR"/>
    <s v="CONTRATO INATIVO OU DIVERGENTE"/>
    <x v="0"/>
    <s v="OPERAÇÕES / SUPORTE KCS"/>
    <n v="69"/>
  </r>
  <r>
    <n v="3457661"/>
    <s v="TMS"/>
    <x v="1301"/>
    <n v="44852"/>
    <n v="44852"/>
    <s v="Preenchendo XML Serviço-&gt; Preenchendo XML-&gt; Montando accounting aereo 2-&gt;Não foi informado o Localizador do Assento/Bagagem!"/>
    <d v="2025-06-02T13:36:00"/>
    <m/>
    <s v="OUTROS"/>
    <s v="ASSENTO / BAGAGEM"/>
    <s v="CAMPO OBSERVAÇÃO PREENCHIDO INCORRETAMENTE"/>
    <x v="1"/>
    <s v="OPERAÇÕES / SUPORTE KCS"/>
    <n v="118"/>
  </r>
  <r>
    <n v="3457810"/>
    <s v="TMS"/>
    <x v="1302"/>
    <n v="15581"/>
    <n v="15581"/>
    <s v="Preenchendo XML Serviço-&gt; Preenchendo XML-&gt; Montando accounting aereo 3-&gt;Reserva HGMDAT não encontrada para importar assento/bagagem!"/>
    <d v="2025-06-02T13:58:00"/>
    <m/>
    <s v="OUTROS"/>
    <s v="ASSENTO / BAGAGEM"/>
    <s v="CAMPO OBSERVAÇÃO PREENCHIDO INCORRETAMENTE"/>
    <x v="1"/>
    <s v="OPERAÇÕES / SUPORTE KCS"/>
    <n v="127"/>
  </r>
  <r>
    <n v="3458139"/>
    <s v="SABRE"/>
    <x v="1303"/>
    <s v="NKDDSVT"/>
    <s v="NKDDSV"/>
    <s v="ConverterPagamentosRemark-&gt;Input string was not in a correct format.&lt;-MontarAccountinsHotel&lt;-ProcessarHotel&lt;-ProcessarItemFila[b]"/>
    <d v="2025-06-02T15:03:00"/>
    <m/>
    <s v="FORMA PAGTO/RECTO"/>
    <s v="FORMATO DE TEXTO"/>
    <s v="TEXTO FORA DO PADRÃO ACEITO NO CAMPO"/>
    <x v="2"/>
    <s v="SUPORTE OBT"/>
    <s v="COLUNA I"/>
  </r>
  <r>
    <n v="3459022"/>
    <s v="SABRE"/>
    <x v="1304"/>
    <s v="HNEBZF"/>
    <s v="HNEBZF"/>
    <s v="Não localizado cliente com CNPJ [JTI PROCESSADORA].&lt;-ObterCliente&lt;-MontarPnrBase&lt;-ProcessarAereo&lt;-ProcessarItemFila[b]"/>
    <d v="2025-06-02T19:48:00"/>
    <d v="2025-06-03T10:47:00"/>
    <s v="CLIENTE"/>
    <s v="REMARK - CNPJ"/>
    <s v=""/>
    <x v="1"/>
    <s v="OPERAÇÕES / SUPORTE KCS"/>
    <n v="24"/>
  </r>
  <r>
    <n v="3459048"/>
    <s v="TMS"/>
    <x v="1305"/>
    <n v="44869"/>
    <n v="44869"/>
    <s v="Preenchendo XML Serviço-&gt; Preenchendo XML-&gt; Montando accounting aereo 2-&gt;Não foi informado o Localizador do Assento/Bagagem!"/>
    <d v="2025-06-02T19:51:00"/>
    <d v="2025-06-03T14:06:00"/>
    <s v="OUTROS"/>
    <s v="ASSENTO / BAGAGEM"/>
    <s v="CAMPO OBSERVAÇÃO PREENCHIDO INCORRETAMENTE"/>
    <x v="1"/>
    <s v="OPERAÇÕES / SUPORTE KCS"/>
    <n v="118"/>
  </r>
  <r>
    <n v="3459258"/>
    <s v="GOVER"/>
    <x v="1306"/>
    <n v="4546746"/>
    <n v="4546746"/>
    <s v="PreencherPnr-&gt;Foi identificado um localizador sem código."/>
    <d v="2025-06-02T20:14:00"/>
    <d v="2025-06-03T14:46:00"/>
    <s v="OUTROS"/>
    <s v="RLOC NÃO INFORMADO"/>
    <s v="RLOC NÃO PREENCHIDO NA RESERVA"/>
    <x v="1"/>
    <s v="SUPORTE OBT"/>
    <s v="COLUNA I"/>
  </r>
  <r>
    <n v="3459376"/>
    <s v="TMS"/>
    <x v="1307"/>
    <n v="158"/>
    <n v="158"/>
    <s v="Preenchendo XML Serviço-&gt; Preenchendo XML-&gt; Montando accounting aereo 2-&gt;Não foi informado o Localizador do Assento/Bagagem!"/>
    <d v="2025-06-02T20:29:00"/>
    <d v="2025-06-03T14:27:00"/>
    <s v="OUTROS"/>
    <s v="ASSENTO / BAGAGEM"/>
    <s v="CAMPO OBSERVAÇÃO PREENCHIDO INCORRETAMENTE"/>
    <x v="1"/>
    <s v="OPERAÇÕES / SUPORTE KCS"/>
    <n v="118"/>
  </r>
  <r>
    <n v="3459378"/>
    <s v="TMS"/>
    <x v="1308"/>
    <n v="156"/>
    <n v="156"/>
    <s v="Preenchendo XML Serviço-&gt; Preenchendo XML-&gt; Montando accounting aereo 2-&gt;Não foi informado o Localizador do Assento/Bagagem!"/>
    <d v="2025-06-02T20:29:00"/>
    <d v="2025-06-03T14:28:00"/>
    <s v="OUTROS"/>
    <s v="ASSENTO / BAGAGEM"/>
    <s v="CAMPO OBSERVAÇÃO PREENCHIDO INCORRETAMENTE"/>
    <x v="1"/>
    <s v="OPERAÇÕES / SUPORTE KCS"/>
    <n v="118"/>
  </r>
  <r>
    <n v="3460212"/>
    <s v="GOVER"/>
    <x v="1309"/>
    <n v="4546789"/>
    <s v="DBUNMN"/>
    <s v="PreencherPnr-&gt;Não foi encontrado nenhum item veículo para o localizador DBUNMN"/>
    <d v="2025-06-03T09:08:00"/>
    <d v="2025-06-03T14:46:00"/>
    <s v="OUTROS"/>
    <s v="TAG - ITEM VEÍCULO"/>
    <s v="TAGS DE DETALHAMENTO DO SERVIÇO NÃO ENVIADO NO XML"/>
    <x v="0"/>
    <s v="SUPORTE OBT"/>
    <n v="46"/>
  </r>
  <r>
    <n v="3460295"/>
    <s v="SABRE"/>
    <x v="1310"/>
    <s v="ITPHEGT"/>
    <s v="ITPHEG"/>
    <s v="ConverterPagamentosRemark-&gt;Input string was not in a correct format.&lt;-MontarAccountinsHotel&lt;-ProcessarHotel&lt;-ProcessarItemFila[b]"/>
    <d v="2025-06-03T10:03:00"/>
    <m/>
    <s v="FORMA PAGTO/RECTO"/>
    <s v="FORMATO DE TEXTO"/>
    <s v="TEXTO FORA DO PADRÃO ACEITO NO CAMPO"/>
    <x v="2"/>
    <s v="SUPORTE OBT"/>
    <s v="COLUNA I"/>
  </r>
  <r>
    <n v="3460332"/>
    <s v="SABRE"/>
    <x v="1311"/>
    <s v="SNECMLT"/>
    <s v="SNECML"/>
    <s v="ConverterPagamentosRemark-&gt;Input string was not in a correct format.&lt;-MontarAccountinsHotel&lt;-ProcessarHotel&lt;-ProcessarItemFila[b]"/>
    <d v="2025-06-03T10:17:00"/>
    <m/>
    <s v="FORMA PAGTO/RECTO"/>
    <s v="FORMATO DE TEXTO"/>
    <s v="TEXTO FORA DO PADRÃO ACEITO NO CAMPO"/>
    <x v="2"/>
    <s v="SUPORTE OBT"/>
    <s v="COLUNA I"/>
  </r>
  <r>
    <n v="3460348"/>
    <s v="SABRE"/>
    <x v="1312"/>
    <s v="OURNHMT"/>
    <s v="OURNHM"/>
    <s v="Não localizado cliente código [0000068873].&lt;-ObterCliente&lt;-MontarPnrBase&lt;-MontarPnr&lt;-ProcessarHotel&lt;-ProcessarItemFila[b]"/>
    <d v="2025-06-03T10:21:00"/>
    <m/>
    <s v="CLIENTE"/>
    <s v="CÓD. CLIENTE DIVERGENTE"/>
    <s v="CÓDIGO DIFERENTE DO CADASTRADO NO BENNER (CLIENTE X GRUPO)"/>
    <x v="1"/>
    <s v="SUPORTE OBT"/>
    <n v="1"/>
  </r>
  <r>
    <n v="3460532"/>
    <s v="SABRE"/>
    <x v="1313"/>
    <s v="JAZWLO"/>
    <s v="JAZWLO"/>
    <s v="Não localizado cliente com CNPJ [JTI PROCESSADORA].&lt;-ObterCliente&lt;-MontarPnrBase&lt;-ProcessarAereo&lt;-ProcessarItemFila[b]"/>
    <d v="2025-06-03T12:47:00"/>
    <m/>
    <s v="CLIENTE"/>
    <s v="REMARK - CNPJ"/>
    <s v=""/>
    <x v="3"/>
    <s v="OPERAÇÕES / SUPORTE KCS"/>
    <n v="24"/>
  </r>
  <r>
    <n v="3460535"/>
    <s v="SABRE"/>
    <x v="1314"/>
    <s v="NKRGSI"/>
    <s v="NKRGSI"/>
    <s v="Não localizado cliente com CNPJ [JTI PROCESSADORA].&lt;-ObterCliente&lt;-MontarPnrBase&lt;-ProcessarAereo&lt;-ProcessarItemFila[b]"/>
    <d v="2025-06-03T12:49:00"/>
    <m/>
    <s v="CLIENTE"/>
    <s v="REMARK - CNPJ"/>
    <s v=""/>
    <x v="1"/>
    <s v="OPERAÇÕES / SUPORTE KCS"/>
    <n v="24"/>
  </r>
  <r>
    <n v="3460794"/>
    <s v="TMS"/>
    <x v="1315"/>
    <n v="22536"/>
    <n v="22536"/>
    <s v="Inserindo Accounting Servico - Parâmetro Consolidador - TurVendas - Não foi possível localizar o contrato do fornecedor CLICKBUS"/>
    <d v="2025-06-03T13:55:00"/>
    <m/>
    <s v="FORNECEDOR"/>
    <s v="CONTRATO FORNECEDOR"/>
    <s v="CONTRATO INATIVO OU DIVERGENTE"/>
    <x v="0"/>
    <s v="OPERAÇÕES / SUPORTE KCS"/>
    <n v="69"/>
  </r>
  <r>
    <n v="3465789"/>
    <s v="SABRE"/>
    <x v="1316"/>
    <s v="ABBJZI"/>
    <s v="ABBJZI"/>
    <s v="Não localizado cliente código [0000084716].&lt;-ObterCliente&lt;-MontarPnrBase&lt;-ProcessarAereo&lt;-ProcessarItemFila[b]"/>
    <d v="2025-06-05T11:47:00"/>
    <m/>
    <s v="CLIENTE"/>
    <s v="CÓD. CLIENTE DIVERGENTE"/>
    <s v="CÓDIGO DIFERENTE DO CADASTRADO NO BENNER (CLIENTE X GRUPO)"/>
    <x v="1"/>
    <s v="SUPORTE OBT"/>
    <n v="1"/>
  </r>
  <r>
    <n v="3464806"/>
    <s v="SABRE"/>
    <x v="1317"/>
    <s v="CNGGIS"/>
    <s v="CNGGIS"/>
    <s v="Código de cliente não identificado&lt;-ObterCliente&lt;-MontarPnrBase&lt;-ProcessarAereo&lt;-ProcessarItemFila[b]"/>
    <d v="2025-06-04T20:04:00"/>
    <m/>
    <s v="CLIENTE"/>
    <s v="CLIENTE NÃO IDENTIFICADO"/>
    <s v="DK DE CLIENTE NÃO PREENCIDO / CLIENTE NÃO CONFIGURADO NO OBT"/>
    <x v="2"/>
    <s v="OPERAÇÕES / SUPORTE KCS"/>
    <s v="COLUNA I"/>
  </r>
  <r>
    <n v="3465660"/>
    <s v="SABRE"/>
    <x v="1318"/>
    <s v="CYYWCZ"/>
    <s v="CYYWCZ"/>
    <s v="Não localizado cliente código [0000000].&lt;-ObterCliente&lt;-MontarPnrBase&lt;-ProcessarAereo&lt;-ProcessarItemFila[b]"/>
    <d v="2025-06-05T10:33:00"/>
    <m/>
    <s v="CLIENTE"/>
    <s v="CÓD. CLIENTE DIVERGENTE"/>
    <s v="CÓDIGO DIFERENTE DO CADASTRADO NO BENNER (CLIENTE X GRUPO)"/>
    <x v="1"/>
    <s v="SUPORTE OBT"/>
    <n v="1"/>
  </r>
  <r>
    <n v="3465757"/>
    <s v="SABRE"/>
    <x v="1319"/>
    <s v="DGUEXWT"/>
    <s v="DGUEXW"/>
    <s v="ConverterPagamentosRemark-&gt;Input string was not in a correct format.&lt;-MontarAccountinsHotel&lt;-ProcessarHotel&lt;-ProcessarItemFila[b]"/>
    <d v="2025-06-05T11:32:00"/>
    <m/>
    <s v="FORMA PAGTO/RECTO"/>
    <s v="FORMATO DE TEXTO"/>
    <s v="TEXTO FORA DO PADRÃO ACEITO NO CAMPO"/>
    <x v="2"/>
    <s v="SUPORTE OBT"/>
    <s v="COLUNA I"/>
  </r>
  <r>
    <n v="3464801"/>
    <s v="SABRE"/>
    <x v="1317"/>
    <s v="DMEQWO"/>
    <s v="DMEQWO"/>
    <s v="Código de cliente não identificado&lt;-ObterCliente&lt;-MontarPnrBase&lt;-ProcessarAereo&lt;-ProcessarItemFila[b]"/>
    <d v="2025-06-04T20:04:00"/>
    <m/>
    <s v="CLIENTE"/>
    <s v="CLIENTE NÃO IDENTIFICADO"/>
    <s v="DK DE CLIENTE NÃO PREENCIDO / CLIENTE NÃO CONFIGURADO NO OBT"/>
    <x v="2"/>
    <s v="OPERAÇÕES / SUPORTE KCS"/>
    <s v="COLUNA I"/>
  </r>
  <r>
    <n v="3468152"/>
    <s v="SABRE"/>
    <x v="1320"/>
    <s v="DXENFE"/>
    <s v="DXENFE"/>
    <s v="Não localizado cliente código [0000063625].&lt;-ObterCliente&lt;-MontarPnrBase&lt;-ProcessarAereo&lt;-ProcessarItemFila[b]"/>
    <d v="2025-06-06T10:17:00"/>
    <m/>
    <s v="CLIENTE"/>
    <s v="CÓD. CLIENTE DIVERGENTE"/>
    <s v="CÓDIGO DIFERENTE DO CADASTRADO NO BENNER (CLIENTE X GRUPO)"/>
    <x v="1"/>
    <s v="SUPORTE OBT"/>
    <n v="1"/>
  </r>
  <r>
    <n v="3465696"/>
    <s v="SABRE"/>
    <x v="1321"/>
    <s v="EMBNURT"/>
    <s v="EMBNUR"/>
    <s v="ConverterPagamentosRemark-&gt;Input string was not in a correct format.&lt;-MontarAccountinsHotel&lt;-ProcessarHotel&lt;-ProcessarItemFila[b]"/>
    <d v="2025-06-05T11:04:00"/>
    <m/>
    <s v="FORMA PAGTO/RECTO"/>
    <s v="FORMATO DE TEXTO"/>
    <s v="TEXTO FORA DO PADRÃO ACEITO NO CAMPO"/>
    <x v="2"/>
    <s v="SUPORTE OBT"/>
    <s v="COLUNA I"/>
  </r>
  <r>
    <n v="3465782"/>
    <s v="SABRE"/>
    <x v="1316"/>
    <s v="FDHAAH"/>
    <s v="FDHAAH"/>
    <s v="Não localizado cliente código [0000000].&lt;-ObterCliente&lt;-MontarPnrBase&lt;-ProcessarAereo&lt;-ProcessarItemFila[b]"/>
    <d v="2025-06-05T11:47:00"/>
    <m/>
    <s v="CLIENTE"/>
    <s v="CÓD. CLIENTE DIVERGENTE"/>
    <s v="CÓDIGO DIFERENTE DO CADASTRADO NO BENNER (CLIENTE X GRUPO)"/>
    <x v="1"/>
    <s v="SUPORTE OBT"/>
    <n v="1"/>
  </r>
  <r>
    <n v="3465781"/>
    <s v="SABRE"/>
    <x v="1316"/>
    <s v="FEBGCO"/>
    <s v="FEBGCO"/>
    <s v="Não localizado cliente código [0000000].&lt;-ObterCliente&lt;-MontarPnrBase&lt;-ProcessarAereo&lt;-ProcessarItemFila[b]"/>
    <d v="2025-06-05T11:46:00"/>
    <m/>
    <s v="CLIENTE"/>
    <s v="CÓD. CLIENTE DIVERGENTE"/>
    <s v="CÓDIGO DIFERENTE DO CADASTRADO NO BENNER (CLIENTE X GRUPO)"/>
    <x v="1"/>
    <s v="SUPORTE OBT"/>
    <n v="1"/>
  </r>
  <r>
    <n v="3466971"/>
    <s v="SABRE"/>
    <x v="1322"/>
    <s v="GYOJNS"/>
    <s v="GYOJNS"/>
    <s v="Código de cliente não identificado&lt;-ObterCliente&lt;-MontarPnrBase&lt;-ProcessarAereo&lt;-ProcessarItemFila[b]"/>
    <d v="2025-06-05T17:46:00"/>
    <m/>
    <s v="CLIENTE"/>
    <s v="CLIENTE NÃO IDENTIFICADO"/>
    <s v="DK DE CLIENTE NÃO PREENCIDO / CLIENTE NÃO CONFIGURADO NO OBT"/>
    <x v="2"/>
    <s v="OPERAÇÕES / SUPORTE KCS"/>
    <s v="COLUNA I"/>
  </r>
  <r>
    <n v="3461717"/>
    <s v="SABRE"/>
    <x v="1323"/>
    <s v="IQPSYS"/>
    <s v="IQPSYS"/>
    <s v="Código de cliente não identificado&lt;-ObterCliente&lt;-MontarPnrBase&lt;-ProcessarAereo&lt;-ProcessarItemFila[b]"/>
    <d v="2025-06-03T18:32:00"/>
    <m/>
    <s v="CLIENTE"/>
    <s v="CLIENTE NÃO IDENTIFICADO"/>
    <s v="DK DE CLIENTE NÃO PREENCIDO / CLIENTE NÃO CONFIGURADO NO OBT"/>
    <x v="2"/>
    <s v="OPERAÇÕES / SUPORTE KCS"/>
    <s v="COLUNA I"/>
  </r>
  <r>
    <n v="3465791"/>
    <s v="SABRE"/>
    <x v="1316"/>
    <s v="ISMEPST"/>
    <s v="ISMEPS"/>
    <s v="ConverterPagamentosRemark-&gt;Input string was not in a correct format.&lt;-MontarAccountinsHotel&lt;-ProcessarHotel&lt;-ProcessarItemFila[b]"/>
    <d v="2025-06-05T11:48:00"/>
    <m/>
    <s v="FORMA PAGTO/RECTO"/>
    <s v="FORMATO DE TEXTO"/>
    <s v="TEXTO FORA DO PADRÃO ACEITO NO CAMPO"/>
    <x v="2"/>
    <s v="SUPORTE OBT"/>
    <s v="COLUNA I"/>
  </r>
  <r>
    <n v="3465659"/>
    <s v="SABRE"/>
    <x v="1318"/>
    <s v="JEXGRG"/>
    <s v="JEXGRG"/>
    <s v="Não localizado cliente código [0000000].&lt;-ObterCliente&lt;-MontarPnrBase&lt;-ProcessarAereo&lt;-ProcessarItemFila[b]"/>
    <d v="2025-06-05T10:33:00"/>
    <m/>
    <s v="CLIENTE"/>
    <s v="CÓD. CLIENTE DIVERGENTE"/>
    <s v="CÓDIGO DIFERENTE DO CADASTRADO NO BENNER (CLIENTE X GRUPO)"/>
    <x v="1"/>
    <s v="SUPORTE OBT"/>
    <n v="1"/>
  </r>
  <r>
    <n v="3465658"/>
    <s v="SABRE"/>
    <x v="1318"/>
    <s v="JFPVPZ"/>
    <s v="JFPVPZ"/>
    <s v="Não localizado cliente código [0000000].&lt;-ObterCliente&lt;-MontarPnrBase&lt;-ProcessarAereo&lt;-ProcessarItemFila[b]"/>
    <d v="2025-06-05T10:33:00"/>
    <m/>
    <s v="CLIENTE"/>
    <s v="CÓD. CLIENTE DIVERGENTE"/>
    <s v="CÓDIGO DIFERENTE DO CADASTRADO NO BENNER (CLIENTE X GRUPO)"/>
    <x v="1"/>
    <s v="SUPORTE OBT"/>
    <n v="1"/>
  </r>
  <r>
    <n v="3464790"/>
    <s v="SABRE"/>
    <x v="1317"/>
    <s v="JWAKUC"/>
    <s v="JWAKUC"/>
    <s v="Código de cliente não identificado&lt;-ObterCliente&lt;-MontarPnrBase&lt;-ProcessarAereo&lt;-ProcessarItemFila[b]"/>
    <d v="2025-06-04T20:03:00"/>
    <m/>
    <s v="CLIENTE"/>
    <s v="CLIENTE NÃO IDENTIFICADO"/>
    <s v="DK DE CLIENTE NÃO PREENCIDO / CLIENTE NÃO CONFIGURADO NO OBT"/>
    <x v="2"/>
    <s v="OPERAÇÕES / SUPORTE KCS"/>
    <s v="COLUNA I"/>
  </r>
  <r>
    <n v="3466395"/>
    <s v="SABRE"/>
    <x v="1324"/>
    <s v="KAVQHA"/>
    <s v="KAVQHA"/>
    <s v="Não localizado cliente com CNPJ [9108301000108].&lt;-ObterCliente&lt;-MontarPnrBase&lt;-ProcessarAereo&lt;-ProcessarItemFila[b]"/>
    <d v="2025-06-05T15:02:00"/>
    <d v="2025-06-05T15:03:00"/>
    <s v="CLIENTE"/>
    <s v="REMARK - CNPJ"/>
    <s v=""/>
    <x v="1"/>
    <s v="OPERAÇÕES / SUPORTE KCS"/>
    <n v="24"/>
  </r>
  <r>
    <n v="3466397"/>
    <s v="SABRE"/>
    <x v="1324"/>
    <s v="KAVQHAT"/>
    <s v="KAVQHA"/>
    <s v="Não localizado cliente com CNPJ [9108301000108].&lt;-ObterCliente&lt;-MontarPnrBase&lt;-MontarPnr&lt;-ProcessarHotel&lt;-ProcessarItemFila[b]"/>
    <d v="2025-06-05T15:02:00"/>
    <d v="2025-06-05T15:04:00"/>
    <s v="CLIENTE"/>
    <s v="REMARK - CNPJ"/>
    <s v=""/>
    <x v="1"/>
    <s v="OPERAÇÕES / SUPORTE KCS"/>
    <n v="24"/>
  </r>
  <r>
    <n v="3465572"/>
    <s v="SABRE"/>
    <x v="1325"/>
    <s v="KHOLYET"/>
    <s v="KHOLYE"/>
    <s v="Inserindo PNR - Accountings - TurVendas - Não foi possível localizar o contrato do fornecedor 63925"/>
    <d v="2025-06-05T10:01:00"/>
    <m/>
    <s v="FORNECEDOR"/>
    <s v="CONTRATO FORNECEDOR"/>
    <s v="CONTRATO INATIVO OU DIVERGENTE"/>
    <x v="0"/>
    <s v="OPERAÇÕES / SUPORTE KCS"/>
    <n v="43"/>
  </r>
  <r>
    <n v="3467127"/>
    <s v="SABRE"/>
    <x v="1326"/>
    <s v="MNCWOX"/>
    <s v="MNCWOX"/>
    <s v="Código de cliente não identificado&lt;-ObterCliente&lt;-MontarPnrBase&lt;-ProcessarAereo&lt;-ProcessarItemFila[b]"/>
    <d v="2025-06-05T19:46:00"/>
    <m/>
    <s v="CLIENTE"/>
    <s v="CLIENTE NÃO IDENTIFICADO"/>
    <s v="DK DE CLIENTE NÃO PREENCIDO / CLIENTE NÃO CONFIGURADO NO OBT"/>
    <x v="2"/>
    <s v="OPERAÇÕES / SUPORTE KCS"/>
    <s v="COLUNA I"/>
  </r>
  <r>
    <n v="3467121"/>
    <s v="SABRE"/>
    <x v="1327"/>
    <s v="MQNWYJ"/>
    <s v="MQNWYJ"/>
    <s v="Código de cliente não identificado&lt;-ObterCliente&lt;-MontarPnrBase&lt;-ProcessarAereo&lt;-ProcessarItemFila[b]"/>
    <d v="2025-06-05T19:32:00"/>
    <m/>
    <s v="CLIENTE"/>
    <s v="CLIENTE NÃO IDENTIFICADO"/>
    <s v="DK DE CLIENTE NÃO PREENCIDO / CLIENTE NÃO CONFIGURADO NO OBT"/>
    <x v="2"/>
    <s v="OPERAÇÕES / SUPORTE KCS"/>
    <s v="COLUNA I"/>
  </r>
  <r>
    <n v="3466804"/>
    <s v="SABRE"/>
    <x v="1328"/>
    <s v="NWWAQY"/>
    <s v="NWWAQY"/>
    <s v="Não localizado cliente código [0000286569].&lt;-ObterCliente&lt;-MontarPnrBase&lt;-ProcessarAereo&lt;-ProcessarItemFila[b]"/>
    <d v="2025-06-05T16:17:00"/>
    <m/>
    <s v="CLIENTE"/>
    <s v="CÓD. CLIENTE DIVERGENTE"/>
    <s v="CÓDIGO DIFERENTE DO CADASTRADO NO BENNER (CLIENTE X GRUPO)"/>
    <x v="1"/>
    <s v="SUPORTE OBT"/>
    <n v="1"/>
  </r>
  <r>
    <n v="3461720"/>
    <s v="SABRE"/>
    <x v="1323"/>
    <s v="OQQIFB"/>
    <s v="OQQIFB"/>
    <s v="Não localizado cliente código [1234567890].&lt;-ObterCliente&lt;-MontarPnrBase&lt;-ProcessarAereo&lt;-ProcessarItemFila[b]"/>
    <d v="2025-06-03T18:32:00"/>
    <m/>
    <s v="CLIENTE"/>
    <s v="CÓD. CLIENTE DIVERGENTE"/>
    <s v="CÓDIGO DIFERENTE DO CADASTRADO NO BENNER (CLIENTE X GRUPO)"/>
    <x v="1"/>
    <s v="SUPORTE OBT"/>
    <n v="1"/>
  </r>
  <r>
    <n v="3468241"/>
    <s v="SABRE"/>
    <x v="1329"/>
    <s v="OTWBEKT"/>
    <s v="OTWBEK"/>
    <s v="ConverterPagamentosRemark-&gt;Input string was not in a correct format.&lt;-MontarAccountinsHotel&lt;-ProcessarHotel&lt;-ProcessarItemFila[b]"/>
    <d v="2025-06-06T11:19:00"/>
    <m/>
    <s v="FORMA PAGTO/RECTO"/>
    <s v="FORMATO DE TEXTO"/>
    <s v="TEXTO FORA DO PADRÃO ACEITO NO CAMPO"/>
    <x v="2"/>
    <s v="SUPORTE OBT"/>
    <s v="COLUNA I"/>
  </r>
  <r>
    <n v="3462990"/>
    <s v="SABRE"/>
    <x v="1330"/>
    <s v="OUHCRT"/>
    <s v="OUHCRT"/>
    <s v="Não localizado cliente código [0000000].&lt;-ObterCliente&lt;-MontarPnrBase&lt;-ProcessarAereo&lt;-ProcessarItemFila[b]"/>
    <d v="2025-06-04T11:47:00"/>
    <m/>
    <s v="CLIENTE"/>
    <s v="CÓD. CLIENTE DIVERGENTE"/>
    <s v="CÓDIGO DIFERENTE DO CADASTRADO NO BENNER (CLIENTE X GRUPO)"/>
    <x v="1"/>
    <s v="SUPORTE OBT"/>
    <n v="1"/>
  </r>
  <r>
    <n v="3467027"/>
    <s v="SABRE"/>
    <x v="1331"/>
    <s v="QGEBET"/>
    <s v="QGEBET"/>
    <s v="Não localizado cliente código [0000000].&lt;-ObterCliente&lt;-MontarPnrBase&lt;-ProcessarAereo&lt;-ProcessarItemFila[b]"/>
    <d v="2025-06-05T18:17:00"/>
    <d v="2025-06-05T18:46:00"/>
    <s v="CLIENTE"/>
    <s v="CÓD. CLIENTE DIVERGENTE"/>
    <s v="CÓDIGO DIFERENTE DO CADASTRADO NO BENNER (CLIENTE X GRUPO)"/>
    <x v="1"/>
    <s v="SUPORTE OBT"/>
    <n v="1"/>
  </r>
  <r>
    <n v="3468240"/>
    <s v="SABRE"/>
    <x v="1329"/>
    <s v="SNOIHET"/>
    <s v="SNOIHE"/>
    <s v="ConverterPagamentosRemark-&gt;Input string was not in a correct format.&lt;-MontarAccountinsHotel&lt;-ProcessarHotel&lt;-ProcessarItemFila[b]"/>
    <d v="2025-06-06T11:19:00"/>
    <m/>
    <s v="FORMA PAGTO/RECTO"/>
    <s v="FORMATO DE TEXTO"/>
    <s v="TEXTO FORA DO PADRÃO ACEITO NO CAMPO"/>
    <x v="2"/>
    <s v="SUPORTE OBT"/>
    <s v="COLUNA I"/>
  </r>
  <r>
    <n v="3465896"/>
    <s v="SABRE"/>
    <x v="1332"/>
    <s v="UNWTCI"/>
    <s v="UNWTCI"/>
    <s v="Não localizado cliente com CNPJ [JTI PROCESSADORA].&lt;-ObterCliente&lt;-MontarPnrBase&lt;-ProcessarAereo&lt;-ProcessarItemFila[b]"/>
    <d v="2025-06-05T13:02:00"/>
    <m/>
    <s v="CLIENTE"/>
    <s v="REMARK - CNPJ"/>
    <s v=""/>
    <x v="1"/>
    <s v="OPERAÇÕES / SUPORTE KCS"/>
    <n v="24"/>
  </r>
  <r>
    <n v="3465661"/>
    <s v="SABRE"/>
    <x v="1318"/>
    <s v="UNZVGR"/>
    <s v="UNZVGR"/>
    <s v="Não localizado cliente código [0000000].&lt;-ObterCliente&lt;-MontarPnrBase&lt;-ProcessarAereo&lt;-ProcessarItemFila[b]"/>
    <d v="2025-06-05T10:33:00"/>
    <m/>
    <s v="CLIENTE"/>
    <s v="CÓD. CLIENTE DIVERGENTE"/>
    <s v="CÓDIGO DIFERENTE DO CADASTRADO NO BENNER (CLIENTE X GRUPO)"/>
    <x v="1"/>
    <s v="SUPORTE OBT"/>
    <n v="1"/>
  </r>
  <r>
    <n v="3464811"/>
    <s v="SABRE"/>
    <x v="1317"/>
    <s v="UQOBYN"/>
    <s v="UQOBYN"/>
    <s v="Código de cliente não identificado&lt;-ObterCliente&lt;-MontarPnrBase&lt;-ProcessarAereo&lt;-ProcessarItemFila[b]"/>
    <d v="2025-06-04T20:04:00"/>
    <m/>
    <s v="CLIENTE"/>
    <s v="CLIENTE NÃO IDENTIFICADO"/>
    <s v="DK DE CLIENTE NÃO PREENCIDO / CLIENTE NÃO CONFIGURADO NO OBT"/>
    <x v="2"/>
    <s v="OPERAÇÕES / SUPORTE KCS"/>
    <s v="COLUNA I"/>
  </r>
  <r>
    <n v="3464803"/>
    <s v="SABRE"/>
    <x v="1317"/>
    <s v="UTDYTM"/>
    <s v="UTDYTM"/>
    <s v="Código de cliente não identificado&lt;-ObterCliente&lt;-MontarPnrBase&lt;-ProcessarAereo&lt;-ProcessarItemFila[b]"/>
    <d v="2025-06-04T20:04:00"/>
    <m/>
    <s v="CLIENTE"/>
    <s v="CLIENTE NÃO IDENTIFICADO"/>
    <s v="DK DE CLIENTE NÃO PREENCIDO / CLIENTE NÃO CONFIGURADO NO OBT"/>
    <x v="2"/>
    <s v="OPERAÇÕES / SUPORTE KCS"/>
    <s v="COLUNA I"/>
  </r>
  <r>
    <n v="3464792"/>
    <s v="SABRE"/>
    <x v="1317"/>
    <s v="WHZBZN"/>
    <s v="WHZBZN"/>
    <s v="Código de cliente não identificado&lt;-ObterCliente&lt;-MontarPnrBase&lt;-ProcessarAereo&lt;-ProcessarItemFila[b]"/>
    <d v="2025-06-04T20:03:00"/>
    <m/>
    <s v="CLIENTE"/>
    <s v="CLIENTE NÃO IDENTIFICADO"/>
    <s v="DK DE CLIENTE NÃO PREENCIDO / CLIENTE NÃO CONFIGURADO NO OBT"/>
    <x v="2"/>
    <s v="OPERAÇÕES / SUPORTE KCS"/>
    <s v="COLUNA I"/>
  </r>
  <r>
    <n v="3468304"/>
    <s v="SABRE"/>
    <x v="1333"/>
    <s v="WVNDDO"/>
    <s v="WVNDDO"/>
    <s v="Não localizado cliente código [1234567890].&lt;-ObterCliente&lt;-MontarPnrBase&lt;-ProcessarAereo&lt;-ProcessarItemFila[b]"/>
    <d v="2025-06-06T12:03:00"/>
    <m/>
    <s v="CLIENTE"/>
    <s v="CÓD. CLIENTE DIVERGENTE"/>
    <s v="CÓDIGO DIFERENTE DO CADASTRADO NO BENNER (CLIENTE X GRUPO)"/>
    <x v="1"/>
    <s v="SUPORTE OBT"/>
    <n v="1"/>
  </r>
  <r>
    <n v="3467043"/>
    <s v="SABRE"/>
    <x v="1334"/>
    <s v="WWHTVGT"/>
    <s v="WWHTVG"/>
    <s v="ConverterPagamentosRemark-&gt;Input string was not in a correct format.&lt;-MontarAccountinsHotel&lt;-ProcessarHotel&lt;-ProcessarItemFila[b]"/>
    <d v="2025-06-05T18:31:00"/>
    <m/>
    <s v="FORMA PAGTO/RECTO"/>
    <s v="FORMATO DE TEXTO"/>
    <s v="TEXTO FORA DO PADRÃO ACEITO NO CAMPO"/>
    <x v="2"/>
    <s v="SUPORTE OBT"/>
    <s v="COLUNA I"/>
  </r>
  <r>
    <n v="3462989"/>
    <s v="SABRE"/>
    <x v="1330"/>
    <s v="WYGAWH"/>
    <s v="WYGAWH"/>
    <s v="Não localizado cliente código [0000000].&lt;-ObterCliente&lt;-MontarPnrBase&lt;-ProcessarAereo&lt;-ProcessarItemFila[b]"/>
    <d v="2025-06-04T11:47:00"/>
    <m/>
    <s v="CLIENTE"/>
    <s v="CÓD. CLIENTE DIVERGENTE"/>
    <s v="CÓDIGO DIFERENTE DO CADASTRADO NO BENNER (CLIENTE X GRUPO)"/>
    <x v="1"/>
    <s v="SUPORTE OBT"/>
    <n v="1"/>
  </r>
  <r>
    <n v="3462991"/>
    <s v="SABRE"/>
    <x v="1330"/>
    <s v="WYLMWF"/>
    <s v="WYLMWF"/>
    <s v="Não localizado cliente código [0000000].&lt;-ObterCliente&lt;-MontarPnrBase&lt;-ProcessarAereo&lt;-ProcessarItemFila[b]"/>
    <d v="2025-06-04T11:47:00"/>
    <m/>
    <s v="CLIENTE"/>
    <s v="CÓD. CLIENTE DIVERGENTE"/>
    <s v="CÓDIGO DIFERENTE DO CADASTRADO NO BENNER (CLIENTE X GRUPO)"/>
    <x v="1"/>
    <s v="SUPORTE OBT"/>
    <n v="1"/>
  </r>
  <r>
    <n v="3462814"/>
    <s v="SABRE"/>
    <x v="1335"/>
    <s v="YCJXLH"/>
    <s v="YCJXLH"/>
    <s v="ERRO: Cancelamento de Venda: Não há PNR no sistema para cancelar, venda não inserida!"/>
    <d v="2025-06-04T09:31:00"/>
    <m/>
    <s v="CANCELAMENTO"/>
    <s v="VENDA CANCELADA"/>
    <s v="RESERVA CANCELADA NO OBT"/>
    <x v="0"/>
    <s v="SUPORTE OBT"/>
    <s v="COLUNA I"/>
  </r>
  <r>
    <n v="3461284"/>
    <s v="SABRE"/>
    <x v="1336"/>
    <s v="YGDMYX"/>
    <s v="YGDMYX"/>
    <s v="Não localizado cliente código [0000583808].&lt;-ObterCliente&lt;-MontarPnrBase&lt;-ProcessarAereo&lt;-ProcessarItemFila[b]"/>
    <d v="2025-06-03T15:32:00"/>
    <m/>
    <s v="CLIENTE"/>
    <s v="CÓD. CLIENTE DIVERGENTE"/>
    <s v="CÓDIGO DIFERENTE DO CADASTRADO NO BENNER (CLIENTE X GRUPO)"/>
    <x v="1"/>
    <s v="SUPORTE OBT"/>
    <n v="1"/>
  </r>
  <r>
    <n v="3467065"/>
    <s v="SABRE"/>
    <x v="1337"/>
    <s v="YRWWXF"/>
    <s v="YRWWXF"/>
    <s v="Código de cliente não identificado&lt;-ObterCliente&lt;-MontarPnrBase&lt;-ProcessarAereo&lt;-ProcessarItemFila[b]"/>
    <d v="2025-06-05T18:47:00"/>
    <m/>
    <s v="CLIENTE"/>
    <s v="CLIENTE NÃO IDENTIFICADO"/>
    <s v="DK DE CLIENTE NÃO PREENCIDO / CLIENTE NÃO CONFIGURADO NO OBT"/>
    <x v="2"/>
    <s v="OPERAÇÕES / SUPORTE KCS"/>
    <s v="COLUNA I"/>
  </r>
  <r>
    <n v="3463922"/>
    <s v="TMS"/>
    <x v="1338"/>
    <n v="20558"/>
    <n v="20558"/>
    <s v="Preenchendo XML Serviço-&gt; Preenchendo XML-&gt; Montando accounting aereo 3-&gt;Reserva 957445 não encontrada para importar assento/bagagem!"/>
    <d v="2025-06-04T15:27:00"/>
    <d v="2025-06-06T08:21:00"/>
    <s v="OUTROS"/>
    <s v="ASSENTO / BAGAGEM"/>
    <s v="CAMPO OBSERVAÇÃO PREENCHIDO INCORRETAMENTE"/>
    <x v="1"/>
    <s v="OPERAÇÕES / SUPORTE KCS"/>
    <n v="127"/>
  </r>
  <r>
    <n v="3466756"/>
    <s v="LEMONTECH"/>
    <x v="1339"/>
    <s v="16765383-53289924"/>
    <s v="XXXXX-83"/>
    <s v="Inserindo PNR - Accountings - TurVendas - Não foi possível localizar o contrato do fornecedor 0A"/>
    <d v="2025-06-05T16:04:00"/>
    <d v="2025-06-06T12:02:00"/>
    <s v="FORNECEDOR"/>
    <s v="CONTRATO FORNECEDOR"/>
    <s v="CONTRATO INATIVO OU DIVERGENTE"/>
    <x v="0"/>
    <s v="OPERAÇÕES / SUPORTE KCS"/>
    <n v="43"/>
  </r>
  <r>
    <n v="3462669"/>
    <s v="GOVER"/>
    <x v="1340"/>
    <n v="4547415"/>
    <n v="4547415"/>
    <s v="PreencherPnr-&gt;Foi identificado um localizador sem código."/>
    <d v="2025-06-03T22:44:00"/>
    <d v="2025-06-06T12:26:00"/>
    <s v="OUTROS"/>
    <s v="RLOC NÃO INFORMADO"/>
    <s v="RLOC NÃO PREENCHIDO NA RESERVA"/>
    <x v="1"/>
    <s v="SUPORTE OBT"/>
    <s v="COLUNA I"/>
  </r>
  <r>
    <n v="3466713"/>
    <s v="GOVER"/>
    <x v="1341"/>
    <n v="4548066"/>
    <s v="ULGBMJ"/>
    <s v="Inserindo Trecho - Parâmetro Fornecedor - TurVendas - Não foi possível localizar o contrato do fornecedor A"/>
    <d v="2025-06-05T15:56:00"/>
    <d v="2025-06-06T12:26:00"/>
    <s v="FORNECEDOR"/>
    <s v="CONTRATO FORNECEDOR"/>
    <s v="CONTRATO INATIVO OU DIVERGENTE"/>
    <x v="0"/>
    <s v="OPERAÇÕES / SUPORTE KCS"/>
    <n v="55"/>
  </r>
  <r>
    <n v="3467975"/>
    <s v="GOVER"/>
    <x v="1342"/>
    <n v="4548149"/>
    <s v="FRRMNB"/>
    <s v="Inserindo Trecho - Parâmetro Fornecedor - TurVendas - Não foi possível localizar o contrato do fornecedor A"/>
    <d v="2025-06-06T00:06:00"/>
    <d v="2025-06-06T10:46:00"/>
    <s v="FORNECEDOR"/>
    <s v="CONTRATO FORNECEDOR"/>
    <s v="CONTRATO INATIVO OU DIVERGENTE"/>
    <x v="0"/>
    <s v="OPERAÇÕES / SUPORTE KCS"/>
    <n v="55"/>
  </r>
  <r>
    <n v="3466809"/>
    <s v="GOVER"/>
    <x v="1343"/>
    <n v="4548156"/>
    <s v="JRMV7B"/>
    <s v="Inserindo Trecho - Parâmetro Fornecedor - TurVendas - Não foi possível localizar o contrato do fornecedor A"/>
    <d v="2025-06-05T16:25:00"/>
    <d v="2025-06-06T12:26:00"/>
    <s v="FORNECEDOR"/>
    <s v="CONTRATO FORNECEDOR"/>
    <s v="CONTRATO INATIVO OU DIVERGENTE"/>
    <x v="0"/>
    <s v="OPERAÇÕES / SUPORTE KCS"/>
    <n v="55"/>
  </r>
  <r>
    <n v="3465762"/>
    <s v="GOVER"/>
    <x v="1344"/>
    <n v="4548162"/>
    <s v="ULQPFW"/>
    <s v="Inserindo Trecho - Parâmetro Fornecedor - TurVendas - Não foi possível localizar o contrato do fornecedor A"/>
    <d v="2025-06-05T11:36:00"/>
    <d v="2025-06-06T12:26:00"/>
    <s v="FORNECEDOR"/>
    <s v="CONTRATO FORNECEDOR"/>
    <s v="CONTRATO INATIVO OU DIVERGENTE"/>
    <x v="0"/>
    <s v="OPERAÇÕES / SUPORTE KCS"/>
    <n v="55"/>
  </r>
  <r>
    <n v="3465945"/>
    <s v="GOVER"/>
    <x v="1345"/>
    <n v="4548164"/>
    <s v="WE53UR"/>
    <s v="Inserindo Trecho - Parâmetro Fornecedor - TurVendas - Não foi possível localizar o contrato do fornecedor A"/>
    <d v="2025-06-05T13:46:00"/>
    <d v="2025-06-06T12:26:00"/>
    <s v="FORNECEDOR"/>
    <s v="CONTRATO FORNECEDOR"/>
    <s v="CONTRATO INATIVO OU DIVERGENTE"/>
    <x v="0"/>
    <s v="OPERAÇÕES / SUPORTE KCS"/>
    <n v="55"/>
  </r>
  <r>
    <n v="3465643"/>
    <s v="GOVER"/>
    <x v="1346"/>
    <n v="4548176"/>
    <s v="UNFHQD"/>
    <s v="Inserindo Trecho - Parâmetro Fornecedor - TurVendas - Não foi possível localizar o contrato do fornecedor A"/>
    <d v="2025-06-05T10:18:00"/>
    <d v="2025-06-06T12:26:00"/>
    <s v="FORNECEDOR"/>
    <s v="CONTRATO FORNECEDOR"/>
    <s v="CONTRATO INATIVO OU DIVERGENTE"/>
    <x v="0"/>
    <s v="OPERAÇÕES / SUPORTE KCS"/>
    <n v="55"/>
  </r>
  <r>
    <n v="3465752"/>
    <s v="GOVER"/>
    <x v="1347"/>
    <n v="4548179"/>
    <s v="YI5Q4C"/>
    <s v="Inserindo Trecho - Parâmetro Fornecedor - TurVendas - Não foi possível localizar o contrato do fornecedor A"/>
    <d v="2025-06-05T11:26:00"/>
    <d v="2025-06-06T12:26:00"/>
    <s v="FORNECEDOR"/>
    <s v="CONTRATO FORNECEDOR"/>
    <s v="CONTRATO INATIVO OU DIVERGENTE"/>
    <x v="0"/>
    <s v="OPERAÇÕES / SUPORTE KCS"/>
    <n v="55"/>
  </r>
  <r>
    <n v="3467978"/>
    <s v="GOVER"/>
    <x v="1348"/>
    <n v="4548191"/>
    <s v="MKHRHJ"/>
    <s v="Inserindo Trecho - Parâmetro Fornecedor - TurVendas - Não foi possível localizar o contrato do fornecedor A"/>
    <d v="2025-06-06T00:06:00"/>
    <d v="2025-06-06T10:46:00"/>
    <s v="FORNECEDOR"/>
    <s v="CONTRATO FORNECEDOR"/>
    <s v="CONTRATO INATIVO OU DIVERGENTE"/>
    <x v="0"/>
    <s v="OPERAÇÕES / SUPORTE KCS"/>
    <n v="55"/>
  </r>
  <r>
    <n v="3467974"/>
    <s v="GOVER"/>
    <x v="1349"/>
    <n v="4548207"/>
    <s v="XWRMYA"/>
    <s v="Inserindo Trecho - Parâmetro Fornecedor - TurVendas - Não foi possível localizar o contrato do fornecedor A"/>
    <d v="2025-06-06T00:06:00"/>
    <d v="2025-06-06T12:26:00"/>
    <s v="FORNECEDOR"/>
    <s v="CONTRATO FORNECEDOR"/>
    <s v="CONTRATO INATIVO OU DIVERGENTE"/>
    <x v="0"/>
    <s v="OPERAÇÕES / SUPORTE KCS"/>
    <n v="55"/>
  </r>
  <r>
    <n v="3465644"/>
    <s v="GOVER"/>
    <x v="1350"/>
    <n v="4548216"/>
    <s v="JRS4TR"/>
    <s v="Inserindo Trecho - Parâmetro Fornecedor - TurVendas - Não foi possível localizar o contrato do fornecedor A"/>
    <d v="2025-06-05T10:18:00"/>
    <d v="2025-06-06T10:44:00"/>
    <s v="FORNECEDOR"/>
    <s v="CONTRATO FORNECEDOR"/>
    <s v="CONTRATO INATIVO OU DIVERGENTE"/>
    <x v="0"/>
    <s v="OPERAÇÕES / SUPORTE KCS"/>
    <n v="55"/>
  </r>
  <r>
    <n v="3466783"/>
    <s v="GOVER"/>
    <x v="1351"/>
    <n v="4548224"/>
    <s v="SJKQXP"/>
    <s v="Inserindo Trecho - Parâmetro Fornecedor - TurVendas - Não foi possível localizar o contrato do fornecedor A"/>
    <d v="2025-06-05T16:06:00"/>
    <d v="2025-06-06T12:26:00"/>
    <s v="FORNECEDOR"/>
    <s v="CONTRATO FORNECEDOR"/>
    <s v="CONTRATO INATIVO OU DIVERGENTE"/>
    <x v="0"/>
    <s v="OPERAÇÕES / SUPORTE KCS"/>
    <n v="55"/>
  </r>
  <r>
    <n v="3467112"/>
    <s v="GOVER"/>
    <x v="1352"/>
    <n v="4548261"/>
    <s v="AWLIFX"/>
    <s v="Inserindo Trecho - Parâmetro Fornecedor - TurVendas - Não foi possível localizar o contrato do fornecedor A"/>
    <d v="2025-06-05T19:24:00"/>
    <d v="2025-06-06T12:26:00"/>
    <s v="FORNECEDOR"/>
    <s v="CONTRATO FORNECEDOR"/>
    <s v="CONTRATO INATIVO OU DIVERGENTE"/>
    <x v="0"/>
    <s v="OPERAÇÕES / SUPORTE KCS"/>
    <n v="55"/>
  </r>
  <r>
    <n v="3467113"/>
    <s v="GOVER"/>
    <x v="1352"/>
    <n v="4548261"/>
    <s v="FKFJQJ"/>
    <s v="Inserindo Trecho - Parâmetro Fornecedor - TurVendas - Não foi possível localizar o contrato do fornecedor A"/>
    <d v="2025-06-05T19:24:00"/>
    <d v="2025-06-06T12:26:00"/>
    <s v="FORNECEDOR"/>
    <s v="CONTRATO FORNECEDOR"/>
    <s v="CONTRATO INATIVO OU DIVERGENTE"/>
    <x v="0"/>
    <s v="OPERAÇÕES / SUPORTE KCS"/>
    <n v="55"/>
  </r>
  <r>
    <n v="3467114"/>
    <s v="GOVER"/>
    <x v="1352"/>
    <n v="4548261"/>
    <s v="UI1UTF"/>
    <s v="Inserindo Trecho - Parâmetro Fornecedor - TurVendas - Não foi possível localizar o contrato do fornecedor A"/>
    <d v="2025-06-05T19:25:00"/>
    <d v="2025-06-06T12:26:00"/>
    <s v="FORNECEDOR"/>
    <s v="CONTRATO FORNECEDOR"/>
    <s v="CONTRATO INATIVO OU DIVERGENTE"/>
    <x v="0"/>
    <s v="OPERAÇÕES / SUPORTE KCS"/>
    <n v="55"/>
  </r>
  <r>
    <n v="3467115"/>
    <s v="GOVER"/>
    <x v="1352"/>
    <n v="4548261"/>
    <s v="ZW6BXD"/>
    <s v="Inserindo Trecho - Parâmetro Fornecedor - TurVendas - Não foi possível localizar o contrato do fornecedor A"/>
    <d v="2025-06-05T19:25:00"/>
    <d v="2025-06-06T12:26:00"/>
    <s v="FORNECEDOR"/>
    <s v="CONTRATO FORNECEDOR"/>
    <s v="CONTRATO INATIVO OU DIVERGENTE"/>
    <x v="0"/>
    <s v="OPERAÇÕES / SUPORTE KCS"/>
    <n v="55"/>
  </r>
  <r>
    <n v="3465841"/>
    <s v="GOVER"/>
    <x v="1353"/>
    <n v="4548287"/>
    <s v="IMYMMD"/>
    <s v="Inserindo Trecho - Parâmetro Fornecedor - TurVendas - Não foi possível localizar o contrato do fornecedor A"/>
    <d v="2025-06-05T12:07:00"/>
    <d v="2025-06-06T12:26:00"/>
    <s v="FORNECEDOR"/>
    <s v="CONTRATO FORNECEDOR"/>
    <s v="CONTRATO INATIVO OU DIVERGENTE"/>
    <x v="0"/>
    <s v="OPERAÇÕES / SUPORTE KCS"/>
    <n v="55"/>
  </r>
  <r>
    <n v="3466810"/>
    <s v="GOVER"/>
    <x v="1354"/>
    <n v="4548358"/>
    <s v="ENZ1RQ"/>
    <s v="Inserindo Trecho - Parâmetro Fornecedor - TurVendas - Não foi possível localizar o contrato do fornecedor A"/>
    <d v="2025-06-05T16:25:00"/>
    <d v="2025-06-06T12:26:00"/>
    <s v="FORNECEDOR"/>
    <s v="CONTRATO FORNECEDOR"/>
    <s v="CONTRATO INATIVO OU DIVERGENTE"/>
    <x v="0"/>
    <s v="OPERAÇÕES / SUPORTE KCS"/>
    <n v="55"/>
  </r>
  <r>
    <n v="3467048"/>
    <s v="GOVER"/>
    <x v="1355"/>
    <n v="4548465"/>
    <s v="TDTRKB"/>
    <s v="Inserindo Trecho - Parâmetro Fornecedor - TurVendas - Não foi possível localizar o contrato do fornecedor A"/>
    <d v="2025-06-05T18:35:00"/>
    <d v="2025-06-06T12:26:00"/>
    <s v="FORNECEDOR"/>
    <s v="CONTRATO FORNECEDOR"/>
    <s v="CONTRATO INATIVO OU DIVERGENTE"/>
    <x v="0"/>
    <s v="OPERAÇÕES / SUPORTE KCS"/>
    <n v="55"/>
  </r>
  <r>
    <n v="3467022"/>
    <s v="GOVER"/>
    <x v="1356"/>
    <n v="4548485"/>
    <s v="HFGKRY"/>
    <s v="Inserindo Trecho - Parâmetro Fornecedor - TurVendas - Não foi possível localizar o contrato do fornecedor A"/>
    <d v="2025-06-05T18:15:00"/>
    <d v="2025-06-06T12:26:00"/>
    <s v="FORNECEDOR"/>
    <s v="CONTRATO FORNECEDOR"/>
    <s v="CONTRATO INATIVO OU DIVERGENTE"/>
    <x v="0"/>
    <s v="OPERAÇÕES / SUPORTE KCS"/>
    <n v="55"/>
  </r>
  <r>
    <n v="3466920"/>
    <s v="GOVER"/>
    <x v="1357"/>
    <n v="4548497"/>
    <s v="ZGW2PY"/>
    <s v="Inserindo Trecho - Parâmetro Fornecedor - TurVendas - Não foi possível localizar o contrato do fornecedor A"/>
    <d v="2025-06-05T17:26:00"/>
    <d v="2025-06-06T12:26:00"/>
    <s v="FORNECEDOR"/>
    <s v="CONTRATO FORNECEDOR"/>
    <s v="CONTRATO INATIVO OU DIVERGENTE"/>
    <x v="0"/>
    <s v="OPERAÇÕES / SUPORTE KCS"/>
    <n v="55"/>
  </r>
  <r>
    <n v="3466787"/>
    <s v="GOVER"/>
    <x v="1358"/>
    <n v="4548499"/>
    <s v="OEQK7L"/>
    <s v="Inserindo Trecho - Parâmetro Fornecedor - TurVendas - Não foi possível localizar o contrato do fornecedor A"/>
    <d v="2025-06-05T16:06:00"/>
    <d v="2025-06-06T12:26:00"/>
    <s v="FORNECEDOR"/>
    <s v="CONTRATO FORNECEDOR"/>
    <s v="CONTRATO INATIVO OU DIVERGENTE"/>
    <x v="0"/>
    <s v="OPERAÇÕES / SUPORTE KCS"/>
    <n v="55"/>
  </r>
  <r>
    <n v="3467016"/>
    <s v="GOVER"/>
    <x v="1359"/>
    <n v="4548558"/>
    <s v="RRRLRE"/>
    <s v="Inserindo Trecho - Parâmetro Fornecedor - TurVendas - Não foi possível localizar o contrato do fornecedor A"/>
    <d v="2025-06-05T18:07:00"/>
    <d v="2025-06-06T10:45:00"/>
    <s v="FORNECEDOR"/>
    <s v="CONTRATO FORNECEDOR"/>
    <s v="CONTRATO INATIVO OU DIVERGENTE"/>
    <x v="0"/>
    <s v="OPERAÇÕES / SUPORTE KCS"/>
    <n v="55"/>
  </r>
  <r>
    <n v="3468229"/>
    <s v="GOVER"/>
    <x v="1360"/>
    <n v="4548574"/>
    <s v="WMSE2D"/>
    <s v="Inserindo Trecho - Parâmetro Fornecedor - TurVendas - Não foi possível localizar o contrato do fornecedor A"/>
    <d v="2025-06-06T11:15:00"/>
    <d v="2025-06-06T12:26:00"/>
    <s v="FORNECEDOR"/>
    <s v="CONTRATO FORNECEDOR"/>
    <s v="CONTRATO INATIVO OU DIVERGENTE"/>
    <x v="0"/>
    <s v="OPERAÇÕES / SUPORTE KCS"/>
    <n v="55"/>
  </r>
  <r>
    <n v="3467098"/>
    <s v="GOVER"/>
    <x v="1361"/>
    <n v="4548581"/>
    <s v="CEEV2Y"/>
    <s v="Inserindo Trecho - Parâmetro Fornecedor - TurVendas - Não foi possível localizar o contrato do fornecedor A"/>
    <d v="2025-06-05T19:05:00"/>
    <d v="2025-06-06T12:26:00"/>
    <s v="FORNECEDOR"/>
    <s v="CONTRATO FORNECEDOR"/>
    <s v="CONTRATO INATIVO OU DIVERGENTE"/>
    <x v="0"/>
    <s v="OPERAÇÕES / SUPORTE KCS"/>
    <n v="55"/>
  </r>
  <r>
    <n v="3466834"/>
    <s v="GOVER"/>
    <x v="1362"/>
    <n v="4548583"/>
    <s v="IPHZGX"/>
    <s v="Inserindo Trecho - Parâmetro Fornecedor - TurVendas - Não foi possível localizar o contrato do fornecedor A"/>
    <d v="2025-06-05T16:56:00"/>
    <d v="2025-06-06T10:45:00"/>
    <s v="FORNECEDOR"/>
    <s v="CONTRATO FORNECEDOR"/>
    <s v="CONTRATO INATIVO OU DIVERGENTE"/>
    <x v="0"/>
    <s v="OPERAÇÕES / SUPORTE KCS"/>
    <n v="55"/>
  </r>
  <r>
    <n v="3467099"/>
    <s v="GOVER"/>
    <x v="1363"/>
    <n v="4548625"/>
    <s v="YWYWUQ"/>
    <s v="Inserindo Trecho - Parâmetro Fornecedor - TurVendas - Não foi possível localizar o contrato do fornecedor A"/>
    <d v="2025-06-05T19:05:00"/>
    <d v="2025-06-06T12:26:00"/>
    <s v="FORNECEDOR"/>
    <s v="CONTRATO FORNECEDOR"/>
    <s v="CONTRATO INATIVO OU DIVERGENTE"/>
    <x v="0"/>
    <s v="OPERAÇÕES / SUPORTE KCS"/>
    <n v="55"/>
  </r>
  <r>
    <n v="3467103"/>
    <s v="GOVER"/>
    <x v="1364"/>
    <n v="4548641"/>
    <s v="AGQ6VF"/>
    <s v="Inserindo Trecho - Parâmetro Fornecedor - TurVendas - Não foi possível localizar o contrato do fornecedor A"/>
    <d v="2025-06-05T19:14:00"/>
    <d v="2025-06-06T10:45:00"/>
    <s v="FORNECEDOR"/>
    <s v="CONTRATO FORNECEDOR"/>
    <s v="CONTRATO INATIVO OU DIVERGENTE"/>
    <x v="0"/>
    <s v="OPERAÇÕES / SUPORTE KCS"/>
    <n v="55"/>
  </r>
  <r>
    <n v="3467119"/>
    <s v="GOVER"/>
    <x v="1365"/>
    <n v="4548685"/>
    <s v="YIG77C"/>
    <s v="Inserindo Trecho - Parâmetro Fornecedor - TurVendas - Não foi possível localizar o contrato do fornecedor A"/>
    <d v="2025-06-05T19:25:00"/>
    <d v="2025-06-06T12:26:00"/>
    <s v="FORNECEDOR"/>
    <s v="CONTRATO FORNECEDOR"/>
    <s v="CONTRATO INATIVO OU DIVERGENTE"/>
    <x v="0"/>
    <s v="OPERAÇÕES / SUPORTE KCS"/>
    <n v="55"/>
  </r>
  <r>
    <n v="3467106"/>
    <s v="GOVER"/>
    <x v="1366"/>
    <n v="4548697"/>
    <s v="DK39XZ"/>
    <s v="Inserindo Trecho - Parâmetro Fornecedor - TurVendas - Não foi possível localizar o contrato do fornecedor A"/>
    <d v="2025-06-05T19:14:00"/>
    <d v="2025-06-06T10:45:00"/>
    <s v="FORNECEDOR"/>
    <s v="CONTRATO FORNECEDOR"/>
    <s v="CONTRATO INATIVO OU DIVERGENTE"/>
    <x v="0"/>
    <s v="OPERAÇÕES / SUPORTE KCS"/>
    <n v="55"/>
  </r>
  <r>
    <n v="3467740"/>
    <s v="GOVER"/>
    <x v="1367"/>
    <n v="4548701"/>
    <s v="HFBCKY"/>
    <s v="Inserindo Trecho - Parâmetro Fornecedor - TurVendas - Não foi possível localizar o contrato do fornecedor A"/>
    <d v="2025-06-05T21:14:00"/>
    <d v="2025-06-06T10:46:00"/>
    <s v="FORNECEDOR"/>
    <s v="CONTRATO FORNECEDOR"/>
    <s v="CONTRATO INATIVO OU DIVERGENTE"/>
    <x v="0"/>
    <s v="OPERAÇÕES / SUPORTE KCS"/>
    <n v="55"/>
  </r>
  <r>
    <n v="3467131"/>
    <s v="GOVER"/>
    <x v="1368"/>
    <n v="4548704"/>
    <s v="JRSNGB"/>
    <s v="Inserindo Trecho - Parâmetro Fornecedor - TurVendas - Não foi possível localizar o contrato do fornecedor A"/>
    <d v="2025-06-05T19:54:00"/>
    <d v="2025-06-06T12:26:00"/>
    <s v="FORNECEDOR"/>
    <s v="CONTRATO FORNECEDOR"/>
    <s v="CONTRATO INATIVO OU DIVERGENTE"/>
    <x v="0"/>
    <s v="OPERAÇÕES / SUPORTE KCS"/>
    <n v="55"/>
  </r>
  <r>
    <n v="3468268"/>
    <s v="GOVER"/>
    <x v="1369"/>
    <n v="4548793"/>
    <s v="OK33SM"/>
    <s v="Inserindo Trecho - Parâmetro Fornecedor - TurVendas - Não foi possível localizar o contrato do fornecedor A"/>
    <d v="2025-06-06T11:46:00"/>
    <d v="2025-06-06T12:26:00"/>
    <s v="FORNECEDOR"/>
    <s v="CONTRATO FORNECEDOR"/>
    <s v="CONTRATO INATIVO OU DIVERGENTE"/>
    <x v="0"/>
    <s v="OPERAÇÕES / SUPORTE KCS"/>
    <n v="55"/>
  </r>
  <r>
    <n v="3468196"/>
    <s v="GOVER"/>
    <x v="1370"/>
    <n v="4548795"/>
    <s v="BQSV4B"/>
    <s v="Inserindo Trecho - Parâmetro Fornecedor - TurVendas - Não foi possível localizar o contrato do fornecedor A"/>
    <d v="2025-06-06T10:55:00"/>
    <d v="2025-06-06T12:26:00"/>
    <s v="FORNECEDOR"/>
    <s v="CONTRATO FORNECEDOR"/>
    <s v="CONTRATO INATIVO OU DIVERGENTE"/>
    <x v="0"/>
    <s v="OPERAÇÕES / SUPORTE KCS"/>
    <n v="55"/>
  </r>
  <r>
    <n v="3468244"/>
    <s v="GOVER"/>
    <x v="1371"/>
    <n v="4548808"/>
    <s v="IJ652Z"/>
    <s v="Inserindo Trecho - Parâmetro Fornecedor - TurVendas - Não foi possível localizar o contrato do fornecedor A"/>
    <d v="2025-06-06T11:26:00"/>
    <d v="2025-06-06T12:26:00"/>
    <s v="FORNECEDOR"/>
    <s v="CONTRATO FORNECEDOR"/>
    <s v="CONTRATO INATIVO OU DIVERGENTE"/>
    <x v="0"/>
    <s v="OPERAÇÕES / SUPORTE KCS"/>
    <n v="55"/>
  </r>
  <r>
    <n v="3472251"/>
    <s v="SABRE"/>
    <x v="1372"/>
    <s v="AMGYZMT"/>
    <s v="AMGYZM"/>
    <s v="ConverterPagamentosRemark-&gt;Input string was not in a correct format.&lt;-MontarAccountinsHotel&lt;-ProcessarHotel&lt;-ProcessarItemFila[b]"/>
    <d v="2025-06-09T17:47:00"/>
    <m/>
    <s v="FORMA PAGTO/RECTO"/>
    <s v="FORMATO DE TEXTO"/>
    <s v="TEXTO FORA DO PADRÃO ACEITO NO CAMPO"/>
    <x v="2"/>
    <s v="SUPORTE OBT"/>
    <s v="COLUNA I"/>
  </r>
  <r>
    <n v="3477207"/>
    <s v="SABRE"/>
    <x v="1373"/>
    <s v="APISAS"/>
    <s v="APISAS"/>
    <s v="Não localizado cliente código [0000000].&lt;-ObterCliente&lt;-MontarPnrBase&lt;-ProcessarAereo&lt;-ProcessarItemFila[b]"/>
    <d v="2025-06-11T19:32:00"/>
    <m/>
    <s v="CLIENTE"/>
    <s v="CÓD. CLIENTE DIVERGENTE"/>
    <s v="CÓDIGO DIFERENTE DO CADASTRADO NO BENNER (CLIENTE X GRUPO)"/>
    <x v="1"/>
    <s v="SUPORTE OBT"/>
    <n v="1"/>
  </r>
  <r>
    <n v="3468390"/>
    <s v="SABRE"/>
    <x v="1374"/>
    <s v="CAKSZR"/>
    <s v="CAKSZR"/>
    <s v="Não localizado cliente código [0000583831].&lt;-ObterCliente&lt;-MontarPnrBase&lt;-ProcessarAereo&lt;-ProcessarItemFila[b]"/>
    <d v="2025-06-06T13:02:00"/>
    <m/>
    <s v="CLIENTE"/>
    <s v="CÓD. CLIENTE DIVERGENTE"/>
    <s v="CÓDIGO DIFERENTE DO CADASTRADO NO BENNER (CLIENTE X GRUPO)"/>
    <x v="1"/>
    <s v="SUPORTE OBT"/>
    <n v="1"/>
  </r>
  <r>
    <n v="3471646"/>
    <s v="SABRE"/>
    <x v="1375"/>
    <s v="CBIXUTT"/>
    <s v="CBIXUT"/>
    <s v="ConverterPagamentosRemark-&gt;String was not recognized as a valid DateTime.&lt;-MontarAccountinsHotel&lt;-ProcessarHotel&lt;-ProcessarItemFila[b]"/>
    <d v="2025-06-09T15:50:00"/>
    <d v="2025-06-09T18:05:00"/>
    <s v="FORMA PAGTO/RECTO"/>
    <s v="REMARK - DATA INCORRETA"/>
    <s v="REMARK U*INFOPAG-CC/REC-CC PREENCHIDO INCORRETAMENTE"/>
    <x v="1"/>
    <s v="OPERAÇÕES / SUPORTE KCS"/>
    <s v="COLUNA I"/>
  </r>
  <r>
    <n v="3474355"/>
    <s v="SABRE"/>
    <x v="1376"/>
    <s v="CKLXOT"/>
    <s v="CKLXOT"/>
    <s v="Não localizado cliente código [0000068873].&lt;-ObterCliente&lt;-MontarPnrBase&lt;-ProcessarAereo&lt;-ProcessarItemFila[b]"/>
    <d v="2025-06-10T17:46:00"/>
    <d v="2025-06-10T19:46:00"/>
    <s v="CLIENTE"/>
    <s v="CÓD. CLIENTE DIVERGENTE"/>
    <s v="CÓDIGO DIFERENTE DO CADASTRADO NO BENNER (CLIENTE X GRUPO)"/>
    <x v="1"/>
    <s v="SUPORTE OBT"/>
    <n v="1"/>
  </r>
  <r>
    <n v="3482134"/>
    <s v="SABRE"/>
    <x v="1377"/>
    <s v="CKOKLF"/>
    <s v="CKOKLF"/>
    <s v="Não localizado cliente código [0000583831].&lt;-ObterCliente&lt;-MontarPnrBase&lt;-ProcessarAereo&lt;-ProcessarItemFila[b]"/>
    <d v="2025-06-13T20:32:00"/>
    <m/>
    <s v="CLIENTE"/>
    <s v="CÓD. CLIENTE DIVERGENTE"/>
    <s v="CÓDIGO DIFERENTE DO CADASTRADO NO BENNER (CLIENTE X GRUPO)"/>
    <x v="1"/>
    <s v="SUPORTE OBT"/>
    <n v="1"/>
  </r>
  <r>
    <n v="3472699"/>
    <s v="SABRE"/>
    <x v="1378"/>
    <s v="DBODBJ"/>
    <s v="DBODBJ"/>
    <s v="Não localizado cliente com CNPJ [271682000177].&lt;-ObterCliente&lt;-MontarPnrBase&lt;-ProcessarAereo&lt;-ProcessarItemFila[b]"/>
    <d v="2025-06-09T19:32:00"/>
    <m/>
    <s v="CLIENTE"/>
    <s v="REMARK - CNPJ"/>
    <s v=""/>
    <x v="3"/>
    <s v="OPERAÇÕES / SUPORTE KCS"/>
    <n v="24"/>
  </r>
  <r>
    <n v="3468644"/>
    <s v="SABRE"/>
    <x v="1379"/>
    <s v="EATCBMT"/>
    <s v="EATCBM"/>
    <s v="ConverterPagamentosRemark-&gt;Input string was not in a correct format.&lt;-MontarAccountinsHotel&lt;-ProcessarHotel&lt;-ProcessarItemFila[b]"/>
    <d v="2025-06-06T14:46:00"/>
    <d v="2025-06-11T14:31:00"/>
    <s v="FORMA PAGTO/RECTO"/>
    <s v="FORMATO DE TEXTO"/>
    <s v="TEXTO FORA DO PADRÃO ACEITO NO CAMPO"/>
    <x v="2"/>
    <s v="SUPORTE OBT"/>
    <s v="COLUNA I"/>
  </r>
  <r>
    <n v="3476905"/>
    <s v="SABRE"/>
    <x v="1380"/>
    <s v="EODFJN"/>
    <s v="EODFJN"/>
    <s v="Não localizado cliente código [0000050257].&lt;-ObterCliente&lt;-MontarPnrBase&lt;-ProcessarAereo&lt;-ProcessarItemFila[b]"/>
    <d v="2025-06-11T17:02:00"/>
    <m/>
    <s v="CLIENTE"/>
    <s v="CÓD. CLIENTE DIVERGENTE"/>
    <s v="CÓDIGO DIFERENTE DO CADASTRADO NO BENNER (CLIENTE X GRUPO)"/>
    <x v="1"/>
    <s v="SUPORTE OBT"/>
    <n v="1"/>
  </r>
  <r>
    <n v="3476628"/>
    <s v="SABRE"/>
    <x v="1381"/>
    <s v="EPKUOV"/>
    <s v="EPKUOV"/>
    <s v="Não localizado cliente código [0000050257].&lt;-ObterCliente&lt;-MontarPnrBase&lt;-ProcessarAereo&lt;-ProcessarItemFila[b]"/>
    <d v="2025-06-11T15:02:00"/>
    <m/>
    <s v="CLIENTE"/>
    <s v="CÓD. CLIENTE DIVERGENTE"/>
    <s v="CÓDIGO DIFERENTE DO CADASTRADO NO BENNER (CLIENTE X GRUPO)"/>
    <x v="1"/>
    <s v="SUPORTE OBT"/>
    <n v="1"/>
  </r>
  <r>
    <n v="3474173"/>
    <s v="SABRE"/>
    <x v="1382"/>
    <s v="EZBUAC"/>
    <s v="EZBUAC"/>
    <s v="Não localizado cliente código [0000000].&lt;-ObterCliente&lt;-MontarPnrBase&lt;-ProcessarAereo&lt;-ProcessarItemFila[b]"/>
    <d v="2025-06-10T16:17:00"/>
    <m/>
    <s v="CLIENTE"/>
    <s v="CÓD. CLIENTE DIVERGENTE"/>
    <s v="CÓDIGO DIFERENTE DO CADASTRADO NO BENNER (CLIENTE X GRUPO)"/>
    <x v="1"/>
    <s v="SUPORTE OBT"/>
    <n v="1"/>
  </r>
  <r>
    <n v="3480264"/>
    <s v="SABRE"/>
    <x v="1383"/>
    <s v="FRHCAV"/>
    <s v="FRHCAV"/>
    <s v="Não localizado cliente com CNPJ [JTI PROCESSADORA].&lt;-ObterCliente&lt;-MontarPnrBase&lt;-ProcessarAereo&lt;-ProcessarItemFila[b]"/>
    <d v="2025-06-12T20:16:00"/>
    <d v="2025-06-13T10:47:00"/>
    <s v="CLIENTE"/>
    <s v="REMARK - CNPJ"/>
    <s v=""/>
    <x v="1"/>
    <s v="OPERAÇÕES / SUPORTE KCS"/>
    <n v="24"/>
  </r>
  <r>
    <n v="3473728"/>
    <s v="SABRE"/>
    <x v="1384"/>
    <s v="FVFNHX"/>
    <s v="FVFNHX"/>
    <s v="Não localizado cliente código [1234567890].&lt;-ObterCliente&lt;-MontarPnrBase&lt;-ProcessarAereo&lt;-ProcessarItemFila[b]"/>
    <d v="2025-06-10T11:38:00"/>
    <m/>
    <s v="CLIENTE"/>
    <s v="CÓD. CLIENTE DIVERGENTE"/>
    <s v="CÓDIGO DIFERENTE DO CADASTRADO NO BENNER (CLIENTE X GRUPO)"/>
    <x v="1"/>
    <s v="SUPORTE OBT"/>
    <n v="1"/>
  </r>
  <r>
    <n v="3469376"/>
    <s v="SABRE"/>
    <x v="1385"/>
    <s v="FVVCNA"/>
    <s v="FVVCNA"/>
    <s v="Não localizado cliente código [1234567890].&lt;-ObterCliente&lt;-MontarPnrBase&lt;-ProcessarAereo&lt;-ProcessarItemFila[b]"/>
    <d v="2025-06-06T17:06:00"/>
    <m/>
    <s v="CLIENTE"/>
    <s v="CÓD. CLIENTE DIVERGENTE"/>
    <s v="CÓDIGO DIFERENTE DO CADASTRADO NO BENNER (CLIENTE X GRUPO)"/>
    <x v="1"/>
    <s v="SUPORTE OBT"/>
    <n v="1"/>
  </r>
  <r>
    <n v="3480234"/>
    <s v="SABRE"/>
    <x v="1386"/>
    <s v="FXSQDL"/>
    <s v="FXSQDL"/>
    <s v="Não localizado cliente código [0000050269].&lt;-ObterCliente&lt;-MontarPnrBase&lt;-ProcessarAereo&lt;-ProcessarItemFila[b]"/>
    <d v="2025-06-12T19:31:00"/>
    <d v="2025-06-12T19:46:00"/>
    <s v="CLIENTE"/>
    <s v="CÓD. CLIENTE DIVERGENTE"/>
    <s v="CÓDIGO DIFERENTE DO CADASTRADO NO BENNER (CLIENTE X GRUPO)"/>
    <x v="1"/>
    <s v="SUPORTE OBT"/>
    <n v="1"/>
  </r>
  <r>
    <n v="3480235"/>
    <s v="SABRE"/>
    <x v="1386"/>
    <s v="FXSQDLT"/>
    <s v="FXSQDL"/>
    <s v="Não localizado cliente código [0000050269].&lt;-ObterCliente&lt;-MontarPnrBase&lt;-MontarPnr&lt;-ProcessarHotel&lt;-ProcessarItemFila[b]"/>
    <d v="2025-06-12T19:31:00"/>
    <d v="2025-06-12T19:46:00"/>
    <s v="CLIENTE"/>
    <s v="CÓD. CLIENTE DIVERGENTE"/>
    <s v="CÓDIGO DIFERENTE DO CADASTRADO NO BENNER (CLIENTE X GRUPO)"/>
    <x v="1"/>
    <s v="SUPORTE OBT"/>
    <n v="1"/>
  </r>
  <r>
    <n v="3469554"/>
    <s v="SABRE"/>
    <x v="1387"/>
    <s v="GFKYWQ"/>
    <s v="GFKYWQ"/>
    <s v="Inserindo PNR - Accountings - TurVendas - Não foi possível localizar o contrato do fornecedor 2I"/>
    <d v="2025-06-06T18:18:00"/>
    <d v="2025-06-12T12:02:00"/>
    <s v="FORNECEDOR"/>
    <s v="CONTRATO FORNECEDOR"/>
    <s v="CONTRATO INATIVO OU DIVERGENTE"/>
    <x v="0"/>
    <s v="OPERAÇÕES / SUPORTE KCS"/>
    <n v="43"/>
  </r>
  <r>
    <n v="3468861"/>
    <s v="SABRE"/>
    <x v="1388"/>
    <s v="GJPFQX"/>
    <s v="GJPFQX"/>
    <s v="Não localizado cliente código [0000583831].&lt;-ObterCliente&lt;-MontarPnrBase&lt;-ProcessarAereo&lt;-ProcessarItemFila[b]"/>
    <d v="2025-06-06T15:17:00"/>
    <m/>
    <s v="CLIENTE"/>
    <s v="CÓD. CLIENTE DIVERGENTE"/>
    <s v="CÓDIGO DIFERENTE DO CADASTRADO NO BENNER (CLIENTE X GRUPO)"/>
    <x v="1"/>
    <s v="SUPORTE OBT"/>
    <n v="1"/>
  </r>
  <r>
    <n v="3468433"/>
    <s v="SABRE"/>
    <x v="1389"/>
    <s v="GLVFDU"/>
    <s v="GLVFDU"/>
    <s v="Não localizado cliente código [0000583831].&lt;-ObterCliente&lt;-MontarPnrBase&lt;-ProcessarAereo&lt;-ProcessarItemFila[b]"/>
    <d v="2025-06-06T13:47:00"/>
    <m/>
    <s v="CLIENTE"/>
    <s v="CÓD. CLIENTE DIVERGENTE"/>
    <s v="CÓDIGO DIFERENTE DO CADASTRADO NO BENNER (CLIENTE X GRUPO)"/>
    <x v="1"/>
    <s v="SUPORTE OBT"/>
    <n v="1"/>
  </r>
  <r>
    <n v="3471294"/>
    <s v="SABRE"/>
    <x v="1390"/>
    <s v="GNWWCQ"/>
    <s v="GNWWCQ"/>
    <s v="Código de cliente não identificado&lt;-ObterCliente&lt;-MontarPnrBase&lt;-ProcessarAereo&lt;-ProcessarItemFila[b]"/>
    <d v="2025-06-09T12:46:00"/>
    <m/>
    <s v="CLIENTE"/>
    <s v="CLIENTE NÃO IDENTIFICADO"/>
    <s v="DK DE CLIENTE NÃO PREENCIDO / CLIENTE NÃO CONFIGURADO NO OBT"/>
    <x v="2"/>
    <s v="OPERAÇÕES / SUPORTE KCS"/>
    <s v="COLUNA I"/>
  </r>
  <r>
    <n v="3481539"/>
    <s v="SABRE"/>
    <x v="1391"/>
    <s v="GUSOROT"/>
    <s v="GUSORO"/>
    <s v="ConverterPagamentosRemark-&gt;Input string was not in a correct format.&lt;-MontarAccountinsHotel&lt;-ProcessarHotel&lt;-ProcessarItemFila[b]"/>
    <d v="2025-06-13T14:17:00"/>
    <m/>
    <s v="FORMA PAGTO/RECTO"/>
    <s v="FORMATO DE TEXTO"/>
    <s v="TEXTO FORA DO PADRÃO ACEITO NO CAMPO"/>
    <x v="2"/>
    <s v="SUPORTE OBT"/>
    <s v="COLUNA I"/>
  </r>
  <r>
    <n v="3478989"/>
    <s v="SABRE"/>
    <x v="1392"/>
    <s v="HHATIF"/>
    <s v="HHATIF"/>
    <s v="Não localizado cliente código [1234567890].&lt;-ObterCliente&lt;-MontarPnrBase&lt;-ProcessarAereo&lt;-ProcessarItemFila[b]"/>
    <d v="2025-06-12T14:47:00"/>
    <m/>
    <s v="CLIENTE"/>
    <s v="CÓD. CLIENTE DIVERGENTE"/>
    <s v="CÓDIGO DIFERENTE DO CADASTRADO NO BENNER (CLIENTE X GRUPO)"/>
    <x v="1"/>
    <s v="SUPORTE OBT"/>
    <n v="1"/>
  </r>
  <r>
    <n v="3479156"/>
    <s v="SABRE"/>
    <x v="1393"/>
    <s v="HKUWJET"/>
    <s v="HKUWJE"/>
    <s v="ConverterPagamentosRemark-&gt;Input string was not in a correct format.&lt;-MontarAccountinsHotel&lt;-ProcessarHotel&lt;-ProcessarItemFila[b]"/>
    <d v="2025-06-12T15:17:00"/>
    <m/>
    <s v="FORMA PAGTO/RECTO"/>
    <s v="FORMATO DE TEXTO"/>
    <s v="TEXTO FORA DO PADRÃO ACEITO NO CAMPO"/>
    <x v="2"/>
    <s v="SUPORTE OBT"/>
    <s v="COLUNA I"/>
  </r>
  <r>
    <n v="3476371"/>
    <s v="SABRE"/>
    <x v="1394"/>
    <s v="HQKDWH"/>
    <s v="HQKDWH"/>
    <s v="Não localizado cliente com CNPJ [9108301000108].&lt;-ObterCliente&lt;-MontarPnrBase&lt;-ProcessarAereo&lt;-ProcessarItemFila[b]"/>
    <d v="2025-06-11T11:32:00"/>
    <d v="2025-06-11T12:02:00"/>
    <s v="CLIENTE"/>
    <s v="REMARK - CNPJ"/>
    <s v=""/>
    <x v="3"/>
    <s v="OPERAÇÕES / SUPORTE KCS"/>
    <n v="24"/>
  </r>
  <r>
    <n v="3476372"/>
    <s v="SABRE"/>
    <x v="1394"/>
    <s v="HQKDWHT"/>
    <s v="HQKDWH"/>
    <s v="Não localizado cliente com CNPJ [9108301000108].&lt;-ObterCliente&lt;-MontarPnrBase&lt;-MontarPnr&lt;-ProcessarHotel&lt;-ProcessarItemFila[b]"/>
    <d v="2025-06-11T11:32:00"/>
    <d v="2025-06-11T12:03:00"/>
    <s v="CLIENTE"/>
    <s v="REMARK - CNPJ"/>
    <s v=""/>
    <x v="1"/>
    <s v="OPERAÇÕES / SUPORTE KCS"/>
    <n v="24"/>
  </r>
  <r>
    <n v="3478426"/>
    <s v="SABRE"/>
    <x v="1395"/>
    <s v="HRFBRH"/>
    <s v="HRFBRH"/>
    <s v="Não localizado cliente código [0000583808].&lt;-ObterCliente&lt;-MontarPnrBase&lt;-ProcessarAereo&lt;-ProcessarItemFila[b]"/>
    <d v="2025-06-12T11:48:00"/>
    <m/>
    <s v="CLIENTE"/>
    <s v="CÓD. CLIENTE DIVERGENTE"/>
    <s v="CÓDIGO DIFERENTE DO CADASTRADO NO BENNER (CLIENTE X GRUPO)"/>
    <x v="1"/>
    <s v="SUPORTE OBT"/>
    <n v="1"/>
  </r>
  <r>
    <n v="3469569"/>
    <s v="SABRE"/>
    <x v="1396"/>
    <s v="HSLNQW"/>
    <s v="HSLNQW"/>
    <s v="Não localizado cliente código [1234567890].&lt;-ObterCliente&lt;-MontarPnrBase&lt;-ProcessarAereo&lt;-ProcessarItemFila[b]"/>
    <d v="2025-06-06T18:33:00"/>
    <m/>
    <s v="CLIENTE"/>
    <s v="CÓD. CLIENTE DIVERGENTE"/>
    <s v="CÓDIGO DIFERENTE DO CADASTRADO NO BENNER (CLIENTE X GRUPO)"/>
    <x v="1"/>
    <s v="SUPORTE OBT"/>
    <n v="1"/>
  </r>
  <r>
    <n v="3478990"/>
    <s v="SABRE"/>
    <x v="1392"/>
    <s v="INJLSU"/>
    <s v="INJLSU"/>
    <s v="Não localizado cliente código [1234567890].&lt;-ObterCliente&lt;-MontarPnrBase&lt;-ProcessarAereo&lt;-ProcessarItemFila[b]"/>
    <d v="2025-06-12T14:47:00"/>
    <m/>
    <s v="CLIENTE"/>
    <s v="CÓD. CLIENTE DIVERGENTE"/>
    <s v="CÓDIGO DIFERENTE DO CADASTRADO NO BENNER (CLIENTE X GRUPO)"/>
    <x v="1"/>
    <s v="SUPORTE OBT"/>
    <n v="1"/>
  </r>
  <r>
    <n v="3479772"/>
    <s v="SABRE"/>
    <x v="1397"/>
    <s v="ITBPJN"/>
    <s v="ITBPJN"/>
    <s v="Não localizado cliente código [0000000].&lt;-ObterCliente&lt;-MontarPnrBase&lt;-ProcessarAereo&lt;-ProcessarItemFila[b]"/>
    <d v="2025-06-12T17:02:00"/>
    <m/>
    <s v="CLIENTE"/>
    <s v="CÓD. CLIENTE DIVERGENTE"/>
    <s v="CÓDIGO DIFERENTE DO CADASTRADO NO BENNER (CLIENTE X GRUPO)"/>
    <x v="1"/>
    <s v="SUPORTE OBT"/>
    <n v="1"/>
  </r>
  <r>
    <n v="3474030"/>
    <s v="SABRE"/>
    <x v="1398"/>
    <s v="JAKAOB"/>
    <s v="JAKAOB"/>
    <s v="Não localizado cliente com CNPJ [2379828000128].&lt;-ObterCliente&lt;-MontarPnrBase&lt;-ProcessarAereo&lt;-ProcessarItemFila[b]"/>
    <d v="2025-06-10T15:17:00"/>
    <m/>
    <s v="CLIENTE"/>
    <s v="REMARK - CNPJ"/>
    <s v=""/>
    <x v="1"/>
    <s v="OPERAÇÕES / SUPORTE KCS"/>
    <n v="24"/>
  </r>
  <r>
    <n v="3474575"/>
    <s v="SABRE"/>
    <x v="1399"/>
    <s v="JDOIAO"/>
    <s v="JDOIAO"/>
    <s v="Não localizado cliente código [1234567890].&lt;-ObterCliente&lt;-MontarPnrBase&lt;-ProcessarAereo&lt;-ProcessarItemFila[b]"/>
    <d v="2025-06-10T19:46:00"/>
    <m/>
    <s v="CLIENTE"/>
    <s v="CÓD. CLIENTE DIVERGENTE"/>
    <s v="CÓDIGO DIFERENTE DO CADASTRADO NO BENNER (CLIENTE X GRUPO)"/>
    <x v="1"/>
    <s v="SUPORTE OBT"/>
    <n v="1"/>
  </r>
  <r>
    <n v="3484224"/>
    <s v="SABRE"/>
    <x v="1400"/>
    <s v="JFXHOUT"/>
    <s v="JFXHOU"/>
    <s v="ConverterPagamentosRemark-&gt;String was not recognized as a valid DateTime.&lt;-MontarAccountinsHotel&lt;-ProcessarHotel&lt;-ProcessarItemFila[b]"/>
    <d v="2025-06-16T11:32:00"/>
    <m/>
    <s v="FORMA PAGTO/RECTO"/>
    <s v="REMARK - DATA INCORRETA"/>
    <s v="REMARK U*INFOPAG-CC/REC-CC PREENCHIDO INCORRETAMENTE"/>
    <x v="1"/>
    <s v="OPERAÇÕES / SUPORTE KCS"/>
    <s v="COLUNA I"/>
  </r>
  <r>
    <n v="3481959"/>
    <s v="SABRE"/>
    <x v="1401"/>
    <s v="JIFXFUT"/>
    <s v="JIFXFU"/>
    <s v="ConverterPagamentosRemark-&gt;String was not recognized as a valid DateTime.&lt;-MontarAccountinsHotel&lt;-ProcessarHotel&lt;-ProcessarItemFila[b]"/>
    <d v="2025-06-13T17:47:00"/>
    <m/>
    <s v="FORMA PAGTO/RECTO"/>
    <s v="REMARK - DATA INCORRETA"/>
    <s v="REMARK U*INFOPAG-CC/REC-CC PREENCHIDO INCORRETAMENTE"/>
    <x v="1"/>
    <s v="OPERAÇÕES / SUPORTE KCS"/>
    <s v="COLUNA I"/>
  </r>
  <r>
    <n v="3472155"/>
    <s v="SABRE"/>
    <x v="1402"/>
    <s v="JNAKHR"/>
    <s v="JNAKHR"/>
    <s v="Não localizado cliente código [0000392619].&lt;-ObterCliente&lt;-MontarPnrBase&lt;-ProcessarAereo&lt;-ProcessarItemFila[b]"/>
    <d v="2025-06-09T17:32:00"/>
    <d v="2025-06-09T17:47:00"/>
    <s v="CLIENTE"/>
    <s v="CÓD. CLIENTE DIVERGENTE"/>
    <s v="CÓDIGO DIFERENTE DO CADASTRADO NO BENNER (CLIENTE X GRUPO)"/>
    <x v="1"/>
    <s v="SUPORTE OBT"/>
    <n v="1"/>
  </r>
  <r>
    <n v="3474176"/>
    <s v="SABRE"/>
    <x v="1382"/>
    <s v="JOLMEA"/>
    <s v="JOLMEA"/>
    <s v="Código de cliente não identificado&lt;-ObterCliente&lt;-MontarPnrBase&lt;-ProcessarAereo&lt;-ProcessarItemFila[b]"/>
    <d v="2025-06-10T16:17:00"/>
    <m/>
    <s v="CLIENTE"/>
    <s v="CLIENTE NÃO IDENTIFICADO"/>
    <s v="DK DE CLIENTE NÃO PREENCIDO / CLIENTE NÃO CONFIGURADO NO OBT"/>
    <x v="2"/>
    <s v="OPERAÇÕES / SUPORTE KCS"/>
    <s v="COLUNA I"/>
  </r>
  <r>
    <n v="3468393"/>
    <s v="SABRE"/>
    <x v="1389"/>
    <s v="JVAHLS"/>
    <s v="JVAHLS"/>
    <s v="Não localizado cliente código [0000084716].&lt;-ObterCliente&lt;-MontarPnrBase&lt;-ProcessarAereo&lt;-ProcessarItemFila[b]"/>
    <d v="2025-06-06T13:02:00"/>
    <d v="2025-06-06T13:46:00"/>
    <s v="CLIENTE"/>
    <s v="CÓD. CLIENTE DIVERGENTE"/>
    <s v="CÓDIGO DIFERENTE DO CADASTRADO NO BENNER (CLIENTE X GRUPO)"/>
    <x v="1"/>
    <s v="SUPORTE OBT"/>
    <n v="1"/>
  </r>
  <r>
    <n v="3484223"/>
    <s v="SABRE"/>
    <x v="1403"/>
    <s v="JVBPNMT"/>
    <s v="JVBPNM"/>
    <s v="ConverterPagamentosRemark-&gt;String was not recognized as a valid DateTime.&lt;-MontarAccountinsHotel&lt;-ProcessarHotel&lt;-ProcessarItemFila[b]"/>
    <d v="2025-06-16T11:32:00"/>
    <m/>
    <s v="FORMA PAGTO/RECTO"/>
    <s v="REMARK - DATA INCORRETA"/>
    <s v="REMARK U*INFOPAG-CC/REC-CC PREENCHIDO INCORRETAMENTE"/>
    <x v="1"/>
    <s v="OPERAÇÕES / SUPORTE KCS"/>
    <s v="COLUNA I"/>
  </r>
  <r>
    <n v="3481538"/>
    <s v="SABRE"/>
    <x v="1404"/>
    <s v="JYFXTHT"/>
    <s v="JYFXTH"/>
    <s v="ConverterPagamentosRemark-&gt;Input string was not in a correct format.&lt;-MontarAccountinsHotel&lt;-ProcessarHotel&lt;-ProcessarItemFila[b]"/>
    <d v="2025-06-13T14:17:00"/>
    <m/>
    <s v="FORMA PAGTO/RECTO"/>
    <s v="FORMATO DE TEXTO"/>
    <s v="TEXTO FORA DO PADRÃO ACEITO NO CAMPO"/>
    <x v="2"/>
    <s v="SUPORTE OBT"/>
    <s v="COLUNA I"/>
  </r>
  <r>
    <n v="3482130"/>
    <s v="SABRE"/>
    <x v="1377"/>
    <s v="LOWPRU"/>
    <s v="LOWPRU"/>
    <s v="Não localizado cliente código [0000000].&lt;-ObterCliente&lt;-MontarPnrBase&lt;-ProcessarAereo&lt;-ProcessarItemFila[b]"/>
    <d v="2025-06-13T20:32:00"/>
    <m/>
    <s v="CLIENTE"/>
    <s v="CÓD. CLIENTE DIVERGENTE"/>
    <s v="CÓDIGO DIFERENTE DO CADASTRADO NO BENNER (CLIENTE X GRUPO)"/>
    <x v="1"/>
    <s v="SUPORTE OBT"/>
    <n v="1"/>
  </r>
  <r>
    <n v="3476373"/>
    <s v="SABRE"/>
    <x v="1405"/>
    <s v="LPLQUTT"/>
    <s v="LPLQUT"/>
    <s v="Verificando Formas Pagto/Rec - (ExecSQL) - Ocorreu o erro 'The column name 'K9_CENTROCUSTOPAX' is specified more than once in the SET clause or column list of an INSERT. A column cannot be assigned more than one value in the same clause. Modify the clause to make sure that a column is updated only once. If this statement updates or inserts columns into a view, column aliasing can conceal the duplication in your code.' na execução do comando SQL."/>
    <d v="2025-06-11T11:36:00"/>
    <m/>
    <s v="OUTROS"/>
    <s v="ERRO DE SQL"/>
    <s v="ERRO NA IMPORTAÇÃO/MODIFICAÇÃO DAS INFOMAÇÕES"/>
    <x v="0"/>
    <s v="SUPORTE BENNER"/>
    <n v="163"/>
  </r>
  <r>
    <n v="3469509"/>
    <s v="SABRE"/>
    <x v="1406"/>
    <s v="MIXHZK"/>
    <s v="MIXHZK"/>
    <s v="Não localizado cliente código [0000583808].&lt;-ObterCliente&lt;-MontarPnrBase&lt;-ProcessarAereo&lt;-ProcessarItemFila[b]"/>
    <d v="2025-06-06T18:02:00"/>
    <m/>
    <s v="CLIENTE"/>
    <s v="CÓD. CLIENTE DIVERGENTE"/>
    <s v="CÓDIGO DIFERENTE DO CADASTRADO NO BENNER (CLIENTE X GRUPO)"/>
    <x v="1"/>
    <s v="SUPORTE OBT"/>
    <n v="1"/>
  </r>
  <r>
    <n v="3476364"/>
    <s v="SABRE"/>
    <x v="1407"/>
    <s v="MRKGIS"/>
    <s v="MRKGIS"/>
    <s v="Código de cliente não identificado&lt;-ObterCliente&lt;-MontarPnrBase&lt;-ProcessarAereo&lt;-ProcessarItemFila[b]"/>
    <d v="2025-06-11T11:22:00"/>
    <m/>
    <s v="CLIENTE"/>
    <s v="CLIENTE NÃO IDENTIFICADO"/>
    <s v="DK DE CLIENTE NÃO PREENCIDO / CLIENTE NÃO CONFIGURADO NO OBT"/>
    <x v="2"/>
    <s v="OPERAÇÕES / SUPORTE KCS"/>
    <s v="COLUNA I"/>
  </r>
  <r>
    <n v="3484654"/>
    <s v="SABRE"/>
    <x v="1408"/>
    <s v="MXCERET"/>
    <s v="MXCERE"/>
    <s v="ConverterPagamentosRemark-&gt;String was not recognized as a valid DateTime.&lt;-MontarAccountinsHotel&lt;-ProcessarHotel&lt;-ProcessarItemFila[b]"/>
    <d v="2025-06-16T16:04:00"/>
    <m/>
    <s v="FORMA PAGTO/RECTO"/>
    <s v="REMARK - DATA INCORRETA"/>
    <s v="REMARK U*INFOPAG-CC/REC-CC PREENCHIDO INCORRETAMENTE"/>
    <x v="1"/>
    <s v="OPERAÇÕES / SUPORTE KCS"/>
    <s v="COLUNA I"/>
  </r>
  <r>
    <n v="3484400"/>
    <s v="SABRE"/>
    <x v="1409"/>
    <s v="OHUGIE"/>
    <s v="OHUGIE"/>
    <s v="Não localizado cliente com CNPJ [271682000177].&lt;-ObterCliente&lt;-MontarPnrBase&lt;-ProcessarAereo&lt;-ProcessarItemFila[b]"/>
    <d v="2025-06-16T13:16:00"/>
    <m/>
    <s v="CLIENTE"/>
    <s v="REMARK - CNPJ"/>
    <s v=""/>
    <x v="1"/>
    <s v="OPERAÇÕES / SUPORTE KCS"/>
    <n v="24"/>
  </r>
  <r>
    <n v="3478431"/>
    <s v="SABRE"/>
    <x v="1395"/>
    <s v="OKRJJE"/>
    <s v="OKRJJE"/>
    <s v="Não localizado cliente código [1234567890].&lt;-ObterCliente&lt;-MontarPnrBase&lt;-ProcessarAereo&lt;-ProcessarItemFila[b]"/>
    <d v="2025-06-12T11:48:00"/>
    <m/>
    <s v="CLIENTE"/>
    <s v="CÓD. CLIENTE DIVERGENTE"/>
    <s v="CÓDIGO DIFERENTE DO CADASTRADO NO BENNER (CLIENTE X GRUPO)"/>
    <x v="1"/>
    <s v="SUPORTE OBT"/>
    <n v="1"/>
  </r>
  <r>
    <n v="3476522"/>
    <s v="SABRE"/>
    <x v="1410"/>
    <s v="QDQBXC"/>
    <s v="QDQBXC"/>
    <s v="Código de cliente não identificado&lt;-ObterCliente&lt;-MontarPnrBase&lt;-ProcessarAereo&lt;-ProcessarItemFila[b]"/>
    <d v="2025-06-11T13:32:00"/>
    <m/>
    <s v="CLIENTE"/>
    <s v="CLIENTE NÃO IDENTIFICADO"/>
    <s v="DK DE CLIENTE NÃO PREENCIDO / CLIENTE NÃO CONFIGURADO NO OBT"/>
    <x v="2"/>
    <s v="OPERAÇÕES / SUPORTE KCS"/>
    <s v="COLUNA I"/>
  </r>
  <r>
    <n v="3471262"/>
    <s v="SABRE"/>
    <x v="1411"/>
    <s v="QKAUTGT"/>
    <s v="QKAUTG"/>
    <s v="ConverterPagamentosRemark-&gt;Input string was not in a correct format.&lt;-MontarAccountinsHotel&lt;-ProcessarHotel&lt;-ProcessarItemFila[b]"/>
    <d v="2025-06-09T12:04:00"/>
    <m/>
    <s v="FORMA PAGTO/RECTO"/>
    <s v="FORMATO DE TEXTO"/>
    <s v="TEXTO FORA DO PADRÃO ACEITO NO CAMPO"/>
    <x v="2"/>
    <s v="SUPORTE OBT"/>
    <s v="COLUNA I"/>
  </r>
  <r>
    <n v="3471006"/>
    <s v="SABRE"/>
    <x v="1412"/>
    <s v="SFNBWAT"/>
    <s v="SFNBWA"/>
    <s v="ConverterPagamentosRemark-&gt;Input string was not in a correct format.&lt;-MontarAccountinsHotel&lt;-ProcessarHotel&lt;-ProcessarItemFila[b]"/>
    <d v="2025-06-09T09:49:00"/>
    <m/>
    <s v="FORMA PAGTO/RECTO"/>
    <s v="FORMATO DE TEXTO"/>
    <s v="TEXTO FORA DO PADRÃO ACEITO NO CAMPO"/>
    <x v="2"/>
    <s v="SUPORTE OBT"/>
    <s v="COLUNA I"/>
  </r>
  <r>
    <n v="3468554"/>
    <s v="SABRE"/>
    <x v="1413"/>
    <s v="SKQDVQ"/>
    <s v="SKQDVQ"/>
    <s v="Não localizado cliente código [1234567890].&lt;-ObterCliente&lt;-MontarPnrBase&lt;-ProcessarAereo&lt;-ProcessarItemFila[b]"/>
    <d v="2025-06-06T14:32:00"/>
    <m/>
    <s v="CLIENTE"/>
    <s v="CÓD. CLIENTE DIVERGENTE"/>
    <s v="CÓDIGO DIFERENTE DO CADASTRADO NO BENNER (CLIENTE X GRUPO)"/>
    <x v="1"/>
    <s v="SUPORTE OBT"/>
    <n v="1"/>
  </r>
  <r>
    <n v="3485132"/>
    <s v="SABRE"/>
    <x v="1414"/>
    <s v="STSPYF"/>
    <s v="STSPYF"/>
    <s v="Código de cliente não identificado&lt;-ObterCliente&lt;-MontarPnrBase&lt;-ProcessarAereo&lt;-ProcessarItemFila[b]"/>
    <d v="2025-06-16T19:33:00"/>
    <m/>
    <s v="CLIENTE"/>
    <s v="CLIENTE NÃO IDENTIFICADO"/>
    <s v="DK DE CLIENTE NÃO PREENCIDO / CLIENTE NÃO CONFIGURADO NO OBT"/>
    <x v="2"/>
    <s v="OPERAÇÕES / SUPORTE KCS"/>
    <s v="COLUNA I"/>
  </r>
  <r>
    <n v="3480270"/>
    <s v="SABRE"/>
    <x v="1415"/>
    <s v="UCFAJI"/>
    <s v="UCFAJI"/>
    <s v="Não localizado cliente código [0000050257].&lt;-ObterCliente&lt;-MontarPnrBase&lt;-ProcessarAereo&lt;-ProcessarItemFila[b]"/>
    <d v="2025-06-12T20:17:00"/>
    <m/>
    <s v="CLIENTE"/>
    <s v="CÓD. CLIENTE DIVERGENTE"/>
    <s v="CÓDIGO DIFERENTE DO CADASTRADO NO BENNER (CLIENTE X GRUPO)"/>
    <x v="1"/>
    <s v="SUPORTE OBT"/>
    <n v="1"/>
  </r>
  <r>
    <n v="3474180"/>
    <s v="SABRE"/>
    <x v="1382"/>
    <s v="UGGWVM"/>
    <s v="UGGWVM"/>
    <s v="Não localizado cliente código [0000000].&lt;-ObterCliente&lt;-MontarPnrBase&lt;-ProcessarAereo&lt;-ProcessarItemFila[b]"/>
    <d v="2025-06-10T16:18:00"/>
    <m/>
    <s v="CLIENTE"/>
    <s v="CÓD. CLIENTE DIVERGENTE"/>
    <s v="CÓDIGO DIFERENTE DO CADASTRADO NO BENNER (CLIENTE X GRUPO)"/>
    <x v="1"/>
    <s v="SUPORTE OBT"/>
    <n v="1"/>
  </r>
  <r>
    <n v="3476904"/>
    <s v="SABRE"/>
    <x v="1380"/>
    <s v="ULYFDT"/>
    <s v="ULYFDT"/>
    <s v="Não localizado cliente código [0000000].&lt;-ObterCliente&lt;-MontarPnrBase&lt;-ProcessarAereo&lt;-ProcessarItemFila[b]"/>
    <d v="2025-06-11T17:02:00"/>
    <m/>
    <s v="CLIENTE"/>
    <s v="CÓD. CLIENTE DIVERGENTE"/>
    <s v="CÓDIGO DIFERENTE DO CADASTRADO NO BENNER (CLIENTE X GRUPO)"/>
    <x v="1"/>
    <s v="SUPORTE OBT"/>
    <n v="1"/>
  </r>
  <r>
    <n v="3468553"/>
    <s v="SABRE"/>
    <x v="1413"/>
    <s v="USRZHI"/>
    <s v="USRZHI"/>
    <s v="Não localizado cliente código [0000583831].&lt;-ObterCliente&lt;-MontarPnrBase&lt;-ProcessarAereo&lt;-ProcessarItemFila[b]"/>
    <d v="2025-06-06T14:32:00"/>
    <m/>
    <s v="CLIENTE"/>
    <s v="CÓD. CLIENTE DIVERGENTE"/>
    <s v="CÓDIGO DIFERENTE DO CADASTRADO NO BENNER (CLIENTE X GRUPO)"/>
    <x v="1"/>
    <s v="SUPORTE OBT"/>
    <n v="1"/>
  </r>
  <r>
    <n v="3481954"/>
    <s v="SABRE"/>
    <x v="1416"/>
    <s v="WCCSBVT"/>
    <s v="WCCSBV"/>
    <s v="ConverterPagamentosRemark-&gt;String was not recognized as a valid DateTime.&lt;-MontarAccountinsHotel&lt;-ProcessarHotel&lt;-ProcessarItemFila[b]"/>
    <d v="2025-06-13T17:47:00"/>
    <m/>
    <s v="FORMA PAGTO/RECTO"/>
    <s v="REMARK - DATA INCORRETA"/>
    <s v="REMARK U*INFOPAG-CC/REC-CC PREENCHIDO INCORRETAMENTE"/>
    <x v="1"/>
    <s v="OPERAÇÕES / SUPORTE KCS"/>
    <s v="COLUNA I"/>
  </r>
  <r>
    <n v="3484221"/>
    <s v="SABRE"/>
    <x v="1417"/>
    <s v="WDALBTT"/>
    <s v="WDALBT"/>
    <s v="ConverterPagamentosRemark-&gt;String was not recognized as a valid DateTime.&lt;-MontarAccountinsHotel&lt;-ProcessarHotel&lt;-ProcessarItemFila[b]"/>
    <d v="2025-06-16T11:32:00"/>
    <m/>
    <s v="FORMA PAGTO/RECTO"/>
    <s v="REMARK - DATA INCORRETA"/>
    <s v="REMARK U*INFOPAG-CC/REC-CC PREENCHIDO INCORRETAMENTE"/>
    <x v="1"/>
    <s v="OPERAÇÕES / SUPORTE KCS"/>
    <s v="COLUNA I"/>
  </r>
  <r>
    <n v="3474576"/>
    <s v="SABRE"/>
    <x v="1399"/>
    <s v="WENQEL"/>
    <s v="WENQEL"/>
    <s v="Não localizado cliente código [0000000].&lt;-ObterCliente&lt;-MontarPnrBase&lt;-ProcessarAereo&lt;-ProcessarItemFila[b]"/>
    <d v="2025-06-10T19:47:00"/>
    <m/>
    <s v="CLIENTE"/>
    <s v="CÓD. CLIENTE DIVERGENTE"/>
    <s v="CÓDIGO DIFERENTE DO CADASTRADO NO BENNER (CLIENTE X GRUPO)"/>
    <x v="1"/>
    <s v="SUPORTE OBT"/>
    <n v="1"/>
  </r>
  <r>
    <n v="3478505"/>
    <s v="SABRE"/>
    <x v="1387"/>
    <s v="WFDDAB"/>
    <s v="WFDDAB"/>
    <s v="Não localizado cliente com CNPJ [JTI PROCESSADORA].&lt;-ObterCliente&lt;-MontarPnrBase&lt;-ProcessarAereo&lt;-ProcessarItemFila[b]"/>
    <d v="2025-06-12T12:02:00"/>
    <m/>
    <s v="CLIENTE"/>
    <s v="REMARK - CNPJ"/>
    <s v=""/>
    <x v="3"/>
    <s v="OPERAÇÕES / SUPORTE KCS"/>
    <n v="24"/>
  </r>
  <r>
    <n v="3481789"/>
    <s v="SABRE"/>
    <x v="1418"/>
    <s v="WFMEXXT"/>
    <s v="WFMEXX"/>
    <s v="ConverterPagamentosRemark-&gt;String was not recognized as a valid DateTime.&lt;-MontarAccountinsHotel&lt;-ProcessarHotel&lt;-ProcessarItemFila[b]"/>
    <d v="2025-06-13T16:47:00"/>
    <m/>
    <s v="FORMA PAGTO/RECTO"/>
    <s v="REMARK - DATA INCORRETA"/>
    <s v="REMARK U*INFOPAG-CC/REC-CC PREENCHIDO INCORRETAMENTE"/>
    <x v="1"/>
    <s v="OPERAÇÕES / SUPORTE KCS"/>
    <s v="COLUNA I"/>
  </r>
  <r>
    <n v="3476374"/>
    <s v="SABRE"/>
    <x v="1419"/>
    <s v="YBGARGT"/>
    <s v="YBGARG"/>
    <s v="Verificando Formas Pagto/Rec - (ExecSQL) - Ocorreu o erro 'The column name 'K9_CENTROCUSTOPAX' is specified more than once in the SET clause or column list of an INSERT. A column cannot be assigned more than one value in the same clause. Modify the clause to make sure that a column is updated only once. If this statement updates or inserts columns into a view, column aliasing can conceal the duplication in your code.' na execução do comando SQL."/>
    <d v="2025-06-11T11:36:00"/>
    <d v="2025-06-11T16:49:00"/>
    <s v="OUTROS"/>
    <s v="ERRO DE SQL"/>
    <s v="ERRO NA IMPORTAÇÃO/MODIFICAÇÃO DAS INFOMAÇÕES"/>
    <x v="0"/>
    <s v="SUPORTE BENNER"/>
    <n v="163"/>
  </r>
  <r>
    <n v="3474177"/>
    <s v="SABRE"/>
    <x v="1382"/>
    <s v="YXFQHQ"/>
    <s v="YXFQHQ"/>
    <s v="Não localizado cliente código [0000000].&lt;-ObterCliente&lt;-MontarPnrBase&lt;-ProcessarAereo&lt;-ProcessarItemFila[b]"/>
    <d v="2025-06-10T16:17:00"/>
    <m/>
    <s v="CLIENTE"/>
    <s v="CÓD. CLIENTE DIVERGENTE"/>
    <s v="CÓDIGO DIFERENTE DO CADASTRADO NO BENNER (CLIENTE X GRUPO)"/>
    <x v="1"/>
    <s v="SUPORTE OBT"/>
    <n v="1"/>
  </r>
  <r>
    <n v="3470361"/>
    <s v="TMS"/>
    <x v="1420"/>
    <n v="163"/>
    <n v="163"/>
    <s v="Preenchendo XML Serviço-&gt; Preenchendo XML-&gt; Montando accounting aereo 2-&gt;Não foi informado o Localizador do Assento/Bagagem!"/>
    <d v="2025-06-06T22:05:00"/>
    <d v="2025-06-12T16:13:00"/>
    <s v="OUTROS"/>
    <s v="ASSENTO / BAGAGEM"/>
    <s v="CAMPO OBSERVAÇÃO PREENCHIDO INCORRETAMENTE"/>
    <x v="1"/>
    <s v="OPERAÇÕES / SUPORTE KCS"/>
    <n v="118"/>
  </r>
  <r>
    <n v="3478153"/>
    <s v="TMS"/>
    <x v="1421"/>
    <n v="2667"/>
    <n v="2667"/>
    <s v="Preenchendo XML Serviço-&gt; Preenchendo XML-&gt; Montando accounting aereo 3-&gt;Reserva USRZHI não encontrada para importar assento/bagagem!"/>
    <d v="2025-06-12T10:58:00"/>
    <d v="2025-06-16T12:28:00"/>
    <s v="OUTROS"/>
    <s v="ASSENTO / BAGAGEM"/>
    <s v="CAMPO OBSERVAÇÃO PREENCHIDO INCORRETAMENTE"/>
    <x v="1"/>
    <s v="OPERAÇÕES / SUPORTE KCS"/>
    <n v="127"/>
  </r>
  <r>
    <n v="3485888"/>
    <s v="TMS"/>
    <x v="1422"/>
    <n v="45234"/>
    <n v="45234"/>
    <s v="Inserindo Accounting Servico - Parâmetro Consolidador - TurVendas - Não foi possível localizar o contrato do fornecedor QUEROP"/>
    <d v="2025-06-17T08:15:00"/>
    <m/>
    <s v="FORNECEDOR"/>
    <s v="CONTRATO FORNECEDOR"/>
    <s v="CONTRATO INATIVO OU DIVERGENTE"/>
    <x v="0"/>
    <s v="OPERAÇÕES / SUPORTE KCS"/>
    <n v="69"/>
  </r>
  <r>
    <n v="3472356"/>
    <s v="TMS"/>
    <x v="1423"/>
    <n v="66686"/>
    <n v="66686"/>
    <s v="Preenchendo XML Carro-&gt; Preenchendo XML-&gt; Montando accounting carro-&gt;Fornecedor com o código 55806  informado nos campos gerenciais não encontrado!"/>
    <d v="2025-06-09T18:02:00"/>
    <d v="2025-06-16T12:39:00"/>
    <s v="FORNECEDOR"/>
    <s v="CONTRATO FORNECEDOR"/>
    <s v="CONTRATO INATIVO OU DIVERGENTE"/>
    <x v="0"/>
    <s v="OPERAÇÕES / SUPORTE KCS"/>
    <n v="69"/>
  </r>
  <r>
    <n v="3482845"/>
    <s v="TMS"/>
    <x v="1424"/>
    <n v="67364"/>
    <n v="67364"/>
    <s v="Preenchendo XML Serviço-&gt; Preenchendo XML-&gt; Montando accounting aereo 3-&gt;Reserva Confir não encontrada para importar assento/bagagem!"/>
    <d v="2025-06-15T02:27:00"/>
    <d v="2025-06-16T18:04:00"/>
    <s v="OUTROS"/>
    <s v="ASSENTO / BAGAGEM"/>
    <s v="CAMPO OBSERVAÇÃO PREENCHIDO INCORRETAMENTE"/>
    <x v="1"/>
    <s v="OPERAÇÕES / SUPORTE KCS"/>
    <n v="127"/>
  </r>
  <r>
    <n v="3486189"/>
    <s v="TMS"/>
    <x v="1425"/>
    <n v="67868"/>
    <n v="67868"/>
    <s v="Inserindo Accounting Servico - Parâmetro Consolidador - TurVendas - Não foi possível localizar o contrato do fornecedor QUEROP"/>
    <d v="2025-06-17T10:37:00"/>
    <m/>
    <s v="FORNECEDOR"/>
    <s v="CONTRATO FORNECEDOR"/>
    <s v="CONTRATO INATIVO OU DIVERGENTE"/>
    <x v="0"/>
    <s v="OPERAÇÕES / SUPORTE KCS"/>
    <n v="69"/>
  </r>
  <r>
    <n v="3486166"/>
    <s v="TMS"/>
    <x v="1425"/>
    <n v="67872"/>
    <n v="67872"/>
    <s v="Inserindo Accounting Servico - Parâmetro Consolidador - TurVendas - Não foi possível localizar o contrato do fornecedor QUEROP"/>
    <d v="2025-06-17T10:28:00"/>
    <m/>
    <s v="FORNECEDOR"/>
    <s v="CONTRATO FORNECEDOR"/>
    <s v="CONTRATO INATIVO OU DIVERGENTE"/>
    <x v="0"/>
    <s v="OPERAÇÕES / SUPORTE KCS"/>
    <n v="69"/>
  </r>
  <r>
    <n v="3486099"/>
    <s v="TMS"/>
    <x v="1426"/>
    <n v="67884"/>
    <n v="67884"/>
    <s v="Inserindo Accounting Servico - Parâmetro Consolidador - TurVendas - Não foi possível localizar o contrato do fornecedor QUEROP"/>
    <d v="2025-06-17T10:05:00"/>
    <m/>
    <s v="FORNECEDOR"/>
    <s v="CONTRATO FORNECEDOR"/>
    <s v="CONTRATO INATIVO OU DIVERGENTE"/>
    <x v="0"/>
    <s v="OPERAÇÕES / SUPORTE KCS"/>
    <n v="69"/>
  </r>
  <r>
    <n v="3486059"/>
    <s v="TMS"/>
    <x v="1427"/>
    <n v="67888"/>
    <n v="67888"/>
    <s v="Inserindo Accounting Servico - Parâmetro Consolidador - TurVendas - Não foi possível localizar o contrato do fornecedor QUEROP"/>
    <d v="2025-06-17T09:59:00"/>
    <m/>
    <s v="FORNECEDOR"/>
    <s v="CONTRATO FORNECEDOR"/>
    <s v="CONTRATO INATIVO OU DIVERGENTE"/>
    <x v="0"/>
    <s v="OPERAÇÕES / SUPORTE KCS"/>
    <n v="69"/>
  </r>
  <r>
    <n v="3486057"/>
    <s v="TMS"/>
    <x v="1427"/>
    <n v="67891"/>
    <n v="67891"/>
    <s v="Inserindo Accounting Servico - Parâmetro Consolidador - TurVendas - Não foi possível localizar o contrato do fornecedor QUEROP"/>
    <d v="2025-06-17T09:57:00"/>
    <m/>
    <s v="FORNECEDOR"/>
    <s v="CONTRATO FORNECEDOR"/>
    <s v="CONTRATO INATIVO OU DIVERGENTE"/>
    <x v="0"/>
    <s v="OPERAÇÕES / SUPORTE KCS"/>
    <n v="69"/>
  </r>
  <r>
    <n v="3486053"/>
    <s v="TMS"/>
    <x v="1428"/>
    <n v="67894"/>
    <n v="67894"/>
    <s v="Inserindo Accounting Servico - Parâmetro Consolidador - TurVendas - Não foi possível localizar o contrato do fornecedor QUEROP"/>
    <d v="2025-06-17T09:53:00"/>
    <m/>
    <s v="FORNECEDOR"/>
    <s v="CONTRATO FORNECEDOR"/>
    <s v="CONTRATO INATIVO OU DIVERGENTE"/>
    <x v="0"/>
    <s v="OPERAÇÕES / SUPORTE KCS"/>
    <n v="69"/>
  </r>
  <r>
    <n v="3486036"/>
    <s v="TMS"/>
    <x v="1408"/>
    <n v="67901"/>
    <n v="67901"/>
    <s v="Inserindo Accounting Servico - Parâmetro Consolidador - TurVendas - Não foi possível localizar o contrato do fornecedor QUEROP"/>
    <d v="2025-06-17T09:37:00"/>
    <m/>
    <s v="FORNECEDOR"/>
    <s v="CONTRATO FORNECEDOR"/>
    <s v="CONTRATO INATIVO OU DIVERGENTE"/>
    <x v="0"/>
    <s v="OPERAÇÕES / SUPORTE KCS"/>
    <n v="69"/>
  </r>
  <r>
    <n v="3486017"/>
    <s v="TMS"/>
    <x v="1408"/>
    <n v="67904"/>
    <n v="67904"/>
    <s v="Inserindo Accounting Servico - Parâmetro Consolidador - TurVendas - Não foi possível localizar o contrato do fornecedor QUEROP"/>
    <d v="2025-06-17T09:33:00"/>
    <m/>
    <s v="FORNECEDOR"/>
    <s v="CONTRATO FORNECEDOR"/>
    <s v="CONTRATO INATIVO OU DIVERGENTE"/>
    <x v="0"/>
    <s v="OPERAÇÕES / SUPORTE KCS"/>
    <n v="69"/>
  </r>
  <r>
    <n v="3486013"/>
    <s v="TMS"/>
    <x v="1429"/>
    <n v="67907"/>
    <n v="67907"/>
    <s v="Inserindo Accounting Servico - Parâmetro Consolidador - TurVendas - Não foi possível localizar o contrato do fornecedor QUEROP"/>
    <d v="2025-06-17T09:29:00"/>
    <m/>
    <s v="FORNECEDOR"/>
    <s v="CONTRATO FORNECEDOR"/>
    <s v="CONTRATO INATIVO OU DIVERGENTE"/>
    <x v="0"/>
    <s v="OPERAÇÕES / SUPORTE KCS"/>
    <n v="69"/>
  </r>
  <r>
    <n v="3486002"/>
    <s v="TMS"/>
    <x v="1430"/>
    <n v="67911"/>
    <n v="67911"/>
    <s v="Inserindo Accounting Servico - Parâmetro Consolidador - TurVendas - Não foi possível localizar o contrato do fornecedor QUEROP"/>
    <d v="2025-06-17T09:24:00"/>
    <m/>
    <s v="FORNECEDOR"/>
    <s v="CONTRATO FORNECEDOR"/>
    <s v="CONTRATO INATIVO OU DIVERGENTE"/>
    <x v="0"/>
    <s v="OPERAÇÕES / SUPORTE KCS"/>
    <n v="69"/>
  </r>
  <r>
    <n v="3485909"/>
    <s v="TMS"/>
    <x v="1431"/>
    <n v="67936"/>
    <n v="67936"/>
    <s v="Inserindo Accounting Servico - Parâmetro Consolidador - TurVendas - Não foi possível localizar o contrato do fornecedor CLICKBUS"/>
    <d v="2025-06-17T08:31:00"/>
    <m/>
    <s v="FORNECEDOR"/>
    <s v="CONTRATO FORNECEDOR"/>
    <s v="CONTRATO INATIVO OU DIVERGENTE"/>
    <x v="0"/>
    <s v="OPERAÇÕES / SUPORTE KCS"/>
    <n v="69"/>
  </r>
  <r>
    <n v="3485634"/>
    <s v="TMS"/>
    <x v="1432"/>
    <n v="7069"/>
    <n v="7069"/>
    <s v="Inserindo Accounting Servico - Parâmetro Consolidador - TurVendas - Não foi possível localizar o contrato do fornecedor QUEROP"/>
    <d v="2025-06-17T04:01:00"/>
    <m/>
    <s v="FORNECEDOR"/>
    <s v="CONTRATO FORNECEDOR"/>
    <s v="CONTRATO INATIVO OU DIVERGENTE"/>
    <x v="0"/>
    <s v="OPERAÇÕES / SUPORTE KCS"/>
    <n v="69"/>
  </r>
  <r>
    <n v="3485632"/>
    <s v="TMS"/>
    <x v="1433"/>
    <n v="7070"/>
    <n v="7070"/>
    <s v="Inserindo Accounting Servico - Parâmetro Consolidador - TurVendas - Não foi possível localizar o contrato do fornecedor QUEROP"/>
    <d v="2025-06-17T03:59:00"/>
    <m/>
    <s v="FORNECEDOR"/>
    <s v="CONTRATO FORNECEDOR"/>
    <s v="CONTRATO INATIVO OU DIVERGENTE"/>
    <x v="0"/>
    <s v="OPERAÇÕES / SUPORTE KCS"/>
    <n v="69"/>
  </r>
  <r>
    <n v="3485630"/>
    <s v="TMS"/>
    <x v="1434"/>
    <n v="7071"/>
    <n v="7071"/>
    <s v="Inserindo Accounting Servico - Parâmetro Consolidador - TurVendas - Não foi possível localizar o contrato do fornecedor QUEROP"/>
    <d v="2025-06-17T03:57:00"/>
    <m/>
    <s v="FORNECEDOR"/>
    <s v="CONTRATO FORNECEDOR"/>
    <s v="CONTRATO INATIVO OU DIVERGENTE"/>
    <x v="0"/>
    <s v="OPERAÇÕES / SUPORTE KCS"/>
    <n v="69"/>
  </r>
  <r>
    <n v="3485109"/>
    <s v="TMS"/>
    <x v="1435"/>
    <n v="72037"/>
    <n v="72037"/>
    <s v="Preenchendo XML Serviço-&gt; Preenchendo XML-&gt; Montando accounting aereo 2-&gt;Não foi informado o Localizador do Assento/Bagagem!"/>
    <d v="2025-06-16T19:09:00"/>
    <d v="2025-06-17T02:29:00"/>
    <s v="OUTROS"/>
    <s v="ASSENTO / BAGAGEM"/>
    <s v="CAMPO OBSERVAÇÃO PREENCHIDO INCORRETAMENTE"/>
    <x v="1"/>
    <s v="OPERAÇÕES / SUPORTE KCS"/>
    <n v="118"/>
  </r>
  <r>
    <n v="3485045"/>
    <s v="TMS"/>
    <x v="1436"/>
    <n v="72176"/>
    <n v="72176"/>
    <s v="Preenchendo XML Serviço-&gt; Preenchendo XML-&gt; Montando accounting aereo 2-&gt;Não foi informado o Localizador do Assento/Bagagem!"/>
    <d v="2025-06-16T18:32:00"/>
    <d v="2025-06-17T02:07:00"/>
    <s v="OUTROS"/>
    <s v="ASSENTO / BAGAGEM"/>
    <s v="CAMPO OBSERVAÇÃO PREENCHIDO INCORRETAMENTE"/>
    <x v="1"/>
    <s v="OPERAÇÕES / SUPORTE KCS"/>
    <n v="118"/>
  </r>
  <r>
    <n v="3484677"/>
    <s v="TMS"/>
    <x v="1437"/>
    <n v="7353"/>
    <n v="7353"/>
    <s v="Preenchendo XML Serviço-&gt; Preenchendo XML-&gt; Montando accounting aereo 2-&gt;Não foi informado o Localizador do Assento/Bagagem!"/>
    <d v="2025-06-16T16:20:00"/>
    <d v="2025-06-16T23:55:00"/>
    <s v="OUTROS"/>
    <s v="ASSENTO / BAGAGEM"/>
    <s v="CAMPO OBSERVAÇÃO PREENCHIDO INCORRETAMENTE"/>
    <x v="1"/>
    <s v="OPERAÇÕES / SUPORTE KCS"/>
    <n v="118"/>
  </r>
  <r>
    <n v="3479925"/>
    <s v="GOVER"/>
    <x v="1438"/>
    <n v="4531374"/>
    <n v="4531374"/>
    <s v="PreencherPnr-&gt;Foi identificado um localizador sem código."/>
    <d v="2025-06-12T17:15:00"/>
    <d v="2025-06-17T10:36:00"/>
    <s v="OUTROS"/>
    <s v="RLOC NÃO INFORMADO"/>
    <s v="RLOC NÃO PREENCHIDO NA RESERVA"/>
    <x v="1"/>
    <s v="SUPORTE OBT"/>
    <s v="COLUNA I"/>
  </r>
  <r>
    <n v="3473736"/>
    <s v="GOVER"/>
    <x v="1439"/>
    <n v="4548607"/>
    <s v="MJF95Z"/>
    <s v="Inserindo Trecho - Parâmetro Fornecedor - TurVendas - Não foi possível localizar o contrato do fornecedor A"/>
    <d v="2025-06-10T11:47:00"/>
    <d v="2025-06-17T10:36:00"/>
    <s v="FORNECEDOR"/>
    <s v="CONTRATO FORNECEDOR"/>
    <s v="CONTRATO INATIVO OU DIVERGENTE"/>
    <x v="0"/>
    <s v="OPERAÇÕES / SUPORTE KCS"/>
    <n v="55"/>
  </r>
  <r>
    <n v="3470547"/>
    <s v="GOVER"/>
    <x v="1440"/>
    <n v="4549295"/>
    <n v="4549295"/>
    <s v="PreencherPnr-&gt;Foi identificado um localizador sem código."/>
    <d v="2025-06-06T22:46:00"/>
    <d v="2025-06-17T10:36:00"/>
    <s v="OUTROS"/>
    <s v="RLOC NÃO INFORMADO"/>
    <s v="RLOC NÃO PREENCHIDO NA RESERVA"/>
    <x v="1"/>
    <s v="SUPORTE OBT"/>
    <s v="COLUNA I"/>
  </r>
  <r>
    <n v="3470701"/>
    <s v="GOVER"/>
    <x v="1441"/>
    <n v="4549319"/>
    <n v="4549319"/>
    <s v="PreencherPnr-&gt;Foi identificado um localizador sem código."/>
    <d v="2025-06-07T18:24:00"/>
    <d v="2025-06-17T10:36:00"/>
    <s v="OUTROS"/>
    <s v="RLOC NÃO INFORMADO"/>
    <s v="RLOC NÃO PREENCHIDO NA RESERVA"/>
    <x v="1"/>
    <s v="SUPORTE OBT"/>
    <s v="COLUNA I"/>
  </r>
  <r>
    <n v="3470724"/>
    <s v="GOVER"/>
    <x v="1442"/>
    <n v="4549321"/>
    <n v="4549321"/>
    <s v="PreencherPnr-&gt;Foi identificado um localizador sem código."/>
    <d v="2025-06-07T20:24:00"/>
    <d v="2025-06-17T10:36:00"/>
    <s v="OUTROS"/>
    <s v="RLOC NÃO INFORMADO"/>
    <s v="RLOC NÃO PREENCHIDO NA RESERVA"/>
    <x v="1"/>
    <s v="SUPORTE OBT"/>
    <s v="COLUNA I"/>
  </r>
  <r>
    <n v="3472734"/>
    <s v="GOVER"/>
    <x v="1443"/>
    <n v="4550080"/>
    <n v="4550080"/>
    <s v="PreencherPnr-&gt;Foi identificado um localizador sem código."/>
    <d v="2025-06-09T19:54:00"/>
    <d v="2025-06-17T10:36:00"/>
    <s v="OUTROS"/>
    <s v="RLOC NÃO INFORMADO"/>
    <s v="RLOC NÃO PREENCHIDO NA RESERVA"/>
    <x v="1"/>
    <s v="SUPORTE OBT"/>
    <s v="COLUNA I"/>
  </r>
  <r>
    <n v="3480276"/>
    <s v="GOVER"/>
    <x v="1444"/>
    <n v="4550215"/>
    <n v="4550215"/>
    <s v="PreencherPnr-&gt;Foi identificado um localizador sem código."/>
    <d v="2025-06-12T20:54:00"/>
    <d v="2025-06-17T10:36:00"/>
    <s v="OUTROS"/>
    <s v="RLOC NÃO INFORMADO"/>
    <s v="RLOC NÃO PREENCHIDO NA RESERVA"/>
    <x v="1"/>
    <s v="SUPORTE OBT"/>
    <s v="COLUNA I"/>
  </r>
  <r>
    <n v="3474170"/>
    <s v="GOVER"/>
    <x v="1445"/>
    <n v="4550483"/>
    <n v="4550483"/>
    <s v="PreencherPnr-&gt;Foi identificado um localizador sem código."/>
    <d v="2025-06-10T16:17:00"/>
    <d v="2025-06-17T10:36:00"/>
    <s v="OUTROS"/>
    <s v="RLOC NÃO INFORMADO"/>
    <s v="RLOC NÃO PREENCHIDO NA RESERVA"/>
    <x v="1"/>
    <s v="SUPORTE OBT"/>
    <s v="COLUNA I"/>
  </r>
  <r>
    <n v="3482124"/>
    <s v="GOVER"/>
    <x v="1446"/>
    <n v="4552535"/>
    <n v="4552535"/>
    <s v="PreencherPnr-&gt;Foi identificado um localizador sem código."/>
    <d v="2025-06-13T19:44:00"/>
    <d v="2025-06-17T10:36:00"/>
    <s v="OUTROS"/>
    <s v="RLOC NÃO INFORMADO"/>
    <s v="RLOC NÃO PREENCHIDO NA RESERVA"/>
    <x v="1"/>
    <s v="SUPORTE OBT"/>
    <s v="COLUNA I"/>
  </r>
  <r>
    <m/>
    <m/>
    <x v="583"/>
    <m/>
    <m/>
    <m/>
    <m/>
    <m/>
    <m/>
    <m/>
    <m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80390-E0CF-4CA0-AD8C-E143FA30B4AF}" name="Tabela dinâmica6" cacheId="134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7" rowHeaderCaption="TIPO DE ERRO">
  <location ref="H17:I22" firstHeaderRow="1" firstDataRow="1" firstDataCol="1" rowPageCount="1" colPageCount="1"/>
  <pivotFields count="20">
    <pivotField showAll="0"/>
    <pivotField showAll="0"/>
    <pivotField axis="axisPage" multipleItemSelectionAllowed="1" showAll="0">
      <items count="6">
        <item m="1" x="4"/>
        <item x="0"/>
        <item x="2"/>
        <item h="1"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2844">
        <item x="0"/>
        <item x="1"/>
        <item x="2"/>
        <item x="3"/>
        <item x="4"/>
        <item x="5"/>
        <item x="6"/>
        <item m="1" x="2773"/>
        <item x="7"/>
        <item x="8"/>
        <item x="9"/>
        <item x="10"/>
        <item x="11"/>
        <item x="12"/>
        <item m="1" x="2486"/>
        <item m="1" x="2487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m="1" x="2774"/>
        <item x="53"/>
        <item x="54"/>
        <item x="55"/>
        <item x="56"/>
        <item x="57"/>
        <item x="58"/>
        <item m="1" x="2488"/>
        <item x="60"/>
        <item m="1" x="2775"/>
        <item x="61"/>
        <item x="62"/>
        <item x="63"/>
        <item x="64"/>
        <item x="65"/>
        <item x="66"/>
        <item m="1" x="2686"/>
        <item m="1" x="2687"/>
        <item m="1" x="2688"/>
        <item m="1" x="2689"/>
        <item x="67"/>
        <item m="1" x="2690"/>
        <item x="68"/>
        <item x="69"/>
        <item x="70"/>
        <item m="1" x="1707"/>
        <item x="71"/>
        <item m="1" x="2489"/>
        <item m="1" x="2490"/>
        <item m="1" x="2491"/>
        <item m="1" x="2492"/>
        <item x="72"/>
        <item x="73"/>
        <item x="74"/>
        <item x="75"/>
        <item x="76"/>
        <item x="77"/>
        <item x="78"/>
        <item x="79"/>
        <item x="80"/>
        <item x="81"/>
        <item m="1" x="2493"/>
        <item x="82"/>
        <item x="83"/>
        <item x="84"/>
        <item m="1" x="2494"/>
        <item x="85"/>
        <item x="86"/>
        <item m="1" x="2495"/>
        <item x="87"/>
        <item x="88"/>
        <item x="89"/>
        <item x="90"/>
        <item x="91"/>
        <item x="92"/>
        <item m="1" x="2496"/>
        <item m="1" x="2497"/>
        <item m="1" x="2498"/>
        <item m="1" x="2499"/>
        <item x="93"/>
        <item m="1" x="2500"/>
        <item m="1" x="2501"/>
        <item m="1" x="2502"/>
        <item m="1" x="2503"/>
        <item m="1" x="2504"/>
        <item m="1" x="2691"/>
        <item x="94"/>
        <item x="95"/>
        <item x="96"/>
        <item x="97"/>
        <item m="1" x="2692"/>
        <item x="98"/>
        <item x="99"/>
        <item x="100"/>
        <item x="101"/>
        <item x="102"/>
        <item x="104"/>
        <item x="105"/>
        <item x="106"/>
        <item x="107"/>
        <item x="108"/>
        <item m="1" x="2776"/>
        <item m="1" x="2777"/>
        <item m="1" x="2778"/>
        <item m="1" x="2505"/>
        <item x="109"/>
        <item x="110"/>
        <item x="111"/>
        <item m="1" x="2693"/>
        <item x="112"/>
        <item x="113"/>
        <item m="1" x="2694"/>
        <item m="1" x="2695"/>
        <item x="114"/>
        <item m="1" x="2506"/>
        <item m="1" x="2696"/>
        <item m="1" x="2697"/>
        <item m="1" x="1708"/>
        <item m="1" x="2507"/>
        <item x="115"/>
        <item m="1" x="2508"/>
        <item x="116"/>
        <item x="117"/>
        <item x="118"/>
        <item m="1" x="2509"/>
        <item x="119"/>
        <item x="120"/>
        <item x="121"/>
        <item x="122"/>
        <item x="123"/>
        <item x="124"/>
        <item m="1" x="1709"/>
        <item x="125"/>
        <item m="1" x="1710"/>
        <item x="126"/>
        <item x="127"/>
        <item x="128"/>
        <item m="1" x="1711"/>
        <item x="129"/>
        <item x="130"/>
        <item m="1" x="2698"/>
        <item m="1" x="1559"/>
        <item m="1" x="2510"/>
        <item x="131"/>
        <item m="1" x="2511"/>
        <item x="132"/>
        <item m="1" x="1712"/>
        <item m="1" x="2779"/>
        <item m="1" x="2780"/>
        <item x="133"/>
        <item x="134"/>
        <item x="135"/>
        <item x="136"/>
        <item m="1" x="2781"/>
        <item x="137"/>
        <item x="138"/>
        <item x="139"/>
        <item m="1" x="2512"/>
        <item m="1" x="2513"/>
        <item m="1" x="2699"/>
        <item x="140"/>
        <item x="141"/>
        <item x="142"/>
        <item m="1" x="2782"/>
        <item x="143"/>
        <item m="1" x="1560"/>
        <item m="1" x="2514"/>
        <item x="144"/>
        <item m="1" x="1713"/>
        <item m="1" x="1561"/>
        <item m="1" x="2515"/>
        <item m="1" x="2700"/>
        <item m="1" x="1714"/>
        <item x="145"/>
        <item x="146"/>
        <item x="147"/>
        <item m="1" x="1715"/>
        <item m="1" x="1562"/>
        <item x="148"/>
        <item x="149"/>
        <item x="150"/>
        <item m="1" x="2783"/>
        <item m="1" x="2784"/>
        <item m="1" x="2701"/>
        <item m="1" x="2785"/>
        <item x="151"/>
        <item m="1" x="1563"/>
        <item x="152"/>
        <item m="1" x="1564"/>
        <item m="1" x="2702"/>
        <item m="1" x="2703"/>
        <item m="1" x="2786"/>
        <item m="1" x="2516"/>
        <item m="1" x="2517"/>
        <item m="1" x="2787"/>
        <item x="153"/>
        <item m="1" x="1565"/>
        <item m="1" x="1566"/>
        <item m="1" x="1567"/>
        <item x="154"/>
        <item m="1" x="1716"/>
        <item m="1" x="1568"/>
        <item m="1" x="2704"/>
        <item m="1" x="2705"/>
        <item x="155"/>
        <item m="1" x="2706"/>
        <item m="1" x="2707"/>
        <item m="1" x="2708"/>
        <item m="1" x="2709"/>
        <item m="1" x="2710"/>
        <item m="1" x="1569"/>
        <item m="1" x="2788"/>
        <item x="156"/>
        <item x="157"/>
        <item m="1" x="1717"/>
        <item m="1" x="1718"/>
        <item m="1" x="2518"/>
        <item m="1" x="2789"/>
        <item m="1" x="2790"/>
        <item m="1" x="2791"/>
        <item x="158"/>
        <item m="1" x="1719"/>
        <item m="1" x="1720"/>
        <item m="1" x="1721"/>
        <item m="1" x="2711"/>
        <item m="1" x="2712"/>
        <item m="1" x="1722"/>
        <item m="1" x="1723"/>
        <item m="1" x="1570"/>
        <item m="1" x="1571"/>
        <item m="1" x="1724"/>
        <item x="159"/>
        <item m="1" x="2519"/>
        <item m="1" x="2792"/>
        <item m="1" x="2793"/>
        <item x="160"/>
        <item m="1" x="1725"/>
        <item m="1" x="1572"/>
        <item m="1" x="1573"/>
        <item m="1" x="1574"/>
        <item m="1" x="1726"/>
        <item m="1" x="1727"/>
        <item m="1" x="1728"/>
        <item x="161"/>
        <item m="1" x="1575"/>
        <item m="1" x="1729"/>
        <item m="1" x="1730"/>
        <item x="162"/>
        <item m="1" x="1731"/>
        <item m="1" x="1732"/>
        <item m="1" x="2713"/>
        <item m="1" x="1733"/>
        <item x="163"/>
        <item m="1" x="2714"/>
        <item m="1" x="1734"/>
        <item m="1" x="2520"/>
        <item m="1" x="2794"/>
        <item m="1" x="2795"/>
        <item m="1" x="2796"/>
        <item m="1" x="2715"/>
        <item m="1" x="2716"/>
        <item x="164"/>
        <item m="1" x="1735"/>
        <item m="1" x="2717"/>
        <item m="1" x="1736"/>
        <item x="165"/>
        <item m="1" x="1737"/>
        <item m="1" x="1738"/>
        <item m="1" x="2521"/>
        <item m="1" x="1739"/>
        <item m="1" x="2718"/>
        <item m="1" x="2719"/>
        <item m="1" x="2720"/>
        <item m="1" x="2522"/>
        <item x="166"/>
        <item m="1" x="2523"/>
        <item m="1" x="1740"/>
        <item m="1" x="1741"/>
        <item x="167"/>
        <item m="1" x="1742"/>
        <item m="1" x="1576"/>
        <item m="1" x="1743"/>
        <item m="1" x="1577"/>
        <item x="168"/>
        <item m="1" x="1744"/>
        <item m="1" x="1745"/>
        <item m="1" x="1746"/>
        <item m="1" x="2524"/>
        <item m="1" x="1747"/>
        <item m="1" x="1748"/>
        <item m="1" x="1749"/>
        <item m="1" x="1578"/>
        <item m="1" x="1750"/>
        <item m="1" x="1579"/>
        <item m="1" x="1751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752"/>
        <item m="1" x="1592"/>
        <item m="1" x="1753"/>
        <item m="1" x="1593"/>
        <item m="1" x="1754"/>
        <item m="1" x="1755"/>
        <item m="1" x="1594"/>
        <item m="1" x="2721"/>
        <item m="1" x="1595"/>
        <item m="1" x="1756"/>
        <item m="1" x="1596"/>
        <item m="1" x="1597"/>
        <item m="1" x="1757"/>
        <item m="1" x="1758"/>
        <item m="1" x="1759"/>
        <item m="1" x="2722"/>
        <item m="1" x="1598"/>
        <item m="1" x="1599"/>
        <item m="1" x="1760"/>
        <item m="1" x="1761"/>
        <item m="1" x="1762"/>
        <item m="1" x="1763"/>
        <item m="1" x="2573"/>
        <item m="1" x="1600"/>
        <item m="1" x="1601"/>
        <item m="1" x="1602"/>
        <item m="1" x="1603"/>
        <item m="1" x="2574"/>
        <item m="1" x="1604"/>
        <item m="1" x="1764"/>
        <item m="1" x="1605"/>
        <item m="1" x="1606"/>
        <item m="1" x="1607"/>
        <item m="1" x="1765"/>
        <item m="1" x="1608"/>
        <item m="1" x="1609"/>
        <item m="1" x="1610"/>
        <item m="1" x="1611"/>
        <item m="1" x="1612"/>
        <item m="1" x="1613"/>
        <item x="169"/>
        <item m="1" x="2723"/>
        <item m="1" x="2575"/>
        <item x="171"/>
        <item x="172"/>
        <item x="173"/>
        <item x="174"/>
        <item x="175"/>
        <item x="176"/>
        <item x="177"/>
        <item x="178"/>
        <item m="1" x="2525"/>
        <item m="1" x="1614"/>
        <item m="1" x="1615"/>
        <item x="179"/>
        <item m="1" x="2724"/>
        <item x="180"/>
        <item m="1" x="2576"/>
        <item m="1" x="1766"/>
        <item m="1" x="1767"/>
        <item m="1" x="2526"/>
        <item x="181"/>
        <item x="182"/>
        <item x="183"/>
        <item x="184"/>
        <item x="185"/>
        <item x="186"/>
        <item m="1" x="1768"/>
        <item x="187"/>
        <item x="188"/>
        <item m="1" x="2797"/>
        <item x="189"/>
        <item x="190"/>
        <item x="191"/>
        <item m="1" x="2577"/>
        <item x="192"/>
        <item x="193"/>
        <item x="194"/>
        <item x="195"/>
        <item m="1" x="2578"/>
        <item m="1" x="2725"/>
        <item x="196"/>
        <item x="197"/>
        <item x="198"/>
        <item x="199"/>
        <item m="1" x="1769"/>
        <item x="200"/>
        <item m="1" x="2579"/>
        <item x="201"/>
        <item x="202"/>
        <item x="203"/>
        <item m="1" x="2527"/>
        <item x="204"/>
        <item x="205"/>
        <item x="206"/>
        <item x="207"/>
        <item x="208"/>
        <item x="209"/>
        <item x="210"/>
        <item m="1" x="2580"/>
        <item x="211"/>
        <item x="212"/>
        <item x="213"/>
        <item m="1" x="2528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m="1" x="2529"/>
        <item x="227"/>
        <item x="228"/>
        <item x="229"/>
        <item m="1" x="1770"/>
        <item x="230"/>
        <item x="231"/>
        <item x="232"/>
        <item x="233"/>
        <item x="234"/>
        <item m="1" x="2726"/>
        <item m="1" x="2530"/>
        <item x="235"/>
        <item m="1" x="2531"/>
        <item x="236"/>
        <item x="237"/>
        <item x="238"/>
        <item x="239"/>
        <item x="240"/>
        <item x="241"/>
        <item x="242"/>
        <item m="1" x="2798"/>
        <item x="243"/>
        <item m="1" x="2581"/>
        <item m="1" x="2582"/>
        <item x="244"/>
        <item x="245"/>
        <item x="246"/>
        <item x="247"/>
        <item x="248"/>
        <item x="249"/>
        <item m="1" x="2532"/>
        <item x="250"/>
        <item x="252"/>
        <item x="253"/>
        <item x="254"/>
        <item x="255"/>
        <item m="1" x="1771"/>
        <item m="1" x="2583"/>
        <item m="1" x="2727"/>
        <item x="256"/>
        <item x="257"/>
        <item x="258"/>
        <item x="259"/>
        <item x="260"/>
        <item x="261"/>
        <item m="1" x="1772"/>
        <item m="1" x="2533"/>
        <item m="1" x="2584"/>
        <item x="262"/>
        <item m="1" x="2799"/>
        <item m="1" x="2534"/>
        <item x="263"/>
        <item x="264"/>
        <item x="265"/>
        <item x="266"/>
        <item m="1" x="2535"/>
        <item x="267"/>
        <item x="268"/>
        <item x="269"/>
        <item x="270"/>
        <item x="271"/>
        <item x="272"/>
        <item m="1" x="2536"/>
        <item m="1" x="2800"/>
        <item x="273"/>
        <item x="274"/>
        <item x="275"/>
        <item x="276"/>
        <item x="277"/>
        <item m="1" x="2585"/>
        <item x="278"/>
        <item x="279"/>
        <item m="1" x="2586"/>
        <item m="1" x="2537"/>
        <item x="280"/>
        <item m="1" x="2538"/>
        <item x="281"/>
        <item x="282"/>
        <item m="1" x="2539"/>
        <item m="1" x="2540"/>
        <item m="1" x="2541"/>
        <item x="283"/>
        <item m="1" x="2587"/>
        <item m="1" x="2588"/>
        <item x="284"/>
        <item x="285"/>
        <item x="286"/>
        <item x="287"/>
        <item x="288"/>
        <item m="1" x="2542"/>
        <item x="289"/>
        <item x="290"/>
        <item x="291"/>
        <item x="292"/>
        <item x="293"/>
        <item x="294"/>
        <item x="295"/>
        <item x="296"/>
        <item x="297"/>
        <item m="1" x="2801"/>
        <item x="298"/>
        <item x="299"/>
        <item x="300"/>
        <item x="301"/>
        <item m="1" x="2543"/>
        <item x="302"/>
        <item x="303"/>
        <item x="304"/>
        <item m="1" x="1773"/>
        <item x="305"/>
        <item x="306"/>
        <item x="307"/>
        <item m="1" x="2544"/>
        <item x="308"/>
        <item x="309"/>
        <item x="310"/>
        <item m="1" x="1616"/>
        <item m="1" x="1617"/>
        <item m="1" x="1618"/>
        <item x="311"/>
        <item x="312"/>
        <item m="1" x="1619"/>
        <item m="1" x="1620"/>
        <item x="313"/>
        <item x="314"/>
        <item m="1" x="2589"/>
        <item m="1" x="2590"/>
        <item m="1" x="2545"/>
        <item m="1" x="2546"/>
        <item m="1" x="2547"/>
        <item x="315"/>
        <item x="316"/>
        <item x="317"/>
        <item m="1" x="2548"/>
        <item x="318"/>
        <item x="319"/>
        <item x="320"/>
        <item x="321"/>
        <item m="1" x="2549"/>
        <item x="322"/>
        <item x="323"/>
        <item m="1" x="2591"/>
        <item m="1" x="2550"/>
        <item m="1" x="2592"/>
        <item x="324"/>
        <item x="325"/>
        <item x="326"/>
        <item x="327"/>
        <item x="328"/>
        <item x="329"/>
        <item m="1" x="2593"/>
        <item x="330"/>
        <item x="331"/>
        <item m="1" x="1621"/>
        <item m="1" x="2594"/>
        <item x="332"/>
        <item m="1" x="2551"/>
        <item m="1" x="1622"/>
        <item x="333"/>
        <item m="1" x="2552"/>
        <item m="1" x="2553"/>
        <item m="1" x="2595"/>
        <item m="1" x="2596"/>
        <item x="334"/>
        <item x="335"/>
        <item m="1" x="1623"/>
        <item x="336"/>
        <item x="337"/>
        <item x="338"/>
        <item x="339"/>
        <item x="340"/>
        <item x="341"/>
        <item x="342"/>
        <item x="343"/>
        <item x="344"/>
        <item m="1" x="1774"/>
        <item x="345"/>
        <item m="1" x="1775"/>
        <item m="1" x="2597"/>
        <item x="346"/>
        <item m="1" x="1776"/>
        <item x="347"/>
        <item x="348"/>
        <item x="349"/>
        <item x="350"/>
        <item m="1" x="2598"/>
        <item x="351"/>
        <item m="1" x="1624"/>
        <item x="352"/>
        <item x="353"/>
        <item m="1" x="2802"/>
        <item m="1" x="1777"/>
        <item m="1" x="2554"/>
        <item x="354"/>
        <item x="355"/>
        <item x="356"/>
        <item x="357"/>
        <item x="358"/>
        <item x="359"/>
        <item x="360"/>
        <item m="1" x="2555"/>
        <item x="361"/>
        <item m="1" x="1778"/>
        <item x="362"/>
        <item x="363"/>
        <item m="1" x="2599"/>
        <item m="1" x="2600"/>
        <item m="1" x="2601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779"/>
        <item x="384"/>
        <item x="385"/>
        <item x="386"/>
        <item x="387"/>
        <item x="388"/>
        <item m="1" x="2803"/>
        <item m="1" x="2804"/>
        <item x="389"/>
        <item x="390"/>
        <item x="391"/>
        <item x="392"/>
        <item x="393"/>
        <item m="1" x="2556"/>
        <item m="1" x="2805"/>
        <item m="1" x="2728"/>
        <item x="394"/>
        <item x="395"/>
        <item m="1" x="2602"/>
        <item x="396"/>
        <item x="397"/>
        <item x="398"/>
        <item x="399"/>
        <item x="400"/>
        <item m="1" x="2729"/>
        <item m="1" x="2730"/>
        <item x="401"/>
        <item m="1" x="1780"/>
        <item x="402"/>
        <item x="403"/>
        <item x="404"/>
        <item x="405"/>
        <item m="1" x="2557"/>
        <item x="406"/>
        <item x="407"/>
        <item x="408"/>
        <item x="409"/>
        <item x="410"/>
        <item m="1" x="1781"/>
        <item m="1" x="2558"/>
        <item m="1" x="2806"/>
        <item x="411"/>
        <item x="412"/>
        <item m="1" x="2807"/>
        <item x="413"/>
        <item x="414"/>
        <item m="1" x="2808"/>
        <item m="1" x="2731"/>
        <item m="1" x="2732"/>
        <item m="1" x="2559"/>
        <item x="415"/>
        <item m="1" x="2603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2733"/>
        <item m="1" x="1782"/>
        <item m="1" x="1783"/>
        <item m="1" x="2560"/>
        <item x="428"/>
        <item m="1" x="2809"/>
        <item m="1" x="2810"/>
        <item m="1" x="2811"/>
        <item x="429"/>
        <item x="430"/>
        <item x="431"/>
        <item x="432"/>
        <item m="1" x="2812"/>
        <item x="433"/>
        <item x="434"/>
        <item x="435"/>
        <item x="436"/>
        <item x="103"/>
        <item x="458"/>
        <item m="1" x="2604"/>
        <item x="528"/>
        <item m="1" x="2605"/>
        <item m="1" x="2561"/>
        <item x="519"/>
        <item x="503"/>
        <item x="449"/>
        <item x="501"/>
        <item m="1" x="2606"/>
        <item m="1" x="2607"/>
        <item m="1" x="2608"/>
        <item x="467"/>
        <item x="546"/>
        <item x="540"/>
        <item m="1" x="2562"/>
        <item x="525"/>
        <item m="1" x="2630"/>
        <item x="518"/>
        <item m="1" x="2609"/>
        <item x="439"/>
        <item x="495"/>
        <item x="459"/>
        <item m="1" x="2610"/>
        <item x="513"/>
        <item m="1" x="2611"/>
        <item x="541"/>
        <item x="448"/>
        <item m="1" x="2813"/>
        <item m="1" x="2612"/>
        <item m="1" x="2026"/>
        <item x="487"/>
        <item x="466"/>
        <item x="515"/>
        <item x="452"/>
        <item x="509"/>
        <item m="1" x="2613"/>
        <item m="1" x="2614"/>
        <item x="464"/>
        <item x="526"/>
        <item x="544"/>
        <item x="542"/>
        <item m="1" x="2615"/>
        <item m="1" x="1625"/>
        <item x="481"/>
        <item m="1" x="1626"/>
        <item x="451"/>
        <item x="530"/>
        <item m="1" x="2629"/>
        <item x="463"/>
        <item x="222"/>
        <item m="1" x="2814"/>
        <item x="465"/>
        <item x="545"/>
        <item m="1" x="1784"/>
        <item m="1" x="2041"/>
        <item m="1" x="1627"/>
        <item m="1" x="2616"/>
        <item m="1" x="2617"/>
        <item x="548"/>
        <item x="547"/>
        <item x="529"/>
        <item x="506"/>
        <item x="535"/>
        <item x="543"/>
        <item x="446"/>
        <item m="1" x="2618"/>
        <item m="1" x="2815"/>
        <item x="456"/>
        <item m="1" x="2619"/>
        <item x="520"/>
        <item x="441"/>
        <item x="442"/>
        <item x="474"/>
        <item x="475"/>
        <item x="522"/>
        <item x="460"/>
        <item x="486"/>
        <item m="1" x="2620"/>
        <item m="1" x="2816"/>
        <item x="477"/>
        <item x="494"/>
        <item x="478"/>
        <item m="1" x="2621"/>
        <item m="1" x="2817"/>
        <item x="490"/>
        <item m="1" x="2818"/>
        <item m="1" x="2622"/>
        <item m="1" x="2819"/>
        <item m="1" x="2623"/>
        <item m="1" x="2624"/>
        <item m="1" x="2625"/>
        <item x="512"/>
        <item x="492"/>
        <item x="498"/>
        <item x="499"/>
        <item m="1" x="2626"/>
        <item x="454"/>
        <item m="1" x="2627"/>
        <item m="1" x="1628"/>
        <item m="1" x="1629"/>
        <item x="500"/>
        <item x="170"/>
        <item x="491"/>
        <item x="472"/>
        <item x="450"/>
        <item x="471"/>
        <item x="447"/>
        <item x="504"/>
        <item x="483"/>
        <item x="534"/>
        <item m="1" x="2628"/>
        <item x="468"/>
        <item x="445"/>
        <item x="476"/>
        <item x="536"/>
        <item x="473"/>
        <item x="527"/>
        <item x="496"/>
        <item x="538"/>
        <item m="1" x="2820"/>
        <item x="480"/>
        <item x="470"/>
        <item x="440"/>
        <item x="523"/>
        <item m="1" x="2821"/>
        <item m="1" x="2563"/>
        <item m="1" x="2564"/>
        <item x="484"/>
        <item x="462"/>
        <item x="517"/>
        <item m="1" x="2565"/>
        <item m="1" x="2631"/>
        <item x="482"/>
        <item m="1" x="1630"/>
        <item x="488"/>
        <item x="511"/>
        <item x="497"/>
        <item m="1" x="2566"/>
        <item m="1" x="1991"/>
        <item x="489"/>
        <item x="510"/>
        <item x="514"/>
        <item x="493"/>
        <item m="1" x="2632"/>
        <item x="479"/>
        <item x="455"/>
        <item x="508"/>
        <item x="443"/>
        <item x="485"/>
        <item x="533"/>
        <item m="1" x="2633"/>
        <item x="532"/>
        <item x="505"/>
        <item x="502"/>
        <item x="507"/>
        <item m="1" x="2634"/>
        <item x="444"/>
        <item x="524"/>
        <item m="1" x="2734"/>
        <item m="1" x="2822"/>
        <item m="1" x="2823"/>
        <item m="1" x="2824"/>
        <item m="1" x="2825"/>
        <item m="1" x="1785"/>
        <item m="1" x="2034"/>
        <item m="1" x="2826"/>
        <item m="1" x="2827"/>
        <item m="1" x="1786"/>
        <item m="1" x="2735"/>
        <item m="1" x="2736"/>
        <item m="1" x="2828"/>
        <item m="1" x="2737"/>
        <item m="1" x="2738"/>
        <item m="1" x="2739"/>
        <item m="1" x="1787"/>
        <item m="1" x="2740"/>
        <item m="1" x="2741"/>
        <item m="1" x="2742"/>
        <item m="1" x="2743"/>
        <item m="1" x="2829"/>
        <item m="1" x="1857"/>
        <item m="1" x="2830"/>
        <item m="1" x="2831"/>
        <item m="1" x="2744"/>
        <item m="1" x="2745"/>
        <item m="1" x="2746"/>
        <item m="1" x="2747"/>
        <item m="1" x="2748"/>
        <item x="539"/>
        <item m="1" x="2749"/>
        <item m="1" x="2750"/>
        <item m="1" x="2751"/>
        <item m="1" x="2752"/>
        <item m="1" x="2753"/>
        <item m="1" x="2754"/>
        <item m="1" x="1788"/>
        <item m="1" x="2017"/>
        <item x="531"/>
        <item m="1" x="2832"/>
        <item m="1" x="1789"/>
        <item m="1" x="2755"/>
        <item m="1" x="1904"/>
        <item m="1" x="2833"/>
        <item m="1" x="2834"/>
        <item m="1" x="2835"/>
        <item m="1" x="2836"/>
        <item m="1" x="2837"/>
        <item m="1" x="2838"/>
        <item m="1" x="2839"/>
        <item m="1" x="1790"/>
        <item x="521"/>
        <item m="1" x="2840"/>
        <item m="1" x="2841"/>
        <item x="461"/>
        <item m="1" x="2842"/>
        <item x="537"/>
        <item m="1" x="1791"/>
        <item x="516"/>
        <item x="437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x="438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x="453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x="469"/>
        <item m="1" x="1849"/>
        <item m="1" x="1850"/>
        <item m="1" x="1851"/>
        <item m="1" x="1852"/>
        <item m="1" x="1853"/>
        <item m="1" x="1854"/>
        <item m="1" x="1855"/>
        <item m="1" x="1856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8"/>
        <item m="1" x="2019"/>
        <item m="1" x="2020"/>
        <item m="1" x="2021"/>
        <item m="1" x="2022"/>
        <item m="1" x="2023"/>
        <item m="1" x="2024"/>
        <item m="1" x="2025"/>
        <item m="1" x="2027"/>
        <item m="1" x="2028"/>
        <item m="1" x="2029"/>
        <item m="1" x="2030"/>
        <item m="1" x="2031"/>
        <item m="1" x="2032"/>
        <item m="1" x="2033"/>
        <item m="1" x="2035"/>
        <item m="1" x="2036"/>
        <item m="1" x="2037"/>
        <item m="1" x="2038"/>
        <item m="1" x="2039"/>
        <item m="1" x="2040"/>
        <item m="1" x="2042"/>
        <item m="1" x="2043"/>
        <item m="1" x="2044"/>
        <item m="1" x="2045"/>
        <item m="1" x="1631"/>
        <item m="1" x="1638"/>
        <item x="592"/>
        <item m="1" x="2635"/>
        <item x="556"/>
        <item x="570"/>
        <item x="554"/>
        <item x="551"/>
        <item m="1" x="1632"/>
        <item m="1" x="2636"/>
        <item x="578"/>
        <item m="1" x="2637"/>
        <item x="585"/>
        <item m="1" x="1633"/>
        <item m="1" x="1634"/>
        <item m="1" x="1635"/>
        <item x="604"/>
        <item m="1" x="2638"/>
        <item m="1" x="2639"/>
        <item x="582"/>
        <item x="595"/>
        <item m="1" x="2640"/>
        <item x="584"/>
        <item x="550"/>
        <item x="580"/>
        <item m="1" x="2641"/>
        <item x="583"/>
        <item x="596"/>
        <item m="1" x="2642"/>
        <item x="559"/>
        <item x="610"/>
        <item x="607"/>
        <item m="1" x="2643"/>
        <item x="589"/>
        <item m="1" x="2644"/>
        <item x="587"/>
        <item m="1" x="2645"/>
        <item x="552"/>
        <item m="1" x="2164"/>
        <item m="1" x="2646"/>
        <item m="1" x="1636"/>
        <item x="562"/>
        <item m="1" x="1637"/>
        <item x="565"/>
        <item x="590"/>
        <item m="1" x="2647"/>
        <item m="1" x="2648"/>
        <item m="1" x="2649"/>
        <item m="1" x="2650"/>
        <item x="566"/>
        <item m="1" x="2651"/>
        <item m="1" x="2652"/>
        <item m="1" x="2653"/>
        <item m="1" x="1639"/>
        <item m="1" x="2654"/>
        <item x="602"/>
        <item x="568"/>
        <item x="601"/>
        <item x="597"/>
        <item m="1" x="2655"/>
        <item m="1" x="2656"/>
        <item x="600"/>
        <item m="1" x="1640"/>
        <item m="1" x="1641"/>
        <item x="561"/>
        <item x="560"/>
        <item m="1" x="2657"/>
        <item x="569"/>
        <item x="553"/>
        <item x="577"/>
        <item x="573"/>
        <item x="603"/>
        <item m="1" x="2658"/>
        <item m="1" x="2659"/>
        <item x="555"/>
        <item x="586"/>
        <item x="609"/>
        <item m="1" x="2660"/>
        <item m="1" x="2567"/>
        <item x="576"/>
        <item x="572"/>
        <item m="1" x="2661"/>
        <item x="606"/>
        <item x="564"/>
        <item m="1" x="2156"/>
        <item x="574"/>
        <item x="608"/>
        <item x="563"/>
        <item x="594"/>
        <item x="599"/>
        <item x="605"/>
        <item x="611"/>
        <item x="591"/>
        <item m="1" x="2662"/>
        <item m="1" x="2756"/>
        <item m="1" x="2757"/>
        <item m="1" x="2046"/>
        <item m="1" x="2047"/>
        <item x="557"/>
        <item m="1" x="2048"/>
        <item m="1" x="2758"/>
        <item m="1" x="2759"/>
        <item m="1" x="2760"/>
        <item m="1" x="2761"/>
        <item m="1" x="2762"/>
        <item m="1" x="2763"/>
        <item m="1" x="2189"/>
        <item m="1" x="2764"/>
        <item m="1" x="2765"/>
        <item m="1" x="2766"/>
        <item m="1" x="2150"/>
        <item m="1" x="2767"/>
        <item m="1" x="2768"/>
        <item m="1" x="2769"/>
        <item m="1" x="2770"/>
        <item m="1" x="2771"/>
        <item m="1" x="2049"/>
        <item m="1" x="2050"/>
        <item m="1" x="2051"/>
        <item x="571"/>
        <item m="1" x="2772"/>
        <item x="567"/>
        <item x="588"/>
        <item m="1" x="1642"/>
        <item x="579"/>
        <item x="581"/>
        <item x="575"/>
        <item x="558"/>
        <item x="549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1"/>
        <item m="1" x="2152"/>
        <item m="1" x="2153"/>
        <item m="1" x="2154"/>
        <item m="1" x="2155"/>
        <item m="1" x="2157"/>
        <item m="1" x="2158"/>
        <item m="1" x="2159"/>
        <item m="1" x="2160"/>
        <item m="1" x="2161"/>
        <item m="1" x="2162"/>
        <item m="1" x="2163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x="593"/>
        <item m="1" x="2232"/>
        <item m="1" x="2233"/>
        <item m="1" x="2234"/>
        <item m="1" x="2235"/>
        <item m="1" x="2236"/>
        <item m="1" x="2237"/>
        <item m="1" x="2238"/>
        <item m="1" x="2239"/>
        <item x="598"/>
        <item m="1" x="2240"/>
        <item m="1" x="2241"/>
        <item m="1" x="2242"/>
        <item x="717"/>
        <item x="670"/>
        <item m="1" x="2663"/>
        <item m="1" x="1643"/>
        <item x="671"/>
        <item x="658"/>
        <item x="659"/>
        <item x="663"/>
        <item x="652"/>
        <item x="696"/>
        <item x="703"/>
        <item x="665"/>
        <item x="705"/>
        <item m="1" x="1644"/>
        <item x="641"/>
        <item m="1" x="2664"/>
        <item m="1" x="1645"/>
        <item m="1" x="2665"/>
        <item m="1" x="1646"/>
        <item x="687"/>
        <item x="638"/>
        <item x="612"/>
        <item m="1" x="2666"/>
        <item m="1" x="1647"/>
        <item x="669"/>
        <item x="728"/>
        <item m="1" x="1648"/>
        <item x="732"/>
        <item x="649"/>
        <item m="1" x="1649"/>
        <item x="685"/>
        <item m="1" x="2667"/>
        <item m="1" x="1650"/>
        <item x="689"/>
        <item x="639"/>
        <item m="1" x="2668"/>
        <item x="623"/>
        <item m="1" x="2669"/>
        <item m="1" x="2670"/>
        <item m="1" x="1651"/>
        <item m="1" x="1652"/>
        <item x="713"/>
        <item x="615"/>
        <item m="1" x="1653"/>
        <item x="681"/>
        <item x="674"/>
        <item x="697"/>
        <item x="626"/>
        <item m="1" x="2671"/>
        <item m="1" x="1654"/>
        <item x="660"/>
        <item m="1" x="2568"/>
        <item m="1" x="1655"/>
        <item m="1" x="1656"/>
        <item x="668"/>
        <item x="667"/>
        <item x="679"/>
        <item x="677"/>
        <item x="733"/>
        <item m="1" x="1657"/>
        <item x="645"/>
        <item x="666"/>
        <item x="636"/>
        <item x="651"/>
        <item m="1" x="2569"/>
        <item m="1" x="2672"/>
        <item x="684"/>
        <item m="1" x="2673"/>
        <item x="628"/>
        <item m="1" x="2674"/>
        <item m="1" x="2675"/>
        <item m="1" x="1658"/>
        <item x="716"/>
        <item x="725"/>
        <item x="720"/>
        <item x="714"/>
        <item m="1" x="1659"/>
        <item x="693"/>
        <item x="614"/>
        <item x="692"/>
        <item x="722"/>
        <item x="680"/>
        <item x="625"/>
        <item x="613"/>
        <item m="1" x="1660"/>
        <item x="686"/>
        <item x="702"/>
        <item x="637"/>
        <item m="1" x="2676"/>
        <item x="730"/>
        <item x="694"/>
        <item x="724"/>
        <item m="1" x="1661"/>
        <item x="653"/>
        <item m="1" x="2677"/>
        <item x="707"/>
        <item x="644"/>
        <item x="634"/>
        <item x="627"/>
        <item x="631"/>
        <item x="617"/>
        <item x="619"/>
        <item x="688"/>
        <item m="1" x="1662"/>
        <item x="457"/>
        <item m="1" x="2678"/>
        <item x="715"/>
        <item x="709"/>
        <item m="1" x="2570"/>
        <item x="621"/>
        <item m="1" x="1663"/>
        <item x="731"/>
        <item x="664"/>
        <item x="734"/>
        <item x="710"/>
        <item x="635"/>
        <item x="657"/>
        <item x="640"/>
        <item m="1" x="2679"/>
        <item x="691"/>
        <item m="1" x="2680"/>
        <item m="1" x="2681"/>
        <item m="1" x="1664"/>
        <item m="1" x="1665"/>
        <item x="729"/>
        <item x="727"/>
        <item x="718"/>
        <item m="1" x="1666"/>
        <item x="646"/>
        <item m="1" x="2682"/>
        <item x="647"/>
        <item x="701"/>
        <item x="698"/>
        <item x="704"/>
        <item m="1" x="2683"/>
        <item x="711"/>
        <item x="662"/>
        <item x="721"/>
        <item x="682"/>
        <item m="1" x="2571"/>
        <item x="700"/>
        <item x="632"/>
        <item m="1" x="1667"/>
        <item x="620"/>
        <item m="1" x="1668"/>
        <item x="629"/>
        <item m="1" x="1669"/>
        <item x="251"/>
        <item x="723"/>
        <item x="633"/>
        <item m="1" x="2684"/>
        <item x="622"/>
        <item m="1" x="2685"/>
        <item x="618"/>
        <item x="699"/>
        <item x="616"/>
        <item x="673"/>
        <item x="726"/>
        <item x="650"/>
        <item x="675"/>
        <item x="648"/>
        <item x="706"/>
        <item x="719"/>
        <item x="695"/>
        <item x="683"/>
        <item m="1" x="2243"/>
        <item x="735"/>
        <item x="655"/>
        <item m="1" x="2244"/>
        <item m="1" x="2245"/>
        <item m="1" x="2246"/>
        <item m="1" x="2247"/>
        <item m="1" x="2572"/>
        <item x="690"/>
        <item x="654"/>
        <item m="1" x="2248"/>
        <item x="708"/>
        <item x="656"/>
        <item x="672"/>
        <item x="624"/>
        <item x="678"/>
        <item m="1" x="2249"/>
        <item x="630"/>
        <item x="643"/>
        <item x="661"/>
        <item m="1" x="1670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x="712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x="741"/>
        <item x="740"/>
        <item x="739"/>
        <item x="747"/>
        <item x="751"/>
        <item m="1" x="2474"/>
        <item x="676"/>
        <item x="748"/>
        <item x="736"/>
        <item x="737"/>
        <item x="738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1671"/>
        <item m="1" x="1672"/>
        <item x="642"/>
        <item x="742"/>
        <item x="743"/>
        <item x="744"/>
        <item x="745"/>
        <item x="746"/>
        <item x="749"/>
        <item x="750"/>
        <item x="752"/>
        <item x="753"/>
        <item x="754"/>
        <item x="755"/>
        <item m="1" x="1673"/>
        <item m="1" x="167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m="1" x="1675"/>
        <item m="1" x="1676"/>
        <item x="767"/>
        <item m="1" x="1677"/>
        <item x="768"/>
        <item x="769"/>
        <item x="770"/>
        <item m="1" x="1678"/>
        <item x="771"/>
        <item x="772"/>
        <item x="773"/>
        <item x="774"/>
        <item m="1" x="1679"/>
        <item m="1" x="1680"/>
        <item x="775"/>
        <item x="776"/>
        <item x="777"/>
        <item x="778"/>
        <item x="779"/>
        <item x="780"/>
        <item m="1" x="1681"/>
        <item x="781"/>
        <item x="782"/>
        <item x="783"/>
        <item x="784"/>
        <item x="785"/>
        <item x="787"/>
        <item m="1" x="1682"/>
        <item m="1" x="1683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m="1" x="1684"/>
        <item m="1" x="1685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m="1" x="1686"/>
        <item x="829"/>
        <item x="830"/>
        <item x="831"/>
        <item x="832"/>
        <item m="1" x="1687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m="1" x="1688"/>
        <item m="1" x="1689"/>
        <item x="857"/>
        <item x="858"/>
        <item x="859"/>
        <item x="860"/>
        <item m="1" x="1690"/>
        <item x="861"/>
        <item x="862"/>
        <item x="863"/>
        <item m="1" x="1691"/>
        <item x="864"/>
        <item x="865"/>
        <item x="866"/>
        <item x="867"/>
        <item x="868"/>
        <item m="1" x="1692"/>
        <item x="869"/>
        <item x="870"/>
        <item x="871"/>
        <item m="1" x="1693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m="1" x="1694"/>
        <item x="884"/>
        <item x="885"/>
        <item x="886"/>
        <item x="887"/>
        <item x="888"/>
        <item m="1" x="1695"/>
        <item x="889"/>
        <item x="890"/>
        <item x="891"/>
        <item x="892"/>
        <item x="893"/>
        <item x="894"/>
        <item x="895"/>
        <item x="896"/>
        <item m="1" x="1696"/>
        <item x="897"/>
        <item x="898"/>
        <item m="1" x="1697"/>
        <item x="899"/>
        <item x="900"/>
        <item x="901"/>
        <item x="902"/>
        <item x="903"/>
        <item x="904"/>
        <item m="1" x="1698"/>
        <item x="905"/>
        <item x="906"/>
        <item x="907"/>
        <item x="908"/>
        <item x="909"/>
        <item x="910"/>
        <item x="911"/>
        <item x="912"/>
        <item x="913"/>
        <item x="914"/>
        <item m="1" x="1699"/>
        <item x="915"/>
        <item x="916"/>
        <item x="917"/>
        <item x="918"/>
        <item x="919"/>
        <item m="1" x="1700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m="1" x="1701"/>
        <item x="939"/>
        <item x="940"/>
        <item x="941"/>
        <item m="1" x="1702"/>
        <item m="1" x="1703"/>
        <item m="1" x="1704"/>
        <item m="1" x="1705"/>
        <item m="1" x="1706"/>
        <item x="980"/>
        <item x="978"/>
        <item x="981"/>
        <item x="1065"/>
        <item x="1054"/>
        <item x="1019"/>
        <item x="987"/>
        <item x="950"/>
        <item x="957"/>
        <item x="1006"/>
        <item x="1003"/>
        <item x="992"/>
        <item x="1058"/>
        <item x="944"/>
        <item x="1078"/>
        <item x="945"/>
        <item x="1062"/>
        <item x="1061"/>
        <item x="1064"/>
        <item x="1039"/>
        <item x="1076"/>
        <item x="1060"/>
        <item x="1052"/>
        <item x="977"/>
        <item x="1038"/>
        <item x="952"/>
        <item x="1084"/>
        <item x="1075"/>
        <item x="1070"/>
        <item x="954"/>
        <item x="1067"/>
        <item x="1031"/>
        <item x="1008"/>
        <item x="1030"/>
        <item x="1034"/>
        <item x="1047"/>
        <item x="1046"/>
        <item x="1074"/>
        <item x="1010"/>
        <item x="994"/>
        <item x="990"/>
        <item x="959"/>
        <item x="962"/>
        <item x="1012"/>
        <item x="1085"/>
        <item x="1055"/>
        <item x="1057"/>
        <item x="1086"/>
        <item x="1087"/>
        <item x="986"/>
        <item x="976"/>
        <item x="1051"/>
        <item x="1077"/>
        <item x="961"/>
        <item x="1069"/>
        <item x="964"/>
        <item x="998"/>
        <item x="965"/>
        <item x="963"/>
        <item x="1024"/>
        <item x="973"/>
        <item x="1007"/>
        <item x="958"/>
        <item x="948"/>
        <item x="1080"/>
        <item x="1029"/>
        <item x="1028"/>
        <item x="955"/>
        <item x="956"/>
        <item x="993"/>
        <item x="991"/>
        <item x="960"/>
        <item x="943"/>
        <item x="1068"/>
        <item x="996"/>
        <item x="1042"/>
        <item x="969"/>
        <item x="1081"/>
        <item x="1023"/>
        <item x="1089"/>
        <item x="1071"/>
        <item x="1005"/>
        <item x="1032"/>
        <item x="951"/>
        <item x="942"/>
        <item x="947"/>
        <item x="1026"/>
        <item x="989"/>
        <item x="1020"/>
        <item x="1088"/>
        <item x="1059"/>
        <item x="1048"/>
        <item x="979"/>
        <item x="1017"/>
        <item x="953"/>
        <item x="946"/>
        <item x="1043"/>
        <item x="1072"/>
        <item x="1082"/>
        <item x="997"/>
        <item x="1083"/>
        <item x="967"/>
        <item x="982"/>
        <item x="1041"/>
        <item x="988"/>
        <item x="1021"/>
        <item x="970"/>
        <item x="1025"/>
        <item x="985"/>
        <item x="1066"/>
        <item x="1011"/>
        <item x="1009"/>
        <item x="1016"/>
        <item x="1100"/>
        <item x="975"/>
        <item x="995"/>
        <item x="1015"/>
        <item x="1063"/>
        <item x="984"/>
        <item x="1050"/>
        <item x="949"/>
        <item x="1018"/>
        <item x="974"/>
        <item x="1000"/>
        <item x="1056"/>
        <item x="1073"/>
        <item x="1079"/>
        <item x="1099"/>
        <item x="972"/>
        <item x="971"/>
        <item x="999"/>
        <item x="1035"/>
        <item x="1053"/>
        <item x="1033"/>
        <item x="1013"/>
        <item x="1044"/>
        <item x="1001"/>
        <item x="1014"/>
        <item x="1037"/>
        <item x="1027"/>
        <item x="1036"/>
        <item x="966"/>
        <item x="1049"/>
        <item x="983"/>
        <item x="804"/>
        <item x="786"/>
        <item x="1002"/>
        <item x="968"/>
        <item x="1004"/>
        <item x="1022"/>
        <item x="1045"/>
        <item x="1040"/>
        <item x="1092"/>
        <item x="1095"/>
        <item x="1090"/>
        <item x="1097"/>
        <item x="1102"/>
        <item x="1093"/>
        <item x="1104"/>
        <item x="1096"/>
        <item x="1091"/>
        <item x="1098"/>
        <item x="1103"/>
        <item x="1101"/>
        <item x="1094"/>
        <item x="1114"/>
        <item x="1125"/>
        <item x="1143"/>
        <item x="1117"/>
        <item x="1112"/>
        <item x="1171"/>
        <item x="1177"/>
        <item x="1116"/>
        <item x="1138"/>
        <item x="1135"/>
        <item x="1147"/>
        <item x="1184"/>
        <item x="1165"/>
        <item x="1151"/>
        <item x="1106"/>
        <item x="1164"/>
        <item x="1118"/>
        <item x="1156"/>
        <item x="1124"/>
        <item x="1181"/>
        <item x="1176"/>
        <item x="1182"/>
        <item x="1137"/>
        <item x="1178"/>
        <item x="1155"/>
        <item x="1113"/>
        <item x="1170"/>
        <item x="1161"/>
        <item x="1148"/>
        <item x="1149"/>
        <item x="1123"/>
        <item x="1115"/>
        <item x="1127"/>
        <item x="1172"/>
        <item x="1136"/>
        <item x="1159"/>
        <item x="1144"/>
        <item x="1146"/>
        <item x="1105"/>
        <item x="1169"/>
        <item x="1168"/>
        <item x="1191"/>
        <item x="1158"/>
        <item x="1190"/>
        <item x="1139"/>
        <item x="1122"/>
        <item x="1150"/>
        <item x="1192"/>
        <item x="1175"/>
        <item x="1152"/>
        <item x="1111"/>
        <item x="1140"/>
        <item x="1162"/>
        <item x="1167"/>
        <item x="1153"/>
        <item x="1174"/>
        <item x="1131"/>
        <item x="1157"/>
        <item x="1160"/>
        <item x="1121"/>
        <item x="1183"/>
        <item x="1142"/>
        <item x="1145"/>
        <item x="1132"/>
        <item x="1141"/>
        <item x="1166"/>
        <item x="1179"/>
        <item x="1186"/>
        <item x="1188"/>
        <item x="1185"/>
        <item x="1110"/>
        <item x="1129"/>
        <item x="1109"/>
        <item x="1128"/>
        <item x="1134"/>
        <item x="1133"/>
        <item x="1180"/>
        <item x="1187"/>
        <item x="1189"/>
        <item x="1120"/>
        <item x="1119"/>
        <item x="1154"/>
        <item x="1163"/>
        <item x="1108"/>
        <item x="1107"/>
        <item x="1126"/>
        <item x="1130"/>
        <item x="1173"/>
        <item x="1206"/>
        <item x="1203"/>
        <item x="1201"/>
        <item x="1221"/>
        <item x="1196"/>
        <item x="1193"/>
        <item x="1241"/>
        <item x="1240"/>
        <item x="1202"/>
        <item x="1237"/>
        <item x="1220"/>
        <item x="1236"/>
        <item x="1227"/>
        <item x="1238"/>
        <item x="1243"/>
        <item x="1223"/>
        <item x="1228"/>
        <item x="1214"/>
        <item x="1215"/>
        <item x="1222"/>
        <item x="1246"/>
        <item x="1244"/>
        <item x="1205"/>
        <item x="1242"/>
        <item x="1245"/>
        <item x="1200"/>
        <item x="1226"/>
        <item x="1213"/>
        <item x="1239"/>
        <item x="1208"/>
        <item x="59"/>
        <item x="1235"/>
        <item x="1230"/>
        <item x="1207"/>
        <item x="1204"/>
        <item x="1224"/>
        <item x="1231"/>
        <item x="1194"/>
        <item x="1195"/>
        <item x="1199"/>
        <item x="1212"/>
        <item x="1210"/>
        <item x="1211"/>
        <item x="1233"/>
        <item x="1218"/>
        <item x="1225"/>
        <item x="1217"/>
        <item x="1216"/>
        <item x="1209"/>
        <item x="1229"/>
        <item x="1232"/>
        <item x="1197"/>
        <item x="1198"/>
        <item x="1308"/>
        <item x="1333"/>
        <item x="1291"/>
        <item x="1373"/>
        <item x="1343"/>
        <item x="1268"/>
        <item x="1340"/>
        <item x="1249"/>
        <item x="1280"/>
        <item x="1334"/>
        <item x="1359"/>
        <item x="1388"/>
        <item x="1341"/>
        <item x="1285"/>
        <item x="1286"/>
        <item x="1366"/>
        <item x="1278"/>
        <item x="1383"/>
        <item x="1267"/>
        <item x="1271"/>
        <item x="1265"/>
        <item x="1344"/>
        <item x="1369"/>
        <item x="1319"/>
        <item x="1292"/>
        <item x="1283"/>
        <item x="1370"/>
        <item x="1276"/>
        <item x="1323"/>
        <item x="1289"/>
        <item x="1288"/>
        <item x="1281"/>
        <item x="1380"/>
        <item x="1358"/>
        <item x="1304"/>
        <item x="1269"/>
        <item x="1254"/>
        <item x="1329"/>
        <item x="1347"/>
        <item x="1307"/>
        <item x="1275"/>
        <item x="1284"/>
        <item x="1320"/>
        <item x="1357"/>
        <item x="1287"/>
        <item x="1364"/>
        <item x="1332"/>
        <item x="1297"/>
        <item x="1345"/>
        <item x="1371"/>
        <item x="1360"/>
        <item x="1361"/>
        <item x="1305"/>
        <item x="1349"/>
        <item x="1389"/>
        <item x="1372"/>
        <item x="1255"/>
        <item x="1346"/>
        <item x="1303"/>
        <item x="1365"/>
        <item x="1247"/>
        <item x="1379"/>
        <item x="1311"/>
        <item x="1382"/>
        <item x="1262"/>
        <item x="1322"/>
        <item x="1306"/>
        <item x="1248"/>
        <item x="1310"/>
        <item x="1309"/>
        <item x="1258"/>
        <item x="1385"/>
        <item x="1259"/>
        <item x="1273"/>
        <item x="1301"/>
        <item x="1384"/>
        <item x="1378"/>
        <item x="1256"/>
        <item x="1353"/>
        <item x="1257"/>
        <item x="1251"/>
        <item x="1377"/>
        <item x="1362"/>
        <item x="1318"/>
        <item x="1392"/>
        <item x="1282"/>
        <item x="1393"/>
        <item x="1374"/>
        <item x="1386"/>
        <item x="1298"/>
        <item x="1290"/>
        <item x="1279"/>
        <item x="1330"/>
        <item x="1327"/>
        <item x="1352"/>
        <item x="1312"/>
        <item x="1325"/>
        <item x="1351"/>
        <item x="1331"/>
        <item x="1342"/>
        <item x="1326"/>
        <item x="1263"/>
        <item x="1260"/>
        <item x="1250"/>
        <item x="1355"/>
        <item x="1321"/>
        <item x="1339"/>
        <item x="1381"/>
        <item x="1252"/>
        <item x="1324"/>
        <item x="1266"/>
        <item x="1367"/>
        <item x="1272"/>
        <item x="1375"/>
        <item x="1294"/>
        <item x="1376"/>
        <item x="1293"/>
        <item x="1300"/>
        <item x="1317"/>
        <item x="1390"/>
        <item x="1315"/>
        <item x="1368"/>
        <item x="1391"/>
        <item x="1338"/>
        <item x="1337"/>
        <item x="1316"/>
        <item x="1261"/>
        <item x="1270"/>
        <item x="1299"/>
        <item x="1313"/>
        <item x="1336"/>
        <item x="1335"/>
        <item x="1350"/>
        <item x="1387"/>
        <item x="1295"/>
        <item x="1348"/>
        <item x="1394"/>
        <item x="1412"/>
        <item x="1395"/>
        <item x="1405"/>
        <item x="1413"/>
        <item x="1404"/>
        <item x="1400"/>
        <item x="1399"/>
        <item x="1407"/>
        <item x="1402"/>
        <item x="1401"/>
        <item x="1397"/>
        <item x="1396"/>
        <item x="1419"/>
        <item x="1403"/>
        <item x="1408"/>
        <item x="1409"/>
        <item x="1398"/>
        <item x="1418"/>
        <item x="1416"/>
        <item x="1415"/>
        <item x="1410"/>
        <item x="1417"/>
        <item x="1414"/>
        <item x="1219"/>
        <item x="1234"/>
        <item x="1253"/>
        <item x="1264"/>
        <item x="1277"/>
        <item x="1274"/>
        <item x="1296"/>
        <item x="1302"/>
        <item x="1314"/>
        <item x="1328"/>
        <item x="1354"/>
        <item x="1356"/>
        <item x="1363"/>
        <item x="1406"/>
        <item x="1411"/>
        <item x="1420"/>
        <item x="1425"/>
        <item x="1428"/>
        <item x="1429"/>
        <item x="1427"/>
        <item x="1426"/>
        <item x="1423"/>
        <item x="1430"/>
        <item x="1421"/>
        <item x="1422"/>
        <item x="1424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t="default"/>
      </items>
    </pivotField>
    <pivotField showAll="0"/>
    <pivotField showAll="0"/>
    <pivotField axis="axisRow" dataField="1" showAll="0" measureFilter="1" sortType="descending">
      <items count="41">
        <item m="1" x="25"/>
        <item x="15"/>
        <item x="8"/>
        <item m="1" x="34"/>
        <item x="13"/>
        <item x="16"/>
        <item m="1" x="29"/>
        <item x="22"/>
        <item x="7"/>
        <item x="2"/>
        <item m="1" x="32"/>
        <item x="19"/>
        <item x="1"/>
        <item x="6"/>
        <item x="24"/>
        <item x="14"/>
        <item x="18"/>
        <item m="1" x="28"/>
        <item m="1" x="26"/>
        <item x="20"/>
        <item x="3"/>
        <item x="4"/>
        <item x="0"/>
        <item m="1" x="35"/>
        <item m="1" x="36"/>
        <item m="1" x="37"/>
        <item m="1" x="38"/>
        <item m="1" x="39"/>
        <item x="12"/>
        <item x="17"/>
        <item m="1" x="30"/>
        <item m="1" x="33"/>
        <item x="21"/>
        <item m="1" x="27"/>
        <item x="23"/>
        <item x="9"/>
        <item m="1" x="31"/>
        <item x="11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5">
    <i>
      <x v="4"/>
    </i>
    <i>
      <x v="15"/>
    </i>
    <i>
      <x v="9"/>
    </i>
    <i>
      <x v="28"/>
    </i>
    <i>
      <x v="22"/>
    </i>
  </rowItems>
  <colItems count="1">
    <i/>
  </colItems>
  <pageFields count="1">
    <pageField fld="2" hier="-1"/>
  </pageFields>
  <dataFields count="1">
    <dataField name="VOLUME" fld="12" subtotal="count" baseField="0" baseItem="0"/>
  </dataFields>
  <formats count="12">
    <format dxfId="32">
      <pivotArea field="12" type="button" dataOnly="0" labelOnly="1" outline="0" axis="axisRow" fieldPosition="0"/>
    </format>
    <format dxfId="31">
      <pivotArea dataOnly="0" labelOnly="1" outline="0" axis="axisValues" fieldPosition="0"/>
    </format>
    <format dxfId="30">
      <pivotArea field="12" type="button" dataOnly="0" labelOnly="1" outline="0" axis="axisRow" fieldPosition="0"/>
    </format>
    <format dxfId="29">
      <pivotArea dataOnly="0" labelOnly="1" outline="0" axis="axisValues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field="12" type="button" dataOnly="0" labelOnly="1" outline="0" axis="axisRow" fieldPosition="0"/>
    </format>
    <format dxfId="21">
      <pivotArea dataOnly="0" labelOnly="1" outline="0" axis="axisValues" fieldPosition="0"/>
    </format>
  </formats>
  <conditionalFormats count="2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1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9BDEB-640D-4D3D-88C3-085C33D47482}" name="Tabela dinâmica3" cacheId="1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2">
  <location ref="H4:I8" firstHeaderRow="1" firstDataRow="1" firstDataCol="1"/>
  <pivotFields count="17">
    <pivotField showAll="0"/>
    <pivotField showAll="0"/>
    <pivotField showAll="0">
      <items count="5916">
        <item x="90"/>
        <item x="667"/>
        <item x="668"/>
        <item x="623"/>
        <item x="624"/>
        <item x="625"/>
        <item x="700"/>
        <item x="633"/>
        <item x="669"/>
        <item x="91"/>
        <item x="634"/>
        <item x="635"/>
        <item x="636"/>
        <item x="83"/>
        <item x="701"/>
        <item x="637"/>
        <item x="84"/>
        <item x="85"/>
        <item x="86"/>
        <item x="87"/>
        <item x="638"/>
        <item x="639"/>
        <item x="92"/>
        <item x="640"/>
        <item x="641"/>
        <item x="88"/>
        <item x="642"/>
        <item x="643"/>
        <item x="644"/>
        <item x="688"/>
        <item x="645"/>
        <item x="646"/>
        <item x="647"/>
        <item x="93"/>
        <item x="94"/>
        <item m="1" x="5904"/>
        <item x="648"/>
        <item x="95"/>
        <item x="649"/>
        <item x="89"/>
        <item x="96"/>
        <item m="1" x="5762"/>
        <item x="97"/>
        <item x="650"/>
        <item x="651"/>
        <item x="652"/>
        <item x="0"/>
        <item m="1" x="3266"/>
        <item m="1" x="5230"/>
        <item x="1"/>
        <item x="689"/>
        <item m="1" x="5763"/>
        <item m="1" x="5764"/>
        <item m="1" x="4412"/>
        <item x="2"/>
        <item x="3"/>
        <item m="1" x="3267"/>
        <item m="1" x="5766"/>
        <item x="4"/>
        <item x="690"/>
        <item x="6"/>
        <item x="5"/>
        <item m="1" x="3129"/>
        <item x="7"/>
        <item m="1" x="3268"/>
        <item m="1" x="3269"/>
        <item m="1" x="3270"/>
        <item m="1" x="5231"/>
        <item m="1" x="3271"/>
        <item m="1" x="5765"/>
        <item m="1" x="3272"/>
        <item m="1" x="3273"/>
        <item m="1" x="5767"/>
        <item x="8"/>
        <item m="1" x="3274"/>
        <item m="1" x="5768"/>
        <item m="1" x="5769"/>
        <item x="9"/>
        <item x="10"/>
        <item m="1" x="4413"/>
        <item x="11"/>
        <item x="12"/>
        <item m="1" x="3275"/>
        <item m="1" x="2790"/>
        <item x="697"/>
        <item m="1" x="2791"/>
        <item m="1" x="3276"/>
        <item x="13"/>
        <item m="1" x="3277"/>
        <item m="1" x="3278"/>
        <item m="1" x="5770"/>
        <item m="1" x="3279"/>
        <item m="1" x="3280"/>
        <item m="1" x="3281"/>
        <item m="1" x="3872"/>
        <item m="1" x="5771"/>
        <item x="14"/>
        <item m="1" x="5773"/>
        <item m="1" x="5772"/>
        <item m="1" x="3282"/>
        <item m="1" x="3283"/>
        <item x="15"/>
        <item m="1" x="3284"/>
        <item m="1" x="3285"/>
        <item m="1" x="4414"/>
        <item m="1" x="5774"/>
        <item m="1" x="3286"/>
        <item m="1" x="5775"/>
        <item m="1" x="3287"/>
        <item m="1" x="3289"/>
        <item m="1" x="3288"/>
        <item m="1" x="3290"/>
        <item x="16"/>
        <item m="1" x="3291"/>
        <item m="1" x="5232"/>
        <item m="1" x="5776"/>
        <item m="1" x="4415"/>
        <item m="1" x="4416"/>
        <item m="1" x="3293"/>
        <item m="1" x="3294"/>
        <item m="1" x="3295"/>
        <item m="1" x="3296"/>
        <item m="1" x="5906"/>
        <item m="1" x="5777"/>
        <item m="1" x="5778"/>
        <item m="1" x="5779"/>
        <item m="1" x="5780"/>
        <item m="1" x="5781"/>
        <item x="103"/>
        <item m="1" x="5782"/>
        <item m="1" x="5783"/>
        <item m="1" x="3292"/>
        <item x="17"/>
        <item x="18"/>
        <item m="1" x="5784"/>
        <item x="19"/>
        <item x="104"/>
        <item m="1" x="3300"/>
        <item m="1" x="5233"/>
        <item m="1" x="3301"/>
        <item m="1" x="3302"/>
        <item m="1" x="3303"/>
        <item m="1" x="3304"/>
        <item m="1" x="3305"/>
        <item m="1" x="3306"/>
        <item m="1" x="3307"/>
        <item x="20"/>
        <item m="1" x="3308"/>
        <item x="21"/>
        <item m="1" x="5785"/>
        <item m="1" x="3309"/>
        <item m="1" x="3310"/>
        <item x="22"/>
        <item m="1" x="3311"/>
        <item m="1" x="3312"/>
        <item m="1" x="3313"/>
        <item m="1" x="3314"/>
        <item m="1" x="3315"/>
        <item x="23"/>
        <item m="1" x="3316"/>
        <item x="24"/>
        <item m="1" x="5786"/>
        <item m="1" x="3317"/>
        <item m="1" x="5234"/>
        <item m="1" x="5787"/>
        <item x="670"/>
        <item m="1" x="5788"/>
        <item m="1" x="5789"/>
        <item m="1" x="3318"/>
        <item x="25"/>
        <item x="26"/>
        <item x="27"/>
        <item m="1" x="3319"/>
        <item m="1" x="3297"/>
        <item m="1" x="3298"/>
        <item m="1" x="3299"/>
        <item x="28"/>
        <item x="29"/>
        <item m="1" x="3320"/>
        <item m="1" x="3321"/>
        <item m="1" x="3322"/>
        <item m="1" x="3323"/>
        <item m="1" x="4417"/>
        <item m="1" x="3324"/>
        <item x="30"/>
        <item x="105"/>
        <item m="1" x="3325"/>
        <item x="31"/>
        <item x="32"/>
        <item x="33"/>
        <item x="34"/>
        <item m="1" x="5633"/>
        <item m="1" x="3326"/>
        <item m="1" x="3327"/>
        <item m="1" x="3328"/>
        <item m="1" x="3329"/>
        <item m="1" x="3330"/>
        <item m="1" x="3331"/>
        <item m="1" x="5790"/>
        <item m="1" x="3332"/>
        <item m="1" x="3333"/>
        <item m="1" x="3334"/>
        <item m="1" x="3335"/>
        <item m="1" x="5235"/>
        <item m="1" x="3336"/>
        <item x="35"/>
        <item x="36"/>
        <item x="37"/>
        <item m="1" x="3341"/>
        <item x="38"/>
        <item m="1" x="3337"/>
        <item m="1" x="3338"/>
        <item m="1" x="3339"/>
        <item m="1" x="3340"/>
        <item x="41"/>
        <item m="1" x="3342"/>
        <item m="1" x="5236"/>
        <item x="39"/>
        <item x="42"/>
        <item m="1" x="3343"/>
        <item m="1" x="5791"/>
        <item m="1" x="3344"/>
        <item m="1" x="4418"/>
        <item m="1" x="3345"/>
        <item x="40"/>
        <item m="1" x="5792"/>
        <item m="1" x="3346"/>
        <item m="1" x="3347"/>
        <item m="1" x="3348"/>
        <item m="1" x="5793"/>
        <item m="1" x="3350"/>
        <item m="1" x="5237"/>
        <item m="1" x="3351"/>
        <item m="1" x="4419"/>
        <item x="43"/>
        <item m="1" x="3352"/>
        <item m="1" x="3349"/>
        <item m="1" x="3353"/>
        <item m="1" x="3354"/>
        <item m="1" x="5797"/>
        <item m="1" x="3355"/>
        <item m="1" x="3356"/>
        <item m="1" x="3357"/>
        <item x="44"/>
        <item m="1" x="3358"/>
        <item m="1" x="3359"/>
        <item m="1" x="5798"/>
        <item x="45"/>
        <item m="1" x="5799"/>
        <item m="1" x="3360"/>
        <item m="1" x="5800"/>
        <item m="1" x="3361"/>
        <item m="1" x="3362"/>
        <item m="1" x="3363"/>
        <item x="46"/>
        <item m="1" x="3364"/>
        <item m="1" x="3365"/>
        <item x="47"/>
        <item m="1" x="3366"/>
        <item m="1" x="5804"/>
        <item m="1" x="3367"/>
        <item m="1" x="5806"/>
        <item m="1" x="5805"/>
        <item m="1" x="4420"/>
        <item m="1" x="3368"/>
        <item m="1" x="3369"/>
        <item m="1" x="5807"/>
        <item m="1" x="3370"/>
        <item m="1" x="3371"/>
        <item x="48"/>
        <item m="1" x="3372"/>
        <item m="1" x="3374"/>
        <item m="1" x="3375"/>
        <item m="1" x="3376"/>
        <item m="1" x="4968"/>
        <item m="1" x="4969"/>
        <item m="1" x="4970"/>
        <item m="1" x="3378"/>
        <item m="1" x="3377"/>
        <item x="698"/>
        <item m="1" x="5255"/>
        <item m="1" x="3379"/>
        <item m="1" x="3380"/>
        <item m="1" x="5238"/>
        <item x="49"/>
        <item m="1" x="3373"/>
        <item m="1" x="4421"/>
        <item m="1" x="4422"/>
        <item m="1" x="3381"/>
        <item m="1" x="3382"/>
        <item m="1" x="3383"/>
        <item m="1" x="3384"/>
        <item m="1" x="3385"/>
        <item m="1" x="5811"/>
        <item m="1" x="5812"/>
        <item m="1" x="3386"/>
        <item m="1" x="3387"/>
        <item m="1" x="3388"/>
        <item m="1" x="3389"/>
        <item m="1" x="5813"/>
        <item m="1" x="3390"/>
        <item m="1" x="3391"/>
        <item m="1" x="3392"/>
        <item m="1" x="5814"/>
        <item m="1" x="5815"/>
        <item m="1" x="3393"/>
        <item m="1" x="3394"/>
        <item m="1" x="5816"/>
        <item m="1" x="3395"/>
        <item m="1" x="3396"/>
        <item m="1" x="5239"/>
        <item m="1" x="4423"/>
        <item m="1" x="5818"/>
        <item m="1" x="3397"/>
        <item m="1" x="5820"/>
        <item m="1" x="3398"/>
        <item m="1" x="3399"/>
        <item m="1" x="3400"/>
        <item m="1" x="5822"/>
        <item m="1" x="5821"/>
        <item m="1" x="3401"/>
        <item m="1" x="3402"/>
        <item m="1" x="3403"/>
        <item x="50"/>
        <item m="1" x="4424"/>
        <item m="1" x="5824"/>
        <item m="1" x="3404"/>
        <item m="1" x="5825"/>
        <item m="1" x="5794"/>
        <item m="1" x="5795"/>
        <item m="1" x="4425"/>
        <item m="1" x="4426"/>
        <item m="1" x="5826"/>
        <item m="1" x="5796"/>
        <item m="1" x="4427"/>
        <item m="1" x="3405"/>
        <item m="1" x="3406"/>
        <item m="1" x="5828"/>
        <item x="51"/>
        <item m="1" x="5256"/>
        <item m="1" x="5801"/>
        <item m="1" x="5802"/>
        <item m="1" x="5803"/>
        <item m="1" x="3407"/>
        <item m="1" x="5808"/>
        <item m="1" x="5850"/>
        <item m="1" x="5809"/>
        <item m="1" x="3408"/>
        <item m="1" x="3409"/>
        <item x="52"/>
        <item m="1" x="3410"/>
        <item m="1" x="3411"/>
        <item m="1" x="3412"/>
        <item m="1" x="3413"/>
        <item m="1" x="3414"/>
        <item m="1" x="5829"/>
        <item m="1" x="3417"/>
        <item m="1" x="5830"/>
        <item m="1" x="5833"/>
        <item m="1" x="5832"/>
        <item m="1" x="5810"/>
        <item m="1" x="5834"/>
        <item m="1" x="3416"/>
        <item m="1" x="5817"/>
        <item m="1" x="5835"/>
        <item m="1" x="4428"/>
        <item m="1" x="5837"/>
        <item m="1" x="5836"/>
        <item m="1" x="5838"/>
        <item m="1" x="5823"/>
        <item m="1" x="5819"/>
        <item m="1" x="3420"/>
        <item m="1" x="3421"/>
        <item m="1" x="5839"/>
        <item m="1" x="5674"/>
        <item m="1" x="5671"/>
        <item m="1" x="5840"/>
        <item m="1" x="5668"/>
        <item m="1" x="3422"/>
        <item m="1" x="3423"/>
        <item m="1" x="3424"/>
        <item m="1" x="3425"/>
        <item m="1" x="5841"/>
        <item m="1" x="5634"/>
        <item m="1" x="5635"/>
        <item m="1" x="5844"/>
        <item m="1" x="5637"/>
        <item m="1" x="5640"/>
        <item m="1" x="5641"/>
        <item m="1" x="3426"/>
        <item m="1" x="5639"/>
        <item m="1" x="3427"/>
        <item m="1" x="5638"/>
        <item m="1" x="5845"/>
        <item m="1" x="3428"/>
        <item m="1" x="5636"/>
        <item m="1" x="5827"/>
        <item m="1" x="3429"/>
        <item m="1" x="5642"/>
        <item x="53"/>
        <item m="1" x="4429"/>
        <item m="1" x="5644"/>
        <item m="1" x="5645"/>
        <item m="1" x="3430"/>
        <item m="1" x="5849"/>
        <item m="1" x="5643"/>
        <item m="1" x="5831"/>
        <item m="1" x="5632"/>
        <item m="1" x="3431"/>
        <item x="54"/>
        <item m="1" x="5903"/>
        <item x="55"/>
        <item x="56"/>
        <item m="1" x="5648"/>
        <item m="1" x="5647"/>
        <item m="1" x="5646"/>
        <item x="106"/>
        <item m="1" x="4430"/>
        <item m="1" x="5649"/>
        <item m="1" x="5650"/>
        <item m="1" x="5652"/>
        <item m="1" x="5651"/>
        <item m="1" x="5843"/>
        <item m="1" x="5846"/>
        <item m="1" x="5842"/>
        <item m="1" x="5847"/>
        <item m="1" x="4431"/>
        <item m="1" x="3433"/>
        <item m="1" x="4893"/>
        <item m="1" x="5853"/>
        <item m="1" x="4432"/>
        <item m="1" x="3130"/>
        <item m="1" x="5654"/>
        <item m="1" x="5656"/>
        <item m="1" x="5655"/>
        <item m="1" x="5653"/>
        <item m="1" x="4433"/>
        <item m="1" x="5848"/>
        <item m="1" x="3432"/>
        <item m="1" x="3434"/>
        <item m="1" x="4434"/>
        <item m="1" x="5657"/>
        <item m="1" x="3415"/>
        <item m="1" x="3419"/>
        <item m="1" x="5658"/>
        <item x="653"/>
        <item m="1" x="5205"/>
        <item m="1" x="5670"/>
        <item m="1" x="3435"/>
        <item x="699"/>
        <item m="1" x="4435"/>
        <item m="1" x="3436"/>
        <item x="57"/>
        <item x="666"/>
        <item m="1" x="4436"/>
        <item m="1" x="5254"/>
        <item m="1" x="5659"/>
        <item m="1" x="5661"/>
        <item m="1" x="5660"/>
        <item m="1" x="5664"/>
        <item m="1" x="5663"/>
        <item m="1" x="5662"/>
        <item x="58"/>
        <item x="59"/>
        <item x="60"/>
        <item m="1" x="3437"/>
        <item m="1" x="3438"/>
        <item m="1" x="5240"/>
        <item m="1" x="3439"/>
        <item m="1" x="4971"/>
        <item m="1" x="3440"/>
        <item m="1" x="3441"/>
        <item m="1" x="3442"/>
        <item m="1" x="3443"/>
        <item m="1" x="3444"/>
        <item m="1" x="5242"/>
        <item m="1" x="5665"/>
        <item m="1" x="3445"/>
        <item x="61"/>
        <item m="1" x="3446"/>
        <item m="1" x="3447"/>
        <item x="691"/>
        <item m="1" x="5666"/>
        <item m="1" x="4437"/>
        <item m="1" x="4438"/>
        <item m="1" x="4439"/>
        <item m="1" x="3418"/>
        <item m="1" x="3448"/>
        <item m="1" x="3449"/>
        <item m="1" x="5243"/>
        <item m="1" x="4440"/>
        <item m="1" x="4441"/>
        <item m="1" x="4442"/>
        <item m="1" x="4443"/>
        <item x="62"/>
        <item m="1" x="4444"/>
        <item m="1" x="4445"/>
        <item m="1" x="4446"/>
        <item m="1" x="3450"/>
        <item m="1" x="5905"/>
        <item m="1" x="4447"/>
        <item m="1" x="3451"/>
        <item m="1" x="3452"/>
        <item m="1" x="3453"/>
        <item m="1" x="4448"/>
        <item m="1" x="3454"/>
        <item m="1" x="4449"/>
        <item m="1" x="3455"/>
        <item m="1" x="3456"/>
        <item m="1" x="3457"/>
        <item m="1" x="3458"/>
        <item m="1" x="3459"/>
        <item m="1" x="3460"/>
        <item m="1" x="3461"/>
        <item m="1" x="3462"/>
        <item m="1" x="4450"/>
        <item m="1" x="5667"/>
        <item m="1" x="3463"/>
        <item m="1" x="3465"/>
        <item m="1" x="5259"/>
        <item m="1" x="3466"/>
        <item m="1" x="4451"/>
        <item m="1" x="3467"/>
        <item m="1" x="3468"/>
        <item m="1" x="3469"/>
        <item m="1" x="3470"/>
        <item m="1" x="3464"/>
        <item m="1" x="3471"/>
        <item m="1" x="3472"/>
        <item m="1" x="3473"/>
        <item m="1" x="3474"/>
        <item m="1" x="3475"/>
        <item m="1" x="5260"/>
        <item m="1" x="5261"/>
        <item m="1" x="5262"/>
        <item m="1" x="5263"/>
        <item m="1" x="5264"/>
        <item m="1" x="5265"/>
        <item m="1" x="5266"/>
        <item m="1" x="4452"/>
        <item m="1" x="5241"/>
        <item m="1" x="4453"/>
        <item m="1" x="4454"/>
        <item m="1" x="3477"/>
        <item m="1" x="5267"/>
        <item m="1" x="3478"/>
        <item m="1" x="5268"/>
        <item m="1" x="3479"/>
        <item m="1" x="3480"/>
        <item m="1" x="5269"/>
        <item m="1" x="3481"/>
        <item m="1" x="5270"/>
        <item m="1" x="4455"/>
        <item m="1" x="5271"/>
        <item m="1" x="5272"/>
        <item m="1" x="5273"/>
        <item m="1" x="5857"/>
        <item m="1" x="5274"/>
        <item m="1" x="5275"/>
        <item m="1" x="5276"/>
        <item m="1" x="5278"/>
        <item m="1" x="5279"/>
        <item m="1" x="5280"/>
        <item m="1" x="5282"/>
        <item m="1" x="5281"/>
        <item m="1" x="5283"/>
        <item m="1" x="5284"/>
        <item m="1" x="5285"/>
        <item m="1" x="5277"/>
        <item m="1" x="5286"/>
        <item m="1" x="3483"/>
        <item m="1" x="4456"/>
        <item m="1" x="5287"/>
        <item m="1" x="5288"/>
        <item m="1" x="5289"/>
        <item m="1" x="5291"/>
        <item m="1" x="5290"/>
        <item m="1" x="5293"/>
        <item m="1" x="5294"/>
        <item m="1" x="5295"/>
        <item m="1" x="5296"/>
        <item m="1" x="3484"/>
        <item m="1" x="3485"/>
        <item m="1" x="5297"/>
        <item m="1" x="5292"/>
        <item m="1" x="5299"/>
        <item m="1" x="5298"/>
        <item m="1" x="5300"/>
        <item m="1" x="5301"/>
        <item m="1" x="5302"/>
        <item m="1" x="5303"/>
        <item m="1" x="4457"/>
        <item m="1" x="5304"/>
        <item m="1" x="5305"/>
        <item m="1" x="5306"/>
        <item m="1" x="5307"/>
        <item m="1" x="5851"/>
        <item m="1" x="5308"/>
        <item m="1" x="5206"/>
        <item m="1" x="5309"/>
        <item m="1" x="3486"/>
        <item m="1" x="3487"/>
        <item m="1" x="3488"/>
        <item m="1" x="5310"/>
        <item m="1" x="5311"/>
        <item m="1" x="5312"/>
        <item m="1" x="5313"/>
        <item m="1" x="5314"/>
        <item m="1" x="3482"/>
        <item m="1" x="5315"/>
        <item m="1" x="4458"/>
        <item m="1" x="4459"/>
        <item m="1" x="5316"/>
        <item m="1" x="5317"/>
        <item m="1" x="5320"/>
        <item m="1" x="5318"/>
        <item m="1" x="5319"/>
        <item m="1" x="5321"/>
        <item m="1" x="5322"/>
        <item m="1" x="5324"/>
        <item m="1" x="5323"/>
        <item m="1" x="5325"/>
        <item m="1" x="5326"/>
        <item m="1" x="5327"/>
        <item m="1" x="5329"/>
        <item m="1" x="5328"/>
        <item m="1" x="4460"/>
        <item m="1" x="5330"/>
        <item m="1" x="5331"/>
        <item m="1" x="5332"/>
        <item m="1" x="5334"/>
        <item m="1" x="5335"/>
        <item m="1" x="3489"/>
        <item m="1" x="5336"/>
        <item m="1" x="5337"/>
        <item m="1" x="3490"/>
        <item m="1" x="5338"/>
        <item m="1" x="5339"/>
        <item m="1" x="5340"/>
        <item m="1" x="3491"/>
        <item m="1" x="3492"/>
        <item m="1" x="4461"/>
        <item m="1" x="3493"/>
        <item m="1" x="5341"/>
        <item m="1" x="4462"/>
        <item m="1" x="3494"/>
        <item m="1" x="5343"/>
        <item m="1" x="5346"/>
        <item m="1" x="5345"/>
        <item m="1" x="5344"/>
        <item x="64"/>
        <item m="1" x="5348"/>
        <item m="1" x="5347"/>
        <item m="1" x="5350"/>
        <item m="1" x="5349"/>
        <item m="1" x="5353"/>
        <item m="1" x="3131"/>
        <item m="1" x="5351"/>
        <item m="1" x="5352"/>
        <item m="1" x="5354"/>
        <item m="1" x="5357"/>
        <item m="1" x="5355"/>
        <item m="1" x="5358"/>
        <item m="1" x="5359"/>
        <item m="1" x="5360"/>
        <item m="1" x="5361"/>
        <item m="1" x="5362"/>
        <item m="1" x="5363"/>
        <item m="1" x="5858"/>
        <item m="1" x="5366"/>
        <item m="1" x="5365"/>
        <item m="1" x="5364"/>
        <item m="1" x="5367"/>
        <item m="1" x="4463"/>
        <item m="1" x="4464"/>
        <item m="1" x="4465"/>
        <item m="1" x="5368"/>
        <item m="1" x="5369"/>
        <item m="1" x="5370"/>
        <item m="1" x="5372"/>
        <item m="1" x="5371"/>
        <item m="1" x="5356"/>
        <item m="1" x="5373"/>
        <item m="1" x="5374"/>
        <item m="1" x="5375"/>
        <item m="1" x="5377"/>
        <item m="1" x="5376"/>
        <item m="1" x="5378"/>
        <item m="1" x="5379"/>
        <item m="1" x="5380"/>
        <item m="1" x="5381"/>
        <item m="1" x="5383"/>
        <item m="1" x="5382"/>
        <item m="1" x="5384"/>
        <item m="1" x="5386"/>
        <item m="1" x="5385"/>
        <item m="1" x="5387"/>
        <item m="1" x="5388"/>
        <item m="1" x="5390"/>
        <item m="1" x="5389"/>
        <item m="1" x="5391"/>
        <item m="1" x="5333"/>
        <item m="1" x="3476"/>
        <item m="1" x="5392"/>
        <item m="1" x="4466"/>
        <item m="1" x="3495"/>
        <item m="1" x="5669"/>
        <item m="1" x="5852"/>
        <item x="369"/>
        <item m="1" x="5393"/>
        <item m="1" x="5394"/>
        <item m="1" x="5395"/>
        <item m="1" x="5257"/>
        <item m="1" x="3497"/>
        <item m="1" x="5396"/>
        <item m="1" x="5397"/>
        <item m="1" x="5398"/>
        <item m="1" x="5399"/>
        <item m="1" x="5400"/>
        <item m="1" x="5401"/>
        <item m="1" x="4972"/>
        <item m="1" x="5402"/>
        <item m="1" x="5403"/>
        <item x="65"/>
        <item m="1" x="5404"/>
        <item m="1" x="5406"/>
        <item m="1" x="5405"/>
        <item m="1" x="3498"/>
        <item m="1" x="5408"/>
        <item m="1" x="5407"/>
        <item m="1" x="3499"/>
        <item m="1" x="5409"/>
        <item x="370"/>
        <item m="1" x="3496"/>
        <item m="1" x="5342"/>
        <item m="1" x="3500"/>
        <item m="1" x="5410"/>
        <item m="1" x="5411"/>
        <item m="1" x="5412"/>
        <item m="1" x="5413"/>
        <item m="1" x="5414"/>
        <item m="1" x="5415"/>
        <item m="1" x="4467"/>
        <item m="1" x="5244"/>
        <item m="1" x="5416"/>
        <item m="1" x="5854"/>
        <item m="1" x="5418"/>
        <item m="1" x="5417"/>
        <item m="1" x="5419"/>
        <item x="66"/>
        <item m="1" x="5421"/>
        <item m="1" x="5420"/>
        <item m="1" x="5422"/>
        <item m="1" x="5423"/>
        <item m="1" x="5672"/>
        <item m="1" x="3501"/>
        <item m="1" x="5859"/>
        <item m="1" x="5424"/>
        <item m="1" x="5425"/>
        <item m="1" x="5426"/>
        <item m="1" x="5428"/>
        <item m="1" x="5427"/>
        <item m="1" x="5429"/>
        <item m="1" x="4468"/>
        <item m="1" x="3502"/>
        <item m="1" x="3503"/>
        <item m="1" x="3504"/>
        <item m="1" x="3505"/>
        <item m="1" x="3506"/>
        <item m="1" x="3507"/>
        <item m="1" x="4469"/>
        <item m="1" x="4470"/>
        <item m="1" x="4471"/>
        <item m="1" x="4472"/>
        <item m="1" x="4473"/>
        <item m="1" x="3508"/>
        <item m="1" x="5860"/>
        <item m="1" x="5673"/>
        <item m="1" x="4474"/>
        <item m="1" x="4475"/>
        <item m="1" x="4476"/>
        <item x="67"/>
        <item m="1" x="4477"/>
        <item m="1" x="4478"/>
        <item m="1" x="4479"/>
        <item m="1" x="4480"/>
        <item m="1" x="4481"/>
        <item m="1" x="4482"/>
        <item m="1" x="4483"/>
        <item m="1" x="4484"/>
        <item m="1" x="4485"/>
        <item m="1" x="4486"/>
        <item m="1" x="3509"/>
        <item m="1" x="4487"/>
        <item m="1" x="5861"/>
        <item x="455"/>
        <item m="1" x="4488"/>
        <item m="1" x="3834"/>
        <item x="692"/>
        <item x="371"/>
        <item m="1" x="4489"/>
        <item m="1" x="5431"/>
        <item m="1" x="5432"/>
        <item m="1" x="5433"/>
        <item m="1" x="5855"/>
        <item m="1" x="5258"/>
        <item m="1" x="4490"/>
        <item m="1" x="4491"/>
        <item m="1" x="4492"/>
        <item m="1" x="4493"/>
        <item m="1" x="5207"/>
        <item m="1" x="4494"/>
        <item m="1" x="4495"/>
        <item m="1" x="5434"/>
        <item m="1" x="5435"/>
        <item m="1" x="5245"/>
        <item m="1" x="5436"/>
        <item m="1" x="5437"/>
        <item m="1" x="3510"/>
        <item m="1" x="5438"/>
        <item m="1" x="4496"/>
        <item m="1" x="5439"/>
        <item m="1" x="5440"/>
        <item m="1" x="4497"/>
        <item m="1" x="5675"/>
        <item x="453"/>
        <item x="454"/>
        <item m="1" x="5684"/>
        <item m="1" x="5430"/>
        <item m="1" x="5685"/>
        <item m="1" x="5443"/>
        <item m="1" x="5444"/>
        <item m="1" x="5445"/>
        <item m="1" x="3511"/>
        <item m="1" x="5686"/>
        <item m="1" x="5446"/>
        <item m="1" x="5862"/>
        <item m="1" x="5447"/>
        <item m="1" x="5441"/>
        <item m="1" x="4498"/>
        <item m="1" x="5448"/>
        <item m="1" x="4499"/>
        <item m="1" x="5863"/>
        <item m="1" x="5208"/>
        <item m="1" x="5856"/>
        <item m="1" x="5449"/>
        <item m="1" x="5450"/>
        <item m="1" x="3512"/>
        <item m="1" x="5451"/>
        <item m="1" x="4500"/>
        <item m="1" x="5247"/>
        <item m="1" x="4501"/>
        <item m="1" x="5452"/>
        <item m="1" x="5453"/>
        <item m="1" x="5456"/>
        <item m="1" x="5457"/>
        <item m="1" x="5459"/>
        <item m="1" x="5458"/>
        <item m="1" x="5460"/>
        <item m="1" x="5454"/>
        <item m="1" x="5462"/>
        <item m="1" x="5461"/>
        <item m="1" x="5463"/>
        <item m="1" x="5455"/>
        <item m="1" x="5466"/>
        <item m="1" x="5464"/>
        <item m="1" x="5465"/>
        <item m="1" x="5468"/>
        <item m="1" x="5469"/>
        <item m="1" x="5470"/>
        <item m="1" x="5209"/>
        <item m="1" x="5471"/>
        <item m="1" x="5210"/>
        <item m="1" x="5473"/>
        <item m="1" x="5687"/>
        <item m="1" x="5474"/>
        <item m="1" x="5475"/>
        <item m="1" x="5476"/>
        <item m="1" x="5478"/>
        <item m="1" x="5477"/>
        <item m="1" x="5688"/>
        <item m="1" x="4502"/>
        <item m="1" x="4503"/>
        <item m="1" x="5481"/>
        <item m="1" x="5479"/>
        <item m="1" x="5480"/>
        <item m="1" x="5482"/>
        <item m="1" x="5485"/>
        <item m="1" x="4504"/>
        <item m="1" x="5483"/>
        <item m="1" x="5484"/>
        <item m="1" x="5486"/>
        <item m="1" x="5487"/>
        <item m="1" x="5442"/>
        <item m="1" x="5488"/>
        <item m="1" x="3514"/>
        <item x="157"/>
        <item m="1" x="4505"/>
        <item m="1" x="4506"/>
        <item x="372"/>
        <item m="1" x="4507"/>
        <item m="1" x="5489"/>
        <item m="1" x="5490"/>
        <item m="1" x="5864"/>
        <item m="1" x="5494"/>
        <item m="1" x="5491"/>
        <item m="1" x="5493"/>
        <item m="1" x="5492"/>
        <item m="1" x="4508"/>
        <item m="1" x="5495"/>
        <item m="1" x="5472"/>
        <item x="373"/>
        <item m="1" x="4509"/>
        <item m="1" x="4510"/>
        <item m="1" x="4511"/>
        <item m="1" x="5676"/>
        <item m="1" x="5496"/>
        <item m="1" x="5497"/>
        <item m="1" x="5499"/>
        <item m="1" x="5498"/>
        <item m="1" x="5467"/>
        <item m="1" x="4512"/>
        <item m="1" x="3513"/>
        <item m="1" x="1487"/>
        <item m="1" x="1488"/>
        <item m="1" x="3515"/>
        <item m="1" x="5500"/>
        <item m="1" x="5501"/>
        <item m="1" x="5246"/>
        <item m="1" x="5865"/>
        <item x="68"/>
        <item x="69"/>
        <item m="1" x="4513"/>
        <item m="1" x="4514"/>
        <item m="1" x="4515"/>
        <item m="1" x="4516"/>
        <item m="1" x="4517"/>
        <item x="107"/>
        <item m="1" x="5248"/>
        <item m="1" x="4518"/>
        <item m="1" x="5249"/>
        <item m="1" x="4519"/>
        <item m="1" x="4520"/>
        <item m="1" x="5502"/>
        <item m="1" x="4521"/>
        <item m="1" x="3516"/>
        <item m="1" x="4522"/>
        <item m="1" x="5866"/>
        <item m="1" x="4523"/>
        <item m="1" x="4524"/>
        <item m="1" x="3517"/>
        <item m="1" x="5503"/>
        <item m="1" x="5250"/>
        <item m="1" x="5211"/>
        <item m="1" x="5504"/>
        <item m="1" x="5505"/>
        <item m="1" x="5867"/>
        <item m="1" x="5506"/>
        <item m="1" x="5507"/>
        <item m="1" x="5508"/>
        <item m="1" x="5509"/>
        <item m="1" x="5868"/>
        <item m="1" x="5510"/>
        <item x="626"/>
        <item m="1" x="5511"/>
        <item m="1" x="4525"/>
        <item m="1" x="4526"/>
        <item m="1" x="5871"/>
        <item m="1" x="4527"/>
        <item m="1" x="5212"/>
        <item m="1" x="5512"/>
        <item m="1" x="5869"/>
        <item m="1" x="5513"/>
        <item m="1" x="5870"/>
        <item x="108"/>
        <item m="1" x="4528"/>
        <item m="1" x="5514"/>
        <item m="1" x="5515"/>
        <item m="1" x="5517"/>
        <item m="1" x="5516"/>
        <item m="1" x="5872"/>
        <item m="1" x="5873"/>
        <item m="1" x="5874"/>
        <item m="1" x="5875"/>
        <item m="1" x="5876"/>
        <item m="1" x="5518"/>
        <item m="1" x="5877"/>
        <item m="1" x="5519"/>
        <item m="1" x="5878"/>
        <item m="1" x="5879"/>
        <item m="1" x="5520"/>
        <item m="1" x="5521"/>
        <item m="1" x="4529"/>
        <item m="1" x="3518"/>
        <item m="1" x="5523"/>
        <item m="1" x="4530"/>
        <item m="1" x="4973"/>
        <item m="1" x="4531"/>
        <item m="1" x="4532"/>
        <item m="1" x="4533"/>
        <item m="1" x="4534"/>
        <item m="1" x="4535"/>
        <item m="1" x="4536"/>
        <item m="1" x="5689"/>
        <item x="627"/>
        <item m="1" x="4537"/>
        <item m="1" x="4538"/>
        <item x="628"/>
        <item x="629"/>
        <item m="1" x="5524"/>
        <item m="1" x="4539"/>
        <item m="1" x="5880"/>
        <item m="1" x="5525"/>
        <item m="1" x="5526"/>
        <item m="1" x="5522"/>
        <item m="1" x="5527"/>
        <item m="1" x="5882"/>
        <item m="1" x="5528"/>
        <item m="1" x="5907"/>
        <item m="1" x="5908"/>
        <item m="1" x="5909"/>
        <item m="1" x="5910"/>
        <item m="1" x="5911"/>
        <item m="1" x="5912"/>
        <item m="1" x="5913"/>
        <item m="1" x="5914"/>
        <item m="1" x="5251"/>
        <item m="1" x="5252"/>
        <item m="1" x="3259"/>
        <item x="70"/>
        <item m="1" x="5690"/>
        <item m="1" x="5529"/>
        <item m="1" x="4540"/>
        <item m="1" x="5531"/>
        <item m="1" x="5530"/>
        <item x="71"/>
        <item m="1" x="5532"/>
        <item m="1" x="5213"/>
        <item m="1" x="5533"/>
        <item m="1" x="3521"/>
        <item m="1" x="5534"/>
        <item m="1" x="4541"/>
        <item m="1" x="5883"/>
        <item m="1" x="3519"/>
        <item m="1" x="3520"/>
        <item x="172"/>
        <item m="1" x="5884"/>
        <item m="1" x="5062"/>
        <item m="1" x="4542"/>
        <item m="1" x="5885"/>
        <item m="1" x="4543"/>
        <item m="1" x="4544"/>
        <item m="1" x="5535"/>
        <item m="1" x="5887"/>
        <item m="1" x="4545"/>
        <item m="1" x="5886"/>
        <item m="1" x="5889"/>
        <item m="1" x="5888"/>
        <item m="1" x="5253"/>
        <item m="1" x="5229"/>
        <item m="1" x="4546"/>
        <item m="1" x="3522"/>
        <item x="618"/>
        <item m="1" x="4547"/>
        <item m="1" x="4548"/>
        <item m="1" x="5063"/>
        <item m="1" x="4549"/>
        <item m="1" x="5881"/>
        <item x="619"/>
        <item x="620"/>
        <item x="621"/>
        <item x="622"/>
        <item m="1" x="5064"/>
        <item m="1" x="4550"/>
        <item m="1" x="4551"/>
        <item m="1" x="5892"/>
        <item m="1" x="3523"/>
        <item m="1" x="5890"/>
        <item m="1" x="5891"/>
        <item m="1" x="5893"/>
        <item x="583"/>
        <item m="1" x="5066"/>
        <item m="1" x="4552"/>
        <item m="1" x="4556"/>
        <item m="1" x="5215"/>
        <item m="1" x="3524"/>
        <item m="1" x="4558"/>
        <item m="1" x="4553"/>
        <item m="1" x="4554"/>
        <item m="1" x="5216"/>
        <item m="1" x="4557"/>
        <item m="1" x="4974"/>
        <item m="1" x="5214"/>
        <item m="1" x="4975"/>
        <item m="1" x="4555"/>
        <item m="1" x="5894"/>
        <item m="1" x="5895"/>
        <item m="1" x="5896"/>
        <item m="1" x="5897"/>
        <item m="1" x="5898"/>
        <item m="1" x="5899"/>
        <item m="1" x="5900"/>
        <item x="102"/>
        <item m="1" x="5692"/>
        <item x="72"/>
        <item m="1" x="5217"/>
        <item m="1" x="3526"/>
        <item m="1" x="3525"/>
        <item m="1" x="5218"/>
        <item m="1" x="4559"/>
        <item m="1" x="3527"/>
        <item m="1" x="5219"/>
        <item m="1" x="4563"/>
        <item m="1" x="4560"/>
        <item m="1" x="4566"/>
        <item m="1" x="4565"/>
        <item m="1" x="4561"/>
        <item m="1" x="4567"/>
        <item m="1" x="5067"/>
        <item m="1" x="4564"/>
        <item m="1" x="5693"/>
        <item m="1" x="4562"/>
        <item m="1" x="5901"/>
        <item m="1" x="5902"/>
        <item x="109"/>
        <item x="630"/>
        <item m="1" x="5548"/>
        <item m="1" x="5549"/>
        <item m="1" x="5550"/>
        <item m="1" x="5551"/>
        <item m="1" x="5552"/>
        <item m="1" x="5553"/>
        <item m="1" x="5554"/>
        <item m="1" x="5555"/>
        <item m="1" x="5556"/>
        <item m="1" x="5557"/>
        <item m="1" x="5558"/>
        <item m="1" x="5559"/>
        <item m="1" x="5560"/>
        <item m="1" x="5561"/>
        <item m="1" x="5562"/>
        <item m="1" x="5563"/>
        <item m="1" x="5564"/>
        <item m="1" x="5565"/>
        <item m="1" x="5566"/>
        <item m="1" x="5567"/>
        <item m="1" x="5568"/>
        <item m="1" x="5569"/>
        <item m="1" x="5570"/>
        <item m="1" x="5571"/>
        <item m="1" x="5572"/>
        <item m="1" x="5573"/>
        <item m="1" x="5574"/>
        <item m="1" x="5575"/>
        <item m="1" x="5576"/>
        <item m="1" x="5577"/>
        <item m="1" x="5578"/>
        <item m="1" x="5579"/>
        <item m="1" x="5580"/>
        <item m="1" x="5581"/>
        <item m="1" x="5582"/>
        <item m="1" x="5583"/>
        <item m="1" x="5584"/>
        <item m="1" x="5585"/>
        <item m="1" x="5586"/>
        <item m="1" x="5587"/>
        <item m="1" x="5588"/>
        <item m="1" x="5589"/>
        <item m="1" x="5590"/>
        <item m="1" x="5591"/>
        <item m="1" x="5592"/>
        <item m="1" x="5593"/>
        <item m="1" x="5594"/>
        <item m="1" x="5595"/>
        <item m="1" x="5596"/>
        <item m="1" x="5597"/>
        <item m="1" x="5598"/>
        <item m="1" x="5599"/>
        <item m="1" x="5600"/>
        <item m="1" x="5601"/>
        <item m="1" x="5602"/>
        <item m="1" x="5603"/>
        <item m="1" x="5604"/>
        <item m="1" x="5605"/>
        <item m="1" x="5606"/>
        <item m="1" x="5607"/>
        <item m="1" x="5608"/>
        <item m="1" x="5609"/>
        <item m="1" x="5610"/>
        <item m="1" x="5611"/>
        <item m="1" x="5612"/>
        <item m="1" x="4591"/>
        <item m="1" x="5613"/>
        <item m="1" x="5614"/>
        <item m="1" x="5615"/>
        <item m="1" x="5616"/>
        <item m="1" x="5617"/>
        <item m="1" x="5618"/>
        <item m="1" x="5619"/>
        <item m="1" x="5620"/>
        <item m="1" x="4332"/>
        <item m="1" x="5621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4579"/>
        <item m="1" x="4976"/>
        <item m="1" x="4578"/>
        <item m="1" x="5220"/>
        <item m="1" x="4571"/>
        <item m="1" x="3529"/>
        <item m="1" x="5221"/>
        <item m="1" x="4574"/>
        <item m="1" x="3531"/>
        <item m="1" x="3538"/>
        <item m="1" x="4582"/>
        <item m="1" x="4576"/>
        <item m="1" x="3534"/>
        <item m="1" x="3535"/>
        <item m="1" x="5222"/>
        <item m="1" x="5223"/>
        <item m="1" x="3532"/>
        <item m="1" x="5224"/>
        <item m="1" x="5225"/>
        <item m="1" x="5069"/>
        <item m="1" x="4584"/>
        <item m="1" x="4587"/>
        <item m="1" x="3537"/>
        <item m="1" x="3533"/>
        <item m="1" x="5226"/>
        <item m="1" x="5068"/>
        <item m="1" x="5070"/>
        <item m="1" x="5076"/>
        <item m="1" x="5077"/>
        <item m="1" x="5078"/>
        <item m="1" x="5081"/>
        <item m="1" x="5085"/>
        <item m="1" x="4586"/>
        <item m="1" x="4583"/>
        <item m="1" x="4570"/>
        <item m="1" x="4585"/>
        <item m="1" x="4594"/>
        <item m="1" x="4572"/>
        <item m="1" x="5227"/>
        <item m="1" x="4573"/>
        <item m="1" x="4581"/>
        <item m="1" x="5228"/>
        <item m="1" x="4593"/>
        <item m="1" x="4592"/>
        <item m="1" x="4568"/>
        <item m="1" x="4575"/>
        <item m="1" x="4577"/>
        <item m="1" x="4588"/>
        <item m="1" x="4895"/>
        <item m="1" x="4595"/>
        <item m="1" x="4590"/>
        <item m="1" x="4580"/>
        <item m="1" x="4894"/>
        <item m="1" x="4569"/>
        <item m="1" x="3528"/>
        <item m="1" x="5074"/>
        <item m="1" x="5080"/>
        <item m="1" x="5075"/>
        <item m="1" x="5071"/>
        <item m="1" x="5072"/>
        <item m="1" x="5073"/>
        <item m="1" x="5079"/>
        <item m="1" x="5082"/>
        <item m="1" x="1579"/>
        <item x="693"/>
        <item m="1" x="4589"/>
        <item m="1" x="5677"/>
        <item m="1" x="5678"/>
        <item m="1" x="5679"/>
        <item m="1" x="5680"/>
        <item m="1" x="5681"/>
        <item m="1" x="5682"/>
        <item m="1" x="5683"/>
        <item x="73"/>
        <item x="75"/>
        <item m="1" x="3260"/>
        <item m="1" x="5536"/>
        <item m="1" x="3530"/>
        <item m="1" x="5691"/>
        <item m="1" x="3536"/>
        <item m="1" x="3539"/>
        <item x="76"/>
        <item x="74"/>
        <item m="1" x="5694"/>
        <item m="1" x="5695"/>
        <item m="1" x="5696"/>
        <item m="1" x="5697"/>
        <item m="1" x="5698"/>
        <item m="1" x="4607"/>
        <item m="1" x="5699"/>
        <item m="1" x="5700"/>
        <item m="1" x="4600"/>
        <item m="1" x="4599"/>
        <item m="1" x="5701"/>
        <item m="1" x="5702"/>
        <item m="1" x="4602"/>
        <item m="1" x="5703"/>
        <item m="1" x="4596"/>
        <item m="1" x="4598"/>
        <item m="1" x="5704"/>
        <item m="1" x="4597"/>
        <item m="1" x="5705"/>
        <item m="1" x="4603"/>
        <item m="1" x="5706"/>
        <item m="1" x="5707"/>
        <item m="1" x="5708"/>
        <item m="1" x="5709"/>
        <item m="1" x="5543"/>
        <item m="1" x="5710"/>
        <item m="1" x="5711"/>
        <item m="1" x="5712"/>
        <item m="1" x="4601"/>
        <item m="1" x="4333"/>
        <item m="1" x="4605"/>
        <item m="1" x="5088"/>
        <item m="1" x="4606"/>
        <item m="1" x="5091"/>
        <item m="1" x="5713"/>
        <item m="1" x="5714"/>
        <item m="1" x="5715"/>
        <item m="1" x="5716"/>
        <item m="1" x="5717"/>
        <item m="1" x="5718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065"/>
        <item m="1" x="5086"/>
        <item m="1" x="5537"/>
        <item m="1" x="5087"/>
        <item m="1" x="5538"/>
        <item x="77"/>
        <item m="1" x="4638"/>
        <item m="1" x="4635"/>
        <item m="1" x="4622"/>
        <item m="1" x="4626"/>
        <item m="1" x="5102"/>
        <item m="1" x="5544"/>
        <item m="1" x="4604"/>
        <item m="1" x="5100"/>
        <item m="1" x="5099"/>
        <item m="1" x="4621"/>
        <item m="1" x="4619"/>
        <item m="1" x="4625"/>
        <item m="1" x="4627"/>
        <item m="1" x="4624"/>
        <item m="1" x="5101"/>
        <item m="1" x="4610"/>
        <item m="1" x="5096"/>
        <item m="1" x="5545"/>
        <item m="1" x="5109"/>
        <item m="1" x="4637"/>
        <item m="1" x="4615"/>
        <item m="1" x="4632"/>
        <item m="1" x="5107"/>
        <item m="1" x="4609"/>
        <item m="1" x="4613"/>
        <item m="1" x="4631"/>
        <item m="1" x="4629"/>
        <item m="1" x="4630"/>
        <item m="1" x="5105"/>
        <item m="1" x="4620"/>
        <item m="1" x="3541"/>
        <item m="1" x="5108"/>
        <item m="1" x="3540"/>
        <item m="1" x="4612"/>
        <item m="1" x="4611"/>
        <item m="1" x="4634"/>
        <item m="1" x="5092"/>
        <item m="1" x="5546"/>
        <item m="1" x="4633"/>
        <item m="1" x="4636"/>
        <item m="1" x="4608"/>
        <item m="1" x="4618"/>
        <item m="1" x="4617"/>
        <item m="1" x="4628"/>
        <item m="1" x="5104"/>
        <item m="1" x="5547"/>
        <item m="1" x="3542"/>
        <item m="1" x="4623"/>
        <item m="1" x="5093"/>
        <item m="1" x="4616"/>
        <item m="1" x="4614"/>
        <item m="1" x="5106"/>
        <item m="1" x="5728"/>
        <item m="1" x="5729"/>
        <item m="1" x="5730"/>
        <item m="1" x="5731"/>
        <item m="1" x="5732"/>
        <item m="1" x="5733"/>
        <item m="1" x="5734"/>
        <item m="1" x="5735"/>
        <item m="1" x="5736"/>
        <item m="1" x="5737"/>
        <item m="1" x="5738"/>
        <item m="1" x="5739"/>
        <item m="1" x="5740"/>
        <item m="1" x="5741"/>
        <item m="1" x="5742"/>
        <item m="1" x="5743"/>
        <item m="1" x="5744"/>
        <item m="1" x="5745"/>
        <item m="1" x="5746"/>
        <item x="82"/>
        <item m="1" x="5747"/>
        <item m="1" x="5748"/>
        <item m="1" x="5749"/>
        <item m="1" x="5750"/>
        <item m="1" x="5751"/>
        <item m="1" x="5752"/>
        <item m="1" x="5753"/>
        <item m="1" x="5754"/>
        <item m="1" x="5755"/>
        <item m="1" x="5756"/>
        <item m="1" x="5757"/>
        <item m="1" x="5758"/>
        <item m="1" x="5759"/>
        <item m="1" x="5760"/>
        <item m="1" x="4896"/>
        <item m="1" x="5761"/>
        <item m="1" x="5110"/>
        <item m="1" x="2990"/>
        <item m="1" x="5539"/>
        <item m="1" x="5103"/>
        <item m="1" x="5540"/>
        <item m="1" x="5097"/>
        <item m="1" x="5083"/>
        <item x="80"/>
        <item m="1" x="5084"/>
        <item m="1" x="5089"/>
        <item m="1" x="5090"/>
        <item x="78"/>
        <item m="1" x="5094"/>
        <item m="1" x="5095"/>
        <item x="79"/>
        <item m="1" x="5098"/>
        <item x="81"/>
        <item m="1" x="4643"/>
        <item m="1" x="4645"/>
        <item m="1" x="4650"/>
        <item m="1" x="4648"/>
        <item m="1" x="4647"/>
        <item m="1" x="5112"/>
        <item m="1" x="4644"/>
        <item m="1" x="4640"/>
        <item m="1" x="5113"/>
        <item m="1" x="4641"/>
        <item m="1" x="4649"/>
        <item m="1" x="4651"/>
        <item m="1" x="3544"/>
        <item m="1" x="5111"/>
        <item m="1" x="4646"/>
        <item m="1" x="3543"/>
        <item m="1" x="4653"/>
        <item m="1" x="4639"/>
        <item m="1" x="4642"/>
        <item m="1" x="5541"/>
        <item m="1" x="5542"/>
        <item m="1" x="5114"/>
        <item m="1" x="4657"/>
        <item m="1" x="5115"/>
        <item m="1" x="4654"/>
        <item m="1" x="4658"/>
        <item m="1" x="5161"/>
        <item m="1" x="4652"/>
        <item m="1" x="5117"/>
        <item m="1" x="5116"/>
        <item m="1" x="4655"/>
        <item m="1" x="5164"/>
        <item m="1" x="4674"/>
        <item m="1" x="4669"/>
        <item m="1" x="3546"/>
        <item m="1" x="4659"/>
        <item m="1" x="5119"/>
        <item m="1" x="4662"/>
        <item m="1" x="5162"/>
        <item m="1" x="4668"/>
        <item m="1" x="4656"/>
        <item m="1" x="4664"/>
        <item m="1" x="5165"/>
        <item m="1" x="4672"/>
        <item m="1" x="5171"/>
        <item m="1" x="4667"/>
        <item m="1" x="4670"/>
        <item m="1" x="3545"/>
        <item m="1" x="4663"/>
        <item m="1" x="4977"/>
        <item m="1" x="5127"/>
        <item m="1" x="4978"/>
        <item m="1" x="4661"/>
        <item m="1" x="5123"/>
        <item m="1" x="5172"/>
        <item m="1" x="5118"/>
        <item m="1" x="4665"/>
        <item m="1" x="4666"/>
        <item m="1" x="4660"/>
        <item m="1" x="5163"/>
        <item m="1" x="5122"/>
        <item m="1" x="4673"/>
        <item m="1" x="5166"/>
        <item m="1" x="5167"/>
        <item m="1" x="5168"/>
        <item m="1" x="5173"/>
        <item m="1" x="5174"/>
        <item m="1" x="3222"/>
        <item x="98"/>
        <item x="99"/>
        <item m="1" x="3209"/>
        <item m="1" x="5126"/>
        <item m="1" x="4675"/>
        <item m="1" x="4694"/>
        <item m="1" x="4693"/>
        <item m="1" x="4687"/>
        <item m="1" x="4898"/>
        <item m="1" x="5128"/>
        <item m="1" x="3547"/>
        <item m="1" x="3557"/>
        <item m="1" x="4679"/>
        <item m="1" x="4671"/>
        <item m="1" x="4696"/>
        <item m="1" x="4681"/>
        <item m="1" x="4697"/>
        <item m="1" x="3553"/>
        <item m="1" x="4682"/>
        <item m="1" x="4678"/>
        <item m="1" x="3549"/>
        <item m="1" x="4684"/>
        <item m="1" x="3558"/>
        <item m="1" x="4689"/>
        <item m="1" x="4979"/>
        <item m="1" x="3554"/>
        <item m="1" x="4692"/>
        <item m="1" x="4690"/>
        <item m="1" x="5129"/>
        <item m="1" x="4683"/>
        <item m="1" x="4698"/>
        <item m="1" x="4676"/>
        <item m="1" x="4983"/>
        <item m="1" x="5125"/>
        <item m="1" x="3555"/>
        <item m="1" x="4686"/>
        <item m="1" x="5120"/>
        <item m="1" x="3550"/>
        <item m="1" x="4980"/>
        <item m="1" x="5131"/>
        <item m="1" x="4688"/>
        <item m="1" x="3552"/>
        <item m="1" x="4981"/>
        <item m="1" x="4685"/>
        <item m="1" x="4897"/>
        <item m="1" x="4680"/>
        <item m="1" x="4695"/>
        <item m="1" x="3551"/>
        <item m="1" x="3548"/>
        <item m="1" x="5130"/>
        <item m="1" x="4677"/>
        <item m="1" x="4982"/>
        <item m="1" x="3556"/>
        <item m="1" x="5132"/>
        <item m="1" x="3559"/>
        <item m="1" x="4691"/>
        <item m="1" x="5170"/>
        <item m="1" x="5187"/>
        <item m="1" x="5124"/>
        <item m="1" x="5169"/>
        <item m="1" x="5121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5184"/>
        <item m="1" x="5185"/>
        <item m="1" x="5186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x="100"/>
        <item x="101"/>
        <item m="1" x="2792"/>
        <item m="1" x="3568"/>
        <item m="1" x="4984"/>
        <item m="1" x="3560"/>
        <item m="1" x="3567"/>
        <item m="1" x="4702"/>
        <item m="1" x="4703"/>
        <item m="1" x="3562"/>
        <item m="1" x="3561"/>
        <item m="1" x="4699"/>
        <item m="1" x="5133"/>
        <item m="1" x="4899"/>
        <item m="1" x="4701"/>
        <item m="1" x="3563"/>
        <item m="1" x="3564"/>
        <item m="1" x="4700"/>
        <item m="1" x="3566"/>
        <item m="1" x="4704"/>
        <item m="1" x="4985"/>
        <item m="1" x="4986"/>
        <item m="1" x="3565"/>
        <item m="1" x="4987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4705"/>
        <item m="1" x="3571"/>
        <item m="1" x="3569"/>
        <item m="1" x="4988"/>
        <item m="1" x="4989"/>
        <item m="1" x="3570"/>
        <item m="1" x="5152"/>
        <item m="1" x="3572"/>
        <item m="1" x="4900"/>
        <item m="1" x="4901"/>
        <item m="1" x="5153"/>
        <item m="1" x="5154"/>
        <item m="1" x="5155"/>
        <item m="1" x="5156"/>
        <item m="1" x="5157"/>
        <item m="1" x="5158"/>
        <item m="1" x="5159"/>
        <item m="1" x="5160"/>
        <item m="1" x="4733"/>
        <item m="1" x="4735"/>
        <item m="1" x="4220"/>
        <item m="1" x="4732"/>
        <item m="1" x="4219"/>
        <item m="1" x="4903"/>
        <item m="1" x="4712"/>
        <item m="1" x="4745"/>
        <item m="1" x="4725"/>
        <item m="1" x="4255"/>
        <item m="1" x="4743"/>
        <item m="1" x="4187"/>
        <item m="1" x="4188"/>
        <item m="1" x="4283"/>
        <item m="1" x="4747"/>
        <item m="1" x="4990"/>
        <item m="1" x="4235"/>
        <item m="1" x="4722"/>
        <item m="1" x="4991"/>
        <item m="1" x="4716"/>
        <item m="1" x="4258"/>
        <item m="1" x="4253"/>
        <item m="1" x="4189"/>
        <item m="1" x="4190"/>
        <item m="1" x="3581"/>
        <item m="1" x="4276"/>
        <item m="1" x="3602"/>
        <item m="1" x="4706"/>
        <item m="1" x="4174"/>
        <item m="1" x="4992"/>
        <item m="1" x="4273"/>
        <item m="1" x="4993"/>
        <item m="1" x="4201"/>
        <item m="1" x="4185"/>
        <item m="1" x="4994"/>
        <item m="1" x="4184"/>
        <item m="1" x="4216"/>
        <item m="1" x="4995"/>
        <item m="1" x="4271"/>
        <item m="1" x="3603"/>
        <item m="1" x="4734"/>
        <item m="1" x="4211"/>
        <item m="1" x="4239"/>
        <item m="1" x="4230"/>
        <item m="1" x="4236"/>
        <item m="1" x="4266"/>
        <item m="1" x="4251"/>
        <item m="1" x="4996"/>
        <item m="1" x="3591"/>
        <item m="1" x="4195"/>
        <item m="1" x="4181"/>
        <item m="1" x="4260"/>
        <item m="1" x="4176"/>
        <item m="1" x="4281"/>
        <item m="1" x="4178"/>
        <item m="1" x="3612"/>
        <item m="1" x="4717"/>
        <item m="1" x="4204"/>
        <item m="1" x="3605"/>
        <item m="1" x="4193"/>
        <item m="1" x="4248"/>
        <item m="1" x="4739"/>
        <item m="1" x="4244"/>
        <item m="1" x="4997"/>
        <item m="1" x="4217"/>
        <item m="1" x="4191"/>
        <item m="1" x="4205"/>
        <item m="1" x="4711"/>
        <item m="1" x="4192"/>
        <item m="1" x="4744"/>
        <item m="1" x="4998"/>
        <item m="1" x="4999"/>
        <item m="1" x="4724"/>
        <item m="1" x="4277"/>
        <item m="1" x="4262"/>
        <item m="1" x="4730"/>
        <item m="1" x="4200"/>
        <item m="1" x="4234"/>
        <item m="1" x="4213"/>
        <item m="1" x="3578"/>
        <item m="1" x="4215"/>
        <item m="1" x="4707"/>
        <item m="1" x="4726"/>
        <item m="1" x="3596"/>
        <item m="1" x="3595"/>
        <item m="1" x="4222"/>
        <item m="1" x="5000"/>
        <item m="1" x="4203"/>
        <item m="1" x="4257"/>
        <item m="1" x="4197"/>
        <item m="1" x="4171"/>
        <item m="1" x="3608"/>
        <item m="1" x="3609"/>
        <item m="1" x="4182"/>
        <item m="1" x="4183"/>
        <item m="1" x="4243"/>
        <item m="1" x="4202"/>
        <item m="1" x="4742"/>
        <item m="1" x="4737"/>
        <item m="1" x="4738"/>
        <item m="1" x="4741"/>
        <item m="1" x="5001"/>
        <item m="1" x="4721"/>
        <item m="1" x="4275"/>
        <item m="1" x="4212"/>
        <item m="1" x="3604"/>
        <item m="1" x="4729"/>
        <item m="1" x="4214"/>
        <item m="1" x="3611"/>
        <item m="1" x="5002"/>
        <item m="1" x="3586"/>
        <item m="1" x="5003"/>
        <item m="1" x="3583"/>
        <item m="1" x="4731"/>
        <item m="1" x="5004"/>
        <item m="1" x="4231"/>
        <item m="1" x="3582"/>
        <item m="1" x="4268"/>
        <item m="1" x="5005"/>
        <item m="1" x="4728"/>
        <item m="1" x="4265"/>
        <item m="1" x="4237"/>
        <item m="1" x="4227"/>
        <item m="1" x="4206"/>
        <item m="1" x="4208"/>
        <item m="1" x="4713"/>
        <item m="1" x="4223"/>
        <item m="1" x="5006"/>
        <item m="1" x="4267"/>
        <item m="1" x="5007"/>
        <item m="1" x="4221"/>
        <item m="1" x="4240"/>
        <item m="1" x="4270"/>
        <item m="1" x="3606"/>
        <item m="1" x="3610"/>
        <item m="1" x="4224"/>
        <item m="1" x="4272"/>
        <item m="1" x="5008"/>
        <item m="1" x="5009"/>
        <item m="1" x="3607"/>
        <item m="1" x="5010"/>
        <item m="1" x="5011"/>
        <item m="1" x="4252"/>
        <item m="1" x="5012"/>
        <item m="1" x="4720"/>
        <item m="1" x="4233"/>
        <item m="1" x="5013"/>
        <item m="1" x="4249"/>
        <item m="1" x="3590"/>
        <item m="1" x="3589"/>
        <item m="1" x="5014"/>
        <item m="1" x="4232"/>
        <item m="1" x="4715"/>
        <item m="1" x="4170"/>
        <item m="1" x="3574"/>
        <item m="1" x="3599"/>
        <item m="1" x="4218"/>
        <item m="1" x="4196"/>
        <item m="1" x="4179"/>
        <item m="1" x="4186"/>
        <item m="1" x="5015"/>
        <item m="1" x="5016"/>
        <item m="1" x="4172"/>
        <item m="1" x="5017"/>
        <item m="1" x="3613"/>
        <item m="1" x="4259"/>
        <item m="1" x="4175"/>
        <item m="1" x="5018"/>
        <item m="1" x="5019"/>
        <item m="1" x="5020"/>
        <item m="1" x="3573"/>
        <item m="1" x="4904"/>
        <item m="1" x="4226"/>
        <item m="1" x="4229"/>
        <item m="1" x="4225"/>
        <item m="1" x="3592"/>
        <item m="1" x="5021"/>
        <item m="1" x="4718"/>
        <item m="1" x="5022"/>
        <item m="1" x="5023"/>
        <item m="1" x="4714"/>
        <item m="1" x="5024"/>
        <item m="1" x="4199"/>
        <item m="1" x="4709"/>
        <item m="1" x="4708"/>
        <item m="1" x="3579"/>
        <item m="1" x="4902"/>
        <item m="1" x="5025"/>
        <item m="1" x="4177"/>
        <item m="1" x="4727"/>
        <item m="1" x="4241"/>
        <item m="1" x="3593"/>
        <item m="1" x="4246"/>
        <item m="1" x="4274"/>
        <item m="1" x="4180"/>
        <item m="1" x="3576"/>
        <item m="1" x="5026"/>
        <item m="1" x="5027"/>
        <item m="1" x="3587"/>
        <item m="1" x="5028"/>
        <item m="1" x="5029"/>
        <item m="1" x="4284"/>
        <item m="1" x="5030"/>
        <item m="1" x="4269"/>
        <item m="1" x="5031"/>
        <item m="1" x="3577"/>
        <item m="1" x="4238"/>
        <item m="1" x="3585"/>
        <item m="1" x="5032"/>
        <item m="1" x="3584"/>
        <item m="1" x="4740"/>
        <item m="1" x="3601"/>
        <item m="1" x="4723"/>
        <item m="1" x="3600"/>
        <item m="1" x="4173"/>
        <item m="1" x="4250"/>
        <item m="1" x="5060"/>
        <item m="1" x="4194"/>
        <item m="1" x="4264"/>
        <item m="1" x="4247"/>
        <item m="1" x="4256"/>
        <item m="1" x="4710"/>
        <item m="1" x="5033"/>
        <item m="1" x="4209"/>
        <item m="1" x="5034"/>
        <item m="1" x="4245"/>
        <item m="1" x="4228"/>
        <item m="1" x="5035"/>
        <item m="1" x="4736"/>
        <item m="1" x="5036"/>
        <item m="1" x="4210"/>
        <item m="1" x="5037"/>
        <item m="1" x="4242"/>
        <item m="1" x="4207"/>
        <item m="1" x="3588"/>
        <item m="1" x="5038"/>
        <item m="1" x="5039"/>
        <item m="1" x="4282"/>
        <item m="1" x="4280"/>
        <item m="1" x="3580"/>
        <item m="1" x="4261"/>
        <item m="1" x="4263"/>
        <item m="1" x="4198"/>
        <item m="1" x="4279"/>
        <item m="1" x="3575"/>
        <item m="1" x="4254"/>
        <item m="1" x="5040"/>
        <item m="1" x="4719"/>
        <item m="1" x="3598"/>
        <item m="1" x="5041"/>
        <item m="1" x="3594"/>
        <item m="1" x="5042"/>
        <item m="1" x="3597"/>
        <item m="1" x="4278"/>
        <item m="1" x="5043"/>
        <item m="1" x="4746"/>
        <item m="1" x="4905"/>
        <item m="1" x="4906"/>
        <item m="1" x="4907"/>
        <item m="1" x="4908"/>
        <item m="1" x="4909"/>
        <item m="1" x="4910"/>
        <item m="1" x="4911"/>
        <item m="1" x="4912"/>
        <item x="126"/>
        <item m="1" x="4913"/>
        <item m="1" x="4914"/>
        <item m="1" x="4915"/>
        <item m="1" x="4916"/>
        <item m="1" x="4917"/>
        <item m="1" x="4918"/>
        <item m="1" x="2989"/>
        <item m="1" x="5061"/>
        <item m="1" x="4919"/>
        <item m="1" x="4920"/>
        <item m="1" x="2793"/>
        <item x="654"/>
        <item x="655"/>
        <item x="111"/>
        <item x="110"/>
        <item m="1" x="3223"/>
        <item x="124"/>
        <item x="112"/>
        <item x="114"/>
        <item x="113"/>
        <item x="656"/>
        <item x="115"/>
        <item x="674"/>
        <item x="675"/>
        <item x="116"/>
        <item x="676"/>
        <item x="702"/>
        <item x="677"/>
        <item x="678"/>
        <item x="679"/>
        <item x="703"/>
        <item x="680"/>
        <item x="704"/>
        <item x="117"/>
        <item x="118"/>
        <item m="1" x="5044"/>
        <item m="1" x="5045"/>
        <item m="1" x="5046"/>
        <item m="1" x="4758"/>
        <item m="1" x="4285"/>
        <item m="1" x="4755"/>
        <item m="1" x="5047"/>
        <item m="1" x="4286"/>
        <item m="1" x="4751"/>
        <item m="1" x="4757"/>
        <item m="1" x="4748"/>
        <item m="1" x="4750"/>
        <item m="1" x="4759"/>
        <item m="1" x="4749"/>
        <item m="1" x="5048"/>
        <item m="1" x="5049"/>
        <item m="1" x="5050"/>
        <item m="1" x="5051"/>
        <item m="1" x="4753"/>
        <item m="1" x="5052"/>
        <item m="1" x="4752"/>
        <item m="1" x="3614"/>
        <item m="1" x="5053"/>
        <item x="130"/>
        <item m="1" x="5054"/>
        <item m="1" x="5055"/>
        <item m="1" x="4921"/>
        <item m="1" x="4876"/>
        <item m="1" x="4922"/>
        <item m="1" x="4335"/>
        <item m="1" x="4334"/>
        <item m="1" x="4923"/>
        <item x="121"/>
        <item x="120"/>
        <item x="123"/>
        <item x="119"/>
        <item x="122"/>
        <item m="1" x="4756"/>
        <item m="1" x="4760"/>
        <item m="1" x="4763"/>
        <item m="1" x="4289"/>
        <item m="1" x="4924"/>
        <item m="1" x="4771"/>
        <item m="1" x="5056"/>
        <item m="1" x="4765"/>
        <item m="1" x="4762"/>
        <item m="1" x="4769"/>
        <item m="1" x="4287"/>
        <item m="1" x="4288"/>
        <item m="1" x="4768"/>
        <item m="1" x="4766"/>
        <item m="1" x="4925"/>
        <item m="1" x="4767"/>
        <item m="1" x="4764"/>
        <item m="1" x="4770"/>
        <item m="1" x="5057"/>
        <item m="1" x="4761"/>
        <item m="1" x="4754"/>
        <item m="1" x="4773"/>
        <item m="1" x="5058"/>
        <item m="1" x="4772"/>
        <item m="1" x="5059"/>
        <item m="1" x="4926"/>
        <item m="1" x="4774"/>
        <item m="1" x="3615"/>
        <item m="1" x="4927"/>
        <item m="1" x="4928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29"/>
        <item m="1" x="4961"/>
        <item m="1" x="4962"/>
        <item m="1" x="4963"/>
        <item m="1" x="4964"/>
        <item m="1" x="4965"/>
        <item m="1" x="4966"/>
        <item m="1" x="4967"/>
        <item x="129"/>
        <item x="125"/>
        <item x="128"/>
        <item x="705"/>
        <item x="127"/>
        <item m="1" x="4775"/>
        <item m="1" x="4776"/>
        <item m="1" x="4777"/>
        <item m="1" x="4778"/>
        <item m="1" x="3911"/>
        <item m="1" x="4779"/>
        <item m="1" x="4877"/>
        <item m="1" x="4780"/>
        <item m="1" x="3913"/>
        <item m="1" x="4781"/>
        <item m="1" x="4782"/>
        <item m="1" x="4783"/>
        <item m="1" x="3914"/>
        <item m="1" x="4878"/>
        <item m="1" x="4784"/>
        <item m="1" x="4785"/>
        <item m="1" x="4879"/>
        <item m="1" x="4786"/>
        <item m="1" x="4880"/>
        <item m="1" x="4787"/>
        <item m="1" x="4788"/>
        <item m="1" x="4789"/>
        <item m="1" x="4790"/>
        <item m="1" x="4791"/>
        <item m="1" x="3932"/>
        <item m="1" x="3619"/>
        <item m="1" x="4792"/>
        <item m="1" x="4793"/>
        <item m="1" x="4881"/>
        <item m="1" x="4794"/>
        <item m="1" x="3937"/>
        <item m="1" x="4882"/>
        <item m="1" x="4795"/>
        <item m="1" x="4796"/>
        <item m="1" x="3948"/>
        <item m="1" x="4797"/>
        <item m="1" x="3951"/>
        <item m="1" x="4798"/>
        <item m="1" x="4799"/>
        <item m="1" x="4800"/>
        <item m="1" x="4801"/>
        <item m="1" x="3620"/>
        <item m="1" x="3616"/>
        <item m="1" x="3617"/>
        <item m="1" x="4802"/>
        <item m="1" x="4803"/>
        <item m="1" x="4804"/>
        <item m="1" x="3618"/>
        <item m="1" x="4805"/>
        <item m="1" x="4806"/>
        <item m="1" x="4807"/>
        <item m="1" x="4808"/>
        <item m="1" x="4809"/>
        <item m="1" x="4810"/>
        <item m="1" x="4811"/>
        <item m="1" x="4883"/>
        <item m="1" x="4812"/>
        <item m="1" x="4813"/>
        <item m="1" x="3995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3621"/>
        <item m="1" x="4823"/>
        <item m="1" x="4824"/>
        <item m="1" x="4825"/>
        <item m="1" x="4826"/>
        <item m="1" x="4827"/>
        <item m="1" x="4828"/>
        <item m="1" x="4030"/>
        <item m="1" x="4930"/>
        <item m="1" x="4931"/>
        <item m="1" x="4829"/>
        <item m="1" x="4932"/>
        <item m="1" x="4933"/>
        <item m="1" x="2994"/>
        <item m="1" x="4884"/>
        <item m="1" x="4934"/>
        <item m="1" x="4885"/>
        <item m="1" x="2991"/>
        <item m="1" x="2435"/>
        <item m="1" x="4935"/>
        <item m="1" x="4886"/>
        <item m="1" x="4887"/>
        <item m="1" x="2437"/>
        <item m="1" x="4936"/>
        <item m="1" x="3132"/>
        <item m="1" x="4888"/>
        <item m="1" x="2993"/>
        <item m="1" x="2992"/>
        <item x="136"/>
        <item m="1" x="4336"/>
        <item m="1" x="4937"/>
        <item m="1" x="4889"/>
        <item m="1" x="4890"/>
        <item x="132"/>
        <item m="1" x="4830"/>
        <item m="1" x="4831"/>
        <item m="1" x="4832"/>
        <item m="1" x="4833"/>
        <item m="1" x="4834"/>
        <item m="1" x="4835"/>
        <item m="1" x="4891"/>
        <item m="1" x="4892"/>
        <item m="1" x="2996"/>
        <item m="1" x="2995"/>
        <item m="1" x="2997"/>
        <item m="1" x="4836"/>
        <item m="1" x="4837"/>
        <item m="1" x="4838"/>
        <item m="1" x="4839"/>
        <item m="1" x="4840"/>
        <item m="1" x="4841"/>
        <item m="1" x="4842"/>
        <item m="1" x="4843"/>
        <item m="1" x="3999"/>
        <item m="1" x="4844"/>
        <item m="1" x="4845"/>
        <item m="1" x="4846"/>
        <item m="1" x="4847"/>
        <item m="1" x="4848"/>
        <item m="1" x="4849"/>
        <item m="1" x="4850"/>
        <item m="1" x="4851"/>
        <item m="1" x="4852"/>
        <item m="1" x="4853"/>
        <item m="1" x="4854"/>
        <item m="1" x="4855"/>
        <item m="1" x="4856"/>
        <item m="1" x="3936"/>
        <item m="1" x="4857"/>
        <item m="1" x="3623"/>
        <item m="1" x="4858"/>
        <item m="1" x="4859"/>
        <item m="1" x="3965"/>
        <item m="1" x="3625"/>
        <item m="1" x="4860"/>
        <item m="1" x="4861"/>
        <item m="1" x="4862"/>
        <item m="1" x="4863"/>
        <item m="1" x="3624"/>
        <item m="1" x="3622"/>
        <item m="1" x="4864"/>
        <item m="1" x="4000"/>
        <item m="1" x="4865"/>
        <item m="1" x="4866"/>
        <item m="1" x="4017"/>
        <item m="1" x="4867"/>
        <item x="142"/>
        <item m="1" x="4337"/>
        <item x="143"/>
        <item m="1" x="4868"/>
        <item m="1" x="4869"/>
        <item m="1" x="4167"/>
        <item m="1" x="4870"/>
        <item m="1" x="3626"/>
        <item m="1" x="4871"/>
        <item m="1" x="4872"/>
        <item m="1" x="4873"/>
        <item m="1" x="3627"/>
        <item m="1" x="4874"/>
        <item m="1" x="4875"/>
        <item x="148"/>
        <item m="1" x="4340"/>
        <item x="149"/>
        <item x="150"/>
        <item x="147"/>
        <item m="1" x="4338"/>
        <item m="1" x="4290"/>
        <item m="1" x="4291"/>
        <item m="1" x="4339"/>
        <item m="1" x="2794"/>
        <item x="657"/>
        <item x="131"/>
        <item x="134"/>
        <item x="133"/>
        <item x="135"/>
        <item m="1" x="4041"/>
        <item x="137"/>
        <item x="139"/>
        <item m="1" x="1580"/>
        <item x="658"/>
        <item x="138"/>
        <item x="694"/>
        <item x="140"/>
        <item x="141"/>
        <item m="1" x="1581"/>
        <item x="144"/>
        <item x="145"/>
        <item x="146"/>
        <item m="1" x="3970"/>
        <item m="1" x="3949"/>
        <item m="1" x="3628"/>
        <item x="151"/>
        <item m="1" x="4341"/>
        <item m="1" x="4292"/>
        <item x="152"/>
        <item m="1" x="3629"/>
        <item x="169"/>
        <item m="1" x="3966"/>
        <item m="1" x="4342"/>
        <item m="1" x="4343"/>
        <item m="1" x="3935"/>
        <item m="1" x="4344"/>
        <item m="1" x="4345"/>
        <item m="1" x="3941"/>
        <item m="1" x="4013"/>
        <item m="1" x="3630"/>
        <item m="1" x="4032"/>
        <item m="1" x="4293"/>
        <item m="1" x="1582"/>
        <item m="1" x="3934"/>
        <item m="1" x="3920"/>
        <item m="1" x="3994"/>
        <item x="153"/>
        <item x="154"/>
        <item m="1" x="3952"/>
        <item m="1" x="3971"/>
        <item m="1" x="4346"/>
        <item m="1" x="3909"/>
        <item m="1" x="4015"/>
        <item m="1" x="3978"/>
        <item m="1" x="3631"/>
        <item m="1" x="2998"/>
        <item m="1" x="3918"/>
        <item m="1" x="3835"/>
        <item x="182"/>
        <item m="1" x="4347"/>
        <item m="1" x="4348"/>
        <item m="1" x="4012"/>
        <item m="1" x="4028"/>
        <item m="1" x="3632"/>
        <item m="1" x="4349"/>
        <item m="1" x="3924"/>
        <item m="1" x="3991"/>
        <item m="1" x="3633"/>
        <item m="1" x="3950"/>
        <item m="1" x="3964"/>
        <item m="1" x="4350"/>
        <item m="1" x="4351"/>
        <item m="1" x="3634"/>
        <item m="1" x="4352"/>
        <item m="1" x="4005"/>
        <item m="1" x="3957"/>
        <item m="1" x="3922"/>
        <item m="1" x="3986"/>
        <item m="1" x="4353"/>
        <item m="1" x="3977"/>
        <item m="1" x="3635"/>
        <item m="1" x="3926"/>
        <item m="1" x="3982"/>
        <item x="660"/>
        <item x="155"/>
        <item m="1" x="4027"/>
        <item m="1" x="3910"/>
        <item m="1" x="3636"/>
        <item m="1" x="4019"/>
        <item m="1" x="3637"/>
        <item m="1" x="3940"/>
        <item m="1" x="3967"/>
        <item x="659"/>
        <item m="1" x="3989"/>
        <item m="1" x="4354"/>
        <item m="1" x="3638"/>
        <item m="1" x="3919"/>
        <item m="1" x="4355"/>
        <item m="1" x="4023"/>
        <item m="1" x="4356"/>
        <item m="1" x="4357"/>
        <item m="1" x="4358"/>
        <item m="1" x="4359"/>
        <item m="1" x="4360"/>
        <item m="1" x="4361"/>
        <item m="1" x="4362"/>
        <item m="1" x="4363"/>
        <item m="1" x="4364"/>
        <item m="1" x="4002"/>
        <item m="1" x="4365"/>
        <item m="1" x="4366"/>
        <item m="1" x="3916"/>
        <item m="1" x="4367"/>
        <item m="1" x="4368"/>
        <item m="1" x="3973"/>
        <item m="1" x="3987"/>
        <item m="1" x="4369"/>
        <item m="1" x="4370"/>
        <item m="1" x="4371"/>
        <item m="1" x="4372"/>
        <item m="1" x="4373"/>
        <item m="1" x="4374"/>
        <item m="1" x="4375"/>
        <item m="1" x="4376"/>
        <item m="1" x="3997"/>
        <item m="1" x="3639"/>
        <item m="1" x="4377"/>
        <item m="1" x="3930"/>
        <item m="1" x="3960"/>
        <item m="1" x="3640"/>
        <item m="1" x="3923"/>
        <item m="1" x="3641"/>
        <item m="1" x="3942"/>
        <item m="1" x="3984"/>
        <item m="1" x="4294"/>
        <item x="156"/>
        <item m="1" x="1583"/>
        <item m="1" x="3979"/>
        <item m="1" x="4378"/>
        <item m="1" x="4014"/>
        <item m="1" x="3642"/>
        <item m="1" x="3943"/>
        <item m="1" x="3643"/>
        <item m="1" x="3644"/>
        <item m="1" x="4379"/>
        <item m="1" x="4042"/>
        <item m="1" x="4328"/>
        <item m="1" x="3947"/>
        <item m="1" x="3912"/>
        <item m="1" x="4329"/>
        <item m="1" x="4330"/>
        <item m="1" x="4331"/>
        <item m="1" x="4380"/>
        <item m="1" x="3133"/>
        <item m="1" x="3956"/>
        <item m="1" x="4381"/>
        <item m="1" x="4382"/>
        <item m="1" x="3645"/>
        <item m="1" x="3646"/>
        <item m="1" x="4026"/>
        <item m="1" x="4383"/>
        <item m="1" x="3134"/>
        <item m="1" x="4384"/>
        <item m="1" x="4295"/>
        <item m="1" x="3647"/>
        <item m="1" x="4385"/>
        <item m="1" x="4296"/>
        <item m="1" x="3648"/>
        <item m="1" x="4011"/>
        <item m="1" x="4149"/>
        <item m="1" x="3972"/>
        <item m="1" x="3980"/>
        <item m="1" x="4386"/>
        <item m="1" x="3976"/>
        <item m="1" x="3649"/>
        <item m="1" x="3958"/>
        <item m="1" x="4387"/>
        <item m="1" x="3650"/>
        <item m="1" x="4010"/>
        <item m="1" x="4388"/>
        <item m="1" x="4389"/>
        <item m="1" x="3836"/>
        <item m="1" x="4390"/>
        <item m="1" x="4391"/>
        <item m="1" x="4007"/>
        <item m="1" x="4392"/>
        <item m="1" x="4393"/>
        <item m="1" x="4297"/>
        <item m="1" x="4024"/>
        <item m="1" x="3968"/>
        <item m="1" x="4298"/>
        <item m="1" x="3837"/>
        <item m="1" x="3651"/>
        <item m="1" x="4020"/>
        <item m="1" x="3983"/>
        <item m="1" x="3944"/>
        <item x="158"/>
        <item x="159"/>
        <item m="1" x="4394"/>
        <item m="1" x="4395"/>
        <item x="160"/>
        <item m="1" x="3652"/>
        <item m="1" x="3653"/>
        <item m="1" x="4396"/>
        <item m="1" x="3654"/>
        <item m="1" x="3996"/>
        <item m="1" x="4008"/>
        <item m="1" x="3946"/>
        <item m="1" x="4299"/>
        <item m="1" x="3838"/>
        <item m="1" x="3655"/>
        <item m="1" x="4300"/>
        <item m="1" x="3135"/>
        <item m="1" x="3929"/>
        <item m="1" x="4004"/>
        <item m="1" x="3656"/>
        <item m="1" x="4397"/>
        <item m="1" x="4398"/>
        <item m="1" x="3954"/>
        <item m="1" x="4399"/>
        <item m="1" x="3657"/>
        <item m="1" x="3658"/>
        <item m="1" x="3659"/>
        <item m="1" x="4400"/>
        <item m="1" x="3990"/>
        <item m="1" x="3917"/>
        <item x="161"/>
        <item m="1" x="3660"/>
        <item m="1" x="3661"/>
        <item m="1" x="3662"/>
        <item m="1" x="3663"/>
        <item m="1" x="3664"/>
        <item m="1" x="4401"/>
        <item m="1" x="4402"/>
        <item m="1" x="3992"/>
        <item m="1" x="3665"/>
        <item m="1" x="3666"/>
        <item m="1" x="3667"/>
        <item m="1" x="4403"/>
        <item m="1" x="4404"/>
        <item m="1" x="3668"/>
        <item m="1" x="3669"/>
        <item m="1" x="4405"/>
        <item m="1" x="4301"/>
        <item x="162"/>
        <item m="1" x="4406"/>
        <item m="1" x="4407"/>
        <item x="163"/>
        <item m="1" x="3839"/>
        <item m="1" x="4302"/>
        <item m="1" x="3670"/>
        <item m="1" x="4408"/>
        <item m="1" x="3671"/>
        <item m="1" x="3928"/>
        <item m="1" x="4409"/>
        <item x="662"/>
        <item m="1" x="4410"/>
        <item m="1" x="4411"/>
        <item m="1" x="3672"/>
        <item m="1" x="3673"/>
        <item m="1" x="3674"/>
        <item m="1" x="3675"/>
        <item m="1" x="3676"/>
        <item m="1" x="3677"/>
        <item m="1" x="3678"/>
        <item m="1" x="3679"/>
        <item m="1" x="3680"/>
        <item m="1" x="3681"/>
        <item m="1" x="3682"/>
        <item m="1" x="3683"/>
        <item m="1" x="3684"/>
        <item m="1" x="3685"/>
        <item m="1" x="3686"/>
        <item m="1" x="3687"/>
        <item m="1" x="3688"/>
        <item m="1" x="3691"/>
        <item m="1" x="3927"/>
        <item m="1" x="3689"/>
        <item m="1" x="3698"/>
        <item m="1" x="3690"/>
        <item m="1" x="3692"/>
        <item m="1" x="3693"/>
        <item m="1" x="3694"/>
        <item m="1" x="3695"/>
        <item m="1" x="3939"/>
        <item m="1" x="3696"/>
        <item m="1" x="3697"/>
        <item m="1" x="3699"/>
        <item m="1" x="3953"/>
        <item m="1" x="3955"/>
        <item m="1" x="3700"/>
        <item m="1" x="3961"/>
        <item m="1" x="3963"/>
        <item m="1" x="3701"/>
        <item m="1" x="3702"/>
        <item m="1" x="3962"/>
        <item m="1" x="3703"/>
        <item m="1" x="3975"/>
        <item m="1" x="4168"/>
        <item m="1" x="3985"/>
        <item m="1" x="3704"/>
        <item m="1" x="3705"/>
        <item m="1" x="3706"/>
        <item x="168"/>
        <item m="1" x="3707"/>
        <item m="1" x="3708"/>
        <item m="1" x="4009"/>
        <item m="1" x="4006"/>
        <item m="1" x="4003"/>
        <item m="1" x="4018"/>
        <item m="1" x="3807"/>
        <item m="1" x="4016"/>
        <item m="1" x="4021"/>
        <item m="1" x="3709"/>
        <item m="1" x="3710"/>
        <item m="1" x="3711"/>
        <item m="1" x="3712"/>
        <item m="1" x="4169"/>
        <item m="1" x="4303"/>
        <item m="1" x="4304"/>
        <item m="1" x="4305"/>
        <item m="1" x="3000"/>
        <item m="1" x="4306"/>
        <item m="1" x="2999"/>
        <item m="1" x="4307"/>
        <item m="1" x="4308"/>
        <item m="1" x="4309"/>
        <item m="1" x="4310"/>
        <item m="1" x="4311"/>
        <item m="1" x="4312"/>
        <item m="1" x="4313"/>
        <item m="1" x="4314"/>
        <item m="1" x="4315"/>
        <item m="1" x="4316"/>
        <item m="1" x="4317"/>
        <item m="1" x="4318"/>
        <item m="1" x="4319"/>
        <item m="1" x="3136"/>
        <item m="1" x="4320"/>
        <item m="1" x="4321"/>
        <item m="1" x="4322"/>
        <item m="1" x="4323"/>
        <item m="1" x="4324"/>
        <item m="1" x="4325"/>
        <item m="1" x="4326"/>
        <item m="1" x="4327"/>
        <item m="1" x="3714"/>
        <item m="1" x="3713"/>
        <item m="1" x="3715"/>
        <item m="1" x="3716"/>
        <item m="1" x="3717"/>
        <item m="1" x="3718"/>
        <item m="1" x="3719"/>
        <item m="1" x="4043"/>
        <item m="1" x="3904"/>
        <item m="1" x="3720"/>
        <item m="1" x="3905"/>
        <item m="1" x="3726"/>
        <item m="1" x="3721"/>
        <item m="1" x="3722"/>
        <item m="1" x="3906"/>
        <item m="1" x="3723"/>
        <item m="1" x="3724"/>
        <item m="1" x="3725"/>
        <item m="1" x="3727"/>
        <item m="1" x="3728"/>
        <item m="1" x="3729"/>
        <item m="1" x="3730"/>
        <item m="1" x="3731"/>
        <item m="1" x="3732"/>
        <item m="1" x="3733"/>
        <item m="1" x="3734"/>
        <item m="1" x="3735"/>
        <item m="1" x="3736"/>
        <item m="1" x="3737"/>
        <item m="1" x="3738"/>
        <item m="1" x="3741"/>
        <item m="1" x="3739"/>
        <item m="1" x="3938"/>
        <item m="1" x="3740"/>
        <item m="1" x="4053"/>
        <item m="1" x="3742"/>
        <item m="1" x="3907"/>
        <item m="1" x="4150"/>
        <item m="1" x="3743"/>
        <item m="1" x="3744"/>
        <item m="1" x="3908"/>
        <item m="1" x="3745"/>
        <item m="1" x="3746"/>
        <item m="1" x="3747"/>
        <item m="1" x="3748"/>
        <item m="1" x="3749"/>
        <item m="1" x="3862"/>
        <item m="1" x="3750"/>
        <item m="1" x="3751"/>
        <item m="1" x="3752"/>
        <item m="1" x="3753"/>
        <item m="1" x="3993"/>
        <item m="1" x="3754"/>
        <item m="1" x="3755"/>
        <item m="1" x="3756"/>
        <item m="1" x="3757"/>
        <item m="1" x="3758"/>
        <item m="1" x="3759"/>
        <item m="1" x="3760"/>
        <item m="1" x="3804"/>
        <item m="1" x="3761"/>
        <item m="1" x="4025"/>
        <item m="1" x="3762"/>
        <item m="1" x="3763"/>
        <item m="1" x="3764"/>
        <item m="1" x="3765"/>
        <item m="1" x="3001"/>
        <item m="1" x="4044"/>
        <item m="1" x="4045"/>
        <item m="1" x="4046"/>
        <item m="1" x="4047"/>
        <item m="1" x="4151"/>
        <item m="1" x="3224"/>
        <item m="1" x="3225"/>
        <item m="1" x="3226"/>
        <item m="1" x="2436"/>
        <item m="1" x="3227"/>
        <item m="1" x="3228"/>
        <item m="1" x="4152"/>
        <item m="1" x="4153"/>
        <item m="1" x="4048"/>
        <item m="1" x="4049"/>
        <item m="1" x="3229"/>
        <item m="1" x="3230"/>
        <item m="1" x="4050"/>
        <item m="1" x="3002"/>
        <item m="1" x="3137"/>
        <item m="1" x="3138"/>
        <item m="1" x="4154"/>
        <item m="1" x="4155"/>
        <item m="1" x="4156"/>
        <item m="1" x="4157"/>
        <item m="1" x="4158"/>
        <item m="1" x="4159"/>
        <item m="1" x="4160"/>
        <item m="1" x="4161"/>
        <item m="1" x="4162"/>
        <item m="1" x="4163"/>
        <item m="1" x="4164"/>
        <item m="1" x="3231"/>
        <item m="1" x="4165"/>
        <item m="1" x="4166"/>
        <item m="1" x="3232"/>
        <item x="661"/>
        <item x="663"/>
        <item m="1" x="1585"/>
        <item x="164"/>
        <item x="165"/>
        <item x="166"/>
        <item x="167"/>
        <item m="1" x="1584"/>
        <item x="664"/>
        <item m="1" x="1586"/>
        <item x="170"/>
        <item x="171"/>
        <item x="173"/>
        <item x="174"/>
        <item x="175"/>
        <item x="176"/>
        <item m="1" x="3766"/>
        <item m="1" x="3767"/>
        <item m="1" x="3840"/>
        <item m="1" x="3768"/>
        <item m="1" x="3769"/>
        <item m="1" x="3841"/>
        <item m="1" x="4051"/>
        <item m="1" x="3802"/>
        <item m="1" x="3770"/>
        <item m="1" x="3915"/>
        <item m="1" x="3771"/>
        <item m="1" x="3842"/>
        <item m="1" x="3921"/>
        <item m="1" x="3925"/>
        <item m="1" x="3772"/>
        <item m="1" x="3773"/>
        <item m="1" x="3774"/>
        <item m="1" x="3843"/>
        <item m="1" x="4052"/>
        <item m="1" x="3844"/>
        <item m="1" x="3845"/>
        <item m="1" x="3846"/>
        <item m="1" x="3931"/>
        <item m="1" x="3933"/>
        <item m="1" x="3775"/>
        <item m="1" x="3776"/>
        <item m="1" x="3777"/>
        <item m="1" x="3778"/>
        <item m="1" x="3847"/>
        <item m="1" x="3786"/>
        <item m="1" x="3848"/>
        <item m="1" x="3796"/>
        <item m="1" x="3849"/>
        <item m="1" x="3850"/>
        <item m="1" x="3851"/>
        <item m="1" x="3852"/>
        <item m="1" x="3779"/>
        <item m="1" x="3853"/>
        <item m="1" x="3780"/>
        <item m="1" x="3854"/>
        <item m="1" x="3945"/>
        <item m="1" x="4054"/>
        <item m="1" x="3855"/>
        <item m="1" x="3784"/>
        <item m="1" x="3781"/>
        <item m="1" x="3782"/>
        <item m="1" x="4055"/>
        <item m="1" x="3783"/>
        <item m="1" x="3856"/>
        <item m="1" x="3857"/>
        <item m="1" x="3785"/>
        <item m="1" x="3959"/>
        <item m="1" x="3858"/>
        <item m="1" x="4056"/>
        <item m="1" x="3787"/>
        <item m="1" x="3859"/>
        <item m="1" x="3860"/>
        <item m="1" x="4057"/>
        <item m="1" x="3861"/>
        <item m="1" x="3788"/>
        <item m="1" x="3969"/>
        <item m="1" x="3789"/>
        <item m="1" x="3863"/>
        <item m="1" x="3974"/>
        <item m="1" x="3864"/>
        <item m="1" x="3790"/>
        <item m="1" x="4058"/>
        <item m="1" x="4059"/>
        <item m="1" x="3010"/>
        <item m="1" x="3981"/>
        <item m="1" x="3791"/>
        <item m="1" x="3792"/>
        <item m="1" x="3793"/>
        <item m="1" x="3988"/>
        <item m="1" x="3865"/>
        <item m="1" x="3866"/>
        <item m="1" x="3794"/>
        <item m="1" x="3799"/>
        <item m="1" x="3795"/>
        <item m="1" x="3797"/>
        <item m="1" x="3798"/>
        <item m="1" x="3998"/>
        <item m="1" x="3867"/>
        <item m="1" x="3868"/>
        <item m="1" x="4001"/>
        <item m="1" x="3869"/>
        <item m="1" x="3800"/>
        <item m="1" x="3801"/>
        <item m="1" x="4060"/>
        <item m="1" x="4061"/>
        <item m="1" x="3870"/>
        <item m="1" x="3871"/>
        <item m="1" x="3885"/>
        <item m="1" x="3873"/>
        <item m="1" x="3874"/>
        <item m="1" x="3803"/>
        <item m="1" x="3875"/>
        <item m="1" x="4062"/>
        <item m="1" x="3805"/>
        <item m="1" x="3806"/>
        <item m="1" x="4022"/>
        <item m="1" x="3876"/>
        <item m="1" x="4063"/>
        <item m="1" x="3808"/>
        <item m="1" x="3877"/>
        <item m="1" x="3878"/>
        <item m="1" x="3879"/>
        <item m="1" x="3880"/>
        <item m="1" x="3881"/>
        <item m="1" x="3882"/>
        <item m="1" x="4064"/>
        <item m="1" x="4065"/>
        <item m="1" x="3883"/>
        <item m="1" x="3809"/>
        <item m="1" x="3884"/>
        <item m="1" x="4029"/>
        <item m="1" x="4031"/>
        <item m="1" x="4066"/>
        <item m="1" x="4067"/>
        <item m="1" x="3233"/>
        <item m="1" x="3013"/>
        <item m="1" x="3012"/>
        <item m="1" x="3234"/>
        <item m="1" x="3235"/>
        <item m="1" x="3017"/>
        <item m="1" x="3016"/>
        <item m="1" x="3142"/>
        <item m="1" x="3236"/>
        <item m="1" x="3237"/>
        <item m="1" x="3009"/>
        <item m="1" x="4068"/>
        <item m="1" x="3210"/>
        <item m="1" x="3141"/>
        <item m="1" x="3139"/>
        <item m="1" x="4033"/>
        <item m="1" x="3238"/>
        <item m="1" x="3140"/>
        <item x="178"/>
        <item x="181"/>
        <item m="1" x="4069"/>
        <item m="1" x="4034"/>
        <item m="1" x="3239"/>
        <item m="1" x="4070"/>
        <item m="1" x="3240"/>
        <item m="1" x="2161"/>
        <item m="1" x="3241"/>
        <item m="1" x="3242"/>
        <item m="1" x="4071"/>
        <item m="1" x="3243"/>
        <item m="1" x="3005"/>
        <item m="1" x="3006"/>
        <item m="1" x="3244"/>
        <item m="1" x="3245"/>
        <item m="1" x="3011"/>
        <item m="1" x="4072"/>
        <item m="1" x="4073"/>
        <item m="1" x="3015"/>
        <item m="1" x="4074"/>
        <item m="1" x="4075"/>
        <item m="1" x="1603"/>
        <item m="1" x="4076"/>
        <item m="1" x="3008"/>
        <item m="1" x="4077"/>
        <item m="1" x="4078"/>
        <item m="1" x="4079"/>
        <item m="1" x="4080"/>
        <item m="1" x="4081"/>
        <item m="1" x="4082"/>
        <item m="1" x="4083"/>
        <item m="1" x="4084"/>
        <item m="1" x="4035"/>
        <item m="1" x="4085"/>
        <item m="1" x="4086"/>
        <item m="1" x="3021"/>
        <item m="1" x="3246"/>
        <item m="1" x="3247"/>
        <item m="1" x="4087"/>
        <item m="1" x="3003"/>
        <item m="1" x="4088"/>
        <item m="1" x="4089"/>
        <item m="1" x="3007"/>
        <item m="1" x="4036"/>
        <item m="1" x="1602"/>
        <item m="1" x="3014"/>
        <item m="1" x="3004"/>
        <item m="1" x="3248"/>
        <item m="1" x="3020"/>
        <item m="1" x="3019"/>
        <item m="1" x="3018"/>
        <item m="1" x="3249"/>
        <item m="1" x="3886"/>
        <item m="1" x="3887"/>
        <item m="1" x="3144"/>
        <item m="1" x="3143"/>
        <item m="1" x="4090"/>
        <item m="1" x="4037"/>
        <item m="1" x="4038"/>
        <item x="456"/>
        <item m="1" x="3250"/>
        <item m="1" x="3251"/>
        <item m="1" x="4091"/>
        <item m="1" x="4092"/>
        <item m="1" x="4093"/>
        <item m="1" x="4094"/>
        <item m="1" x="4095"/>
        <item m="1" x="4096"/>
        <item m="1" x="4097"/>
        <item m="1" x="3146"/>
        <item m="1" x="3145"/>
        <item m="1" x="3149"/>
        <item m="1" x="3148"/>
        <item m="1" x="3147"/>
        <item m="1" x="4098"/>
        <item m="1" x="4099"/>
        <item x="186"/>
        <item x="187"/>
        <item m="1" x="4100"/>
        <item m="1" x="4101"/>
        <item m="1" x="4102"/>
        <item m="1" x="4103"/>
        <item m="1" x="4104"/>
        <item m="1" x="4105"/>
        <item m="1" x="4106"/>
        <item m="1" x="4107"/>
        <item m="1" x="4108"/>
        <item m="1" x="4109"/>
        <item m="1" x="4110"/>
        <item m="1" x="4111"/>
        <item m="1" x="4112"/>
        <item m="1" x="4113"/>
        <item m="1" x="4114"/>
        <item m="1" x="4115"/>
        <item m="1" x="4116"/>
        <item m="1" x="4117"/>
        <item m="1" x="4118"/>
        <item m="1" x="4119"/>
        <item m="1" x="4120"/>
        <item m="1" x="4121"/>
        <item m="1" x="4122"/>
        <item m="1" x="4123"/>
        <item m="1" x="4124"/>
        <item m="1" x="4125"/>
        <item m="1" x="4126"/>
        <item m="1" x="4127"/>
        <item m="1" x="4128"/>
        <item m="1" x="4129"/>
        <item m="1" x="4130"/>
        <item m="1" x="4131"/>
        <item m="1" x="4132"/>
        <item m="1" x="4133"/>
        <item m="1" x="4134"/>
        <item m="1" x="4135"/>
        <item m="1" x="4136"/>
        <item m="1" x="4137"/>
        <item m="1" x="4138"/>
        <item m="1" x="4139"/>
        <item m="1" x="4140"/>
        <item m="1" x="4141"/>
        <item m="1" x="4142"/>
        <item m="1" x="4143"/>
        <item m="1" x="4144"/>
        <item m="1" x="4145"/>
        <item m="1" x="4146"/>
        <item m="1" x="4147"/>
        <item m="1" x="4148"/>
        <item m="1" x="3810"/>
        <item m="1" x="3811"/>
        <item m="1" x="3812"/>
        <item m="1" x="3813"/>
        <item m="1" x="3817"/>
        <item m="1" x="3814"/>
        <item m="1" x="3815"/>
        <item m="1" x="3888"/>
        <item m="1" x="3816"/>
        <item m="1" x="4039"/>
        <item m="1" x="3818"/>
        <item m="1" x="3819"/>
        <item m="1" x="3820"/>
        <item m="1" x="3821"/>
        <item m="1" x="3826"/>
        <item m="1" x="3822"/>
        <item m="1" x="3823"/>
        <item m="1" x="3824"/>
        <item m="1" x="3889"/>
        <item m="1" x="3825"/>
        <item m="1" x="3827"/>
        <item m="1" x="3828"/>
        <item m="1" x="3829"/>
        <item m="1" x="1451"/>
        <item m="1" x="3830"/>
        <item m="1" x="3831"/>
        <item m="1" x="3890"/>
        <item m="1" x="3023"/>
        <item m="1" x="3891"/>
        <item m="1" x="3022"/>
        <item x="194"/>
        <item x="193"/>
        <item m="1" x="4040"/>
        <item x="195"/>
        <item m="1" x="3892"/>
        <item m="1" x="3024"/>
        <item m="1" x="3252"/>
        <item m="1" x="3893"/>
        <item m="1" x="3211"/>
        <item m="1" x="1469"/>
        <item m="1" x="1459"/>
        <item m="1" x="1466"/>
        <item m="1" x="1461"/>
        <item m="1" x="1453"/>
        <item m="1" x="1467"/>
        <item m="1" x="1455"/>
        <item m="1" x="1452"/>
        <item m="1" x="1477"/>
        <item m="1" x="1464"/>
        <item m="1" x="1471"/>
        <item m="1" x="1470"/>
        <item m="1" x="1465"/>
        <item m="1" x="3894"/>
        <item m="1" x="3895"/>
        <item m="1" x="2845"/>
        <item m="1" x="2844"/>
        <item m="1" x="1457"/>
        <item m="1" x="1473"/>
        <item m="1" x="1476"/>
        <item m="1" x="1454"/>
        <item m="1" x="3896"/>
        <item m="1" x="1474"/>
        <item m="1" x="3897"/>
        <item m="1" x="3898"/>
        <item m="1" x="2846"/>
        <item m="1" x="1475"/>
        <item m="1" x="3899"/>
        <item m="1" x="1468"/>
        <item m="1" x="3900"/>
        <item m="1" x="3901"/>
        <item m="1" x="3902"/>
        <item m="1" x="1472"/>
        <item m="1" x="1463"/>
        <item m="1" x="1458"/>
        <item m="1" x="1456"/>
        <item m="1" x="1460"/>
        <item m="1" x="3253"/>
        <item m="1" x="3254"/>
        <item m="1" x="3027"/>
        <item m="1" x="3255"/>
        <item m="1" x="3025"/>
        <item m="1" x="3026"/>
        <item m="1" x="3903"/>
        <item x="197"/>
        <item m="1" x="3832"/>
        <item m="1" x="3256"/>
        <item m="1" x="3257"/>
        <item m="1" x="3258"/>
        <item x="681"/>
        <item x="682"/>
        <item x="177"/>
        <item x="179"/>
        <item m="1" x="1587"/>
        <item x="180"/>
        <item m="1" x="1588"/>
        <item m="1" x="1592"/>
        <item m="1" x="1593"/>
        <item x="183"/>
        <item m="1" x="1589"/>
        <item x="184"/>
        <item x="683"/>
        <item x="695"/>
        <item m="1" x="1590"/>
        <item m="1" x="1591"/>
        <item m="1" x="1595"/>
        <item m="1" x="1594"/>
        <item x="185"/>
        <item m="1" x="1596"/>
        <item m="1" x="1599"/>
        <item m="1" x="1597"/>
        <item x="665"/>
        <item m="1" x="1601"/>
        <item m="1" x="1600"/>
        <item m="1" x="1598"/>
        <item x="188"/>
        <item x="189"/>
        <item m="1" x="1604"/>
        <item m="1" x="1606"/>
        <item m="1" x="1605"/>
        <item x="190"/>
        <item m="1" x="1609"/>
        <item m="1" x="1607"/>
        <item x="191"/>
        <item x="192"/>
        <item m="1" x="1608"/>
        <item m="1" x="1610"/>
        <item m="1" x="1611"/>
        <item x="684"/>
        <item x="685"/>
        <item x="686"/>
        <item m="1" x="1613"/>
        <item m="1" x="1612"/>
        <item m="1" x="1614"/>
        <item m="1" x="1619"/>
        <item m="1" x="1621"/>
        <item m="1" x="1615"/>
        <item m="1" x="1617"/>
        <item m="1" x="1616"/>
        <item x="196"/>
        <item m="1" x="1620"/>
        <item m="1" x="1618"/>
        <item x="687"/>
        <item m="1" x="1633"/>
        <item m="1" x="1622"/>
        <item m="1" x="1624"/>
        <item m="1" x="1625"/>
        <item m="1" x="1623"/>
        <item m="1" x="1628"/>
        <item m="1" x="1630"/>
        <item m="1" x="1634"/>
        <item m="1" x="1627"/>
        <item m="1" x="1629"/>
        <item m="1" x="1626"/>
        <item m="1" x="1632"/>
        <item m="1" x="1636"/>
        <item m="1" x="1637"/>
        <item m="1" x="1631"/>
        <item m="1" x="1635"/>
        <item m="1" x="1638"/>
        <item m="1" x="1639"/>
        <item x="208"/>
        <item x="215"/>
        <item x="206"/>
        <item x="199"/>
        <item x="204"/>
        <item x="200"/>
        <item x="216"/>
        <item x="212"/>
        <item x="207"/>
        <item m="1" x="2847"/>
        <item x="201"/>
        <item m="1" x="2795"/>
        <item x="205"/>
        <item m="1" x="2848"/>
        <item x="210"/>
        <item x="203"/>
        <item x="213"/>
        <item m="1" x="1478"/>
        <item x="211"/>
        <item m="1" x="3833"/>
        <item m="1" x="3150"/>
        <item m="1" x="3261"/>
        <item m="1" x="3262"/>
        <item m="1" x="3263"/>
        <item m="1" x="3264"/>
        <item m="1" x="3074"/>
        <item m="1" x="3028"/>
        <item x="202"/>
        <item m="1" x="3265"/>
        <item m="1" x="1640"/>
        <item m="1" x="1641"/>
        <item m="1" x="1642"/>
        <item m="1" x="1643"/>
        <item x="214"/>
        <item x="221"/>
        <item x="223"/>
        <item x="226"/>
        <item x="219"/>
        <item x="224"/>
        <item x="227"/>
        <item x="222"/>
        <item x="209"/>
        <item x="220"/>
        <item m="1" x="2849"/>
        <item m="1" x="2796"/>
        <item x="218"/>
        <item x="430"/>
        <item m="1" x="3029"/>
        <item m="1" x="1645"/>
        <item m="1" x="1644"/>
        <item x="303"/>
        <item x="263"/>
        <item x="325"/>
        <item m="1" x="2816"/>
        <item x="252"/>
        <item x="264"/>
        <item x="300"/>
        <item x="291"/>
        <item x="253"/>
        <item x="296"/>
        <item x="319"/>
        <item m="1" x="2859"/>
        <item x="245"/>
        <item x="225"/>
        <item x="266"/>
        <item x="241"/>
        <item x="243"/>
        <item x="292"/>
        <item x="311"/>
        <item x="334"/>
        <item x="332"/>
        <item x="330"/>
        <item x="312"/>
        <item m="1" x="2864"/>
        <item x="307"/>
        <item x="279"/>
        <item m="1" x="2868"/>
        <item m="1" x="2858"/>
        <item x="306"/>
        <item m="1" x="2819"/>
        <item x="233"/>
        <item x="322"/>
        <item m="1" x="2821"/>
        <item x="301"/>
        <item x="237"/>
        <item x="257"/>
        <item x="258"/>
        <item m="1" x="2850"/>
        <item x="251"/>
        <item x="271"/>
        <item m="1" x="2853"/>
        <item x="259"/>
        <item m="1" x="2805"/>
        <item x="270"/>
        <item m="1" x="2824"/>
        <item m="1" x="2799"/>
        <item m="1" x="2851"/>
        <item x="285"/>
        <item m="1" x="1479"/>
        <item x="287"/>
        <item m="1" x="2801"/>
        <item m="1" x="2854"/>
        <item x="327"/>
        <item x="282"/>
        <item x="240"/>
        <item x="267"/>
        <item m="1" x="2826"/>
        <item m="1" x="2856"/>
        <item m="1" x="2820"/>
        <item x="260"/>
        <item x="268"/>
        <item x="256"/>
        <item x="247"/>
        <item m="1" x="2804"/>
        <item x="315"/>
        <item x="331"/>
        <item x="329"/>
        <item m="1" x="2810"/>
        <item x="310"/>
        <item m="1" x="1462"/>
        <item x="304"/>
        <item x="288"/>
        <item x="246"/>
        <item x="261"/>
        <item m="1" x="2818"/>
        <item m="1" x="1449"/>
        <item m="1" x="2823"/>
        <item m="1" x="2798"/>
        <item m="1" x="2867"/>
        <item m="1" x="2800"/>
        <item x="269"/>
        <item x="316"/>
        <item x="298"/>
        <item m="1" x="2817"/>
        <item x="305"/>
        <item x="297"/>
        <item x="295"/>
        <item m="1" x="2870"/>
        <item m="1" x="2871"/>
        <item x="230"/>
        <item x="318"/>
        <item x="333"/>
        <item m="1" x="2813"/>
        <item m="1" x="2855"/>
        <item x="277"/>
        <item x="234"/>
        <item x="235"/>
        <item x="299"/>
        <item m="1" x="2808"/>
        <item m="1" x="2852"/>
        <item x="317"/>
        <item m="1" x="2865"/>
        <item m="1" x="2814"/>
        <item m="1" x="2822"/>
        <item x="320"/>
        <item m="1" x="2806"/>
        <item m="1" x="2869"/>
        <item x="321"/>
        <item m="1" x="2827"/>
        <item x="286"/>
        <item x="323"/>
        <item x="278"/>
        <item x="244"/>
        <item x="275"/>
        <item m="1" x="2812"/>
        <item x="294"/>
        <item m="1" x="2807"/>
        <item m="1" x="2815"/>
        <item m="1" x="2862"/>
        <item x="280"/>
        <item m="1" x="2866"/>
        <item m="1" x="2809"/>
        <item x="242"/>
        <item x="302"/>
        <item m="1" x="2863"/>
        <item m="1" x="1447"/>
        <item m="1" x="2802"/>
        <item m="1" x="2861"/>
        <item m="1" x="1448"/>
        <item m="1" x="2811"/>
        <item x="255"/>
        <item x="231"/>
        <item m="1" x="2860"/>
        <item m="1" x="1480"/>
        <item x="328"/>
        <item m="1" x="2857"/>
        <item m="1" x="2825"/>
        <item m="1" x="2797"/>
        <item x="272"/>
        <item m="1" x="3215"/>
        <item m="1" x="2803"/>
        <item m="1" x="3220"/>
        <item m="1" x="3151"/>
        <item m="1" x="1646"/>
        <item m="1" x="3214"/>
        <item m="1" x="1648"/>
        <item m="1" x="3216"/>
        <item m="1" x="3156"/>
        <item x="250"/>
        <item x="249"/>
        <item x="248"/>
        <item x="232"/>
        <item m="1" x="3030"/>
        <item x="293"/>
        <item m="1" x="3155"/>
        <item x="239"/>
        <item x="273"/>
        <item m="1" x="3152"/>
        <item m="1" x="3153"/>
        <item x="571"/>
        <item x="265"/>
        <item m="1" x="3213"/>
        <item m="1" x="3154"/>
        <item m="1" x="3219"/>
        <item m="1" x="3221"/>
        <item m="1" x="3217"/>
        <item m="1" x="3212"/>
        <item m="1" x="3218"/>
        <item x="362"/>
        <item m="1" x="2876"/>
        <item x="343"/>
        <item x="350"/>
        <item x="236"/>
        <item m="1" x="3162"/>
        <item x="337"/>
        <item x="361"/>
        <item x="338"/>
        <item x="368"/>
        <item x="346"/>
        <item x="365"/>
        <item m="1" x="2874"/>
        <item x="360"/>
        <item x="228"/>
        <item x="354"/>
        <item x="352"/>
        <item x="340"/>
        <item x="341"/>
        <item x="342"/>
        <item x="345"/>
        <item x="353"/>
        <item m="1" x="2831"/>
        <item m="1" x="2875"/>
        <item x="349"/>
        <item x="229"/>
        <item m="1" x="2873"/>
        <item x="347"/>
        <item x="348"/>
        <item x="366"/>
        <item m="1" x="2830"/>
        <item m="1" x="2872"/>
        <item x="357"/>
        <item x="367"/>
        <item m="1" x="2829"/>
        <item x="344"/>
        <item m="1" x="1450"/>
        <item x="356"/>
        <item x="358"/>
        <item x="217"/>
        <item m="1" x="2828"/>
        <item x="359"/>
        <item m="1" x="1647"/>
        <item m="1" x="3158"/>
        <item x="364"/>
        <item x="351"/>
        <item m="1" x="3157"/>
        <item m="1" x="3036"/>
        <item m="1" x="3035"/>
        <item m="1" x="3034"/>
        <item m="1" x="3033"/>
        <item m="1" x="3032"/>
        <item m="1" x="3038"/>
        <item m="1" x="3039"/>
        <item m="1" x="3161"/>
        <item m="1" x="3160"/>
        <item m="1" x="3031"/>
        <item x="363"/>
        <item m="1" x="3165"/>
        <item m="1" x="3164"/>
        <item m="1" x="3163"/>
        <item m="1" x="3037"/>
        <item m="1" x="1657"/>
        <item m="1" x="1656"/>
        <item m="1" x="3159"/>
        <item x="254"/>
        <item x="751"/>
        <item x="274"/>
        <item x="276"/>
        <item x="281"/>
        <item x="283"/>
        <item x="284"/>
        <item x="290"/>
        <item x="289"/>
        <item m="1" x="1649"/>
        <item x="308"/>
        <item m="1" x="1650"/>
        <item m="1" x="1651"/>
        <item m="1" x="1652"/>
        <item m="1" x="1653"/>
        <item m="1" x="1654"/>
        <item m="1" x="1655"/>
        <item x="324"/>
        <item x="336"/>
        <item x="314"/>
        <item x="737"/>
        <item x="309"/>
        <item x="335"/>
        <item x="339"/>
        <item x="326"/>
        <item x="313"/>
        <item x="387"/>
        <item m="1" x="2877"/>
        <item x="440"/>
        <item m="1" x="2878"/>
        <item m="1" x="2832"/>
        <item x="433"/>
        <item x="418"/>
        <item x="379"/>
        <item x="417"/>
        <item m="1" x="2879"/>
        <item m="1" x="2880"/>
        <item m="1" x="2881"/>
        <item x="390"/>
        <item x="386"/>
        <item m="1" x="2833"/>
        <item x="438"/>
        <item m="1" x="3166"/>
        <item m="1" x="3167"/>
        <item x="432"/>
        <item x="375"/>
        <item x="412"/>
        <item m="1" x="2882"/>
        <item x="426"/>
        <item m="1" x="2883"/>
        <item m="1" x="1975"/>
        <item m="1" x="2884"/>
        <item x="392"/>
        <item x="428"/>
        <item x="383"/>
        <item x="422"/>
        <item m="1" x="2885"/>
        <item m="1" x="1917"/>
        <item x="439"/>
        <item m="1" x="2886"/>
        <item x="421"/>
        <item x="401"/>
        <item x="381"/>
        <item x="441"/>
        <item m="1" x="3168"/>
        <item x="389"/>
        <item x="238"/>
        <item m="1" x="3169"/>
        <item x="391"/>
        <item m="1" x="2887"/>
        <item m="1" x="2888"/>
        <item x="447"/>
        <item x="420"/>
        <item m="1" x="2889"/>
        <item m="1" x="2890"/>
        <item m="1" x="2891"/>
        <item x="434"/>
        <item x="377"/>
        <item m="1" x="2892"/>
        <item x="398"/>
        <item x="198"/>
        <item m="1" x="2893"/>
        <item m="1" x="3170"/>
        <item x="400"/>
        <item x="411"/>
        <item m="1" x="2894"/>
        <item m="1" x="2193"/>
        <item x="409"/>
        <item m="1" x="2895"/>
        <item m="1" x="2896"/>
        <item m="1" x="2897"/>
        <item m="1" x="2203"/>
        <item x="427"/>
        <item x="425"/>
        <item x="415"/>
        <item m="1" x="2898"/>
        <item m="1" x="2899"/>
        <item x="385"/>
        <item m="1" x="2900"/>
        <item x="416"/>
        <item x="410"/>
        <item x="396"/>
        <item x="380"/>
        <item x="395"/>
        <item x="419"/>
        <item x="404"/>
        <item m="1" x="2901"/>
        <item m="1" x="2902"/>
        <item x="399"/>
        <item m="1" x="3171"/>
        <item x="397"/>
        <item x="413"/>
        <item m="1" x="2903"/>
        <item x="445"/>
        <item m="1" x="3172"/>
        <item x="394"/>
        <item x="376"/>
        <item x="436"/>
        <item m="1" x="2834"/>
        <item m="1" x="2835"/>
        <item x="407"/>
        <item m="1" x="3173"/>
        <item x="431"/>
        <item m="1" x="2836"/>
        <item m="1" x="2904"/>
        <item x="403"/>
        <item x="424"/>
        <item x="414"/>
        <item m="1" x="2837"/>
        <item m="1" x="2905"/>
        <item x="405"/>
        <item x="408"/>
        <item x="423"/>
        <item m="1" x="2906"/>
        <item x="382"/>
        <item x="378"/>
        <item x="406"/>
        <item m="1" x="2907"/>
        <item m="1" x="3174"/>
        <item x="443"/>
        <item m="1" x="2908"/>
        <item x="402"/>
        <item m="1" x="2909"/>
        <item m="1" x="2910"/>
        <item m="1" x="3040"/>
        <item x="437"/>
        <item m="1" x="3041"/>
        <item m="1" x="3175"/>
        <item m="1" x="3176"/>
        <item m="1" x="3177"/>
        <item m="1" x="3178"/>
        <item m="1" x="1658"/>
        <item m="1" x="3179"/>
        <item m="1" x="3180"/>
        <item m="1" x="3181"/>
        <item m="1" x="1659"/>
        <item m="1" x="3042"/>
        <item m="1" x="3043"/>
        <item m="1" x="3182"/>
        <item m="1" x="3044"/>
        <item m="1" x="3045"/>
        <item m="1" x="3046"/>
        <item m="1" x="3047"/>
        <item m="1" x="3048"/>
        <item m="1" x="3049"/>
        <item x="739"/>
        <item m="1" x="3050"/>
        <item m="1" x="3051"/>
        <item m="1" x="3052"/>
        <item m="1" x="3053"/>
        <item m="1" x="3183"/>
        <item m="1" x="3184"/>
        <item m="1" x="3185"/>
        <item m="1" x="3186"/>
        <item m="1" x="3187"/>
        <item m="1" x="3188"/>
        <item m="1" x="3054"/>
        <item m="1" x="3055"/>
        <item m="1" x="3056"/>
        <item m="1" x="3057"/>
        <item m="1" x="3058"/>
        <item m="1" x="2085"/>
        <item m="1" x="3059"/>
        <item m="1" x="3060"/>
        <item m="1" x="2084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x="446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1660"/>
        <item x="442"/>
        <item m="1" x="3189"/>
        <item m="1" x="1661"/>
        <item m="1" x="3085"/>
        <item m="1" x="3190"/>
        <item m="1" x="3191"/>
        <item m="1" x="2134"/>
        <item m="1" x="3192"/>
        <item m="1" x="3193"/>
        <item m="1" x="3194"/>
        <item m="1" x="3195"/>
        <item m="1" x="3196"/>
        <item m="1" x="2202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1662"/>
        <item x="435"/>
        <item m="1" x="2133"/>
        <item m="1" x="2135"/>
        <item x="388"/>
        <item m="1" x="2041"/>
        <item m="1" x="3208"/>
        <item x="444"/>
        <item m="1" x="1663"/>
        <item x="429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x="374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x="38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x="393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x="452"/>
        <item m="1" x="2911"/>
        <item x="486"/>
        <item m="1" x="2912"/>
        <item x="467"/>
        <item x="450"/>
        <item x="461"/>
        <item m="1" x="2913"/>
        <item x="476"/>
        <item m="1" x="2914"/>
        <item x="480"/>
        <item x="462"/>
        <item m="1" x="1481"/>
        <item m="1" x="2915"/>
        <item m="1" x="2916"/>
        <item x="491"/>
        <item m="1" x="2917"/>
        <item m="1" x="2918"/>
        <item x="449"/>
        <item m="1" x="2919"/>
        <item m="1" x="2920"/>
        <item m="1" x="2921"/>
        <item m="1" x="2922"/>
        <item x="492"/>
        <item m="1" x="2923"/>
        <item x="470"/>
        <item x="469"/>
        <item m="1" x="2924"/>
        <item x="457"/>
        <item x="468"/>
        <item x="503"/>
        <item m="1" x="2925"/>
        <item x="483"/>
        <item x="488"/>
        <item m="1" x="2926"/>
        <item m="1" x="2927"/>
        <item m="1" x="2928"/>
        <item m="1" x="2929"/>
        <item x="451"/>
        <item m="1" x="2930"/>
        <item m="1" x="2931"/>
        <item m="1" x="1482"/>
        <item x="460"/>
        <item m="1" x="2932"/>
        <item m="1" x="2933"/>
        <item m="1" x="1483"/>
        <item m="1" x="2934"/>
        <item x="484"/>
        <item m="1" x="2935"/>
        <item m="1" x="2936"/>
        <item m="1" x="1484"/>
        <item m="1" x="2937"/>
        <item x="463"/>
        <item m="1" x="2938"/>
        <item m="1" x="1486"/>
        <item m="1" x="2939"/>
        <item m="1" x="2940"/>
        <item m="1" x="2941"/>
        <item m="1" x="2942"/>
        <item m="1" x="2943"/>
        <item x="498"/>
        <item m="1" x="2944"/>
        <item x="465"/>
        <item m="1" x="2945"/>
        <item m="1" x="2946"/>
        <item x="497"/>
        <item x="494"/>
        <item m="1" x="2947"/>
        <item m="1" x="2948"/>
        <item m="1" x="2949"/>
        <item m="1" x="1485"/>
        <item x="459"/>
        <item x="458"/>
        <item x="493"/>
        <item m="1" x="2950"/>
        <item m="1" x="2335"/>
        <item x="466"/>
        <item m="1" x="2951"/>
        <item m="1" x="2952"/>
        <item x="473"/>
        <item m="1" x="2953"/>
        <item m="1" x="2954"/>
        <item x="487"/>
        <item x="481"/>
        <item m="1" x="2955"/>
        <item x="502"/>
        <item x="501"/>
        <item m="1" x="2956"/>
        <item m="1" x="2957"/>
        <item m="1" x="2838"/>
        <item x="472"/>
        <item m="1" x="2232"/>
        <item m="1" x="2958"/>
        <item m="1" x="2959"/>
        <item x="500"/>
        <item x="490"/>
        <item x="496"/>
        <item x="504"/>
        <item x="485"/>
        <item m="1" x="2960"/>
        <item m="1" x="2961"/>
        <item m="1" x="2962"/>
        <item x="477"/>
        <item m="1" x="3086"/>
        <item m="1" x="3087"/>
        <item m="1" x="2158"/>
        <item m="1" x="2159"/>
        <item m="1" x="2160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2358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2162"/>
        <item m="1" x="2163"/>
        <item m="1" x="2164"/>
        <item m="1" x="2165"/>
        <item m="1" x="2166"/>
        <item m="1" x="2167"/>
        <item x="471"/>
        <item m="1" x="3128"/>
        <item m="1" x="2168"/>
        <item m="1" x="2169"/>
        <item x="464"/>
        <item x="482"/>
        <item x="478"/>
        <item x="479"/>
        <item x="475"/>
        <item x="474"/>
        <item x="499"/>
        <item x="448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4"/>
        <item m="1" x="2195"/>
        <item m="1" x="2196"/>
        <item m="1" x="2197"/>
        <item m="1" x="2198"/>
        <item m="1" x="2199"/>
        <item m="1" x="2200"/>
        <item m="1" x="2201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x="489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x="495"/>
        <item m="1" x="2428"/>
        <item m="1" x="2429"/>
        <item m="1" x="2430"/>
        <item m="1" x="2431"/>
        <item m="1" x="2432"/>
        <item x="608"/>
        <item x="532"/>
        <item m="1" x="2963"/>
        <item m="1" x="1489"/>
        <item x="566"/>
        <item x="552"/>
        <item x="553"/>
        <item x="556"/>
        <item x="545"/>
        <item x="591"/>
        <item x="595"/>
        <item x="597"/>
        <item m="1" x="1490"/>
        <item x="535"/>
        <item x="516"/>
        <item m="1" x="1491"/>
        <item m="1" x="2964"/>
        <item m="1" x="1492"/>
        <item x="575"/>
        <item x="262"/>
        <item x="505"/>
        <item m="1" x="2965"/>
        <item m="1" x="1493"/>
        <item x="561"/>
        <item x="612"/>
        <item m="1" x="1494"/>
        <item x="615"/>
        <item x="542"/>
        <item m="1" x="1495"/>
        <item m="1" x="2569"/>
        <item m="1" x="1496"/>
        <item x="582"/>
        <item x="533"/>
        <item x="517"/>
        <item m="1" x="2966"/>
        <item m="1" x="2967"/>
        <item m="1" x="1497"/>
        <item m="1" x="1498"/>
        <item x="605"/>
        <item x="543"/>
        <item x="510"/>
        <item m="1" x="1499"/>
        <item x="576"/>
        <item x="569"/>
        <item m="1" x="1500"/>
        <item m="1" x="1501"/>
        <item m="1" x="1502"/>
        <item x="520"/>
        <item x="515"/>
        <item m="1" x="2968"/>
        <item m="1" x="2662"/>
        <item m="1" x="1503"/>
        <item m="1" x="2839"/>
        <item m="1" x="1504"/>
        <item x="563"/>
        <item m="1" x="1505"/>
        <item x="559"/>
        <item x="574"/>
        <item x="572"/>
        <item x="616"/>
        <item x="564"/>
        <item m="1" x="1506"/>
        <item x="594"/>
        <item x="538"/>
        <item m="1" x="1507"/>
        <item x="558"/>
        <item x="531"/>
        <item m="1" x="2840"/>
        <item m="1" x="2969"/>
        <item m="1" x="2970"/>
        <item x="573"/>
        <item m="1" x="1508"/>
        <item x="522"/>
        <item m="1" x="2971"/>
        <item x="590"/>
        <item m="1" x="1509"/>
        <item m="1" x="2972"/>
        <item m="1" x="1510"/>
        <item x="606"/>
        <item m="1" x="1511"/>
        <item x="609"/>
        <item m="1" x="2591"/>
        <item x="596"/>
        <item x="586"/>
        <item x="587"/>
        <item x="508"/>
        <item x="610"/>
        <item x="614"/>
        <item x="613"/>
        <item m="1" x="1512"/>
        <item x="519"/>
        <item x="507"/>
        <item m="1" x="1513"/>
        <item x="580"/>
        <item x="551"/>
        <item m="1" x="2973"/>
        <item m="1" x="1514"/>
        <item m="1" x="2974"/>
        <item x="588"/>
        <item m="1" x="1515"/>
        <item m="1" x="2975"/>
        <item m="1" x="1516"/>
        <item x="599"/>
        <item x="525"/>
        <item x="528"/>
        <item x="521"/>
        <item x="512"/>
        <item x="513"/>
        <item m="1" x="1517"/>
        <item x="581"/>
        <item m="1" x="2976"/>
        <item m="1" x="1518"/>
        <item x="607"/>
        <item m="1" x="2977"/>
        <item x="601"/>
        <item m="1" x="2841"/>
        <item m="1" x="1519"/>
        <item m="1" x="1520"/>
        <item x="514"/>
        <item m="1" x="1521"/>
        <item m="1" x="1522"/>
        <item x="557"/>
        <item x="578"/>
        <item x="602"/>
        <item x="530"/>
        <item x="550"/>
        <item x="534"/>
        <item x="585"/>
        <item m="1" x="2978"/>
        <item x="565"/>
        <item m="1" x="1523"/>
        <item m="1" x="2979"/>
        <item m="1" x="2980"/>
        <item m="1" x="2981"/>
        <item x="584"/>
        <item m="1" x="1524"/>
        <item m="1" x="1525"/>
        <item m="1" x="1526"/>
        <item m="1" x="1527"/>
        <item x="560"/>
        <item m="1" x="2592"/>
        <item m="1" x="1528"/>
        <item x="539"/>
        <item m="1" x="2982"/>
        <item m="1" x="2983"/>
        <item x="540"/>
        <item m="1" x="2984"/>
        <item x="506"/>
        <item x="592"/>
        <item m="1" x="2985"/>
        <item x="603"/>
        <item x="579"/>
        <item m="1" x="2986"/>
        <item x="555"/>
        <item m="1" x="2842"/>
        <item x="593"/>
        <item x="527"/>
        <item m="1" x="1529"/>
        <item x="529"/>
        <item x="524"/>
        <item x="562"/>
        <item x="611"/>
        <item x="523"/>
        <item m="1" x="2987"/>
        <item m="1" x="2988"/>
        <item x="511"/>
        <item x="509"/>
        <item x="568"/>
        <item x="544"/>
        <item x="570"/>
        <item x="541"/>
        <item x="598"/>
        <item x="589"/>
        <item x="577"/>
        <item m="1" x="2433"/>
        <item x="617"/>
        <item x="548"/>
        <item m="1" x="2434"/>
        <item m="1" x="2843"/>
        <item x="547"/>
        <item x="546"/>
        <item m="1" x="2438"/>
        <item x="600"/>
        <item x="549"/>
        <item x="567"/>
        <item x="518"/>
        <item m="1" x="2439"/>
        <item x="526"/>
        <item x="537"/>
        <item x="554"/>
        <item m="1" x="1530"/>
        <item m="1" x="1531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x="60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x="631"/>
        <item x="632"/>
        <item x="671"/>
        <item x="696"/>
        <item x="672"/>
        <item m="1" x="2772"/>
        <item x="673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1532"/>
        <item x="766"/>
        <item x="355"/>
        <item x="536"/>
        <item x="706"/>
        <item m="1" x="1533"/>
        <item m="1" x="1534"/>
        <item m="1" x="1535"/>
        <item m="1" x="1536"/>
        <item m="1" x="1537"/>
        <item m="1" x="1538"/>
        <item m="1" x="1539"/>
        <item m="1" x="1540"/>
        <item x="707"/>
        <item x="708"/>
        <item x="709"/>
        <item x="711"/>
        <item x="710"/>
        <item x="712"/>
        <item x="713"/>
        <item x="714"/>
        <item x="715"/>
        <item x="716"/>
        <item m="1" x="1541"/>
        <item m="1" x="1542"/>
        <item x="717"/>
        <item m="1" x="1543"/>
        <item m="1" x="1544"/>
        <item x="718"/>
        <item x="719"/>
        <item x="720"/>
        <item x="721"/>
        <item x="722"/>
        <item x="723"/>
        <item m="1" x="1545"/>
        <item m="1" x="1546"/>
        <item m="1" x="1547"/>
        <item m="1" x="1548"/>
        <item m="1" x="1549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8"/>
        <item m="1" x="1550"/>
        <item m="1" x="1551"/>
        <item m="1" x="1552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2"/>
        <item x="753"/>
        <item x="754"/>
        <item x="755"/>
        <item x="756"/>
        <item x="757"/>
        <item x="758"/>
        <item m="1" x="1553"/>
        <item m="1" x="1554"/>
        <item x="759"/>
        <item x="760"/>
        <item x="761"/>
        <item x="762"/>
        <item x="763"/>
        <item x="764"/>
        <item x="765"/>
        <item x="767"/>
        <item x="768"/>
        <item x="769"/>
        <item m="1" x="1555"/>
        <item x="770"/>
        <item x="771"/>
        <item x="772"/>
        <item x="773"/>
        <item x="775"/>
        <item x="774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90"/>
        <item x="789"/>
        <item x="791"/>
        <item x="793"/>
        <item x="792"/>
        <item x="794"/>
        <item m="1" x="1556"/>
        <item m="1" x="1557"/>
        <item x="795"/>
        <item x="796"/>
        <item x="797"/>
        <item x="798"/>
        <item x="799"/>
        <item x="800"/>
        <item x="801"/>
        <item x="802"/>
        <item x="803"/>
        <item x="804"/>
        <item m="1" x="1558"/>
        <item x="805"/>
        <item x="806"/>
        <item x="807"/>
        <item m="1" x="1559"/>
        <item x="808"/>
        <item x="809"/>
        <item x="810"/>
        <item x="811"/>
        <item x="812"/>
        <item x="813"/>
        <item x="814"/>
        <item x="816"/>
        <item x="815"/>
        <item x="817"/>
        <item x="818"/>
        <item x="819"/>
        <item m="1" x="1560"/>
        <item x="820"/>
        <item x="821"/>
        <item x="822"/>
        <item x="823"/>
        <item x="824"/>
        <item m="1" x="1561"/>
        <item x="825"/>
        <item x="826"/>
        <item x="827"/>
        <item x="828"/>
        <item x="829"/>
        <item x="830"/>
        <item x="831"/>
        <item x="832"/>
        <item m="1" x="1562"/>
        <item x="833"/>
        <item m="1" x="1563"/>
        <item x="834"/>
        <item x="835"/>
        <item x="836"/>
        <item x="837"/>
        <item x="839"/>
        <item x="838"/>
        <item x="840"/>
        <item x="841"/>
        <item m="1" x="1564"/>
        <item x="842"/>
        <item x="843"/>
        <item x="844"/>
        <item x="845"/>
        <item x="846"/>
        <item x="847"/>
        <item x="848"/>
        <item x="849"/>
        <item x="850"/>
        <item m="1" x="1565"/>
        <item x="851"/>
        <item x="852"/>
        <item x="853"/>
        <item x="854"/>
        <item m="1" x="1566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8"/>
        <item x="867"/>
        <item x="869"/>
        <item x="870"/>
        <item x="871"/>
        <item x="873"/>
        <item x="872"/>
        <item x="874"/>
        <item x="875"/>
        <item x="876"/>
        <item x="877"/>
        <item m="1" x="1567"/>
        <item m="1" x="1568"/>
        <item x="878"/>
        <item x="879"/>
        <item x="880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x="910"/>
        <item x="982"/>
        <item x="977"/>
        <item x="942"/>
        <item x="914"/>
        <item x="881"/>
        <item x="891"/>
        <item x="930"/>
        <item x="927"/>
        <item x="917"/>
        <item x="963"/>
        <item x="883"/>
        <item x="991"/>
        <item x="981"/>
        <item x="962"/>
        <item x="990"/>
        <item x="975"/>
        <item x="886"/>
        <item x="997"/>
        <item x="986"/>
        <item x="888"/>
        <item x="983"/>
        <item x="953"/>
        <item x="932"/>
        <item x="958"/>
        <item x="970"/>
        <item x="934"/>
        <item x="918"/>
        <item x="916"/>
        <item x="892"/>
        <item x="895"/>
        <item x="998"/>
        <item x="978"/>
        <item x="999"/>
        <item x="1000"/>
        <item x="957"/>
        <item x="974"/>
        <item x="894"/>
        <item x="985"/>
        <item x="897"/>
        <item x="922"/>
        <item x="898"/>
        <item x="896"/>
        <item x="947"/>
        <item x="907"/>
        <item x="931"/>
        <item x="884"/>
        <item x="948"/>
        <item x="899"/>
        <item x="994"/>
        <item x="952"/>
        <item x="889"/>
        <item x="890"/>
        <item x="893"/>
        <item x="882"/>
        <item x="984"/>
        <item x="920"/>
        <item x="966"/>
        <item x="903"/>
        <item x="995"/>
        <item x="945"/>
        <item x="1002"/>
        <item x="987"/>
        <item x="954"/>
        <item x="950"/>
        <item x="915"/>
        <item x="1001"/>
        <item x="971"/>
        <item x="939"/>
        <item x="887"/>
        <item x="967"/>
        <item x="988"/>
        <item x="929"/>
        <item x="996"/>
        <item x="921"/>
        <item x="901"/>
        <item x="911"/>
        <item x="965"/>
        <item x="940"/>
        <item x="946"/>
        <item x="943"/>
        <item x="904"/>
        <item x="949"/>
        <item x="955"/>
        <item x="933"/>
        <item x="938"/>
        <item x="1030"/>
        <item x="909"/>
        <item x="919"/>
        <item x="937"/>
        <item x="980"/>
        <item x="913"/>
        <item x="973"/>
        <item x="885"/>
        <item x="941"/>
        <item x="908"/>
        <item x="924"/>
        <item x="979"/>
        <item x="989"/>
        <item x="992"/>
        <item x="1029"/>
        <item x="906"/>
        <item x="905"/>
        <item x="923"/>
        <item x="959"/>
        <item x="976"/>
        <item x="956"/>
        <item x="935"/>
        <item x="968"/>
        <item x="925"/>
        <item x="936"/>
        <item x="961"/>
        <item x="951"/>
        <item x="960"/>
        <item x="993"/>
        <item x="900"/>
        <item x="972"/>
        <item x="912"/>
        <item x="926"/>
        <item x="902"/>
        <item x="928"/>
        <item x="944"/>
        <item x="969"/>
        <item x="964"/>
        <item x="1018"/>
        <item x="1019"/>
        <item x="1022"/>
        <item x="1003"/>
        <item x="1024"/>
        <item x="1032"/>
        <item x="1020"/>
        <item x="1025"/>
        <item x="1004"/>
        <item x="1005"/>
        <item x="1006"/>
        <item x="1007"/>
        <item x="1034"/>
        <item x="1008"/>
        <item x="1009"/>
        <item x="1010"/>
        <item x="1011"/>
        <item x="1012"/>
        <item x="1026"/>
        <item x="1013"/>
        <item x="1027"/>
        <item x="1014"/>
        <item x="1015"/>
        <item x="1023"/>
        <item x="1016"/>
        <item x="1017"/>
        <item x="1028"/>
        <item x="1033"/>
        <item x="1031"/>
        <item x="1021"/>
        <item x="1035"/>
        <item x="1048"/>
        <item x="1057"/>
        <item x="1074"/>
        <item x="1050"/>
        <item x="1046"/>
        <item x="1101"/>
        <item x="1107"/>
        <item x="1049"/>
        <item x="1069"/>
        <item x="1067"/>
        <item x="1078"/>
        <item x="1113"/>
        <item x="1095"/>
        <item x="1082"/>
        <item x="1038"/>
        <item x="1094"/>
        <item x="1051"/>
        <item x="1086"/>
        <item x="1056"/>
        <item x="1111"/>
        <item x="1105"/>
        <item x="1068"/>
        <item x="1108"/>
        <item x="1085"/>
        <item x="1047"/>
        <item x="1100"/>
        <item x="1091"/>
        <item x="1079"/>
        <item x="1080"/>
        <item x="1055"/>
        <item x="1059"/>
        <item x="1089"/>
        <item x="1075"/>
        <item x="1077"/>
        <item x="1037"/>
        <item x="1099"/>
        <item x="1098"/>
        <item x="1122"/>
        <item x="1088"/>
        <item x="1106"/>
        <item x="1070"/>
        <item x="1081"/>
        <item x="1104"/>
        <item x="1083"/>
        <item x="1045"/>
        <item x="1071"/>
        <item x="1092"/>
        <item x="1036"/>
        <item x="1097"/>
        <item x="1103"/>
        <item x="1063"/>
        <item x="1087"/>
        <item x="1090"/>
        <item x="1054"/>
        <item x="1112"/>
        <item x="1073"/>
        <item x="1076"/>
        <item x="1064"/>
        <item x="1072"/>
        <item x="1096"/>
        <item x="1109"/>
        <item x="1118"/>
        <item x="1117"/>
        <item x="1116"/>
        <item x="1120"/>
        <item x="1115"/>
        <item x="1114"/>
        <item x="1044"/>
        <item x="1061"/>
        <item x="1043"/>
        <item x="1060"/>
        <item x="1066"/>
        <item x="1065"/>
        <item x="1110"/>
        <item x="1119"/>
        <item x="1121"/>
        <item x="1053"/>
        <item x="1052"/>
        <item x="1084"/>
        <item x="1093"/>
        <item x="1042"/>
        <item x="1041"/>
        <item x="1040"/>
        <item x="1039"/>
        <item x="1058"/>
        <item x="1062"/>
        <item x="1102"/>
        <item x="1132"/>
        <item x="1130"/>
        <item x="1131"/>
        <item x="1129"/>
        <item x="1145"/>
        <item x="1124"/>
        <item x="1149"/>
        <item x="1161"/>
        <item x="1144"/>
        <item x="1151"/>
        <item x="1162"/>
        <item x="1147"/>
        <item x="1137"/>
        <item x="1146"/>
        <item x="1163"/>
        <item x="1128"/>
        <item x="1133"/>
        <item x="63"/>
        <item x="1160"/>
        <item x="1148"/>
        <item x="1153"/>
        <item x="1127"/>
        <item x="1135"/>
        <item x="1136"/>
        <item x="1158"/>
        <item x="1142"/>
        <item x="1150"/>
        <item x="1141"/>
        <item x="1140"/>
        <item x="1139"/>
        <item x="1138"/>
        <item x="1123"/>
        <item x="1134"/>
        <item x="1152"/>
        <item x="1157"/>
        <item x="1156"/>
        <item x="1155"/>
        <item x="1154"/>
        <item x="1125"/>
        <item x="1126"/>
        <item x="1207"/>
        <item x="1229"/>
        <item x="1197"/>
        <item x="1267"/>
        <item x="1243"/>
        <item x="1179"/>
        <item x="1240"/>
        <item x="1165"/>
        <item x="1182"/>
        <item x="1230"/>
        <item x="1259"/>
        <item x="1278"/>
        <item x="1241"/>
        <item x="1190"/>
        <item x="1263"/>
        <item x="1189"/>
        <item x="1275"/>
        <item x="1178"/>
        <item x="1266"/>
        <item x="1176"/>
        <item x="1244"/>
        <item x="1217"/>
        <item x="1198"/>
        <item x="1221"/>
        <item x="1195"/>
        <item x="1194"/>
        <item x="1272"/>
        <item x="1258"/>
        <item x="1180"/>
        <item x="1169"/>
        <item x="1225"/>
        <item x="1246"/>
        <item x="1186"/>
        <item x="1218"/>
        <item x="1257"/>
        <item x="1192"/>
        <item x="1228"/>
        <item x="1203"/>
        <item x="1245"/>
        <item x="1260"/>
        <item x="1187"/>
        <item x="1248"/>
        <item x="1279"/>
        <item x="1170"/>
        <item x="1164"/>
        <item x="1271"/>
        <item x="1209"/>
        <item x="1274"/>
        <item x="1174"/>
        <item x="1220"/>
        <item x="1191"/>
        <item x="1171"/>
        <item x="1184"/>
        <item x="1253"/>
        <item x="1172"/>
        <item x="1166"/>
        <item x="1261"/>
        <item x="1216"/>
        <item x="1282"/>
        <item x="1268"/>
        <item x="1276"/>
        <item x="1204"/>
        <item x="1193"/>
        <item x="1196"/>
        <item x="1208"/>
        <item x="1226"/>
        <item x="1223"/>
        <item x="1252"/>
        <item x="1251"/>
        <item x="1250"/>
        <item x="1227"/>
        <item x="1242"/>
        <item x="1255"/>
        <item x="1219"/>
        <item x="1239"/>
        <item x="1273"/>
        <item x="1167"/>
        <item x="1222"/>
        <item x="1177"/>
        <item x="1264"/>
        <item x="1183"/>
        <item x="1269"/>
        <item x="1200"/>
        <item x="1270"/>
        <item x="1199"/>
        <item x="1206"/>
        <item x="1215"/>
        <item x="1214"/>
        <item x="1280"/>
        <item x="1212"/>
        <item x="1265"/>
        <item x="1281"/>
        <item x="1238"/>
        <item x="1237"/>
        <item x="1236"/>
        <item x="1235"/>
        <item x="1234"/>
        <item x="1233"/>
        <item x="1213"/>
        <item x="1173"/>
        <item x="1181"/>
        <item x="1205"/>
        <item x="1210"/>
        <item x="1232"/>
        <item x="1231"/>
        <item x="1249"/>
        <item x="1277"/>
        <item x="1201"/>
        <item x="1247"/>
        <item x="1283"/>
        <item x="1296"/>
        <item x="1284"/>
        <item x="1290"/>
        <item x="1297"/>
        <item x="1289"/>
        <item x="1285"/>
        <item x="1292"/>
        <item x="1287"/>
        <item x="1286"/>
        <item x="1303"/>
        <item x="1293"/>
        <item x="1288"/>
        <item x="1302"/>
        <item x="1300"/>
        <item x="1299"/>
        <item x="1294"/>
        <item x="1301"/>
        <item x="1298"/>
        <item x="1143"/>
        <item x="1159"/>
        <item x="1168"/>
        <item x="1175"/>
        <item x="1188"/>
        <item x="1185"/>
        <item x="1202"/>
        <item x="1211"/>
        <item x="1224"/>
        <item x="1254"/>
        <item x="1256"/>
        <item x="1262"/>
        <item x="1291"/>
        <item x="1295"/>
        <item x="1304"/>
        <item x="1310"/>
        <item x="1313"/>
        <item x="1314"/>
        <item x="1312"/>
        <item x="1311"/>
        <item x="1308"/>
        <item x="1307"/>
        <item x="1315"/>
        <item x="1305"/>
        <item x="1306"/>
        <item x="1309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2"/>
        <item x="1"/>
        <item x="0"/>
        <item h="1" x="4"/>
        <item h="1" x="3"/>
        <item h="1" m="1" x="5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 " fld="11" subtotal="count" baseField="0" baseItem="0"/>
  </dataFields>
  <formats count="2">
    <format dxfId="34">
      <pivotArea field="11" type="button" dataOnly="0" labelOnly="1" outline="0" axis="axisRow" fieldPosition="0"/>
    </format>
    <format dxfId="33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DAE7E3-5FCE-4882-976E-807129890DCE}" name="Tabela dinâmica4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L3:Q12" firstHeaderRow="1" firstDataRow="2" firstDataCol="1"/>
  <pivotFields count="20">
    <pivotField showAll="0"/>
    <pivotField showAll="0"/>
    <pivotField showAll="0"/>
    <pivotField showAll="0"/>
    <pivotField axis="axisCol" dataField="1" multipleItemSelectionAllowed="1"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>
      <items count="2844">
        <item x="0"/>
        <item x="1"/>
        <item x="2"/>
        <item x="3"/>
        <item x="4"/>
        <item x="5"/>
        <item x="6"/>
        <item m="1" x="2773"/>
        <item x="7"/>
        <item x="8"/>
        <item x="9"/>
        <item x="10"/>
        <item x="11"/>
        <item x="12"/>
        <item m="1" x="2486"/>
        <item m="1" x="2487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m="1" x="2774"/>
        <item x="53"/>
        <item x="54"/>
        <item x="55"/>
        <item x="56"/>
        <item x="57"/>
        <item x="58"/>
        <item m="1" x="2488"/>
        <item x="60"/>
        <item m="1" x="2775"/>
        <item x="61"/>
        <item x="62"/>
        <item x="63"/>
        <item x="64"/>
        <item x="65"/>
        <item x="66"/>
        <item m="1" x="2686"/>
        <item m="1" x="2687"/>
        <item m="1" x="2688"/>
        <item m="1" x="2689"/>
        <item x="67"/>
        <item m="1" x="2690"/>
        <item x="68"/>
        <item x="69"/>
        <item x="70"/>
        <item m="1" x="1707"/>
        <item x="71"/>
        <item m="1" x="2489"/>
        <item m="1" x="2490"/>
        <item m="1" x="2491"/>
        <item m="1" x="2492"/>
        <item x="72"/>
        <item x="73"/>
        <item x="74"/>
        <item x="75"/>
        <item x="76"/>
        <item x="77"/>
        <item x="78"/>
        <item x="79"/>
        <item x="80"/>
        <item x="81"/>
        <item m="1" x="2493"/>
        <item x="82"/>
        <item x="83"/>
        <item x="84"/>
        <item m="1" x="2494"/>
        <item x="85"/>
        <item x="86"/>
        <item m="1" x="2495"/>
        <item x="87"/>
        <item x="88"/>
        <item x="89"/>
        <item x="90"/>
        <item x="91"/>
        <item x="92"/>
        <item m="1" x="2496"/>
        <item m="1" x="2497"/>
        <item m="1" x="2498"/>
        <item m="1" x="2499"/>
        <item x="93"/>
        <item m="1" x="2500"/>
        <item m="1" x="2501"/>
        <item m="1" x="2502"/>
        <item m="1" x="2503"/>
        <item m="1" x="2504"/>
        <item m="1" x="2691"/>
        <item x="94"/>
        <item x="95"/>
        <item x="96"/>
        <item x="97"/>
        <item m="1" x="2692"/>
        <item x="98"/>
        <item x="99"/>
        <item x="100"/>
        <item x="101"/>
        <item x="102"/>
        <item x="104"/>
        <item x="105"/>
        <item x="106"/>
        <item x="107"/>
        <item x="108"/>
        <item m="1" x="2776"/>
        <item m="1" x="2777"/>
        <item m="1" x="2778"/>
        <item m="1" x="2505"/>
        <item x="109"/>
        <item x="110"/>
        <item x="111"/>
        <item m="1" x="2693"/>
        <item x="112"/>
        <item x="113"/>
        <item m="1" x="2694"/>
        <item m="1" x="2695"/>
        <item x="114"/>
        <item m="1" x="2506"/>
        <item m="1" x="2696"/>
        <item m="1" x="2697"/>
        <item m="1" x="1708"/>
        <item m="1" x="2507"/>
        <item x="115"/>
        <item m="1" x="2508"/>
        <item x="116"/>
        <item x="117"/>
        <item x="118"/>
        <item m="1" x="2509"/>
        <item x="119"/>
        <item x="120"/>
        <item x="121"/>
        <item x="122"/>
        <item x="123"/>
        <item x="124"/>
        <item m="1" x="1709"/>
        <item x="125"/>
        <item m="1" x="1710"/>
        <item x="126"/>
        <item x="127"/>
        <item x="128"/>
        <item m="1" x="1711"/>
        <item x="129"/>
        <item x="130"/>
        <item m="1" x="2698"/>
        <item m="1" x="1559"/>
        <item m="1" x="2510"/>
        <item x="131"/>
        <item m="1" x="2511"/>
        <item x="132"/>
        <item m="1" x="1712"/>
        <item m="1" x="2779"/>
        <item m="1" x="2780"/>
        <item x="133"/>
        <item x="134"/>
        <item x="135"/>
        <item x="136"/>
        <item m="1" x="2781"/>
        <item x="137"/>
        <item x="138"/>
        <item x="139"/>
        <item m="1" x="2512"/>
        <item m="1" x="2513"/>
        <item m="1" x="2699"/>
        <item x="140"/>
        <item x="141"/>
        <item x="142"/>
        <item m="1" x="2782"/>
        <item x="143"/>
        <item m="1" x="1560"/>
        <item m="1" x="2514"/>
        <item x="144"/>
        <item m="1" x="1713"/>
        <item m="1" x="1561"/>
        <item m="1" x="2515"/>
        <item m="1" x="2700"/>
        <item m="1" x="1714"/>
        <item x="145"/>
        <item x="146"/>
        <item x="147"/>
        <item m="1" x="1715"/>
        <item m="1" x="1562"/>
        <item x="148"/>
        <item x="149"/>
        <item x="150"/>
        <item m="1" x="2783"/>
        <item m="1" x="2784"/>
        <item m="1" x="2701"/>
        <item m="1" x="2785"/>
        <item x="151"/>
        <item m="1" x="1563"/>
        <item x="152"/>
        <item m="1" x="1564"/>
        <item m="1" x="2702"/>
        <item m="1" x="2703"/>
        <item m="1" x="2786"/>
        <item m="1" x="2516"/>
        <item m="1" x="2517"/>
        <item m="1" x="2787"/>
        <item x="153"/>
        <item m="1" x="1565"/>
        <item m="1" x="1566"/>
        <item m="1" x="1567"/>
        <item x="154"/>
        <item m="1" x="1716"/>
        <item m="1" x="1568"/>
        <item m="1" x="2704"/>
        <item m="1" x="2705"/>
        <item x="155"/>
        <item m="1" x="2706"/>
        <item m="1" x="2707"/>
        <item m="1" x="2708"/>
        <item m="1" x="2709"/>
        <item m="1" x="2710"/>
        <item m="1" x="1569"/>
        <item m="1" x="2788"/>
        <item x="156"/>
        <item x="157"/>
        <item m="1" x="1717"/>
        <item m="1" x="1718"/>
        <item m="1" x="2518"/>
        <item m="1" x="2789"/>
        <item m="1" x="2790"/>
        <item m="1" x="2791"/>
        <item x="158"/>
        <item m="1" x="1719"/>
        <item m="1" x="1720"/>
        <item m="1" x="1721"/>
        <item m="1" x="2711"/>
        <item m="1" x="2712"/>
        <item m="1" x="1722"/>
        <item m="1" x="1723"/>
        <item m="1" x="1570"/>
        <item m="1" x="1571"/>
        <item m="1" x="1724"/>
        <item x="159"/>
        <item m="1" x="2519"/>
        <item m="1" x="2792"/>
        <item m="1" x="2793"/>
        <item x="160"/>
        <item m="1" x="1725"/>
        <item m="1" x="1572"/>
        <item m="1" x="1573"/>
        <item m="1" x="1574"/>
        <item m="1" x="1726"/>
        <item m="1" x="1727"/>
        <item m="1" x="1728"/>
        <item x="161"/>
        <item m="1" x="1575"/>
        <item m="1" x="1729"/>
        <item m="1" x="1730"/>
        <item x="162"/>
        <item m="1" x="1731"/>
        <item m="1" x="1732"/>
        <item m="1" x="2713"/>
        <item m="1" x="1733"/>
        <item x="163"/>
        <item m="1" x="2714"/>
        <item m="1" x="1734"/>
        <item m="1" x="2520"/>
        <item m="1" x="2794"/>
        <item m="1" x="2795"/>
        <item m="1" x="2796"/>
        <item m="1" x="2715"/>
        <item m="1" x="2716"/>
        <item x="164"/>
        <item m="1" x="1735"/>
        <item m="1" x="2717"/>
        <item m="1" x="1736"/>
        <item x="165"/>
        <item m="1" x="1737"/>
        <item m="1" x="1738"/>
        <item m="1" x="2521"/>
        <item m="1" x="1739"/>
        <item m="1" x="2718"/>
        <item m="1" x="2719"/>
        <item m="1" x="2720"/>
        <item m="1" x="2522"/>
        <item x="166"/>
        <item m="1" x="2523"/>
        <item m="1" x="1740"/>
        <item m="1" x="1741"/>
        <item x="167"/>
        <item m="1" x="1742"/>
        <item m="1" x="1576"/>
        <item m="1" x="1743"/>
        <item m="1" x="1577"/>
        <item x="168"/>
        <item m="1" x="1744"/>
        <item m="1" x="1745"/>
        <item m="1" x="1746"/>
        <item m="1" x="2524"/>
        <item m="1" x="1747"/>
        <item m="1" x="1748"/>
        <item m="1" x="1749"/>
        <item m="1" x="1578"/>
        <item m="1" x="1750"/>
        <item m="1" x="1579"/>
        <item m="1" x="1751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752"/>
        <item m="1" x="1592"/>
        <item m="1" x="1753"/>
        <item m="1" x="1593"/>
        <item m="1" x="1754"/>
        <item m="1" x="1755"/>
        <item m="1" x="1594"/>
        <item m="1" x="2721"/>
        <item m="1" x="1595"/>
        <item m="1" x="1756"/>
        <item m="1" x="1596"/>
        <item m="1" x="1597"/>
        <item m="1" x="1757"/>
        <item m="1" x="1758"/>
        <item m="1" x="1759"/>
        <item m="1" x="2722"/>
        <item m="1" x="1598"/>
        <item m="1" x="1599"/>
        <item m="1" x="1760"/>
        <item m="1" x="1761"/>
        <item m="1" x="1762"/>
        <item m="1" x="1763"/>
        <item m="1" x="2573"/>
        <item m="1" x="1600"/>
        <item m="1" x="1601"/>
        <item m="1" x="1602"/>
        <item m="1" x="1603"/>
        <item m="1" x="2574"/>
        <item m="1" x="1604"/>
        <item m="1" x="1764"/>
        <item m="1" x="1605"/>
        <item m="1" x="1606"/>
        <item m="1" x="1607"/>
        <item m="1" x="1765"/>
        <item m="1" x="1608"/>
        <item m="1" x="1609"/>
        <item m="1" x="1610"/>
        <item m="1" x="1611"/>
        <item m="1" x="1612"/>
        <item m="1" x="1613"/>
        <item x="169"/>
        <item m="1" x="2723"/>
        <item m="1" x="2575"/>
        <item x="171"/>
        <item x="172"/>
        <item x="173"/>
        <item x="174"/>
        <item x="175"/>
        <item x="176"/>
        <item x="177"/>
        <item x="178"/>
        <item m="1" x="2525"/>
        <item m="1" x="1614"/>
        <item m="1" x="1615"/>
        <item x="179"/>
        <item m="1" x="2724"/>
        <item x="180"/>
        <item m="1" x="2576"/>
        <item m="1" x="1766"/>
        <item m="1" x="1767"/>
        <item m="1" x="2526"/>
        <item x="181"/>
        <item x="182"/>
        <item x="183"/>
        <item x="184"/>
        <item x="185"/>
        <item x="186"/>
        <item m="1" x="1768"/>
        <item x="187"/>
        <item x="188"/>
        <item m="1" x="2797"/>
        <item x="189"/>
        <item x="190"/>
        <item x="191"/>
        <item m="1" x="2577"/>
        <item x="192"/>
        <item x="193"/>
        <item x="194"/>
        <item x="195"/>
        <item m="1" x="2578"/>
        <item m="1" x="2725"/>
        <item x="196"/>
        <item x="197"/>
        <item x="198"/>
        <item x="199"/>
        <item m="1" x="1769"/>
        <item x="200"/>
        <item m="1" x="2579"/>
        <item x="201"/>
        <item x="202"/>
        <item x="203"/>
        <item m="1" x="2527"/>
        <item x="204"/>
        <item x="205"/>
        <item x="206"/>
        <item x="207"/>
        <item x="208"/>
        <item x="209"/>
        <item x="210"/>
        <item m="1" x="2580"/>
        <item x="211"/>
        <item x="212"/>
        <item x="213"/>
        <item m="1" x="2528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m="1" x="2529"/>
        <item x="227"/>
        <item x="228"/>
        <item x="229"/>
        <item m="1" x="1770"/>
        <item x="230"/>
        <item x="231"/>
        <item x="232"/>
        <item x="233"/>
        <item x="234"/>
        <item m="1" x="2726"/>
        <item m="1" x="2530"/>
        <item x="235"/>
        <item m="1" x="2531"/>
        <item x="236"/>
        <item x="237"/>
        <item x="238"/>
        <item x="239"/>
        <item x="240"/>
        <item x="241"/>
        <item x="242"/>
        <item m="1" x="2798"/>
        <item x="243"/>
        <item m="1" x="2581"/>
        <item m="1" x="2582"/>
        <item x="244"/>
        <item x="245"/>
        <item x="246"/>
        <item x="247"/>
        <item x="248"/>
        <item x="249"/>
        <item m="1" x="2532"/>
        <item x="250"/>
        <item x="252"/>
        <item x="253"/>
        <item x="254"/>
        <item x="255"/>
        <item m="1" x="1771"/>
        <item m="1" x="2583"/>
        <item m="1" x="2727"/>
        <item x="256"/>
        <item x="257"/>
        <item x="258"/>
        <item x="259"/>
        <item x="260"/>
        <item x="261"/>
        <item m="1" x="1772"/>
        <item m="1" x="2533"/>
        <item m="1" x="2584"/>
        <item x="262"/>
        <item m="1" x="2799"/>
        <item m="1" x="2534"/>
        <item x="263"/>
        <item x="264"/>
        <item x="265"/>
        <item x="266"/>
        <item m="1" x="2535"/>
        <item x="267"/>
        <item x="268"/>
        <item x="269"/>
        <item x="270"/>
        <item x="271"/>
        <item x="272"/>
        <item m="1" x="2536"/>
        <item m="1" x="2800"/>
        <item x="273"/>
        <item x="274"/>
        <item x="275"/>
        <item x="276"/>
        <item x="277"/>
        <item m="1" x="2585"/>
        <item x="278"/>
        <item x="279"/>
        <item m="1" x="2586"/>
        <item m="1" x="2537"/>
        <item x="280"/>
        <item m="1" x="2538"/>
        <item x="281"/>
        <item x="282"/>
        <item m="1" x="2539"/>
        <item m="1" x="2540"/>
        <item m="1" x="2541"/>
        <item x="283"/>
        <item m="1" x="2587"/>
        <item m="1" x="2588"/>
        <item x="284"/>
        <item x="285"/>
        <item x="286"/>
        <item x="287"/>
        <item x="288"/>
        <item m="1" x="2542"/>
        <item x="289"/>
        <item x="290"/>
        <item x="291"/>
        <item x="292"/>
        <item x="293"/>
        <item x="294"/>
        <item x="295"/>
        <item x="296"/>
        <item x="297"/>
        <item m="1" x="2801"/>
        <item x="298"/>
        <item x="299"/>
        <item x="300"/>
        <item x="301"/>
        <item m="1" x="2543"/>
        <item x="302"/>
        <item x="303"/>
        <item x="304"/>
        <item m="1" x="1773"/>
        <item x="305"/>
        <item x="306"/>
        <item x="307"/>
        <item m="1" x="2544"/>
        <item x="308"/>
        <item x="309"/>
        <item x="310"/>
        <item m="1" x="1616"/>
        <item m="1" x="1617"/>
        <item m="1" x="1618"/>
        <item x="311"/>
        <item x="312"/>
        <item m="1" x="1619"/>
        <item m="1" x="1620"/>
        <item x="313"/>
        <item x="314"/>
        <item m="1" x="2589"/>
        <item m="1" x="2590"/>
        <item m="1" x="2545"/>
        <item m="1" x="2546"/>
        <item m="1" x="2547"/>
        <item x="315"/>
        <item x="316"/>
        <item x="317"/>
        <item m="1" x="2548"/>
        <item x="318"/>
        <item x="319"/>
        <item x="320"/>
        <item x="321"/>
        <item m="1" x="2549"/>
        <item x="322"/>
        <item x="323"/>
        <item m="1" x="2591"/>
        <item m="1" x="2550"/>
        <item m="1" x="2592"/>
        <item x="324"/>
        <item x="325"/>
        <item x="326"/>
        <item x="327"/>
        <item x="328"/>
        <item x="329"/>
        <item m="1" x="2593"/>
        <item x="330"/>
        <item x="331"/>
        <item m="1" x="1621"/>
        <item m="1" x="2594"/>
        <item x="332"/>
        <item m="1" x="2551"/>
        <item m="1" x="1622"/>
        <item x="333"/>
        <item m="1" x="2552"/>
        <item m="1" x="2553"/>
        <item m="1" x="2595"/>
        <item m="1" x="2596"/>
        <item x="334"/>
        <item x="335"/>
        <item m="1" x="1623"/>
        <item x="336"/>
        <item x="337"/>
        <item x="338"/>
        <item x="339"/>
        <item x="340"/>
        <item x="341"/>
        <item x="342"/>
        <item x="343"/>
        <item x="344"/>
        <item m="1" x="1774"/>
        <item x="345"/>
        <item m="1" x="1775"/>
        <item m="1" x="2597"/>
        <item x="346"/>
        <item m="1" x="1776"/>
        <item x="347"/>
        <item x="348"/>
        <item x="349"/>
        <item x="350"/>
        <item m="1" x="2598"/>
        <item x="351"/>
        <item m="1" x="1624"/>
        <item x="352"/>
        <item x="353"/>
        <item m="1" x="2802"/>
        <item m="1" x="1777"/>
        <item m="1" x="2554"/>
        <item x="354"/>
        <item x="355"/>
        <item x="356"/>
        <item x="357"/>
        <item x="358"/>
        <item x="359"/>
        <item x="360"/>
        <item m="1" x="2555"/>
        <item x="361"/>
        <item m="1" x="1778"/>
        <item x="362"/>
        <item x="363"/>
        <item m="1" x="2599"/>
        <item m="1" x="2600"/>
        <item m="1" x="2601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779"/>
        <item x="384"/>
        <item x="385"/>
        <item x="386"/>
        <item x="387"/>
        <item x="388"/>
        <item m="1" x="2803"/>
        <item m="1" x="2804"/>
        <item x="389"/>
        <item x="390"/>
        <item x="391"/>
        <item x="392"/>
        <item x="393"/>
        <item m="1" x="2556"/>
        <item m="1" x="2805"/>
        <item m="1" x="2728"/>
        <item x="394"/>
        <item x="395"/>
        <item m="1" x="2602"/>
        <item x="396"/>
        <item x="397"/>
        <item x="398"/>
        <item x="399"/>
        <item x="400"/>
        <item m="1" x="2729"/>
        <item m="1" x="2730"/>
        <item x="401"/>
        <item m="1" x="1780"/>
        <item x="402"/>
        <item x="403"/>
        <item x="404"/>
        <item x="405"/>
        <item m="1" x="2557"/>
        <item x="406"/>
        <item x="407"/>
        <item x="408"/>
        <item x="409"/>
        <item x="410"/>
        <item m="1" x="1781"/>
        <item m="1" x="2558"/>
        <item m="1" x="2806"/>
        <item x="411"/>
        <item x="412"/>
        <item m="1" x="2807"/>
        <item x="413"/>
        <item x="414"/>
        <item m="1" x="2808"/>
        <item m="1" x="2731"/>
        <item m="1" x="2732"/>
        <item m="1" x="2559"/>
        <item x="415"/>
        <item m="1" x="2603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2733"/>
        <item m="1" x="1782"/>
        <item m="1" x="1783"/>
        <item m="1" x="2560"/>
        <item x="428"/>
        <item m="1" x="2809"/>
        <item m="1" x="2810"/>
        <item m="1" x="2811"/>
        <item x="429"/>
        <item x="430"/>
        <item x="431"/>
        <item x="432"/>
        <item m="1" x="2812"/>
        <item x="433"/>
        <item x="434"/>
        <item x="435"/>
        <item x="436"/>
        <item x="103"/>
        <item x="458"/>
        <item m="1" x="2604"/>
        <item x="528"/>
        <item m="1" x="2605"/>
        <item m="1" x="2561"/>
        <item x="519"/>
        <item x="503"/>
        <item x="449"/>
        <item x="501"/>
        <item m="1" x="2606"/>
        <item m="1" x="2607"/>
        <item m="1" x="2608"/>
        <item x="467"/>
        <item x="546"/>
        <item x="540"/>
        <item m="1" x="2562"/>
        <item x="525"/>
        <item m="1" x="2630"/>
        <item x="518"/>
        <item m="1" x="2609"/>
        <item x="439"/>
        <item x="495"/>
        <item x="459"/>
        <item m="1" x="2610"/>
        <item x="513"/>
        <item m="1" x="2611"/>
        <item x="541"/>
        <item x="448"/>
        <item m="1" x="2813"/>
        <item m="1" x="2612"/>
        <item m="1" x="2026"/>
        <item x="487"/>
        <item x="466"/>
        <item x="515"/>
        <item x="452"/>
        <item x="509"/>
        <item m="1" x="2613"/>
        <item m="1" x="2614"/>
        <item x="464"/>
        <item x="526"/>
        <item x="544"/>
        <item x="542"/>
        <item m="1" x="2615"/>
        <item m="1" x="1625"/>
        <item x="481"/>
        <item m="1" x="1626"/>
        <item x="451"/>
        <item x="530"/>
        <item m="1" x="2629"/>
        <item x="463"/>
        <item x="222"/>
        <item m="1" x="2814"/>
        <item x="465"/>
        <item x="545"/>
        <item m="1" x="1784"/>
        <item m="1" x="2041"/>
        <item m="1" x="1627"/>
        <item m="1" x="2616"/>
        <item m="1" x="2617"/>
        <item x="548"/>
        <item x="547"/>
        <item x="529"/>
        <item x="506"/>
        <item x="535"/>
        <item x="543"/>
        <item x="446"/>
        <item m="1" x="2618"/>
        <item m="1" x="2815"/>
        <item x="456"/>
        <item m="1" x="2619"/>
        <item x="520"/>
        <item x="441"/>
        <item x="442"/>
        <item x="474"/>
        <item x="475"/>
        <item x="522"/>
        <item x="460"/>
        <item x="486"/>
        <item m="1" x="2620"/>
        <item m="1" x="2816"/>
        <item x="477"/>
        <item x="494"/>
        <item x="478"/>
        <item m="1" x="2621"/>
        <item m="1" x="2817"/>
        <item x="490"/>
        <item m="1" x="2818"/>
        <item m="1" x="2622"/>
        <item m="1" x="2819"/>
        <item m="1" x="2623"/>
        <item m="1" x="2624"/>
        <item m="1" x="2625"/>
        <item x="512"/>
        <item x="492"/>
        <item x="498"/>
        <item x="499"/>
        <item m="1" x="2626"/>
        <item x="454"/>
        <item m="1" x="2627"/>
        <item m="1" x="1628"/>
        <item m="1" x="1629"/>
        <item x="500"/>
        <item x="170"/>
        <item x="491"/>
        <item x="472"/>
        <item x="450"/>
        <item x="471"/>
        <item x="447"/>
        <item x="504"/>
        <item x="483"/>
        <item x="534"/>
        <item m="1" x="2628"/>
        <item x="468"/>
        <item x="445"/>
        <item x="476"/>
        <item x="536"/>
        <item x="473"/>
        <item x="527"/>
        <item x="496"/>
        <item x="538"/>
        <item m="1" x="2820"/>
        <item x="480"/>
        <item x="470"/>
        <item x="440"/>
        <item x="523"/>
        <item m="1" x="2821"/>
        <item m="1" x="2563"/>
        <item m="1" x="2564"/>
        <item x="484"/>
        <item x="462"/>
        <item x="517"/>
        <item m="1" x="2565"/>
        <item m="1" x="2631"/>
        <item x="482"/>
        <item m="1" x="1630"/>
        <item x="488"/>
        <item x="511"/>
        <item x="497"/>
        <item m="1" x="2566"/>
        <item m="1" x="1991"/>
        <item x="489"/>
        <item x="510"/>
        <item x="514"/>
        <item x="493"/>
        <item m="1" x="2632"/>
        <item x="479"/>
        <item x="455"/>
        <item x="508"/>
        <item x="443"/>
        <item x="485"/>
        <item x="533"/>
        <item m="1" x="2633"/>
        <item x="532"/>
        <item x="505"/>
        <item x="502"/>
        <item x="507"/>
        <item m="1" x="2634"/>
        <item x="444"/>
        <item x="524"/>
        <item m="1" x="2734"/>
        <item m="1" x="2822"/>
        <item m="1" x="2823"/>
        <item m="1" x="2824"/>
        <item m="1" x="2825"/>
        <item m="1" x="1785"/>
        <item m="1" x="2034"/>
        <item m="1" x="2826"/>
        <item m="1" x="2827"/>
        <item m="1" x="1786"/>
        <item m="1" x="2735"/>
        <item m="1" x="2736"/>
        <item m="1" x="2828"/>
        <item m="1" x="2737"/>
        <item m="1" x="2738"/>
        <item m="1" x="2739"/>
        <item m="1" x="1787"/>
        <item m="1" x="2740"/>
        <item m="1" x="2741"/>
        <item m="1" x="2742"/>
        <item m="1" x="2743"/>
        <item m="1" x="2829"/>
        <item m="1" x="1857"/>
        <item m="1" x="2830"/>
        <item m="1" x="2831"/>
        <item m="1" x="2744"/>
        <item m="1" x="2745"/>
        <item m="1" x="2746"/>
        <item m="1" x="2747"/>
        <item m="1" x="2748"/>
        <item x="539"/>
        <item m="1" x="2749"/>
        <item m="1" x="2750"/>
        <item m="1" x="2751"/>
        <item m="1" x="2752"/>
        <item m="1" x="2753"/>
        <item m="1" x="2754"/>
        <item m="1" x="1788"/>
        <item m="1" x="2017"/>
        <item x="531"/>
        <item m="1" x="2832"/>
        <item m="1" x="1789"/>
        <item m="1" x="2755"/>
        <item m="1" x="1904"/>
        <item m="1" x="2833"/>
        <item m="1" x="2834"/>
        <item m="1" x="2835"/>
        <item m="1" x="2836"/>
        <item m="1" x="2837"/>
        <item m="1" x="2838"/>
        <item m="1" x="2839"/>
        <item m="1" x="1790"/>
        <item x="521"/>
        <item m="1" x="2840"/>
        <item m="1" x="2841"/>
        <item x="461"/>
        <item m="1" x="2842"/>
        <item x="537"/>
        <item m="1" x="1791"/>
        <item x="516"/>
        <item x="437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x="438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x="453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x="469"/>
        <item m="1" x="1849"/>
        <item m="1" x="1850"/>
        <item m="1" x="1851"/>
        <item m="1" x="1852"/>
        <item m="1" x="1853"/>
        <item m="1" x="1854"/>
        <item m="1" x="1855"/>
        <item m="1" x="1856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8"/>
        <item m="1" x="2019"/>
        <item m="1" x="2020"/>
        <item m="1" x="2021"/>
        <item m="1" x="2022"/>
        <item m="1" x="2023"/>
        <item m="1" x="2024"/>
        <item m="1" x="2025"/>
        <item m="1" x="2027"/>
        <item m="1" x="2028"/>
        <item m="1" x="2029"/>
        <item m="1" x="2030"/>
        <item m="1" x="2031"/>
        <item m="1" x="2032"/>
        <item m="1" x="2033"/>
        <item m="1" x="2035"/>
        <item m="1" x="2036"/>
        <item m="1" x="2037"/>
        <item m="1" x="2038"/>
        <item m="1" x="2039"/>
        <item m="1" x="2040"/>
        <item m="1" x="2042"/>
        <item m="1" x="2043"/>
        <item m="1" x="2044"/>
        <item m="1" x="2045"/>
        <item m="1" x="1631"/>
        <item m="1" x="1638"/>
        <item x="592"/>
        <item m="1" x="2635"/>
        <item x="556"/>
        <item x="570"/>
        <item x="554"/>
        <item x="551"/>
        <item m="1" x="1632"/>
        <item m="1" x="2636"/>
        <item x="578"/>
        <item m="1" x="2637"/>
        <item x="585"/>
        <item m="1" x="1633"/>
        <item m="1" x="1634"/>
        <item m="1" x="1635"/>
        <item x="604"/>
        <item m="1" x="2638"/>
        <item m="1" x="2639"/>
        <item x="582"/>
        <item x="595"/>
        <item m="1" x="2640"/>
        <item x="584"/>
        <item x="550"/>
        <item x="580"/>
        <item m="1" x="2641"/>
        <item x="583"/>
        <item x="596"/>
        <item m="1" x="2642"/>
        <item x="559"/>
        <item x="610"/>
        <item x="607"/>
        <item m="1" x="2643"/>
        <item x="589"/>
        <item m="1" x="2644"/>
        <item x="587"/>
        <item m="1" x="2645"/>
        <item x="552"/>
        <item m="1" x="2164"/>
        <item m="1" x="2646"/>
        <item m="1" x="1636"/>
        <item x="562"/>
        <item m="1" x="1637"/>
        <item x="565"/>
        <item x="590"/>
        <item m="1" x="2647"/>
        <item m="1" x="2648"/>
        <item m="1" x="2649"/>
        <item m="1" x="2650"/>
        <item x="566"/>
        <item m="1" x="2651"/>
        <item m="1" x="2652"/>
        <item m="1" x="2653"/>
        <item m="1" x="1639"/>
        <item m="1" x="2654"/>
        <item x="602"/>
        <item x="568"/>
        <item x="601"/>
        <item x="597"/>
        <item m="1" x="2655"/>
        <item m="1" x="2656"/>
        <item x="600"/>
        <item m="1" x="1640"/>
        <item m="1" x="1641"/>
        <item x="561"/>
        <item x="560"/>
        <item m="1" x="2657"/>
        <item x="569"/>
        <item x="553"/>
        <item x="577"/>
        <item x="573"/>
        <item x="603"/>
        <item m="1" x="2658"/>
        <item m="1" x="2659"/>
        <item x="555"/>
        <item x="586"/>
        <item x="609"/>
        <item m="1" x="2660"/>
        <item m="1" x="2567"/>
        <item x="576"/>
        <item x="572"/>
        <item m="1" x="2661"/>
        <item x="606"/>
        <item x="564"/>
        <item m="1" x="2156"/>
        <item x="574"/>
        <item x="608"/>
        <item x="563"/>
        <item x="594"/>
        <item x="599"/>
        <item x="605"/>
        <item x="611"/>
        <item x="591"/>
        <item m="1" x="2662"/>
        <item m="1" x="2756"/>
        <item m="1" x="2757"/>
        <item m="1" x="2046"/>
        <item m="1" x="2047"/>
        <item x="557"/>
        <item m="1" x="2048"/>
        <item m="1" x="2758"/>
        <item m="1" x="2759"/>
        <item m="1" x="2760"/>
        <item m="1" x="2761"/>
        <item m="1" x="2762"/>
        <item m="1" x="2763"/>
        <item m="1" x="2189"/>
        <item m="1" x="2764"/>
        <item m="1" x="2765"/>
        <item m="1" x="2766"/>
        <item m="1" x="2150"/>
        <item m="1" x="2767"/>
        <item m="1" x="2768"/>
        <item m="1" x="2769"/>
        <item m="1" x="2770"/>
        <item m="1" x="2771"/>
        <item m="1" x="2049"/>
        <item m="1" x="2050"/>
        <item m="1" x="2051"/>
        <item x="571"/>
        <item m="1" x="2772"/>
        <item x="567"/>
        <item x="588"/>
        <item m="1" x="1642"/>
        <item x="579"/>
        <item x="581"/>
        <item x="575"/>
        <item x="558"/>
        <item x="549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1"/>
        <item m="1" x="2152"/>
        <item m="1" x="2153"/>
        <item m="1" x="2154"/>
        <item m="1" x="2155"/>
        <item m="1" x="2157"/>
        <item m="1" x="2158"/>
        <item m="1" x="2159"/>
        <item m="1" x="2160"/>
        <item m="1" x="2161"/>
        <item m="1" x="2162"/>
        <item m="1" x="2163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x="593"/>
        <item m="1" x="2232"/>
        <item m="1" x="2233"/>
        <item m="1" x="2234"/>
        <item m="1" x="2235"/>
        <item m="1" x="2236"/>
        <item m="1" x="2237"/>
        <item m="1" x="2238"/>
        <item m="1" x="2239"/>
        <item x="598"/>
        <item m="1" x="2240"/>
        <item m="1" x="2241"/>
        <item m="1" x="2242"/>
        <item x="717"/>
        <item x="670"/>
        <item m="1" x="2663"/>
        <item m="1" x="1643"/>
        <item x="671"/>
        <item x="658"/>
        <item x="659"/>
        <item x="663"/>
        <item x="652"/>
        <item x="696"/>
        <item x="703"/>
        <item x="665"/>
        <item x="705"/>
        <item m="1" x="1644"/>
        <item x="641"/>
        <item m="1" x="2664"/>
        <item m="1" x="1645"/>
        <item m="1" x="2665"/>
        <item m="1" x="1646"/>
        <item x="687"/>
        <item x="638"/>
        <item x="612"/>
        <item m="1" x="2666"/>
        <item m="1" x="1647"/>
        <item x="669"/>
        <item x="728"/>
        <item m="1" x="1648"/>
        <item x="732"/>
        <item x="649"/>
        <item m="1" x="1649"/>
        <item x="685"/>
        <item m="1" x="2667"/>
        <item m="1" x="1650"/>
        <item x="689"/>
        <item x="639"/>
        <item m="1" x="2668"/>
        <item x="623"/>
        <item m="1" x="2669"/>
        <item m="1" x="2670"/>
        <item m="1" x="1651"/>
        <item m="1" x="1652"/>
        <item x="713"/>
        <item x="615"/>
        <item m="1" x="1653"/>
        <item x="681"/>
        <item x="674"/>
        <item x="697"/>
        <item x="626"/>
        <item m="1" x="2671"/>
        <item m="1" x="1654"/>
        <item x="660"/>
        <item m="1" x="2568"/>
        <item m="1" x="1655"/>
        <item m="1" x="1656"/>
        <item x="668"/>
        <item x="667"/>
        <item x="679"/>
        <item x="677"/>
        <item x="733"/>
        <item m="1" x="1657"/>
        <item x="645"/>
        <item x="666"/>
        <item x="636"/>
        <item x="651"/>
        <item m="1" x="2569"/>
        <item m="1" x="2672"/>
        <item x="684"/>
        <item m="1" x="2673"/>
        <item x="628"/>
        <item m="1" x="2674"/>
        <item m="1" x="2675"/>
        <item m="1" x="1658"/>
        <item x="716"/>
        <item x="725"/>
        <item x="720"/>
        <item x="714"/>
        <item m="1" x="1659"/>
        <item x="693"/>
        <item x="614"/>
        <item x="692"/>
        <item x="722"/>
        <item x="680"/>
        <item x="625"/>
        <item x="613"/>
        <item m="1" x="1660"/>
        <item x="686"/>
        <item x="702"/>
        <item x="637"/>
        <item m="1" x="2676"/>
        <item x="730"/>
        <item x="694"/>
        <item x="724"/>
        <item m="1" x="1661"/>
        <item x="653"/>
        <item m="1" x="2677"/>
        <item x="707"/>
        <item x="644"/>
        <item x="634"/>
        <item x="627"/>
        <item x="631"/>
        <item x="617"/>
        <item x="619"/>
        <item x="688"/>
        <item m="1" x="1662"/>
        <item x="457"/>
        <item m="1" x="2678"/>
        <item x="715"/>
        <item x="709"/>
        <item m="1" x="2570"/>
        <item x="621"/>
        <item m="1" x="1663"/>
        <item x="731"/>
        <item x="664"/>
        <item x="734"/>
        <item x="710"/>
        <item x="635"/>
        <item x="657"/>
        <item x="640"/>
        <item m="1" x="2679"/>
        <item x="691"/>
        <item m="1" x="2680"/>
        <item m="1" x="2681"/>
        <item m="1" x="1664"/>
        <item m="1" x="1665"/>
        <item x="729"/>
        <item x="727"/>
        <item x="718"/>
        <item m="1" x="1666"/>
        <item x="646"/>
        <item m="1" x="2682"/>
        <item x="647"/>
        <item x="701"/>
        <item x="698"/>
        <item x="704"/>
        <item m="1" x="2683"/>
        <item x="711"/>
        <item x="662"/>
        <item x="721"/>
        <item x="682"/>
        <item m="1" x="2571"/>
        <item x="700"/>
        <item x="632"/>
        <item m="1" x="1667"/>
        <item x="620"/>
        <item m="1" x="1668"/>
        <item x="629"/>
        <item m="1" x="1669"/>
        <item x="251"/>
        <item x="723"/>
        <item x="633"/>
        <item m="1" x="2684"/>
        <item x="622"/>
        <item m="1" x="2685"/>
        <item x="618"/>
        <item x="699"/>
        <item x="616"/>
        <item x="673"/>
        <item x="726"/>
        <item x="650"/>
        <item x="675"/>
        <item x="648"/>
        <item x="706"/>
        <item x="719"/>
        <item x="695"/>
        <item x="683"/>
        <item m="1" x="2243"/>
        <item x="735"/>
        <item x="655"/>
        <item m="1" x="2244"/>
        <item m="1" x="2245"/>
        <item m="1" x="2246"/>
        <item m="1" x="2247"/>
        <item m="1" x="2572"/>
        <item x="690"/>
        <item x="654"/>
        <item m="1" x="2248"/>
        <item x="708"/>
        <item x="656"/>
        <item x="672"/>
        <item x="624"/>
        <item x="678"/>
        <item m="1" x="2249"/>
        <item x="630"/>
        <item x="643"/>
        <item x="661"/>
        <item m="1" x="1670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x="712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x="741"/>
        <item x="740"/>
        <item x="739"/>
        <item x="747"/>
        <item x="751"/>
        <item m="1" x="2474"/>
        <item x="676"/>
        <item x="748"/>
        <item x="736"/>
        <item x="737"/>
        <item x="738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1671"/>
        <item m="1" x="1672"/>
        <item x="642"/>
        <item x="742"/>
        <item x="743"/>
        <item x="744"/>
        <item x="745"/>
        <item x="746"/>
        <item x="749"/>
        <item x="750"/>
        <item x="752"/>
        <item x="753"/>
        <item x="754"/>
        <item x="755"/>
        <item m="1" x="1673"/>
        <item m="1" x="167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m="1" x="1675"/>
        <item m="1" x="1676"/>
        <item x="767"/>
        <item m="1" x="1677"/>
        <item x="768"/>
        <item x="769"/>
        <item x="770"/>
        <item m="1" x="1678"/>
        <item x="771"/>
        <item x="772"/>
        <item x="773"/>
        <item x="774"/>
        <item m="1" x="1679"/>
        <item m="1" x="1680"/>
        <item x="775"/>
        <item x="776"/>
        <item x="777"/>
        <item x="778"/>
        <item x="779"/>
        <item x="780"/>
        <item m="1" x="1681"/>
        <item x="781"/>
        <item x="782"/>
        <item x="783"/>
        <item x="784"/>
        <item x="785"/>
        <item x="787"/>
        <item m="1" x="1682"/>
        <item m="1" x="1683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m="1" x="1684"/>
        <item m="1" x="1685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m="1" x="1686"/>
        <item x="829"/>
        <item x="830"/>
        <item x="831"/>
        <item x="832"/>
        <item m="1" x="1687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m="1" x="1688"/>
        <item m="1" x="1689"/>
        <item x="857"/>
        <item x="858"/>
        <item x="859"/>
        <item x="860"/>
        <item m="1" x="1690"/>
        <item x="861"/>
        <item x="862"/>
        <item x="863"/>
        <item m="1" x="1691"/>
        <item x="864"/>
        <item x="865"/>
        <item x="866"/>
        <item x="867"/>
        <item x="868"/>
        <item m="1" x="1692"/>
        <item x="869"/>
        <item x="870"/>
        <item x="871"/>
        <item m="1" x="1693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m="1" x="1694"/>
        <item x="884"/>
        <item x="885"/>
        <item x="886"/>
        <item x="887"/>
        <item x="888"/>
        <item m="1" x="1695"/>
        <item x="889"/>
        <item x="890"/>
        <item x="891"/>
        <item x="892"/>
        <item x="893"/>
        <item x="894"/>
        <item x="895"/>
        <item x="896"/>
        <item m="1" x="1696"/>
        <item x="897"/>
        <item x="898"/>
        <item m="1" x="1697"/>
        <item x="899"/>
        <item x="900"/>
        <item x="901"/>
        <item x="902"/>
        <item x="903"/>
        <item x="904"/>
        <item m="1" x="1698"/>
        <item x="905"/>
        <item x="906"/>
        <item x="907"/>
        <item x="908"/>
        <item x="909"/>
        <item x="910"/>
        <item x="911"/>
        <item x="912"/>
        <item x="913"/>
        <item x="914"/>
        <item m="1" x="1699"/>
        <item x="915"/>
        <item x="916"/>
        <item x="917"/>
        <item x="918"/>
        <item x="919"/>
        <item m="1" x="1700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m="1" x="1701"/>
        <item x="939"/>
        <item x="940"/>
        <item x="941"/>
        <item m="1" x="1702"/>
        <item m="1" x="1703"/>
        <item m="1" x="1704"/>
        <item m="1" x="1705"/>
        <item m="1" x="1706"/>
        <item x="980"/>
        <item x="978"/>
        <item x="981"/>
        <item x="1065"/>
        <item x="1054"/>
        <item x="1019"/>
        <item x="987"/>
        <item x="950"/>
        <item x="957"/>
        <item x="1006"/>
        <item x="1003"/>
        <item x="992"/>
        <item x="1058"/>
        <item x="944"/>
        <item x="1078"/>
        <item x="945"/>
        <item x="1062"/>
        <item x="1061"/>
        <item x="1064"/>
        <item x="1039"/>
        <item x="1076"/>
        <item x="1060"/>
        <item x="1052"/>
        <item x="977"/>
        <item x="1038"/>
        <item x="952"/>
        <item x="1084"/>
        <item x="1075"/>
        <item x="1070"/>
        <item x="954"/>
        <item x="1067"/>
        <item x="1031"/>
        <item x="1008"/>
        <item x="1030"/>
        <item x="1034"/>
        <item x="1047"/>
        <item x="1046"/>
        <item x="1074"/>
        <item x="1010"/>
        <item x="994"/>
        <item x="990"/>
        <item x="959"/>
        <item x="962"/>
        <item x="1012"/>
        <item x="1085"/>
        <item x="1055"/>
        <item x="1057"/>
        <item x="1086"/>
        <item x="1087"/>
        <item x="986"/>
        <item x="976"/>
        <item x="1051"/>
        <item x="1077"/>
        <item x="961"/>
        <item x="1069"/>
        <item x="964"/>
        <item x="998"/>
        <item x="965"/>
        <item x="963"/>
        <item x="1024"/>
        <item x="973"/>
        <item x="1007"/>
        <item x="958"/>
        <item x="948"/>
        <item x="1080"/>
        <item x="1029"/>
        <item x="1028"/>
        <item x="955"/>
        <item x="956"/>
        <item x="993"/>
        <item x="991"/>
        <item x="960"/>
        <item x="943"/>
        <item x="1068"/>
        <item x="996"/>
        <item x="1042"/>
        <item x="969"/>
        <item x="1081"/>
        <item x="1023"/>
        <item x="1089"/>
        <item x="1071"/>
        <item x="1005"/>
        <item x="1032"/>
        <item x="951"/>
        <item x="942"/>
        <item x="947"/>
        <item x="1026"/>
        <item x="989"/>
        <item x="1020"/>
        <item x="1088"/>
        <item x="1059"/>
        <item x="1048"/>
        <item x="979"/>
        <item x="1017"/>
        <item x="953"/>
        <item x="946"/>
        <item x="1043"/>
        <item x="1072"/>
        <item x="1082"/>
        <item x="997"/>
        <item x="1083"/>
        <item x="967"/>
        <item x="982"/>
        <item x="1041"/>
        <item x="988"/>
        <item x="1021"/>
        <item x="970"/>
        <item x="1025"/>
        <item x="985"/>
        <item x="1066"/>
        <item x="1011"/>
        <item x="1009"/>
        <item x="1016"/>
        <item x="1100"/>
        <item x="975"/>
        <item x="995"/>
        <item x="1015"/>
        <item x="1063"/>
        <item x="984"/>
        <item x="1050"/>
        <item x="949"/>
        <item x="1018"/>
        <item x="974"/>
        <item x="1000"/>
        <item x="1056"/>
        <item x="1073"/>
        <item x="1079"/>
        <item x="1099"/>
        <item x="972"/>
        <item x="971"/>
        <item x="999"/>
        <item x="1035"/>
        <item x="1053"/>
        <item x="1033"/>
        <item x="1013"/>
        <item x="1044"/>
        <item x="1001"/>
        <item x="1014"/>
        <item x="1037"/>
        <item x="1027"/>
        <item x="1036"/>
        <item x="966"/>
        <item x="1049"/>
        <item x="983"/>
        <item x="804"/>
        <item x="786"/>
        <item x="1002"/>
        <item x="968"/>
        <item x="1004"/>
        <item x="1022"/>
        <item x="1045"/>
        <item x="1040"/>
        <item x="1092"/>
        <item x="1095"/>
        <item x="1090"/>
        <item x="1097"/>
        <item x="1102"/>
        <item x="1093"/>
        <item x="1104"/>
        <item x="1096"/>
        <item x="1091"/>
        <item x="1098"/>
        <item x="1103"/>
        <item x="1101"/>
        <item x="1094"/>
        <item x="1114"/>
        <item x="1125"/>
        <item x="1143"/>
        <item x="1117"/>
        <item x="1112"/>
        <item x="1171"/>
        <item x="1177"/>
        <item x="1116"/>
        <item x="1138"/>
        <item x="1135"/>
        <item x="1147"/>
        <item x="1184"/>
        <item x="1165"/>
        <item x="1151"/>
        <item x="1106"/>
        <item x="1164"/>
        <item x="1118"/>
        <item x="1156"/>
        <item x="1124"/>
        <item x="1181"/>
        <item x="1176"/>
        <item x="1182"/>
        <item x="1137"/>
        <item x="1178"/>
        <item x="1155"/>
        <item x="1113"/>
        <item x="1170"/>
        <item x="1161"/>
        <item x="1148"/>
        <item x="1149"/>
        <item x="1123"/>
        <item x="1115"/>
        <item x="1127"/>
        <item x="1172"/>
        <item x="1136"/>
        <item x="1159"/>
        <item x="1144"/>
        <item x="1146"/>
        <item x="1105"/>
        <item x="1169"/>
        <item x="1168"/>
        <item x="1191"/>
        <item x="1158"/>
        <item x="1190"/>
        <item x="1139"/>
        <item x="1122"/>
        <item x="1150"/>
        <item x="1192"/>
        <item x="1175"/>
        <item x="1152"/>
        <item x="1111"/>
        <item x="1140"/>
        <item x="1162"/>
        <item x="1167"/>
        <item x="1153"/>
        <item x="1174"/>
        <item x="1131"/>
        <item x="1157"/>
        <item x="1160"/>
        <item x="1121"/>
        <item x="1183"/>
        <item x="1142"/>
        <item x="1145"/>
        <item x="1132"/>
        <item x="1141"/>
        <item x="1166"/>
        <item x="1179"/>
        <item x="1186"/>
        <item x="1188"/>
        <item x="1185"/>
        <item x="1110"/>
        <item x="1129"/>
        <item x="1109"/>
        <item x="1128"/>
        <item x="1134"/>
        <item x="1133"/>
        <item x="1180"/>
        <item x="1187"/>
        <item x="1189"/>
        <item x="1120"/>
        <item x="1119"/>
        <item x="1154"/>
        <item x="1163"/>
        <item x="1108"/>
        <item x="1107"/>
        <item x="1126"/>
        <item x="1130"/>
        <item x="1173"/>
        <item x="1206"/>
        <item x="1203"/>
        <item x="1201"/>
        <item x="1221"/>
        <item x="1196"/>
        <item x="1193"/>
        <item x="1241"/>
        <item x="1240"/>
        <item x="1202"/>
        <item x="1237"/>
        <item x="1220"/>
        <item x="1236"/>
        <item x="1227"/>
        <item x="1238"/>
        <item x="1243"/>
        <item x="1223"/>
        <item x="1228"/>
        <item x="1214"/>
        <item x="1215"/>
        <item x="1222"/>
        <item x="1246"/>
        <item x="1244"/>
        <item x="1205"/>
        <item x="1242"/>
        <item x="1245"/>
        <item x="1200"/>
        <item x="1226"/>
        <item x="1213"/>
        <item x="1239"/>
        <item x="1208"/>
        <item x="59"/>
        <item x="1235"/>
        <item x="1230"/>
        <item x="1207"/>
        <item x="1204"/>
        <item x="1224"/>
        <item x="1231"/>
        <item x="1194"/>
        <item x="1195"/>
        <item x="1199"/>
        <item x="1212"/>
        <item x="1210"/>
        <item x="1211"/>
        <item x="1233"/>
        <item x="1218"/>
        <item x="1225"/>
        <item x="1217"/>
        <item x="1216"/>
        <item x="1209"/>
        <item x="1229"/>
        <item x="1232"/>
        <item x="1197"/>
        <item x="1198"/>
        <item x="1308"/>
        <item x="1333"/>
        <item x="1291"/>
        <item x="1373"/>
        <item x="1343"/>
        <item x="1268"/>
        <item x="1340"/>
        <item x="1249"/>
        <item x="1280"/>
        <item x="1334"/>
        <item x="1359"/>
        <item x="1388"/>
        <item x="1341"/>
        <item x="1285"/>
        <item x="1286"/>
        <item x="1366"/>
        <item x="1278"/>
        <item x="1383"/>
        <item x="1267"/>
        <item x="1271"/>
        <item x="1265"/>
        <item x="1344"/>
        <item x="1369"/>
        <item x="1319"/>
        <item x="1292"/>
        <item x="1283"/>
        <item x="1370"/>
        <item x="1276"/>
        <item x="1323"/>
        <item x="1289"/>
        <item x="1288"/>
        <item x="1281"/>
        <item x="1380"/>
        <item x="1358"/>
        <item x="1304"/>
        <item x="1269"/>
        <item x="1254"/>
        <item x="1329"/>
        <item x="1347"/>
        <item x="1307"/>
        <item x="1275"/>
        <item x="1284"/>
        <item x="1320"/>
        <item x="1357"/>
        <item x="1287"/>
        <item x="1364"/>
        <item x="1332"/>
        <item x="1297"/>
        <item x="1345"/>
        <item x="1371"/>
        <item x="1360"/>
        <item x="1361"/>
        <item x="1305"/>
        <item x="1349"/>
        <item x="1389"/>
        <item x="1372"/>
        <item x="1255"/>
        <item x="1346"/>
        <item x="1303"/>
        <item x="1365"/>
        <item x="1247"/>
        <item x="1379"/>
        <item x="1311"/>
        <item x="1382"/>
        <item x="1262"/>
        <item x="1322"/>
        <item x="1306"/>
        <item x="1248"/>
        <item x="1310"/>
        <item x="1309"/>
        <item x="1258"/>
        <item x="1385"/>
        <item x="1259"/>
        <item x="1273"/>
        <item x="1301"/>
        <item x="1384"/>
        <item x="1378"/>
        <item x="1256"/>
        <item x="1353"/>
        <item x="1257"/>
        <item x="1251"/>
        <item x="1377"/>
        <item x="1362"/>
        <item x="1318"/>
        <item x="1392"/>
        <item x="1282"/>
        <item x="1393"/>
        <item x="1374"/>
        <item x="1386"/>
        <item x="1298"/>
        <item x="1290"/>
        <item x="1279"/>
        <item x="1330"/>
        <item x="1327"/>
        <item x="1352"/>
        <item x="1312"/>
        <item x="1325"/>
        <item x="1351"/>
        <item x="1331"/>
        <item x="1342"/>
        <item x="1326"/>
        <item x="1263"/>
        <item x="1260"/>
        <item x="1250"/>
        <item x="1355"/>
        <item x="1321"/>
        <item x="1339"/>
        <item x="1381"/>
        <item x="1252"/>
        <item x="1324"/>
        <item x="1266"/>
        <item x="1367"/>
        <item x="1272"/>
        <item x="1375"/>
        <item x="1294"/>
        <item x="1376"/>
        <item x="1293"/>
        <item x="1300"/>
        <item x="1317"/>
        <item x="1390"/>
        <item x="1315"/>
        <item x="1368"/>
        <item x="1391"/>
        <item x="1338"/>
        <item x="1337"/>
        <item x="1316"/>
        <item x="1261"/>
        <item x="1270"/>
        <item x="1299"/>
        <item x="1313"/>
        <item x="1336"/>
        <item x="1335"/>
        <item x="1350"/>
        <item x="1387"/>
        <item x="1295"/>
        <item x="1348"/>
        <item x="1394"/>
        <item x="1412"/>
        <item x="1395"/>
        <item x="1405"/>
        <item x="1413"/>
        <item x="1404"/>
        <item x="1400"/>
        <item x="1399"/>
        <item x="1407"/>
        <item x="1402"/>
        <item x="1401"/>
        <item x="1397"/>
        <item x="1396"/>
        <item x="1419"/>
        <item x="1403"/>
        <item x="1408"/>
        <item x="1409"/>
        <item x="1398"/>
        <item x="1418"/>
        <item x="1416"/>
        <item x="1415"/>
        <item x="1410"/>
        <item x="1417"/>
        <item x="1414"/>
        <item x="1219"/>
        <item x="1234"/>
        <item x="1253"/>
        <item x="1264"/>
        <item x="1277"/>
        <item x="1274"/>
        <item x="1296"/>
        <item x="1302"/>
        <item x="1314"/>
        <item x="1328"/>
        <item x="1354"/>
        <item x="1356"/>
        <item x="1363"/>
        <item x="1406"/>
        <item x="1411"/>
        <item x="1420"/>
        <item x="1425"/>
        <item x="1428"/>
        <item x="1429"/>
        <item x="1427"/>
        <item x="1426"/>
        <item x="1423"/>
        <item x="1430"/>
        <item x="1421"/>
        <item x="1422"/>
        <item x="1424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h="1" x="0"/>
        <item h="1" x="1"/>
        <item x="2"/>
        <item h="1" x="3"/>
        <item t="default"/>
      </items>
    </pivotField>
  </pivotFields>
  <rowFields count="2">
    <field x="19"/>
    <field x="17"/>
  </rowFields>
  <rowItems count="8"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Contagem de OBT" fld="4" subtotal="count" baseField="0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5"/>
          </reference>
          <reference field="19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6"/>
          </reference>
          <reference field="19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7"/>
          </reference>
          <reference field="19" count="1" selected="0">
            <x v="1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8"/>
          </reference>
          <reference field="19" count="1" selected="0">
            <x v="1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9"/>
          </reference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10"/>
          </reference>
          <reference field="19" count="1" selected="0">
            <x v="1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11"/>
          </reference>
          <reference field="19" count="1" selected="0">
            <x v="1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12"/>
          </reference>
          <reference field="19" count="1" selected="0">
            <x v="1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1"/>
          </reference>
          <reference field="19" count="1" selected="0">
            <x v="2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2"/>
          </reference>
          <reference field="19" count="1" selected="0">
            <x v="2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4" count="1" selected="0">
            <x v="2"/>
          </reference>
          <reference field="17" count="1" selected="0">
            <x v="3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7D357-A0F5-49A0-828B-A915FB906AFF}" name="Tabela dinâmica1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colHeaderCaption="OBT">
  <location ref="A2:F32" firstHeaderRow="1" firstDataRow="2" firstDataCol="1"/>
  <pivotFields count="20">
    <pivotField showAll="0"/>
    <pivotField showAll="0"/>
    <pivotField axis="axisRow" showAll="0" sortType="descending">
      <items count="6">
        <item m="1" x="4"/>
        <item sd="0" x="0"/>
        <item x="2"/>
        <item h="1" x="3"/>
        <item h="1" sd="0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6">
        <item x="0"/>
        <item x="3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>
      <items count="2844">
        <item x="0"/>
        <item x="1"/>
        <item x="2"/>
        <item x="3"/>
        <item x="4"/>
        <item x="5"/>
        <item x="6"/>
        <item m="1" x="2773"/>
        <item x="7"/>
        <item x="8"/>
        <item x="9"/>
        <item x="10"/>
        <item x="11"/>
        <item x="12"/>
        <item m="1" x="2486"/>
        <item m="1" x="2487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m="1" x="2774"/>
        <item x="53"/>
        <item x="54"/>
        <item x="55"/>
        <item x="56"/>
        <item x="57"/>
        <item x="58"/>
        <item m="1" x="2488"/>
        <item x="60"/>
        <item m="1" x="2775"/>
        <item x="61"/>
        <item x="62"/>
        <item x="63"/>
        <item x="64"/>
        <item x="65"/>
        <item x="66"/>
        <item m="1" x="2686"/>
        <item m="1" x="2687"/>
        <item m="1" x="2688"/>
        <item m="1" x="2689"/>
        <item x="67"/>
        <item m="1" x="2690"/>
        <item x="68"/>
        <item x="69"/>
        <item x="70"/>
        <item m="1" x="1707"/>
        <item x="71"/>
        <item m="1" x="2489"/>
        <item m="1" x="2490"/>
        <item m="1" x="2491"/>
        <item m="1" x="2492"/>
        <item x="72"/>
        <item x="73"/>
        <item x="74"/>
        <item x="75"/>
        <item x="76"/>
        <item x="77"/>
        <item x="78"/>
        <item x="79"/>
        <item x="80"/>
        <item x="81"/>
        <item m="1" x="2493"/>
        <item x="82"/>
        <item x="83"/>
        <item x="84"/>
        <item m="1" x="2494"/>
        <item x="85"/>
        <item x="86"/>
        <item m="1" x="2495"/>
        <item x="87"/>
        <item x="88"/>
        <item x="89"/>
        <item x="90"/>
        <item x="91"/>
        <item x="92"/>
        <item m="1" x="2496"/>
        <item m="1" x="2497"/>
        <item m="1" x="2498"/>
        <item m="1" x="2499"/>
        <item x="93"/>
        <item m="1" x="2500"/>
        <item m="1" x="2501"/>
        <item m="1" x="2502"/>
        <item m="1" x="2503"/>
        <item m="1" x="2504"/>
        <item m="1" x="2691"/>
        <item x="94"/>
        <item x="95"/>
        <item x="96"/>
        <item x="97"/>
        <item m="1" x="2692"/>
        <item x="98"/>
        <item x="99"/>
        <item x="100"/>
        <item x="101"/>
        <item x="102"/>
        <item x="104"/>
        <item x="105"/>
        <item x="106"/>
        <item x="107"/>
        <item x="108"/>
        <item m="1" x="2776"/>
        <item m="1" x="2777"/>
        <item m="1" x="2778"/>
        <item m="1" x="2505"/>
        <item x="109"/>
        <item x="110"/>
        <item x="111"/>
        <item m="1" x="2693"/>
        <item x="112"/>
        <item x="113"/>
        <item m="1" x="2694"/>
        <item m="1" x="2695"/>
        <item x="114"/>
        <item m="1" x="2506"/>
        <item m="1" x="2696"/>
        <item m="1" x="2697"/>
        <item m="1" x="1708"/>
        <item m="1" x="2507"/>
        <item x="115"/>
        <item m="1" x="2508"/>
        <item x="116"/>
        <item x="117"/>
        <item x="118"/>
        <item m="1" x="2509"/>
        <item x="119"/>
        <item x="120"/>
        <item x="121"/>
        <item x="122"/>
        <item x="123"/>
        <item x="124"/>
        <item m="1" x="1709"/>
        <item x="125"/>
        <item m="1" x="1710"/>
        <item x="126"/>
        <item x="127"/>
        <item x="128"/>
        <item m="1" x="1711"/>
        <item x="129"/>
        <item x="130"/>
        <item m="1" x="2698"/>
        <item m="1" x="1559"/>
        <item m="1" x="2510"/>
        <item x="131"/>
        <item m="1" x="2511"/>
        <item x="132"/>
        <item m="1" x="1712"/>
        <item m="1" x="2779"/>
        <item m="1" x="2780"/>
        <item x="133"/>
        <item x="134"/>
        <item x="135"/>
        <item x="136"/>
        <item m="1" x="2781"/>
        <item x="137"/>
        <item x="138"/>
        <item x="139"/>
        <item m="1" x="2512"/>
        <item m="1" x="2513"/>
        <item m="1" x="2699"/>
        <item x="140"/>
        <item x="141"/>
        <item x="142"/>
        <item m="1" x="2782"/>
        <item x="143"/>
        <item m="1" x="1560"/>
        <item m="1" x="2514"/>
        <item x="144"/>
        <item m="1" x="1713"/>
        <item m="1" x="1561"/>
        <item m="1" x="2515"/>
        <item m="1" x="2700"/>
        <item m="1" x="1714"/>
        <item x="145"/>
        <item x="146"/>
        <item x="147"/>
        <item m="1" x="1715"/>
        <item m="1" x="1562"/>
        <item x="148"/>
        <item x="149"/>
        <item x="150"/>
        <item m="1" x="2783"/>
        <item m="1" x="2784"/>
        <item m="1" x="2701"/>
        <item m="1" x="2785"/>
        <item x="151"/>
        <item m="1" x="1563"/>
        <item x="152"/>
        <item m="1" x="1564"/>
        <item m="1" x="2702"/>
        <item m="1" x="2703"/>
        <item m="1" x="2786"/>
        <item m="1" x="2516"/>
        <item m="1" x="2517"/>
        <item m="1" x="2787"/>
        <item x="153"/>
        <item m="1" x="1565"/>
        <item m="1" x="1566"/>
        <item m="1" x="1567"/>
        <item x="154"/>
        <item m="1" x="1716"/>
        <item m="1" x="1568"/>
        <item m="1" x="2704"/>
        <item m="1" x="2705"/>
        <item x="155"/>
        <item m="1" x="2706"/>
        <item m="1" x="2707"/>
        <item m="1" x="2708"/>
        <item m="1" x="2709"/>
        <item m="1" x="2710"/>
        <item m="1" x="1569"/>
        <item m="1" x="2788"/>
        <item x="156"/>
        <item x="157"/>
        <item m="1" x="1717"/>
        <item m="1" x="1718"/>
        <item m="1" x="2518"/>
        <item m="1" x="2789"/>
        <item m="1" x="2790"/>
        <item m="1" x="2791"/>
        <item x="158"/>
        <item m="1" x="1719"/>
        <item m="1" x="1720"/>
        <item m="1" x="1721"/>
        <item m="1" x="2711"/>
        <item m="1" x="2712"/>
        <item m="1" x="1722"/>
        <item m="1" x="1723"/>
        <item m="1" x="1570"/>
        <item m="1" x="1571"/>
        <item m="1" x="1724"/>
        <item x="159"/>
        <item m="1" x="2519"/>
        <item m="1" x="2792"/>
        <item m="1" x="2793"/>
        <item x="160"/>
        <item m="1" x="1725"/>
        <item m="1" x="1572"/>
        <item m="1" x="1573"/>
        <item m="1" x="1574"/>
        <item m="1" x="1726"/>
        <item m="1" x="1727"/>
        <item m="1" x="1728"/>
        <item x="161"/>
        <item m="1" x="1575"/>
        <item m="1" x="1729"/>
        <item m="1" x="1730"/>
        <item x="162"/>
        <item m="1" x="1731"/>
        <item m="1" x="1732"/>
        <item m="1" x="2713"/>
        <item m="1" x="1733"/>
        <item x="163"/>
        <item m="1" x="2714"/>
        <item m="1" x="1734"/>
        <item m="1" x="2520"/>
        <item m="1" x="2794"/>
        <item m="1" x="2795"/>
        <item m="1" x="2796"/>
        <item m="1" x="2715"/>
        <item m="1" x="2716"/>
        <item x="164"/>
        <item m="1" x="1735"/>
        <item m="1" x="2717"/>
        <item m="1" x="1736"/>
        <item x="165"/>
        <item m="1" x="1737"/>
        <item m="1" x="1738"/>
        <item m="1" x="2521"/>
        <item m="1" x="1739"/>
        <item m="1" x="2718"/>
        <item m="1" x="2719"/>
        <item m="1" x="2720"/>
        <item m="1" x="2522"/>
        <item x="166"/>
        <item m="1" x="2523"/>
        <item m="1" x="1740"/>
        <item m="1" x="1741"/>
        <item x="167"/>
        <item m="1" x="1742"/>
        <item m="1" x="1576"/>
        <item m="1" x="1743"/>
        <item m="1" x="1577"/>
        <item x="168"/>
        <item m="1" x="1744"/>
        <item m="1" x="1745"/>
        <item m="1" x="1746"/>
        <item m="1" x="2524"/>
        <item m="1" x="1747"/>
        <item m="1" x="1748"/>
        <item m="1" x="1749"/>
        <item m="1" x="1578"/>
        <item m="1" x="1750"/>
        <item m="1" x="1579"/>
        <item m="1" x="1751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752"/>
        <item m="1" x="1592"/>
        <item m="1" x="1753"/>
        <item m="1" x="1593"/>
        <item m="1" x="1754"/>
        <item m="1" x="1755"/>
        <item m="1" x="1594"/>
        <item m="1" x="2721"/>
        <item m="1" x="1595"/>
        <item m="1" x="1756"/>
        <item m="1" x="1596"/>
        <item m="1" x="1597"/>
        <item m="1" x="1757"/>
        <item m="1" x="1758"/>
        <item m="1" x="1759"/>
        <item m="1" x="2722"/>
        <item m="1" x="1598"/>
        <item m="1" x="1599"/>
        <item m="1" x="1760"/>
        <item m="1" x="1761"/>
        <item m="1" x="1762"/>
        <item m="1" x="1763"/>
        <item m="1" x="2573"/>
        <item m="1" x="1600"/>
        <item m="1" x="1601"/>
        <item m="1" x="1602"/>
        <item m="1" x="1603"/>
        <item m="1" x="2574"/>
        <item m="1" x="1604"/>
        <item m="1" x="1764"/>
        <item m="1" x="1605"/>
        <item m="1" x="1606"/>
        <item m="1" x="1607"/>
        <item m="1" x="1765"/>
        <item m="1" x="1608"/>
        <item m="1" x="1609"/>
        <item m="1" x="1610"/>
        <item m="1" x="1611"/>
        <item m="1" x="1612"/>
        <item m="1" x="1613"/>
        <item x="169"/>
        <item m="1" x="2723"/>
        <item m="1" x="2575"/>
        <item x="171"/>
        <item x="172"/>
        <item x="173"/>
        <item x="174"/>
        <item x="175"/>
        <item x="176"/>
        <item x="177"/>
        <item x="178"/>
        <item m="1" x="2525"/>
        <item m="1" x="1614"/>
        <item m="1" x="1615"/>
        <item x="179"/>
        <item m="1" x="2724"/>
        <item x="180"/>
        <item m="1" x="2576"/>
        <item m="1" x="1766"/>
        <item m="1" x="1767"/>
        <item m="1" x="2526"/>
        <item x="181"/>
        <item x="182"/>
        <item x="183"/>
        <item x="184"/>
        <item x="185"/>
        <item x="186"/>
        <item m="1" x="1768"/>
        <item x="187"/>
        <item x="188"/>
        <item m="1" x="2797"/>
        <item x="189"/>
        <item x="190"/>
        <item x="191"/>
        <item m="1" x="2577"/>
        <item x="192"/>
        <item x="193"/>
        <item x="194"/>
        <item x="195"/>
        <item m="1" x="2578"/>
        <item m="1" x="2725"/>
        <item x="196"/>
        <item x="197"/>
        <item x="198"/>
        <item x="199"/>
        <item m="1" x="1769"/>
        <item x="200"/>
        <item m="1" x="2579"/>
        <item x="201"/>
        <item x="202"/>
        <item x="203"/>
        <item m="1" x="2527"/>
        <item x="204"/>
        <item x="205"/>
        <item x="206"/>
        <item x="207"/>
        <item x="208"/>
        <item x="209"/>
        <item x="210"/>
        <item m="1" x="2580"/>
        <item x="211"/>
        <item x="212"/>
        <item x="213"/>
        <item m="1" x="2528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m="1" x="2529"/>
        <item x="227"/>
        <item x="228"/>
        <item x="229"/>
        <item m="1" x="1770"/>
        <item x="230"/>
        <item x="231"/>
        <item x="232"/>
        <item x="233"/>
        <item x="234"/>
        <item m="1" x="2726"/>
        <item m="1" x="2530"/>
        <item x="235"/>
        <item m="1" x="2531"/>
        <item x="236"/>
        <item x="237"/>
        <item x="238"/>
        <item x="239"/>
        <item x="240"/>
        <item x="241"/>
        <item x="242"/>
        <item m="1" x="2798"/>
        <item x="243"/>
        <item m="1" x="2581"/>
        <item m="1" x="2582"/>
        <item x="244"/>
        <item x="245"/>
        <item x="246"/>
        <item x="247"/>
        <item x="248"/>
        <item x="249"/>
        <item m="1" x="2532"/>
        <item x="250"/>
        <item x="252"/>
        <item x="253"/>
        <item x="254"/>
        <item x="255"/>
        <item m="1" x="1771"/>
        <item m="1" x="2583"/>
        <item m="1" x="2727"/>
        <item x="256"/>
        <item x="257"/>
        <item x="258"/>
        <item x="259"/>
        <item x="260"/>
        <item x="261"/>
        <item m="1" x="1772"/>
        <item m="1" x="2533"/>
        <item m="1" x="2584"/>
        <item x="262"/>
        <item m="1" x="2799"/>
        <item m="1" x="2534"/>
        <item x="263"/>
        <item x="264"/>
        <item x="265"/>
        <item x="266"/>
        <item m="1" x="2535"/>
        <item x="267"/>
        <item x="268"/>
        <item x="269"/>
        <item x="270"/>
        <item x="271"/>
        <item x="272"/>
        <item m="1" x="2536"/>
        <item m="1" x="2800"/>
        <item x="273"/>
        <item x="274"/>
        <item x="275"/>
        <item x="276"/>
        <item x="277"/>
        <item m="1" x="2585"/>
        <item x="278"/>
        <item x="279"/>
        <item m="1" x="2586"/>
        <item m="1" x="2537"/>
        <item x="280"/>
        <item m="1" x="2538"/>
        <item x="281"/>
        <item x="282"/>
        <item m="1" x="2539"/>
        <item m="1" x="2540"/>
        <item m="1" x="2541"/>
        <item x="283"/>
        <item m="1" x="2587"/>
        <item m="1" x="2588"/>
        <item x="284"/>
        <item x="285"/>
        <item x="286"/>
        <item x="287"/>
        <item x="288"/>
        <item m="1" x="2542"/>
        <item x="289"/>
        <item x="290"/>
        <item x="291"/>
        <item x="292"/>
        <item x="293"/>
        <item x="294"/>
        <item x="295"/>
        <item x="296"/>
        <item x="297"/>
        <item m="1" x="2801"/>
        <item x="298"/>
        <item x="299"/>
        <item x="300"/>
        <item x="301"/>
        <item m="1" x="2543"/>
        <item x="302"/>
        <item x="303"/>
        <item x="304"/>
        <item m="1" x="1773"/>
        <item x="305"/>
        <item x="306"/>
        <item x="307"/>
        <item m="1" x="2544"/>
        <item x="308"/>
        <item x="309"/>
        <item x="310"/>
        <item m="1" x="1616"/>
        <item m="1" x="1617"/>
        <item m="1" x="1618"/>
        <item x="311"/>
        <item x="312"/>
        <item m="1" x="1619"/>
        <item m="1" x="1620"/>
        <item x="313"/>
        <item x="314"/>
        <item m="1" x="2589"/>
        <item m="1" x="2590"/>
        <item m="1" x="2545"/>
        <item m="1" x="2546"/>
        <item m="1" x="2547"/>
        <item x="315"/>
        <item x="316"/>
        <item x="317"/>
        <item m="1" x="2548"/>
        <item x="318"/>
        <item x="319"/>
        <item x="320"/>
        <item x="321"/>
        <item m="1" x="2549"/>
        <item x="322"/>
        <item x="323"/>
        <item m="1" x="2591"/>
        <item m="1" x="2550"/>
        <item m="1" x="2592"/>
        <item x="324"/>
        <item x="325"/>
        <item x="326"/>
        <item x="327"/>
        <item x="328"/>
        <item x="329"/>
        <item m="1" x="2593"/>
        <item x="330"/>
        <item x="331"/>
        <item m="1" x="1621"/>
        <item m="1" x="2594"/>
        <item x="332"/>
        <item m="1" x="2551"/>
        <item m="1" x="1622"/>
        <item x="333"/>
        <item m="1" x="2552"/>
        <item m="1" x="2553"/>
        <item m="1" x="2595"/>
        <item m="1" x="2596"/>
        <item x="334"/>
        <item x="335"/>
        <item m="1" x="1623"/>
        <item x="336"/>
        <item x="337"/>
        <item x="338"/>
        <item x="339"/>
        <item x="340"/>
        <item x="341"/>
        <item x="342"/>
        <item x="343"/>
        <item x="344"/>
        <item m="1" x="1774"/>
        <item x="345"/>
        <item m="1" x="1775"/>
        <item m="1" x="2597"/>
        <item x="346"/>
        <item m="1" x="1776"/>
        <item x="347"/>
        <item x="348"/>
        <item x="349"/>
        <item x="350"/>
        <item m="1" x="2598"/>
        <item x="351"/>
        <item m="1" x="1624"/>
        <item x="352"/>
        <item x="353"/>
        <item m="1" x="2802"/>
        <item m="1" x="1777"/>
        <item m="1" x="2554"/>
        <item x="354"/>
        <item x="355"/>
        <item x="356"/>
        <item x="357"/>
        <item x="358"/>
        <item x="359"/>
        <item x="360"/>
        <item m="1" x="2555"/>
        <item x="361"/>
        <item m="1" x="1778"/>
        <item x="362"/>
        <item x="363"/>
        <item m="1" x="2599"/>
        <item m="1" x="2600"/>
        <item m="1" x="2601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779"/>
        <item x="384"/>
        <item x="385"/>
        <item x="386"/>
        <item x="387"/>
        <item x="388"/>
        <item m="1" x="2803"/>
        <item m="1" x="2804"/>
        <item x="389"/>
        <item x="390"/>
        <item x="391"/>
        <item x="392"/>
        <item x="393"/>
        <item m="1" x="2556"/>
        <item m="1" x="2805"/>
        <item m="1" x="2728"/>
        <item x="394"/>
        <item x="395"/>
        <item m="1" x="2602"/>
        <item x="396"/>
        <item x="397"/>
        <item x="398"/>
        <item x="399"/>
        <item x="400"/>
        <item m="1" x="2729"/>
        <item m="1" x="2730"/>
        <item x="401"/>
        <item m="1" x="1780"/>
        <item x="402"/>
        <item x="403"/>
        <item x="404"/>
        <item x="405"/>
        <item m="1" x="2557"/>
        <item x="406"/>
        <item x="407"/>
        <item x="408"/>
        <item x="409"/>
        <item x="410"/>
        <item m="1" x="1781"/>
        <item m="1" x="2558"/>
        <item m="1" x="2806"/>
        <item x="411"/>
        <item x="412"/>
        <item m="1" x="2807"/>
        <item x="413"/>
        <item x="414"/>
        <item m="1" x="2808"/>
        <item m="1" x="2731"/>
        <item m="1" x="2732"/>
        <item m="1" x="2559"/>
        <item x="415"/>
        <item m="1" x="2603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2733"/>
        <item m="1" x="1782"/>
        <item m="1" x="1783"/>
        <item m="1" x="2560"/>
        <item x="428"/>
        <item m="1" x="2809"/>
        <item m="1" x="2810"/>
        <item m="1" x="2811"/>
        <item x="429"/>
        <item x="430"/>
        <item x="431"/>
        <item x="432"/>
        <item m="1" x="2812"/>
        <item x="433"/>
        <item x="434"/>
        <item x="435"/>
        <item x="436"/>
        <item x="103"/>
        <item x="458"/>
        <item m="1" x="2604"/>
        <item x="528"/>
        <item m="1" x="2605"/>
        <item m="1" x="2561"/>
        <item x="519"/>
        <item x="503"/>
        <item x="449"/>
        <item x="501"/>
        <item m="1" x="2606"/>
        <item m="1" x="2607"/>
        <item m="1" x="2608"/>
        <item x="467"/>
        <item x="546"/>
        <item x="540"/>
        <item m="1" x="2562"/>
        <item x="525"/>
        <item m="1" x="2630"/>
        <item x="518"/>
        <item m="1" x="2609"/>
        <item x="439"/>
        <item x="495"/>
        <item x="459"/>
        <item m="1" x="2610"/>
        <item x="513"/>
        <item m="1" x="2611"/>
        <item x="541"/>
        <item x="448"/>
        <item m="1" x="2813"/>
        <item m="1" x="2612"/>
        <item m="1" x="2026"/>
        <item x="487"/>
        <item x="466"/>
        <item x="515"/>
        <item x="452"/>
        <item x="509"/>
        <item m="1" x="2613"/>
        <item m="1" x="2614"/>
        <item x="464"/>
        <item x="526"/>
        <item x="544"/>
        <item x="542"/>
        <item m="1" x="2615"/>
        <item m="1" x="1625"/>
        <item x="481"/>
        <item m="1" x="1626"/>
        <item x="451"/>
        <item x="530"/>
        <item m="1" x="2629"/>
        <item x="463"/>
        <item x="222"/>
        <item m="1" x="2814"/>
        <item x="465"/>
        <item x="545"/>
        <item m="1" x="1784"/>
        <item m="1" x="2041"/>
        <item m="1" x="1627"/>
        <item m="1" x="2616"/>
        <item m="1" x="2617"/>
        <item x="548"/>
        <item x="547"/>
        <item x="529"/>
        <item x="506"/>
        <item x="535"/>
        <item x="543"/>
        <item x="446"/>
        <item m="1" x="2618"/>
        <item m="1" x="2815"/>
        <item x="456"/>
        <item m="1" x="2619"/>
        <item x="520"/>
        <item x="441"/>
        <item x="442"/>
        <item x="474"/>
        <item x="475"/>
        <item x="522"/>
        <item x="460"/>
        <item x="486"/>
        <item m="1" x="2620"/>
        <item m="1" x="2816"/>
        <item x="477"/>
        <item x="494"/>
        <item x="478"/>
        <item m="1" x="2621"/>
        <item m="1" x="2817"/>
        <item x="490"/>
        <item m="1" x="2818"/>
        <item m="1" x="2622"/>
        <item m="1" x="2819"/>
        <item m="1" x="2623"/>
        <item m="1" x="2624"/>
        <item m="1" x="2625"/>
        <item x="512"/>
        <item x="492"/>
        <item x="498"/>
        <item x="499"/>
        <item m="1" x="2626"/>
        <item x="454"/>
        <item m="1" x="2627"/>
        <item m="1" x="1628"/>
        <item m="1" x="1629"/>
        <item x="500"/>
        <item x="170"/>
        <item x="491"/>
        <item x="472"/>
        <item x="450"/>
        <item x="471"/>
        <item x="447"/>
        <item x="504"/>
        <item x="483"/>
        <item x="534"/>
        <item m="1" x="2628"/>
        <item x="468"/>
        <item x="445"/>
        <item x="476"/>
        <item x="536"/>
        <item x="473"/>
        <item x="527"/>
        <item x="496"/>
        <item x="538"/>
        <item m="1" x="2820"/>
        <item x="480"/>
        <item x="470"/>
        <item x="440"/>
        <item x="523"/>
        <item m="1" x="2821"/>
        <item m="1" x="2563"/>
        <item m="1" x="2564"/>
        <item x="484"/>
        <item x="462"/>
        <item x="517"/>
        <item m="1" x="2565"/>
        <item m="1" x="2631"/>
        <item x="482"/>
        <item m="1" x="1630"/>
        <item x="488"/>
        <item x="511"/>
        <item x="497"/>
        <item m="1" x="2566"/>
        <item m="1" x="1991"/>
        <item x="489"/>
        <item x="510"/>
        <item x="514"/>
        <item x="493"/>
        <item m="1" x="2632"/>
        <item x="479"/>
        <item x="455"/>
        <item x="508"/>
        <item x="443"/>
        <item x="485"/>
        <item x="533"/>
        <item m="1" x="2633"/>
        <item x="532"/>
        <item x="505"/>
        <item x="502"/>
        <item x="507"/>
        <item m="1" x="2634"/>
        <item x="444"/>
        <item x="524"/>
        <item m="1" x="2734"/>
        <item m="1" x="2822"/>
        <item m="1" x="2823"/>
        <item m="1" x="2824"/>
        <item m="1" x="2825"/>
        <item m="1" x="1785"/>
        <item m="1" x="2034"/>
        <item m="1" x="2826"/>
        <item m="1" x="2827"/>
        <item m="1" x="1786"/>
        <item m="1" x="2735"/>
        <item m="1" x="2736"/>
        <item m="1" x="2828"/>
        <item m="1" x="2737"/>
        <item m="1" x="2738"/>
        <item m="1" x="2739"/>
        <item m="1" x="1787"/>
        <item m="1" x="2740"/>
        <item m="1" x="2741"/>
        <item m="1" x="2742"/>
        <item m="1" x="2743"/>
        <item m="1" x="2829"/>
        <item m="1" x="1857"/>
        <item m="1" x="2830"/>
        <item m="1" x="2831"/>
        <item m="1" x="2744"/>
        <item m="1" x="2745"/>
        <item m="1" x="2746"/>
        <item m="1" x="2747"/>
        <item m="1" x="2748"/>
        <item x="539"/>
        <item m="1" x="2749"/>
        <item m="1" x="2750"/>
        <item m="1" x="2751"/>
        <item m="1" x="2752"/>
        <item m="1" x="2753"/>
        <item m="1" x="2754"/>
        <item m="1" x="1788"/>
        <item m="1" x="2017"/>
        <item x="531"/>
        <item m="1" x="2832"/>
        <item m="1" x="1789"/>
        <item m="1" x="2755"/>
        <item m="1" x="1904"/>
        <item m="1" x="2833"/>
        <item m="1" x="2834"/>
        <item m="1" x="2835"/>
        <item m="1" x="2836"/>
        <item m="1" x="2837"/>
        <item m="1" x="2838"/>
        <item m="1" x="2839"/>
        <item m="1" x="1790"/>
        <item x="521"/>
        <item m="1" x="2840"/>
        <item m="1" x="2841"/>
        <item x="461"/>
        <item m="1" x="2842"/>
        <item x="537"/>
        <item m="1" x="1791"/>
        <item x="516"/>
        <item x="437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x="438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x="453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x="469"/>
        <item m="1" x="1849"/>
        <item m="1" x="1850"/>
        <item m="1" x="1851"/>
        <item m="1" x="1852"/>
        <item m="1" x="1853"/>
        <item m="1" x="1854"/>
        <item m="1" x="1855"/>
        <item m="1" x="1856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8"/>
        <item m="1" x="2019"/>
        <item m="1" x="2020"/>
        <item m="1" x="2021"/>
        <item m="1" x="2022"/>
        <item m="1" x="2023"/>
        <item m="1" x="2024"/>
        <item m="1" x="2025"/>
        <item m="1" x="2027"/>
        <item m="1" x="2028"/>
        <item m="1" x="2029"/>
        <item m="1" x="2030"/>
        <item m="1" x="2031"/>
        <item m="1" x="2032"/>
        <item m="1" x="2033"/>
        <item m="1" x="2035"/>
        <item m="1" x="2036"/>
        <item m="1" x="2037"/>
        <item m="1" x="2038"/>
        <item m="1" x="2039"/>
        <item m="1" x="2040"/>
        <item m="1" x="2042"/>
        <item m="1" x="2043"/>
        <item m="1" x="2044"/>
        <item m="1" x="2045"/>
        <item m="1" x="1631"/>
        <item m="1" x="1638"/>
        <item x="592"/>
        <item m="1" x="2635"/>
        <item x="556"/>
        <item x="570"/>
        <item x="554"/>
        <item x="551"/>
        <item m="1" x="1632"/>
        <item m="1" x="2636"/>
        <item x="578"/>
        <item m="1" x="2637"/>
        <item x="585"/>
        <item m="1" x="1633"/>
        <item m="1" x="1634"/>
        <item m="1" x="1635"/>
        <item x="604"/>
        <item m="1" x="2638"/>
        <item m="1" x="2639"/>
        <item x="582"/>
        <item x="595"/>
        <item m="1" x="2640"/>
        <item x="584"/>
        <item x="550"/>
        <item x="580"/>
        <item m="1" x="2641"/>
        <item x="583"/>
        <item x="596"/>
        <item m="1" x="2642"/>
        <item x="559"/>
        <item x="610"/>
        <item x="607"/>
        <item m="1" x="2643"/>
        <item x="589"/>
        <item m="1" x="2644"/>
        <item x="587"/>
        <item m="1" x="2645"/>
        <item x="552"/>
        <item m="1" x="2164"/>
        <item m="1" x="2646"/>
        <item m="1" x="1636"/>
        <item x="562"/>
        <item m="1" x="1637"/>
        <item x="565"/>
        <item x="590"/>
        <item m="1" x="2647"/>
        <item m="1" x="2648"/>
        <item m="1" x="2649"/>
        <item m="1" x="2650"/>
        <item x="566"/>
        <item m="1" x="2651"/>
        <item m="1" x="2652"/>
        <item m="1" x="2653"/>
        <item m="1" x="1639"/>
        <item m="1" x="2654"/>
        <item x="602"/>
        <item x="568"/>
        <item x="601"/>
        <item x="597"/>
        <item m="1" x="2655"/>
        <item m="1" x="2656"/>
        <item x="600"/>
        <item m="1" x="1640"/>
        <item m="1" x="1641"/>
        <item x="561"/>
        <item x="560"/>
        <item m="1" x="2657"/>
        <item x="569"/>
        <item x="553"/>
        <item x="577"/>
        <item x="573"/>
        <item x="603"/>
        <item m="1" x="2658"/>
        <item m="1" x="2659"/>
        <item x="555"/>
        <item x="586"/>
        <item x="609"/>
        <item m="1" x="2660"/>
        <item m="1" x="2567"/>
        <item x="576"/>
        <item x="572"/>
        <item m="1" x="2661"/>
        <item x="606"/>
        <item x="564"/>
        <item m="1" x="2156"/>
        <item x="574"/>
        <item x="608"/>
        <item x="563"/>
        <item x="594"/>
        <item x="599"/>
        <item x="605"/>
        <item x="611"/>
        <item x="591"/>
        <item m="1" x="2662"/>
        <item m="1" x="2756"/>
        <item m="1" x="2757"/>
        <item m="1" x="2046"/>
        <item m="1" x="2047"/>
        <item x="557"/>
        <item m="1" x="2048"/>
        <item m="1" x="2758"/>
        <item m="1" x="2759"/>
        <item m="1" x="2760"/>
        <item m="1" x="2761"/>
        <item m="1" x="2762"/>
        <item m="1" x="2763"/>
        <item m="1" x="2189"/>
        <item m="1" x="2764"/>
        <item m="1" x="2765"/>
        <item m="1" x="2766"/>
        <item m="1" x="2150"/>
        <item m="1" x="2767"/>
        <item m="1" x="2768"/>
        <item m="1" x="2769"/>
        <item m="1" x="2770"/>
        <item m="1" x="2771"/>
        <item m="1" x="2049"/>
        <item m="1" x="2050"/>
        <item m="1" x="2051"/>
        <item x="571"/>
        <item m="1" x="2772"/>
        <item x="567"/>
        <item x="588"/>
        <item m="1" x="1642"/>
        <item x="579"/>
        <item x="581"/>
        <item x="575"/>
        <item x="558"/>
        <item x="549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1"/>
        <item m="1" x="2152"/>
        <item m="1" x="2153"/>
        <item m="1" x="2154"/>
        <item m="1" x="2155"/>
        <item m="1" x="2157"/>
        <item m="1" x="2158"/>
        <item m="1" x="2159"/>
        <item m="1" x="2160"/>
        <item m="1" x="2161"/>
        <item m="1" x="2162"/>
        <item m="1" x="2163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x="593"/>
        <item m="1" x="2232"/>
        <item m="1" x="2233"/>
        <item m="1" x="2234"/>
        <item m="1" x="2235"/>
        <item m="1" x="2236"/>
        <item m="1" x="2237"/>
        <item m="1" x="2238"/>
        <item m="1" x="2239"/>
        <item x="598"/>
        <item m="1" x="2240"/>
        <item m="1" x="2241"/>
        <item m="1" x="2242"/>
        <item x="717"/>
        <item x="670"/>
        <item m="1" x="2663"/>
        <item m="1" x="1643"/>
        <item x="671"/>
        <item x="658"/>
        <item x="659"/>
        <item x="663"/>
        <item x="652"/>
        <item x="696"/>
        <item x="703"/>
        <item x="665"/>
        <item x="705"/>
        <item m="1" x="1644"/>
        <item x="641"/>
        <item m="1" x="2664"/>
        <item m="1" x="1645"/>
        <item m="1" x="2665"/>
        <item m="1" x="1646"/>
        <item x="687"/>
        <item x="638"/>
        <item x="612"/>
        <item m="1" x="2666"/>
        <item m="1" x="1647"/>
        <item x="669"/>
        <item x="728"/>
        <item m="1" x="1648"/>
        <item x="732"/>
        <item x="649"/>
        <item m="1" x="1649"/>
        <item x="685"/>
        <item m="1" x="2667"/>
        <item m="1" x="1650"/>
        <item x="689"/>
        <item x="639"/>
        <item m="1" x="2668"/>
        <item x="623"/>
        <item m="1" x="2669"/>
        <item m="1" x="2670"/>
        <item m="1" x="1651"/>
        <item m="1" x="1652"/>
        <item x="713"/>
        <item x="615"/>
        <item m="1" x="1653"/>
        <item x="681"/>
        <item x="674"/>
        <item x="697"/>
        <item x="626"/>
        <item m="1" x="2671"/>
        <item m="1" x="1654"/>
        <item x="660"/>
        <item m="1" x="2568"/>
        <item m="1" x="1655"/>
        <item m="1" x="1656"/>
        <item x="668"/>
        <item x="667"/>
        <item x="679"/>
        <item x="677"/>
        <item x="733"/>
        <item m="1" x="1657"/>
        <item x="645"/>
        <item x="666"/>
        <item x="636"/>
        <item x="651"/>
        <item m="1" x="2569"/>
        <item m="1" x="2672"/>
        <item x="684"/>
        <item m="1" x="2673"/>
        <item x="628"/>
        <item m="1" x="2674"/>
        <item m="1" x="2675"/>
        <item m="1" x="1658"/>
        <item x="716"/>
        <item x="725"/>
        <item x="720"/>
        <item x="714"/>
        <item m="1" x="1659"/>
        <item x="693"/>
        <item x="614"/>
        <item x="692"/>
        <item x="722"/>
        <item x="680"/>
        <item x="625"/>
        <item x="613"/>
        <item m="1" x="1660"/>
        <item x="686"/>
        <item x="702"/>
        <item x="637"/>
        <item m="1" x="2676"/>
        <item x="730"/>
        <item x="694"/>
        <item x="724"/>
        <item m="1" x="1661"/>
        <item x="653"/>
        <item m="1" x="2677"/>
        <item x="707"/>
        <item x="644"/>
        <item x="634"/>
        <item x="627"/>
        <item x="631"/>
        <item x="617"/>
        <item x="619"/>
        <item x="688"/>
        <item m="1" x="1662"/>
        <item x="457"/>
        <item m="1" x="2678"/>
        <item x="715"/>
        <item x="709"/>
        <item m="1" x="2570"/>
        <item x="621"/>
        <item m="1" x="1663"/>
        <item x="731"/>
        <item x="664"/>
        <item x="734"/>
        <item x="710"/>
        <item x="635"/>
        <item x="657"/>
        <item x="640"/>
        <item m="1" x="2679"/>
        <item x="691"/>
        <item m="1" x="2680"/>
        <item m="1" x="2681"/>
        <item m="1" x="1664"/>
        <item m="1" x="1665"/>
        <item x="729"/>
        <item x="727"/>
        <item x="718"/>
        <item m="1" x="1666"/>
        <item x="646"/>
        <item m="1" x="2682"/>
        <item x="647"/>
        <item x="701"/>
        <item x="698"/>
        <item x="704"/>
        <item m="1" x="2683"/>
        <item x="711"/>
        <item x="662"/>
        <item x="721"/>
        <item x="682"/>
        <item m="1" x="2571"/>
        <item x="700"/>
        <item x="632"/>
        <item m="1" x="1667"/>
        <item x="620"/>
        <item m="1" x="1668"/>
        <item x="629"/>
        <item m="1" x="1669"/>
        <item x="251"/>
        <item x="723"/>
        <item x="633"/>
        <item m="1" x="2684"/>
        <item x="622"/>
        <item m="1" x="2685"/>
        <item x="618"/>
        <item x="699"/>
        <item x="616"/>
        <item x="673"/>
        <item x="726"/>
        <item x="650"/>
        <item x="675"/>
        <item x="648"/>
        <item x="706"/>
        <item x="719"/>
        <item x="695"/>
        <item x="683"/>
        <item m="1" x="2243"/>
        <item x="735"/>
        <item x="655"/>
        <item m="1" x="2244"/>
        <item m="1" x="2245"/>
        <item m="1" x="2246"/>
        <item m="1" x="2247"/>
        <item m="1" x="2572"/>
        <item x="690"/>
        <item x="654"/>
        <item m="1" x="2248"/>
        <item x="708"/>
        <item x="656"/>
        <item x="672"/>
        <item x="624"/>
        <item x="678"/>
        <item m="1" x="2249"/>
        <item x="630"/>
        <item x="643"/>
        <item x="661"/>
        <item m="1" x="1670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x="712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x="741"/>
        <item x="740"/>
        <item x="739"/>
        <item x="747"/>
        <item x="751"/>
        <item m="1" x="2474"/>
        <item x="676"/>
        <item x="748"/>
        <item x="736"/>
        <item x="737"/>
        <item x="738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1671"/>
        <item m="1" x="1672"/>
        <item x="642"/>
        <item x="742"/>
        <item x="743"/>
        <item x="744"/>
        <item x="745"/>
        <item x="746"/>
        <item x="749"/>
        <item x="750"/>
        <item x="752"/>
        <item x="753"/>
        <item x="754"/>
        <item x="755"/>
        <item m="1" x="1673"/>
        <item m="1" x="167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m="1" x="1675"/>
        <item m="1" x="1676"/>
        <item x="767"/>
        <item m="1" x="1677"/>
        <item x="768"/>
        <item x="769"/>
        <item x="770"/>
        <item m="1" x="1678"/>
        <item x="771"/>
        <item x="772"/>
        <item x="773"/>
        <item x="774"/>
        <item m="1" x="1679"/>
        <item m="1" x="1680"/>
        <item x="775"/>
        <item x="776"/>
        <item x="777"/>
        <item x="778"/>
        <item x="779"/>
        <item x="780"/>
        <item m="1" x="1681"/>
        <item x="781"/>
        <item x="782"/>
        <item x="783"/>
        <item x="784"/>
        <item x="785"/>
        <item x="787"/>
        <item m="1" x="1682"/>
        <item m="1" x="1683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m="1" x="1684"/>
        <item m="1" x="1685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m="1" x="1686"/>
        <item x="829"/>
        <item x="830"/>
        <item x="831"/>
        <item x="832"/>
        <item m="1" x="1687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m="1" x="1688"/>
        <item m="1" x="1689"/>
        <item x="857"/>
        <item x="858"/>
        <item x="859"/>
        <item x="860"/>
        <item m="1" x="1690"/>
        <item x="861"/>
        <item x="862"/>
        <item x="863"/>
        <item m="1" x="1691"/>
        <item x="864"/>
        <item x="865"/>
        <item x="866"/>
        <item x="867"/>
        <item x="868"/>
        <item m="1" x="1692"/>
        <item x="869"/>
        <item x="870"/>
        <item x="871"/>
        <item m="1" x="1693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m="1" x="1694"/>
        <item x="884"/>
        <item x="885"/>
        <item x="886"/>
        <item x="887"/>
        <item x="888"/>
        <item m="1" x="1695"/>
        <item x="889"/>
        <item x="890"/>
        <item x="891"/>
        <item x="892"/>
        <item x="893"/>
        <item x="894"/>
        <item x="895"/>
        <item x="896"/>
        <item m="1" x="1696"/>
        <item x="897"/>
        <item x="898"/>
        <item m="1" x="1697"/>
        <item x="899"/>
        <item x="900"/>
        <item x="901"/>
        <item x="902"/>
        <item x="903"/>
        <item x="904"/>
        <item m="1" x="1698"/>
        <item x="905"/>
        <item x="906"/>
        <item x="907"/>
        <item x="908"/>
        <item x="909"/>
        <item x="910"/>
        <item x="911"/>
        <item x="912"/>
        <item x="913"/>
        <item x="914"/>
        <item m="1" x="1699"/>
        <item x="915"/>
        <item x="916"/>
        <item x="917"/>
        <item x="918"/>
        <item x="919"/>
        <item m="1" x="1700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m="1" x="1701"/>
        <item x="939"/>
        <item x="940"/>
        <item x="941"/>
        <item m="1" x="1702"/>
        <item m="1" x="1703"/>
        <item m="1" x="1704"/>
        <item m="1" x="1705"/>
        <item m="1" x="1706"/>
        <item x="980"/>
        <item x="978"/>
        <item x="981"/>
        <item x="1065"/>
        <item x="1054"/>
        <item x="1019"/>
        <item x="987"/>
        <item x="950"/>
        <item x="957"/>
        <item x="1006"/>
        <item x="1003"/>
        <item x="992"/>
        <item x="1058"/>
        <item x="944"/>
        <item x="1078"/>
        <item x="945"/>
        <item x="1062"/>
        <item x="1061"/>
        <item x="1064"/>
        <item x="1039"/>
        <item x="1076"/>
        <item x="1060"/>
        <item x="1052"/>
        <item x="977"/>
        <item x="1038"/>
        <item x="952"/>
        <item x="1084"/>
        <item x="1075"/>
        <item x="1070"/>
        <item x="954"/>
        <item x="1067"/>
        <item x="1031"/>
        <item x="1008"/>
        <item x="1030"/>
        <item x="1034"/>
        <item x="1047"/>
        <item x="1046"/>
        <item x="1074"/>
        <item x="1010"/>
        <item x="994"/>
        <item x="990"/>
        <item x="959"/>
        <item x="962"/>
        <item x="1012"/>
        <item x="1085"/>
        <item x="1055"/>
        <item x="1057"/>
        <item x="1086"/>
        <item x="1087"/>
        <item x="986"/>
        <item x="976"/>
        <item x="1051"/>
        <item x="1077"/>
        <item x="961"/>
        <item x="1069"/>
        <item x="964"/>
        <item x="998"/>
        <item x="965"/>
        <item x="963"/>
        <item x="1024"/>
        <item x="973"/>
        <item x="1007"/>
        <item x="958"/>
        <item x="948"/>
        <item x="1080"/>
        <item x="1029"/>
        <item x="1028"/>
        <item x="955"/>
        <item x="956"/>
        <item x="993"/>
        <item x="991"/>
        <item x="960"/>
        <item x="943"/>
        <item x="1068"/>
        <item x="996"/>
        <item x="1042"/>
        <item x="969"/>
        <item x="1081"/>
        <item x="1023"/>
        <item x="1089"/>
        <item x="1071"/>
        <item x="1005"/>
        <item x="1032"/>
        <item x="951"/>
        <item x="942"/>
        <item x="947"/>
        <item x="1026"/>
        <item x="989"/>
        <item x="1020"/>
        <item x="1088"/>
        <item x="1059"/>
        <item x="1048"/>
        <item x="979"/>
        <item x="1017"/>
        <item x="953"/>
        <item x="946"/>
        <item x="1043"/>
        <item x="1072"/>
        <item x="1082"/>
        <item x="997"/>
        <item x="1083"/>
        <item x="967"/>
        <item x="982"/>
        <item x="1041"/>
        <item x="988"/>
        <item x="1021"/>
        <item x="970"/>
        <item x="1025"/>
        <item x="985"/>
        <item x="1066"/>
        <item x="1011"/>
        <item x="1009"/>
        <item x="1016"/>
        <item x="1100"/>
        <item x="975"/>
        <item x="995"/>
        <item x="1015"/>
        <item x="1063"/>
        <item x="984"/>
        <item x="1050"/>
        <item x="949"/>
        <item x="1018"/>
        <item x="974"/>
        <item x="1000"/>
        <item x="1056"/>
        <item x="1073"/>
        <item x="1079"/>
        <item x="1099"/>
        <item x="972"/>
        <item x="971"/>
        <item x="999"/>
        <item x="1035"/>
        <item x="1053"/>
        <item x="1033"/>
        <item x="1013"/>
        <item x="1044"/>
        <item x="1001"/>
        <item x="1014"/>
        <item x="1037"/>
        <item x="1027"/>
        <item x="1036"/>
        <item x="966"/>
        <item x="1049"/>
        <item x="983"/>
        <item x="804"/>
        <item x="786"/>
        <item x="1002"/>
        <item x="968"/>
        <item x="1004"/>
        <item x="1022"/>
        <item x="1045"/>
        <item x="1040"/>
        <item x="1092"/>
        <item x="1095"/>
        <item x="1090"/>
        <item x="1097"/>
        <item x="1102"/>
        <item x="1093"/>
        <item x="1104"/>
        <item x="1096"/>
        <item x="1091"/>
        <item x="1098"/>
        <item x="1103"/>
        <item x="1101"/>
        <item x="1094"/>
        <item x="1114"/>
        <item x="1125"/>
        <item x="1143"/>
        <item x="1117"/>
        <item x="1112"/>
        <item x="1171"/>
        <item x="1177"/>
        <item x="1116"/>
        <item x="1138"/>
        <item x="1135"/>
        <item x="1147"/>
        <item x="1184"/>
        <item x="1165"/>
        <item x="1151"/>
        <item x="1106"/>
        <item x="1164"/>
        <item x="1118"/>
        <item x="1156"/>
        <item x="1124"/>
        <item x="1181"/>
        <item x="1176"/>
        <item x="1182"/>
        <item x="1137"/>
        <item x="1178"/>
        <item x="1155"/>
        <item x="1113"/>
        <item x="1170"/>
        <item x="1161"/>
        <item x="1148"/>
        <item x="1149"/>
        <item x="1123"/>
        <item x="1115"/>
        <item x="1127"/>
        <item x="1172"/>
        <item x="1136"/>
        <item x="1159"/>
        <item x="1144"/>
        <item x="1146"/>
        <item x="1105"/>
        <item x="1169"/>
        <item x="1168"/>
        <item x="1191"/>
        <item x="1158"/>
        <item x="1190"/>
        <item x="1139"/>
        <item x="1122"/>
        <item x="1150"/>
        <item x="1192"/>
        <item x="1175"/>
        <item x="1152"/>
        <item x="1111"/>
        <item x="1140"/>
        <item x="1162"/>
        <item x="1167"/>
        <item x="1153"/>
        <item x="1174"/>
        <item x="1131"/>
        <item x="1157"/>
        <item x="1160"/>
        <item x="1121"/>
        <item x="1183"/>
        <item x="1142"/>
        <item x="1145"/>
        <item x="1132"/>
        <item x="1141"/>
        <item x="1166"/>
        <item x="1179"/>
        <item x="1186"/>
        <item x="1188"/>
        <item x="1185"/>
        <item x="1110"/>
        <item x="1129"/>
        <item x="1109"/>
        <item x="1128"/>
        <item x="1134"/>
        <item x="1133"/>
        <item x="1180"/>
        <item x="1187"/>
        <item x="1189"/>
        <item x="1120"/>
        <item x="1119"/>
        <item x="1154"/>
        <item x="1163"/>
        <item x="1108"/>
        <item x="1107"/>
        <item x="1126"/>
        <item x="1130"/>
        <item x="1173"/>
        <item x="1206"/>
        <item x="1203"/>
        <item x="1201"/>
        <item x="1221"/>
        <item x="1196"/>
        <item x="1193"/>
        <item x="1241"/>
        <item x="1240"/>
        <item x="1202"/>
        <item x="1237"/>
        <item x="1220"/>
        <item x="1236"/>
        <item x="1227"/>
        <item x="1238"/>
        <item x="1243"/>
        <item x="1223"/>
        <item x="1228"/>
        <item x="1214"/>
        <item x="1215"/>
        <item x="1222"/>
        <item x="1246"/>
        <item x="1244"/>
        <item x="1205"/>
        <item x="1242"/>
        <item x="1245"/>
        <item x="1200"/>
        <item x="1226"/>
        <item x="1213"/>
        <item x="1239"/>
        <item x="1208"/>
        <item x="59"/>
        <item x="1235"/>
        <item x="1230"/>
        <item x="1207"/>
        <item x="1204"/>
        <item x="1224"/>
        <item x="1231"/>
        <item x="1194"/>
        <item x="1195"/>
        <item x="1199"/>
        <item x="1212"/>
        <item x="1210"/>
        <item x="1211"/>
        <item x="1233"/>
        <item x="1218"/>
        <item x="1225"/>
        <item x="1217"/>
        <item x="1216"/>
        <item x="1209"/>
        <item x="1229"/>
        <item x="1232"/>
        <item x="1197"/>
        <item x="1198"/>
        <item x="1308"/>
        <item x="1333"/>
        <item x="1291"/>
        <item x="1373"/>
        <item x="1343"/>
        <item x="1268"/>
        <item x="1340"/>
        <item x="1249"/>
        <item x="1280"/>
        <item x="1334"/>
        <item x="1359"/>
        <item x="1388"/>
        <item x="1341"/>
        <item x="1285"/>
        <item x="1286"/>
        <item x="1366"/>
        <item x="1278"/>
        <item x="1383"/>
        <item x="1267"/>
        <item x="1271"/>
        <item x="1265"/>
        <item x="1344"/>
        <item x="1369"/>
        <item x="1319"/>
        <item x="1292"/>
        <item x="1283"/>
        <item x="1370"/>
        <item x="1276"/>
        <item x="1323"/>
        <item x="1289"/>
        <item x="1288"/>
        <item x="1281"/>
        <item x="1380"/>
        <item x="1358"/>
        <item x="1304"/>
        <item x="1269"/>
        <item x="1254"/>
        <item x="1329"/>
        <item x="1347"/>
        <item x="1307"/>
        <item x="1275"/>
        <item x="1284"/>
        <item x="1320"/>
        <item x="1357"/>
        <item x="1287"/>
        <item x="1364"/>
        <item x="1332"/>
        <item x="1297"/>
        <item x="1345"/>
        <item x="1371"/>
        <item x="1360"/>
        <item x="1361"/>
        <item x="1305"/>
        <item x="1349"/>
        <item x="1389"/>
        <item x="1372"/>
        <item x="1255"/>
        <item x="1346"/>
        <item x="1303"/>
        <item x="1365"/>
        <item x="1247"/>
        <item x="1379"/>
        <item x="1311"/>
        <item x="1382"/>
        <item x="1262"/>
        <item x="1322"/>
        <item x="1306"/>
        <item x="1248"/>
        <item x="1310"/>
        <item x="1309"/>
        <item x="1258"/>
        <item x="1385"/>
        <item x="1259"/>
        <item x="1273"/>
        <item x="1301"/>
        <item x="1384"/>
        <item x="1378"/>
        <item x="1256"/>
        <item x="1353"/>
        <item x="1257"/>
        <item x="1251"/>
        <item x="1377"/>
        <item x="1362"/>
        <item x="1318"/>
        <item x="1392"/>
        <item x="1282"/>
        <item x="1393"/>
        <item x="1374"/>
        <item x="1386"/>
        <item x="1298"/>
        <item x="1290"/>
        <item x="1279"/>
        <item x="1330"/>
        <item x="1327"/>
        <item x="1352"/>
        <item x="1312"/>
        <item x="1325"/>
        <item x="1351"/>
        <item x="1331"/>
        <item x="1342"/>
        <item x="1326"/>
        <item x="1263"/>
        <item x="1260"/>
        <item x="1250"/>
        <item x="1355"/>
        <item x="1321"/>
        <item x="1339"/>
        <item x="1381"/>
        <item x="1252"/>
        <item x="1324"/>
        <item x="1266"/>
        <item x="1367"/>
        <item x="1272"/>
        <item x="1375"/>
        <item x="1294"/>
        <item x="1376"/>
        <item x="1293"/>
        <item x="1300"/>
        <item x="1317"/>
        <item x="1390"/>
        <item x="1315"/>
        <item x="1368"/>
        <item x="1391"/>
        <item x="1338"/>
        <item x="1337"/>
        <item x="1316"/>
        <item x="1261"/>
        <item x="1270"/>
        <item x="1299"/>
        <item x="1313"/>
        <item x="1336"/>
        <item x="1335"/>
        <item x="1350"/>
        <item x="1387"/>
        <item x="1295"/>
        <item x="1348"/>
        <item x="1394"/>
        <item x="1412"/>
        <item x="1395"/>
        <item x="1405"/>
        <item x="1413"/>
        <item x="1404"/>
        <item x="1400"/>
        <item x="1399"/>
        <item x="1407"/>
        <item x="1402"/>
        <item x="1401"/>
        <item x="1397"/>
        <item x="1396"/>
        <item x="1419"/>
        <item x="1403"/>
        <item x="1408"/>
        <item x="1409"/>
        <item x="1398"/>
        <item x="1418"/>
        <item x="1416"/>
        <item x="1415"/>
        <item x="1410"/>
        <item x="1417"/>
        <item x="1414"/>
        <item x="1219"/>
        <item x="1234"/>
        <item x="1253"/>
        <item x="1264"/>
        <item x="1277"/>
        <item x="1274"/>
        <item x="1296"/>
        <item x="1302"/>
        <item x="1314"/>
        <item x="1328"/>
        <item x="1354"/>
        <item x="1356"/>
        <item x="1363"/>
        <item x="1406"/>
        <item x="1411"/>
        <item x="1420"/>
        <item x="1425"/>
        <item x="1428"/>
        <item x="1429"/>
        <item x="1427"/>
        <item x="1426"/>
        <item x="1423"/>
        <item x="1430"/>
        <item x="1421"/>
        <item x="1422"/>
        <item x="1424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t="default"/>
      </items>
    </pivotField>
    <pivotField showAll="0"/>
    <pivotField showAll="0"/>
    <pivotField axis="axisRow" showAll="0" sortType="descending">
      <items count="41">
        <item x="15"/>
        <item x="16"/>
        <item m="1" x="29"/>
        <item x="22"/>
        <item x="7"/>
        <item m="1" x="38"/>
        <item x="2"/>
        <item m="1" x="32"/>
        <item m="1" x="35"/>
        <item x="24"/>
        <item x="19"/>
        <item m="1" x="34"/>
        <item x="1"/>
        <item x="8"/>
        <item x="14"/>
        <item x="13"/>
        <item x="6"/>
        <item m="1" x="36"/>
        <item x="18"/>
        <item m="1" x="37"/>
        <item m="1" x="39"/>
        <item m="1" x="26"/>
        <item m="1" x="28"/>
        <item x="20"/>
        <item m="1" x="25"/>
        <item x="3"/>
        <item x="4"/>
        <item x="0"/>
        <item x="12"/>
        <item x="17"/>
        <item m="1" x="30"/>
        <item m="1" x="33"/>
        <item x="21"/>
        <item m="1" x="27"/>
        <item x="23"/>
        <item x="9"/>
        <item m="1" x="31"/>
        <item x="11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dataField="1" showAll="0" sortType="descending">
      <items count="7">
        <item m="1" x="5"/>
        <item sd="0" x="2"/>
        <item x="0"/>
        <item x="4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3">
    <field x="2"/>
    <field x="15"/>
    <field x="12"/>
  </rowFields>
  <rowItems count="29">
    <i>
      <x v="2"/>
    </i>
    <i r="1">
      <x v="2"/>
    </i>
    <i r="2">
      <x v="15"/>
    </i>
    <i r="2">
      <x v="6"/>
    </i>
    <i r="2">
      <x v="27"/>
    </i>
    <i r="2">
      <x v="12"/>
    </i>
    <i r="2">
      <x v="39"/>
    </i>
    <i r="2">
      <x v="16"/>
    </i>
    <i r="2">
      <x v="35"/>
    </i>
    <i r="2">
      <x v="3"/>
    </i>
    <i r="2">
      <x v="13"/>
    </i>
    <i r="2">
      <x v="10"/>
    </i>
    <i r="2">
      <x v="18"/>
    </i>
    <i r="2">
      <x v="37"/>
    </i>
    <i r="2">
      <x v="26"/>
    </i>
    <i r="2">
      <x v="23"/>
    </i>
    <i r="1">
      <x v="4"/>
    </i>
    <i r="2">
      <x v="14"/>
    </i>
    <i r="2">
      <x v="28"/>
    </i>
    <i r="2">
      <x/>
    </i>
    <i r="2">
      <x v="38"/>
    </i>
    <i r="2">
      <x v="25"/>
    </i>
    <i r="2">
      <x v="32"/>
    </i>
    <i r="2">
      <x v="15"/>
    </i>
    <i r="1">
      <x v="5"/>
    </i>
    <i r="2">
      <x v="29"/>
    </i>
    <i r="1">
      <x v="1"/>
    </i>
    <i>
      <x v="1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Contagem de RESPONSÁVEL" fld="15" subtotal="count" baseField="0" baseItem="0"/>
  </dataFields>
  <formats count="37">
    <format dxfId="71">
      <pivotArea type="topRight" dataOnly="0" labelOnly="1" outline="0" fieldPosition="0"/>
    </format>
    <format dxfId="70">
      <pivotArea dataOnly="0" labelOnly="1" grandCol="1" outline="0" fieldPosition="0"/>
    </format>
    <format dxfId="69">
      <pivotArea type="origin" dataOnly="0" labelOnly="1" outline="0" fieldPosition="0"/>
    </format>
    <format dxfId="68">
      <pivotArea type="topRight" dataOnly="0" labelOnly="1" outline="0" fieldPosition="0"/>
    </format>
    <format dxfId="67">
      <pivotArea dataOnly="0" labelOnly="1" grandCol="1" outline="0" fieldPosition="0"/>
    </format>
    <format dxfId="66">
      <pivotArea grandRow="1" outline="0" collapsedLevelsAreSubtotals="1" fieldPosition="0"/>
    </format>
    <format dxfId="65">
      <pivotArea dataOnly="0" labelOnly="1" grandRow="1" outline="0" fieldPosition="0"/>
    </format>
    <format dxfId="64">
      <pivotArea grandRow="1" outline="0" collapsedLevelsAreSubtotals="1" fieldPosition="0"/>
    </format>
    <format dxfId="63">
      <pivotArea dataOnly="0" labelOnly="1" grandRow="1" outline="0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type="topRight" dataOnly="0" labelOnly="1" outline="0" fieldPosition="0"/>
    </format>
    <format dxfId="58">
      <pivotArea dataOnly="0" labelOnly="1" grandRow="1" outline="0" fieldPosition="0"/>
    </format>
    <format dxfId="57">
      <pivotArea dataOnly="0" labelOnly="1" grandCol="1" outline="0" fieldPosition="0"/>
    </format>
    <format dxfId="56">
      <pivotArea type="all" dataOnly="0" outline="0" fieldPosition="0"/>
    </format>
    <format dxfId="55">
      <pivotArea type="origin" dataOnly="0" labelOnly="1" outline="0" fieldPosition="0"/>
    </format>
    <format dxfId="54">
      <pivotArea type="topRight" dataOnly="0" labelOnly="1" outline="0" fieldPosition="0"/>
    </format>
    <format dxfId="53">
      <pivotArea dataOnly="0" labelOnly="1" grandRow="1" outline="0" fieldPosition="0"/>
    </format>
    <format dxfId="52">
      <pivotArea dataOnly="0" labelOnly="1" grandCol="1" outline="0" fieldPosition="0"/>
    </format>
    <format dxfId="51">
      <pivotArea outline="0" collapsedLevelsAreSubtotals="1" fieldPosition="0"/>
    </format>
    <format dxfId="50">
      <pivotArea field="2" type="button" dataOnly="0" labelOnly="1" outline="0" axis="axisRow" fieldPosition="0"/>
    </format>
    <format dxfId="49">
      <pivotArea dataOnly="0" labelOnly="1" fieldPosition="0">
        <references count="1">
          <reference field="4" count="0"/>
        </references>
      </pivotArea>
    </format>
    <format dxfId="48">
      <pivotArea dataOnly="0" labelOnly="1" fieldPosition="0">
        <references count="1">
          <reference field="4" count="0"/>
        </references>
      </pivotArea>
    </format>
    <format dxfId="47">
      <pivotArea grandRow="1" outline="0" collapsedLevelsAreSubtotals="1" fieldPosition="0"/>
    </format>
    <format dxfId="46">
      <pivotArea dataOnly="0" labelOnly="1" grandRow="1" outline="0" fieldPosition="0"/>
    </format>
    <format dxfId="45">
      <pivotArea collapsedLevelsAreSubtotals="1" fieldPosition="0">
        <references count="1">
          <reference field="2" count="1">
            <x v="2"/>
          </reference>
        </references>
      </pivotArea>
    </format>
    <format dxfId="44">
      <pivotArea dataOnly="0" labelOnly="1" fieldPosition="0">
        <references count="1">
          <reference field="2" count="1">
            <x v="2"/>
          </reference>
        </references>
      </pivotArea>
    </format>
    <format dxfId="43">
      <pivotArea collapsedLevelsAreSubtotals="1" fieldPosition="0">
        <references count="1">
          <reference field="2" count="1">
            <x v="1"/>
          </reference>
        </references>
      </pivotArea>
    </format>
    <format dxfId="42">
      <pivotArea collapsedLevelsAreSubtotals="1" fieldPosition="0">
        <references count="1">
          <reference field="2" count="1">
            <x v="0"/>
          </reference>
        </references>
      </pivotArea>
    </format>
    <format dxfId="41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40">
      <pivotArea type="origin" dataOnly="0" labelOnly="1" outline="0" fieldPosition="0"/>
    </format>
    <format dxfId="39">
      <pivotArea field="4" type="button" dataOnly="0" labelOnly="1" outline="0" axis="axisCol" fieldPosition="0"/>
    </format>
    <format dxfId="38">
      <pivotArea type="topRight" dataOnly="0" labelOnly="1" outline="0" fieldPosition="0"/>
    </format>
    <format dxfId="37">
      <pivotArea field="2" type="button" dataOnly="0" labelOnly="1" outline="0" axis="axisRow" fieldPosition="0"/>
    </format>
    <format dxfId="36">
      <pivotArea dataOnly="0" labelOnly="1" fieldPosition="0">
        <references count="1">
          <reference field="4" count="4">
            <x v="0"/>
            <x v="1"/>
            <x v="2"/>
            <x v="3"/>
          </reference>
        </references>
      </pivotArea>
    </format>
    <format dxfId="35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BT" xr10:uid="{46FA1030-360F-4836-9FD9-C8FDE6F4FBCA}" sourceName="OBT">
  <pivotTables>
    <pivotTable tabId="12" name="Tabela dinâmica4"/>
  </pivotTables>
  <data>
    <tabular pivotCacheId="836623354">
      <items count="5">
        <i x="0" s="1"/>
        <i x="3" s="1"/>
        <i x="2" s="1"/>
        <i x="1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BT" xr10:uid="{D560BC75-5E51-4326-981F-273E08F75C22}" cache="SegmentaçãodeDados_OBT" caption="OBT" style="SlicerStyleLight3" rowHeight="241300"/>
</slicer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52D1A-84EB-455E-8F2E-34E32EA21773}">
  <sheetPr codeName="Planilha4">
    <tabColor rgb="FF0066CC"/>
  </sheetPr>
  <dimension ref="A1:Q56"/>
  <sheetViews>
    <sheetView showGridLines="0" tabSelected="1" zoomScaleNormal="100" workbookViewId="0">
      <selection activeCell="D9" sqref="D9"/>
    </sheetView>
  </sheetViews>
  <sheetFormatPr defaultRowHeight="15" x14ac:dyDescent="0.25"/>
  <cols>
    <col min="1" max="1" width="36.7109375" style="1" bestFit="1" customWidth="1"/>
    <col min="2" max="2" width="7.28515625" style="1" bestFit="1" customWidth="1"/>
    <col min="3" max="3" width="12" style="1" bestFit="1" customWidth="1"/>
    <col min="4" max="4" width="6.5703125" style="1" bestFit="1" customWidth="1"/>
    <col min="5" max="5" width="4.85546875" style="1" bestFit="1" customWidth="1"/>
    <col min="6" max="6" width="10.7109375" style="1" bestFit="1" customWidth="1"/>
    <col min="7" max="7" width="6.140625" customWidth="1"/>
    <col min="8" max="8" width="26.140625" bestFit="1" customWidth="1"/>
    <col min="9" max="9" width="20.85546875" bestFit="1" customWidth="1"/>
    <col min="10" max="10" width="5.7109375" customWidth="1"/>
    <col min="11" max="11" width="23" customWidth="1"/>
    <col min="12" max="12" width="18" bestFit="1" customWidth="1"/>
    <col min="13" max="13" width="19.5703125" bestFit="1" customWidth="1"/>
    <col min="14" max="14" width="12" bestFit="1" customWidth="1"/>
    <col min="15" max="15" width="6.5703125" bestFit="1" customWidth="1"/>
    <col min="16" max="16" width="4.85546875" bestFit="1" customWidth="1"/>
    <col min="17" max="17" width="10.7109375" bestFit="1" customWidth="1"/>
    <col min="18" max="18" width="5.7109375" bestFit="1" customWidth="1"/>
    <col min="19" max="19" width="5.140625" bestFit="1" customWidth="1"/>
    <col min="20" max="20" width="6" bestFit="1" customWidth="1"/>
    <col min="21" max="21" width="5.5703125" bestFit="1" customWidth="1"/>
    <col min="22" max="22" width="5.85546875" bestFit="1" customWidth="1"/>
    <col min="23" max="23" width="6.140625" bestFit="1" customWidth="1"/>
    <col min="24" max="24" width="6" bestFit="1" customWidth="1"/>
    <col min="25" max="25" width="9.85546875" bestFit="1" customWidth="1"/>
    <col min="26" max="26" width="6.85546875" bestFit="1" customWidth="1"/>
    <col min="27" max="27" width="5.7109375" bestFit="1" customWidth="1"/>
    <col min="28" max="28" width="9.85546875" bestFit="1" customWidth="1"/>
    <col min="29" max="29" width="10.7109375" bestFit="1" customWidth="1"/>
  </cols>
  <sheetData>
    <row r="1" spans="1:17" x14ac:dyDescent="0.25">
      <c r="A1" s="28" t="s">
        <v>21</v>
      </c>
      <c r="B1" s="28"/>
      <c r="C1" s="28"/>
      <c r="D1" s="28"/>
      <c r="E1" s="28"/>
      <c r="F1" s="28"/>
      <c r="H1" s="30" t="s">
        <v>1626</v>
      </c>
      <c r="I1" s="30"/>
      <c r="K1" s="30" t="s">
        <v>1050</v>
      </c>
      <c r="L1" s="30"/>
      <c r="M1" s="30"/>
      <c r="N1" s="30"/>
      <c r="O1" s="30"/>
      <c r="P1" s="30"/>
      <c r="Q1" s="30"/>
    </row>
    <row r="2" spans="1:17" x14ac:dyDescent="0.25">
      <c r="A2" s="25" t="s">
        <v>22</v>
      </c>
      <c r="B2" s="25" t="s">
        <v>3</v>
      </c>
      <c r="C2" s="25"/>
      <c r="D2" s="25"/>
      <c r="E2" s="25"/>
      <c r="F2" s="25"/>
      <c r="H2" s="29" t="s">
        <v>1627</v>
      </c>
      <c r="I2" s="29"/>
    </row>
    <row r="3" spans="1:17" x14ac:dyDescent="0.25">
      <c r="A3" s="25" t="s">
        <v>23</v>
      </c>
      <c r="B3" s="25" t="s">
        <v>24</v>
      </c>
      <c r="C3" s="25" t="s">
        <v>25</v>
      </c>
      <c r="D3" s="25" t="s">
        <v>26</v>
      </c>
      <c r="E3" s="25" t="s">
        <v>12</v>
      </c>
      <c r="F3" s="25" t="s">
        <v>27</v>
      </c>
      <c r="L3" s="4" t="s">
        <v>1049</v>
      </c>
      <c r="M3" s="4" t="s">
        <v>1047</v>
      </c>
    </row>
    <row r="4" spans="1:17" x14ac:dyDescent="0.25">
      <c r="A4" s="23" t="s">
        <v>13</v>
      </c>
      <c r="B4" s="35">
        <v>271</v>
      </c>
      <c r="C4" s="35">
        <v>6</v>
      </c>
      <c r="D4" s="35">
        <v>1315</v>
      </c>
      <c r="E4" s="35">
        <v>163</v>
      </c>
      <c r="F4" s="35">
        <v>1755</v>
      </c>
      <c r="H4" s="24" t="s">
        <v>23</v>
      </c>
      <c r="I4" s="24" t="s">
        <v>1048</v>
      </c>
      <c r="L4" s="4" t="s">
        <v>23</v>
      </c>
      <c r="M4" t="s">
        <v>24</v>
      </c>
      <c r="N4" t="s">
        <v>25</v>
      </c>
      <c r="O4" t="s">
        <v>26</v>
      </c>
      <c r="P4" t="s">
        <v>12</v>
      </c>
      <c r="Q4" t="s">
        <v>27</v>
      </c>
    </row>
    <row r="5" spans="1:17" x14ac:dyDescent="0.25">
      <c r="A5" s="1" t="s">
        <v>44</v>
      </c>
      <c r="B5" s="33">
        <v>219</v>
      </c>
      <c r="C5" s="33"/>
      <c r="D5" s="33">
        <v>818</v>
      </c>
      <c r="E5" s="33">
        <v>14</v>
      </c>
      <c r="F5" s="33">
        <v>1051</v>
      </c>
      <c r="H5" s="1" t="s">
        <v>30</v>
      </c>
      <c r="I5" s="31">
        <v>593</v>
      </c>
      <c r="L5" s="1" t="s">
        <v>1040</v>
      </c>
      <c r="M5" s="31">
        <v>232</v>
      </c>
      <c r="N5" s="31">
        <v>7</v>
      </c>
      <c r="O5" s="31">
        <v>1561</v>
      </c>
      <c r="P5" s="31">
        <v>243</v>
      </c>
      <c r="Q5" s="31">
        <v>2043</v>
      </c>
    </row>
    <row r="6" spans="1:17" x14ac:dyDescent="0.25">
      <c r="A6" s="1" t="s">
        <v>40</v>
      </c>
      <c r="B6" s="33"/>
      <c r="C6" s="33"/>
      <c r="D6" s="33">
        <v>650</v>
      </c>
      <c r="E6" s="33"/>
      <c r="F6" s="33">
        <v>650</v>
      </c>
      <c r="H6" s="1" t="s">
        <v>32</v>
      </c>
      <c r="I6" s="31">
        <v>1142</v>
      </c>
      <c r="L6" s="20" t="s">
        <v>1041</v>
      </c>
      <c r="M6" s="31">
        <v>14</v>
      </c>
      <c r="N6" s="31"/>
      <c r="O6" s="31">
        <v>218</v>
      </c>
      <c r="P6" s="31">
        <v>8</v>
      </c>
      <c r="Q6" s="31">
        <v>240</v>
      </c>
    </row>
    <row r="7" spans="1:17" x14ac:dyDescent="0.25">
      <c r="A7" s="1" t="s">
        <v>45</v>
      </c>
      <c r="B7" s="33"/>
      <c r="C7" s="33"/>
      <c r="D7" s="33">
        <v>147</v>
      </c>
      <c r="E7" s="33">
        <v>6</v>
      </c>
      <c r="F7" s="33">
        <v>153</v>
      </c>
      <c r="H7" s="1" t="s">
        <v>35</v>
      </c>
      <c r="I7" s="31">
        <v>427</v>
      </c>
      <c r="L7" s="20" t="s">
        <v>1042</v>
      </c>
      <c r="M7" s="31">
        <v>13</v>
      </c>
      <c r="N7" s="31">
        <v>1</v>
      </c>
      <c r="O7" s="31">
        <v>304</v>
      </c>
      <c r="P7" s="31">
        <v>21</v>
      </c>
      <c r="Q7" s="31">
        <v>339</v>
      </c>
    </row>
    <row r="8" spans="1:17" x14ac:dyDescent="0.25">
      <c r="A8" s="1" t="s">
        <v>41</v>
      </c>
      <c r="B8" s="33">
        <v>82</v>
      </c>
      <c r="C8" s="33"/>
      <c r="D8" s="33"/>
      <c r="E8" s="33"/>
      <c r="F8" s="33">
        <v>82</v>
      </c>
      <c r="H8" s="1" t="s">
        <v>27</v>
      </c>
      <c r="I8" s="31">
        <v>2162</v>
      </c>
      <c r="L8" s="20" t="s">
        <v>1043</v>
      </c>
      <c r="M8" s="31">
        <v>91</v>
      </c>
      <c r="N8" s="31">
        <v>3</v>
      </c>
      <c r="O8" s="31">
        <v>380</v>
      </c>
      <c r="P8" s="31">
        <v>48</v>
      </c>
      <c r="Q8" s="31">
        <v>522</v>
      </c>
    </row>
    <row r="9" spans="1:17" x14ac:dyDescent="0.25">
      <c r="A9" s="1" t="s">
        <v>46</v>
      </c>
      <c r="B9" s="33">
        <v>72</v>
      </c>
      <c r="C9" s="33"/>
      <c r="D9" s="33"/>
      <c r="E9" s="33"/>
      <c r="F9" s="33">
        <v>72</v>
      </c>
      <c r="L9" s="20" t="s">
        <v>1044</v>
      </c>
      <c r="M9" s="31">
        <v>52</v>
      </c>
      <c r="N9" s="31"/>
      <c r="O9" s="31">
        <v>250</v>
      </c>
      <c r="P9" s="31">
        <v>66</v>
      </c>
      <c r="Q9" s="31">
        <v>368</v>
      </c>
    </row>
    <row r="10" spans="1:17" x14ac:dyDescent="0.25">
      <c r="A10" s="1" t="s">
        <v>1634</v>
      </c>
      <c r="B10" s="33">
        <v>34</v>
      </c>
      <c r="C10" s="33"/>
      <c r="D10" s="33"/>
      <c r="E10" s="33"/>
      <c r="F10" s="33">
        <v>34</v>
      </c>
      <c r="L10" s="20" t="s">
        <v>1045</v>
      </c>
      <c r="M10" s="31">
        <v>15</v>
      </c>
      <c r="N10" s="31">
        <v>2</v>
      </c>
      <c r="O10" s="31">
        <v>301</v>
      </c>
      <c r="P10" s="31">
        <v>68</v>
      </c>
      <c r="Q10" s="31">
        <v>386</v>
      </c>
    </row>
    <row r="11" spans="1:17" x14ac:dyDescent="0.25">
      <c r="A11" s="1" t="s">
        <v>47</v>
      </c>
      <c r="B11" s="33"/>
      <c r="C11" s="33"/>
      <c r="D11" s="33">
        <v>17</v>
      </c>
      <c r="E11" s="33"/>
      <c r="F11" s="33">
        <v>17</v>
      </c>
      <c r="L11" s="20" t="s">
        <v>1046</v>
      </c>
      <c r="M11" s="31">
        <v>47</v>
      </c>
      <c r="N11" s="31">
        <v>1</v>
      </c>
      <c r="O11" s="31">
        <v>108</v>
      </c>
      <c r="P11" s="31">
        <v>32</v>
      </c>
      <c r="Q11" s="31">
        <v>188</v>
      </c>
    </row>
    <row r="12" spans="1:17" x14ac:dyDescent="0.25">
      <c r="A12" s="1" t="s">
        <v>52</v>
      </c>
      <c r="B12" s="33">
        <v>10</v>
      </c>
      <c r="C12" s="33"/>
      <c r="D12" s="33"/>
      <c r="E12" s="33"/>
      <c r="F12" s="33">
        <v>10</v>
      </c>
      <c r="L12" s="1" t="s">
        <v>27</v>
      </c>
      <c r="M12" s="31">
        <v>232</v>
      </c>
      <c r="N12" s="31">
        <v>7</v>
      </c>
      <c r="O12" s="31">
        <v>1561</v>
      </c>
      <c r="P12" s="31">
        <v>243</v>
      </c>
      <c r="Q12" s="31">
        <v>2043</v>
      </c>
    </row>
    <row r="13" spans="1:17" x14ac:dyDescent="0.25">
      <c r="A13" s="1" t="s">
        <v>48</v>
      </c>
      <c r="B13" s="33"/>
      <c r="C13" s="33"/>
      <c r="D13" s="33"/>
      <c r="E13" s="33">
        <v>8</v>
      </c>
      <c r="F13" s="33">
        <v>8</v>
      </c>
    </row>
    <row r="14" spans="1:17" x14ac:dyDescent="0.25">
      <c r="A14" s="1" t="s">
        <v>51</v>
      </c>
      <c r="B14" s="33">
        <v>7</v>
      </c>
      <c r="C14" s="33"/>
      <c r="D14" s="33"/>
      <c r="E14" s="33"/>
      <c r="F14" s="33">
        <v>7</v>
      </c>
    </row>
    <row r="15" spans="1:17" x14ac:dyDescent="0.25">
      <c r="A15" s="1" t="s">
        <v>49</v>
      </c>
      <c r="B15" s="33">
        <v>6</v>
      </c>
      <c r="C15" s="33"/>
      <c r="D15" s="33"/>
      <c r="E15" s="33"/>
      <c r="F15" s="33">
        <v>6</v>
      </c>
      <c r="H15" s="4" t="s">
        <v>1</v>
      </c>
      <c r="I15" t="s">
        <v>28</v>
      </c>
    </row>
    <row r="16" spans="1:17" x14ac:dyDescent="0.25">
      <c r="A16" s="1" t="s">
        <v>468</v>
      </c>
      <c r="B16" s="33">
        <v>5</v>
      </c>
      <c r="C16" s="33"/>
      <c r="D16" s="33"/>
      <c r="E16" s="33"/>
      <c r="F16" s="33">
        <v>5</v>
      </c>
      <c r="H16" s="22" t="s">
        <v>31</v>
      </c>
      <c r="I16" s="22"/>
    </row>
    <row r="17" spans="1:9" x14ac:dyDescent="0.25">
      <c r="A17" s="1" t="s">
        <v>465</v>
      </c>
      <c r="B17" s="33"/>
      <c r="C17" s="33"/>
      <c r="D17" s="33">
        <v>4</v>
      </c>
      <c r="E17" s="33"/>
      <c r="F17" s="33">
        <v>4</v>
      </c>
      <c r="H17" s="10" t="s">
        <v>33</v>
      </c>
      <c r="I17" s="26" t="s">
        <v>1628</v>
      </c>
    </row>
    <row r="18" spans="1:9" x14ac:dyDescent="0.25">
      <c r="A18" s="1" t="s">
        <v>50</v>
      </c>
      <c r="B18" s="33">
        <v>2</v>
      </c>
      <c r="C18" s="33"/>
      <c r="D18" s="33"/>
      <c r="E18" s="33"/>
      <c r="F18" s="33">
        <v>2</v>
      </c>
      <c r="H18" s="1" t="s">
        <v>40</v>
      </c>
      <c r="I18" s="32">
        <v>651</v>
      </c>
    </row>
    <row r="19" spans="1:9" x14ac:dyDescent="0.25">
      <c r="A19" s="1" t="s">
        <v>53</v>
      </c>
      <c r="B19" s="33">
        <v>1</v>
      </c>
      <c r="C19" s="33"/>
      <c r="D19" s="33"/>
      <c r="E19" s="33"/>
      <c r="F19" s="33">
        <v>1</v>
      </c>
      <c r="H19" s="1" t="s">
        <v>36</v>
      </c>
      <c r="I19" s="32">
        <v>307</v>
      </c>
    </row>
    <row r="20" spans="1:9" x14ac:dyDescent="0.25">
      <c r="A20" s="1" t="s">
        <v>34</v>
      </c>
      <c r="B20" s="33">
        <v>46</v>
      </c>
      <c r="C20" s="33">
        <v>3</v>
      </c>
      <c r="D20" s="33">
        <v>482</v>
      </c>
      <c r="E20" s="33">
        <v>134</v>
      </c>
      <c r="F20" s="33">
        <v>665</v>
      </c>
      <c r="H20" s="1" t="s">
        <v>45</v>
      </c>
      <c r="I20" s="32">
        <v>153</v>
      </c>
    </row>
    <row r="21" spans="1:9" x14ac:dyDescent="0.25">
      <c r="A21" s="1" t="s">
        <v>36</v>
      </c>
      <c r="B21" s="33">
        <v>23</v>
      </c>
      <c r="C21" s="33"/>
      <c r="D21" s="33">
        <v>284</v>
      </c>
      <c r="E21" s="33"/>
      <c r="F21" s="33">
        <v>307</v>
      </c>
      <c r="H21" s="1" t="s">
        <v>37</v>
      </c>
      <c r="I21" s="32">
        <v>146</v>
      </c>
    </row>
    <row r="22" spans="1:9" x14ac:dyDescent="0.25">
      <c r="A22" s="1" t="s">
        <v>37</v>
      </c>
      <c r="B22" s="33"/>
      <c r="C22" s="33"/>
      <c r="D22" s="33">
        <v>146</v>
      </c>
      <c r="E22" s="33"/>
      <c r="F22" s="33">
        <v>146</v>
      </c>
      <c r="H22" s="1" t="s">
        <v>41</v>
      </c>
      <c r="I22" s="32">
        <v>131</v>
      </c>
    </row>
    <row r="23" spans="1:9" x14ac:dyDescent="0.25">
      <c r="A23" s="1" t="s">
        <v>15</v>
      </c>
      <c r="B23" s="33"/>
      <c r="C23" s="33"/>
      <c r="D23" s="33"/>
      <c r="E23" s="33">
        <v>112</v>
      </c>
      <c r="F23" s="33">
        <v>112</v>
      </c>
    </row>
    <row r="24" spans="1:9" x14ac:dyDescent="0.25">
      <c r="A24" s="1" t="s">
        <v>686</v>
      </c>
      <c r="B24" s="33">
        <v>19</v>
      </c>
      <c r="C24" s="33">
        <v>3</v>
      </c>
      <c r="D24" s="33">
        <v>37</v>
      </c>
      <c r="E24" s="33">
        <v>22</v>
      </c>
      <c r="F24" s="33">
        <v>81</v>
      </c>
    </row>
    <row r="25" spans="1:9" x14ac:dyDescent="0.25">
      <c r="A25" s="1" t="s">
        <v>39</v>
      </c>
      <c r="B25" s="33"/>
      <c r="C25" s="33"/>
      <c r="D25" s="33">
        <v>14</v>
      </c>
      <c r="E25" s="33"/>
      <c r="F25" s="33">
        <v>14</v>
      </c>
    </row>
    <row r="26" spans="1:9" x14ac:dyDescent="0.25">
      <c r="A26" s="1" t="s">
        <v>42</v>
      </c>
      <c r="B26" s="33">
        <v>4</v>
      </c>
      <c r="C26" s="33"/>
      <c r="D26" s="33"/>
      <c r="E26" s="33"/>
      <c r="F26" s="33">
        <v>4</v>
      </c>
    </row>
    <row r="27" spans="1:9" x14ac:dyDescent="0.25">
      <c r="A27" s="1" t="s">
        <v>40</v>
      </c>
      <c r="B27" s="33"/>
      <c r="C27" s="33"/>
      <c r="D27" s="33">
        <v>1</v>
      </c>
      <c r="E27" s="33"/>
      <c r="F27" s="33">
        <v>1</v>
      </c>
    </row>
    <row r="28" spans="1:9" x14ac:dyDescent="0.25">
      <c r="A28" s="1" t="s">
        <v>1241</v>
      </c>
      <c r="B28" s="33">
        <v>2</v>
      </c>
      <c r="C28" s="33"/>
      <c r="D28" s="33">
        <v>5</v>
      </c>
      <c r="E28" s="33">
        <v>14</v>
      </c>
      <c r="F28" s="33">
        <v>21</v>
      </c>
    </row>
    <row r="29" spans="1:9" x14ac:dyDescent="0.25">
      <c r="A29" s="1" t="s">
        <v>1242</v>
      </c>
      <c r="B29" s="33">
        <v>2</v>
      </c>
      <c r="C29" s="33"/>
      <c r="D29" s="33">
        <v>5</v>
      </c>
      <c r="E29" s="33">
        <v>14</v>
      </c>
      <c r="F29" s="33">
        <v>21</v>
      </c>
    </row>
    <row r="30" spans="1:9" x14ac:dyDescent="0.25">
      <c r="A30" s="1" t="s">
        <v>54</v>
      </c>
      <c r="B30" s="33">
        <v>4</v>
      </c>
      <c r="C30" s="33">
        <v>3</v>
      </c>
      <c r="D30" s="33">
        <v>10</v>
      </c>
      <c r="E30" s="33">
        <v>1</v>
      </c>
      <c r="F30" s="33">
        <v>18</v>
      </c>
    </row>
    <row r="31" spans="1:9" x14ac:dyDescent="0.25">
      <c r="A31" s="23" t="s">
        <v>29</v>
      </c>
      <c r="B31" s="35">
        <v>71</v>
      </c>
      <c r="C31" s="35"/>
      <c r="D31" s="35"/>
      <c r="E31" s="35"/>
      <c r="F31" s="35">
        <v>71</v>
      </c>
    </row>
    <row r="32" spans="1:9" x14ac:dyDescent="0.25">
      <c r="A32" s="21" t="s">
        <v>27</v>
      </c>
      <c r="B32" s="34">
        <v>342</v>
      </c>
      <c r="C32" s="34">
        <v>6</v>
      </c>
      <c r="D32" s="34">
        <v>1315</v>
      </c>
      <c r="E32" s="34">
        <v>163</v>
      </c>
      <c r="F32" s="34">
        <v>1826</v>
      </c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</sheetData>
  <mergeCells count="4">
    <mergeCell ref="A1:F1"/>
    <mergeCell ref="H2:I2"/>
    <mergeCell ref="K1:Q1"/>
    <mergeCell ref="H1:I1"/>
  </mergeCells>
  <conditionalFormatting pivot="1" sqref="I18:I22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{C327AC82-8D0F-4DD7-96E8-BC6ED10A8F64}</x14:id>
        </ext>
      </extLst>
    </cfRule>
  </conditionalFormatting>
  <conditionalFormatting pivot="1" sqref="I18:I22">
    <cfRule type="dataBar" priority="1">
      <dataBar>
        <cfvo type="min"/>
        <cfvo type="max"/>
        <color rgb="FF9C2BA5"/>
      </dataBar>
      <extLst>
        <ext xmlns:x14="http://schemas.microsoft.com/office/spreadsheetml/2009/9/main" uri="{B025F937-C7B1-47D3-B67F-A62EFF666E3E}">
          <x14:id>{93C3A25D-6352-4481-B980-B39F40080012}</x14:id>
        </ext>
      </extLst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atualizar_dinamicas">
                <anchor moveWithCells="1" sizeWithCells="1">
                  <from>
                    <xdr:col>7</xdr:col>
                    <xdr:colOff>409575</xdr:colOff>
                    <xdr:row>25</xdr:row>
                    <xdr:rowOff>85725</xdr:rowOff>
                  </from>
                  <to>
                    <xdr:col>8</xdr:col>
                    <xdr:colOff>981075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327AC82-8D0F-4DD7-96E8-BC6ED10A8F6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 pivot="1">
          <x14:cfRule type="dataBar" id="{93C3A25D-6352-4481-B980-B39F40080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I18:I22</xm:sqref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F457-53A8-464B-965D-50161C72DA9F}">
  <sheetPr codeName="Planilha5"/>
  <dimension ref="A1:Q2253"/>
  <sheetViews>
    <sheetView topLeftCell="J1" zoomScale="80" zoomScaleNormal="80" workbookViewId="0">
      <pane ySplit="1" topLeftCell="A2212" activePane="bottomLeft" state="frozen"/>
      <selection pane="bottomLeft" activeCell="P2253" sqref="P2253"/>
    </sheetView>
  </sheetViews>
  <sheetFormatPr defaultColWidth="255.5703125" defaultRowHeight="15" x14ac:dyDescent="0.25"/>
  <cols>
    <col min="1" max="1" width="15.5703125" style="1" bestFit="1" customWidth="1"/>
    <col min="2" max="2" width="26.28515625" style="1" bestFit="1" customWidth="1"/>
    <col min="3" max="3" width="16.42578125" style="1" customWidth="1"/>
    <col min="4" max="4" width="11.5703125" style="1" bestFit="1" customWidth="1"/>
    <col min="5" max="5" width="12.42578125" style="1" bestFit="1" customWidth="1"/>
    <col min="6" max="6" width="17.42578125" style="1" bestFit="1" customWidth="1"/>
    <col min="7" max="7" width="19.85546875" style="1" bestFit="1" customWidth="1"/>
    <col min="8" max="8" width="16.7109375" style="1" customWidth="1"/>
    <col min="9" max="9" width="151" style="1" customWidth="1"/>
    <col min="10" max="10" width="17.140625" style="1" bestFit="1" customWidth="1"/>
    <col min="11" max="11" width="17.28515625" style="1" bestFit="1" customWidth="1"/>
    <col min="12" max="12" width="27.7109375" style="1" bestFit="1" customWidth="1"/>
    <col min="13" max="13" width="36.7109375" style="1" bestFit="1" customWidth="1"/>
    <col min="14" max="14" width="68.7109375" style="1" bestFit="1" customWidth="1"/>
    <col min="15" max="15" width="24.28515625" style="1" bestFit="1" customWidth="1"/>
    <col min="16" max="16" width="26.5703125" style="1" bestFit="1" customWidth="1"/>
    <col min="17" max="17" width="12.85546875" style="1" bestFit="1" customWidth="1"/>
    <col min="18" max="16384" width="255.5703125" style="1"/>
  </cols>
  <sheetData>
    <row r="1" spans="1:17" s="3" customFormat="1" x14ac:dyDescent="0.25">
      <c r="A1" s="13" t="s">
        <v>0</v>
      </c>
      <c r="B1" s="13" t="s">
        <v>58</v>
      </c>
      <c r="C1" s="13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13" t="s">
        <v>11</v>
      </c>
      <c r="N1" s="13" t="s">
        <v>59</v>
      </c>
      <c r="O1" s="13" t="s">
        <v>60</v>
      </c>
      <c r="P1" s="13" t="s">
        <v>61</v>
      </c>
      <c r="Q1" s="5" t="s">
        <v>62</v>
      </c>
    </row>
    <row r="2" spans="1:17" x14ac:dyDescent="0.25">
      <c r="A2" s="1" t="str">
        <f>_xlfn.XLOOKUP(D2,'Novo relatório'!B:B,'Novo relatório'!C:C,"RESOLVIDO")</f>
        <v>GOVER</v>
      </c>
      <c r="B2" s="1" t="s">
        <v>63</v>
      </c>
      <c r="C2" t="str">
        <f t="shared" ref="C2:C65" si="0">IF(A2="RESOLVIDO","RESOLVIDO",IF(B2="","PENDENTE",IF(LEFT(B2,7)="CHAMADO","AGUARDANDO FORNECEDOR",IF(B2="CONTABILIZAR","CONTABILIZAR NO PORTAL"))))</f>
        <v>CONTABILIZAR NO PORTAL</v>
      </c>
      <c r="D2" s="1">
        <v>2438691</v>
      </c>
      <c r="E2" s="1" t="s">
        <v>24</v>
      </c>
      <c r="F2" s="2">
        <v>45294.633333333331</v>
      </c>
      <c r="G2" s="1">
        <v>4251938</v>
      </c>
      <c r="H2" s="1" t="s">
        <v>66</v>
      </c>
      <c r="I2" s="1" t="s">
        <v>67</v>
      </c>
      <c r="J2" s="2">
        <v>45295.671527777777</v>
      </c>
      <c r="K2" s="2">
        <v>45447.614583333336</v>
      </c>
      <c r="L2" s="1" t="s">
        <v>14</v>
      </c>
      <c r="M2" s="1" t="str">
        <f>_xlfn.XLOOKUP(I2,Parâmetros!A:A,Parâmetros!B:B,_xlfn.XLOOKUP(Q2,Parâmetros!F:F,Parâmetros!G:G,"NOVA MENSAGEM"))</f>
        <v>TAG - ITEM VEÍCULO</v>
      </c>
      <c r="N2" s="1" t="str">
        <f>_xlfn.XLOOKUP(M2,Parâmetros!K:K,Parâmetros!L:L,"")</f>
        <v>TAGS DE DETALHAMENTO DO SERVIÇO NÃO ENVIADO NO XML</v>
      </c>
      <c r="O2" s="1" t="str">
        <f>_xlfn.XLOOKUP(M2,Parâmetros!B:B,Parâmetros!C:C,_xlfn.XLOOKUP(Base!M2,Parâmetros!G:G,Parâmetros!H:H))</f>
        <v>SISTEMA</v>
      </c>
      <c r="P2" s="1" t="str">
        <f>_xlfn.XLOOKUP(I2,Parâmetros!A:A,Parâmetros!D:D,_xlfn.XLOOKUP(Q2,Parâmetros!F:F,Parâmetros!I:I))</f>
        <v>SUPORTE OBT</v>
      </c>
      <c r="Q2" s="1">
        <f t="shared" ref="Q2:Q65" si="1">IFERROR(FIND("Não foi possível localizar o contrato do fornecedor",I2),IFERROR(FIND("veículo",I2),IFERROR(FIND("agagem",I2),IFERROR(FIND("error in XML document",I2),IFERROR(FIND("Não localizado cliente código",I2),IFERROR(FIND("lemontech",I2),IFERROR(FIND("&gt;Fornecedor com o",I2),IFERROR(FIND("INSERT",I2),IFERROR(FIND("com CNPJ",I2),IFERROR(FIND("Consultando Agente-&gt; O agente",I2),IFERROR(FIND("Não foi possível determinar a validade do cartão, favor verificar os dados do cartão",I2),"COLUNA I")))))))))))</f>
        <v>46</v>
      </c>
    </row>
    <row r="3" spans="1:17" x14ac:dyDescent="0.25">
      <c r="A3" s="1" t="str">
        <f>_xlfn.XLOOKUP(D3,'Novo relatório'!B:B,'Novo relatório'!C:C,"RESOLVIDO")</f>
        <v>GOVER</v>
      </c>
      <c r="B3" s="1" t="s">
        <v>63</v>
      </c>
      <c r="C3" t="str">
        <f t="shared" si="0"/>
        <v>CONTABILIZAR NO PORTAL</v>
      </c>
      <c r="D3" s="1">
        <v>2441324</v>
      </c>
      <c r="E3" s="1" t="s">
        <v>24</v>
      </c>
      <c r="F3" s="2">
        <v>45296.779861111114</v>
      </c>
      <c r="G3" s="1">
        <v>371069</v>
      </c>
      <c r="H3" s="1" t="s">
        <v>68</v>
      </c>
      <c r="I3" s="1" t="s">
        <v>69</v>
      </c>
      <c r="J3" s="2">
        <v>45296.781944444447</v>
      </c>
      <c r="K3" s="2">
        <v>45491.450694444444</v>
      </c>
      <c r="L3" s="1" t="s">
        <v>14</v>
      </c>
      <c r="M3" s="1" t="str">
        <f>_xlfn.XLOOKUP(I3,Parâmetros!A:A,Parâmetros!B:B,_xlfn.XLOOKUP(Q3,Parâmetros!F:F,Parâmetros!G:G,"NOVA MENSAGEM"))</f>
        <v>TAG - ITEM VEÍCULO</v>
      </c>
      <c r="N3" s="1" t="str">
        <f>_xlfn.XLOOKUP(M3,Parâmetros!K:K,Parâmetros!L:L,"")</f>
        <v>TAGS DE DETALHAMENTO DO SERVIÇO NÃO ENVIADO NO XML</v>
      </c>
      <c r="O3" s="1" t="str">
        <f>_xlfn.XLOOKUP(M3,Parâmetros!B:B,Parâmetros!C:C,_xlfn.XLOOKUP(Base!M3,Parâmetros!G:G,Parâmetros!H:H))</f>
        <v>SISTEMA</v>
      </c>
      <c r="P3" s="1" t="str">
        <f>_xlfn.XLOOKUP(I3,Parâmetros!A:A,Parâmetros!D:D,_xlfn.XLOOKUP(Q3,Parâmetros!F:F,Parâmetros!I:I))</f>
        <v>SUPORTE OBT</v>
      </c>
      <c r="Q3" s="1">
        <f t="shared" si="1"/>
        <v>46</v>
      </c>
    </row>
    <row r="4" spans="1:17" x14ac:dyDescent="0.25">
      <c r="A4" s="1" t="str">
        <f>_xlfn.XLOOKUP(D4,'Novo relatório'!B:B,'Novo relatório'!C:C,"RESOLVIDO")</f>
        <v>GOVER</v>
      </c>
      <c r="B4" s="1" t="s">
        <v>63</v>
      </c>
      <c r="C4" t="str">
        <f t="shared" si="0"/>
        <v>CONTABILIZAR NO PORTAL</v>
      </c>
      <c r="D4" s="1">
        <v>2462054</v>
      </c>
      <c r="E4" s="1" t="s">
        <v>24</v>
      </c>
      <c r="F4" s="2">
        <v>45308.669444444444</v>
      </c>
      <c r="G4" s="1">
        <v>4260384</v>
      </c>
      <c r="H4" s="1" t="s">
        <v>70</v>
      </c>
      <c r="I4" s="1" t="s">
        <v>71</v>
      </c>
      <c r="J4" s="2">
        <v>45310.40625</v>
      </c>
      <c r="K4" s="2">
        <v>45491.447222222225</v>
      </c>
      <c r="L4" s="1" t="s">
        <v>14</v>
      </c>
      <c r="M4" s="1" t="str">
        <f>_xlfn.XLOOKUP(I4,Parâmetros!A:A,Parâmetros!B:B,_xlfn.XLOOKUP(Q4,Parâmetros!F:F,Parâmetros!G:G,"NOVA MENSAGEM"))</f>
        <v>TAG - ITEM VEÍCULO</v>
      </c>
      <c r="N4" s="1" t="str">
        <f>_xlfn.XLOOKUP(M4,Parâmetros!K:K,Parâmetros!L:L,"")</f>
        <v>TAGS DE DETALHAMENTO DO SERVIÇO NÃO ENVIADO NO XML</v>
      </c>
      <c r="O4" s="1" t="str">
        <f>_xlfn.XLOOKUP(M4,Parâmetros!B:B,Parâmetros!C:C,_xlfn.XLOOKUP(Base!M4,Parâmetros!G:G,Parâmetros!H:H))</f>
        <v>SISTEMA</v>
      </c>
      <c r="P4" s="1" t="str">
        <f>_xlfn.XLOOKUP(I4,Parâmetros!A:A,Parâmetros!D:D,_xlfn.XLOOKUP(Q4,Parâmetros!F:F,Parâmetros!I:I))</f>
        <v>SUPORTE OBT</v>
      </c>
      <c r="Q4" s="1">
        <f t="shared" si="1"/>
        <v>46</v>
      </c>
    </row>
    <row r="5" spans="1:17" x14ac:dyDescent="0.25">
      <c r="A5" s="1" t="str">
        <f>_xlfn.XLOOKUP(D5,'Novo relatório'!B:B,'Novo relatório'!C:C,"RESOLVIDO")</f>
        <v>GOVER</v>
      </c>
      <c r="B5" s="1" t="s">
        <v>63</v>
      </c>
      <c r="C5" t="str">
        <f t="shared" si="0"/>
        <v>CONTABILIZAR NO PORTAL</v>
      </c>
      <c r="D5" s="1">
        <v>2462055</v>
      </c>
      <c r="E5" s="1" t="s">
        <v>24</v>
      </c>
      <c r="F5" s="2">
        <v>45308.669444444444</v>
      </c>
      <c r="G5" s="1">
        <v>4260384</v>
      </c>
      <c r="H5" s="1" t="s">
        <v>72</v>
      </c>
      <c r="I5" s="1" t="s">
        <v>73</v>
      </c>
      <c r="J5" s="2">
        <v>45310.40625</v>
      </c>
      <c r="K5" s="2">
        <v>45491.447222222225</v>
      </c>
      <c r="L5" s="1" t="s">
        <v>14</v>
      </c>
      <c r="M5" s="1" t="str">
        <f>_xlfn.XLOOKUP(I5,Parâmetros!A:A,Parâmetros!B:B,_xlfn.XLOOKUP(Q5,Parâmetros!F:F,Parâmetros!G:G,"NOVA MENSAGEM"))</f>
        <v>TAG - ITEM VEÍCULO</v>
      </c>
      <c r="N5" s="1" t="str">
        <f>_xlfn.XLOOKUP(M5,Parâmetros!K:K,Parâmetros!L:L,"")</f>
        <v>TAGS DE DETALHAMENTO DO SERVIÇO NÃO ENVIADO NO XML</v>
      </c>
      <c r="O5" s="1" t="str">
        <f>_xlfn.XLOOKUP(M5,Parâmetros!B:B,Parâmetros!C:C,_xlfn.XLOOKUP(Base!M5,Parâmetros!G:G,Parâmetros!H:H))</f>
        <v>SISTEMA</v>
      </c>
      <c r="P5" s="1" t="str">
        <f>_xlfn.XLOOKUP(I5,Parâmetros!A:A,Parâmetros!D:D,_xlfn.XLOOKUP(Q5,Parâmetros!F:F,Parâmetros!I:I))</f>
        <v>SUPORTE OBT</v>
      </c>
      <c r="Q5" s="1">
        <f t="shared" si="1"/>
        <v>46</v>
      </c>
    </row>
    <row r="6" spans="1:17" x14ac:dyDescent="0.25">
      <c r="A6" s="1" t="str">
        <f>_xlfn.XLOOKUP(D6,'Novo relatório'!B:B,'Novo relatório'!C:C,"RESOLVIDO")</f>
        <v>GOVER</v>
      </c>
      <c r="B6" s="1" t="s">
        <v>63</v>
      </c>
      <c r="C6" t="str">
        <f t="shared" si="0"/>
        <v>CONTABILIZAR NO PORTAL</v>
      </c>
      <c r="D6" s="1">
        <v>2462882</v>
      </c>
      <c r="E6" s="1" t="s">
        <v>24</v>
      </c>
      <c r="F6" s="2">
        <v>45310.647222222222</v>
      </c>
      <c r="G6" s="1">
        <v>371848</v>
      </c>
      <c r="H6" s="1" t="s">
        <v>74</v>
      </c>
      <c r="I6" s="1" t="s">
        <v>75</v>
      </c>
      <c r="J6" s="2">
        <v>45310.650694444441</v>
      </c>
      <c r="K6" s="2">
        <v>45491.450694444444</v>
      </c>
      <c r="L6" s="1" t="s">
        <v>14</v>
      </c>
      <c r="M6" s="1" t="str">
        <f>_xlfn.XLOOKUP(I6,Parâmetros!A:A,Parâmetros!B:B,_xlfn.XLOOKUP(Q6,Parâmetros!F:F,Parâmetros!G:G,"NOVA MENSAGEM"))</f>
        <v>TAG - ITEM VEÍCULO</v>
      </c>
      <c r="N6" s="1" t="str">
        <f>_xlfn.XLOOKUP(M6,Parâmetros!K:K,Parâmetros!L:L,"")</f>
        <v>TAGS DE DETALHAMENTO DO SERVIÇO NÃO ENVIADO NO XML</v>
      </c>
      <c r="O6" s="1" t="str">
        <f>_xlfn.XLOOKUP(M6,Parâmetros!B:B,Parâmetros!C:C,_xlfn.XLOOKUP(Base!M6,Parâmetros!G:G,Parâmetros!H:H))</f>
        <v>SISTEMA</v>
      </c>
      <c r="P6" s="1" t="str">
        <f>_xlfn.XLOOKUP(I6,Parâmetros!A:A,Parâmetros!D:D,_xlfn.XLOOKUP(Q6,Parâmetros!F:F,Parâmetros!I:I))</f>
        <v>SUPORTE OBT</v>
      </c>
      <c r="Q6" s="1">
        <f t="shared" si="1"/>
        <v>46</v>
      </c>
    </row>
    <row r="7" spans="1:17" x14ac:dyDescent="0.25">
      <c r="A7" s="1" t="str">
        <f>_xlfn.XLOOKUP(D7,'Novo relatório'!B:B,'Novo relatório'!C:C,"RESOLVIDO")</f>
        <v>GOVER</v>
      </c>
      <c r="B7" s="1" t="s">
        <v>63</v>
      </c>
      <c r="C7" t="str">
        <f t="shared" si="0"/>
        <v>CONTABILIZAR NO PORTAL</v>
      </c>
      <c r="D7" s="1">
        <v>2471974</v>
      </c>
      <c r="E7" s="1" t="s">
        <v>24</v>
      </c>
      <c r="F7" s="2">
        <v>45315.670138888891</v>
      </c>
      <c r="G7" s="1">
        <v>4265017</v>
      </c>
      <c r="H7" s="1">
        <v>4265017</v>
      </c>
      <c r="I7" s="1" t="s">
        <v>77</v>
      </c>
      <c r="J7" s="2">
        <v>45315.953472222223</v>
      </c>
      <c r="K7" s="2"/>
      <c r="L7" s="1" t="s">
        <v>14</v>
      </c>
      <c r="M7" s="1" t="str">
        <f>_xlfn.XLOOKUP(I7,Parâmetros!A:A,Parâmetros!B:B,_xlfn.XLOOKUP(Q7,Parâmetros!F:F,Parâmetros!G:G,"NOVA MENSAGEM"))</f>
        <v>RLOC NÃO INFORMADO</v>
      </c>
      <c r="N7" s="1" t="str">
        <f>_xlfn.XLOOKUP(M7,Parâmetros!K:K,Parâmetros!L:L,"")</f>
        <v>RLOC NÃO PREENCHIDO NA RESERVA</v>
      </c>
      <c r="O7" s="1" t="str">
        <f>_xlfn.XLOOKUP(M7,Parâmetros!B:B,Parâmetros!C:C,_xlfn.XLOOKUP(Base!M7,Parâmetros!G:G,Parâmetros!H:H))</f>
        <v>QUALIDADE DOS DADOS</v>
      </c>
      <c r="P7" s="1" t="str">
        <f>_xlfn.XLOOKUP(I7,Parâmetros!A:A,Parâmetros!D:D,_xlfn.XLOOKUP(Q7,Parâmetros!F:F,Parâmetros!I:I))</f>
        <v>SUPORTE OBT</v>
      </c>
      <c r="Q7" s="1" t="str">
        <f t="shared" si="1"/>
        <v>COLUNA I</v>
      </c>
    </row>
    <row r="8" spans="1:17" x14ac:dyDescent="0.25">
      <c r="A8" s="1" t="str">
        <f>_xlfn.XLOOKUP(D8,'Novo relatório'!B:B,'Novo relatório'!C:C,"RESOLVIDO")</f>
        <v>GOVER</v>
      </c>
      <c r="B8" s="1" t="s">
        <v>63</v>
      </c>
      <c r="C8" t="str">
        <f t="shared" si="0"/>
        <v>CONTABILIZAR NO PORTAL</v>
      </c>
      <c r="D8" s="1">
        <v>2481704</v>
      </c>
      <c r="E8" s="1" t="s">
        <v>24</v>
      </c>
      <c r="F8" s="2">
        <v>45322.452777777777</v>
      </c>
      <c r="G8" s="1">
        <v>372367</v>
      </c>
      <c r="H8" s="1" t="s">
        <v>78</v>
      </c>
      <c r="I8" s="1" t="s">
        <v>79</v>
      </c>
      <c r="J8" s="2">
        <v>45322.456944444442</v>
      </c>
      <c r="K8" s="2">
        <v>45491.450694444444</v>
      </c>
      <c r="L8" s="1" t="s">
        <v>14</v>
      </c>
      <c r="M8" s="1" t="str">
        <f>_xlfn.XLOOKUP(I8,Parâmetros!A:A,Parâmetros!B:B,_xlfn.XLOOKUP(Q8,Parâmetros!F:F,Parâmetros!G:G,"NOVA MENSAGEM"))</f>
        <v>TAG - ITEM VEÍCULO</v>
      </c>
      <c r="N8" s="1" t="str">
        <f>_xlfn.XLOOKUP(M8,Parâmetros!K:K,Parâmetros!L:L,"")</f>
        <v>TAGS DE DETALHAMENTO DO SERVIÇO NÃO ENVIADO NO XML</v>
      </c>
      <c r="O8" s="1" t="str">
        <f>_xlfn.XLOOKUP(M8,Parâmetros!B:B,Parâmetros!C:C,_xlfn.XLOOKUP(Base!M8,Parâmetros!G:G,Parâmetros!H:H))</f>
        <v>SISTEMA</v>
      </c>
      <c r="P8" s="1" t="str">
        <f>_xlfn.XLOOKUP(I8,Parâmetros!A:A,Parâmetros!D:D,_xlfn.XLOOKUP(Q8,Parâmetros!F:F,Parâmetros!I:I))</f>
        <v>SUPORTE OBT</v>
      </c>
      <c r="Q8" s="1">
        <f t="shared" si="1"/>
        <v>46</v>
      </c>
    </row>
    <row r="9" spans="1:17" x14ac:dyDescent="0.25">
      <c r="A9" s="1" t="str">
        <f>_xlfn.XLOOKUP(D9,'Novo relatório'!B:B,'Novo relatório'!C:C,"RESOLVIDO")</f>
        <v>GOVER</v>
      </c>
      <c r="B9" s="1" t="s">
        <v>63</v>
      </c>
      <c r="C9" t="str">
        <f t="shared" si="0"/>
        <v>CONTABILIZAR NO PORTAL</v>
      </c>
      <c r="D9" s="1">
        <v>2482912</v>
      </c>
      <c r="E9" s="1" t="s">
        <v>24</v>
      </c>
      <c r="F9" s="2">
        <v>45321.384722222225</v>
      </c>
      <c r="G9" s="1">
        <v>4267690</v>
      </c>
      <c r="H9" s="1" t="s">
        <v>80</v>
      </c>
      <c r="I9" s="1" t="s">
        <v>81</v>
      </c>
      <c r="J9" s="2">
        <v>45322.739583333336</v>
      </c>
      <c r="K9" s="2">
        <v>45491.447222222225</v>
      </c>
      <c r="L9" s="1" t="s">
        <v>14</v>
      </c>
      <c r="M9" s="1" t="str">
        <f>_xlfn.XLOOKUP(I9,Parâmetros!A:A,Parâmetros!B:B,_xlfn.XLOOKUP(Q9,Parâmetros!F:F,Parâmetros!G:G,"NOVA MENSAGEM"))</f>
        <v>TAG - ITEM VEÍCULO</v>
      </c>
      <c r="N9" s="1" t="str">
        <f>_xlfn.XLOOKUP(M9,Parâmetros!K:K,Parâmetros!L:L,"")</f>
        <v>TAGS DE DETALHAMENTO DO SERVIÇO NÃO ENVIADO NO XML</v>
      </c>
      <c r="O9" s="1" t="str">
        <f>_xlfn.XLOOKUP(M9,Parâmetros!B:B,Parâmetros!C:C,_xlfn.XLOOKUP(Base!M9,Parâmetros!G:G,Parâmetros!H:H))</f>
        <v>SISTEMA</v>
      </c>
      <c r="P9" s="1" t="str">
        <f>_xlfn.XLOOKUP(I9,Parâmetros!A:A,Parâmetros!D:D,_xlfn.XLOOKUP(Q9,Parâmetros!F:F,Parâmetros!I:I))</f>
        <v>SUPORTE OBT</v>
      </c>
      <c r="Q9" s="1">
        <f t="shared" si="1"/>
        <v>46</v>
      </c>
    </row>
    <row r="10" spans="1:17" x14ac:dyDescent="0.25">
      <c r="A10" s="1" t="str">
        <f>_xlfn.XLOOKUP(D10,'Novo relatório'!B:B,'Novo relatório'!C:C,"RESOLVIDO")</f>
        <v>GOVER</v>
      </c>
      <c r="B10" s="1" t="s">
        <v>63</v>
      </c>
      <c r="C10" t="str">
        <f t="shared" si="0"/>
        <v>CONTABILIZAR NO PORTAL</v>
      </c>
      <c r="D10" s="1">
        <v>2484199</v>
      </c>
      <c r="E10" s="1" t="s">
        <v>24</v>
      </c>
      <c r="F10" s="2">
        <v>45323.532638888886</v>
      </c>
      <c r="G10" s="1">
        <v>4269492</v>
      </c>
      <c r="H10" s="1">
        <v>4269492</v>
      </c>
      <c r="I10" s="1" t="s">
        <v>77</v>
      </c>
      <c r="J10" s="2">
        <v>45323.540277777778</v>
      </c>
      <c r="K10" s="2">
        <v>45491.447222222225</v>
      </c>
      <c r="L10" s="1" t="s">
        <v>14</v>
      </c>
      <c r="M10" s="1" t="str">
        <f>_xlfn.XLOOKUP(I10,Parâmetros!A:A,Parâmetros!B:B,_xlfn.XLOOKUP(Q10,Parâmetros!F:F,Parâmetros!G:G,"NOVA MENSAGEM"))</f>
        <v>RLOC NÃO INFORMADO</v>
      </c>
      <c r="N10" s="1" t="str">
        <f>_xlfn.XLOOKUP(M10,Parâmetros!K:K,Parâmetros!L:L,"")</f>
        <v>RLOC NÃO PREENCHIDO NA RESERVA</v>
      </c>
      <c r="O10" s="1" t="str">
        <f>_xlfn.XLOOKUP(M10,Parâmetros!B:B,Parâmetros!C:C,_xlfn.XLOOKUP(Base!M10,Parâmetros!G:G,Parâmetros!H:H))</f>
        <v>QUALIDADE DOS DADOS</v>
      </c>
      <c r="P10" s="1" t="str">
        <f>_xlfn.XLOOKUP(I10,Parâmetros!A:A,Parâmetros!D:D,_xlfn.XLOOKUP(Q10,Parâmetros!F:F,Parâmetros!I:I))</f>
        <v>SUPORTE OBT</v>
      </c>
      <c r="Q10" s="1" t="str">
        <f t="shared" si="1"/>
        <v>COLUNA I</v>
      </c>
    </row>
    <row r="11" spans="1:17" x14ac:dyDescent="0.25">
      <c r="A11" s="1" t="str">
        <f>_xlfn.XLOOKUP(D11,'Novo relatório'!B:B,'Novo relatório'!C:C,"RESOLVIDO")</f>
        <v>GOVER</v>
      </c>
      <c r="B11" s="1" t="s">
        <v>63</v>
      </c>
      <c r="C11" t="str">
        <f t="shared" si="0"/>
        <v>CONTABILIZAR NO PORTAL</v>
      </c>
      <c r="D11" s="1">
        <v>2502681</v>
      </c>
      <c r="E11" s="1" t="s">
        <v>24</v>
      </c>
      <c r="F11" s="2">
        <v>45336.648611111108</v>
      </c>
      <c r="G11" s="1">
        <v>4275898</v>
      </c>
      <c r="H11" s="1">
        <v>4275898</v>
      </c>
      <c r="I11" s="1" t="s">
        <v>77</v>
      </c>
      <c r="J11" s="2">
        <v>45336.658333333333</v>
      </c>
      <c r="K11" s="2">
        <v>45491.447222222225</v>
      </c>
      <c r="L11" s="1" t="s">
        <v>14</v>
      </c>
      <c r="M11" s="1" t="str">
        <f>_xlfn.XLOOKUP(I11,Parâmetros!A:A,Parâmetros!B:B,_xlfn.XLOOKUP(Q11,Parâmetros!F:F,Parâmetros!G:G,"NOVA MENSAGEM"))</f>
        <v>RLOC NÃO INFORMADO</v>
      </c>
      <c r="N11" s="1" t="str">
        <f>_xlfn.XLOOKUP(M11,Parâmetros!K:K,Parâmetros!L:L,"")</f>
        <v>RLOC NÃO PREENCHIDO NA RESERVA</v>
      </c>
      <c r="O11" s="1" t="str">
        <f>_xlfn.XLOOKUP(M11,Parâmetros!B:B,Parâmetros!C:C,_xlfn.XLOOKUP(Base!M11,Parâmetros!G:G,Parâmetros!H:H))</f>
        <v>QUALIDADE DOS DADOS</v>
      </c>
      <c r="P11" s="1" t="str">
        <f>_xlfn.XLOOKUP(I11,Parâmetros!A:A,Parâmetros!D:D,_xlfn.XLOOKUP(Q11,Parâmetros!F:F,Parâmetros!I:I))</f>
        <v>SUPORTE OBT</v>
      </c>
      <c r="Q11" s="1" t="str">
        <f t="shared" si="1"/>
        <v>COLUNA I</v>
      </c>
    </row>
    <row r="12" spans="1:17" x14ac:dyDescent="0.25">
      <c r="A12" s="1" t="str">
        <f>_xlfn.XLOOKUP(D12,'Novo relatório'!B:B,'Novo relatório'!C:C,"RESOLVIDO")</f>
        <v>GOVER</v>
      </c>
      <c r="B12" s="1" t="s">
        <v>63</v>
      </c>
      <c r="C12" t="str">
        <f t="shared" si="0"/>
        <v>CONTABILIZAR NO PORTAL</v>
      </c>
      <c r="D12" s="1">
        <v>2506539</v>
      </c>
      <c r="E12" s="1" t="s">
        <v>24</v>
      </c>
      <c r="F12" s="2">
        <v>45338.347916666666</v>
      </c>
      <c r="G12" s="1">
        <v>373092</v>
      </c>
      <c r="H12" s="1" t="s">
        <v>87</v>
      </c>
      <c r="I12" s="1" t="s">
        <v>88</v>
      </c>
      <c r="J12" s="2">
        <v>45338.350694444445</v>
      </c>
      <c r="K12" s="2">
        <v>45491.450694444444</v>
      </c>
      <c r="L12" s="1" t="s">
        <v>14</v>
      </c>
      <c r="M12" s="1" t="str">
        <f>_xlfn.XLOOKUP(I12,Parâmetros!A:A,Parâmetros!B:B,_xlfn.XLOOKUP(Q12,Parâmetros!F:F,Parâmetros!G:G,"NOVA MENSAGEM"))</f>
        <v>TAG - ITEM VEÍCULO</v>
      </c>
      <c r="N12" s="1" t="str">
        <f>_xlfn.XLOOKUP(M12,Parâmetros!K:K,Parâmetros!L:L,"")</f>
        <v>TAGS DE DETALHAMENTO DO SERVIÇO NÃO ENVIADO NO XML</v>
      </c>
      <c r="O12" s="1" t="str">
        <f>_xlfn.XLOOKUP(M12,Parâmetros!B:B,Parâmetros!C:C,_xlfn.XLOOKUP(Base!M12,Parâmetros!G:G,Parâmetros!H:H))</f>
        <v>SISTEMA</v>
      </c>
      <c r="P12" s="1" t="str">
        <f>_xlfn.XLOOKUP(I12,Parâmetros!A:A,Parâmetros!D:D,_xlfn.XLOOKUP(Q12,Parâmetros!F:F,Parâmetros!I:I))</f>
        <v>SUPORTE OBT</v>
      </c>
      <c r="Q12" s="1">
        <f t="shared" si="1"/>
        <v>46</v>
      </c>
    </row>
    <row r="13" spans="1:17" x14ac:dyDescent="0.25">
      <c r="A13" s="1" t="str">
        <f>_xlfn.XLOOKUP(D13,'Novo relatório'!B:B,'Novo relatório'!C:C,"RESOLVIDO")</f>
        <v>GOVER</v>
      </c>
      <c r="B13" s="1" t="s">
        <v>63</v>
      </c>
      <c r="C13" t="str">
        <f t="shared" si="0"/>
        <v>CONTABILIZAR NO PORTAL</v>
      </c>
      <c r="D13" s="1">
        <v>2506824</v>
      </c>
      <c r="E13" s="1" t="s">
        <v>24</v>
      </c>
      <c r="F13" s="2">
        <v>45338.459027777775</v>
      </c>
      <c r="G13" s="1">
        <v>373117</v>
      </c>
      <c r="H13" s="1" t="s">
        <v>89</v>
      </c>
      <c r="I13" s="1" t="s">
        <v>90</v>
      </c>
      <c r="J13" s="2">
        <v>45338.463194444441</v>
      </c>
      <c r="K13" s="2">
        <v>45447.513888888891</v>
      </c>
      <c r="L13" s="1" t="s">
        <v>14</v>
      </c>
      <c r="M13" s="1" t="str">
        <f>_xlfn.XLOOKUP(I13,Parâmetros!A:A,Parâmetros!B:B,_xlfn.XLOOKUP(Q13,Parâmetros!F:F,Parâmetros!G:G,"NOVA MENSAGEM"))</f>
        <v>TAG - ITEM VEÍCULO</v>
      </c>
      <c r="N13" s="1" t="str">
        <f>_xlfn.XLOOKUP(M13,Parâmetros!K:K,Parâmetros!L:L,"")</f>
        <v>TAGS DE DETALHAMENTO DO SERVIÇO NÃO ENVIADO NO XML</v>
      </c>
      <c r="O13" s="1" t="str">
        <f>_xlfn.XLOOKUP(M13,Parâmetros!B:B,Parâmetros!C:C,_xlfn.XLOOKUP(Base!M13,Parâmetros!G:G,Parâmetros!H:H))</f>
        <v>SISTEMA</v>
      </c>
      <c r="P13" s="1" t="str">
        <f>_xlfn.XLOOKUP(I13,Parâmetros!A:A,Parâmetros!D:D,_xlfn.XLOOKUP(Q13,Parâmetros!F:F,Parâmetros!I:I))</f>
        <v>SUPORTE OBT</v>
      </c>
      <c r="Q13" s="1">
        <f t="shared" si="1"/>
        <v>46</v>
      </c>
    </row>
    <row r="14" spans="1:17" x14ac:dyDescent="0.25">
      <c r="A14" s="1" t="str">
        <f>_xlfn.XLOOKUP(D14,'Novo relatório'!B:B,'Novo relatório'!C:C,"RESOLVIDO")</f>
        <v>GOVER</v>
      </c>
      <c r="B14" s="1" t="s">
        <v>63</v>
      </c>
      <c r="C14" t="str">
        <f t="shared" si="0"/>
        <v>CONTABILIZAR NO PORTAL</v>
      </c>
      <c r="D14" s="1">
        <v>2510509</v>
      </c>
      <c r="E14" s="1" t="s">
        <v>24</v>
      </c>
      <c r="F14" s="2">
        <v>45341.584027777775</v>
      </c>
      <c r="G14" s="1">
        <v>373227</v>
      </c>
      <c r="H14" s="1" t="s">
        <v>91</v>
      </c>
      <c r="I14" s="1" t="s">
        <v>92</v>
      </c>
      <c r="J14" s="2">
        <v>45341.588194444441</v>
      </c>
      <c r="K14" s="2">
        <v>45491.450694444444</v>
      </c>
      <c r="L14" s="1" t="s">
        <v>14</v>
      </c>
      <c r="M14" s="1" t="str">
        <f>_xlfn.XLOOKUP(I14,Parâmetros!A:A,Parâmetros!B:B,_xlfn.XLOOKUP(Q14,Parâmetros!F:F,Parâmetros!G:G,"NOVA MENSAGEM"))</f>
        <v>TAG - ITEM VEÍCULO</v>
      </c>
      <c r="N14" s="1" t="str">
        <f>_xlfn.XLOOKUP(M14,Parâmetros!K:K,Parâmetros!L:L,"")</f>
        <v>TAGS DE DETALHAMENTO DO SERVIÇO NÃO ENVIADO NO XML</v>
      </c>
      <c r="O14" s="1" t="str">
        <f>_xlfn.XLOOKUP(M14,Parâmetros!B:B,Parâmetros!C:C,_xlfn.XLOOKUP(Base!M14,Parâmetros!G:G,Parâmetros!H:H))</f>
        <v>SISTEMA</v>
      </c>
      <c r="P14" s="1" t="str">
        <f>_xlfn.XLOOKUP(I14,Parâmetros!A:A,Parâmetros!D:D,_xlfn.XLOOKUP(Q14,Parâmetros!F:F,Parâmetros!I:I))</f>
        <v>SUPORTE OBT</v>
      </c>
      <c r="Q14" s="1">
        <f t="shared" si="1"/>
        <v>46</v>
      </c>
    </row>
    <row r="15" spans="1:17" x14ac:dyDescent="0.25">
      <c r="A15" s="1" t="str">
        <f>_xlfn.XLOOKUP(D15,'Novo relatório'!B:B,'Novo relatório'!C:C,"RESOLVIDO")</f>
        <v>GOVER</v>
      </c>
      <c r="B15" s="1" t="s">
        <v>63</v>
      </c>
      <c r="C15" t="str">
        <f t="shared" si="0"/>
        <v>CONTABILIZAR NO PORTAL</v>
      </c>
      <c r="D15" s="1">
        <v>2511871</v>
      </c>
      <c r="E15" s="1" t="s">
        <v>24</v>
      </c>
      <c r="F15" s="2">
        <v>45341.75</v>
      </c>
      <c r="G15" s="1">
        <v>373256</v>
      </c>
      <c r="H15" s="1" t="s">
        <v>93</v>
      </c>
      <c r="I15" s="1" t="s">
        <v>94</v>
      </c>
      <c r="J15" s="2">
        <v>45341.750694444447</v>
      </c>
      <c r="K15" s="2">
        <v>45491.450694444444</v>
      </c>
      <c r="L15" s="1" t="s">
        <v>14</v>
      </c>
      <c r="M15" s="1" t="str">
        <f>_xlfn.XLOOKUP(I15,Parâmetros!A:A,Parâmetros!B:B,_xlfn.XLOOKUP(Q15,Parâmetros!F:F,Parâmetros!G:G,"NOVA MENSAGEM"))</f>
        <v>TAG - ITEM VEÍCULO</v>
      </c>
      <c r="N15" s="1" t="str">
        <f>_xlfn.XLOOKUP(M15,Parâmetros!K:K,Parâmetros!L:L,"")</f>
        <v>TAGS DE DETALHAMENTO DO SERVIÇO NÃO ENVIADO NO XML</v>
      </c>
      <c r="O15" s="1" t="str">
        <f>_xlfn.XLOOKUP(M15,Parâmetros!B:B,Parâmetros!C:C,_xlfn.XLOOKUP(Base!M15,Parâmetros!G:G,Parâmetros!H:H))</f>
        <v>SISTEMA</v>
      </c>
      <c r="P15" s="1" t="str">
        <f>_xlfn.XLOOKUP(I15,Parâmetros!A:A,Parâmetros!D:D,_xlfn.XLOOKUP(Q15,Parâmetros!F:F,Parâmetros!I:I))</f>
        <v>SUPORTE OBT</v>
      </c>
      <c r="Q15" s="1">
        <f t="shared" si="1"/>
        <v>46</v>
      </c>
    </row>
    <row r="16" spans="1:17" x14ac:dyDescent="0.25">
      <c r="A16" s="1" t="str">
        <f>_xlfn.XLOOKUP(D16,'Novo relatório'!B:B,'Novo relatório'!C:C,"RESOLVIDO")</f>
        <v>GOVER</v>
      </c>
      <c r="B16" s="1" t="s">
        <v>63</v>
      </c>
      <c r="C16" t="str">
        <f t="shared" si="0"/>
        <v>CONTABILIZAR NO PORTAL</v>
      </c>
      <c r="D16" s="1">
        <v>2515586</v>
      </c>
      <c r="E16" s="1" t="s">
        <v>24</v>
      </c>
      <c r="F16" s="2">
        <v>45343.414583333331</v>
      </c>
      <c r="G16" s="1">
        <v>373343</v>
      </c>
      <c r="H16" s="1" t="s">
        <v>97</v>
      </c>
      <c r="I16" s="1" t="s">
        <v>98</v>
      </c>
      <c r="J16" s="2">
        <v>45343.419444444444</v>
      </c>
      <c r="K16" s="2">
        <v>45447.513888888891</v>
      </c>
      <c r="L16" s="1" t="s">
        <v>14</v>
      </c>
      <c r="M16" s="1" t="str">
        <f>_xlfn.XLOOKUP(I16,Parâmetros!A:A,Parâmetros!B:B,_xlfn.XLOOKUP(Q16,Parâmetros!F:F,Parâmetros!G:G,"NOVA MENSAGEM"))</f>
        <v>TAG - ITEM VEÍCULO</v>
      </c>
      <c r="N16" s="1" t="str">
        <f>_xlfn.XLOOKUP(M16,Parâmetros!K:K,Parâmetros!L:L,"")</f>
        <v>TAGS DE DETALHAMENTO DO SERVIÇO NÃO ENVIADO NO XML</v>
      </c>
      <c r="O16" s="1" t="str">
        <f>_xlfn.XLOOKUP(M16,Parâmetros!B:B,Parâmetros!C:C,_xlfn.XLOOKUP(Base!M16,Parâmetros!G:G,Parâmetros!H:H))</f>
        <v>SISTEMA</v>
      </c>
      <c r="P16" s="1" t="str">
        <f>_xlfn.XLOOKUP(I16,Parâmetros!A:A,Parâmetros!D:D,_xlfn.XLOOKUP(Q16,Parâmetros!F:F,Parâmetros!I:I))</f>
        <v>SUPORTE OBT</v>
      </c>
      <c r="Q16" s="1">
        <f t="shared" si="1"/>
        <v>46</v>
      </c>
    </row>
    <row r="17" spans="1:17" x14ac:dyDescent="0.25">
      <c r="A17" s="1" t="str">
        <f>_xlfn.XLOOKUP(D17,'Novo relatório'!B:B,'Novo relatório'!C:C,"RESOLVIDO")</f>
        <v>GOVER</v>
      </c>
      <c r="B17" s="1" t="s">
        <v>63</v>
      </c>
      <c r="C17" t="str">
        <f t="shared" si="0"/>
        <v>CONTABILIZAR NO PORTAL</v>
      </c>
      <c r="D17" s="1">
        <v>2520444</v>
      </c>
      <c r="E17" s="1" t="s">
        <v>24</v>
      </c>
      <c r="F17" s="2">
        <v>45345.408333333333</v>
      </c>
      <c r="G17" s="1">
        <v>373484</v>
      </c>
      <c r="H17" s="1" t="s">
        <v>99</v>
      </c>
      <c r="I17" s="1" t="s">
        <v>100</v>
      </c>
      <c r="J17" s="2">
        <v>45345.413194444445</v>
      </c>
      <c r="K17" s="2">
        <v>45491.450694444444</v>
      </c>
      <c r="L17" s="1" t="s">
        <v>14</v>
      </c>
      <c r="M17" s="1" t="str">
        <f>_xlfn.XLOOKUP(I17,Parâmetros!A:A,Parâmetros!B:B,_xlfn.XLOOKUP(Q17,Parâmetros!F:F,Parâmetros!G:G,"NOVA MENSAGEM"))</f>
        <v>TAG - ITEM VEÍCULO</v>
      </c>
      <c r="N17" s="1" t="str">
        <f>_xlfn.XLOOKUP(M17,Parâmetros!K:K,Parâmetros!L:L,"")</f>
        <v>TAGS DE DETALHAMENTO DO SERVIÇO NÃO ENVIADO NO XML</v>
      </c>
      <c r="O17" s="1" t="str">
        <f>_xlfn.XLOOKUP(M17,Parâmetros!B:B,Parâmetros!C:C,_xlfn.XLOOKUP(Base!M17,Parâmetros!G:G,Parâmetros!H:H))</f>
        <v>SISTEMA</v>
      </c>
      <c r="P17" s="1" t="str">
        <f>_xlfn.XLOOKUP(I17,Parâmetros!A:A,Parâmetros!D:D,_xlfn.XLOOKUP(Q17,Parâmetros!F:F,Parâmetros!I:I))</f>
        <v>SUPORTE OBT</v>
      </c>
      <c r="Q17" s="1">
        <f t="shared" si="1"/>
        <v>46</v>
      </c>
    </row>
    <row r="18" spans="1:17" x14ac:dyDescent="0.25">
      <c r="A18" s="1" t="str">
        <f>_xlfn.XLOOKUP(D18,'Novo relatório'!B:B,'Novo relatório'!C:C,"RESOLVIDO")</f>
        <v>GOVER</v>
      </c>
      <c r="B18" s="1" t="s">
        <v>63</v>
      </c>
      <c r="C18" t="str">
        <f t="shared" si="0"/>
        <v>CONTABILIZAR NO PORTAL</v>
      </c>
      <c r="D18" s="1">
        <v>2530619</v>
      </c>
      <c r="E18" s="1" t="s">
        <v>24</v>
      </c>
      <c r="F18" s="2">
        <v>45349.414583333331</v>
      </c>
      <c r="G18" s="1">
        <v>4285326</v>
      </c>
      <c r="H18" s="1">
        <v>4285326</v>
      </c>
      <c r="I18" s="1" t="s">
        <v>77</v>
      </c>
      <c r="J18" s="2">
        <v>45350.771527777775</v>
      </c>
      <c r="K18" s="2">
        <v>45491.447222222225</v>
      </c>
      <c r="L18" s="1" t="s">
        <v>14</v>
      </c>
      <c r="M18" s="1" t="str">
        <f>_xlfn.XLOOKUP(I18,Parâmetros!A:A,Parâmetros!B:B,_xlfn.XLOOKUP(Q18,Parâmetros!F:F,Parâmetros!G:G,"NOVA MENSAGEM"))</f>
        <v>RLOC NÃO INFORMADO</v>
      </c>
      <c r="N18" s="1" t="str">
        <f>_xlfn.XLOOKUP(M18,Parâmetros!K:K,Parâmetros!L:L,"")</f>
        <v>RLOC NÃO PREENCHIDO NA RESERVA</v>
      </c>
      <c r="O18" s="1" t="str">
        <f>_xlfn.XLOOKUP(M18,Parâmetros!B:B,Parâmetros!C:C,_xlfn.XLOOKUP(Base!M18,Parâmetros!G:G,Parâmetros!H:H))</f>
        <v>QUALIDADE DOS DADOS</v>
      </c>
      <c r="P18" s="1" t="str">
        <f>_xlfn.XLOOKUP(I18,Parâmetros!A:A,Parâmetros!D:D,_xlfn.XLOOKUP(Q18,Parâmetros!F:F,Parâmetros!I:I))</f>
        <v>SUPORTE OBT</v>
      </c>
      <c r="Q18" s="1" t="str">
        <f t="shared" si="1"/>
        <v>COLUNA I</v>
      </c>
    </row>
    <row r="19" spans="1:17" x14ac:dyDescent="0.25">
      <c r="A19" s="1" t="str">
        <f>_xlfn.XLOOKUP(D19,'Novo relatório'!B:B,'Novo relatório'!C:C,"RESOLVIDO")</f>
        <v>GOVER</v>
      </c>
      <c r="B19" s="1" t="s">
        <v>63</v>
      </c>
      <c r="C19" t="str">
        <f t="shared" si="0"/>
        <v>CONTABILIZAR NO PORTAL</v>
      </c>
      <c r="D19" s="1">
        <v>2544555</v>
      </c>
      <c r="E19" s="1" t="s">
        <v>24</v>
      </c>
      <c r="F19" s="2">
        <v>45355.592361111114</v>
      </c>
      <c r="G19" s="1">
        <v>373967</v>
      </c>
      <c r="H19" s="1" t="s">
        <v>105</v>
      </c>
      <c r="I19" s="1" t="s">
        <v>106</v>
      </c>
      <c r="J19" s="2">
        <v>45358.713194444441</v>
      </c>
      <c r="K19" s="2">
        <v>45491.450694444444</v>
      </c>
      <c r="L19" s="1" t="s">
        <v>14</v>
      </c>
      <c r="M19" s="1" t="str">
        <f>_xlfn.XLOOKUP(I19,Parâmetros!A:A,Parâmetros!B:B,_xlfn.XLOOKUP(Q19,Parâmetros!F:F,Parâmetros!G:G,"NOVA MENSAGEM"))</f>
        <v>TAG - ITEM VEÍCULO</v>
      </c>
      <c r="N19" s="1" t="str">
        <f>_xlfn.XLOOKUP(M19,Parâmetros!K:K,Parâmetros!L:L,"")</f>
        <v>TAGS DE DETALHAMENTO DO SERVIÇO NÃO ENVIADO NO XML</v>
      </c>
      <c r="O19" s="1" t="str">
        <f>_xlfn.XLOOKUP(M19,Parâmetros!B:B,Parâmetros!C:C,_xlfn.XLOOKUP(Base!M19,Parâmetros!G:G,Parâmetros!H:H))</f>
        <v>SISTEMA</v>
      </c>
      <c r="P19" s="1" t="str">
        <f>_xlfn.XLOOKUP(I19,Parâmetros!A:A,Parâmetros!D:D,_xlfn.XLOOKUP(Q19,Parâmetros!F:F,Parâmetros!I:I))</f>
        <v>SUPORTE OBT</v>
      </c>
      <c r="Q19" s="1">
        <f t="shared" si="1"/>
        <v>46</v>
      </c>
    </row>
    <row r="20" spans="1:17" x14ac:dyDescent="0.25">
      <c r="A20" s="1" t="str">
        <f>_xlfn.XLOOKUP(D20,'Novo relatório'!B:B,'Novo relatório'!C:C,"RESOLVIDO")</f>
        <v>GOVER</v>
      </c>
      <c r="B20" s="1" t="s">
        <v>63</v>
      </c>
      <c r="C20" t="str">
        <f t="shared" si="0"/>
        <v>CONTABILIZAR NO PORTAL</v>
      </c>
      <c r="D20" s="1">
        <v>2544556</v>
      </c>
      <c r="E20" s="1" t="s">
        <v>24</v>
      </c>
      <c r="F20" s="2">
        <v>45355.592361111114</v>
      </c>
      <c r="G20" s="1">
        <v>373967</v>
      </c>
      <c r="H20" s="1" t="s">
        <v>107</v>
      </c>
      <c r="I20" s="1" t="s">
        <v>108</v>
      </c>
      <c r="J20" s="2">
        <v>45358.713194444441</v>
      </c>
      <c r="K20" s="2">
        <v>45491.450694444444</v>
      </c>
      <c r="L20" s="1" t="s">
        <v>14</v>
      </c>
      <c r="M20" s="1" t="str">
        <f>_xlfn.XLOOKUP(I20,Parâmetros!A:A,Parâmetros!B:B,_xlfn.XLOOKUP(Q20,Parâmetros!F:F,Parâmetros!G:G,"NOVA MENSAGEM"))</f>
        <v>TAG - ITEM VEÍCULO</v>
      </c>
      <c r="N20" s="1" t="str">
        <f>_xlfn.XLOOKUP(M20,Parâmetros!K:K,Parâmetros!L:L,"")</f>
        <v>TAGS DE DETALHAMENTO DO SERVIÇO NÃO ENVIADO NO XML</v>
      </c>
      <c r="O20" s="1" t="str">
        <f>_xlfn.XLOOKUP(M20,Parâmetros!B:B,Parâmetros!C:C,_xlfn.XLOOKUP(Base!M20,Parâmetros!G:G,Parâmetros!H:H))</f>
        <v>SISTEMA</v>
      </c>
      <c r="P20" s="1" t="str">
        <f>_xlfn.XLOOKUP(I20,Parâmetros!A:A,Parâmetros!D:D,_xlfn.XLOOKUP(Q20,Parâmetros!F:F,Parâmetros!I:I))</f>
        <v>SUPORTE OBT</v>
      </c>
      <c r="Q20" s="1">
        <f t="shared" si="1"/>
        <v>46</v>
      </c>
    </row>
    <row r="21" spans="1:17" x14ac:dyDescent="0.25">
      <c r="A21" s="1" t="str">
        <f>_xlfn.XLOOKUP(D21,'Novo relatório'!B:B,'Novo relatório'!C:C,"RESOLVIDO")</f>
        <v>GOVER</v>
      </c>
      <c r="B21" s="1" t="s">
        <v>63</v>
      </c>
      <c r="C21" t="str">
        <f t="shared" si="0"/>
        <v>CONTABILIZAR NO PORTAL</v>
      </c>
      <c r="D21" s="1">
        <v>2545970</v>
      </c>
      <c r="E21" s="1" t="s">
        <v>24</v>
      </c>
      <c r="F21" s="2">
        <v>45359.588888888888</v>
      </c>
      <c r="G21" s="1">
        <v>374371</v>
      </c>
      <c r="H21" s="1" t="s">
        <v>109</v>
      </c>
      <c r="I21" s="1" t="s">
        <v>110</v>
      </c>
      <c r="J21" s="2">
        <v>45359.594444444447</v>
      </c>
      <c r="K21" s="2">
        <v>45491.444444444445</v>
      </c>
      <c r="L21" s="1" t="s">
        <v>14</v>
      </c>
      <c r="M21" s="1" t="str">
        <f>_xlfn.XLOOKUP(I21,Parâmetros!A:A,Parâmetros!B:B,_xlfn.XLOOKUP(Q21,Parâmetros!F:F,Parâmetros!G:G,"NOVA MENSAGEM"))</f>
        <v>TAG - ITEM VEÍCULO</v>
      </c>
      <c r="N21" s="1" t="str">
        <f>_xlfn.XLOOKUP(M21,Parâmetros!K:K,Parâmetros!L:L,"")</f>
        <v>TAGS DE DETALHAMENTO DO SERVIÇO NÃO ENVIADO NO XML</v>
      </c>
      <c r="O21" s="1" t="str">
        <f>_xlfn.XLOOKUP(M21,Parâmetros!B:B,Parâmetros!C:C,_xlfn.XLOOKUP(Base!M21,Parâmetros!G:G,Parâmetros!H:H))</f>
        <v>SISTEMA</v>
      </c>
      <c r="P21" s="1" t="str">
        <f>_xlfn.XLOOKUP(I21,Parâmetros!A:A,Parâmetros!D:D,_xlfn.XLOOKUP(Q21,Parâmetros!F:F,Parâmetros!I:I))</f>
        <v>SUPORTE OBT</v>
      </c>
      <c r="Q21" s="1">
        <f t="shared" si="1"/>
        <v>46</v>
      </c>
    </row>
    <row r="22" spans="1:17" x14ac:dyDescent="0.25">
      <c r="A22" s="1" t="str">
        <f>_xlfn.XLOOKUP(D22,'Novo relatório'!B:B,'Novo relatório'!C:C,"RESOLVIDO")</f>
        <v>GOVER</v>
      </c>
      <c r="B22" s="1" t="s">
        <v>63</v>
      </c>
      <c r="C22" t="str">
        <f t="shared" si="0"/>
        <v>CONTABILIZAR NO PORTAL</v>
      </c>
      <c r="D22" s="1">
        <v>2546428</v>
      </c>
      <c r="E22" s="1" t="s">
        <v>24</v>
      </c>
      <c r="F22" s="2">
        <v>45359.637499999997</v>
      </c>
      <c r="G22" s="1">
        <v>374393</v>
      </c>
      <c r="H22" s="1" t="s">
        <v>111</v>
      </c>
      <c r="I22" s="1" t="s">
        <v>112</v>
      </c>
      <c r="J22" s="2">
        <v>45359.644444444442</v>
      </c>
      <c r="K22" s="2">
        <v>45491.444444444445</v>
      </c>
      <c r="L22" s="1" t="s">
        <v>14</v>
      </c>
      <c r="M22" s="1" t="str">
        <f>_xlfn.XLOOKUP(I22,Parâmetros!A:A,Parâmetros!B:B,_xlfn.XLOOKUP(Q22,Parâmetros!F:F,Parâmetros!G:G,"NOVA MENSAGEM"))</f>
        <v>TAG - ITEM VEÍCULO</v>
      </c>
      <c r="N22" s="1" t="str">
        <f>_xlfn.XLOOKUP(M22,Parâmetros!K:K,Parâmetros!L:L,"")</f>
        <v>TAGS DE DETALHAMENTO DO SERVIÇO NÃO ENVIADO NO XML</v>
      </c>
      <c r="O22" s="1" t="str">
        <f>_xlfn.XLOOKUP(M22,Parâmetros!B:B,Parâmetros!C:C,_xlfn.XLOOKUP(Base!M22,Parâmetros!G:G,Parâmetros!H:H))</f>
        <v>SISTEMA</v>
      </c>
      <c r="P22" s="1" t="str">
        <f>_xlfn.XLOOKUP(I22,Parâmetros!A:A,Parâmetros!D:D,_xlfn.XLOOKUP(Q22,Parâmetros!F:F,Parâmetros!I:I))</f>
        <v>SUPORTE OBT</v>
      </c>
      <c r="Q22" s="1">
        <f t="shared" si="1"/>
        <v>46</v>
      </c>
    </row>
    <row r="23" spans="1:17" x14ac:dyDescent="0.25">
      <c r="A23" s="1" t="str">
        <f>_xlfn.XLOOKUP(D23,'Novo relatório'!B:B,'Novo relatório'!C:C,"RESOLVIDO")</f>
        <v>RESOLVIDO</v>
      </c>
      <c r="C23" t="str">
        <f t="shared" si="0"/>
        <v>RESOLVIDO</v>
      </c>
      <c r="D23" s="1">
        <v>2547495</v>
      </c>
      <c r="E23" s="1" t="s">
        <v>12</v>
      </c>
      <c r="F23" s="2">
        <v>45359.821527777778</v>
      </c>
      <c r="G23" s="1">
        <v>7060</v>
      </c>
      <c r="H23" s="1">
        <v>7060</v>
      </c>
      <c r="I23" s="1" t="s">
        <v>113</v>
      </c>
      <c r="J23" s="2">
        <v>45359.886111111111</v>
      </c>
      <c r="K23" s="2">
        <v>45362.925694444442</v>
      </c>
      <c r="L23" s="1" t="s">
        <v>14</v>
      </c>
      <c r="M23" s="1" t="str">
        <f>_xlfn.XLOOKUP(I23,Parâmetros!A:A,Parâmetros!B:B,_xlfn.XLOOKUP(Q23,Parâmetros!F:F,Parâmetros!G:G,"NOVA MENSAGEM"))</f>
        <v>FORMATO DE TEXTO</v>
      </c>
      <c r="N23" s="1" t="str">
        <f>_xlfn.XLOOKUP(M23,Parâmetros!K:K,Parâmetros!L:L,"")</f>
        <v>TEXTO FORA DO PADRÃO ACEITO NO CAMPO</v>
      </c>
      <c r="O23" s="1" t="str">
        <f>_xlfn.XLOOKUP(M23,Parâmetros!B:B,Parâmetros!C:C,_xlfn.XLOOKUP(Base!M23,Parâmetros!G:G,Parâmetros!H:H))</f>
        <v>INDEFINIDO</v>
      </c>
      <c r="P23" s="1" t="str">
        <f>_xlfn.XLOOKUP(I23,Parâmetros!A:A,Parâmetros!D:D,_xlfn.XLOOKUP(Q23,Parâmetros!F:F,Parâmetros!I:I))</f>
        <v>SUPORTE OBT</v>
      </c>
      <c r="Q23" s="1" t="str">
        <f t="shared" si="1"/>
        <v>COLUNA I</v>
      </c>
    </row>
    <row r="24" spans="1:17" x14ac:dyDescent="0.25">
      <c r="A24" s="1" t="str">
        <f>_xlfn.XLOOKUP(D24,'Novo relatório'!B:B,'Novo relatório'!C:C,"RESOLVIDO")</f>
        <v>GOVER</v>
      </c>
      <c r="B24" s="1" t="s">
        <v>63</v>
      </c>
      <c r="C24" t="str">
        <f t="shared" si="0"/>
        <v>CONTABILIZAR NO PORTAL</v>
      </c>
      <c r="D24" s="1">
        <v>2557760</v>
      </c>
      <c r="E24" s="1" t="s">
        <v>24</v>
      </c>
      <c r="F24" s="2">
        <v>45365.38958333333</v>
      </c>
      <c r="G24" s="1">
        <v>374703</v>
      </c>
      <c r="H24" s="1" t="s">
        <v>115</v>
      </c>
      <c r="I24" s="1" t="s">
        <v>116</v>
      </c>
      <c r="J24" s="2">
        <v>45365.394444444442</v>
      </c>
      <c r="K24" s="2">
        <v>45491.444444444445</v>
      </c>
      <c r="L24" s="1" t="s">
        <v>14</v>
      </c>
      <c r="M24" s="1" t="str">
        <f>_xlfn.XLOOKUP(I24,Parâmetros!A:A,Parâmetros!B:B,_xlfn.XLOOKUP(Q24,Parâmetros!F:F,Parâmetros!G:G,"NOVA MENSAGEM"))</f>
        <v>TAG - ITEM VEÍCULO</v>
      </c>
      <c r="N24" s="1" t="str">
        <f>_xlfn.XLOOKUP(M24,Parâmetros!K:K,Parâmetros!L:L,"")</f>
        <v>TAGS DE DETALHAMENTO DO SERVIÇO NÃO ENVIADO NO XML</v>
      </c>
      <c r="O24" s="1" t="str">
        <f>_xlfn.XLOOKUP(M24,Parâmetros!B:B,Parâmetros!C:C,_xlfn.XLOOKUP(Base!M24,Parâmetros!G:G,Parâmetros!H:H))</f>
        <v>SISTEMA</v>
      </c>
      <c r="P24" s="1" t="str">
        <f>_xlfn.XLOOKUP(I24,Parâmetros!A:A,Parâmetros!D:D,_xlfn.XLOOKUP(Q24,Parâmetros!F:F,Parâmetros!I:I))</f>
        <v>SUPORTE OBT</v>
      </c>
      <c r="Q24" s="1">
        <f t="shared" si="1"/>
        <v>46</v>
      </c>
    </row>
    <row r="25" spans="1:17" x14ac:dyDescent="0.25">
      <c r="A25" s="1" t="str">
        <f>_xlfn.XLOOKUP(D25,'Novo relatório'!B:B,'Novo relatório'!C:C,"RESOLVIDO")</f>
        <v>GOVER</v>
      </c>
      <c r="B25" s="1" t="s">
        <v>63</v>
      </c>
      <c r="C25" t="str">
        <f t="shared" si="0"/>
        <v>CONTABILIZAR NO PORTAL</v>
      </c>
      <c r="D25" s="1">
        <v>2560283</v>
      </c>
      <c r="E25" s="1" t="s">
        <v>24</v>
      </c>
      <c r="F25" s="2">
        <v>45366.370138888888</v>
      </c>
      <c r="G25" s="1">
        <v>374798</v>
      </c>
      <c r="H25" s="1" t="s">
        <v>117</v>
      </c>
      <c r="I25" s="1" t="s">
        <v>118</v>
      </c>
      <c r="J25" s="2">
        <v>45366.400694444441</v>
      </c>
      <c r="K25" s="2">
        <v>45491.444444444445</v>
      </c>
      <c r="L25" s="1" t="s">
        <v>14</v>
      </c>
      <c r="M25" s="1" t="str">
        <f>_xlfn.XLOOKUP(I25,Parâmetros!A:A,Parâmetros!B:B,_xlfn.XLOOKUP(Q25,Parâmetros!F:F,Parâmetros!G:G,"NOVA MENSAGEM"))</f>
        <v>TAG - ITEM VEÍCULO</v>
      </c>
      <c r="N25" s="1" t="str">
        <f>_xlfn.XLOOKUP(M25,Parâmetros!K:K,Parâmetros!L:L,"")</f>
        <v>TAGS DE DETALHAMENTO DO SERVIÇO NÃO ENVIADO NO XML</v>
      </c>
      <c r="O25" s="1" t="str">
        <f>_xlfn.XLOOKUP(M25,Parâmetros!B:B,Parâmetros!C:C,_xlfn.XLOOKUP(Base!M25,Parâmetros!G:G,Parâmetros!H:H))</f>
        <v>SISTEMA</v>
      </c>
      <c r="P25" s="1" t="str">
        <f>_xlfn.XLOOKUP(I25,Parâmetros!A:A,Parâmetros!D:D,_xlfn.XLOOKUP(Q25,Parâmetros!F:F,Parâmetros!I:I))</f>
        <v>SUPORTE OBT</v>
      </c>
      <c r="Q25" s="1">
        <f t="shared" si="1"/>
        <v>46</v>
      </c>
    </row>
    <row r="26" spans="1:17" x14ac:dyDescent="0.25">
      <c r="A26" s="1" t="str">
        <f>_xlfn.XLOOKUP(D26,'Novo relatório'!B:B,'Novo relatório'!C:C,"RESOLVIDO")</f>
        <v>GOVER</v>
      </c>
      <c r="B26" s="1" t="s">
        <v>63</v>
      </c>
      <c r="C26" t="str">
        <f t="shared" si="0"/>
        <v>CONTABILIZAR NO PORTAL</v>
      </c>
      <c r="D26" s="1">
        <v>2562909</v>
      </c>
      <c r="E26" s="1" t="s">
        <v>24</v>
      </c>
      <c r="F26" s="2">
        <v>45367.369444444441</v>
      </c>
      <c r="G26" s="1">
        <v>374866</v>
      </c>
      <c r="H26" s="1" t="s">
        <v>119</v>
      </c>
      <c r="I26" s="1" t="s">
        <v>120</v>
      </c>
      <c r="J26" s="2">
        <v>45367.381944444445</v>
      </c>
      <c r="K26" s="2">
        <v>45455.619444444441</v>
      </c>
      <c r="L26" s="1" t="s">
        <v>14</v>
      </c>
      <c r="M26" s="1" t="str">
        <f>_xlfn.XLOOKUP(I26,Parâmetros!A:A,Parâmetros!B:B,_xlfn.XLOOKUP(Q26,Parâmetros!F:F,Parâmetros!G:G,"NOVA MENSAGEM"))</f>
        <v>TAG - ITEM VEÍCULO</v>
      </c>
      <c r="N26" s="1" t="str">
        <f>_xlfn.XLOOKUP(M26,Parâmetros!K:K,Parâmetros!L:L,"")</f>
        <v>TAGS DE DETALHAMENTO DO SERVIÇO NÃO ENVIADO NO XML</v>
      </c>
      <c r="O26" s="1" t="str">
        <f>_xlfn.XLOOKUP(M26,Parâmetros!B:B,Parâmetros!C:C,_xlfn.XLOOKUP(Base!M26,Parâmetros!G:G,Parâmetros!H:H))</f>
        <v>SISTEMA</v>
      </c>
      <c r="P26" s="1" t="str">
        <f>_xlfn.XLOOKUP(I26,Parâmetros!A:A,Parâmetros!D:D,_xlfn.XLOOKUP(Q26,Parâmetros!F:F,Parâmetros!I:I))</f>
        <v>SUPORTE OBT</v>
      </c>
      <c r="Q26" s="1">
        <f t="shared" si="1"/>
        <v>46</v>
      </c>
    </row>
    <row r="27" spans="1:17" x14ac:dyDescent="0.25">
      <c r="A27" s="1" t="str">
        <f>_xlfn.XLOOKUP(D27,'Novo relatório'!B:B,'Novo relatório'!C:C,"RESOLVIDO")</f>
        <v>GOVER</v>
      </c>
      <c r="B27" s="1" t="s">
        <v>63</v>
      </c>
      <c r="C27" t="str">
        <f t="shared" si="0"/>
        <v>CONTABILIZAR NO PORTAL</v>
      </c>
      <c r="D27" s="1">
        <v>2565804</v>
      </c>
      <c r="E27" s="1" t="s">
        <v>24</v>
      </c>
      <c r="F27" s="2">
        <v>45370.355555555558</v>
      </c>
      <c r="G27" s="1">
        <v>374987</v>
      </c>
      <c r="H27" s="1" t="s">
        <v>121</v>
      </c>
      <c r="I27" s="1" t="s">
        <v>122</v>
      </c>
      <c r="J27" s="2">
        <v>45370.363194444442</v>
      </c>
      <c r="K27" s="2">
        <v>45491.444444444445</v>
      </c>
      <c r="L27" s="1" t="s">
        <v>14</v>
      </c>
      <c r="M27" s="1" t="str">
        <f>_xlfn.XLOOKUP(I27,Parâmetros!A:A,Parâmetros!B:B,_xlfn.XLOOKUP(Q27,Parâmetros!F:F,Parâmetros!G:G,"NOVA MENSAGEM"))</f>
        <v>TAG - ITEM VEÍCULO</v>
      </c>
      <c r="N27" s="1" t="str">
        <f>_xlfn.XLOOKUP(M27,Parâmetros!K:K,Parâmetros!L:L,"")</f>
        <v>TAGS DE DETALHAMENTO DO SERVIÇO NÃO ENVIADO NO XML</v>
      </c>
      <c r="O27" s="1" t="str">
        <f>_xlfn.XLOOKUP(M27,Parâmetros!B:B,Parâmetros!C:C,_xlfn.XLOOKUP(Base!M27,Parâmetros!G:G,Parâmetros!H:H))</f>
        <v>SISTEMA</v>
      </c>
      <c r="P27" s="1" t="str">
        <f>_xlfn.XLOOKUP(I27,Parâmetros!A:A,Parâmetros!D:D,_xlfn.XLOOKUP(Q27,Parâmetros!F:F,Parâmetros!I:I))</f>
        <v>SUPORTE OBT</v>
      </c>
      <c r="Q27" s="1">
        <f t="shared" si="1"/>
        <v>46</v>
      </c>
    </row>
    <row r="28" spans="1:17" x14ac:dyDescent="0.25">
      <c r="A28" s="1" t="str">
        <f>_xlfn.XLOOKUP(D28,'Novo relatório'!B:B,'Novo relatório'!C:C,"RESOLVIDO")</f>
        <v>GOVER</v>
      </c>
      <c r="B28" s="1" t="s">
        <v>63</v>
      </c>
      <c r="C28" t="str">
        <f t="shared" si="0"/>
        <v>CONTABILIZAR NO PORTAL</v>
      </c>
      <c r="D28" s="1">
        <v>2566625</v>
      </c>
      <c r="E28" s="1" t="s">
        <v>24</v>
      </c>
      <c r="F28" s="2">
        <v>45370.552083333336</v>
      </c>
      <c r="G28" s="1">
        <v>375016</v>
      </c>
      <c r="H28" s="1" t="s">
        <v>123</v>
      </c>
      <c r="I28" s="1" t="s">
        <v>124</v>
      </c>
      <c r="J28" s="2">
        <v>45370.556944444441</v>
      </c>
      <c r="K28" s="2">
        <v>45491.444444444445</v>
      </c>
      <c r="L28" s="1" t="s">
        <v>14</v>
      </c>
      <c r="M28" s="1" t="str">
        <f>_xlfn.XLOOKUP(I28,Parâmetros!A:A,Parâmetros!B:B,_xlfn.XLOOKUP(Q28,Parâmetros!F:F,Parâmetros!G:G,"NOVA MENSAGEM"))</f>
        <v>TAG - ITEM VEÍCULO</v>
      </c>
      <c r="N28" s="1" t="str">
        <f>_xlfn.XLOOKUP(M28,Parâmetros!K:K,Parâmetros!L:L,"")</f>
        <v>TAGS DE DETALHAMENTO DO SERVIÇO NÃO ENVIADO NO XML</v>
      </c>
      <c r="O28" s="1" t="str">
        <f>_xlfn.XLOOKUP(M28,Parâmetros!B:B,Parâmetros!C:C,_xlfn.XLOOKUP(Base!M28,Parâmetros!G:G,Parâmetros!H:H))</f>
        <v>SISTEMA</v>
      </c>
      <c r="P28" s="1" t="str">
        <f>_xlfn.XLOOKUP(I28,Parâmetros!A:A,Parâmetros!D:D,_xlfn.XLOOKUP(Q28,Parâmetros!F:F,Parâmetros!I:I))</f>
        <v>SUPORTE OBT</v>
      </c>
      <c r="Q28" s="1">
        <f t="shared" si="1"/>
        <v>46</v>
      </c>
    </row>
    <row r="29" spans="1:17" x14ac:dyDescent="0.25">
      <c r="A29" s="1" t="str">
        <f>_xlfn.XLOOKUP(D29,'Novo relatório'!B:B,'Novo relatório'!C:C,"RESOLVIDO")</f>
        <v>GOVER</v>
      </c>
      <c r="B29" s="1" t="s">
        <v>63</v>
      </c>
      <c r="C29" t="str">
        <f t="shared" si="0"/>
        <v>CONTABILIZAR NO PORTAL</v>
      </c>
      <c r="D29" s="1">
        <v>2573357</v>
      </c>
      <c r="E29" s="1" t="s">
        <v>24</v>
      </c>
      <c r="F29" s="2">
        <v>45372.628472222219</v>
      </c>
      <c r="G29" s="1">
        <v>4300431</v>
      </c>
      <c r="H29" s="1">
        <v>4300431</v>
      </c>
      <c r="I29" s="1" t="s">
        <v>77</v>
      </c>
      <c r="J29" s="2">
        <v>45373.421527777777</v>
      </c>
      <c r="K29" s="2">
        <v>45491.447222222225</v>
      </c>
      <c r="L29" s="1" t="s">
        <v>14</v>
      </c>
      <c r="M29" s="1" t="str">
        <f>_xlfn.XLOOKUP(I29,Parâmetros!A:A,Parâmetros!B:B,_xlfn.XLOOKUP(Q29,Parâmetros!F:F,Parâmetros!G:G,"NOVA MENSAGEM"))</f>
        <v>RLOC NÃO INFORMADO</v>
      </c>
      <c r="N29" s="1" t="str">
        <f>_xlfn.XLOOKUP(M29,Parâmetros!K:K,Parâmetros!L:L,"")</f>
        <v>RLOC NÃO PREENCHIDO NA RESERVA</v>
      </c>
      <c r="O29" s="1" t="str">
        <f>_xlfn.XLOOKUP(M29,Parâmetros!B:B,Parâmetros!C:C,_xlfn.XLOOKUP(Base!M29,Parâmetros!G:G,Parâmetros!H:H))</f>
        <v>QUALIDADE DOS DADOS</v>
      </c>
      <c r="P29" s="1" t="str">
        <f>_xlfn.XLOOKUP(I29,Parâmetros!A:A,Parâmetros!D:D,_xlfn.XLOOKUP(Q29,Parâmetros!F:F,Parâmetros!I:I))</f>
        <v>SUPORTE OBT</v>
      </c>
      <c r="Q29" s="1" t="str">
        <f t="shared" si="1"/>
        <v>COLUNA I</v>
      </c>
    </row>
    <row r="30" spans="1:17" x14ac:dyDescent="0.25">
      <c r="A30" s="1" t="str">
        <f>_xlfn.XLOOKUP(D30,'Novo relatório'!B:B,'Novo relatório'!C:C,"RESOLVIDO")</f>
        <v>GOVER</v>
      </c>
      <c r="B30" s="1" t="s">
        <v>63</v>
      </c>
      <c r="C30" t="str">
        <f t="shared" si="0"/>
        <v>CONTABILIZAR NO PORTAL</v>
      </c>
      <c r="D30" s="1">
        <v>2573461</v>
      </c>
      <c r="E30" s="1" t="s">
        <v>24</v>
      </c>
      <c r="F30" s="2">
        <v>45373.436111111114</v>
      </c>
      <c r="G30" s="1">
        <v>4301065</v>
      </c>
      <c r="H30" s="1">
        <v>4301065</v>
      </c>
      <c r="I30" s="1" t="s">
        <v>77</v>
      </c>
      <c r="J30" s="2">
        <v>45373.446527777778</v>
      </c>
      <c r="K30" s="2">
        <v>45491.447222222225</v>
      </c>
      <c r="L30" s="1" t="s">
        <v>14</v>
      </c>
      <c r="M30" s="1" t="str">
        <f>_xlfn.XLOOKUP(I30,Parâmetros!A:A,Parâmetros!B:B,_xlfn.XLOOKUP(Q30,Parâmetros!F:F,Parâmetros!G:G,"NOVA MENSAGEM"))</f>
        <v>RLOC NÃO INFORMADO</v>
      </c>
      <c r="N30" s="1" t="str">
        <f>_xlfn.XLOOKUP(M30,Parâmetros!K:K,Parâmetros!L:L,"")</f>
        <v>RLOC NÃO PREENCHIDO NA RESERVA</v>
      </c>
      <c r="O30" s="1" t="str">
        <f>_xlfn.XLOOKUP(M30,Parâmetros!B:B,Parâmetros!C:C,_xlfn.XLOOKUP(Base!M30,Parâmetros!G:G,Parâmetros!H:H))</f>
        <v>QUALIDADE DOS DADOS</v>
      </c>
      <c r="P30" s="1" t="str">
        <f>_xlfn.XLOOKUP(I30,Parâmetros!A:A,Parâmetros!D:D,_xlfn.XLOOKUP(Q30,Parâmetros!F:F,Parâmetros!I:I))</f>
        <v>SUPORTE OBT</v>
      </c>
      <c r="Q30" s="1" t="str">
        <f t="shared" si="1"/>
        <v>COLUNA I</v>
      </c>
    </row>
    <row r="31" spans="1:17" x14ac:dyDescent="0.25">
      <c r="A31" s="1" t="str">
        <f>_xlfn.XLOOKUP(D31,'Novo relatório'!B:B,'Novo relatório'!C:C,"RESOLVIDO")</f>
        <v>GOVER</v>
      </c>
      <c r="B31" s="1" t="s">
        <v>63</v>
      </c>
      <c r="C31" t="str">
        <f t="shared" si="0"/>
        <v>CONTABILIZAR NO PORTAL</v>
      </c>
      <c r="D31" s="1">
        <v>2574438</v>
      </c>
      <c r="E31" s="1" t="s">
        <v>24</v>
      </c>
      <c r="F31" s="2">
        <v>45373.622916666667</v>
      </c>
      <c r="G31" s="1">
        <v>375324</v>
      </c>
      <c r="H31" s="1" t="s">
        <v>125</v>
      </c>
      <c r="I31" s="1" t="s">
        <v>126</v>
      </c>
      <c r="J31" s="2">
        <v>45373.625694444447</v>
      </c>
      <c r="K31" s="2">
        <v>45491.444444444445</v>
      </c>
      <c r="L31" s="1" t="s">
        <v>14</v>
      </c>
      <c r="M31" s="1" t="str">
        <f>_xlfn.XLOOKUP(I31,Parâmetros!A:A,Parâmetros!B:B,_xlfn.XLOOKUP(Q31,Parâmetros!F:F,Parâmetros!G:G,"NOVA MENSAGEM"))</f>
        <v>TAG - ITEM VEÍCULO</v>
      </c>
      <c r="N31" s="1" t="str">
        <f>_xlfn.XLOOKUP(M31,Parâmetros!K:K,Parâmetros!L:L,"")</f>
        <v>TAGS DE DETALHAMENTO DO SERVIÇO NÃO ENVIADO NO XML</v>
      </c>
      <c r="O31" s="1" t="str">
        <f>_xlfn.XLOOKUP(M31,Parâmetros!B:B,Parâmetros!C:C,_xlfn.XLOOKUP(Base!M31,Parâmetros!G:G,Parâmetros!H:H))</f>
        <v>SISTEMA</v>
      </c>
      <c r="P31" s="1" t="str">
        <f>_xlfn.XLOOKUP(I31,Parâmetros!A:A,Parâmetros!D:D,_xlfn.XLOOKUP(Q31,Parâmetros!F:F,Parâmetros!I:I))</f>
        <v>SUPORTE OBT</v>
      </c>
      <c r="Q31" s="1">
        <f t="shared" si="1"/>
        <v>46</v>
      </c>
    </row>
    <row r="32" spans="1:17" x14ac:dyDescent="0.25">
      <c r="A32" s="1" t="str">
        <f>_xlfn.XLOOKUP(D32,'Novo relatório'!B:B,'Novo relatório'!C:C,"RESOLVIDO")</f>
        <v>GOVER</v>
      </c>
      <c r="B32" s="1" t="s">
        <v>63</v>
      </c>
      <c r="C32" t="str">
        <f t="shared" si="0"/>
        <v>CONTABILIZAR NO PORTAL</v>
      </c>
      <c r="D32" s="1">
        <v>2580328</v>
      </c>
      <c r="E32" s="1" t="s">
        <v>24</v>
      </c>
      <c r="F32" s="2">
        <v>45376.62777777778</v>
      </c>
      <c r="G32" s="1">
        <v>4302688</v>
      </c>
      <c r="H32" s="1" t="s">
        <v>70</v>
      </c>
      <c r="I32" s="1" t="s">
        <v>71</v>
      </c>
      <c r="J32" s="2">
        <v>45377.521527777775</v>
      </c>
      <c r="K32" s="2">
        <v>45455.623611111114</v>
      </c>
      <c r="L32" s="1" t="s">
        <v>14</v>
      </c>
      <c r="M32" s="1" t="str">
        <f>_xlfn.XLOOKUP(I32,Parâmetros!A:A,Parâmetros!B:B,_xlfn.XLOOKUP(Q32,Parâmetros!F:F,Parâmetros!G:G,"NOVA MENSAGEM"))</f>
        <v>TAG - ITEM VEÍCULO</v>
      </c>
      <c r="N32" s="1" t="str">
        <f>_xlfn.XLOOKUP(M32,Parâmetros!K:K,Parâmetros!L:L,"")</f>
        <v>TAGS DE DETALHAMENTO DO SERVIÇO NÃO ENVIADO NO XML</v>
      </c>
      <c r="O32" s="1" t="str">
        <f>_xlfn.XLOOKUP(M32,Parâmetros!B:B,Parâmetros!C:C,_xlfn.XLOOKUP(Base!M32,Parâmetros!G:G,Parâmetros!H:H))</f>
        <v>SISTEMA</v>
      </c>
      <c r="P32" s="1" t="str">
        <f>_xlfn.XLOOKUP(I32,Parâmetros!A:A,Parâmetros!D:D,_xlfn.XLOOKUP(Q32,Parâmetros!F:F,Parâmetros!I:I))</f>
        <v>SUPORTE OBT</v>
      </c>
      <c r="Q32" s="1">
        <f t="shared" si="1"/>
        <v>46</v>
      </c>
    </row>
    <row r="33" spans="1:17" x14ac:dyDescent="0.25">
      <c r="A33" s="1" t="str">
        <f>_xlfn.XLOOKUP(D33,'Novo relatório'!B:B,'Novo relatório'!C:C,"RESOLVIDO")</f>
        <v>RESOLVIDO</v>
      </c>
      <c r="C33" t="str">
        <f t="shared" si="0"/>
        <v>RESOLVIDO</v>
      </c>
      <c r="D33" s="1">
        <v>2580829</v>
      </c>
      <c r="E33" s="1" t="s">
        <v>12</v>
      </c>
      <c r="F33" s="2">
        <v>45377.431250000001</v>
      </c>
      <c r="G33" s="1">
        <v>7161</v>
      </c>
      <c r="H33" s="1">
        <v>7161</v>
      </c>
      <c r="I33" s="1" t="s">
        <v>113</v>
      </c>
      <c r="J33" s="2">
        <v>45377.628472222219</v>
      </c>
      <c r="K33" s="2">
        <v>45380.906944444447</v>
      </c>
      <c r="L33" s="1" t="s">
        <v>14</v>
      </c>
      <c r="M33" s="1" t="str">
        <f>_xlfn.XLOOKUP(I33,Parâmetros!A:A,Parâmetros!B:B,_xlfn.XLOOKUP(Q33,Parâmetros!F:F,Parâmetros!G:G,"NOVA MENSAGEM"))</f>
        <v>FORMATO DE TEXTO</v>
      </c>
      <c r="N33" s="1" t="str">
        <f>_xlfn.XLOOKUP(M33,Parâmetros!K:K,Parâmetros!L:L,"")</f>
        <v>TEXTO FORA DO PADRÃO ACEITO NO CAMPO</v>
      </c>
      <c r="O33" s="1" t="str">
        <f>_xlfn.XLOOKUP(M33,Parâmetros!B:B,Parâmetros!C:C,_xlfn.XLOOKUP(Base!M33,Parâmetros!G:G,Parâmetros!H:H))</f>
        <v>INDEFINIDO</v>
      </c>
      <c r="P33" s="1" t="str">
        <f>_xlfn.XLOOKUP(I33,Parâmetros!A:A,Parâmetros!D:D,_xlfn.XLOOKUP(Q33,Parâmetros!F:F,Parâmetros!I:I))</f>
        <v>SUPORTE OBT</v>
      </c>
      <c r="Q33" s="1" t="str">
        <f t="shared" si="1"/>
        <v>COLUNA I</v>
      </c>
    </row>
    <row r="34" spans="1:17" x14ac:dyDescent="0.25">
      <c r="A34" s="1" t="str">
        <f>_xlfn.XLOOKUP(D34,'Novo relatório'!B:B,'Novo relatório'!C:C,"RESOLVIDO")</f>
        <v>GOVER</v>
      </c>
      <c r="B34" s="1" t="s">
        <v>63</v>
      </c>
      <c r="C34" t="str">
        <f t="shared" si="0"/>
        <v>CONTABILIZAR NO PORTAL</v>
      </c>
      <c r="D34" s="1">
        <v>2586891</v>
      </c>
      <c r="E34" s="1" t="s">
        <v>24</v>
      </c>
      <c r="F34" s="2">
        <v>45378.75</v>
      </c>
      <c r="G34" s="1">
        <v>4304906</v>
      </c>
      <c r="H34" s="1" t="s">
        <v>70</v>
      </c>
      <c r="I34" s="1" t="s">
        <v>71</v>
      </c>
      <c r="J34" s="2">
        <v>45379.665277777778</v>
      </c>
      <c r="K34" s="2">
        <v>45491.447222222225</v>
      </c>
      <c r="L34" s="1" t="s">
        <v>14</v>
      </c>
      <c r="M34" s="1" t="str">
        <f>_xlfn.XLOOKUP(I34,Parâmetros!A:A,Parâmetros!B:B,_xlfn.XLOOKUP(Q34,Parâmetros!F:F,Parâmetros!G:G,"NOVA MENSAGEM"))</f>
        <v>TAG - ITEM VEÍCULO</v>
      </c>
      <c r="N34" s="1" t="str">
        <f>_xlfn.XLOOKUP(M34,Parâmetros!K:K,Parâmetros!L:L,"")</f>
        <v>TAGS DE DETALHAMENTO DO SERVIÇO NÃO ENVIADO NO XML</v>
      </c>
      <c r="O34" s="1" t="str">
        <f>_xlfn.XLOOKUP(M34,Parâmetros!B:B,Parâmetros!C:C,_xlfn.XLOOKUP(Base!M34,Parâmetros!G:G,Parâmetros!H:H))</f>
        <v>SISTEMA</v>
      </c>
      <c r="P34" s="1" t="str">
        <f>_xlfn.XLOOKUP(I34,Parâmetros!A:A,Parâmetros!D:D,_xlfn.XLOOKUP(Q34,Parâmetros!F:F,Parâmetros!I:I))</f>
        <v>SUPORTE OBT</v>
      </c>
      <c r="Q34" s="1">
        <f t="shared" si="1"/>
        <v>46</v>
      </c>
    </row>
    <row r="35" spans="1:17" x14ac:dyDescent="0.25">
      <c r="A35" s="1" t="str">
        <f>_xlfn.XLOOKUP(D35,'Novo relatório'!B:B,'Novo relatório'!C:C,"RESOLVIDO")</f>
        <v>RESOLVIDO</v>
      </c>
      <c r="C35" t="str">
        <f t="shared" si="0"/>
        <v>RESOLVIDO</v>
      </c>
      <c r="D35" s="1">
        <v>2588215</v>
      </c>
      <c r="E35" s="1" t="s">
        <v>12</v>
      </c>
      <c r="F35" s="2">
        <v>45379.844444444447</v>
      </c>
      <c r="G35" s="1">
        <v>7828</v>
      </c>
      <c r="H35" s="1">
        <v>7828</v>
      </c>
      <c r="I35" s="1" t="s">
        <v>113</v>
      </c>
      <c r="J35" s="2">
        <v>45379.910416666666</v>
      </c>
      <c r="K35" s="2">
        <v>45382.93472222222</v>
      </c>
      <c r="L35" s="1" t="s">
        <v>14</v>
      </c>
      <c r="M35" s="1" t="str">
        <f>_xlfn.XLOOKUP(I35,Parâmetros!A:A,Parâmetros!B:B,_xlfn.XLOOKUP(Q35,Parâmetros!F:F,Parâmetros!G:G,"NOVA MENSAGEM"))</f>
        <v>FORMATO DE TEXTO</v>
      </c>
      <c r="N35" s="1" t="str">
        <f>_xlfn.XLOOKUP(M35,Parâmetros!K:K,Parâmetros!L:L,"")</f>
        <v>TEXTO FORA DO PADRÃO ACEITO NO CAMPO</v>
      </c>
      <c r="O35" s="1" t="str">
        <f>_xlfn.XLOOKUP(M35,Parâmetros!B:B,Parâmetros!C:C,_xlfn.XLOOKUP(Base!M35,Parâmetros!G:G,Parâmetros!H:H))</f>
        <v>INDEFINIDO</v>
      </c>
      <c r="P35" s="1" t="str">
        <f>_xlfn.XLOOKUP(I35,Parâmetros!A:A,Parâmetros!D:D,_xlfn.XLOOKUP(Q35,Parâmetros!F:F,Parâmetros!I:I))</f>
        <v>SUPORTE OBT</v>
      </c>
      <c r="Q35" s="1" t="str">
        <f t="shared" si="1"/>
        <v>COLUNA I</v>
      </c>
    </row>
    <row r="36" spans="1:17" x14ac:dyDescent="0.25">
      <c r="A36" s="1" t="str">
        <f>_xlfn.XLOOKUP(D36,'Novo relatório'!B:B,'Novo relatório'!C:C,"RESOLVIDO")</f>
        <v>RESOLVIDO</v>
      </c>
      <c r="C36" t="str">
        <f t="shared" si="0"/>
        <v>RESOLVIDO</v>
      </c>
      <c r="D36" s="1">
        <v>2588216</v>
      </c>
      <c r="E36" s="1" t="s">
        <v>12</v>
      </c>
      <c r="F36" s="2">
        <v>45379.847916666666</v>
      </c>
      <c r="G36" s="1">
        <v>7827</v>
      </c>
      <c r="H36" s="1">
        <v>7827</v>
      </c>
      <c r="I36" s="1" t="s">
        <v>113</v>
      </c>
      <c r="J36" s="2">
        <v>45379.910416666666</v>
      </c>
      <c r="K36" s="2">
        <v>45382.93472222222</v>
      </c>
      <c r="L36" s="1" t="s">
        <v>14</v>
      </c>
      <c r="M36" s="1" t="str">
        <f>_xlfn.XLOOKUP(I36,Parâmetros!A:A,Parâmetros!B:B,_xlfn.XLOOKUP(Q36,Parâmetros!F:F,Parâmetros!G:G,"NOVA MENSAGEM"))</f>
        <v>FORMATO DE TEXTO</v>
      </c>
      <c r="N36" s="1" t="str">
        <f>_xlfn.XLOOKUP(M36,Parâmetros!K:K,Parâmetros!L:L,"")</f>
        <v>TEXTO FORA DO PADRÃO ACEITO NO CAMPO</v>
      </c>
      <c r="O36" s="1" t="str">
        <f>_xlfn.XLOOKUP(M36,Parâmetros!B:B,Parâmetros!C:C,_xlfn.XLOOKUP(Base!M36,Parâmetros!G:G,Parâmetros!H:H))</f>
        <v>INDEFINIDO</v>
      </c>
      <c r="P36" s="1" t="str">
        <f>_xlfn.XLOOKUP(I36,Parâmetros!A:A,Parâmetros!D:D,_xlfn.XLOOKUP(Q36,Parâmetros!F:F,Parâmetros!I:I))</f>
        <v>SUPORTE OBT</v>
      </c>
      <c r="Q36" s="1" t="str">
        <f t="shared" si="1"/>
        <v>COLUNA I</v>
      </c>
    </row>
    <row r="37" spans="1:17" x14ac:dyDescent="0.25">
      <c r="A37" s="1" t="str">
        <f>_xlfn.XLOOKUP(D37,'Novo relatório'!B:B,'Novo relatório'!C:C,"RESOLVIDO")</f>
        <v>RESOLVIDO</v>
      </c>
      <c r="C37" t="str">
        <f t="shared" si="0"/>
        <v>RESOLVIDO</v>
      </c>
      <c r="D37" s="1">
        <v>2588217</v>
      </c>
      <c r="E37" s="1" t="s">
        <v>12</v>
      </c>
      <c r="F37" s="2">
        <v>45379.85</v>
      </c>
      <c r="G37" s="1">
        <v>7826</v>
      </c>
      <c r="H37" s="1">
        <v>7826</v>
      </c>
      <c r="I37" s="1" t="s">
        <v>113</v>
      </c>
      <c r="J37" s="2">
        <v>45379.910416666666</v>
      </c>
      <c r="K37" s="2">
        <v>45382.93472222222</v>
      </c>
      <c r="L37" s="1" t="s">
        <v>14</v>
      </c>
      <c r="M37" s="1" t="str">
        <f>_xlfn.XLOOKUP(I37,Parâmetros!A:A,Parâmetros!B:B,_xlfn.XLOOKUP(Q37,Parâmetros!F:F,Parâmetros!G:G,"NOVA MENSAGEM"))</f>
        <v>FORMATO DE TEXTO</v>
      </c>
      <c r="N37" s="1" t="str">
        <f>_xlfn.XLOOKUP(M37,Parâmetros!K:K,Parâmetros!L:L,"")</f>
        <v>TEXTO FORA DO PADRÃO ACEITO NO CAMPO</v>
      </c>
      <c r="O37" s="1" t="str">
        <f>_xlfn.XLOOKUP(M37,Parâmetros!B:B,Parâmetros!C:C,_xlfn.XLOOKUP(Base!M37,Parâmetros!G:G,Parâmetros!H:H))</f>
        <v>INDEFINIDO</v>
      </c>
      <c r="P37" s="1" t="str">
        <f>_xlfn.XLOOKUP(I37,Parâmetros!A:A,Parâmetros!D:D,_xlfn.XLOOKUP(Q37,Parâmetros!F:F,Parâmetros!I:I))</f>
        <v>SUPORTE OBT</v>
      </c>
      <c r="Q37" s="1" t="str">
        <f t="shared" si="1"/>
        <v>COLUNA I</v>
      </c>
    </row>
    <row r="38" spans="1:17" x14ac:dyDescent="0.25">
      <c r="A38" s="1" t="str">
        <f>_xlfn.XLOOKUP(D38,'Novo relatório'!B:B,'Novo relatório'!C:C,"RESOLVIDO")</f>
        <v>RESOLVIDO</v>
      </c>
      <c r="C38" t="str">
        <f t="shared" si="0"/>
        <v>RESOLVIDO</v>
      </c>
      <c r="D38" s="1">
        <v>2588218</v>
      </c>
      <c r="E38" s="1" t="s">
        <v>12</v>
      </c>
      <c r="F38" s="2">
        <v>45379.854166666664</v>
      </c>
      <c r="G38" s="1">
        <v>7825</v>
      </c>
      <c r="H38" s="1">
        <v>7825</v>
      </c>
      <c r="I38" s="1" t="s">
        <v>113</v>
      </c>
      <c r="J38" s="2">
        <v>45379.911111111112</v>
      </c>
      <c r="K38" s="2">
        <v>45382.93472222222</v>
      </c>
      <c r="L38" s="1" t="s">
        <v>14</v>
      </c>
      <c r="M38" s="1" t="str">
        <f>_xlfn.XLOOKUP(I38,Parâmetros!A:A,Parâmetros!B:B,_xlfn.XLOOKUP(Q38,Parâmetros!F:F,Parâmetros!G:G,"NOVA MENSAGEM"))</f>
        <v>FORMATO DE TEXTO</v>
      </c>
      <c r="N38" s="1" t="str">
        <f>_xlfn.XLOOKUP(M38,Parâmetros!K:K,Parâmetros!L:L,"")</f>
        <v>TEXTO FORA DO PADRÃO ACEITO NO CAMPO</v>
      </c>
      <c r="O38" s="1" t="str">
        <f>_xlfn.XLOOKUP(M38,Parâmetros!B:B,Parâmetros!C:C,_xlfn.XLOOKUP(Base!M38,Parâmetros!G:G,Parâmetros!H:H))</f>
        <v>INDEFINIDO</v>
      </c>
      <c r="P38" s="1" t="str">
        <f>_xlfn.XLOOKUP(I38,Parâmetros!A:A,Parâmetros!D:D,_xlfn.XLOOKUP(Q38,Parâmetros!F:F,Parâmetros!I:I))</f>
        <v>SUPORTE OBT</v>
      </c>
      <c r="Q38" s="1" t="str">
        <f t="shared" si="1"/>
        <v>COLUNA I</v>
      </c>
    </row>
    <row r="39" spans="1:17" x14ac:dyDescent="0.25">
      <c r="A39" s="1" t="str">
        <f>_xlfn.XLOOKUP(D39,'Novo relatório'!B:B,'Novo relatório'!C:C,"RESOLVIDO")</f>
        <v>GOVER</v>
      </c>
      <c r="B39" s="1" t="s">
        <v>63</v>
      </c>
      <c r="C39" t="str">
        <f t="shared" si="0"/>
        <v>CONTABILIZAR NO PORTAL</v>
      </c>
      <c r="D39" s="1">
        <v>2595026</v>
      </c>
      <c r="E39" s="1" t="s">
        <v>24</v>
      </c>
      <c r="F39" s="2">
        <v>45385.418749999997</v>
      </c>
      <c r="G39" s="1">
        <v>375870</v>
      </c>
      <c r="H39" s="1" t="s">
        <v>127</v>
      </c>
      <c r="I39" s="1" t="s">
        <v>128</v>
      </c>
      <c r="J39" s="2">
        <v>45385.425694444442</v>
      </c>
      <c r="K39" s="2">
        <v>45491.444444444445</v>
      </c>
      <c r="L39" s="1" t="s">
        <v>14</v>
      </c>
      <c r="M39" s="1" t="str">
        <f>_xlfn.XLOOKUP(I39,Parâmetros!A:A,Parâmetros!B:B,_xlfn.XLOOKUP(Q39,Parâmetros!F:F,Parâmetros!G:G,"NOVA MENSAGEM"))</f>
        <v>TAG - ITEM VEÍCULO</v>
      </c>
      <c r="N39" s="1" t="str">
        <f>_xlfn.XLOOKUP(M39,Parâmetros!K:K,Parâmetros!L:L,"")</f>
        <v>TAGS DE DETALHAMENTO DO SERVIÇO NÃO ENVIADO NO XML</v>
      </c>
      <c r="O39" s="1" t="str">
        <f>_xlfn.XLOOKUP(M39,Parâmetros!B:B,Parâmetros!C:C,_xlfn.XLOOKUP(Base!M39,Parâmetros!G:G,Parâmetros!H:H))</f>
        <v>SISTEMA</v>
      </c>
      <c r="P39" s="1" t="str">
        <f>_xlfn.XLOOKUP(I39,Parâmetros!A:A,Parâmetros!D:D,_xlfn.XLOOKUP(Q39,Parâmetros!F:F,Parâmetros!I:I))</f>
        <v>SUPORTE OBT</v>
      </c>
      <c r="Q39" s="1">
        <f t="shared" si="1"/>
        <v>46</v>
      </c>
    </row>
    <row r="40" spans="1:17" x14ac:dyDescent="0.25">
      <c r="A40" s="1" t="str">
        <f>_xlfn.XLOOKUP(D40,'Novo relatório'!B:B,'Novo relatório'!C:C,"RESOLVIDO")</f>
        <v>GOVER</v>
      </c>
      <c r="B40" s="1" t="s">
        <v>63</v>
      </c>
      <c r="C40" t="str">
        <f t="shared" si="0"/>
        <v>CONTABILIZAR NO PORTAL</v>
      </c>
      <c r="D40" s="1">
        <v>2596454</v>
      </c>
      <c r="E40" s="1" t="s">
        <v>24</v>
      </c>
      <c r="F40" s="2">
        <v>45385.714583333334</v>
      </c>
      <c r="G40" s="1">
        <v>4309106</v>
      </c>
      <c r="H40" s="1" t="s">
        <v>129</v>
      </c>
      <c r="I40" s="1" t="s">
        <v>130</v>
      </c>
      <c r="J40" s="2">
        <v>45385.734027777777</v>
      </c>
      <c r="K40" s="2">
        <v>45491.447222222225</v>
      </c>
      <c r="L40" s="1" t="s">
        <v>14</v>
      </c>
      <c r="M40" s="1" t="str">
        <f>_xlfn.XLOOKUP(I40,Parâmetros!A:A,Parâmetros!B:B,_xlfn.XLOOKUP(Q40,Parâmetros!F:F,Parâmetros!G:G,"NOVA MENSAGEM"))</f>
        <v>TAG - ITEM VEÍCULO</v>
      </c>
      <c r="N40" s="1" t="str">
        <f>_xlfn.XLOOKUP(M40,Parâmetros!K:K,Parâmetros!L:L,"")</f>
        <v>TAGS DE DETALHAMENTO DO SERVIÇO NÃO ENVIADO NO XML</v>
      </c>
      <c r="O40" s="1" t="str">
        <f>_xlfn.XLOOKUP(M40,Parâmetros!B:B,Parâmetros!C:C,_xlfn.XLOOKUP(Base!M40,Parâmetros!G:G,Parâmetros!H:H))</f>
        <v>SISTEMA</v>
      </c>
      <c r="P40" s="1" t="str">
        <f>_xlfn.XLOOKUP(I40,Parâmetros!A:A,Parâmetros!D:D,_xlfn.XLOOKUP(Q40,Parâmetros!F:F,Parâmetros!I:I))</f>
        <v>SUPORTE OBT</v>
      </c>
      <c r="Q40" s="1">
        <f t="shared" si="1"/>
        <v>46</v>
      </c>
    </row>
    <row r="41" spans="1:17" x14ac:dyDescent="0.25">
      <c r="A41" s="1" t="str">
        <f>_xlfn.XLOOKUP(D41,'Novo relatório'!B:B,'Novo relatório'!C:C,"RESOLVIDO")</f>
        <v>GOVER</v>
      </c>
      <c r="B41" s="1" t="s">
        <v>63</v>
      </c>
      <c r="C41" t="str">
        <f t="shared" si="0"/>
        <v>CONTABILIZAR NO PORTAL</v>
      </c>
      <c r="D41" s="1">
        <v>2598802</v>
      </c>
      <c r="E41" s="1" t="s">
        <v>24</v>
      </c>
      <c r="F41" s="2">
        <v>45386.647222222222</v>
      </c>
      <c r="G41" s="1">
        <v>4309881</v>
      </c>
      <c r="H41" s="1">
        <v>4309881</v>
      </c>
      <c r="I41" s="1" t="s">
        <v>77</v>
      </c>
      <c r="J41" s="2">
        <v>45386.652777777781</v>
      </c>
      <c r="K41" s="2">
        <v>45491.447222222225</v>
      </c>
      <c r="L41" s="1" t="s">
        <v>14</v>
      </c>
      <c r="M41" s="1" t="str">
        <f>_xlfn.XLOOKUP(I41,Parâmetros!A:A,Parâmetros!B:B,_xlfn.XLOOKUP(Q41,Parâmetros!F:F,Parâmetros!G:G,"NOVA MENSAGEM"))</f>
        <v>RLOC NÃO INFORMADO</v>
      </c>
      <c r="N41" s="1" t="str">
        <f>_xlfn.XLOOKUP(M41,Parâmetros!K:K,Parâmetros!L:L,"")</f>
        <v>RLOC NÃO PREENCHIDO NA RESERVA</v>
      </c>
      <c r="O41" s="1" t="str">
        <f>_xlfn.XLOOKUP(M41,Parâmetros!B:B,Parâmetros!C:C,_xlfn.XLOOKUP(Base!M41,Parâmetros!G:G,Parâmetros!H:H))</f>
        <v>QUALIDADE DOS DADOS</v>
      </c>
      <c r="P41" s="1" t="str">
        <f>_xlfn.XLOOKUP(I41,Parâmetros!A:A,Parâmetros!D:D,_xlfn.XLOOKUP(Q41,Parâmetros!F:F,Parâmetros!I:I))</f>
        <v>SUPORTE OBT</v>
      </c>
      <c r="Q41" s="1" t="str">
        <f t="shared" si="1"/>
        <v>COLUNA I</v>
      </c>
    </row>
    <row r="42" spans="1:17" x14ac:dyDescent="0.25">
      <c r="A42" s="1" t="str">
        <f>_xlfn.XLOOKUP(D42,'Novo relatório'!B:B,'Novo relatório'!C:C,"RESOLVIDO")</f>
        <v>GOVER</v>
      </c>
      <c r="B42" s="1" t="s">
        <v>63</v>
      </c>
      <c r="C42" t="str">
        <f t="shared" si="0"/>
        <v>CONTABILIZAR NO PORTAL</v>
      </c>
      <c r="D42" s="1">
        <v>2599009</v>
      </c>
      <c r="E42" s="1" t="s">
        <v>24</v>
      </c>
      <c r="F42" s="2">
        <v>45386.70416666667</v>
      </c>
      <c r="G42" s="1">
        <v>4309990</v>
      </c>
      <c r="H42" s="1">
        <v>4309990</v>
      </c>
      <c r="I42" s="1" t="s">
        <v>77</v>
      </c>
      <c r="J42" s="2">
        <v>45386.709722222222</v>
      </c>
      <c r="K42" s="2">
        <v>45491.447222222225</v>
      </c>
      <c r="L42" s="1" t="s">
        <v>14</v>
      </c>
      <c r="M42" s="1" t="str">
        <f>_xlfn.XLOOKUP(I42,Parâmetros!A:A,Parâmetros!B:B,_xlfn.XLOOKUP(Q42,Parâmetros!F:F,Parâmetros!G:G,"NOVA MENSAGEM"))</f>
        <v>RLOC NÃO INFORMADO</v>
      </c>
      <c r="N42" s="1" t="str">
        <f>_xlfn.XLOOKUP(M42,Parâmetros!K:K,Parâmetros!L:L,"")</f>
        <v>RLOC NÃO PREENCHIDO NA RESERVA</v>
      </c>
      <c r="O42" s="1" t="str">
        <f>_xlfn.XLOOKUP(M42,Parâmetros!B:B,Parâmetros!C:C,_xlfn.XLOOKUP(Base!M42,Parâmetros!G:G,Parâmetros!H:H))</f>
        <v>QUALIDADE DOS DADOS</v>
      </c>
      <c r="P42" s="1" t="str">
        <f>_xlfn.XLOOKUP(I42,Parâmetros!A:A,Parâmetros!D:D,_xlfn.XLOOKUP(Q42,Parâmetros!F:F,Parâmetros!I:I))</f>
        <v>SUPORTE OBT</v>
      </c>
      <c r="Q42" s="1" t="str">
        <f t="shared" si="1"/>
        <v>COLUNA I</v>
      </c>
    </row>
    <row r="43" spans="1:17" x14ac:dyDescent="0.25">
      <c r="A43" s="1" t="str">
        <f>_xlfn.XLOOKUP(D43,'Novo relatório'!B:B,'Novo relatório'!C:C,"RESOLVIDO")</f>
        <v>GOVER</v>
      </c>
      <c r="B43" s="1" t="s">
        <v>63</v>
      </c>
      <c r="C43" t="str">
        <f t="shared" si="0"/>
        <v>CONTABILIZAR NO PORTAL</v>
      </c>
      <c r="D43" s="1">
        <v>2601930</v>
      </c>
      <c r="E43" s="1" t="s">
        <v>24</v>
      </c>
      <c r="F43" s="2">
        <v>45387.668055555558</v>
      </c>
      <c r="G43" s="1">
        <v>376059</v>
      </c>
      <c r="H43" s="1" t="s">
        <v>131</v>
      </c>
      <c r="I43" s="1" t="s">
        <v>132</v>
      </c>
      <c r="J43" s="2">
        <v>45387.676388888889</v>
      </c>
      <c r="K43" s="2">
        <v>45491.444444444445</v>
      </c>
      <c r="L43" s="1" t="s">
        <v>14</v>
      </c>
      <c r="M43" s="1" t="str">
        <f>_xlfn.XLOOKUP(I43,Parâmetros!A:A,Parâmetros!B:B,_xlfn.XLOOKUP(Q43,Parâmetros!F:F,Parâmetros!G:G,"NOVA MENSAGEM"))</f>
        <v>TAG - ITEM VEÍCULO</v>
      </c>
      <c r="N43" s="1" t="str">
        <f>_xlfn.XLOOKUP(M43,Parâmetros!K:K,Parâmetros!L:L,"")</f>
        <v>TAGS DE DETALHAMENTO DO SERVIÇO NÃO ENVIADO NO XML</v>
      </c>
      <c r="O43" s="1" t="str">
        <f>_xlfn.XLOOKUP(M43,Parâmetros!B:B,Parâmetros!C:C,_xlfn.XLOOKUP(Base!M43,Parâmetros!G:G,Parâmetros!H:H))</f>
        <v>SISTEMA</v>
      </c>
      <c r="P43" s="1" t="str">
        <f>_xlfn.XLOOKUP(I43,Parâmetros!A:A,Parâmetros!D:D,_xlfn.XLOOKUP(Q43,Parâmetros!F:F,Parâmetros!I:I))</f>
        <v>SUPORTE OBT</v>
      </c>
      <c r="Q43" s="1">
        <f t="shared" si="1"/>
        <v>46</v>
      </c>
    </row>
    <row r="44" spans="1:17" x14ac:dyDescent="0.25">
      <c r="A44" s="1" t="str">
        <f>_xlfn.XLOOKUP(D44,'Novo relatório'!B:B,'Novo relatório'!C:C,"RESOLVIDO")</f>
        <v>GOVER</v>
      </c>
      <c r="B44" s="1" t="s">
        <v>63</v>
      </c>
      <c r="C44" t="str">
        <f t="shared" si="0"/>
        <v>CONTABILIZAR NO PORTAL</v>
      </c>
      <c r="D44" s="1">
        <v>2607212</v>
      </c>
      <c r="E44" s="1" t="s">
        <v>24</v>
      </c>
      <c r="F44" s="2">
        <v>45391.42083333333</v>
      </c>
      <c r="G44" s="1">
        <v>376185</v>
      </c>
      <c r="H44" s="1" t="s">
        <v>133</v>
      </c>
      <c r="I44" s="1" t="s">
        <v>134</v>
      </c>
      <c r="J44" s="2">
        <v>45391.425694444442</v>
      </c>
      <c r="K44" s="2">
        <v>45491.444444444445</v>
      </c>
      <c r="L44" s="1" t="s">
        <v>14</v>
      </c>
      <c r="M44" s="1" t="str">
        <f>_xlfn.XLOOKUP(I44,Parâmetros!A:A,Parâmetros!B:B,_xlfn.XLOOKUP(Q44,Parâmetros!F:F,Parâmetros!G:G,"NOVA MENSAGEM"))</f>
        <v>TAG - ITEM VEÍCULO</v>
      </c>
      <c r="N44" s="1" t="str">
        <f>_xlfn.XLOOKUP(M44,Parâmetros!K:K,Parâmetros!L:L,"")</f>
        <v>TAGS DE DETALHAMENTO DO SERVIÇO NÃO ENVIADO NO XML</v>
      </c>
      <c r="O44" s="1" t="str">
        <f>_xlfn.XLOOKUP(M44,Parâmetros!B:B,Parâmetros!C:C,_xlfn.XLOOKUP(Base!M44,Parâmetros!G:G,Parâmetros!H:H))</f>
        <v>SISTEMA</v>
      </c>
      <c r="P44" s="1" t="str">
        <f>_xlfn.XLOOKUP(I44,Parâmetros!A:A,Parâmetros!D:D,_xlfn.XLOOKUP(Q44,Parâmetros!F:F,Parâmetros!I:I))</f>
        <v>SUPORTE OBT</v>
      </c>
      <c r="Q44" s="1">
        <f t="shared" si="1"/>
        <v>46</v>
      </c>
    </row>
    <row r="45" spans="1:17" x14ac:dyDescent="0.25">
      <c r="A45" s="1" t="str">
        <f>_xlfn.XLOOKUP(D45,'Novo relatório'!B:B,'Novo relatório'!C:C,"RESOLVIDO")</f>
        <v>GOVER</v>
      </c>
      <c r="B45" s="1" t="s">
        <v>63</v>
      </c>
      <c r="C45" t="str">
        <f t="shared" si="0"/>
        <v>CONTABILIZAR NO PORTAL</v>
      </c>
      <c r="D45" s="1">
        <v>2610706</v>
      </c>
      <c r="E45" s="1" t="s">
        <v>24</v>
      </c>
      <c r="F45" s="2">
        <v>45387.397916666669</v>
      </c>
      <c r="G45" s="1">
        <v>376013</v>
      </c>
      <c r="H45" s="1" t="s">
        <v>135</v>
      </c>
      <c r="I45" s="1" t="s">
        <v>136</v>
      </c>
      <c r="J45" s="2">
        <v>45392.581944444442</v>
      </c>
      <c r="K45" s="2">
        <v>45491.444444444445</v>
      </c>
      <c r="L45" s="1" t="s">
        <v>14</v>
      </c>
      <c r="M45" s="1" t="str">
        <f>_xlfn.XLOOKUP(I45,Parâmetros!A:A,Parâmetros!B:B,_xlfn.XLOOKUP(Q45,Parâmetros!F:F,Parâmetros!G:G,"NOVA MENSAGEM"))</f>
        <v>TAG - ITEM VEÍCULO</v>
      </c>
      <c r="N45" s="1" t="str">
        <f>_xlfn.XLOOKUP(M45,Parâmetros!K:K,Parâmetros!L:L,"")</f>
        <v>TAGS DE DETALHAMENTO DO SERVIÇO NÃO ENVIADO NO XML</v>
      </c>
      <c r="O45" s="1" t="str">
        <f>_xlfn.XLOOKUP(M45,Parâmetros!B:B,Parâmetros!C:C,_xlfn.XLOOKUP(Base!M45,Parâmetros!G:G,Parâmetros!H:H))</f>
        <v>SISTEMA</v>
      </c>
      <c r="P45" s="1" t="str">
        <f>_xlfn.XLOOKUP(I45,Parâmetros!A:A,Parâmetros!D:D,_xlfn.XLOOKUP(Q45,Parâmetros!F:F,Parâmetros!I:I))</f>
        <v>SUPORTE OBT</v>
      </c>
      <c r="Q45" s="1">
        <f t="shared" si="1"/>
        <v>46</v>
      </c>
    </row>
    <row r="46" spans="1:17" x14ac:dyDescent="0.25">
      <c r="A46" s="1" t="str">
        <f>_xlfn.XLOOKUP(D46,'Novo relatório'!B:B,'Novo relatório'!C:C,"RESOLVIDO")</f>
        <v>GOVER</v>
      </c>
      <c r="B46" s="1" t="s">
        <v>63</v>
      </c>
      <c r="C46" t="str">
        <f t="shared" si="0"/>
        <v>CONTABILIZAR NO PORTAL</v>
      </c>
      <c r="D46" s="1">
        <v>2610707</v>
      </c>
      <c r="E46" s="1" t="s">
        <v>24</v>
      </c>
      <c r="F46" s="2">
        <v>45390.334722222222</v>
      </c>
      <c r="G46" s="1">
        <v>376099</v>
      </c>
      <c r="H46" s="1" t="s">
        <v>137</v>
      </c>
      <c r="I46" s="1" t="s">
        <v>138</v>
      </c>
      <c r="J46" s="2">
        <v>45392.581944444442</v>
      </c>
      <c r="K46" s="2">
        <v>45491.444444444445</v>
      </c>
      <c r="L46" s="1" t="s">
        <v>14</v>
      </c>
      <c r="M46" s="1" t="str">
        <f>_xlfn.XLOOKUP(I46,Parâmetros!A:A,Parâmetros!B:B,_xlfn.XLOOKUP(Q46,Parâmetros!F:F,Parâmetros!G:G,"NOVA MENSAGEM"))</f>
        <v>TAG - ITEM VEÍCULO</v>
      </c>
      <c r="N46" s="1" t="str">
        <f>_xlfn.XLOOKUP(M46,Parâmetros!K:K,Parâmetros!L:L,"")</f>
        <v>TAGS DE DETALHAMENTO DO SERVIÇO NÃO ENVIADO NO XML</v>
      </c>
      <c r="O46" s="1" t="str">
        <f>_xlfn.XLOOKUP(M46,Parâmetros!B:B,Parâmetros!C:C,_xlfn.XLOOKUP(Base!M46,Parâmetros!G:G,Parâmetros!H:H))</f>
        <v>SISTEMA</v>
      </c>
      <c r="P46" s="1" t="str">
        <f>_xlfn.XLOOKUP(I46,Parâmetros!A:A,Parâmetros!D:D,_xlfn.XLOOKUP(Q46,Parâmetros!F:F,Parâmetros!I:I))</f>
        <v>SUPORTE OBT</v>
      </c>
      <c r="Q46" s="1">
        <f t="shared" si="1"/>
        <v>46</v>
      </c>
    </row>
    <row r="47" spans="1:17" x14ac:dyDescent="0.25">
      <c r="A47" s="1" t="str">
        <f>_xlfn.XLOOKUP(D47,'Novo relatório'!B:B,'Novo relatório'!C:C,"RESOLVIDO")</f>
        <v>GOVER</v>
      </c>
      <c r="B47" s="1" t="s">
        <v>63</v>
      </c>
      <c r="C47" t="str">
        <f t="shared" si="0"/>
        <v>CONTABILIZAR NO PORTAL</v>
      </c>
      <c r="D47" s="1">
        <v>2613000</v>
      </c>
      <c r="E47" s="1" t="s">
        <v>24</v>
      </c>
      <c r="F47" s="2">
        <v>45393.459027777775</v>
      </c>
      <c r="G47" s="1">
        <v>376375</v>
      </c>
      <c r="H47" s="1" t="s">
        <v>139</v>
      </c>
      <c r="I47" s="1" t="s">
        <v>140</v>
      </c>
      <c r="J47" s="2">
        <v>45393.463194444441</v>
      </c>
      <c r="K47" s="2">
        <v>45491.444444444445</v>
      </c>
      <c r="L47" s="1" t="s">
        <v>14</v>
      </c>
      <c r="M47" s="1" t="str">
        <f>_xlfn.XLOOKUP(I47,Parâmetros!A:A,Parâmetros!B:B,_xlfn.XLOOKUP(Q47,Parâmetros!F:F,Parâmetros!G:G,"NOVA MENSAGEM"))</f>
        <v>TAG - ITEM VEÍCULO</v>
      </c>
      <c r="N47" s="1" t="str">
        <f>_xlfn.XLOOKUP(M47,Parâmetros!K:K,Parâmetros!L:L,"")</f>
        <v>TAGS DE DETALHAMENTO DO SERVIÇO NÃO ENVIADO NO XML</v>
      </c>
      <c r="O47" s="1" t="str">
        <f>_xlfn.XLOOKUP(M47,Parâmetros!B:B,Parâmetros!C:C,_xlfn.XLOOKUP(Base!M47,Parâmetros!G:G,Parâmetros!H:H))</f>
        <v>SISTEMA</v>
      </c>
      <c r="P47" s="1" t="str">
        <f>_xlfn.XLOOKUP(I47,Parâmetros!A:A,Parâmetros!D:D,_xlfn.XLOOKUP(Q47,Parâmetros!F:F,Parâmetros!I:I))</f>
        <v>SUPORTE OBT</v>
      </c>
      <c r="Q47" s="1">
        <f t="shared" si="1"/>
        <v>46</v>
      </c>
    </row>
    <row r="48" spans="1:17" x14ac:dyDescent="0.25">
      <c r="A48" s="1" t="str">
        <f>_xlfn.XLOOKUP(D48,'Novo relatório'!B:B,'Novo relatório'!C:C,"RESOLVIDO")</f>
        <v>GOVER</v>
      </c>
      <c r="B48" s="1" t="s">
        <v>63</v>
      </c>
      <c r="C48" t="str">
        <f t="shared" si="0"/>
        <v>CONTABILIZAR NO PORTAL</v>
      </c>
      <c r="D48" s="1">
        <v>2617395</v>
      </c>
      <c r="E48" s="1" t="s">
        <v>24</v>
      </c>
      <c r="F48" s="2">
        <v>45394.73541666667</v>
      </c>
      <c r="G48" s="1">
        <v>4315539</v>
      </c>
      <c r="H48" s="1">
        <v>4315539</v>
      </c>
      <c r="I48" s="1" t="s">
        <v>77</v>
      </c>
      <c r="J48" s="2">
        <v>45394.740277777775</v>
      </c>
      <c r="K48" s="2">
        <v>45491.447222222225</v>
      </c>
      <c r="L48" s="1" t="s">
        <v>14</v>
      </c>
      <c r="M48" s="1" t="str">
        <f>_xlfn.XLOOKUP(I48,Parâmetros!A:A,Parâmetros!B:B,_xlfn.XLOOKUP(Q48,Parâmetros!F:F,Parâmetros!G:G,"NOVA MENSAGEM"))</f>
        <v>RLOC NÃO INFORMADO</v>
      </c>
      <c r="N48" s="1" t="str">
        <f>_xlfn.XLOOKUP(M48,Parâmetros!K:K,Parâmetros!L:L,"")</f>
        <v>RLOC NÃO PREENCHIDO NA RESERVA</v>
      </c>
      <c r="O48" s="1" t="str">
        <f>_xlfn.XLOOKUP(M48,Parâmetros!B:B,Parâmetros!C:C,_xlfn.XLOOKUP(Base!M48,Parâmetros!G:G,Parâmetros!H:H))</f>
        <v>QUALIDADE DOS DADOS</v>
      </c>
      <c r="P48" s="1" t="str">
        <f>_xlfn.XLOOKUP(I48,Parâmetros!A:A,Parâmetros!D:D,_xlfn.XLOOKUP(Q48,Parâmetros!F:F,Parâmetros!I:I))</f>
        <v>SUPORTE OBT</v>
      </c>
      <c r="Q48" s="1" t="str">
        <f t="shared" si="1"/>
        <v>COLUNA I</v>
      </c>
    </row>
    <row r="49" spans="1:17" x14ac:dyDescent="0.25">
      <c r="A49" s="1" t="str">
        <f>_xlfn.XLOOKUP(D49,'Novo relatório'!B:B,'Novo relatório'!C:C,"RESOLVIDO")</f>
        <v>GOVER</v>
      </c>
      <c r="B49" s="1" t="s">
        <v>63</v>
      </c>
      <c r="C49" t="str">
        <f t="shared" si="0"/>
        <v>CONTABILIZAR NO PORTAL</v>
      </c>
      <c r="D49" s="1">
        <v>2626880</v>
      </c>
      <c r="E49" s="1" t="s">
        <v>24</v>
      </c>
      <c r="F49" s="2">
        <v>45397.650694444441</v>
      </c>
      <c r="G49" s="1">
        <v>4316329</v>
      </c>
      <c r="H49" s="1">
        <v>4316329</v>
      </c>
      <c r="I49" s="1" t="s">
        <v>77</v>
      </c>
      <c r="J49" s="2">
        <v>45400.364583333336</v>
      </c>
      <c r="K49" s="2">
        <v>45491.447222222225</v>
      </c>
      <c r="L49" s="1" t="s">
        <v>14</v>
      </c>
      <c r="M49" s="1" t="str">
        <f>_xlfn.XLOOKUP(I49,Parâmetros!A:A,Parâmetros!B:B,_xlfn.XLOOKUP(Q49,Parâmetros!F:F,Parâmetros!G:G,"NOVA MENSAGEM"))</f>
        <v>RLOC NÃO INFORMADO</v>
      </c>
      <c r="N49" s="1" t="str">
        <f>_xlfn.XLOOKUP(M49,Parâmetros!K:K,Parâmetros!L:L,"")</f>
        <v>RLOC NÃO PREENCHIDO NA RESERVA</v>
      </c>
      <c r="O49" s="1" t="str">
        <f>_xlfn.XLOOKUP(M49,Parâmetros!B:B,Parâmetros!C:C,_xlfn.XLOOKUP(Base!M49,Parâmetros!G:G,Parâmetros!H:H))</f>
        <v>QUALIDADE DOS DADOS</v>
      </c>
      <c r="P49" s="1" t="str">
        <f>_xlfn.XLOOKUP(I49,Parâmetros!A:A,Parâmetros!D:D,_xlfn.XLOOKUP(Q49,Parâmetros!F:F,Parâmetros!I:I))</f>
        <v>SUPORTE OBT</v>
      </c>
      <c r="Q49" s="1" t="str">
        <f t="shared" si="1"/>
        <v>COLUNA I</v>
      </c>
    </row>
    <row r="50" spans="1:17" x14ac:dyDescent="0.25">
      <c r="A50" s="1" t="str">
        <f>_xlfn.XLOOKUP(D50,'Novo relatório'!B:B,'Novo relatório'!C:C,"RESOLVIDO")</f>
        <v>GOVER</v>
      </c>
      <c r="B50" s="1" t="s">
        <v>63</v>
      </c>
      <c r="C50" t="str">
        <f t="shared" si="0"/>
        <v>CONTABILIZAR NO PORTAL</v>
      </c>
      <c r="D50" s="1">
        <v>2628057</v>
      </c>
      <c r="E50" s="1" t="s">
        <v>24</v>
      </c>
      <c r="F50" s="2">
        <v>45400.684027777781</v>
      </c>
      <c r="G50" s="1">
        <v>376763</v>
      </c>
      <c r="H50" s="1" t="s">
        <v>142</v>
      </c>
      <c r="I50" s="1" t="s">
        <v>143</v>
      </c>
      <c r="J50" s="2">
        <v>45400.688194444447</v>
      </c>
      <c r="K50" s="2">
        <v>45491.444444444445</v>
      </c>
      <c r="L50" s="1" t="s">
        <v>14</v>
      </c>
      <c r="M50" s="1" t="str">
        <f>_xlfn.XLOOKUP(I50,Parâmetros!A:A,Parâmetros!B:B,_xlfn.XLOOKUP(Q50,Parâmetros!F:F,Parâmetros!G:G,"NOVA MENSAGEM"))</f>
        <v>TAG - ITEM VEÍCULO</v>
      </c>
      <c r="N50" s="1" t="str">
        <f>_xlfn.XLOOKUP(M50,Parâmetros!K:K,Parâmetros!L:L,"")</f>
        <v>TAGS DE DETALHAMENTO DO SERVIÇO NÃO ENVIADO NO XML</v>
      </c>
      <c r="O50" s="1" t="str">
        <f>_xlfn.XLOOKUP(M50,Parâmetros!B:B,Parâmetros!C:C,_xlfn.XLOOKUP(Base!M50,Parâmetros!G:G,Parâmetros!H:H))</f>
        <v>SISTEMA</v>
      </c>
      <c r="P50" s="1" t="str">
        <f>_xlfn.XLOOKUP(I50,Parâmetros!A:A,Parâmetros!D:D,_xlfn.XLOOKUP(Q50,Parâmetros!F:F,Parâmetros!I:I))</f>
        <v>SUPORTE OBT</v>
      </c>
      <c r="Q50" s="1">
        <f t="shared" si="1"/>
        <v>46</v>
      </c>
    </row>
    <row r="51" spans="1:17" x14ac:dyDescent="0.25">
      <c r="A51" s="1" t="str">
        <f>_xlfn.XLOOKUP(D51,'Novo relatório'!B:B,'Novo relatório'!C:C,"RESOLVIDO")</f>
        <v>GOVER</v>
      </c>
      <c r="B51" s="1" t="s">
        <v>63</v>
      </c>
      <c r="C51" t="str">
        <f t="shared" si="0"/>
        <v>CONTABILIZAR NO PORTAL</v>
      </c>
      <c r="D51" s="1">
        <v>2629397</v>
      </c>
      <c r="E51" s="1" t="s">
        <v>24</v>
      </c>
      <c r="F51" s="2">
        <v>45401.379861111112</v>
      </c>
      <c r="G51" s="1">
        <v>376798</v>
      </c>
      <c r="H51" s="1" t="s">
        <v>144</v>
      </c>
      <c r="I51" s="1" t="s">
        <v>145</v>
      </c>
      <c r="J51" s="2">
        <v>45401.394444444442</v>
      </c>
      <c r="K51" s="2">
        <v>45447.513888888891</v>
      </c>
      <c r="L51" s="1" t="s">
        <v>14</v>
      </c>
      <c r="M51" s="1" t="str">
        <f>_xlfn.XLOOKUP(I51,Parâmetros!A:A,Parâmetros!B:B,_xlfn.XLOOKUP(Q51,Parâmetros!F:F,Parâmetros!G:G,"NOVA MENSAGEM"))</f>
        <v>TAG - ITEM VEÍCULO</v>
      </c>
      <c r="N51" s="1" t="str">
        <f>_xlfn.XLOOKUP(M51,Parâmetros!K:K,Parâmetros!L:L,"")</f>
        <v>TAGS DE DETALHAMENTO DO SERVIÇO NÃO ENVIADO NO XML</v>
      </c>
      <c r="O51" s="1" t="str">
        <f>_xlfn.XLOOKUP(M51,Parâmetros!B:B,Parâmetros!C:C,_xlfn.XLOOKUP(Base!M51,Parâmetros!G:G,Parâmetros!H:H))</f>
        <v>SISTEMA</v>
      </c>
      <c r="P51" s="1" t="str">
        <f>_xlfn.XLOOKUP(I51,Parâmetros!A:A,Parâmetros!D:D,_xlfn.XLOOKUP(Q51,Parâmetros!F:F,Parâmetros!I:I))</f>
        <v>SUPORTE OBT</v>
      </c>
      <c r="Q51" s="1">
        <f t="shared" si="1"/>
        <v>46</v>
      </c>
    </row>
    <row r="52" spans="1:17" x14ac:dyDescent="0.25">
      <c r="A52" s="1" t="str">
        <f>_xlfn.XLOOKUP(D52,'Novo relatório'!B:B,'Novo relatório'!C:C,"RESOLVIDO")</f>
        <v>GOVER</v>
      </c>
      <c r="B52" s="1" t="s">
        <v>63</v>
      </c>
      <c r="C52" t="str">
        <f t="shared" si="0"/>
        <v>CONTABILIZAR NO PORTAL</v>
      </c>
      <c r="D52" s="1">
        <v>2635595</v>
      </c>
      <c r="E52" s="1" t="s">
        <v>24</v>
      </c>
      <c r="F52" s="2">
        <v>45404.720138888886</v>
      </c>
      <c r="G52" s="1">
        <v>4320780</v>
      </c>
      <c r="H52" s="1">
        <v>4320780</v>
      </c>
      <c r="I52" s="1" t="s">
        <v>77</v>
      </c>
      <c r="J52" s="2">
        <v>45405.477777777778</v>
      </c>
      <c r="K52" s="2">
        <v>45491.447222222225</v>
      </c>
      <c r="L52" s="1" t="s">
        <v>14</v>
      </c>
      <c r="M52" s="1" t="str">
        <f>_xlfn.XLOOKUP(I52,Parâmetros!A:A,Parâmetros!B:B,_xlfn.XLOOKUP(Q52,Parâmetros!F:F,Parâmetros!G:G,"NOVA MENSAGEM"))</f>
        <v>RLOC NÃO INFORMADO</v>
      </c>
      <c r="N52" s="1" t="str">
        <f>_xlfn.XLOOKUP(M52,Parâmetros!K:K,Parâmetros!L:L,"")</f>
        <v>RLOC NÃO PREENCHIDO NA RESERVA</v>
      </c>
      <c r="O52" s="1" t="str">
        <f>_xlfn.XLOOKUP(M52,Parâmetros!B:B,Parâmetros!C:C,_xlfn.XLOOKUP(Base!M52,Parâmetros!G:G,Parâmetros!H:H))</f>
        <v>QUALIDADE DOS DADOS</v>
      </c>
      <c r="P52" s="1" t="str">
        <f>_xlfn.XLOOKUP(I52,Parâmetros!A:A,Parâmetros!D:D,_xlfn.XLOOKUP(Q52,Parâmetros!F:F,Parâmetros!I:I))</f>
        <v>SUPORTE OBT</v>
      </c>
      <c r="Q52" s="1" t="str">
        <f t="shared" si="1"/>
        <v>COLUNA I</v>
      </c>
    </row>
    <row r="53" spans="1:17" x14ac:dyDescent="0.25">
      <c r="A53" s="1" t="str">
        <f>_xlfn.XLOOKUP(D53,'Novo relatório'!B:B,'Novo relatório'!C:C,"RESOLVIDO")</f>
        <v>GOVER</v>
      </c>
      <c r="B53" s="1" t="s">
        <v>63</v>
      </c>
      <c r="C53" t="str">
        <f t="shared" si="0"/>
        <v>CONTABILIZAR NO PORTAL</v>
      </c>
      <c r="D53" s="1">
        <v>2652138</v>
      </c>
      <c r="E53" s="1" t="s">
        <v>24</v>
      </c>
      <c r="F53" s="2">
        <v>45406.588888888888</v>
      </c>
      <c r="G53" s="1">
        <v>377055</v>
      </c>
      <c r="H53" s="1" t="s">
        <v>146</v>
      </c>
      <c r="I53" s="1" t="s">
        <v>147</v>
      </c>
      <c r="J53" s="2">
        <v>45414.369444444441</v>
      </c>
      <c r="K53" s="2">
        <v>45491.444444444445</v>
      </c>
      <c r="L53" s="1" t="s">
        <v>14</v>
      </c>
      <c r="M53" s="1" t="str">
        <f>_xlfn.XLOOKUP(I53,Parâmetros!A:A,Parâmetros!B:B,_xlfn.XLOOKUP(Q53,Parâmetros!F:F,Parâmetros!G:G,"NOVA MENSAGEM"))</f>
        <v>TAG - ITEM VEÍCULO</v>
      </c>
      <c r="N53" s="1" t="str">
        <f>_xlfn.XLOOKUP(M53,Parâmetros!K:K,Parâmetros!L:L,"")</f>
        <v>TAGS DE DETALHAMENTO DO SERVIÇO NÃO ENVIADO NO XML</v>
      </c>
      <c r="O53" s="1" t="str">
        <f>_xlfn.XLOOKUP(M53,Parâmetros!B:B,Parâmetros!C:C,_xlfn.XLOOKUP(Base!M53,Parâmetros!G:G,Parâmetros!H:H))</f>
        <v>SISTEMA</v>
      </c>
      <c r="P53" s="1" t="str">
        <f>_xlfn.XLOOKUP(I53,Parâmetros!A:A,Parâmetros!D:D,_xlfn.XLOOKUP(Q53,Parâmetros!F:F,Parâmetros!I:I))</f>
        <v>SUPORTE OBT</v>
      </c>
      <c r="Q53" s="1">
        <f t="shared" si="1"/>
        <v>46</v>
      </c>
    </row>
    <row r="54" spans="1:17" x14ac:dyDescent="0.25">
      <c r="A54" s="1" t="str">
        <f>_xlfn.XLOOKUP(D54,'Novo relatório'!B:B,'Novo relatório'!C:C,"RESOLVIDO")</f>
        <v>GOVER</v>
      </c>
      <c r="B54" s="1" t="s">
        <v>63</v>
      </c>
      <c r="C54" t="str">
        <f t="shared" si="0"/>
        <v>CONTABILIZAR NO PORTAL</v>
      </c>
      <c r="D54" s="1">
        <v>2659361</v>
      </c>
      <c r="E54" s="1" t="s">
        <v>24</v>
      </c>
      <c r="F54" s="2">
        <v>45418.491666666669</v>
      </c>
      <c r="G54" s="1">
        <v>377651</v>
      </c>
      <c r="H54" s="1" t="s">
        <v>148</v>
      </c>
      <c r="I54" s="1" t="s">
        <v>149</v>
      </c>
      <c r="J54" s="2">
        <v>45418.506944444445</v>
      </c>
      <c r="K54" s="2">
        <v>45455.619444444441</v>
      </c>
      <c r="L54" s="1" t="s">
        <v>14</v>
      </c>
      <c r="M54" s="1" t="str">
        <f>_xlfn.XLOOKUP(I54,Parâmetros!A:A,Parâmetros!B:B,_xlfn.XLOOKUP(Q54,Parâmetros!F:F,Parâmetros!G:G,"NOVA MENSAGEM"))</f>
        <v>TAG - ITEM VEÍCULO</v>
      </c>
      <c r="N54" s="1" t="str">
        <f>_xlfn.XLOOKUP(M54,Parâmetros!K:K,Parâmetros!L:L,"")</f>
        <v>TAGS DE DETALHAMENTO DO SERVIÇO NÃO ENVIADO NO XML</v>
      </c>
      <c r="O54" s="1" t="str">
        <f>_xlfn.XLOOKUP(M54,Parâmetros!B:B,Parâmetros!C:C,_xlfn.XLOOKUP(Base!M54,Parâmetros!G:G,Parâmetros!H:H))</f>
        <v>SISTEMA</v>
      </c>
      <c r="P54" s="1" t="str">
        <f>_xlfn.XLOOKUP(I54,Parâmetros!A:A,Parâmetros!D:D,_xlfn.XLOOKUP(Q54,Parâmetros!F:F,Parâmetros!I:I))</f>
        <v>SUPORTE OBT</v>
      </c>
      <c r="Q54" s="1">
        <f t="shared" si="1"/>
        <v>46</v>
      </c>
    </row>
    <row r="55" spans="1:17" x14ac:dyDescent="0.25">
      <c r="A55" s="1" t="str">
        <f>_xlfn.XLOOKUP(D55,'Novo relatório'!B:B,'Novo relatório'!C:C,"RESOLVIDO")</f>
        <v>GOVER</v>
      </c>
      <c r="B55" s="1" t="s">
        <v>63</v>
      </c>
      <c r="C55" t="str">
        <f t="shared" si="0"/>
        <v>CONTABILIZAR NO PORTAL</v>
      </c>
      <c r="D55" s="1">
        <v>2665604</v>
      </c>
      <c r="E55" s="1" t="s">
        <v>24</v>
      </c>
      <c r="F55" s="2">
        <v>45420.602777777778</v>
      </c>
      <c r="G55" s="1">
        <v>4330632</v>
      </c>
      <c r="H55" s="1">
        <v>4330632</v>
      </c>
      <c r="I55" s="1" t="s">
        <v>77</v>
      </c>
      <c r="J55" s="2">
        <v>45420.609722222223</v>
      </c>
      <c r="K55" s="2">
        <v>45491.447222222225</v>
      </c>
      <c r="L55" s="1" t="s">
        <v>14</v>
      </c>
      <c r="M55" s="1" t="str">
        <f>_xlfn.XLOOKUP(I55,Parâmetros!A:A,Parâmetros!B:B,_xlfn.XLOOKUP(Q55,Parâmetros!F:F,Parâmetros!G:G,"NOVA MENSAGEM"))</f>
        <v>RLOC NÃO INFORMADO</v>
      </c>
      <c r="N55" s="1" t="str">
        <f>_xlfn.XLOOKUP(M55,Parâmetros!K:K,Parâmetros!L:L,"")</f>
        <v>RLOC NÃO PREENCHIDO NA RESERVA</v>
      </c>
      <c r="O55" s="1" t="str">
        <f>_xlfn.XLOOKUP(M55,Parâmetros!B:B,Parâmetros!C:C,_xlfn.XLOOKUP(Base!M55,Parâmetros!G:G,Parâmetros!H:H))</f>
        <v>QUALIDADE DOS DADOS</v>
      </c>
      <c r="P55" s="1" t="str">
        <f>_xlfn.XLOOKUP(I55,Parâmetros!A:A,Parâmetros!D:D,_xlfn.XLOOKUP(Q55,Parâmetros!F:F,Parâmetros!I:I))</f>
        <v>SUPORTE OBT</v>
      </c>
      <c r="Q55" s="1" t="str">
        <f t="shared" si="1"/>
        <v>COLUNA I</v>
      </c>
    </row>
    <row r="56" spans="1:17" x14ac:dyDescent="0.25">
      <c r="A56" s="1" t="str">
        <f>_xlfn.XLOOKUP(D56,'Novo relatório'!B:B,'Novo relatório'!C:C,"RESOLVIDO")</f>
        <v>GOVER</v>
      </c>
      <c r="B56" s="1" t="s">
        <v>63</v>
      </c>
      <c r="C56" t="str">
        <f t="shared" si="0"/>
        <v>CONTABILIZAR NO PORTAL</v>
      </c>
      <c r="D56" s="1">
        <v>2668656</v>
      </c>
      <c r="E56" s="1" t="s">
        <v>24</v>
      </c>
      <c r="F56" s="2">
        <v>45421.698611111111</v>
      </c>
      <c r="G56" s="1">
        <v>4331646</v>
      </c>
      <c r="H56" s="1">
        <v>4331646</v>
      </c>
      <c r="I56" s="1" t="s">
        <v>77</v>
      </c>
      <c r="J56" s="2">
        <v>45421.71597222222</v>
      </c>
      <c r="K56" s="2"/>
      <c r="L56" s="1" t="s">
        <v>14</v>
      </c>
      <c r="M56" s="1" t="str">
        <f>_xlfn.XLOOKUP(I56,Parâmetros!A:A,Parâmetros!B:B,_xlfn.XLOOKUP(Q56,Parâmetros!F:F,Parâmetros!G:G,"NOVA MENSAGEM"))</f>
        <v>RLOC NÃO INFORMADO</v>
      </c>
      <c r="N56" s="1" t="str">
        <f>_xlfn.XLOOKUP(M56,Parâmetros!K:K,Parâmetros!L:L,"")</f>
        <v>RLOC NÃO PREENCHIDO NA RESERVA</v>
      </c>
      <c r="O56" s="1" t="str">
        <f>_xlfn.XLOOKUP(M56,Parâmetros!B:B,Parâmetros!C:C,_xlfn.XLOOKUP(Base!M56,Parâmetros!G:G,Parâmetros!H:H))</f>
        <v>QUALIDADE DOS DADOS</v>
      </c>
      <c r="P56" s="1" t="str">
        <f>_xlfn.XLOOKUP(I56,Parâmetros!A:A,Parâmetros!D:D,_xlfn.XLOOKUP(Q56,Parâmetros!F:F,Parâmetros!I:I))</f>
        <v>SUPORTE OBT</v>
      </c>
      <c r="Q56" s="1" t="str">
        <f t="shared" si="1"/>
        <v>COLUNA I</v>
      </c>
    </row>
    <row r="57" spans="1:17" x14ac:dyDescent="0.25">
      <c r="A57" s="1" t="str">
        <f>_xlfn.XLOOKUP(D57,'Novo relatório'!B:B,'Novo relatório'!C:C,"RESOLVIDO")</f>
        <v>GOVER</v>
      </c>
      <c r="B57" s="1" t="s">
        <v>63</v>
      </c>
      <c r="C57" t="str">
        <f t="shared" si="0"/>
        <v>CONTABILIZAR NO PORTAL</v>
      </c>
      <c r="D57" s="1">
        <v>2687779</v>
      </c>
      <c r="E57" s="1" t="s">
        <v>24</v>
      </c>
      <c r="F57" s="2">
        <v>45432.590277777781</v>
      </c>
      <c r="G57" s="1">
        <v>378468</v>
      </c>
      <c r="H57" s="1" t="s">
        <v>150</v>
      </c>
      <c r="I57" s="1" t="s">
        <v>151</v>
      </c>
      <c r="J57" s="2">
        <v>45432.613888888889</v>
      </c>
      <c r="K57" s="2">
        <v>45455.620138888888</v>
      </c>
      <c r="L57" s="1" t="s">
        <v>14</v>
      </c>
      <c r="M57" s="1" t="str">
        <f>_xlfn.XLOOKUP(I57,Parâmetros!A:A,Parâmetros!B:B,_xlfn.XLOOKUP(Q57,Parâmetros!F:F,Parâmetros!G:G,"NOVA MENSAGEM"))</f>
        <v>TAG - ITEM VEÍCULO</v>
      </c>
      <c r="N57" s="1" t="str">
        <f>_xlfn.XLOOKUP(M57,Parâmetros!K:K,Parâmetros!L:L,"")</f>
        <v>TAGS DE DETALHAMENTO DO SERVIÇO NÃO ENVIADO NO XML</v>
      </c>
      <c r="O57" s="1" t="str">
        <f>_xlfn.XLOOKUP(M57,Parâmetros!B:B,Parâmetros!C:C,_xlfn.XLOOKUP(Base!M57,Parâmetros!G:G,Parâmetros!H:H))</f>
        <v>SISTEMA</v>
      </c>
      <c r="P57" s="1" t="str">
        <f>_xlfn.XLOOKUP(I57,Parâmetros!A:A,Parâmetros!D:D,_xlfn.XLOOKUP(Q57,Parâmetros!F:F,Parâmetros!I:I))</f>
        <v>SUPORTE OBT</v>
      </c>
      <c r="Q57" s="1">
        <f t="shared" si="1"/>
        <v>46</v>
      </c>
    </row>
    <row r="58" spans="1:17" x14ac:dyDescent="0.25">
      <c r="A58" s="1" t="str">
        <f>_xlfn.XLOOKUP(D58,'Novo relatório'!B:B,'Novo relatório'!C:C,"RESOLVIDO")</f>
        <v>GOVER</v>
      </c>
      <c r="B58" s="1" t="s">
        <v>63</v>
      </c>
      <c r="C58" t="str">
        <f t="shared" si="0"/>
        <v>CONTABILIZAR NO PORTAL</v>
      </c>
      <c r="D58" s="1">
        <v>2690939</v>
      </c>
      <c r="E58" s="1" t="s">
        <v>24</v>
      </c>
      <c r="F58" s="2">
        <v>45433.631944444445</v>
      </c>
      <c r="G58" s="1">
        <v>378581</v>
      </c>
      <c r="H58" s="1" t="s">
        <v>152</v>
      </c>
      <c r="I58" s="1" t="s">
        <v>153</v>
      </c>
      <c r="J58" s="2">
        <v>45433.638888888891</v>
      </c>
      <c r="K58" s="2">
        <v>45491.444444444445</v>
      </c>
      <c r="L58" s="1" t="s">
        <v>14</v>
      </c>
      <c r="M58" s="1" t="str">
        <f>_xlfn.XLOOKUP(I58,Parâmetros!A:A,Parâmetros!B:B,_xlfn.XLOOKUP(Q58,Parâmetros!F:F,Parâmetros!G:G,"NOVA MENSAGEM"))</f>
        <v>TAG - ITEM VEÍCULO</v>
      </c>
      <c r="N58" s="1" t="str">
        <f>_xlfn.XLOOKUP(M58,Parâmetros!K:K,Parâmetros!L:L,"")</f>
        <v>TAGS DE DETALHAMENTO DO SERVIÇO NÃO ENVIADO NO XML</v>
      </c>
      <c r="O58" s="1" t="str">
        <f>_xlfn.XLOOKUP(M58,Parâmetros!B:B,Parâmetros!C:C,_xlfn.XLOOKUP(Base!M58,Parâmetros!G:G,Parâmetros!H:H))</f>
        <v>SISTEMA</v>
      </c>
      <c r="P58" s="1" t="str">
        <f>_xlfn.XLOOKUP(I58,Parâmetros!A:A,Parâmetros!D:D,_xlfn.XLOOKUP(Q58,Parâmetros!F:F,Parâmetros!I:I))</f>
        <v>SUPORTE OBT</v>
      </c>
      <c r="Q58" s="1">
        <f t="shared" si="1"/>
        <v>46</v>
      </c>
    </row>
    <row r="59" spans="1:17" x14ac:dyDescent="0.25">
      <c r="A59" s="1" t="str">
        <f>_xlfn.XLOOKUP(D59,'Novo relatório'!B:B,'Novo relatório'!C:C,"RESOLVIDO")</f>
        <v>GOVER</v>
      </c>
      <c r="B59" s="1" t="s">
        <v>63</v>
      </c>
      <c r="C59" t="str">
        <f t="shared" si="0"/>
        <v>CONTABILIZAR NO PORTAL</v>
      </c>
      <c r="D59" s="1">
        <v>2690940</v>
      </c>
      <c r="E59" s="1" t="s">
        <v>24</v>
      </c>
      <c r="F59" s="2">
        <v>45433.634027777778</v>
      </c>
      <c r="G59" s="1">
        <v>378584</v>
      </c>
      <c r="H59" s="1" t="s">
        <v>154</v>
      </c>
      <c r="I59" s="1" t="s">
        <v>155</v>
      </c>
      <c r="J59" s="2">
        <v>45433.638888888891</v>
      </c>
      <c r="K59" s="2">
        <v>45491.444444444445</v>
      </c>
      <c r="L59" s="1" t="s">
        <v>14</v>
      </c>
      <c r="M59" s="1" t="str">
        <f>_xlfn.XLOOKUP(I59,Parâmetros!A:A,Parâmetros!B:B,_xlfn.XLOOKUP(Q59,Parâmetros!F:F,Parâmetros!G:G,"NOVA MENSAGEM"))</f>
        <v>TAG - ITEM VEÍCULO</v>
      </c>
      <c r="N59" s="1" t="str">
        <f>_xlfn.XLOOKUP(M59,Parâmetros!K:K,Parâmetros!L:L,"")</f>
        <v>TAGS DE DETALHAMENTO DO SERVIÇO NÃO ENVIADO NO XML</v>
      </c>
      <c r="O59" s="1" t="str">
        <f>_xlfn.XLOOKUP(M59,Parâmetros!B:B,Parâmetros!C:C,_xlfn.XLOOKUP(Base!M59,Parâmetros!G:G,Parâmetros!H:H))</f>
        <v>SISTEMA</v>
      </c>
      <c r="P59" s="1" t="str">
        <f>_xlfn.XLOOKUP(I59,Parâmetros!A:A,Parâmetros!D:D,_xlfn.XLOOKUP(Q59,Parâmetros!F:F,Parâmetros!I:I))</f>
        <v>SUPORTE OBT</v>
      </c>
      <c r="Q59" s="1">
        <f t="shared" si="1"/>
        <v>46</v>
      </c>
    </row>
    <row r="60" spans="1:17" x14ac:dyDescent="0.25">
      <c r="A60" s="1" t="str">
        <f>_xlfn.XLOOKUP(D60,'Novo relatório'!B:B,'Novo relatório'!C:C,"RESOLVIDO")</f>
        <v>GOVER</v>
      </c>
      <c r="B60" s="1" t="s">
        <v>63</v>
      </c>
      <c r="C60" t="str">
        <f t="shared" si="0"/>
        <v>CONTABILIZAR NO PORTAL</v>
      </c>
      <c r="D60" s="1">
        <v>2691022</v>
      </c>
      <c r="E60" s="1" t="s">
        <v>24</v>
      </c>
      <c r="F60" s="2">
        <v>45433.64166666667</v>
      </c>
      <c r="G60" s="1">
        <v>378585</v>
      </c>
      <c r="H60" s="1" t="s">
        <v>156</v>
      </c>
      <c r="I60" s="1" t="s">
        <v>157</v>
      </c>
      <c r="J60" s="2">
        <v>45433.644444444442</v>
      </c>
      <c r="K60" s="2">
        <v>45491.444444444445</v>
      </c>
      <c r="L60" s="1" t="s">
        <v>14</v>
      </c>
      <c r="M60" s="1" t="str">
        <f>_xlfn.XLOOKUP(I60,Parâmetros!A:A,Parâmetros!B:B,_xlfn.XLOOKUP(Q60,Parâmetros!F:F,Parâmetros!G:G,"NOVA MENSAGEM"))</f>
        <v>TAG - ITEM VEÍCULO</v>
      </c>
      <c r="N60" s="1" t="str">
        <f>_xlfn.XLOOKUP(M60,Parâmetros!K:K,Parâmetros!L:L,"")</f>
        <v>TAGS DE DETALHAMENTO DO SERVIÇO NÃO ENVIADO NO XML</v>
      </c>
      <c r="O60" s="1" t="str">
        <f>_xlfn.XLOOKUP(M60,Parâmetros!B:B,Parâmetros!C:C,_xlfn.XLOOKUP(Base!M60,Parâmetros!G:G,Parâmetros!H:H))</f>
        <v>SISTEMA</v>
      </c>
      <c r="P60" s="1" t="str">
        <f>_xlfn.XLOOKUP(I60,Parâmetros!A:A,Parâmetros!D:D,_xlfn.XLOOKUP(Q60,Parâmetros!F:F,Parâmetros!I:I))</f>
        <v>SUPORTE OBT</v>
      </c>
      <c r="Q60" s="1">
        <f t="shared" si="1"/>
        <v>46</v>
      </c>
    </row>
    <row r="61" spans="1:17" x14ac:dyDescent="0.25">
      <c r="A61" s="1" t="str">
        <f>_xlfn.XLOOKUP(D61,'Novo relatório'!B:B,'Novo relatório'!C:C,"RESOLVIDO")</f>
        <v>GOVER</v>
      </c>
      <c r="B61" s="1" t="s">
        <v>63</v>
      </c>
      <c r="C61" t="str">
        <f t="shared" si="0"/>
        <v>CONTABILIZAR NO PORTAL</v>
      </c>
      <c r="D61" s="1">
        <v>2708785</v>
      </c>
      <c r="E61" s="1" t="s">
        <v>24</v>
      </c>
      <c r="F61" s="2">
        <v>45441.599305555559</v>
      </c>
      <c r="G61" s="1">
        <v>379112</v>
      </c>
      <c r="H61" s="1" t="s">
        <v>159</v>
      </c>
      <c r="I61" s="1" t="s">
        <v>160</v>
      </c>
      <c r="J61" s="2">
        <v>45441.720138888886</v>
      </c>
      <c r="K61" s="2">
        <v>45491.444444444445</v>
      </c>
      <c r="L61" s="1" t="s">
        <v>14</v>
      </c>
      <c r="M61" s="1" t="str">
        <f>_xlfn.XLOOKUP(I61,Parâmetros!A:A,Parâmetros!B:B,_xlfn.XLOOKUP(Q61,Parâmetros!F:F,Parâmetros!G:G,"NOVA MENSAGEM"))</f>
        <v>TAG - ITEM VEÍCULO</v>
      </c>
      <c r="N61" s="1" t="str">
        <f>_xlfn.XLOOKUP(M61,Parâmetros!K:K,Parâmetros!L:L,"")</f>
        <v>TAGS DE DETALHAMENTO DO SERVIÇO NÃO ENVIADO NO XML</v>
      </c>
      <c r="O61" s="1" t="str">
        <f>_xlfn.XLOOKUP(M61,Parâmetros!B:B,Parâmetros!C:C,_xlfn.XLOOKUP(Base!M61,Parâmetros!G:G,Parâmetros!H:H))</f>
        <v>SISTEMA</v>
      </c>
      <c r="P61" s="1" t="str">
        <f>_xlfn.XLOOKUP(I61,Parâmetros!A:A,Parâmetros!D:D,_xlfn.XLOOKUP(Q61,Parâmetros!F:F,Parâmetros!I:I))</f>
        <v>SUPORTE OBT</v>
      </c>
      <c r="Q61" s="1">
        <f t="shared" si="1"/>
        <v>46</v>
      </c>
    </row>
    <row r="62" spans="1:17" x14ac:dyDescent="0.25">
      <c r="A62" s="1" t="str">
        <f>_xlfn.XLOOKUP(D62,'Novo relatório'!B:B,'Novo relatório'!C:C,"RESOLVIDO")</f>
        <v>GOVER</v>
      </c>
      <c r="B62" s="1" t="s">
        <v>63</v>
      </c>
      <c r="C62" t="str">
        <f t="shared" si="0"/>
        <v>CONTABILIZAR NO PORTAL</v>
      </c>
      <c r="D62" s="1">
        <v>2714614</v>
      </c>
      <c r="E62" s="1" t="s">
        <v>24</v>
      </c>
      <c r="F62" s="2">
        <v>45446.732638888891</v>
      </c>
      <c r="G62" s="1">
        <v>4344911</v>
      </c>
      <c r="H62" s="1">
        <v>4344911</v>
      </c>
      <c r="I62" s="1" t="s">
        <v>77</v>
      </c>
      <c r="J62" s="2">
        <v>45446.740277777775</v>
      </c>
      <c r="K62" s="2">
        <v>45491.447222222225</v>
      </c>
      <c r="L62" s="1" t="s">
        <v>14</v>
      </c>
      <c r="M62" s="1" t="str">
        <f>_xlfn.XLOOKUP(I62,Parâmetros!A:A,Parâmetros!B:B,_xlfn.XLOOKUP(Q62,Parâmetros!F:F,Parâmetros!G:G,"NOVA MENSAGEM"))</f>
        <v>RLOC NÃO INFORMADO</v>
      </c>
      <c r="N62" s="1" t="str">
        <f>_xlfn.XLOOKUP(M62,Parâmetros!K:K,Parâmetros!L:L,"")</f>
        <v>RLOC NÃO PREENCHIDO NA RESERVA</v>
      </c>
      <c r="O62" s="1" t="str">
        <f>_xlfn.XLOOKUP(M62,Parâmetros!B:B,Parâmetros!C:C,_xlfn.XLOOKUP(Base!M62,Parâmetros!G:G,Parâmetros!H:H))</f>
        <v>QUALIDADE DOS DADOS</v>
      </c>
      <c r="P62" s="1" t="str">
        <f>_xlfn.XLOOKUP(I62,Parâmetros!A:A,Parâmetros!D:D,_xlfn.XLOOKUP(Q62,Parâmetros!F:F,Parâmetros!I:I))</f>
        <v>SUPORTE OBT</v>
      </c>
      <c r="Q62" s="1" t="str">
        <f t="shared" si="1"/>
        <v>COLUNA I</v>
      </c>
    </row>
    <row r="63" spans="1:17" x14ac:dyDescent="0.25">
      <c r="A63" s="1" t="str">
        <f>_xlfn.XLOOKUP(D63,'Novo relatório'!B:B,'Novo relatório'!C:C,"RESOLVIDO")</f>
        <v>GOVER</v>
      </c>
      <c r="B63" s="1" t="s">
        <v>63</v>
      </c>
      <c r="C63" t="str">
        <f t="shared" si="0"/>
        <v>CONTABILIZAR NO PORTAL</v>
      </c>
      <c r="D63" s="1">
        <v>2716446</v>
      </c>
      <c r="E63" s="1" t="s">
        <v>24</v>
      </c>
      <c r="F63" s="2">
        <v>45447.429166666669</v>
      </c>
      <c r="G63" s="1">
        <v>4345248</v>
      </c>
      <c r="H63" s="1" t="s">
        <v>161</v>
      </c>
      <c r="I63" s="1" t="s">
        <v>162</v>
      </c>
      <c r="J63" s="2">
        <v>45447.533333333333</v>
      </c>
      <c r="K63" s="2">
        <v>45491.447222222225</v>
      </c>
      <c r="L63" s="1" t="s">
        <v>14</v>
      </c>
      <c r="M63" s="1" t="str">
        <f>_xlfn.XLOOKUP(I63,Parâmetros!A:A,Parâmetros!B:B,_xlfn.XLOOKUP(Q63,Parâmetros!F:F,Parâmetros!G:G,"NOVA MENSAGEM"))</f>
        <v>TAG - ITEM VEÍCULO</v>
      </c>
      <c r="N63" s="1" t="str">
        <f>_xlfn.XLOOKUP(M63,Parâmetros!K:K,Parâmetros!L:L,"")</f>
        <v>TAGS DE DETALHAMENTO DO SERVIÇO NÃO ENVIADO NO XML</v>
      </c>
      <c r="O63" s="1" t="str">
        <f>_xlfn.XLOOKUP(M63,Parâmetros!B:B,Parâmetros!C:C,_xlfn.XLOOKUP(Base!M63,Parâmetros!G:G,Parâmetros!H:H))</f>
        <v>SISTEMA</v>
      </c>
      <c r="P63" s="1" t="str">
        <f>_xlfn.XLOOKUP(I63,Parâmetros!A:A,Parâmetros!D:D,_xlfn.XLOOKUP(Q63,Parâmetros!F:F,Parâmetros!I:I))</f>
        <v>SUPORTE OBT</v>
      </c>
      <c r="Q63" s="1">
        <f t="shared" si="1"/>
        <v>46</v>
      </c>
    </row>
    <row r="64" spans="1:17" x14ac:dyDescent="0.25">
      <c r="A64" s="1" t="str">
        <f>_xlfn.XLOOKUP(D64,'Novo relatório'!B:B,'Novo relatório'!C:C,"RESOLVIDO")</f>
        <v>GOVER</v>
      </c>
      <c r="B64" s="1" t="s">
        <v>63</v>
      </c>
      <c r="C64" t="str">
        <f t="shared" si="0"/>
        <v>CONTABILIZAR NO PORTAL</v>
      </c>
      <c r="D64" s="1">
        <v>2716447</v>
      </c>
      <c r="E64" s="1" t="s">
        <v>24</v>
      </c>
      <c r="F64" s="2">
        <v>45447.429166666669</v>
      </c>
      <c r="G64" s="1">
        <v>4345248</v>
      </c>
      <c r="H64" s="1" t="s">
        <v>163</v>
      </c>
      <c r="I64" s="1" t="s">
        <v>164</v>
      </c>
      <c r="J64" s="2">
        <v>45447.533333333333</v>
      </c>
      <c r="K64" s="2">
        <v>45491.447222222225</v>
      </c>
      <c r="L64" s="1" t="s">
        <v>14</v>
      </c>
      <c r="M64" s="1" t="str">
        <f>_xlfn.XLOOKUP(I64,Parâmetros!A:A,Parâmetros!B:B,_xlfn.XLOOKUP(Q64,Parâmetros!F:F,Parâmetros!G:G,"NOVA MENSAGEM"))</f>
        <v>TAG - ITEM VEÍCULO</v>
      </c>
      <c r="N64" s="1" t="str">
        <f>_xlfn.XLOOKUP(M64,Parâmetros!K:K,Parâmetros!L:L,"")</f>
        <v>TAGS DE DETALHAMENTO DO SERVIÇO NÃO ENVIADO NO XML</v>
      </c>
      <c r="O64" s="1" t="str">
        <f>_xlfn.XLOOKUP(M64,Parâmetros!B:B,Parâmetros!C:C,_xlfn.XLOOKUP(Base!M64,Parâmetros!G:G,Parâmetros!H:H))</f>
        <v>SISTEMA</v>
      </c>
      <c r="P64" s="1" t="str">
        <f>_xlfn.XLOOKUP(I64,Parâmetros!A:A,Parâmetros!D:D,_xlfn.XLOOKUP(Q64,Parâmetros!F:F,Parâmetros!I:I))</f>
        <v>SUPORTE OBT</v>
      </c>
      <c r="Q64" s="1">
        <f t="shared" si="1"/>
        <v>46</v>
      </c>
    </row>
    <row r="65" spans="1:17" x14ac:dyDescent="0.25">
      <c r="A65" s="1" t="str">
        <f>_xlfn.XLOOKUP(D65,'Novo relatório'!B:B,'Novo relatório'!C:C,"RESOLVIDO")</f>
        <v>GOVER</v>
      </c>
      <c r="B65" s="1" t="s">
        <v>63</v>
      </c>
      <c r="C65" t="str">
        <f t="shared" si="0"/>
        <v>CONTABILIZAR NO PORTAL</v>
      </c>
      <c r="D65" s="1">
        <v>2718856</v>
      </c>
      <c r="E65" s="1" t="s">
        <v>24</v>
      </c>
      <c r="F65" s="2">
        <v>45447.44027777778</v>
      </c>
      <c r="G65" s="1">
        <v>4345267</v>
      </c>
      <c r="H65" s="1">
        <v>4345267</v>
      </c>
      <c r="I65" s="1" t="s">
        <v>77</v>
      </c>
      <c r="J65" s="2">
        <v>45448.118055555555</v>
      </c>
      <c r="K65" s="2"/>
      <c r="L65" s="1" t="s">
        <v>14</v>
      </c>
      <c r="M65" s="1" t="str">
        <f>_xlfn.XLOOKUP(I65,Parâmetros!A:A,Parâmetros!B:B,_xlfn.XLOOKUP(Q65,Parâmetros!F:F,Parâmetros!G:G,"NOVA MENSAGEM"))</f>
        <v>RLOC NÃO INFORMADO</v>
      </c>
      <c r="N65" s="1" t="str">
        <f>_xlfn.XLOOKUP(M65,Parâmetros!K:K,Parâmetros!L:L,"")</f>
        <v>RLOC NÃO PREENCHIDO NA RESERVA</v>
      </c>
      <c r="O65" s="1" t="str">
        <f>_xlfn.XLOOKUP(M65,Parâmetros!B:B,Parâmetros!C:C,_xlfn.XLOOKUP(Base!M65,Parâmetros!G:G,Parâmetros!H:H))</f>
        <v>QUALIDADE DOS DADOS</v>
      </c>
      <c r="P65" s="1" t="str">
        <f>_xlfn.XLOOKUP(I65,Parâmetros!A:A,Parâmetros!D:D,_xlfn.XLOOKUP(Q65,Parâmetros!F:F,Parâmetros!I:I))</f>
        <v>SUPORTE OBT</v>
      </c>
      <c r="Q65" s="1" t="str">
        <f t="shared" si="1"/>
        <v>COLUNA I</v>
      </c>
    </row>
    <row r="66" spans="1:17" x14ac:dyDescent="0.25">
      <c r="A66" s="1" t="str">
        <f>_xlfn.XLOOKUP(D66,'Novo relatório'!B:B,'Novo relatório'!C:C,"RESOLVIDO")</f>
        <v>GOVER</v>
      </c>
      <c r="B66" s="1" t="s">
        <v>63</v>
      </c>
      <c r="C66" t="str">
        <f t="shared" ref="C66:C129" si="2">IF(A66="RESOLVIDO","RESOLVIDO",IF(B66="","PENDENTE",IF(LEFT(B66,7)="CHAMADO","AGUARDANDO FORNECEDOR",IF(B66="CONTABILIZAR","CONTABILIZAR NO PORTAL"))))</f>
        <v>CONTABILIZAR NO PORTAL</v>
      </c>
      <c r="D66" s="1">
        <v>2724955</v>
      </c>
      <c r="E66" s="1" t="s">
        <v>24</v>
      </c>
      <c r="F66" s="2">
        <v>45449.663888888892</v>
      </c>
      <c r="G66" s="1">
        <v>379459</v>
      </c>
      <c r="H66" s="1" t="s">
        <v>167</v>
      </c>
      <c r="I66" s="1" t="s">
        <v>168</v>
      </c>
      <c r="J66" s="2">
        <v>45450.525694444441</v>
      </c>
      <c r="K66" s="2">
        <v>45455.620138888888</v>
      </c>
      <c r="L66" s="1" t="s">
        <v>14</v>
      </c>
      <c r="M66" s="1" t="str">
        <f>_xlfn.XLOOKUP(I66,Parâmetros!A:A,Parâmetros!B:B,_xlfn.XLOOKUP(Q66,Parâmetros!F:F,Parâmetros!G:G,"NOVA MENSAGEM"))</f>
        <v>TAG - ITEM VEÍCULO</v>
      </c>
      <c r="N66" s="1" t="str">
        <f>_xlfn.XLOOKUP(M66,Parâmetros!K:K,Parâmetros!L:L,"")</f>
        <v>TAGS DE DETALHAMENTO DO SERVIÇO NÃO ENVIADO NO XML</v>
      </c>
      <c r="O66" s="1" t="str">
        <f>_xlfn.XLOOKUP(M66,Parâmetros!B:B,Parâmetros!C:C,_xlfn.XLOOKUP(Base!M66,Parâmetros!G:G,Parâmetros!H:H))</f>
        <v>SISTEMA</v>
      </c>
      <c r="P66" s="1" t="str">
        <f>_xlfn.XLOOKUP(I66,Parâmetros!A:A,Parâmetros!D:D,_xlfn.XLOOKUP(Q66,Parâmetros!F:F,Parâmetros!I:I))</f>
        <v>SUPORTE OBT</v>
      </c>
      <c r="Q66" s="1">
        <f t="shared" ref="Q66:Q129" si="3">IFERROR(FIND("Não foi possível localizar o contrato do fornecedor",I66),IFERROR(FIND("veículo",I66),IFERROR(FIND("agagem",I66),IFERROR(FIND("error in XML document",I66),IFERROR(FIND("Não localizado cliente código",I66),IFERROR(FIND("lemontech",I66),IFERROR(FIND("&gt;Fornecedor com o",I66),IFERROR(FIND("INSERT",I66),IFERROR(FIND("com CNPJ",I66),IFERROR(FIND("Consultando Agente-&gt; O agente",I66),IFERROR(FIND("Não foi possível determinar a validade do cartão, favor verificar os dados do cartão",I66),"COLUNA I")))))))))))</f>
        <v>46</v>
      </c>
    </row>
    <row r="67" spans="1:17" x14ac:dyDescent="0.25">
      <c r="A67" s="1" t="str">
        <f>_xlfn.XLOOKUP(D67,'Novo relatório'!B:B,'Novo relatório'!C:C,"RESOLVIDO")</f>
        <v>GOVER</v>
      </c>
      <c r="B67" s="1" t="s">
        <v>63</v>
      </c>
      <c r="C67" t="str">
        <f t="shared" si="2"/>
        <v>CONTABILIZAR NO PORTAL</v>
      </c>
      <c r="D67" s="1">
        <v>2731229</v>
      </c>
      <c r="E67" s="1" t="s">
        <v>24</v>
      </c>
      <c r="F67" s="2">
        <v>45453.720833333333</v>
      </c>
      <c r="G67" s="1">
        <v>4349507</v>
      </c>
      <c r="H67" s="1">
        <v>4349507</v>
      </c>
      <c r="I67" s="1" t="s">
        <v>77</v>
      </c>
      <c r="J67" s="2">
        <v>45454.523611111108</v>
      </c>
      <c r="K67" s="2">
        <v>45491.447222222225</v>
      </c>
      <c r="L67" s="1" t="s">
        <v>14</v>
      </c>
      <c r="M67" s="1" t="str">
        <f>_xlfn.XLOOKUP(I67,Parâmetros!A:A,Parâmetros!B:B,_xlfn.XLOOKUP(Q67,Parâmetros!F:F,Parâmetros!G:G,"NOVA MENSAGEM"))</f>
        <v>RLOC NÃO INFORMADO</v>
      </c>
      <c r="N67" s="1" t="str">
        <f>_xlfn.XLOOKUP(M67,Parâmetros!K:K,Parâmetros!L:L,"")</f>
        <v>RLOC NÃO PREENCHIDO NA RESERVA</v>
      </c>
      <c r="O67" s="1" t="str">
        <f>_xlfn.XLOOKUP(M67,Parâmetros!B:B,Parâmetros!C:C,_xlfn.XLOOKUP(Base!M67,Parâmetros!G:G,Parâmetros!H:H))</f>
        <v>QUALIDADE DOS DADOS</v>
      </c>
      <c r="P67" s="1" t="str">
        <f>_xlfn.XLOOKUP(I67,Parâmetros!A:A,Parâmetros!D:D,_xlfn.XLOOKUP(Q67,Parâmetros!F:F,Parâmetros!I:I))</f>
        <v>SUPORTE OBT</v>
      </c>
      <c r="Q67" s="1" t="str">
        <f t="shared" si="3"/>
        <v>COLUNA I</v>
      </c>
    </row>
    <row r="68" spans="1:17" x14ac:dyDescent="0.25">
      <c r="A68" s="1" t="str">
        <f>_xlfn.XLOOKUP(D68,'Novo relatório'!B:B,'Novo relatório'!C:C,"RESOLVIDO")</f>
        <v>RESOLVIDO</v>
      </c>
      <c r="C68" t="str">
        <f t="shared" si="2"/>
        <v>RESOLVIDO</v>
      </c>
      <c r="D68" s="1">
        <v>2742889</v>
      </c>
      <c r="E68" s="1" t="s">
        <v>26</v>
      </c>
      <c r="F68" s="2">
        <v>45790.311805555553</v>
      </c>
      <c r="G68" s="1" t="s">
        <v>2328</v>
      </c>
      <c r="H68" s="1" t="s">
        <v>2329</v>
      </c>
      <c r="I68" s="1" t="s">
        <v>84</v>
      </c>
      <c r="J68" s="2">
        <v>45459.469444444447</v>
      </c>
      <c r="K68" s="2">
        <v>45790.396527777775</v>
      </c>
      <c r="L68" s="1" t="s">
        <v>1244</v>
      </c>
      <c r="M68" s="1" t="str">
        <f>_xlfn.XLOOKUP(I68,Parâmetros!A:A,Parâmetros!B:B,_xlfn.XLOOKUP(Q68,Parâmetros!F:F,Parâmetros!G:G,"NOVA MENSAGEM"))</f>
        <v>REMARK - DATA INCORRETA</v>
      </c>
      <c r="N68" s="1" t="str">
        <f>_xlfn.XLOOKUP(M68,Parâmetros!K:K,Parâmetros!L:L,"")</f>
        <v>REMARK U*INFOPAG-CC/REC-CC PREENCHIDO INCORRETAMENTE</v>
      </c>
      <c r="O68" s="1" t="str">
        <f>_xlfn.XLOOKUP(M68,Parâmetros!B:B,Parâmetros!C:C,_xlfn.XLOOKUP(Base!M1802,Parâmetros!G:G,Parâmetros!H:H))</f>
        <v>QUALIDADE DOS DADOS</v>
      </c>
      <c r="P68" s="1" t="str">
        <f>_xlfn.XLOOKUP(I68,Parâmetros!A:A,Parâmetros!D:D,_xlfn.XLOOKUP(Q68,Parâmetros!F:F,Parâmetros!I:I))</f>
        <v>OPERAÇÕES / SUPORTE KCS</v>
      </c>
      <c r="Q68" s="1" t="str">
        <f t="shared" si="3"/>
        <v>COLUNA I</v>
      </c>
    </row>
    <row r="69" spans="1:17" x14ac:dyDescent="0.25">
      <c r="A69" s="1" t="str">
        <f>_xlfn.XLOOKUP(D69,'Novo relatório'!B:B,'Novo relatório'!C:C,"RESOLVIDO")</f>
        <v>GOVER</v>
      </c>
      <c r="B69" s="1" t="s">
        <v>63</v>
      </c>
      <c r="C69" t="str">
        <f t="shared" si="2"/>
        <v>CONTABILIZAR NO PORTAL</v>
      </c>
      <c r="D69" s="1">
        <v>2752710</v>
      </c>
      <c r="E69" s="1" t="s">
        <v>24</v>
      </c>
      <c r="F69" s="2">
        <v>45463.594444444447</v>
      </c>
      <c r="G69" s="1">
        <v>380257</v>
      </c>
      <c r="H69" s="1" t="s">
        <v>172</v>
      </c>
      <c r="I69" s="1" t="s">
        <v>173</v>
      </c>
      <c r="J69" s="2">
        <v>45463.601388888892</v>
      </c>
      <c r="K69" s="2">
        <v>45491.444444444445</v>
      </c>
      <c r="L69" s="1" t="s">
        <v>14</v>
      </c>
      <c r="M69" s="1" t="str">
        <f>_xlfn.XLOOKUP(I69,Parâmetros!A:A,Parâmetros!B:B,_xlfn.XLOOKUP(Q69,Parâmetros!F:F,Parâmetros!G:G,"NOVA MENSAGEM"))</f>
        <v>TAG - ITEM VEÍCULO</v>
      </c>
      <c r="N69" s="1" t="str">
        <f>_xlfn.XLOOKUP(M69,Parâmetros!K:K,Parâmetros!L:L,"")</f>
        <v>TAGS DE DETALHAMENTO DO SERVIÇO NÃO ENVIADO NO XML</v>
      </c>
      <c r="O69" s="1" t="e">
        <f>_xlfn.XLOOKUP(M69,Parâmetros!B:B,Parâmetros!C:C,_xlfn.XLOOKUP(Base!M68,Parâmetros!G:G,Parâmetros!H:H))</f>
        <v>#N/A</v>
      </c>
      <c r="P69" s="1" t="str">
        <f>_xlfn.XLOOKUP(I69,Parâmetros!A:A,Parâmetros!D:D,_xlfn.XLOOKUP(Q69,Parâmetros!F:F,Parâmetros!I:I))</f>
        <v>SUPORTE OBT</v>
      </c>
      <c r="Q69" s="1">
        <f t="shared" si="3"/>
        <v>46</v>
      </c>
    </row>
    <row r="70" spans="1:17" x14ac:dyDescent="0.25">
      <c r="A70" s="1" t="str">
        <f>_xlfn.XLOOKUP(D70,'Novo relatório'!B:B,'Novo relatório'!C:C,"RESOLVIDO")</f>
        <v>GOVER</v>
      </c>
      <c r="B70" s="1" t="s">
        <v>63</v>
      </c>
      <c r="C70" t="str">
        <f t="shared" si="2"/>
        <v>CONTABILIZAR NO PORTAL</v>
      </c>
      <c r="D70" s="1">
        <v>2759573</v>
      </c>
      <c r="E70" s="1" t="s">
        <v>24</v>
      </c>
      <c r="F70" s="2">
        <v>45467.78402777778</v>
      </c>
      <c r="G70" s="1">
        <v>4358782</v>
      </c>
      <c r="H70" s="1">
        <v>4358782</v>
      </c>
      <c r="I70" s="1" t="s">
        <v>77</v>
      </c>
      <c r="J70" s="2">
        <v>45467.802083333336</v>
      </c>
      <c r="K70" s="2"/>
      <c r="L70" s="1" t="s">
        <v>14</v>
      </c>
      <c r="M70" s="1" t="str">
        <f>_xlfn.XLOOKUP(I70,Parâmetros!A:A,Parâmetros!B:B,_xlfn.XLOOKUP(Q70,Parâmetros!F:F,Parâmetros!G:G,"NOVA MENSAGEM"))</f>
        <v>RLOC NÃO INFORMADO</v>
      </c>
      <c r="N70" s="1" t="str">
        <f>_xlfn.XLOOKUP(M70,Parâmetros!K:K,Parâmetros!L:L,"")</f>
        <v>RLOC NÃO PREENCHIDO NA RESERVA</v>
      </c>
      <c r="O70" s="1" t="str">
        <f>_xlfn.XLOOKUP(M70,Parâmetros!B:B,Parâmetros!C:C,_xlfn.XLOOKUP(Base!M69,Parâmetros!G:G,Parâmetros!H:H))</f>
        <v>QUALIDADE DOS DADOS</v>
      </c>
      <c r="P70" s="1" t="str">
        <f>_xlfn.XLOOKUP(I70,Parâmetros!A:A,Parâmetros!D:D,_xlfn.XLOOKUP(Q70,Parâmetros!F:F,Parâmetros!I:I))</f>
        <v>SUPORTE OBT</v>
      </c>
      <c r="Q70" s="1" t="str">
        <f t="shared" si="3"/>
        <v>COLUNA I</v>
      </c>
    </row>
    <row r="71" spans="1:17" x14ac:dyDescent="0.25">
      <c r="A71" s="1" t="str">
        <f>_xlfn.XLOOKUP(D71,'Novo relatório'!B:B,'Novo relatório'!C:C,"RESOLVIDO")</f>
        <v>GOVER</v>
      </c>
      <c r="B71" s="1" t="s">
        <v>63</v>
      </c>
      <c r="C71" t="str">
        <f t="shared" si="2"/>
        <v>CONTABILIZAR NO PORTAL</v>
      </c>
      <c r="D71" s="1">
        <v>2763711</v>
      </c>
      <c r="E71" s="1" t="s">
        <v>24</v>
      </c>
      <c r="F71" s="2">
        <v>45469.425000000003</v>
      </c>
      <c r="G71" s="1">
        <v>4359811</v>
      </c>
      <c r="H71" s="1">
        <v>4359811</v>
      </c>
      <c r="I71" s="1" t="s">
        <v>77</v>
      </c>
      <c r="J71" s="2">
        <v>45469.433333333334</v>
      </c>
      <c r="K71" s="2">
        <v>45491.447222222225</v>
      </c>
      <c r="L71" s="1" t="s">
        <v>14</v>
      </c>
      <c r="M71" s="1" t="str">
        <f>_xlfn.XLOOKUP(I71,Parâmetros!A:A,Parâmetros!B:B,_xlfn.XLOOKUP(Q71,Parâmetros!F:F,Parâmetros!G:G,"NOVA MENSAGEM"))</f>
        <v>RLOC NÃO INFORMADO</v>
      </c>
      <c r="N71" s="1" t="str">
        <f>_xlfn.XLOOKUP(M71,Parâmetros!K:K,Parâmetros!L:L,"")</f>
        <v>RLOC NÃO PREENCHIDO NA RESERVA</v>
      </c>
      <c r="O71" s="1" t="str">
        <f>_xlfn.XLOOKUP(M71,Parâmetros!B:B,Parâmetros!C:C,_xlfn.XLOOKUP(Base!M70,Parâmetros!G:G,Parâmetros!H:H))</f>
        <v>QUALIDADE DOS DADOS</v>
      </c>
      <c r="P71" s="1" t="str">
        <f>_xlfn.XLOOKUP(I71,Parâmetros!A:A,Parâmetros!D:D,_xlfn.XLOOKUP(Q71,Parâmetros!F:F,Parâmetros!I:I))</f>
        <v>SUPORTE OBT</v>
      </c>
      <c r="Q71" s="1" t="str">
        <f t="shared" si="3"/>
        <v>COLUNA I</v>
      </c>
    </row>
    <row r="72" spans="1:17" x14ac:dyDescent="0.25">
      <c r="A72" s="1" t="str">
        <f>_xlfn.XLOOKUP(D72,'Novo relatório'!B:B,'Novo relatório'!C:C,"RESOLVIDO")</f>
        <v>GOVER</v>
      </c>
      <c r="B72" s="1" t="s">
        <v>63</v>
      </c>
      <c r="C72" t="str">
        <f t="shared" si="2"/>
        <v>CONTABILIZAR NO PORTAL</v>
      </c>
      <c r="D72" s="1">
        <v>2766772</v>
      </c>
      <c r="E72" s="1" t="s">
        <v>24</v>
      </c>
      <c r="F72" s="2">
        <v>45470.461805555555</v>
      </c>
      <c r="G72" s="1">
        <v>4360599</v>
      </c>
      <c r="H72" s="1">
        <v>4360599</v>
      </c>
      <c r="I72" s="1" t="s">
        <v>77</v>
      </c>
      <c r="J72" s="2">
        <v>45470.472916666666</v>
      </c>
      <c r="K72" s="2">
        <v>45491.447222222225</v>
      </c>
      <c r="L72" s="1" t="s">
        <v>14</v>
      </c>
      <c r="M72" s="1" t="str">
        <f>_xlfn.XLOOKUP(I72,Parâmetros!A:A,Parâmetros!B:B,_xlfn.XLOOKUP(Q72,Parâmetros!F:F,Parâmetros!G:G,"NOVA MENSAGEM"))</f>
        <v>RLOC NÃO INFORMADO</v>
      </c>
      <c r="N72" s="1" t="str">
        <f>_xlfn.XLOOKUP(M72,Parâmetros!K:K,Parâmetros!L:L,"")</f>
        <v>RLOC NÃO PREENCHIDO NA RESERVA</v>
      </c>
      <c r="O72" s="1" t="str">
        <f>_xlfn.XLOOKUP(M72,Parâmetros!B:B,Parâmetros!C:C,_xlfn.XLOOKUP(Base!M71,Parâmetros!G:G,Parâmetros!H:H))</f>
        <v>QUALIDADE DOS DADOS</v>
      </c>
      <c r="P72" s="1" t="str">
        <f>_xlfn.XLOOKUP(I72,Parâmetros!A:A,Parâmetros!D:D,_xlfn.XLOOKUP(Q72,Parâmetros!F:F,Parâmetros!I:I))</f>
        <v>SUPORTE OBT</v>
      </c>
      <c r="Q72" s="1" t="str">
        <f t="shared" si="3"/>
        <v>COLUNA I</v>
      </c>
    </row>
    <row r="73" spans="1:17" x14ac:dyDescent="0.25">
      <c r="A73" s="1" t="str">
        <f>_xlfn.XLOOKUP(D73,'Novo relatório'!B:B,'Novo relatório'!C:C,"RESOLVIDO")</f>
        <v>GOVER</v>
      </c>
      <c r="C73" t="str">
        <f t="shared" si="2"/>
        <v>PENDENTE</v>
      </c>
      <c r="D73" s="1">
        <v>2789838</v>
      </c>
      <c r="E73" s="1" t="s">
        <v>24</v>
      </c>
      <c r="F73" s="2">
        <v>45481.4</v>
      </c>
      <c r="G73" s="1">
        <v>4366908</v>
      </c>
      <c r="H73" s="1" t="s">
        <v>176</v>
      </c>
      <c r="I73" s="1" t="s">
        <v>177</v>
      </c>
      <c r="J73" s="2">
        <v>45482.00277777778</v>
      </c>
      <c r="K73" s="2"/>
      <c r="L73" s="1" t="s">
        <v>14</v>
      </c>
      <c r="M73" s="1" t="str">
        <f>_xlfn.XLOOKUP(I73,Parâmetros!A:A,Parâmetros!B:B,_xlfn.XLOOKUP(Q73,Parâmetros!F:F,Parâmetros!G:G,"NOVA MENSAGEM"))</f>
        <v>TAG - ITEM AEREO</v>
      </c>
      <c r="N73" s="1" t="str">
        <f>_xlfn.XLOOKUP(M73,Parâmetros!K:K,Parâmetros!L:L,"")</f>
        <v>TAGS DE DETALHAMENTO DO SERVIÇO NÃO ENVIADO NO XML</v>
      </c>
      <c r="O73" s="1" t="str">
        <f>_xlfn.XLOOKUP(M73,Parâmetros!B:B,Parâmetros!C:C,_xlfn.XLOOKUP(Base!M72,Parâmetros!G:G,Parâmetros!H:H))</f>
        <v>SISTEMA</v>
      </c>
      <c r="P73" s="1" t="str">
        <f>_xlfn.XLOOKUP(I73,Parâmetros!A:A,Parâmetros!D:D,_xlfn.XLOOKUP(Q73,Parâmetros!F:F,Parâmetros!I:I))</f>
        <v>SUPORTE OBT</v>
      </c>
      <c r="Q73" s="1" t="str">
        <f t="shared" si="3"/>
        <v>COLUNA I</v>
      </c>
    </row>
    <row r="74" spans="1:17" x14ac:dyDescent="0.25">
      <c r="A74" s="1" t="str">
        <f>_xlfn.XLOOKUP(D74,'Novo relatório'!B:B,'Novo relatório'!C:C,"RESOLVIDO")</f>
        <v>GOVER</v>
      </c>
      <c r="C74" t="str">
        <f t="shared" si="2"/>
        <v>PENDENTE</v>
      </c>
      <c r="D74" s="1">
        <v>2789841</v>
      </c>
      <c r="E74" s="1" t="s">
        <v>24</v>
      </c>
      <c r="F74" s="2">
        <v>45481.40347222222</v>
      </c>
      <c r="G74" s="1">
        <v>4366919</v>
      </c>
      <c r="H74" s="1" t="s">
        <v>178</v>
      </c>
      <c r="I74" s="1" t="s">
        <v>179</v>
      </c>
      <c r="J74" s="2">
        <v>45482.00277777778</v>
      </c>
      <c r="K74" s="2">
        <v>45486.996527777781</v>
      </c>
      <c r="L74" s="1" t="s">
        <v>14</v>
      </c>
      <c r="M74" s="1" t="str">
        <f>_xlfn.XLOOKUP(I74,Parâmetros!A:A,Parâmetros!B:B,_xlfn.XLOOKUP(Q74,Parâmetros!F:F,Parâmetros!G:G,"NOVA MENSAGEM"))</f>
        <v>TAG - ITEM AEREO</v>
      </c>
      <c r="N74" s="1" t="str">
        <f>_xlfn.XLOOKUP(M74,Parâmetros!K:K,Parâmetros!L:L,"")</f>
        <v>TAGS DE DETALHAMENTO DO SERVIÇO NÃO ENVIADO NO XML</v>
      </c>
      <c r="O74" s="1" t="str">
        <f>_xlfn.XLOOKUP(M74,Parâmetros!B:B,Parâmetros!C:C,_xlfn.XLOOKUP(Base!M73,Parâmetros!G:G,Parâmetros!H:H))</f>
        <v>SISTEMA</v>
      </c>
      <c r="P74" s="1" t="str">
        <f>_xlfn.XLOOKUP(I74,Parâmetros!A:A,Parâmetros!D:D,_xlfn.XLOOKUP(Q74,Parâmetros!F:F,Parâmetros!I:I))</f>
        <v>SUPORTE OBT</v>
      </c>
      <c r="Q74" s="1" t="str">
        <f t="shared" si="3"/>
        <v>COLUNA I</v>
      </c>
    </row>
    <row r="75" spans="1:17" x14ac:dyDescent="0.25">
      <c r="A75" s="1" t="str">
        <f>_xlfn.XLOOKUP(D75,'Novo relatório'!B:B,'Novo relatório'!C:C,"RESOLVIDO")</f>
        <v>GOVER</v>
      </c>
      <c r="B75" s="1" t="s">
        <v>63</v>
      </c>
      <c r="C75" t="str">
        <f t="shared" si="2"/>
        <v>CONTABILIZAR NO PORTAL</v>
      </c>
      <c r="D75" s="1">
        <v>2800423</v>
      </c>
      <c r="E75" s="1" t="s">
        <v>24</v>
      </c>
      <c r="F75" s="2">
        <v>45488.413194444445</v>
      </c>
      <c r="G75" s="1">
        <v>381325</v>
      </c>
      <c r="H75" s="1" t="s">
        <v>183</v>
      </c>
      <c r="I75" s="1" t="s">
        <v>184</v>
      </c>
      <c r="J75" s="2">
        <v>45488.419444444444</v>
      </c>
      <c r="K75" s="2">
        <v>45491.444444444445</v>
      </c>
      <c r="L75" s="1" t="s">
        <v>14</v>
      </c>
      <c r="M75" s="1" t="str">
        <f>_xlfn.XLOOKUP(I75,Parâmetros!A:A,Parâmetros!B:B,_xlfn.XLOOKUP(Q75,Parâmetros!F:F,Parâmetros!G:G,"NOVA MENSAGEM"))</f>
        <v>TAG - ITEM VEÍCULO</v>
      </c>
      <c r="N75" s="1" t="str">
        <f>_xlfn.XLOOKUP(M75,Parâmetros!K:K,Parâmetros!L:L,"")</f>
        <v>TAGS DE DETALHAMENTO DO SERVIÇO NÃO ENVIADO NO XML</v>
      </c>
      <c r="O75" s="1" t="e">
        <f>_xlfn.XLOOKUP(M75,Parâmetros!B:B,Parâmetros!C:C,_xlfn.XLOOKUP(Base!M74,Parâmetros!G:G,Parâmetros!H:H))</f>
        <v>#N/A</v>
      </c>
      <c r="P75" s="1" t="str">
        <f>_xlfn.XLOOKUP(I75,Parâmetros!A:A,Parâmetros!D:D,_xlfn.XLOOKUP(Q75,Parâmetros!F:F,Parâmetros!I:I))</f>
        <v>SUPORTE OBT</v>
      </c>
      <c r="Q75" s="1">
        <f t="shared" si="3"/>
        <v>46</v>
      </c>
    </row>
    <row r="76" spans="1:17" x14ac:dyDescent="0.25">
      <c r="A76" s="1" t="str">
        <f>_xlfn.XLOOKUP(D76,'Novo relatório'!B:B,'Novo relatório'!C:C,"RESOLVIDO")</f>
        <v>GOVER</v>
      </c>
      <c r="B76" s="1" t="s">
        <v>63</v>
      </c>
      <c r="C76" t="str">
        <f t="shared" si="2"/>
        <v>CONTABILIZAR NO PORTAL</v>
      </c>
      <c r="D76" s="1">
        <v>2800841</v>
      </c>
      <c r="E76" s="1" t="s">
        <v>24</v>
      </c>
      <c r="F76" s="2">
        <v>45488.588888888888</v>
      </c>
      <c r="G76" s="1">
        <v>381348</v>
      </c>
      <c r="H76" s="1" t="s">
        <v>185</v>
      </c>
      <c r="I76" s="1" t="s">
        <v>186</v>
      </c>
      <c r="J76" s="2">
        <v>45488.594444444447</v>
      </c>
      <c r="K76" s="2">
        <v>45491.444444444445</v>
      </c>
      <c r="L76" s="1" t="s">
        <v>14</v>
      </c>
      <c r="M76" s="1" t="str">
        <f>_xlfn.XLOOKUP(I76,Parâmetros!A:A,Parâmetros!B:B,_xlfn.XLOOKUP(Q76,Parâmetros!F:F,Parâmetros!G:G,"NOVA MENSAGEM"))</f>
        <v>TAG - ITEM VEÍCULO</v>
      </c>
      <c r="N76" s="1" t="str">
        <f>_xlfn.XLOOKUP(M76,Parâmetros!K:K,Parâmetros!L:L,"")</f>
        <v>TAGS DE DETALHAMENTO DO SERVIÇO NÃO ENVIADO NO XML</v>
      </c>
      <c r="O76" s="1" t="str">
        <f>_xlfn.XLOOKUP(M76,Parâmetros!B:B,Parâmetros!C:C,_xlfn.XLOOKUP(Base!M75,Parâmetros!G:G,Parâmetros!H:H))</f>
        <v>SISTEMA</v>
      </c>
      <c r="P76" s="1" t="str">
        <f>_xlfn.XLOOKUP(I76,Parâmetros!A:A,Parâmetros!D:D,_xlfn.XLOOKUP(Q76,Parâmetros!F:F,Parâmetros!I:I))</f>
        <v>SUPORTE OBT</v>
      </c>
      <c r="Q76" s="1">
        <f t="shared" si="3"/>
        <v>46</v>
      </c>
    </row>
    <row r="77" spans="1:17" x14ac:dyDescent="0.25">
      <c r="A77" s="1" t="str">
        <f>_xlfn.XLOOKUP(D77,'Novo relatório'!B:B,'Novo relatório'!C:C,"RESOLVIDO")</f>
        <v>GOVER</v>
      </c>
      <c r="B77" s="1" t="s">
        <v>63</v>
      </c>
      <c r="C77" t="str">
        <f t="shared" si="2"/>
        <v>CONTABILIZAR NO PORTAL</v>
      </c>
      <c r="D77" s="1">
        <v>2812539</v>
      </c>
      <c r="E77" s="1" t="s">
        <v>24</v>
      </c>
      <c r="F77" s="2">
        <v>45492.472916666666</v>
      </c>
      <c r="G77" s="1">
        <v>4374480</v>
      </c>
      <c r="H77" s="1">
        <v>4374480</v>
      </c>
      <c r="I77" s="1" t="s">
        <v>77</v>
      </c>
      <c r="J77" s="2">
        <v>45492.683333333334</v>
      </c>
      <c r="K77" s="2"/>
      <c r="L77" s="1" t="s">
        <v>14</v>
      </c>
      <c r="M77" s="1" t="str">
        <f>_xlfn.XLOOKUP(I77,Parâmetros!A:A,Parâmetros!B:B,_xlfn.XLOOKUP(Q77,Parâmetros!F:F,Parâmetros!G:G,"NOVA MENSAGEM"))</f>
        <v>RLOC NÃO INFORMADO</v>
      </c>
      <c r="N77" s="1" t="str">
        <f>_xlfn.XLOOKUP(M77,Parâmetros!K:K,Parâmetros!L:L,"")</f>
        <v>RLOC NÃO PREENCHIDO NA RESERVA</v>
      </c>
      <c r="O77" s="1" t="str">
        <f>_xlfn.XLOOKUP(M77,Parâmetros!B:B,Parâmetros!C:C,_xlfn.XLOOKUP(Base!M76,Parâmetros!G:G,Parâmetros!H:H))</f>
        <v>QUALIDADE DOS DADOS</v>
      </c>
      <c r="P77" s="1" t="str">
        <f>_xlfn.XLOOKUP(I77,Parâmetros!A:A,Parâmetros!D:D,_xlfn.XLOOKUP(Q77,Parâmetros!F:F,Parâmetros!I:I))</f>
        <v>SUPORTE OBT</v>
      </c>
      <c r="Q77" s="1" t="str">
        <f t="shared" si="3"/>
        <v>COLUNA I</v>
      </c>
    </row>
    <row r="78" spans="1:17" x14ac:dyDescent="0.25">
      <c r="A78" s="1" t="str">
        <f>_xlfn.XLOOKUP(D78,'Novo relatório'!B:B,'Novo relatório'!C:C,"RESOLVIDO")</f>
        <v>GOVER</v>
      </c>
      <c r="B78" s="1" t="s">
        <v>63</v>
      </c>
      <c r="C78" t="str">
        <f t="shared" si="2"/>
        <v>CONTABILIZAR NO PORTAL</v>
      </c>
      <c r="D78" s="1">
        <v>2814798</v>
      </c>
      <c r="E78" s="1" t="s">
        <v>24</v>
      </c>
      <c r="F78" s="2">
        <v>45492.689583333333</v>
      </c>
      <c r="G78" s="1">
        <v>4374784</v>
      </c>
      <c r="H78" s="1" t="s">
        <v>198</v>
      </c>
      <c r="I78" s="1" t="s">
        <v>199</v>
      </c>
      <c r="J78" s="2">
        <v>45495.477083333331</v>
      </c>
      <c r="K78" s="2">
        <v>45503.35833333333</v>
      </c>
      <c r="L78" s="1" t="s">
        <v>14</v>
      </c>
      <c r="M78" s="1" t="str">
        <f>_xlfn.XLOOKUP(I78,Parâmetros!A:A,Parâmetros!B:B,_xlfn.XLOOKUP(Q78,Parâmetros!F:F,Parâmetros!G:G,"NOVA MENSAGEM"))</f>
        <v>TAG - ITEM VEÍCULO</v>
      </c>
      <c r="N78" s="1" t="str">
        <f>_xlfn.XLOOKUP(M78,Parâmetros!K:K,Parâmetros!L:L,"")</f>
        <v>TAGS DE DETALHAMENTO DO SERVIÇO NÃO ENVIADO NO XML</v>
      </c>
      <c r="O78" s="1" t="e">
        <f>_xlfn.XLOOKUP(M78,Parâmetros!B:B,Parâmetros!C:C,_xlfn.XLOOKUP(Base!M77,Parâmetros!G:G,Parâmetros!H:H))</f>
        <v>#N/A</v>
      </c>
      <c r="P78" s="1" t="str">
        <f>_xlfn.XLOOKUP(I78,Parâmetros!A:A,Parâmetros!D:D,_xlfn.XLOOKUP(Q78,Parâmetros!F:F,Parâmetros!I:I))</f>
        <v>SUPORTE OBT</v>
      </c>
      <c r="Q78" s="1">
        <f t="shared" si="3"/>
        <v>46</v>
      </c>
    </row>
    <row r="79" spans="1:17" x14ac:dyDescent="0.25">
      <c r="A79" s="1" t="str">
        <f>_xlfn.XLOOKUP(D79,'Novo relatório'!B:B,'Novo relatório'!C:C,"RESOLVIDO")</f>
        <v>GOVER</v>
      </c>
      <c r="B79" s="1" t="s">
        <v>63</v>
      </c>
      <c r="C79" t="str">
        <f t="shared" si="2"/>
        <v>CONTABILIZAR NO PORTAL</v>
      </c>
      <c r="D79" s="1">
        <v>2818447</v>
      </c>
      <c r="E79" s="1" t="s">
        <v>24</v>
      </c>
      <c r="F79" s="2">
        <v>45496.628472222219</v>
      </c>
      <c r="G79" s="1">
        <v>4376485</v>
      </c>
      <c r="H79" s="1">
        <v>4376485</v>
      </c>
      <c r="I79" s="1" t="s">
        <v>77</v>
      </c>
      <c r="J79" s="2">
        <v>45496.634027777778</v>
      </c>
      <c r="K79" s="2">
        <v>45503.35833333333</v>
      </c>
      <c r="L79" s="1" t="s">
        <v>14</v>
      </c>
      <c r="M79" s="1" t="str">
        <f>_xlfn.XLOOKUP(I79,Parâmetros!A:A,Parâmetros!B:B,_xlfn.XLOOKUP(Q79,Parâmetros!F:F,Parâmetros!G:G,"NOVA MENSAGEM"))</f>
        <v>RLOC NÃO INFORMADO</v>
      </c>
      <c r="N79" s="1" t="str">
        <f>_xlfn.XLOOKUP(M79,Parâmetros!K:K,Parâmetros!L:L,"")</f>
        <v>RLOC NÃO PREENCHIDO NA RESERVA</v>
      </c>
      <c r="O79" s="1" t="str">
        <f>_xlfn.XLOOKUP(M79,Parâmetros!B:B,Parâmetros!C:C,_xlfn.XLOOKUP(Base!M78,Parâmetros!G:G,Parâmetros!H:H))</f>
        <v>QUALIDADE DOS DADOS</v>
      </c>
      <c r="P79" s="1" t="str">
        <f>_xlfn.XLOOKUP(I79,Parâmetros!A:A,Parâmetros!D:D,_xlfn.XLOOKUP(Q79,Parâmetros!F:F,Parâmetros!I:I))</f>
        <v>SUPORTE OBT</v>
      </c>
      <c r="Q79" s="1" t="str">
        <f t="shared" si="3"/>
        <v>COLUNA I</v>
      </c>
    </row>
    <row r="80" spans="1:17" x14ac:dyDescent="0.25">
      <c r="A80" s="1" t="str">
        <f>_xlfn.XLOOKUP(D80,'Novo relatório'!B:B,'Novo relatório'!C:C,"RESOLVIDO")</f>
        <v>GOVER</v>
      </c>
      <c r="B80" s="1" t="s">
        <v>63</v>
      </c>
      <c r="C80" t="str">
        <f t="shared" si="2"/>
        <v>CONTABILIZAR NO PORTAL</v>
      </c>
      <c r="D80" s="1">
        <v>2821392</v>
      </c>
      <c r="E80" s="1" t="s">
        <v>24</v>
      </c>
      <c r="F80" s="2">
        <v>45496.749305555553</v>
      </c>
      <c r="G80" s="1">
        <v>4376739</v>
      </c>
      <c r="H80" s="1" t="s">
        <v>200</v>
      </c>
      <c r="I80" s="1" t="s">
        <v>201</v>
      </c>
      <c r="J80" s="2">
        <v>45497.634027777778</v>
      </c>
      <c r="K80" s="2">
        <v>45503.35833333333</v>
      </c>
      <c r="L80" s="1" t="s">
        <v>14</v>
      </c>
      <c r="M80" s="1" t="str">
        <f>_xlfn.XLOOKUP(I80,Parâmetros!A:A,Parâmetros!B:B,_xlfn.XLOOKUP(Q80,Parâmetros!F:F,Parâmetros!G:G,"NOVA MENSAGEM"))</f>
        <v>TAG - ITEM VEÍCULO</v>
      </c>
      <c r="N80" s="1" t="str">
        <f>_xlfn.XLOOKUP(M80,Parâmetros!K:K,Parâmetros!L:L,"")</f>
        <v>TAGS DE DETALHAMENTO DO SERVIÇO NÃO ENVIADO NO XML</v>
      </c>
      <c r="O80" s="1" t="e">
        <f>_xlfn.XLOOKUP(M80,Parâmetros!B:B,Parâmetros!C:C,_xlfn.XLOOKUP(Base!M79,Parâmetros!G:G,Parâmetros!H:H))</f>
        <v>#N/A</v>
      </c>
      <c r="P80" s="1" t="str">
        <f>_xlfn.XLOOKUP(I80,Parâmetros!A:A,Parâmetros!D:D,_xlfn.XLOOKUP(Q80,Parâmetros!F:F,Parâmetros!I:I))</f>
        <v>SUPORTE OBT</v>
      </c>
      <c r="Q80" s="1">
        <f t="shared" si="3"/>
        <v>46</v>
      </c>
    </row>
    <row r="81" spans="1:17" x14ac:dyDescent="0.25">
      <c r="A81" s="1" t="str">
        <f>_xlfn.XLOOKUP(D81,'Novo relatório'!B:B,'Novo relatório'!C:C,"RESOLVIDO")</f>
        <v>GOVER</v>
      </c>
      <c r="B81" s="1" t="s">
        <v>63</v>
      </c>
      <c r="C81" t="str">
        <f t="shared" si="2"/>
        <v>CONTABILIZAR NO PORTAL</v>
      </c>
      <c r="D81" s="1">
        <v>2823422</v>
      </c>
      <c r="E81" s="1" t="s">
        <v>24</v>
      </c>
      <c r="F81" s="2">
        <v>45477.385416666664</v>
      </c>
      <c r="G81" s="1">
        <v>4365069</v>
      </c>
      <c r="H81" s="1">
        <v>4365069</v>
      </c>
      <c r="I81" s="1" t="s">
        <v>77</v>
      </c>
      <c r="J81" s="2">
        <v>45498.477777777778</v>
      </c>
      <c r="K81" s="2">
        <v>45503.35833333333</v>
      </c>
      <c r="L81" s="1" t="s">
        <v>14</v>
      </c>
      <c r="M81" s="1" t="str">
        <f>_xlfn.XLOOKUP(I81,Parâmetros!A:A,Parâmetros!B:B,_xlfn.XLOOKUP(Q81,Parâmetros!F:F,Parâmetros!G:G,"NOVA MENSAGEM"))</f>
        <v>RLOC NÃO INFORMADO</v>
      </c>
      <c r="N81" s="1" t="str">
        <f>_xlfn.XLOOKUP(M81,Parâmetros!K:K,Parâmetros!L:L,"")</f>
        <v>RLOC NÃO PREENCHIDO NA RESERVA</v>
      </c>
      <c r="O81" s="1" t="str">
        <f>_xlfn.XLOOKUP(M81,Parâmetros!B:B,Parâmetros!C:C,_xlfn.XLOOKUP(Base!M80,Parâmetros!G:G,Parâmetros!H:H))</f>
        <v>QUALIDADE DOS DADOS</v>
      </c>
      <c r="P81" s="1" t="str">
        <f>_xlfn.XLOOKUP(I81,Parâmetros!A:A,Parâmetros!D:D,_xlfn.XLOOKUP(Q81,Parâmetros!F:F,Parâmetros!I:I))</f>
        <v>SUPORTE OBT</v>
      </c>
      <c r="Q81" s="1" t="str">
        <f t="shared" si="3"/>
        <v>COLUNA I</v>
      </c>
    </row>
    <row r="82" spans="1:17" x14ac:dyDescent="0.25">
      <c r="A82" s="1" t="str">
        <f>_xlfn.XLOOKUP(D82,'Novo relatório'!B:B,'Novo relatório'!C:C,"RESOLVIDO")</f>
        <v>GOVER</v>
      </c>
      <c r="C82" t="str">
        <f t="shared" si="2"/>
        <v>PENDENTE</v>
      </c>
      <c r="D82" s="1">
        <v>2834252</v>
      </c>
      <c r="E82" s="1" t="s">
        <v>24</v>
      </c>
      <c r="F82" s="2">
        <v>45499.373611111114</v>
      </c>
      <c r="G82" s="1">
        <v>382020</v>
      </c>
      <c r="H82" s="1" t="s">
        <v>214</v>
      </c>
      <c r="I82" s="1" t="s">
        <v>190</v>
      </c>
      <c r="J82" s="2">
        <v>45503.770138888889</v>
      </c>
      <c r="K82" s="2"/>
      <c r="L82" s="1" t="s">
        <v>14</v>
      </c>
      <c r="M82" s="1" t="str">
        <f>_xlfn.XLOOKUP(I82,Parâmetros!A:A,Parâmetros!B:B,_xlfn.XLOOKUP(Q82,Parâmetros!F:F,Parâmetros!G:G,"NOVA MENSAGEM"))</f>
        <v>DADOS DO CARTÃO</v>
      </c>
      <c r="N82" s="1" t="str">
        <f>_xlfn.XLOOKUP(M82,Parâmetros!K:K,Parâmetros!L:L,"")</f>
        <v>TAG &lt;CARTAOVALIDADE&gt; NÃO ENVIADA</v>
      </c>
      <c r="O82" s="1" t="str">
        <f>_xlfn.XLOOKUP(M82,Parâmetros!B:B,Parâmetros!C:C,_xlfn.XLOOKUP(Base!M81,Parâmetros!G:G,Parâmetros!H:H))</f>
        <v>SISTEMA</v>
      </c>
      <c r="P82" s="1" t="str">
        <f>_xlfn.XLOOKUP(I82,Parâmetros!A:A,Parâmetros!D:D,_xlfn.XLOOKUP(Q82,Parâmetros!F:F,Parâmetros!I:I))</f>
        <v>SUPORTE OBT</v>
      </c>
      <c r="Q82" s="1" t="str">
        <f t="shared" si="3"/>
        <v>COLUNA I</v>
      </c>
    </row>
    <row r="83" spans="1:17" x14ac:dyDescent="0.25">
      <c r="A83" s="1" t="str">
        <f>_xlfn.XLOOKUP(D83,'Novo relatório'!B:B,'Novo relatório'!C:C,"RESOLVIDO")</f>
        <v>GOVER</v>
      </c>
      <c r="C83" t="str">
        <f t="shared" si="2"/>
        <v>PENDENTE</v>
      </c>
      <c r="D83" s="1">
        <v>2838186</v>
      </c>
      <c r="E83" s="1" t="s">
        <v>24</v>
      </c>
      <c r="F83" s="2">
        <v>45505.44027777778</v>
      </c>
      <c r="G83" s="1">
        <v>4381568</v>
      </c>
      <c r="H83" s="1" t="s">
        <v>215</v>
      </c>
      <c r="I83" s="1" t="s">
        <v>216</v>
      </c>
      <c r="J83" s="2">
        <v>45505.447222222225</v>
      </c>
      <c r="K83" s="2">
        <v>45511.415972222225</v>
      </c>
      <c r="L83" s="1" t="s">
        <v>14</v>
      </c>
      <c r="M83" s="1" t="str">
        <f>_xlfn.XLOOKUP(I83,Parâmetros!A:A,Parâmetros!B:B,_xlfn.XLOOKUP(Q83,Parâmetros!F:F,Parâmetros!G:G,"NOVA MENSAGEM"))</f>
        <v>TAG - ITEM VEÍCULO</v>
      </c>
      <c r="N83" s="1" t="str">
        <f>_xlfn.XLOOKUP(M83,Parâmetros!K:K,Parâmetros!L:L,"")</f>
        <v>TAGS DE DETALHAMENTO DO SERVIÇO NÃO ENVIADO NO XML</v>
      </c>
      <c r="O83" s="1" t="str">
        <f>_xlfn.XLOOKUP(M83,Parâmetros!B:B,Parâmetros!C:C,_xlfn.XLOOKUP(Base!M82,Parâmetros!G:G,Parâmetros!H:H))</f>
        <v>SISTEMA</v>
      </c>
      <c r="P83" s="1" t="str">
        <f>_xlfn.XLOOKUP(I83,Parâmetros!A:A,Parâmetros!D:D,_xlfn.XLOOKUP(Q83,Parâmetros!F:F,Parâmetros!I:I))</f>
        <v>SUPORTE OBT</v>
      </c>
      <c r="Q83" s="1">
        <f t="shared" si="3"/>
        <v>46</v>
      </c>
    </row>
    <row r="84" spans="1:17" x14ac:dyDescent="0.25">
      <c r="A84" s="1" t="str">
        <f>_xlfn.XLOOKUP(D84,'Novo relatório'!B:B,'Novo relatório'!C:C,"RESOLVIDO")</f>
        <v>GOVER</v>
      </c>
      <c r="C84" t="str">
        <f t="shared" si="2"/>
        <v>PENDENTE</v>
      </c>
      <c r="D84" s="1">
        <v>2839290</v>
      </c>
      <c r="E84" s="1" t="s">
        <v>24</v>
      </c>
      <c r="F84" s="2">
        <v>45505.673611111109</v>
      </c>
      <c r="G84" s="1">
        <v>4382026</v>
      </c>
      <c r="H84" s="1" t="s">
        <v>217</v>
      </c>
      <c r="I84" s="1" t="s">
        <v>218</v>
      </c>
      <c r="J84" s="2">
        <v>45505.678472222222</v>
      </c>
      <c r="K84" s="2">
        <v>45511.415972222225</v>
      </c>
      <c r="L84" s="1" t="s">
        <v>14</v>
      </c>
      <c r="M84" s="1" t="str">
        <f>_xlfn.XLOOKUP(I84,Parâmetros!A:A,Parâmetros!B:B,_xlfn.XLOOKUP(Q84,Parâmetros!F:F,Parâmetros!G:G,"NOVA MENSAGEM"))</f>
        <v>TAG - ITEM VEÍCULO</v>
      </c>
      <c r="N84" s="1" t="str">
        <f>_xlfn.XLOOKUP(M84,Parâmetros!K:K,Parâmetros!L:L,"")</f>
        <v>TAGS DE DETALHAMENTO DO SERVIÇO NÃO ENVIADO NO XML</v>
      </c>
      <c r="O84" s="1" t="str">
        <f>_xlfn.XLOOKUP(M84,Parâmetros!B:B,Parâmetros!C:C,_xlfn.XLOOKUP(Base!M83,Parâmetros!G:G,Parâmetros!H:H))</f>
        <v>SISTEMA</v>
      </c>
      <c r="P84" s="1" t="str">
        <f>_xlfn.XLOOKUP(I84,Parâmetros!A:A,Parâmetros!D:D,_xlfn.XLOOKUP(Q84,Parâmetros!F:F,Parâmetros!I:I))</f>
        <v>SUPORTE OBT</v>
      </c>
      <c r="Q84" s="1">
        <f t="shared" si="3"/>
        <v>46</v>
      </c>
    </row>
    <row r="85" spans="1:17" x14ac:dyDescent="0.25">
      <c r="A85" s="1" t="str">
        <f>_xlfn.XLOOKUP(D85,'Novo relatório'!B:B,'Novo relatório'!C:C,"RESOLVIDO")</f>
        <v>GOVER</v>
      </c>
      <c r="C85" t="str">
        <f t="shared" si="2"/>
        <v>PENDENTE</v>
      </c>
      <c r="D85" s="1">
        <v>2846019</v>
      </c>
      <c r="E85" s="1" t="s">
        <v>24</v>
      </c>
      <c r="F85" s="2">
        <v>45502.619444444441</v>
      </c>
      <c r="G85" s="1">
        <v>4379492</v>
      </c>
      <c r="H85" s="1">
        <v>4379492</v>
      </c>
      <c r="I85" s="1" t="s">
        <v>190</v>
      </c>
      <c r="J85" s="2">
        <v>45509.72152777778</v>
      </c>
      <c r="K85" s="2">
        <v>45511.415972222225</v>
      </c>
      <c r="L85" s="1" t="s">
        <v>14</v>
      </c>
      <c r="M85" s="1" t="str">
        <f>_xlfn.XLOOKUP(I85,Parâmetros!A:A,Parâmetros!B:B,_xlfn.XLOOKUP(Q85,Parâmetros!F:F,Parâmetros!G:G,"NOVA MENSAGEM"))</f>
        <v>DADOS DO CARTÃO</v>
      </c>
      <c r="N85" s="1" t="str">
        <f>_xlfn.XLOOKUP(M85,Parâmetros!K:K,Parâmetros!L:L,"")</f>
        <v>TAG &lt;CARTAOVALIDADE&gt; NÃO ENVIADA</v>
      </c>
      <c r="O85" s="1" t="str">
        <f>_xlfn.XLOOKUP(M85,Parâmetros!B:B,Parâmetros!C:C,_xlfn.XLOOKUP(Base!M84,Parâmetros!G:G,Parâmetros!H:H))</f>
        <v>SISTEMA</v>
      </c>
      <c r="P85" s="1" t="str">
        <f>_xlfn.XLOOKUP(I85,Parâmetros!A:A,Parâmetros!D:D,_xlfn.XLOOKUP(Q85,Parâmetros!F:F,Parâmetros!I:I))</f>
        <v>SUPORTE OBT</v>
      </c>
      <c r="Q85" s="1" t="str">
        <f t="shared" si="3"/>
        <v>COLUNA I</v>
      </c>
    </row>
    <row r="86" spans="1:17" x14ac:dyDescent="0.25">
      <c r="A86" s="1" t="str">
        <f>_xlfn.XLOOKUP(D86,'Novo relatório'!B:B,'Novo relatório'!C:C,"RESOLVIDO")</f>
        <v>GOVER</v>
      </c>
      <c r="C86" t="str">
        <f t="shared" si="2"/>
        <v>PENDENTE</v>
      </c>
      <c r="D86" s="1">
        <v>2846211</v>
      </c>
      <c r="E86" s="1" t="s">
        <v>24</v>
      </c>
      <c r="F86" s="2">
        <v>45509.731944444444</v>
      </c>
      <c r="G86" s="1">
        <v>4383947</v>
      </c>
      <c r="H86" s="1" t="s">
        <v>219</v>
      </c>
      <c r="I86" s="1" t="s">
        <v>220</v>
      </c>
      <c r="J86" s="2">
        <v>45509.734722222223</v>
      </c>
      <c r="K86" s="2">
        <v>45511.415972222225</v>
      </c>
      <c r="L86" s="1" t="s">
        <v>14</v>
      </c>
      <c r="M86" s="1" t="str">
        <f>_xlfn.XLOOKUP(I86,Parâmetros!A:A,Parâmetros!B:B,_xlfn.XLOOKUP(Q86,Parâmetros!F:F,Parâmetros!G:G,"NOVA MENSAGEM"))</f>
        <v>TAG - ITEM VEÍCULO</v>
      </c>
      <c r="N86" s="1" t="str">
        <f>_xlfn.XLOOKUP(M86,Parâmetros!K:K,Parâmetros!L:L,"")</f>
        <v>TAGS DE DETALHAMENTO DO SERVIÇO NÃO ENVIADO NO XML</v>
      </c>
      <c r="O86" s="1" t="str">
        <f>_xlfn.XLOOKUP(M86,Parâmetros!B:B,Parâmetros!C:C,_xlfn.XLOOKUP(Base!M85,Parâmetros!G:G,Parâmetros!H:H))</f>
        <v>SISTEMA</v>
      </c>
      <c r="P86" s="1" t="str">
        <f>_xlfn.XLOOKUP(I86,Parâmetros!A:A,Parâmetros!D:D,_xlfn.XLOOKUP(Q86,Parâmetros!F:F,Parâmetros!I:I))</f>
        <v>SUPORTE OBT</v>
      </c>
      <c r="Q86" s="1">
        <f t="shared" si="3"/>
        <v>46</v>
      </c>
    </row>
    <row r="87" spans="1:17" x14ac:dyDescent="0.25">
      <c r="A87" s="1" t="str">
        <f>_xlfn.XLOOKUP(D87,'Novo relatório'!B:B,'Novo relatório'!C:C,"RESOLVIDO")</f>
        <v>GOVER</v>
      </c>
      <c r="C87" t="str">
        <f t="shared" si="2"/>
        <v>PENDENTE</v>
      </c>
      <c r="D87" s="1">
        <v>2847568</v>
      </c>
      <c r="E87" s="1" t="s">
        <v>24</v>
      </c>
      <c r="F87" s="2">
        <v>45509.553472222222</v>
      </c>
      <c r="G87" s="1">
        <v>4383635</v>
      </c>
      <c r="H87" s="1" t="s">
        <v>221</v>
      </c>
      <c r="I87" s="1" t="s">
        <v>222</v>
      </c>
      <c r="J87" s="2">
        <v>45510.40902777778</v>
      </c>
      <c r="K87" s="2">
        <v>45511.415972222225</v>
      </c>
      <c r="L87" s="1" t="s">
        <v>14</v>
      </c>
      <c r="M87" s="1" t="str">
        <f>_xlfn.XLOOKUP(I87,Parâmetros!A:A,Parâmetros!B:B,_xlfn.XLOOKUP(Q87,Parâmetros!F:F,Parâmetros!G:G,"NOVA MENSAGEM"))</f>
        <v>TAG - ITEM VEÍCULO</v>
      </c>
      <c r="N87" s="1" t="str">
        <f>_xlfn.XLOOKUP(M87,Parâmetros!K:K,Parâmetros!L:L,"")</f>
        <v>TAGS DE DETALHAMENTO DO SERVIÇO NÃO ENVIADO NO XML</v>
      </c>
      <c r="O87" s="1" t="str">
        <f>_xlfn.XLOOKUP(M87,Parâmetros!B:B,Parâmetros!C:C,_xlfn.XLOOKUP(Base!M86,Parâmetros!G:G,Parâmetros!H:H))</f>
        <v>SISTEMA</v>
      </c>
      <c r="P87" s="1" t="str">
        <f>_xlfn.XLOOKUP(I87,Parâmetros!A:A,Parâmetros!D:D,_xlfn.XLOOKUP(Q87,Parâmetros!F:F,Parâmetros!I:I))</f>
        <v>SUPORTE OBT</v>
      </c>
      <c r="Q87" s="1">
        <f t="shared" si="3"/>
        <v>46</v>
      </c>
    </row>
    <row r="88" spans="1:17" x14ac:dyDescent="0.25">
      <c r="A88" s="1" t="str">
        <f>_xlfn.XLOOKUP(D88,'Novo relatório'!B:B,'Novo relatório'!C:C,"RESOLVIDO")</f>
        <v>GOVER</v>
      </c>
      <c r="C88" t="str">
        <f t="shared" si="2"/>
        <v>PENDENTE</v>
      </c>
      <c r="D88" s="1">
        <v>2854556</v>
      </c>
      <c r="E88" s="1" t="s">
        <v>24</v>
      </c>
      <c r="F88" s="2">
        <v>45210.688888888886</v>
      </c>
      <c r="G88" s="1">
        <v>367886</v>
      </c>
      <c r="H88" s="1" t="s">
        <v>223</v>
      </c>
      <c r="I88" s="1" t="s">
        <v>224</v>
      </c>
      <c r="J88" s="2">
        <v>45512.688194444447</v>
      </c>
      <c r="K88" s="2">
        <v>45520.700694444444</v>
      </c>
      <c r="L88" s="1" t="s">
        <v>14</v>
      </c>
      <c r="M88" s="1" t="str">
        <f>_xlfn.XLOOKUP(I88,Parâmetros!A:A,Parâmetros!B:B,_xlfn.XLOOKUP(Q88,Parâmetros!F:F,Parâmetros!G:G,"NOVA MENSAGEM"))</f>
        <v>TAG - ITEM VEÍCULO</v>
      </c>
      <c r="N88" s="1" t="str">
        <f>_xlfn.XLOOKUP(M88,Parâmetros!K:K,Parâmetros!L:L,"")</f>
        <v>TAGS DE DETALHAMENTO DO SERVIÇO NÃO ENVIADO NO XML</v>
      </c>
      <c r="O88" s="1" t="str">
        <f>_xlfn.XLOOKUP(M88,Parâmetros!B:B,Parâmetros!C:C,_xlfn.XLOOKUP(Base!M87,Parâmetros!G:G,Parâmetros!H:H))</f>
        <v>SISTEMA</v>
      </c>
      <c r="P88" s="1" t="str">
        <f>_xlfn.XLOOKUP(I88,Parâmetros!A:A,Parâmetros!D:D,_xlfn.XLOOKUP(Q88,Parâmetros!F:F,Parâmetros!I:I))</f>
        <v>SUPORTE OBT</v>
      </c>
      <c r="Q88" s="1">
        <f t="shared" si="3"/>
        <v>46</v>
      </c>
    </row>
    <row r="89" spans="1:17" x14ac:dyDescent="0.25">
      <c r="A89" s="1" t="str">
        <f>_xlfn.XLOOKUP(D89,'Novo relatório'!B:B,'Novo relatório'!C:C,"RESOLVIDO")</f>
        <v>GOVER</v>
      </c>
      <c r="C89" t="str">
        <f t="shared" si="2"/>
        <v>PENDENTE</v>
      </c>
      <c r="D89" s="1">
        <v>2854557</v>
      </c>
      <c r="E89" s="1" t="s">
        <v>24</v>
      </c>
      <c r="F89" s="2">
        <v>45217.611111111109</v>
      </c>
      <c r="G89" s="1">
        <v>368105</v>
      </c>
      <c r="H89" s="1" t="s">
        <v>225</v>
      </c>
      <c r="I89" s="1" t="s">
        <v>226</v>
      </c>
      <c r="J89" s="2">
        <v>45512.688194444447</v>
      </c>
      <c r="K89" s="2">
        <v>45520.700694444444</v>
      </c>
      <c r="L89" s="1" t="s">
        <v>14</v>
      </c>
      <c r="M89" s="1" t="str">
        <f>_xlfn.XLOOKUP(I89,Parâmetros!A:A,Parâmetros!B:B,_xlfn.XLOOKUP(Q89,Parâmetros!F:F,Parâmetros!G:G,"NOVA MENSAGEM"))</f>
        <v>TAG - ITEM VEÍCULO</v>
      </c>
      <c r="N89" s="1" t="str">
        <f>_xlfn.XLOOKUP(M89,Parâmetros!K:K,Parâmetros!L:L,"")</f>
        <v>TAGS DE DETALHAMENTO DO SERVIÇO NÃO ENVIADO NO XML</v>
      </c>
      <c r="O89" s="1" t="str">
        <f>_xlfn.XLOOKUP(M89,Parâmetros!B:B,Parâmetros!C:C,_xlfn.XLOOKUP(Base!M88,Parâmetros!G:G,Parâmetros!H:H))</f>
        <v>SISTEMA</v>
      </c>
      <c r="P89" s="1" t="str">
        <f>_xlfn.XLOOKUP(I89,Parâmetros!A:A,Parâmetros!D:D,_xlfn.XLOOKUP(Q89,Parâmetros!F:F,Parâmetros!I:I))</f>
        <v>SUPORTE OBT</v>
      </c>
      <c r="Q89" s="1">
        <f t="shared" si="3"/>
        <v>46</v>
      </c>
    </row>
    <row r="90" spans="1:17" x14ac:dyDescent="0.25">
      <c r="A90" s="1" t="str">
        <f>_xlfn.XLOOKUP(D90,'Novo relatório'!B:B,'Novo relatório'!C:C,"RESOLVIDO")</f>
        <v>GOVER</v>
      </c>
      <c r="C90" t="str">
        <f t="shared" si="2"/>
        <v>PENDENTE</v>
      </c>
      <c r="D90" s="1">
        <v>2854558</v>
      </c>
      <c r="E90" s="1" t="s">
        <v>24</v>
      </c>
      <c r="F90" s="2">
        <v>45217.612500000003</v>
      </c>
      <c r="G90" s="1">
        <v>368106</v>
      </c>
      <c r="H90" s="1" t="s">
        <v>227</v>
      </c>
      <c r="I90" s="1" t="s">
        <v>228</v>
      </c>
      <c r="J90" s="2">
        <v>45512.688194444447</v>
      </c>
      <c r="K90" s="2">
        <v>45520.700694444444</v>
      </c>
      <c r="L90" s="1" t="s">
        <v>14</v>
      </c>
      <c r="M90" s="1" t="str">
        <f>_xlfn.XLOOKUP(I90,Parâmetros!A:A,Parâmetros!B:B,_xlfn.XLOOKUP(Q90,Parâmetros!F:F,Parâmetros!G:G,"NOVA MENSAGEM"))</f>
        <v>TAG - ITEM VEÍCULO</v>
      </c>
      <c r="N90" s="1" t="str">
        <f>_xlfn.XLOOKUP(M90,Parâmetros!K:K,Parâmetros!L:L,"")</f>
        <v>TAGS DE DETALHAMENTO DO SERVIÇO NÃO ENVIADO NO XML</v>
      </c>
      <c r="O90" s="1" t="str">
        <f>_xlfn.XLOOKUP(M90,Parâmetros!B:B,Parâmetros!C:C,_xlfn.XLOOKUP(Base!M89,Parâmetros!G:G,Parâmetros!H:H))</f>
        <v>SISTEMA</v>
      </c>
      <c r="P90" s="1" t="str">
        <f>_xlfn.XLOOKUP(I90,Parâmetros!A:A,Parâmetros!D:D,_xlfn.XLOOKUP(Q90,Parâmetros!F:F,Parâmetros!I:I))</f>
        <v>SUPORTE OBT</v>
      </c>
      <c r="Q90" s="1">
        <f t="shared" si="3"/>
        <v>46</v>
      </c>
    </row>
    <row r="91" spans="1:17" x14ac:dyDescent="0.25">
      <c r="A91" s="1" t="str">
        <f>_xlfn.XLOOKUP(D91,'Novo relatório'!B:B,'Novo relatório'!C:C,"RESOLVIDO")</f>
        <v>GOVER</v>
      </c>
      <c r="C91" t="str">
        <f t="shared" si="2"/>
        <v>PENDENTE</v>
      </c>
      <c r="D91" s="1">
        <v>2854559</v>
      </c>
      <c r="E91" s="1" t="s">
        <v>24</v>
      </c>
      <c r="F91" s="2">
        <v>45217.613888888889</v>
      </c>
      <c r="G91" s="1">
        <v>368107</v>
      </c>
      <c r="H91" s="1" t="s">
        <v>229</v>
      </c>
      <c r="I91" s="1" t="s">
        <v>230</v>
      </c>
      <c r="J91" s="2">
        <v>45512.688194444447</v>
      </c>
      <c r="K91" s="2">
        <v>45520.700694444444</v>
      </c>
      <c r="L91" s="1" t="s">
        <v>14</v>
      </c>
      <c r="M91" s="1" t="str">
        <f>_xlfn.XLOOKUP(I91,Parâmetros!A:A,Parâmetros!B:B,_xlfn.XLOOKUP(Q91,Parâmetros!F:F,Parâmetros!G:G,"NOVA MENSAGEM"))</f>
        <v>TAG - ITEM VEÍCULO</v>
      </c>
      <c r="N91" s="1" t="str">
        <f>_xlfn.XLOOKUP(M91,Parâmetros!K:K,Parâmetros!L:L,"")</f>
        <v>TAGS DE DETALHAMENTO DO SERVIÇO NÃO ENVIADO NO XML</v>
      </c>
      <c r="O91" s="1" t="str">
        <f>_xlfn.XLOOKUP(M91,Parâmetros!B:B,Parâmetros!C:C,_xlfn.XLOOKUP(Base!M90,Parâmetros!G:G,Parâmetros!H:H))</f>
        <v>SISTEMA</v>
      </c>
      <c r="P91" s="1" t="str">
        <f>_xlfn.XLOOKUP(I91,Parâmetros!A:A,Parâmetros!D:D,_xlfn.XLOOKUP(Q91,Parâmetros!F:F,Parâmetros!I:I))</f>
        <v>SUPORTE OBT</v>
      </c>
      <c r="Q91" s="1">
        <f t="shared" si="3"/>
        <v>46</v>
      </c>
    </row>
    <row r="92" spans="1:17" x14ac:dyDescent="0.25">
      <c r="A92" s="1" t="str">
        <f>_xlfn.XLOOKUP(D92,'Novo relatório'!B:B,'Novo relatório'!C:C,"RESOLVIDO")</f>
        <v>GOVER</v>
      </c>
      <c r="C92" t="str">
        <f t="shared" si="2"/>
        <v>PENDENTE</v>
      </c>
      <c r="D92" s="1">
        <v>2854560</v>
      </c>
      <c r="E92" s="1" t="s">
        <v>24</v>
      </c>
      <c r="F92" s="2">
        <v>45217.618750000001</v>
      </c>
      <c r="G92" s="1">
        <v>368108</v>
      </c>
      <c r="H92" s="1" t="s">
        <v>231</v>
      </c>
      <c r="I92" s="1" t="s">
        <v>232</v>
      </c>
      <c r="J92" s="2">
        <v>45512.688194444447</v>
      </c>
      <c r="K92" s="2">
        <v>45520.700694444444</v>
      </c>
      <c r="L92" s="1" t="s">
        <v>14</v>
      </c>
      <c r="M92" s="1" t="str">
        <f>_xlfn.XLOOKUP(I92,Parâmetros!A:A,Parâmetros!B:B,_xlfn.XLOOKUP(Q92,Parâmetros!F:F,Parâmetros!G:G,"NOVA MENSAGEM"))</f>
        <v>TAG - ITEM VEÍCULO</v>
      </c>
      <c r="N92" s="1" t="str">
        <f>_xlfn.XLOOKUP(M92,Parâmetros!K:K,Parâmetros!L:L,"")</f>
        <v>TAGS DE DETALHAMENTO DO SERVIÇO NÃO ENVIADO NO XML</v>
      </c>
      <c r="O92" s="1" t="str">
        <f>_xlfn.XLOOKUP(M92,Parâmetros!B:B,Parâmetros!C:C,_xlfn.XLOOKUP(Base!M91,Parâmetros!G:G,Parâmetros!H:H))</f>
        <v>SISTEMA</v>
      </c>
      <c r="P92" s="1" t="str">
        <f>_xlfn.XLOOKUP(I92,Parâmetros!A:A,Parâmetros!D:D,_xlfn.XLOOKUP(Q92,Parâmetros!F:F,Parâmetros!I:I))</f>
        <v>SUPORTE OBT</v>
      </c>
      <c r="Q92" s="1">
        <f t="shared" si="3"/>
        <v>46</v>
      </c>
    </row>
    <row r="93" spans="1:17" x14ac:dyDescent="0.25">
      <c r="A93" s="1" t="str">
        <f>_xlfn.XLOOKUP(D93,'Novo relatório'!B:B,'Novo relatório'!C:C,"RESOLVIDO")</f>
        <v>GOVER</v>
      </c>
      <c r="C93" t="str">
        <f t="shared" si="2"/>
        <v>PENDENTE</v>
      </c>
      <c r="D93" s="1">
        <v>2854561</v>
      </c>
      <c r="E93" s="1" t="s">
        <v>24</v>
      </c>
      <c r="F93" s="2">
        <v>45235.438888888886</v>
      </c>
      <c r="G93" s="1">
        <v>368816</v>
      </c>
      <c r="H93" s="1" t="s">
        <v>233</v>
      </c>
      <c r="I93" s="1" t="s">
        <v>234</v>
      </c>
      <c r="J93" s="2">
        <v>45512.688194444447</v>
      </c>
      <c r="K93" s="2">
        <v>45520.700694444444</v>
      </c>
      <c r="L93" s="1" t="s">
        <v>14</v>
      </c>
      <c r="M93" s="1" t="str">
        <f>_xlfn.XLOOKUP(I93,Parâmetros!A:A,Parâmetros!B:B,_xlfn.XLOOKUP(Q93,Parâmetros!F:F,Parâmetros!G:G,"NOVA MENSAGEM"))</f>
        <v>TAG - ITEM VEÍCULO</v>
      </c>
      <c r="N93" s="1" t="str">
        <f>_xlfn.XLOOKUP(M93,Parâmetros!K:K,Parâmetros!L:L,"")</f>
        <v>TAGS DE DETALHAMENTO DO SERVIÇO NÃO ENVIADO NO XML</v>
      </c>
      <c r="O93" s="1" t="str">
        <f>_xlfn.XLOOKUP(M93,Parâmetros!B:B,Parâmetros!C:C,_xlfn.XLOOKUP(Base!M92,Parâmetros!G:G,Parâmetros!H:H))</f>
        <v>SISTEMA</v>
      </c>
      <c r="P93" s="1" t="str">
        <f>_xlfn.XLOOKUP(I93,Parâmetros!A:A,Parâmetros!D:D,_xlfn.XLOOKUP(Q93,Parâmetros!F:F,Parâmetros!I:I))</f>
        <v>SUPORTE OBT</v>
      </c>
      <c r="Q93" s="1">
        <f t="shared" si="3"/>
        <v>46</v>
      </c>
    </row>
    <row r="94" spans="1:17" x14ac:dyDescent="0.25">
      <c r="A94" s="1" t="str">
        <f>_xlfn.XLOOKUP(D94,'Novo relatório'!B:B,'Novo relatório'!C:C,"RESOLVIDO")</f>
        <v>GOVER</v>
      </c>
      <c r="C94" t="str">
        <f t="shared" si="2"/>
        <v>PENDENTE</v>
      </c>
      <c r="D94" s="1">
        <v>2854562</v>
      </c>
      <c r="E94" s="1" t="s">
        <v>24</v>
      </c>
      <c r="F94" s="2">
        <v>45268.523611111108</v>
      </c>
      <c r="G94" s="1">
        <v>370566</v>
      </c>
      <c r="H94" s="1" t="s">
        <v>235</v>
      </c>
      <c r="I94" s="1" t="s">
        <v>236</v>
      </c>
      <c r="J94" s="2">
        <v>45512.688194444447</v>
      </c>
      <c r="K94" s="2">
        <v>45520.700694444444</v>
      </c>
      <c r="L94" s="1" t="s">
        <v>14</v>
      </c>
      <c r="M94" s="1" t="str">
        <f>_xlfn.XLOOKUP(I94,Parâmetros!A:A,Parâmetros!B:B,_xlfn.XLOOKUP(Q94,Parâmetros!F:F,Parâmetros!G:G,"NOVA MENSAGEM"))</f>
        <v>TAG - ITEM VEÍCULO</v>
      </c>
      <c r="N94" s="1" t="str">
        <f>_xlfn.XLOOKUP(M94,Parâmetros!K:K,Parâmetros!L:L,"")</f>
        <v>TAGS DE DETALHAMENTO DO SERVIÇO NÃO ENVIADO NO XML</v>
      </c>
      <c r="O94" s="1" t="str">
        <f>_xlfn.XLOOKUP(M94,Parâmetros!B:B,Parâmetros!C:C,_xlfn.XLOOKUP(Base!M93,Parâmetros!G:G,Parâmetros!H:H))</f>
        <v>SISTEMA</v>
      </c>
      <c r="P94" s="1" t="str">
        <f>_xlfn.XLOOKUP(I94,Parâmetros!A:A,Parâmetros!D:D,_xlfn.XLOOKUP(Q94,Parâmetros!F:F,Parâmetros!I:I))</f>
        <v>SUPORTE OBT</v>
      </c>
      <c r="Q94" s="1">
        <f t="shared" si="3"/>
        <v>46</v>
      </c>
    </row>
    <row r="95" spans="1:17" x14ac:dyDescent="0.25">
      <c r="A95" s="1" t="str">
        <f>_xlfn.XLOOKUP(D95,'Novo relatório'!B:B,'Novo relatório'!C:C,"RESOLVIDO")</f>
        <v>GOVER</v>
      </c>
      <c r="C95" t="str">
        <f t="shared" si="2"/>
        <v>PENDENTE</v>
      </c>
      <c r="D95" s="1">
        <v>2854564</v>
      </c>
      <c r="E95" s="1" t="s">
        <v>24</v>
      </c>
      <c r="F95" s="2">
        <v>45026.800694444442</v>
      </c>
      <c r="G95" s="1">
        <v>4063560</v>
      </c>
      <c r="H95" s="1" t="s">
        <v>237</v>
      </c>
      <c r="I95" s="1" t="s">
        <v>238</v>
      </c>
      <c r="J95" s="2">
        <v>45512.689583333333</v>
      </c>
      <c r="K95" s="2">
        <v>45520.695833333331</v>
      </c>
      <c r="L95" s="1" t="s">
        <v>14</v>
      </c>
      <c r="M95" s="1" t="str">
        <f>_xlfn.XLOOKUP(I95,Parâmetros!A:A,Parâmetros!B:B,_xlfn.XLOOKUP(Q95,Parâmetros!F:F,Parâmetros!G:G,"NOVA MENSAGEM"))</f>
        <v>TAG - ITEM VEÍCULO</v>
      </c>
      <c r="N95" s="1" t="str">
        <f>_xlfn.XLOOKUP(M95,Parâmetros!K:K,Parâmetros!L:L,"")</f>
        <v>TAGS DE DETALHAMENTO DO SERVIÇO NÃO ENVIADO NO XML</v>
      </c>
      <c r="O95" s="1" t="str">
        <f>_xlfn.XLOOKUP(M95,Parâmetros!B:B,Parâmetros!C:C,_xlfn.XLOOKUP(Base!M94,Parâmetros!G:G,Parâmetros!H:H))</f>
        <v>SISTEMA</v>
      </c>
      <c r="P95" s="1" t="str">
        <f>_xlfn.XLOOKUP(I95,Parâmetros!A:A,Parâmetros!D:D,_xlfn.XLOOKUP(Q95,Parâmetros!F:F,Parâmetros!I:I))</f>
        <v>SUPORTE OBT</v>
      </c>
      <c r="Q95" s="1">
        <f t="shared" si="3"/>
        <v>46</v>
      </c>
    </row>
    <row r="96" spans="1:17" x14ac:dyDescent="0.25">
      <c r="A96" s="1" t="str">
        <f>_xlfn.XLOOKUP(D96,'Novo relatório'!B:B,'Novo relatório'!C:C,"RESOLVIDO")</f>
        <v>GOVER</v>
      </c>
      <c r="C96" t="str">
        <f t="shared" si="2"/>
        <v>PENDENTE</v>
      </c>
      <c r="D96" s="1">
        <v>2854573</v>
      </c>
      <c r="E96" s="1" t="s">
        <v>24</v>
      </c>
      <c r="F96" s="2">
        <v>45205.72152777778</v>
      </c>
      <c r="G96" s="1">
        <v>4200769</v>
      </c>
      <c r="H96" s="1" t="s">
        <v>245</v>
      </c>
      <c r="I96" s="1" t="s">
        <v>246</v>
      </c>
      <c r="J96" s="2">
        <v>45512.689583333333</v>
      </c>
      <c r="K96" s="2">
        <v>45520.695833333331</v>
      </c>
      <c r="L96" s="1" t="s">
        <v>14</v>
      </c>
      <c r="M96" s="1" t="str">
        <f>_xlfn.XLOOKUP(I96,Parâmetros!A:A,Parâmetros!B:B,_xlfn.XLOOKUP(Q96,Parâmetros!F:F,Parâmetros!G:G,"NOVA MENSAGEM"))</f>
        <v>TAG - ITEM VEÍCULO</v>
      </c>
      <c r="N96" s="1" t="str">
        <f>_xlfn.XLOOKUP(M96,Parâmetros!K:K,Parâmetros!L:L,"")</f>
        <v>TAGS DE DETALHAMENTO DO SERVIÇO NÃO ENVIADO NO XML</v>
      </c>
      <c r="O96" s="1" t="str">
        <f>_xlfn.XLOOKUP(M96,Parâmetros!B:B,Parâmetros!C:C,_xlfn.XLOOKUP(Base!M95,Parâmetros!G:G,Parâmetros!H:H))</f>
        <v>SISTEMA</v>
      </c>
      <c r="P96" s="1" t="str">
        <f>_xlfn.XLOOKUP(I96,Parâmetros!A:A,Parâmetros!D:D,_xlfn.XLOOKUP(Q96,Parâmetros!F:F,Parâmetros!I:I))</f>
        <v>SUPORTE OBT</v>
      </c>
      <c r="Q96" s="1">
        <f t="shared" si="3"/>
        <v>46</v>
      </c>
    </row>
    <row r="97" spans="1:17" x14ac:dyDescent="0.25">
      <c r="A97" s="1" t="str">
        <f>_xlfn.XLOOKUP(D97,'Novo relatório'!B:B,'Novo relatório'!C:C,"RESOLVIDO")</f>
        <v>GOVER</v>
      </c>
      <c r="C97" t="str">
        <f t="shared" si="2"/>
        <v>PENDENTE</v>
      </c>
      <c r="D97" s="1">
        <v>2854581</v>
      </c>
      <c r="E97" s="1" t="s">
        <v>24</v>
      </c>
      <c r="F97" s="2">
        <v>45225.357638888891</v>
      </c>
      <c r="G97" s="1">
        <v>4213500</v>
      </c>
      <c r="H97" s="1" t="s">
        <v>248</v>
      </c>
      <c r="I97" s="1" t="s">
        <v>249</v>
      </c>
      <c r="J97" s="2">
        <v>45512.689583333333</v>
      </c>
      <c r="K97" s="2">
        <v>45520.695833333331</v>
      </c>
      <c r="L97" s="1" t="s">
        <v>14</v>
      </c>
      <c r="M97" s="1" t="str">
        <f>_xlfn.XLOOKUP(I97,Parâmetros!A:A,Parâmetros!B:B,_xlfn.XLOOKUP(Q97,Parâmetros!F:F,Parâmetros!G:G,"NOVA MENSAGEM"))</f>
        <v>TAG - ITEM VEÍCULO</v>
      </c>
      <c r="N97" s="1" t="str">
        <f>_xlfn.XLOOKUP(M97,Parâmetros!K:K,Parâmetros!L:L,"")</f>
        <v>TAGS DE DETALHAMENTO DO SERVIÇO NÃO ENVIADO NO XML</v>
      </c>
      <c r="O97" s="1" t="str">
        <f>_xlfn.XLOOKUP(M97,Parâmetros!B:B,Parâmetros!C:C,_xlfn.XLOOKUP(Base!M96,Parâmetros!G:G,Parâmetros!H:H))</f>
        <v>SISTEMA</v>
      </c>
      <c r="P97" s="1" t="str">
        <f>_xlfn.XLOOKUP(I97,Parâmetros!A:A,Parâmetros!D:D,_xlfn.XLOOKUP(Q97,Parâmetros!F:F,Parâmetros!I:I))</f>
        <v>SUPORTE OBT</v>
      </c>
      <c r="Q97" s="1">
        <f t="shared" si="3"/>
        <v>46</v>
      </c>
    </row>
    <row r="98" spans="1:17" x14ac:dyDescent="0.25">
      <c r="A98" s="1" t="str">
        <f>_xlfn.XLOOKUP(D98,'Novo relatório'!B:B,'Novo relatório'!C:C,"RESOLVIDO")</f>
        <v>GOVER</v>
      </c>
      <c r="C98" t="str">
        <f t="shared" si="2"/>
        <v>PENDENTE</v>
      </c>
      <c r="D98" s="1">
        <v>2854591</v>
      </c>
      <c r="E98" s="1" t="s">
        <v>24</v>
      </c>
      <c r="F98" s="2">
        <v>45248.55972222222</v>
      </c>
      <c r="G98" s="1">
        <v>4229746</v>
      </c>
      <c r="H98" s="1" t="s">
        <v>252</v>
      </c>
      <c r="I98" s="1" t="s">
        <v>253</v>
      </c>
      <c r="J98" s="2">
        <v>45512.689583333333</v>
      </c>
      <c r="K98" s="2">
        <v>45520.695833333331</v>
      </c>
      <c r="L98" s="1" t="s">
        <v>14</v>
      </c>
      <c r="M98" s="1" t="str">
        <f>_xlfn.XLOOKUP(I98,Parâmetros!A:A,Parâmetros!B:B,_xlfn.XLOOKUP(Q98,Parâmetros!F:F,Parâmetros!G:G,"NOVA MENSAGEM"))</f>
        <v>TAG - ITEM VEÍCULO</v>
      </c>
      <c r="N98" s="1" t="str">
        <f>_xlfn.XLOOKUP(M98,Parâmetros!K:K,Parâmetros!L:L,"")</f>
        <v>TAGS DE DETALHAMENTO DO SERVIÇO NÃO ENVIADO NO XML</v>
      </c>
      <c r="O98" s="1" t="str">
        <f>_xlfn.XLOOKUP(M98,Parâmetros!B:B,Parâmetros!C:C,_xlfn.XLOOKUP(Base!M97,Parâmetros!G:G,Parâmetros!H:H))</f>
        <v>SISTEMA</v>
      </c>
      <c r="P98" s="1" t="str">
        <f>_xlfn.XLOOKUP(I98,Parâmetros!A:A,Parâmetros!D:D,_xlfn.XLOOKUP(Q98,Parâmetros!F:F,Parâmetros!I:I))</f>
        <v>SUPORTE OBT</v>
      </c>
      <c r="Q98" s="1">
        <f t="shared" si="3"/>
        <v>46</v>
      </c>
    </row>
    <row r="99" spans="1:17" x14ac:dyDescent="0.25">
      <c r="A99" s="1" t="str">
        <f>_xlfn.XLOOKUP(D99,'Novo relatório'!B:B,'Novo relatório'!C:C,"RESOLVIDO")</f>
        <v>GOVER</v>
      </c>
      <c r="C99" t="str">
        <f t="shared" si="2"/>
        <v>PENDENTE</v>
      </c>
      <c r="D99" s="1">
        <v>2854592</v>
      </c>
      <c r="E99" s="1" t="s">
        <v>24</v>
      </c>
      <c r="F99" s="2">
        <v>45249.870833333334</v>
      </c>
      <c r="G99" s="1">
        <v>4229798</v>
      </c>
      <c r="H99" s="1" t="s">
        <v>254</v>
      </c>
      <c r="I99" s="1" t="s">
        <v>255</v>
      </c>
      <c r="J99" s="2">
        <v>45512.689583333333</v>
      </c>
      <c r="K99" s="2">
        <v>45520.695833333331</v>
      </c>
      <c r="L99" s="1" t="s">
        <v>14</v>
      </c>
      <c r="M99" s="1" t="str">
        <f>_xlfn.XLOOKUP(I99,Parâmetros!A:A,Parâmetros!B:B,_xlfn.XLOOKUP(Q99,Parâmetros!F:F,Parâmetros!G:G,"NOVA MENSAGEM"))</f>
        <v>TAG - ITEM VEÍCULO</v>
      </c>
      <c r="N99" s="1" t="str">
        <f>_xlfn.XLOOKUP(M99,Parâmetros!K:K,Parâmetros!L:L,"")</f>
        <v>TAGS DE DETALHAMENTO DO SERVIÇO NÃO ENVIADO NO XML</v>
      </c>
      <c r="O99" s="1" t="str">
        <f>_xlfn.XLOOKUP(M99,Parâmetros!B:B,Parâmetros!C:C,_xlfn.XLOOKUP(Base!M98,Parâmetros!G:G,Parâmetros!H:H))</f>
        <v>SISTEMA</v>
      </c>
      <c r="P99" s="1" t="str">
        <f>_xlfn.XLOOKUP(I99,Parâmetros!A:A,Parâmetros!D:D,_xlfn.XLOOKUP(Q99,Parâmetros!F:F,Parâmetros!I:I))</f>
        <v>SUPORTE OBT</v>
      </c>
      <c r="Q99" s="1">
        <f t="shared" si="3"/>
        <v>46</v>
      </c>
    </row>
    <row r="100" spans="1:17" x14ac:dyDescent="0.25">
      <c r="A100" s="1" t="str">
        <f>_xlfn.XLOOKUP(D100,'Novo relatório'!B:B,'Novo relatório'!C:C,"RESOLVIDO")</f>
        <v>GOVER</v>
      </c>
      <c r="C100" t="str">
        <f t="shared" si="2"/>
        <v>PENDENTE</v>
      </c>
      <c r="D100" s="1">
        <v>2854594</v>
      </c>
      <c r="E100" s="1" t="s">
        <v>24</v>
      </c>
      <c r="F100" s="2">
        <v>45259.911111111112</v>
      </c>
      <c r="G100" s="1">
        <v>4237398</v>
      </c>
      <c r="H100" s="1" t="s">
        <v>256</v>
      </c>
      <c r="I100" s="1" t="s">
        <v>257</v>
      </c>
      <c r="J100" s="2">
        <v>45512.689583333333</v>
      </c>
      <c r="K100" s="2">
        <v>45520.695833333331</v>
      </c>
      <c r="L100" s="1" t="s">
        <v>14</v>
      </c>
      <c r="M100" s="1" t="str">
        <f>_xlfn.XLOOKUP(I100,Parâmetros!A:A,Parâmetros!B:B,_xlfn.XLOOKUP(Q100,Parâmetros!F:F,Parâmetros!G:G,"NOVA MENSAGEM"))</f>
        <v>TAG - ITEM VEÍCULO</v>
      </c>
      <c r="N100" s="1" t="str">
        <f>_xlfn.XLOOKUP(M100,Parâmetros!K:K,Parâmetros!L:L,"")</f>
        <v>TAGS DE DETALHAMENTO DO SERVIÇO NÃO ENVIADO NO XML</v>
      </c>
      <c r="O100" s="1" t="str">
        <f>_xlfn.XLOOKUP(M100,Parâmetros!B:B,Parâmetros!C:C,_xlfn.XLOOKUP(Base!M99,Parâmetros!G:G,Parâmetros!H:H))</f>
        <v>SISTEMA</v>
      </c>
      <c r="P100" s="1" t="str">
        <f>_xlfn.XLOOKUP(I100,Parâmetros!A:A,Parâmetros!D:D,_xlfn.XLOOKUP(Q100,Parâmetros!F:F,Parâmetros!I:I))</f>
        <v>SUPORTE OBT</v>
      </c>
      <c r="Q100" s="1">
        <f t="shared" si="3"/>
        <v>46</v>
      </c>
    </row>
    <row r="101" spans="1:17" x14ac:dyDescent="0.25">
      <c r="A101" s="1" t="str">
        <f>_xlfn.XLOOKUP(D101,'Novo relatório'!B:B,'Novo relatório'!C:C,"RESOLVIDO")</f>
        <v>GOVER</v>
      </c>
      <c r="C101" t="str">
        <f t="shared" si="2"/>
        <v>PENDENTE</v>
      </c>
      <c r="D101" s="1">
        <v>2854596</v>
      </c>
      <c r="E101" s="1" t="s">
        <v>24</v>
      </c>
      <c r="F101" s="2">
        <v>45272.429166666669</v>
      </c>
      <c r="G101" s="1">
        <v>4243779</v>
      </c>
      <c r="H101" s="1" t="s">
        <v>258</v>
      </c>
      <c r="I101" s="1" t="s">
        <v>259</v>
      </c>
      <c r="J101" s="2">
        <v>45512.689583333333</v>
      </c>
      <c r="K101" s="2">
        <v>45520.695833333331</v>
      </c>
      <c r="L101" s="1" t="s">
        <v>14</v>
      </c>
      <c r="M101" s="1" t="str">
        <f>_xlfn.XLOOKUP(I101,Parâmetros!A:A,Parâmetros!B:B,_xlfn.XLOOKUP(Q101,Parâmetros!F:F,Parâmetros!G:G,"NOVA MENSAGEM"))</f>
        <v>TAG - ITEM VEÍCULO</v>
      </c>
      <c r="N101" s="1" t="str">
        <f>_xlfn.XLOOKUP(M101,Parâmetros!K:K,Parâmetros!L:L,"")</f>
        <v>TAGS DE DETALHAMENTO DO SERVIÇO NÃO ENVIADO NO XML</v>
      </c>
      <c r="O101" s="1" t="str">
        <f>_xlfn.XLOOKUP(M101,Parâmetros!B:B,Parâmetros!C:C,_xlfn.XLOOKUP(Base!M100,Parâmetros!G:G,Parâmetros!H:H))</f>
        <v>SISTEMA</v>
      </c>
      <c r="P101" s="1" t="str">
        <f>_xlfn.XLOOKUP(I101,Parâmetros!A:A,Parâmetros!D:D,_xlfn.XLOOKUP(Q101,Parâmetros!F:F,Parâmetros!I:I))</f>
        <v>SUPORTE OBT</v>
      </c>
      <c r="Q101" s="1">
        <f t="shared" si="3"/>
        <v>46</v>
      </c>
    </row>
    <row r="102" spans="1:17" x14ac:dyDescent="0.25">
      <c r="A102" s="1" t="str">
        <f>_xlfn.XLOOKUP(D102,'Novo relatório'!B:B,'Novo relatório'!C:C,"RESOLVIDO")</f>
        <v>GOVER</v>
      </c>
      <c r="C102" t="str">
        <f t="shared" si="2"/>
        <v>PENDENTE</v>
      </c>
      <c r="D102" s="1">
        <v>2854597</v>
      </c>
      <c r="E102" s="1" t="s">
        <v>24</v>
      </c>
      <c r="F102" s="2">
        <v>45280.474999999999</v>
      </c>
      <c r="G102" s="1">
        <v>4247783</v>
      </c>
      <c r="H102" s="1" t="s">
        <v>260</v>
      </c>
      <c r="I102" s="1" t="s">
        <v>261</v>
      </c>
      <c r="J102" s="2">
        <v>45512.689583333333</v>
      </c>
      <c r="K102" s="2">
        <v>45520.695833333331</v>
      </c>
      <c r="L102" s="1" t="s">
        <v>14</v>
      </c>
      <c r="M102" s="1" t="str">
        <f>_xlfn.XLOOKUP(I102,Parâmetros!A:A,Parâmetros!B:B,_xlfn.XLOOKUP(Q102,Parâmetros!F:F,Parâmetros!G:G,"NOVA MENSAGEM"))</f>
        <v>TAG - ITEM VEÍCULO</v>
      </c>
      <c r="N102" s="1" t="str">
        <f>_xlfn.XLOOKUP(M102,Parâmetros!K:K,Parâmetros!L:L,"")</f>
        <v>TAGS DE DETALHAMENTO DO SERVIÇO NÃO ENVIADO NO XML</v>
      </c>
      <c r="O102" s="1" t="str">
        <f>_xlfn.XLOOKUP(M102,Parâmetros!B:B,Parâmetros!C:C,_xlfn.XLOOKUP(Base!M101,Parâmetros!G:G,Parâmetros!H:H))</f>
        <v>SISTEMA</v>
      </c>
      <c r="P102" s="1" t="str">
        <f>_xlfn.XLOOKUP(I102,Parâmetros!A:A,Parâmetros!D:D,_xlfn.XLOOKUP(Q102,Parâmetros!F:F,Parâmetros!I:I))</f>
        <v>SUPORTE OBT</v>
      </c>
      <c r="Q102" s="1">
        <f t="shared" si="3"/>
        <v>46</v>
      </c>
    </row>
    <row r="103" spans="1:17" x14ac:dyDescent="0.25">
      <c r="A103" s="1" t="str">
        <f>_xlfn.XLOOKUP(D103,'Novo relatório'!B:B,'Novo relatório'!C:C,"RESOLVIDO")</f>
        <v>GOVER</v>
      </c>
      <c r="C103" t="str">
        <f t="shared" si="2"/>
        <v>PENDENTE</v>
      </c>
      <c r="D103" s="1">
        <v>2854598</v>
      </c>
      <c r="E103" s="1" t="s">
        <v>24</v>
      </c>
      <c r="F103" s="2">
        <v>45280.474999999999</v>
      </c>
      <c r="G103" s="1">
        <v>4247783</v>
      </c>
      <c r="H103" s="1" t="s">
        <v>262</v>
      </c>
      <c r="I103" s="1" t="s">
        <v>263</v>
      </c>
      <c r="J103" s="2">
        <v>45512.689583333333</v>
      </c>
      <c r="K103" s="2">
        <v>45520.695833333331</v>
      </c>
      <c r="L103" s="1" t="s">
        <v>14</v>
      </c>
      <c r="M103" s="1" t="str">
        <f>_xlfn.XLOOKUP(I103,Parâmetros!A:A,Parâmetros!B:B,_xlfn.XLOOKUP(Q103,Parâmetros!F:F,Parâmetros!G:G,"NOVA MENSAGEM"))</f>
        <v>TAG - ITEM VEÍCULO</v>
      </c>
      <c r="N103" s="1" t="str">
        <f>_xlfn.XLOOKUP(M103,Parâmetros!K:K,Parâmetros!L:L,"")</f>
        <v>TAGS DE DETALHAMENTO DO SERVIÇO NÃO ENVIADO NO XML</v>
      </c>
      <c r="O103" s="1" t="str">
        <f>_xlfn.XLOOKUP(M103,Parâmetros!B:B,Parâmetros!C:C,_xlfn.XLOOKUP(Base!M102,Parâmetros!G:G,Parâmetros!H:H))</f>
        <v>SISTEMA</v>
      </c>
      <c r="P103" s="1" t="str">
        <f>_xlfn.XLOOKUP(I103,Parâmetros!A:A,Parâmetros!D:D,_xlfn.XLOOKUP(Q103,Parâmetros!F:F,Parâmetros!I:I))</f>
        <v>SUPORTE OBT</v>
      </c>
      <c r="Q103" s="1">
        <f t="shared" si="3"/>
        <v>46</v>
      </c>
    </row>
    <row r="104" spans="1:17" x14ac:dyDescent="0.25">
      <c r="A104" s="1" t="str">
        <f>_xlfn.XLOOKUP(D104,'Novo relatório'!B:B,'Novo relatório'!C:C,"RESOLVIDO")</f>
        <v>GOVER</v>
      </c>
      <c r="C104" t="str">
        <f t="shared" si="2"/>
        <v>PENDENTE</v>
      </c>
      <c r="D104" s="1">
        <v>2859609</v>
      </c>
      <c r="E104" s="1" t="s">
        <v>24</v>
      </c>
      <c r="F104" s="2">
        <v>45516.366666666669</v>
      </c>
      <c r="G104" s="1">
        <v>4387358</v>
      </c>
      <c r="H104" s="1" t="s">
        <v>264</v>
      </c>
      <c r="I104" s="1" t="s">
        <v>265</v>
      </c>
      <c r="J104" s="2">
        <v>45516.370833333334</v>
      </c>
      <c r="K104" s="2">
        <v>45517.652777777781</v>
      </c>
      <c r="L104" s="1" t="s">
        <v>14</v>
      </c>
      <c r="M104" s="1" t="str">
        <f>_xlfn.XLOOKUP(I104,Parâmetros!A:A,Parâmetros!B:B,_xlfn.XLOOKUP(Q104,Parâmetros!F:F,Parâmetros!G:G,"NOVA MENSAGEM"))</f>
        <v>TAG - ITEM VEÍCULO</v>
      </c>
      <c r="N104" s="1" t="str">
        <f>_xlfn.XLOOKUP(M104,Parâmetros!K:K,Parâmetros!L:L,"")</f>
        <v>TAGS DE DETALHAMENTO DO SERVIÇO NÃO ENVIADO NO XML</v>
      </c>
      <c r="O104" s="1" t="str">
        <f>_xlfn.XLOOKUP(M104,Parâmetros!B:B,Parâmetros!C:C,_xlfn.XLOOKUP(Base!M103,Parâmetros!G:G,Parâmetros!H:H))</f>
        <v>SISTEMA</v>
      </c>
      <c r="P104" s="1" t="str">
        <f>_xlfn.XLOOKUP(I104,Parâmetros!A:A,Parâmetros!D:D,_xlfn.XLOOKUP(Q104,Parâmetros!F:F,Parâmetros!I:I))</f>
        <v>SUPORTE OBT</v>
      </c>
      <c r="Q104" s="1">
        <f t="shared" si="3"/>
        <v>46</v>
      </c>
    </row>
    <row r="105" spans="1:17" x14ac:dyDescent="0.25">
      <c r="A105" s="1" t="str">
        <f>_xlfn.XLOOKUP(D105,'Novo relatório'!B:B,'Novo relatório'!C:C,"RESOLVIDO")</f>
        <v>GOVER</v>
      </c>
      <c r="C105" t="str">
        <f t="shared" si="2"/>
        <v>PENDENTE</v>
      </c>
      <c r="D105" s="1">
        <v>2863283</v>
      </c>
      <c r="E105" s="1" t="s">
        <v>24</v>
      </c>
      <c r="F105" s="2">
        <v>45517.557638888888</v>
      </c>
      <c r="G105" s="1">
        <v>4388663</v>
      </c>
      <c r="H105" s="1" t="s">
        <v>266</v>
      </c>
      <c r="I105" s="1" t="s">
        <v>267</v>
      </c>
      <c r="J105" s="2">
        <v>45517.56527777778</v>
      </c>
      <c r="K105" s="2">
        <v>45517.652777777781</v>
      </c>
      <c r="L105" s="1" t="s">
        <v>14</v>
      </c>
      <c r="M105" s="1" t="str">
        <f>_xlfn.XLOOKUP(I105,Parâmetros!A:A,Parâmetros!B:B,_xlfn.XLOOKUP(Q105,Parâmetros!F:F,Parâmetros!G:G,"NOVA MENSAGEM"))</f>
        <v>TAG - ITEM VEÍCULO</v>
      </c>
      <c r="N105" s="1" t="str">
        <f>_xlfn.XLOOKUP(M105,Parâmetros!K:K,Parâmetros!L:L,"")</f>
        <v>TAGS DE DETALHAMENTO DO SERVIÇO NÃO ENVIADO NO XML</v>
      </c>
      <c r="O105" s="1" t="str">
        <f>_xlfn.XLOOKUP(M105,Parâmetros!B:B,Parâmetros!C:C,_xlfn.XLOOKUP(Base!M104,Parâmetros!G:G,Parâmetros!H:H))</f>
        <v>SISTEMA</v>
      </c>
      <c r="P105" s="1" t="str">
        <f>_xlfn.XLOOKUP(I105,Parâmetros!A:A,Parâmetros!D:D,_xlfn.XLOOKUP(Q105,Parâmetros!F:F,Parâmetros!I:I))</f>
        <v>SUPORTE OBT</v>
      </c>
      <c r="Q105" s="1">
        <f t="shared" si="3"/>
        <v>46</v>
      </c>
    </row>
    <row r="106" spans="1:17" x14ac:dyDescent="0.25">
      <c r="A106" s="1" t="str">
        <f>_xlfn.XLOOKUP(D106,'Novo relatório'!B:B,'Novo relatório'!C:C,"RESOLVIDO")</f>
        <v>GOVER</v>
      </c>
      <c r="C106" t="str">
        <f t="shared" si="2"/>
        <v>PENDENTE</v>
      </c>
      <c r="D106" s="1">
        <v>2868697</v>
      </c>
      <c r="E106" s="1" t="s">
        <v>24</v>
      </c>
      <c r="F106" s="2">
        <v>45519.482638888891</v>
      </c>
      <c r="G106" s="1">
        <v>383129</v>
      </c>
      <c r="H106" s="1" t="s">
        <v>269</v>
      </c>
      <c r="I106" s="1" t="s">
        <v>270</v>
      </c>
      <c r="J106" s="2">
        <v>45519.488194444442</v>
      </c>
      <c r="K106" s="2">
        <v>45520.701388888891</v>
      </c>
      <c r="L106" s="1" t="s">
        <v>14</v>
      </c>
      <c r="M106" s="1" t="str">
        <f>_xlfn.XLOOKUP(I106,Parâmetros!A:A,Parâmetros!B:B,_xlfn.XLOOKUP(Q106,Parâmetros!F:F,Parâmetros!G:G,"NOVA MENSAGEM"))</f>
        <v>TAG - ITEM VEÍCULO</v>
      </c>
      <c r="N106" s="1" t="str">
        <f>_xlfn.XLOOKUP(M106,Parâmetros!K:K,Parâmetros!L:L,"")</f>
        <v>TAGS DE DETALHAMENTO DO SERVIÇO NÃO ENVIADO NO XML</v>
      </c>
      <c r="O106" s="1" t="str">
        <f>_xlfn.XLOOKUP(M106,Parâmetros!B:B,Parâmetros!C:C,_xlfn.XLOOKUP(Base!M105,Parâmetros!G:G,Parâmetros!H:H))</f>
        <v>SISTEMA</v>
      </c>
      <c r="P106" s="1" t="str">
        <f>_xlfn.XLOOKUP(I106,Parâmetros!A:A,Parâmetros!D:D,_xlfn.XLOOKUP(Q106,Parâmetros!F:F,Parâmetros!I:I))</f>
        <v>SUPORTE OBT</v>
      </c>
      <c r="Q106" s="1">
        <f t="shared" si="3"/>
        <v>46</v>
      </c>
    </row>
    <row r="107" spans="1:17" x14ac:dyDescent="0.25">
      <c r="A107" s="1" t="str">
        <f>_xlfn.XLOOKUP(D107,'Novo relatório'!B:B,'Novo relatório'!C:C,"RESOLVIDO")</f>
        <v>GOVER</v>
      </c>
      <c r="C107" t="str">
        <f t="shared" si="2"/>
        <v>PENDENTE</v>
      </c>
      <c r="D107" s="1">
        <v>2869610</v>
      </c>
      <c r="E107" s="1" t="s">
        <v>24</v>
      </c>
      <c r="F107" s="2">
        <v>45519.669444444444</v>
      </c>
      <c r="G107" s="1">
        <v>383159</v>
      </c>
      <c r="H107" s="1" t="s">
        <v>271</v>
      </c>
      <c r="I107" s="1" t="s">
        <v>190</v>
      </c>
      <c r="J107" s="2">
        <v>45519.676388888889</v>
      </c>
      <c r="K107" s="2">
        <v>45520.701388888891</v>
      </c>
      <c r="L107" s="1" t="s">
        <v>14</v>
      </c>
      <c r="M107" s="1" t="str">
        <f>_xlfn.XLOOKUP(I107,Parâmetros!A:A,Parâmetros!B:B,_xlfn.XLOOKUP(Q107,Parâmetros!F:F,Parâmetros!G:G,"NOVA MENSAGEM"))</f>
        <v>DADOS DO CARTÃO</v>
      </c>
      <c r="N107" s="1" t="str">
        <f>_xlfn.XLOOKUP(M107,Parâmetros!K:K,Parâmetros!L:L,"")</f>
        <v>TAG &lt;CARTAOVALIDADE&gt; NÃO ENVIADA</v>
      </c>
      <c r="O107" s="1" t="str">
        <f>_xlfn.XLOOKUP(M107,Parâmetros!B:B,Parâmetros!C:C,_xlfn.XLOOKUP(Base!M106,Parâmetros!G:G,Parâmetros!H:H))</f>
        <v>SISTEMA</v>
      </c>
      <c r="P107" s="1" t="str">
        <f>_xlfn.XLOOKUP(I107,Parâmetros!A:A,Parâmetros!D:D,_xlfn.XLOOKUP(Q107,Parâmetros!F:F,Parâmetros!I:I))</f>
        <v>SUPORTE OBT</v>
      </c>
      <c r="Q107" s="1" t="str">
        <f t="shared" si="3"/>
        <v>COLUNA I</v>
      </c>
    </row>
    <row r="108" spans="1:17" x14ac:dyDescent="0.25">
      <c r="A108" s="1" t="str">
        <f>_xlfn.XLOOKUP(D108,'Novo relatório'!B:B,'Novo relatório'!C:C,"RESOLVIDO")</f>
        <v>RESOLVIDO</v>
      </c>
      <c r="C108" t="str">
        <f t="shared" si="2"/>
        <v>RESOLVIDO</v>
      </c>
      <c r="D108" s="1">
        <v>2872904</v>
      </c>
      <c r="E108" s="1" t="s">
        <v>24</v>
      </c>
      <c r="F108" s="2">
        <v>45294.696527777778</v>
      </c>
      <c r="G108" s="1">
        <v>4252091</v>
      </c>
      <c r="H108" s="1" t="s">
        <v>272</v>
      </c>
      <c r="I108" s="1" t="s">
        <v>273</v>
      </c>
      <c r="J108" s="2">
        <v>45520.702777777777</v>
      </c>
      <c r="K108" s="2">
        <v>45525.427777777775</v>
      </c>
      <c r="L108" s="1" t="s">
        <v>274</v>
      </c>
      <c r="M108" s="1" t="str">
        <f>_xlfn.XLOOKUP(I108,Parâmetros!A:A,Parâmetros!B:B,_xlfn.XLOOKUP(Q108,Parâmetros!F:F,Parâmetros!G:G,"NOVA MENSAGEM"))</f>
        <v>VENDA CANCELADA</v>
      </c>
      <c r="N108" s="1" t="str">
        <f>_xlfn.XLOOKUP(M108,Parâmetros!K:K,Parâmetros!L:L,"")</f>
        <v>RESERVA CANCELADA NO OBT</v>
      </c>
      <c r="O108" s="1" t="str">
        <f>_xlfn.XLOOKUP(M108,Parâmetros!B:B,Parâmetros!C:C,_xlfn.XLOOKUP(Base!M107,Parâmetros!G:G,Parâmetros!H:H))</f>
        <v>SISTEMA</v>
      </c>
      <c r="P108" s="1" t="str">
        <f>_xlfn.XLOOKUP(I108,Parâmetros!A:A,Parâmetros!D:D,_xlfn.XLOOKUP(Q108,Parâmetros!F:F,Parâmetros!I:I))</f>
        <v>SUPORTE OBT</v>
      </c>
      <c r="Q108" s="1" t="str">
        <f t="shared" si="3"/>
        <v>COLUNA I</v>
      </c>
    </row>
    <row r="109" spans="1:17" x14ac:dyDescent="0.25">
      <c r="A109" s="1" t="str">
        <f>_xlfn.XLOOKUP(D109,'Novo relatório'!B:B,'Novo relatório'!C:C,"RESOLVIDO")</f>
        <v>GOVER</v>
      </c>
      <c r="C109" t="str">
        <f t="shared" si="2"/>
        <v>PENDENTE</v>
      </c>
      <c r="D109" s="1">
        <v>2879032</v>
      </c>
      <c r="E109" s="1" t="s">
        <v>24</v>
      </c>
      <c r="F109" s="2">
        <v>45358.689583333333</v>
      </c>
      <c r="G109" s="1">
        <v>374316</v>
      </c>
      <c r="H109" s="1" t="s">
        <v>288</v>
      </c>
      <c r="I109" s="1" t="s">
        <v>289</v>
      </c>
      <c r="J109" s="2">
        <v>45524.663194444445</v>
      </c>
      <c r="K109" s="2">
        <v>45537.520138888889</v>
      </c>
      <c r="L109" s="1" t="s">
        <v>14</v>
      </c>
      <c r="M109" s="1" t="str">
        <f>_xlfn.XLOOKUP(I109,Parâmetros!A:A,Parâmetros!B:B,_xlfn.XLOOKUP(Q109,Parâmetros!F:F,Parâmetros!G:G,"NOVA MENSAGEM"))</f>
        <v>TAG - ITEM VEÍCULO</v>
      </c>
      <c r="N109" s="1" t="str">
        <f>_xlfn.XLOOKUP(M109,Parâmetros!K:K,Parâmetros!L:L,"")</f>
        <v>TAGS DE DETALHAMENTO DO SERVIÇO NÃO ENVIADO NO XML</v>
      </c>
      <c r="O109" s="1" t="e">
        <f>_xlfn.XLOOKUP(M109,Parâmetros!B:B,Parâmetros!C:C,_xlfn.XLOOKUP(Base!M108,Parâmetros!G:G,Parâmetros!H:H))</f>
        <v>#N/A</v>
      </c>
      <c r="P109" s="1" t="str">
        <f>_xlfn.XLOOKUP(I109,Parâmetros!A:A,Parâmetros!D:D,_xlfn.XLOOKUP(Q109,Parâmetros!F:F,Parâmetros!I:I))</f>
        <v>SUPORTE OBT</v>
      </c>
      <c r="Q109" s="1">
        <f t="shared" si="3"/>
        <v>46</v>
      </c>
    </row>
    <row r="110" spans="1:17" x14ac:dyDescent="0.25">
      <c r="A110" s="1" t="str">
        <f>_xlfn.XLOOKUP(D110,'Novo relatório'!B:B,'Novo relatório'!C:C,"RESOLVIDO")</f>
        <v>GOVER</v>
      </c>
      <c r="C110" t="str">
        <f t="shared" si="2"/>
        <v>PENDENTE</v>
      </c>
      <c r="D110" s="1">
        <v>2879046</v>
      </c>
      <c r="E110" s="1" t="s">
        <v>24</v>
      </c>
      <c r="F110" s="2">
        <v>45360.411805555559</v>
      </c>
      <c r="G110" s="1">
        <v>4292939</v>
      </c>
      <c r="H110" s="1" t="s">
        <v>290</v>
      </c>
      <c r="I110" s="1" t="s">
        <v>291</v>
      </c>
      <c r="J110" s="2">
        <v>45524.665277777778</v>
      </c>
      <c r="K110" s="2">
        <v>45537.522222222222</v>
      </c>
      <c r="L110" s="1" t="s">
        <v>14</v>
      </c>
      <c r="M110" s="1" t="str">
        <f>_xlfn.XLOOKUP(I110,Parâmetros!A:A,Parâmetros!B:B,_xlfn.XLOOKUP(Q110,Parâmetros!F:F,Parâmetros!G:G,"NOVA MENSAGEM"))</f>
        <v>TAG - ITEM VEÍCULO</v>
      </c>
      <c r="N110" s="1" t="str">
        <f>_xlfn.XLOOKUP(M110,Parâmetros!K:K,Parâmetros!L:L,"")</f>
        <v>TAGS DE DETALHAMENTO DO SERVIÇO NÃO ENVIADO NO XML</v>
      </c>
      <c r="O110" s="1" t="str">
        <f>_xlfn.XLOOKUP(M110,Parâmetros!B:B,Parâmetros!C:C,_xlfn.XLOOKUP(Base!M109,Parâmetros!G:G,Parâmetros!H:H))</f>
        <v>SISTEMA</v>
      </c>
      <c r="P110" s="1" t="str">
        <f>_xlfn.XLOOKUP(I110,Parâmetros!A:A,Parâmetros!D:D,_xlfn.XLOOKUP(Q110,Parâmetros!F:F,Parâmetros!I:I))</f>
        <v>SUPORTE OBT</v>
      </c>
      <c r="Q110" s="1">
        <f t="shared" si="3"/>
        <v>46</v>
      </c>
    </row>
    <row r="111" spans="1:17" x14ac:dyDescent="0.25">
      <c r="A111" s="1" t="str">
        <f>_xlfn.XLOOKUP(D111,'Novo relatório'!B:B,'Novo relatório'!C:C,"RESOLVIDO")</f>
        <v>GOVER</v>
      </c>
      <c r="C111" t="str">
        <f t="shared" si="2"/>
        <v>PENDENTE</v>
      </c>
      <c r="D111" s="1">
        <v>2879047</v>
      </c>
      <c r="E111" s="1" t="s">
        <v>24</v>
      </c>
      <c r="F111" s="2">
        <v>45379.522916666669</v>
      </c>
      <c r="G111" s="1">
        <v>4305314</v>
      </c>
      <c r="H111" s="1" t="s">
        <v>292</v>
      </c>
      <c r="I111" s="1" t="s">
        <v>293</v>
      </c>
      <c r="J111" s="2">
        <v>45524.665277777778</v>
      </c>
      <c r="K111" s="2">
        <v>45537.522222222222</v>
      </c>
      <c r="L111" s="1" t="s">
        <v>14</v>
      </c>
      <c r="M111" s="1" t="str">
        <f>_xlfn.XLOOKUP(I111,Parâmetros!A:A,Parâmetros!B:B,_xlfn.XLOOKUP(Q111,Parâmetros!F:F,Parâmetros!G:G,"NOVA MENSAGEM"))</f>
        <v>TAG - ITEM VEÍCULO</v>
      </c>
      <c r="N111" s="1" t="str">
        <f>_xlfn.XLOOKUP(M111,Parâmetros!K:K,Parâmetros!L:L,"")</f>
        <v>TAGS DE DETALHAMENTO DO SERVIÇO NÃO ENVIADO NO XML</v>
      </c>
      <c r="O111" s="1" t="str">
        <f>_xlfn.XLOOKUP(M111,Parâmetros!B:B,Parâmetros!C:C,_xlfn.XLOOKUP(Base!M110,Parâmetros!G:G,Parâmetros!H:H))</f>
        <v>SISTEMA</v>
      </c>
      <c r="P111" s="1" t="str">
        <f>_xlfn.XLOOKUP(I111,Parâmetros!A:A,Parâmetros!D:D,_xlfn.XLOOKUP(Q111,Parâmetros!F:F,Parâmetros!I:I))</f>
        <v>SUPORTE OBT</v>
      </c>
      <c r="Q111" s="1">
        <f t="shared" si="3"/>
        <v>46</v>
      </c>
    </row>
    <row r="112" spans="1:17" x14ac:dyDescent="0.25">
      <c r="A112" s="1" t="str">
        <f>_xlfn.XLOOKUP(D112,'Novo relatório'!B:B,'Novo relatório'!C:C,"RESOLVIDO")</f>
        <v>GOVER</v>
      </c>
      <c r="C112" t="str">
        <f t="shared" si="2"/>
        <v>PENDENTE</v>
      </c>
      <c r="D112" s="1">
        <v>2879049</v>
      </c>
      <c r="E112" s="1" t="s">
        <v>24</v>
      </c>
      <c r="F112" s="2">
        <v>45433.901388888888</v>
      </c>
      <c r="G112" s="1">
        <v>4338505</v>
      </c>
      <c r="H112" s="1" t="s">
        <v>294</v>
      </c>
      <c r="I112" s="1" t="s">
        <v>295</v>
      </c>
      <c r="J112" s="2">
        <v>45524.665277777778</v>
      </c>
      <c r="K112" s="2">
        <v>45537.522222222222</v>
      </c>
      <c r="L112" s="1" t="s">
        <v>14</v>
      </c>
      <c r="M112" s="1" t="str">
        <f>_xlfn.XLOOKUP(I112,Parâmetros!A:A,Parâmetros!B:B,_xlfn.XLOOKUP(Q112,Parâmetros!F:F,Parâmetros!G:G,"NOVA MENSAGEM"))</f>
        <v>TAG - ITEM VEÍCULO</v>
      </c>
      <c r="N112" s="1" t="str">
        <f>_xlfn.XLOOKUP(M112,Parâmetros!K:K,Parâmetros!L:L,"")</f>
        <v>TAGS DE DETALHAMENTO DO SERVIÇO NÃO ENVIADO NO XML</v>
      </c>
      <c r="O112" s="1" t="str">
        <f>_xlfn.XLOOKUP(M112,Parâmetros!B:B,Parâmetros!C:C,_xlfn.XLOOKUP(Base!M111,Parâmetros!G:G,Parâmetros!H:H))</f>
        <v>SISTEMA</v>
      </c>
      <c r="P112" s="1" t="str">
        <f>_xlfn.XLOOKUP(I112,Parâmetros!A:A,Parâmetros!D:D,_xlfn.XLOOKUP(Q112,Parâmetros!F:F,Parâmetros!I:I))</f>
        <v>SUPORTE OBT</v>
      </c>
      <c r="Q112" s="1">
        <f t="shared" si="3"/>
        <v>46</v>
      </c>
    </row>
    <row r="113" spans="1:17" x14ac:dyDescent="0.25">
      <c r="A113" s="1" t="str">
        <f>_xlfn.XLOOKUP(D113,'Novo relatório'!B:B,'Novo relatório'!C:C,"RESOLVIDO")</f>
        <v>GOVER</v>
      </c>
      <c r="C113" t="str">
        <f t="shared" si="2"/>
        <v>PENDENTE</v>
      </c>
      <c r="D113" s="1">
        <v>2879051</v>
      </c>
      <c r="E113" s="1" t="s">
        <v>24</v>
      </c>
      <c r="F113" s="2">
        <v>45481.743055555555</v>
      </c>
      <c r="G113" s="1">
        <v>4367558</v>
      </c>
      <c r="H113" s="1" t="s">
        <v>296</v>
      </c>
      <c r="I113" s="1" t="s">
        <v>297</v>
      </c>
      <c r="J113" s="2">
        <v>45524.665277777778</v>
      </c>
      <c r="K113" s="2">
        <v>45537.522222222222</v>
      </c>
      <c r="L113" s="1" t="s">
        <v>14</v>
      </c>
      <c r="M113" s="1" t="str">
        <f>_xlfn.XLOOKUP(I113,Parâmetros!A:A,Parâmetros!B:B,_xlfn.XLOOKUP(Q113,Parâmetros!F:F,Parâmetros!G:G,"NOVA MENSAGEM"))</f>
        <v>TAG - ITEM VEÍCULO</v>
      </c>
      <c r="N113" s="1" t="str">
        <f>_xlfn.XLOOKUP(M113,Parâmetros!K:K,Parâmetros!L:L,"")</f>
        <v>TAGS DE DETALHAMENTO DO SERVIÇO NÃO ENVIADO NO XML</v>
      </c>
      <c r="O113" s="1" t="str">
        <f>_xlfn.XLOOKUP(M113,Parâmetros!B:B,Parâmetros!C:C,_xlfn.XLOOKUP(Base!M112,Parâmetros!G:G,Parâmetros!H:H))</f>
        <v>SISTEMA</v>
      </c>
      <c r="P113" s="1" t="str">
        <f>_xlfn.XLOOKUP(I113,Parâmetros!A:A,Parâmetros!D:D,_xlfn.XLOOKUP(Q113,Parâmetros!F:F,Parâmetros!I:I))</f>
        <v>SUPORTE OBT</v>
      </c>
      <c r="Q113" s="1">
        <f t="shared" si="3"/>
        <v>46</v>
      </c>
    </row>
    <row r="114" spans="1:17" x14ac:dyDescent="0.25">
      <c r="A114" s="1" t="str">
        <f>_xlfn.XLOOKUP(D114,'Novo relatório'!B:B,'Novo relatório'!C:C,"RESOLVIDO")</f>
        <v>GOVER</v>
      </c>
      <c r="C114" t="str">
        <f t="shared" si="2"/>
        <v>PENDENTE</v>
      </c>
      <c r="D114" s="1">
        <v>2879052</v>
      </c>
      <c r="E114" s="1" t="s">
        <v>24</v>
      </c>
      <c r="F114" s="2">
        <v>45484.44027777778</v>
      </c>
      <c r="G114" s="1">
        <v>4369135</v>
      </c>
      <c r="H114" s="1" t="s">
        <v>298</v>
      </c>
      <c r="I114" s="1" t="s">
        <v>299</v>
      </c>
      <c r="J114" s="2">
        <v>45524.665277777778</v>
      </c>
      <c r="K114" s="2">
        <v>45537.522222222222</v>
      </c>
      <c r="L114" s="1" t="s">
        <v>14</v>
      </c>
      <c r="M114" s="1" t="str">
        <f>_xlfn.XLOOKUP(I114,Parâmetros!A:A,Parâmetros!B:B,_xlfn.XLOOKUP(Q114,Parâmetros!F:F,Parâmetros!G:G,"NOVA MENSAGEM"))</f>
        <v>TAG - ITEM VEÍCULO</v>
      </c>
      <c r="N114" s="1" t="str">
        <f>_xlfn.XLOOKUP(M114,Parâmetros!K:K,Parâmetros!L:L,"")</f>
        <v>TAGS DE DETALHAMENTO DO SERVIÇO NÃO ENVIADO NO XML</v>
      </c>
      <c r="O114" s="1" t="str">
        <f>_xlfn.XLOOKUP(M114,Parâmetros!B:B,Parâmetros!C:C,_xlfn.XLOOKUP(Base!M113,Parâmetros!G:G,Parâmetros!H:H))</f>
        <v>SISTEMA</v>
      </c>
      <c r="P114" s="1" t="str">
        <f>_xlfn.XLOOKUP(I114,Parâmetros!A:A,Parâmetros!D:D,_xlfn.XLOOKUP(Q114,Parâmetros!F:F,Parâmetros!I:I))</f>
        <v>SUPORTE OBT</v>
      </c>
      <c r="Q114" s="1">
        <f t="shared" si="3"/>
        <v>46</v>
      </c>
    </row>
    <row r="115" spans="1:17" x14ac:dyDescent="0.25">
      <c r="A115" s="1" t="str">
        <f>_xlfn.XLOOKUP(D115,'Novo relatório'!B:B,'Novo relatório'!C:C,"RESOLVIDO")</f>
        <v>GOVER</v>
      </c>
      <c r="C115" t="str">
        <f t="shared" si="2"/>
        <v>PENDENTE</v>
      </c>
      <c r="D115" s="1">
        <v>2879053</v>
      </c>
      <c r="E115" s="1" t="s">
        <v>24</v>
      </c>
      <c r="F115" s="2">
        <v>45492.380555555559</v>
      </c>
      <c r="G115" s="1">
        <v>4374325</v>
      </c>
      <c r="H115" s="1" t="s">
        <v>300</v>
      </c>
      <c r="I115" s="1" t="s">
        <v>301</v>
      </c>
      <c r="J115" s="2">
        <v>45524.665277777778</v>
      </c>
      <c r="K115" s="2">
        <v>45537.522222222222</v>
      </c>
      <c r="L115" s="1" t="s">
        <v>14</v>
      </c>
      <c r="M115" s="1" t="str">
        <f>_xlfn.XLOOKUP(I115,Parâmetros!A:A,Parâmetros!B:B,_xlfn.XLOOKUP(Q115,Parâmetros!F:F,Parâmetros!G:G,"NOVA MENSAGEM"))</f>
        <v>TAG - ITEM VEÍCULO</v>
      </c>
      <c r="N115" s="1" t="str">
        <f>_xlfn.XLOOKUP(M115,Parâmetros!K:K,Parâmetros!L:L,"")</f>
        <v>TAGS DE DETALHAMENTO DO SERVIÇO NÃO ENVIADO NO XML</v>
      </c>
      <c r="O115" s="1" t="str">
        <f>_xlfn.XLOOKUP(M115,Parâmetros!B:B,Parâmetros!C:C,_xlfn.XLOOKUP(Base!M114,Parâmetros!G:G,Parâmetros!H:H))</f>
        <v>SISTEMA</v>
      </c>
      <c r="P115" s="1" t="str">
        <f>_xlfn.XLOOKUP(I115,Parâmetros!A:A,Parâmetros!D:D,_xlfn.XLOOKUP(Q115,Parâmetros!F:F,Parâmetros!I:I))</f>
        <v>SUPORTE OBT</v>
      </c>
      <c r="Q115" s="1">
        <f t="shared" si="3"/>
        <v>46</v>
      </c>
    </row>
    <row r="116" spans="1:17" x14ac:dyDescent="0.25">
      <c r="A116" s="1" t="str">
        <f>_xlfn.XLOOKUP(D116,'Novo relatório'!B:B,'Novo relatório'!C:C,"RESOLVIDO")</f>
        <v>GOVER</v>
      </c>
      <c r="C116" t="str">
        <f t="shared" si="2"/>
        <v>PENDENTE</v>
      </c>
      <c r="D116" s="1">
        <v>2887445</v>
      </c>
      <c r="E116" s="1" t="s">
        <v>24</v>
      </c>
      <c r="F116" s="2">
        <v>45527.652777777781</v>
      </c>
      <c r="G116" s="1">
        <v>4395174</v>
      </c>
      <c r="H116" s="1" t="s">
        <v>302</v>
      </c>
      <c r="I116" s="1" t="s">
        <v>303</v>
      </c>
      <c r="J116" s="2">
        <v>45527.658333333333</v>
      </c>
      <c r="K116" s="2">
        <v>45537.522222222222</v>
      </c>
      <c r="L116" s="1" t="s">
        <v>14</v>
      </c>
      <c r="M116" s="1" t="str">
        <f>_xlfn.XLOOKUP(I116,Parâmetros!A:A,Parâmetros!B:B,_xlfn.XLOOKUP(Q116,Parâmetros!F:F,Parâmetros!G:G,"NOVA MENSAGEM"))</f>
        <v>TAG - ITEM VEÍCULO</v>
      </c>
      <c r="N116" s="1" t="str">
        <f>_xlfn.XLOOKUP(M116,Parâmetros!K:K,Parâmetros!L:L,"")</f>
        <v>TAGS DE DETALHAMENTO DO SERVIÇO NÃO ENVIADO NO XML</v>
      </c>
      <c r="O116" s="1" t="str">
        <f>_xlfn.XLOOKUP(M116,Parâmetros!B:B,Parâmetros!C:C,_xlfn.XLOOKUP(Base!M115,Parâmetros!G:G,Parâmetros!H:H))</f>
        <v>SISTEMA</v>
      </c>
      <c r="P116" s="1" t="str">
        <f>_xlfn.XLOOKUP(I116,Parâmetros!A:A,Parâmetros!D:D,_xlfn.XLOOKUP(Q116,Parâmetros!F:F,Parâmetros!I:I))</f>
        <v>SUPORTE OBT</v>
      </c>
      <c r="Q116" s="1">
        <f t="shared" si="3"/>
        <v>46</v>
      </c>
    </row>
    <row r="117" spans="1:17" x14ac:dyDescent="0.25">
      <c r="A117" s="1" t="str">
        <f>_xlfn.XLOOKUP(D117,'Novo relatório'!B:B,'Novo relatório'!C:C,"RESOLVIDO")</f>
        <v>GOVER</v>
      </c>
      <c r="C117" t="str">
        <f t="shared" si="2"/>
        <v>PENDENTE</v>
      </c>
      <c r="D117" s="1">
        <v>2888649</v>
      </c>
      <c r="E117" s="1" t="s">
        <v>24</v>
      </c>
      <c r="F117" s="2">
        <v>45527.424305555556</v>
      </c>
      <c r="G117" s="1">
        <v>4394823</v>
      </c>
      <c r="H117" s="1">
        <v>4394823</v>
      </c>
      <c r="I117" s="1" t="s">
        <v>190</v>
      </c>
      <c r="J117" s="2">
        <v>45527.79583333333</v>
      </c>
      <c r="K117" s="2">
        <v>45537.522222222222</v>
      </c>
      <c r="L117" s="1" t="s">
        <v>14</v>
      </c>
      <c r="M117" s="1" t="str">
        <f>_xlfn.XLOOKUP(I117,Parâmetros!A:A,Parâmetros!B:B,_xlfn.XLOOKUP(Q117,Parâmetros!F:F,Parâmetros!G:G,"NOVA MENSAGEM"))</f>
        <v>DADOS DO CARTÃO</v>
      </c>
      <c r="N117" s="1" t="str">
        <f>_xlfn.XLOOKUP(M117,Parâmetros!K:K,Parâmetros!L:L,"")</f>
        <v>TAG &lt;CARTAOVALIDADE&gt; NÃO ENVIADA</v>
      </c>
      <c r="O117" s="1" t="str">
        <f>_xlfn.XLOOKUP(M117,Parâmetros!B:B,Parâmetros!C:C,_xlfn.XLOOKUP(Base!M116,Parâmetros!G:G,Parâmetros!H:H))</f>
        <v>SISTEMA</v>
      </c>
      <c r="P117" s="1" t="str">
        <f>_xlfn.XLOOKUP(I117,Parâmetros!A:A,Parâmetros!D:D,_xlfn.XLOOKUP(Q117,Parâmetros!F:F,Parâmetros!I:I))</f>
        <v>SUPORTE OBT</v>
      </c>
      <c r="Q117" s="1" t="str">
        <f t="shared" si="3"/>
        <v>COLUNA I</v>
      </c>
    </row>
    <row r="118" spans="1:17" x14ac:dyDescent="0.25">
      <c r="A118" s="1" t="str">
        <f>_xlfn.XLOOKUP(D118,'Novo relatório'!B:B,'Novo relatório'!C:C,"RESOLVIDO")</f>
        <v>GOVER</v>
      </c>
      <c r="C118" t="str">
        <f t="shared" si="2"/>
        <v>PENDENTE</v>
      </c>
      <c r="D118" s="1">
        <v>2890862</v>
      </c>
      <c r="E118" s="1" t="s">
        <v>24</v>
      </c>
      <c r="F118" s="2">
        <v>45530.488194444442</v>
      </c>
      <c r="G118" s="1">
        <v>4395796</v>
      </c>
      <c r="H118" s="1" t="s">
        <v>305</v>
      </c>
      <c r="I118" s="1" t="s">
        <v>306</v>
      </c>
      <c r="J118" s="2">
        <v>45530.495833333334</v>
      </c>
      <c r="K118" s="2">
        <v>45537.522222222222</v>
      </c>
      <c r="L118" s="1" t="s">
        <v>14</v>
      </c>
      <c r="M118" s="1" t="str">
        <f>_xlfn.XLOOKUP(I118,Parâmetros!A:A,Parâmetros!B:B,_xlfn.XLOOKUP(Q118,Parâmetros!F:F,Parâmetros!G:G,"NOVA MENSAGEM"))</f>
        <v>TAG - ITEM VEÍCULO</v>
      </c>
      <c r="N118" s="1" t="str">
        <f>_xlfn.XLOOKUP(M118,Parâmetros!K:K,Parâmetros!L:L,"")</f>
        <v>TAGS DE DETALHAMENTO DO SERVIÇO NÃO ENVIADO NO XML</v>
      </c>
      <c r="O118" s="1" t="str">
        <f>_xlfn.XLOOKUP(M118,Parâmetros!B:B,Parâmetros!C:C,_xlfn.XLOOKUP(Base!M117,Parâmetros!G:G,Parâmetros!H:H))</f>
        <v>SISTEMA</v>
      </c>
      <c r="P118" s="1" t="str">
        <f>_xlfn.XLOOKUP(I118,Parâmetros!A:A,Parâmetros!D:D,_xlfn.XLOOKUP(Q118,Parâmetros!F:F,Parâmetros!I:I))</f>
        <v>SUPORTE OBT</v>
      </c>
      <c r="Q118" s="1">
        <f t="shared" si="3"/>
        <v>46</v>
      </c>
    </row>
    <row r="119" spans="1:17" x14ac:dyDescent="0.25">
      <c r="A119" s="1" t="str">
        <f>_xlfn.XLOOKUP(D119,'Novo relatório'!B:B,'Novo relatório'!C:C,"RESOLVIDO")</f>
        <v>GOVER</v>
      </c>
      <c r="C119" t="str">
        <f t="shared" si="2"/>
        <v>PENDENTE</v>
      </c>
      <c r="D119" s="1">
        <v>2891632</v>
      </c>
      <c r="E119" s="1" t="s">
        <v>24</v>
      </c>
      <c r="F119" s="2">
        <v>45530.63958333333</v>
      </c>
      <c r="G119" s="1">
        <v>4396084</v>
      </c>
      <c r="H119" s="1" t="s">
        <v>307</v>
      </c>
      <c r="I119" s="1" t="s">
        <v>190</v>
      </c>
      <c r="J119" s="2">
        <v>45530.727777777778</v>
      </c>
      <c r="K119" s="2">
        <v>45537.522222222222</v>
      </c>
      <c r="L119" s="1" t="s">
        <v>14</v>
      </c>
      <c r="M119" s="1" t="str">
        <f>_xlfn.XLOOKUP(I119,Parâmetros!A:A,Parâmetros!B:B,_xlfn.XLOOKUP(Q119,Parâmetros!F:F,Parâmetros!G:G,"NOVA MENSAGEM"))</f>
        <v>DADOS DO CARTÃO</v>
      </c>
      <c r="N119" s="1" t="str">
        <f>_xlfn.XLOOKUP(M119,Parâmetros!K:K,Parâmetros!L:L,"")</f>
        <v>TAG &lt;CARTAOVALIDADE&gt; NÃO ENVIADA</v>
      </c>
      <c r="O119" s="1" t="str">
        <f>_xlfn.XLOOKUP(M119,Parâmetros!B:B,Parâmetros!C:C,_xlfn.XLOOKUP(Base!M118,Parâmetros!G:G,Parâmetros!H:H))</f>
        <v>SISTEMA</v>
      </c>
      <c r="P119" s="1" t="str">
        <f>_xlfn.XLOOKUP(I119,Parâmetros!A:A,Parâmetros!D:D,_xlfn.XLOOKUP(Q119,Parâmetros!F:F,Parâmetros!I:I))</f>
        <v>SUPORTE OBT</v>
      </c>
      <c r="Q119" s="1" t="str">
        <f t="shared" si="3"/>
        <v>COLUNA I</v>
      </c>
    </row>
    <row r="120" spans="1:17" x14ac:dyDescent="0.25">
      <c r="A120" s="1" t="str">
        <f>_xlfn.XLOOKUP(D120,'Novo relatório'!B:B,'Novo relatório'!C:C,"RESOLVIDO")</f>
        <v>GOVER</v>
      </c>
      <c r="C120" t="str">
        <f t="shared" si="2"/>
        <v>PENDENTE</v>
      </c>
      <c r="D120" s="1">
        <v>2891890</v>
      </c>
      <c r="E120" s="1" t="s">
        <v>24</v>
      </c>
      <c r="F120" s="2">
        <v>45530.604861111111</v>
      </c>
      <c r="G120" s="1">
        <v>4396009</v>
      </c>
      <c r="H120" s="1" t="s">
        <v>308</v>
      </c>
      <c r="I120" s="1" t="s">
        <v>190</v>
      </c>
      <c r="J120" s="2">
        <v>45530.74722222222</v>
      </c>
      <c r="K120" s="2">
        <v>45537.522222222222</v>
      </c>
      <c r="L120" s="1" t="s">
        <v>14</v>
      </c>
      <c r="M120" s="1" t="str">
        <f>_xlfn.XLOOKUP(I120,Parâmetros!A:A,Parâmetros!B:B,_xlfn.XLOOKUP(Q120,Parâmetros!F:F,Parâmetros!G:G,"NOVA MENSAGEM"))</f>
        <v>DADOS DO CARTÃO</v>
      </c>
      <c r="N120" s="1" t="str">
        <f>_xlfn.XLOOKUP(M120,Parâmetros!K:K,Parâmetros!L:L,"")</f>
        <v>TAG &lt;CARTAOVALIDADE&gt; NÃO ENVIADA</v>
      </c>
      <c r="O120" s="1" t="str">
        <f>_xlfn.XLOOKUP(M120,Parâmetros!B:B,Parâmetros!C:C,_xlfn.XLOOKUP(Base!M119,Parâmetros!G:G,Parâmetros!H:H))</f>
        <v>SISTEMA</v>
      </c>
      <c r="P120" s="1" t="str">
        <f>_xlfn.XLOOKUP(I120,Parâmetros!A:A,Parâmetros!D:D,_xlfn.XLOOKUP(Q120,Parâmetros!F:F,Parâmetros!I:I))</f>
        <v>SUPORTE OBT</v>
      </c>
      <c r="Q120" s="1" t="str">
        <f t="shared" si="3"/>
        <v>COLUNA I</v>
      </c>
    </row>
    <row r="121" spans="1:17" x14ac:dyDescent="0.25">
      <c r="A121" s="1" t="str">
        <f>_xlfn.XLOOKUP(D121,'Novo relatório'!B:B,'Novo relatório'!C:C,"RESOLVIDO")</f>
        <v>GOVER</v>
      </c>
      <c r="C121" t="str">
        <f t="shared" si="2"/>
        <v>PENDENTE</v>
      </c>
      <c r="D121" s="1">
        <v>2893114</v>
      </c>
      <c r="E121" s="1" t="s">
        <v>24</v>
      </c>
      <c r="F121" s="2">
        <v>45531.318749999999</v>
      </c>
      <c r="G121" s="1">
        <v>4396381</v>
      </c>
      <c r="H121" s="1" t="s">
        <v>309</v>
      </c>
      <c r="I121" s="1" t="s">
        <v>310</v>
      </c>
      <c r="J121" s="2">
        <v>45531.320833333331</v>
      </c>
      <c r="K121" s="2">
        <v>45537.522222222222</v>
      </c>
      <c r="L121" s="1" t="s">
        <v>14</v>
      </c>
      <c r="M121" s="1" t="str">
        <f>_xlfn.XLOOKUP(I121,Parâmetros!A:A,Parâmetros!B:B,_xlfn.XLOOKUP(Q121,Parâmetros!F:F,Parâmetros!G:G,"NOVA MENSAGEM"))</f>
        <v>TAG - ITEM VEÍCULO</v>
      </c>
      <c r="N121" s="1" t="str">
        <f>_xlfn.XLOOKUP(M121,Parâmetros!K:K,Parâmetros!L:L,"")</f>
        <v>TAGS DE DETALHAMENTO DO SERVIÇO NÃO ENVIADO NO XML</v>
      </c>
      <c r="O121" s="1" t="str">
        <f>_xlfn.XLOOKUP(M121,Parâmetros!B:B,Parâmetros!C:C,_xlfn.XLOOKUP(Base!M120,Parâmetros!G:G,Parâmetros!H:H))</f>
        <v>SISTEMA</v>
      </c>
      <c r="P121" s="1" t="str">
        <f>_xlfn.XLOOKUP(I121,Parâmetros!A:A,Parâmetros!D:D,_xlfn.XLOOKUP(Q121,Parâmetros!F:F,Parâmetros!I:I))</f>
        <v>SUPORTE OBT</v>
      </c>
      <c r="Q121" s="1">
        <f t="shared" si="3"/>
        <v>46</v>
      </c>
    </row>
    <row r="122" spans="1:17" x14ac:dyDescent="0.25">
      <c r="A122" s="1" t="str">
        <f>_xlfn.XLOOKUP(D122,'Novo relatório'!B:B,'Novo relatório'!C:C,"RESOLVIDO")</f>
        <v>GOVER</v>
      </c>
      <c r="C122" t="str">
        <f t="shared" si="2"/>
        <v>PENDENTE</v>
      </c>
      <c r="D122" s="1">
        <v>2900068</v>
      </c>
      <c r="E122" s="1" t="s">
        <v>24</v>
      </c>
      <c r="F122" s="2">
        <v>45532.39166666667</v>
      </c>
      <c r="G122" s="1">
        <v>4397188</v>
      </c>
      <c r="H122" s="1" t="s">
        <v>318</v>
      </c>
      <c r="I122" s="1" t="s">
        <v>190</v>
      </c>
      <c r="J122" s="2">
        <v>45533.496527777781</v>
      </c>
      <c r="K122" s="2">
        <v>45537.522222222222</v>
      </c>
      <c r="L122" s="1" t="s">
        <v>14</v>
      </c>
      <c r="M122" s="1" t="str">
        <f>_xlfn.XLOOKUP(I122,Parâmetros!A:A,Parâmetros!B:B,_xlfn.XLOOKUP(Q122,Parâmetros!F:F,Parâmetros!G:G,"NOVA MENSAGEM"))</f>
        <v>DADOS DO CARTÃO</v>
      </c>
      <c r="N122" s="1" t="str">
        <f>_xlfn.XLOOKUP(M122,Parâmetros!K:K,Parâmetros!L:L,"")</f>
        <v>TAG &lt;CARTAOVALIDADE&gt; NÃO ENVIADA</v>
      </c>
      <c r="O122" s="1" t="str">
        <f>_xlfn.XLOOKUP(M122,Parâmetros!B:B,Parâmetros!C:C,_xlfn.XLOOKUP(Base!M121,Parâmetros!G:G,Parâmetros!H:H))</f>
        <v>SISTEMA</v>
      </c>
      <c r="P122" s="1" t="str">
        <f>_xlfn.XLOOKUP(I122,Parâmetros!A:A,Parâmetros!D:D,_xlfn.XLOOKUP(Q122,Parâmetros!F:F,Parâmetros!I:I))</f>
        <v>SUPORTE OBT</v>
      </c>
      <c r="Q122" s="1" t="str">
        <f t="shared" si="3"/>
        <v>COLUNA I</v>
      </c>
    </row>
    <row r="123" spans="1:17" x14ac:dyDescent="0.25">
      <c r="A123" s="1" t="str">
        <f>_xlfn.XLOOKUP(D123,'Novo relatório'!B:B,'Novo relatório'!C:C,"RESOLVIDO")</f>
        <v>GOVER</v>
      </c>
      <c r="C123" t="str">
        <f t="shared" si="2"/>
        <v>PENDENTE</v>
      </c>
      <c r="D123" s="1">
        <v>2905678</v>
      </c>
      <c r="E123" s="1" t="s">
        <v>24</v>
      </c>
      <c r="F123" s="2">
        <v>45537.397222222222</v>
      </c>
      <c r="G123" s="1">
        <v>4399420</v>
      </c>
      <c r="H123" s="1" t="s">
        <v>323</v>
      </c>
      <c r="I123" s="1" t="s">
        <v>324</v>
      </c>
      <c r="J123" s="2">
        <v>45537.40902777778</v>
      </c>
      <c r="K123" s="2">
        <v>45537.522222222222</v>
      </c>
      <c r="L123" s="1" t="s">
        <v>14</v>
      </c>
      <c r="M123" s="1" t="str">
        <f>_xlfn.XLOOKUP(I123,Parâmetros!A:A,Parâmetros!B:B,_xlfn.XLOOKUP(Q123,Parâmetros!F:F,Parâmetros!G:G,"NOVA MENSAGEM"))</f>
        <v>TAG - ITEM VEÍCULO</v>
      </c>
      <c r="N123" s="1" t="str">
        <f>_xlfn.XLOOKUP(M123,Parâmetros!K:K,Parâmetros!L:L,"")</f>
        <v>TAGS DE DETALHAMENTO DO SERVIÇO NÃO ENVIADO NO XML</v>
      </c>
      <c r="O123" s="1" t="str">
        <f>_xlfn.XLOOKUP(M123,Parâmetros!B:B,Parâmetros!C:C,_xlfn.XLOOKUP(Base!M122,Parâmetros!G:G,Parâmetros!H:H))</f>
        <v>SISTEMA</v>
      </c>
      <c r="P123" s="1" t="str">
        <f>_xlfn.XLOOKUP(I123,Parâmetros!A:A,Parâmetros!D:D,_xlfn.XLOOKUP(Q123,Parâmetros!F:F,Parâmetros!I:I))</f>
        <v>SUPORTE OBT</v>
      </c>
      <c r="Q123" s="1">
        <f t="shared" si="3"/>
        <v>46</v>
      </c>
    </row>
    <row r="124" spans="1:17" x14ac:dyDescent="0.25">
      <c r="A124" s="1" t="str">
        <f>_xlfn.XLOOKUP(D124,'Novo relatório'!B:B,'Novo relatório'!C:C,"RESOLVIDO")</f>
        <v>GOVER</v>
      </c>
      <c r="C124" t="str">
        <f t="shared" si="2"/>
        <v>PENDENTE</v>
      </c>
      <c r="D124" s="1">
        <v>2905763</v>
      </c>
      <c r="E124" s="1" t="s">
        <v>24</v>
      </c>
      <c r="F124" s="2">
        <v>45537.429166666669</v>
      </c>
      <c r="G124" s="1">
        <v>4399491</v>
      </c>
      <c r="H124" s="1" t="s">
        <v>325</v>
      </c>
      <c r="I124" s="1" t="s">
        <v>326</v>
      </c>
      <c r="J124" s="2">
        <v>45537.435416666667</v>
      </c>
      <c r="K124" s="2">
        <v>45537.522222222222</v>
      </c>
      <c r="L124" s="1" t="s">
        <v>14</v>
      </c>
      <c r="M124" s="1" t="str">
        <f>_xlfn.XLOOKUP(I124,Parâmetros!A:A,Parâmetros!B:B,_xlfn.XLOOKUP(Q124,Parâmetros!F:F,Parâmetros!G:G,"NOVA MENSAGEM"))</f>
        <v>TAG - ITEM VEÍCULO</v>
      </c>
      <c r="N124" s="1" t="str">
        <f>_xlfn.XLOOKUP(M124,Parâmetros!K:K,Parâmetros!L:L,"")</f>
        <v>TAGS DE DETALHAMENTO DO SERVIÇO NÃO ENVIADO NO XML</v>
      </c>
      <c r="O124" s="1" t="str">
        <f>_xlfn.XLOOKUP(M124,Parâmetros!B:B,Parâmetros!C:C,_xlfn.XLOOKUP(Base!M123,Parâmetros!G:G,Parâmetros!H:H))</f>
        <v>SISTEMA</v>
      </c>
      <c r="P124" s="1" t="str">
        <f>_xlfn.XLOOKUP(I124,Parâmetros!A:A,Parâmetros!D:D,_xlfn.XLOOKUP(Q124,Parâmetros!F:F,Parâmetros!I:I))</f>
        <v>SUPORTE OBT</v>
      </c>
      <c r="Q124" s="1">
        <f t="shared" si="3"/>
        <v>46</v>
      </c>
    </row>
    <row r="125" spans="1:17" x14ac:dyDescent="0.25">
      <c r="A125" s="1" t="str">
        <f>_xlfn.XLOOKUP(D125,'Novo relatório'!B:B,'Novo relatório'!C:C,"RESOLVIDO")</f>
        <v>GOVER</v>
      </c>
      <c r="C125" t="str">
        <f t="shared" si="2"/>
        <v>PENDENTE</v>
      </c>
      <c r="D125" s="1">
        <v>2906243</v>
      </c>
      <c r="E125" s="1" t="s">
        <v>24</v>
      </c>
      <c r="F125" s="2">
        <v>45537.561111111114</v>
      </c>
      <c r="G125" s="1">
        <v>4399730</v>
      </c>
      <c r="H125" s="1" t="s">
        <v>327</v>
      </c>
      <c r="I125" s="1" t="s">
        <v>328</v>
      </c>
      <c r="J125" s="2">
        <v>45537.571527777778</v>
      </c>
      <c r="K125" s="2">
        <v>45540.603472222225</v>
      </c>
      <c r="L125" s="1" t="s">
        <v>14</v>
      </c>
      <c r="M125" s="1" t="str">
        <f>_xlfn.XLOOKUP(I125,Parâmetros!A:A,Parâmetros!B:B,_xlfn.XLOOKUP(Q125,Parâmetros!F:F,Parâmetros!G:G,"NOVA MENSAGEM"))</f>
        <v>TAG - ITEM VEÍCULO</v>
      </c>
      <c r="N125" s="1" t="str">
        <f>_xlfn.XLOOKUP(M125,Parâmetros!K:K,Parâmetros!L:L,"")</f>
        <v>TAGS DE DETALHAMENTO DO SERVIÇO NÃO ENVIADO NO XML</v>
      </c>
      <c r="O125" s="1" t="str">
        <f>_xlfn.XLOOKUP(M125,Parâmetros!B:B,Parâmetros!C:C,_xlfn.XLOOKUP(Base!M124,Parâmetros!G:G,Parâmetros!H:H))</f>
        <v>SISTEMA</v>
      </c>
      <c r="P125" s="1" t="str">
        <f>_xlfn.XLOOKUP(I125,Parâmetros!A:A,Parâmetros!D:D,_xlfn.XLOOKUP(Q125,Parâmetros!F:F,Parâmetros!I:I))</f>
        <v>SUPORTE OBT</v>
      </c>
      <c r="Q125" s="1">
        <f t="shared" si="3"/>
        <v>46</v>
      </c>
    </row>
    <row r="126" spans="1:17" x14ac:dyDescent="0.25">
      <c r="A126" s="1" t="str">
        <f>_xlfn.XLOOKUP(D126,'Novo relatório'!B:B,'Novo relatório'!C:C,"RESOLVIDO")</f>
        <v>GOVER</v>
      </c>
      <c r="C126" t="str">
        <f t="shared" si="2"/>
        <v>PENDENTE</v>
      </c>
      <c r="D126" s="1">
        <v>2909083</v>
      </c>
      <c r="E126" s="1" t="s">
        <v>24</v>
      </c>
      <c r="F126" s="2">
        <v>45534.474999999999</v>
      </c>
      <c r="G126" s="1">
        <v>4398712</v>
      </c>
      <c r="H126" s="1" t="s">
        <v>329</v>
      </c>
      <c r="I126" s="1" t="s">
        <v>190</v>
      </c>
      <c r="J126" s="2">
        <v>45538.478472222225</v>
      </c>
      <c r="K126" s="2">
        <v>45540.603472222225</v>
      </c>
      <c r="L126" s="1" t="s">
        <v>14</v>
      </c>
      <c r="M126" s="1" t="str">
        <f>_xlfn.XLOOKUP(I126,Parâmetros!A:A,Parâmetros!B:B,_xlfn.XLOOKUP(Q126,Parâmetros!F:F,Parâmetros!G:G,"NOVA MENSAGEM"))</f>
        <v>DADOS DO CARTÃO</v>
      </c>
      <c r="N126" s="1" t="str">
        <f>_xlfn.XLOOKUP(M126,Parâmetros!K:K,Parâmetros!L:L,"")</f>
        <v>TAG &lt;CARTAOVALIDADE&gt; NÃO ENVIADA</v>
      </c>
      <c r="O126" s="1" t="str">
        <f>_xlfn.XLOOKUP(M126,Parâmetros!B:B,Parâmetros!C:C,_xlfn.XLOOKUP(Base!M125,Parâmetros!G:G,Parâmetros!H:H))</f>
        <v>SISTEMA</v>
      </c>
      <c r="P126" s="1" t="str">
        <f>_xlfn.XLOOKUP(I126,Parâmetros!A:A,Parâmetros!D:D,_xlfn.XLOOKUP(Q126,Parâmetros!F:F,Parâmetros!I:I))</f>
        <v>SUPORTE OBT</v>
      </c>
      <c r="Q126" s="1" t="str">
        <f t="shared" si="3"/>
        <v>COLUNA I</v>
      </c>
    </row>
    <row r="127" spans="1:17" x14ac:dyDescent="0.25">
      <c r="A127" s="1" t="str">
        <f>_xlfn.XLOOKUP(D127,'Novo relatório'!B:B,'Novo relatório'!C:C,"RESOLVIDO")</f>
        <v>GOVER</v>
      </c>
      <c r="C127" t="str">
        <f t="shared" si="2"/>
        <v>PENDENTE</v>
      </c>
      <c r="D127" s="1">
        <v>2909265</v>
      </c>
      <c r="E127" s="1" t="s">
        <v>24</v>
      </c>
      <c r="F127" s="2">
        <v>45526.356249999997</v>
      </c>
      <c r="G127" s="1">
        <v>383530</v>
      </c>
      <c r="H127" s="1" t="s">
        <v>330</v>
      </c>
      <c r="I127" s="1" t="s">
        <v>190</v>
      </c>
      <c r="J127" s="2">
        <v>45538.563888888886</v>
      </c>
      <c r="K127" s="2">
        <v>45540.607638888891</v>
      </c>
      <c r="L127" s="1" t="s">
        <v>14</v>
      </c>
      <c r="M127" s="1" t="str">
        <f>_xlfn.XLOOKUP(I127,Parâmetros!A:A,Parâmetros!B:B,_xlfn.XLOOKUP(Q127,Parâmetros!F:F,Parâmetros!G:G,"NOVA MENSAGEM"))</f>
        <v>DADOS DO CARTÃO</v>
      </c>
      <c r="N127" s="1" t="str">
        <f>_xlfn.XLOOKUP(M127,Parâmetros!K:K,Parâmetros!L:L,"")</f>
        <v>TAG &lt;CARTAOVALIDADE&gt; NÃO ENVIADA</v>
      </c>
      <c r="O127" s="1" t="str">
        <f>_xlfn.XLOOKUP(M127,Parâmetros!B:B,Parâmetros!C:C,_xlfn.XLOOKUP(Base!M126,Parâmetros!G:G,Parâmetros!H:H))</f>
        <v>SISTEMA</v>
      </c>
      <c r="P127" s="1" t="str">
        <f>_xlfn.XLOOKUP(I127,Parâmetros!A:A,Parâmetros!D:D,_xlfn.XLOOKUP(Q127,Parâmetros!F:F,Parâmetros!I:I))</f>
        <v>SUPORTE OBT</v>
      </c>
      <c r="Q127" s="1" t="str">
        <f t="shared" si="3"/>
        <v>COLUNA I</v>
      </c>
    </row>
    <row r="128" spans="1:17" x14ac:dyDescent="0.25">
      <c r="A128" s="1" t="str">
        <f>_xlfn.XLOOKUP(D128,'Novo relatório'!B:B,'Novo relatório'!C:C,"RESOLVIDO")</f>
        <v>GOVER</v>
      </c>
      <c r="C128" t="str">
        <f t="shared" si="2"/>
        <v>PENDENTE</v>
      </c>
      <c r="D128" s="1">
        <v>2913737</v>
      </c>
      <c r="E128" s="1" t="s">
        <v>24</v>
      </c>
      <c r="F128" s="2">
        <v>45539.625694444447</v>
      </c>
      <c r="G128" s="1">
        <v>4401586</v>
      </c>
      <c r="H128" s="1" t="s">
        <v>331</v>
      </c>
      <c r="I128" s="1" t="s">
        <v>332</v>
      </c>
      <c r="J128" s="2">
        <v>45539.629166666666</v>
      </c>
      <c r="K128" s="2">
        <v>45540.603472222225</v>
      </c>
      <c r="L128" s="1" t="s">
        <v>14</v>
      </c>
      <c r="M128" s="1" t="str">
        <f>_xlfn.XLOOKUP(I128,Parâmetros!A:A,Parâmetros!B:B,_xlfn.XLOOKUP(Q128,Parâmetros!F:F,Parâmetros!G:G,"NOVA MENSAGEM"))</f>
        <v>TAG - ITEM VEÍCULO</v>
      </c>
      <c r="N128" s="1" t="str">
        <f>_xlfn.XLOOKUP(M128,Parâmetros!K:K,Parâmetros!L:L,"")</f>
        <v>TAGS DE DETALHAMENTO DO SERVIÇO NÃO ENVIADO NO XML</v>
      </c>
      <c r="O128" s="1" t="str">
        <f>_xlfn.XLOOKUP(M128,Parâmetros!B:B,Parâmetros!C:C,_xlfn.XLOOKUP(Base!M127,Parâmetros!G:G,Parâmetros!H:H))</f>
        <v>SISTEMA</v>
      </c>
      <c r="P128" s="1" t="str">
        <f>_xlfn.XLOOKUP(I128,Parâmetros!A:A,Parâmetros!D:D,_xlfn.XLOOKUP(Q128,Parâmetros!F:F,Parâmetros!I:I))</f>
        <v>SUPORTE OBT</v>
      </c>
      <c r="Q128" s="1">
        <f t="shared" si="3"/>
        <v>46</v>
      </c>
    </row>
    <row r="129" spans="1:17" x14ac:dyDescent="0.25">
      <c r="A129" s="1" t="str">
        <f>_xlfn.XLOOKUP(D129,'Novo relatório'!B:B,'Novo relatório'!C:C,"RESOLVIDO")</f>
        <v>GOVER</v>
      </c>
      <c r="C129" t="str">
        <f t="shared" si="2"/>
        <v>PENDENTE</v>
      </c>
      <c r="D129" s="1">
        <v>2914362</v>
      </c>
      <c r="E129" s="1" t="s">
        <v>24</v>
      </c>
      <c r="F129" s="2">
        <v>45537.434027777781</v>
      </c>
      <c r="G129" s="1">
        <v>4399504</v>
      </c>
      <c r="H129" s="1" t="s">
        <v>333</v>
      </c>
      <c r="I129" s="1" t="s">
        <v>190</v>
      </c>
      <c r="J129" s="2">
        <v>45539.746527777781</v>
      </c>
      <c r="K129" s="2">
        <v>45540.603472222225</v>
      </c>
      <c r="L129" s="1" t="s">
        <v>14</v>
      </c>
      <c r="M129" s="1" t="str">
        <f>_xlfn.XLOOKUP(I129,Parâmetros!A:A,Parâmetros!B:B,_xlfn.XLOOKUP(Q129,Parâmetros!F:F,Parâmetros!G:G,"NOVA MENSAGEM"))</f>
        <v>DADOS DO CARTÃO</v>
      </c>
      <c r="N129" s="1" t="str">
        <f>_xlfn.XLOOKUP(M129,Parâmetros!K:K,Parâmetros!L:L,"")</f>
        <v>TAG &lt;CARTAOVALIDADE&gt; NÃO ENVIADA</v>
      </c>
      <c r="O129" s="1" t="str">
        <f>_xlfn.XLOOKUP(M129,Parâmetros!B:B,Parâmetros!C:C,_xlfn.XLOOKUP(Base!M128,Parâmetros!G:G,Parâmetros!H:H))</f>
        <v>SISTEMA</v>
      </c>
      <c r="P129" s="1" t="str">
        <f>_xlfn.XLOOKUP(I129,Parâmetros!A:A,Parâmetros!D:D,_xlfn.XLOOKUP(Q129,Parâmetros!F:F,Parâmetros!I:I))</f>
        <v>SUPORTE OBT</v>
      </c>
      <c r="Q129" s="1" t="str">
        <f t="shared" si="3"/>
        <v>COLUNA I</v>
      </c>
    </row>
    <row r="130" spans="1:17" x14ac:dyDescent="0.25">
      <c r="A130" s="1" t="str">
        <f>_xlfn.XLOOKUP(D130,'Novo relatório'!B:B,'Novo relatório'!C:C,"RESOLVIDO")</f>
        <v>GOVER</v>
      </c>
      <c r="C130" t="str">
        <f t="shared" ref="C130:C193" si="4">IF(A130="RESOLVIDO","RESOLVIDO",IF(B130="","PENDENTE",IF(LEFT(B130,7)="CHAMADO","AGUARDANDO FORNECEDOR",IF(B130="CONTABILIZAR","CONTABILIZAR NO PORTAL"))))</f>
        <v>PENDENTE</v>
      </c>
      <c r="D130" s="1">
        <v>2919931</v>
      </c>
      <c r="E130" s="1" t="s">
        <v>24</v>
      </c>
      <c r="F130" s="2">
        <v>45530.372916666667</v>
      </c>
      <c r="G130" s="1">
        <v>4395564</v>
      </c>
      <c r="H130" s="1" t="s">
        <v>334</v>
      </c>
      <c r="I130" s="1" t="s">
        <v>190</v>
      </c>
      <c r="J130" s="2">
        <v>45541.640972222223</v>
      </c>
      <c r="K130" s="2">
        <v>45567.40625</v>
      </c>
      <c r="L130" s="1" t="s">
        <v>14</v>
      </c>
      <c r="M130" s="1" t="str">
        <f>_xlfn.XLOOKUP(I130,Parâmetros!A:A,Parâmetros!B:B,_xlfn.XLOOKUP(Q130,Parâmetros!F:F,Parâmetros!G:G,"NOVA MENSAGEM"))</f>
        <v>DADOS DO CARTÃO</v>
      </c>
      <c r="N130" s="1" t="str">
        <f>_xlfn.XLOOKUP(M130,Parâmetros!K:K,Parâmetros!L:L,"")</f>
        <v>TAG &lt;CARTAOVALIDADE&gt; NÃO ENVIADA</v>
      </c>
      <c r="O130" s="1" t="str">
        <f>_xlfn.XLOOKUP(M130,Parâmetros!B:B,Parâmetros!C:C,_xlfn.XLOOKUP(Base!M129,Parâmetros!G:G,Parâmetros!H:H))</f>
        <v>SISTEMA</v>
      </c>
      <c r="P130" s="1" t="str">
        <f>_xlfn.XLOOKUP(I130,Parâmetros!A:A,Parâmetros!D:D,_xlfn.XLOOKUP(Q130,Parâmetros!F:F,Parâmetros!I:I))</f>
        <v>SUPORTE OBT</v>
      </c>
      <c r="Q130" s="1" t="str">
        <f t="shared" ref="Q130:Q193" si="5">IFERROR(FIND("Não foi possível localizar o contrato do fornecedor",I130),IFERROR(FIND("veículo",I130),IFERROR(FIND("agagem",I130),IFERROR(FIND("error in XML document",I130),IFERROR(FIND("Não localizado cliente código",I130),IFERROR(FIND("lemontech",I130),IFERROR(FIND("&gt;Fornecedor com o",I130),IFERROR(FIND("INSERT",I130),IFERROR(FIND("com CNPJ",I130),IFERROR(FIND("Consultando Agente-&gt; O agente",I130),IFERROR(FIND("Não foi possível determinar a validade do cartão, favor verificar os dados do cartão",I130),"COLUNA I")))))))))))</f>
        <v>COLUNA I</v>
      </c>
    </row>
    <row r="131" spans="1:17" x14ac:dyDescent="0.25">
      <c r="A131" s="1" t="str">
        <f>_xlfn.XLOOKUP(D131,'Novo relatório'!B:B,'Novo relatório'!C:C,"RESOLVIDO")</f>
        <v>GOVER</v>
      </c>
      <c r="C131" t="str">
        <f t="shared" si="4"/>
        <v>PENDENTE</v>
      </c>
      <c r="D131" s="1">
        <v>2920396</v>
      </c>
      <c r="E131" s="1" t="s">
        <v>24</v>
      </c>
      <c r="F131" s="2">
        <v>45539.436805555553</v>
      </c>
      <c r="G131" s="1">
        <v>4401280</v>
      </c>
      <c r="H131" s="1" t="s">
        <v>335</v>
      </c>
      <c r="I131" s="1" t="s">
        <v>190</v>
      </c>
      <c r="J131" s="2">
        <v>45541.678472222222</v>
      </c>
      <c r="K131" s="2">
        <v>45545.609027777777</v>
      </c>
      <c r="L131" s="1" t="s">
        <v>14</v>
      </c>
      <c r="M131" s="1" t="str">
        <f>_xlfn.XLOOKUP(I131,Parâmetros!A:A,Parâmetros!B:B,_xlfn.XLOOKUP(Q131,Parâmetros!F:F,Parâmetros!G:G,"NOVA MENSAGEM"))</f>
        <v>DADOS DO CARTÃO</v>
      </c>
      <c r="N131" s="1" t="str">
        <f>_xlfn.XLOOKUP(M131,Parâmetros!K:K,Parâmetros!L:L,"")</f>
        <v>TAG &lt;CARTAOVALIDADE&gt; NÃO ENVIADA</v>
      </c>
      <c r="O131" s="1" t="str">
        <f>_xlfn.XLOOKUP(M131,Parâmetros!B:B,Parâmetros!C:C,_xlfn.XLOOKUP(Base!M130,Parâmetros!G:G,Parâmetros!H:H))</f>
        <v>SISTEMA</v>
      </c>
      <c r="P131" s="1" t="str">
        <f>_xlfn.XLOOKUP(I131,Parâmetros!A:A,Parâmetros!D:D,_xlfn.XLOOKUP(Q131,Parâmetros!F:F,Parâmetros!I:I))</f>
        <v>SUPORTE OBT</v>
      </c>
      <c r="Q131" s="1" t="str">
        <f t="shared" si="5"/>
        <v>COLUNA I</v>
      </c>
    </row>
    <row r="132" spans="1:17" x14ac:dyDescent="0.25">
      <c r="A132" s="1" t="str">
        <f>_xlfn.XLOOKUP(D132,'Novo relatório'!B:B,'Novo relatório'!C:C,"RESOLVIDO")</f>
        <v>RESOLVIDO</v>
      </c>
      <c r="C132" t="str">
        <f t="shared" si="4"/>
        <v>RESOLVIDO</v>
      </c>
      <c r="D132" s="1">
        <v>2923465</v>
      </c>
      <c r="E132" s="1" t="s">
        <v>12</v>
      </c>
      <c r="F132" s="2">
        <v>45534.704861111109</v>
      </c>
      <c r="G132" s="1">
        <v>10659</v>
      </c>
      <c r="H132" s="1">
        <v>10659</v>
      </c>
      <c r="I132" s="1" t="s">
        <v>336</v>
      </c>
      <c r="M132" s="1" t="str">
        <f>_xlfn.XLOOKUP(I132,Parâmetros!A:A,Parâmetros!B:B,_xlfn.XLOOKUP(Q132,Parâmetros!F:F,Parâmetros!G:G,"NOVA MENSAGEM"))</f>
        <v>ERRO DE SQL</v>
      </c>
      <c r="N132" s="1" t="str">
        <f>_xlfn.XLOOKUP(M132,Parâmetros!K:K,Parâmetros!L:L,"")</f>
        <v>ERRO NA IMPORTAÇÃO/MODIFICAÇÃO DAS INFOMAÇÕES</v>
      </c>
      <c r="O132" s="1" t="str">
        <f>_xlfn.XLOOKUP(M132,Parâmetros!B:B,Parâmetros!C:C,_xlfn.XLOOKUP(Base!M131,Parâmetros!G:G,Parâmetros!H:H))</f>
        <v>SISTEMA</v>
      </c>
      <c r="P132" s="1" t="str">
        <f>_xlfn.XLOOKUP(I132,Parâmetros!A:A,Parâmetros!D:D,_xlfn.XLOOKUP(Q132,Parâmetros!F:F,Parâmetros!I:I))</f>
        <v>SUPORTE BENNER</v>
      </c>
      <c r="Q132" s="1" t="str">
        <f t="shared" si="5"/>
        <v>COLUNA I</v>
      </c>
    </row>
    <row r="133" spans="1:17" x14ac:dyDescent="0.25">
      <c r="A133" s="1" t="str">
        <f>_xlfn.XLOOKUP(D133,'Novo relatório'!B:B,'Novo relatório'!C:C,"RESOLVIDO")</f>
        <v>GOVER</v>
      </c>
      <c r="C133" t="str">
        <f t="shared" si="4"/>
        <v>PENDENTE</v>
      </c>
      <c r="D133" s="1">
        <v>2924112</v>
      </c>
      <c r="E133" s="1" t="s">
        <v>24</v>
      </c>
      <c r="F133" s="2">
        <v>45544.632638888892</v>
      </c>
      <c r="G133" s="1">
        <v>4404323</v>
      </c>
      <c r="H133" s="1" t="s">
        <v>337</v>
      </c>
      <c r="I133" s="1" t="s">
        <v>338</v>
      </c>
      <c r="J133" s="2">
        <v>45544.640277777777</v>
      </c>
      <c r="K133" s="2">
        <v>45545.609027777777</v>
      </c>
      <c r="L133" s="1" t="s">
        <v>14</v>
      </c>
      <c r="M133" s="1" t="str">
        <f>_xlfn.XLOOKUP(I133,Parâmetros!A:A,Parâmetros!B:B,_xlfn.XLOOKUP(Q133,Parâmetros!F:F,Parâmetros!G:G,"NOVA MENSAGEM"))</f>
        <v>TAG - ITEM VEÍCULO</v>
      </c>
      <c r="N133" s="1" t="str">
        <f>_xlfn.XLOOKUP(M133,Parâmetros!K:K,Parâmetros!L:L,"")</f>
        <v>TAGS DE DETALHAMENTO DO SERVIÇO NÃO ENVIADO NO XML</v>
      </c>
      <c r="O133" s="1" t="str">
        <f>_xlfn.XLOOKUP(M133,Parâmetros!B:B,Parâmetros!C:C,_xlfn.XLOOKUP(Base!M132,Parâmetros!G:G,Parâmetros!H:H))</f>
        <v>SISTEMA</v>
      </c>
      <c r="P133" s="1" t="str">
        <f>_xlfn.XLOOKUP(I133,Parâmetros!A:A,Parâmetros!D:D,_xlfn.XLOOKUP(Q133,Parâmetros!F:F,Parâmetros!I:I))</f>
        <v>SUPORTE OBT</v>
      </c>
      <c r="Q133" s="1">
        <f t="shared" si="5"/>
        <v>46</v>
      </c>
    </row>
    <row r="134" spans="1:17" x14ac:dyDescent="0.25">
      <c r="A134" s="1" t="str">
        <f>_xlfn.XLOOKUP(D134,'Novo relatório'!B:B,'Novo relatório'!C:C,"RESOLVIDO")</f>
        <v>GOVER</v>
      </c>
      <c r="C134" t="str">
        <f t="shared" si="4"/>
        <v>PENDENTE</v>
      </c>
      <c r="D134" s="1">
        <v>2926702</v>
      </c>
      <c r="E134" s="1" t="s">
        <v>24</v>
      </c>
      <c r="F134" s="2">
        <v>45540.454861111109</v>
      </c>
      <c r="G134" s="1">
        <v>4402198</v>
      </c>
      <c r="H134" s="1" t="s">
        <v>339</v>
      </c>
      <c r="I134" s="1" t="s">
        <v>190</v>
      </c>
      <c r="J134" s="2">
        <v>45545.398611111108</v>
      </c>
      <c r="K134" s="2">
        <v>45545.609027777777</v>
      </c>
      <c r="L134" s="1" t="s">
        <v>14</v>
      </c>
      <c r="M134" s="1" t="str">
        <f>_xlfn.XLOOKUP(I134,Parâmetros!A:A,Parâmetros!B:B,_xlfn.XLOOKUP(Q134,Parâmetros!F:F,Parâmetros!G:G,"NOVA MENSAGEM"))</f>
        <v>DADOS DO CARTÃO</v>
      </c>
      <c r="N134" s="1" t="str">
        <f>_xlfn.XLOOKUP(M134,Parâmetros!K:K,Parâmetros!L:L,"")</f>
        <v>TAG &lt;CARTAOVALIDADE&gt; NÃO ENVIADA</v>
      </c>
      <c r="O134" s="1" t="str">
        <f>_xlfn.XLOOKUP(M134,Parâmetros!B:B,Parâmetros!C:C,_xlfn.XLOOKUP(Base!M133,Parâmetros!G:G,Parâmetros!H:H))</f>
        <v>SISTEMA</v>
      </c>
      <c r="P134" s="1" t="str">
        <f>_xlfn.XLOOKUP(I134,Parâmetros!A:A,Parâmetros!D:D,_xlfn.XLOOKUP(Q134,Parâmetros!F:F,Parâmetros!I:I))</f>
        <v>SUPORTE OBT</v>
      </c>
      <c r="Q134" s="1" t="str">
        <f t="shared" si="5"/>
        <v>COLUNA I</v>
      </c>
    </row>
    <row r="135" spans="1:17" x14ac:dyDescent="0.25">
      <c r="A135" s="1" t="str">
        <f>_xlfn.XLOOKUP(D135,'Novo relatório'!B:B,'Novo relatório'!C:C,"RESOLVIDO")</f>
        <v>GOVER</v>
      </c>
      <c r="C135" t="str">
        <f t="shared" si="4"/>
        <v>PENDENTE</v>
      </c>
      <c r="D135" s="1">
        <v>2926708</v>
      </c>
      <c r="E135" s="1" t="s">
        <v>24</v>
      </c>
      <c r="F135" s="2">
        <v>45544.680555555555</v>
      </c>
      <c r="G135" s="1">
        <v>384375</v>
      </c>
      <c r="H135" s="1" t="s">
        <v>340</v>
      </c>
      <c r="I135" s="1" t="s">
        <v>190</v>
      </c>
      <c r="J135" s="2">
        <v>45545.401388888888</v>
      </c>
      <c r="K135" s="2">
        <v>45545.613888888889</v>
      </c>
      <c r="L135" s="1" t="s">
        <v>14</v>
      </c>
      <c r="M135" s="1" t="str">
        <f>_xlfn.XLOOKUP(I135,Parâmetros!A:A,Parâmetros!B:B,_xlfn.XLOOKUP(Q135,Parâmetros!F:F,Parâmetros!G:G,"NOVA MENSAGEM"))</f>
        <v>DADOS DO CARTÃO</v>
      </c>
      <c r="N135" s="1" t="str">
        <f>_xlfn.XLOOKUP(M135,Parâmetros!K:K,Parâmetros!L:L,"")</f>
        <v>TAG &lt;CARTAOVALIDADE&gt; NÃO ENVIADA</v>
      </c>
      <c r="O135" s="1" t="str">
        <f>_xlfn.XLOOKUP(M135,Parâmetros!B:B,Parâmetros!C:C,_xlfn.XLOOKUP(Base!M134,Parâmetros!G:G,Parâmetros!H:H))</f>
        <v>SISTEMA</v>
      </c>
      <c r="P135" s="1" t="str">
        <f>_xlfn.XLOOKUP(I135,Parâmetros!A:A,Parâmetros!D:D,_xlfn.XLOOKUP(Q135,Parâmetros!F:F,Parâmetros!I:I))</f>
        <v>SUPORTE OBT</v>
      </c>
      <c r="Q135" s="1" t="str">
        <f t="shared" si="5"/>
        <v>COLUNA I</v>
      </c>
    </row>
    <row r="136" spans="1:17" x14ac:dyDescent="0.25">
      <c r="A136" s="1" t="str">
        <f>_xlfn.XLOOKUP(D136,'Novo relatório'!B:B,'Novo relatório'!C:C,"RESOLVIDO")</f>
        <v>GOVER</v>
      </c>
      <c r="C136" t="str">
        <f t="shared" si="4"/>
        <v>PENDENTE</v>
      </c>
      <c r="D136" s="1">
        <v>2927653</v>
      </c>
      <c r="E136" s="1" t="s">
        <v>24</v>
      </c>
      <c r="F136" s="2">
        <v>45537.635416666664</v>
      </c>
      <c r="G136" s="1">
        <v>4399891</v>
      </c>
      <c r="H136" s="1" t="s">
        <v>341</v>
      </c>
      <c r="I136" s="1" t="s">
        <v>190</v>
      </c>
      <c r="J136" s="2">
        <v>45545.65902777778</v>
      </c>
      <c r="K136" s="2">
        <v>45567.40625</v>
      </c>
      <c r="L136" s="1" t="s">
        <v>14</v>
      </c>
      <c r="M136" s="1" t="str">
        <f>_xlfn.XLOOKUP(I136,Parâmetros!A:A,Parâmetros!B:B,_xlfn.XLOOKUP(Q136,Parâmetros!F:F,Parâmetros!G:G,"NOVA MENSAGEM"))</f>
        <v>DADOS DO CARTÃO</v>
      </c>
      <c r="N136" s="1" t="str">
        <f>_xlfn.XLOOKUP(M136,Parâmetros!K:K,Parâmetros!L:L,"")</f>
        <v>TAG &lt;CARTAOVALIDADE&gt; NÃO ENVIADA</v>
      </c>
      <c r="O136" s="1" t="str">
        <f>_xlfn.XLOOKUP(M136,Parâmetros!B:B,Parâmetros!C:C,_xlfn.XLOOKUP(Base!M135,Parâmetros!G:G,Parâmetros!H:H))</f>
        <v>SISTEMA</v>
      </c>
      <c r="P136" s="1" t="str">
        <f>_xlfn.XLOOKUP(I136,Parâmetros!A:A,Parâmetros!D:D,_xlfn.XLOOKUP(Q136,Parâmetros!F:F,Parâmetros!I:I))</f>
        <v>SUPORTE OBT</v>
      </c>
      <c r="Q136" s="1" t="str">
        <f t="shared" si="5"/>
        <v>COLUNA I</v>
      </c>
    </row>
    <row r="137" spans="1:17" x14ac:dyDescent="0.25">
      <c r="A137" s="1" t="str">
        <f>_xlfn.XLOOKUP(D137,'Novo relatório'!B:B,'Novo relatório'!C:C,"RESOLVIDO")</f>
        <v>GOVER</v>
      </c>
      <c r="C137" t="str">
        <f t="shared" si="4"/>
        <v>PENDENTE</v>
      </c>
      <c r="D137" s="1">
        <v>2929717</v>
      </c>
      <c r="E137" s="1" t="s">
        <v>24</v>
      </c>
      <c r="F137" s="2">
        <v>45546.352777777778</v>
      </c>
      <c r="G137" s="1">
        <v>4405567</v>
      </c>
      <c r="H137" s="1" t="s">
        <v>343</v>
      </c>
      <c r="I137" s="1" t="s">
        <v>344</v>
      </c>
      <c r="J137" s="2">
        <v>45546.365277777775</v>
      </c>
      <c r="K137" s="2">
        <v>45567.40625</v>
      </c>
      <c r="L137" s="1" t="s">
        <v>14</v>
      </c>
      <c r="M137" s="1" t="str">
        <f>_xlfn.XLOOKUP(I137,Parâmetros!A:A,Parâmetros!B:B,_xlfn.XLOOKUP(Q137,Parâmetros!F:F,Parâmetros!G:G,"NOVA MENSAGEM"))</f>
        <v>TAG - ITEM VEÍCULO</v>
      </c>
      <c r="N137" s="1" t="str">
        <f>_xlfn.XLOOKUP(M137,Parâmetros!K:K,Parâmetros!L:L,"")</f>
        <v>TAGS DE DETALHAMENTO DO SERVIÇO NÃO ENVIADO NO XML</v>
      </c>
      <c r="O137" s="1" t="str">
        <f>_xlfn.XLOOKUP(M137,Parâmetros!B:B,Parâmetros!C:C,_xlfn.XLOOKUP(Base!M136,Parâmetros!G:G,Parâmetros!H:H))</f>
        <v>SISTEMA</v>
      </c>
      <c r="P137" s="1" t="str">
        <f>_xlfn.XLOOKUP(I137,Parâmetros!A:A,Parâmetros!D:D,_xlfn.XLOOKUP(Q137,Parâmetros!F:F,Parâmetros!I:I))</f>
        <v>SUPORTE OBT</v>
      </c>
      <c r="Q137" s="1">
        <f t="shared" si="5"/>
        <v>46</v>
      </c>
    </row>
    <row r="138" spans="1:17" x14ac:dyDescent="0.25">
      <c r="A138" s="1" t="str">
        <f>_xlfn.XLOOKUP(D138,'Novo relatório'!B:B,'Novo relatório'!C:C,"RESOLVIDO")</f>
        <v>GOVER</v>
      </c>
      <c r="C138" t="str">
        <f t="shared" si="4"/>
        <v>PENDENTE</v>
      </c>
      <c r="D138" s="1">
        <v>2937689</v>
      </c>
      <c r="E138" s="1" t="s">
        <v>24</v>
      </c>
      <c r="F138" s="2">
        <v>45548.654861111114</v>
      </c>
      <c r="G138" s="1">
        <v>384683</v>
      </c>
      <c r="H138" s="1" t="s">
        <v>346</v>
      </c>
      <c r="I138" s="1" t="s">
        <v>190</v>
      </c>
      <c r="J138" s="2">
        <v>45548.76666666667</v>
      </c>
      <c r="K138" s="2">
        <v>45552.659722222219</v>
      </c>
      <c r="L138" s="1" t="s">
        <v>14</v>
      </c>
      <c r="M138" s="1" t="str">
        <f>_xlfn.XLOOKUP(I138,Parâmetros!A:A,Parâmetros!B:B,_xlfn.XLOOKUP(Q138,Parâmetros!F:F,Parâmetros!G:G,"NOVA MENSAGEM"))</f>
        <v>DADOS DO CARTÃO</v>
      </c>
      <c r="N138" s="1" t="str">
        <f>_xlfn.XLOOKUP(M138,Parâmetros!K:K,Parâmetros!L:L,"")</f>
        <v>TAG &lt;CARTAOVALIDADE&gt; NÃO ENVIADA</v>
      </c>
      <c r="O138" s="1" t="str">
        <f>_xlfn.XLOOKUP(M138,Parâmetros!B:B,Parâmetros!C:C,_xlfn.XLOOKUP(Base!M137,Parâmetros!G:G,Parâmetros!H:H))</f>
        <v>SISTEMA</v>
      </c>
      <c r="P138" s="1" t="str">
        <f>_xlfn.XLOOKUP(I138,Parâmetros!A:A,Parâmetros!D:D,_xlfn.XLOOKUP(Q138,Parâmetros!F:F,Parâmetros!I:I))</f>
        <v>SUPORTE OBT</v>
      </c>
      <c r="Q138" s="1" t="str">
        <f t="shared" si="5"/>
        <v>COLUNA I</v>
      </c>
    </row>
    <row r="139" spans="1:17" x14ac:dyDescent="0.25">
      <c r="A139" s="1" t="str">
        <f>_xlfn.XLOOKUP(D139,'Novo relatório'!B:B,'Novo relatório'!C:C,"RESOLVIDO")</f>
        <v>GOVER</v>
      </c>
      <c r="C139" t="str">
        <f t="shared" si="4"/>
        <v>PENDENTE</v>
      </c>
      <c r="D139" s="1">
        <v>2939407</v>
      </c>
      <c r="E139" s="1" t="s">
        <v>24</v>
      </c>
      <c r="F139" s="2">
        <v>45551.481249999997</v>
      </c>
      <c r="G139" s="1">
        <v>4408103</v>
      </c>
      <c r="H139" s="1" t="s">
        <v>347</v>
      </c>
      <c r="I139" s="1" t="s">
        <v>348</v>
      </c>
      <c r="J139" s="2">
        <v>45551.488888888889</v>
      </c>
      <c r="K139" s="2">
        <v>45567.40625</v>
      </c>
      <c r="L139" s="1" t="s">
        <v>14</v>
      </c>
      <c r="M139" s="1" t="str">
        <f>_xlfn.XLOOKUP(I139,Parâmetros!A:A,Parâmetros!B:B,_xlfn.XLOOKUP(Q139,Parâmetros!F:F,Parâmetros!G:G,"NOVA MENSAGEM"))</f>
        <v>TAG - ITEM VEÍCULO</v>
      </c>
      <c r="N139" s="1" t="str">
        <f>_xlfn.XLOOKUP(M139,Parâmetros!K:K,Parâmetros!L:L,"")</f>
        <v>TAGS DE DETALHAMENTO DO SERVIÇO NÃO ENVIADO NO XML</v>
      </c>
      <c r="O139" s="1" t="str">
        <f>_xlfn.XLOOKUP(M139,Parâmetros!B:B,Parâmetros!C:C,_xlfn.XLOOKUP(Base!M138,Parâmetros!G:G,Parâmetros!H:H))</f>
        <v>SISTEMA</v>
      </c>
      <c r="P139" s="1" t="str">
        <f>_xlfn.XLOOKUP(I139,Parâmetros!A:A,Parâmetros!D:D,_xlfn.XLOOKUP(Q139,Parâmetros!F:F,Parâmetros!I:I))</f>
        <v>SUPORTE OBT</v>
      </c>
      <c r="Q139" s="1">
        <f t="shared" si="5"/>
        <v>46</v>
      </c>
    </row>
    <row r="140" spans="1:17" x14ac:dyDescent="0.25">
      <c r="A140" s="1" t="str">
        <f>_xlfn.XLOOKUP(D140,'Novo relatório'!B:B,'Novo relatório'!C:C,"RESOLVIDO")</f>
        <v>GOVER</v>
      </c>
      <c r="C140" t="str">
        <f t="shared" si="4"/>
        <v>PENDENTE</v>
      </c>
      <c r="D140" s="1">
        <v>2939653</v>
      </c>
      <c r="E140" s="1" t="s">
        <v>24</v>
      </c>
      <c r="F140" s="2">
        <v>45551.371527777781</v>
      </c>
      <c r="G140" s="1">
        <v>4407869</v>
      </c>
      <c r="H140" s="1" t="s">
        <v>349</v>
      </c>
      <c r="I140" s="1" t="s">
        <v>190</v>
      </c>
      <c r="J140" s="2">
        <v>45551.509722222225</v>
      </c>
      <c r="K140" s="2">
        <v>45567.40625</v>
      </c>
      <c r="L140" s="1" t="s">
        <v>14</v>
      </c>
      <c r="M140" s="1" t="str">
        <f>_xlfn.XLOOKUP(I140,Parâmetros!A:A,Parâmetros!B:B,_xlfn.XLOOKUP(Q140,Parâmetros!F:F,Parâmetros!G:G,"NOVA MENSAGEM"))</f>
        <v>DADOS DO CARTÃO</v>
      </c>
      <c r="N140" s="1" t="str">
        <f>_xlfn.XLOOKUP(M140,Parâmetros!K:K,Parâmetros!L:L,"")</f>
        <v>TAG &lt;CARTAOVALIDADE&gt; NÃO ENVIADA</v>
      </c>
      <c r="O140" s="1" t="str">
        <f>_xlfn.XLOOKUP(M140,Parâmetros!B:B,Parâmetros!C:C,_xlfn.XLOOKUP(Base!M139,Parâmetros!G:G,Parâmetros!H:H))</f>
        <v>SISTEMA</v>
      </c>
      <c r="P140" s="1" t="str">
        <f>_xlfn.XLOOKUP(I140,Parâmetros!A:A,Parâmetros!D:D,_xlfn.XLOOKUP(Q140,Parâmetros!F:F,Parâmetros!I:I))</f>
        <v>SUPORTE OBT</v>
      </c>
      <c r="Q140" s="1" t="str">
        <f t="shared" si="5"/>
        <v>COLUNA I</v>
      </c>
    </row>
    <row r="141" spans="1:17" x14ac:dyDescent="0.25">
      <c r="A141" s="1" t="str">
        <f>_xlfn.XLOOKUP(D141,'Novo relatório'!B:B,'Novo relatório'!C:C,"RESOLVIDO")</f>
        <v>GOVER</v>
      </c>
      <c r="C141" t="str">
        <f t="shared" si="4"/>
        <v>PENDENTE</v>
      </c>
      <c r="D141" s="1">
        <v>2942981</v>
      </c>
      <c r="E141" s="1" t="s">
        <v>24</v>
      </c>
      <c r="F141" s="2">
        <v>45552.510416666664</v>
      </c>
      <c r="G141" s="1">
        <v>4408983</v>
      </c>
      <c r="H141" s="1" t="s">
        <v>350</v>
      </c>
      <c r="I141" s="1" t="s">
        <v>351</v>
      </c>
      <c r="J141" s="2">
        <v>45552.517361111109</v>
      </c>
      <c r="K141" s="2">
        <v>45567.40625</v>
      </c>
      <c r="L141" s="1" t="s">
        <v>14</v>
      </c>
      <c r="M141" s="1" t="str">
        <f>_xlfn.XLOOKUP(I141,Parâmetros!A:A,Parâmetros!B:B,_xlfn.XLOOKUP(Q141,Parâmetros!F:F,Parâmetros!G:G,"NOVA MENSAGEM"))</f>
        <v>TAG - ITEM VEÍCULO</v>
      </c>
      <c r="N141" s="1" t="str">
        <f>_xlfn.XLOOKUP(M141,Parâmetros!K:K,Parâmetros!L:L,"")</f>
        <v>TAGS DE DETALHAMENTO DO SERVIÇO NÃO ENVIADO NO XML</v>
      </c>
      <c r="O141" s="1" t="str">
        <f>_xlfn.XLOOKUP(M141,Parâmetros!B:B,Parâmetros!C:C,_xlfn.XLOOKUP(Base!M140,Parâmetros!G:G,Parâmetros!H:H))</f>
        <v>SISTEMA</v>
      </c>
      <c r="P141" s="1" t="str">
        <f>_xlfn.XLOOKUP(I141,Parâmetros!A:A,Parâmetros!D:D,_xlfn.XLOOKUP(Q141,Parâmetros!F:F,Parâmetros!I:I))</f>
        <v>SUPORTE OBT</v>
      </c>
      <c r="Q141" s="1">
        <f t="shared" si="5"/>
        <v>46</v>
      </c>
    </row>
    <row r="142" spans="1:17" x14ac:dyDescent="0.25">
      <c r="A142" s="1" t="str">
        <f>_xlfn.XLOOKUP(D142,'Novo relatório'!B:B,'Novo relatório'!C:C,"RESOLVIDO")</f>
        <v>RESOLVIDO</v>
      </c>
      <c r="C142" t="str">
        <f t="shared" si="4"/>
        <v>RESOLVIDO</v>
      </c>
      <c r="D142" s="1">
        <v>2947315</v>
      </c>
      <c r="E142" s="1" t="s">
        <v>12</v>
      </c>
      <c r="F142" s="2">
        <v>45553.74722222222</v>
      </c>
      <c r="G142" s="1">
        <v>33760</v>
      </c>
      <c r="H142" s="1">
        <v>33760</v>
      </c>
      <c r="I142" s="1" t="s">
        <v>113</v>
      </c>
      <c r="J142" s="2">
        <v>45553.776388888888</v>
      </c>
      <c r="K142" s="2">
        <v>45555.554861111108</v>
      </c>
      <c r="L142" s="1" t="s">
        <v>14</v>
      </c>
      <c r="M142" s="1" t="str">
        <f>_xlfn.XLOOKUP(I142,Parâmetros!A:A,Parâmetros!B:B,_xlfn.XLOOKUP(Q142,Parâmetros!F:F,Parâmetros!G:G,"NOVA MENSAGEM"))</f>
        <v>FORMATO DE TEXTO</v>
      </c>
      <c r="N142" s="1" t="str">
        <f>_xlfn.XLOOKUP(M142,Parâmetros!K:K,Parâmetros!L:L,"")</f>
        <v>TEXTO FORA DO PADRÃO ACEITO NO CAMPO</v>
      </c>
      <c r="O142" s="1" t="str">
        <f>_xlfn.XLOOKUP(M142,Parâmetros!B:B,Parâmetros!C:C,_xlfn.XLOOKUP(Base!M141,Parâmetros!G:G,Parâmetros!H:H))</f>
        <v>INDEFINIDO</v>
      </c>
      <c r="P142" s="1" t="str">
        <f>_xlfn.XLOOKUP(I142,Parâmetros!A:A,Parâmetros!D:D,_xlfn.XLOOKUP(Q142,Parâmetros!F:F,Parâmetros!I:I))</f>
        <v>SUPORTE OBT</v>
      </c>
      <c r="Q142" s="1" t="str">
        <f t="shared" si="5"/>
        <v>COLUNA I</v>
      </c>
    </row>
    <row r="143" spans="1:17" x14ac:dyDescent="0.25">
      <c r="A143" s="1" t="str">
        <f>_xlfn.XLOOKUP(D143,'Novo relatório'!B:B,'Novo relatório'!C:C,"RESOLVIDO")</f>
        <v>GOVER</v>
      </c>
      <c r="C143" t="str">
        <f t="shared" si="4"/>
        <v>PENDENTE</v>
      </c>
      <c r="D143" s="1">
        <v>2954718</v>
      </c>
      <c r="E143" s="1" t="s">
        <v>24</v>
      </c>
      <c r="F143" s="2">
        <v>45558.455555555556</v>
      </c>
      <c r="G143" s="1">
        <v>4411773</v>
      </c>
      <c r="H143" s="1" t="s">
        <v>354</v>
      </c>
      <c r="I143" s="1" t="s">
        <v>355</v>
      </c>
      <c r="J143" s="2">
        <v>45558.461111111108</v>
      </c>
      <c r="K143" s="2">
        <v>45567.40625</v>
      </c>
      <c r="L143" s="1" t="s">
        <v>14</v>
      </c>
      <c r="M143" s="1" t="str">
        <f>_xlfn.XLOOKUP(I143,Parâmetros!A:A,Parâmetros!B:B,_xlfn.XLOOKUP(Q143,Parâmetros!F:F,Parâmetros!G:G,"NOVA MENSAGEM"))</f>
        <v>TAG - ITEM VEÍCULO</v>
      </c>
      <c r="N143" s="1" t="str">
        <f>_xlfn.XLOOKUP(M143,Parâmetros!K:K,Parâmetros!L:L,"")</f>
        <v>TAGS DE DETALHAMENTO DO SERVIÇO NÃO ENVIADO NO XML</v>
      </c>
      <c r="O143" s="1" t="e">
        <f>_xlfn.XLOOKUP(M143,Parâmetros!B:B,Parâmetros!C:C,_xlfn.XLOOKUP(Base!M142,Parâmetros!G:G,Parâmetros!H:H))</f>
        <v>#N/A</v>
      </c>
      <c r="P143" s="1" t="str">
        <f>_xlfn.XLOOKUP(I143,Parâmetros!A:A,Parâmetros!D:D,_xlfn.XLOOKUP(Q143,Parâmetros!F:F,Parâmetros!I:I))</f>
        <v>SUPORTE OBT</v>
      </c>
      <c r="Q143" s="1">
        <f t="shared" si="5"/>
        <v>46</v>
      </c>
    </row>
    <row r="144" spans="1:17" x14ac:dyDescent="0.25">
      <c r="A144" s="1" t="str">
        <f>_xlfn.XLOOKUP(D144,'Novo relatório'!B:B,'Novo relatório'!C:C,"RESOLVIDO")</f>
        <v>GOVER</v>
      </c>
      <c r="C144" t="str">
        <f t="shared" si="4"/>
        <v>PENDENTE</v>
      </c>
      <c r="D144" s="1">
        <v>2958286</v>
      </c>
      <c r="E144" s="1" t="s">
        <v>24</v>
      </c>
      <c r="F144" s="2">
        <v>45559.568749999999</v>
      </c>
      <c r="G144" s="1">
        <v>4412872</v>
      </c>
      <c r="H144" s="1" t="s">
        <v>356</v>
      </c>
      <c r="I144" s="1" t="s">
        <v>357</v>
      </c>
      <c r="J144" s="2">
        <v>45559.572222222225</v>
      </c>
      <c r="K144" s="2">
        <v>45567.40625</v>
      </c>
      <c r="L144" s="1" t="s">
        <v>14</v>
      </c>
      <c r="M144" s="1" t="str">
        <f>_xlfn.XLOOKUP(I144,Parâmetros!A:A,Parâmetros!B:B,_xlfn.XLOOKUP(Q144,Parâmetros!F:F,Parâmetros!G:G,"NOVA MENSAGEM"))</f>
        <v>TAG - ITEM VEÍCULO</v>
      </c>
      <c r="N144" s="1" t="str">
        <f>_xlfn.XLOOKUP(M144,Parâmetros!K:K,Parâmetros!L:L,"")</f>
        <v>TAGS DE DETALHAMENTO DO SERVIÇO NÃO ENVIADO NO XML</v>
      </c>
      <c r="O144" s="1" t="str">
        <f>_xlfn.XLOOKUP(M144,Parâmetros!B:B,Parâmetros!C:C,_xlfn.XLOOKUP(Base!M143,Parâmetros!G:G,Parâmetros!H:H))</f>
        <v>SISTEMA</v>
      </c>
      <c r="P144" s="1" t="str">
        <f>_xlfn.XLOOKUP(I144,Parâmetros!A:A,Parâmetros!D:D,_xlfn.XLOOKUP(Q144,Parâmetros!F:F,Parâmetros!I:I))</f>
        <v>SUPORTE OBT</v>
      </c>
      <c r="Q144" s="1">
        <f t="shared" si="5"/>
        <v>46</v>
      </c>
    </row>
    <row r="145" spans="1:17" x14ac:dyDescent="0.25">
      <c r="A145" s="1" t="str">
        <f>_xlfn.XLOOKUP(D145,'Novo relatório'!B:B,'Novo relatório'!C:C,"RESOLVIDO")</f>
        <v>GOVER</v>
      </c>
      <c r="C145" t="str">
        <f t="shared" si="4"/>
        <v>PENDENTE</v>
      </c>
      <c r="D145" s="1">
        <v>2967547</v>
      </c>
      <c r="E145" s="1" t="s">
        <v>24</v>
      </c>
      <c r="F145" s="2">
        <v>45558.48333333333</v>
      </c>
      <c r="G145" s="1">
        <v>4411855</v>
      </c>
      <c r="H145" s="1" t="s">
        <v>360</v>
      </c>
      <c r="I145" s="1" t="s">
        <v>361</v>
      </c>
      <c r="J145" s="2">
        <v>45562.613888888889</v>
      </c>
      <c r="L145" s="1" t="s">
        <v>14</v>
      </c>
      <c r="M145" s="1" t="str">
        <f>_xlfn.XLOOKUP(I145,Parâmetros!A:A,Parâmetros!B:B,_xlfn.XLOOKUP(Q145,Parâmetros!F:F,Parâmetros!G:G,"NOVA MENSAGEM"))</f>
        <v>TAG - ITEM VEÍCULO</v>
      </c>
      <c r="N145" s="1" t="str">
        <f>_xlfn.XLOOKUP(M145,Parâmetros!K:K,Parâmetros!L:L,"")</f>
        <v>TAGS DE DETALHAMENTO DO SERVIÇO NÃO ENVIADO NO XML</v>
      </c>
      <c r="O145" s="1" t="str">
        <f>_xlfn.XLOOKUP(M145,Parâmetros!B:B,Parâmetros!C:C,_xlfn.XLOOKUP(Base!M144,Parâmetros!G:G,Parâmetros!H:H))</f>
        <v>SISTEMA</v>
      </c>
      <c r="P145" s="1" t="str">
        <f>_xlfn.XLOOKUP(I145,Parâmetros!A:A,Parâmetros!D:D,_xlfn.XLOOKUP(Q145,Parâmetros!F:F,Parâmetros!I:I))</f>
        <v>SUPORTE OBT</v>
      </c>
      <c r="Q145" s="1">
        <f t="shared" si="5"/>
        <v>46</v>
      </c>
    </row>
    <row r="146" spans="1:17" x14ac:dyDescent="0.25">
      <c r="A146" s="1" t="str">
        <f>_xlfn.XLOOKUP(D146,'Novo relatório'!B:B,'Novo relatório'!C:C,"RESOLVIDO")</f>
        <v>GOVER</v>
      </c>
      <c r="C146" t="str">
        <f t="shared" si="4"/>
        <v>PENDENTE</v>
      </c>
      <c r="D146" s="1">
        <v>2969137</v>
      </c>
      <c r="E146" s="1" t="s">
        <v>24</v>
      </c>
      <c r="F146" s="2">
        <v>45562.852777777778</v>
      </c>
      <c r="G146" s="1">
        <v>4415452</v>
      </c>
      <c r="H146" s="1" t="s">
        <v>362</v>
      </c>
      <c r="I146" s="1" t="s">
        <v>363</v>
      </c>
      <c r="J146" s="2">
        <v>45562.856944444444</v>
      </c>
      <c r="K146" s="2">
        <v>45567.40625</v>
      </c>
      <c r="L146" s="1" t="s">
        <v>14</v>
      </c>
      <c r="M146" s="1" t="str">
        <f>_xlfn.XLOOKUP(I146,Parâmetros!A:A,Parâmetros!B:B,_xlfn.XLOOKUP(Q146,Parâmetros!F:F,Parâmetros!G:G,"NOVA MENSAGEM"))</f>
        <v>TAG - ITEM VEÍCULO</v>
      </c>
      <c r="N146" s="1" t="str">
        <f>_xlfn.XLOOKUP(M146,Parâmetros!K:K,Parâmetros!L:L,"")</f>
        <v>TAGS DE DETALHAMENTO DO SERVIÇO NÃO ENVIADO NO XML</v>
      </c>
      <c r="O146" s="1" t="str">
        <f>_xlfn.XLOOKUP(M146,Parâmetros!B:B,Parâmetros!C:C,_xlfn.XLOOKUP(Base!M145,Parâmetros!G:G,Parâmetros!H:H))</f>
        <v>SISTEMA</v>
      </c>
      <c r="P146" s="1" t="str">
        <f>_xlfn.XLOOKUP(I146,Parâmetros!A:A,Parâmetros!D:D,_xlfn.XLOOKUP(Q146,Parâmetros!F:F,Parâmetros!I:I))</f>
        <v>SUPORTE OBT</v>
      </c>
      <c r="Q146" s="1">
        <f t="shared" si="5"/>
        <v>46</v>
      </c>
    </row>
    <row r="147" spans="1:17" x14ac:dyDescent="0.25">
      <c r="A147" s="1" t="str">
        <f>_xlfn.XLOOKUP(D147,'Novo relatório'!B:B,'Novo relatório'!C:C,"RESOLVIDO")</f>
        <v>GOVER</v>
      </c>
      <c r="C147" t="str">
        <f t="shared" si="4"/>
        <v>PENDENTE</v>
      </c>
      <c r="D147" s="1">
        <v>2970042</v>
      </c>
      <c r="E147" s="1" t="s">
        <v>24</v>
      </c>
      <c r="F147" s="2">
        <v>45565.354166666664</v>
      </c>
      <c r="G147" s="1">
        <v>4415559</v>
      </c>
      <c r="H147" s="1" t="s">
        <v>364</v>
      </c>
      <c r="I147" s="1" t="s">
        <v>365</v>
      </c>
      <c r="J147" s="2">
        <v>45565.356944444444</v>
      </c>
      <c r="K147" s="2">
        <v>45567.40625</v>
      </c>
      <c r="L147" s="1" t="s">
        <v>14</v>
      </c>
      <c r="M147" s="1" t="str">
        <f>_xlfn.XLOOKUP(I147,Parâmetros!A:A,Parâmetros!B:B,_xlfn.XLOOKUP(Q147,Parâmetros!F:F,Parâmetros!G:G,"NOVA MENSAGEM"))</f>
        <v>TAG - ITEM VEÍCULO</v>
      </c>
      <c r="N147" s="1" t="str">
        <f>_xlfn.XLOOKUP(M147,Parâmetros!K:K,Parâmetros!L:L,"")</f>
        <v>TAGS DE DETALHAMENTO DO SERVIÇO NÃO ENVIADO NO XML</v>
      </c>
      <c r="O147" s="1" t="str">
        <f>_xlfn.XLOOKUP(M147,Parâmetros!B:B,Parâmetros!C:C,_xlfn.XLOOKUP(Base!M146,Parâmetros!G:G,Parâmetros!H:H))</f>
        <v>SISTEMA</v>
      </c>
      <c r="P147" s="1" t="str">
        <f>_xlfn.XLOOKUP(I147,Parâmetros!A:A,Parâmetros!D:D,_xlfn.XLOOKUP(Q147,Parâmetros!F:F,Parâmetros!I:I))</f>
        <v>SUPORTE OBT</v>
      </c>
      <c r="Q147" s="1">
        <f t="shared" si="5"/>
        <v>46</v>
      </c>
    </row>
    <row r="148" spans="1:17" x14ac:dyDescent="0.25">
      <c r="A148" s="1" t="str">
        <f>_xlfn.XLOOKUP(D148,'Novo relatório'!B:B,'Novo relatório'!C:C,"RESOLVIDO")</f>
        <v>GOVER</v>
      </c>
      <c r="C148" t="str">
        <f t="shared" si="4"/>
        <v>PENDENTE</v>
      </c>
      <c r="D148" s="1">
        <v>2970341</v>
      </c>
      <c r="E148" s="1" t="s">
        <v>24</v>
      </c>
      <c r="F148" s="2">
        <v>45565.433333333334</v>
      </c>
      <c r="G148" s="1">
        <v>4415740</v>
      </c>
      <c r="H148" s="1" t="s">
        <v>368</v>
      </c>
      <c r="I148" s="1" t="s">
        <v>369</v>
      </c>
      <c r="J148" s="2">
        <v>45565.44027777778</v>
      </c>
      <c r="K148" s="2">
        <v>45567.40625</v>
      </c>
      <c r="L148" s="1" t="s">
        <v>14</v>
      </c>
      <c r="M148" s="1" t="str">
        <f>_xlfn.XLOOKUP(I148,Parâmetros!A:A,Parâmetros!B:B,_xlfn.XLOOKUP(Q148,Parâmetros!F:F,Parâmetros!G:G,"NOVA MENSAGEM"))</f>
        <v>TAG - ITEM VEÍCULO</v>
      </c>
      <c r="N148" s="1" t="str">
        <f>_xlfn.XLOOKUP(M148,Parâmetros!K:K,Parâmetros!L:L,"")</f>
        <v>TAGS DE DETALHAMENTO DO SERVIÇO NÃO ENVIADO NO XML</v>
      </c>
      <c r="O148" s="1" t="str">
        <f>_xlfn.XLOOKUP(M148,Parâmetros!B:B,Parâmetros!C:C,_xlfn.XLOOKUP(Base!M147,Parâmetros!G:G,Parâmetros!H:H))</f>
        <v>SISTEMA</v>
      </c>
      <c r="P148" s="1" t="str">
        <f>_xlfn.XLOOKUP(I148,Parâmetros!A:A,Parâmetros!D:D,_xlfn.XLOOKUP(Q148,Parâmetros!F:F,Parâmetros!I:I))</f>
        <v>SUPORTE OBT</v>
      </c>
      <c r="Q148" s="1">
        <f t="shared" si="5"/>
        <v>46</v>
      </c>
    </row>
    <row r="149" spans="1:17" x14ac:dyDescent="0.25">
      <c r="A149" s="1" t="str">
        <f>_xlfn.XLOOKUP(D149,'Novo relatório'!B:B,'Novo relatório'!C:C,"RESOLVIDO")</f>
        <v>GOVER</v>
      </c>
      <c r="C149" t="str">
        <f t="shared" si="4"/>
        <v>PENDENTE</v>
      </c>
      <c r="D149" s="1">
        <v>2970651</v>
      </c>
      <c r="E149" s="1" t="s">
        <v>24</v>
      </c>
      <c r="F149" s="2">
        <v>45560.47152777778</v>
      </c>
      <c r="G149" s="1">
        <v>385252</v>
      </c>
      <c r="H149" s="1" t="s">
        <v>370</v>
      </c>
      <c r="I149" s="1" t="s">
        <v>190</v>
      </c>
      <c r="J149" s="2">
        <v>45565.480555555558</v>
      </c>
      <c r="K149" s="2">
        <v>45565.702777777777</v>
      </c>
      <c r="L149" s="1" t="s">
        <v>14</v>
      </c>
      <c r="M149" s="1" t="str">
        <f>_xlfn.XLOOKUP(I149,Parâmetros!A:A,Parâmetros!B:B,_xlfn.XLOOKUP(Q149,Parâmetros!F:F,Parâmetros!G:G,"NOVA MENSAGEM"))</f>
        <v>DADOS DO CARTÃO</v>
      </c>
      <c r="N149" s="1" t="str">
        <f>_xlfn.XLOOKUP(M149,Parâmetros!K:K,Parâmetros!L:L,"")</f>
        <v>TAG &lt;CARTAOVALIDADE&gt; NÃO ENVIADA</v>
      </c>
      <c r="O149" s="1" t="str">
        <f>_xlfn.XLOOKUP(M149,Parâmetros!B:B,Parâmetros!C:C,_xlfn.XLOOKUP(Base!M148,Parâmetros!G:G,Parâmetros!H:H))</f>
        <v>SISTEMA</v>
      </c>
      <c r="P149" s="1" t="str">
        <f>_xlfn.XLOOKUP(I149,Parâmetros!A:A,Parâmetros!D:D,_xlfn.XLOOKUP(Q149,Parâmetros!F:F,Parâmetros!I:I))</f>
        <v>SUPORTE OBT</v>
      </c>
      <c r="Q149" s="1" t="str">
        <f t="shared" si="5"/>
        <v>COLUNA I</v>
      </c>
    </row>
    <row r="150" spans="1:17" x14ac:dyDescent="0.25">
      <c r="A150" s="1" t="str">
        <f>_xlfn.XLOOKUP(D150,'Novo relatório'!B:B,'Novo relatório'!C:C,"RESOLVIDO")</f>
        <v>GOVER</v>
      </c>
      <c r="C150" t="str">
        <f t="shared" si="4"/>
        <v>PENDENTE</v>
      </c>
      <c r="D150" s="1">
        <v>2971256</v>
      </c>
      <c r="E150" s="1" t="s">
        <v>24</v>
      </c>
      <c r="F150" s="2">
        <v>45565.656944444447</v>
      </c>
      <c r="G150" s="1">
        <v>4416311</v>
      </c>
      <c r="H150" s="1" t="s">
        <v>371</v>
      </c>
      <c r="I150" s="1" t="s">
        <v>240</v>
      </c>
      <c r="J150" s="2">
        <v>45565.663194444445</v>
      </c>
      <c r="K150" s="2">
        <v>45567.40625</v>
      </c>
      <c r="L150" s="1" t="s">
        <v>14</v>
      </c>
      <c r="M150" s="1" t="str">
        <f>_xlfn.XLOOKUP(I150,Parâmetros!A:A,Parâmetros!B:B,_xlfn.XLOOKUP(Q150,Parâmetros!F:F,Parâmetros!G:G,"NOVA MENSAGEM"))</f>
        <v>CENTRO DE CUSTO</v>
      </c>
      <c r="N150" s="1" t="str">
        <f>_xlfn.XLOOKUP(M150,Parâmetros!K:K,Parâmetros!L:L,"")</f>
        <v>CENTRO DE CUSTO NÃO INFORMADO NA RESERVA</v>
      </c>
      <c r="O150" s="1" t="str">
        <f>_xlfn.XLOOKUP(M150,Parâmetros!B:B,Parâmetros!C:C,_xlfn.XLOOKUP(Base!M149,Parâmetros!G:G,Parâmetros!H:H))</f>
        <v>QUALIDADE DOS DADOS</v>
      </c>
      <c r="P150" s="1" t="str">
        <f>_xlfn.XLOOKUP(I150,Parâmetros!A:A,Parâmetros!D:D,_xlfn.XLOOKUP(Q150,Parâmetros!F:F,Parâmetros!I:I))</f>
        <v>SUPORTE OBT</v>
      </c>
      <c r="Q150" s="1" t="str">
        <f t="shared" si="5"/>
        <v>COLUNA I</v>
      </c>
    </row>
    <row r="151" spans="1:17" x14ac:dyDescent="0.25">
      <c r="A151" s="1" t="str">
        <f>_xlfn.XLOOKUP(D151,'Novo relatório'!B:B,'Novo relatório'!C:C,"RESOLVIDO")</f>
        <v>GOVER</v>
      </c>
      <c r="C151" t="str">
        <f t="shared" si="4"/>
        <v>PENDENTE</v>
      </c>
      <c r="D151" s="1">
        <v>2971359</v>
      </c>
      <c r="E151" s="1" t="s">
        <v>24</v>
      </c>
      <c r="F151" s="2">
        <v>45565.664583333331</v>
      </c>
      <c r="G151" s="1">
        <v>4416347</v>
      </c>
      <c r="H151" s="1" t="s">
        <v>371</v>
      </c>
      <c r="I151" s="1" t="s">
        <v>240</v>
      </c>
      <c r="J151" s="2">
        <v>45565.67083333333</v>
      </c>
      <c r="K151" s="2">
        <v>45567.40625</v>
      </c>
      <c r="L151" s="1" t="s">
        <v>14</v>
      </c>
      <c r="M151" s="1" t="str">
        <f>_xlfn.XLOOKUP(I151,Parâmetros!A:A,Parâmetros!B:B,_xlfn.XLOOKUP(Q151,Parâmetros!F:F,Parâmetros!G:G,"NOVA MENSAGEM"))</f>
        <v>CENTRO DE CUSTO</v>
      </c>
      <c r="N151" s="1" t="str">
        <f>_xlfn.XLOOKUP(M151,Parâmetros!K:K,Parâmetros!L:L,"")</f>
        <v>CENTRO DE CUSTO NÃO INFORMADO NA RESERVA</v>
      </c>
      <c r="O151" s="1" t="str">
        <f>_xlfn.XLOOKUP(M151,Parâmetros!B:B,Parâmetros!C:C,_xlfn.XLOOKUP(Base!M150,Parâmetros!G:G,Parâmetros!H:H))</f>
        <v>QUALIDADE DOS DADOS</v>
      </c>
      <c r="P151" s="1" t="str">
        <f>_xlfn.XLOOKUP(I151,Parâmetros!A:A,Parâmetros!D:D,_xlfn.XLOOKUP(Q151,Parâmetros!F:F,Parâmetros!I:I))</f>
        <v>SUPORTE OBT</v>
      </c>
      <c r="Q151" s="1" t="str">
        <f t="shared" si="5"/>
        <v>COLUNA I</v>
      </c>
    </row>
    <row r="152" spans="1:17" x14ac:dyDescent="0.25">
      <c r="A152" s="1" t="str">
        <f>_xlfn.XLOOKUP(D152,'Novo relatório'!B:B,'Novo relatório'!C:C,"RESOLVIDO")</f>
        <v>GOVER</v>
      </c>
      <c r="C152" t="str">
        <f t="shared" si="4"/>
        <v>PENDENTE</v>
      </c>
      <c r="D152" s="1">
        <v>2971394</v>
      </c>
      <c r="E152" s="1" t="s">
        <v>24</v>
      </c>
      <c r="F152" s="2">
        <v>45565.67291666667</v>
      </c>
      <c r="G152" s="1">
        <v>4416374</v>
      </c>
      <c r="H152" s="1" t="s">
        <v>372</v>
      </c>
      <c r="I152" s="1" t="s">
        <v>373</v>
      </c>
      <c r="J152" s="2">
        <v>45565.677083333336</v>
      </c>
      <c r="K152" s="2">
        <v>45567.40625</v>
      </c>
      <c r="L152" s="1" t="s">
        <v>14</v>
      </c>
      <c r="M152" s="1" t="str">
        <f>_xlfn.XLOOKUP(I152,Parâmetros!A:A,Parâmetros!B:B,_xlfn.XLOOKUP(Q152,Parâmetros!F:F,Parâmetros!G:G,"NOVA MENSAGEM"))</f>
        <v>TAG - ITEM VEÍCULO</v>
      </c>
      <c r="N152" s="1" t="str">
        <f>_xlfn.XLOOKUP(M152,Parâmetros!K:K,Parâmetros!L:L,"")</f>
        <v>TAGS DE DETALHAMENTO DO SERVIÇO NÃO ENVIADO NO XML</v>
      </c>
      <c r="O152" s="1" t="e">
        <f>_xlfn.XLOOKUP(M152,Parâmetros!B:B,Parâmetros!C:C,_xlfn.XLOOKUP(Base!M151,Parâmetros!G:G,Parâmetros!H:H))</f>
        <v>#N/A</v>
      </c>
      <c r="P152" s="1" t="str">
        <f>_xlfn.XLOOKUP(I152,Parâmetros!A:A,Parâmetros!D:D,_xlfn.XLOOKUP(Q152,Parâmetros!F:F,Parâmetros!I:I))</f>
        <v>SUPORTE OBT</v>
      </c>
      <c r="Q152" s="1">
        <f t="shared" si="5"/>
        <v>46</v>
      </c>
    </row>
    <row r="153" spans="1:17" x14ac:dyDescent="0.25">
      <c r="A153" s="1" t="str">
        <f>_xlfn.XLOOKUP(D153,'Novo relatório'!B:B,'Novo relatório'!C:C,"RESOLVIDO")</f>
        <v>RESOLVIDO</v>
      </c>
      <c r="C153" t="str">
        <f t="shared" si="4"/>
        <v>RESOLVIDO</v>
      </c>
      <c r="D153" s="1">
        <v>2973909</v>
      </c>
      <c r="E153" s="1" t="s">
        <v>12</v>
      </c>
      <c r="F153" s="2">
        <v>45566.392361111109</v>
      </c>
      <c r="G153" s="1">
        <v>35203</v>
      </c>
      <c r="H153" s="1">
        <v>35203</v>
      </c>
      <c r="I153" s="1" t="s">
        <v>113</v>
      </c>
      <c r="J153" s="2">
        <v>45566.45416666667</v>
      </c>
      <c r="K153" s="2">
        <v>45567.211111111108</v>
      </c>
      <c r="L153" s="1" t="s">
        <v>14</v>
      </c>
      <c r="M153" s="1" t="str">
        <f>_xlfn.XLOOKUP(I153,Parâmetros!A:A,Parâmetros!B:B,_xlfn.XLOOKUP(Q153,Parâmetros!F:F,Parâmetros!G:G,"NOVA MENSAGEM"))</f>
        <v>FORMATO DE TEXTO</v>
      </c>
      <c r="N153" s="1" t="str">
        <f>_xlfn.XLOOKUP(M153,Parâmetros!K:K,Parâmetros!L:L,"")</f>
        <v>TEXTO FORA DO PADRÃO ACEITO NO CAMPO</v>
      </c>
      <c r="O153" s="1" t="str">
        <f>_xlfn.XLOOKUP(M153,Parâmetros!B:B,Parâmetros!C:C,_xlfn.XLOOKUP(Base!M152,Parâmetros!G:G,Parâmetros!H:H))</f>
        <v>INDEFINIDO</v>
      </c>
      <c r="P153" s="1" t="str">
        <f>_xlfn.XLOOKUP(I153,Parâmetros!A:A,Parâmetros!D:D,_xlfn.XLOOKUP(Q153,Parâmetros!F:F,Parâmetros!I:I))</f>
        <v>SUPORTE OBT</v>
      </c>
      <c r="Q153" s="1" t="str">
        <f t="shared" si="5"/>
        <v>COLUNA I</v>
      </c>
    </row>
    <row r="154" spans="1:17" x14ac:dyDescent="0.25">
      <c r="A154" s="1" t="str">
        <f>_xlfn.XLOOKUP(D154,'Novo relatório'!B:B,'Novo relatório'!C:C,"RESOLVIDO")</f>
        <v>RESOLVIDO</v>
      </c>
      <c r="C154" t="str">
        <f t="shared" si="4"/>
        <v>RESOLVIDO</v>
      </c>
      <c r="D154" s="1">
        <v>2975673</v>
      </c>
      <c r="E154" s="1" t="s">
        <v>12</v>
      </c>
      <c r="F154" s="2">
        <v>45566.632638888892</v>
      </c>
      <c r="G154" s="1">
        <v>375</v>
      </c>
      <c r="H154" s="1">
        <v>375</v>
      </c>
      <c r="I154" s="1" t="s">
        <v>374</v>
      </c>
      <c r="J154" s="2">
        <v>45566.761111111111</v>
      </c>
      <c r="K154" s="2">
        <v>45567.211111111108</v>
      </c>
      <c r="L154" s="1" t="s">
        <v>14</v>
      </c>
      <c r="M154" s="1" t="str">
        <f>_xlfn.XLOOKUP(I154,Parâmetros!A:A,Parâmetros!B:B,_xlfn.XLOOKUP(Q154,Parâmetros!F:F,Parâmetros!G:G,"NOVA MENSAGEM"))</f>
        <v>FORMATO DE TEXTO</v>
      </c>
      <c r="N154" s="1" t="str">
        <f>_xlfn.XLOOKUP(M154,Parâmetros!K:K,Parâmetros!L:L,"")</f>
        <v>TEXTO FORA DO PADRÃO ACEITO NO CAMPO</v>
      </c>
      <c r="O154" s="1" t="str">
        <f>_xlfn.XLOOKUP(M154,Parâmetros!B:B,Parâmetros!C:C,_xlfn.XLOOKUP(Base!M153,Parâmetros!G:G,Parâmetros!H:H))</f>
        <v>INDEFINIDO</v>
      </c>
      <c r="P154" s="1" t="str">
        <f>_xlfn.XLOOKUP(I154,Parâmetros!A:A,Parâmetros!D:D,_xlfn.XLOOKUP(Q154,Parâmetros!F:F,Parâmetros!I:I))</f>
        <v>SUPORTE OBT</v>
      </c>
      <c r="Q154" s="1" t="str">
        <f t="shared" si="5"/>
        <v>COLUNA I</v>
      </c>
    </row>
    <row r="155" spans="1:17" x14ac:dyDescent="0.25">
      <c r="A155" s="1" t="str">
        <f>_xlfn.XLOOKUP(D155,'Novo relatório'!B:B,'Novo relatório'!C:C,"RESOLVIDO")</f>
        <v>RESOLVIDO</v>
      </c>
      <c r="C155" t="str">
        <f t="shared" si="4"/>
        <v>RESOLVIDO</v>
      </c>
      <c r="D155" s="1">
        <v>2976614</v>
      </c>
      <c r="E155" s="1" t="s">
        <v>12</v>
      </c>
      <c r="F155" s="2">
        <v>45566.760416666664</v>
      </c>
      <c r="G155" s="1">
        <v>35254</v>
      </c>
      <c r="H155" s="1">
        <v>35254</v>
      </c>
      <c r="I155" s="1" t="s">
        <v>113</v>
      </c>
      <c r="J155" s="2">
        <v>45566.958333333336</v>
      </c>
      <c r="K155" s="2">
        <v>45567.210416666669</v>
      </c>
      <c r="L155" s="1" t="s">
        <v>14</v>
      </c>
      <c r="M155" s="1" t="str">
        <f>_xlfn.XLOOKUP(I155,Parâmetros!A:A,Parâmetros!B:B,_xlfn.XLOOKUP(Q155,Parâmetros!F:F,Parâmetros!G:G,"NOVA MENSAGEM"))</f>
        <v>FORMATO DE TEXTO</v>
      </c>
      <c r="N155" s="1" t="str">
        <f>_xlfn.XLOOKUP(M155,Parâmetros!K:K,Parâmetros!L:L,"")</f>
        <v>TEXTO FORA DO PADRÃO ACEITO NO CAMPO</v>
      </c>
      <c r="O155" s="1" t="str">
        <f>_xlfn.XLOOKUP(M155,Parâmetros!B:B,Parâmetros!C:C,_xlfn.XLOOKUP(Base!M154,Parâmetros!G:G,Parâmetros!H:H))</f>
        <v>INDEFINIDO</v>
      </c>
      <c r="P155" s="1" t="str">
        <f>_xlfn.XLOOKUP(I155,Parâmetros!A:A,Parâmetros!D:D,_xlfn.XLOOKUP(Q155,Parâmetros!F:F,Parâmetros!I:I))</f>
        <v>SUPORTE OBT</v>
      </c>
      <c r="Q155" s="1" t="str">
        <f t="shared" si="5"/>
        <v>COLUNA I</v>
      </c>
    </row>
    <row r="156" spans="1:17" x14ac:dyDescent="0.25">
      <c r="A156" s="1" t="str">
        <f>_xlfn.XLOOKUP(D156,'Novo relatório'!B:B,'Novo relatório'!C:C,"RESOLVIDO")</f>
        <v>RESOLVIDO</v>
      </c>
      <c r="C156" t="str">
        <f t="shared" si="4"/>
        <v>RESOLVIDO</v>
      </c>
      <c r="D156" s="1">
        <v>2976615</v>
      </c>
      <c r="E156" s="1" t="s">
        <v>12</v>
      </c>
      <c r="F156" s="2">
        <v>45566.762499999997</v>
      </c>
      <c r="G156" s="1">
        <v>35250</v>
      </c>
      <c r="H156" s="1">
        <v>35250</v>
      </c>
      <c r="I156" s="1" t="s">
        <v>113</v>
      </c>
      <c r="J156" s="2">
        <v>45566.958333333336</v>
      </c>
      <c r="K156" s="2">
        <v>45567.211111111108</v>
      </c>
      <c r="L156" s="1" t="s">
        <v>14</v>
      </c>
      <c r="M156" s="1" t="str">
        <f>_xlfn.XLOOKUP(I156,Parâmetros!A:A,Parâmetros!B:B,_xlfn.XLOOKUP(Q156,Parâmetros!F:F,Parâmetros!G:G,"NOVA MENSAGEM"))</f>
        <v>FORMATO DE TEXTO</v>
      </c>
      <c r="N156" s="1" t="str">
        <f>_xlfn.XLOOKUP(M156,Parâmetros!K:K,Parâmetros!L:L,"")</f>
        <v>TEXTO FORA DO PADRÃO ACEITO NO CAMPO</v>
      </c>
      <c r="O156" s="1" t="str">
        <f>_xlfn.XLOOKUP(M156,Parâmetros!B:B,Parâmetros!C:C,_xlfn.XLOOKUP(Base!M155,Parâmetros!G:G,Parâmetros!H:H))</f>
        <v>INDEFINIDO</v>
      </c>
      <c r="P156" s="1" t="str">
        <f>_xlfn.XLOOKUP(I156,Parâmetros!A:A,Parâmetros!D:D,_xlfn.XLOOKUP(Q156,Parâmetros!F:F,Parâmetros!I:I))</f>
        <v>SUPORTE OBT</v>
      </c>
      <c r="Q156" s="1" t="str">
        <f t="shared" si="5"/>
        <v>COLUNA I</v>
      </c>
    </row>
    <row r="157" spans="1:17" x14ac:dyDescent="0.25">
      <c r="A157" s="1" t="str">
        <f>_xlfn.XLOOKUP(D157,'Novo relatório'!B:B,'Novo relatório'!C:C,"RESOLVIDO")</f>
        <v>RESOLVIDO</v>
      </c>
      <c r="C157" t="str">
        <f t="shared" si="4"/>
        <v>RESOLVIDO</v>
      </c>
      <c r="D157" s="1">
        <v>2978675</v>
      </c>
      <c r="E157" s="1" t="s">
        <v>12</v>
      </c>
      <c r="F157" s="2">
        <v>45567.463194444441</v>
      </c>
      <c r="G157" s="1">
        <v>35252</v>
      </c>
      <c r="H157" s="1">
        <v>35252</v>
      </c>
      <c r="I157" s="1" t="s">
        <v>113</v>
      </c>
      <c r="J157" s="2">
        <v>45567.728472222225</v>
      </c>
      <c r="K157" s="2">
        <v>45570.757638888892</v>
      </c>
      <c r="L157" s="1" t="s">
        <v>14</v>
      </c>
      <c r="M157" s="1" t="str">
        <f>_xlfn.XLOOKUP(I157,Parâmetros!A:A,Parâmetros!B:B,_xlfn.XLOOKUP(Q157,Parâmetros!F:F,Parâmetros!G:G,"NOVA MENSAGEM"))</f>
        <v>FORMATO DE TEXTO</v>
      </c>
      <c r="N157" s="1" t="str">
        <f>_xlfn.XLOOKUP(M157,Parâmetros!K:K,Parâmetros!L:L,"")</f>
        <v>TEXTO FORA DO PADRÃO ACEITO NO CAMPO</v>
      </c>
      <c r="O157" s="1" t="str">
        <f>_xlfn.XLOOKUP(M157,Parâmetros!B:B,Parâmetros!C:C,_xlfn.XLOOKUP(Base!M156,Parâmetros!G:G,Parâmetros!H:H))</f>
        <v>INDEFINIDO</v>
      </c>
      <c r="P157" s="1" t="str">
        <f>_xlfn.XLOOKUP(I157,Parâmetros!A:A,Parâmetros!D:D,_xlfn.XLOOKUP(Q157,Parâmetros!F:F,Parâmetros!I:I))</f>
        <v>SUPORTE OBT</v>
      </c>
      <c r="Q157" s="1" t="str">
        <f t="shared" si="5"/>
        <v>COLUNA I</v>
      </c>
    </row>
    <row r="158" spans="1:17" x14ac:dyDescent="0.25">
      <c r="A158" s="1" t="str">
        <f>_xlfn.XLOOKUP(D158,'Novo relatório'!B:B,'Novo relatório'!C:C,"RESOLVIDO")</f>
        <v>GOVER</v>
      </c>
      <c r="C158" t="str">
        <f t="shared" si="4"/>
        <v>PENDENTE</v>
      </c>
      <c r="D158" s="1">
        <v>2980421</v>
      </c>
      <c r="E158" s="1" t="s">
        <v>24</v>
      </c>
      <c r="F158" s="2">
        <v>45561.006944444445</v>
      </c>
      <c r="G158" s="1">
        <v>385296</v>
      </c>
      <c r="H158" s="1" t="s">
        <v>376</v>
      </c>
      <c r="I158" s="1" t="s">
        <v>190</v>
      </c>
      <c r="J158" s="2">
        <v>45568.418055555558</v>
      </c>
      <c r="K158" s="2">
        <v>45589.40347222222</v>
      </c>
      <c r="L158" s="1" t="s">
        <v>14</v>
      </c>
      <c r="M158" s="1" t="str">
        <f>_xlfn.XLOOKUP(I158,Parâmetros!A:A,Parâmetros!B:B,_xlfn.XLOOKUP(Q158,Parâmetros!F:F,Parâmetros!G:G,"NOVA MENSAGEM"))</f>
        <v>DADOS DO CARTÃO</v>
      </c>
      <c r="N158" s="1" t="str">
        <f>_xlfn.XLOOKUP(M158,Parâmetros!K:K,Parâmetros!L:L,"")</f>
        <v>TAG &lt;CARTAOVALIDADE&gt; NÃO ENVIADA</v>
      </c>
      <c r="O158" s="1" t="str">
        <f>_xlfn.XLOOKUP(M158,Parâmetros!B:B,Parâmetros!C:C,_xlfn.XLOOKUP(Base!M157,Parâmetros!G:G,Parâmetros!H:H))</f>
        <v>SISTEMA</v>
      </c>
      <c r="P158" s="1" t="str">
        <f>_xlfn.XLOOKUP(I158,Parâmetros!A:A,Parâmetros!D:D,_xlfn.XLOOKUP(Q158,Parâmetros!F:F,Parâmetros!I:I))</f>
        <v>SUPORTE OBT</v>
      </c>
      <c r="Q158" s="1" t="str">
        <f t="shared" si="5"/>
        <v>COLUNA I</v>
      </c>
    </row>
    <row r="159" spans="1:17" x14ac:dyDescent="0.25">
      <c r="A159" s="1" t="str">
        <f>_xlfn.XLOOKUP(D159,'Novo relatório'!B:B,'Novo relatório'!C:C,"RESOLVIDO")</f>
        <v>GOVER</v>
      </c>
      <c r="C159" t="str">
        <f t="shared" si="4"/>
        <v>PENDENTE</v>
      </c>
      <c r="D159" s="1">
        <v>2984284</v>
      </c>
      <c r="E159" s="1" t="s">
        <v>24</v>
      </c>
      <c r="F159" s="2">
        <v>45569.59652777778</v>
      </c>
      <c r="G159" s="1">
        <v>4419875</v>
      </c>
      <c r="H159" s="1" t="s">
        <v>377</v>
      </c>
      <c r="I159" s="1" t="s">
        <v>378</v>
      </c>
      <c r="J159" s="2">
        <v>45569.600694444445</v>
      </c>
      <c r="K159" s="2">
        <v>45589.404861111114</v>
      </c>
      <c r="L159" s="1" t="s">
        <v>14</v>
      </c>
      <c r="M159" s="1" t="str">
        <f>_xlfn.XLOOKUP(I159,Parâmetros!A:A,Parâmetros!B:B,_xlfn.XLOOKUP(Q159,Parâmetros!F:F,Parâmetros!G:G,"NOVA MENSAGEM"))</f>
        <v>TAG - ITEM VEÍCULO</v>
      </c>
      <c r="N159" s="1" t="str">
        <f>_xlfn.XLOOKUP(M159,Parâmetros!K:K,Parâmetros!L:L,"")</f>
        <v>TAGS DE DETALHAMENTO DO SERVIÇO NÃO ENVIADO NO XML</v>
      </c>
      <c r="O159" s="1" t="str">
        <f>_xlfn.XLOOKUP(M159,Parâmetros!B:B,Parâmetros!C:C,_xlfn.XLOOKUP(Base!M158,Parâmetros!G:G,Parâmetros!H:H))</f>
        <v>SISTEMA</v>
      </c>
      <c r="P159" s="1" t="str">
        <f>_xlfn.XLOOKUP(I159,Parâmetros!A:A,Parâmetros!D:D,_xlfn.XLOOKUP(Q159,Parâmetros!F:F,Parâmetros!I:I))</f>
        <v>SUPORTE OBT</v>
      </c>
      <c r="Q159" s="1">
        <f t="shared" si="5"/>
        <v>46</v>
      </c>
    </row>
    <row r="160" spans="1:17" x14ac:dyDescent="0.25">
      <c r="A160" s="1" t="str">
        <f>_xlfn.XLOOKUP(D160,'Novo relatório'!B:B,'Novo relatório'!C:C,"RESOLVIDO")</f>
        <v>GOVER</v>
      </c>
      <c r="C160" t="str">
        <f t="shared" si="4"/>
        <v>PENDENTE</v>
      </c>
      <c r="D160" s="1">
        <v>2984465</v>
      </c>
      <c r="E160" s="1" t="s">
        <v>24</v>
      </c>
      <c r="F160" s="2">
        <v>45569.643055555556</v>
      </c>
      <c r="G160" s="1">
        <v>4419968</v>
      </c>
      <c r="H160" s="1" t="s">
        <v>379</v>
      </c>
      <c r="I160" s="1" t="s">
        <v>380</v>
      </c>
      <c r="J160" s="2">
        <v>45569.649305555555</v>
      </c>
      <c r="K160" s="2">
        <v>45589.404861111114</v>
      </c>
      <c r="L160" s="1" t="s">
        <v>14</v>
      </c>
      <c r="M160" s="1" t="str">
        <f>_xlfn.XLOOKUP(I160,Parâmetros!A:A,Parâmetros!B:B,_xlfn.XLOOKUP(Q160,Parâmetros!F:F,Parâmetros!G:G,"NOVA MENSAGEM"))</f>
        <v>TAG - ITEM VEÍCULO</v>
      </c>
      <c r="N160" s="1" t="str">
        <f>_xlfn.XLOOKUP(M160,Parâmetros!K:K,Parâmetros!L:L,"")</f>
        <v>TAGS DE DETALHAMENTO DO SERVIÇO NÃO ENVIADO NO XML</v>
      </c>
      <c r="O160" s="1" t="str">
        <f>_xlfn.XLOOKUP(M160,Parâmetros!B:B,Parâmetros!C:C,_xlfn.XLOOKUP(Base!M159,Parâmetros!G:G,Parâmetros!H:H))</f>
        <v>SISTEMA</v>
      </c>
      <c r="P160" s="1" t="str">
        <f>_xlfn.XLOOKUP(I160,Parâmetros!A:A,Parâmetros!D:D,_xlfn.XLOOKUP(Q160,Parâmetros!F:F,Parâmetros!I:I))</f>
        <v>SUPORTE OBT</v>
      </c>
      <c r="Q160" s="1">
        <f t="shared" si="5"/>
        <v>46</v>
      </c>
    </row>
    <row r="161" spans="1:17" x14ac:dyDescent="0.25">
      <c r="A161" s="1" t="str">
        <f>_xlfn.XLOOKUP(D161,'Novo relatório'!B:B,'Novo relatório'!C:C,"RESOLVIDO")</f>
        <v>GOVER</v>
      </c>
      <c r="C161" t="str">
        <f t="shared" si="4"/>
        <v>PENDENTE</v>
      </c>
      <c r="D161" s="1">
        <v>2992269</v>
      </c>
      <c r="E161" s="1" t="s">
        <v>24</v>
      </c>
      <c r="F161" s="2">
        <v>45573.597222222219</v>
      </c>
      <c r="G161" s="1">
        <v>4421909</v>
      </c>
      <c r="H161" s="1" t="s">
        <v>382</v>
      </c>
      <c r="I161" s="1" t="s">
        <v>383</v>
      </c>
      <c r="J161" s="2">
        <v>45573.767361111109</v>
      </c>
      <c r="K161" s="2">
        <v>45589.404861111114</v>
      </c>
      <c r="L161" s="1" t="s">
        <v>14</v>
      </c>
      <c r="M161" s="1" t="str">
        <f>_xlfn.XLOOKUP(I161,Parâmetros!A:A,Parâmetros!B:B,_xlfn.XLOOKUP(Q161,Parâmetros!F:F,Parâmetros!G:G,"NOVA MENSAGEM"))</f>
        <v>TAG - ITEM VEÍCULO</v>
      </c>
      <c r="N161" s="1" t="str">
        <f>_xlfn.XLOOKUP(M161,Parâmetros!K:K,Parâmetros!L:L,"")</f>
        <v>TAGS DE DETALHAMENTO DO SERVIÇO NÃO ENVIADO NO XML</v>
      </c>
      <c r="O161" s="1" t="str">
        <f>_xlfn.XLOOKUP(M161,Parâmetros!B:B,Parâmetros!C:C,_xlfn.XLOOKUP(Base!M160,Parâmetros!G:G,Parâmetros!H:H))</f>
        <v>SISTEMA</v>
      </c>
      <c r="P161" s="1" t="str">
        <f>_xlfn.XLOOKUP(I161,Parâmetros!A:A,Parâmetros!D:D,_xlfn.XLOOKUP(Q161,Parâmetros!F:F,Parâmetros!I:I))</f>
        <v>SUPORTE OBT</v>
      </c>
      <c r="Q161" s="1">
        <f t="shared" si="5"/>
        <v>46</v>
      </c>
    </row>
    <row r="162" spans="1:17" x14ac:dyDescent="0.25">
      <c r="A162" s="1" t="str">
        <f>_xlfn.XLOOKUP(D162,'Novo relatório'!B:B,'Novo relatório'!C:C,"RESOLVIDO")</f>
        <v>GOVER</v>
      </c>
      <c r="C162" t="str">
        <f t="shared" si="4"/>
        <v>PENDENTE</v>
      </c>
      <c r="D162" s="1">
        <v>2999597</v>
      </c>
      <c r="E162" s="1" t="s">
        <v>24</v>
      </c>
      <c r="F162" s="2">
        <v>45576.350694444445</v>
      </c>
      <c r="G162" s="1">
        <v>4424089</v>
      </c>
      <c r="H162" s="1" t="s">
        <v>384</v>
      </c>
      <c r="I162" s="1" t="s">
        <v>385</v>
      </c>
      <c r="J162" s="2">
        <v>45576.356944444444</v>
      </c>
      <c r="K162" s="2">
        <v>45589.404861111114</v>
      </c>
      <c r="L162" s="1" t="s">
        <v>14</v>
      </c>
      <c r="M162" s="1" t="str">
        <f>_xlfn.XLOOKUP(I162,Parâmetros!A:A,Parâmetros!B:B,_xlfn.XLOOKUP(Q162,Parâmetros!F:F,Parâmetros!G:G,"NOVA MENSAGEM"))</f>
        <v>TAG - ITEM VEÍCULO</v>
      </c>
      <c r="N162" s="1" t="str">
        <f>_xlfn.XLOOKUP(M162,Parâmetros!K:K,Parâmetros!L:L,"")</f>
        <v>TAGS DE DETALHAMENTO DO SERVIÇO NÃO ENVIADO NO XML</v>
      </c>
      <c r="O162" s="1" t="str">
        <f>_xlfn.XLOOKUP(M162,Parâmetros!B:B,Parâmetros!C:C,_xlfn.XLOOKUP(Base!M161,Parâmetros!G:G,Parâmetros!H:H))</f>
        <v>SISTEMA</v>
      </c>
      <c r="P162" s="1" t="str">
        <f>_xlfn.XLOOKUP(I162,Parâmetros!A:A,Parâmetros!D:D,_xlfn.XLOOKUP(Q162,Parâmetros!F:F,Parâmetros!I:I))</f>
        <v>SUPORTE OBT</v>
      </c>
      <c r="Q162" s="1">
        <f t="shared" si="5"/>
        <v>46</v>
      </c>
    </row>
    <row r="163" spans="1:17" x14ac:dyDescent="0.25">
      <c r="A163" s="1" t="str">
        <f>_xlfn.XLOOKUP(D163,'Novo relatório'!B:B,'Novo relatório'!C:C,"RESOLVIDO")</f>
        <v>RESOLVIDO</v>
      </c>
      <c r="C163" t="str">
        <f t="shared" si="4"/>
        <v>RESOLVIDO</v>
      </c>
      <c r="D163" s="1">
        <v>3010019</v>
      </c>
      <c r="E163" s="1" t="s">
        <v>12</v>
      </c>
      <c r="F163" s="2">
        <v>45477.405555555553</v>
      </c>
      <c r="G163" s="1">
        <v>5732</v>
      </c>
      <c r="H163" s="1">
        <v>5732</v>
      </c>
      <c r="I163" s="1" t="s">
        <v>374</v>
      </c>
      <c r="J163" s="2">
        <v>45581.540972222225</v>
      </c>
      <c r="L163" s="1" t="s">
        <v>14</v>
      </c>
      <c r="M163" s="1" t="str">
        <f>_xlfn.XLOOKUP(I163,Parâmetros!A:A,Parâmetros!B:B,_xlfn.XLOOKUP(Q163,Parâmetros!F:F,Parâmetros!G:G,"NOVA MENSAGEM"))</f>
        <v>FORMATO DE TEXTO</v>
      </c>
      <c r="N163" s="1" t="str">
        <f>_xlfn.XLOOKUP(M163,Parâmetros!K:K,Parâmetros!L:L,"")</f>
        <v>TEXTO FORA DO PADRÃO ACEITO NO CAMPO</v>
      </c>
      <c r="O163" s="1" t="str">
        <f>_xlfn.XLOOKUP(M163,Parâmetros!B:B,Parâmetros!C:C,_xlfn.XLOOKUP(Base!M162,Parâmetros!G:G,Parâmetros!H:H))</f>
        <v>INDEFINIDO</v>
      </c>
      <c r="P163" s="1" t="str">
        <f>_xlfn.XLOOKUP(I163,Parâmetros!A:A,Parâmetros!D:D,_xlfn.XLOOKUP(Q163,Parâmetros!F:F,Parâmetros!I:I))</f>
        <v>SUPORTE OBT</v>
      </c>
      <c r="Q163" s="1" t="str">
        <f t="shared" si="5"/>
        <v>COLUNA I</v>
      </c>
    </row>
    <row r="164" spans="1:17" x14ac:dyDescent="0.25">
      <c r="A164" s="1" t="str">
        <f>_xlfn.XLOOKUP(D164,'Novo relatório'!B:B,'Novo relatório'!C:C,"RESOLVIDO")</f>
        <v>GOVER</v>
      </c>
      <c r="C164" t="str">
        <f t="shared" si="4"/>
        <v>PENDENTE</v>
      </c>
      <c r="D164" s="1">
        <v>3013542</v>
      </c>
      <c r="E164" s="1" t="s">
        <v>24</v>
      </c>
      <c r="F164" s="2">
        <v>45582.604166666664</v>
      </c>
      <c r="G164" s="1">
        <v>4428062</v>
      </c>
      <c r="H164" s="1" t="s">
        <v>387</v>
      </c>
      <c r="I164" s="1" t="s">
        <v>388</v>
      </c>
      <c r="J164" s="2">
        <v>45582.62222222222</v>
      </c>
      <c r="K164" s="2">
        <v>45589.404861111114</v>
      </c>
      <c r="L164" s="1" t="s">
        <v>14</v>
      </c>
      <c r="M164" s="1" t="str">
        <f>_xlfn.XLOOKUP(I164,Parâmetros!A:A,Parâmetros!B:B,_xlfn.XLOOKUP(Q164,Parâmetros!F:F,Parâmetros!G:G,"NOVA MENSAGEM"))</f>
        <v>TAG - ITEM HOTEL</v>
      </c>
      <c r="N164" s="1" t="str">
        <f>_xlfn.XLOOKUP(M164,Parâmetros!K:K,Parâmetros!L:L,"")</f>
        <v/>
      </c>
      <c r="O164" s="1" t="str">
        <f>_xlfn.XLOOKUP(M164,Parâmetros!B:B,Parâmetros!C:C,_xlfn.XLOOKUP(Base!M163,Parâmetros!G:G,Parâmetros!H:H))</f>
        <v>SISTEMA</v>
      </c>
      <c r="P164" s="1" t="str">
        <f>_xlfn.XLOOKUP(I164,Parâmetros!A:A,Parâmetros!D:D,_xlfn.XLOOKUP(Q164,Parâmetros!F:F,Parâmetros!I:I))</f>
        <v>SUPORTE OBT</v>
      </c>
      <c r="Q164" s="1" t="str">
        <f t="shared" si="5"/>
        <v>COLUNA I</v>
      </c>
    </row>
    <row r="165" spans="1:17" x14ac:dyDescent="0.25">
      <c r="A165" s="1" t="str">
        <f>_xlfn.XLOOKUP(D165,'Novo relatório'!B:B,'Novo relatório'!C:C,"RESOLVIDO")</f>
        <v>GOVER</v>
      </c>
      <c r="C165" t="str">
        <f t="shared" si="4"/>
        <v>PENDENTE</v>
      </c>
      <c r="D165" s="1">
        <v>3013584</v>
      </c>
      <c r="E165" s="1" t="s">
        <v>24</v>
      </c>
      <c r="F165" s="2">
        <v>45582.642361111109</v>
      </c>
      <c r="G165" s="1">
        <v>4428129</v>
      </c>
      <c r="H165" s="1" t="s">
        <v>389</v>
      </c>
      <c r="I165" s="1" t="s">
        <v>390</v>
      </c>
      <c r="J165" s="2">
        <v>45582.652777777781</v>
      </c>
      <c r="K165" s="2">
        <v>45589.404861111114</v>
      </c>
      <c r="L165" s="1" t="s">
        <v>14</v>
      </c>
      <c r="M165" s="1" t="str">
        <f>_xlfn.XLOOKUP(I165,Parâmetros!A:A,Parâmetros!B:B,_xlfn.XLOOKUP(Q165,Parâmetros!F:F,Parâmetros!G:G,"NOVA MENSAGEM"))</f>
        <v>TAG - ITEM VEÍCULO</v>
      </c>
      <c r="N165" s="1" t="str">
        <f>_xlfn.XLOOKUP(M165,Parâmetros!K:K,Parâmetros!L:L,"")</f>
        <v>TAGS DE DETALHAMENTO DO SERVIÇO NÃO ENVIADO NO XML</v>
      </c>
      <c r="O165" s="1" t="e">
        <f>_xlfn.XLOOKUP(M165,Parâmetros!B:B,Parâmetros!C:C,_xlfn.XLOOKUP(Base!M164,Parâmetros!G:G,Parâmetros!H:H))</f>
        <v>#N/A</v>
      </c>
      <c r="P165" s="1" t="str">
        <f>_xlfn.XLOOKUP(I165,Parâmetros!A:A,Parâmetros!D:D,_xlfn.XLOOKUP(Q165,Parâmetros!F:F,Parâmetros!I:I))</f>
        <v>SUPORTE OBT</v>
      </c>
      <c r="Q165" s="1">
        <f t="shared" si="5"/>
        <v>46</v>
      </c>
    </row>
    <row r="166" spans="1:17" x14ac:dyDescent="0.25">
      <c r="A166" s="1" t="str">
        <f>_xlfn.XLOOKUP(D166,'Novo relatório'!B:B,'Novo relatório'!C:C,"RESOLVIDO")</f>
        <v>GOVER</v>
      </c>
      <c r="C166" t="str">
        <f t="shared" si="4"/>
        <v>PENDENTE</v>
      </c>
      <c r="D166" s="1">
        <v>3014351</v>
      </c>
      <c r="E166" s="1" t="s">
        <v>24</v>
      </c>
      <c r="F166" s="2">
        <v>45533.652083333334</v>
      </c>
      <c r="G166" s="1">
        <v>4398274</v>
      </c>
      <c r="H166" s="1" t="s">
        <v>391</v>
      </c>
      <c r="I166" s="1" t="s">
        <v>190</v>
      </c>
      <c r="J166" s="2">
        <v>45582.740972222222</v>
      </c>
      <c r="K166" s="2">
        <v>45589.404861111114</v>
      </c>
      <c r="L166" s="1" t="s">
        <v>14</v>
      </c>
      <c r="M166" s="1" t="str">
        <f>_xlfn.XLOOKUP(I166,Parâmetros!A:A,Parâmetros!B:B,_xlfn.XLOOKUP(Q166,Parâmetros!F:F,Parâmetros!G:G,"NOVA MENSAGEM"))</f>
        <v>DADOS DO CARTÃO</v>
      </c>
      <c r="N166" s="1" t="str">
        <f>_xlfn.XLOOKUP(M166,Parâmetros!K:K,Parâmetros!L:L,"")</f>
        <v>TAG &lt;CARTAOVALIDADE&gt; NÃO ENVIADA</v>
      </c>
      <c r="O166" s="1" t="str">
        <f>_xlfn.XLOOKUP(M166,Parâmetros!B:B,Parâmetros!C:C,_xlfn.XLOOKUP(Base!M165,Parâmetros!G:G,Parâmetros!H:H))</f>
        <v>SISTEMA</v>
      </c>
      <c r="P166" s="1" t="str">
        <f>_xlfn.XLOOKUP(I166,Parâmetros!A:A,Parâmetros!D:D,_xlfn.XLOOKUP(Q166,Parâmetros!F:F,Parâmetros!I:I))</f>
        <v>SUPORTE OBT</v>
      </c>
      <c r="Q166" s="1" t="str">
        <f t="shared" si="5"/>
        <v>COLUNA I</v>
      </c>
    </row>
    <row r="167" spans="1:17" x14ac:dyDescent="0.25">
      <c r="A167" s="1" t="str">
        <f>_xlfn.XLOOKUP(D167,'Novo relatório'!B:B,'Novo relatório'!C:C,"RESOLVIDO")</f>
        <v>GOVER</v>
      </c>
      <c r="C167" t="str">
        <f t="shared" si="4"/>
        <v>PENDENTE</v>
      </c>
      <c r="D167" s="1">
        <v>3021581</v>
      </c>
      <c r="E167" s="1" t="s">
        <v>24</v>
      </c>
      <c r="F167" s="2">
        <v>45586.760416666664</v>
      </c>
      <c r="G167" s="1">
        <v>4430470</v>
      </c>
      <c r="H167" s="1">
        <v>16070738</v>
      </c>
      <c r="I167" s="1" t="s">
        <v>190</v>
      </c>
      <c r="J167" s="2">
        <v>45586.767361111109</v>
      </c>
      <c r="L167" s="1" t="s">
        <v>14</v>
      </c>
      <c r="M167" s="1" t="str">
        <f>_xlfn.XLOOKUP(I167,Parâmetros!A:A,Parâmetros!B:B,_xlfn.XLOOKUP(Q167,Parâmetros!F:F,Parâmetros!G:G,"NOVA MENSAGEM"))</f>
        <v>DADOS DO CARTÃO</v>
      </c>
      <c r="N167" s="1" t="str">
        <f>_xlfn.XLOOKUP(M167,Parâmetros!K:K,Parâmetros!L:L,"")</f>
        <v>TAG &lt;CARTAOVALIDADE&gt; NÃO ENVIADA</v>
      </c>
      <c r="O167" s="1" t="str">
        <f>_xlfn.XLOOKUP(M167,Parâmetros!B:B,Parâmetros!C:C,_xlfn.XLOOKUP(Base!M166,Parâmetros!G:G,Parâmetros!H:H))</f>
        <v>SISTEMA</v>
      </c>
      <c r="P167" s="1" t="str">
        <f>_xlfn.XLOOKUP(I167,Parâmetros!A:A,Parâmetros!D:D,_xlfn.XLOOKUP(Q167,Parâmetros!F:F,Parâmetros!I:I))</f>
        <v>SUPORTE OBT</v>
      </c>
      <c r="Q167" s="1" t="str">
        <f t="shared" si="5"/>
        <v>COLUNA I</v>
      </c>
    </row>
    <row r="168" spans="1:17" x14ac:dyDescent="0.25">
      <c r="A168" s="1" t="str">
        <f>_xlfn.XLOOKUP(D168,'Novo relatório'!B:B,'Novo relatório'!C:C,"RESOLVIDO")</f>
        <v>GOVER</v>
      </c>
      <c r="C168" t="str">
        <f t="shared" si="4"/>
        <v>PENDENTE</v>
      </c>
      <c r="D168" s="1">
        <v>3025132</v>
      </c>
      <c r="E168" s="1" t="s">
        <v>24</v>
      </c>
      <c r="F168" s="2">
        <v>45587.885416666664</v>
      </c>
      <c r="G168" s="1">
        <v>4432142</v>
      </c>
      <c r="H168" s="1" t="s">
        <v>399</v>
      </c>
      <c r="I168" s="1" t="s">
        <v>400</v>
      </c>
      <c r="J168" s="2">
        <v>45587.929166666669</v>
      </c>
      <c r="K168" s="2">
        <v>45589.404861111114</v>
      </c>
      <c r="L168" s="1" t="s">
        <v>14</v>
      </c>
      <c r="M168" s="1" t="str">
        <f>_xlfn.XLOOKUP(I168,Parâmetros!A:A,Parâmetros!B:B,_xlfn.XLOOKUP(Q168,Parâmetros!F:F,Parâmetros!G:G,"NOVA MENSAGEM"))</f>
        <v>TAG - ITEM VEÍCULO</v>
      </c>
      <c r="N168" s="1" t="str">
        <f>_xlfn.XLOOKUP(M168,Parâmetros!K:K,Parâmetros!L:L,"")</f>
        <v>TAGS DE DETALHAMENTO DO SERVIÇO NÃO ENVIADO NO XML</v>
      </c>
      <c r="O168" s="1" t="str">
        <f>_xlfn.XLOOKUP(M168,Parâmetros!B:B,Parâmetros!C:C,_xlfn.XLOOKUP(Base!M167,Parâmetros!G:G,Parâmetros!H:H))</f>
        <v>SISTEMA</v>
      </c>
      <c r="P168" s="1" t="str">
        <f>_xlfn.XLOOKUP(I168,Parâmetros!A:A,Parâmetros!D:D,_xlfn.XLOOKUP(Q168,Parâmetros!F:F,Parâmetros!I:I))</f>
        <v>SUPORTE OBT</v>
      </c>
      <c r="Q168" s="1">
        <f t="shared" si="5"/>
        <v>46</v>
      </c>
    </row>
    <row r="169" spans="1:17" x14ac:dyDescent="0.25">
      <c r="A169" s="1" t="str">
        <f>_xlfn.XLOOKUP(D169,'Novo relatório'!B:B,'Novo relatório'!C:C,"RESOLVIDO")</f>
        <v>GOVER</v>
      </c>
      <c r="C169" t="str">
        <f t="shared" si="4"/>
        <v>PENDENTE</v>
      </c>
      <c r="D169" s="1">
        <v>3025915</v>
      </c>
      <c r="E169" s="1" t="s">
        <v>24</v>
      </c>
      <c r="F169" s="2">
        <v>45588.481944444444</v>
      </c>
      <c r="G169" s="1">
        <v>4432585</v>
      </c>
      <c r="H169" s="1" t="s">
        <v>401</v>
      </c>
      <c r="I169" s="1" t="s">
        <v>402</v>
      </c>
      <c r="J169" s="2">
        <v>45588.488888888889</v>
      </c>
      <c r="K169" s="2">
        <v>45589.404861111114</v>
      </c>
      <c r="L169" s="1" t="s">
        <v>14</v>
      </c>
      <c r="M169" s="1" t="str">
        <f>_xlfn.XLOOKUP(I169,Parâmetros!A:A,Parâmetros!B:B,_xlfn.XLOOKUP(Q169,Parâmetros!F:F,Parâmetros!G:G,"NOVA MENSAGEM"))</f>
        <v>TAG - ITEM VEÍCULO</v>
      </c>
      <c r="N169" s="1" t="str">
        <f>_xlfn.XLOOKUP(M169,Parâmetros!K:K,Parâmetros!L:L,"")</f>
        <v>TAGS DE DETALHAMENTO DO SERVIÇO NÃO ENVIADO NO XML</v>
      </c>
      <c r="O169" s="1" t="str">
        <f>_xlfn.XLOOKUP(M169,Parâmetros!B:B,Parâmetros!C:C,_xlfn.XLOOKUP(Base!M168,Parâmetros!G:G,Parâmetros!H:H))</f>
        <v>SISTEMA</v>
      </c>
      <c r="P169" s="1" t="str">
        <f>_xlfn.XLOOKUP(I169,Parâmetros!A:A,Parâmetros!D:D,_xlfn.XLOOKUP(Q169,Parâmetros!F:F,Parâmetros!I:I))</f>
        <v>SUPORTE OBT</v>
      </c>
      <c r="Q169" s="1">
        <f t="shared" si="5"/>
        <v>46</v>
      </c>
    </row>
    <row r="170" spans="1:17" x14ac:dyDescent="0.25">
      <c r="A170" s="1" t="str">
        <f>_xlfn.XLOOKUP(D170,'Novo relatório'!B:B,'Novo relatório'!C:C,"RESOLVIDO")</f>
        <v>GOVER</v>
      </c>
      <c r="C170" t="str">
        <f t="shared" si="4"/>
        <v>PENDENTE</v>
      </c>
      <c r="D170" s="1">
        <v>3032027</v>
      </c>
      <c r="E170" s="1" t="s">
        <v>24</v>
      </c>
      <c r="F170" s="2">
        <v>45590.37222222222</v>
      </c>
      <c r="G170" s="1">
        <v>4434209</v>
      </c>
      <c r="H170" s="1" t="s">
        <v>424</v>
      </c>
      <c r="I170" s="1" t="s">
        <v>425</v>
      </c>
      <c r="J170" s="2">
        <v>45590.37777777778</v>
      </c>
      <c r="K170" s="2">
        <v>45609.356249999997</v>
      </c>
      <c r="L170" s="1" t="s">
        <v>14</v>
      </c>
      <c r="M170" s="1" t="str">
        <f>_xlfn.XLOOKUP(I170,Parâmetros!A:A,Parâmetros!B:B,_xlfn.XLOOKUP(Q170,Parâmetros!F:F,Parâmetros!G:G,"NOVA MENSAGEM"))</f>
        <v>TAG - ITEM VEÍCULO</v>
      </c>
      <c r="N170" s="1" t="str">
        <f>_xlfn.XLOOKUP(M170,Parâmetros!K:K,Parâmetros!L:L,"")</f>
        <v>TAGS DE DETALHAMENTO DO SERVIÇO NÃO ENVIADO NO XML</v>
      </c>
      <c r="O170" s="1" t="str">
        <f>_xlfn.XLOOKUP(M170,Parâmetros!B:B,Parâmetros!C:C,_xlfn.XLOOKUP(Base!M169,Parâmetros!G:G,Parâmetros!H:H))</f>
        <v>SISTEMA</v>
      </c>
      <c r="P170" s="1" t="str">
        <f>_xlfn.XLOOKUP(I170,Parâmetros!A:A,Parâmetros!D:D,_xlfn.XLOOKUP(Q170,Parâmetros!F:F,Parâmetros!I:I))</f>
        <v>SUPORTE OBT</v>
      </c>
      <c r="Q170" s="1">
        <f t="shared" si="5"/>
        <v>46</v>
      </c>
    </row>
    <row r="171" spans="1:17" x14ac:dyDescent="0.25">
      <c r="A171" s="1" t="str">
        <f>_xlfn.XLOOKUP(D171,'Novo relatório'!B:B,'Novo relatório'!C:C,"RESOLVIDO")</f>
        <v>GOVER</v>
      </c>
      <c r="C171" t="str">
        <f t="shared" si="4"/>
        <v>PENDENTE</v>
      </c>
      <c r="D171" s="1">
        <v>3033602</v>
      </c>
      <c r="E171" s="1" t="s">
        <v>24</v>
      </c>
      <c r="F171" s="2">
        <v>45590.693749999999</v>
      </c>
      <c r="G171" s="1">
        <v>4434814</v>
      </c>
      <c r="H171" s="1" t="s">
        <v>426</v>
      </c>
      <c r="I171" s="1" t="s">
        <v>427</v>
      </c>
      <c r="J171" s="2">
        <v>45590.699305555558</v>
      </c>
      <c r="K171" s="2">
        <v>45609.356249999997</v>
      </c>
      <c r="L171" s="1" t="s">
        <v>14</v>
      </c>
      <c r="M171" s="1" t="str">
        <f>_xlfn.XLOOKUP(I171,Parâmetros!A:A,Parâmetros!B:B,_xlfn.XLOOKUP(Q171,Parâmetros!F:F,Parâmetros!G:G,"NOVA MENSAGEM"))</f>
        <v>TAG - ITEM VEÍCULO</v>
      </c>
      <c r="N171" s="1" t="str">
        <f>_xlfn.XLOOKUP(M171,Parâmetros!K:K,Parâmetros!L:L,"")</f>
        <v>TAGS DE DETALHAMENTO DO SERVIÇO NÃO ENVIADO NO XML</v>
      </c>
      <c r="O171" s="1" t="str">
        <f>_xlfn.XLOOKUP(M171,Parâmetros!B:B,Parâmetros!C:C,_xlfn.XLOOKUP(Base!M170,Parâmetros!G:G,Parâmetros!H:H))</f>
        <v>SISTEMA</v>
      </c>
      <c r="P171" s="1" t="str">
        <f>_xlfn.XLOOKUP(I171,Parâmetros!A:A,Parâmetros!D:D,_xlfn.XLOOKUP(Q171,Parâmetros!F:F,Parâmetros!I:I))</f>
        <v>SUPORTE OBT</v>
      </c>
      <c r="Q171" s="1">
        <f t="shared" si="5"/>
        <v>46</v>
      </c>
    </row>
    <row r="172" spans="1:17" x14ac:dyDescent="0.25">
      <c r="A172" s="1" t="str">
        <f>_xlfn.XLOOKUP(D172,'Novo relatório'!B:B,'Novo relatório'!C:C,"RESOLVIDO")</f>
        <v>GOVER</v>
      </c>
      <c r="C172" t="str">
        <f t="shared" si="4"/>
        <v>PENDENTE</v>
      </c>
      <c r="D172" s="1">
        <v>3033628</v>
      </c>
      <c r="E172" s="1" t="s">
        <v>24</v>
      </c>
      <c r="F172" s="2">
        <v>45590.697222222225</v>
      </c>
      <c r="G172" s="1">
        <v>4434825</v>
      </c>
      <c r="H172" s="1" t="s">
        <v>428</v>
      </c>
      <c r="I172" s="1" t="s">
        <v>429</v>
      </c>
      <c r="J172" s="2">
        <v>45590.704861111109</v>
      </c>
      <c r="K172" s="2">
        <v>45609.356249999997</v>
      </c>
      <c r="L172" s="1" t="s">
        <v>14</v>
      </c>
      <c r="M172" s="1" t="str">
        <f>_xlfn.XLOOKUP(I172,Parâmetros!A:A,Parâmetros!B:B,_xlfn.XLOOKUP(Q172,Parâmetros!F:F,Parâmetros!G:G,"NOVA MENSAGEM"))</f>
        <v>TAG - ITEM VEÍCULO</v>
      </c>
      <c r="N172" s="1" t="str">
        <f>_xlfn.XLOOKUP(M172,Parâmetros!K:K,Parâmetros!L:L,"")</f>
        <v>TAGS DE DETALHAMENTO DO SERVIÇO NÃO ENVIADO NO XML</v>
      </c>
      <c r="O172" s="1" t="str">
        <f>_xlfn.XLOOKUP(M172,Parâmetros!B:B,Parâmetros!C:C,_xlfn.XLOOKUP(Base!M171,Parâmetros!G:G,Parâmetros!H:H))</f>
        <v>SISTEMA</v>
      </c>
      <c r="P172" s="1" t="str">
        <f>_xlfn.XLOOKUP(I172,Parâmetros!A:A,Parâmetros!D:D,_xlfn.XLOOKUP(Q172,Parâmetros!F:F,Parâmetros!I:I))</f>
        <v>SUPORTE OBT</v>
      </c>
      <c r="Q172" s="1">
        <f t="shared" si="5"/>
        <v>46</v>
      </c>
    </row>
    <row r="173" spans="1:17" x14ac:dyDescent="0.25">
      <c r="A173" s="1" t="str">
        <f>_xlfn.XLOOKUP(D173,'Novo relatório'!B:B,'Novo relatório'!C:C,"RESOLVIDO")</f>
        <v>GOVER</v>
      </c>
      <c r="C173" t="str">
        <f t="shared" si="4"/>
        <v>PENDENTE</v>
      </c>
      <c r="D173" s="1">
        <v>3036168</v>
      </c>
      <c r="E173" s="1" t="s">
        <v>24</v>
      </c>
      <c r="F173" s="2">
        <v>45593.451388888891</v>
      </c>
      <c r="G173" s="1">
        <v>4435416</v>
      </c>
      <c r="H173" s="1" t="s">
        <v>430</v>
      </c>
      <c r="I173" s="1" t="s">
        <v>431</v>
      </c>
      <c r="J173" s="2">
        <v>45593.461805555555</v>
      </c>
      <c r="K173" s="2">
        <v>45609.356249999997</v>
      </c>
      <c r="L173" s="1" t="s">
        <v>14</v>
      </c>
      <c r="M173" s="1" t="str">
        <f>_xlfn.XLOOKUP(I173,Parâmetros!A:A,Parâmetros!B:B,_xlfn.XLOOKUP(Q173,Parâmetros!F:F,Parâmetros!G:G,"NOVA MENSAGEM"))</f>
        <v>TAG - ITEM VEÍCULO</v>
      </c>
      <c r="N173" s="1" t="str">
        <f>_xlfn.XLOOKUP(M173,Parâmetros!K:K,Parâmetros!L:L,"")</f>
        <v>TAGS DE DETALHAMENTO DO SERVIÇO NÃO ENVIADO NO XML</v>
      </c>
      <c r="O173" s="1" t="str">
        <f>_xlfn.XLOOKUP(M173,Parâmetros!B:B,Parâmetros!C:C,_xlfn.XLOOKUP(Base!M172,Parâmetros!G:G,Parâmetros!H:H))</f>
        <v>SISTEMA</v>
      </c>
      <c r="P173" s="1" t="str">
        <f>_xlfn.XLOOKUP(I173,Parâmetros!A:A,Parâmetros!D:D,_xlfn.XLOOKUP(Q173,Parâmetros!F:F,Parâmetros!I:I))</f>
        <v>SUPORTE OBT</v>
      </c>
      <c r="Q173" s="1">
        <f t="shared" si="5"/>
        <v>46</v>
      </c>
    </row>
    <row r="174" spans="1:17" x14ac:dyDescent="0.25">
      <c r="A174" s="1" t="str">
        <f>_xlfn.XLOOKUP(D174,'Novo relatório'!B:B,'Novo relatório'!C:C,"RESOLVIDO")</f>
        <v>RESOLVIDO</v>
      </c>
      <c r="C174" t="str">
        <f t="shared" si="4"/>
        <v>RESOLVIDO</v>
      </c>
      <c r="D174" s="1">
        <v>3040077</v>
      </c>
      <c r="E174" s="1" t="s">
        <v>25</v>
      </c>
      <c r="F174" s="2">
        <v>45594.507638888892</v>
      </c>
      <c r="G174" s="1" t="s">
        <v>413</v>
      </c>
      <c r="H174" s="1" t="s">
        <v>414</v>
      </c>
      <c r="I174" s="1" t="s">
        <v>415</v>
      </c>
      <c r="J174" s="2">
        <v>45594.584722222222</v>
      </c>
      <c r="K174" s="2">
        <v>45597.542361111111</v>
      </c>
      <c r="L174" s="1" t="s">
        <v>19</v>
      </c>
      <c r="M174" s="1" t="str">
        <f>_xlfn.XLOOKUP(I174,Parâmetros!A:A,Parâmetros!B:B,_xlfn.XLOOKUP(Q174,Parâmetros!F:F,Parâmetros!G:G,"NOVA MENSAGEM"))</f>
        <v>CONTRATO FORNECEDOR</v>
      </c>
      <c r="N174" s="1" t="str">
        <f>_xlfn.XLOOKUP(M174,Parâmetros!K:K,Parâmetros!L:L,"")</f>
        <v>CONTRATO INATIVO OU DIVERGENTE</v>
      </c>
      <c r="O174" s="1" t="str">
        <f>_xlfn.XLOOKUP(M174,Parâmetros!B:B,Parâmetros!C:C,_xlfn.XLOOKUP(Base!M173,Parâmetros!G:G,Parâmetros!H:H))</f>
        <v>SISTEMA</v>
      </c>
      <c r="P174" s="1" t="str">
        <f>_xlfn.XLOOKUP(I174,Parâmetros!A:A,Parâmetros!D:D,_xlfn.XLOOKUP(Q174,Parâmetros!F:F,Parâmetros!I:I))</f>
        <v>OPERAÇÕES / SUPORTE KCS</v>
      </c>
      <c r="Q174" s="1">
        <f t="shared" si="5"/>
        <v>43</v>
      </c>
    </row>
    <row r="175" spans="1:17" x14ac:dyDescent="0.25">
      <c r="A175" s="1" t="str">
        <f>_xlfn.XLOOKUP(D175,'Novo relatório'!B:B,'Novo relatório'!C:C,"RESOLVIDO")</f>
        <v>GOVER</v>
      </c>
      <c r="C175" t="str">
        <f t="shared" si="4"/>
        <v>PENDENTE</v>
      </c>
      <c r="D175" s="1">
        <v>3047145</v>
      </c>
      <c r="E175" s="1" t="s">
        <v>24</v>
      </c>
      <c r="F175" s="2">
        <v>45568.493750000001</v>
      </c>
      <c r="G175" s="1">
        <v>4418817</v>
      </c>
      <c r="H175" s="1" t="s">
        <v>420</v>
      </c>
      <c r="I175" s="1" t="s">
        <v>421</v>
      </c>
      <c r="J175" s="2">
        <v>45596.628472222219</v>
      </c>
      <c r="K175" s="2">
        <v>45609.356249999997</v>
      </c>
      <c r="L175" s="1" t="s">
        <v>14</v>
      </c>
      <c r="M175" s="1" t="str">
        <f>_xlfn.XLOOKUP(I175,Parâmetros!A:A,Parâmetros!B:B,_xlfn.XLOOKUP(Q175,Parâmetros!F:F,Parâmetros!G:G,"NOVA MENSAGEM"))</f>
        <v>TAG - ITEM VEÍCULO</v>
      </c>
      <c r="N175" s="1" t="str">
        <f>_xlfn.XLOOKUP(M175,Parâmetros!K:K,Parâmetros!L:L,"")</f>
        <v>TAGS DE DETALHAMENTO DO SERVIÇO NÃO ENVIADO NO XML</v>
      </c>
      <c r="O175" s="1" t="str">
        <f>_xlfn.XLOOKUP(M175,Parâmetros!B:B,Parâmetros!C:C,_xlfn.XLOOKUP(Base!M174,Parâmetros!G:G,Parâmetros!H:H))</f>
        <v>SISTEMA</v>
      </c>
      <c r="P175" s="1" t="str">
        <f>_xlfn.XLOOKUP(I175,Parâmetros!A:A,Parâmetros!D:D,_xlfn.XLOOKUP(Q175,Parâmetros!F:F,Parâmetros!I:I))</f>
        <v>SUPORTE OBT</v>
      </c>
      <c r="Q175" s="1">
        <f t="shared" si="5"/>
        <v>46</v>
      </c>
    </row>
    <row r="176" spans="1:17" x14ac:dyDescent="0.25">
      <c r="A176" s="1" t="str">
        <f>_xlfn.XLOOKUP(D176,'Novo relatório'!B:B,'Novo relatório'!C:C,"RESOLVIDO")</f>
        <v>GOVER</v>
      </c>
      <c r="C176" t="str">
        <f t="shared" si="4"/>
        <v>PENDENTE</v>
      </c>
      <c r="D176" s="1">
        <v>3050973</v>
      </c>
      <c r="E176" s="1" t="s">
        <v>24</v>
      </c>
      <c r="F176" s="2">
        <v>45597.462500000001</v>
      </c>
      <c r="G176" s="1">
        <v>4439252</v>
      </c>
      <c r="H176" s="1" t="s">
        <v>432</v>
      </c>
      <c r="I176" s="1" t="s">
        <v>433</v>
      </c>
      <c r="J176" s="2">
        <v>45597.472916666666</v>
      </c>
      <c r="K176" s="2">
        <v>45609.356249999997</v>
      </c>
      <c r="L176" s="1" t="s">
        <v>14</v>
      </c>
      <c r="M176" s="1" t="str">
        <f>_xlfn.XLOOKUP(I176,Parâmetros!A:A,Parâmetros!B:B,_xlfn.XLOOKUP(Q176,Parâmetros!F:F,Parâmetros!G:G,"NOVA MENSAGEM"))</f>
        <v>TAG - ITEM HOTEL</v>
      </c>
      <c r="N176" s="1" t="str">
        <f>_xlfn.XLOOKUP(M176,Parâmetros!K:K,Parâmetros!L:L,"")</f>
        <v/>
      </c>
      <c r="O176" s="1" t="str">
        <f>_xlfn.XLOOKUP(M176,Parâmetros!B:B,Parâmetros!C:C,_xlfn.XLOOKUP(Base!M175,Parâmetros!G:G,Parâmetros!H:H))</f>
        <v>SISTEMA</v>
      </c>
      <c r="P176" s="1" t="str">
        <f>_xlfn.XLOOKUP(I176,Parâmetros!A:A,Parâmetros!D:D,_xlfn.XLOOKUP(Q176,Parâmetros!F:F,Parâmetros!I:I))</f>
        <v>SUPORTE OBT</v>
      </c>
      <c r="Q176" s="1" t="str">
        <f t="shared" si="5"/>
        <v>COLUNA I</v>
      </c>
    </row>
    <row r="177" spans="1:17" x14ac:dyDescent="0.25">
      <c r="A177" s="1" t="str">
        <f>_xlfn.XLOOKUP(D177,'Novo relatório'!B:B,'Novo relatório'!C:C,"RESOLVIDO")</f>
        <v>GOVER</v>
      </c>
      <c r="C177" t="str">
        <f t="shared" si="4"/>
        <v>PENDENTE</v>
      </c>
      <c r="D177" s="1">
        <v>3053925</v>
      </c>
      <c r="E177" s="1" t="s">
        <v>24</v>
      </c>
      <c r="F177" s="2">
        <v>45597.738194444442</v>
      </c>
      <c r="G177" s="1">
        <v>4439791</v>
      </c>
      <c r="H177" s="1">
        <v>4439791</v>
      </c>
      <c r="I177" s="1" t="s">
        <v>77</v>
      </c>
      <c r="J177" s="2">
        <v>45599.599305555559</v>
      </c>
      <c r="K177" s="2">
        <v>45609.356249999997</v>
      </c>
      <c r="L177" s="1" t="s">
        <v>14</v>
      </c>
      <c r="M177" s="1" t="str">
        <f>_xlfn.XLOOKUP(I177,Parâmetros!A:A,Parâmetros!B:B,_xlfn.XLOOKUP(Q177,Parâmetros!F:F,Parâmetros!G:G,"NOVA MENSAGEM"))</f>
        <v>RLOC NÃO INFORMADO</v>
      </c>
      <c r="N177" s="1" t="str">
        <f>_xlfn.XLOOKUP(M177,Parâmetros!K:K,Parâmetros!L:L,"")</f>
        <v>RLOC NÃO PREENCHIDO NA RESERVA</v>
      </c>
      <c r="O177" s="1" t="str">
        <f>_xlfn.XLOOKUP(M177,Parâmetros!B:B,Parâmetros!C:C,_xlfn.XLOOKUP(Base!M176,Parâmetros!G:G,Parâmetros!H:H))</f>
        <v>QUALIDADE DOS DADOS</v>
      </c>
      <c r="P177" s="1" t="str">
        <f>_xlfn.XLOOKUP(I177,Parâmetros!A:A,Parâmetros!D:D,_xlfn.XLOOKUP(Q177,Parâmetros!F:F,Parâmetros!I:I))</f>
        <v>SUPORTE OBT</v>
      </c>
      <c r="Q177" s="1" t="str">
        <f t="shared" si="5"/>
        <v>COLUNA I</v>
      </c>
    </row>
    <row r="178" spans="1:17" x14ac:dyDescent="0.25">
      <c r="A178" s="1" t="str">
        <f>_xlfn.XLOOKUP(D178,'Novo relatório'!B:B,'Novo relatório'!C:C,"RESOLVIDO")</f>
        <v>GOVER</v>
      </c>
      <c r="C178" t="str">
        <f t="shared" si="4"/>
        <v>PENDENTE</v>
      </c>
      <c r="D178" s="1">
        <v>3058571</v>
      </c>
      <c r="E178" s="1" t="s">
        <v>24</v>
      </c>
      <c r="F178" s="2">
        <v>45488.718055555553</v>
      </c>
      <c r="G178" s="1">
        <v>4371594</v>
      </c>
      <c r="H178" s="1" t="s">
        <v>187</v>
      </c>
      <c r="I178" s="1" t="s">
        <v>188</v>
      </c>
      <c r="J178" s="2">
        <v>45601.698611111111</v>
      </c>
      <c r="K178" s="2">
        <v>45659.64166666667</v>
      </c>
      <c r="L178" s="1" t="s">
        <v>14</v>
      </c>
      <c r="M178" s="1" t="str">
        <f>_xlfn.XLOOKUP(I178,Parâmetros!A:A,Parâmetros!B:B,_xlfn.XLOOKUP(Q178,Parâmetros!F:F,Parâmetros!G:G,"NOVA MENSAGEM"))</f>
        <v>TAG - ITEM VEÍCULO</v>
      </c>
      <c r="N178" s="1" t="str">
        <f>_xlfn.XLOOKUP(M178,Parâmetros!K:K,Parâmetros!L:L,"")</f>
        <v>TAGS DE DETALHAMENTO DO SERVIÇO NÃO ENVIADO NO XML</v>
      </c>
      <c r="O178" s="1" t="e">
        <f>_xlfn.XLOOKUP(M178,Parâmetros!B:B,Parâmetros!C:C,_xlfn.XLOOKUP(Base!M177,Parâmetros!G:G,Parâmetros!H:H))</f>
        <v>#N/A</v>
      </c>
      <c r="P178" s="1" t="str">
        <f>_xlfn.XLOOKUP(I178,Parâmetros!A:A,Parâmetros!D:D,_xlfn.XLOOKUP(Q178,Parâmetros!F:F,Parâmetros!I:I))</f>
        <v>SUPORTE OBT</v>
      </c>
      <c r="Q178" s="1">
        <f t="shared" si="5"/>
        <v>46</v>
      </c>
    </row>
    <row r="179" spans="1:17" x14ac:dyDescent="0.25">
      <c r="A179" s="1" t="str">
        <f>_xlfn.XLOOKUP(D179,'Novo relatório'!B:B,'Novo relatório'!C:C,"RESOLVIDO")</f>
        <v>GOVER</v>
      </c>
      <c r="C179" t="str">
        <f t="shared" si="4"/>
        <v>PENDENTE</v>
      </c>
      <c r="D179" s="1">
        <v>3059339</v>
      </c>
      <c r="E179" s="1" t="s">
        <v>24</v>
      </c>
      <c r="F179" s="2">
        <v>45600.807638888888</v>
      </c>
      <c r="G179" s="1">
        <v>4440985</v>
      </c>
      <c r="H179" s="1">
        <v>4440985</v>
      </c>
      <c r="I179" s="1" t="s">
        <v>77</v>
      </c>
      <c r="J179" s="2">
        <v>45601.759722222225</v>
      </c>
      <c r="K179" s="2">
        <v>45609.356249999997</v>
      </c>
      <c r="L179" s="1" t="s">
        <v>14</v>
      </c>
      <c r="M179" s="1" t="str">
        <f>_xlfn.XLOOKUP(I179,Parâmetros!A:A,Parâmetros!B:B,_xlfn.XLOOKUP(Q179,Parâmetros!F:F,Parâmetros!G:G,"NOVA MENSAGEM"))</f>
        <v>RLOC NÃO INFORMADO</v>
      </c>
      <c r="N179" s="1" t="str">
        <f>_xlfn.XLOOKUP(M179,Parâmetros!K:K,Parâmetros!L:L,"")</f>
        <v>RLOC NÃO PREENCHIDO NA RESERVA</v>
      </c>
      <c r="O179" s="1" t="str">
        <f>_xlfn.XLOOKUP(M179,Parâmetros!B:B,Parâmetros!C:C,_xlfn.XLOOKUP(Base!M178,Parâmetros!G:G,Parâmetros!H:H))</f>
        <v>QUALIDADE DOS DADOS</v>
      </c>
      <c r="P179" s="1" t="str">
        <f>_xlfn.XLOOKUP(I179,Parâmetros!A:A,Parâmetros!D:D,_xlfn.XLOOKUP(Q179,Parâmetros!F:F,Parâmetros!I:I))</f>
        <v>SUPORTE OBT</v>
      </c>
      <c r="Q179" s="1" t="str">
        <f t="shared" si="5"/>
        <v>COLUNA I</v>
      </c>
    </row>
    <row r="180" spans="1:17" x14ac:dyDescent="0.25">
      <c r="A180" s="1" t="str">
        <f>_xlfn.XLOOKUP(D180,'Novo relatório'!B:B,'Novo relatório'!C:C,"RESOLVIDO")</f>
        <v>GOVER</v>
      </c>
      <c r="C180" t="str">
        <f t="shared" si="4"/>
        <v>PENDENTE</v>
      </c>
      <c r="D180" s="1">
        <v>3064447</v>
      </c>
      <c r="E180" s="1" t="s">
        <v>24</v>
      </c>
      <c r="F180" s="2">
        <v>45603.518055555556</v>
      </c>
      <c r="G180" s="1">
        <v>4443382</v>
      </c>
      <c r="H180" s="1" t="s">
        <v>582</v>
      </c>
      <c r="I180" s="1" t="s">
        <v>583</v>
      </c>
      <c r="J180" s="2">
        <v>45603.642361111109</v>
      </c>
      <c r="K180" s="2">
        <v>45609.356249999997</v>
      </c>
      <c r="L180" s="1" t="s">
        <v>14</v>
      </c>
      <c r="M180" s="1" t="str">
        <f>_xlfn.XLOOKUP(I180,Parâmetros!A:A,Parâmetros!B:B,_xlfn.XLOOKUP(Q180,Parâmetros!F:F,Parâmetros!G:G,"NOVA MENSAGEM"))</f>
        <v>TAG - ITEM HOTEL</v>
      </c>
      <c r="N180" s="1" t="str">
        <f>_xlfn.XLOOKUP(M180,Parâmetros!K:K,Parâmetros!L:L,"")</f>
        <v/>
      </c>
      <c r="O180" s="1" t="str">
        <f>_xlfn.XLOOKUP(M180,Parâmetros!B:B,Parâmetros!C:C,_xlfn.XLOOKUP(Base!M179,Parâmetros!G:G,Parâmetros!H:H))</f>
        <v>SISTEMA</v>
      </c>
      <c r="P180" s="1" t="str">
        <f>_xlfn.XLOOKUP(I180,Parâmetros!A:A,Parâmetros!D:D,_xlfn.XLOOKUP(Q180,Parâmetros!F:F,Parâmetros!I:I))</f>
        <v>SUPORTE OBT</v>
      </c>
      <c r="Q180" s="1" t="str">
        <f t="shared" si="5"/>
        <v>COLUNA I</v>
      </c>
    </row>
    <row r="181" spans="1:17" x14ac:dyDescent="0.25">
      <c r="A181" s="1" t="str">
        <f>_xlfn.XLOOKUP(D181,'Novo relatório'!B:B,'Novo relatório'!C:C,"RESOLVIDO")</f>
        <v>GOVER</v>
      </c>
      <c r="C181" t="str">
        <f t="shared" si="4"/>
        <v>PENDENTE</v>
      </c>
      <c r="D181" s="1">
        <v>3067728</v>
      </c>
      <c r="E181" s="1" t="s">
        <v>24</v>
      </c>
      <c r="F181" s="2">
        <v>45604.629861111112</v>
      </c>
      <c r="G181" s="1">
        <v>4444441</v>
      </c>
      <c r="H181" s="1" t="s">
        <v>584</v>
      </c>
      <c r="I181" s="1" t="s">
        <v>585</v>
      </c>
      <c r="J181" s="2">
        <v>45604.634722222225</v>
      </c>
      <c r="K181" s="2">
        <v>45609.356249999997</v>
      </c>
      <c r="L181" s="1" t="s">
        <v>14</v>
      </c>
      <c r="M181" s="1" t="str">
        <f>_xlfn.XLOOKUP(I181,Parâmetros!A:A,Parâmetros!B:B,_xlfn.XLOOKUP(Q181,Parâmetros!F:F,Parâmetros!G:G,"NOVA MENSAGEM"))</f>
        <v>TAG - ITEM VEÍCULO</v>
      </c>
      <c r="N181" s="1" t="str">
        <f>_xlfn.XLOOKUP(M181,Parâmetros!K:K,Parâmetros!L:L,"")</f>
        <v>TAGS DE DETALHAMENTO DO SERVIÇO NÃO ENVIADO NO XML</v>
      </c>
      <c r="O181" s="1" t="e">
        <f>_xlfn.XLOOKUP(M181,Parâmetros!B:B,Parâmetros!C:C,_xlfn.XLOOKUP(Base!M180,Parâmetros!G:G,Parâmetros!H:H))</f>
        <v>#N/A</v>
      </c>
      <c r="P181" s="1" t="str">
        <f>_xlfn.XLOOKUP(I181,Parâmetros!A:A,Parâmetros!D:D,_xlfn.XLOOKUP(Q181,Parâmetros!F:F,Parâmetros!I:I))</f>
        <v>SUPORTE OBT</v>
      </c>
      <c r="Q181" s="1">
        <f t="shared" si="5"/>
        <v>46</v>
      </c>
    </row>
    <row r="182" spans="1:17" x14ac:dyDescent="0.25">
      <c r="A182" s="1" t="str">
        <f>_xlfn.XLOOKUP(D182,'Novo relatório'!B:B,'Novo relatório'!C:C,"RESOLVIDO")</f>
        <v>GOVER</v>
      </c>
      <c r="C182" t="str">
        <f t="shared" si="4"/>
        <v>PENDENTE</v>
      </c>
      <c r="D182" s="1">
        <v>3070837</v>
      </c>
      <c r="E182" s="1" t="s">
        <v>24</v>
      </c>
      <c r="F182" s="2">
        <v>45607.415972222225</v>
      </c>
      <c r="G182" s="1">
        <v>4445127</v>
      </c>
      <c r="H182" s="1" t="s">
        <v>586</v>
      </c>
      <c r="I182" s="1" t="s">
        <v>587</v>
      </c>
      <c r="J182" s="2">
        <v>45607.425000000003</v>
      </c>
      <c r="K182" s="2">
        <v>45609.356249999997</v>
      </c>
      <c r="L182" s="1" t="s">
        <v>14</v>
      </c>
      <c r="M182" s="1" t="str">
        <f>_xlfn.XLOOKUP(I182,Parâmetros!A:A,Parâmetros!B:B,_xlfn.XLOOKUP(Q182,Parâmetros!F:F,Parâmetros!G:G,"NOVA MENSAGEM"))</f>
        <v>TAG - ITEM VEÍCULO</v>
      </c>
      <c r="N182" s="1" t="str">
        <f>_xlfn.XLOOKUP(M182,Parâmetros!K:K,Parâmetros!L:L,"")</f>
        <v>TAGS DE DETALHAMENTO DO SERVIÇO NÃO ENVIADO NO XML</v>
      </c>
      <c r="O182" s="1" t="str">
        <f>_xlfn.XLOOKUP(M182,Parâmetros!B:B,Parâmetros!C:C,_xlfn.XLOOKUP(Base!M181,Parâmetros!G:G,Parâmetros!H:H))</f>
        <v>SISTEMA</v>
      </c>
      <c r="P182" s="1" t="str">
        <f>_xlfn.XLOOKUP(I182,Parâmetros!A:A,Parâmetros!D:D,_xlfn.XLOOKUP(Q182,Parâmetros!F:F,Parâmetros!I:I))</f>
        <v>SUPORTE OBT</v>
      </c>
      <c r="Q182" s="1">
        <f t="shared" si="5"/>
        <v>46</v>
      </c>
    </row>
    <row r="183" spans="1:17" x14ac:dyDescent="0.25">
      <c r="A183" s="1" t="str">
        <f>_xlfn.XLOOKUP(D183,'Novo relatório'!B:B,'Novo relatório'!C:C,"RESOLVIDO")</f>
        <v>GOVER</v>
      </c>
      <c r="C183" t="str">
        <f t="shared" si="4"/>
        <v>PENDENTE</v>
      </c>
      <c r="D183" s="1">
        <v>3084856</v>
      </c>
      <c r="E183" s="1" t="s">
        <v>24</v>
      </c>
      <c r="F183" s="2">
        <v>45614.452777777777</v>
      </c>
      <c r="G183" s="1">
        <v>4449231</v>
      </c>
      <c r="H183" s="1">
        <v>4449231</v>
      </c>
      <c r="I183" s="1" t="s">
        <v>77</v>
      </c>
      <c r="J183" s="2">
        <v>45614.460416666669</v>
      </c>
      <c r="K183" s="2">
        <v>45659.64166666667</v>
      </c>
      <c r="L183" s="1" t="s">
        <v>14</v>
      </c>
      <c r="M183" s="1" t="str">
        <f>_xlfn.XLOOKUP(I183,Parâmetros!A:A,Parâmetros!B:B,_xlfn.XLOOKUP(Q183,Parâmetros!F:F,Parâmetros!G:G,"NOVA MENSAGEM"))</f>
        <v>RLOC NÃO INFORMADO</v>
      </c>
      <c r="N183" s="1" t="str">
        <f>_xlfn.XLOOKUP(M183,Parâmetros!K:K,Parâmetros!L:L,"")</f>
        <v>RLOC NÃO PREENCHIDO NA RESERVA</v>
      </c>
      <c r="O183" s="1" t="str">
        <f>_xlfn.XLOOKUP(M183,Parâmetros!B:B,Parâmetros!C:C,_xlfn.XLOOKUP(Base!M182,Parâmetros!G:G,Parâmetros!H:H))</f>
        <v>QUALIDADE DOS DADOS</v>
      </c>
      <c r="P183" s="1" t="str">
        <f>_xlfn.XLOOKUP(I183,Parâmetros!A:A,Parâmetros!D:D,_xlfn.XLOOKUP(Q183,Parâmetros!F:F,Parâmetros!I:I))</f>
        <v>SUPORTE OBT</v>
      </c>
      <c r="Q183" s="1" t="str">
        <f t="shared" si="5"/>
        <v>COLUNA I</v>
      </c>
    </row>
    <row r="184" spans="1:17" x14ac:dyDescent="0.25">
      <c r="A184" s="1" t="str">
        <f>_xlfn.XLOOKUP(D184,'Novo relatório'!B:B,'Novo relatório'!C:C,"RESOLVIDO")</f>
        <v>RESOLVIDO</v>
      </c>
      <c r="C184" t="str">
        <f t="shared" si="4"/>
        <v>RESOLVIDO</v>
      </c>
      <c r="D184" s="1">
        <v>3085664</v>
      </c>
      <c r="E184" s="1" t="s">
        <v>12</v>
      </c>
      <c r="F184" s="2">
        <v>45614.495833333334</v>
      </c>
      <c r="G184" s="1">
        <v>15741</v>
      </c>
      <c r="H184" s="1">
        <v>15741</v>
      </c>
      <c r="I184" s="1" t="s">
        <v>545</v>
      </c>
      <c r="M184" s="1" t="str">
        <f>_xlfn.XLOOKUP(I184,Parâmetros!A:A,Parâmetros!B:B,_xlfn.XLOOKUP(Q184,Parâmetros!F:F,Parâmetros!G:G,"NOVA MENSAGEM"))</f>
        <v>ERRO DE SQL</v>
      </c>
      <c r="N184" s="1" t="str">
        <f>_xlfn.XLOOKUP(M184,Parâmetros!K:K,Parâmetros!L:L,"")</f>
        <v>ERRO NA IMPORTAÇÃO/MODIFICAÇÃO DAS INFOMAÇÕES</v>
      </c>
      <c r="O184" s="1" t="str">
        <f>_xlfn.XLOOKUP(M184,Parâmetros!B:B,Parâmetros!C:C,_xlfn.XLOOKUP(Base!M183,Parâmetros!G:G,Parâmetros!H:H))</f>
        <v>SISTEMA</v>
      </c>
      <c r="P184" s="1" t="str">
        <f>_xlfn.XLOOKUP(I184,Parâmetros!A:A,Parâmetros!D:D,_xlfn.XLOOKUP(Q184,Parâmetros!F:F,Parâmetros!I:I))</f>
        <v>SUPORTE BENNER</v>
      </c>
      <c r="Q184" s="1" t="str">
        <f t="shared" si="5"/>
        <v>COLUNA I</v>
      </c>
    </row>
    <row r="185" spans="1:17" x14ac:dyDescent="0.25">
      <c r="A185" s="1" t="str">
        <f>_xlfn.XLOOKUP(D185,'Novo relatório'!B:B,'Novo relatório'!C:C,"RESOLVIDO")</f>
        <v>GOVER</v>
      </c>
      <c r="C185" t="str">
        <f t="shared" si="4"/>
        <v>PENDENTE</v>
      </c>
      <c r="D185" s="1">
        <v>3088679</v>
      </c>
      <c r="E185" s="1" t="s">
        <v>24</v>
      </c>
      <c r="F185" s="2">
        <v>45615.629166666666</v>
      </c>
      <c r="G185" s="1">
        <v>4450530</v>
      </c>
      <c r="H185" s="1">
        <v>16440115</v>
      </c>
      <c r="I185" s="1" t="s">
        <v>190</v>
      </c>
      <c r="J185" s="2">
        <v>45615.634722222225</v>
      </c>
      <c r="L185" s="1" t="s">
        <v>14</v>
      </c>
      <c r="M185" s="1" t="str">
        <f>_xlfn.XLOOKUP(I185,Parâmetros!A:A,Parâmetros!B:B,_xlfn.XLOOKUP(Q185,Parâmetros!F:F,Parâmetros!G:G,"NOVA MENSAGEM"))</f>
        <v>DADOS DO CARTÃO</v>
      </c>
      <c r="N185" s="1" t="str">
        <f>_xlfn.XLOOKUP(M185,Parâmetros!K:K,Parâmetros!L:L,"")</f>
        <v>TAG &lt;CARTAOVALIDADE&gt; NÃO ENVIADA</v>
      </c>
      <c r="O185" s="1" t="str">
        <f>_xlfn.XLOOKUP(M185,Parâmetros!B:B,Parâmetros!C:C,_xlfn.XLOOKUP(Base!M184,Parâmetros!G:G,Parâmetros!H:H))</f>
        <v>SISTEMA</v>
      </c>
      <c r="P185" s="1" t="str">
        <f>_xlfn.XLOOKUP(I185,Parâmetros!A:A,Parâmetros!D:D,_xlfn.XLOOKUP(Q185,Parâmetros!F:F,Parâmetros!I:I))</f>
        <v>SUPORTE OBT</v>
      </c>
      <c r="Q185" s="1" t="str">
        <f t="shared" si="5"/>
        <v>COLUNA I</v>
      </c>
    </row>
    <row r="186" spans="1:17" x14ac:dyDescent="0.25">
      <c r="A186" s="1" t="str">
        <f>_xlfn.XLOOKUP(D186,'Novo relatório'!B:B,'Novo relatório'!C:C,"RESOLVIDO")</f>
        <v>GOVER</v>
      </c>
      <c r="C186" t="str">
        <f t="shared" si="4"/>
        <v>PENDENTE</v>
      </c>
      <c r="D186" s="1">
        <v>3099707</v>
      </c>
      <c r="E186" s="1" t="s">
        <v>24</v>
      </c>
      <c r="F186" s="2">
        <v>45618.622916666667</v>
      </c>
      <c r="G186" s="1">
        <v>4452497</v>
      </c>
      <c r="H186" s="1" t="s">
        <v>600</v>
      </c>
      <c r="I186" s="1" t="s">
        <v>601</v>
      </c>
      <c r="J186" s="2">
        <v>45621.669444444444</v>
      </c>
      <c r="K186" s="2">
        <v>45659.64166666667</v>
      </c>
      <c r="L186" s="1" t="s">
        <v>14</v>
      </c>
      <c r="M186" s="1" t="str">
        <f>_xlfn.XLOOKUP(I186,Parâmetros!A:A,Parâmetros!B:B,_xlfn.XLOOKUP(Q186,Parâmetros!F:F,Parâmetros!G:G,"NOVA MENSAGEM"))</f>
        <v>TAG - ITEM VEÍCULO</v>
      </c>
      <c r="N186" s="1" t="str">
        <f>_xlfn.XLOOKUP(M186,Parâmetros!K:K,Parâmetros!L:L,"")</f>
        <v>TAGS DE DETALHAMENTO DO SERVIÇO NÃO ENVIADO NO XML</v>
      </c>
      <c r="O186" s="1" t="str">
        <f>_xlfn.XLOOKUP(M186,Parâmetros!B:B,Parâmetros!C:C,_xlfn.XLOOKUP(Base!M185,Parâmetros!G:G,Parâmetros!H:H))</f>
        <v>SISTEMA</v>
      </c>
      <c r="P186" s="1" t="str">
        <f>_xlfn.XLOOKUP(I186,Parâmetros!A:A,Parâmetros!D:D,_xlfn.XLOOKUP(Q186,Parâmetros!F:F,Parâmetros!I:I))</f>
        <v>SUPORTE OBT</v>
      </c>
      <c r="Q186" s="1">
        <f t="shared" si="5"/>
        <v>46</v>
      </c>
    </row>
    <row r="187" spans="1:17" x14ac:dyDescent="0.25">
      <c r="A187" s="1" t="str">
        <f>_xlfn.XLOOKUP(D187,'Novo relatório'!B:B,'Novo relatório'!C:C,"RESOLVIDO")</f>
        <v>RESOLVIDO</v>
      </c>
      <c r="C187" t="str">
        <f t="shared" si="4"/>
        <v>RESOLVIDO</v>
      </c>
      <c r="D187" s="1">
        <v>3103745</v>
      </c>
      <c r="E187" s="1" t="s">
        <v>12</v>
      </c>
      <c r="F187" s="2">
        <v>45622.518750000003</v>
      </c>
      <c r="G187" s="1">
        <v>15998</v>
      </c>
      <c r="H187" s="1">
        <v>15998</v>
      </c>
      <c r="I187" s="1" t="s">
        <v>545</v>
      </c>
      <c r="M187" s="1" t="str">
        <f>_xlfn.XLOOKUP(I187,Parâmetros!A:A,Parâmetros!B:B,_xlfn.XLOOKUP(Q187,Parâmetros!F:F,Parâmetros!G:G,"NOVA MENSAGEM"))</f>
        <v>ERRO DE SQL</v>
      </c>
      <c r="N187" s="1" t="str">
        <f>_xlfn.XLOOKUP(M187,Parâmetros!K:K,Parâmetros!L:L,"")</f>
        <v>ERRO NA IMPORTAÇÃO/MODIFICAÇÃO DAS INFOMAÇÕES</v>
      </c>
      <c r="O187" s="1" t="str">
        <f>_xlfn.XLOOKUP(M187,Parâmetros!B:B,Parâmetros!C:C,_xlfn.XLOOKUP(Base!M186,Parâmetros!G:G,Parâmetros!H:H))</f>
        <v>SISTEMA</v>
      </c>
      <c r="P187" s="1" t="str">
        <f>_xlfn.XLOOKUP(I187,Parâmetros!A:A,Parâmetros!D:D,_xlfn.XLOOKUP(Q187,Parâmetros!F:F,Parâmetros!I:I))</f>
        <v>SUPORTE BENNER</v>
      </c>
      <c r="Q187" s="1" t="str">
        <f t="shared" si="5"/>
        <v>COLUNA I</v>
      </c>
    </row>
    <row r="188" spans="1:17" x14ac:dyDescent="0.25">
      <c r="A188" s="1" t="str">
        <f>_xlfn.XLOOKUP(D188,'Novo relatório'!B:B,'Novo relatório'!C:C,"RESOLVIDO")</f>
        <v>GOVER</v>
      </c>
      <c r="C188" t="str">
        <f t="shared" si="4"/>
        <v>PENDENTE</v>
      </c>
      <c r="D188" s="1">
        <v>3104986</v>
      </c>
      <c r="E188" s="1" t="s">
        <v>24</v>
      </c>
      <c r="F188" s="2">
        <v>45572.51458333333</v>
      </c>
      <c r="G188" s="1">
        <v>4420759</v>
      </c>
      <c r="H188" s="1" t="s">
        <v>422</v>
      </c>
      <c r="I188" s="1" t="s">
        <v>423</v>
      </c>
      <c r="J188" s="2">
        <v>45623.493055555555</v>
      </c>
      <c r="K188" s="2">
        <v>45659.64166666667</v>
      </c>
      <c r="L188" s="1" t="s">
        <v>65</v>
      </c>
      <c r="M188" s="1" t="str">
        <f>_xlfn.XLOOKUP(I188,Parâmetros!A:A,Parâmetros!B:B,_xlfn.XLOOKUP(Q188,Parâmetros!F:F,Parâmetros!G:G,"NOVA MENSAGEM"))</f>
        <v>DADOS DO CARTÃO</v>
      </c>
      <c r="N188" s="1" t="str">
        <f>_xlfn.XLOOKUP(M188,Parâmetros!K:K,Parâmetros!L:L,"")</f>
        <v>TAG &lt;CARTAOVALIDADE&gt; NÃO ENVIADA</v>
      </c>
      <c r="O188" s="1" t="str">
        <f>_xlfn.XLOOKUP(M188,Parâmetros!B:B,Parâmetros!C:C,_xlfn.XLOOKUP(Base!M187,Parâmetros!G:G,Parâmetros!H:H))</f>
        <v>SISTEMA</v>
      </c>
      <c r="P188" s="1" t="str">
        <f>_xlfn.XLOOKUP(I188,Parâmetros!A:A,Parâmetros!D:D,_xlfn.XLOOKUP(Q188,Parâmetros!F:F,Parâmetros!I:I))</f>
        <v>SUPORTE OBT</v>
      </c>
      <c r="Q188" s="1">
        <f t="shared" si="5"/>
        <v>107</v>
      </c>
    </row>
    <row r="189" spans="1:17" x14ac:dyDescent="0.25">
      <c r="A189" s="1" t="str">
        <f>_xlfn.XLOOKUP(D189,'Novo relatório'!B:B,'Novo relatório'!C:C,"RESOLVIDO")</f>
        <v>GOVER</v>
      </c>
      <c r="C189" t="str">
        <f t="shared" si="4"/>
        <v>PENDENTE</v>
      </c>
      <c r="D189" s="1">
        <v>3105135</v>
      </c>
      <c r="E189" s="1" t="s">
        <v>24</v>
      </c>
      <c r="F189" s="2">
        <v>45623.402083333334</v>
      </c>
      <c r="G189" s="1">
        <v>4454970</v>
      </c>
      <c r="H189" s="1" t="s">
        <v>602</v>
      </c>
      <c r="I189" s="1" t="s">
        <v>603</v>
      </c>
      <c r="J189" s="2">
        <v>45623.495833333334</v>
      </c>
      <c r="K189" s="2">
        <v>45659.64166666667</v>
      </c>
      <c r="L189" s="1" t="s">
        <v>14</v>
      </c>
      <c r="M189" s="1" t="str">
        <f>_xlfn.XLOOKUP(I189,Parâmetros!A:A,Parâmetros!B:B,_xlfn.XLOOKUP(Q189,Parâmetros!F:F,Parâmetros!G:G,"NOVA MENSAGEM"))</f>
        <v>TAG - ITEM VEÍCULO</v>
      </c>
      <c r="N189" s="1" t="str">
        <f>_xlfn.XLOOKUP(M189,Parâmetros!K:K,Parâmetros!L:L,"")</f>
        <v>TAGS DE DETALHAMENTO DO SERVIÇO NÃO ENVIADO NO XML</v>
      </c>
      <c r="O189" s="1" t="str">
        <f>_xlfn.XLOOKUP(M189,Parâmetros!B:B,Parâmetros!C:C,_xlfn.XLOOKUP(Base!M188,Parâmetros!G:G,Parâmetros!H:H))</f>
        <v>SISTEMA</v>
      </c>
      <c r="P189" s="1" t="str">
        <f>_xlfn.XLOOKUP(I189,Parâmetros!A:A,Parâmetros!D:D,_xlfn.XLOOKUP(Q189,Parâmetros!F:F,Parâmetros!I:I))</f>
        <v>SUPORTE OBT</v>
      </c>
      <c r="Q189" s="1">
        <f t="shared" si="5"/>
        <v>46</v>
      </c>
    </row>
    <row r="190" spans="1:17" x14ac:dyDescent="0.25">
      <c r="A190" s="1" t="str">
        <f>_xlfn.XLOOKUP(D190,'Novo relatório'!B:B,'Novo relatório'!C:C,"RESOLVIDO")</f>
        <v>GOVER</v>
      </c>
      <c r="C190" t="str">
        <f t="shared" si="4"/>
        <v>PENDENTE</v>
      </c>
      <c r="D190" s="1">
        <v>3110579</v>
      </c>
      <c r="E190" s="1" t="s">
        <v>24</v>
      </c>
      <c r="F190" s="2">
        <v>45624.426388888889</v>
      </c>
      <c r="G190" s="1">
        <v>4455640</v>
      </c>
      <c r="H190" s="1" t="s">
        <v>604</v>
      </c>
      <c r="I190" s="1" t="s">
        <v>605</v>
      </c>
      <c r="J190" s="2">
        <v>45625.461805555555</v>
      </c>
      <c r="K190" s="2">
        <v>45659.64166666667</v>
      </c>
      <c r="L190" s="1" t="s">
        <v>14</v>
      </c>
      <c r="M190" s="1" t="str">
        <f>_xlfn.XLOOKUP(I190,Parâmetros!A:A,Parâmetros!B:B,_xlfn.XLOOKUP(Q190,Parâmetros!F:F,Parâmetros!G:G,"NOVA MENSAGEM"))</f>
        <v>TAG - ITEM VEÍCULO</v>
      </c>
      <c r="N190" s="1" t="str">
        <f>_xlfn.XLOOKUP(M190,Parâmetros!K:K,Parâmetros!L:L,"")</f>
        <v>TAGS DE DETALHAMENTO DO SERVIÇO NÃO ENVIADO NO XML</v>
      </c>
      <c r="O190" s="1" t="str">
        <f>_xlfn.XLOOKUP(M190,Parâmetros!B:B,Parâmetros!C:C,_xlfn.XLOOKUP(Base!M189,Parâmetros!G:G,Parâmetros!H:H))</f>
        <v>SISTEMA</v>
      </c>
      <c r="P190" s="1" t="str">
        <f>_xlfn.XLOOKUP(I190,Parâmetros!A:A,Parâmetros!D:D,_xlfn.XLOOKUP(Q190,Parâmetros!F:F,Parâmetros!I:I))</f>
        <v>SUPORTE OBT</v>
      </c>
      <c r="Q190" s="1">
        <f t="shared" si="5"/>
        <v>46</v>
      </c>
    </row>
    <row r="191" spans="1:17" x14ac:dyDescent="0.25">
      <c r="A191" s="1" t="str">
        <f>_xlfn.XLOOKUP(D191,'Novo relatório'!B:B,'Novo relatório'!C:C,"RESOLVIDO")</f>
        <v>GOVER</v>
      </c>
      <c r="C191" t="str">
        <f t="shared" si="4"/>
        <v>PENDENTE</v>
      </c>
      <c r="D191" s="1">
        <v>3118425</v>
      </c>
      <c r="E191" s="1" t="s">
        <v>24</v>
      </c>
      <c r="F191" s="2">
        <v>45628.818749999999</v>
      </c>
      <c r="G191" s="1">
        <v>4457740</v>
      </c>
      <c r="H191" s="1" t="s">
        <v>608</v>
      </c>
      <c r="I191" s="1" t="s">
        <v>609</v>
      </c>
      <c r="J191" s="2">
        <v>45629.537499999999</v>
      </c>
      <c r="K191" s="2">
        <v>45659.64166666667</v>
      </c>
      <c r="L191" s="1" t="s">
        <v>14</v>
      </c>
      <c r="M191" s="1" t="str">
        <f>_xlfn.XLOOKUP(I191,Parâmetros!A:A,Parâmetros!B:B,_xlfn.XLOOKUP(Q191,Parâmetros!F:F,Parâmetros!G:G,"NOVA MENSAGEM"))</f>
        <v>TAG - ITEM VEÍCULO</v>
      </c>
      <c r="N191" s="1" t="str">
        <f>_xlfn.XLOOKUP(M191,Parâmetros!K:K,Parâmetros!L:L,"")</f>
        <v>TAGS DE DETALHAMENTO DO SERVIÇO NÃO ENVIADO NO XML</v>
      </c>
      <c r="O191" s="1" t="str">
        <f>_xlfn.XLOOKUP(M191,Parâmetros!B:B,Parâmetros!C:C,_xlfn.XLOOKUP(Base!M190,Parâmetros!G:G,Parâmetros!H:H))</f>
        <v>SISTEMA</v>
      </c>
      <c r="P191" s="1" t="str">
        <f>_xlfn.XLOOKUP(I191,Parâmetros!A:A,Parâmetros!D:D,_xlfn.XLOOKUP(Q191,Parâmetros!F:F,Parâmetros!I:I))</f>
        <v>SUPORTE OBT</v>
      </c>
      <c r="Q191" s="1">
        <f t="shared" si="5"/>
        <v>46</v>
      </c>
    </row>
    <row r="192" spans="1:17" x14ac:dyDescent="0.25">
      <c r="A192" s="1" t="str">
        <f>_xlfn.XLOOKUP(D192,'Novo relatório'!B:B,'Novo relatório'!C:C,"RESOLVIDO")</f>
        <v>RESOLVIDO</v>
      </c>
      <c r="C192" t="str">
        <f t="shared" si="4"/>
        <v>RESOLVIDO</v>
      </c>
      <c r="D192" s="1">
        <v>3119226</v>
      </c>
      <c r="E192" s="1" t="s">
        <v>25</v>
      </c>
      <c r="F192" s="2">
        <v>45624.470138888886</v>
      </c>
      <c r="G192" s="1" t="s">
        <v>593</v>
      </c>
      <c r="H192" s="1" t="s">
        <v>594</v>
      </c>
      <c r="I192" s="1" t="s">
        <v>595</v>
      </c>
      <c r="J192" s="2">
        <v>45629.666666666664</v>
      </c>
      <c r="K192" s="2">
        <v>45635.476388888892</v>
      </c>
      <c r="L192" s="1" t="s">
        <v>19</v>
      </c>
      <c r="M192" s="1" t="str">
        <f>_xlfn.XLOOKUP(I192,Parâmetros!A:A,Parâmetros!B:B,_xlfn.XLOOKUP(Q192,Parâmetros!F:F,Parâmetros!G:G,"NOVA MENSAGEM"))</f>
        <v>CONTRATO FORNECEDOR</v>
      </c>
      <c r="N192" s="1" t="str">
        <f>_xlfn.XLOOKUP(M192,Parâmetros!K:K,Parâmetros!L:L,"")</f>
        <v>CONTRATO INATIVO OU DIVERGENTE</v>
      </c>
      <c r="O192" s="1" t="str">
        <f>_xlfn.XLOOKUP(M192,Parâmetros!B:B,Parâmetros!C:C,_xlfn.XLOOKUP(Base!M191,Parâmetros!G:G,Parâmetros!H:H))</f>
        <v>SISTEMA</v>
      </c>
      <c r="P192" s="1" t="str">
        <f>_xlfn.XLOOKUP(I192,Parâmetros!A:A,Parâmetros!D:D,_xlfn.XLOOKUP(Q192,Parâmetros!F:F,Parâmetros!I:I))</f>
        <v>OPERAÇÕES / SUPORTE KCS</v>
      </c>
      <c r="Q192" s="1">
        <f t="shared" si="5"/>
        <v>55</v>
      </c>
    </row>
    <row r="193" spans="1:17" x14ac:dyDescent="0.25">
      <c r="A193" s="1" t="str">
        <f>_xlfn.XLOOKUP(D193,'Novo relatório'!B:B,'Novo relatório'!C:C,"RESOLVIDO")</f>
        <v>RESOLVIDO</v>
      </c>
      <c r="C193" t="str">
        <f t="shared" si="4"/>
        <v>RESOLVIDO</v>
      </c>
      <c r="D193" s="1">
        <v>3119228</v>
      </c>
      <c r="E193" s="1" t="s">
        <v>25</v>
      </c>
      <c r="F193" s="2">
        <v>45624.477777777778</v>
      </c>
      <c r="G193" s="1" t="s">
        <v>596</v>
      </c>
      <c r="H193" s="1" t="s">
        <v>597</v>
      </c>
      <c r="I193" s="1" t="s">
        <v>595</v>
      </c>
      <c r="J193" s="2">
        <v>45629.666666666664</v>
      </c>
      <c r="K193" s="2">
        <v>45635.476388888892</v>
      </c>
      <c r="L193" s="1" t="s">
        <v>19</v>
      </c>
      <c r="M193" s="1" t="str">
        <f>_xlfn.XLOOKUP(I193,Parâmetros!A:A,Parâmetros!B:B,_xlfn.XLOOKUP(Q193,Parâmetros!F:F,Parâmetros!G:G,"NOVA MENSAGEM"))</f>
        <v>CONTRATO FORNECEDOR</v>
      </c>
      <c r="N193" s="1" t="str">
        <f>_xlfn.XLOOKUP(M193,Parâmetros!K:K,Parâmetros!L:L,"")</f>
        <v>CONTRATO INATIVO OU DIVERGENTE</v>
      </c>
      <c r="O193" s="1" t="str">
        <f>_xlfn.XLOOKUP(M193,Parâmetros!B:B,Parâmetros!C:C,_xlfn.XLOOKUP(Base!M192,Parâmetros!G:G,Parâmetros!H:H))</f>
        <v>SISTEMA</v>
      </c>
      <c r="P193" s="1" t="str">
        <f>_xlfn.XLOOKUP(I193,Parâmetros!A:A,Parâmetros!D:D,_xlfn.XLOOKUP(Q193,Parâmetros!F:F,Parâmetros!I:I))</f>
        <v>OPERAÇÕES / SUPORTE KCS</v>
      </c>
      <c r="Q193" s="1">
        <f t="shared" si="5"/>
        <v>55</v>
      </c>
    </row>
    <row r="194" spans="1:17" x14ac:dyDescent="0.25">
      <c r="A194" s="1" t="str">
        <f>_xlfn.XLOOKUP(D194,'Novo relatório'!B:B,'Novo relatório'!C:C,"RESOLVIDO")</f>
        <v>GOVER</v>
      </c>
      <c r="C194" t="str">
        <f t="shared" ref="C194:C257" si="6">IF(A194="RESOLVIDO","RESOLVIDO",IF(B194="","PENDENTE",IF(LEFT(B194,7)="CHAMADO","AGUARDANDO FORNECEDOR",IF(B194="CONTABILIZAR","CONTABILIZAR NO PORTAL"))))</f>
        <v>PENDENTE</v>
      </c>
      <c r="D194" s="1">
        <v>3121924</v>
      </c>
      <c r="E194" s="1" t="s">
        <v>24</v>
      </c>
      <c r="F194" s="2">
        <v>45630.588194444441</v>
      </c>
      <c r="G194" s="1">
        <v>4458747</v>
      </c>
      <c r="H194" s="1" t="s">
        <v>612</v>
      </c>
      <c r="I194" s="1" t="s">
        <v>613</v>
      </c>
      <c r="J194" s="2">
        <v>45630.78125</v>
      </c>
      <c r="K194" s="2">
        <v>45659.64166666667</v>
      </c>
      <c r="L194" s="1" t="s">
        <v>14</v>
      </c>
      <c r="M194" s="1" t="str">
        <f>_xlfn.XLOOKUP(I194,Parâmetros!A:A,Parâmetros!B:B,_xlfn.XLOOKUP(Q194,Parâmetros!F:F,Parâmetros!G:G,"NOVA MENSAGEM"))</f>
        <v>TAG - ITEM VEÍCULO</v>
      </c>
      <c r="N194" s="1" t="str">
        <f>_xlfn.XLOOKUP(M194,Parâmetros!K:K,Parâmetros!L:L,"")</f>
        <v>TAGS DE DETALHAMENTO DO SERVIÇO NÃO ENVIADO NO XML</v>
      </c>
      <c r="O194" s="1" t="str">
        <f>_xlfn.XLOOKUP(M194,Parâmetros!B:B,Parâmetros!C:C,_xlfn.XLOOKUP(Base!M193,Parâmetros!G:G,Parâmetros!H:H))</f>
        <v>SISTEMA</v>
      </c>
      <c r="P194" s="1" t="str">
        <f>_xlfn.XLOOKUP(I194,Parâmetros!A:A,Parâmetros!D:D,_xlfn.XLOOKUP(Q194,Parâmetros!F:F,Parâmetros!I:I))</f>
        <v>SUPORTE OBT</v>
      </c>
      <c r="Q194" s="1">
        <f t="shared" ref="Q194:Q257" si="7">IFERROR(FIND("Não foi possível localizar o contrato do fornecedor",I194),IFERROR(FIND("veículo",I194),IFERROR(FIND("agagem",I194),IFERROR(FIND("error in XML document",I194),IFERROR(FIND("Não localizado cliente código",I194),IFERROR(FIND("lemontech",I194),IFERROR(FIND("&gt;Fornecedor com o",I194),IFERROR(FIND("INSERT",I194),IFERROR(FIND("com CNPJ",I194),IFERROR(FIND("Consultando Agente-&gt; O agente",I194),IFERROR(FIND("Não foi possível determinar a validade do cartão, favor verificar os dados do cartão",I194),"COLUNA I")))))))))))</f>
        <v>46</v>
      </c>
    </row>
    <row r="195" spans="1:17" x14ac:dyDescent="0.25">
      <c r="A195" s="1" t="str">
        <f>_xlfn.XLOOKUP(D195,'Novo relatório'!B:B,'Novo relatório'!C:C,"RESOLVIDO")</f>
        <v>GOVER</v>
      </c>
      <c r="C195" t="str">
        <f t="shared" si="6"/>
        <v>PENDENTE</v>
      </c>
      <c r="D195" s="1">
        <v>3124783</v>
      </c>
      <c r="E195" s="1" t="s">
        <v>24</v>
      </c>
      <c r="F195" s="2">
        <v>45630.790277777778</v>
      </c>
      <c r="G195" s="1">
        <v>4458982</v>
      </c>
      <c r="H195" s="1" t="s">
        <v>614</v>
      </c>
      <c r="I195" s="1" t="s">
        <v>190</v>
      </c>
      <c r="J195" s="2">
        <v>45631.935416666667</v>
      </c>
      <c r="K195" s="2">
        <v>45659.64166666667</v>
      </c>
      <c r="L195" s="1" t="s">
        <v>14</v>
      </c>
      <c r="M195" s="1" t="str">
        <f>_xlfn.XLOOKUP(I195,Parâmetros!A:A,Parâmetros!B:B,_xlfn.XLOOKUP(Q195,Parâmetros!F:F,Parâmetros!G:G,"NOVA MENSAGEM"))</f>
        <v>DADOS DO CARTÃO</v>
      </c>
      <c r="N195" s="1" t="str">
        <f>_xlfn.XLOOKUP(M195,Parâmetros!K:K,Parâmetros!L:L,"")</f>
        <v>TAG &lt;CARTAOVALIDADE&gt; NÃO ENVIADA</v>
      </c>
      <c r="O195" s="1" t="str">
        <f>_xlfn.XLOOKUP(M195,Parâmetros!B:B,Parâmetros!C:C,_xlfn.XLOOKUP(Base!M194,Parâmetros!G:G,Parâmetros!H:H))</f>
        <v>SISTEMA</v>
      </c>
      <c r="P195" s="1" t="str">
        <f>_xlfn.XLOOKUP(I195,Parâmetros!A:A,Parâmetros!D:D,_xlfn.XLOOKUP(Q195,Parâmetros!F:F,Parâmetros!I:I))</f>
        <v>SUPORTE OBT</v>
      </c>
      <c r="Q195" s="1" t="str">
        <f t="shared" si="7"/>
        <v>COLUNA I</v>
      </c>
    </row>
    <row r="196" spans="1:17" x14ac:dyDescent="0.25">
      <c r="A196" s="1" t="str">
        <f>_xlfn.XLOOKUP(D196,'Novo relatório'!B:B,'Novo relatório'!C:C,"RESOLVIDO")</f>
        <v>GOVER</v>
      </c>
      <c r="C196" t="str">
        <f t="shared" si="6"/>
        <v>PENDENTE</v>
      </c>
      <c r="D196" s="1">
        <v>3126772</v>
      </c>
      <c r="E196" s="1" t="s">
        <v>24</v>
      </c>
      <c r="F196" s="2">
        <v>45632.647222222222</v>
      </c>
      <c r="G196" s="1">
        <v>4459951</v>
      </c>
      <c r="H196" s="1" t="s">
        <v>615</v>
      </c>
      <c r="I196" s="1" t="s">
        <v>616</v>
      </c>
      <c r="J196" s="2">
        <v>45632.769444444442</v>
      </c>
      <c r="K196" s="2">
        <v>45659.64166666667</v>
      </c>
      <c r="L196" s="1" t="s">
        <v>14</v>
      </c>
      <c r="M196" s="1" t="str">
        <f>_xlfn.XLOOKUP(I196,Parâmetros!A:A,Parâmetros!B:B,_xlfn.XLOOKUP(Q196,Parâmetros!F:F,Parâmetros!G:G,"NOVA MENSAGEM"))</f>
        <v>TAG - ITEM VEÍCULO</v>
      </c>
      <c r="N196" s="1" t="str">
        <f>_xlfn.XLOOKUP(M196,Parâmetros!K:K,Parâmetros!L:L,"")</f>
        <v>TAGS DE DETALHAMENTO DO SERVIÇO NÃO ENVIADO NO XML</v>
      </c>
      <c r="O196" s="1" t="str">
        <f>_xlfn.XLOOKUP(M196,Parâmetros!B:B,Parâmetros!C:C,_xlfn.XLOOKUP(Base!M195,Parâmetros!G:G,Parâmetros!H:H))</f>
        <v>SISTEMA</v>
      </c>
      <c r="P196" s="1" t="str">
        <f>_xlfn.XLOOKUP(I196,Parâmetros!A:A,Parâmetros!D:D,_xlfn.XLOOKUP(Q196,Parâmetros!F:F,Parâmetros!I:I))</f>
        <v>SUPORTE OBT</v>
      </c>
      <c r="Q196" s="1">
        <f t="shared" si="7"/>
        <v>46</v>
      </c>
    </row>
    <row r="197" spans="1:17" x14ac:dyDescent="0.25">
      <c r="A197" s="1" t="str">
        <f>_xlfn.XLOOKUP(D197,'Novo relatório'!B:B,'Novo relatório'!C:C,"RESOLVIDO")</f>
        <v>GOVER</v>
      </c>
      <c r="C197" t="str">
        <f t="shared" si="6"/>
        <v>PENDENTE</v>
      </c>
      <c r="D197" s="1">
        <v>3129168</v>
      </c>
      <c r="E197" s="1" t="s">
        <v>24</v>
      </c>
      <c r="F197" s="2">
        <v>45635.618750000001</v>
      </c>
      <c r="G197" s="1">
        <v>4460559</v>
      </c>
      <c r="H197" s="1" t="s">
        <v>617</v>
      </c>
      <c r="I197" s="1" t="s">
        <v>618</v>
      </c>
      <c r="J197" s="2">
        <v>45635.724999999999</v>
      </c>
      <c r="K197" s="2">
        <v>45659.64166666667</v>
      </c>
      <c r="L197" s="1" t="s">
        <v>14</v>
      </c>
      <c r="M197" s="1" t="str">
        <f>_xlfn.XLOOKUP(I197,Parâmetros!A:A,Parâmetros!B:B,_xlfn.XLOOKUP(Q197,Parâmetros!F:F,Parâmetros!G:G,"NOVA MENSAGEM"))</f>
        <v>TAG - ITEM VEÍCULO</v>
      </c>
      <c r="N197" s="1" t="str">
        <f>_xlfn.XLOOKUP(M197,Parâmetros!K:K,Parâmetros!L:L,"")</f>
        <v>TAGS DE DETALHAMENTO DO SERVIÇO NÃO ENVIADO NO XML</v>
      </c>
      <c r="O197" s="1" t="str">
        <f>_xlfn.XLOOKUP(M197,Parâmetros!B:B,Parâmetros!C:C,_xlfn.XLOOKUP(Base!M196,Parâmetros!G:G,Parâmetros!H:H))</f>
        <v>SISTEMA</v>
      </c>
      <c r="P197" s="1" t="str">
        <f>_xlfn.XLOOKUP(I197,Parâmetros!A:A,Parâmetros!D:D,_xlfn.XLOOKUP(Q197,Parâmetros!F:F,Parâmetros!I:I))</f>
        <v>SUPORTE OBT</v>
      </c>
      <c r="Q197" s="1">
        <f t="shared" si="7"/>
        <v>46</v>
      </c>
    </row>
    <row r="198" spans="1:17" x14ac:dyDescent="0.25">
      <c r="A198" s="1" t="str">
        <f>_xlfn.XLOOKUP(D198,'Novo relatório'!B:B,'Novo relatório'!C:C,"RESOLVIDO")</f>
        <v>GOVER</v>
      </c>
      <c r="C198" t="str">
        <f t="shared" si="6"/>
        <v>PENDENTE</v>
      </c>
      <c r="D198" s="1">
        <v>3130928</v>
      </c>
      <c r="E198" s="1" t="s">
        <v>24</v>
      </c>
      <c r="F198" s="2">
        <v>45636.395833333336</v>
      </c>
      <c r="G198" s="1">
        <v>4460863</v>
      </c>
      <c r="H198" s="1" t="s">
        <v>624</v>
      </c>
      <c r="I198" s="1" t="s">
        <v>625</v>
      </c>
      <c r="J198" s="2">
        <v>45636.642361111109</v>
      </c>
      <c r="K198" s="2">
        <v>45659.64166666667</v>
      </c>
      <c r="L198" s="1" t="s">
        <v>14</v>
      </c>
      <c r="M198" s="1" t="str">
        <f>_xlfn.XLOOKUP(I198,Parâmetros!A:A,Parâmetros!B:B,_xlfn.XLOOKUP(Q198,Parâmetros!F:F,Parâmetros!G:G,"NOVA MENSAGEM"))</f>
        <v>TAG - ITEM VEÍCULO</v>
      </c>
      <c r="N198" s="1" t="str">
        <f>_xlfn.XLOOKUP(M198,Parâmetros!K:K,Parâmetros!L:L,"")</f>
        <v>TAGS DE DETALHAMENTO DO SERVIÇO NÃO ENVIADO NO XML</v>
      </c>
      <c r="O198" s="1" t="str">
        <f>_xlfn.XLOOKUP(M198,Parâmetros!B:B,Parâmetros!C:C,_xlfn.XLOOKUP(Base!M197,Parâmetros!G:G,Parâmetros!H:H))</f>
        <v>SISTEMA</v>
      </c>
      <c r="P198" s="1" t="str">
        <f>_xlfn.XLOOKUP(I198,Parâmetros!A:A,Parâmetros!D:D,_xlfn.XLOOKUP(Q198,Parâmetros!F:F,Parâmetros!I:I))</f>
        <v>SUPORTE OBT</v>
      </c>
      <c r="Q198" s="1">
        <f t="shared" si="7"/>
        <v>46</v>
      </c>
    </row>
    <row r="199" spans="1:17" x14ac:dyDescent="0.25">
      <c r="A199" s="1" t="str">
        <f>_xlfn.XLOOKUP(D199,'Novo relatório'!B:B,'Novo relatório'!C:C,"RESOLVIDO")</f>
        <v>RESOLVIDO</v>
      </c>
      <c r="C199" t="str">
        <f t="shared" si="6"/>
        <v>RESOLVIDO</v>
      </c>
      <c r="D199" s="1">
        <v>3137255</v>
      </c>
      <c r="E199" s="1" t="s">
        <v>12</v>
      </c>
      <c r="F199" s="2">
        <v>45639.429861111108</v>
      </c>
      <c r="G199" s="1">
        <v>231</v>
      </c>
      <c r="H199" s="1">
        <v>231</v>
      </c>
      <c r="I199" s="1" t="s">
        <v>113</v>
      </c>
      <c r="J199" s="2">
        <v>45639.462500000001</v>
      </c>
      <c r="K199" s="2">
        <v>45643.006944444445</v>
      </c>
      <c r="L199" s="1" t="s">
        <v>14</v>
      </c>
      <c r="M199" s="1" t="str">
        <f>_xlfn.XLOOKUP(I199,Parâmetros!A:A,Parâmetros!B:B,_xlfn.XLOOKUP(Q199,Parâmetros!F:F,Parâmetros!G:G,"NOVA MENSAGEM"))</f>
        <v>FORMATO DE TEXTO</v>
      </c>
      <c r="N199" s="1" t="str">
        <f>_xlfn.XLOOKUP(M199,Parâmetros!K:K,Parâmetros!L:L,"")</f>
        <v>TEXTO FORA DO PADRÃO ACEITO NO CAMPO</v>
      </c>
      <c r="O199" s="1" t="str">
        <f>_xlfn.XLOOKUP(M199,Parâmetros!B:B,Parâmetros!C:C,_xlfn.XLOOKUP(Base!M198,Parâmetros!G:G,Parâmetros!H:H))</f>
        <v>INDEFINIDO</v>
      </c>
      <c r="P199" s="1" t="str">
        <f>_xlfn.XLOOKUP(I199,Parâmetros!A:A,Parâmetros!D:D,_xlfn.XLOOKUP(Q199,Parâmetros!F:F,Parâmetros!I:I))</f>
        <v>SUPORTE OBT</v>
      </c>
      <c r="Q199" s="1" t="str">
        <f t="shared" si="7"/>
        <v>COLUNA I</v>
      </c>
    </row>
    <row r="200" spans="1:17" x14ac:dyDescent="0.25">
      <c r="A200" s="1" t="str">
        <f>_xlfn.XLOOKUP(D200,'Novo relatório'!B:B,'Novo relatório'!C:C,"RESOLVIDO")</f>
        <v>RESOLVIDO</v>
      </c>
      <c r="C200" t="str">
        <f t="shared" si="6"/>
        <v>RESOLVIDO</v>
      </c>
      <c r="D200" s="1">
        <v>3137256</v>
      </c>
      <c r="E200" s="1" t="s">
        <v>12</v>
      </c>
      <c r="F200" s="2">
        <v>45639.423611111109</v>
      </c>
      <c r="G200" s="1">
        <v>230</v>
      </c>
      <c r="H200" s="1">
        <v>230</v>
      </c>
      <c r="I200" s="1" t="s">
        <v>113</v>
      </c>
      <c r="J200" s="2">
        <v>45639.462500000001</v>
      </c>
      <c r="K200" s="2">
        <v>45643.006944444445</v>
      </c>
      <c r="L200" s="1" t="s">
        <v>14</v>
      </c>
      <c r="M200" s="1" t="str">
        <f>_xlfn.XLOOKUP(I200,Parâmetros!A:A,Parâmetros!B:B,_xlfn.XLOOKUP(Q200,Parâmetros!F:F,Parâmetros!G:G,"NOVA MENSAGEM"))</f>
        <v>FORMATO DE TEXTO</v>
      </c>
      <c r="N200" s="1" t="str">
        <f>_xlfn.XLOOKUP(M200,Parâmetros!K:K,Parâmetros!L:L,"")</f>
        <v>TEXTO FORA DO PADRÃO ACEITO NO CAMPO</v>
      </c>
      <c r="O200" s="1" t="str">
        <f>_xlfn.XLOOKUP(M200,Parâmetros!B:B,Parâmetros!C:C,_xlfn.XLOOKUP(Base!M199,Parâmetros!G:G,Parâmetros!H:H))</f>
        <v>INDEFINIDO</v>
      </c>
      <c r="P200" s="1" t="str">
        <f>_xlfn.XLOOKUP(I200,Parâmetros!A:A,Parâmetros!D:D,_xlfn.XLOOKUP(Q200,Parâmetros!F:F,Parâmetros!I:I))</f>
        <v>SUPORTE OBT</v>
      </c>
      <c r="Q200" s="1" t="str">
        <f t="shared" si="7"/>
        <v>COLUNA I</v>
      </c>
    </row>
    <row r="201" spans="1:17" x14ac:dyDescent="0.25">
      <c r="A201" s="1" t="str">
        <f>_xlfn.XLOOKUP(D201,'Novo relatório'!B:B,'Novo relatório'!C:C,"RESOLVIDO")</f>
        <v>RESOLVIDO</v>
      </c>
      <c r="C201" t="str">
        <f t="shared" si="6"/>
        <v>RESOLVIDO</v>
      </c>
      <c r="D201" s="1">
        <v>3138261</v>
      </c>
      <c r="E201" s="1" t="s">
        <v>12</v>
      </c>
      <c r="F201" s="2">
        <v>45639.647222222222</v>
      </c>
      <c r="G201" s="1">
        <v>260</v>
      </c>
      <c r="H201" s="1">
        <v>260</v>
      </c>
      <c r="I201" s="1" t="s">
        <v>113</v>
      </c>
      <c r="J201" s="2">
        <v>45639.732638888891</v>
      </c>
      <c r="K201" s="2">
        <v>45643.006249999999</v>
      </c>
      <c r="L201" s="1" t="s">
        <v>14</v>
      </c>
      <c r="M201" s="1" t="str">
        <f>_xlfn.XLOOKUP(I201,Parâmetros!A:A,Parâmetros!B:B,_xlfn.XLOOKUP(Q201,Parâmetros!F:F,Parâmetros!G:G,"NOVA MENSAGEM"))</f>
        <v>FORMATO DE TEXTO</v>
      </c>
      <c r="N201" s="1" t="str">
        <f>_xlfn.XLOOKUP(M201,Parâmetros!K:K,Parâmetros!L:L,"")</f>
        <v>TEXTO FORA DO PADRÃO ACEITO NO CAMPO</v>
      </c>
      <c r="O201" s="1" t="str">
        <f>_xlfn.XLOOKUP(M201,Parâmetros!B:B,Parâmetros!C:C,_xlfn.XLOOKUP(Base!M200,Parâmetros!G:G,Parâmetros!H:H))</f>
        <v>INDEFINIDO</v>
      </c>
      <c r="P201" s="1" t="str">
        <f>_xlfn.XLOOKUP(I201,Parâmetros!A:A,Parâmetros!D:D,_xlfn.XLOOKUP(Q201,Parâmetros!F:F,Parâmetros!I:I))</f>
        <v>SUPORTE OBT</v>
      </c>
      <c r="Q201" s="1" t="str">
        <f t="shared" si="7"/>
        <v>COLUNA I</v>
      </c>
    </row>
    <row r="202" spans="1:17" x14ac:dyDescent="0.25">
      <c r="A202" s="1" t="str">
        <f>_xlfn.XLOOKUP(D202,'Novo relatório'!B:B,'Novo relatório'!C:C,"RESOLVIDO")</f>
        <v>GOVER</v>
      </c>
      <c r="C202" t="str">
        <f t="shared" si="6"/>
        <v>PENDENTE</v>
      </c>
      <c r="D202" s="1">
        <v>3141483</v>
      </c>
      <c r="E202" s="1" t="s">
        <v>24</v>
      </c>
      <c r="F202" s="2">
        <v>45643.021527777775</v>
      </c>
      <c r="G202" s="1">
        <v>4463691</v>
      </c>
      <c r="H202" s="1" t="s">
        <v>627</v>
      </c>
      <c r="I202" s="1" t="s">
        <v>628</v>
      </c>
      <c r="J202" s="2">
        <v>45643.496527777781</v>
      </c>
      <c r="K202" s="2">
        <v>45659.64166666667</v>
      </c>
      <c r="L202" s="1" t="s">
        <v>14</v>
      </c>
      <c r="M202" s="1" t="str">
        <f>_xlfn.XLOOKUP(I202,Parâmetros!A:A,Parâmetros!B:B,_xlfn.XLOOKUP(Q202,Parâmetros!F:F,Parâmetros!G:G,"NOVA MENSAGEM"))</f>
        <v>TAG - ITEM VEÍCULO</v>
      </c>
      <c r="N202" s="1" t="str">
        <f>_xlfn.XLOOKUP(M202,Parâmetros!K:K,Parâmetros!L:L,"")</f>
        <v>TAGS DE DETALHAMENTO DO SERVIÇO NÃO ENVIADO NO XML</v>
      </c>
      <c r="O202" s="1" t="e">
        <f>_xlfn.XLOOKUP(M202,Parâmetros!B:B,Parâmetros!C:C,_xlfn.XLOOKUP(Base!M201,Parâmetros!G:G,Parâmetros!H:H))</f>
        <v>#N/A</v>
      </c>
      <c r="P202" s="1" t="str">
        <f>_xlfn.XLOOKUP(I202,Parâmetros!A:A,Parâmetros!D:D,_xlfn.XLOOKUP(Q202,Parâmetros!F:F,Parâmetros!I:I))</f>
        <v>SUPORTE OBT</v>
      </c>
      <c r="Q202" s="1">
        <f t="shared" si="7"/>
        <v>46</v>
      </c>
    </row>
    <row r="203" spans="1:17" x14ac:dyDescent="0.25">
      <c r="A203" s="1" t="str">
        <f>_xlfn.XLOOKUP(D203,'Novo relatório'!B:B,'Novo relatório'!C:C,"RESOLVIDO")</f>
        <v>RESOLVIDO</v>
      </c>
      <c r="C203" t="str">
        <f t="shared" si="6"/>
        <v>RESOLVIDO</v>
      </c>
      <c r="D203" s="1">
        <v>3156891</v>
      </c>
      <c r="E203" s="1" t="s">
        <v>12</v>
      </c>
      <c r="F203" s="2">
        <v>45657.515277777777</v>
      </c>
      <c r="G203" s="1">
        <v>521</v>
      </c>
      <c r="H203" s="1">
        <v>521</v>
      </c>
      <c r="I203" s="1" t="s">
        <v>374</v>
      </c>
      <c r="J203" s="2">
        <v>45657.7</v>
      </c>
      <c r="K203" s="2">
        <v>45659.474305555559</v>
      </c>
      <c r="L203" s="1" t="s">
        <v>14</v>
      </c>
      <c r="M203" s="1" t="str">
        <f>_xlfn.XLOOKUP(I203,Parâmetros!A:A,Parâmetros!B:B,_xlfn.XLOOKUP(Q203,Parâmetros!F:F,Parâmetros!G:G,"NOVA MENSAGEM"))</f>
        <v>FORMATO DE TEXTO</v>
      </c>
      <c r="N203" s="1" t="str">
        <f>_xlfn.XLOOKUP(M203,Parâmetros!K:K,Parâmetros!L:L,"")</f>
        <v>TEXTO FORA DO PADRÃO ACEITO NO CAMPO</v>
      </c>
      <c r="O203" s="1" t="str">
        <f>_xlfn.XLOOKUP(M203,Parâmetros!B:B,Parâmetros!C:C,_xlfn.XLOOKUP(Base!M202,Parâmetros!G:G,Parâmetros!H:H))</f>
        <v>INDEFINIDO</v>
      </c>
      <c r="P203" s="1" t="str">
        <f>_xlfn.XLOOKUP(I203,Parâmetros!A:A,Parâmetros!D:D,_xlfn.XLOOKUP(Q203,Parâmetros!F:F,Parâmetros!I:I))</f>
        <v>SUPORTE OBT</v>
      </c>
      <c r="Q203" s="1" t="str">
        <f t="shared" si="7"/>
        <v>COLUNA I</v>
      </c>
    </row>
    <row r="204" spans="1:17" x14ac:dyDescent="0.25">
      <c r="A204" s="1" t="str">
        <f>_xlfn.XLOOKUP(D204,'Novo relatório'!B:B,'Novo relatório'!C:C,"RESOLVIDO")</f>
        <v>RESOLVIDO</v>
      </c>
      <c r="C204" t="str">
        <f t="shared" si="6"/>
        <v>RESOLVIDO</v>
      </c>
      <c r="D204" s="1">
        <v>3159209</v>
      </c>
      <c r="E204" s="1" t="s">
        <v>26</v>
      </c>
      <c r="F204" s="2">
        <v>45708.71597222222</v>
      </c>
      <c r="G204" s="1" t="s">
        <v>1152</v>
      </c>
      <c r="H204" s="1" t="s">
        <v>1152</v>
      </c>
      <c r="I204" s="1" t="s">
        <v>588</v>
      </c>
      <c r="J204" s="2">
        <v>45659.647916666669</v>
      </c>
      <c r="K204" s="2">
        <v>45708.850694444445</v>
      </c>
      <c r="L204" s="1" t="s">
        <v>14</v>
      </c>
      <c r="M204" s="1" t="str">
        <f>_xlfn.XLOOKUP(I204,Parâmetros!A:A,Parâmetros!B:B,_xlfn.XLOOKUP(Q204,Parâmetros!F:F,Parâmetros!G:G,"NOVA MENSAGEM"))</f>
        <v>ERRO NO XML</v>
      </c>
      <c r="N204" s="1" t="str">
        <f>_xlfn.XLOOKUP(M204,Parâmetros!K:K,Parâmetros!L:L,"")</f>
        <v/>
      </c>
      <c r="O204" s="1" t="str">
        <f>_xlfn.XLOOKUP(M204,Parâmetros!B:B,Parâmetros!C:C,_xlfn.XLOOKUP(Base!M629,Parâmetros!G:G,Parâmetros!H:H))</f>
        <v>SISTEMA</v>
      </c>
      <c r="P204" s="1" t="str">
        <f>_xlfn.XLOOKUP(I204,Parâmetros!A:A,Parâmetros!D:D,_xlfn.XLOOKUP(Q204,Parâmetros!F:F,Parâmetros!I:I))</f>
        <v>SUPORTE OBT</v>
      </c>
      <c r="Q204" s="1" t="str">
        <f t="shared" si="7"/>
        <v>COLUNA I</v>
      </c>
    </row>
    <row r="205" spans="1:17" x14ac:dyDescent="0.25">
      <c r="A205" s="1" t="str">
        <f>_xlfn.XLOOKUP(D205,'Novo relatório'!B:B,'Novo relatório'!C:C,"RESOLVIDO")</f>
        <v>RESOLVIDO</v>
      </c>
      <c r="C205" t="str">
        <f t="shared" si="6"/>
        <v>RESOLVIDO</v>
      </c>
      <c r="D205" s="1">
        <v>3159212</v>
      </c>
      <c r="E205" s="1" t="s">
        <v>26</v>
      </c>
      <c r="F205" s="2">
        <v>45659.51666666667</v>
      </c>
      <c r="G205" s="1" t="s">
        <v>636</v>
      </c>
      <c r="H205" s="1" t="s">
        <v>636</v>
      </c>
      <c r="I205" s="1" t="s">
        <v>398</v>
      </c>
      <c r="J205" s="2">
        <v>45659.648611111108</v>
      </c>
      <c r="L205" s="1" t="s">
        <v>18</v>
      </c>
      <c r="M205" s="1" t="str">
        <f>_xlfn.XLOOKUP(I205,Parâmetros!A:A,Parâmetros!B:B,_xlfn.XLOOKUP(Q205,Parâmetros!F:F,Parâmetros!G:G,"NOVA MENSAGEM"))</f>
        <v>REMARK - CNPJ</v>
      </c>
      <c r="N205" s="1" t="str">
        <f>_xlfn.XLOOKUP(M205,Parâmetros!K:K,Parâmetros!L:L,"")</f>
        <v/>
      </c>
      <c r="O205" s="1" t="e">
        <f>_xlfn.XLOOKUP(M205,Parâmetros!B:B,Parâmetros!C:C,_xlfn.XLOOKUP(Base!M203,Parâmetros!G:G,Parâmetros!H:H))</f>
        <v>#N/A</v>
      </c>
      <c r="P205" s="1" t="str">
        <f>_xlfn.XLOOKUP(I205,Parâmetros!A:A,Parâmetros!D:D,_xlfn.XLOOKUP(Q205,Parâmetros!F:F,Parâmetros!I:I))</f>
        <v>OPERAÇÕES / SUPORTE KCS</v>
      </c>
      <c r="Q205" s="1">
        <f t="shared" si="7"/>
        <v>24</v>
      </c>
    </row>
    <row r="206" spans="1:17" x14ac:dyDescent="0.25">
      <c r="A206" s="1" t="str">
        <f>_xlfn.XLOOKUP(D206,'Novo relatório'!B:B,'Novo relatório'!C:C,"RESOLVIDO")</f>
        <v>RESOLVIDO</v>
      </c>
      <c r="C206" t="str">
        <f t="shared" si="6"/>
        <v>RESOLVIDO</v>
      </c>
      <c r="D206" s="1">
        <v>3159244</v>
      </c>
      <c r="E206" s="1" t="s">
        <v>26</v>
      </c>
      <c r="F206" s="2">
        <v>45659.51666666667</v>
      </c>
      <c r="G206" s="1" t="s">
        <v>651</v>
      </c>
      <c r="H206" s="1" t="s">
        <v>651</v>
      </c>
      <c r="I206" s="1" t="s">
        <v>652</v>
      </c>
      <c r="J206" s="2">
        <v>45659.649305555555</v>
      </c>
      <c r="L206" s="1" t="s">
        <v>18</v>
      </c>
      <c r="M206" s="1" t="str">
        <f>_xlfn.XLOOKUP(I206,Parâmetros!A:A,Parâmetros!B:B,_xlfn.XLOOKUP(Q206,Parâmetros!F:F,Parâmetros!G:G,"NOVA MENSAGEM"))</f>
        <v>CÓD. CLIENTE DIVERGENTE</v>
      </c>
      <c r="N206" s="1" t="str">
        <f>_xlfn.XLOOKUP(M206,Parâmetros!K:K,Parâmetros!L:L,"")</f>
        <v>CÓDIGO DIFERENTE DO CADASTRADO NO BENNER (CLIENTE X GRUPO)</v>
      </c>
      <c r="O206" s="1" t="str">
        <f>_xlfn.XLOOKUP(M206,Parâmetros!B:B,Parâmetros!C:C,_xlfn.XLOOKUP(Base!M204,Parâmetros!G:G,Parâmetros!H:H))</f>
        <v>QUALIDADE DOS DADOS</v>
      </c>
      <c r="P206" s="1" t="str">
        <f>_xlfn.XLOOKUP(I206,Parâmetros!A:A,Parâmetros!D:D,_xlfn.XLOOKUP(Q206,Parâmetros!F:F,Parâmetros!I:I))</f>
        <v>SUPORTE OBT</v>
      </c>
      <c r="Q206" s="1">
        <f t="shared" si="7"/>
        <v>1</v>
      </c>
    </row>
    <row r="207" spans="1:17" x14ac:dyDescent="0.25">
      <c r="A207" s="1" t="str">
        <f>_xlfn.XLOOKUP(D207,'Novo relatório'!B:B,'Novo relatório'!C:C,"RESOLVIDO")</f>
        <v>RESOLVIDO</v>
      </c>
      <c r="C207" t="str">
        <f t="shared" si="6"/>
        <v>RESOLVIDO</v>
      </c>
      <c r="D207" s="1">
        <v>3159813</v>
      </c>
      <c r="E207" s="1" t="s">
        <v>26</v>
      </c>
      <c r="F207" s="2">
        <v>45659.625</v>
      </c>
      <c r="G207" s="1" t="s">
        <v>653</v>
      </c>
      <c r="H207" s="1" t="s">
        <v>653</v>
      </c>
      <c r="I207" s="1" t="s">
        <v>394</v>
      </c>
      <c r="J207" s="2">
        <v>45659.753472222219</v>
      </c>
      <c r="L207" s="1" t="s">
        <v>18</v>
      </c>
      <c r="M207" s="1" t="str">
        <f>_xlfn.XLOOKUP(I207,Parâmetros!A:A,Parâmetros!B:B,_xlfn.XLOOKUP(Q207,Parâmetros!F:F,Parâmetros!G:G,"NOVA MENSAGEM"))</f>
        <v>REMARK - CNPJ</v>
      </c>
      <c r="N207" s="1" t="str">
        <f>_xlfn.XLOOKUP(M207,Parâmetros!K:K,Parâmetros!L:L,"")</f>
        <v/>
      </c>
      <c r="O207" s="1" t="str">
        <f>_xlfn.XLOOKUP(M207,Parâmetros!B:B,Parâmetros!C:C,_xlfn.XLOOKUP(Base!M205,Parâmetros!G:G,Parâmetros!H:H))</f>
        <v>QUALIDADE DOS DADOS</v>
      </c>
      <c r="P207" s="1" t="str">
        <f>_xlfn.XLOOKUP(I207,Parâmetros!A:A,Parâmetros!D:D,_xlfn.XLOOKUP(Q207,Parâmetros!F:F,Parâmetros!I:I))</f>
        <v>OPERAÇÕES / SUPORTE KCS</v>
      </c>
      <c r="Q207" s="1">
        <f t="shared" si="7"/>
        <v>24</v>
      </c>
    </row>
    <row r="208" spans="1:17" x14ac:dyDescent="0.25">
      <c r="A208" s="1" t="str">
        <f>_xlfn.XLOOKUP(D208,'Novo relatório'!B:B,'Novo relatório'!C:C,"RESOLVIDO")</f>
        <v>RESOLVIDO</v>
      </c>
      <c r="C208" t="str">
        <f t="shared" si="6"/>
        <v>RESOLVIDO</v>
      </c>
      <c r="D208" s="1">
        <v>3160929</v>
      </c>
      <c r="E208" s="1" t="s">
        <v>26</v>
      </c>
      <c r="F208" s="2">
        <v>45660.353472222225</v>
      </c>
      <c r="G208" s="1" t="s">
        <v>649</v>
      </c>
      <c r="H208" s="1" t="s">
        <v>650</v>
      </c>
      <c r="I208" s="1" t="s">
        <v>166</v>
      </c>
      <c r="J208" s="2">
        <v>45660.481944444444</v>
      </c>
      <c r="L208" s="1" t="s">
        <v>19</v>
      </c>
      <c r="M208" s="1" t="str">
        <f>_xlfn.XLOOKUP(I208,Parâmetros!A:A,Parâmetros!B:B,_xlfn.XLOOKUP(Q208,Parâmetros!F:F,Parâmetros!G:G,"NOVA MENSAGEM"))</f>
        <v>CONTRATO FORNECEDOR</v>
      </c>
      <c r="N208" s="1" t="str">
        <f>_xlfn.XLOOKUP(M208,Parâmetros!K:K,Parâmetros!L:L,"")</f>
        <v>CONTRATO INATIVO OU DIVERGENTE</v>
      </c>
      <c r="O208" s="1" t="str">
        <f>_xlfn.XLOOKUP(M208,Parâmetros!B:B,Parâmetros!C:C,_xlfn.XLOOKUP(Base!M206,Parâmetros!G:G,Parâmetros!H:H))</f>
        <v>SISTEMA</v>
      </c>
      <c r="P208" s="1" t="str">
        <f>_xlfn.XLOOKUP(I208,Parâmetros!A:A,Parâmetros!D:D,_xlfn.XLOOKUP(Q208,Parâmetros!F:F,Parâmetros!I:I))</f>
        <v>OPERAÇÕES / SUPORTE KCS</v>
      </c>
      <c r="Q208" s="1">
        <f t="shared" si="7"/>
        <v>43</v>
      </c>
    </row>
    <row r="209" spans="1:17" x14ac:dyDescent="0.25">
      <c r="A209" s="1" t="str">
        <f>_xlfn.XLOOKUP(D209,'Novo relatório'!B:B,'Novo relatório'!C:C,"RESOLVIDO")</f>
        <v>GOVER</v>
      </c>
      <c r="C209" t="str">
        <f t="shared" si="6"/>
        <v>PENDENTE</v>
      </c>
      <c r="D209" s="1">
        <v>3161782</v>
      </c>
      <c r="E209" s="1" t="s">
        <v>24</v>
      </c>
      <c r="F209" s="2">
        <v>45659.368055555555</v>
      </c>
      <c r="G209" s="1">
        <v>4467638</v>
      </c>
      <c r="H209" s="1" t="s">
        <v>245</v>
      </c>
      <c r="I209" s="1" t="s">
        <v>246</v>
      </c>
      <c r="J209" s="2">
        <v>45660.710416666669</v>
      </c>
      <c r="K209" s="2">
        <v>45665.697916666664</v>
      </c>
      <c r="L209" s="1" t="s">
        <v>14</v>
      </c>
      <c r="M209" s="1" t="str">
        <f>_xlfn.XLOOKUP(I209,Parâmetros!A:A,Parâmetros!B:B,_xlfn.XLOOKUP(Q209,Parâmetros!F:F,Parâmetros!G:G,"NOVA MENSAGEM"))</f>
        <v>TAG - ITEM VEÍCULO</v>
      </c>
      <c r="N209" s="1" t="str">
        <f>_xlfn.XLOOKUP(M209,Parâmetros!K:K,Parâmetros!L:L,"")</f>
        <v>TAGS DE DETALHAMENTO DO SERVIÇO NÃO ENVIADO NO XML</v>
      </c>
      <c r="O209" s="1" t="str">
        <f>_xlfn.XLOOKUP(M209,Parâmetros!B:B,Parâmetros!C:C,_xlfn.XLOOKUP(Base!M207,Parâmetros!G:G,Parâmetros!H:H))</f>
        <v>QUALIDADE DOS DADOS</v>
      </c>
      <c r="P209" s="1" t="str">
        <f>_xlfn.XLOOKUP(I209,Parâmetros!A:A,Parâmetros!D:D,_xlfn.XLOOKUP(Q209,Parâmetros!F:F,Parâmetros!I:I))</f>
        <v>SUPORTE OBT</v>
      </c>
      <c r="Q209" s="1">
        <f t="shared" si="7"/>
        <v>46</v>
      </c>
    </row>
    <row r="210" spans="1:17" x14ac:dyDescent="0.25">
      <c r="A210" s="1" t="str">
        <f>_xlfn.XLOOKUP(D210,'Novo relatório'!B:B,'Novo relatório'!C:C,"RESOLVIDO")</f>
        <v>RESOLVIDO</v>
      </c>
      <c r="C210" t="str">
        <f t="shared" si="6"/>
        <v>RESOLVIDO</v>
      </c>
      <c r="D210" s="1">
        <v>3162120</v>
      </c>
      <c r="E210" s="1" t="s">
        <v>26</v>
      </c>
      <c r="F210" s="2">
        <v>45660.626388888886</v>
      </c>
      <c r="G210" s="1" t="s">
        <v>661</v>
      </c>
      <c r="H210" s="1" t="s">
        <v>661</v>
      </c>
      <c r="I210" s="1" t="s">
        <v>83</v>
      </c>
      <c r="J210" s="2">
        <v>45660.752083333333</v>
      </c>
      <c r="L210" s="1" t="s">
        <v>18</v>
      </c>
      <c r="M210" s="1" t="str">
        <f>_xlfn.XLOOKUP(I210,Parâmetros!A:A,Parâmetros!B:B,_xlfn.XLOOKUP(Q210,Parâmetros!F:F,Parâmetros!G:G,"NOVA MENSAGEM"))</f>
        <v>CLIENTE NÃO IDENTIFICADO</v>
      </c>
      <c r="N210" s="1" t="str">
        <f>_xlfn.XLOOKUP(M210,Parâmetros!K:K,Parâmetros!L:L,"")</f>
        <v>DK DE CLIENTE NÃO PREENCIDO / CLIENTE NÃO CONFIGURADO NO OBT</v>
      </c>
      <c r="O210" s="1" t="str">
        <f>_xlfn.XLOOKUP(M210,Parâmetros!B:B,Parâmetros!C:C,_xlfn.XLOOKUP(Base!M208,Parâmetros!G:G,Parâmetros!H:H))</f>
        <v>INDEFINIDO</v>
      </c>
      <c r="P210" s="1" t="str">
        <f>_xlfn.XLOOKUP(I210,Parâmetros!A:A,Parâmetros!D:D,_xlfn.XLOOKUP(Q210,Parâmetros!F:F,Parâmetros!I:I))</f>
        <v>OPERAÇÕES / SUPORTE KCS</v>
      </c>
      <c r="Q210" s="1" t="str">
        <f t="shared" si="7"/>
        <v>COLUNA I</v>
      </c>
    </row>
    <row r="211" spans="1:17" x14ac:dyDescent="0.25">
      <c r="A211" s="1" t="str">
        <f>_xlfn.XLOOKUP(D211,'Novo relatório'!B:B,'Novo relatório'!C:C,"RESOLVIDO")</f>
        <v>RESOLVIDO</v>
      </c>
      <c r="C211" t="str">
        <f t="shared" si="6"/>
        <v>RESOLVIDO</v>
      </c>
      <c r="D211" s="1">
        <v>3162161</v>
      </c>
      <c r="E211" s="1" t="s">
        <v>26</v>
      </c>
      <c r="F211" s="2">
        <v>45660.619444444441</v>
      </c>
      <c r="G211" s="1" t="s">
        <v>643</v>
      </c>
      <c r="H211" s="1" t="s">
        <v>644</v>
      </c>
      <c r="I211" s="1" t="s">
        <v>311</v>
      </c>
      <c r="J211" s="2">
        <v>45660.754166666666</v>
      </c>
      <c r="L211" s="1" t="s">
        <v>19</v>
      </c>
      <c r="M211" s="1" t="str">
        <f>_xlfn.XLOOKUP(I211,Parâmetros!A:A,Parâmetros!B:B,_xlfn.XLOOKUP(Q211,Parâmetros!F:F,Parâmetros!G:G,"NOVA MENSAGEM"))</f>
        <v>CONTRATO FORNECEDOR</v>
      </c>
      <c r="N211" s="1" t="str">
        <f>_xlfn.XLOOKUP(M211,Parâmetros!K:K,Parâmetros!L:L,"")</f>
        <v>CONTRATO INATIVO OU DIVERGENTE</v>
      </c>
      <c r="O211" s="1" t="str">
        <f>_xlfn.XLOOKUP(M211,Parâmetros!B:B,Parâmetros!C:C,_xlfn.XLOOKUP(Base!M209,Parâmetros!G:G,Parâmetros!H:H))</f>
        <v>SISTEMA</v>
      </c>
      <c r="P211" s="1" t="str">
        <f>_xlfn.XLOOKUP(I211,Parâmetros!A:A,Parâmetros!D:D,_xlfn.XLOOKUP(Q211,Parâmetros!F:F,Parâmetros!I:I))</f>
        <v>OPERAÇÕES / SUPORTE KCS</v>
      </c>
      <c r="Q211" s="1">
        <f t="shared" si="7"/>
        <v>43</v>
      </c>
    </row>
    <row r="212" spans="1:17" x14ac:dyDescent="0.25">
      <c r="A212" s="1" t="str">
        <f>_xlfn.XLOOKUP(D212,'Novo relatório'!B:B,'Novo relatório'!C:C,"RESOLVIDO")</f>
        <v>RESOLVIDO</v>
      </c>
      <c r="C212" t="str">
        <f t="shared" si="6"/>
        <v>RESOLVIDO</v>
      </c>
      <c r="D212" s="1">
        <v>3162636</v>
      </c>
      <c r="E212" s="1" t="s">
        <v>26</v>
      </c>
      <c r="F212" s="2">
        <v>45660.714583333334</v>
      </c>
      <c r="G212" s="1" t="s">
        <v>656</v>
      </c>
      <c r="H212" s="1" t="s">
        <v>656</v>
      </c>
      <c r="I212" s="1" t="s">
        <v>403</v>
      </c>
      <c r="J212" s="2">
        <v>45660.845833333333</v>
      </c>
      <c r="L212" s="1" t="s">
        <v>18</v>
      </c>
      <c r="M212" s="1" t="str">
        <f>_xlfn.XLOOKUP(I212,Parâmetros!A:A,Parâmetros!B:B,_xlfn.XLOOKUP(Q212,Parâmetros!F:F,Parâmetros!G:G,"NOVA MENSAGEM"))</f>
        <v>REMARK - CNPJ</v>
      </c>
      <c r="N212" s="1" t="str">
        <f>_xlfn.XLOOKUP(M212,Parâmetros!K:K,Parâmetros!L:L,"")</f>
        <v/>
      </c>
      <c r="O212" s="1" t="e">
        <f>_xlfn.XLOOKUP(M212,Parâmetros!B:B,Parâmetros!C:C,_xlfn.XLOOKUP(Base!M210,Parâmetros!G:G,Parâmetros!H:H))</f>
        <v>#N/A</v>
      </c>
      <c r="P212" s="1" t="str">
        <f>_xlfn.XLOOKUP(I212,Parâmetros!A:A,Parâmetros!D:D,_xlfn.XLOOKUP(Q212,Parâmetros!F:F,Parâmetros!I:I))</f>
        <v>OPERAÇÕES / SUPORTE KCS</v>
      </c>
      <c r="Q212" s="1">
        <f t="shared" si="7"/>
        <v>24</v>
      </c>
    </row>
    <row r="213" spans="1:17" x14ac:dyDescent="0.25">
      <c r="A213" s="1" t="str">
        <f>_xlfn.XLOOKUP(D213,'Novo relatório'!B:B,'Novo relatório'!C:C,"RESOLVIDO")</f>
        <v>RESOLVIDO</v>
      </c>
      <c r="C213" t="str">
        <f t="shared" si="6"/>
        <v>RESOLVIDO</v>
      </c>
      <c r="D213" s="1">
        <v>3163237</v>
      </c>
      <c r="E213" s="1" t="s">
        <v>26</v>
      </c>
      <c r="F213" s="2">
        <v>45663.341666666667</v>
      </c>
      <c r="G213" s="1" t="s">
        <v>638</v>
      </c>
      <c r="H213" s="1" t="s">
        <v>638</v>
      </c>
      <c r="I213" s="1" t="s">
        <v>621</v>
      </c>
      <c r="J213" s="2">
        <v>45663.47152777778</v>
      </c>
      <c r="L213" s="1" t="s">
        <v>18</v>
      </c>
      <c r="M213" s="1" t="str">
        <f>_xlfn.XLOOKUP(I213,Parâmetros!A:A,Parâmetros!B:B,_xlfn.XLOOKUP(Q213,Parâmetros!F:F,Parâmetros!G:G,"NOVA MENSAGEM"))</f>
        <v>REMARK - CNPJ</v>
      </c>
      <c r="N213" s="1" t="str">
        <f>_xlfn.XLOOKUP(M213,Parâmetros!K:K,Parâmetros!L:L,"")</f>
        <v/>
      </c>
      <c r="O213" s="1" t="str">
        <f>_xlfn.XLOOKUP(M213,Parâmetros!B:B,Parâmetros!C:C,_xlfn.XLOOKUP(Base!M211,Parâmetros!G:G,Parâmetros!H:H))</f>
        <v>SISTEMA</v>
      </c>
      <c r="P213" s="1" t="str">
        <f>_xlfn.XLOOKUP(I213,Parâmetros!A:A,Parâmetros!D:D,_xlfn.XLOOKUP(Q213,Parâmetros!F:F,Parâmetros!I:I))</f>
        <v>OPERAÇÕES / SUPORTE KCS</v>
      </c>
      <c r="Q213" s="1">
        <f t="shared" si="7"/>
        <v>24</v>
      </c>
    </row>
    <row r="214" spans="1:17" x14ac:dyDescent="0.25">
      <c r="A214" s="1" t="str">
        <f>_xlfn.XLOOKUP(D214,'Novo relatório'!B:B,'Novo relatório'!C:C,"RESOLVIDO")</f>
        <v>RESOLVIDO</v>
      </c>
      <c r="C214" t="str">
        <f t="shared" si="6"/>
        <v>RESOLVIDO</v>
      </c>
      <c r="D214" s="1">
        <v>3164077</v>
      </c>
      <c r="E214" s="1" t="s">
        <v>26</v>
      </c>
      <c r="F214" s="2">
        <v>45663.536805555559</v>
      </c>
      <c r="G214" s="1" t="s">
        <v>648</v>
      </c>
      <c r="H214" s="1" t="s">
        <v>648</v>
      </c>
      <c r="I214" s="1" t="s">
        <v>394</v>
      </c>
      <c r="J214" s="2">
        <v>45663.668749999997</v>
      </c>
      <c r="L214" s="1" t="s">
        <v>18</v>
      </c>
      <c r="M214" s="1" t="str">
        <f>_xlfn.XLOOKUP(I214,Parâmetros!A:A,Parâmetros!B:B,_xlfn.XLOOKUP(Q214,Parâmetros!F:F,Parâmetros!G:G,"NOVA MENSAGEM"))</f>
        <v>REMARK - CNPJ</v>
      </c>
      <c r="N214" s="1" t="str">
        <f>_xlfn.XLOOKUP(M214,Parâmetros!K:K,Parâmetros!L:L,"")</f>
        <v/>
      </c>
      <c r="O214" s="1" t="str">
        <f>_xlfn.XLOOKUP(M214,Parâmetros!B:B,Parâmetros!C:C,_xlfn.XLOOKUP(Base!M212,Parâmetros!G:G,Parâmetros!H:H))</f>
        <v>QUALIDADE DOS DADOS</v>
      </c>
      <c r="P214" s="1" t="str">
        <f>_xlfn.XLOOKUP(I214,Parâmetros!A:A,Parâmetros!D:D,_xlfn.XLOOKUP(Q214,Parâmetros!F:F,Parâmetros!I:I))</f>
        <v>OPERAÇÕES / SUPORTE KCS</v>
      </c>
      <c r="Q214" s="1">
        <f t="shared" si="7"/>
        <v>24</v>
      </c>
    </row>
    <row r="215" spans="1:17" x14ac:dyDescent="0.25">
      <c r="A215" s="1" t="str">
        <f>_xlfn.XLOOKUP(D215,'Novo relatório'!B:B,'Novo relatório'!C:C,"RESOLVIDO")</f>
        <v>RESOLVIDO</v>
      </c>
      <c r="C215" t="str">
        <f t="shared" si="6"/>
        <v>RESOLVIDO</v>
      </c>
      <c r="D215" s="1">
        <v>3164914</v>
      </c>
      <c r="E215" s="1" t="s">
        <v>26</v>
      </c>
      <c r="F215" s="2">
        <v>45663.725694444445</v>
      </c>
      <c r="G215" s="1" t="s">
        <v>637</v>
      </c>
      <c r="H215" s="1" t="s">
        <v>637</v>
      </c>
      <c r="I215" s="1" t="s">
        <v>83</v>
      </c>
      <c r="J215" s="2">
        <v>45663.816666666666</v>
      </c>
      <c r="K215" s="2">
        <v>45663.856249999997</v>
      </c>
      <c r="L215" s="1" t="s">
        <v>18</v>
      </c>
      <c r="M215" s="1" t="str">
        <f>_xlfn.XLOOKUP(I215,Parâmetros!A:A,Parâmetros!B:B,_xlfn.XLOOKUP(Q215,Parâmetros!F:F,Parâmetros!G:G,"NOVA MENSAGEM"))</f>
        <v>CLIENTE NÃO IDENTIFICADO</v>
      </c>
      <c r="N215" s="1" t="str">
        <f>_xlfn.XLOOKUP(M215,Parâmetros!K:K,Parâmetros!L:L,"")</f>
        <v>DK DE CLIENTE NÃO PREENCIDO / CLIENTE NÃO CONFIGURADO NO OBT</v>
      </c>
      <c r="O215" s="1" t="str">
        <f>_xlfn.XLOOKUP(M215,Parâmetros!B:B,Parâmetros!C:C,_xlfn.XLOOKUP(Base!M213,Parâmetros!G:G,Parâmetros!H:H))</f>
        <v>INDEFINIDO</v>
      </c>
      <c r="P215" s="1" t="str">
        <f>_xlfn.XLOOKUP(I215,Parâmetros!A:A,Parâmetros!D:D,_xlfn.XLOOKUP(Q215,Parâmetros!F:F,Parâmetros!I:I))</f>
        <v>OPERAÇÕES / SUPORTE KCS</v>
      </c>
      <c r="Q215" s="1" t="str">
        <f t="shared" si="7"/>
        <v>COLUNA I</v>
      </c>
    </row>
    <row r="216" spans="1:17" x14ac:dyDescent="0.25">
      <c r="A216" s="1" t="str">
        <f>_xlfn.XLOOKUP(D216,'Novo relatório'!B:B,'Novo relatório'!C:C,"RESOLVIDO")</f>
        <v>RESOLVIDO</v>
      </c>
      <c r="C216" t="str">
        <f t="shared" si="6"/>
        <v>RESOLVIDO</v>
      </c>
      <c r="D216" s="1">
        <v>3165171</v>
      </c>
      <c r="E216" s="1" t="s">
        <v>26</v>
      </c>
      <c r="F216" s="2">
        <v>45663.725694444445</v>
      </c>
      <c r="G216" s="1" t="s">
        <v>640</v>
      </c>
      <c r="H216" s="1" t="s">
        <v>640</v>
      </c>
      <c r="I216" s="1" t="s">
        <v>641</v>
      </c>
      <c r="J216" s="2">
        <v>45663.856249999997</v>
      </c>
      <c r="L216" s="1" t="s">
        <v>18</v>
      </c>
      <c r="M216" s="1" t="str">
        <f>_xlfn.XLOOKUP(I216,Parâmetros!A:A,Parâmetros!B:B,_xlfn.XLOOKUP(Q216,Parâmetros!F:F,Parâmetros!G:G,"NOVA MENSAGEM"))</f>
        <v>REMARK - CNPJ</v>
      </c>
      <c r="N216" s="1" t="str">
        <f>_xlfn.XLOOKUP(M216,Parâmetros!K:K,Parâmetros!L:L,"")</f>
        <v/>
      </c>
      <c r="O216" s="1" t="str">
        <f>_xlfn.XLOOKUP(M216,Parâmetros!B:B,Parâmetros!C:C,_xlfn.XLOOKUP(Base!M214,Parâmetros!G:G,Parâmetros!H:H))</f>
        <v>QUALIDADE DOS DADOS</v>
      </c>
      <c r="P216" s="1" t="str">
        <f>_xlfn.XLOOKUP(I216,Parâmetros!A:A,Parâmetros!D:D,_xlfn.XLOOKUP(Q216,Parâmetros!F:F,Parâmetros!I:I))</f>
        <v>OPERAÇÕES / SUPORTE KCS</v>
      </c>
      <c r="Q216" s="1">
        <f t="shared" si="7"/>
        <v>24</v>
      </c>
    </row>
    <row r="217" spans="1:17" x14ac:dyDescent="0.25">
      <c r="A217" s="1" t="str">
        <f>_xlfn.XLOOKUP(D217,'Novo relatório'!B:B,'Novo relatório'!C:C,"RESOLVIDO")</f>
        <v>RESOLVIDO</v>
      </c>
      <c r="C217" t="str">
        <f t="shared" si="6"/>
        <v>RESOLVIDO</v>
      </c>
      <c r="D217" s="1">
        <v>3165173</v>
      </c>
      <c r="E217" s="1" t="s">
        <v>26</v>
      </c>
      <c r="F217" s="2">
        <v>45663.725694444445</v>
      </c>
      <c r="G217" s="1" t="s">
        <v>654</v>
      </c>
      <c r="H217" s="1" t="s">
        <v>654</v>
      </c>
      <c r="I217" s="1" t="s">
        <v>620</v>
      </c>
      <c r="J217" s="2">
        <v>45663.856249999997</v>
      </c>
      <c r="L217" s="1" t="s">
        <v>18</v>
      </c>
      <c r="M217" s="1" t="str">
        <f>_xlfn.XLOOKUP(I217,Parâmetros!A:A,Parâmetros!B:B,_xlfn.XLOOKUP(Q217,Parâmetros!F:F,Parâmetros!G:G,"NOVA MENSAGEM"))</f>
        <v>CÓD. CLIENTE DIVERGENTE</v>
      </c>
      <c r="N217" s="1" t="str">
        <f>_xlfn.XLOOKUP(M217,Parâmetros!K:K,Parâmetros!L:L,"")</f>
        <v>CÓDIGO DIFERENTE DO CADASTRADO NO BENNER (CLIENTE X GRUPO)</v>
      </c>
      <c r="O217" s="1" t="str">
        <f>_xlfn.XLOOKUP(M217,Parâmetros!B:B,Parâmetros!C:C,_xlfn.XLOOKUP(Base!M215,Parâmetros!G:G,Parâmetros!H:H))</f>
        <v>QUALIDADE DOS DADOS</v>
      </c>
      <c r="P217" s="1" t="str">
        <f>_xlfn.XLOOKUP(I217,Parâmetros!A:A,Parâmetros!D:D,_xlfn.XLOOKUP(Q217,Parâmetros!F:F,Parâmetros!I:I))</f>
        <v>SUPORTE OBT</v>
      </c>
      <c r="Q217" s="1">
        <f t="shared" si="7"/>
        <v>1</v>
      </c>
    </row>
    <row r="218" spans="1:17" x14ac:dyDescent="0.25">
      <c r="A218" s="1" t="str">
        <f>_xlfn.XLOOKUP(D218,'Novo relatório'!B:B,'Novo relatório'!C:C,"RESOLVIDO")</f>
        <v>RESOLVIDO</v>
      </c>
      <c r="C218" t="str">
        <f t="shared" si="6"/>
        <v>RESOLVIDO</v>
      </c>
      <c r="D218" s="1">
        <v>3165174</v>
      </c>
      <c r="E218" s="1" t="s">
        <v>26</v>
      </c>
      <c r="F218" s="2">
        <v>45663.725694444445</v>
      </c>
      <c r="G218" s="1" t="s">
        <v>647</v>
      </c>
      <c r="H218" s="1" t="s">
        <v>647</v>
      </c>
      <c r="I218" s="1" t="s">
        <v>620</v>
      </c>
      <c r="J218" s="2">
        <v>45663.856249999997</v>
      </c>
      <c r="L218" s="1" t="s">
        <v>18</v>
      </c>
      <c r="M218" s="1" t="str">
        <f>_xlfn.XLOOKUP(I218,Parâmetros!A:A,Parâmetros!B:B,_xlfn.XLOOKUP(Q218,Parâmetros!F:F,Parâmetros!G:G,"NOVA MENSAGEM"))</f>
        <v>CÓD. CLIENTE DIVERGENTE</v>
      </c>
      <c r="N218" s="1" t="str">
        <f>_xlfn.XLOOKUP(M218,Parâmetros!K:K,Parâmetros!L:L,"")</f>
        <v>CÓDIGO DIFERENTE DO CADASTRADO NO BENNER (CLIENTE X GRUPO)</v>
      </c>
      <c r="O218" s="1" t="str">
        <f>_xlfn.XLOOKUP(M218,Parâmetros!B:B,Parâmetros!C:C,_xlfn.XLOOKUP(Base!M216,Parâmetros!G:G,Parâmetros!H:H))</f>
        <v>QUALIDADE DOS DADOS</v>
      </c>
      <c r="P218" s="1" t="str">
        <f>_xlfn.XLOOKUP(I218,Parâmetros!A:A,Parâmetros!D:D,_xlfn.XLOOKUP(Q218,Parâmetros!F:F,Parâmetros!I:I))</f>
        <v>SUPORTE OBT</v>
      </c>
      <c r="Q218" s="1">
        <f t="shared" si="7"/>
        <v>1</v>
      </c>
    </row>
    <row r="219" spans="1:17" x14ac:dyDescent="0.25">
      <c r="A219" s="1" t="str">
        <f>_xlfn.XLOOKUP(D219,'Novo relatório'!B:B,'Novo relatório'!C:C,"RESOLVIDO")</f>
        <v>RESOLVIDO</v>
      </c>
      <c r="C219" t="str">
        <f t="shared" si="6"/>
        <v>RESOLVIDO</v>
      </c>
      <c r="D219" s="1">
        <v>3165176</v>
      </c>
      <c r="E219" s="1" t="s">
        <v>26</v>
      </c>
      <c r="F219" s="2">
        <v>45663.725694444445</v>
      </c>
      <c r="G219" s="1" t="s">
        <v>645</v>
      </c>
      <c r="H219" s="1" t="s">
        <v>645</v>
      </c>
      <c r="I219" s="1" t="s">
        <v>641</v>
      </c>
      <c r="J219" s="2">
        <v>45663.856249999997</v>
      </c>
      <c r="L219" s="1" t="s">
        <v>18</v>
      </c>
      <c r="M219" s="1" t="str">
        <f>_xlfn.XLOOKUP(I219,Parâmetros!A:A,Parâmetros!B:B,_xlfn.XLOOKUP(Q219,Parâmetros!F:F,Parâmetros!G:G,"NOVA MENSAGEM"))</f>
        <v>REMARK - CNPJ</v>
      </c>
      <c r="N219" s="1" t="str">
        <f>_xlfn.XLOOKUP(M219,Parâmetros!K:K,Parâmetros!L:L,"")</f>
        <v/>
      </c>
      <c r="O219" s="1" t="str">
        <f>_xlfn.XLOOKUP(M219,Parâmetros!B:B,Parâmetros!C:C,_xlfn.XLOOKUP(Base!M217,Parâmetros!G:G,Parâmetros!H:H))</f>
        <v>QUALIDADE DOS DADOS</v>
      </c>
      <c r="P219" s="1" t="str">
        <f>_xlfn.XLOOKUP(I219,Parâmetros!A:A,Parâmetros!D:D,_xlfn.XLOOKUP(Q219,Parâmetros!F:F,Parâmetros!I:I))</f>
        <v>OPERAÇÕES / SUPORTE KCS</v>
      </c>
      <c r="Q219" s="1">
        <f t="shared" si="7"/>
        <v>24</v>
      </c>
    </row>
    <row r="220" spans="1:17" x14ac:dyDescent="0.25">
      <c r="A220" s="1" t="str">
        <f>_xlfn.XLOOKUP(D220,'Novo relatório'!B:B,'Novo relatório'!C:C,"RESOLVIDO")</f>
        <v>RESOLVIDO</v>
      </c>
      <c r="C220" t="str">
        <f t="shared" si="6"/>
        <v>RESOLVIDO</v>
      </c>
      <c r="D220" s="1">
        <v>3165177</v>
      </c>
      <c r="E220" s="1" t="s">
        <v>26</v>
      </c>
      <c r="F220" s="2">
        <v>45663.725694444445</v>
      </c>
      <c r="G220" s="1" t="s">
        <v>666</v>
      </c>
      <c r="H220" s="1" t="s">
        <v>666</v>
      </c>
      <c r="I220" s="1" t="s">
        <v>620</v>
      </c>
      <c r="J220" s="2">
        <v>45663.856944444444</v>
      </c>
      <c r="L220" s="1" t="s">
        <v>18</v>
      </c>
      <c r="M220" s="1" t="str">
        <f>_xlfn.XLOOKUP(I220,Parâmetros!A:A,Parâmetros!B:B,_xlfn.XLOOKUP(Q220,Parâmetros!F:F,Parâmetros!G:G,"NOVA MENSAGEM"))</f>
        <v>CÓD. CLIENTE DIVERGENTE</v>
      </c>
      <c r="N220" s="1" t="str">
        <f>_xlfn.XLOOKUP(M220,Parâmetros!K:K,Parâmetros!L:L,"")</f>
        <v>CÓDIGO DIFERENTE DO CADASTRADO NO BENNER (CLIENTE X GRUPO)</v>
      </c>
      <c r="O220" s="1" t="str">
        <f>_xlfn.XLOOKUP(M220,Parâmetros!B:B,Parâmetros!C:C,_xlfn.XLOOKUP(Base!M218,Parâmetros!G:G,Parâmetros!H:H))</f>
        <v>QUALIDADE DOS DADOS</v>
      </c>
      <c r="P220" s="1" t="str">
        <f>_xlfn.XLOOKUP(I220,Parâmetros!A:A,Parâmetros!D:D,_xlfn.XLOOKUP(Q220,Parâmetros!F:F,Parâmetros!I:I))</f>
        <v>SUPORTE OBT</v>
      </c>
      <c r="Q220" s="1">
        <f t="shared" si="7"/>
        <v>1</v>
      </c>
    </row>
    <row r="221" spans="1:17" x14ac:dyDescent="0.25">
      <c r="A221" s="1" t="str">
        <f>_xlfn.XLOOKUP(D221,'Novo relatório'!B:B,'Novo relatório'!C:C,"RESOLVIDO")</f>
        <v>RESOLVIDO</v>
      </c>
      <c r="C221" t="str">
        <f t="shared" si="6"/>
        <v>RESOLVIDO</v>
      </c>
      <c r="D221" s="1">
        <v>3165178</v>
      </c>
      <c r="E221" s="1" t="s">
        <v>26</v>
      </c>
      <c r="F221" s="2">
        <v>45663.725694444445</v>
      </c>
      <c r="G221" s="1" t="s">
        <v>664</v>
      </c>
      <c r="H221" s="1" t="s">
        <v>664</v>
      </c>
      <c r="I221" s="1" t="s">
        <v>411</v>
      </c>
      <c r="J221" s="2">
        <v>45663.856944444444</v>
      </c>
      <c r="L221" s="1" t="s">
        <v>18</v>
      </c>
      <c r="M221" s="1" t="str">
        <f>_xlfn.XLOOKUP(I221,Parâmetros!A:A,Parâmetros!B:B,_xlfn.XLOOKUP(Q221,Parâmetros!F:F,Parâmetros!G:G,"NOVA MENSAGEM"))</f>
        <v>REMARK - CNPJ</v>
      </c>
      <c r="N221" s="1" t="str">
        <f>_xlfn.XLOOKUP(M221,Parâmetros!K:K,Parâmetros!L:L,"")</f>
        <v/>
      </c>
      <c r="O221" s="1" t="str">
        <f>_xlfn.XLOOKUP(M221,Parâmetros!B:B,Parâmetros!C:C,_xlfn.XLOOKUP(Base!M219,Parâmetros!G:G,Parâmetros!H:H))</f>
        <v>QUALIDADE DOS DADOS</v>
      </c>
      <c r="P221" s="1" t="str">
        <f>_xlfn.XLOOKUP(I221,Parâmetros!A:A,Parâmetros!D:D,_xlfn.XLOOKUP(Q221,Parâmetros!F:F,Parâmetros!I:I))</f>
        <v>OPERAÇÕES / SUPORTE KCS</v>
      </c>
      <c r="Q221" s="1">
        <f t="shared" si="7"/>
        <v>24</v>
      </c>
    </row>
    <row r="222" spans="1:17" x14ac:dyDescent="0.25">
      <c r="A222" s="1" t="str">
        <f>_xlfn.XLOOKUP(D222,'Novo relatório'!B:B,'Novo relatório'!C:C,"RESOLVIDO")</f>
        <v>RESOLVIDO</v>
      </c>
      <c r="C222" t="str">
        <f t="shared" si="6"/>
        <v>RESOLVIDO</v>
      </c>
      <c r="D222" s="1">
        <v>3165179</v>
      </c>
      <c r="E222" s="1" t="s">
        <v>26</v>
      </c>
      <c r="F222" s="2">
        <v>45663.725694444445</v>
      </c>
      <c r="G222" s="1" t="s">
        <v>655</v>
      </c>
      <c r="H222" s="1" t="s">
        <v>655</v>
      </c>
      <c r="I222" s="1" t="s">
        <v>641</v>
      </c>
      <c r="J222" s="2">
        <v>45663.856944444444</v>
      </c>
      <c r="L222" s="1" t="s">
        <v>18</v>
      </c>
      <c r="M222" s="1" t="str">
        <f>_xlfn.XLOOKUP(I222,Parâmetros!A:A,Parâmetros!B:B,_xlfn.XLOOKUP(Q222,Parâmetros!F:F,Parâmetros!G:G,"NOVA MENSAGEM"))</f>
        <v>REMARK - CNPJ</v>
      </c>
      <c r="N222" s="1" t="str">
        <f>_xlfn.XLOOKUP(M222,Parâmetros!K:K,Parâmetros!L:L,"")</f>
        <v/>
      </c>
      <c r="O222" s="1" t="str">
        <f>_xlfn.XLOOKUP(M222,Parâmetros!B:B,Parâmetros!C:C,_xlfn.XLOOKUP(Base!M220,Parâmetros!G:G,Parâmetros!H:H))</f>
        <v>QUALIDADE DOS DADOS</v>
      </c>
      <c r="P222" s="1" t="str">
        <f>_xlfn.XLOOKUP(I222,Parâmetros!A:A,Parâmetros!D:D,_xlfn.XLOOKUP(Q222,Parâmetros!F:F,Parâmetros!I:I))</f>
        <v>OPERAÇÕES / SUPORTE KCS</v>
      </c>
      <c r="Q222" s="1">
        <f t="shared" si="7"/>
        <v>24</v>
      </c>
    </row>
    <row r="223" spans="1:17" x14ac:dyDescent="0.25">
      <c r="A223" s="1" t="str">
        <f>_xlfn.XLOOKUP(D223,'Novo relatório'!B:B,'Novo relatório'!C:C,"RESOLVIDO")</f>
        <v>RESOLVIDO</v>
      </c>
      <c r="C223" t="str">
        <f t="shared" si="6"/>
        <v>RESOLVIDO</v>
      </c>
      <c r="D223" s="1">
        <v>3165181</v>
      </c>
      <c r="E223" s="1" t="s">
        <v>26</v>
      </c>
      <c r="F223" s="2">
        <v>45663.725694444445</v>
      </c>
      <c r="G223" s="1" t="s">
        <v>657</v>
      </c>
      <c r="H223" s="1" t="s">
        <v>657</v>
      </c>
      <c r="I223" s="1" t="s">
        <v>641</v>
      </c>
      <c r="J223" s="2">
        <v>45663.856944444444</v>
      </c>
      <c r="L223" s="1" t="s">
        <v>18</v>
      </c>
      <c r="M223" s="1" t="str">
        <f>_xlfn.XLOOKUP(I223,Parâmetros!A:A,Parâmetros!B:B,_xlfn.XLOOKUP(Q223,Parâmetros!F:F,Parâmetros!G:G,"NOVA MENSAGEM"))</f>
        <v>REMARK - CNPJ</v>
      </c>
      <c r="N223" s="1" t="str">
        <f>_xlfn.XLOOKUP(M223,Parâmetros!K:K,Parâmetros!L:L,"")</f>
        <v/>
      </c>
      <c r="O223" s="1" t="str">
        <f>_xlfn.XLOOKUP(M223,Parâmetros!B:B,Parâmetros!C:C,_xlfn.XLOOKUP(Base!M221,Parâmetros!G:G,Parâmetros!H:H))</f>
        <v>QUALIDADE DOS DADOS</v>
      </c>
      <c r="P223" s="1" t="str">
        <f>_xlfn.XLOOKUP(I223,Parâmetros!A:A,Parâmetros!D:D,_xlfn.XLOOKUP(Q223,Parâmetros!F:F,Parâmetros!I:I))</f>
        <v>OPERAÇÕES / SUPORTE KCS</v>
      </c>
      <c r="Q223" s="1">
        <f t="shared" si="7"/>
        <v>24</v>
      </c>
    </row>
    <row r="224" spans="1:17" x14ac:dyDescent="0.25">
      <c r="A224" s="1" t="str">
        <f>_xlfn.XLOOKUP(D224,'Novo relatório'!B:B,'Novo relatório'!C:C,"RESOLVIDO")</f>
        <v>RESOLVIDO</v>
      </c>
      <c r="C224" t="str">
        <f t="shared" si="6"/>
        <v>RESOLVIDO</v>
      </c>
      <c r="D224" s="1">
        <v>3165184</v>
      </c>
      <c r="E224" s="1" t="s">
        <v>26</v>
      </c>
      <c r="F224" s="2">
        <v>45663.725694444445</v>
      </c>
      <c r="G224" s="1" t="s">
        <v>659</v>
      </c>
      <c r="H224" s="1" t="s">
        <v>659</v>
      </c>
      <c r="I224" s="1" t="s">
        <v>652</v>
      </c>
      <c r="J224" s="2">
        <v>45663.856944444444</v>
      </c>
      <c r="L224" s="1" t="s">
        <v>18</v>
      </c>
      <c r="M224" s="1" t="str">
        <f>_xlfn.XLOOKUP(I224,Parâmetros!A:A,Parâmetros!B:B,_xlfn.XLOOKUP(Q224,Parâmetros!F:F,Parâmetros!G:G,"NOVA MENSAGEM"))</f>
        <v>CÓD. CLIENTE DIVERGENTE</v>
      </c>
      <c r="N224" s="1" t="str">
        <f>_xlfn.XLOOKUP(M224,Parâmetros!K:K,Parâmetros!L:L,"")</f>
        <v>CÓDIGO DIFERENTE DO CADASTRADO NO BENNER (CLIENTE X GRUPO)</v>
      </c>
      <c r="O224" s="1" t="str">
        <f>_xlfn.XLOOKUP(M224,Parâmetros!B:B,Parâmetros!C:C,_xlfn.XLOOKUP(Base!M222,Parâmetros!G:G,Parâmetros!H:H))</f>
        <v>QUALIDADE DOS DADOS</v>
      </c>
      <c r="P224" s="1" t="str">
        <f>_xlfn.XLOOKUP(I224,Parâmetros!A:A,Parâmetros!D:D,_xlfn.XLOOKUP(Q224,Parâmetros!F:F,Parâmetros!I:I))</f>
        <v>SUPORTE OBT</v>
      </c>
      <c r="Q224" s="1">
        <f t="shared" si="7"/>
        <v>1</v>
      </c>
    </row>
    <row r="225" spans="1:17" x14ac:dyDescent="0.25">
      <c r="A225" s="1" t="str">
        <f>_xlfn.XLOOKUP(D225,'Novo relatório'!B:B,'Novo relatório'!C:C,"RESOLVIDO")</f>
        <v>RESOLVIDO</v>
      </c>
      <c r="C225" t="str">
        <f t="shared" si="6"/>
        <v>RESOLVIDO</v>
      </c>
      <c r="D225" s="1">
        <v>3165186</v>
      </c>
      <c r="E225" s="1" t="s">
        <v>26</v>
      </c>
      <c r="F225" s="2">
        <v>45663.725694444445</v>
      </c>
      <c r="G225" s="1" t="s">
        <v>660</v>
      </c>
      <c r="H225" s="1" t="s">
        <v>660</v>
      </c>
      <c r="I225" s="1" t="s">
        <v>396</v>
      </c>
      <c r="J225" s="2">
        <v>45663.857638888891</v>
      </c>
      <c r="L225" s="1" t="s">
        <v>18</v>
      </c>
      <c r="M225" s="1" t="str">
        <f>_xlfn.XLOOKUP(I225,Parâmetros!A:A,Parâmetros!B:B,_xlfn.XLOOKUP(Q225,Parâmetros!F:F,Parâmetros!G:G,"NOVA MENSAGEM"))</f>
        <v>CÓD. CLIENTE DIVERGENTE</v>
      </c>
      <c r="N225" s="1" t="str">
        <f>_xlfn.XLOOKUP(M225,Parâmetros!K:K,Parâmetros!L:L,"")</f>
        <v>CÓDIGO DIFERENTE DO CADASTRADO NO BENNER (CLIENTE X GRUPO)</v>
      </c>
      <c r="O225" s="1" t="str">
        <f>_xlfn.XLOOKUP(M225,Parâmetros!B:B,Parâmetros!C:C,_xlfn.XLOOKUP(Base!M223,Parâmetros!G:G,Parâmetros!H:H))</f>
        <v>QUALIDADE DOS DADOS</v>
      </c>
      <c r="P225" s="1" t="str">
        <f>_xlfn.XLOOKUP(I225,Parâmetros!A:A,Parâmetros!D:D,_xlfn.XLOOKUP(Q225,Parâmetros!F:F,Parâmetros!I:I))</f>
        <v>SUPORTE OBT</v>
      </c>
      <c r="Q225" s="1">
        <f t="shared" si="7"/>
        <v>1</v>
      </c>
    </row>
    <row r="226" spans="1:17" x14ac:dyDescent="0.25">
      <c r="A226" s="1" t="str">
        <f>_xlfn.XLOOKUP(D226,'Novo relatório'!B:B,'Novo relatório'!C:C,"RESOLVIDO")</f>
        <v>RESOLVIDO</v>
      </c>
      <c r="C226" t="str">
        <f t="shared" si="6"/>
        <v>RESOLVIDO</v>
      </c>
      <c r="D226" s="1">
        <v>3165190</v>
      </c>
      <c r="E226" s="1" t="s">
        <v>26</v>
      </c>
      <c r="F226" s="2">
        <v>45663.725694444445</v>
      </c>
      <c r="G226" s="1" t="s">
        <v>634</v>
      </c>
      <c r="H226" s="1" t="s">
        <v>634</v>
      </c>
      <c r="I226" s="1" t="s">
        <v>83</v>
      </c>
      <c r="J226" s="2">
        <v>45663.857638888891</v>
      </c>
      <c r="L226" s="1" t="s">
        <v>18</v>
      </c>
      <c r="M226" s="1" t="str">
        <f>_xlfn.XLOOKUP(I226,Parâmetros!A:A,Parâmetros!B:B,_xlfn.XLOOKUP(Q226,Parâmetros!F:F,Parâmetros!G:G,"NOVA MENSAGEM"))</f>
        <v>CLIENTE NÃO IDENTIFICADO</v>
      </c>
      <c r="N226" s="1" t="str">
        <f>_xlfn.XLOOKUP(M226,Parâmetros!K:K,Parâmetros!L:L,"")</f>
        <v>DK DE CLIENTE NÃO PREENCIDO / CLIENTE NÃO CONFIGURADO NO OBT</v>
      </c>
      <c r="O226" s="1" t="str">
        <f>_xlfn.XLOOKUP(M226,Parâmetros!B:B,Parâmetros!C:C,_xlfn.XLOOKUP(Base!M224,Parâmetros!G:G,Parâmetros!H:H))</f>
        <v>INDEFINIDO</v>
      </c>
      <c r="P226" s="1" t="str">
        <f>_xlfn.XLOOKUP(I226,Parâmetros!A:A,Parâmetros!D:D,_xlfn.XLOOKUP(Q226,Parâmetros!F:F,Parâmetros!I:I))</f>
        <v>OPERAÇÕES / SUPORTE KCS</v>
      </c>
      <c r="Q226" s="1" t="str">
        <f t="shared" si="7"/>
        <v>COLUNA I</v>
      </c>
    </row>
    <row r="227" spans="1:17" x14ac:dyDescent="0.25">
      <c r="A227" s="1" t="str">
        <f>_xlfn.XLOOKUP(D227,'Novo relatório'!B:B,'Novo relatório'!C:C,"RESOLVIDO")</f>
        <v>RESOLVIDO</v>
      </c>
      <c r="C227" t="str">
        <f t="shared" si="6"/>
        <v>RESOLVIDO</v>
      </c>
      <c r="D227" s="1">
        <v>3165191</v>
      </c>
      <c r="E227" s="1" t="s">
        <v>26</v>
      </c>
      <c r="F227" s="2">
        <v>45663.725694444445</v>
      </c>
      <c r="G227" s="1" t="s">
        <v>642</v>
      </c>
      <c r="H227" s="1" t="s">
        <v>642</v>
      </c>
      <c r="I227" s="1" t="s">
        <v>621</v>
      </c>
      <c r="J227" s="2">
        <v>45663.85833333333</v>
      </c>
      <c r="L227" s="1" t="s">
        <v>18</v>
      </c>
      <c r="M227" s="1" t="str">
        <f>_xlfn.XLOOKUP(I227,Parâmetros!A:A,Parâmetros!B:B,_xlfn.XLOOKUP(Q227,Parâmetros!F:F,Parâmetros!G:G,"NOVA MENSAGEM"))</f>
        <v>REMARK - CNPJ</v>
      </c>
      <c r="N227" s="1" t="str">
        <f>_xlfn.XLOOKUP(M227,Parâmetros!K:K,Parâmetros!L:L,"")</f>
        <v/>
      </c>
      <c r="O227" s="1" t="str">
        <f>_xlfn.XLOOKUP(M227,Parâmetros!B:B,Parâmetros!C:C,_xlfn.XLOOKUP(Base!M225,Parâmetros!G:G,Parâmetros!H:H))</f>
        <v>QUALIDADE DOS DADOS</v>
      </c>
      <c r="P227" s="1" t="str">
        <f>_xlfn.XLOOKUP(I227,Parâmetros!A:A,Parâmetros!D:D,_xlfn.XLOOKUP(Q227,Parâmetros!F:F,Parâmetros!I:I))</f>
        <v>OPERAÇÕES / SUPORTE KCS</v>
      </c>
      <c r="Q227" s="1">
        <f t="shared" si="7"/>
        <v>24</v>
      </c>
    </row>
    <row r="228" spans="1:17" x14ac:dyDescent="0.25">
      <c r="A228" s="1" t="str">
        <f>_xlfn.XLOOKUP(D228,'Novo relatório'!B:B,'Novo relatório'!C:C,"RESOLVIDO")</f>
        <v>RESOLVIDO</v>
      </c>
      <c r="C228" t="str">
        <f t="shared" si="6"/>
        <v>RESOLVIDO</v>
      </c>
      <c r="D228" s="1">
        <v>3165192</v>
      </c>
      <c r="E228" s="1" t="s">
        <v>26</v>
      </c>
      <c r="F228" s="2">
        <v>45663.725694444445</v>
      </c>
      <c r="G228" s="1" t="s">
        <v>639</v>
      </c>
      <c r="H228" s="1" t="s">
        <v>639</v>
      </c>
      <c r="I228" s="1" t="s">
        <v>409</v>
      </c>
      <c r="J228" s="2">
        <v>45663.85833333333</v>
      </c>
      <c r="L228" s="1" t="s">
        <v>18</v>
      </c>
      <c r="M228" s="1" t="str">
        <f>_xlfn.XLOOKUP(I228,Parâmetros!A:A,Parâmetros!B:B,_xlfn.XLOOKUP(Q228,Parâmetros!F:F,Parâmetros!G:G,"NOVA MENSAGEM"))</f>
        <v>CÓD. CLIENTE DIVERGENTE</v>
      </c>
      <c r="N228" s="1" t="str">
        <f>_xlfn.XLOOKUP(M228,Parâmetros!K:K,Parâmetros!L:L,"")</f>
        <v>CÓDIGO DIFERENTE DO CADASTRADO NO BENNER (CLIENTE X GRUPO)</v>
      </c>
      <c r="O228" s="1" t="str">
        <f>_xlfn.XLOOKUP(M228,Parâmetros!B:B,Parâmetros!C:C,_xlfn.XLOOKUP(Base!M226,Parâmetros!G:G,Parâmetros!H:H))</f>
        <v>QUALIDADE DOS DADOS</v>
      </c>
      <c r="P228" s="1" t="str">
        <f>_xlfn.XLOOKUP(I228,Parâmetros!A:A,Parâmetros!D:D,_xlfn.XLOOKUP(Q228,Parâmetros!F:F,Parâmetros!I:I))</f>
        <v>SUPORTE OBT</v>
      </c>
      <c r="Q228" s="1">
        <f t="shared" si="7"/>
        <v>1</v>
      </c>
    </row>
    <row r="229" spans="1:17" x14ac:dyDescent="0.25">
      <c r="A229" s="1" t="str">
        <f>_xlfn.XLOOKUP(D229,'Novo relatório'!B:B,'Novo relatório'!C:C,"RESOLVIDO")</f>
        <v>RESOLVIDO</v>
      </c>
      <c r="C229" t="str">
        <f t="shared" si="6"/>
        <v>RESOLVIDO</v>
      </c>
      <c r="D229" s="1">
        <v>3165351</v>
      </c>
      <c r="E229" s="1" t="s">
        <v>26</v>
      </c>
      <c r="F229" s="2">
        <v>45665.359027777777</v>
      </c>
      <c r="G229" s="1" t="s">
        <v>629</v>
      </c>
      <c r="H229" s="1" t="s">
        <v>629</v>
      </c>
      <c r="I229" s="1" t="s">
        <v>83</v>
      </c>
      <c r="J229" s="2">
        <v>45664.388888888891</v>
      </c>
      <c r="K229" s="2">
        <v>45665.492361111108</v>
      </c>
      <c r="L229" s="1" t="s">
        <v>18</v>
      </c>
      <c r="M229" s="1" t="str">
        <f>_xlfn.XLOOKUP(I229,Parâmetros!A:A,Parâmetros!B:B,_xlfn.XLOOKUP(Q229,Parâmetros!F:F,Parâmetros!G:G,"NOVA MENSAGEM"))</f>
        <v>CLIENTE NÃO IDENTIFICADO</v>
      </c>
      <c r="N229" s="1" t="str">
        <f>_xlfn.XLOOKUP(M229,Parâmetros!K:K,Parâmetros!L:L,"")</f>
        <v>DK DE CLIENTE NÃO PREENCIDO / CLIENTE NÃO CONFIGURADO NO OBT</v>
      </c>
      <c r="O229" s="1" t="str">
        <f>_xlfn.XLOOKUP(M229,Parâmetros!B:B,Parâmetros!C:C,_xlfn.XLOOKUP(Base!M227,Parâmetros!G:G,Parâmetros!H:H))</f>
        <v>INDEFINIDO</v>
      </c>
      <c r="P229" s="1" t="str">
        <f>_xlfn.XLOOKUP(I229,Parâmetros!A:A,Parâmetros!D:D,_xlfn.XLOOKUP(Q229,Parâmetros!F:F,Parâmetros!I:I))</f>
        <v>OPERAÇÕES / SUPORTE KCS</v>
      </c>
      <c r="Q229" s="1" t="str">
        <f t="shared" si="7"/>
        <v>COLUNA I</v>
      </c>
    </row>
    <row r="230" spans="1:17" x14ac:dyDescent="0.25">
      <c r="A230" s="1" t="str">
        <f>_xlfn.XLOOKUP(D230,'Novo relatório'!B:B,'Novo relatório'!C:C,"RESOLVIDO")</f>
        <v>RESOLVIDO</v>
      </c>
      <c r="C230" t="str">
        <f t="shared" si="6"/>
        <v>RESOLVIDO</v>
      </c>
      <c r="D230" s="1">
        <v>3165352</v>
      </c>
      <c r="E230" s="1" t="s">
        <v>26</v>
      </c>
      <c r="F230" s="2">
        <v>45665.359027777777</v>
      </c>
      <c r="G230" s="1" t="s">
        <v>630</v>
      </c>
      <c r="H230" s="1" t="s">
        <v>629</v>
      </c>
      <c r="I230" s="1" t="s">
        <v>85</v>
      </c>
      <c r="J230" s="2">
        <v>45664.388888888891</v>
      </c>
      <c r="K230" s="2">
        <v>45665.492361111108</v>
      </c>
      <c r="L230" s="1" t="s">
        <v>18</v>
      </c>
      <c r="M230" s="1" t="str">
        <f>_xlfn.XLOOKUP(I230,Parâmetros!A:A,Parâmetros!B:B,_xlfn.XLOOKUP(Q230,Parâmetros!F:F,Parâmetros!G:G,"NOVA MENSAGEM"))</f>
        <v>CLIENTE NÃO IDENTIFICADO</v>
      </c>
      <c r="N230" s="1" t="str">
        <f>_xlfn.XLOOKUP(M230,Parâmetros!K:K,Parâmetros!L:L,"")</f>
        <v>DK DE CLIENTE NÃO PREENCIDO / CLIENTE NÃO CONFIGURADO NO OBT</v>
      </c>
      <c r="O230" s="1" t="str">
        <f>_xlfn.XLOOKUP(M230,Parâmetros!B:B,Parâmetros!C:C,_xlfn.XLOOKUP(Base!M228,Parâmetros!G:G,Parâmetros!H:H))</f>
        <v>INDEFINIDO</v>
      </c>
      <c r="P230" s="1" t="str">
        <f>_xlfn.XLOOKUP(I230,Parâmetros!A:A,Parâmetros!D:D,_xlfn.XLOOKUP(Q230,Parâmetros!F:F,Parâmetros!I:I))</f>
        <v>OPERAÇÕES / SUPORTE KCS</v>
      </c>
      <c r="Q230" s="1" t="str">
        <f t="shared" si="7"/>
        <v>COLUNA I</v>
      </c>
    </row>
    <row r="231" spans="1:17" x14ac:dyDescent="0.25">
      <c r="A231" s="1" t="str">
        <f>_xlfn.XLOOKUP(D231,'Novo relatório'!B:B,'Novo relatório'!C:C,"RESOLVIDO")</f>
        <v>RESOLVIDO</v>
      </c>
      <c r="C231" t="str">
        <f t="shared" si="6"/>
        <v>RESOLVIDO</v>
      </c>
      <c r="D231" s="1">
        <v>3166538</v>
      </c>
      <c r="E231" s="1" t="s">
        <v>26</v>
      </c>
      <c r="F231" s="2">
        <v>45664.592361111114</v>
      </c>
      <c r="G231" s="1" t="s">
        <v>658</v>
      </c>
      <c r="H231" s="1" t="s">
        <v>658</v>
      </c>
      <c r="I231" s="1" t="s">
        <v>83</v>
      </c>
      <c r="J231" s="2">
        <v>45664.722916666666</v>
      </c>
      <c r="L231" s="1" t="s">
        <v>18</v>
      </c>
      <c r="M231" s="1" t="str">
        <f>_xlfn.XLOOKUP(I231,Parâmetros!A:A,Parâmetros!B:B,_xlfn.XLOOKUP(Q231,Parâmetros!F:F,Parâmetros!G:G,"NOVA MENSAGEM"))</f>
        <v>CLIENTE NÃO IDENTIFICADO</v>
      </c>
      <c r="N231" s="1" t="str">
        <f>_xlfn.XLOOKUP(M231,Parâmetros!K:K,Parâmetros!L:L,"")</f>
        <v>DK DE CLIENTE NÃO PREENCIDO / CLIENTE NÃO CONFIGURADO NO OBT</v>
      </c>
      <c r="O231" s="1" t="str">
        <f>_xlfn.XLOOKUP(M231,Parâmetros!B:B,Parâmetros!C:C,_xlfn.XLOOKUP(Base!M229,Parâmetros!G:G,Parâmetros!H:H))</f>
        <v>INDEFINIDO</v>
      </c>
      <c r="P231" s="1" t="str">
        <f>_xlfn.XLOOKUP(I231,Parâmetros!A:A,Parâmetros!D:D,_xlfn.XLOOKUP(Q231,Parâmetros!F:F,Parâmetros!I:I))</f>
        <v>OPERAÇÕES / SUPORTE KCS</v>
      </c>
      <c r="Q231" s="1" t="str">
        <f t="shared" si="7"/>
        <v>COLUNA I</v>
      </c>
    </row>
    <row r="232" spans="1:17" x14ac:dyDescent="0.25">
      <c r="A232" s="1" t="str">
        <f>_xlfn.XLOOKUP(D232,'Novo relatório'!B:B,'Novo relatório'!C:C,"RESOLVIDO")</f>
        <v>RESOLVIDO</v>
      </c>
      <c r="C232" t="str">
        <f t="shared" si="6"/>
        <v>RESOLVIDO</v>
      </c>
      <c r="D232" s="1">
        <v>3166592</v>
      </c>
      <c r="E232" s="1" t="s">
        <v>26</v>
      </c>
      <c r="F232" s="2">
        <v>45664.615972222222</v>
      </c>
      <c r="G232" s="1" t="s">
        <v>665</v>
      </c>
      <c r="H232" s="1" t="s">
        <v>665</v>
      </c>
      <c r="I232" s="1" t="s">
        <v>411</v>
      </c>
      <c r="J232" s="2">
        <v>45664.742361111108</v>
      </c>
      <c r="L232" s="1" t="s">
        <v>18</v>
      </c>
      <c r="M232" s="1" t="str">
        <f>_xlfn.XLOOKUP(I232,Parâmetros!A:A,Parâmetros!B:B,_xlfn.XLOOKUP(Q232,Parâmetros!F:F,Parâmetros!G:G,"NOVA MENSAGEM"))</f>
        <v>REMARK - CNPJ</v>
      </c>
      <c r="N232" s="1" t="str">
        <f>_xlfn.XLOOKUP(M232,Parâmetros!K:K,Parâmetros!L:L,"")</f>
        <v/>
      </c>
      <c r="O232" s="1" t="e">
        <f>_xlfn.XLOOKUP(M232,Parâmetros!B:B,Parâmetros!C:C,_xlfn.XLOOKUP(Base!M230,Parâmetros!G:G,Parâmetros!H:H))</f>
        <v>#N/A</v>
      </c>
      <c r="P232" s="1" t="str">
        <f>_xlfn.XLOOKUP(I232,Parâmetros!A:A,Parâmetros!D:D,_xlfn.XLOOKUP(Q232,Parâmetros!F:F,Parâmetros!I:I))</f>
        <v>OPERAÇÕES / SUPORTE KCS</v>
      </c>
      <c r="Q232" s="1">
        <f t="shared" si="7"/>
        <v>24</v>
      </c>
    </row>
    <row r="233" spans="1:17" x14ac:dyDescent="0.25">
      <c r="A233" s="1" t="str">
        <f>_xlfn.XLOOKUP(D233,'Novo relatório'!B:B,'Novo relatório'!C:C,"RESOLVIDO")</f>
        <v>RESOLVIDO</v>
      </c>
      <c r="C233" t="str">
        <f t="shared" si="6"/>
        <v>RESOLVIDO</v>
      </c>
      <c r="D233" s="1">
        <v>3167546</v>
      </c>
      <c r="E233" s="1" t="s">
        <v>26</v>
      </c>
      <c r="F233" s="2">
        <v>45664.729861111111</v>
      </c>
      <c r="G233" s="1" t="s">
        <v>590</v>
      </c>
      <c r="H233" s="1" t="s">
        <v>590</v>
      </c>
      <c r="I233" s="1" t="s">
        <v>83</v>
      </c>
      <c r="J233" s="2">
        <v>45664.856944444444</v>
      </c>
      <c r="L233" s="1" t="s">
        <v>18</v>
      </c>
      <c r="M233" s="1" t="str">
        <f>_xlfn.XLOOKUP(I233,Parâmetros!A:A,Parâmetros!B:B,_xlfn.XLOOKUP(Q233,Parâmetros!F:F,Parâmetros!G:G,"NOVA MENSAGEM"))</f>
        <v>CLIENTE NÃO IDENTIFICADO</v>
      </c>
      <c r="N233" s="1" t="str">
        <f>_xlfn.XLOOKUP(M233,Parâmetros!K:K,Parâmetros!L:L,"")</f>
        <v>DK DE CLIENTE NÃO PREENCIDO / CLIENTE NÃO CONFIGURADO NO OBT</v>
      </c>
      <c r="O233" s="1" t="str">
        <f>_xlfn.XLOOKUP(M233,Parâmetros!B:B,Parâmetros!C:C,_xlfn.XLOOKUP(Base!M231,Parâmetros!G:G,Parâmetros!H:H))</f>
        <v>INDEFINIDO</v>
      </c>
      <c r="P233" s="1" t="str">
        <f>_xlfn.XLOOKUP(I233,Parâmetros!A:A,Parâmetros!D:D,_xlfn.XLOOKUP(Q233,Parâmetros!F:F,Parâmetros!I:I))</f>
        <v>OPERAÇÕES / SUPORTE KCS</v>
      </c>
      <c r="Q233" s="1" t="str">
        <f t="shared" si="7"/>
        <v>COLUNA I</v>
      </c>
    </row>
    <row r="234" spans="1:17" x14ac:dyDescent="0.25">
      <c r="A234" s="1" t="str">
        <f>_xlfn.XLOOKUP(D234,'Novo relatório'!B:B,'Novo relatório'!C:C,"RESOLVIDO")</f>
        <v>RESOLVIDO</v>
      </c>
      <c r="C234" t="str">
        <f t="shared" si="6"/>
        <v>RESOLVIDO</v>
      </c>
      <c r="D234" s="1">
        <v>3167565</v>
      </c>
      <c r="E234" s="1" t="s">
        <v>26</v>
      </c>
      <c r="F234" s="2">
        <v>45665.206250000003</v>
      </c>
      <c r="G234" s="1" t="s">
        <v>662</v>
      </c>
      <c r="H234" s="1" t="s">
        <v>662</v>
      </c>
      <c r="I234" s="1" t="s">
        <v>394</v>
      </c>
      <c r="J234" s="2">
        <v>45664.857638888891</v>
      </c>
      <c r="K234" s="2">
        <v>45665.335416666669</v>
      </c>
      <c r="L234" s="1" t="s">
        <v>18</v>
      </c>
      <c r="M234" s="1" t="str">
        <f>_xlfn.XLOOKUP(I234,Parâmetros!A:A,Parâmetros!B:B,_xlfn.XLOOKUP(Q234,Parâmetros!F:F,Parâmetros!G:G,"NOVA MENSAGEM"))</f>
        <v>REMARK - CNPJ</v>
      </c>
      <c r="N234" s="1" t="str">
        <f>_xlfn.XLOOKUP(M234,Parâmetros!K:K,Parâmetros!L:L,"")</f>
        <v/>
      </c>
      <c r="O234" s="1" t="str">
        <f>_xlfn.XLOOKUP(M234,Parâmetros!B:B,Parâmetros!C:C,_xlfn.XLOOKUP(Base!M232,Parâmetros!G:G,Parâmetros!H:H))</f>
        <v>QUALIDADE DOS DADOS</v>
      </c>
      <c r="P234" s="1" t="str">
        <f>_xlfn.XLOOKUP(I234,Parâmetros!A:A,Parâmetros!D:D,_xlfn.XLOOKUP(Q234,Parâmetros!F:F,Parâmetros!I:I))</f>
        <v>OPERAÇÕES / SUPORTE KCS</v>
      </c>
      <c r="Q234" s="1">
        <f t="shared" si="7"/>
        <v>24</v>
      </c>
    </row>
    <row r="235" spans="1:17" x14ac:dyDescent="0.25">
      <c r="A235" s="1" t="str">
        <f>_xlfn.XLOOKUP(D235,'Novo relatório'!B:B,'Novo relatório'!C:C,"RESOLVIDO")</f>
        <v>GOVER</v>
      </c>
      <c r="C235" t="str">
        <f t="shared" si="6"/>
        <v>PENDENTE</v>
      </c>
      <c r="D235" s="1">
        <v>3167749</v>
      </c>
      <c r="E235" s="1" t="s">
        <v>24</v>
      </c>
      <c r="F235" s="2">
        <v>45665.370833333334</v>
      </c>
      <c r="G235" s="1">
        <v>4470625</v>
      </c>
      <c r="H235" s="1">
        <v>16864154</v>
      </c>
      <c r="I235" s="1" t="s">
        <v>190</v>
      </c>
      <c r="J235" s="2">
        <v>45665.37777777778</v>
      </c>
      <c r="L235" s="1" t="s">
        <v>14</v>
      </c>
      <c r="M235" s="1" t="str">
        <f>_xlfn.XLOOKUP(I235,Parâmetros!A:A,Parâmetros!B:B,_xlfn.XLOOKUP(Q235,Parâmetros!F:F,Parâmetros!G:G,"NOVA MENSAGEM"))</f>
        <v>DADOS DO CARTÃO</v>
      </c>
      <c r="N235" s="1" t="str">
        <f>_xlfn.XLOOKUP(M235,Parâmetros!K:K,Parâmetros!L:L,"")</f>
        <v>TAG &lt;CARTAOVALIDADE&gt; NÃO ENVIADA</v>
      </c>
      <c r="O235" s="1" t="str">
        <f>_xlfn.XLOOKUP(M235,Parâmetros!B:B,Parâmetros!C:C,_xlfn.XLOOKUP(Base!M233,Parâmetros!G:G,Parâmetros!H:H))</f>
        <v>SISTEMA</v>
      </c>
      <c r="P235" s="1" t="str">
        <f>_xlfn.XLOOKUP(I235,Parâmetros!A:A,Parâmetros!D:D,_xlfn.XLOOKUP(Q235,Parâmetros!F:F,Parâmetros!I:I))</f>
        <v>SUPORTE OBT</v>
      </c>
      <c r="Q235" s="1" t="str">
        <f t="shared" si="7"/>
        <v>COLUNA I</v>
      </c>
    </row>
    <row r="236" spans="1:17" x14ac:dyDescent="0.25">
      <c r="A236" s="1" t="str">
        <f>_xlfn.XLOOKUP(D236,'Novo relatório'!B:B,'Novo relatório'!C:C,"RESOLVIDO")</f>
        <v>RESOLVIDO</v>
      </c>
      <c r="C236" t="str">
        <f t="shared" si="6"/>
        <v>RESOLVIDO</v>
      </c>
      <c r="D236" s="1">
        <v>3168662</v>
      </c>
      <c r="E236" s="1" t="s">
        <v>26</v>
      </c>
      <c r="F236" s="2">
        <v>45665.531944444447</v>
      </c>
      <c r="G236" s="1" t="s">
        <v>635</v>
      </c>
      <c r="H236" s="1" t="s">
        <v>635</v>
      </c>
      <c r="I236" s="1" t="s">
        <v>620</v>
      </c>
      <c r="J236" s="2">
        <v>45665.65902777778</v>
      </c>
      <c r="L236" s="1" t="s">
        <v>18</v>
      </c>
      <c r="M236" s="1" t="str">
        <f>_xlfn.XLOOKUP(I236,Parâmetros!A:A,Parâmetros!B:B,_xlfn.XLOOKUP(Q236,Parâmetros!F:F,Parâmetros!G:G,"NOVA MENSAGEM"))</f>
        <v>CÓD. CLIENTE DIVERGENTE</v>
      </c>
      <c r="N236" s="1" t="str">
        <f>_xlfn.XLOOKUP(M236,Parâmetros!K:K,Parâmetros!L:L,"")</f>
        <v>CÓDIGO DIFERENTE DO CADASTRADO NO BENNER (CLIENTE X GRUPO)</v>
      </c>
      <c r="O236" s="1" t="str">
        <f>_xlfn.XLOOKUP(M236,Parâmetros!B:B,Parâmetros!C:C,_xlfn.XLOOKUP(Base!M234,Parâmetros!G:G,Parâmetros!H:H))</f>
        <v>QUALIDADE DOS DADOS</v>
      </c>
      <c r="P236" s="1" t="str">
        <f>_xlfn.XLOOKUP(I236,Parâmetros!A:A,Parâmetros!D:D,_xlfn.XLOOKUP(Q236,Parâmetros!F:F,Parâmetros!I:I))</f>
        <v>SUPORTE OBT</v>
      </c>
      <c r="Q236" s="1">
        <f t="shared" si="7"/>
        <v>1</v>
      </c>
    </row>
    <row r="237" spans="1:17" x14ac:dyDescent="0.25">
      <c r="A237" s="1" t="str">
        <f>_xlfn.XLOOKUP(D237,'Novo relatório'!B:B,'Novo relatório'!C:C,"RESOLVIDO")</f>
        <v>RESOLVIDO</v>
      </c>
      <c r="C237" t="str">
        <f t="shared" si="6"/>
        <v>RESOLVIDO</v>
      </c>
      <c r="D237" s="1">
        <v>3168665</v>
      </c>
      <c r="E237" s="1" t="s">
        <v>26</v>
      </c>
      <c r="F237" s="2">
        <v>45665.573611111111</v>
      </c>
      <c r="G237" s="1" t="s">
        <v>646</v>
      </c>
      <c r="H237" s="1" t="s">
        <v>646</v>
      </c>
      <c r="I237" s="1" t="s">
        <v>588</v>
      </c>
      <c r="J237" s="2">
        <v>45665.659722222219</v>
      </c>
      <c r="K237" s="2">
        <v>45665.701388888891</v>
      </c>
      <c r="L237" s="1" t="s">
        <v>14</v>
      </c>
      <c r="M237" s="1" t="str">
        <f>_xlfn.XLOOKUP(I237,Parâmetros!A:A,Parâmetros!B:B,_xlfn.XLOOKUP(Q237,Parâmetros!F:F,Parâmetros!G:G,"NOVA MENSAGEM"))</f>
        <v>ERRO NO XML</v>
      </c>
      <c r="N237" s="1" t="str">
        <f>_xlfn.XLOOKUP(M237,Parâmetros!K:K,Parâmetros!L:L,"")</f>
        <v/>
      </c>
      <c r="O237" s="1" t="str">
        <f>_xlfn.XLOOKUP(M237,Parâmetros!B:B,Parâmetros!C:C,_xlfn.XLOOKUP(Base!M235,Parâmetros!G:G,Parâmetros!H:H))</f>
        <v>SISTEMA</v>
      </c>
      <c r="P237" s="1" t="str">
        <f>_xlfn.XLOOKUP(I237,Parâmetros!A:A,Parâmetros!D:D,_xlfn.XLOOKUP(Q237,Parâmetros!F:F,Parâmetros!I:I))</f>
        <v>SUPORTE OBT</v>
      </c>
      <c r="Q237" s="1" t="str">
        <f t="shared" si="7"/>
        <v>COLUNA I</v>
      </c>
    </row>
    <row r="238" spans="1:17" x14ac:dyDescent="0.25">
      <c r="A238" s="1" t="str">
        <f>_xlfn.XLOOKUP(D238,'Novo relatório'!B:B,'Novo relatório'!C:C,"RESOLVIDO")</f>
        <v>RESOLVIDO</v>
      </c>
      <c r="C238" t="str">
        <f t="shared" si="6"/>
        <v>RESOLVIDO</v>
      </c>
      <c r="D238" s="1">
        <v>3168671</v>
      </c>
      <c r="E238" s="1" t="s">
        <v>26</v>
      </c>
      <c r="F238" s="2">
        <v>45695.566666666666</v>
      </c>
      <c r="G238" s="1" t="s">
        <v>1014</v>
      </c>
      <c r="H238" s="1" t="s">
        <v>1014</v>
      </c>
      <c r="I238" s="1" t="s">
        <v>588</v>
      </c>
      <c r="J238" s="2">
        <v>45665.661111111112</v>
      </c>
      <c r="K238" s="2">
        <v>45695.699305555558</v>
      </c>
      <c r="L238" s="1" t="s">
        <v>14</v>
      </c>
      <c r="M238" s="1" t="str">
        <f>_xlfn.XLOOKUP(I238,Parâmetros!A:A,Parâmetros!B:B,_xlfn.XLOOKUP(Q238,Parâmetros!F:F,Parâmetros!G:G,"NOVA MENSAGEM"))</f>
        <v>ERRO NO XML</v>
      </c>
      <c r="N238" s="1" t="str">
        <f>_xlfn.XLOOKUP(M238,Parâmetros!K:K,Parâmetros!L:L,"")</f>
        <v/>
      </c>
      <c r="O238" s="1" t="str">
        <f>_xlfn.XLOOKUP(M238,Parâmetros!B:B,Parâmetros!C:C,_xlfn.XLOOKUP(Base!M236,Parâmetros!G:G,Parâmetros!H:H))</f>
        <v>SISTEMA</v>
      </c>
      <c r="P238" s="1" t="str">
        <f>_xlfn.XLOOKUP(I238,Parâmetros!A:A,Parâmetros!D:D,_xlfn.XLOOKUP(Q238,Parâmetros!F:F,Parâmetros!I:I))</f>
        <v>SUPORTE OBT</v>
      </c>
      <c r="Q238" s="1" t="str">
        <f t="shared" si="7"/>
        <v>COLUNA I</v>
      </c>
    </row>
    <row r="239" spans="1:17" x14ac:dyDescent="0.25">
      <c r="A239" s="1" t="str">
        <f>_xlfn.XLOOKUP(D239,'Novo relatório'!B:B,'Novo relatório'!C:C,"RESOLVIDO")</f>
        <v>RESOLVIDO</v>
      </c>
      <c r="C239" t="str">
        <f t="shared" si="6"/>
        <v>RESOLVIDO</v>
      </c>
      <c r="D239" s="1">
        <v>3168672</v>
      </c>
      <c r="E239" s="1" t="s">
        <v>26</v>
      </c>
      <c r="F239" s="2">
        <v>45665.531944444447</v>
      </c>
      <c r="G239" s="1" t="s">
        <v>663</v>
      </c>
      <c r="H239" s="1" t="s">
        <v>663</v>
      </c>
      <c r="I239" s="1" t="s">
        <v>83</v>
      </c>
      <c r="J239" s="2">
        <v>45665.661111111112</v>
      </c>
      <c r="L239" s="1" t="s">
        <v>18</v>
      </c>
      <c r="M239" s="1" t="str">
        <f>_xlfn.XLOOKUP(I239,Parâmetros!A:A,Parâmetros!B:B,_xlfn.XLOOKUP(Q239,Parâmetros!F:F,Parâmetros!G:G,"NOVA MENSAGEM"))</f>
        <v>CLIENTE NÃO IDENTIFICADO</v>
      </c>
      <c r="N239" s="1" t="str">
        <f>_xlfn.XLOOKUP(M239,Parâmetros!K:K,Parâmetros!L:L,"")</f>
        <v>DK DE CLIENTE NÃO PREENCIDO / CLIENTE NÃO CONFIGURADO NO OBT</v>
      </c>
      <c r="O239" s="1" t="str">
        <f>_xlfn.XLOOKUP(M239,Parâmetros!B:B,Parâmetros!C:C,_xlfn.XLOOKUP(Base!M237,Parâmetros!G:G,Parâmetros!H:H))</f>
        <v>INDEFINIDO</v>
      </c>
      <c r="P239" s="1" t="str">
        <f>_xlfn.XLOOKUP(I239,Parâmetros!A:A,Parâmetros!D:D,_xlfn.XLOOKUP(Q239,Parâmetros!F:F,Parâmetros!I:I))</f>
        <v>OPERAÇÕES / SUPORTE KCS</v>
      </c>
      <c r="Q239" s="1" t="str">
        <f t="shared" si="7"/>
        <v>COLUNA I</v>
      </c>
    </row>
    <row r="240" spans="1:17" x14ac:dyDescent="0.25">
      <c r="A240" s="1" t="str">
        <f>_xlfn.XLOOKUP(D240,'Novo relatório'!B:B,'Novo relatório'!C:C,"RESOLVIDO")</f>
        <v>RESOLVIDO</v>
      </c>
      <c r="C240" t="str">
        <f t="shared" si="6"/>
        <v>RESOLVIDO</v>
      </c>
      <c r="D240" s="1">
        <v>3168990</v>
      </c>
      <c r="E240" s="1" t="s">
        <v>26</v>
      </c>
      <c r="F240" s="2">
        <v>45665.625</v>
      </c>
      <c r="G240" s="1" t="s">
        <v>683</v>
      </c>
      <c r="H240" s="1" t="s">
        <v>684</v>
      </c>
      <c r="I240" s="1" t="s">
        <v>166</v>
      </c>
      <c r="J240" s="2">
        <v>45665.75277777778</v>
      </c>
      <c r="L240" s="1" t="s">
        <v>19</v>
      </c>
      <c r="M240" s="1" t="str">
        <f>_xlfn.XLOOKUP(I240,Parâmetros!A:A,Parâmetros!B:B,_xlfn.XLOOKUP(Q240,Parâmetros!F:F,Parâmetros!G:G,"NOVA MENSAGEM"))</f>
        <v>CONTRATO FORNECEDOR</v>
      </c>
      <c r="N240" s="1" t="str">
        <f>_xlfn.XLOOKUP(M240,Parâmetros!K:K,Parâmetros!L:L,"")</f>
        <v>CONTRATO INATIVO OU DIVERGENTE</v>
      </c>
      <c r="O240" s="1" t="str">
        <f>_xlfn.XLOOKUP(M240,Parâmetros!B:B,Parâmetros!C:C,_xlfn.XLOOKUP(Base!M238,Parâmetros!G:G,Parâmetros!H:H))</f>
        <v>SISTEMA</v>
      </c>
      <c r="P240" s="1" t="str">
        <f>_xlfn.XLOOKUP(I240,Parâmetros!A:A,Parâmetros!D:D,_xlfn.XLOOKUP(Q240,Parâmetros!F:F,Parâmetros!I:I))</f>
        <v>OPERAÇÕES / SUPORTE KCS</v>
      </c>
      <c r="Q240" s="1">
        <f t="shared" si="7"/>
        <v>43</v>
      </c>
    </row>
    <row r="241" spans="1:17" x14ac:dyDescent="0.25">
      <c r="A241" s="1" t="str">
        <f>_xlfn.XLOOKUP(D241,'Novo relatório'!B:B,'Novo relatório'!C:C,"RESOLVIDO")</f>
        <v>RESOLVIDO</v>
      </c>
      <c r="C241" t="str">
        <f t="shared" si="6"/>
        <v>RESOLVIDO</v>
      </c>
      <c r="D241" s="1">
        <v>3169616</v>
      </c>
      <c r="E241" s="1" t="s">
        <v>26</v>
      </c>
      <c r="F241" s="2">
        <v>45665.72152777778</v>
      </c>
      <c r="G241" s="1" t="s">
        <v>670</v>
      </c>
      <c r="H241" s="1" t="s">
        <v>670</v>
      </c>
      <c r="I241" s="1" t="s">
        <v>671</v>
      </c>
      <c r="J241" s="2">
        <v>45665.856249999997</v>
      </c>
      <c r="L241" s="1" t="s">
        <v>18</v>
      </c>
      <c r="M241" s="1" t="str">
        <f>_xlfn.XLOOKUP(I241,Parâmetros!A:A,Parâmetros!B:B,_xlfn.XLOOKUP(Q241,Parâmetros!F:F,Parâmetros!G:G,"NOVA MENSAGEM"))</f>
        <v>CÓD. CLIENTE DIVERGENTE</v>
      </c>
      <c r="N241" s="1" t="str">
        <f>_xlfn.XLOOKUP(M241,Parâmetros!K:K,Parâmetros!L:L,"")</f>
        <v>CÓDIGO DIFERENTE DO CADASTRADO NO BENNER (CLIENTE X GRUPO)</v>
      </c>
      <c r="O241" s="1" t="str">
        <f>_xlfn.XLOOKUP(M241,Parâmetros!B:B,Parâmetros!C:C,_xlfn.XLOOKUP(Base!M239,Parâmetros!G:G,Parâmetros!H:H))</f>
        <v>QUALIDADE DOS DADOS</v>
      </c>
      <c r="P241" s="1" t="str">
        <f>_xlfn.XLOOKUP(I241,Parâmetros!A:A,Parâmetros!D:D,_xlfn.XLOOKUP(Q241,Parâmetros!F:F,Parâmetros!I:I))</f>
        <v>SUPORTE OBT</v>
      </c>
      <c r="Q241" s="1">
        <f t="shared" si="7"/>
        <v>1</v>
      </c>
    </row>
    <row r="242" spans="1:17" x14ac:dyDescent="0.25">
      <c r="A242" s="1" t="str">
        <f>_xlfn.XLOOKUP(D242,'Novo relatório'!B:B,'Novo relatório'!C:C,"RESOLVIDO")</f>
        <v>RESOLVIDO</v>
      </c>
      <c r="C242" t="str">
        <f t="shared" si="6"/>
        <v>RESOLVIDO</v>
      </c>
      <c r="D242" s="1">
        <v>3169622</v>
      </c>
      <c r="E242" s="1" t="s">
        <v>26</v>
      </c>
      <c r="F242" s="2">
        <v>45665.72152777778</v>
      </c>
      <c r="G242" s="1" t="s">
        <v>685</v>
      </c>
      <c r="H242" s="1" t="s">
        <v>685</v>
      </c>
      <c r="I242" s="1" t="s">
        <v>395</v>
      </c>
      <c r="J242" s="2">
        <v>45665.856944444444</v>
      </c>
      <c r="L242" s="1" t="s">
        <v>18</v>
      </c>
      <c r="M242" s="1" t="str">
        <f>_xlfn.XLOOKUP(I242,Parâmetros!A:A,Parâmetros!B:B,_xlfn.XLOOKUP(Q242,Parâmetros!F:F,Parâmetros!G:G,"NOVA MENSAGEM"))</f>
        <v>REMARK - CNPJ</v>
      </c>
      <c r="N242" s="1" t="str">
        <f>_xlfn.XLOOKUP(M242,Parâmetros!K:K,Parâmetros!L:L,"")</f>
        <v/>
      </c>
      <c r="O242" s="1" t="str">
        <f>_xlfn.XLOOKUP(M242,Parâmetros!B:B,Parâmetros!C:C,_xlfn.XLOOKUP(Base!M240,Parâmetros!G:G,Parâmetros!H:H))</f>
        <v>SISTEMA</v>
      </c>
      <c r="P242" s="1" t="str">
        <f>_xlfn.XLOOKUP(I242,Parâmetros!A:A,Parâmetros!D:D,_xlfn.XLOOKUP(Q242,Parâmetros!F:F,Parâmetros!I:I))</f>
        <v>OPERAÇÕES / SUPORTE KCS</v>
      </c>
      <c r="Q242" s="1">
        <f t="shared" si="7"/>
        <v>24</v>
      </c>
    </row>
    <row r="243" spans="1:17" x14ac:dyDescent="0.25">
      <c r="A243" s="1" t="str">
        <f>_xlfn.XLOOKUP(D243,'Novo relatório'!B:B,'Novo relatório'!C:C,"RESOLVIDO")</f>
        <v>RESOLVIDO</v>
      </c>
      <c r="C243" t="str">
        <f t="shared" si="6"/>
        <v>RESOLVIDO</v>
      </c>
      <c r="D243" s="1">
        <v>3169651</v>
      </c>
      <c r="E243" s="1" t="s">
        <v>26</v>
      </c>
      <c r="F243" s="2">
        <v>45665.72152777778</v>
      </c>
      <c r="G243" s="1" t="s">
        <v>674</v>
      </c>
      <c r="H243" s="1" t="s">
        <v>674</v>
      </c>
      <c r="I243" s="1" t="s">
        <v>410</v>
      </c>
      <c r="J243" s="2">
        <v>45665.85833333333</v>
      </c>
      <c r="L243" s="1" t="s">
        <v>18</v>
      </c>
      <c r="M243" s="1" t="str">
        <f>_xlfn.XLOOKUP(I243,Parâmetros!A:A,Parâmetros!B:B,_xlfn.XLOOKUP(Q243,Parâmetros!F:F,Parâmetros!G:G,"NOVA MENSAGEM"))</f>
        <v>CÓD. CLIENTE DIVERGENTE</v>
      </c>
      <c r="N243" s="1" t="str">
        <f>_xlfn.XLOOKUP(M243,Parâmetros!K:K,Parâmetros!L:L,"")</f>
        <v>CÓDIGO DIFERENTE DO CADASTRADO NO BENNER (CLIENTE X GRUPO)</v>
      </c>
      <c r="O243" s="1" t="str">
        <f>_xlfn.XLOOKUP(M243,Parâmetros!B:B,Parâmetros!C:C,_xlfn.XLOOKUP(Base!M241,Parâmetros!G:G,Parâmetros!H:H))</f>
        <v>QUALIDADE DOS DADOS</v>
      </c>
      <c r="P243" s="1" t="str">
        <f>_xlfn.XLOOKUP(I243,Parâmetros!A:A,Parâmetros!D:D,_xlfn.XLOOKUP(Q243,Parâmetros!F:F,Parâmetros!I:I))</f>
        <v>SUPORTE OBT</v>
      </c>
      <c r="Q243" s="1">
        <f t="shared" si="7"/>
        <v>1</v>
      </c>
    </row>
    <row r="244" spans="1:17" x14ac:dyDescent="0.25">
      <c r="A244" s="1" t="str">
        <f>_xlfn.XLOOKUP(D244,'Novo relatório'!B:B,'Novo relatório'!C:C,"RESOLVIDO")</f>
        <v>RESOLVIDO</v>
      </c>
      <c r="C244" t="str">
        <f t="shared" si="6"/>
        <v>RESOLVIDO</v>
      </c>
      <c r="D244" s="1">
        <v>3169655</v>
      </c>
      <c r="E244" s="1" t="s">
        <v>26</v>
      </c>
      <c r="F244" s="2">
        <v>45665.72152777778</v>
      </c>
      <c r="G244" s="1" t="s">
        <v>679</v>
      </c>
      <c r="H244" s="1" t="s">
        <v>679</v>
      </c>
      <c r="I244" s="1" t="s">
        <v>410</v>
      </c>
      <c r="J244" s="2">
        <v>45665.85833333333</v>
      </c>
      <c r="L244" s="1" t="s">
        <v>18</v>
      </c>
      <c r="M244" s="1" t="str">
        <f>_xlfn.XLOOKUP(I244,Parâmetros!A:A,Parâmetros!B:B,_xlfn.XLOOKUP(Q244,Parâmetros!F:F,Parâmetros!G:G,"NOVA MENSAGEM"))</f>
        <v>CÓD. CLIENTE DIVERGENTE</v>
      </c>
      <c r="N244" s="1" t="str">
        <f>_xlfn.XLOOKUP(M244,Parâmetros!K:K,Parâmetros!L:L,"")</f>
        <v>CÓDIGO DIFERENTE DO CADASTRADO NO BENNER (CLIENTE X GRUPO)</v>
      </c>
      <c r="O244" s="1" t="str">
        <f>_xlfn.XLOOKUP(M244,Parâmetros!B:B,Parâmetros!C:C,_xlfn.XLOOKUP(Base!M242,Parâmetros!G:G,Parâmetros!H:H))</f>
        <v>QUALIDADE DOS DADOS</v>
      </c>
      <c r="P244" s="1" t="str">
        <f>_xlfn.XLOOKUP(I244,Parâmetros!A:A,Parâmetros!D:D,_xlfn.XLOOKUP(Q244,Parâmetros!F:F,Parâmetros!I:I))</f>
        <v>SUPORTE OBT</v>
      </c>
      <c r="Q244" s="1">
        <f t="shared" si="7"/>
        <v>1</v>
      </c>
    </row>
    <row r="245" spans="1:17" x14ac:dyDescent="0.25">
      <c r="A245" s="1" t="str">
        <f>_xlfn.XLOOKUP(D245,'Novo relatório'!B:B,'Novo relatório'!C:C,"RESOLVIDO")</f>
        <v>RESOLVIDO</v>
      </c>
      <c r="C245" t="str">
        <f t="shared" si="6"/>
        <v>RESOLVIDO</v>
      </c>
      <c r="D245" s="1">
        <v>3170360</v>
      </c>
      <c r="E245" s="1" t="s">
        <v>26</v>
      </c>
      <c r="F245" s="2">
        <v>45666.366666666669</v>
      </c>
      <c r="G245" s="1" t="s">
        <v>678</v>
      </c>
      <c r="H245" s="1" t="s">
        <v>678</v>
      </c>
      <c r="I245" s="1" t="s">
        <v>394</v>
      </c>
      <c r="J245" s="2">
        <v>45666.470138888886</v>
      </c>
      <c r="K245" s="2">
        <v>45666.50277777778</v>
      </c>
      <c r="L245" s="1" t="s">
        <v>18</v>
      </c>
      <c r="M245" s="1" t="str">
        <f>_xlfn.XLOOKUP(I245,Parâmetros!A:A,Parâmetros!B:B,_xlfn.XLOOKUP(Q245,Parâmetros!F:F,Parâmetros!G:G,"NOVA MENSAGEM"))</f>
        <v>REMARK - CNPJ</v>
      </c>
      <c r="N245" s="1" t="str">
        <f>_xlfn.XLOOKUP(M245,Parâmetros!K:K,Parâmetros!L:L,"")</f>
        <v/>
      </c>
      <c r="O245" s="1" t="str">
        <f>_xlfn.XLOOKUP(M245,Parâmetros!B:B,Parâmetros!C:C,_xlfn.XLOOKUP(Base!M243,Parâmetros!G:G,Parâmetros!H:H))</f>
        <v>QUALIDADE DOS DADOS</v>
      </c>
      <c r="P245" s="1" t="str">
        <f>_xlfn.XLOOKUP(I245,Parâmetros!A:A,Parâmetros!D:D,_xlfn.XLOOKUP(Q245,Parâmetros!F:F,Parâmetros!I:I))</f>
        <v>OPERAÇÕES / SUPORTE KCS</v>
      </c>
      <c r="Q245" s="1">
        <f t="shared" si="7"/>
        <v>24</v>
      </c>
    </row>
    <row r="246" spans="1:17" x14ac:dyDescent="0.25">
      <c r="A246" s="1" t="str">
        <f>_xlfn.XLOOKUP(D246,'Novo relatório'!B:B,'Novo relatório'!C:C,"RESOLVIDO")</f>
        <v>RESOLVIDO</v>
      </c>
      <c r="C246" t="str">
        <f t="shared" si="6"/>
        <v>RESOLVIDO</v>
      </c>
      <c r="D246" s="1">
        <v>3170929</v>
      </c>
      <c r="E246" s="1" t="s">
        <v>26</v>
      </c>
      <c r="F246" s="2">
        <v>45666.488888888889</v>
      </c>
      <c r="G246" s="1" t="s">
        <v>680</v>
      </c>
      <c r="H246" s="1" t="s">
        <v>680</v>
      </c>
      <c r="I246" s="1" t="s">
        <v>398</v>
      </c>
      <c r="J246" s="2">
        <v>45666.617361111108</v>
      </c>
      <c r="L246" s="1" t="s">
        <v>18</v>
      </c>
      <c r="M246" s="1" t="str">
        <f>_xlfn.XLOOKUP(I246,Parâmetros!A:A,Parâmetros!B:B,_xlfn.XLOOKUP(Q246,Parâmetros!F:F,Parâmetros!G:G,"NOVA MENSAGEM"))</f>
        <v>REMARK - CNPJ</v>
      </c>
      <c r="N246" s="1" t="str">
        <f>_xlfn.XLOOKUP(M246,Parâmetros!K:K,Parâmetros!L:L,"")</f>
        <v/>
      </c>
      <c r="O246" s="1" t="str">
        <f>_xlfn.XLOOKUP(M246,Parâmetros!B:B,Parâmetros!C:C,_xlfn.XLOOKUP(Base!M244,Parâmetros!G:G,Parâmetros!H:H))</f>
        <v>QUALIDADE DOS DADOS</v>
      </c>
      <c r="P246" s="1" t="str">
        <f>_xlfn.XLOOKUP(I246,Parâmetros!A:A,Parâmetros!D:D,_xlfn.XLOOKUP(Q246,Parâmetros!F:F,Parâmetros!I:I))</f>
        <v>OPERAÇÕES / SUPORTE KCS</v>
      </c>
      <c r="Q246" s="1">
        <f t="shared" si="7"/>
        <v>24</v>
      </c>
    </row>
    <row r="247" spans="1:17" x14ac:dyDescent="0.25">
      <c r="A247" s="1" t="str">
        <f>_xlfn.XLOOKUP(D247,'Novo relatório'!B:B,'Novo relatório'!C:C,"RESOLVIDO")</f>
        <v>RESOLVIDO</v>
      </c>
      <c r="C247" t="str">
        <f t="shared" si="6"/>
        <v>RESOLVIDO</v>
      </c>
      <c r="D247" s="1">
        <v>3170959</v>
      </c>
      <c r="E247" s="1" t="s">
        <v>26</v>
      </c>
      <c r="F247" s="2">
        <v>45666.488888888889</v>
      </c>
      <c r="G247" s="1" t="s">
        <v>667</v>
      </c>
      <c r="H247" s="1" t="s">
        <v>667</v>
      </c>
      <c r="I247" s="1" t="s">
        <v>631</v>
      </c>
      <c r="J247" s="2">
        <v>45666.621527777781</v>
      </c>
      <c r="K247" s="2"/>
      <c r="L247" s="1" t="s">
        <v>18</v>
      </c>
      <c r="M247" s="1" t="str">
        <f>_xlfn.XLOOKUP(I247,Parâmetros!A:A,Parâmetros!B:B,_xlfn.XLOOKUP(Q247,Parâmetros!F:F,Parâmetros!G:G,"NOVA MENSAGEM"))</f>
        <v>REMARK - CNPJ</v>
      </c>
      <c r="N247" s="1" t="str">
        <f>_xlfn.XLOOKUP(M247,Parâmetros!K:K,Parâmetros!L:L,"")</f>
        <v/>
      </c>
      <c r="O247" s="1" t="str">
        <f>_xlfn.XLOOKUP(M247,Parâmetros!B:B,Parâmetros!C:C,_xlfn.XLOOKUP(Base!M245,Parâmetros!G:G,Parâmetros!H:H))</f>
        <v>QUALIDADE DOS DADOS</v>
      </c>
      <c r="P247" s="1" t="str">
        <f>_xlfn.XLOOKUP(I247,Parâmetros!A:A,Parâmetros!D:D,_xlfn.XLOOKUP(Q247,Parâmetros!F:F,Parâmetros!I:I))</f>
        <v>OPERAÇÕES / SUPORTE KCS</v>
      </c>
      <c r="Q247" s="1">
        <f t="shared" si="7"/>
        <v>24</v>
      </c>
    </row>
    <row r="248" spans="1:17" x14ac:dyDescent="0.25">
      <c r="A248" s="1" t="str">
        <f>_xlfn.XLOOKUP(D248,'Novo relatório'!B:B,'Novo relatório'!C:C,"RESOLVIDO")</f>
        <v>RESOLVIDO</v>
      </c>
      <c r="C248" t="str">
        <f t="shared" si="6"/>
        <v>RESOLVIDO</v>
      </c>
      <c r="D248" s="1">
        <v>3171114</v>
      </c>
      <c r="E248" s="1" t="s">
        <v>26</v>
      </c>
      <c r="F248" s="2">
        <v>45666.540972222225</v>
      </c>
      <c r="G248" s="1" t="s">
        <v>675</v>
      </c>
      <c r="H248" s="1" t="s">
        <v>676</v>
      </c>
      <c r="I248" s="1" t="s">
        <v>166</v>
      </c>
      <c r="J248" s="2">
        <v>45666.669444444444</v>
      </c>
      <c r="L248" s="1" t="s">
        <v>19</v>
      </c>
      <c r="M248" s="1" t="str">
        <f>_xlfn.XLOOKUP(I248,Parâmetros!A:A,Parâmetros!B:B,_xlfn.XLOOKUP(Q248,Parâmetros!F:F,Parâmetros!G:G,"NOVA MENSAGEM"))</f>
        <v>CONTRATO FORNECEDOR</v>
      </c>
      <c r="N248" s="1" t="str">
        <f>_xlfn.XLOOKUP(M248,Parâmetros!K:K,Parâmetros!L:L,"")</f>
        <v>CONTRATO INATIVO OU DIVERGENTE</v>
      </c>
      <c r="O248" s="1" t="str">
        <f>_xlfn.XLOOKUP(M248,Parâmetros!B:B,Parâmetros!C:C,_xlfn.XLOOKUP(Base!M246,Parâmetros!G:G,Parâmetros!H:H))</f>
        <v>SISTEMA</v>
      </c>
      <c r="P248" s="1" t="str">
        <f>_xlfn.XLOOKUP(I248,Parâmetros!A:A,Parâmetros!D:D,_xlfn.XLOOKUP(Q248,Parâmetros!F:F,Parâmetros!I:I))</f>
        <v>OPERAÇÕES / SUPORTE KCS</v>
      </c>
      <c r="Q248" s="1">
        <f t="shared" si="7"/>
        <v>43</v>
      </c>
    </row>
    <row r="249" spans="1:17" x14ac:dyDescent="0.25">
      <c r="A249" s="1" t="str">
        <f>_xlfn.XLOOKUP(D249,'Novo relatório'!B:B,'Novo relatório'!C:C,"RESOLVIDO")</f>
        <v>RESOLVIDO</v>
      </c>
      <c r="C249" t="str">
        <f t="shared" si="6"/>
        <v>RESOLVIDO</v>
      </c>
      <c r="D249" s="1">
        <v>3171183</v>
      </c>
      <c r="E249" s="1" t="s">
        <v>26</v>
      </c>
      <c r="F249" s="2">
        <v>45666.55972222222</v>
      </c>
      <c r="G249" s="1" t="s">
        <v>668</v>
      </c>
      <c r="H249" s="1" t="s">
        <v>668</v>
      </c>
      <c r="I249" s="1" t="s">
        <v>83</v>
      </c>
      <c r="J249" s="2">
        <v>45666.690972222219</v>
      </c>
      <c r="L249" s="1" t="s">
        <v>18</v>
      </c>
      <c r="M249" s="1" t="str">
        <f>_xlfn.XLOOKUP(I249,Parâmetros!A:A,Parâmetros!B:B,_xlfn.XLOOKUP(Q249,Parâmetros!F:F,Parâmetros!G:G,"NOVA MENSAGEM"))</f>
        <v>CLIENTE NÃO IDENTIFICADO</v>
      </c>
      <c r="N249" s="1" t="str">
        <f>_xlfn.XLOOKUP(M249,Parâmetros!K:K,Parâmetros!L:L,"")</f>
        <v>DK DE CLIENTE NÃO PREENCIDO / CLIENTE NÃO CONFIGURADO NO OBT</v>
      </c>
      <c r="O249" s="1" t="str">
        <f>_xlfn.XLOOKUP(M249,Parâmetros!B:B,Parâmetros!C:C,_xlfn.XLOOKUP(Base!M247,Parâmetros!G:G,Parâmetros!H:H))</f>
        <v>INDEFINIDO</v>
      </c>
      <c r="P249" s="1" t="str">
        <f>_xlfn.XLOOKUP(I249,Parâmetros!A:A,Parâmetros!D:D,_xlfn.XLOOKUP(Q249,Parâmetros!F:F,Parâmetros!I:I))</f>
        <v>OPERAÇÕES / SUPORTE KCS</v>
      </c>
      <c r="Q249" s="1" t="str">
        <f t="shared" si="7"/>
        <v>COLUNA I</v>
      </c>
    </row>
    <row r="250" spans="1:17" x14ac:dyDescent="0.25">
      <c r="A250" s="1" t="str">
        <f>_xlfn.XLOOKUP(D250,'Novo relatório'!B:B,'Novo relatório'!C:C,"RESOLVIDO")</f>
        <v>RESOLVIDO</v>
      </c>
      <c r="C250" t="str">
        <f t="shared" si="6"/>
        <v>RESOLVIDO</v>
      </c>
      <c r="D250" s="1">
        <v>3171548</v>
      </c>
      <c r="E250" s="1" t="s">
        <v>26</v>
      </c>
      <c r="F250" s="2">
        <v>45666.69027777778</v>
      </c>
      <c r="G250" s="1" t="s">
        <v>672</v>
      </c>
      <c r="H250" s="1" t="s">
        <v>672</v>
      </c>
      <c r="I250" s="1" t="s">
        <v>579</v>
      </c>
      <c r="J250" s="2">
        <v>45666.825694444444</v>
      </c>
      <c r="L250" s="1" t="s">
        <v>18</v>
      </c>
      <c r="M250" s="1" t="str">
        <f>_xlfn.XLOOKUP(I250,Parâmetros!A:A,Parâmetros!B:B,_xlfn.XLOOKUP(Q250,Parâmetros!F:F,Parâmetros!G:G,"NOVA MENSAGEM"))</f>
        <v>REMARK - CNPJ</v>
      </c>
      <c r="N250" s="1" t="str">
        <f>_xlfn.XLOOKUP(M250,Parâmetros!K:K,Parâmetros!L:L,"")</f>
        <v/>
      </c>
      <c r="O250" s="1" t="str">
        <f>_xlfn.XLOOKUP(M250,Parâmetros!B:B,Parâmetros!C:C,_xlfn.XLOOKUP(Base!M248,Parâmetros!G:G,Parâmetros!H:H))</f>
        <v>SISTEMA</v>
      </c>
      <c r="P250" s="1" t="str">
        <f>_xlfn.XLOOKUP(I250,Parâmetros!A:A,Parâmetros!D:D,_xlfn.XLOOKUP(Q250,Parâmetros!F:F,Parâmetros!I:I))</f>
        <v>OPERAÇÕES / SUPORTE KCS</v>
      </c>
      <c r="Q250" s="1">
        <f t="shared" si="7"/>
        <v>24</v>
      </c>
    </row>
    <row r="251" spans="1:17" x14ac:dyDescent="0.25">
      <c r="A251" s="1" t="str">
        <f>_xlfn.XLOOKUP(D251,'Novo relatório'!B:B,'Novo relatório'!C:C,"RESOLVIDO")</f>
        <v>RESOLVIDO</v>
      </c>
      <c r="C251" t="str">
        <f t="shared" si="6"/>
        <v>RESOLVIDO</v>
      </c>
      <c r="D251" s="1">
        <v>3171563</v>
      </c>
      <c r="E251" s="1" t="s">
        <v>26</v>
      </c>
      <c r="F251" s="2">
        <v>45666.69027777778</v>
      </c>
      <c r="G251" s="1" t="s">
        <v>677</v>
      </c>
      <c r="H251" s="1" t="s">
        <v>677</v>
      </c>
      <c r="I251" s="1" t="s">
        <v>395</v>
      </c>
      <c r="J251" s="2">
        <v>45666.826388888891</v>
      </c>
      <c r="L251" s="1" t="s">
        <v>18</v>
      </c>
      <c r="M251" s="1" t="str">
        <f>_xlfn.XLOOKUP(I251,Parâmetros!A:A,Parâmetros!B:B,_xlfn.XLOOKUP(Q251,Parâmetros!F:F,Parâmetros!G:G,"NOVA MENSAGEM"))</f>
        <v>REMARK - CNPJ</v>
      </c>
      <c r="N251" s="1" t="str">
        <f>_xlfn.XLOOKUP(M251,Parâmetros!K:K,Parâmetros!L:L,"")</f>
        <v/>
      </c>
      <c r="O251" s="1" t="e">
        <f>_xlfn.XLOOKUP(M251,Parâmetros!B:B,Parâmetros!C:C,_xlfn.XLOOKUP(Base!M249,Parâmetros!G:G,Parâmetros!H:H))</f>
        <v>#N/A</v>
      </c>
      <c r="P251" s="1" t="str">
        <f>_xlfn.XLOOKUP(I251,Parâmetros!A:A,Parâmetros!D:D,_xlfn.XLOOKUP(Q251,Parâmetros!F:F,Parâmetros!I:I))</f>
        <v>OPERAÇÕES / SUPORTE KCS</v>
      </c>
      <c r="Q251" s="1">
        <f t="shared" si="7"/>
        <v>24</v>
      </c>
    </row>
    <row r="252" spans="1:17" x14ac:dyDescent="0.25">
      <c r="A252" s="1" t="str">
        <f>_xlfn.XLOOKUP(D252,'Novo relatório'!B:B,'Novo relatório'!C:C,"RESOLVIDO")</f>
        <v>RESOLVIDO</v>
      </c>
      <c r="C252" t="str">
        <f t="shared" si="6"/>
        <v>RESOLVIDO</v>
      </c>
      <c r="D252" s="1">
        <v>3171568</v>
      </c>
      <c r="E252" s="1" t="s">
        <v>26</v>
      </c>
      <c r="F252" s="2">
        <v>45666.69027777778</v>
      </c>
      <c r="G252" s="1" t="s">
        <v>682</v>
      </c>
      <c r="H252" s="1" t="s">
        <v>682</v>
      </c>
      <c r="I252" s="1" t="s">
        <v>83</v>
      </c>
      <c r="J252" s="2">
        <v>45666.826388888891</v>
      </c>
      <c r="L252" s="1" t="s">
        <v>18</v>
      </c>
      <c r="M252" s="1" t="str">
        <f>_xlfn.XLOOKUP(I252,Parâmetros!A:A,Parâmetros!B:B,_xlfn.XLOOKUP(Q252,Parâmetros!F:F,Parâmetros!G:G,"NOVA MENSAGEM"))</f>
        <v>CLIENTE NÃO IDENTIFICADO</v>
      </c>
      <c r="N252" s="1" t="str">
        <f>_xlfn.XLOOKUP(M252,Parâmetros!K:K,Parâmetros!L:L,"")</f>
        <v>DK DE CLIENTE NÃO PREENCIDO / CLIENTE NÃO CONFIGURADO NO OBT</v>
      </c>
      <c r="O252" s="1" t="str">
        <f>_xlfn.XLOOKUP(M252,Parâmetros!B:B,Parâmetros!C:C,_xlfn.XLOOKUP(Base!M250,Parâmetros!G:G,Parâmetros!H:H))</f>
        <v>INDEFINIDO</v>
      </c>
      <c r="P252" s="1" t="str">
        <f>_xlfn.XLOOKUP(I252,Parâmetros!A:A,Parâmetros!D:D,_xlfn.XLOOKUP(Q252,Parâmetros!F:F,Parâmetros!I:I))</f>
        <v>OPERAÇÕES / SUPORTE KCS</v>
      </c>
      <c r="Q252" s="1" t="str">
        <f t="shared" si="7"/>
        <v>COLUNA I</v>
      </c>
    </row>
    <row r="253" spans="1:17" x14ac:dyDescent="0.25">
      <c r="A253" s="1" t="str">
        <f>_xlfn.XLOOKUP(D253,'Novo relatório'!B:B,'Novo relatório'!C:C,"RESOLVIDO")</f>
        <v>RESOLVIDO</v>
      </c>
      <c r="C253" t="str">
        <f t="shared" si="6"/>
        <v>RESOLVIDO</v>
      </c>
      <c r="D253" s="1">
        <v>3171569</v>
      </c>
      <c r="E253" s="1" t="s">
        <v>26</v>
      </c>
      <c r="F253" s="2">
        <v>45688.710416666669</v>
      </c>
      <c r="G253" s="1" t="s">
        <v>809</v>
      </c>
      <c r="H253" s="1" t="s">
        <v>809</v>
      </c>
      <c r="I253" s="1" t="s">
        <v>588</v>
      </c>
      <c r="J253" s="2">
        <v>45666.826388888891</v>
      </c>
      <c r="K253" s="2">
        <v>45688.847916666666</v>
      </c>
      <c r="L253" s="1" t="s">
        <v>14</v>
      </c>
      <c r="M253" s="1" t="str">
        <f>_xlfn.XLOOKUP(I253,Parâmetros!A:A,Parâmetros!B:B,_xlfn.XLOOKUP(Q253,Parâmetros!F:F,Parâmetros!G:G,"NOVA MENSAGEM"))</f>
        <v>ERRO NO XML</v>
      </c>
      <c r="N253" s="1" t="str">
        <f>_xlfn.XLOOKUP(M253,Parâmetros!K:K,Parâmetros!L:L,"")</f>
        <v/>
      </c>
      <c r="O253" s="1" t="str">
        <f>_xlfn.XLOOKUP(M253,Parâmetros!B:B,Parâmetros!C:C,_xlfn.XLOOKUP(Base!M251,Parâmetros!G:G,Parâmetros!H:H))</f>
        <v>SISTEMA</v>
      </c>
      <c r="P253" s="1" t="str">
        <f>_xlfn.XLOOKUP(I253,Parâmetros!A:A,Parâmetros!D:D,_xlfn.XLOOKUP(Q253,Parâmetros!F:F,Parâmetros!I:I))</f>
        <v>SUPORTE OBT</v>
      </c>
      <c r="Q253" s="1" t="str">
        <f t="shared" si="7"/>
        <v>COLUNA I</v>
      </c>
    </row>
    <row r="254" spans="1:17" x14ac:dyDescent="0.25">
      <c r="A254" s="1" t="str">
        <f>_xlfn.XLOOKUP(D254,'Novo relatório'!B:B,'Novo relatório'!C:C,"RESOLVIDO")</f>
        <v>RESOLVIDO</v>
      </c>
      <c r="C254" t="str">
        <f t="shared" si="6"/>
        <v>RESOLVIDO</v>
      </c>
      <c r="D254" s="1">
        <v>3171573</v>
      </c>
      <c r="E254" s="1" t="s">
        <v>26</v>
      </c>
      <c r="F254" s="2">
        <v>45666.69027777778</v>
      </c>
      <c r="G254" s="1" t="s">
        <v>681</v>
      </c>
      <c r="H254" s="1" t="s">
        <v>681</v>
      </c>
      <c r="I254" s="1" t="s">
        <v>83</v>
      </c>
      <c r="J254" s="2">
        <v>45666.826388888891</v>
      </c>
      <c r="L254" s="1" t="s">
        <v>18</v>
      </c>
      <c r="M254" s="1" t="str">
        <f>_xlfn.XLOOKUP(I254,Parâmetros!A:A,Parâmetros!B:B,_xlfn.XLOOKUP(Q254,Parâmetros!F:F,Parâmetros!G:G,"NOVA MENSAGEM"))</f>
        <v>CLIENTE NÃO IDENTIFICADO</v>
      </c>
      <c r="N254" s="1" t="str">
        <f>_xlfn.XLOOKUP(M254,Parâmetros!K:K,Parâmetros!L:L,"")</f>
        <v>DK DE CLIENTE NÃO PREENCIDO / CLIENTE NÃO CONFIGURADO NO OBT</v>
      </c>
      <c r="O254" s="1" t="str">
        <f>_xlfn.XLOOKUP(M254,Parâmetros!B:B,Parâmetros!C:C,_xlfn.XLOOKUP(Base!M252,Parâmetros!G:G,Parâmetros!H:H))</f>
        <v>INDEFINIDO</v>
      </c>
      <c r="P254" s="1" t="str">
        <f>_xlfn.XLOOKUP(I254,Parâmetros!A:A,Parâmetros!D:D,_xlfn.XLOOKUP(Q254,Parâmetros!F:F,Parâmetros!I:I))</f>
        <v>OPERAÇÕES / SUPORTE KCS</v>
      </c>
      <c r="Q254" s="1" t="str">
        <f t="shared" si="7"/>
        <v>COLUNA I</v>
      </c>
    </row>
    <row r="255" spans="1:17" x14ac:dyDescent="0.25">
      <c r="A255" s="1" t="str">
        <f>_xlfn.XLOOKUP(D255,'Novo relatório'!B:B,'Novo relatório'!C:C,"RESOLVIDO")</f>
        <v>RESOLVIDO</v>
      </c>
      <c r="C255" t="str">
        <f t="shared" si="6"/>
        <v>RESOLVIDO</v>
      </c>
      <c r="D255" s="1">
        <v>3171774</v>
      </c>
      <c r="E255" s="1" t="s">
        <v>26</v>
      </c>
      <c r="F255" s="2">
        <v>45666.719444444447</v>
      </c>
      <c r="G255" s="1" t="s">
        <v>669</v>
      </c>
      <c r="H255" s="1" t="s">
        <v>669</v>
      </c>
      <c r="I255" s="1" t="s">
        <v>83</v>
      </c>
      <c r="J255" s="2">
        <v>45666.845138888886</v>
      </c>
      <c r="L255" s="1" t="s">
        <v>18</v>
      </c>
      <c r="M255" s="1" t="str">
        <f>_xlfn.XLOOKUP(I255,Parâmetros!A:A,Parâmetros!B:B,_xlfn.XLOOKUP(Q255,Parâmetros!F:F,Parâmetros!G:G,"NOVA MENSAGEM"))</f>
        <v>CLIENTE NÃO IDENTIFICADO</v>
      </c>
      <c r="N255" s="1" t="str">
        <f>_xlfn.XLOOKUP(M255,Parâmetros!K:K,Parâmetros!L:L,"")</f>
        <v>DK DE CLIENTE NÃO PREENCIDO / CLIENTE NÃO CONFIGURADO NO OBT</v>
      </c>
      <c r="O255" s="1" t="str">
        <f>_xlfn.XLOOKUP(M255,Parâmetros!B:B,Parâmetros!C:C,_xlfn.XLOOKUP(Base!M253,Parâmetros!G:G,Parâmetros!H:H))</f>
        <v>INDEFINIDO</v>
      </c>
      <c r="P255" s="1" t="str">
        <f>_xlfn.XLOOKUP(I255,Parâmetros!A:A,Parâmetros!D:D,_xlfn.XLOOKUP(Q255,Parâmetros!F:F,Parâmetros!I:I))</f>
        <v>OPERAÇÕES / SUPORTE KCS</v>
      </c>
      <c r="Q255" s="1" t="str">
        <f t="shared" si="7"/>
        <v>COLUNA I</v>
      </c>
    </row>
    <row r="256" spans="1:17" x14ac:dyDescent="0.25">
      <c r="A256" s="1" t="str">
        <f>_xlfn.XLOOKUP(D256,'Novo relatório'!B:B,'Novo relatório'!C:C,"RESOLVIDO")</f>
        <v>RESOLVIDO</v>
      </c>
      <c r="C256" t="str">
        <f t="shared" si="6"/>
        <v>RESOLVIDO</v>
      </c>
      <c r="D256" s="1">
        <v>3172340</v>
      </c>
      <c r="E256" s="1" t="s">
        <v>26</v>
      </c>
      <c r="F256" s="2">
        <v>45667.29791666667</v>
      </c>
      <c r="G256" s="1" t="s">
        <v>673</v>
      </c>
      <c r="H256" s="1" t="s">
        <v>673</v>
      </c>
      <c r="I256" s="1" t="s">
        <v>394</v>
      </c>
      <c r="J256" s="2">
        <v>45667.428472222222</v>
      </c>
      <c r="K256" s="2">
        <v>45667.429166666669</v>
      </c>
      <c r="L256" s="1" t="s">
        <v>18</v>
      </c>
      <c r="M256" s="1" t="str">
        <f>_xlfn.XLOOKUP(I256,Parâmetros!A:A,Parâmetros!B:B,_xlfn.XLOOKUP(Q256,Parâmetros!F:F,Parâmetros!G:G,"NOVA MENSAGEM"))</f>
        <v>REMARK - CNPJ</v>
      </c>
      <c r="N256" s="1" t="str">
        <f>_xlfn.XLOOKUP(M256,Parâmetros!K:K,Parâmetros!L:L,"")</f>
        <v/>
      </c>
      <c r="O256" s="1" t="e">
        <f>_xlfn.XLOOKUP(M256,Parâmetros!B:B,Parâmetros!C:C,_xlfn.XLOOKUP(Base!M254,Parâmetros!G:G,Parâmetros!H:H))</f>
        <v>#N/A</v>
      </c>
      <c r="P256" s="1" t="str">
        <f>_xlfn.XLOOKUP(I256,Parâmetros!A:A,Parâmetros!D:D,_xlfn.XLOOKUP(Q256,Parâmetros!F:F,Parâmetros!I:I))</f>
        <v>OPERAÇÕES / SUPORTE KCS</v>
      </c>
      <c r="Q256" s="1">
        <f t="shared" si="7"/>
        <v>24</v>
      </c>
    </row>
    <row r="257" spans="1:17" x14ac:dyDescent="0.25">
      <c r="A257" s="1" t="str">
        <f>_xlfn.XLOOKUP(D257,'Novo relatório'!B:B,'Novo relatório'!C:C,"RESOLVIDO")</f>
        <v>RESOLVIDO</v>
      </c>
      <c r="C257" t="str">
        <f t="shared" si="6"/>
        <v>RESOLVIDO</v>
      </c>
      <c r="D257" s="1">
        <v>3172470</v>
      </c>
      <c r="E257" s="1" t="s">
        <v>26</v>
      </c>
      <c r="F257" s="2">
        <v>45694.4375</v>
      </c>
      <c r="G257" s="1" t="s">
        <v>969</v>
      </c>
      <c r="H257" s="1" t="s">
        <v>969</v>
      </c>
      <c r="I257" s="1" t="s">
        <v>588</v>
      </c>
      <c r="J257" s="2">
        <v>45667.481249999997</v>
      </c>
      <c r="K257" s="2">
        <v>45694.965277777781</v>
      </c>
      <c r="L257" s="1" t="s">
        <v>14</v>
      </c>
      <c r="M257" s="1" t="str">
        <f>_xlfn.XLOOKUP(I257,Parâmetros!A:A,Parâmetros!B:B,_xlfn.XLOOKUP(Q257,Parâmetros!F:F,Parâmetros!G:G,"NOVA MENSAGEM"))</f>
        <v>ERRO NO XML</v>
      </c>
      <c r="N257" s="1" t="str">
        <f>_xlfn.XLOOKUP(M257,Parâmetros!K:K,Parâmetros!L:L,"")</f>
        <v/>
      </c>
      <c r="O257" s="1" t="str">
        <f>_xlfn.XLOOKUP(M257,Parâmetros!B:B,Parâmetros!C:C,_xlfn.XLOOKUP(Base!M255,Parâmetros!G:G,Parâmetros!H:H))</f>
        <v>SISTEMA</v>
      </c>
      <c r="P257" s="1" t="str">
        <f>_xlfn.XLOOKUP(I257,Parâmetros!A:A,Parâmetros!D:D,_xlfn.XLOOKUP(Q257,Parâmetros!F:F,Parâmetros!I:I))</f>
        <v>SUPORTE OBT</v>
      </c>
      <c r="Q257" s="1" t="str">
        <f t="shared" si="7"/>
        <v>COLUNA I</v>
      </c>
    </row>
    <row r="258" spans="1:17" x14ac:dyDescent="0.25">
      <c r="A258" s="1" t="str">
        <f>_xlfn.XLOOKUP(D258,'Novo relatório'!B:B,'Novo relatório'!C:C,"RESOLVIDO")</f>
        <v>RESOLVIDO</v>
      </c>
      <c r="C258" t="str">
        <f t="shared" ref="C258:C321" si="8">IF(A258="RESOLVIDO","RESOLVIDO",IF(B258="","PENDENTE",IF(LEFT(B258,7)="CHAMADO","AGUARDANDO FORNECEDOR",IF(B258="CONTABILIZAR","CONTABILIZAR NO PORTAL"))))</f>
        <v>RESOLVIDO</v>
      </c>
      <c r="D258" s="1">
        <v>3172471</v>
      </c>
      <c r="E258" s="1" t="s">
        <v>26</v>
      </c>
      <c r="F258" s="2">
        <v>45694.422222222223</v>
      </c>
      <c r="G258" s="1" t="s">
        <v>989</v>
      </c>
      <c r="H258" s="1" t="s">
        <v>989</v>
      </c>
      <c r="I258" s="1" t="s">
        <v>588</v>
      </c>
      <c r="J258" s="2">
        <v>45667.481249999997</v>
      </c>
      <c r="K258" s="2">
        <v>45694.965277777781</v>
      </c>
      <c r="L258" s="1" t="s">
        <v>14</v>
      </c>
      <c r="M258" s="1" t="str">
        <f>_xlfn.XLOOKUP(I258,Parâmetros!A:A,Parâmetros!B:B,_xlfn.XLOOKUP(Q258,Parâmetros!F:F,Parâmetros!G:G,"NOVA MENSAGEM"))</f>
        <v>ERRO NO XML</v>
      </c>
      <c r="N258" s="1" t="str">
        <f>_xlfn.XLOOKUP(M258,Parâmetros!K:K,Parâmetros!L:L,"")</f>
        <v/>
      </c>
      <c r="O258" s="1" t="str">
        <f>_xlfn.XLOOKUP(M258,Parâmetros!B:B,Parâmetros!C:C,_xlfn.XLOOKUP(Base!M256,Parâmetros!G:G,Parâmetros!H:H))</f>
        <v>SISTEMA</v>
      </c>
      <c r="P258" s="1" t="str">
        <f>_xlfn.XLOOKUP(I258,Parâmetros!A:A,Parâmetros!D:D,_xlfn.XLOOKUP(Q258,Parâmetros!F:F,Parâmetros!I:I))</f>
        <v>SUPORTE OBT</v>
      </c>
      <c r="Q258" s="1" t="str">
        <f t="shared" ref="Q258:Q321" si="9">IFERROR(FIND("Não foi possível localizar o contrato do fornecedor",I258),IFERROR(FIND("veículo",I258),IFERROR(FIND("agagem",I258),IFERROR(FIND("error in XML document",I258),IFERROR(FIND("Não localizado cliente código",I258),IFERROR(FIND("lemontech",I258),IFERROR(FIND("&gt;Fornecedor com o",I258),IFERROR(FIND("INSERT",I258),IFERROR(FIND("com CNPJ",I258),IFERROR(FIND("Consultando Agente-&gt; O agente",I258),IFERROR(FIND("Não foi possível determinar a validade do cartão, favor verificar os dados do cartão",I258),"COLUNA I")))))))))))</f>
        <v>COLUNA I</v>
      </c>
    </row>
    <row r="259" spans="1:17" x14ac:dyDescent="0.25">
      <c r="A259" s="1" t="str">
        <f>_xlfn.XLOOKUP(D259,'Novo relatório'!B:B,'Novo relatório'!C:C,"RESOLVIDO")</f>
        <v>RESOLVIDO</v>
      </c>
      <c r="C259" t="str">
        <f t="shared" si="8"/>
        <v>RESOLVIDO</v>
      </c>
      <c r="D259" s="1">
        <v>3172474</v>
      </c>
      <c r="E259" s="1" t="s">
        <v>26</v>
      </c>
      <c r="F259" s="2">
        <v>45667.351388888892</v>
      </c>
      <c r="G259" s="1" t="s">
        <v>872</v>
      </c>
      <c r="H259" s="1" t="s">
        <v>872</v>
      </c>
      <c r="I259" s="1" t="s">
        <v>395</v>
      </c>
      <c r="J259" s="2">
        <v>45667.481944444444</v>
      </c>
      <c r="K259" s="2"/>
      <c r="L259" s="1" t="s">
        <v>18</v>
      </c>
      <c r="M259" s="1" t="str">
        <f>_xlfn.XLOOKUP(I259,Parâmetros!A:A,Parâmetros!B:B,_xlfn.XLOOKUP(Q259,Parâmetros!F:F,Parâmetros!G:G,"NOVA MENSAGEM"))</f>
        <v>REMARK - CNPJ</v>
      </c>
      <c r="N259" s="1" t="str">
        <f>_xlfn.XLOOKUP(M259,Parâmetros!K:K,Parâmetros!L:L,"")</f>
        <v/>
      </c>
      <c r="O259" s="1" t="str">
        <f>_xlfn.XLOOKUP(M259,Parâmetros!B:B,Parâmetros!C:C,_xlfn.XLOOKUP(Base!M257,Parâmetros!G:G,Parâmetros!H:H))</f>
        <v>INDEFINIDO</v>
      </c>
      <c r="P259" s="1" t="str">
        <f>_xlfn.XLOOKUP(I259,Parâmetros!A:A,Parâmetros!D:D,_xlfn.XLOOKUP(Q259,Parâmetros!F:F,Parâmetros!I:I))</f>
        <v>OPERAÇÕES / SUPORTE KCS</v>
      </c>
      <c r="Q259" s="1">
        <f t="shared" si="9"/>
        <v>24</v>
      </c>
    </row>
    <row r="260" spans="1:17" x14ac:dyDescent="0.25">
      <c r="A260" s="1" t="str">
        <f>_xlfn.XLOOKUP(D260,'Novo relatório'!B:B,'Novo relatório'!C:C,"RESOLVIDO")</f>
        <v>RESOLVIDO</v>
      </c>
      <c r="C260" t="str">
        <f t="shared" si="8"/>
        <v>RESOLVIDO</v>
      </c>
      <c r="D260" s="1">
        <v>3172475</v>
      </c>
      <c r="E260" s="1" t="s">
        <v>26</v>
      </c>
      <c r="F260" s="2">
        <v>45667.351388888892</v>
      </c>
      <c r="G260" s="1" t="s">
        <v>833</v>
      </c>
      <c r="H260" s="1" t="s">
        <v>833</v>
      </c>
      <c r="I260" s="1" t="s">
        <v>394</v>
      </c>
      <c r="J260" s="2">
        <v>45667.481944444444</v>
      </c>
      <c r="K260" s="2"/>
      <c r="L260" s="1" t="s">
        <v>18</v>
      </c>
      <c r="M260" s="1" t="str">
        <f>_xlfn.XLOOKUP(I260,Parâmetros!A:A,Parâmetros!B:B,_xlfn.XLOOKUP(Q260,Parâmetros!F:F,Parâmetros!G:G,"NOVA MENSAGEM"))</f>
        <v>REMARK - CNPJ</v>
      </c>
      <c r="N260" s="1" t="str">
        <f>_xlfn.XLOOKUP(M260,Parâmetros!K:K,Parâmetros!L:L,"")</f>
        <v/>
      </c>
      <c r="O260" s="1" t="str">
        <f>_xlfn.XLOOKUP(M260,Parâmetros!B:B,Parâmetros!C:C,_xlfn.XLOOKUP(Base!M258,Parâmetros!G:G,Parâmetros!H:H))</f>
        <v>INDEFINIDO</v>
      </c>
      <c r="P260" s="1" t="str">
        <f>_xlfn.XLOOKUP(I260,Parâmetros!A:A,Parâmetros!D:D,_xlfn.XLOOKUP(Q260,Parâmetros!F:F,Parâmetros!I:I))</f>
        <v>OPERAÇÕES / SUPORTE KCS</v>
      </c>
      <c r="Q260" s="1">
        <f t="shared" si="9"/>
        <v>24</v>
      </c>
    </row>
    <row r="261" spans="1:17" x14ac:dyDescent="0.25">
      <c r="A261" s="1" t="str">
        <f>_xlfn.XLOOKUP(D261,'Novo relatório'!B:B,'Novo relatório'!C:C,"RESOLVIDO")</f>
        <v>RESOLVIDO</v>
      </c>
      <c r="C261" t="str">
        <f t="shared" si="8"/>
        <v>RESOLVIDO</v>
      </c>
      <c r="D261" s="1">
        <v>3173273</v>
      </c>
      <c r="E261" s="1" t="s">
        <v>26</v>
      </c>
      <c r="F261" s="2">
        <v>45667.428472222222</v>
      </c>
      <c r="G261" s="1" t="s">
        <v>914</v>
      </c>
      <c r="H261" s="1" t="s">
        <v>915</v>
      </c>
      <c r="I261" s="1" t="s">
        <v>916</v>
      </c>
      <c r="J261" s="2">
        <v>45667.555555555555</v>
      </c>
      <c r="K261" s="2"/>
      <c r="L261" s="1" t="s">
        <v>18</v>
      </c>
      <c r="M261" s="1" t="str">
        <f>_xlfn.XLOOKUP(I261,Parâmetros!A:A,Parâmetros!B:B,_xlfn.XLOOKUP(Q261,Parâmetros!F:F,Parâmetros!G:G,"NOVA MENSAGEM"))</f>
        <v>CÓD. CLIENTE DIVERGENTE</v>
      </c>
      <c r="N261" s="1" t="str">
        <f>_xlfn.XLOOKUP(M261,Parâmetros!K:K,Parâmetros!L:L,"")</f>
        <v>CÓDIGO DIFERENTE DO CADASTRADO NO BENNER (CLIENTE X GRUPO)</v>
      </c>
      <c r="O261" s="1" t="str">
        <f>_xlfn.XLOOKUP(M261,Parâmetros!B:B,Parâmetros!C:C,_xlfn.XLOOKUP(Base!M259,Parâmetros!G:G,Parâmetros!H:H))</f>
        <v>QUALIDADE DOS DADOS</v>
      </c>
      <c r="P261" s="1" t="str">
        <f>_xlfn.XLOOKUP(I261,Parâmetros!A:A,Parâmetros!D:D,_xlfn.XLOOKUP(Q261,Parâmetros!F:F,Parâmetros!I:I))</f>
        <v>SUPORTE OBT</v>
      </c>
      <c r="Q261" s="1">
        <f t="shared" si="9"/>
        <v>1</v>
      </c>
    </row>
    <row r="262" spans="1:17" x14ac:dyDescent="0.25">
      <c r="A262" s="1" t="str">
        <f>_xlfn.XLOOKUP(D262,'Novo relatório'!B:B,'Novo relatório'!C:C,"RESOLVIDO")</f>
        <v>TMS</v>
      </c>
      <c r="C262" t="str">
        <f t="shared" si="8"/>
        <v>PENDENTE</v>
      </c>
      <c r="D262" s="1">
        <v>3173404</v>
      </c>
      <c r="E262" s="1" t="s">
        <v>12</v>
      </c>
      <c r="F262" s="2">
        <v>45667.479861111111</v>
      </c>
      <c r="G262" s="1">
        <v>537</v>
      </c>
      <c r="H262" s="1">
        <v>537</v>
      </c>
      <c r="I262" s="1" t="s">
        <v>16</v>
      </c>
      <c r="J262" s="2">
        <v>45667.588194444441</v>
      </c>
      <c r="K262" s="2">
        <v>45670.895138888889</v>
      </c>
      <c r="L262" s="1" t="s">
        <v>14</v>
      </c>
      <c r="M262" s="1" t="str">
        <f>_xlfn.XLOOKUP(I262,Parâmetros!A:A,Parâmetros!B:B,_xlfn.XLOOKUP(Q262,Parâmetros!F:F,Parâmetros!G:G,"NOVA MENSAGEM"))</f>
        <v>ASSENTO / BAGAGEM</v>
      </c>
      <c r="N262" s="1" t="str">
        <f>_xlfn.XLOOKUP(M262,Parâmetros!K:K,Parâmetros!L:L,"")</f>
        <v>CAMPO OBSERVAÇÃO PREENCHIDO INCORRETAMENTE</v>
      </c>
      <c r="O262" s="1" t="str">
        <f>_xlfn.XLOOKUP(M262,Parâmetros!B:B,Parâmetros!C:C,_xlfn.XLOOKUP(Base!M260,Parâmetros!G:G,Parâmetros!H:H))</f>
        <v>QUALIDADE DOS DADOS</v>
      </c>
      <c r="P262" s="1" t="str">
        <f>_xlfn.XLOOKUP(I262,Parâmetros!A:A,Parâmetros!D:D,_xlfn.XLOOKUP(Q262,Parâmetros!F:F,Parâmetros!I:I))</f>
        <v>OPERAÇÕES / SUPORTE KCS</v>
      </c>
      <c r="Q262" s="1">
        <f t="shared" si="9"/>
        <v>118</v>
      </c>
    </row>
    <row r="263" spans="1:17" x14ac:dyDescent="0.25">
      <c r="A263" s="1" t="str">
        <f>_xlfn.XLOOKUP(D263,'Novo relatório'!B:B,'Novo relatório'!C:C,"RESOLVIDO")</f>
        <v>RESOLVIDO</v>
      </c>
      <c r="C263" t="str">
        <f t="shared" si="8"/>
        <v>RESOLVIDO</v>
      </c>
      <c r="D263" s="1">
        <v>3173862</v>
      </c>
      <c r="E263" s="1" t="s">
        <v>26</v>
      </c>
      <c r="F263" s="2">
        <v>45667.539583333331</v>
      </c>
      <c r="G263" s="1" t="s">
        <v>726</v>
      </c>
      <c r="H263" s="1" t="s">
        <v>727</v>
      </c>
      <c r="I263" s="1" t="s">
        <v>166</v>
      </c>
      <c r="J263" s="2">
        <v>45667.67083333333</v>
      </c>
      <c r="L263" s="1" t="s">
        <v>19</v>
      </c>
      <c r="M263" s="1" t="str">
        <f>_xlfn.XLOOKUP(I263,Parâmetros!A:A,Parâmetros!B:B,_xlfn.XLOOKUP(Q263,Parâmetros!F:F,Parâmetros!G:G,"NOVA MENSAGEM"))</f>
        <v>CONTRATO FORNECEDOR</v>
      </c>
      <c r="N263" s="1" t="str">
        <f>_xlfn.XLOOKUP(M263,Parâmetros!K:K,Parâmetros!L:L,"")</f>
        <v>CONTRATO INATIVO OU DIVERGENTE</v>
      </c>
      <c r="O263" s="1" t="str">
        <f>_xlfn.XLOOKUP(M263,Parâmetros!B:B,Parâmetros!C:C,_xlfn.XLOOKUP(Base!M261,Parâmetros!G:G,Parâmetros!H:H))</f>
        <v>SISTEMA</v>
      </c>
      <c r="P263" s="1" t="str">
        <f>_xlfn.XLOOKUP(I263,Parâmetros!A:A,Parâmetros!D:D,_xlfn.XLOOKUP(Q263,Parâmetros!F:F,Parâmetros!I:I))</f>
        <v>OPERAÇÕES / SUPORTE KCS</v>
      </c>
      <c r="Q263" s="1">
        <f t="shared" si="9"/>
        <v>43</v>
      </c>
    </row>
    <row r="264" spans="1:17" x14ac:dyDescent="0.25">
      <c r="A264" s="1" t="str">
        <f>_xlfn.XLOOKUP(D264,'Novo relatório'!B:B,'Novo relatório'!C:C,"RESOLVIDO")</f>
        <v>RESOLVIDO</v>
      </c>
      <c r="C264" t="str">
        <f t="shared" si="8"/>
        <v>RESOLVIDO</v>
      </c>
      <c r="D264" s="1">
        <v>3173865</v>
      </c>
      <c r="E264" s="1" t="s">
        <v>26</v>
      </c>
      <c r="F264" s="2">
        <v>45667.541666666664</v>
      </c>
      <c r="G264" s="1" t="s">
        <v>851</v>
      </c>
      <c r="H264" s="1" t="s">
        <v>852</v>
      </c>
      <c r="I264" s="1" t="s">
        <v>166</v>
      </c>
      <c r="J264" s="2">
        <v>45667.67083333333</v>
      </c>
      <c r="K264" s="2"/>
      <c r="L264" s="1" t="s">
        <v>19</v>
      </c>
      <c r="M264" s="1" t="str">
        <f>_xlfn.XLOOKUP(I264,Parâmetros!A:A,Parâmetros!B:B,_xlfn.XLOOKUP(Q264,Parâmetros!F:F,Parâmetros!G:G,"NOVA MENSAGEM"))</f>
        <v>CONTRATO FORNECEDOR</v>
      </c>
      <c r="N264" s="1" t="str">
        <f>_xlfn.XLOOKUP(M264,Parâmetros!K:K,Parâmetros!L:L,"")</f>
        <v>CONTRATO INATIVO OU DIVERGENTE</v>
      </c>
      <c r="O264" s="1" t="str">
        <f>_xlfn.XLOOKUP(M264,Parâmetros!B:B,Parâmetros!C:C,_xlfn.XLOOKUP(Base!M262,Parâmetros!G:G,Parâmetros!H:H))</f>
        <v>SISTEMA</v>
      </c>
      <c r="P264" s="1" t="str">
        <f>_xlfn.XLOOKUP(I264,Parâmetros!A:A,Parâmetros!D:D,_xlfn.XLOOKUP(Q264,Parâmetros!F:F,Parâmetros!I:I))</f>
        <v>OPERAÇÕES / SUPORTE KCS</v>
      </c>
      <c r="Q264" s="1">
        <f t="shared" si="9"/>
        <v>43</v>
      </c>
    </row>
    <row r="265" spans="1:17" x14ac:dyDescent="0.25">
      <c r="A265" s="1" t="str">
        <f>_xlfn.XLOOKUP(D265,'Novo relatório'!B:B,'Novo relatório'!C:C,"RESOLVIDO")</f>
        <v>RESOLVIDO</v>
      </c>
      <c r="C265" t="str">
        <f t="shared" si="8"/>
        <v>RESOLVIDO</v>
      </c>
      <c r="D265" s="1">
        <v>3174031</v>
      </c>
      <c r="E265" s="1" t="s">
        <v>26</v>
      </c>
      <c r="F265" s="2">
        <v>45667.560416666667</v>
      </c>
      <c r="G265" s="1" t="s">
        <v>853</v>
      </c>
      <c r="H265" s="1" t="s">
        <v>854</v>
      </c>
      <c r="I265" s="1" t="s">
        <v>166</v>
      </c>
      <c r="J265" s="2">
        <v>45667.691666666666</v>
      </c>
      <c r="K265" s="2"/>
      <c r="L265" s="1" t="s">
        <v>19</v>
      </c>
      <c r="M265" s="1" t="str">
        <f>_xlfn.XLOOKUP(I265,Parâmetros!A:A,Parâmetros!B:B,_xlfn.XLOOKUP(Q265,Parâmetros!F:F,Parâmetros!G:G,"NOVA MENSAGEM"))</f>
        <v>CONTRATO FORNECEDOR</v>
      </c>
      <c r="N265" s="1" t="str">
        <f>_xlfn.XLOOKUP(M265,Parâmetros!K:K,Parâmetros!L:L,"")</f>
        <v>CONTRATO INATIVO OU DIVERGENTE</v>
      </c>
      <c r="O265" s="1" t="str">
        <f>_xlfn.XLOOKUP(M265,Parâmetros!B:B,Parâmetros!C:C,_xlfn.XLOOKUP(Base!M263,Parâmetros!G:G,Parâmetros!H:H))</f>
        <v>SISTEMA</v>
      </c>
      <c r="P265" s="1" t="str">
        <f>_xlfn.XLOOKUP(I265,Parâmetros!A:A,Parâmetros!D:D,_xlfn.XLOOKUP(Q265,Parâmetros!F:F,Parâmetros!I:I))</f>
        <v>OPERAÇÕES / SUPORTE KCS</v>
      </c>
      <c r="Q265" s="1">
        <f t="shared" si="9"/>
        <v>43</v>
      </c>
    </row>
    <row r="266" spans="1:17" x14ac:dyDescent="0.25">
      <c r="A266" s="1" t="str">
        <f>_xlfn.XLOOKUP(D266,'Novo relatório'!B:B,'Novo relatório'!C:C,"RESOLVIDO")</f>
        <v>RESOLVIDO</v>
      </c>
      <c r="C266" t="str">
        <f t="shared" si="8"/>
        <v>RESOLVIDO</v>
      </c>
      <c r="D266" s="1">
        <v>3174249</v>
      </c>
      <c r="E266" s="1" t="s">
        <v>26</v>
      </c>
      <c r="F266" s="2">
        <v>45698.729861111111</v>
      </c>
      <c r="G266" s="1" t="s">
        <v>1008</v>
      </c>
      <c r="H266" s="1" t="s">
        <v>1008</v>
      </c>
      <c r="I266" s="1" t="s">
        <v>588</v>
      </c>
      <c r="J266" s="2">
        <v>45667.761111111111</v>
      </c>
      <c r="K266" s="2">
        <v>45698.86041666667</v>
      </c>
      <c r="L266" s="1" t="s">
        <v>14</v>
      </c>
      <c r="M266" s="1" t="str">
        <f>_xlfn.XLOOKUP(I266,Parâmetros!A:A,Parâmetros!B:B,_xlfn.XLOOKUP(Q266,Parâmetros!F:F,Parâmetros!G:G,"NOVA MENSAGEM"))</f>
        <v>ERRO NO XML</v>
      </c>
      <c r="N266" s="1" t="str">
        <f>_xlfn.XLOOKUP(M266,Parâmetros!K:K,Parâmetros!L:L,"")</f>
        <v/>
      </c>
      <c r="O266" s="1" t="str">
        <f>_xlfn.XLOOKUP(M266,Parâmetros!B:B,Parâmetros!C:C,_xlfn.XLOOKUP(Base!M264,Parâmetros!G:G,Parâmetros!H:H))</f>
        <v>SISTEMA</v>
      </c>
      <c r="P266" s="1" t="str">
        <f>_xlfn.XLOOKUP(I266,Parâmetros!A:A,Parâmetros!D:D,_xlfn.XLOOKUP(Q266,Parâmetros!F:F,Parâmetros!I:I))</f>
        <v>SUPORTE OBT</v>
      </c>
      <c r="Q266" s="1" t="str">
        <f t="shared" si="9"/>
        <v>COLUNA I</v>
      </c>
    </row>
    <row r="267" spans="1:17" x14ac:dyDescent="0.25">
      <c r="A267" s="1" t="str">
        <f>_xlfn.XLOOKUP(D267,'Novo relatório'!B:B,'Novo relatório'!C:C,"RESOLVIDO")</f>
        <v>RESOLVIDO</v>
      </c>
      <c r="C267" t="str">
        <f t="shared" si="8"/>
        <v>RESOLVIDO</v>
      </c>
      <c r="D267" s="1">
        <v>3174319</v>
      </c>
      <c r="E267" s="1" t="s">
        <v>26</v>
      </c>
      <c r="F267" s="2">
        <v>45667.655555555553</v>
      </c>
      <c r="G267" s="1" t="s">
        <v>817</v>
      </c>
      <c r="H267" s="1" t="s">
        <v>817</v>
      </c>
      <c r="I267" s="1" t="s">
        <v>83</v>
      </c>
      <c r="J267" s="2">
        <v>45667.78402777778</v>
      </c>
      <c r="K267" s="2"/>
      <c r="L267" s="1" t="s">
        <v>18</v>
      </c>
      <c r="M267" s="1" t="str">
        <f>_xlfn.XLOOKUP(I267,Parâmetros!A:A,Parâmetros!B:B,_xlfn.XLOOKUP(Q267,Parâmetros!F:F,Parâmetros!G:G,"NOVA MENSAGEM"))</f>
        <v>CLIENTE NÃO IDENTIFICADO</v>
      </c>
      <c r="N267" s="1" t="str">
        <f>_xlfn.XLOOKUP(M267,Parâmetros!K:K,Parâmetros!L:L,"")</f>
        <v>DK DE CLIENTE NÃO PREENCIDO / CLIENTE NÃO CONFIGURADO NO OBT</v>
      </c>
      <c r="O267" s="1" t="str">
        <f>_xlfn.XLOOKUP(M267,Parâmetros!B:B,Parâmetros!C:C,_xlfn.XLOOKUP(Base!M265,Parâmetros!G:G,Parâmetros!H:H))</f>
        <v>INDEFINIDO</v>
      </c>
      <c r="P267" s="1" t="str">
        <f>_xlfn.XLOOKUP(I267,Parâmetros!A:A,Parâmetros!D:D,_xlfn.XLOOKUP(Q267,Parâmetros!F:F,Parâmetros!I:I))</f>
        <v>OPERAÇÕES / SUPORTE KCS</v>
      </c>
      <c r="Q267" s="1" t="str">
        <f t="shared" si="9"/>
        <v>COLUNA I</v>
      </c>
    </row>
    <row r="268" spans="1:17" x14ac:dyDescent="0.25">
      <c r="A268" s="1" t="str">
        <f>_xlfn.XLOOKUP(D268,'Novo relatório'!B:B,'Novo relatório'!C:C,"RESOLVIDO")</f>
        <v>RESOLVIDO</v>
      </c>
      <c r="C268" t="str">
        <f t="shared" si="8"/>
        <v>RESOLVIDO</v>
      </c>
      <c r="D268" s="1">
        <v>3174356</v>
      </c>
      <c r="E268" s="1" t="s">
        <v>26</v>
      </c>
      <c r="F268" s="2">
        <v>45667.655555555553</v>
      </c>
      <c r="G268" s="1" t="s">
        <v>753</v>
      </c>
      <c r="H268" s="1" t="s">
        <v>753</v>
      </c>
      <c r="I268" s="1" t="s">
        <v>588</v>
      </c>
      <c r="J268" s="2">
        <v>45667.790277777778</v>
      </c>
      <c r="L268" s="1" t="s">
        <v>14</v>
      </c>
      <c r="M268" s="1" t="str">
        <f>_xlfn.XLOOKUP(I268,Parâmetros!A:A,Parâmetros!B:B,_xlfn.XLOOKUP(Q268,Parâmetros!F:F,Parâmetros!G:G,"NOVA MENSAGEM"))</f>
        <v>ERRO NO XML</v>
      </c>
      <c r="N268" s="1" t="str">
        <f>_xlfn.XLOOKUP(M268,Parâmetros!K:K,Parâmetros!L:L,"")</f>
        <v/>
      </c>
      <c r="O268" s="1" t="str">
        <f>_xlfn.XLOOKUP(M268,Parâmetros!B:B,Parâmetros!C:C,_xlfn.XLOOKUP(Base!M266,Parâmetros!G:G,Parâmetros!H:H))</f>
        <v>SISTEMA</v>
      </c>
      <c r="P268" s="1" t="str">
        <f>_xlfn.XLOOKUP(I268,Parâmetros!A:A,Parâmetros!D:D,_xlfn.XLOOKUP(Q268,Parâmetros!F:F,Parâmetros!I:I))</f>
        <v>SUPORTE OBT</v>
      </c>
      <c r="Q268" s="1" t="str">
        <f t="shared" si="9"/>
        <v>COLUNA I</v>
      </c>
    </row>
    <row r="269" spans="1:17" x14ac:dyDescent="0.25">
      <c r="A269" s="1" t="str">
        <f>_xlfn.XLOOKUP(D269,'Novo relatório'!B:B,'Novo relatório'!C:C,"RESOLVIDO")</f>
        <v>RESOLVIDO</v>
      </c>
      <c r="C269" t="str">
        <f t="shared" si="8"/>
        <v>RESOLVIDO</v>
      </c>
      <c r="D269" s="1">
        <v>3174358</v>
      </c>
      <c r="E269" s="1" t="s">
        <v>26</v>
      </c>
      <c r="F269" s="2">
        <v>45667.655555555553</v>
      </c>
      <c r="G269" s="1" t="s">
        <v>857</v>
      </c>
      <c r="H269" s="1" t="s">
        <v>857</v>
      </c>
      <c r="I269" s="1" t="s">
        <v>588</v>
      </c>
      <c r="J269" s="2">
        <v>45667.790972222225</v>
      </c>
      <c r="K269" s="2"/>
      <c r="L269" s="1" t="s">
        <v>14</v>
      </c>
      <c r="M269" s="1" t="str">
        <f>_xlfn.XLOOKUP(I269,Parâmetros!A:A,Parâmetros!B:B,_xlfn.XLOOKUP(Q269,Parâmetros!F:F,Parâmetros!G:G,"NOVA MENSAGEM"))</f>
        <v>ERRO NO XML</v>
      </c>
      <c r="N269" s="1" t="str">
        <f>_xlfn.XLOOKUP(M269,Parâmetros!K:K,Parâmetros!L:L,"")</f>
        <v/>
      </c>
      <c r="O269" s="1" t="str">
        <f>_xlfn.XLOOKUP(M269,Parâmetros!B:B,Parâmetros!C:C,_xlfn.XLOOKUP(Base!M267,Parâmetros!G:G,Parâmetros!H:H))</f>
        <v>SISTEMA</v>
      </c>
      <c r="P269" s="1" t="str">
        <f>_xlfn.XLOOKUP(I269,Parâmetros!A:A,Parâmetros!D:D,_xlfn.XLOOKUP(Q269,Parâmetros!F:F,Parâmetros!I:I))</f>
        <v>SUPORTE OBT</v>
      </c>
      <c r="Q269" s="1" t="str">
        <f t="shared" si="9"/>
        <v>COLUNA I</v>
      </c>
    </row>
    <row r="270" spans="1:17" x14ac:dyDescent="0.25">
      <c r="A270" s="1" t="str">
        <f>_xlfn.XLOOKUP(D270,'Novo relatório'!B:B,'Novo relatório'!C:C,"RESOLVIDO")</f>
        <v>RESOLVIDO</v>
      </c>
      <c r="C270" t="str">
        <f t="shared" si="8"/>
        <v>RESOLVIDO</v>
      </c>
      <c r="D270" s="1">
        <v>3174360</v>
      </c>
      <c r="E270" s="1" t="s">
        <v>26</v>
      </c>
      <c r="F270" s="2">
        <v>45667.655555555553</v>
      </c>
      <c r="G270" s="1" t="s">
        <v>743</v>
      </c>
      <c r="H270" s="1" t="s">
        <v>743</v>
      </c>
      <c r="I270" s="1" t="s">
        <v>395</v>
      </c>
      <c r="J270" s="2">
        <v>45667.790972222225</v>
      </c>
      <c r="L270" s="1" t="s">
        <v>18</v>
      </c>
      <c r="M270" s="1" t="str">
        <f>_xlfn.XLOOKUP(I270,Parâmetros!A:A,Parâmetros!B:B,_xlfn.XLOOKUP(Q270,Parâmetros!F:F,Parâmetros!G:G,"NOVA MENSAGEM"))</f>
        <v>REMARK - CNPJ</v>
      </c>
      <c r="N270" s="1" t="str">
        <f>_xlfn.XLOOKUP(M270,Parâmetros!K:K,Parâmetros!L:L,"")</f>
        <v/>
      </c>
      <c r="O270" s="1" t="str">
        <f>_xlfn.XLOOKUP(M270,Parâmetros!B:B,Parâmetros!C:C,_xlfn.XLOOKUP(Base!M268,Parâmetros!G:G,Parâmetros!H:H))</f>
        <v>INDEFINIDO</v>
      </c>
      <c r="P270" s="1" t="str">
        <f>_xlfn.XLOOKUP(I270,Parâmetros!A:A,Parâmetros!D:D,_xlfn.XLOOKUP(Q270,Parâmetros!F:F,Parâmetros!I:I))</f>
        <v>OPERAÇÕES / SUPORTE KCS</v>
      </c>
      <c r="Q270" s="1">
        <f t="shared" si="9"/>
        <v>24</v>
      </c>
    </row>
    <row r="271" spans="1:17" x14ac:dyDescent="0.25">
      <c r="A271" s="1" t="str">
        <f>_xlfn.XLOOKUP(D271,'Novo relatório'!B:B,'Novo relatório'!C:C,"RESOLVIDO")</f>
        <v>RESOLVIDO</v>
      </c>
      <c r="C271" t="str">
        <f t="shared" si="8"/>
        <v>RESOLVIDO</v>
      </c>
      <c r="D271" s="1">
        <v>3174361</v>
      </c>
      <c r="E271" s="1" t="s">
        <v>26</v>
      </c>
      <c r="F271" s="2">
        <v>45667.655555555553</v>
      </c>
      <c r="G271" s="1" t="s">
        <v>818</v>
      </c>
      <c r="H271" s="1" t="s">
        <v>818</v>
      </c>
      <c r="I271" s="1" t="s">
        <v>395</v>
      </c>
      <c r="J271" s="2">
        <v>45667.790972222225</v>
      </c>
      <c r="K271" s="2"/>
      <c r="L271" s="1" t="s">
        <v>18</v>
      </c>
      <c r="M271" s="1" t="str">
        <f>_xlfn.XLOOKUP(I271,Parâmetros!A:A,Parâmetros!B:B,_xlfn.XLOOKUP(Q271,Parâmetros!F:F,Parâmetros!G:G,"NOVA MENSAGEM"))</f>
        <v>REMARK - CNPJ</v>
      </c>
      <c r="N271" s="1" t="str">
        <f>_xlfn.XLOOKUP(M271,Parâmetros!K:K,Parâmetros!L:L,"")</f>
        <v/>
      </c>
      <c r="O271" s="1" t="str">
        <f>_xlfn.XLOOKUP(M271,Parâmetros!B:B,Parâmetros!C:C,_xlfn.XLOOKUP(Base!M269,Parâmetros!G:G,Parâmetros!H:H))</f>
        <v>INDEFINIDO</v>
      </c>
      <c r="P271" s="1" t="str">
        <f>_xlfn.XLOOKUP(I271,Parâmetros!A:A,Parâmetros!D:D,_xlfn.XLOOKUP(Q271,Parâmetros!F:F,Parâmetros!I:I))</f>
        <v>OPERAÇÕES / SUPORTE KCS</v>
      </c>
      <c r="Q271" s="1">
        <f t="shared" si="9"/>
        <v>24</v>
      </c>
    </row>
    <row r="272" spans="1:17" x14ac:dyDescent="0.25">
      <c r="A272" s="1" t="str">
        <f>_xlfn.XLOOKUP(D272,'Novo relatório'!B:B,'Novo relatório'!C:C,"RESOLVIDO")</f>
        <v>RESOLVIDO</v>
      </c>
      <c r="C272" t="str">
        <f t="shared" si="8"/>
        <v>RESOLVIDO</v>
      </c>
      <c r="D272" s="1">
        <v>3174362</v>
      </c>
      <c r="E272" s="1" t="s">
        <v>26</v>
      </c>
      <c r="F272" s="2">
        <v>45667.655555555553</v>
      </c>
      <c r="G272" s="1" t="s">
        <v>821</v>
      </c>
      <c r="H272" s="1" t="s">
        <v>821</v>
      </c>
      <c r="I272" s="1" t="s">
        <v>395</v>
      </c>
      <c r="J272" s="2">
        <v>45667.791666666664</v>
      </c>
      <c r="K272" s="2"/>
      <c r="L272" s="1" t="s">
        <v>18</v>
      </c>
      <c r="M272" s="1" t="str">
        <f>_xlfn.XLOOKUP(I272,Parâmetros!A:A,Parâmetros!B:B,_xlfn.XLOOKUP(Q272,Parâmetros!F:F,Parâmetros!G:G,"NOVA MENSAGEM"))</f>
        <v>REMARK - CNPJ</v>
      </c>
      <c r="N272" s="1" t="str">
        <f>_xlfn.XLOOKUP(M272,Parâmetros!K:K,Parâmetros!L:L,"")</f>
        <v/>
      </c>
      <c r="O272" s="1" t="str">
        <f>_xlfn.XLOOKUP(M272,Parâmetros!B:B,Parâmetros!C:C,_xlfn.XLOOKUP(Base!M270,Parâmetros!G:G,Parâmetros!H:H))</f>
        <v>QUALIDADE DOS DADOS</v>
      </c>
      <c r="P272" s="1" t="str">
        <f>_xlfn.XLOOKUP(I272,Parâmetros!A:A,Parâmetros!D:D,_xlfn.XLOOKUP(Q272,Parâmetros!F:F,Parâmetros!I:I))</f>
        <v>OPERAÇÕES / SUPORTE KCS</v>
      </c>
      <c r="Q272" s="1">
        <f t="shared" si="9"/>
        <v>24</v>
      </c>
    </row>
    <row r="273" spans="1:17" x14ac:dyDescent="0.25">
      <c r="A273" s="1" t="str">
        <f>_xlfn.XLOOKUP(D273,'Novo relatório'!B:B,'Novo relatório'!C:C,"RESOLVIDO")</f>
        <v>RESOLVIDO</v>
      </c>
      <c r="C273" t="str">
        <f t="shared" si="8"/>
        <v>RESOLVIDO</v>
      </c>
      <c r="D273" s="1">
        <v>3174364</v>
      </c>
      <c r="E273" s="1" t="s">
        <v>26</v>
      </c>
      <c r="F273" s="2">
        <v>45667.655555555553</v>
      </c>
      <c r="G273" s="1" t="s">
        <v>777</v>
      </c>
      <c r="H273" s="1" t="s">
        <v>777</v>
      </c>
      <c r="I273" s="1" t="s">
        <v>83</v>
      </c>
      <c r="J273" s="2">
        <v>45667.791666666664</v>
      </c>
      <c r="K273" s="2"/>
      <c r="L273" s="1" t="s">
        <v>18</v>
      </c>
      <c r="M273" s="1" t="str">
        <f>_xlfn.XLOOKUP(I273,Parâmetros!A:A,Parâmetros!B:B,_xlfn.XLOOKUP(Q273,Parâmetros!F:F,Parâmetros!G:G,"NOVA MENSAGEM"))</f>
        <v>CLIENTE NÃO IDENTIFICADO</v>
      </c>
      <c r="N273" s="1" t="str">
        <f>_xlfn.XLOOKUP(M273,Parâmetros!K:K,Parâmetros!L:L,"")</f>
        <v>DK DE CLIENTE NÃO PREENCIDO / CLIENTE NÃO CONFIGURADO NO OBT</v>
      </c>
      <c r="O273" s="1" t="str">
        <f>_xlfn.XLOOKUP(M273,Parâmetros!B:B,Parâmetros!C:C,_xlfn.XLOOKUP(Base!M271,Parâmetros!G:G,Parâmetros!H:H))</f>
        <v>INDEFINIDO</v>
      </c>
      <c r="P273" s="1" t="str">
        <f>_xlfn.XLOOKUP(I273,Parâmetros!A:A,Parâmetros!D:D,_xlfn.XLOOKUP(Q273,Parâmetros!F:F,Parâmetros!I:I))</f>
        <v>OPERAÇÕES / SUPORTE KCS</v>
      </c>
      <c r="Q273" s="1" t="str">
        <f t="shared" si="9"/>
        <v>COLUNA I</v>
      </c>
    </row>
    <row r="274" spans="1:17" x14ac:dyDescent="0.25">
      <c r="A274" s="1" t="str">
        <f>_xlfn.XLOOKUP(D274,'Novo relatório'!B:B,'Novo relatório'!C:C,"RESOLVIDO")</f>
        <v>RESOLVIDO</v>
      </c>
      <c r="C274" t="str">
        <f t="shared" si="8"/>
        <v>RESOLVIDO</v>
      </c>
      <c r="D274" s="1">
        <v>3174367</v>
      </c>
      <c r="E274" s="1" t="s">
        <v>26</v>
      </c>
      <c r="F274" s="2">
        <v>45667.655555555553</v>
      </c>
      <c r="G274" s="1" t="s">
        <v>828</v>
      </c>
      <c r="H274" s="1" t="s">
        <v>828</v>
      </c>
      <c r="I274" s="1" t="s">
        <v>829</v>
      </c>
      <c r="J274" s="2">
        <v>45667.792361111111</v>
      </c>
      <c r="K274" s="2"/>
      <c r="L274" s="1" t="s">
        <v>18</v>
      </c>
      <c r="M274" s="1" t="str">
        <f>_xlfn.XLOOKUP(I274,Parâmetros!A:A,Parâmetros!B:B,_xlfn.XLOOKUP(Q274,Parâmetros!F:F,Parâmetros!G:G,"NOVA MENSAGEM"))</f>
        <v>REMARK - CNPJ</v>
      </c>
      <c r="N274" s="1" t="str">
        <f>_xlfn.XLOOKUP(M274,Parâmetros!K:K,Parâmetros!L:L,"")</f>
        <v/>
      </c>
      <c r="O274" s="1" t="str">
        <f>_xlfn.XLOOKUP(M274,Parâmetros!B:B,Parâmetros!C:C,_xlfn.XLOOKUP(Base!M272,Parâmetros!G:G,Parâmetros!H:H))</f>
        <v>QUALIDADE DOS DADOS</v>
      </c>
      <c r="P274" s="1" t="str">
        <f>_xlfn.XLOOKUP(I274,Parâmetros!A:A,Parâmetros!D:D,_xlfn.XLOOKUP(Q274,Parâmetros!F:F,Parâmetros!I:I))</f>
        <v>OPERAÇÕES / SUPORTE KCS</v>
      </c>
      <c r="Q274" s="1">
        <f t="shared" si="9"/>
        <v>24</v>
      </c>
    </row>
    <row r="275" spans="1:17" x14ac:dyDescent="0.25">
      <c r="A275" s="1" t="str">
        <f>_xlfn.XLOOKUP(D275,'Novo relatório'!B:B,'Novo relatório'!C:C,"RESOLVIDO")</f>
        <v>RESOLVIDO</v>
      </c>
      <c r="C275" t="str">
        <f t="shared" si="8"/>
        <v>RESOLVIDO</v>
      </c>
      <c r="D275" s="1">
        <v>3174381</v>
      </c>
      <c r="E275" s="1" t="s">
        <v>26</v>
      </c>
      <c r="F275" s="2">
        <v>45667.655555555553</v>
      </c>
      <c r="G275" s="1" t="s">
        <v>856</v>
      </c>
      <c r="H275" s="1" t="s">
        <v>856</v>
      </c>
      <c r="I275" s="1" t="s">
        <v>410</v>
      </c>
      <c r="J275" s="2">
        <v>45667.793749999997</v>
      </c>
      <c r="K275" s="2"/>
      <c r="L275" s="1" t="s">
        <v>18</v>
      </c>
      <c r="M275" s="1" t="str">
        <f>_xlfn.XLOOKUP(I275,Parâmetros!A:A,Parâmetros!B:B,_xlfn.XLOOKUP(Q275,Parâmetros!F:F,Parâmetros!G:G,"NOVA MENSAGEM"))</f>
        <v>CÓD. CLIENTE DIVERGENTE</v>
      </c>
      <c r="N275" s="1" t="str">
        <f>_xlfn.XLOOKUP(M275,Parâmetros!K:K,Parâmetros!L:L,"")</f>
        <v>CÓDIGO DIFERENTE DO CADASTRADO NO BENNER (CLIENTE X GRUPO)</v>
      </c>
      <c r="O275" s="1" t="str">
        <f>_xlfn.XLOOKUP(M275,Parâmetros!B:B,Parâmetros!C:C,_xlfn.XLOOKUP(Base!M273,Parâmetros!G:G,Parâmetros!H:H))</f>
        <v>QUALIDADE DOS DADOS</v>
      </c>
      <c r="P275" s="1" t="str">
        <f>_xlfn.XLOOKUP(I275,Parâmetros!A:A,Parâmetros!D:D,_xlfn.XLOOKUP(Q275,Parâmetros!F:F,Parâmetros!I:I))</f>
        <v>SUPORTE OBT</v>
      </c>
      <c r="Q275" s="1">
        <f t="shared" si="9"/>
        <v>1</v>
      </c>
    </row>
    <row r="276" spans="1:17" x14ac:dyDescent="0.25">
      <c r="A276" s="1" t="str">
        <f>_xlfn.XLOOKUP(D276,'Novo relatório'!B:B,'Novo relatório'!C:C,"RESOLVIDO")</f>
        <v>RESOLVIDO</v>
      </c>
      <c r="C276" t="str">
        <f t="shared" si="8"/>
        <v>RESOLVIDO</v>
      </c>
      <c r="D276" s="1">
        <v>3174384</v>
      </c>
      <c r="E276" s="1" t="s">
        <v>26</v>
      </c>
      <c r="F276" s="2">
        <v>45667.655555555553</v>
      </c>
      <c r="G276" s="1" t="s">
        <v>733</v>
      </c>
      <c r="H276" s="1" t="s">
        <v>733</v>
      </c>
      <c r="I276" s="1" t="s">
        <v>410</v>
      </c>
      <c r="J276" s="2">
        <v>45667.794444444444</v>
      </c>
      <c r="K276" s="2"/>
      <c r="L276" s="1" t="s">
        <v>18</v>
      </c>
      <c r="M276" s="1" t="str">
        <f>_xlfn.XLOOKUP(I276,Parâmetros!A:A,Parâmetros!B:B,_xlfn.XLOOKUP(Q276,Parâmetros!F:F,Parâmetros!G:G,"NOVA MENSAGEM"))</f>
        <v>CÓD. CLIENTE DIVERGENTE</v>
      </c>
      <c r="N276" s="1" t="str">
        <f>_xlfn.XLOOKUP(M276,Parâmetros!K:K,Parâmetros!L:L,"")</f>
        <v>CÓDIGO DIFERENTE DO CADASTRADO NO BENNER (CLIENTE X GRUPO)</v>
      </c>
      <c r="O276" s="1" t="str">
        <f>_xlfn.XLOOKUP(M276,Parâmetros!B:B,Parâmetros!C:C,_xlfn.XLOOKUP(Base!M274,Parâmetros!G:G,Parâmetros!H:H))</f>
        <v>QUALIDADE DOS DADOS</v>
      </c>
      <c r="P276" s="1" t="str">
        <f>_xlfn.XLOOKUP(I276,Parâmetros!A:A,Parâmetros!D:D,_xlfn.XLOOKUP(Q276,Parâmetros!F:F,Parâmetros!I:I))</f>
        <v>SUPORTE OBT</v>
      </c>
      <c r="Q276" s="1">
        <f t="shared" si="9"/>
        <v>1</v>
      </c>
    </row>
    <row r="277" spans="1:17" x14ac:dyDescent="0.25">
      <c r="A277" s="1" t="str">
        <f>_xlfn.XLOOKUP(D277,'Novo relatório'!B:B,'Novo relatório'!C:C,"RESOLVIDO")</f>
        <v>RESOLVIDO</v>
      </c>
      <c r="C277" t="str">
        <f t="shared" si="8"/>
        <v>RESOLVIDO</v>
      </c>
      <c r="D277" s="1">
        <v>3174433</v>
      </c>
      <c r="E277" s="1" t="s">
        <v>26</v>
      </c>
      <c r="F277" s="2">
        <v>45712.306944444441</v>
      </c>
      <c r="G277" s="1" t="s">
        <v>1099</v>
      </c>
      <c r="H277" s="1" t="s">
        <v>1099</v>
      </c>
      <c r="I277" s="1" t="s">
        <v>588</v>
      </c>
      <c r="J277" s="2">
        <v>45667.796527777777</v>
      </c>
      <c r="K277" s="2">
        <v>45712.442361111112</v>
      </c>
      <c r="L277" s="1" t="s">
        <v>14</v>
      </c>
      <c r="M277" s="1" t="str">
        <f>_xlfn.XLOOKUP(I277,Parâmetros!A:A,Parâmetros!B:B,_xlfn.XLOOKUP(Q277,Parâmetros!F:F,Parâmetros!G:G,"NOVA MENSAGEM"))</f>
        <v>ERRO NO XML</v>
      </c>
      <c r="N277" s="1" t="str">
        <f>_xlfn.XLOOKUP(M277,Parâmetros!K:K,Parâmetros!L:L,"")</f>
        <v/>
      </c>
      <c r="O277" s="1" t="str">
        <f>_xlfn.XLOOKUP(M277,Parâmetros!B:B,Parâmetros!C:C,_xlfn.XLOOKUP(Base!M587,Parâmetros!G:G,Parâmetros!H:H))</f>
        <v>SISTEMA</v>
      </c>
      <c r="P277" s="1" t="str">
        <f>_xlfn.XLOOKUP(I277,Parâmetros!A:A,Parâmetros!D:D,_xlfn.XLOOKUP(Q277,Parâmetros!F:F,Parâmetros!I:I))</f>
        <v>SUPORTE OBT</v>
      </c>
      <c r="Q277" s="1" t="str">
        <f t="shared" si="9"/>
        <v>COLUNA I</v>
      </c>
    </row>
    <row r="278" spans="1:17" x14ac:dyDescent="0.25">
      <c r="A278" s="1" t="str">
        <f>_xlfn.XLOOKUP(D278,'Novo relatório'!B:B,'Novo relatório'!C:C,"RESOLVIDO")</f>
        <v>TMS</v>
      </c>
      <c r="C278" t="str">
        <f t="shared" si="8"/>
        <v>PENDENTE</v>
      </c>
      <c r="D278" s="1">
        <v>3174835</v>
      </c>
      <c r="E278" s="1" t="s">
        <v>12</v>
      </c>
      <c r="F278" s="2">
        <v>45667.744444444441</v>
      </c>
      <c r="G278" s="1">
        <v>456</v>
      </c>
      <c r="H278" s="1">
        <v>456</v>
      </c>
      <c r="I278" s="1" t="s">
        <v>16</v>
      </c>
      <c r="J278" s="2">
        <v>45667.857638888891</v>
      </c>
      <c r="K278" s="2">
        <v>45670.902777777781</v>
      </c>
      <c r="L278" s="1" t="s">
        <v>14</v>
      </c>
      <c r="M278" s="1" t="str">
        <f>_xlfn.XLOOKUP(I278,Parâmetros!A:A,Parâmetros!B:B,_xlfn.XLOOKUP(Q278,Parâmetros!F:F,Parâmetros!G:G,"NOVA MENSAGEM"))</f>
        <v>ASSENTO / BAGAGEM</v>
      </c>
      <c r="N278" s="1" t="str">
        <f>_xlfn.XLOOKUP(M278,Parâmetros!K:K,Parâmetros!L:L,"")</f>
        <v>CAMPO OBSERVAÇÃO PREENCHIDO INCORRETAMENTE</v>
      </c>
      <c r="O278" s="1" t="str">
        <f>_xlfn.XLOOKUP(M278,Parâmetros!B:B,Parâmetros!C:C,_xlfn.XLOOKUP(Base!M275,Parâmetros!G:G,Parâmetros!H:H))</f>
        <v>QUALIDADE DOS DADOS</v>
      </c>
      <c r="P278" s="1" t="str">
        <f>_xlfn.XLOOKUP(I278,Parâmetros!A:A,Parâmetros!D:D,_xlfn.XLOOKUP(Q278,Parâmetros!F:F,Parâmetros!I:I))</f>
        <v>OPERAÇÕES / SUPORTE KCS</v>
      </c>
      <c r="Q278" s="1">
        <f t="shared" si="9"/>
        <v>118</v>
      </c>
    </row>
    <row r="279" spans="1:17" x14ac:dyDescent="0.25">
      <c r="A279" s="1" t="str">
        <f>_xlfn.XLOOKUP(D279,'Novo relatório'!B:B,'Novo relatório'!C:C,"RESOLVIDO")</f>
        <v>RESOLVIDO</v>
      </c>
      <c r="C279" t="str">
        <f t="shared" si="8"/>
        <v>RESOLVIDO</v>
      </c>
      <c r="D279" s="1">
        <v>3174951</v>
      </c>
      <c r="E279" s="1" t="s">
        <v>26</v>
      </c>
      <c r="F279" s="2">
        <v>45667.730555555558</v>
      </c>
      <c r="G279" s="1" t="s">
        <v>759</v>
      </c>
      <c r="H279" s="1" t="s">
        <v>759</v>
      </c>
      <c r="I279" s="1" t="s">
        <v>169</v>
      </c>
      <c r="J279" s="2">
        <v>45667.867361111108</v>
      </c>
      <c r="K279" s="2"/>
      <c r="L279" s="1" t="s">
        <v>18</v>
      </c>
      <c r="M279" s="1" t="str">
        <f>_xlfn.XLOOKUP(I279,Parâmetros!A:A,Parâmetros!B:B,_xlfn.XLOOKUP(Q279,Parâmetros!F:F,Parâmetros!G:G,"NOVA MENSAGEM"))</f>
        <v>CÓD. CLIENTE DIVERGENTE</v>
      </c>
      <c r="N279" s="1" t="str">
        <f>_xlfn.XLOOKUP(M279,Parâmetros!K:K,Parâmetros!L:L,"")</f>
        <v>CÓDIGO DIFERENTE DO CADASTRADO NO BENNER (CLIENTE X GRUPO)</v>
      </c>
      <c r="O279" s="1" t="str">
        <f>_xlfn.XLOOKUP(M279,Parâmetros!B:B,Parâmetros!C:C,_xlfn.XLOOKUP(Base!M276,Parâmetros!G:G,Parâmetros!H:H))</f>
        <v>QUALIDADE DOS DADOS</v>
      </c>
      <c r="P279" s="1" t="str">
        <f>_xlfn.XLOOKUP(I279,Parâmetros!A:A,Parâmetros!D:D,_xlfn.XLOOKUP(Q279,Parâmetros!F:F,Parâmetros!I:I))</f>
        <v>SUPORTE OBT</v>
      </c>
      <c r="Q279" s="1">
        <f t="shared" si="9"/>
        <v>1</v>
      </c>
    </row>
    <row r="280" spans="1:17" x14ac:dyDescent="0.25">
      <c r="A280" s="1" t="str">
        <f>_xlfn.XLOOKUP(D280,'Novo relatório'!B:B,'Novo relatório'!C:C,"RESOLVIDO")</f>
        <v>RESOLVIDO</v>
      </c>
      <c r="C280" t="str">
        <f t="shared" si="8"/>
        <v>RESOLVIDO</v>
      </c>
      <c r="D280" s="1">
        <v>3176188</v>
      </c>
      <c r="E280" s="1" t="s">
        <v>26</v>
      </c>
      <c r="F280" s="2">
        <v>45670.368055555555</v>
      </c>
      <c r="G280" s="1" t="s">
        <v>706</v>
      </c>
      <c r="H280" s="1" t="s">
        <v>706</v>
      </c>
      <c r="I280" s="1" t="s">
        <v>707</v>
      </c>
      <c r="J280" s="2">
        <v>45670.503472222219</v>
      </c>
      <c r="L280" s="1" t="s">
        <v>18</v>
      </c>
      <c r="M280" s="1" t="str">
        <f>_xlfn.XLOOKUP(I280,Parâmetros!A:A,Parâmetros!B:B,_xlfn.XLOOKUP(Q280,Parâmetros!F:F,Parâmetros!G:G,"NOVA MENSAGEM"))</f>
        <v>CÓD. CLIENTE DIVERGENTE</v>
      </c>
      <c r="N280" s="1" t="str">
        <f>_xlfn.XLOOKUP(M280,Parâmetros!K:K,Parâmetros!L:L,"")</f>
        <v>CÓDIGO DIFERENTE DO CADASTRADO NO BENNER (CLIENTE X GRUPO)</v>
      </c>
      <c r="O280" s="1" t="str">
        <f>_xlfn.XLOOKUP(M280,Parâmetros!B:B,Parâmetros!C:C,_xlfn.XLOOKUP(Base!M277,Parâmetros!G:G,Parâmetros!H:H))</f>
        <v>QUALIDADE DOS DADOS</v>
      </c>
      <c r="P280" s="1" t="str">
        <f>_xlfn.XLOOKUP(I280,Parâmetros!A:A,Parâmetros!D:D,_xlfn.XLOOKUP(Q280,Parâmetros!F:F,Parâmetros!I:I))</f>
        <v>SUPORTE OBT</v>
      </c>
      <c r="Q280" s="1">
        <f t="shared" si="9"/>
        <v>1</v>
      </c>
    </row>
    <row r="281" spans="1:17" x14ac:dyDescent="0.25">
      <c r="A281" s="1" t="str">
        <f>_xlfn.XLOOKUP(D281,'Novo relatório'!B:B,'Novo relatório'!C:C,"RESOLVIDO")</f>
        <v>RESOLVIDO</v>
      </c>
      <c r="C281" t="str">
        <f t="shared" si="8"/>
        <v>RESOLVIDO</v>
      </c>
      <c r="D281" s="1">
        <v>3176190</v>
      </c>
      <c r="E281" s="1" t="s">
        <v>26</v>
      </c>
      <c r="F281" s="2">
        <v>45670.368055555555</v>
      </c>
      <c r="G281" s="1" t="s">
        <v>732</v>
      </c>
      <c r="H281" s="1" t="s">
        <v>732</v>
      </c>
      <c r="I281" s="1" t="s">
        <v>588</v>
      </c>
      <c r="J281" s="2">
        <v>45670.504166666666</v>
      </c>
      <c r="L281" s="1" t="s">
        <v>14</v>
      </c>
      <c r="M281" s="1" t="str">
        <f>_xlfn.XLOOKUP(I281,Parâmetros!A:A,Parâmetros!B:B,_xlfn.XLOOKUP(Q281,Parâmetros!F:F,Parâmetros!G:G,"NOVA MENSAGEM"))</f>
        <v>ERRO NO XML</v>
      </c>
      <c r="N281" s="1" t="str">
        <f>_xlfn.XLOOKUP(M281,Parâmetros!K:K,Parâmetros!L:L,"")</f>
        <v/>
      </c>
      <c r="O281" s="1" t="str">
        <f>_xlfn.XLOOKUP(M281,Parâmetros!B:B,Parâmetros!C:C,_xlfn.XLOOKUP(Base!M278,Parâmetros!G:G,Parâmetros!H:H))</f>
        <v>SISTEMA</v>
      </c>
      <c r="P281" s="1" t="str">
        <f>_xlfn.XLOOKUP(I281,Parâmetros!A:A,Parâmetros!D:D,_xlfn.XLOOKUP(Q281,Parâmetros!F:F,Parâmetros!I:I))</f>
        <v>SUPORTE OBT</v>
      </c>
      <c r="Q281" s="1" t="str">
        <f t="shared" si="9"/>
        <v>COLUNA I</v>
      </c>
    </row>
    <row r="282" spans="1:17" x14ac:dyDescent="0.25">
      <c r="A282" s="1" t="str">
        <f>_xlfn.XLOOKUP(D282,'Novo relatório'!B:B,'Novo relatório'!C:C,"RESOLVIDO")</f>
        <v>RESOLVIDO</v>
      </c>
      <c r="C282" t="str">
        <f t="shared" si="8"/>
        <v>RESOLVIDO</v>
      </c>
      <c r="D282" s="1">
        <v>3176311</v>
      </c>
      <c r="E282" s="1" t="s">
        <v>26</v>
      </c>
      <c r="F282" s="2">
        <v>45670.434027777781</v>
      </c>
      <c r="G282" s="1" t="s">
        <v>900</v>
      </c>
      <c r="H282" s="1" t="s">
        <v>900</v>
      </c>
      <c r="I282" s="1" t="s">
        <v>588</v>
      </c>
      <c r="J282" s="2">
        <v>45670.563888888886</v>
      </c>
      <c r="K282" s="2"/>
      <c r="L282" s="1" t="s">
        <v>14</v>
      </c>
      <c r="M282" s="1" t="str">
        <f>_xlfn.XLOOKUP(I282,Parâmetros!A:A,Parâmetros!B:B,_xlfn.XLOOKUP(Q282,Parâmetros!F:F,Parâmetros!G:G,"NOVA MENSAGEM"))</f>
        <v>ERRO NO XML</v>
      </c>
      <c r="N282" s="1" t="str">
        <f>_xlfn.XLOOKUP(M282,Parâmetros!K:K,Parâmetros!L:L,"")</f>
        <v/>
      </c>
      <c r="O282" s="1" t="str">
        <f>_xlfn.XLOOKUP(M282,Parâmetros!B:B,Parâmetros!C:C,_xlfn.XLOOKUP(Base!M279,Parâmetros!G:G,Parâmetros!H:H))</f>
        <v>SISTEMA</v>
      </c>
      <c r="P282" s="1" t="str">
        <f>_xlfn.XLOOKUP(I282,Parâmetros!A:A,Parâmetros!D:D,_xlfn.XLOOKUP(Q282,Parâmetros!F:F,Parâmetros!I:I))</f>
        <v>SUPORTE OBT</v>
      </c>
      <c r="Q282" s="1" t="str">
        <f t="shared" si="9"/>
        <v>COLUNA I</v>
      </c>
    </row>
    <row r="283" spans="1:17" x14ac:dyDescent="0.25">
      <c r="A283" s="1" t="str">
        <f>_xlfn.XLOOKUP(D283,'Novo relatório'!B:B,'Novo relatório'!C:C,"RESOLVIDO")</f>
        <v>RESOLVIDO</v>
      </c>
      <c r="C283" t="str">
        <f t="shared" si="8"/>
        <v>RESOLVIDO</v>
      </c>
      <c r="D283" s="1">
        <v>3176352</v>
      </c>
      <c r="E283" s="1" t="s">
        <v>26</v>
      </c>
      <c r="F283" s="2">
        <v>45670.461805555555</v>
      </c>
      <c r="G283" s="1" t="s">
        <v>708</v>
      </c>
      <c r="H283" s="1" t="s">
        <v>709</v>
      </c>
      <c r="I283" s="1" t="s">
        <v>166</v>
      </c>
      <c r="J283" s="2">
        <v>45670.59652777778</v>
      </c>
      <c r="L283" s="1" t="s">
        <v>19</v>
      </c>
      <c r="M283" s="1" t="str">
        <f>_xlfn.XLOOKUP(I283,Parâmetros!A:A,Parâmetros!B:B,_xlfn.XLOOKUP(Q283,Parâmetros!F:F,Parâmetros!G:G,"NOVA MENSAGEM"))</f>
        <v>CONTRATO FORNECEDOR</v>
      </c>
      <c r="N283" s="1" t="str">
        <f>_xlfn.XLOOKUP(M283,Parâmetros!K:K,Parâmetros!L:L,"")</f>
        <v>CONTRATO INATIVO OU DIVERGENTE</v>
      </c>
      <c r="O283" s="1" t="str">
        <f>_xlfn.XLOOKUP(M283,Parâmetros!B:B,Parâmetros!C:C,_xlfn.XLOOKUP(Base!M280,Parâmetros!G:G,Parâmetros!H:H))</f>
        <v>SISTEMA</v>
      </c>
      <c r="P283" s="1" t="str">
        <f>_xlfn.XLOOKUP(I283,Parâmetros!A:A,Parâmetros!D:D,_xlfn.XLOOKUP(Q283,Parâmetros!F:F,Parâmetros!I:I))</f>
        <v>OPERAÇÕES / SUPORTE KCS</v>
      </c>
      <c r="Q283" s="1">
        <f t="shared" si="9"/>
        <v>43</v>
      </c>
    </row>
    <row r="284" spans="1:17" x14ac:dyDescent="0.25">
      <c r="A284" s="1" t="str">
        <f>_xlfn.XLOOKUP(D284,'Novo relatório'!B:B,'Novo relatório'!C:C,"RESOLVIDO")</f>
        <v>RESOLVIDO</v>
      </c>
      <c r="C284" t="str">
        <f t="shared" si="8"/>
        <v>RESOLVIDO</v>
      </c>
      <c r="D284" s="1">
        <v>3176354</v>
      </c>
      <c r="E284" s="1" t="s">
        <v>26</v>
      </c>
      <c r="F284" s="2">
        <v>45670.463888888888</v>
      </c>
      <c r="G284" s="1" t="s">
        <v>883</v>
      </c>
      <c r="H284" s="1" t="s">
        <v>884</v>
      </c>
      <c r="I284" s="1" t="s">
        <v>166</v>
      </c>
      <c r="J284" s="2">
        <v>45670.597222222219</v>
      </c>
      <c r="K284" s="2"/>
      <c r="L284" s="1" t="s">
        <v>19</v>
      </c>
      <c r="M284" s="1" t="str">
        <f>_xlfn.XLOOKUP(I284,Parâmetros!A:A,Parâmetros!B:B,_xlfn.XLOOKUP(Q284,Parâmetros!F:F,Parâmetros!G:G,"NOVA MENSAGEM"))</f>
        <v>CONTRATO FORNECEDOR</v>
      </c>
      <c r="N284" s="1" t="str">
        <f>_xlfn.XLOOKUP(M284,Parâmetros!K:K,Parâmetros!L:L,"")</f>
        <v>CONTRATO INATIVO OU DIVERGENTE</v>
      </c>
      <c r="O284" s="1" t="str">
        <f>_xlfn.XLOOKUP(M284,Parâmetros!B:B,Parâmetros!C:C,_xlfn.XLOOKUP(Base!M281,Parâmetros!G:G,Parâmetros!H:H))</f>
        <v>SISTEMA</v>
      </c>
      <c r="P284" s="1" t="str">
        <f>_xlfn.XLOOKUP(I284,Parâmetros!A:A,Parâmetros!D:D,_xlfn.XLOOKUP(Q284,Parâmetros!F:F,Parâmetros!I:I))</f>
        <v>OPERAÇÕES / SUPORTE KCS</v>
      </c>
      <c r="Q284" s="1">
        <f t="shared" si="9"/>
        <v>43</v>
      </c>
    </row>
    <row r="285" spans="1:17" x14ac:dyDescent="0.25">
      <c r="A285" s="1" t="str">
        <f>_xlfn.XLOOKUP(D285,'Novo relatório'!B:B,'Novo relatório'!C:C,"RESOLVIDO")</f>
        <v>RESOLVIDO</v>
      </c>
      <c r="C285" t="str">
        <f t="shared" si="8"/>
        <v>RESOLVIDO</v>
      </c>
      <c r="D285" s="1">
        <v>3177504</v>
      </c>
      <c r="E285" s="1" t="s">
        <v>26</v>
      </c>
      <c r="F285" s="2">
        <v>45670.713888888888</v>
      </c>
      <c r="G285" s="1" t="s">
        <v>903</v>
      </c>
      <c r="H285" s="1" t="s">
        <v>903</v>
      </c>
      <c r="I285" s="1" t="s">
        <v>394</v>
      </c>
      <c r="J285" s="2">
        <v>45670.720833333333</v>
      </c>
      <c r="K285" s="2">
        <v>45670.84652777778</v>
      </c>
      <c r="L285" s="1" t="s">
        <v>18</v>
      </c>
      <c r="M285" s="1" t="str">
        <f>_xlfn.XLOOKUP(I285,Parâmetros!A:A,Parâmetros!B:B,_xlfn.XLOOKUP(Q285,Parâmetros!F:F,Parâmetros!G:G,"NOVA MENSAGEM"))</f>
        <v>REMARK - CNPJ</v>
      </c>
      <c r="N285" s="1" t="str">
        <f>_xlfn.XLOOKUP(M285,Parâmetros!K:K,Parâmetros!L:L,"")</f>
        <v/>
      </c>
      <c r="O285" s="1" t="str">
        <f>_xlfn.XLOOKUP(M285,Parâmetros!B:B,Parâmetros!C:C,_xlfn.XLOOKUP(Base!M282,Parâmetros!G:G,Parâmetros!H:H))</f>
        <v>INDEFINIDO</v>
      </c>
      <c r="P285" s="1" t="str">
        <f>_xlfn.XLOOKUP(I285,Parâmetros!A:A,Parâmetros!D:D,_xlfn.XLOOKUP(Q285,Parâmetros!F:F,Parâmetros!I:I))</f>
        <v>OPERAÇÕES / SUPORTE KCS</v>
      </c>
      <c r="Q285" s="1">
        <f t="shared" si="9"/>
        <v>24</v>
      </c>
    </row>
    <row r="286" spans="1:17" x14ac:dyDescent="0.25">
      <c r="A286" s="1" t="str">
        <f>_xlfn.XLOOKUP(D286,'Novo relatório'!B:B,'Novo relatório'!C:C,"RESOLVIDO")</f>
        <v>RESOLVIDO</v>
      </c>
      <c r="C286" t="str">
        <f t="shared" si="8"/>
        <v>RESOLVIDO</v>
      </c>
      <c r="D286" s="1">
        <v>3177505</v>
      </c>
      <c r="E286" s="1" t="s">
        <v>26</v>
      </c>
      <c r="F286" s="2">
        <v>45670.713888888888</v>
      </c>
      <c r="G286" s="1" t="s">
        <v>862</v>
      </c>
      <c r="H286" s="1" t="s">
        <v>862</v>
      </c>
      <c r="I286" s="1" t="s">
        <v>394</v>
      </c>
      <c r="J286" s="2">
        <v>45670.72152777778</v>
      </c>
      <c r="K286" s="2">
        <v>45670.84652777778</v>
      </c>
      <c r="L286" s="1" t="s">
        <v>18</v>
      </c>
      <c r="M286" s="1" t="str">
        <f>_xlfn.XLOOKUP(I286,Parâmetros!A:A,Parâmetros!B:B,_xlfn.XLOOKUP(Q286,Parâmetros!F:F,Parâmetros!G:G,"NOVA MENSAGEM"))</f>
        <v>REMARK - CNPJ</v>
      </c>
      <c r="N286" s="1" t="str">
        <f>_xlfn.XLOOKUP(M286,Parâmetros!K:K,Parâmetros!L:L,"")</f>
        <v/>
      </c>
      <c r="O286" s="1" t="str">
        <f>_xlfn.XLOOKUP(M286,Parâmetros!B:B,Parâmetros!C:C,_xlfn.XLOOKUP(Base!M283,Parâmetros!G:G,Parâmetros!H:H))</f>
        <v>SISTEMA</v>
      </c>
      <c r="P286" s="1" t="str">
        <f>_xlfn.XLOOKUP(I286,Parâmetros!A:A,Parâmetros!D:D,_xlfn.XLOOKUP(Q286,Parâmetros!F:F,Parâmetros!I:I))</f>
        <v>OPERAÇÕES / SUPORTE KCS</v>
      </c>
      <c r="Q286" s="1">
        <f t="shared" si="9"/>
        <v>24</v>
      </c>
    </row>
    <row r="287" spans="1:17" x14ac:dyDescent="0.25">
      <c r="A287" s="1" t="str">
        <f>_xlfn.XLOOKUP(D287,'Novo relatório'!B:B,'Novo relatório'!C:C,"RESOLVIDO")</f>
        <v>RESOLVIDO</v>
      </c>
      <c r="C287" t="str">
        <f t="shared" si="8"/>
        <v>RESOLVIDO</v>
      </c>
      <c r="D287" s="1">
        <v>3177804</v>
      </c>
      <c r="E287" s="1" t="s">
        <v>26</v>
      </c>
      <c r="F287" s="2">
        <v>45670.713888888888</v>
      </c>
      <c r="G287" s="1" t="s">
        <v>765</v>
      </c>
      <c r="H287" s="1" t="s">
        <v>765</v>
      </c>
      <c r="I287" s="1" t="s">
        <v>766</v>
      </c>
      <c r="J287" s="2">
        <v>45670.847222222219</v>
      </c>
      <c r="K287" s="2"/>
      <c r="L287" s="1" t="s">
        <v>18</v>
      </c>
      <c r="M287" s="1" t="str">
        <f>_xlfn.XLOOKUP(I287,Parâmetros!A:A,Parâmetros!B:B,_xlfn.XLOOKUP(Q287,Parâmetros!F:F,Parâmetros!G:G,"NOVA MENSAGEM"))</f>
        <v>CÓD. CLIENTE DIVERGENTE</v>
      </c>
      <c r="N287" s="1" t="str">
        <f>_xlfn.XLOOKUP(M287,Parâmetros!K:K,Parâmetros!L:L,"")</f>
        <v>CÓDIGO DIFERENTE DO CADASTRADO NO BENNER (CLIENTE X GRUPO)</v>
      </c>
      <c r="O287" s="1" t="str">
        <f>_xlfn.XLOOKUP(M287,Parâmetros!B:B,Parâmetros!C:C,_xlfn.XLOOKUP(Base!M284,Parâmetros!G:G,Parâmetros!H:H))</f>
        <v>QUALIDADE DOS DADOS</v>
      </c>
      <c r="P287" s="1" t="str">
        <f>_xlfn.XLOOKUP(I287,Parâmetros!A:A,Parâmetros!D:D,_xlfn.XLOOKUP(Q287,Parâmetros!F:F,Parâmetros!I:I))</f>
        <v>SUPORTE OBT</v>
      </c>
      <c r="Q287" s="1">
        <f t="shared" si="9"/>
        <v>1</v>
      </c>
    </row>
    <row r="288" spans="1:17" x14ac:dyDescent="0.25">
      <c r="A288" s="1" t="str">
        <f>_xlfn.XLOOKUP(D288,'Novo relatório'!B:B,'Novo relatório'!C:C,"RESOLVIDO")</f>
        <v>RESOLVIDO</v>
      </c>
      <c r="C288" t="str">
        <f t="shared" si="8"/>
        <v>RESOLVIDO</v>
      </c>
      <c r="D288" s="1">
        <v>3177807</v>
      </c>
      <c r="E288" s="1" t="s">
        <v>26</v>
      </c>
      <c r="F288" s="2">
        <v>45670.713888888888</v>
      </c>
      <c r="G288" s="1" t="s">
        <v>899</v>
      </c>
      <c r="H288" s="1" t="s">
        <v>899</v>
      </c>
      <c r="I288" s="1" t="s">
        <v>83</v>
      </c>
      <c r="J288" s="2">
        <v>45670.847222222219</v>
      </c>
      <c r="L288" s="1" t="s">
        <v>18</v>
      </c>
      <c r="M288" s="1" t="str">
        <f>_xlfn.XLOOKUP(I288,Parâmetros!A:A,Parâmetros!B:B,_xlfn.XLOOKUP(Q288,Parâmetros!F:F,Parâmetros!G:G,"NOVA MENSAGEM"))</f>
        <v>CLIENTE NÃO IDENTIFICADO</v>
      </c>
      <c r="N288" s="1" t="str">
        <f>_xlfn.XLOOKUP(M288,Parâmetros!K:K,Parâmetros!L:L,"")</f>
        <v>DK DE CLIENTE NÃO PREENCIDO / CLIENTE NÃO CONFIGURADO NO OBT</v>
      </c>
      <c r="O288" s="1" t="str">
        <f>_xlfn.XLOOKUP(M288,Parâmetros!B:B,Parâmetros!C:C,_xlfn.XLOOKUP(Base!M285,Parâmetros!G:G,Parâmetros!H:H))</f>
        <v>INDEFINIDO</v>
      </c>
      <c r="P288" s="1" t="str">
        <f>_xlfn.XLOOKUP(I288,Parâmetros!A:A,Parâmetros!D:D,_xlfn.XLOOKUP(Q288,Parâmetros!F:F,Parâmetros!I:I))</f>
        <v>OPERAÇÕES / SUPORTE KCS</v>
      </c>
      <c r="Q288" s="1" t="str">
        <f t="shared" si="9"/>
        <v>COLUNA I</v>
      </c>
    </row>
    <row r="289" spans="1:17" x14ac:dyDescent="0.25">
      <c r="A289" s="1" t="str">
        <f>_xlfn.XLOOKUP(D289,'Novo relatório'!B:B,'Novo relatório'!C:C,"RESOLVIDO")</f>
        <v>RESOLVIDO</v>
      </c>
      <c r="C289" t="str">
        <f t="shared" si="8"/>
        <v>RESOLVIDO</v>
      </c>
      <c r="D289" s="1">
        <v>3177811</v>
      </c>
      <c r="E289" s="1" t="s">
        <v>26</v>
      </c>
      <c r="F289" s="2">
        <v>45670.713888888888</v>
      </c>
      <c r="G289" s="1" t="s">
        <v>869</v>
      </c>
      <c r="H289" s="1" t="s">
        <v>869</v>
      </c>
      <c r="I289" s="1" t="s">
        <v>620</v>
      </c>
      <c r="J289" s="2">
        <v>45670.847916666666</v>
      </c>
      <c r="K289" s="2"/>
      <c r="L289" s="1" t="s">
        <v>18</v>
      </c>
      <c r="M289" s="1" t="str">
        <f>_xlfn.XLOOKUP(I289,Parâmetros!A:A,Parâmetros!B:B,_xlfn.XLOOKUP(Q289,Parâmetros!F:F,Parâmetros!G:G,"NOVA MENSAGEM"))</f>
        <v>CÓD. CLIENTE DIVERGENTE</v>
      </c>
      <c r="N289" s="1" t="str">
        <f>_xlfn.XLOOKUP(M289,Parâmetros!K:K,Parâmetros!L:L,"")</f>
        <v>CÓDIGO DIFERENTE DO CADASTRADO NO BENNER (CLIENTE X GRUPO)</v>
      </c>
      <c r="O289" s="1" t="str">
        <f>_xlfn.XLOOKUP(M289,Parâmetros!B:B,Parâmetros!C:C,_xlfn.XLOOKUP(Base!M286,Parâmetros!G:G,Parâmetros!H:H))</f>
        <v>QUALIDADE DOS DADOS</v>
      </c>
      <c r="P289" s="1" t="str">
        <f>_xlfn.XLOOKUP(I289,Parâmetros!A:A,Parâmetros!D:D,_xlfn.XLOOKUP(Q289,Parâmetros!F:F,Parâmetros!I:I))</f>
        <v>SUPORTE OBT</v>
      </c>
      <c r="Q289" s="1">
        <f t="shared" si="9"/>
        <v>1</v>
      </c>
    </row>
    <row r="290" spans="1:17" x14ac:dyDescent="0.25">
      <c r="A290" s="1" t="str">
        <f>_xlfn.XLOOKUP(D290,'Novo relatório'!B:B,'Novo relatório'!C:C,"RESOLVIDO")</f>
        <v>RESOLVIDO</v>
      </c>
      <c r="C290" t="str">
        <f t="shared" si="8"/>
        <v>RESOLVIDO</v>
      </c>
      <c r="D290" s="1">
        <v>3177814</v>
      </c>
      <c r="E290" s="1" t="s">
        <v>26</v>
      </c>
      <c r="F290" s="2">
        <v>45670.713888888888</v>
      </c>
      <c r="G290" s="1" t="s">
        <v>919</v>
      </c>
      <c r="H290" s="1" t="s">
        <v>919</v>
      </c>
      <c r="I290" s="1" t="s">
        <v>396</v>
      </c>
      <c r="J290" s="2">
        <v>45670.847916666666</v>
      </c>
      <c r="K290" s="2"/>
      <c r="L290" s="1" t="s">
        <v>18</v>
      </c>
      <c r="M290" s="1" t="str">
        <f>_xlfn.XLOOKUP(I290,Parâmetros!A:A,Parâmetros!B:B,_xlfn.XLOOKUP(Q290,Parâmetros!F:F,Parâmetros!G:G,"NOVA MENSAGEM"))</f>
        <v>CÓD. CLIENTE DIVERGENTE</v>
      </c>
      <c r="N290" s="1" t="str">
        <f>_xlfn.XLOOKUP(M290,Parâmetros!K:K,Parâmetros!L:L,"")</f>
        <v>CÓDIGO DIFERENTE DO CADASTRADO NO BENNER (CLIENTE X GRUPO)</v>
      </c>
      <c r="O290" s="1" t="str">
        <f>_xlfn.XLOOKUP(M290,Parâmetros!B:B,Parâmetros!C:C,_xlfn.XLOOKUP(Base!M287,Parâmetros!G:G,Parâmetros!H:H))</f>
        <v>QUALIDADE DOS DADOS</v>
      </c>
      <c r="P290" s="1" t="str">
        <f>_xlfn.XLOOKUP(I290,Parâmetros!A:A,Parâmetros!D:D,_xlfn.XLOOKUP(Q290,Parâmetros!F:F,Parâmetros!I:I))</f>
        <v>SUPORTE OBT</v>
      </c>
      <c r="Q290" s="1">
        <f t="shared" si="9"/>
        <v>1</v>
      </c>
    </row>
    <row r="291" spans="1:17" x14ac:dyDescent="0.25">
      <c r="A291" s="1" t="str">
        <f>_xlfn.XLOOKUP(D291,'Novo relatório'!B:B,'Novo relatório'!C:C,"RESOLVIDO")</f>
        <v>RESOLVIDO</v>
      </c>
      <c r="C291" t="str">
        <f t="shared" si="8"/>
        <v>RESOLVIDO</v>
      </c>
      <c r="D291" s="1">
        <v>3177816</v>
      </c>
      <c r="E291" s="1" t="s">
        <v>26</v>
      </c>
      <c r="F291" s="2">
        <v>45670.713888888888</v>
      </c>
      <c r="G291" s="1" t="s">
        <v>863</v>
      </c>
      <c r="H291" s="1" t="s">
        <v>863</v>
      </c>
      <c r="I291" s="1" t="s">
        <v>83</v>
      </c>
      <c r="J291" s="2">
        <v>45670.848611111112</v>
      </c>
      <c r="K291" s="2"/>
      <c r="L291" s="1" t="s">
        <v>18</v>
      </c>
      <c r="M291" s="1" t="str">
        <f>_xlfn.XLOOKUP(I291,Parâmetros!A:A,Parâmetros!B:B,_xlfn.XLOOKUP(Q291,Parâmetros!F:F,Parâmetros!G:G,"NOVA MENSAGEM"))</f>
        <v>CLIENTE NÃO IDENTIFICADO</v>
      </c>
      <c r="N291" s="1" t="str">
        <f>_xlfn.XLOOKUP(M291,Parâmetros!K:K,Parâmetros!L:L,"")</f>
        <v>DK DE CLIENTE NÃO PREENCIDO / CLIENTE NÃO CONFIGURADO NO OBT</v>
      </c>
      <c r="O291" s="1" t="str">
        <f>_xlfn.XLOOKUP(M291,Parâmetros!B:B,Parâmetros!C:C,_xlfn.XLOOKUP(Base!M288,Parâmetros!G:G,Parâmetros!H:H))</f>
        <v>INDEFINIDO</v>
      </c>
      <c r="P291" s="1" t="str">
        <f>_xlfn.XLOOKUP(I291,Parâmetros!A:A,Parâmetros!D:D,_xlfn.XLOOKUP(Q291,Parâmetros!F:F,Parâmetros!I:I))</f>
        <v>OPERAÇÕES / SUPORTE KCS</v>
      </c>
      <c r="Q291" s="1" t="str">
        <f t="shared" si="9"/>
        <v>COLUNA I</v>
      </c>
    </row>
    <row r="292" spans="1:17" x14ac:dyDescent="0.25">
      <c r="A292" s="1" t="str">
        <f>_xlfn.XLOOKUP(D292,'Novo relatório'!B:B,'Novo relatório'!C:C,"RESOLVIDO")</f>
        <v>RESOLVIDO</v>
      </c>
      <c r="C292" t="str">
        <f t="shared" si="8"/>
        <v>RESOLVIDO</v>
      </c>
      <c r="D292" s="1">
        <v>3177817</v>
      </c>
      <c r="E292" s="1" t="s">
        <v>26</v>
      </c>
      <c r="F292" s="2">
        <v>45671.290277777778</v>
      </c>
      <c r="G292" s="1" t="s">
        <v>803</v>
      </c>
      <c r="H292" s="1" t="s">
        <v>803</v>
      </c>
      <c r="I292" s="1" t="s">
        <v>394</v>
      </c>
      <c r="J292" s="2">
        <v>45670.848611111112</v>
      </c>
      <c r="K292" s="2">
        <v>45671.418749999997</v>
      </c>
      <c r="L292" s="1" t="s">
        <v>18</v>
      </c>
      <c r="M292" s="1" t="str">
        <f>_xlfn.XLOOKUP(I292,Parâmetros!A:A,Parâmetros!B:B,_xlfn.XLOOKUP(Q292,Parâmetros!F:F,Parâmetros!G:G,"NOVA MENSAGEM"))</f>
        <v>REMARK - CNPJ</v>
      </c>
      <c r="N292" s="1" t="str">
        <f>_xlfn.XLOOKUP(M292,Parâmetros!K:K,Parâmetros!L:L,"")</f>
        <v/>
      </c>
      <c r="O292" s="1" t="str">
        <f>_xlfn.XLOOKUP(M292,Parâmetros!B:B,Parâmetros!C:C,_xlfn.XLOOKUP(Base!M289,Parâmetros!G:G,Parâmetros!H:H))</f>
        <v>QUALIDADE DOS DADOS</v>
      </c>
      <c r="P292" s="1" t="str">
        <f>_xlfn.XLOOKUP(I292,Parâmetros!A:A,Parâmetros!D:D,_xlfn.XLOOKUP(Q292,Parâmetros!F:F,Parâmetros!I:I))</f>
        <v>OPERAÇÕES / SUPORTE KCS</v>
      </c>
      <c r="Q292" s="1">
        <f t="shared" si="9"/>
        <v>24</v>
      </c>
    </row>
    <row r="293" spans="1:17" x14ac:dyDescent="0.25">
      <c r="A293" s="1" t="str">
        <f>_xlfn.XLOOKUP(D293,'Novo relatório'!B:B,'Novo relatório'!C:C,"RESOLVIDO")</f>
        <v>RESOLVIDO</v>
      </c>
      <c r="C293" t="str">
        <f t="shared" si="8"/>
        <v>RESOLVIDO</v>
      </c>
      <c r="D293" s="1">
        <v>3177818</v>
      </c>
      <c r="E293" s="1" t="s">
        <v>26</v>
      </c>
      <c r="F293" s="2">
        <v>45670.728472222225</v>
      </c>
      <c r="G293" s="1" t="s">
        <v>775</v>
      </c>
      <c r="H293" s="1" t="s">
        <v>775</v>
      </c>
      <c r="I293" s="1" t="s">
        <v>410</v>
      </c>
      <c r="J293" s="2">
        <v>45670.848611111112</v>
      </c>
      <c r="K293" s="2">
        <v>45670.856249999997</v>
      </c>
      <c r="L293" s="1" t="s">
        <v>18</v>
      </c>
      <c r="M293" s="1" t="str">
        <f>_xlfn.XLOOKUP(I293,Parâmetros!A:A,Parâmetros!B:B,_xlfn.XLOOKUP(Q293,Parâmetros!F:F,Parâmetros!G:G,"NOVA MENSAGEM"))</f>
        <v>CÓD. CLIENTE DIVERGENTE</v>
      </c>
      <c r="N293" s="1" t="str">
        <f>_xlfn.XLOOKUP(M293,Parâmetros!K:K,Parâmetros!L:L,"")</f>
        <v>CÓDIGO DIFERENTE DO CADASTRADO NO BENNER (CLIENTE X GRUPO)</v>
      </c>
      <c r="O293" s="1" t="str">
        <f>_xlfn.XLOOKUP(M293,Parâmetros!B:B,Parâmetros!C:C,_xlfn.XLOOKUP(Base!M290,Parâmetros!G:G,Parâmetros!H:H))</f>
        <v>QUALIDADE DOS DADOS</v>
      </c>
      <c r="P293" s="1" t="str">
        <f>_xlfn.XLOOKUP(I293,Parâmetros!A:A,Parâmetros!D:D,_xlfn.XLOOKUP(Q293,Parâmetros!F:F,Parâmetros!I:I))</f>
        <v>SUPORTE OBT</v>
      </c>
      <c r="Q293" s="1">
        <f t="shared" si="9"/>
        <v>1</v>
      </c>
    </row>
    <row r="294" spans="1:17" x14ac:dyDescent="0.25">
      <c r="A294" s="1" t="str">
        <f>_xlfn.XLOOKUP(D294,'Novo relatório'!B:B,'Novo relatório'!C:C,"RESOLVIDO")</f>
        <v>RESOLVIDO</v>
      </c>
      <c r="C294" t="str">
        <f t="shared" si="8"/>
        <v>RESOLVIDO</v>
      </c>
      <c r="D294" s="1">
        <v>3177819</v>
      </c>
      <c r="E294" s="1" t="s">
        <v>26</v>
      </c>
      <c r="F294" s="2">
        <v>45670.713888888888</v>
      </c>
      <c r="G294" s="1" t="s">
        <v>795</v>
      </c>
      <c r="H294" s="1" t="s">
        <v>795</v>
      </c>
      <c r="I294" s="1" t="s">
        <v>620</v>
      </c>
      <c r="J294" s="2">
        <v>45670.848611111112</v>
      </c>
      <c r="K294" s="2"/>
      <c r="L294" s="1" t="s">
        <v>18</v>
      </c>
      <c r="M294" s="1" t="str">
        <f>_xlfn.XLOOKUP(I294,Parâmetros!A:A,Parâmetros!B:B,_xlfn.XLOOKUP(Q294,Parâmetros!F:F,Parâmetros!G:G,"NOVA MENSAGEM"))</f>
        <v>CÓD. CLIENTE DIVERGENTE</v>
      </c>
      <c r="N294" s="1" t="str">
        <f>_xlfn.XLOOKUP(M294,Parâmetros!K:K,Parâmetros!L:L,"")</f>
        <v>CÓDIGO DIFERENTE DO CADASTRADO NO BENNER (CLIENTE X GRUPO)</v>
      </c>
      <c r="O294" s="1" t="str">
        <f>_xlfn.XLOOKUP(M294,Parâmetros!B:B,Parâmetros!C:C,_xlfn.XLOOKUP(Base!M291,Parâmetros!G:G,Parâmetros!H:H))</f>
        <v>QUALIDADE DOS DADOS</v>
      </c>
      <c r="P294" s="1" t="str">
        <f>_xlfn.XLOOKUP(I294,Parâmetros!A:A,Parâmetros!D:D,_xlfn.XLOOKUP(Q294,Parâmetros!F:F,Parâmetros!I:I))</f>
        <v>SUPORTE OBT</v>
      </c>
      <c r="Q294" s="1">
        <f t="shared" si="9"/>
        <v>1</v>
      </c>
    </row>
    <row r="295" spans="1:17" x14ac:dyDescent="0.25">
      <c r="A295" s="1" t="str">
        <f>_xlfn.XLOOKUP(D295,'Novo relatório'!B:B,'Novo relatório'!C:C,"RESOLVIDO")</f>
        <v>TMS</v>
      </c>
      <c r="C295" t="str">
        <f t="shared" si="8"/>
        <v>PENDENTE</v>
      </c>
      <c r="D295" s="1">
        <v>3178775</v>
      </c>
      <c r="E295" s="1" t="s">
        <v>12</v>
      </c>
      <c r="F295" s="2">
        <v>45671.383333333331</v>
      </c>
      <c r="G295" s="1">
        <v>459</v>
      </c>
      <c r="H295" s="1">
        <v>459</v>
      </c>
      <c r="I295" s="1" t="s">
        <v>928</v>
      </c>
      <c r="J295" s="2">
        <v>45671.38958333333</v>
      </c>
      <c r="K295" s="2">
        <v>45674.951388888891</v>
      </c>
      <c r="L295" s="1" t="s">
        <v>14</v>
      </c>
      <c r="M295" s="1" t="str">
        <f>_xlfn.XLOOKUP(I295,Parâmetros!A:A,Parâmetros!B:B,_xlfn.XLOOKUP(Q295,Parâmetros!F:F,Parâmetros!G:G,"NOVA MENSAGEM"))</f>
        <v>ASSENTO / BAGAGEM</v>
      </c>
      <c r="N295" s="1" t="str">
        <f>_xlfn.XLOOKUP(M295,Parâmetros!K:K,Parâmetros!L:L,"")</f>
        <v>CAMPO OBSERVAÇÃO PREENCHIDO INCORRETAMENTE</v>
      </c>
      <c r="O295" s="1" t="str">
        <f>_xlfn.XLOOKUP(M295,Parâmetros!B:B,Parâmetros!C:C,_xlfn.XLOOKUP(Base!M292,Parâmetros!G:G,Parâmetros!H:H))</f>
        <v>QUALIDADE DOS DADOS</v>
      </c>
      <c r="P295" s="1" t="str">
        <f>_xlfn.XLOOKUP(I295,Parâmetros!A:A,Parâmetros!D:D,_xlfn.XLOOKUP(Q295,Parâmetros!F:F,Parâmetros!I:I))</f>
        <v>OPERAÇÕES / SUPORTE KCS</v>
      </c>
      <c r="Q295" s="1">
        <f t="shared" si="9"/>
        <v>127</v>
      </c>
    </row>
    <row r="296" spans="1:17" x14ac:dyDescent="0.25">
      <c r="A296" s="1" t="str">
        <f>_xlfn.XLOOKUP(D296,'Novo relatório'!B:B,'Novo relatório'!C:C,"RESOLVIDO")</f>
        <v>TMS</v>
      </c>
      <c r="C296" t="str">
        <f t="shared" si="8"/>
        <v>PENDENTE</v>
      </c>
      <c r="D296" s="1">
        <v>3178776</v>
      </c>
      <c r="E296" s="1" t="s">
        <v>12</v>
      </c>
      <c r="F296" s="2">
        <v>45671.382638888892</v>
      </c>
      <c r="G296" s="1">
        <v>454</v>
      </c>
      <c r="H296" s="1">
        <v>454</v>
      </c>
      <c r="I296" s="1" t="s">
        <v>928</v>
      </c>
      <c r="J296" s="2">
        <v>45671.38958333333</v>
      </c>
      <c r="K296" s="2">
        <v>45674.951388888891</v>
      </c>
      <c r="L296" s="1" t="s">
        <v>14</v>
      </c>
      <c r="M296" s="1" t="str">
        <f>_xlfn.XLOOKUP(I296,Parâmetros!A:A,Parâmetros!B:B,_xlfn.XLOOKUP(Q296,Parâmetros!F:F,Parâmetros!G:G,"NOVA MENSAGEM"))</f>
        <v>ASSENTO / BAGAGEM</v>
      </c>
      <c r="N296" s="1" t="str">
        <f>_xlfn.XLOOKUP(M296,Parâmetros!K:K,Parâmetros!L:L,"")</f>
        <v>CAMPO OBSERVAÇÃO PREENCHIDO INCORRETAMENTE</v>
      </c>
      <c r="O296" s="1" t="str">
        <f>_xlfn.XLOOKUP(M296,Parâmetros!B:B,Parâmetros!C:C,_xlfn.XLOOKUP(Base!M293,Parâmetros!G:G,Parâmetros!H:H))</f>
        <v>QUALIDADE DOS DADOS</v>
      </c>
      <c r="P296" s="1" t="str">
        <f>_xlfn.XLOOKUP(I296,Parâmetros!A:A,Parâmetros!D:D,_xlfn.XLOOKUP(Q296,Parâmetros!F:F,Parâmetros!I:I))</f>
        <v>OPERAÇÕES / SUPORTE KCS</v>
      </c>
      <c r="Q296" s="1">
        <f t="shared" si="9"/>
        <v>127</v>
      </c>
    </row>
    <row r="297" spans="1:17" x14ac:dyDescent="0.25">
      <c r="A297" s="1" t="str">
        <f>_xlfn.XLOOKUP(D297,'Novo relatório'!B:B,'Novo relatório'!C:C,"RESOLVIDO")</f>
        <v>TMS</v>
      </c>
      <c r="C297" t="str">
        <f t="shared" si="8"/>
        <v>PENDENTE</v>
      </c>
      <c r="D297" s="1">
        <v>3178777</v>
      </c>
      <c r="E297" s="1" t="s">
        <v>12</v>
      </c>
      <c r="F297" s="2">
        <v>45671.381944444445</v>
      </c>
      <c r="G297" s="1">
        <v>452</v>
      </c>
      <c r="H297" s="1">
        <v>452</v>
      </c>
      <c r="I297" s="1" t="s">
        <v>928</v>
      </c>
      <c r="J297" s="2">
        <v>45671.38958333333</v>
      </c>
      <c r="K297" s="2">
        <v>45674.951388888891</v>
      </c>
      <c r="L297" s="1" t="s">
        <v>14</v>
      </c>
      <c r="M297" s="1" t="str">
        <f>_xlfn.XLOOKUP(I297,Parâmetros!A:A,Parâmetros!B:B,_xlfn.XLOOKUP(Q297,Parâmetros!F:F,Parâmetros!G:G,"NOVA MENSAGEM"))</f>
        <v>ASSENTO / BAGAGEM</v>
      </c>
      <c r="N297" s="1" t="str">
        <f>_xlfn.XLOOKUP(M297,Parâmetros!K:K,Parâmetros!L:L,"")</f>
        <v>CAMPO OBSERVAÇÃO PREENCHIDO INCORRETAMENTE</v>
      </c>
      <c r="O297" s="1" t="str">
        <f>_xlfn.XLOOKUP(M297,Parâmetros!B:B,Parâmetros!C:C,_xlfn.XLOOKUP(Base!M294,Parâmetros!G:G,Parâmetros!H:H))</f>
        <v>QUALIDADE DOS DADOS</v>
      </c>
      <c r="P297" s="1" t="str">
        <f>_xlfn.XLOOKUP(I297,Parâmetros!A:A,Parâmetros!D:D,_xlfn.XLOOKUP(Q297,Parâmetros!F:F,Parâmetros!I:I))</f>
        <v>OPERAÇÕES / SUPORTE KCS</v>
      </c>
      <c r="Q297" s="1">
        <f t="shared" si="9"/>
        <v>127</v>
      </c>
    </row>
    <row r="298" spans="1:17" x14ac:dyDescent="0.25">
      <c r="A298" s="1" t="str">
        <f>_xlfn.XLOOKUP(D298,'Novo relatório'!B:B,'Novo relatório'!C:C,"RESOLVIDO")</f>
        <v>RESOLVIDO</v>
      </c>
      <c r="C298" t="str">
        <f t="shared" si="8"/>
        <v>RESOLVIDO</v>
      </c>
      <c r="D298" s="1">
        <v>3178964</v>
      </c>
      <c r="E298" s="1" t="s">
        <v>26</v>
      </c>
      <c r="F298" s="2">
        <v>45671.552083333336</v>
      </c>
      <c r="G298" s="1" t="s">
        <v>740</v>
      </c>
      <c r="H298" s="1" t="s">
        <v>740</v>
      </c>
      <c r="I298" s="1" t="s">
        <v>394</v>
      </c>
      <c r="J298" s="2">
        <v>45671.459722222222</v>
      </c>
      <c r="K298" s="2">
        <v>45671.679166666669</v>
      </c>
      <c r="L298" s="1" t="s">
        <v>18</v>
      </c>
      <c r="M298" s="1" t="str">
        <f>_xlfn.XLOOKUP(I298,Parâmetros!A:A,Parâmetros!B:B,_xlfn.XLOOKUP(Q298,Parâmetros!F:F,Parâmetros!G:G,"NOVA MENSAGEM"))</f>
        <v>REMARK - CNPJ</v>
      </c>
      <c r="N298" s="1" t="str">
        <f>_xlfn.XLOOKUP(M298,Parâmetros!K:K,Parâmetros!L:L,"")</f>
        <v/>
      </c>
      <c r="O298" s="1" t="str">
        <f>_xlfn.XLOOKUP(M298,Parâmetros!B:B,Parâmetros!C:C,_xlfn.XLOOKUP(Base!M295,Parâmetros!G:G,Parâmetros!H:H))</f>
        <v>QUALIDADE DOS DADOS</v>
      </c>
      <c r="P298" s="1" t="str">
        <f>_xlfn.XLOOKUP(I298,Parâmetros!A:A,Parâmetros!D:D,_xlfn.XLOOKUP(Q298,Parâmetros!F:F,Parâmetros!I:I))</f>
        <v>OPERAÇÕES / SUPORTE KCS</v>
      </c>
      <c r="Q298" s="1">
        <f t="shared" si="9"/>
        <v>24</v>
      </c>
    </row>
    <row r="299" spans="1:17" x14ac:dyDescent="0.25">
      <c r="A299" s="1" t="str">
        <f>_xlfn.XLOOKUP(D299,'Novo relatório'!B:B,'Novo relatório'!C:C,"RESOLVIDO")</f>
        <v>RESOLVIDO</v>
      </c>
      <c r="C299" t="str">
        <f t="shared" si="8"/>
        <v>RESOLVIDO</v>
      </c>
      <c r="D299" s="1">
        <v>3179894</v>
      </c>
      <c r="E299" s="1" t="s">
        <v>26</v>
      </c>
      <c r="F299" s="2">
        <v>45671.552083333336</v>
      </c>
      <c r="G299" s="1" t="s">
        <v>909</v>
      </c>
      <c r="H299" s="1" t="s">
        <v>909</v>
      </c>
      <c r="I299" s="1" t="s">
        <v>396</v>
      </c>
      <c r="J299" s="2">
        <v>45671.680555555555</v>
      </c>
      <c r="K299" s="2"/>
      <c r="L299" s="1" t="s">
        <v>18</v>
      </c>
      <c r="M299" s="1" t="str">
        <f>_xlfn.XLOOKUP(I299,Parâmetros!A:A,Parâmetros!B:B,_xlfn.XLOOKUP(Q299,Parâmetros!F:F,Parâmetros!G:G,"NOVA MENSAGEM"))</f>
        <v>CÓD. CLIENTE DIVERGENTE</v>
      </c>
      <c r="N299" s="1" t="str">
        <f>_xlfn.XLOOKUP(M299,Parâmetros!K:K,Parâmetros!L:L,"")</f>
        <v>CÓDIGO DIFERENTE DO CADASTRADO NO BENNER (CLIENTE X GRUPO)</v>
      </c>
      <c r="O299" s="1" t="str">
        <f>_xlfn.XLOOKUP(M299,Parâmetros!B:B,Parâmetros!C:C,_xlfn.XLOOKUP(Base!M296,Parâmetros!G:G,Parâmetros!H:H))</f>
        <v>QUALIDADE DOS DADOS</v>
      </c>
      <c r="P299" s="1" t="str">
        <f>_xlfn.XLOOKUP(I299,Parâmetros!A:A,Parâmetros!D:D,_xlfn.XLOOKUP(Q299,Parâmetros!F:F,Parâmetros!I:I))</f>
        <v>SUPORTE OBT</v>
      </c>
      <c r="Q299" s="1">
        <f t="shared" si="9"/>
        <v>1</v>
      </c>
    </row>
    <row r="300" spans="1:17" x14ac:dyDescent="0.25">
      <c r="A300" s="1" t="str">
        <f>_xlfn.XLOOKUP(D300,'Novo relatório'!B:B,'Novo relatório'!C:C,"RESOLVIDO")</f>
        <v>RESOLVIDO</v>
      </c>
      <c r="C300" t="str">
        <f t="shared" si="8"/>
        <v>RESOLVIDO</v>
      </c>
      <c r="D300" s="1">
        <v>3179899</v>
      </c>
      <c r="E300" s="1" t="s">
        <v>26</v>
      </c>
      <c r="F300" s="2">
        <v>45671.552083333336</v>
      </c>
      <c r="G300" s="1" t="s">
        <v>771</v>
      </c>
      <c r="H300" s="1" t="s">
        <v>771</v>
      </c>
      <c r="I300" s="1" t="s">
        <v>621</v>
      </c>
      <c r="J300" s="2">
        <v>45671.681250000001</v>
      </c>
      <c r="K300" s="2"/>
      <c r="L300" s="1" t="s">
        <v>18</v>
      </c>
      <c r="M300" s="1" t="str">
        <f>_xlfn.XLOOKUP(I300,Parâmetros!A:A,Parâmetros!B:B,_xlfn.XLOOKUP(Q300,Parâmetros!F:F,Parâmetros!G:G,"NOVA MENSAGEM"))</f>
        <v>REMARK - CNPJ</v>
      </c>
      <c r="N300" s="1" t="str">
        <f>_xlfn.XLOOKUP(M300,Parâmetros!K:K,Parâmetros!L:L,"")</f>
        <v/>
      </c>
      <c r="O300" s="1" t="str">
        <f>_xlfn.XLOOKUP(M300,Parâmetros!B:B,Parâmetros!C:C,_xlfn.XLOOKUP(Base!M297,Parâmetros!G:G,Parâmetros!H:H))</f>
        <v>QUALIDADE DOS DADOS</v>
      </c>
      <c r="P300" s="1" t="str">
        <f>_xlfn.XLOOKUP(I300,Parâmetros!A:A,Parâmetros!D:D,_xlfn.XLOOKUP(Q300,Parâmetros!F:F,Parâmetros!I:I))</f>
        <v>OPERAÇÕES / SUPORTE KCS</v>
      </c>
      <c r="Q300" s="1">
        <f t="shared" si="9"/>
        <v>24</v>
      </c>
    </row>
    <row r="301" spans="1:17" x14ac:dyDescent="0.25">
      <c r="A301" s="1" t="str">
        <f>_xlfn.XLOOKUP(D301,'Novo relatório'!B:B,'Novo relatório'!C:C,"RESOLVIDO")</f>
        <v>RESOLVIDO</v>
      </c>
      <c r="C301" t="str">
        <f t="shared" si="8"/>
        <v>RESOLVIDO</v>
      </c>
      <c r="D301" s="1">
        <v>3180489</v>
      </c>
      <c r="E301" s="1" t="s">
        <v>26</v>
      </c>
      <c r="F301" s="2">
        <v>45671.60833333333</v>
      </c>
      <c r="G301" s="1" t="s">
        <v>694</v>
      </c>
      <c r="H301" s="1" t="s">
        <v>695</v>
      </c>
      <c r="I301" s="1" t="s">
        <v>166</v>
      </c>
      <c r="J301" s="2">
        <v>45671.743055555555</v>
      </c>
      <c r="L301" s="1" t="s">
        <v>19</v>
      </c>
      <c r="M301" s="1" t="str">
        <f>_xlfn.XLOOKUP(I301,Parâmetros!A:A,Parâmetros!B:B,_xlfn.XLOOKUP(Q301,Parâmetros!F:F,Parâmetros!G:G,"NOVA MENSAGEM"))</f>
        <v>CONTRATO FORNECEDOR</v>
      </c>
      <c r="N301" s="1" t="str">
        <f>_xlfn.XLOOKUP(M301,Parâmetros!K:K,Parâmetros!L:L,"")</f>
        <v>CONTRATO INATIVO OU DIVERGENTE</v>
      </c>
      <c r="O301" s="1" t="str">
        <f>_xlfn.XLOOKUP(M301,Parâmetros!B:B,Parâmetros!C:C,_xlfn.XLOOKUP(Base!M298,Parâmetros!G:G,Parâmetros!H:H))</f>
        <v>SISTEMA</v>
      </c>
      <c r="P301" s="1" t="str">
        <f>_xlfn.XLOOKUP(I301,Parâmetros!A:A,Parâmetros!D:D,_xlfn.XLOOKUP(Q301,Parâmetros!F:F,Parâmetros!I:I))</f>
        <v>OPERAÇÕES / SUPORTE KCS</v>
      </c>
      <c r="Q301" s="1">
        <f t="shared" si="9"/>
        <v>43</v>
      </c>
    </row>
    <row r="302" spans="1:17" x14ac:dyDescent="0.25">
      <c r="A302" s="1" t="str">
        <f>_xlfn.XLOOKUP(D302,'Novo relatório'!B:B,'Novo relatório'!C:C,"RESOLVIDO")</f>
        <v>RESOLVIDO</v>
      </c>
      <c r="C302" t="str">
        <f t="shared" si="8"/>
        <v>RESOLVIDO</v>
      </c>
      <c r="D302" s="1">
        <v>3180534</v>
      </c>
      <c r="E302" s="1" t="s">
        <v>26</v>
      </c>
      <c r="F302" s="2">
        <v>45671.632638888892</v>
      </c>
      <c r="G302" s="1" t="s">
        <v>701</v>
      </c>
      <c r="H302" s="1" t="s">
        <v>701</v>
      </c>
      <c r="I302" s="1" t="s">
        <v>621</v>
      </c>
      <c r="J302" s="2">
        <v>45671.763194444444</v>
      </c>
      <c r="L302" s="1" t="s">
        <v>18</v>
      </c>
      <c r="M302" s="1" t="str">
        <f>_xlfn.XLOOKUP(I302,Parâmetros!A:A,Parâmetros!B:B,_xlfn.XLOOKUP(Q302,Parâmetros!F:F,Parâmetros!G:G,"NOVA MENSAGEM"))</f>
        <v>REMARK - CNPJ</v>
      </c>
      <c r="N302" s="1" t="str">
        <f>_xlfn.XLOOKUP(M302,Parâmetros!K:K,Parâmetros!L:L,"")</f>
        <v/>
      </c>
      <c r="O302" s="1" t="str">
        <f>_xlfn.XLOOKUP(M302,Parâmetros!B:B,Parâmetros!C:C,_xlfn.XLOOKUP(Base!M299,Parâmetros!G:G,Parâmetros!H:H))</f>
        <v>QUALIDADE DOS DADOS</v>
      </c>
      <c r="P302" s="1" t="str">
        <f>_xlfn.XLOOKUP(I302,Parâmetros!A:A,Parâmetros!D:D,_xlfn.XLOOKUP(Q302,Parâmetros!F:F,Parâmetros!I:I))</f>
        <v>OPERAÇÕES / SUPORTE KCS</v>
      </c>
      <c r="Q302" s="1">
        <f t="shared" si="9"/>
        <v>24</v>
      </c>
    </row>
    <row r="303" spans="1:17" x14ac:dyDescent="0.25">
      <c r="A303" s="1" t="str">
        <f>_xlfn.XLOOKUP(D303,'Novo relatório'!B:B,'Novo relatório'!C:C,"RESOLVIDO")</f>
        <v>GOVER</v>
      </c>
      <c r="C303" t="str">
        <f t="shared" si="8"/>
        <v>PENDENTE</v>
      </c>
      <c r="D303" s="1">
        <v>3180572</v>
      </c>
      <c r="E303" s="1" t="s">
        <v>24</v>
      </c>
      <c r="F303" s="2">
        <v>45667.45416666667</v>
      </c>
      <c r="G303" s="1">
        <v>4471995</v>
      </c>
      <c r="H303" s="1" t="s">
        <v>931</v>
      </c>
      <c r="I303" s="1" t="s">
        <v>932</v>
      </c>
      <c r="J303" s="2">
        <v>45671.78125</v>
      </c>
      <c r="K303" s="2">
        <v>45699.412499999999</v>
      </c>
      <c r="L303" s="1" t="s">
        <v>19</v>
      </c>
      <c r="M303" s="1" t="str">
        <f>_xlfn.XLOOKUP(I303,Parâmetros!A:A,Parâmetros!B:B,_xlfn.XLOOKUP(Q303,Parâmetros!F:F,Parâmetros!G:G,"NOVA MENSAGEM"))</f>
        <v>CONTRATO FORNECEDOR</v>
      </c>
      <c r="N303" s="1" t="str">
        <f>_xlfn.XLOOKUP(M303,Parâmetros!K:K,Parâmetros!L:L,"")</f>
        <v>CONTRATO INATIVO OU DIVERGENTE</v>
      </c>
      <c r="O303" s="1" t="str">
        <f>_xlfn.XLOOKUP(M303,Parâmetros!B:B,Parâmetros!C:C,_xlfn.XLOOKUP(Base!M300,Parâmetros!G:G,Parâmetros!H:H))</f>
        <v>SISTEMA</v>
      </c>
      <c r="P303" s="1" t="str">
        <f>_xlfn.XLOOKUP(I303,Parâmetros!A:A,Parâmetros!D:D,_xlfn.XLOOKUP(Q303,Parâmetros!F:F,Parâmetros!I:I))</f>
        <v>OPERAÇÕES / SUPORTE KCS</v>
      </c>
      <c r="Q303" s="1">
        <f t="shared" si="9"/>
        <v>43</v>
      </c>
    </row>
    <row r="304" spans="1:17" x14ac:dyDescent="0.25">
      <c r="A304" s="1" t="str">
        <f>_xlfn.XLOOKUP(D304,'Novo relatório'!B:B,'Novo relatório'!C:C,"RESOLVIDO")</f>
        <v>RESOLVIDO</v>
      </c>
      <c r="C304" t="str">
        <f t="shared" si="8"/>
        <v>RESOLVIDO</v>
      </c>
      <c r="D304" s="1">
        <v>3180642</v>
      </c>
      <c r="E304" s="1" t="s">
        <v>26</v>
      </c>
      <c r="F304" s="2">
        <v>45677.722916666666</v>
      </c>
      <c r="G304" s="1" t="s">
        <v>911</v>
      </c>
      <c r="H304" s="1" t="s">
        <v>911</v>
      </c>
      <c r="I304" s="1" t="s">
        <v>588</v>
      </c>
      <c r="J304" s="2">
        <v>45671.845833333333</v>
      </c>
      <c r="K304" s="2">
        <v>45677.856944444444</v>
      </c>
      <c r="L304" s="1" t="s">
        <v>14</v>
      </c>
      <c r="M304" s="1" t="str">
        <f>_xlfn.XLOOKUP(I304,Parâmetros!A:A,Parâmetros!B:B,_xlfn.XLOOKUP(Q304,Parâmetros!F:F,Parâmetros!G:G,"NOVA MENSAGEM"))</f>
        <v>ERRO NO XML</v>
      </c>
      <c r="N304" s="1" t="str">
        <f>_xlfn.XLOOKUP(M304,Parâmetros!K:K,Parâmetros!L:L,"")</f>
        <v/>
      </c>
      <c r="O304" s="1" t="str">
        <f>_xlfn.XLOOKUP(M304,Parâmetros!B:B,Parâmetros!C:C,_xlfn.XLOOKUP(Base!M301,Parâmetros!G:G,Parâmetros!H:H))</f>
        <v>SISTEMA</v>
      </c>
      <c r="P304" s="1" t="str">
        <f>_xlfn.XLOOKUP(I304,Parâmetros!A:A,Parâmetros!D:D,_xlfn.XLOOKUP(Q304,Parâmetros!F:F,Parâmetros!I:I))</f>
        <v>SUPORTE OBT</v>
      </c>
      <c r="Q304" s="1" t="str">
        <f t="shared" si="9"/>
        <v>COLUNA I</v>
      </c>
    </row>
    <row r="305" spans="1:17" x14ac:dyDescent="0.25">
      <c r="A305" s="1" t="str">
        <f>_xlfn.XLOOKUP(D305,'Novo relatório'!B:B,'Novo relatório'!C:C,"RESOLVIDO")</f>
        <v>RESOLVIDO</v>
      </c>
      <c r="C305" t="str">
        <f t="shared" si="8"/>
        <v>RESOLVIDO</v>
      </c>
      <c r="D305" s="1">
        <v>3180643</v>
      </c>
      <c r="E305" s="1" t="s">
        <v>26</v>
      </c>
      <c r="F305" s="2">
        <v>45671.711805555555</v>
      </c>
      <c r="G305" s="1" t="s">
        <v>774</v>
      </c>
      <c r="H305" s="1" t="s">
        <v>774</v>
      </c>
      <c r="I305" s="1" t="s">
        <v>410</v>
      </c>
      <c r="J305" s="2">
        <v>45671.845833333333</v>
      </c>
      <c r="K305" s="2"/>
      <c r="L305" s="1" t="s">
        <v>18</v>
      </c>
      <c r="M305" s="1" t="str">
        <f>_xlfn.XLOOKUP(I305,Parâmetros!A:A,Parâmetros!B:B,_xlfn.XLOOKUP(Q305,Parâmetros!F:F,Parâmetros!G:G,"NOVA MENSAGEM"))</f>
        <v>CÓD. CLIENTE DIVERGENTE</v>
      </c>
      <c r="N305" s="1" t="str">
        <f>_xlfn.XLOOKUP(M305,Parâmetros!K:K,Parâmetros!L:L,"")</f>
        <v>CÓDIGO DIFERENTE DO CADASTRADO NO BENNER (CLIENTE X GRUPO)</v>
      </c>
      <c r="O305" s="1" t="str">
        <f>_xlfn.XLOOKUP(M305,Parâmetros!B:B,Parâmetros!C:C,_xlfn.XLOOKUP(Base!M302,Parâmetros!G:G,Parâmetros!H:H))</f>
        <v>QUALIDADE DOS DADOS</v>
      </c>
      <c r="P305" s="1" t="str">
        <f>_xlfn.XLOOKUP(I305,Parâmetros!A:A,Parâmetros!D:D,_xlfn.XLOOKUP(Q305,Parâmetros!F:F,Parâmetros!I:I))</f>
        <v>SUPORTE OBT</v>
      </c>
      <c r="Q305" s="1">
        <f t="shared" si="9"/>
        <v>1</v>
      </c>
    </row>
    <row r="306" spans="1:17" x14ac:dyDescent="0.25">
      <c r="A306" s="1" t="str">
        <f>_xlfn.XLOOKUP(D306,'Novo relatório'!B:B,'Novo relatório'!C:C,"RESOLVIDO")</f>
        <v>RESOLVIDO</v>
      </c>
      <c r="C306" t="str">
        <f t="shared" si="8"/>
        <v>RESOLVIDO</v>
      </c>
      <c r="D306" s="1">
        <v>3180644</v>
      </c>
      <c r="E306" s="1" t="s">
        <v>26</v>
      </c>
      <c r="F306" s="2">
        <v>45671.711805555555</v>
      </c>
      <c r="G306" s="1" t="s">
        <v>907</v>
      </c>
      <c r="H306" s="1" t="s">
        <v>907</v>
      </c>
      <c r="I306" s="1" t="s">
        <v>83</v>
      </c>
      <c r="J306" s="2">
        <v>45671.845833333333</v>
      </c>
      <c r="K306" s="2"/>
      <c r="L306" s="1" t="s">
        <v>18</v>
      </c>
      <c r="M306" s="1" t="str">
        <f>_xlfn.XLOOKUP(I306,Parâmetros!A:A,Parâmetros!B:B,_xlfn.XLOOKUP(Q306,Parâmetros!F:F,Parâmetros!G:G,"NOVA MENSAGEM"))</f>
        <v>CLIENTE NÃO IDENTIFICADO</v>
      </c>
      <c r="N306" s="1" t="str">
        <f>_xlfn.XLOOKUP(M306,Parâmetros!K:K,Parâmetros!L:L,"")</f>
        <v>DK DE CLIENTE NÃO PREENCIDO / CLIENTE NÃO CONFIGURADO NO OBT</v>
      </c>
      <c r="O306" s="1" t="str">
        <f>_xlfn.XLOOKUP(M306,Parâmetros!B:B,Parâmetros!C:C,_xlfn.XLOOKUP(Base!M303,Parâmetros!G:G,Parâmetros!H:H))</f>
        <v>INDEFINIDO</v>
      </c>
      <c r="P306" s="1" t="str">
        <f>_xlfn.XLOOKUP(I306,Parâmetros!A:A,Parâmetros!D:D,_xlfn.XLOOKUP(Q306,Parâmetros!F:F,Parâmetros!I:I))</f>
        <v>OPERAÇÕES / SUPORTE KCS</v>
      </c>
      <c r="Q306" s="1" t="str">
        <f t="shared" si="9"/>
        <v>COLUNA I</v>
      </c>
    </row>
    <row r="307" spans="1:17" x14ac:dyDescent="0.25">
      <c r="A307" s="1" t="str">
        <f>_xlfn.XLOOKUP(D307,'Novo relatório'!B:B,'Novo relatório'!C:C,"RESOLVIDO")</f>
        <v>RESOLVIDO</v>
      </c>
      <c r="C307" t="str">
        <f t="shared" si="8"/>
        <v>RESOLVIDO</v>
      </c>
      <c r="D307" s="1">
        <v>3181775</v>
      </c>
      <c r="E307" s="1" t="s">
        <v>26</v>
      </c>
      <c r="F307" s="2">
        <v>45672.347222222219</v>
      </c>
      <c r="G307" s="1" t="s">
        <v>734</v>
      </c>
      <c r="H307" s="1" t="s">
        <v>735</v>
      </c>
      <c r="I307" s="1" t="s">
        <v>166</v>
      </c>
      <c r="J307" s="2">
        <v>45672.481944444444</v>
      </c>
      <c r="L307" s="1" t="s">
        <v>19</v>
      </c>
      <c r="M307" s="1" t="str">
        <f>_xlfn.XLOOKUP(I307,Parâmetros!A:A,Parâmetros!B:B,_xlfn.XLOOKUP(Q307,Parâmetros!F:F,Parâmetros!G:G,"NOVA MENSAGEM"))</f>
        <v>CONTRATO FORNECEDOR</v>
      </c>
      <c r="N307" s="1" t="str">
        <f>_xlfn.XLOOKUP(M307,Parâmetros!K:K,Parâmetros!L:L,"")</f>
        <v>CONTRATO INATIVO OU DIVERGENTE</v>
      </c>
      <c r="O307" s="1" t="str">
        <f>_xlfn.XLOOKUP(M307,Parâmetros!B:B,Parâmetros!C:C,_xlfn.XLOOKUP(Base!M304,Parâmetros!G:G,Parâmetros!H:H))</f>
        <v>SISTEMA</v>
      </c>
      <c r="P307" s="1" t="str">
        <f>_xlfn.XLOOKUP(I307,Parâmetros!A:A,Parâmetros!D:D,_xlfn.XLOOKUP(Q307,Parâmetros!F:F,Parâmetros!I:I))</f>
        <v>OPERAÇÕES / SUPORTE KCS</v>
      </c>
      <c r="Q307" s="1">
        <f t="shared" si="9"/>
        <v>43</v>
      </c>
    </row>
    <row r="308" spans="1:17" x14ac:dyDescent="0.25">
      <c r="A308" s="1" t="str">
        <f>_xlfn.XLOOKUP(D308,'Novo relatório'!B:B,'Novo relatório'!C:C,"RESOLVIDO")</f>
        <v>RESOLVIDO</v>
      </c>
      <c r="C308" t="str">
        <f t="shared" si="8"/>
        <v>RESOLVIDO</v>
      </c>
      <c r="D308" s="1">
        <v>3183041</v>
      </c>
      <c r="E308" s="1" t="s">
        <v>26</v>
      </c>
      <c r="F308" s="2">
        <v>45672.593055555553</v>
      </c>
      <c r="G308" s="1" t="s">
        <v>736</v>
      </c>
      <c r="H308" s="1" t="s">
        <v>736</v>
      </c>
      <c r="I308" s="1" t="s">
        <v>394</v>
      </c>
      <c r="J308" s="2">
        <v>45672.722222222219</v>
      </c>
      <c r="L308" s="1" t="s">
        <v>18</v>
      </c>
      <c r="M308" s="1" t="str">
        <f>_xlfn.XLOOKUP(I308,Parâmetros!A:A,Parâmetros!B:B,_xlfn.XLOOKUP(Q308,Parâmetros!F:F,Parâmetros!G:G,"NOVA MENSAGEM"))</f>
        <v>REMARK - CNPJ</v>
      </c>
      <c r="N308" s="1" t="str">
        <f>_xlfn.XLOOKUP(M308,Parâmetros!K:K,Parâmetros!L:L,"")</f>
        <v/>
      </c>
      <c r="O308" s="1" t="str">
        <f>_xlfn.XLOOKUP(M308,Parâmetros!B:B,Parâmetros!C:C,_xlfn.XLOOKUP(Base!M305,Parâmetros!G:G,Parâmetros!H:H))</f>
        <v>QUALIDADE DOS DADOS</v>
      </c>
      <c r="P308" s="1" t="str">
        <f>_xlfn.XLOOKUP(I308,Parâmetros!A:A,Parâmetros!D:D,_xlfn.XLOOKUP(Q308,Parâmetros!F:F,Parâmetros!I:I))</f>
        <v>OPERAÇÕES / SUPORTE KCS</v>
      </c>
      <c r="Q308" s="1">
        <f t="shared" si="9"/>
        <v>24</v>
      </c>
    </row>
    <row r="309" spans="1:17" x14ac:dyDescent="0.25">
      <c r="A309" s="1" t="str">
        <f>_xlfn.XLOOKUP(D309,'Novo relatório'!B:B,'Novo relatório'!C:C,"RESOLVIDO")</f>
        <v>RESOLVIDO</v>
      </c>
      <c r="C309" t="str">
        <f t="shared" si="8"/>
        <v>RESOLVIDO</v>
      </c>
      <c r="D309" s="1">
        <v>3183044</v>
      </c>
      <c r="E309" s="1" t="s">
        <v>26</v>
      </c>
      <c r="F309" s="2">
        <v>45672.593055555553</v>
      </c>
      <c r="G309" s="1" t="s">
        <v>789</v>
      </c>
      <c r="H309" s="1" t="s">
        <v>789</v>
      </c>
      <c r="I309" s="1" t="s">
        <v>394</v>
      </c>
      <c r="J309" s="2">
        <v>45672.722916666666</v>
      </c>
      <c r="K309" s="2"/>
      <c r="L309" s="1" t="s">
        <v>18</v>
      </c>
      <c r="M309" s="1" t="str">
        <f>_xlfn.XLOOKUP(I309,Parâmetros!A:A,Parâmetros!B:B,_xlfn.XLOOKUP(Q309,Parâmetros!F:F,Parâmetros!G:G,"NOVA MENSAGEM"))</f>
        <v>REMARK - CNPJ</v>
      </c>
      <c r="N309" s="1" t="str">
        <f>_xlfn.XLOOKUP(M309,Parâmetros!K:K,Parâmetros!L:L,"")</f>
        <v/>
      </c>
      <c r="O309" s="1" t="e">
        <f>_xlfn.XLOOKUP(M309,Parâmetros!B:B,Parâmetros!C:C,_xlfn.XLOOKUP(Base!M306,Parâmetros!G:G,Parâmetros!H:H))</f>
        <v>#N/A</v>
      </c>
      <c r="P309" s="1" t="str">
        <f>_xlfn.XLOOKUP(I309,Parâmetros!A:A,Parâmetros!D:D,_xlfn.XLOOKUP(Q309,Parâmetros!F:F,Parâmetros!I:I))</f>
        <v>OPERAÇÕES / SUPORTE KCS</v>
      </c>
      <c r="Q309" s="1">
        <f t="shared" si="9"/>
        <v>24</v>
      </c>
    </row>
    <row r="310" spans="1:17" x14ac:dyDescent="0.25">
      <c r="A310" s="1" t="str">
        <f>_xlfn.XLOOKUP(D310,'Novo relatório'!B:B,'Novo relatório'!C:C,"RESOLVIDO")</f>
        <v>RESOLVIDO</v>
      </c>
      <c r="C310" t="str">
        <f t="shared" si="8"/>
        <v>RESOLVIDO</v>
      </c>
      <c r="D310" s="1">
        <v>3183083</v>
      </c>
      <c r="E310" s="1" t="s">
        <v>26</v>
      </c>
      <c r="F310" s="2">
        <v>45672.593055555553</v>
      </c>
      <c r="G310" s="1" t="s">
        <v>894</v>
      </c>
      <c r="H310" s="1" t="s">
        <v>894</v>
      </c>
      <c r="I310" s="1" t="s">
        <v>396</v>
      </c>
      <c r="J310" s="2">
        <v>45672.725694444445</v>
      </c>
      <c r="K310" s="2"/>
      <c r="L310" s="1" t="s">
        <v>18</v>
      </c>
      <c r="M310" s="1" t="str">
        <f>_xlfn.XLOOKUP(I310,Parâmetros!A:A,Parâmetros!B:B,_xlfn.XLOOKUP(Q310,Parâmetros!F:F,Parâmetros!G:G,"NOVA MENSAGEM"))</f>
        <v>CÓD. CLIENTE DIVERGENTE</v>
      </c>
      <c r="N310" s="1" t="str">
        <f>_xlfn.XLOOKUP(M310,Parâmetros!K:K,Parâmetros!L:L,"")</f>
        <v>CÓDIGO DIFERENTE DO CADASTRADO NO BENNER (CLIENTE X GRUPO)</v>
      </c>
      <c r="O310" s="1" t="str">
        <f>_xlfn.XLOOKUP(M310,Parâmetros!B:B,Parâmetros!C:C,_xlfn.XLOOKUP(Base!M307,Parâmetros!G:G,Parâmetros!H:H))</f>
        <v>QUALIDADE DOS DADOS</v>
      </c>
      <c r="P310" s="1" t="str">
        <f>_xlfn.XLOOKUP(I310,Parâmetros!A:A,Parâmetros!D:D,_xlfn.XLOOKUP(Q310,Parâmetros!F:F,Parâmetros!I:I))</f>
        <v>SUPORTE OBT</v>
      </c>
      <c r="Q310" s="1">
        <f t="shared" si="9"/>
        <v>1</v>
      </c>
    </row>
    <row r="311" spans="1:17" x14ac:dyDescent="0.25">
      <c r="A311" s="1" t="str">
        <f>_xlfn.XLOOKUP(D311,'Novo relatório'!B:B,'Novo relatório'!C:C,"RESOLVIDO")</f>
        <v>RESOLVIDO</v>
      </c>
      <c r="C311" t="str">
        <f t="shared" si="8"/>
        <v>RESOLVIDO</v>
      </c>
      <c r="D311" s="1">
        <v>3183101</v>
      </c>
      <c r="E311" s="1" t="s">
        <v>26</v>
      </c>
      <c r="F311" s="2">
        <v>45672.593055555553</v>
      </c>
      <c r="G311" s="1" t="s">
        <v>888</v>
      </c>
      <c r="H311" s="1" t="s">
        <v>888</v>
      </c>
      <c r="I311" s="1" t="s">
        <v>707</v>
      </c>
      <c r="J311" s="2">
        <v>45672.727777777778</v>
      </c>
      <c r="K311" s="2"/>
      <c r="L311" s="1" t="s">
        <v>18</v>
      </c>
      <c r="M311" s="1" t="str">
        <f>_xlfn.XLOOKUP(I311,Parâmetros!A:A,Parâmetros!B:B,_xlfn.XLOOKUP(Q311,Parâmetros!F:F,Parâmetros!G:G,"NOVA MENSAGEM"))</f>
        <v>CÓD. CLIENTE DIVERGENTE</v>
      </c>
      <c r="N311" s="1" t="str">
        <f>_xlfn.XLOOKUP(M311,Parâmetros!K:K,Parâmetros!L:L,"")</f>
        <v>CÓDIGO DIFERENTE DO CADASTRADO NO BENNER (CLIENTE X GRUPO)</v>
      </c>
      <c r="O311" s="1" t="str">
        <f>_xlfn.XLOOKUP(M311,Parâmetros!B:B,Parâmetros!C:C,_xlfn.XLOOKUP(Base!M308,Parâmetros!G:G,Parâmetros!H:H))</f>
        <v>QUALIDADE DOS DADOS</v>
      </c>
      <c r="P311" s="1" t="str">
        <f>_xlfn.XLOOKUP(I311,Parâmetros!A:A,Parâmetros!D:D,_xlfn.XLOOKUP(Q311,Parâmetros!F:F,Parâmetros!I:I))</f>
        <v>SUPORTE OBT</v>
      </c>
      <c r="Q311" s="1">
        <f t="shared" si="9"/>
        <v>1</v>
      </c>
    </row>
    <row r="312" spans="1:17" x14ac:dyDescent="0.25">
      <c r="A312" s="1" t="str">
        <f>_xlfn.XLOOKUP(D312,'Novo relatório'!B:B,'Novo relatório'!C:C,"RESOLVIDO")</f>
        <v>RESOLVIDO</v>
      </c>
      <c r="C312" t="str">
        <f t="shared" si="8"/>
        <v>RESOLVIDO</v>
      </c>
      <c r="D312" s="1">
        <v>3183103</v>
      </c>
      <c r="E312" s="1" t="s">
        <v>26</v>
      </c>
      <c r="F312" s="2">
        <v>45672.599305555559</v>
      </c>
      <c r="G312" s="1" t="s">
        <v>747</v>
      </c>
      <c r="H312" s="1" t="s">
        <v>747</v>
      </c>
      <c r="I312" s="1" t="s">
        <v>394</v>
      </c>
      <c r="J312" s="2">
        <v>45672.728472222225</v>
      </c>
      <c r="K312" s="2">
        <v>45672.741666666669</v>
      </c>
      <c r="L312" s="1" t="s">
        <v>18</v>
      </c>
      <c r="M312" s="1" t="str">
        <f>_xlfn.XLOOKUP(I312,Parâmetros!A:A,Parâmetros!B:B,_xlfn.XLOOKUP(Q312,Parâmetros!F:F,Parâmetros!G:G,"NOVA MENSAGEM"))</f>
        <v>REMARK - CNPJ</v>
      </c>
      <c r="N312" s="1" t="str">
        <f>_xlfn.XLOOKUP(M312,Parâmetros!K:K,Parâmetros!L:L,"")</f>
        <v/>
      </c>
      <c r="O312" s="1" t="str">
        <f>_xlfn.XLOOKUP(M312,Parâmetros!B:B,Parâmetros!C:C,_xlfn.XLOOKUP(Base!M309,Parâmetros!G:G,Parâmetros!H:H))</f>
        <v>QUALIDADE DOS DADOS</v>
      </c>
      <c r="P312" s="1" t="str">
        <f>_xlfn.XLOOKUP(I312,Parâmetros!A:A,Parâmetros!D:D,_xlfn.XLOOKUP(Q312,Parâmetros!F:F,Parâmetros!I:I))</f>
        <v>OPERAÇÕES / SUPORTE KCS</v>
      </c>
      <c r="Q312" s="1">
        <f t="shared" si="9"/>
        <v>24</v>
      </c>
    </row>
    <row r="313" spans="1:17" x14ac:dyDescent="0.25">
      <c r="A313" s="1" t="str">
        <f>_xlfn.XLOOKUP(D313,'Novo relatório'!B:B,'Novo relatório'!C:C,"RESOLVIDO")</f>
        <v>RESOLVIDO</v>
      </c>
      <c r="C313" t="str">
        <f t="shared" si="8"/>
        <v>RESOLVIDO</v>
      </c>
      <c r="D313" s="1">
        <v>3183105</v>
      </c>
      <c r="E313" s="1" t="s">
        <v>26</v>
      </c>
      <c r="F313" s="2">
        <v>45672.593055555553</v>
      </c>
      <c r="G313" s="1" t="s">
        <v>848</v>
      </c>
      <c r="H313" s="1" t="s">
        <v>848</v>
      </c>
      <c r="I313" s="1" t="s">
        <v>849</v>
      </c>
      <c r="J313" s="2">
        <v>45672.728472222225</v>
      </c>
      <c r="K313" s="2"/>
      <c r="L313" s="1" t="s">
        <v>18</v>
      </c>
      <c r="M313" s="1" t="str">
        <f>_xlfn.XLOOKUP(I313,Parâmetros!A:A,Parâmetros!B:B,_xlfn.XLOOKUP(Q313,Parâmetros!F:F,Parâmetros!G:G,"NOVA MENSAGEM"))</f>
        <v>CÓD. CLIENTE DIVERGENTE</v>
      </c>
      <c r="N313" s="1" t="str">
        <f>_xlfn.XLOOKUP(M313,Parâmetros!K:K,Parâmetros!L:L,"")</f>
        <v>CÓDIGO DIFERENTE DO CADASTRADO NO BENNER (CLIENTE X GRUPO)</v>
      </c>
      <c r="O313" s="1" t="str">
        <f>_xlfn.XLOOKUP(M313,Parâmetros!B:B,Parâmetros!C:C,_xlfn.XLOOKUP(Base!M310,Parâmetros!G:G,Parâmetros!H:H))</f>
        <v>QUALIDADE DOS DADOS</v>
      </c>
      <c r="P313" s="1" t="str">
        <f>_xlfn.XLOOKUP(I313,Parâmetros!A:A,Parâmetros!D:D,_xlfn.XLOOKUP(Q313,Parâmetros!F:F,Parâmetros!I:I))</f>
        <v>SUPORTE OBT</v>
      </c>
      <c r="Q313" s="1">
        <f t="shared" si="9"/>
        <v>1</v>
      </c>
    </row>
    <row r="314" spans="1:17" x14ac:dyDescent="0.25">
      <c r="A314" s="1" t="str">
        <f>_xlfn.XLOOKUP(D314,'Novo relatório'!B:B,'Novo relatório'!C:C,"RESOLVIDO")</f>
        <v>RESOLVIDO</v>
      </c>
      <c r="C314" t="str">
        <f t="shared" si="8"/>
        <v>RESOLVIDO</v>
      </c>
      <c r="D314" s="1">
        <v>3183174</v>
      </c>
      <c r="E314" s="1" t="s">
        <v>26</v>
      </c>
      <c r="F314" s="2">
        <v>45672.613888888889</v>
      </c>
      <c r="G314" s="1" t="s">
        <v>769</v>
      </c>
      <c r="H314" s="1" t="s">
        <v>770</v>
      </c>
      <c r="I314" s="1" t="s">
        <v>85</v>
      </c>
      <c r="J314" s="2">
        <v>45672.743750000001</v>
      </c>
      <c r="K314" s="2"/>
      <c r="L314" s="1" t="s">
        <v>18</v>
      </c>
      <c r="M314" s="1" t="str">
        <f>_xlfn.XLOOKUP(I314,Parâmetros!A:A,Parâmetros!B:B,_xlfn.XLOOKUP(Q314,Parâmetros!F:F,Parâmetros!G:G,"NOVA MENSAGEM"))</f>
        <v>CLIENTE NÃO IDENTIFICADO</v>
      </c>
      <c r="N314" s="1" t="str">
        <f>_xlfn.XLOOKUP(M314,Parâmetros!K:K,Parâmetros!L:L,"")</f>
        <v>DK DE CLIENTE NÃO PREENCIDO / CLIENTE NÃO CONFIGURADO NO OBT</v>
      </c>
      <c r="O314" s="1" t="str">
        <f>_xlfn.XLOOKUP(M314,Parâmetros!B:B,Parâmetros!C:C,_xlfn.XLOOKUP(Base!M311,Parâmetros!G:G,Parâmetros!H:H))</f>
        <v>INDEFINIDO</v>
      </c>
      <c r="P314" s="1" t="str">
        <f>_xlfn.XLOOKUP(I314,Parâmetros!A:A,Parâmetros!D:D,_xlfn.XLOOKUP(Q314,Parâmetros!F:F,Parâmetros!I:I))</f>
        <v>OPERAÇÕES / SUPORTE KCS</v>
      </c>
      <c r="Q314" s="1" t="str">
        <f t="shared" si="9"/>
        <v>COLUNA I</v>
      </c>
    </row>
    <row r="315" spans="1:17" x14ac:dyDescent="0.25">
      <c r="A315" s="1" t="str">
        <f>_xlfn.XLOOKUP(D315,'Novo relatório'!B:B,'Novo relatório'!C:C,"RESOLVIDO")</f>
        <v>RESOLVIDO</v>
      </c>
      <c r="C315" t="str">
        <f t="shared" si="8"/>
        <v>RESOLVIDO</v>
      </c>
      <c r="D315" s="1">
        <v>3183289</v>
      </c>
      <c r="E315" s="1" t="s">
        <v>26</v>
      </c>
      <c r="F315" s="2">
        <v>45672.644444444442</v>
      </c>
      <c r="G315" s="1" t="s">
        <v>806</v>
      </c>
      <c r="H315" s="1" t="s">
        <v>807</v>
      </c>
      <c r="I315" s="1" t="s">
        <v>166</v>
      </c>
      <c r="J315" s="2">
        <v>45672.774305555555</v>
      </c>
      <c r="K315" s="2"/>
      <c r="L315" s="1" t="s">
        <v>19</v>
      </c>
      <c r="M315" s="1" t="str">
        <f>_xlfn.XLOOKUP(I315,Parâmetros!A:A,Parâmetros!B:B,_xlfn.XLOOKUP(Q315,Parâmetros!F:F,Parâmetros!G:G,"NOVA MENSAGEM"))</f>
        <v>CONTRATO FORNECEDOR</v>
      </c>
      <c r="N315" s="1" t="str">
        <f>_xlfn.XLOOKUP(M315,Parâmetros!K:K,Parâmetros!L:L,"")</f>
        <v>CONTRATO INATIVO OU DIVERGENTE</v>
      </c>
      <c r="O315" s="1" t="str">
        <f>_xlfn.XLOOKUP(M315,Parâmetros!B:B,Parâmetros!C:C,_xlfn.XLOOKUP(Base!M312,Parâmetros!G:G,Parâmetros!H:H))</f>
        <v>SISTEMA</v>
      </c>
      <c r="P315" s="1" t="str">
        <f>_xlfn.XLOOKUP(I315,Parâmetros!A:A,Parâmetros!D:D,_xlfn.XLOOKUP(Q315,Parâmetros!F:F,Parâmetros!I:I))</f>
        <v>OPERAÇÕES / SUPORTE KCS</v>
      </c>
      <c r="Q315" s="1">
        <f t="shared" si="9"/>
        <v>43</v>
      </c>
    </row>
    <row r="316" spans="1:17" x14ac:dyDescent="0.25">
      <c r="A316" s="1" t="str">
        <f>_xlfn.XLOOKUP(D316,'Novo relatório'!B:B,'Novo relatório'!C:C,"RESOLVIDO")</f>
        <v>RESOLVIDO</v>
      </c>
      <c r="C316" t="str">
        <f t="shared" si="8"/>
        <v>RESOLVIDO</v>
      </c>
      <c r="D316" s="1">
        <v>3183363</v>
      </c>
      <c r="E316" s="1" t="s">
        <v>26</v>
      </c>
      <c r="F316" s="2">
        <v>45723.736805555556</v>
      </c>
      <c r="G316" s="1" t="s">
        <v>1572</v>
      </c>
      <c r="H316" s="1" t="s">
        <v>1572</v>
      </c>
      <c r="I316" s="1" t="s">
        <v>588</v>
      </c>
      <c r="J316" s="2">
        <v>45672.815972222219</v>
      </c>
      <c r="K316" s="2">
        <v>45723.867361111108</v>
      </c>
      <c r="L316" s="1" t="s">
        <v>14</v>
      </c>
      <c r="M316" s="1" t="str">
        <f>_xlfn.XLOOKUP(I316,Parâmetros!A:A,Parâmetros!B:B,_xlfn.XLOOKUP(Q316,Parâmetros!F:F,Parâmetros!G:G,"NOVA MENSAGEM"))</f>
        <v>ERRO NO XML</v>
      </c>
      <c r="N316" s="1" t="str">
        <f>_xlfn.XLOOKUP(M316,Parâmetros!K:K,Parâmetros!L:L,"")</f>
        <v/>
      </c>
      <c r="O316" s="1" t="str">
        <f>_xlfn.XLOOKUP(M316,Parâmetros!B:B,Parâmetros!C:C,_xlfn.XLOOKUP(Base!M968,Parâmetros!G:G,Parâmetros!H:H))</f>
        <v>SISTEMA</v>
      </c>
      <c r="P316" s="1" t="str">
        <f>_xlfn.XLOOKUP(I316,Parâmetros!A:A,Parâmetros!D:D,_xlfn.XLOOKUP(Q316,Parâmetros!F:F,Parâmetros!I:I))</f>
        <v>SUPORTE OBT</v>
      </c>
      <c r="Q316" s="1" t="str">
        <f t="shared" si="9"/>
        <v>COLUNA I</v>
      </c>
    </row>
    <row r="317" spans="1:17" x14ac:dyDescent="0.25">
      <c r="A317" s="1" t="str">
        <f>_xlfn.XLOOKUP(D317,'Novo relatório'!B:B,'Novo relatório'!C:C,"RESOLVIDO")</f>
        <v>RESOLVIDO</v>
      </c>
      <c r="C317" t="str">
        <f t="shared" si="8"/>
        <v>RESOLVIDO</v>
      </c>
      <c r="D317" s="1">
        <v>3183393</v>
      </c>
      <c r="E317" s="1" t="s">
        <v>26</v>
      </c>
      <c r="F317" s="2">
        <v>45672.731249999997</v>
      </c>
      <c r="G317" s="1" t="s">
        <v>723</v>
      </c>
      <c r="H317" s="1" t="s">
        <v>723</v>
      </c>
      <c r="I317" s="1" t="s">
        <v>620</v>
      </c>
      <c r="J317" s="2">
        <v>45672.867361111108</v>
      </c>
      <c r="L317" s="1" t="s">
        <v>18</v>
      </c>
      <c r="M317" s="1" t="str">
        <f>_xlfn.XLOOKUP(I317,Parâmetros!A:A,Parâmetros!B:B,_xlfn.XLOOKUP(Q317,Parâmetros!F:F,Parâmetros!G:G,"NOVA MENSAGEM"))</f>
        <v>CÓD. CLIENTE DIVERGENTE</v>
      </c>
      <c r="N317" s="1" t="str">
        <f>_xlfn.XLOOKUP(M317,Parâmetros!K:K,Parâmetros!L:L,"")</f>
        <v>CÓDIGO DIFERENTE DO CADASTRADO NO BENNER (CLIENTE X GRUPO)</v>
      </c>
      <c r="O317" s="1" t="str">
        <f>_xlfn.XLOOKUP(M317,Parâmetros!B:B,Parâmetros!C:C,_xlfn.XLOOKUP(Base!M313,Parâmetros!G:G,Parâmetros!H:H))</f>
        <v>QUALIDADE DOS DADOS</v>
      </c>
      <c r="P317" s="1" t="str">
        <f>_xlfn.XLOOKUP(I317,Parâmetros!A:A,Parâmetros!D:D,_xlfn.XLOOKUP(Q317,Parâmetros!F:F,Parâmetros!I:I))</f>
        <v>SUPORTE OBT</v>
      </c>
      <c r="Q317" s="1">
        <f t="shared" si="9"/>
        <v>1</v>
      </c>
    </row>
    <row r="318" spans="1:17" x14ac:dyDescent="0.25">
      <c r="A318" s="1" t="str">
        <f>_xlfn.XLOOKUP(D318,'Novo relatório'!B:B,'Novo relatório'!C:C,"RESOLVIDO")</f>
        <v>RESOLVIDO</v>
      </c>
      <c r="C318" t="str">
        <f t="shared" si="8"/>
        <v>RESOLVIDO</v>
      </c>
      <c r="D318" s="1">
        <v>3183395</v>
      </c>
      <c r="E318" s="1" t="s">
        <v>26</v>
      </c>
      <c r="F318" s="2">
        <v>45674.728472222225</v>
      </c>
      <c r="G318" s="1" t="s">
        <v>906</v>
      </c>
      <c r="H318" s="1" t="s">
        <v>906</v>
      </c>
      <c r="I318" s="1" t="s">
        <v>396</v>
      </c>
      <c r="J318" s="2">
        <v>45672.867361111108</v>
      </c>
      <c r="K318" s="2">
        <v>45674.86041666667</v>
      </c>
      <c r="L318" s="1" t="s">
        <v>18</v>
      </c>
      <c r="M318" s="1" t="str">
        <f>_xlfn.XLOOKUP(I318,Parâmetros!A:A,Parâmetros!B:B,_xlfn.XLOOKUP(Q318,Parâmetros!F:F,Parâmetros!G:G,"NOVA MENSAGEM"))</f>
        <v>CÓD. CLIENTE DIVERGENTE</v>
      </c>
      <c r="N318" s="1" t="str">
        <f>_xlfn.XLOOKUP(M318,Parâmetros!K:K,Parâmetros!L:L,"")</f>
        <v>CÓDIGO DIFERENTE DO CADASTRADO NO BENNER (CLIENTE X GRUPO)</v>
      </c>
      <c r="O318" s="1" t="str">
        <f>_xlfn.XLOOKUP(M318,Parâmetros!B:B,Parâmetros!C:C,_xlfn.XLOOKUP(Base!M314,Parâmetros!G:G,Parâmetros!H:H))</f>
        <v>QUALIDADE DOS DADOS</v>
      </c>
      <c r="P318" s="1" t="str">
        <f>_xlfn.XLOOKUP(I318,Parâmetros!A:A,Parâmetros!D:D,_xlfn.XLOOKUP(Q318,Parâmetros!F:F,Parâmetros!I:I))</f>
        <v>SUPORTE OBT</v>
      </c>
      <c r="Q318" s="1">
        <f t="shared" si="9"/>
        <v>1</v>
      </c>
    </row>
    <row r="319" spans="1:17" x14ac:dyDescent="0.25">
      <c r="A319" s="1" t="str">
        <f>_xlfn.XLOOKUP(D319,'Novo relatório'!B:B,'Novo relatório'!C:C,"RESOLVIDO")</f>
        <v>RESOLVIDO</v>
      </c>
      <c r="C319" t="str">
        <f t="shared" si="8"/>
        <v>RESOLVIDO</v>
      </c>
      <c r="D319" s="1">
        <v>3183396</v>
      </c>
      <c r="E319" s="1" t="s">
        <v>26</v>
      </c>
      <c r="F319" s="2">
        <v>45672.731249999997</v>
      </c>
      <c r="G319" s="1" t="s">
        <v>720</v>
      </c>
      <c r="H319" s="1" t="s">
        <v>720</v>
      </c>
      <c r="I319" s="1" t="s">
        <v>396</v>
      </c>
      <c r="J319" s="2">
        <v>45672.868055555555</v>
      </c>
      <c r="L319" s="1" t="s">
        <v>18</v>
      </c>
      <c r="M319" s="1" t="str">
        <f>_xlfn.XLOOKUP(I319,Parâmetros!A:A,Parâmetros!B:B,_xlfn.XLOOKUP(Q319,Parâmetros!F:F,Parâmetros!G:G,"NOVA MENSAGEM"))</f>
        <v>CÓD. CLIENTE DIVERGENTE</v>
      </c>
      <c r="N319" s="1" t="str">
        <f>_xlfn.XLOOKUP(M319,Parâmetros!K:K,Parâmetros!L:L,"")</f>
        <v>CÓDIGO DIFERENTE DO CADASTRADO NO BENNER (CLIENTE X GRUPO)</v>
      </c>
      <c r="O319" s="1" t="str">
        <f>_xlfn.XLOOKUP(M319,Parâmetros!B:B,Parâmetros!C:C,_xlfn.XLOOKUP(Base!M315,Parâmetros!G:G,Parâmetros!H:H))</f>
        <v>QUALIDADE DOS DADOS</v>
      </c>
      <c r="P319" s="1" t="str">
        <f>_xlfn.XLOOKUP(I319,Parâmetros!A:A,Parâmetros!D:D,_xlfn.XLOOKUP(Q319,Parâmetros!F:F,Parâmetros!I:I))</f>
        <v>SUPORTE OBT</v>
      </c>
      <c r="Q319" s="1">
        <f t="shared" si="9"/>
        <v>1</v>
      </c>
    </row>
    <row r="320" spans="1:17" x14ac:dyDescent="0.25">
      <c r="A320" s="1" t="str">
        <f>_xlfn.XLOOKUP(D320,'Novo relatório'!B:B,'Novo relatório'!C:C,"RESOLVIDO")</f>
        <v>RESOLVIDO</v>
      </c>
      <c r="C320" t="str">
        <f t="shared" si="8"/>
        <v>RESOLVIDO</v>
      </c>
      <c r="D320" s="1">
        <v>3183402</v>
      </c>
      <c r="E320" s="1" t="s">
        <v>26</v>
      </c>
      <c r="F320" s="2">
        <v>45672.731249999997</v>
      </c>
      <c r="G320" s="1" t="s">
        <v>690</v>
      </c>
      <c r="H320" s="1" t="s">
        <v>690</v>
      </c>
      <c r="I320" s="1" t="s">
        <v>83</v>
      </c>
      <c r="J320" s="2">
        <v>45672.868055555555</v>
      </c>
      <c r="L320" s="1" t="s">
        <v>18</v>
      </c>
      <c r="M320" s="1" t="str">
        <f>_xlfn.XLOOKUP(I320,Parâmetros!A:A,Parâmetros!B:B,_xlfn.XLOOKUP(Q320,Parâmetros!F:F,Parâmetros!G:G,"NOVA MENSAGEM"))</f>
        <v>CLIENTE NÃO IDENTIFICADO</v>
      </c>
      <c r="N320" s="1" t="str">
        <f>_xlfn.XLOOKUP(M320,Parâmetros!K:K,Parâmetros!L:L,"")</f>
        <v>DK DE CLIENTE NÃO PREENCIDO / CLIENTE NÃO CONFIGURADO NO OBT</v>
      </c>
      <c r="O320" s="1" t="str">
        <f>_xlfn.XLOOKUP(M320,Parâmetros!B:B,Parâmetros!C:C,_xlfn.XLOOKUP(Base!M316,Parâmetros!G:G,Parâmetros!H:H))</f>
        <v>INDEFINIDO</v>
      </c>
      <c r="P320" s="1" t="str">
        <f>_xlfn.XLOOKUP(I320,Parâmetros!A:A,Parâmetros!D:D,_xlfn.XLOOKUP(Q320,Parâmetros!F:F,Parâmetros!I:I))</f>
        <v>OPERAÇÕES / SUPORTE KCS</v>
      </c>
      <c r="Q320" s="1" t="str">
        <f t="shared" si="9"/>
        <v>COLUNA I</v>
      </c>
    </row>
    <row r="321" spans="1:17" x14ac:dyDescent="0.25">
      <c r="A321" s="1" t="str">
        <f>_xlfn.XLOOKUP(D321,'Novo relatório'!B:B,'Novo relatório'!C:C,"RESOLVIDO")</f>
        <v>RESOLVIDO</v>
      </c>
      <c r="C321" t="str">
        <f t="shared" si="8"/>
        <v>RESOLVIDO</v>
      </c>
      <c r="D321" s="1">
        <v>3183404</v>
      </c>
      <c r="E321" s="1" t="s">
        <v>26</v>
      </c>
      <c r="F321" s="2">
        <v>45672.731249999997</v>
      </c>
      <c r="G321" s="1" t="s">
        <v>813</v>
      </c>
      <c r="H321" s="1" t="s">
        <v>813</v>
      </c>
      <c r="I321" s="1" t="s">
        <v>83</v>
      </c>
      <c r="J321" s="2">
        <v>45672.868750000001</v>
      </c>
      <c r="K321" s="2"/>
      <c r="L321" s="1" t="s">
        <v>18</v>
      </c>
      <c r="M321" s="1" t="str">
        <f>_xlfn.XLOOKUP(I321,Parâmetros!A:A,Parâmetros!B:B,_xlfn.XLOOKUP(Q321,Parâmetros!F:F,Parâmetros!G:G,"NOVA MENSAGEM"))</f>
        <v>CLIENTE NÃO IDENTIFICADO</v>
      </c>
      <c r="N321" s="1" t="str">
        <f>_xlfn.XLOOKUP(M321,Parâmetros!K:K,Parâmetros!L:L,"")</f>
        <v>DK DE CLIENTE NÃO PREENCIDO / CLIENTE NÃO CONFIGURADO NO OBT</v>
      </c>
      <c r="O321" s="1" t="str">
        <f>_xlfn.XLOOKUP(M321,Parâmetros!B:B,Parâmetros!C:C,_xlfn.XLOOKUP(Base!M317,Parâmetros!G:G,Parâmetros!H:H))</f>
        <v>INDEFINIDO</v>
      </c>
      <c r="P321" s="1" t="str">
        <f>_xlfn.XLOOKUP(I321,Parâmetros!A:A,Parâmetros!D:D,_xlfn.XLOOKUP(Q321,Parâmetros!F:F,Parâmetros!I:I))</f>
        <v>OPERAÇÕES / SUPORTE KCS</v>
      </c>
      <c r="Q321" s="1" t="str">
        <f t="shared" si="9"/>
        <v>COLUNA I</v>
      </c>
    </row>
    <row r="322" spans="1:17" x14ac:dyDescent="0.25">
      <c r="A322" s="1" t="str">
        <f>_xlfn.XLOOKUP(D322,'Novo relatório'!B:B,'Novo relatório'!C:C,"RESOLVIDO")</f>
        <v>RESOLVIDO</v>
      </c>
      <c r="C322" t="str">
        <f t="shared" ref="C322:C385" si="10">IF(A322="RESOLVIDO","RESOLVIDO",IF(B322="","PENDENTE",IF(LEFT(B322,7)="CHAMADO","AGUARDANDO FORNECEDOR",IF(B322="CONTABILIZAR","CONTABILIZAR NO PORTAL"))))</f>
        <v>RESOLVIDO</v>
      </c>
      <c r="D322" s="1">
        <v>3183407</v>
      </c>
      <c r="E322" s="1" t="s">
        <v>26</v>
      </c>
      <c r="F322" s="2">
        <v>45672.731249999997</v>
      </c>
      <c r="G322" s="1" t="s">
        <v>697</v>
      </c>
      <c r="H322" s="1" t="s">
        <v>697</v>
      </c>
      <c r="I322" s="1" t="s">
        <v>620</v>
      </c>
      <c r="J322" s="2">
        <v>45672.868750000001</v>
      </c>
      <c r="K322" s="2"/>
      <c r="L322" s="1" t="s">
        <v>18</v>
      </c>
      <c r="M322" s="1" t="str">
        <f>_xlfn.XLOOKUP(I322,Parâmetros!A:A,Parâmetros!B:B,_xlfn.XLOOKUP(Q322,Parâmetros!F:F,Parâmetros!G:G,"NOVA MENSAGEM"))</f>
        <v>CÓD. CLIENTE DIVERGENTE</v>
      </c>
      <c r="N322" s="1" t="str">
        <f>_xlfn.XLOOKUP(M322,Parâmetros!K:K,Parâmetros!L:L,"")</f>
        <v>CÓDIGO DIFERENTE DO CADASTRADO NO BENNER (CLIENTE X GRUPO)</v>
      </c>
      <c r="O322" s="1" t="str">
        <f>_xlfn.XLOOKUP(M322,Parâmetros!B:B,Parâmetros!C:C,_xlfn.XLOOKUP(Base!M318,Parâmetros!G:G,Parâmetros!H:H))</f>
        <v>QUALIDADE DOS DADOS</v>
      </c>
      <c r="P322" s="1" t="str">
        <f>_xlfn.XLOOKUP(I322,Parâmetros!A:A,Parâmetros!D:D,_xlfn.XLOOKUP(Q322,Parâmetros!F:F,Parâmetros!I:I))</f>
        <v>SUPORTE OBT</v>
      </c>
      <c r="Q322" s="1">
        <f t="shared" ref="Q322:Q385" si="11">IFERROR(FIND("Não foi possível localizar o contrato do fornecedor",I322),IFERROR(FIND("veículo",I322),IFERROR(FIND("agagem",I322),IFERROR(FIND("error in XML document",I322),IFERROR(FIND("Não localizado cliente código",I322),IFERROR(FIND("lemontech",I322),IFERROR(FIND("&gt;Fornecedor com o",I322),IFERROR(FIND("INSERT",I322),IFERROR(FIND("com CNPJ",I322),IFERROR(FIND("Consultando Agente-&gt; O agente",I322),IFERROR(FIND("Não foi possível determinar a validade do cartão, favor verificar os dados do cartão",I322),"COLUNA I")))))))))))</f>
        <v>1</v>
      </c>
    </row>
    <row r="323" spans="1:17" x14ac:dyDescent="0.25">
      <c r="A323" s="1" t="str">
        <f>_xlfn.XLOOKUP(D323,'Novo relatório'!B:B,'Novo relatório'!C:C,"RESOLVIDO")</f>
        <v>RESOLVIDO</v>
      </c>
      <c r="C323" t="str">
        <f t="shared" si="10"/>
        <v>RESOLVIDO</v>
      </c>
      <c r="D323" s="1">
        <v>3183411</v>
      </c>
      <c r="E323" s="1" t="s">
        <v>26</v>
      </c>
      <c r="F323" s="2">
        <v>45672.731249999997</v>
      </c>
      <c r="G323" s="1" t="s">
        <v>772</v>
      </c>
      <c r="H323" s="1" t="s">
        <v>772</v>
      </c>
      <c r="I323" s="1" t="s">
        <v>83</v>
      </c>
      <c r="J323" s="2">
        <v>45672.868750000001</v>
      </c>
      <c r="K323" s="2"/>
      <c r="L323" s="1" t="s">
        <v>18</v>
      </c>
      <c r="M323" s="1" t="str">
        <f>_xlfn.XLOOKUP(I323,Parâmetros!A:A,Parâmetros!B:B,_xlfn.XLOOKUP(Q323,Parâmetros!F:F,Parâmetros!G:G,"NOVA MENSAGEM"))</f>
        <v>CLIENTE NÃO IDENTIFICADO</v>
      </c>
      <c r="N323" s="1" t="str">
        <f>_xlfn.XLOOKUP(M323,Parâmetros!K:K,Parâmetros!L:L,"")</f>
        <v>DK DE CLIENTE NÃO PREENCIDO / CLIENTE NÃO CONFIGURADO NO OBT</v>
      </c>
      <c r="O323" s="1" t="str">
        <f>_xlfn.XLOOKUP(M323,Parâmetros!B:B,Parâmetros!C:C,_xlfn.XLOOKUP(Base!M319,Parâmetros!G:G,Parâmetros!H:H))</f>
        <v>INDEFINIDO</v>
      </c>
      <c r="P323" s="1" t="str">
        <f>_xlfn.XLOOKUP(I323,Parâmetros!A:A,Parâmetros!D:D,_xlfn.XLOOKUP(Q323,Parâmetros!F:F,Parâmetros!I:I))</f>
        <v>OPERAÇÕES / SUPORTE KCS</v>
      </c>
      <c r="Q323" s="1" t="str">
        <f t="shared" si="11"/>
        <v>COLUNA I</v>
      </c>
    </row>
    <row r="324" spans="1:17" x14ac:dyDescent="0.25">
      <c r="A324" s="1" t="str">
        <f>_xlfn.XLOOKUP(D324,'Novo relatório'!B:B,'Novo relatório'!C:C,"RESOLVIDO")</f>
        <v>TMS</v>
      </c>
      <c r="C324" t="str">
        <f t="shared" si="10"/>
        <v>PENDENTE</v>
      </c>
      <c r="D324" s="1">
        <v>3184309</v>
      </c>
      <c r="E324" s="1" t="s">
        <v>12</v>
      </c>
      <c r="F324" s="2">
        <v>45673.39166666667</v>
      </c>
      <c r="G324" s="1">
        <v>518</v>
      </c>
      <c r="H324" s="1">
        <v>518</v>
      </c>
      <c r="I324" s="1" t="s">
        <v>16</v>
      </c>
      <c r="J324" s="2">
        <v>45673.423611111109</v>
      </c>
      <c r="K324" s="2">
        <v>45692.363194444442</v>
      </c>
      <c r="L324" s="1" t="s">
        <v>14</v>
      </c>
      <c r="M324" s="1" t="str">
        <f>_xlfn.XLOOKUP(I324,Parâmetros!A:A,Parâmetros!B:B,_xlfn.XLOOKUP(Q324,Parâmetros!F:F,Parâmetros!G:G,"NOVA MENSAGEM"))</f>
        <v>ASSENTO / BAGAGEM</v>
      </c>
      <c r="N324" s="1" t="str">
        <f>_xlfn.XLOOKUP(M324,Parâmetros!K:K,Parâmetros!L:L,"")</f>
        <v>CAMPO OBSERVAÇÃO PREENCHIDO INCORRETAMENTE</v>
      </c>
      <c r="O324" s="1" t="str">
        <f>_xlfn.XLOOKUP(M324,Parâmetros!B:B,Parâmetros!C:C,_xlfn.XLOOKUP(Base!M320,Parâmetros!G:G,Parâmetros!H:H))</f>
        <v>QUALIDADE DOS DADOS</v>
      </c>
      <c r="P324" s="1" t="str">
        <f>_xlfn.XLOOKUP(I324,Parâmetros!A:A,Parâmetros!D:D,_xlfn.XLOOKUP(Q324,Parâmetros!F:F,Parâmetros!I:I))</f>
        <v>OPERAÇÕES / SUPORTE KCS</v>
      </c>
      <c r="Q324" s="1">
        <f t="shared" si="11"/>
        <v>118</v>
      </c>
    </row>
    <row r="325" spans="1:17" x14ac:dyDescent="0.25">
      <c r="A325" s="1" t="str">
        <f>_xlfn.XLOOKUP(D325,'Novo relatório'!B:B,'Novo relatório'!C:C,"RESOLVIDO")</f>
        <v>RESOLVIDO</v>
      </c>
      <c r="C325" t="str">
        <f t="shared" si="10"/>
        <v>RESOLVIDO</v>
      </c>
      <c r="D325" s="1">
        <v>3186594</v>
      </c>
      <c r="E325" s="1" t="s">
        <v>26</v>
      </c>
      <c r="F325" s="2">
        <v>45673.732638888891</v>
      </c>
      <c r="G325" s="1" t="s">
        <v>705</v>
      </c>
      <c r="H325" s="1" t="s">
        <v>705</v>
      </c>
      <c r="I325" s="1" t="s">
        <v>83</v>
      </c>
      <c r="J325" s="2">
        <v>45673.866666666669</v>
      </c>
      <c r="L325" s="1" t="s">
        <v>18</v>
      </c>
      <c r="M325" s="1" t="str">
        <f>_xlfn.XLOOKUP(I325,Parâmetros!A:A,Parâmetros!B:B,_xlfn.XLOOKUP(Q325,Parâmetros!F:F,Parâmetros!G:G,"NOVA MENSAGEM"))</f>
        <v>CLIENTE NÃO IDENTIFICADO</v>
      </c>
      <c r="N325" s="1" t="str">
        <f>_xlfn.XLOOKUP(M325,Parâmetros!K:K,Parâmetros!L:L,"")</f>
        <v>DK DE CLIENTE NÃO PREENCIDO / CLIENTE NÃO CONFIGURADO NO OBT</v>
      </c>
      <c r="O325" s="1" t="str">
        <f>_xlfn.XLOOKUP(M325,Parâmetros!B:B,Parâmetros!C:C,_xlfn.XLOOKUP(Base!M321,Parâmetros!G:G,Parâmetros!H:H))</f>
        <v>INDEFINIDO</v>
      </c>
      <c r="P325" s="1" t="str">
        <f>_xlfn.XLOOKUP(I325,Parâmetros!A:A,Parâmetros!D:D,_xlfn.XLOOKUP(Q325,Parâmetros!F:F,Parâmetros!I:I))</f>
        <v>OPERAÇÕES / SUPORTE KCS</v>
      </c>
      <c r="Q325" s="1" t="str">
        <f t="shared" si="11"/>
        <v>COLUNA I</v>
      </c>
    </row>
    <row r="326" spans="1:17" x14ac:dyDescent="0.25">
      <c r="A326" s="1" t="str">
        <f>_xlfn.XLOOKUP(D326,'Novo relatório'!B:B,'Novo relatório'!C:C,"RESOLVIDO")</f>
        <v>RESOLVIDO</v>
      </c>
      <c r="C326" t="str">
        <f t="shared" si="10"/>
        <v>RESOLVIDO</v>
      </c>
      <c r="D326" s="1">
        <v>3186602</v>
      </c>
      <c r="E326" s="1" t="s">
        <v>26</v>
      </c>
      <c r="F326" s="2">
        <v>45673.732638888891</v>
      </c>
      <c r="G326" s="1" t="s">
        <v>860</v>
      </c>
      <c r="H326" s="1" t="s">
        <v>860</v>
      </c>
      <c r="I326" s="1" t="s">
        <v>405</v>
      </c>
      <c r="J326" s="2">
        <v>45673.867361111108</v>
      </c>
      <c r="K326" s="2"/>
      <c r="L326" s="1" t="s">
        <v>18</v>
      </c>
      <c r="M326" s="1" t="str">
        <f>_xlfn.XLOOKUP(I326,Parâmetros!A:A,Parâmetros!B:B,_xlfn.XLOOKUP(Q326,Parâmetros!F:F,Parâmetros!G:G,"NOVA MENSAGEM"))</f>
        <v>REMARK - CNPJ</v>
      </c>
      <c r="N326" s="1" t="str">
        <f>_xlfn.XLOOKUP(M326,Parâmetros!K:K,Parâmetros!L:L,"")</f>
        <v/>
      </c>
      <c r="O326" s="1" t="str">
        <f>_xlfn.XLOOKUP(M326,Parâmetros!B:B,Parâmetros!C:C,_xlfn.XLOOKUP(Base!M322,Parâmetros!G:G,Parâmetros!H:H))</f>
        <v>QUALIDADE DOS DADOS</v>
      </c>
      <c r="P326" s="1" t="str">
        <f>_xlfn.XLOOKUP(I326,Parâmetros!A:A,Parâmetros!D:D,_xlfn.XLOOKUP(Q326,Parâmetros!F:F,Parâmetros!I:I))</f>
        <v>OPERAÇÕES / SUPORTE KCS</v>
      </c>
      <c r="Q326" s="1">
        <f t="shared" si="11"/>
        <v>24</v>
      </c>
    </row>
    <row r="327" spans="1:17" x14ac:dyDescent="0.25">
      <c r="A327" s="1" t="str">
        <f>_xlfn.XLOOKUP(D327,'Novo relatório'!B:B,'Novo relatório'!C:C,"RESOLVIDO")</f>
        <v>RESOLVIDO</v>
      </c>
      <c r="C327" t="str">
        <f t="shared" si="10"/>
        <v>RESOLVIDO</v>
      </c>
      <c r="D327" s="1">
        <v>3186603</v>
      </c>
      <c r="E327" s="1" t="s">
        <v>26</v>
      </c>
      <c r="F327" s="2">
        <v>45673.732638888891</v>
      </c>
      <c r="G327" s="1" t="s">
        <v>716</v>
      </c>
      <c r="H327" s="1" t="s">
        <v>716</v>
      </c>
      <c r="I327" s="1" t="s">
        <v>395</v>
      </c>
      <c r="J327" s="2">
        <v>45673.868055555555</v>
      </c>
      <c r="L327" s="1" t="s">
        <v>18</v>
      </c>
      <c r="M327" s="1" t="str">
        <f>_xlfn.XLOOKUP(I327,Parâmetros!A:A,Parâmetros!B:B,_xlfn.XLOOKUP(Q327,Parâmetros!F:F,Parâmetros!G:G,"NOVA MENSAGEM"))</f>
        <v>REMARK - CNPJ</v>
      </c>
      <c r="N327" s="1" t="str">
        <f>_xlfn.XLOOKUP(M327,Parâmetros!K:K,Parâmetros!L:L,"")</f>
        <v/>
      </c>
      <c r="O327" s="1" t="e">
        <f>_xlfn.XLOOKUP(M327,Parâmetros!B:B,Parâmetros!C:C,_xlfn.XLOOKUP(Base!M323,Parâmetros!G:G,Parâmetros!H:H))</f>
        <v>#N/A</v>
      </c>
      <c r="P327" s="1" t="str">
        <f>_xlfn.XLOOKUP(I327,Parâmetros!A:A,Parâmetros!D:D,_xlfn.XLOOKUP(Q327,Parâmetros!F:F,Parâmetros!I:I))</f>
        <v>OPERAÇÕES / SUPORTE KCS</v>
      </c>
      <c r="Q327" s="1">
        <f t="shared" si="11"/>
        <v>24</v>
      </c>
    </row>
    <row r="328" spans="1:17" x14ac:dyDescent="0.25">
      <c r="A328" s="1" t="str">
        <f>_xlfn.XLOOKUP(D328,'Novo relatório'!B:B,'Novo relatório'!C:C,"RESOLVIDO")</f>
        <v>RESOLVIDO</v>
      </c>
      <c r="C328" t="str">
        <f t="shared" si="10"/>
        <v>RESOLVIDO</v>
      </c>
      <c r="D328" s="1">
        <v>3186604</v>
      </c>
      <c r="E328" s="1" t="s">
        <v>26</v>
      </c>
      <c r="F328" s="2">
        <v>45673.732638888891</v>
      </c>
      <c r="G328" s="1" t="s">
        <v>739</v>
      </c>
      <c r="H328" s="1" t="s">
        <v>739</v>
      </c>
      <c r="I328" s="1" t="s">
        <v>588</v>
      </c>
      <c r="J328" s="2">
        <v>45673.868055555555</v>
      </c>
      <c r="L328" s="1" t="s">
        <v>14</v>
      </c>
      <c r="M328" s="1" t="str">
        <f>_xlfn.XLOOKUP(I328,Parâmetros!A:A,Parâmetros!B:B,_xlfn.XLOOKUP(Q328,Parâmetros!F:F,Parâmetros!G:G,"NOVA MENSAGEM"))</f>
        <v>ERRO NO XML</v>
      </c>
      <c r="N328" s="1" t="str">
        <f>_xlfn.XLOOKUP(M328,Parâmetros!K:K,Parâmetros!L:L,"")</f>
        <v/>
      </c>
      <c r="O328" s="1" t="str">
        <f>_xlfn.XLOOKUP(M328,Parâmetros!B:B,Parâmetros!C:C,_xlfn.XLOOKUP(Base!M324,Parâmetros!G:G,Parâmetros!H:H))</f>
        <v>SISTEMA</v>
      </c>
      <c r="P328" s="1" t="str">
        <f>_xlfn.XLOOKUP(I328,Parâmetros!A:A,Parâmetros!D:D,_xlfn.XLOOKUP(Q328,Parâmetros!F:F,Parâmetros!I:I))</f>
        <v>SUPORTE OBT</v>
      </c>
      <c r="Q328" s="1" t="str">
        <f t="shared" si="11"/>
        <v>COLUNA I</v>
      </c>
    </row>
    <row r="329" spans="1:17" x14ac:dyDescent="0.25">
      <c r="A329" s="1" t="str">
        <f>_xlfn.XLOOKUP(D329,'Novo relatório'!B:B,'Novo relatório'!C:C,"RESOLVIDO")</f>
        <v>RESOLVIDO</v>
      </c>
      <c r="C329" t="str">
        <f t="shared" si="10"/>
        <v>RESOLVIDO</v>
      </c>
      <c r="D329" s="1">
        <v>3186605</v>
      </c>
      <c r="E329" s="1" t="s">
        <v>26</v>
      </c>
      <c r="F329" s="2">
        <v>45673.732638888891</v>
      </c>
      <c r="G329" s="1" t="s">
        <v>878</v>
      </c>
      <c r="H329" s="1" t="s">
        <v>878</v>
      </c>
      <c r="I329" s="1" t="s">
        <v>588</v>
      </c>
      <c r="J329" s="2">
        <v>45673.868055555555</v>
      </c>
      <c r="K329" s="2"/>
      <c r="L329" s="1" t="s">
        <v>14</v>
      </c>
      <c r="M329" s="1" t="str">
        <f>_xlfn.XLOOKUP(I329,Parâmetros!A:A,Parâmetros!B:B,_xlfn.XLOOKUP(Q329,Parâmetros!F:F,Parâmetros!G:G,"NOVA MENSAGEM"))</f>
        <v>ERRO NO XML</v>
      </c>
      <c r="N329" s="1" t="str">
        <f>_xlfn.XLOOKUP(M329,Parâmetros!K:K,Parâmetros!L:L,"")</f>
        <v/>
      </c>
      <c r="O329" s="1" t="str">
        <f>_xlfn.XLOOKUP(M329,Parâmetros!B:B,Parâmetros!C:C,_xlfn.XLOOKUP(Base!M325,Parâmetros!G:G,Parâmetros!H:H))</f>
        <v>SISTEMA</v>
      </c>
      <c r="P329" s="1" t="str">
        <f>_xlfn.XLOOKUP(I329,Parâmetros!A:A,Parâmetros!D:D,_xlfn.XLOOKUP(Q329,Parâmetros!F:F,Parâmetros!I:I))</f>
        <v>SUPORTE OBT</v>
      </c>
      <c r="Q329" s="1" t="str">
        <f t="shared" si="11"/>
        <v>COLUNA I</v>
      </c>
    </row>
    <row r="330" spans="1:17" x14ac:dyDescent="0.25">
      <c r="A330" s="1" t="str">
        <f>_xlfn.XLOOKUP(D330,'Novo relatório'!B:B,'Novo relatório'!C:C,"RESOLVIDO")</f>
        <v>RESOLVIDO</v>
      </c>
      <c r="C330" t="str">
        <f t="shared" si="10"/>
        <v>RESOLVIDO</v>
      </c>
      <c r="D330" s="1">
        <v>3186616</v>
      </c>
      <c r="E330" s="1" t="s">
        <v>26</v>
      </c>
      <c r="F330" s="2">
        <v>45673.732638888891</v>
      </c>
      <c r="G330" s="1" t="s">
        <v>745</v>
      </c>
      <c r="H330" s="1" t="s">
        <v>745</v>
      </c>
      <c r="I330" s="1" t="s">
        <v>746</v>
      </c>
      <c r="J330" s="2">
        <v>45673.869444444441</v>
      </c>
      <c r="L330" s="1" t="s">
        <v>18</v>
      </c>
      <c r="M330" s="1" t="str">
        <f>_xlfn.XLOOKUP(I330,Parâmetros!A:A,Parâmetros!B:B,_xlfn.XLOOKUP(Q330,Parâmetros!F:F,Parâmetros!G:G,"NOVA MENSAGEM"))</f>
        <v>CÓD. CLIENTE DIVERGENTE</v>
      </c>
      <c r="N330" s="1" t="str">
        <f>_xlfn.XLOOKUP(M330,Parâmetros!K:K,Parâmetros!L:L,"")</f>
        <v>CÓDIGO DIFERENTE DO CADASTRADO NO BENNER (CLIENTE X GRUPO)</v>
      </c>
      <c r="O330" s="1" t="str">
        <f>_xlfn.XLOOKUP(M330,Parâmetros!B:B,Parâmetros!C:C,_xlfn.XLOOKUP(Base!M326,Parâmetros!G:G,Parâmetros!H:H))</f>
        <v>QUALIDADE DOS DADOS</v>
      </c>
      <c r="P330" s="1" t="str">
        <f>_xlfn.XLOOKUP(I330,Parâmetros!A:A,Parâmetros!D:D,_xlfn.XLOOKUP(Q330,Parâmetros!F:F,Parâmetros!I:I))</f>
        <v>SUPORTE OBT</v>
      </c>
      <c r="Q330" s="1">
        <f t="shared" si="11"/>
        <v>1</v>
      </c>
    </row>
    <row r="331" spans="1:17" x14ac:dyDescent="0.25">
      <c r="A331" s="1" t="str">
        <f>_xlfn.XLOOKUP(D331,'Novo relatório'!B:B,'Novo relatório'!C:C,"RESOLVIDO")</f>
        <v>RESOLVIDO</v>
      </c>
      <c r="C331" t="str">
        <f t="shared" si="10"/>
        <v>RESOLVIDO</v>
      </c>
      <c r="D331" s="1">
        <v>3186625</v>
      </c>
      <c r="E331" s="1" t="s">
        <v>26</v>
      </c>
      <c r="F331" s="2">
        <v>45673.732638888891</v>
      </c>
      <c r="G331" s="1" t="s">
        <v>715</v>
      </c>
      <c r="H331" s="1" t="s">
        <v>715</v>
      </c>
      <c r="I331" s="1" t="s">
        <v>394</v>
      </c>
      <c r="J331" s="2">
        <v>45673.870138888888</v>
      </c>
      <c r="L331" s="1" t="s">
        <v>18</v>
      </c>
      <c r="M331" s="1" t="str">
        <f>_xlfn.XLOOKUP(I331,Parâmetros!A:A,Parâmetros!B:B,_xlfn.XLOOKUP(Q331,Parâmetros!F:F,Parâmetros!G:G,"NOVA MENSAGEM"))</f>
        <v>REMARK - CNPJ</v>
      </c>
      <c r="N331" s="1" t="str">
        <f>_xlfn.XLOOKUP(M331,Parâmetros!K:K,Parâmetros!L:L,"")</f>
        <v/>
      </c>
      <c r="O331" s="1" t="str">
        <f>_xlfn.XLOOKUP(M331,Parâmetros!B:B,Parâmetros!C:C,_xlfn.XLOOKUP(Base!M327,Parâmetros!G:G,Parâmetros!H:H))</f>
        <v>QUALIDADE DOS DADOS</v>
      </c>
      <c r="P331" s="1" t="str">
        <f>_xlfn.XLOOKUP(I331,Parâmetros!A:A,Parâmetros!D:D,_xlfn.XLOOKUP(Q331,Parâmetros!F:F,Parâmetros!I:I))</f>
        <v>OPERAÇÕES / SUPORTE KCS</v>
      </c>
      <c r="Q331" s="1">
        <f t="shared" si="11"/>
        <v>24</v>
      </c>
    </row>
    <row r="332" spans="1:17" x14ac:dyDescent="0.25">
      <c r="A332" s="1" t="str">
        <f>_xlfn.XLOOKUP(D332,'Novo relatório'!B:B,'Novo relatório'!C:C,"RESOLVIDO")</f>
        <v>RESOLVIDO</v>
      </c>
      <c r="C332" t="str">
        <f t="shared" si="10"/>
        <v>RESOLVIDO</v>
      </c>
      <c r="D332" s="1">
        <v>3186626</v>
      </c>
      <c r="E332" s="1" t="s">
        <v>26</v>
      </c>
      <c r="F332" s="2">
        <v>45673.732638888891</v>
      </c>
      <c r="G332" s="1" t="s">
        <v>920</v>
      </c>
      <c r="H332" s="1" t="s">
        <v>920</v>
      </c>
      <c r="I332" s="1" t="s">
        <v>692</v>
      </c>
      <c r="J332" s="2">
        <v>45673.870833333334</v>
      </c>
      <c r="K332" s="2"/>
      <c r="L332" s="1" t="s">
        <v>18</v>
      </c>
      <c r="M332" s="1" t="str">
        <f>_xlfn.XLOOKUP(I332,Parâmetros!A:A,Parâmetros!B:B,_xlfn.XLOOKUP(Q332,Parâmetros!F:F,Parâmetros!G:G,"NOVA MENSAGEM"))</f>
        <v>REMARK - CNPJ</v>
      </c>
      <c r="N332" s="1" t="str">
        <f>_xlfn.XLOOKUP(M332,Parâmetros!K:K,Parâmetros!L:L,"")</f>
        <v/>
      </c>
      <c r="O332" s="1" t="str">
        <f>_xlfn.XLOOKUP(M332,Parâmetros!B:B,Parâmetros!C:C,_xlfn.XLOOKUP(Base!M328,Parâmetros!G:G,Parâmetros!H:H))</f>
        <v>INDEFINIDO</v>
      </c>
      <c r="P332" s="1" t="str">
        <f>_xlfn.XLOOKUP(I332,Parâmetros!A:A,Parâmetros!D:D,_xlfn.XLOOKUP(Q332,Parâmetros!F:F,Parâmetros!I:I))</f>
        <v>OPERAÇÕES / SUPORTE KCS</v>
      </c>
      <c r="Q332" s="1">
        <f t="shared" si="11"/>
        <v>24</v>
      </c>
    </row>
    <row r="333" spans="1:17" x14ac:dyDescent="0.25">
      <c r="A333" s="1" t="str">
        <f>_xlfn.XLOOKUP(D333,'Novo relatório'!B:B,'Novo relatório'!C:C,"RESOLVIDO")</f>
        <v>RESOLVIDO</v>
      </c>
      <c r="C333" t="str">
        <f t="shared" si="10"/>
        <v>RESOLVIDO</v>
      </c>
      <c r="D333" s="1">
        <v>3187473</v>
      </c>
      <c r="E333" s="1" t="s">
        <v>26</v>
      </c>
      <c r="F333" s="2">
        <v>45674.357638888891</v>
      </c>
      <c r="G333" s="1" t="s">
        <v>791</v>
      </c>
      <c r="H333" s="1" t="s">
        <v>791</v>
      </c>
      <c r="I333" s="1" t="s">
        <v>394</v>
      </c>
      <c r="J333" s="2">
        <v>45674.495138888888</v>
      </c>
      <c r="K333" s="2"/>
      <c r="L333" s="1" t="s">
        <v>18</v>
      </c>
      <c r="M333" s="1" t="str">
        <f>_xlfn.XLOOKUP(I333,Parâmetros!A:A,Parâmetros!B:B,_xlfn.XLOOKUP(Q333,Parâmetros!F:F,Parâmetros!G:G,"NOVA MENSAGEM"))</f>
        <v>REMARK - CNPJ</v>
      </c>
      <c r="N333" s="1" t="str">
        <f>_xlfn.XLOOKUP(M333,Parâmetros!K:K,Parâmetros!L:L,"")</f>
        <v/>
      </c>
      <c r="O333" s="1" t="str">
        <f>_xlfn.XLOOKUP(M333,Parâmetros!B:B,Parâmetros!C:C,_xlfn.XLOOKUP(Base!M329,Parâmetros!G:G,Parâmetros!H:H))</f>
        <v>INDEFINIDO</v>
      </c>
      <c r="P333" s="1" t="str">
        <f>_xlfn.XLOOKUP(I333,Parâmetros!A:A,Parâmetros!D:D,_xlfn.XLOOKUP(Q333,Parâmetros!F:F,Parâmetros!I:I))</f>
        <v>OPERAÇÕES / SUPORTE KCS</v>
      </c>
      <c r="Q333" s="1">
        <f t="shared" si="11"/>
        <v>24</v>
      </c>
    </row>
    <row r="334" spans="1:17" x14ac:dyDescent="0.25">
      <c r="A334" s="1" t="str">
        <f>_xlfn.XLOOKUP(D334,'Novo relatório'!B:B,'Novo relatório'!C:C,"RESOLVIDO")</f>
        <v>RESOLVIDO</v>
      </c>
      <c r="C334" t="str">
        <f t="shared" si="10"/>
        <v>RESOLVIDO</v>
      </c>
      <c r="D334" s="1">
        <v>3187474</v>
      </c>
      <c r="E334" s="1" t="s">
        <v>26</v>
      </c>
      <c r="F334" s="2">
        <v>45674.357638888891</v>
      </c>
      <c r="G334" s="1" t="s">
        <v>790</v>
      </c>
      <c r="H334" s="1" t="s">
        <v>790</v>
      </c>
      <c r="I334" s="1" t="s">
        <v>409</v>
      </c>
      <c r="J334" s="2">
        <v>45674.495138888888</v>
      </c>
      <c r="K334" s="2"/>
      <c r="L334" s="1" t="s">
        <v>18</v>
      </c>
      <c r="M334" s="1" t="str">
        <f>_xlfn.XLOOKUP(I334,Parâmetros!A:A,Parâmetros!B:B,_xlfn.XLOOKUP(Q334,Parâmetros!F:F,Parâmetros!G:G,"NOVA MENSAGEM"))</f>
        <v>CÓD. CLIENTE DIVERGENTE</v>
      </c>
      <c r="N334" s="1" t="str">
        <f>_xlfn.XLOOKUP(M334,Parâmetros!K:K,Parâmetros!L:L,"")</f>
        <v>CÓDIGO DIFERENTE DO CADASTRADO NO BENNER (CLIENTE X GRUPO)</v>
      </c>
      <c r="O334" s="1" t="str">
        <f>_xlfn.XLOOKUP(M334,Parâmetros!B:B,Parâmetros!C:C,_xlfn.XLOOKUP(Base!M330,Parâmetros!G:G,Parâmetros!H:H))</f>
        <v>QUALIDADE DOS DADOS</v>
      </c>
      <c r="P334" s="1" t="str">
        <f>_xlfn.XLOOKUP(I334,Parâmetros!A:A,Parâmetros!D:D,_xlfn.XLOOKUP(Q334,Parâmetros!F:F,Parâmetros!I:I))</f>
        <v>SUPORTE OBT</v>
      </c>
      <c r="Q334" s="1">
        <f t="shared" si="11"/>
        <v>1</v>
      </c>
    </row>
    <row r="335" spans="1:17" x14ac:dyDescent="0.25">
      <c r="A335" s="1" t="str">
        <f>_xlfn.XLOOKUP(D335,'Novo relatório'!B:B,'Novo relatório'!C:C,"RESOLVIDO")</f>
        <v>RESOLVIDO</v>
      </c>
      <c r="C335" t="str">
        <f t="shared" si="10"/>
        <v>RESOLVIDO</v>
      </c>
      <c r="D335" s="1">
        <v>3187570</v>
      </c>
      <c r="E335" s="1" t="s">
        <v>26</v>
      </c>
      <c r="F335" s="2">
        <v>45674.728472222225</v>
      </c>
      <c r="G335" s="1" t="s">
        <v>699</v>
      </c>
      <c r="H335" s="1" t="s">
        <v>699</v>
      </c>
      <c r="I335" s="1" t="s">
        <v>394</v>
      </c>
      <c r="J335" s="2">
        <v>45674.647222222222</v>
      </c>
      <c r="K335" s="2">
        <v>45674.859027777777</v>
      </c>
      <c r="L335" s="1" t="s">
        <v>18</v>
      </c>
      <c r="M335" s="1" t="str">
        <f>_xlfn.XLOOKUP(I335,Parâmetros!A:A,Parâmetros!B:B,_xlfn.XLOOKUP(Q335,Parâmetros!F:F,Parâmetros!G:G,"NOVA MENSAGEM"))</f>
        <v>REMARK - CNPJ</v>
      </c>
      <c r="N335" s="1" t="str">
        <f>_xlfn.XLOOKUP(M335,Parâmetros!K:K,Parâmetros!L:L,"")</f>
        <v/>
      </c>
      <c r="O335" s="1" t="str">
        <f>_xlfn.XLOOKUP(M335,Parâmetros!B:B,Parâmetros!C:C,_xlfn.XLOOKUP(Base!M331,Parâmetros!G:G,Parâmetros!H:H))</f>
        <v>QUALIDADE DOS DADOS</v>
      </c>
      <c r="P335" s="1" t="str">
        <f>_xlfn.XLOOKUP(I335,Parâmetros!A:A,Parâmetros!D:D,_xlfn.XLOOKUP(Q335,Parâmetros!F:F,Parâmetros!I:I))</f>
        <v>OPERAÇÕES / SUPORTE KCS</v>
      </c>
      <c r="Q335" s="1">
        <f t="shared" si="11"/>
        <v>24</v>
      </c>
    </row>
    <row r="336" spans="1:17" x14ac:dyDescent="0.25">
      <c r="A336" s="1" t="str">
        <f>_xlfn.XLOOKUP(D336,'Novo relatório'!B:B,'Novo relatório'!C:C,"RESOLVIDO")</f>
        <v>RESOLVIDO</v>
      </c>
      <c r="C336" t="str">
        <f t="shared" si="10"/>
        <v>RESOLVIDO</v>
      </c>
      <c r="D336" s="1">
        <v>3187595</v>
      </c>
      <c r="E336" s="1" t="s">
        <v>26</v>
      </c>
      <c r="F336" s="2">
        <v>45674.538888888892</v>
      </c>
      <c r="G336" s="1" t="s">
        <v>773</v>
      </c>
      <c r="H336" s="1" t="s">
        <v>773</v>
      </c>
      <c r="I336" s="1" t="s">
        <v>83</v>
      </c>
      <c r="J336" s="2">
        <v>45674.670138888891</v>
      </c>
      <c r="K336" s="2"/>
      <c r="L336" s="1" t="s">
        <v>18</v>
      </c>
      <c r="M336" s="1" t="str">
        <f>_xlfn.XLOOKUP(I336,Parâmetros!A:A,Parâmetros!B:B,_xlfn.XLOOKUP(Q336,Parâmetros!F:F,Parâmetros!G:G,"NOVA MENSAGEM"))</f>
        <v>CLIENTE NÃO IDENTIFICADO</v>
      </c>
      <c r="N336" s="1" t="str">
        <f>_xlfn.XLOOKUP(M336,Parâmetros!K:K,Parâmetros!L:L,"")</f>
        <v>DK DE CLIENTE NÃO PREENCIDO / CLIENTE NÃO CONFIGURADO NO OBT</v>
      </c>
      <c r="O336" s="1" t="str">
        <f>_xlfn.XLOOKUP(M336,Parâmetros!B:B,Parâmetros!C:C,_xlfn.XLOOKUP(Base!M332,Parâmetros!G:G,Parâmetros!H:H))</f>
        <v>INDEFINIDO</v>
      </c>
      <c r="P336" s="1" t="str">
        <f>_xlfn.XLOOKUP(I336,Parâmetros!A:A,Parâmetros!D:D,_xlfn.XLOOKUP(Q336,Parâmetros!F:F,Parâmetros!I:I))</f>
        <v>OPERAÇÕES / SUPORTE KCS</v>
      </c>
      <c r="Q336" s="1" t="str">
        <f t="shared" si="11"/>
        <v>COLUNA I</v>
      </c>
    </row>
    <row r="337" spans="1:17" x14ac:dyDescent="0.25">
      <c r="A337" s="1" t="str">
        <f>_xlfn.XLOOKUP(D337,'Novo relatório'!B:B,'Novo relatório'!C:C,"RESOLVIDO")</f>
        <v>RESOLVIDO</v>
      </c>
      <c r="C337" t="str">
        <f t="shared" si="10"/>
        <v>RESOLVIDO</v>
      </c>
      <c r="D337" s="1">
        <v>3187758</v>
      </c>
      <c r="E337" s="1" t="s">
        <v>26</v>
      </c>
      <c r="F337" s="2">
        <v>45674.554861111108</v>
      </c>
      <c r="G337" s="1" t="s">
        <v>822</v>
      </c>
      <c r="H337" s="1" t="s">
        <v>822</v>
      </c>
      <c r="I337" s="1" t="s">
        <v>394</v>
      </c>
      <c r="J337" s="2">
        <v>45674.689583333333</v>
      </c>
      <c r="K337" s="2"/>
      <c r="L337" s="1" t="s">
        <v>18</v>
      </c>
      <c r="M337" s="1" t="str">
        <f>_xlfn.XLOOKUP(I337,Parâmetros!A:A,Parâmetros!B:B,_xlfn.XLOOKUP(Q337,Parâmetros!F:F,Parâmetros!G:G,"NOVA MENSAGEM"))</f>
        <v>REMARK - CNPJ</v>
      </c>
      <c r="N337" s="1" t="str">
        <f>_xlfn.XLOOKUP(M337,Parâmetros!K:K,Parâmetros!L:L,"")</f>
        <v/>
      </c>
      <c r="O337" s="1" t="str">
        <f>_xlfn.XLOOKUP(M337,Parâmetros!B:B,Parâmetros!C:C,_xlfn.XLOOKUP(Base!M333,Parâmetros!G:G,Parâmetros!H:H))</f>
        <v>QUALIDADE DOS DADOS</v>
      </c>
      <c r="P337" s="1" t="str">
        <f>_xlfn.XLOOKUP(I337,Parâmetros!A:A,Parâmetros!D:D,_xlfn.XLOOKUP(Q337,Parâmetros!F:F,Parâmetros!I:I))</f>
        <v>OPERAÇÕES / SUPORTE KCS</v>
      </c>
      <c r="Q337" s="1">
        <f t="shared" si="11"/>
        <v>24</v>
      </c>
    </row>
    <row r="338" spans="1:17" x14ac:dyDescent="0.25">
      <c r="A338" s="1" t="str">
        <f>_xlfn.XLOOKUP(D338,'Novo relatório'!B:B,'Novo relatório'!C:C,"RESOLVIDO")</f>
        <v>RESOLVIDO</v>
      </c>
      <c r="C338" t="str">
        <f t="shared" si="10"/>
        <v>RESOLVIDO</v>
      </c>
      <c r="D338" s="1">
        <v>3187900</v>
      </c>
      <c r="E338" s="1" t="s">
        <v>26</v>
      </c>
      <c r="F338" s="2">
        <v>45674.570138888892</v>
      </c>
      <c r="G338" s="1" t="s">
        <v>748</v>
      </c>
      <c r="H338" s="1" t="s">
        <v>748</v>
      </c>
      <c r="I338" s="1" t="s">
        <v>83</v>
      </c>
      <c r="J338" s="2">
        <v>45674.701388888891</v>
      </c>
      <c r="L338" s="1" t="s">
        <v>18</v>
      </c>
      <c r="M338" s="1" t="str">
        <f>_xlfn.XLOOKUP(I338,Parâmetros!A:A,Parâmetros!B:B,_xlfn.XLOOKUP(Q338,Parâmetros!F:F,Parâmetros!G:G,"NOVA MENSAGEM"))</f>
        <v>CLIENTE NÃO IDENTIFICADO</v>
      </c>
      <c r="N338" s="1" t="str">
        <f>_xlfn.XLOOKUP(M338,Parâmetros!K:K,Parâmetros!L:L,"")</f>
        <v>DK DE CLIENTE NÃO PREENCIDO / CLIENTE NÃO CONFIGURADO NO OBT</v>
      </c>
      <c r="O338" s="1" t="str">
        <f>_xlfn.XLOOKUP(M338,Parâmetros!B:B,Parâmetros!C:C,_xlfn.XLOOKUP(Base!M334,Parâmetros!G:G,Parâmetros!H:H))</f>
        <v>INDEFINIDO</v>
      </c>
      <c r="P338" s="1" t="str">
        <f>_xlfn.XLOOKUP(I338,Parâmetros!A:A,Parâmetros!D:D,_xlfn.XLOOKUP(Q338,Parâmetros!F:F,Parâmetros!I:I))</f>
        <v>OPERAÇÕES / SUPORTE KCS</v>
      </c>
      <c r="Q338" s="1" t="str">
        <f t="shared" si="11"/>
        <v>COLUNA I</v>
      </c>
    </row>
    <row r="339" spans="1:17" x14ac:dyDescent="0.25">
      <c r="A339" s="1" t="str">
        <f>_xlfn.XLOOKUP(D339,'Novo relatório'!B:B,'Novo relatório'!C:C,"RESOLVIDO")</f>
        <v>RESOLVIDO</v>
      </c>
      <c r="C339" t="str">
        <f t="shared" si="10"/>
        <v>RESOLVIDO</v>
      </c>
      <c r="D339" s="1">
        <v>3188615</v>
      </c>
      <c r="E339" s="1" t="s">
        <v>26</v>
      </c>
      <c r="F339" s="2">
        <v>45674.728472222225</v>
      </c>
      <c r="G339" s="1" t="s">
        <v>779</v>
      </c>
      <c r="H339" s="1" t="s">
        <v>779</v>
      </c>
      <c r="I339" s="1" t="s">
        <v>405</v>
      </c>
      <c r="J339" s="2">
        <v>45674.857638888891</v>
      </c>
      <c r="K339" s="2"/>
      <c r="L339" s="1" t="s">
        <v>18</v>
      </c>
      <c r="M339" s="1" t="str">
        <f>_xlfn.XLOOKUP(I339,Parâmetros!A:A,Parâmetros!B:B,_xlfn.XLOOKUP(Q339,Parâmetros!F:F,Parâmetros!G:G,"NOVA MENSAGEM"))</f>
        <v>REMARK - CNPJ</v>
      </c>
      <c r="N339" s="1" t="str">
        <f>_xlfn.XLOOKUP(M339,Parâmetros!K:K,Parâmetros!L:L,"")</f>
        <v/>
      </c>
      <c r="O339" s="1" t="str">
        <f>_xlfn.XLOOKUP(M339,Parâmetros!B:B,Parâmetros!C:C,_xlfn.XLOOKUP(Base!M335,Parâmetros!G:G,Parâmetros!H:H))</f>
        <v>QUALIDADE DOS DADOS</v>
      </c>
      <c r="P339" s="1" t="str">
        <f>_xlfn.XLOOKUP(I339,Parâmetros!A:A,Parâmetros!D:D,_xlfn.XLOOKUP(Q339,Parâmetros!F:F,Parâmetros!I:I))</f>
        <v>OPERAÇÕES / SUPORTE KCS</v>
      </c>
      <c r="Q339" s="1">
        <f t="shared" si="11"/>
        <v>24</v>
      </c>
    </row>
    <row r="340" spans="1:17" x14ac:dyDescent="0.25">
      <c r="A340" s="1" t="str">
        <f>_xlfn.XLOOKUP(D340,'Novo relatório'!B:B,'Novo relatório'!C:C,"RESOLVIDO")</f>
        <v>RESOLVIDO</v>
      </c>
      <c r="C340" t="str">
        <f t="shared" si="10"/>
        <v>RESOLVIDO</v>
      </c>
      <c r="D340" s="1">
        <v>3188619</v>
      </c>
      <c r="E340" s="1" t="s">
        <v>26</v>
      </c>
      <c r="F340" s="2">
        <v>45674.728472222225</v>
      </c>
      <c r="G340" s="1" t="s">
        <v>917</v>
      </c>
      <c r="H340" s="1" t="s">
        <v>917</v>
      </c>
      <c r="I340" s="1" t="s">
        <v>405</v>
      </c>
      <c r="J340" s="2">
        <v>45674.85833333333</v>
      </c>
      <c r="K340" s="2"/>
      <c r="L340" s="1" t="s">
        <v>18</v>
      </c>
      <c r="M340" s="1" t="str">
        <f>_xlfn.XLOOKUP(I340,Parâmetros!A:A,Parâmetros!B:B,_xlfn.XLOOKUP(Q340,Parâmetros!F:F,Parâmetros!G:G,"NOVA MENSAGEM"))</f>
        <v>REMARK - CNPJ</v>
      </c>
      <c r="N340" s="1" t="str">
        <f>_xlfn.XLOOKUP(M340,Parâmetros!K:K,Parâmetros!L:L,"")</f>
        <v/>
      </c>
      <c r="O340" s="1" t="e">
        <f>_xlfn.XLOOKUP(M340,Parâmetros!B:B,Parâmetros!C:C,_xlfn.XLOOKUP(Base!M336,Parâmetros!G:G,Parâmetros!H:H))</f>
        <v>#N/A</v>
      </c>
      <c r="P340" s="1" t="str">
        <f>_xlfn.XLOOKUP(I340,Parâmetros!A:A,Parâmetros!D:D,_xlfn.XLOOKUP(Q340,Parâmetros!F:F,Parâmetros!I:I))</f>
        <v>OPERAÇÕES / SUPORTE KCS</v>
      </c>
      <c r="Q340" s="1">
        <f t="shared" si="11"/>
        <v>24</v>
      </c>
    </row>
    <row r="341" spans="1:17" x14ac:dyDescent="0.25">
      <c r="A341" s="1" t="str">
        <f>_xlfn.XLOOKUP(D341,'Novo relatório'!B:B,'Novo relatório'!C:C,"RESOLVIDO")</f>
        <v>RESOLVIDO</v>
      </c>
      <c r="C341" t="str">
        <f t="shared" si="10"/>
        <v>RESOLVIDO</v>
      </c>
      <c r="D341" s="1">
        <v>3188620</v>
      </c>
      <c r="E341" s="1" t="s">
        <v>26</v>
      </c>
      <c r="F341" s="2">
        <v>45674.728472222225</v>
      </c>
      <c r="G341" s="1" t="s">
        <v>788</v>
      </c>
      <c r="H341" s="1" t="s">
        <v>788</v>
      </c>
      <c r="I341" s="1" t="s">
        <v>405</v>
      </c>
      <c r="J341" s="2">
        <v>45674.85833333333</v>
      </c>
      <c r="L341" s="1" t="s">
        <v>18</v>
      </c>
      <c r="M341" s="1" t="str">
        <f>_xlfn.XLOOKUP(I341,Parâmetros!A:A,Parâmetros!B:B,_xlfn.XLOOKUP(Q341,Parâmetros!F:F,Parâmetros!G:G,"NOVA MENSAGEM"))</f>
        <v>REMARK - CNPJ</v>
      </c>
      <c r="N341" s="1" t="str">
        <f>_xlfn.XLOOKUP(M341,Parâmetros!K:K,Parâmetros!L:L,"")</f>
        <v/>
      </c>
      <c r="O341" s="1" t="str">
        <f>_xlfn.XLOOKUP(M341,Parâmetros!B:B,Parâmetros!C:C,_xlfn.XLOOKUP(Base!M337,Parâmetros!G:G,Parâmetros!H:H))</f>
        <v>QUALIDADE DOS DADOS</v>
      </c>
      <c r="P341" s="1" t="str">
        <f>_xlfn.XLOOKUP(I341,Parâmetros!A:A,Parâmetros!D:D,_xlfn.XLOOKUP(Q341,Parâmetros!F:F,Parâmetros!I:I))</f>
        <v>OPERAÇÕES / SUPORTE KCS</v>
      </c>
      <c r="Q341" s="1">
        <f t="shared" si="11"/>
        <v>24</v>
      </c>
    </row>
    <row r="342" spans="1:17" x14ac:dyDescent="0.25">
      <c r="A342" s="1" t="str">
        <f>_xlfn.XLOOKUP(D342,'Novo relatório'!B:B,'Novo relatório'!C:C,"RESOLVIDO")</f>
        <v>RESOLVIDO</v>
      </c>
      <c r="C342" t="str">
        <f t="shared" si="10"/>
        <v>RESOLVIDO</v>
      </c>
      <c r="D342" s="1">
        <v>3188623</v>
      </c>
      <c r="E342" s="1" t="s">
        <v>26</v>
      </c>
      <c r="F342" s="2">
        <v>45674.728472222225</v>
      </c>
      <c r="G342" s="1" t="s">
        <v>811</v>
      </c>
      <c r="H342" s="1" t="s">
        <v>811</v>
      </c>
      <c r="I342" s="1" t="s">
        <v>83</v>
      </c>
      <c r="J342" s="2">
        <v>45674.859027777777</v>
      </c>
      <c r="K342" s="2"/>
      <c r="L342" s="1" t="s">
        <v>18</v>
      </c>
      <c r="M342" s="1" t="str">
        <f>_xlfn.XLOOKUP(I342,Parâmetros!A:A,Parâmetros!B:B,_xlfn.XLOOKUP(Q342,Parâmetros!F:F,Parâmetros!G:G,"NOVA MENSAGEM"))</f>
        <v>CLIENTE NÃO IDENTIFICADO</v>
      </c>
      <c r="N342" s="1" t="str">
        <f>_xlfn.XLOOKUP(M342,Parâmetros!K:K,Parâmetros!L:L,"")</f>
        <v>DK DE CLIENTE NÃO PREENCIDO / CLIENTE NÃO CONFIGURADO NO OBT</v>
      </c>
      <c r="O342" s="1" t="str">
        <f>_xlfn.XLOOKUP(M342,Parâmetros!B:B,Parâmetros!C:C,_xlfn.XLOOKUP(Base!M338,Parâmetros!G:G,Parâmetros!H:H))</f>
        <v>INDEFINIDO</v>
      </c>
      <c r="P342" s="1" t="str">
        <f>_xlfn.XLOOKUP(I342,Parâmetros!A:A,Parâmetros!D:D,_xlfn.XLOOKUP(Q342,Parâmetros!F:F,Parâmetros!I:I))</f>
        <v>OPERAÇÕES / SUPORTE KCS</v>
      </c>
      <c r="Q342" s="1" t="str">
        <f t="shared" si="11"/>
        <v>COLUNA I</v>
      </c>
    </row>
    <row r="343" spans="1:17" x14ac:dyDescent="0.25">
      <c r="A343" s="1" t="str">
        <f>_xlfn.XLOOKUP(D343,'Novo relatório'!B:B,'Novo relatório'!C:C,"RESOLVIDO")</f>
        <v>RESOLVIDO</v>
      </c>
      <c r="C343" t="str">
        <f t="shared" si="10"/>
        <v>RESOLVIDO</v>
      </c>
      <c r="D343" s="1">
        <v>3188628</v>
      </c>
      <c r="E343" s="1" t="s">
        <v>26</v>
      </c>
      <c r="F343" s="2">
        <v>45674.728472222225</v>
      </c>
      <c r="G343" s="1" t="s">
        <v>719</v>
      </c>
      <c r="H343" s="1" t="s">
        <v>719</v>
      </c>
      <c r="I343" s="1" t="s">
        <v>410</v>
      </c>
      <c r="J343" s="2">
        <v>45674.859722222223</v>
      </c>
      <c r="L343" s="1" t="s">
        <v>18</v>
      </c>
      <c r="M343" s="1" t="str">
        <f>_xlfn.XLOOKUP(I343,Parâmetros!A:A,Parâmetros!B:B,_xlfn.XLOOKUP(Q343,Parâmetros!F:F,Parâmetros!G:G,"NOVA MENSAGEM"))</f>
        <v>CÓD. CLIENTE DIVERGENTE</v>
      </c>
      <c r="N343" s="1" t="str">
        <f>_xlfn.XLOOKUP(M343,Parâmetros!K:K,Parâmetros!L:L,"")</f>
        <v>CÓDIGO DIFERENTE DO CADASTRADO NO BENNER (CLIENTE X GRUPO)</v>
      </c>
      <c r="O343" s="1" t="str">
        <f>_xlfn.XLOOKUP(M343,Parâmetros!B:B,Parâmetros!C:C,_xlfn.XLOOKUP(Base!M339,Parâmetros!G:G,Parâmetros!H:H))</f>
        <v>QUALIDADE DOS DADOS</v>
      </c>
      <c r="P343" s="1" t="str">
        <f>_xlfn.XLOOKUP(I343,Parâmetros!A:A,Parâmetros!D:D,_xlfn.XLOOKUP(Q343,Parâmetros!F:F,Parâmetros!I:I))</f>
        <v>SUPORTE OBT</v>
      </c>
      <c r="Q343" s="1">
        <f t="shared" si="11"/>
        <v>1</v>
      </c>
    </row>
    <row r="344" spans="1:17" x14ac:dyDescent="0.25">
      <c r="A344" s="1" t="str">
        <f>_xlfn.XLOOKUP(D344,'Novo relatório'!B:B,'Novo relatório'!C:C,"RESOLVIDO")</f>
        <v>RESOLVIDO</v>
      </c>
      <c r="C344" t="str">
        <f t="shared" si="10"/>
        <v>RESOLVIDO</v>
      </c>
      <c r="D344" s="1">
        <v>3188630</v>
      </c>
      <c r="E344" s="1" t="s">
        <v>26</v>
      </c>
      <c r="F344" s="2">
        <v>45674.728472222225</v>
      </c>
      <c r="G344" s="1" t="s">
        <v>696</v>
      </c>
      <c r="H344" s="1" t="s">
        <v>696</v>
      </c>
      <c r="I344" s="1" t="s">
        <v>83</v>
      </c>
      <c r="J344" s="2">
        <v>45674.859722222223</v>
      </c>
      <c r="L344" s="1" t="s">
        <v>18</v>
      </c>
      <c r="M344" s="1" t="str">
        <f>_xlfn.XLOOKUP(I344,Parâmetros!A:A,Parâmetros!B:B,_xlfn.XLOOKUP(Q344,Parâmetros!F:F,Parâmetros!G:G,"NOVA MENSAGEM"))</f>
        <v>CLIENTE NÃO IDENTIFICADO</v>
      </c>
      <c r="N344" s="1" t="str">
        <f>_xlfn.XLOOKUP(M344,Parâmetros!K:K,Parâmetros!L:L,"")</f>
        <v>DK DE CLIENTE NÃO PREENCIDO / CLIENTE NÃO CONFIGURADO NO OBT</v>
      </c>
      <c r="O344" s="1" t="str">
        <f>_xlfn.XLOOKUP(M344,Parâmetros!B:B,Parâmetros!C:C,_xlfn.XLOOKUP(Base!M340,Parâmetros!G:G,Parâmetros!H:H))</f>
        <v>INDEFINIDO</v>
      </c>
      <c r="P344" s="1" t="str">
        <f>_xlfn.XLOOKUP(I344,Parâmetros!A:A,Parâmetros!D:D,_xlfn.XLOOKUP(Q344,Parâmetros!F:F,Parâmetros!I:I))</f>
        <v>OPERAÇÕES / SUPORTE KCS</v>
      </c>
      <c r="Q344" s="1" t="str">
        <f t="shared" si="11"/>
        <v>COLUNA I</v>
      </c>
    </row>
    <row r="345" spans="1:17" x14ac:dyDescent="0.25">
      <c r="A345" s="1" t="str">
        <f>_xlfn.XLOOKUP(D345,'Novo relatório'!B:B,'Novo relatório'!C:C,"RESOLVIDO")</f>
        <v>RESOLVIDO</v>
      </c>
      <c r="C345" t="str">
        <f t="shared" si="10"/>
        <v>RESOLVIDO</v>
      </c>
      <c r="D345" s="1">
        <v>3188640</v>
      </c>
      <c r="E345" s="1" t="s">
        <v>26</v>
      </c>
      <c r="F345" s="2">
        <v>45674.728472222225</v>
      </c>
      <c r="G345" s="1" t="s">
        <v>805</v>
      </c>
      <c r="H345" s="1" t="s">
        <v>805</v>
      </c>
      <c r="I345" s="1" t="s">
        <v>83</v>
      </c>
      <c r="J345" s="2">
        <v>45674.861111111109</v>
      </c>
      <c r="K345" s="2"/>
      <c r="L345" s="1" t="s">
        <v>18</v>
      </c>
      <c r="M345" s="1" t="str">
        <f>_xlfn.XLOOKUP(I345,Parâmetros!A:A,Parâmetros!B:B,_xlfn.XLOOKUP(Q345,Parâmetros!F:F,Parâmetros!G:G,"NOVA MENSAGEM"))</f>
        <v>CLIENTE NÃO IDENTIFICADO</v>
      </c>
      <c r="N345" s="1" t="str">
        <f>_xlfn.XLOOKUP(M345,Parâmetros!K:K,Parâmetros!L:L,"")</f>
        <v>DK DE CLIENTE NÃO PREENCIDO / CLIENTE NÃO CONFIGURADO NO OBT</v>
      </c>
      <c r="O345" s="1" t="str">
        <f>_xlfn.XLOOKUP(M345,Parâmetros!B:B,Parâmetros!C:C,_xlfn.XLOOKUP(Base!M341,Parâmetros!G:G,Parâmetros!H:H))</f>
        <v>INDEFINIDO</v>
      </c>
      <c r="P345" s="1" t="str">
        <f>_xlfn.XLOOKUP(I345,Parâmetros!A:A,Parâmetros!D:D,_xlfn.XLOOKUP(Q345,Parâmetros!F:F,Parâmetros!I:I))</f>
        <v>OPERAÇÕES / SUPORTE KCS</v>
      </c>
      <c r="Q345" s="1" t="str">
        <f t="shared" si="11"/>
        <v>COLUNA I</v>
      </c>
    </row>
    <row r="346" spans="1:17" x14ac:dyDescent="0.25">
      <c r="A346" s="1" t="str">
        <f>_xlfn.XLOOKUP(D346,'Novo relatório'!B:B,'Novo relatório'!C:C,"RESOLVIDO")</f>
        <v>RESOLVIDO</v>
      </c>
      <c r="C346" t="str">
        <f t="shared" si="10"/>
        <v>RESOLVIDO</v>
      </c>
      <c r="D346" s="1">
        <v>3188646</v>
      </c>
      <c r="E346" s="1" t="s">
        <v>26</v>
      </c>
      <c r="F346" s="2">
        <v>45674.728472222225</v>
      </c>
      <c r="G346" s="1" t="s">
        <v>876</v>
      </c>
      <c r="H346" s="1" t="s">
        <v>876</v>
      </c>
      <c r="I346" s="1" t="s">
        <v>620</v>
      </c>
      <c r="J346" s="2">
        <v>45674.861805555556</v>
      </c>
      <c r="K346" s="2"/>
      <c r="L346" s="1" t="s">
        <v>18</v>
      </c>
      <c r="M346" s="1" t="str">
        <f>_xlfn.XLOOKUP(I346,Parâmetros!A:A,Parâmetros!B:B,_xlfn.XLOOKUP(Q346,Parâmetros!F:F,Parâmetros!G:G,"NOVA MENSAGEM"))</f>
        <v>CÓD. CLIENTE DIVERGENTE</v>
      </c>
      <c r="N346" s="1" t="str">
        <f>_xlfn.XLOOKUP(M346,Parâmetros!K:K,Parâmetros!L:L,"")</f>
        <v>CÓDIGO DIFERENTE DO CADASTRADO NO BENNER (CLIENTE X GRUPO)</v>
      </c>
      <c r="O346" s="1" t="str">
        <f>_xlfn.XLOOKUP(M346,Parâmetros!B:B,Parâmetros!C:C,_xlfn.XLOOKUP(Base!M342,Parâmetros!G:G,Parâmetros!H:H))</f>
        <v>QUALIDADE DOS DADOS</v>
      </c>
      <c r="P346" s="1" t="str">
        <f>_xlfn.XLOOKUP(I346,Parâmetros!A:A,Parâmetros!D:D,_xlfn.XLOOKUP(Q346,Parâmetros!F:F,Parâmetros!I:I))</f>
        <v>SUPORTE OBT</v>
      </c>
      <c r="Q346" s="1">
        <f t="shared" si="11"/>
        <v>1</v>
      </c>
    </row>
    <row r="347" spans="1:17" x14ac:dyDescent="0.25">
      <c r="A347" s="1" t="str">
        <f>_xlfn.XLOOKUP(D347,'Novo relatório'!B:B,'Novo relatório'!C:C,"RESOLVIDO")</f>
        <v>RESOLVIDO</v>
      </c>
      <c r="C347" t="str">
        <f t="shared" si="10"/>
        <v>RESOLVIDO</v>
      </c>
      <c r="D347" s="1">
        <v>3188648</v>
      </c>
      <c r="E347" s="1" t="s">
        <v>26</v>
      </c>
      <c r="F347" s="2">
        <v>45674.728472222225</v>
      </c>
      <c r="G347" s="1" t="s">
        <v>874</v>
      </c>
      <c r="H347" s="1" t="s">
        <v>874</v>
      </c>
      <c r="I347" s="1" t="s">
        <v>620</v>
      </c>
      <c r="J347" s="2">
        <v>45674.861805555556</v>
      </c>
      <c r="K347" s="2"/>
      <c r="L347" s="1" t="s">
        <v>18</v>
      </c>
      <c r="M347" s="1" t="str">
        <f>_xlfn.XLOOKUP(I347,Parâmetros!A:A,Parâmetros!B:B,_xlfn.XLOOKUP(Q347,Parâmetros!F:F,Parâmetros!G:G,"NOVA MENSAGEM"))</f>
        <v>CÓD. CLIENTE DIVERGENTE</v>
      </c>
      <c r="N347" s="1" t="str">
        <f>_xlfn.XLOOKUP(M347,Parâmetros!K:K,Parâmetros!L:L,"")</f>
        <v>CÓDIGO DIFERENTE DO CADASTRADO NO BENNER (CLIENTE X GRUPO)</v>
      </c>
      <c r="O347" s="1" t="str">
        <f>_xlfn.XLOOKUP(M347,Parâmetros!B:B,Parâmetros!C:C,_xlfn.XLOOKUP(Base!M343,Parâmetros!G:G,Parâmetros!H:H))</f>
        <v>QUALIDADE DOS DADOS</v>
      </c>
      <c r="P347" s="1" t="str">
        <f>_xlfn.XLOOKUP(I347,Parâmetros!A:A,Parâmetros!D:D,_xlfn.XLOOKUP(Q347,Parâmetros!F:F,Parâmetros!I:I))</f>
        <v>SUPORTE OBT</v>
      </c>
      <c r="Q347" s="1">
        <f t="shared" si="11"/>
        <v>1</v>
      </c>
    </row>
    <row r="348" spans="1:17" x14ac:dyDescent="0.25">
      <c r="A348" s="1" t="str">
        <f>_xlfn.XLOOKUP(D348,'Novo relatório'!B:B,'Novo relatório'!C:C,"RESOLVIDO")</f>
        <v>RESOLVIDO</v>
      </c>
      <c r="C348" t="str">
        <f t="shared" si="10"/>
        <v>RESOLVIDO</v>
      </c>
      <c r="D348" s="1">
        <v>3188650</v>
      </c>
      <c r="E348" s="1" t="s">
        <v>26</v>
      </c>
      <c r="F348" s="2">
        <v>45674.728472222225</v>
      </c>
      <c r="G348" s="1" t="s">
        <v>877</v>
      </c>
      <c r="H348" s="1" t="s">
        <v>877</v>
      </c>
      <c r="I348" s="1" t="s">
        <v>620</v>
      </c>
      <c r="J348" s="2">
        <v>45674.861805555556</v>
      </c>
      <c r="K348" s="2"/>
      <c r="L348" s="1" t="s">
        <v>18</v>
      </c>
      <c r="M348" s="1" t="str">
        <f>_xlfn.XLOOKUP(I348,Parâmetros!A:A,Parâmetros!B:B,_xlfn.XLOOKUP(Q348,Parâmetros!F:F,Parâmetros!G:G,"NOVA MENSAGEM"))</f>
        <v>CÓD. CLIENTE DIVERGENTE</v>
      </c>
      <c r="N348" s="1" t="str">
        <f>_xlfn.XLOOKUP(M348,Parâmetros!K:K,Parâmetros!L:L,"")</f>
        <v>CÓDIGO DIFERENTE DO CADASTRADO NO BENNER (CLIENTE X GRUPO)</v>
      </c>
      <c r="O348" s="1" t="str">
        <f>_xlfn.XLOOKUP(M348,Parâmetros!B:B,Parâmetros!C:C,_xlfn.XLOOKUP(Base!M344,Parâmetros!G:G,Parâmetros!H:H))</f>
        <v>QUALIDADE DOS DADOS</v>
      </c>
      <c r="P348" s="1" t="str">
        <f>_xlfn.XLOOKUP(I348,Parâmetros!A:A,Parâmetros!D:D,_xlfn.XLOOKUP(Q348,Parâmetros!F:F,Parâmetros!I:I))</f>
        <v>SUPORTE OBT</v>
      </c>
      <c r="Q348" s="1">
        <f t="shared" si="11"/>
        <v>1</v>
      </c>
    </row>
    <row r="349" spans="1:17" x14ac:dyDescent="0.25">
      <c r="A349" s="1" t="str">
        <f>_xlfn.XLOOKUP(D349,'Novo relatório'!B:B,'Novo relatório'!C:C,"RESOLVIDO")</f>
        <v>RESOLVIDO</v>
      </c>
      <c r="C349" t="str">
        <f t="shared" si="10"/>
        <v>RESOLVIDO</v>
      </c>
      <c r="D349" s="1">
        <v>3190149</v>
      </c>
      <c r="E349" s="1" t="s">
        <v>26</v>
      </c>
      <c r="F349" s="2">
        <v>45677.632638888892</v>
      </c>
      <c r="G349" s="1" t="s">
        <v>808</v>
      </c>
      <c r="H349" s="1" t="s">
        <v>808</v>
      </c>
      <c r="I349" s="1" t="s">
        <v>394</v>
      </c>
      <c r="J349" s="2">
        <v>45677.626388888886</v>
      </c>
      <c r="K349" s="2">
        <v>45677.765277777777</v>
      </c>
      <c r="L349" s="1" t="s">
        <v>18</v>
      </c>
      <c r="M349" s="1" t="str">
        <f>_xlfn.XLOOKUP(I349,Parâmetros!A:A,Parâmetros!B:B,_xlfn.XLOOKUP(Q349,Parâmetros!F:F,Parâmetros!G:G,"NOVA MENSAGEM"))</f>
        <v>REMARK - CNPJ</v>
      </c>
      <c r="N349" s="1" t="str">
        <f>_xlfn.XLOOKUP(M349,Parâmetros!K:K,Parâmetros!L:L,"")</f>
        <v/>
      </c>
      <c r="O349" s="1" t="e">
        <f>_xlfn.XLOOKUP(M349,Parâmetros!B:B,Parâmetros!C:C,_xlfn.XLOOKUP(Base!M345,Parâmetros!G:G,Parâmetros!H:H))</f>
        <v>#N/A</v>
      </c>
      <c r="P349" s="1" t="str">
        <f>_xlfn.XLOOKUP(I349,Parâmetros!A:A,Parâmetros!D:D,_xlfn.XLOOKUP(Q349,Parâmetros!F:F,Parâmetros!I:I))</f>
        <v>OPERAÇÕES / SUPORTE KCS</v>
      </c>
      <c r="Q349" s="1">
        <f t="shared" si="11"/>
        <v>24</v>
      </c>
    </row>
    <row r="350" spans="1:17" x14ac:dyDescent="0.25">
      <c r="A350" s="1" t="str">
        <f>_xlfn.XLOOKUP(D350,'Novo relatório'!B:B,'Novo relatório'!C:C,"RESOLVIDO")</f>
        <v>RESOLVIDO</v>
      </c>
      <c r="C350" t="str">
        <f t="shared" si="10"/>
        <v>RESOLVIDO</v>
      </c>
      <c r="D350" s="1">
        <v>3190285</v>
      </c>
      <c r="E350" s="1" t="s">
        <v>26</v>
      </c>
      <c r="F350" s="2">
        <v>45677.586111111108</v>
      </c>
      <c r="G350" s="1" t="s">
        <v>925</v>
      </c>
      <c r="H350" s="1" t="s">
        <v>926</v>
      </c>
      <c r="I350" s="1" t="s">
        <v>85</v>
      </c>
      <c r="J350" s="2">
        <v>45677.712500000001</v>
      </c>
      <c r="K350" s="2"/>
      <c r="L350" s="1" t="s">
        <v>18</v>
      </c>
      <c r="M350" s="1" t="str">
        <f>_xlfn.XLOOKUP(I350,Parâmetros!A:A,Parâmetros!B:B,_xlfn.XLOOKUP(Q350,Parâmetros!F:F,Parâmetros!G:G,"NOVA MENSAGEM"))</f>
        <v>CLIENTE NÃO IDENTIFICADO</v>
      </c>
      <c r="N350" s="1" t="str">
        <f>_xlfn.XLOOKUP(M350,Parâmetros!K:K,Parâmetros!L:L,"")</f>
        <v>DK DE CLIENTE NÃO PREENCIDO / CLIENTE NÃO CONFIGURADO NO OBT</v>
      </c>
      <c r="O350" s="1" t="str">
        <f>_xlfn.XLOOKUP(M350,Parâmetros!B:B,Parâmetros!C:C,_xlfn.XLOOKUP(Base!M346,Parâmetros!G:G,Parâmetros!H:H))</f>
        <v>INDEFINIDO</v>
      </c>
      <c r="P350" s="1" t="str">
        <f>_xlfn.XLOOKUP(I350,Parâmetros!A:A,Parâmetros!D:D,_xlfn.XLOOKUP(Q350,Parâmetros!F:F,Parâmetros!I:I))</f>
        <v>OPERAÇÕES / SUPORTE KCS</v>
      </c>
      <c r="Q350" s="1" t="str">
        <f t="shared" si="11"/>
        <v>COLUNA I</v>
      </c>
    </row>
    <row r="351" spans="1:17" x14ac:dyDescent="0.25">
      <c r="A351" s="1" t="str">
        <f>_xlfn.XLOOKUP(D351,'Novo relatório'!B:B,'Novo relatório'!C:C,"RESOLVIDO")</f>
        <v>TMS</v>
      </c>
      <c r="C351" t="str">
        <f t="shared" si="10"/>
        <v>PENDENTE</v>
      </c>
      <c r="D351" s="1">
        <v>3190954</v>
      </c>
      <c r="E351" s="1" t="s">
        <v>12</v>
      </c>
      <c r="F351" s="2">
        <v>45677.50277777778</v>
      </c>
      <c r="G351" s="1">
        <v>46840</v>
      </c>
      <c r="H351" s="1">
        <v>46840</v>
      </c>
      <c r="I351" s="1" t="s">
        <v>929</v>
      </c>
      <c r="J351" s="2">
        <v>45677.76458333333</v>
      </c>
      <c r="K351" s="2">
        <v>45691.713888888888</v>
      </c>
      <c r="L351" s="1" t="s">
        <v>14</v>
      </c>
      <c r="M351" s="1" t="str">
        <f>_xlfn.XLOOKUP(I351,Parâmetros!A:A,Parâmetros!B:B,_xlfn.XLOOKUP(Q351,Parâmetros!F:F,Parâmetros!G:G,"NOVA MENSAGEM"))</f>
        <v>ASSENTO / BAGAGEM</v>
      </c>
      <c r="N351" s="1" t="str">
        <f>_xlfn.XLOOKUP(M351,Parâmetros!K:K,Parâmetros!L:L,"")</f>
        <v>CAMPO OBSERVAÇÃO PREENCHIDO INCORRETAMENTE</v>
      </c>
      <c r="O351" s="1" t="str">
        <f>_xlfn.XLOOKUP(M351,Parâmetros!B:B,Parâmetros!C:C,_xlfn.XLOOKUP(Base!M347,Parâmetros!G:G,Parâmetros!H:H))</f>
        <v>QUALIDADE DOS DADOS</v>
      </c>
      <c r="P351" s="1" t="str">
        <f>_xlfn.XLOOKUP(I351,Parâmetros!A:A,Parâmetros!D:D,_xlfn.XLOOKUP(Q351,Parâmetros!F:F,Parâmetros!I:I))</f>
        <v>OPERAÇÕES / SUPORTE KCS</v>
      </c>
      <c r="Q351" s="1">
        <f t="shared" si="11"/>
        <v>127</v>
      </c>
    </row>
    <row r="352" spans="1:17" x14ac:dyDescent="0.25">
      <c r="A352" s="1" t="str">
        <f>_xlfn.XLOOKUP(D352,'Novo relatório'!B:B,'Novo relatório'!C:C,"RESOLVIDO")</f>
        <v>RESOLVIDO</v>
      </c>
      <c r="C352" t="str">
        <f t="shared" si="10"/>
        <v>RESOLVIDO</v>
      </c>
      <c r="D352" s="1">
        <v>3190997</v>
      </c>
      <c r="E352" s="1" t="s">
        <v>26</v>
      </c>
      <c r="F352" s="2">
        <v>45677.632638888892</v>
      </c>
      <c r="G352" s="1" t="s">
        <v>816</v>
      </c>
      <c r="H352" s="1" t="s">
        <v>816</v>
      </c>
      <c r="I352" s="1" t="s">
        <v>394</v>
      </c>
      <c r="J352" s="2">
        <v>45677.76666666667</v>
      </c>
      <c r="K352" s="2"/>
      <c r="L352" s="1" t="s">
        <v>18</v>
      </c>
      <c r="M352" s="1" t="str">
        <f>_xlfn.XLOOKUP(I352,Parâmetros!A:A,Parâmetros!B:B,_xlfn.XLOOKUP(Q352,Parâmetros!F:F,Parâmetros!G:G,"NOVA MENSAGEM"))</f>
        <v>REMARK - CNPJ</v>
      </c>
      <c r="N352" s="1" t="str">
        <f>_xlfn.XLOOKUP(M352,Parâmetros!K:K,Parâmetros!L:L,"")</f>
        <v/>
      </c>
      <c r="O352" s="1" t="str">
        <f>_xlfn.XLOOKUP(M352,Parâmetros!B:B,Parâmetros!C:C,_xlfn.XLOOKUP(Base!M348,Parâmetros!G:G,Parâmetros!H:H))</f>
        <v>QUALIDADE DOS DADOS</v>
      </c>
      <c r="P352" s="1" t="str">
        <f>_xlfn.XLOOKUP(I352,Parâmetros!A:A,Parâmetros!D:D,_xlfn.XLOOKUP(Q352,Parâmetros!F:F,Parâmetros!I:I))</f>
        <v>OPERAÇÕES / SUPORTE KCS</v>
      </c>
      <c r="Q352" s="1">
        <f t="shared" si="11"/>
        <v>24</v>
      </c>
    </row>
    <row r="353" spans="1:17" x14ac:dyDescent="0.25">
      <c r="A353" s="1" t="str">
        <f>_xlfn.XLOOKUP(D353,'Novo relatório'!B:B,'Novo relatório'!C:C,"RESOLVIDO")</f>
        <v>RESOLVIDO</v>
      </c>
      <c r="C353" t="str">
        <f t="shared" si="10"/>
        <v>RESOLVIDO</v>
      </c>
      <c r="D353" s="1">
        <v>3191003</v>
      </c>
      <c r="E353" s="1" t="s">
        <v>26</v>
      </c>
      <c r="F353" s="2">
        <v>45677.632638888892</v>
      </c>
      <c r="G353" s="1" t="s">
        <v>742</v>
      </c>
      <c r="H353" s="1" t="s">
        <v>742</v>
      </c>
      <c r="I353" s="1" t="s">
        <v>83</v>
      </c>
      <c r="J353" s="2">
        <v>45677.767361111109</v>
      </c>
      <c r="L353" s="1" t="s">
        <v>18</v>
      </c>
      <c r="M353" s="1" t="str">
        <f>_xlfn.XLOOKUP(I353,Parâmetros!A:A,Parâmetros!B:B,_xlfn.XLOOKUP(Q353,Parâmetros!F:F,Parâmetros!G:G,"NOVA MENSAGEM"))</f>
        <v>CLIENTE NÃO IDENTIFICADO</v>
      </c>
      <c r="N353" s="1" t="str">
        <f>_xlfn.XLOOKUP(M353,Parâmetros!K:K,Parâmetros!L:L,"")</f>
        <v>DK DE CLIENTE NÃO PREENCIDO / CLIENTE NÃO CONFIGURADO NO OBT</v>
      </c>
      <c r="O353" s="1" t="str">
        <f>_xlfn.XLOOKUP(M353,Parâmetros!B:B,Parâmetros!C:C,_xlfn.XLOOKUP(Base!M349,Parâmetros!G:G,Parâmetros!H:H))</f>
        <v>INDEFINIDO</v>
      </c>
      <c r="P353" s="1" t="str">
        <f>_xlfn.XLOOKUP(I353,Parâmetros!A:A,Parâmetros!D:D,_xlfn.XLOOKUP(Q353,Parâmetros!F:F,Parâmetros!I:I))</f>
        <v>OPERAÇÕES / SUPORTE KCS</v>
      </c>
      <c r="Q353" s="1" t="str">
        <f t="shared" si="11"/>
        <v>COLUNA I</v>
      </c>
    </row>
    <row r="354" spans="1:17" x14ac:dyDescent="0.25">
      <c r="A354" s="1" t="str">
        <f>_xlfn.XLOOKUP(D354,'Novo relatório'!B:B,'Novo relatório'!C:C,"RESOLVIDO")</f>
        <v>GOVER</v>
      </c>
      <c r="C354" t="str">
        <f t="shared" si="10"/>
        <v>PENDENTE</v>
      </c>
      <c r="D354" s="1">
        <v>3193983</v>
      </c>
      <c r="E354" s="1" t="s">
        <v>24</v>
      </c>
      <c r="F354" s="2">
        <v>45678.527083333334</v>
      </c>
      <c r="G354" s="1">
        <v>4478280</v>
      </c>
      <c r="H354" s="1" t="s">
        <v>933</v>
      </c>
      <c r="I354" s="1" t="s">
        <v>240</v>
      </c>
      <c r="J354" s="2">
        <v>45678.53125</v>
      </c>
      <c r="K354" s="2">
        <v>45699.412499999999</v>
      </c>
      <c r="L354" s="1" t="s">
        <v>14</v>
      </c>
      <c r="M354" s="1" t="str">
        <f>_xlfn.XLOOKUP(I354,Parâmetros!A:A,Parâmetros!B:B,_xlfn.XLOOKUP(Q354,Parâmetros!F:F,Parâmetros!G:G,"NOVA MENSAGEM"))</f>
        <v>CENTRO DE CUSTO</v>
      </c>
      <c r="N354" s="1" t="str">
        <f>_xlfn.XLOOKUP(M354,Parâmetros!K:K,Parâmetros!L:L,"")</f>
        <v>CENTRO DE CUSTO NÃO INFORMADO NA RESERVA</v>
      </c>
      <c r="O354" s="1" t="str">
        <f>_xlfn.XLOOKUP(M354,Parâmetros!B:B,Parâmetros!C:C,_xlfn.XLOOKUP(Base!M350,Parâmetros!G:G,Parâmetros!H:H))</f>
        <v>QUALIDADE DOS DADOS</v>
      </c>
      <c r="P354" s="1" t="str">
        <f>_xlfn.XLOOKUP(I354,Parâmetros!A:A,Parâmetros!D:D,_xlfn.XLOOKUP(Q354,Parâmetros!F:F,Parâmetros!I:I))</f>
        <v>SUPORTE OBT</v>
      </c>
      <c r="Q354" s="1" t="str">
        <f t="shared" si="11"/>
        <v>COLUNA I</v>
      </c>
    </row>
    <row r="355" spans="1:17" x14ac:dyDescent="0.25">
      <c r="A355" s="1" t="str">
        <f>_xlfn.XLOOKUP(D355,'Novo relatório'!B:B,'Novo relatório'!C:C,"RESOLVIDO")</f>
        <v>RESOLVIDO</v>
      </c>
      <c r="C355" t="str">
        <f t="shared" si="10"/>
        <v>RESOLVIDO</v>
      </c>
      <c r="D355" s="1">
        <v>3194360</v>
      </c>
      <c r="E355" s="1" t="s">
        <v>26</v>
      </c>
      <c r="F355" s="2">
        <v>45678.544444444444</v>
      </c>
      <c r="G355" s="1" t="s">
        <v>885</v>
      </c>
      <c r="H355" s="1" t="s">
        <v>885</v>
      </c>
      <c r="I355" s="1" t="s">
        <v>405</v>
      </c>
      <c r="J355" s="2">
        <v>45678.680555555555</v>
      </c>
      <c r="K355" s="2"/>
      <c r="L355" s="1" t="s">
        <v>18</v>
      </c>
      <c r="M355" s="1" t="str">
        <f>_xlfn.XLOOKUP(I355,Parâmetros!A:A,Parâmetros!B:B,_xlfn.XLOOKUP(Q355,Parâmetros!F:F,Parâmetros!G:G,"NOVA MENSAGEM"))</f>
        <v>REMARK - CNPJ</v>
      </c>
      <c r="N355" s="1" t="str">
        <f>_xlfn.XLOOKUP(M355,Parâmetros!K:K,Parâmetros!L:L,"")</f>
        <v/>
      </c>
      <c r="O355" s="1" t="str">
        <f>_xlfn.XLOOKUP(M355,Parâmetros!B:B,Parâmetros!C:C,_xlfn.XLOOKUP(Base!M351,Parâmetros!G:G,Parâmetros!H:H))</f>
        <v>QUALIDADE DOS DADOS</v>
      </c>
      <c r="P355" s="1" t="str">
        <f>_xlfn.XLOOKUP(I355,Parâmetros!A:A,Parâmetros!D:D,_xlfn.XLOOKUP(Q355,Parâmetros!F:F,Parâmetros!I:I))</f>
        <v>OPERAÇÕES / SUPORTE KCS</v>
      </c>
      <c r="Q355" s="1">
        <f t="shared" si="11"/>
        <v>24</v>
      </c>
    </row>
    <row r="356" spans="1:17" x14ac:dyDescent="0.25">
      <c r="A356" s="1" t="str">
        <f>_xlfn.XLOOKUP(D356,'Novo relatório'!B:B,'Novo relatório'!C:C,"RESOLVIDO")</f>
        <v>GOVER</v>
      </c>
      <c r="C356" t="str">
        <f t="shared" si="10"/>
        <v>PENDENTE</v>
      </c>
      <c r="D356" s="1">
        <v>3194810</v>
      </c>
      <c r="E356" s="1" t="s">
        <v>24</v>
      </c>
      <c r="F356" s="2">
        <v>45678.627083333333</v>
      </c>
      <c r="G356" s="1">
        <v>4478539</v>
      </c>
      <c r="H356" s="1" t="s">
        <v>934</v>
      </c>
      <c r="I356" s="1" t="s">
        <v>935</v>
      </c>
      <c r="J356" s="2">
        <v>45678.754166666666</v>
      </c>
      <c r="K356" s="2">
        <v>45699.412499999999</v>
      </c>
      <c r="L356" s="1" t="s">
        <v>14</v>
      </c>
      <c r="M356" s="1" t="str">
        <f>_xlfn.XLOOKUP(I356,Parâmetros!A:A,Parâmetros!B:B,_xlfn.XLOOKUP(Q356,Parâmetros!F:F,Parâmetros!G:G,"NOVA MENSAGEM"))</f>
        <v>TAG - ITEM VEÍCULO</v>
      </c>
      <c r="N356" s="1" t="str">
        <f>_xlfn.XLOOKUP(M356,Parâmetros!K:K,Parâmetros!L:L,"")</f>
        <v>TAGS DE DETALHAMENTO DO SERVIÇO NÃO ENVIADO NO XML</v>
      </c>
      <c r="O356" s="1" t="str">
        <f>_xlfn.XLOOKUP(M356,Parâmetros!B:B,Parâmetros!C:C,_xlfn.XLOOKUP(Base!M352,Parâmetros!G:G,Parâmetros!H:H))</f>
        <v>QUALIDADE DOS DADOS</v>
      </c>
      <c r="P356" s="1" t="str">
        <f>_xlfn.XLOOKUP(I356,Parâmetros!A:A,Parâmetros!D:D,_xlfn.XLOOKUP(Q356,Parâmetros!F:F,Parâmetros!I:I))</f>
        <v>SUPORTE OBT</v>
      </c>
      <c r="Q356" s="1">
        <f t="shared" si="11"/>
        <v>46</v>
      </c>
    </row>
    <row r="357" spans="1:17" x14ac:dyDescent="0.25">
      <c r="A357" s="1" t="str">
        <f>_xlfn.XLOOKUP(D357,'Novo relatório'!B:B,'Novo relatório'!C:C,"RESOLVIDO")</f>
        <v>RESOLVIDO</v>
      </c>
      <c r="C357" t="str">
        <f t="shared" si="10"/>
        <v>RESOLVIDO</v>
      </c>
      <c r="D357" s="1">
        <v>3195590</v>
      </c>
      <c r="E357" s="1" t="s">
        <v>26</v>
      </c>
      <c r="F357" s="2">
        <v>45678.720138888886</v>
      </c>
      <c r="G357" s="1" t="s">
        <v>846</v>
      </c>
      <c r="H357" s="1" t="s">
        <v>846</v>
      </c>
      <c r="I357" s="1" t="s">
        <v>588</v>
      </c>
      <c r="J357" s="2">
        <v>45678.857638888891</v>
      </c>
      <c r="K357" s="2"/>
      <c r="L357" s="1" t="s">
        <v>14</v>
      </c>
      <c r="M357" s="1" t="str">
        <f>_xlfn.XLOOKUP(I357,Parâmetros!A:A,Parâmetros!B:B,_xlfn.XLOOKUP(Q357,Parâmetros!F:F,Parâmetros!G:G,"NOVA MENSAGEM"))</f>
        <v>ERRO NO XML</v>
      </c>
      <c r="N357" s="1" t="str">
        <f>_xlfn.XLOOKUP(M357,Parâmetros!K:K,Parâmetros!L:L,"")</f>
        <v/>
      </c>
      <c r="O357" s="1" t="str">
        <f>_xlfn.XLOOKUP(M357,Parâmetros!B:B,Parâmetros!C:C,_xlfn.XLOOKUP(Base!M353,Parâmetros!G:G,Parâmetros!H:H))</f>
        <v>SISTEMA</v>
      </c>
      <c r="P357" s="1" t="str">
        <f>_xlfn.XLOOKUP(I357,Parâmetros!A:A,Parâmetros!D:D,_xlfn.XLOOKUP(Q357,Parâmetros!F:F,Parâmetros!I:I))</f>
        <v>SUPORTE OBT</v>
      </c>
      <c r="Q357" s="1" t="str">
        <f t="shared" si="11"/>
        <v>COLUNA I</v>
      </c>
    </row>
    <row r="358" spans="1:17" x14ac:dyDescent="0.25">
      <c r="A358" s="1" t="str">
        <f>_xlfn.XLOOKUP(D358,'Novo relatório'!B:B,'Novo relatório'!C:C,"RESOLVIDO")</f>
        <v>RESOLVIDO</v>
      </c>
      <c r="C358" t="str">
        <f t="shared" si="10"/>
        <v>RESOLVIDO</v>
      </c>
      <c r="D358" s="1">
        <v>3195595</v>
      </c>
      <c r="E358" s="1" t="s">
        <v>26</v>
      </c>
      <c r="F358" s="2">
        <v>45679.286111111112</v>
      </c>
      <c r="G358" s="1" t="s">
        <v>880</v>
      </c>
      <c r="H358" s="1" t="s">
        <v>880</v>
      </c>
      <c r="I358" s="1" t="s">
        <v>692</v>
      </c>
      <c r="J358" s="2">
        <v>45678.857638888891</v>
      </c>
      <c r="K358" s="2">
        <v>45679.420138888891</v>
      </c>
      <c r="L358" s="1" t="s">
        <v>18</v>
      </c>
      <c r="M358" s="1" t="str">
        <f>_xlfn.XLOOKUP(I358,Parâmetros!A:A,Parâmetros!B:B,_xlfn.XLOOKUP(Q358,Parâmetros!F:F,Parâmetros!G:G,"NOVA MENSAGEM"))</f>
        <v>REMARK - CNPJ</v>
      </c>
      <c r="N358" s="1" t="str">
        <f>_xlfn.XLOOKUP(M358,Parâmetros!K:K,Parâmetros!L:L,"")</f>
        <v/>
      </c>
      <c r="O358" s="1" t="e">
        <f>_xlfn.XLOOKUP(M358,Parâmetros!B:B,Parâmetros!C:C,_xlfn.XLOOKUP(Base!M354,Parâmetros!G:G,Parâmetros!H:H))</f>
        <v>#N/A</v>
      </c>
      <c r="P358" s="1" t="str">
        <f>_xlfn.XLOOKUP(I358,Parâmetros!A:A,Parâmetros!D:D,_xlfn.XLOOKUP(Q358,Parâmetros!F:F,Parâmetros!I:I))</f>
        <v>OPERAÇÕES / SUPORTE KCS</v>
      </c>
      <c r="Q358" s="1">
        <f t="shared" si="11"/>
        <v>24</v>
      </c>
    </row>
    <row r="359" spans="1:17" x14ac:dyDescent="0.25">
      <c r="A359" s="1" t="str">
        <f>_xlfn.XLOOKUP(D359,'Novo relatório'!B:B,'Novo relatório'!C:C,"RESOLVIDO")</f>
        <v>RESOLVIDO</v>
      </c>
      <c r="C359" t="str">
        <f t="shared" si="10"/>
        <v>RESOLVIDO</v>
      </c>
      <c r="D359" s="1">
        <v>3195597</v>
      </c>
      <c r="E359" s="1" t="s">
        <v>26</v>
      </c>
      <c r="F359" s="2">
        <v>45678.720138888886</v>
      </c>
      <c r="G359" s="1" t="s">
        <v>901</v>
      </c>
      <c r="H359" s="1" t="s">
        <v>901</v>
      </c>
      <c r="I359" s="1" t="s">
        <v>589</v>
      </c>
      <c r="J359" s="2">
        <v>45678.85833333333</v>
      </c>
      <c r="K359" s="2"/>
      <c r="L359" s="1" t="s">
        <v>18</v>
      </c>
      <c r="M359" s="1" t="str">
        <f>_xlfn.XLOOKUP(I359,Parâmetros!A:A,Parâmetros!B:B,_xlfn.XLOOKUP(Q359,Parâmetros!F:F,Parâmetros!G:G,"NOVA MENSAGEM"))</f>
        <v>REMARK - CNPJ</v>
      </c>
      <c r="N359" s="1" t="str">
        <f>_xlfn.XLOOKUP(M359,Parâmetros!K:K,Parâmetros!L:L,"")</f>
        <v/>
      </c>
      <c r="O359" s="1" t="str">
        <f>_xlfn.XLOOKUP(M359,Parâmetros!B:B,Parâmetros!C:C,_xlfn.XLOOKUP(Base!M355,Parâmetros!G:G,Parâmetros!H:H))</f>
        <v>QUALIDADE DOS DADOS</v>
      </c>
      <c r="P359" s="1" t="str">
        <f>_xlfn.XLOOKUP(I359,Parâmetros!A:A,Parâmetros!D:D,_xlfn.XLOOKUP(Q359,Parâmetros!F:F,Parâmetros!I:I))</f>
        <v>OPERAÇÕES / SUPORTE KCS</v>
      </c>
      <c r="Q359" s="1">
        <f t="shared" si="11"/>
        <v>24</v>
      </c>
    </row>
    <row r="360" spans="1:17" x14ac:dyDescent="0.25">
      <c r="A360" s="1" t="str">
        <f>_xlfn.XLOOKUP(D360,'Novo relatório'!B:B,'Novo relatório'!C:C,"RESOLVIDO")</f>
        <v>RESOLVIDO</v>
      </c>
      <c r="C360" t="str">
        <f t="shared" si="10"/>
        <v>RESOLVIDO</v>
      </c>
      <c r="D360" s="1">
        <v>3196086</v>
      </c>
      <c r="E360" s="1" t="s">
        <v>26</v>
      </c>
      <c r="F360" s="2">
        <v>45679.353472222225</v>
      </c>
      <c r="G360" s="1" t="s">
        <v>722</v>
      </c>
      <c r="H360" s="1" t="s">
        <v>722</v>
      </c>
      <c r="I360" s="1" t="s">
        <v>83</v>
      </c>
      <c r="J360" s="2">
        <v>45679.481944444444</v>
      </c>
      <c r="L360" s="1" t="s">
        <v>18</v>
      </c>
      <c r="M360" s="1" t="str">
        <f>_xlfn.XLOOKUP(I360,Parâmetros!A:A,Parâmetros!B:B,_xlfn.XLOOKUP(Q360,Parâmetros!F:F,Parâmetros!G:G,"NOVA MENSAGEM"))</f>
        <v>CLIENTE NÃO IDENTIFICADO</v>
      </c>
      <c r="N360" s="1" t="str">
        <f>_xlfn.XLOOKUP(M360,Parâmetros!K:K,Parâmetros!L:L,"")</f>
        <v>DK DE CLIENTE NÃO PREENCIDO / CLIENTE NÃO CONFIGURADO NO OBT</v>
      </c>
      <c r="O360" s="1" t="str">
        <f>_xlfn.XLOOKUP(M360,Parâmetros!B:B,Parâmetros!C:C,_xlfn.XLOOKUP(Base!M356,Parâmetros!G:G,Parâmetros!H:H))</f>
        <v>INDEFINIDO</v>
      </c>
      <c r="P360" s="1" t="str">
        <f>_xlfn.XLOOKUP(I360,Parâmetros!A:A,Parâmetros!D:D,_xlfn.XLOOKUP(Q360,Parâmetros!F:F,Parâmetros!I:I))</f>
        <v>OPERAÇÕES / SUPORTE KCS</v>
      </c>
      <c r="Q360" s="1" t="str">
        <f t="shared" si="11"/>
        <v>COLUNA I</v>
      </c>
    </row>
    <row r="361" spans="1:17" x14ac:dyDescent="0.25">
      <c r="A361" s="1" t="str">
        <f>_xlfn.XLOOKUP(D361,'Novo relatório'!B:B,'Novo relatório'!C:C,"RESOLVIDO")</f>
        <v>RESOLVIDO</v>
      </c>
      <c r="C361" t="str">
        <f t="shared" si="10"/>
        <v>RESOLVIDO</v>
      </c>
      <c r="D361" s="1">
        <v>3196801</v>
      </c>
      <c r="E361" s="1" t="s">
        <v>26</v>
      </c>
      <c r="F361" s="2">
        <v>45679.489583333336</v>
      </c>
      <c r="G361" s="1" t="s">
        <v>897</v>
      </c>
      <c r="H361" s="1" t="s">
        <v>897</v>
      </c>
      <c r="I361" s="1" t="s">
        <v>692</v>
      </c>
      <c r="J361" s="2">
        <v>45679.618055555555</v>
      </c>
      <c r="L361" s="1" t="s">
        <v>18</v>
      </c>
      <c r="M361" s="1" t="str">
        <f>_xlfn.XLOOKUP(I361,Parâmetros!A:A,Parâmetros!B:B,_xlfn.XLOOKUP(Q361,Parâmetros!F:F,Parâmetros!G:G,"NOVA MENSAGEM"))</f>
        <v>REMARK - CNPJ</v>
      </c>
      <c r="N361" s="1" t="str">
        <f>_xlfn.XLOOKUP(M361,Parâmetros!K:K,Parâmetros!L:L,"")</f>
        <v/>
      </c>
      <c r="O361" s="1" t="str">
        <f>_xlfn.XLOOKUP(M361,Parâmetros!B:B,Parâmetros!C:C,_xlfn.XLOOKUP(Base!M357,Parâmetros!G:G,Parâmetros!H:H))</f>
        <v>INDEFINIDO</v>
      </c>
      <c r="P361" s="1" t="str">
        <f>_xlfn.XLOOKUP(I361,Parâmetros!A:A,Parâmetros!D:D,_xlfn.XLOOKUP(Q361,Parâmetros!F:F,Parâmetros!I:I))</f>
        <v>OPERAÇÕES / SUPORTE KCS</v>
      </c>
      <c r="Q361" s="1">
        <f t="shared" si="11"/>
        <v>24</v>
      </c>
    </row>
    <row r="362" spans="1:17" x14ac:dyDescent="0.25">
      <c r="A362" s="1" t="str">
        <f>_xlfn.XLOOKUP(D362,'Novo relatório'!B:B,'Novo relatório'!C:C,"RESOLVIDO")</f>
        <v>RESOLVIDO</v>
      </c>
      <c r="C362" t="str">
        <f t="shared" si="10"/>
        <v>RESOLVIDO</v>
      </c>
      <c r="D362" s="1">
        <v>3196802</v>
      </c>
      <c r="E362" s="1" t="s">
        <v>26</v>
      </c>
      <c r="F362" s="2">
        <v>45679.489583333336</v>
      </c>
      <c r="G362" s="1" t="s">
        <v>896</v>
      </c>
      <c r="H362" s="1" t="s">
        <v>897</v>
      </c>
      <c r="I362" s="1" t="s">
        <v>898</v>
      </c>
      <c r="J362" s="2">
        <v>45679.618055555555</v>
      </c>
      <c r="K362" s="2"/>
      <c r="L362" s="1" t="s">
        <v>18</v>
      </c>
      <c r="M362" s="1" t="str">
        <f>_xlfn.XLOOKUP(I362,Parâmetros!A:A,Parâmetros!B:B,_xlfn.XLOOKUP(Q362,Parâmetros!F:F,Parâmetros!G:G,"NOVA MENSAGEM"))</f>
        <v>REMARK - CNPJ</v>
      </c>
      <c r="N362" s="1" t="str">
        <f>_xlfn.XLOOKUP(M362,Parâmetros!K:K,Parâmetros!L:L,"")</f>
        <v/>
      </c>
      <c r="O362" s="1" t="str">
        <f>_xlfn.XLOOKUP(M362,Parâmetros!B:B,Parâmetros!C:C,_xlfn.XLOOKUP(Base!M358,Parâmetros!G:G,Parâmetros!H:H))</f>
        <v>QUALIDADE DOS DADOS</v>
      </c>
      <c r="P362" s="1" t="str">
        <f>_xlfn.XLOOKUP(I362,Parâmetros!A:A,Parâmetros!D:D,_xlfn.XLOOKUP(Q362,Parâmetros!F:F,Parâmetros!I:I))</f>
        <v>OPERAÇÕES / SUPORTE KCS</v>
      </c>
      <c r="Q362" s="1">
        <f t="shared" si="11"/>
        <v>24</v>
      </c>
    </row>
    <row r="363" spans="1:17" x14ac:dyDescent="0.25">
      <c r="A363" s="1" t="str">
        <f>_xlfn.XLOOKUP(D363,'Novo relatório'!B:B,'Novo relatório'!C:C,"RESOLVIDO")</f>
        <v>GOVER</v>
      </c>
      <c r="C363" t="str">
        <f t="shared" si="10"/>
        <v>PENDENTE</v>
      </c>
      <c r="D363" s="1">
        <v>3196948</v>
      </c>
      <c r="E363" s="1" t="s">
        <v>24</v>
      </c>
      <c r="F363" s="2">
        <v>45679.668749999997</v>
      </c>
      <c r="G363" s="1">
        <v>4479428</v>
      </c>
      <c r="H363" s="1">
        <v>4479428</v>
      </c>
      <c r="I363" s="1" t="s">
        <v>77</v>
      </c>
      <c r="J363" s="2">
        <v>45679.676388888889</v>
      </c>
      <c r="K363" s="2">
        <v>45699.412499999999</v>
      </c>
      <c r="L363" s="1" t="s">
        <v>14</v>
      </c>
      <c r="M363" s="1" t="str">
        <f>_xlfn.XLOOKUP(I363,Parâmetros!A:A,Parâmetros!B:B,_xlfn.XLOOKUP(Q363,Parâmetros!F:F,Parâmetros!G:G,"NOVA MENSAGEM"))</f>
        <v>RLOC NÃO INFORMADO</v>
      </c>
      <c r="N363" s="1" t="str">
        <f>_xlfn.XLOOKUP(M363,Parâmetros!K:K,Parâmetros!L:L,"")</f>
        <v>RLOC NÃO PREENCHIDO NA RESERVA</v>
      </c>
      <c r="O363" s="1" t="str">
        <f>_xlfn.XLOOKUP(M363,Parâmetros!B:B,Parâmetros!C:C,_xlfn.XLOOKUP(Base!M359,Parâmetros!G:G,Parâmetros!H:H))</f>
        <v>QUALIDADE DOS DADOS</v>
      </c>
      <c r="P363" s="1" t="str">
        <f>_xlfn.XLOOKUP(I363,Parâmetros!A:A,Parâmetros!D:D,_xlfn.XLOOKUP(Q363,Parâmetros!F:F,Parâmetros!I:I))</f>
        <v>SUPORTE OBT</v>
      </c>
      <c r="Q363" s="1" t="str">
        <f t="shared" si="11"/>
        <v>COLUNA I</v>
      </c>
    </row>
    <row r="364" spans="1:17" x14ac:dyDescent="0.25">
      <c r="A364" s="1" t="str">
        <f>_xlfn.XLOOKUP(D364,'Novo relatório'!B:B,'Novo relatório'!C:C,"RESOLVIDO")</f>
        <v>RESOLVIDO</v>
      </c>
      <c r="C364" t="str">
        <f t="shared" si="10"/>
        <v>RESOLVIDO</v>
      </c>
      <c r="D364" s="1">
        <v>3196957</v>
      </c>
      <c r="E364" s="1" t="s">
        <v>26</v>
      </c>
      <c r="F364" s="2">
        <v>45679.545138888891</v>
      </c>
      <c r="G364" s="1" t="s">
        <v>758</v>
      </c>
      <c r="H364" s="1" t="s">
        <v>758</v>
      </c>
      <c r="I364" s="1" t="s">
        <v>83</v>
      </c>
      <c r="J364" s="2">
        <v>45679.679166666669</v>
      </c>
      <c r="K364" s="2"/>
      <c r="L364" s="1" t="s">
        <v>18</v>
      </c>
      <c r="M364" s="1" t="str">
        <f>_xlfn.XLOOKUP(I364,Parâmetros!A:A,Parâmetros!B:B,_xlfn.XLOOKUP(Q364,Parâmetros!F:F,Parâmetros!G:G,"NOVA MENSAGEM"))</f>
        <v>CLIENTE NÃO IDENTIFICADO</v>
      </c>
      <c r="N364" s="1" t="str">
        <f>_xlfn.XLOOKUP(M364,Parâmetros!K:K,Parâmetros!L:L,"")</f>
        <v>DK DE CLIENTE NÃO PREENCIDO / CLIENTE NÃO CONFIGURADO NO OBT</v>
      </c>
      <c r="O364" s="1" t="str">
        <f>_xlfn.XLOOKUP(M364,Parâmetros!B:B,Parâmetros!C:C,_xlfn.XLOOKUP(Base!M360,Parâmetros!G:G,Parâmetros!H:H))</f>
        <v>INDEFINIDO</v>
      </c>
      <c r="P364" s="1" t="str">
        <f>_xlfn.XLOOKUP(I364,Parâmetros!A:A,Parâmetros!D:D,_xlfn.XLOOKUP(Q364,Parâmetros!F:F,Parâmetros!I:I))</f>
        <v>OPERAÇÕES / SUPORTE KCS</v>
      </c>
      <c r="Q364" s="1" t="str">
        <f t="shared" si="11"/>
        <v>COLUNA I</v>
      </c>
    </row>
    <row r="365" spans="1:17" x14ac:dyDescent="0.25">
      <c r="A365" s="1" t="str">
        <f>_xlfn.XLOOKUP(D365,'Novo relatório'!B:B,'Novo relatório'!C:C,"RESOLVIDO")</f>
        <v>RESOLVIDO</v>
      </c>
      <c r="C365" t="str">
        <f t="shared" si="10"/>
        <v>RESOLVIDO</v>
      </c>
      <c r="D365" s="1">
        <v>3196963</v>
      </c>
      <c r="E365" s="1" t="s">
        <v>26</v>
      </c>
      <c r="F365" s="2">
        <v>45679.545138888891</v>
      </c>
      <c r="G365" s="1" t="s">
        <v>784</v>
      </c>
      <c r="H365" s="1" t="s">
        <v>784</v>
      </c>
      <c r="I365" s="1" t="s">
        <v>620</v>
      </c>
      <c r="J365" s="2">
        <v>45679.680555555555</v>
      </c>
      <c r="K365" s="2"/>
      <c r="L365" s="1" t="s">
        <v>18</v>
      </c>
      <c r="M365" s="1" t="str">
        <f>_xlfn.XLOOKUP(I365,Parâmetros!A:A,Parâmetros!B:B,_xlfn.XLOOKUP(Q365,Parâmetros!F:F,Parâmetros!G:G,"NOVA MENSAGEM"))</f>
        <v>CÓD. CLIENTE DIVERGENTE</v>
      </c>
      <c r="N365" s="1" t="str">
        <f>_xlfn.XLOOKUP(M365,Parâmetros!K:K,Parâmetros!L:L,"")</f>
        <v>CÓDIGO DIFERENTE DO CADASTRADO NO BENNER (CLIENTE X GRUPO)</v>
      </c>
      <c r="O365" s="1" t="str">
        <f>_xlfn.XLOOKUP(M365,Parâmetros!B:B,Parâmetros!C:C,_xlfn.XLOOKUP(Base!M361,Parâmetros!G:G,Parâmetros!H:H))</f>
        <v>QUALIDADE DOS DADOS</v>
      </c>
      <c r="P365" s="1" t="str">
        <f>_xlfn.XLOOKUP(I365,Parâmetros!A:A,Parâmetros!D:D,_xlfn.XLOOKUP(Q365,Parâmetros!F:F,Parâmetros!I:I))</f>
        <v>SUPORTE OBT</v>
      </c>
      <c r="Q365" s="1">
        <f t="shared" si="11"/>
        <v>1</v>
      </c>
    </row>
    <row r="366" spans="1:17" x14ac:dyDescent="0.25">
      <c r="A366" s="1" t="str">
        <f>_xlfn.XLOOKUP(D366,'Novo relatório'!B:B,'Novo relatório'!C:C,"RESOLVIDO")</f>
        <v>RESOLVIDO</v>
      </c>
      <c r="C366" t="str">
        <f t="shared" si="10"/>
        <v>RESOLVIDO</v>
      </c>
      <c r="D366" s="1">
        <v>3196965</v>
      </c>
      <c r="E366" s="1" t="s">
        <v>26</v>
      </c>
      <c r="F366" s="2">
        <v>45679.545138888891</v>
      </c>
      <c r="G366" s="1" t="s">
        <v>823</v>
      </c>
      <c r="H366" s="1" t="s">
        <v>823</v>
      </c>
      <c r="I366" s="1" t="s">
        <v>620</v>
      </c>
      <c r="J366" s="2">
        <v>45679.680555555555</v>
      </c>
      <c r="K366" s="2"/>
      <c r="L366" s="1" t="s">
        <v>18</v>
      </c>
      <c r="M366" s="1" t="str">
        <f>_xlfn.XLOOKUP(I366,Parâmetros!A:A,Parâmetros!B:B,_xlfn.XLOOKUP(Q366,Parâmetros!F:F,Parâmetros!G:G,"NOVA MENSAGEM"))</f>
        <v>CÓD. CLIENTE DIVERGENTE</v>
      </c>
      <c r="N366" s="1" t="str">
        <f>_xlfn.XLOOKUP(M366,Parâmetros!K:K,Parâmetros!L:L,"")</f>
        <v>CÓDIGO DIFERENTE DO CADASTRADO NO BENNER (CLIENTE X GRUPO)</v>
      </c>
      <c r="O366" s="1" t="str">
        <f>_xlfn.XLOOKUP(M366,Parâmetros!B:B,Parâmetros!C:C,_xlfn.XLOOKUP(Base!M362,Parâmetros!G:G,Parâmetros!H:H))</f>
        <v>QUALIDADE DOS DADOS</v>
      </c>
      <c r="P366" s="1" t="str">
        <f>_xlfn.XLOOKUP(I366,Parâmetros!A:A,Parâmetros!D:D,_xlfn.XLOOKUP(Q366,Parâmetros!F:F,Parâmetros!I:I))</f>
        <v>SUPORTE OBT</v>
      </c>
      <c r="Q366" s="1">
        <f t="shared" si="11"/>
        <v>1</v>
      </c>
    </row>
    <row r="367" spans="1:17" x14ac:dyDescent="0.25">
      <c r="A367" s="1" t="str">
        <f>_xlfn.XLOOKUP(D367,'Novo relatório'!B:B,'Novo relatório'!C:C,"RESOLVIDO")</f>
        <v>GOVER</v>
      </c>
      <c r="C367" t="str">
        <f t="shared" si="10"/>
        <v>PENDENTE</v>
      </c>
      <c r="D367" s="1">
        <v>3197014</v>
      </c>
      <c r="E367" s="1" t="s">
        <v>24</v>
      </c>
      <c r="F367" s="2">
        <v>45679.6875</v>
      </c>
      <c r="G367" s="1">
        <v>4479464</v>
      </c>
      <c r="H367" s="1">
        <v>4479464</v>
      </c>
      <c r="I367" s="1" t="s">
        <v>77</v>
      </c>
      <c r="J367" s="2">
        <v>45679.697222222225</v>
      </c>
      <c r="K367" s="2">
        <v>45699.412499999999</v>
      </c>
      <c r="L367" s="1" t="s">
        <v>14</v>
      </c>
      <c r="M367" s="1" t="str">
        <f>_xlfn.XLOOKUP(I367,Parâmetros!A:A,Parâmetros!B:B,_xlfn.XLOOKUP(Q367,Parâmetros!F:F,Parâmetros!G:G,"NOVA MENSAGEM"))</f>
        <v>RLOC NÃO INFORMADO</v>
      </c>
      <c r="N367" s="1" t="str">
        <f>_xlfn.XLOOKUP(M367,Parâmetros!K:K,Parâmetros!L:L,"")</f>
        <v>RLOC NÃO PREENCHIDO NA RESERVA</v>
      </c>
      <c r="O367" s="1" t="str">
        <f>_xlfn.XLOOKUP(M367,Parâmetros!B:B,Parâmetros!C:C,_xlfn.XLOOKUP(Base!M363,Parâmetros!G:G,Parâmetros!H:H))</f>
        <v>QUALIDADE DOS DADOS</v>
      </c>
      <c r="P367" s="1" t="str">
        <f>_xlfn.XLOOKUP(I367,Parâmetros!A:A,Parâmetros!D:D,_xlfn.XLOOKUP(Q367,Parâmetros!F:F,Parâmetros!I:I))</f>
        <v>SUPORTE OBT</v>
      </c>
      <c r="Q367" s="1" t="str">
        <f t="shared" si="11"/>
        <v>COLUNA I</v>
      </c>
    </row>
    <row r="368" spans="1:17" x14ac:dyDescent="0.25">
      <c r="A368" s="1" t="str">
        <f>_xlfn.XLOOKUP(D368,'Novo relatório'!B:B,'Novo relatório'!C:C,"RESOLVIDO")</f>
        <v>GOVER</v>
      </c>
      <c r="C368" t="str">
        <f t="shared" si="10"/>
        <v>PENDENTE</v>
      </c>
      <c r="D368" s="1">
        <v>3197026</v>
      </c>
      <c r="E368" s="1" t="s">
        <v>24</v>
      </c>
      <c r="F368" s="2">
        <v>45679.691666666666</v>
      </c>
      <c r="G368" s="1">
        <v>4479468</v>
      </c>
      <c r="H368" s="1">
        <v>4479468</v>
      </c>
      <c r="I368" s="1" t="s">
        <v>77</v>
      </c>
      <c r="J368" s="2">
        <v>45679.70416666667</v>
      </c>
      <c r="K368" s="2">
        <v>45699.412499999999</v>
      </c>
      <c r="L368" s="1" t="s">
        <v>14</v>
      </c>
      <c r="M368" s="1" t="str">
        <f>_xlfn.XLOOKUP(I368,Parâmetros!A:A,Parâmetros!B:B,_xlfn.XLOOKUP(Q368,Parâmetros!F:F,Parâmetros!G:G,"NOVA MENSAGEM"))</f>
        <v>RLOC NÃO INFORMADO</v>
      </c>
      <c r="N368" s="1" t="str">
        <f>_xlfn.XLOOKUP(M368,Parâmetros!K:K,Parâmetros!L:L,"")</f>
        <v>RLOC NÃO PREENCHIDO NA RESERVA</v>
      </c>
      <c r="O368" s="1" t="str">
        <f>_xlfn.XLOOKUP(M368,Parâmetros!B:B,Parâmetros!C:C,_xlfn.XLOOKUP(Base!M364,Parâmetros!G:G,Parâmetros!H:H))</f>
        <v>QUALIDADE DOS DADOS</v>
      </c>
      <c r="P368" s="1" t="str">
        <f>_xlfn.XLOOKUP(I368,Parâmetros!A:A,Parâmetros!D:D,_xlfn.XLOOKUP(Q368,Parâmetros!F:F,Parâmetros!I:I))</f>
        <v>SUPORTE OBT</v>
      </c>
      <c r="Q368" s="1" t="str">
        <f t="shared" si="11"/>
        <v>COLUNA I</v>
      </c>
    </row>
    <row r="369" spans="1:17" x14ac:dyDescent="0.25">
      <c r="A369" s="1" t="str">
        <f>_xlfn.XLOOKUP(D369,'Novo relatório'!B:B,'Novo relatório'!C:C,"RESOLVIDO")</f>
        <v>RESOLVIDO</v>
      </c>
      <c r="C369" t="str">
        <f t="shared" si="10"/>
        <v>RESOLVIDO</v>
      </c>
      <c r="D369" s="1">
        <v>3198178</v>
      </c>
      <c r="E369" s="1" t="s">
        <v>26</v>
      </c>
      <c r="F369" s="2">
        <v>45679.71875</v>
      </c>
      <c r="G369" s="1" t="s">
        <v>868</v>
      </c>
      <c r="H369" s="1" t="s">
        <v>868</v>
      </c>
      <c r="I369" s="1" t="s">
        <v>620</v>
      </c>
      <c r="J369" s="2">
        <v>45679.845833333333</v>
      </c>
      <c r="K369" s="2"/>
      <c r="L369" s="1" t="s">
        <v>18</v>
      </c>
      <c r="M369" s="1" t="str">
        <f>_xlfn.XLOOKUP(I369,Parâmetros!A:A,Parâmetros!B:B,_xlfn.XLOOKUP(Q369,Parâmetros!F:F,Parâmetros!G:G,"NOVA MENSAGEM"))</f>
        <v>CÓD. CLIENTE DIVERGENTE</v>
      </c>
      <c r="N369" s="1" t="str">
        <f>_xlfn.XLOOKUP(M369,Parâmetros!K:K,Parâmetros!L:L,"")</f>
        <v>CÓDIGO DIFERENTE DO CADASTRADO NO BENNER (CLIENTE X GRUPO)</v>
      </c>
      <c r="O369" s="1" t="str">
        <f>_xlfn.XLOOKUP(M369,Parâmetros!B:B,Parâmetros!C:C,_xlfn.XLOOKUP(Base!M365,Parâmetros!G:G,Parâmetros!H:H))</f>
        <v>QUALIDADE DOS DADOS</v>
      </c>
      <c r="P369" s="1" t="str">
        <f>_xlfn.XLOOKUP(I369,Parâmetros!A:A,Parâmetros!D:D,_xlfn.XLOOKUP(Q369,Parâmetros!F:F,Parâmetros!I:I))</f>
        <v>SUPORTE OBT</v>
      </c>
      <c r="Q369" s="1">
        <f t="shared" si="11"/>
        <v>1</v>
      </c>
    </row>
    <row r="370" spans="1:17" x14ac:dyDescent="0.25">
      <c r="A370" s="1" t="str">
        <f>_xlfn.XLOOKUP(D370,'Novo relatório'!B:B,'Novo relatório'!C:C,"RESOLVIDO")</f>
        <v>RESOLVIDO</v>
      </c>
      <c r="C370" t="str">
        <f t="shared" si="10"/>
        <v>RESOLVIDO</v>
      </c>
      <c r="D370" s="1">
        <v>3198183</v>
      </c>
      <c r="E370" s="1" t="s">
        <v>26</v>
      </c>
      <c r="F370" s="2">
        <v>45679.71875</v>
      </c>
      <c r="G370" s="1" t="s">
        <v>749</v>
      </c>
      <c r="H370" s="1" t="s">
        <v>749</v>
      </c>
      <c r="I370" s="1" t="s">
        <v>652</v>
      </c>
      <c r="J370" s="2">
        <v>45679.84652777778</v>
      </c>
      <c r="L370" s="1" t="s">
        <v>18</v>
      </c>
      <c r="M370" s="1" t="str">
        <f>_xlfn.XLOOKUP(I370,Parâmetros!A:A,Parâmetros!B:B,_xlfn.XLOOKUP(Q370,Parâmetros!F:F,Parâmetros!G:G,"NOVA MENSAGEM"))</f>
        <v>CÓD. CLIENTE DIVERGENTE</v>
      </c>
      <c r="N370" s="1" t="str">
        <f>_xlfn.XLOOKUP(M370,Parâmetros!K:K,Parâmetros!L:L,"")</f>
        <v>CÓDIGO DIFERENTE DO CADASTRADO NO BENNER (CLIENTE X GRUPO)</v>
      </c>
      <c r="O370" s="1" t="str">
        <f>_xlfn.XLOOKUP(M370,Parâmetros!B:B,Parâmetros!C:C,_xlfn.XLOOKUP(Base!M366,Parâmetros!G:G,Parâmetros!H:H))</f>
        <v>QUALIDADE DOS DADOS</v>
      </c>
      <c r="P370" s="1" t="str">
        <f>_xlfn.XLOOKUP(I370,Parâmetros!A:A,Parâmetros!D:D,_xlfn.XLOOKUP(Q370,Parâmetros!F:F,Parâmetros!I:I))</f>
        <v>SUPORTE OBT</v>
      </c>
      <c r="Q370" s="1">
        <f t="shared" si="11"/>
        <v>1</v>
      </c>
    </row>
    <row r="371" spans="1:17" x14ac:dyDescent="0.25">
      <c r="A371" s="1" t="str">
        <f>_xlfn.XLOOKUP(D371,'Novo relatório'!B:B,'Novo relatório'!C:C,"RESOLVIDO")</f>
        <v>RESOLVIDO</v>
      </c>
      <c r="C371" t="str">
        <f t="shared" si="10"/>
        <v>RESOLVIDO</v>
      </c>
      <c r="D371" s="1">
        <v>3198185</v>
      </c>
      <c r="E371" s="1" t="s">
        <v>26</v>
      </c>
      <c r="F371" s="2">
        <v>45679.71875</v>
      </c>
      <c r="G371" s="1" t="s">
        <v>783</v>
      </c>
      <c r="H371" s="1" t="s">
        <v>783</v>
      </c>
      <c r="I371" s="1" t="s">
        <v>581</v>
      </c>
      <c r="J371" s="2">
        <v>45679.847222222219</v>
      </c>
      <c r="K371" s="2"/>
      <c r="L371" s="1" t="s">
        <v>18</v>
      </c>
      <c r="M371" s="1" t="str">
        <f>_xlfn.XLOOKUP(I371,Parâmetros!A:A,Parâmetros!B:B,_xlfn.XLOOKUP(Q371,Parâmetros!F:F,Parâmetros!G:G,"NOVA MENSAGEM"))</f>
        <v>REMARK - CNPJ</v>
      </c>
      <c r="N371" s="1" t="str">
        <f>_xlfn.XLOOKUP(M371,Parâmetros!K:K,Parâmetros!L:L,"")</f>
        <v/>
      </c>
      <c r="O371" s="1" t="e">
        <f>_xlfn.XLOOKUP(M371,Parâmetros!B:B,Parâmetros!C:C,_xlfn.XLOOKUP(Base!M367,Parâmetros!G:G,Parâmetros!H:H))</f>
        <v>#N/A</v>
      </c>
      <c r="P371" s="1" t="str">
        <f>_xlfn.XLOOKUP(I371,Parâmetros!A:A,Parâmetros!D:D,_xlfn.XLOOKUP(Q371,Parâmetros!F:F,Parâmetros!I:I))</f>
        <v>OPERAÇÕES / SUPORTE KCS</v>
      </c>
      <c r="Q371" s="1">
        <f t="shared" si="11"/>
        <v>24</v>
      </c>
    </row>
    <row r="372" spans="1:17" x14ac:dyDescent="0.25">
      <c r="A372" s="1" t="str">
        <f>_xlfn.XLOOKUP(D372,'Novo relatório'!B:B,'Novo relatório'!C:C,"RESOLVIDO")</f>
        <v>RESOLVIDO</v>
      </c>
      <c r="C372" t="str">
        <f t="shared" si="10"/>
        <v>RESOLVIDO</v>
      </c>
      <c r="D372" s="1">
        <v>3198186</v>
      </c>
      <c r="E372" s="1" t="s">
        <v>26</v>
      </c>
      <c r="F372" s="2">
        <v>45679.71875</v>
      </c>
      <c r="G372" s="1" t="s">
        <v>827</v>
      </c>
      <c r="H372" s="1" t="s">
        <v>827</v>
      </c>
      <c r="I372" s="1" t="s">
        <v>83</v>
      </c>
      <c r="J372" s="2">
        <v>45679.847916666666</v>
      </c>
      <c r="K372" s="2"/>
      <c r="L372" s="1" t="s">
        <v>18</v>
      </c>
      <c r="M372" s="1" t="str">
        <f>_xlfn.XLOOKUP(I372,Parâmetros!A:A,Parâmetros!B:B,_xlfn.XLOOKUP(Q372,Parâmetros!F:F,Parâmetros!G:G,"NOVA MENSAGEM"))</f>
        <v>CLIENTE NÃO IDENTIFICADO</v>
      </c>
      <c r="N372" s="1" t="str">
        <f>_xlfn.XLOOKUP(M372,Parâmetros!K:K,Parâmetros!L:L,"")</f>
        <v>DK DE CLIENTE NÃO PREENCIDO / CLIENTE NÃO CONFIGURADO NO OBT</v>
      </c>
      <c r="O372" s="1" t="str">
        <f>_xlfn.XLOOKUP(M372,Parâmetros!B:B,Parâmetros!C:C,_xlfn.XLOOKUP(Base!M368,Parâmetros!G:G,Parâmetros!H:H))</f>
        <v>INDEFINIDO</v>
      </c>
      <c r="P372" s="1" t="str">
        <f>_xlfn.XLOOKUP(I372,Parâmetros!A:A,Parâmetros!D:D,_xlfn.XLOOKUP(Q372,Parâmetros!F:F,Parâmetros!I:I))</f>
        <v>OPERAÇÕES / SUPORTE KCS</v>
      </c>
      <c r="Q372" s="1" t="str">
        <f t="shared" si="11"/>
        <v>COLUNA I</v>
      </c>
    </row>
    <row r="373" spans="1:17" x14ac:dyDescent="0.25">
      <c r="A373" s="1" t="str">
        <f>_xlfn.XLOOKUP(D373,'Novo relatório'!B:B,'Novo relatório'!C:C,"RESOLVIDO")</f>
        <v>RESOLVIDO</v>
      </c>
      <c r="C373" t="str">
        <f t="shared" si="10"/>
        <v>RESOLVIDO</v>
      </c>
      <c r="D373" s="1">
        <v>3198188</v>
      </c>
      <c r="E373" s="1" t="s">
        <v>26</v>
      </c>
      <c r="F373" s="2">
        <v>45679.71875</v>
      </c>
      <c r="G373" s="1" t="s">
        <v>798</v>
      </c>
      <c r="H373" s="1" t="s">
        <v>798</v>
      </c>
      <c r="I373" s="1" t="s">
        <v>799</v>
      </c>
      <c r="J373" s="2">
        <v>45679.847916666666</v>
      </c>
      <c r="K373" s="2"/>
      <c r="L373" s="1" t="s">
        <v>18</v>
      </c>
      <c r="M373" s="1" t="str">
        <f>_xlfn.XLOOKUP(I373,Parâmetros!A:A,Parâmetros!B:B,_xlfn.XLOOKUP(Q373,Parâmetros!F:F,Parâmetros!G:G,"NOVA MENSAGEM"))</f>
        <v>REMARK - CNPJ</v>
      </c>
      <c r="N373" s="1" t="str">
        <f>_xlfn.XLOOKUP(M373,Parâmetros!K:K,Parâmetros!L:L,"")</f>
        <v/>
      </c>
      <c r="O373" s="1" t="str">
        <f>_xlfn.XLOOKUP(M373,Parâmetros!B:B,Parâmetros!C:C,_xlfn.XLOOKUP(Base!M369,Parâmetros!G:G,Parâmetros!H:H))</f>
        <v>QUALIDADE DOS DADOS</v>
      </c>
      <c r="P373" s="1" t="str">
        <f>_xlfn.XLOOKUP(I373,Parâmetros!A:A,Parâmetros!D:D,_xlfn.XLOOKUP(Q373,Parâmetros!F:F,Parâmetros!I:I))</f>
        <v>OPERAÇÕES / SUPORTE KCS</v>
      </c>
      <c r="Q373" s="1">
        <f t="shared" si="11"/>
        <v>24</v>
      </c>
    </row>
    <row r="374" spans="1:17" x14ac:dyDescent="0.25">
      <c r="A374" s="1" t="str">
        <f>_xlfn.XLOOKUP(D374,'Novo relatório'!B:B,'Novo relatório'!C:C,"RESOLVIDO")</f>
        <v>RESOLVIDO</v>
      </c>
      <c r="C374" t="str">
        <f t="shared" si="10"/>
        <v>RESOLVIDO</v>
      </c>
      <c r="D374" s="1">
        <v>3198189</v>
      </c>
      <c r="E374" s="1" t="s">
        <v>26</v>
      </c>
      <c r="F374" s="2">
        <v>45679.71875</v>
      </c>
      <c r="G374" s="1" t="s">
        <v>797</v>
      </c>
      <c r="H374" s="1" t="s">
        <v>797</v>
      </c>
      <c r="I374" s="1" t="s">
        <v>83</v>
      </c>
      <c r="J374" s="2">
        <v>45679.847916666666</v>
      </c>
      <c r="K374" s="2"/>
      <c r="L374" s="1" t="s">
        <v>18</v>
      </c>
      <c r="M374" s="1" t="str">
        <f>_xlfn.XLOOKUP(I374,Parâmetros!A:A,Parâmetros!B:B,_xlfn.XLOOKUP(Q374,Parâmetros!F:F,Parâmetros!G:G,"NOVA MENSAGEM"))</f>
        <v>CLIENTE NÃO IDENTIFICADO</v>
      </c>
      <c r="N374" s="1" t="str">
        <f>_xlfn.XLOOKUP(M374,Parâmetros!K:K,Parâmetros!L:L,"")</f>
        <v>DK DE CLIENTE NÃO PREENCIDO / CLIENTE NÃO CONFIGURADO NO OBT</v>
      </c>
      <c r="O374" s="1" t="str">
        <f>_xlfn.XLOOKUP(M374,Parâmetros!B:B,Parâmetros!C:C,_xlfn.XLOOKUP(Base!M370,Parâmetros!G:G,Parâmetros!H:H))</f>
        <v>INDEFINIDO</v>
      </c>
      <c r="P374" s="1" t="str">
        <f>_xlfn.XLOOKUP(I374,Parâmetros!A:A,Parâmetros!D:D,_xlfn.XLOOKUP(Q374,Parâmetros!F:F,Parâmetros!I:I))</f>
        <v>OPERAÇÕES / SUPORTE KCS</v>
      </c>
      <c r="Q374" s="1" t="str">
        <f t="shared" si="11"/>
        <v>COLUNA I</v>
      </c>
    </row>
    <row r="375" spans="1:17" x14ac:dyDescent="0.25">
      <c r="A375" s="1" t="str">
        <f>_xlfn.XLOOKUP(D375,'Novo relatório'!B:B,'Novo relatório'!C:C,"RESOLVIDO")</f>
        <v>RESOLVIDO</v>
      </c>
      <c r="C375" t="str">
        <f t="shared" si="10"/>
        <v>RESOLVIDO</v>
      </c>
      <c r="D375" s="1">
        <v>3198190</v>
      </c>
      <c r="E375" s="1" t="s">
        <v>26</v>
      </c>
      <c r="F375" s="2">
        <v>45679.71875</v>
      </c>
      <c r="G375" s="1" t="s">
        <v>796</v>
      </c>
      <c r="H375" s="1" t="s">
        <v>796</v>
      </c>
      <c r="I375" s="1" t="s">
        <v>83</v>
      </c>
      <c r="J375" s="2">
        <v>45679.847916666666</v>
      </c>
      <c r="K375" s="2"/>
      <c r="L375" s="1" t="s">
        <v>18</v>
      </c>
      <c r="M375" s="1" t="str">
        <f>_xlfn.XLOOKUP(I375,Parâmetros!A:A,Parâmetros!B:B,_xlfn.XLOOKUP(Q375,Parâmetros!F:F,Parâmetros!G:G,"NOVA MENSAGEM"))</f>
        <v>CLIENTE NÃO IDENTIFICADO</v>
      </c>
      <c r="N375" s="1" t="str">
        <f>_xlfn.XLOOKUP(M375,Parâmetros!K:K,Parâmetros!L:L,"")</f>
        <v>DK DE CLIENTE NÃO PREENCIDO / CLIENTE NÃO CONFIGURADO NO OBT</v>
      </c>
      <c r="O375" s="1" t="str">
        <f>_xlfn.XLOOKUP(M375,Parâmetros!B:B,Parâmetros!C:C,_xlfn.XLOOKUP(Base!M371,Parâmetros!G:G,Parâmetros!H:H))</f>
        <v>INDEFINIDO</v>
      </c>
      <c r="P375" s="1" t="str">
        <f>_xlfn.XLOOKUP(I375,Parâmetros!A:A,Parâmetros!D:D,_xlfn.XLOOKUP(Q375,Parâmetros!F:F,Parâmetros!I:I))</f>
        <v>OPERAÇÕES / SUPORTE KCS</v>
      </c>
      <c r="Q375" s="1" t="str">
        <f t="shared" si="11"/>
        <v>COLUNA I</v>
      </c>
    </row>
    <row r="376" spans="1:17" x14ac:dyDescent="0.25">
      <c r="A376" s="1" t="str">
        <f>_xlfn.XLOOKUP(D376,'Novo relatório'!B:B,'Novo relatório'!C:C,"RESOLVIDO")</f>
        <v>RESOLVIDO</v>
      </c>
      <c r="C376" t="str">
        <f t="shared" si="10"/>
        <v>RESOLVIDO</v>
      </c>
      <c r="D376" s="1">
        <v>3198192</v>
      </c>
      <c r="E376" s="1" t="s">
        <v>26</v>
      </c>
      <c r="F376" s="2">
        <v>45679.71875</v>
      </c>
      <c r="G376" s="1" t="s">
        <v>794</v>
      </c>
      <c r="H376" s="1" t="s">
        <v>794</v>
      </c>
      <c r="I376" s="1" t="s">
        <v>396</v>
      </c>
      <c r="J376" s="2">
        <v>45679.848611111112</v>
      </c>
      <c r="K376" s="2"/>
      <c r="L376" s="1" t="s">
        <v>18</v>
      </c>
      <c r="M376" s="1" t="str">
        <f>_xlfn.XLOOKUP(I376,Parâmetros!A:A,Parâmetros!B:B,_xlfn.XLOOKUP(Q376,Parâmetros!F:F,Parâmetros!G:G,"NOVA MENSAGEM"))</f>
        <v>CÓD. CLIENTE DIVERGENTE</v>
      </c>
      <c r="N376" s="1" t="str">
        <f>_xlfn.XLOOKUP(M376,Parâmetros!K:K,Parâmetros!L:L,"")</f>
        <v>CÓDIGO DIFERENTE DO CADASTRADO NO BENNER (CLIENTE X GRUPO)</v>
      </c>
      <c r="O376" s="1" t="str">
        <f>_xlfn.XLOOKUP(M376,Parâmetros!B:B,Parâmetros!C:C,_xlfn.XLOOKUP(Base!M372,Parâmetros!G:G,Parâmetros!H:H))</f>
        <v>QUALIDADE DOS DADOS</v>
      </c>
      <c r="P376" s="1" t="str">
        <f>_xlfn.XLOOKUP(I376,Parâmetros!A:A,Parâmetros!D:D,_xlfn.XLOOKUP(Q376,Parâmetros!F:F,Parâmetros!I:I))</f>
        <v>SUPORTE OBT</v>
      </c>
      <c r="Q376" s="1">
        <f t="shared" si="11"/>
        <v>1</v>
      </c>
    </row>
    <row r="377" spans="1:17" x14ac:dyDescent="0.25">
      <c r="A377" s="1" t="str">
        <f>_xlfn.XLOOKUP(D377,'Novo relatório'!B:B,'Novo relatório'!C:C,"RESOLVIDO")</f>
        <v>RESOLVIDO</v>
      </c>
      <c r="C377" t="str">
        <f t="shared" si="10"/>
        <v>RESOLVIDO</v>
      </c>
      <c r="D377" s="1">
        <v>3198194</v>
      </c>
      <c r="E377" s="1" t="s">
        <v>26</v>
      </c>
      <c r="F377" s="2">
        <v>45679.71875</v>
      </c>
      <c r="G377" s="1" t="s">
        <v>778</v>
      </c>
      <c r="H377" s="1" t="s">
        <v>778</v>
      </c>
      <c r="I377" s="1" t="s">
        <v>589</v>
      </c>
      <c r="J377" s="2">
        <v>45679.848611111112</v>
      </c>
      <c r="K377" s="2"/>
      <c r="L377" s="1" t="s">
        <v>18</v>
      </c>
      <c r="M377" s="1" t="str">
        <f>_xlfn.XLOOKUP(I377,Parâmetros!A:A,Parâmetros!B:B,_xlfn.XLOOKUP(Q377,Parâmetros!F:F,Parâmetros!G:G,"NOVA MENSAGEM"))</f>
        <v>REMARK - CNPJ</v>
      </c>
      <c r="N377" s="1" t="str">
        <f>_xlfn.XLOOKUP(M377,Parâmetros!K:K,Parâmetros!L:L,"")</f>
        <v/>
      </c>
      <c r="O377" s="1" t="str">
        <f>_xlfn.XLOOKUP(M377,Parâmetros!B:B,Parâmetros!C:C,_xlfn.XLOOKUP(Base!M373,Parâmetros!G:G,Parâmetros!H:H))</f>
        <v>QUALIDADE DOS DADOS</v>
      </c>
      <c r="P377" s="1" t="str">
        <f>_xlfn.XLOOKUP(I377,Parâmetros!A:A,Parâmetros!D:D,_xlfn.XLOOKUP(Q377,Parâmetros!F:F,Parâmetros!I:I))</f>
        <v>OPERAÇÕES / SUPORTE KCS</v>
      </c>
      <c r="Q377" s="1">
        <f t="shared" si="11"/>
        <v>24</v>
      </c>
    </row>
    <row r="378" spans="1:17" x14ac:dyDescent="0.25">
      <c r="A378" s="1" t="str">
        <f>_xlfn.XLOOKUP(D378,'Novo relatório'!B:B,'Novo relatório'!C:C,"RESOLVIDO")</f>
        <v>RESOLVIDO</v>
      </c>
      <c r="C378" t="str">
        <f t="shared" si="10"/>
        <v>RESOLVIDO</v>
      </c>
      <c r="D378" s="1">
        <v>3198607</v>
      </c>
      <c r="E378" s="1" t="s">
        <v>26</v>
      </c>
      <c r="F378" s="2">
        <v>45680.363888888889</v>
      </c>
      <c r="G378" s="1" t="s">
        <v>875</v>
      </c>
      <c r="H378" s="1" t="s">
        <v>875</v>
      </c>
      <c r="I378" s="1" t="s">
        <v>589</v>
      </c>
      <c r="J378" s="2">
        <v>45680.44027777778</v>
      </c>
      <c r="K378" s="2">
        <v>45680.491666666669</v>
      </c>
      <c r="L378" s="1" t="s">
        <v>18</v>
      </c>
      <c r="M378" s="1" t="str">
        <f>_xlfn.XLOOKUP(I378,Parâmetros!A:A,Parâmetros!B:B,_xlfn.XLOOKUP(Q378,Parâmetros!F:F,Parâmetros!G:G,"NOVA MENSAGEM"))</f>
        <v>REMARK - CNPJ</v>
      </c>
      <c r="N378" s="1" t="str">
        <f>_xlfn.XLOOKUP(M378,Parâmetros!K:K,Parâmetros!L:L,"")</f>
        <v/>
      </c>
      <c r="O378" s="1" t="e">
        <f>_xlfn.XLOOKUP(M378,Parâmetros!B:B,Parâmetros!C:C,_xlfn.XLOOKUP(Base!M374,Parâmetros!G:G,Parâmetros!H:H))</f>
        <v>#N/A</v>
      </c>
      <c r="P378" s="1" t="str">
        <f>_xlfn.XLOOKUP(I378,Parâmetros!A:A,Parâmetros!D:D,_xlfn.XLOOKUP(Q378,Parâmetros!F:F,Parâmetros!I:I))</f>
        <v>OPERAÇÕES / SUPORTE KCS</v>
      </c>
      <c r="Q378" s="1">
        <f t="shared" si="11"/>
        <v>24</v>
      </c>
    </row>
    <row r="379" spans="1:17" x14ac:dyDescent="0.25">
      <c r="A379" s="1" t="str">
        <f>_xlfn.XLOOKUP(D379,'Novo relatório'!B:B,'Novo relatório'!C:C,"RESOLVIDO")</f>
        <v>RESOLVIDO</v>
      </c>
      <c r="C379" t="str">
        <f t="shared" si="10"/>
        <v>RESOLVIDO</v>
      </c>
      <c r="D379" s="1">
        <v>3198771</v>
      </c>
      <c r="E379" s="1" t="s">
        <v>26</v>
      </c>
      <c r="F379" s="2">
        <v>45680.363888888889</v>
      </c>
      <c r="G379" s="1" t="s">
        <v>924</v>
      </c>
      <c r="H379" s="1" t="s">
        <v>924</v>
      </c>
      <c r="I379" s="1" t="s">
        <v>620</v>
      </c>
      <c r="J379" s="2">
        <v>45680.490972222222</v>
      </c>
      <c r="K379" s="2"/>
      <c r="L379" s="1" t="s">
        <v>18</v>
      </c>
      <c r="M379" s="1" t="str">
        <f>_xlfn.XLOOKUP(I379,Parâmetros!A:A,Parâmetros!B:B,_xlfn.XLOOKUP(Q379,Parâmetros!F:F,Parâmetros!G:G,"NOVA MENSAGEM"))</f>
        <v>CÓD. CLIENTE DIVERGENTE</v>
      </c>
      <c r="N379" s="1" t="str">
        <f>_xlfn.XLOOKUP(M379,Parâmetros!K:K,Parâmetros!L:L,"")</f>
        <v>CÓDIGO DIFERENTE DO CADASTRADO NO BENNER (CLIENTE X GRUPO)</v>
      </c>
      <c r="O379" s="1" t="str">
        <f>_xlfn.XLOOKUP(M379,Parâmetros!B:B,Parâmetros!C:C,_xlfn.XLOOKUP(Base!M375,Parâmetros!G:G,Parâmetros!H:H))</f>
        <v>QUALIDADE DOS DADOS</v>
      </c>
      <c r="P379" s="1" t="str">
        <f>_xlfn.XLOOKUP(I379,Parâmetros!A:A,Parâmetros!D:D,_xlfn.XLOOKUP(Q379,Parâmetros!F:F,Parâmetros!I:I))</f>
        <v>SUPORTE OBT</v>
      </c>
      <c r="Q379" s="1">
        <f t="shared" si="11"/>
        <v>1</v>
      </c>
    </row>
    <row r="380" spans="1:17" x14ac:dyDescent="0.25">
      <c r="A380" s="1" t="str">
        <f>_xlfn.XLOOKUP(D380,'Novo relatório'!B:B,'Novo relatório'!C:C,"RESOLVIDO")</f>
        <v>RESOLVIDO</v>
      </c>
      <c r="C380" t="str">
        <f t="shared" si="10"/>
        <v>RESOLVIDO</v>
      </c>
      <c r="D380" s="1">
        <v>3198772</v>
      </c>
      <c r="E380" s="1" t="s">
        <v>26</v>
      </c>
      <c r="F380" s="2">
        <v>45680.363888888889</v>
      </c>
      <c r="G380" s="1" t="s">
        <v>910</v>
      </c>
      <c r="H380" s="1" t="s">
        <v>910</v>
      </c>
      <c r="I380" s="1" t="s">
        <v>394</v>
      </c>
      <c r="J380" s="2">
        <v>45680.492361111108</v>
      </c>
      <c r="K380" s="2"/>
      <c r="L380" s="1" t="s">
        <v>18</v>
      </c>
      <c r="M380" s="1" t="str">
        <f>_xlfn.XLOOKUP(I380,Parâmetros!A:A,Parâmetros!B:B,_xlfn.XLOOKUP(Q380,Parâmetros!F:F,Parâmetros!G:G,"NOVA MENSAGEM"))</f>
        <v>REMARK - CNPJ</v>
      </c>
      <c r="N380" s="1" t="str">
        <f>_xlfn.XLOOKUP(M380,Parâmetros!K:K,Parâmetros!L:L,"")</f>
        <v/>
      </c>
      <c r="O380" s="1" t="str">
        <f>_xlfn.XLOOKUP(M380,Parâmetros!B:B,Parâmetros!C:C,_xlfn.XLOOKUP(Base!M376,Parâmetros!G:G,Parâmetros!H:H))</f>
        <v>QUALIDADE DOS DADOS</v>
      </c>
      <c r="P380" s="1" t="str">
        <f>_xlfn.XLOOKUP(I380,Parâmetros!A:A,Parâmetros!D:D,_xlfn.XLOOKUP(Q380,Parâmetros!F:F,Parâmetros!I:I))</f>
        <v>OPERAÇÕES / SUPORTE KCS</v>
      </c>
      <c r="Q380" s="1">
        <f t="shared" si="11"/>
        <v>24</v>
      </c>
    </row>
    <row r="381" spans="1:17" x14ac:dyDescent="0.25">
      <c r="A381" s="1" t="str">
        <f>_xlfn.XLOOKUP(D381,'Novo relatório'!B:B,'Novo relatório'!C:C,"RESOLVIDO")</f>
        <v>RESOLVIDO</v>
      </c>
      <c r="C381" t="str">
        <f t="shared" si="10"/>
        <v>RESOLVIDO</v>
      </c>
      <c r="D381" s="1">
        <v>3199518</v>
      </c>
      <c r="E381" s="1" t="s">
        <v>26</v>
      </c>
      <c r="F381" s="2">
        <v>45680.609027777777</v>
      </c>
      <c r="G381" s="1" t="s">
        <v>787</v>
      </c>
      <c r="H381" s="1" t="s">
        <v>787</v>
      </c>
      <c r="I381" s="1" t="s">
        <v>692</v>
      </c>
      <c r="J381" s="2">
        <v>45680.649305555555</v>
      </c>
      <c r="K381" s="2">
        <v>45680.742361111108</v>
      </c>
      <c r="L381" s="1" t="s">
        <v>18</v>
      </c>
      <c r="M381" s="1" t="str">
        <f>_xlfn.XLOOKUP(I381,Parâmetros!A:A,Parâmetros!B:B,_xlfn.XLOOKUP(Q381,Parâmetros!F:F,Parâmetros!G:G,"NOVA MENSAGEM"))</f>
        <v>REMARK - CNPJ</v>
      </c>
      <c r="N381" s="1" t="str">
        <f>_xlfn.XLOOKUP(M381,Parâmetros!K:K,Parâmetros!L:L,"")</f>
        <v/>
      </c>
      <c r="O381" s="1" t="str">
        <f>_xlfn.XLOOKUP(M381,Parâmetros!B:B,Parâmetros!C:C,_xlfn.XLOOKUP(Base!M377,Parâmetros!G:G,Parâmetros!H:H))</f>
        <v>QUALIDADE DOS DADOS</v>
      </c>
      <c r="P381" s="1" t="str">
        <f>_xlfn.XLOOKUP(I381,Parâmetros!A:A,Parâmetros!D:D,_xlfn.XLOOKUP(Q381,Parâmetros!F:F,Parâmetros!I:I))</f>
        <v>OPERAÇÕES / SUPORTE KCS</v>
      </c>
      <c r="Q381" s="1">
        <f t="shared" si="11"/>
        <v>24</v>
      </c>
    </row>
    <row r="382" spans="1:17" x14ac:dyDescent="0.25">
      <c r="A382" s="1" t="str">
        <f>_xlfn.XLOOKUP(D382,'Novo relatório'!B:B,'Novo relatório'!C:C,"RESOLVIDO")</f>
        <v>RESOLVIDO</v>
      </c>
      <c r="C382" t="str">
        <f t="shared" si="10"/>
        <v>RESOLVIDO</v>
      </c>
      <c r="D382" s="1">
        <v>3199527</v>
      </c>
      <c r="E382" s="1" t="s">
        <v>26</v>
      </c>
      <c r="F382" s="2">
        <v>45680.530555555553</v>
      </c>
      <c r="G382" s="1" t="s">
        <v>801</v>
      </c>
      <c r="H382" s="1" t="s">
        <v>802</v>
      </c>
      <c r="I382" s="1" t="s">
        <v>166</v>
      </c>
      <c r="J382" s="2">
        <v>45680.659722222219</v>
      </c>
      <c r="K382" s="2"/>
      <c r="L382" s="1" t="s">
        <v>19</v>
      </c>
      <c r="M382" s="1" t="str">
        <f>_xlfn.XLOOKUP(I382,Parâmetros!A:A,Parâmetros!B:B,_xlfn.XLOOKUP(Q382,Parâmetros!F:F,Parâmetros!G:G,"NOVA MENSAGEM"))</f>
        <v>CONTRATO FORNECEDOR</v>
      </c>
      <c r="N382" s="1" t="str">
        <f>_xlfn.XLOOKUP(M382,Parâmetros!K:K,Parâmetros!L:L,"")</f>
        <v>CONTRATO INATIVO OU DIVERGENTE</v>
      </c>
      <c r="O382" s="1" t="str">
        <f>_xlfn.XLOOKUP(M382,Parâmetros!B:B,Parâmetros!C:C,_xlfn.XLOOKUP(Base!M378,Parâmetros!G:G,Parâmetros!H:H))</f>
        <v>SISTEMA</v>
      </c>
      <c r="P382" s="1" t="str">
        <f>_xlfn.XLOOKUP(I382,Parâmetros!A:A,Parâmetros!D:D,_xlfn.XLOOKUP(Q382,Parâmetros!F:F,Parâmetros!I:I))</f>
        <v>OPERAÇÕES / SUPORTE KCS</v>
      </c>
      <c r="Q382" s="1">
        <f t="shared" si="11"/>
        <v>43</v>
      </c>
    </row>
    <row r="383" spans="1:17" x14ac:dyDescent="0.25">
      <c r="A383" s="1" t="str">
        <f>_xlfn.XLOOKUP(D383,'Novo relatório'!B:B,'Novo relatório'!C:C,"RESOLVIDO")</f>
        <v>GOVER</v>
      </c>
      <c r="C383" t="str">
        <f t="shared" si="10"/>
        <v>PENDENTE</v>
      </c>
      <c r="D383" s="1">
        <v>3199619</v>
      </c>
      <c r="E383" s="1" t="s">
        <v>24</v>
      </c>
      <c r="F383" s="2">
        <v>45680.672222222223</v>
      </c>
      <c r="G383" s="1">
        <v>4480245</v>
      </c>
      <c r="H383" s="1" t="s">
        <v>938</v>
      </c>
      <c r="I383" s="1" t="s">
        <v>240</v>
      </c>
      <c r="J383" s="2">
        <v>45680.676388888889</v>
      </c>
      <c r="K383" s="2">
        <v>45699.412499999999</v>
      </c>
      <c r="L383" s="1" t="s">
        <v>14</v>
      </c>
      <c r="M383" s="1" t="str">
        <f>_xlfn.XLOOKUP(I383,Parâmetros!A:A,Parâmetros!B:B,_xlfn.XLOOKUP(Q383,Parâmetros!F:F,Parâmetros!G:G,"NOVA MENSAGEM"))</f>
        <v>CENTRO DE CUSTO</v>
      </c>
      <c r="N383" s="1" t="str">
        <f>_xlfn.XLOOKUP(M383,Parâmetros!K:K,Parâmetros!L:L,"")</f>
        <v>CENTRO DE CUSTO NÃO INFORMADO NA RESERVA</v>
      </c>
      <c r="O383" s="1" t="str">
        <f>_xlfn.XLOOKUP(M383,Parâmetros!B:B,Parâmetros!C:C,_xlfn.XLOOKUP(Base!M379,Parâmetros!G:G,Parâmetros!H:H))</f>
        <v>QUALIDADE DOS DADOS</v>
      </c>
      <c r="P383" s="1" t="str">
        <f>_xlfn.XLOOKUP(I383,Parâmetros!A:A,Parâmetros!D:D,_xlfn.XLOOKUP(Q383,Parâmetros!F:F,Parâmetros!I:I))</f>
        <v>SUPORTE OBT</v>
      </c>
      <c r="Q383" s="1" t="str">
        <f t="shared" si="11"/>
        <v>COLUNA I</v>
      </c>
    </row>
    <row r="384" spans="1:17" x14ac:dyDescent="0.25">
      <c r="A384" s="1" t="str">
        <f>_xlfn.XLOOKUP(D384,'Novo relatório'!B:B,'Novo relatório'!C:C,"RESOLVIDO")</f>
        <v>GOVER</v>
      </c>
      <c r="C384" t="str">
        <f t="shared" si="10"/>
        <v>PENDENTE</v>
      </c>
      <c r="D384" s="1">
        <v>3199628</v>
      </c>
      <c r="E384" s="1" t="s">
        <v>24</v>
      </c>
      <c r="F384" s="2">
        <v>45680.461805555555</v>
      </c>
      <c r="G384" s="1">
        <v>4479909</v>
      </c>
      <c r="H384" s="1" t="s">
        <v>936</v>
      </c>
      <c r="I384" s="1" t="s">
        <v>937</v>
      </c>
      <c r="J384" s="2">
        <v>45680.686111111114</v>
      </c>
      <c r="K384" s="2">
        <v>45699.412499999999</v>
      </c>
      <c r="L384" s="1" t="s">
        <v>14</v>
      </c>
      <c r="M384" s="1" t="str">
        <f>_xlfn.XLOOKUP(I384,Parâmetros!A:A,Parâmetros!B:B,_xlfn.XLOOKUP(Q384,Parâmetros!F:F,Parâmetros!G:G,"NOVA MENSAGEM"))</f>
        <v>TAG - ITEM VEÍCULO</v>
      </c>
      <c r="N384" s="1" t="str">
        <f>_xlfn.XLOOKUP(M384,Parâmetros!K:K,Parâmetros!L:L,"")</f>
        <v>TAGS DE DETALHAMENTO DO SERVIÇO NÃO ENVIADO NO XML</v>
      </c>
      <c r="O384" s="1" t="str">
        <f>_xlfn.XLOOKUP(M384,Parâmetros!B:B,Parâmetros!C:C,_xlfn.XLOOKUP(Base!M380,Parâmetros!G:G,Parâmetros!H:H))</f>
        <v>QUALIDADE DOS DADOS</v>
      </c>
      <c r="P384" s="1" t="str">
        <f>_xlfn.XLOOKUP(I384,Parâmetros!A:A,Parâmetros!D:D,_xlfn.XLOOKUP(Q384,Parâmetros!F:F,Parâmetros!I:I))</f>
        <v>SUPORTE OBT</v>
      </c>
      <c r="Q384" s="1">
        <f t="shared" si="11"/>
        <v>46</v>
      </c>
    </row>
    <row r="385" spans="1:17" x14ac:dyDescent="0.25">
      <c r="A385" s="1" t="str">
        <f>_xlfn.XLOOKUP(D385,'Novo relatório'!B:B,'Novo relatório'!C:C,"RESOLVIDO")</f>
        <v>RESOLVIDO</v>
      </c>
      <c r="C385" t="str">
        <f t="shared" si="10"/>
        <v>RESOLVIDO</v>
      </c>
      <c r="D385" s="1">
        <v>3199906</v>
      </c>
      <c r="E385" s="1" t="s">
        <v>26</v>
      </c>
      <c r="F385" s="2">
        <v>45680.609027777777</v>
      </c>
      <c r="G385" s="1" t="s">
        <v>870</v>
      </c>
      <c r="H385" s="1" t="s">
        <v>870</v>
      </c>
      <c r="I385" s="1" t="s">
        <v>751</v>
      </c>
      <c r="J385" s="2">
        <v>45680.741666666669</v>
      </c>
      <c r="K385" s="2"/>
      <c r="L385" s="1" t="s">
        <v>19</v>
      </c>
      <c r="M385" s="1" t="str">
        <f>_xlfn.XLOOKUP(I385,Parâmetros!A:A,Parâmetros!B:B,_xlfn.XLOOKUP(Q385,Parâmetros!F:F,Parâmetros!G:G,"NOVA MENSAGEM"))</f>
        <v>CONTRATO FORNECEDOR</v>
      </c>
      <c r="N385" s="1" t="str">
        <f>_xlfn.XLOOKUP(M385,Parâmetros!K:K,Parâmetros!L:L,"")</f>
        <v>CONTRATO INATIVO OU DIVERGENTE</v>
      </c>
      <c r="O385" s="1" t="str">
        <f>_xlfn.XLOOKUP(M385,Parâmetros!B:B,Parâmetros!C:C,_xlfn.XLOOKUP(Base!M381,Parâmetros!G:G,Parâmetros!H:H))</f>
        <v>SISTEMA</v>
      </c>
      <c r="P385" s="1" t="str">
        <f>_xlfn.XLOOKUP(I385,Parâmetros!A:A,Parâmetros!D:D,_xlfn.XLOOKUP(Q385,Parâmetros!F:F,Parâmetros!I:I))</f>
        <v>OPERAÇÕES / SUPORTE KCS</v>
      </c>
      <c r="Q385" s="1">
        <f t="shared" si="11"/>
        <v>43</v>
      </c>
    </row>
    <row r="386" spans="1:17" x14ac:dyDescent="0.25">
      <c r="A386" s="1" t="str">
        <f>_xlfn.XLOOKUP(D386,'Novo relatório'!B:B,'Novo relatório'!C:C,"RESOLVIDO")</f>
        <v>RESOLVIDO</v>
      </c>
      <c r="C386" t="str">
        <f t="shared" ref="C386:C449" si="12">IF(A386="RESOLVIDO","RESOLVIDO",IF(B386="","PENDENTE",IF(LEFT(B386,7)="CHAMADO","AGUARDANDO FORNECEDOR",IF(B386="CONTABILIZAR","CONTABILIZAR NO PORTAL"))))</f>
        <v>RESOLVIDO</v>
      </c>
      <c r="D386" s="1">
        <v>3199907</v>
      </c>
      <c r="E386" s="1" t="s">
        <v>26</v>
      </c>
      <c r="F386" s="2">
        <v>45680.609027777777</v>
      </c>
      <c r="G386" s="1" t="s">
        <v>826</v>
      </c>
      <c r="H386" s="1" t="s">
        <v>826</v>
      </c>
      <c r="I386" s="1" t="s">
        <v>398</v>
      </c>
      <c r="J386" s="2">
        <v>45680.742361111108</v>
      </c>
      <c r="K386" s="2"/>
      <c r="L386" s="1" t="s">
        <v>18</v>
      </c>
      <c r="M386" s="1" t="str">
        <f>_xlfn.XLOOKUP(I386,Parâmetros!A:A,Parâmetros!B:B,_xlfn.XLOOKUP(Q386,Parâmetros!F:F,Parâmetros!G:G,"NOVA MENSAGEM"))</f>
        <v>REMARK - CNPJ</v>
      </c>
      <c r="N386" s="1" t="str">
        <f>_xlfn.XLOOKUP(M386,Parâmetros!K:K,Parâmetros!L:L,"")</f>
        <v/>
      </c>
      <c r="O386" s="1" t="str">
        <f>_xlfn.XLOOKUP(M386,Parâmetros!B:B,Parâmetros!C:C,_xlfn.XLOOKUP(Base!M382,Parâmetros!G:G,Parâmetros!H:H))</f>
        <v>SISTEMA</v>
      </c>
      <c r="P386" s="1" t="str">
        <f>_xlfn.XLOOKUP(I386,Parâmetros!A:A,Parâmetros!D:D,_xlfn.XLOOKUP(Q386,Parâmetros!F:F,Parâmetros!I:I))</f>
        <v>OPERAÇÕES / SUPORTE KCS</v>
      </c>
      <c r="Q386" s="1">
        <f t="shared" ref="Q386:Q449" si="13">IFERROR(FIND("Não foi possível localizar o contrato do fornecedor",I386),IFERROR(FIND("veículo",I386),IFERROR(FIND("agagem",I386),IFERROR(FIND("error in XML document",I386),IFERROR(FIND("Não localizado cliente código",I386),IFERROR(FIND("lemontech",I386),IFERROR(FIND("&gt;Fornecedor com o",I386),IFERROR(FIND("INSERT",I386),IFERROR(FIND("com CNPJ",I386),IFERROR(FIND("Consultando Agente-&gt; O agente",I386),IFERROR(FIND("Não foi possível determinar a validade do cartão, favor verificar os dados do cartão",I386),"COLUNA I")))))))))))</f>
        <v>24</v>
      </c>
    </row>
    <row r="387" spans="1:17" x14ac:dyDescent="0.25">
      <c r="A387" s="1" t="str">
        <f>_xlfn.XLOOKUP(D387,'Novo relatório'!B:B,'Novo relatório'!C:C,"RESOLVIDO")</f>
        <v>RESOLVIDO</v>
      </c>
      <c r="C387" t="str">
        <f t="shared" si="12"/>
        <v>RESOLVIDO</v>
      </c>
      <c r="D387" s="1">
        <v>3199909</v>
      </c>
      <c r="E387" s="1" t="s">
        <v>26</v>
      </c>
      <c r="F387" s="2">
        <v>45680.609027777777</v>
      </c>
      <c r="G387" s="1" t="s">
        <v>750</v>
      </c>
      <c r="H387" s="1" t="s">
        <v>750</v>
      </c>
      <c r="I387" s="1" t="s">
        <v>751</v>
      </c>
      <c r="J387" s="2">
        <v>45680.742361111108</v>
      </c>
      <c r="K387" s="2"/>
      <c r="L387" s="1" t="s">
        <v>19</v>
      </c>
      <c r="M387" s="1" t="str">
        <f>_xlfn.XLOOKUP(I387,Parâmetros!A:A,Parâmetros!B:B,_xlfn.XLOOKUP(Q387,Parâmetros!F:F,Parâmetros!G:G,"NOVA MENSAGEM"))</f>
        <v>CONTRATO FORNECEDOR</v>
      </c>
      <c r="N387" s="1" t="str">
        <f>_xlfn.XLOOKUP(M387,Parâmetros!K:K,Parâmetros!L:L,"")</f>
        <v>CONTRATO INATIVO OU DIVERGENTE</v>
      </c>
      <c r="O387" s="1" t="str">
        <f>_xlfn.XLOOKUP(M387,Parâmetros!B:B,Parâmetros!C:C,_xlfn.XLOOKUP(Base!M383,Parâmetros!G:G,Parâmetros!H:H))</f>
        <v>SISTEMA</v>
      </c>
      <c r="P387" s="1" t="str">
        <f>_xlfn.XLOOKUP(I387,Parâmetros!A:A,Parâmetros!D:D,_xlfn.XLOOKUP(Q387,Parâmetros!F:F,Parâmetros!I:I))</f>
        <v>OPERAÇÕES / SUPORTE KCS</v>
      </c>
      <c r="Q387" s="1">
        <f t="shared" si="13"/>
        <v>43</v>
      </c>
    </row>
    <row r="388" spans="1:17" x14ac:dyDescent="0.25">
      <c r="A388" s="1" t="str">
        <f>_xlfn.XLOOKUP(D388,'Novo relatório'!B:B,'Novo relatório'!C:C,"RESOLVIDO")</f>
        <v>RESOLVIDO</v>
      </c>
      <c r="C388" t="str">
        <f t="shared" si="12"/>
        <v>RESOLVIDO</v>
      </c>
      <c r="D388" s="1">
        <v>3199915</v>
      </c>
      <c r="E388" s="1" t="s">
        <v>26</v>
      </c>
      <c r="F388" s="2">
        <v>45680.609027777777</v>
      </c>
      <c r="G388" s="1" t="s">
        <v>793</v>
      </c>
      <c r="H388" s="1" t="s">
        <v>793</v>
      </c>
      <c r="I388" s="1" t="s">
        <v>394</v>
      </c>
      <c r="J388" s="2">
        <v>45680.743055555555</v>
      </c>
      <c r="K388" s="2"/>
      <c r="L388" s="1" t="s">
        <v>18</v>
      </c>
      <c r="M388" s="1" t="str">
        <f>_xlfn.XLOOKUP(I388,Parâmetros!A:A,Parâmetros!B:B,_xlfn.XLOOKUP(Q388,Parâmetros!F:F,Parâmetros!G:G,"NOVA MENSAGEM"))</f>
        <v>REMARK - CNPJ</v>
      </c>
      <c r="N388" s="1" t="str">
        <f>_xlfn.XLOOKUP(M388,Parâmetros!K:K,Parâmetros!L:L,"")</f>
        <v/>
      </c>
      <c r="O388" s="1" t="str">
        <f>_xlfn.XLOOKUP(M388,Parâmetros!B:B,Parâmetros!C:C,_xlfn.XLOOKUP(Base!M384,Parâmetros!G:G,Parâmetros!H:H))</f>
        <v>SISTEMA</v>
      </c>
      <c r="P388" s="1" t="str">
        <f>_xlfn.XLOOKUP(I388,Parâmetros!A:A,Parâmetros!D:D,_xlfn.XLOOKUP(Q388,Parâmetros!F:F,Parâmetros!I:I))</f>
        <v>OPERAÇÕES / SUPORTE KCS</v>
      </c>
      <c r="Q388" s="1">
        <f t="shared" si="13"/>
        <v>24</v>
      </c>
    </row>
    <row r="389" spans="1:17" x14ac:dyDescent="0.25">
      <c r="A389" s="1" t="str">
        <f>_xlfn.XLOOKUP(D389,'Novo relatório'!B:B,'Novo relatório'!C:C,"RESOLVIDO")</f>
        <v>RESOLVIDO</v>
      </c>
      <c r="C389" t="str">
        <f t="shared" si="12"/>
        <v>RESOLVIDO</v>
      </c>
      <c r="D389" s="1">
        <v>3200781</v>
      </c>
      <c r="E389" s="1" t="s">
        <v>26</v>
      </c>
      <c r="F389" s="2">
        <v>45680.690972222219</v>
      </c>
      <c r="G389" s="1" t="s">
        <v>752</v>
      </c>
      <c r="H389" s="1" t="s">
        <v>752</v>
      </c>
      <c r="I389" s="1" t="s">
        <v>83</v>
      </c>
      <c r="J389" s="2">
        <v>45680.824999999997</v>
      </c>
      <c r="L389" s="1" t="s">
        <v>18</v>
      </c>
      <c r="M389" s="1" t="str">
        <f>_xlfn.XLOOKUP(I389,Parâmetros!A:A,Parâmetros!B:B,_xlfn.XLOOKUP(Q389,Parâmetros!F:F,Parâmetros!G:G,"NOVA MENSAGEM"))</f>
        <v>CLIENTE NÃO IDENTIFICADO</v>
      </c>
      <c r="N389" s="1" t="str">
        <f>_xlfn.XLOOKUP(M389,Parâmetros!K:K,Parâmetros!L:L,"")</f>
        <v>DK DE CLIENTE NÃO PREENCIDO / CLIENTE NÃO CONFIGURADO NO OBT</v>
      </c>
      <c r="O389" s="1" t="str">
        <f>_xlfn.XLOOKUP(M389,Parâmetros!B:B,Parâmetros!C:C,_xlfn.XLOOKUP(Base!M385,Parâmetros!G:G,Parâmetros!H:H))</f>
        <v>INDEFINIDO</v>
      </c>
      <c r="P389" s="1" t="str">
        <f>_xlfn.XLOOKUP(I389,Parâmetros!A:A,Parâmetros!D:D,_xlfn.XLOOKUP(Q389,Parâmetros!F:F,Parâmetros!I:I))</f>
        <v>OPERAÇÕES / SUPORTE KCS</v>
      </c>
      <c r="Q389" s="1" t="str">
        <f t="shared" si="13"/>
        <v>COLUNA I</v>
      </c>
    </row>
    <row r="390" spans="1:17" x14ac:dyDescent="0.25">
      <c r="A390" s="1" t="str">
        <f>_xlfn.XLOOKUP(D390,'Novo relatório'!B:B,'Novo relatório'!C:C,"RESOLVIDO")</f>
        <v>RESOLVIDO</v>
      </c>
      <c r="C390" t="str">
        <f t="shared" si="12"/>
        <v>RESOLVIDO</v>
      </c>
      <c r="D390" s="1">
        <v>3200789</v>
      </c>
      <c r="E390" s="1" t="s">
        <v>26</v>
      </c>
      <c r="F390" s="2">
        <v>45680.690972222219</v>
      </c>
      <c r="G390" s="1" t="s">
        <v>700</v>
      </c>
      <c r="H390" s="1" t="s">
        <v>700</v>
      </c>
      <c r="I390" s="1" t="s">
        <v>83</v>
      </c>
      <c r="J390" s="2">
        <v>45680.825694444444</v>
      </c>
      <c r="K390" s="2"/>
      <c r="L390" s="1" t="s">
        <v>18</v>
      </c>
      <c r="M390" s="1" t="str">
        <f>_xlfn.XLOOKUP(I390,Parâmetros!A:A,Parâmetros!B:B,_xlfn.XLOOKUP(Q390,Parâmetros!F:F,Parâmetros!G:G,"NOVA MENSAGEM"))</f>
        <v>CLIENTE NÃO IDENTIFICADO</v>
      </c>
      <c r="N390" s="1" t="str">
        <f>_xlfn.XLOOKUP(M390,Parâmetros!K:K,Parâmetros!L:L,"")</f>
        <v>DK DE CLIENTE NÃO PREENCIDO / CLIENTE NÃO CONFIGURADO NO OBT</v>
      </c>
      <c r="O390" s="1" t="str">
        <f>_xlfn.XLOOKUP(M390,Parâmetros!B:B,Parâmetros!C:C,_xlfn.XLOOKUP(Base!M386,Parâmetros!G:G,Parâmetros!H:H))</f>
        <v>INDEFINIDO</v>
      </c>
      <c r="P390" s="1" t="str">
        <f>_xlfn.XLOOKUP(I390,Parâmetros!A:A,Parâmetros!D:D,_xlfn.XLOOKUP(Q390,Parâmetros!F:F,Parâmetros!I:I))</f>
        <v>OPERAÇÕES / SUPORTE KCS</v>
      </c>
      <c r="Q390" s="1" t="str">
        <f t="shared" si="13"/>
        <v>COLUNA I</v>
      </c>
    </row>
    <row r="391" spans="1:17" x14ac:dyDescent="0.25">
      <c r="A391" s="1" t="str">
        <f>_xlfn.XLOOKUP(D391,'Novo relatório'!B:B,'Novo relatório'!C:C,"RESOLVIDO")</f>
        <v>RESOLVIDO</v>
      </c>
      <c r="C391" t="str">
        <f t="shared" si="12"/>
        <v>RESOLVIDO</v>
      </c>
      <c r="D391" s="1">
        <v>3200790</v>
      </c>
      <c r="E391" s="1" t="s">
        <v>26</v>
      </c>
      <c r="F391" s="2">
        <v>45680.690972222219</v>
      </c>
      <c r="G391" s="1" t="s">
        <v>904</v>
      </c>
      <c r="H391" s="1" t="s">
        <v>904</v>
      </c>
      <c r="I391" s="1" t="s">
        <v>83</v>
      </c>
      <c r="J391" s="2">
        <v>45680.825694444444</v>
      </c>
      <c r="K391" s="2"/>
      <c r="L391" s="1" t="s">
        <v>18</v>
      </c>
      <c r="M391" s="1" t="str">
        <f>_xlfn.XLOOKUP(I391,Parâmetros!A:A,Parâmetros!B:B,_xlfn.XLOOKUP(Q391,Parâmetros!F:F,Parâmetros!G:G,"NOVA MENSAGEM"))</f>
        <v>CLIENTE NÃO IDENTIFICADO</v>
      </c>
      <c r="N391" s="1" t="str">
        <f>_xlfn.XLOOKUP(M391,Parâmetros!K:K,Parâmetros!L:L,"")</f>
        <v>DK DE CLIENTE NÃO PREENCIDO / CLIENTE NÃO CONFIGURADO NO OBT</v>
      </c>
      <c r="O391" s="1" t="str">
        <f>_xlfn.XLOOKUP(M391,Parâmetros!B:B,Parâmetros!C:C,_xlfn.XLOOKUP(Base!M387,Parâmetros!G:G,Parâmetros!H:H))</f>
        <v>INDEFINIDO</v>
      </c>
      <c r="P391" s="1" t="str">
        <f>_xlfn.XLOOKUP(I391,Parâmetros!A:A,Parâmetros!D:D,_xlfn.XLOOKUP(Q391,Parâmetros!F:F,Parâmetros!I:I))</f>
        <v>OPERAÇÕES / SUPORTE KCS</v>
      </c>
      <c r="Q391" s="1" t="str">
        <f t="shared" si="13"/>
        <v>COLUNA I</v>
      </c>
    </row>
    <row r="392" spans="1:17" x14ac:dyDescent="0.25">
      <c r="A392" s="1" t="str">
        <f>_xlfn.XLOOKUP(D392,'Novo relatório'!B:B,'Novo relatório'!C:C,"RESOLVIDO")</f>
        <v>RESOLVIDO</v>
      </c>
      <c r="C392" t="str">
        <f t="shared" si="12"/>
        <v>RESOLVIDO</v>
      </c>
      <c r="D392" s="1">
        <v>3200802</v>
      </c>
      <c r="E392" s="1" t="s">
        <v>26</v>
      </c>
      <c r="F392" s="2">
        <v>45680.690972222219</v>
      </c>
      <c r="G392" s="1" t="s">
        <v>814</v>
      </c>
      <c r="H392" s="1" t="s">
        <v>814</v>
      </c>
      <c r="I392" s="1" t="s">
        <v>815</v>
      </c>
      <c r="J392" s="2">
        <v>45680.826388888891</v>
      </c>
      <c r="K392" s="2"/>
      <c r="L392" s="1" t="s">
        <v>18</v>
      </c>
      <c r="M392" s="1" t="str">
        <f>_xlfn.XLOOKUP(I392,Parâmetros!A:A,Parâmetros!B:B,_xlfn.XLOOKUP(Q392,Parâmetros!F:F,Parâmetros!G:G,"NOVA MENSAGEM"))</f>
        <v>REMARK - CNPJ</v>
      </c>
      <c r="N392" s="1" t="str">
        <f>_xlfn.XLOOKUP(M392,Parâmetros!K:K,Parâmetros!L:L,"")</f>
        <v/>
      </c>
      <c r="O392" s="1" t="str">
        <f>_xlfn.XLOOKUP(M392,Parâmetros!B:B,Parâmetros!C:C,_xlfn.XLOOKUP(Base!M388,Parâmetros!G:G,Parâmetros!H:H))</f>
        <v>QUALIDADE DOS DADOS</v>
      </c>
      <c r="P392" s="1" t="str">
        <f>_xlfn.XLOOKUP(I392,Parâmetros!A:A,Parâmetros!D:D,_xlfn.XLOOKUP(Q392,Parâmetros!F:F,Parâmetros!I:I))</f>
        <v>OPERAÇÕES / SUPORTE KCS</v>
      </c>
      <c r="Q392" s="1">
        <f t="shared" si="13"/>
        <v>24</v>
      </c>
    </row>
    <row r="393" spans="1:17" x14ac:dyDescent="0.25">
      <c r="A393" s="1" t="str">
        <f>_xlfn.XLOOKUP(D393,'Novo relatório'!B:B,'Novo relatório'!C:C,"RESOLVIDO")</f>
        <v>RESOLVIDO</v>
      </c>
      <c r="C393" t="str">
        <f t="shared" si="12"/>
        <v>RESOLVIDO</v>
      </c>
      <c r="D393" s="1">
        <v>3201357</v>
      </c>
      <c r="E393" s="1" t="s">
        <v>26</v>
      </c>
      <c r="F393" s="2">
        <v>45681.724999999999</v>
      </c>
      <c r="G393" s="1" t="s">
        <v>861</v>
      </c>
      <c r="H393" s="1" t="s">
        <v>861</v>
      </c>
      <c r="I393" s="1" t="s">
        <v>692</v>
      </c>
      <c r="J393" s="2">
        <v>45681.493055555555</v>
      </c>
      <c r="K393" s="2">
        <v>45681.856249999997</v>
      </c>
      <c r="L393" s="1" t="s">
        <v>18</v>
      </c>
      <c r="M393" s="1" t="str">
        <f>_xlfn.XLOOKUP(I393,Parâmetros!A:A,Parâmetros!B:B,_xlfn.XLOOKUP(Q393,Parâmetros!F:F,Parâmetros!G:G,"NOVA MENSAGEM"))</f>
        <v>REMARK - CNPJ</v>
      </c>
      <c r="N393" s="1" t="str">
        <f>_xlfn.XLOOKUP(M393,Parâmetros!K:K,Parâmetros!L:L,"")</f>
        <v/>
      </c>
      <c r="O393" s="1" t="e">
        <f>_xlfn.XLOOKUP(M393,Parâmetros!B:B,Parâmetros!C:C,_xlfn.XLOOKUP(Base!M389,Parâmetros!G:G,Parâmetros!H:H))</f>
        <v>#N/A</v>
      </c>
      <c r="P393" s="1" t="str">
        <f>_xlfn.XLOOKUP(I393,Parâmetros!A:A,Parâmetros!D:D,_xlfn.XLOOKUP(Q393,Parâmetros!F:F,Parâmetros!I:I))</f>
        <v>OPERAÇÕES / SUPORTE KCS</v>
      </c>
      <c r="Q393" s="1">
        <f t="shared" si="13"/>
        <v>24</v>
      </c>
    </row>
    <row r="394" spans="1:17" x14ac:dyDescent="0.25">
      <c r="A394" s="1" t="str">
        <f>_xlfn.XLOOKUP(D394,'Novo relatório'!B:B,'Novo relatório'!C:C,"RESOLVIDO")</f>
        <v>TMS</v>
      </c>
      <c r="C394" t="str">
        <f t="shared" si="12"/>
        <v>PENDENTE</v>
      </c>
      <c r="D394" s="1">
        <v>3202016</v>
      </c>
      <c r="E394" s="1" t="s">
        <v>12</v>
      </c>
      <c r="F394" s="2">
        <v>45681.459027777775</v>
      </c>
      <c r="G394" s="1">
        <v>40</v>
      </c>
      <c r="H394" s="1">
        <v>40</v>
      </c>
      <c r="I394" s="1" t="s">
        <v>16</v>
      </c>
      <c r="J394" s="2">
        <v>45681.566666666666</v>
      </c>
      <c r="K394" s="2">
        <v>45692.365277777775</v>
      </c>
      <c r="L394" s="1" t="s">
        <v>14</v>
      </c>
      <c r="M394" s="1" t="str">
        <f>_xlfn.XLOOKUP(I394,Parâmetros!A:A,Parâmetros!B:B,_xlfn.XLOOKUP(Q394,Parâmetros!F:F,Parâmetros!G:G,"NOVA MENSAGEM"))</f>
        <v>ASSENTO / BAGAGEM</v>
      </c>
      <c r="N394" s="1" t="str">
        <f>_xlfn.XLOOKUP(M394,Parâmetros!K:K,Parâmetros!L:L,"")</f>
        <v>CAMPO OBSERVAÇÃO PREENCHIDO INCORRETAMENTE</v>
      </c>
      <c r="O394" s="1" t="str">
        <f>_xlfn.XLOOKUP(M394,Parâmetros!B:B,Parâmetros!C:C,_xlfn.XLOOKUP(Base!M390,Parâmetros!G:G,Parâmetros!H:H))</f>
        <v>QUALIDADE DOS DADOS</v>
      </c>
      <c r="P394" s="1" t="str">
        <f>_xlfn.XLOOKUP(I394,Parâmetros!A:A,Parâmetros!D:D,_xlfn.XLOOKUP(Q394,Parâmetros!F:F,Parâmetros!I:I))</f>
        <v>OPERAÇÕES / SUPORTE KCS</v>
      </c>
      <c r="Q394" s="1">
        <f t="shared" si="13"/>
        <v>118</v>
      </c>
    </row>
    <row r="395" spans="1:17" x14ac:dyDescent="0.25">
      <c r="A395" s="1" t="str">
        <f>_xlfn.XLOOKUP(D395,'Novo relatório'!B:B,'Novo relatório'!C:C,"RESOLVIDO")</f>
        <v>RESOLVIDO</v>
      </c>
      <c r="C395" t="str">
        <f t="shared" si="12"/>
        <v>RESOLVIDO</v>
      </c>
      <c r="D395" s="1">
        <v>3202516</v>
      </c>
      <c r="E395" s="1" t="s">
        <v>26</v>
      </c>
      <c r="F395" s="2">
        <v>45681.591666666667</v>
      </c>
      <c r="G395" s="1" t="s">
        <v>889</v>
      </c>
      <c r="H395" s="1" t="s">
        <v>890</v>
      </c>
      <c r="I395" s="1" t="s">
        <v>891</v>
      </c>
      <c r="J395" s="2">
        <v>45681.724999999999</v>
      </c>
      <c r="K395" s="2"/>
      <c r="L395" s="1" t="s">
        <v>18</v>
      </c>
      <c r="M395" s="1" t="str">
        <f>_xlfn.XLOOKUP(I395,Parâmetros!A:A,Parâmetros!B:B,_xlfn.XLOOKUP(Q395,Parâmetros!F:F,Parâmetros!G:G,"NOVA MENSAGEM"))</f>
        <v>CÓD. CLIENTE DIVERGENTE</v>
      </c>
      <c r="N395" s="1" t="str">
        <f>_xlfn.XLOOKUP(M395,Parâmetros!K:K,Parâmetros!L:L,"")</f>
        <v>CÓDIGO DIFERENTE DO CADASTRADO NO BENNER (CLIENTE X GRUPO)</v>
      </c>
      <c r="O395" s="1" t="str">
        <f>_xlfn.XLOOKUP(M395,Parâmetros!B:B,Parâmetros!C:C,_xlfn.XLOOKUP(Base!M391,Parâmetros!G:G,Parâmetros!H:H))</f>
        <v>QUALIDADE DOS DADOS</v>
      </c>
      <c r="P395" s="1" t="str">
        <f>_xlfn.XLOOKUP(I395,Parâmetros!A:A,Parâmetros!D:D,_xlfn.XLOOKUP(Q395,Parâmetros!F:F,Parâmetros!I:I))</f>
        <v>SUPORTE OBT</v>
      </c>
      <c r="Q395" s="1">
        <f t="shared" si="13"/>
        <v>1</v>
      </c>
    </row>
    <row r="396" spans="1:17" x14ac:dyDescent="0.25">
      <c r="A396" s="1" t="str">
        <f>_xlfn.XLOOKUP(D396,'Novo relatório'!B:B,'Novo relatório'!C:C,"RESOLVIDO")</f>
        <v>RESOLVIDO</v>
      </c>
      <c r="C396" t="str">
        <f t="shared" si="12"/>
        <v>RESOLVIDO</v>
      </c>
      <c r="D396" s="1">
        <v>3203563</v>
      </c>
      <c r="E396" s="1" t="s">
        <v>26</v>
      </c>
      <c r="F396" s="2">
        <v>45681.724999999999</v>
      </c>
      <c r="G396" s="1" t="s">
        <v>882</v>
      </c>
      <c r="H396" s="1" t="s">
        <v>882</v>
      </c>
      <c r="I396" s="1" t="s">
        <v>394</v>
      </c>
      <c r="J396" s="2">
        <v>45681.859027777777</v>
      </c>
      <c r="K396" s="2"/>
      <c r="L396" s="1" t="s">
        <v>18</v>
      </c>
      <c r="M396" s="1" t="str">
        <f>_xlfn.XLOOKUP(I396,Parâmetros!A:A,Parâmetros!B:B,_xlfn.XLOOKUP(Q396,Parâmetros!F:F,Parâmetros!G:G,"NOVA MENSAGEM"))</f>
        <v>REMARK - CNPJ</v>
      </c>
      <c r="N396" s="1" t="str">
        <f>_xlfn.XLOOKUP(M396,Parâmetros!K:K,Parâmetros!L:L,"")</f>
        <v/>
      </c>
      <c r="O396" s="1" t="str">
        <f>_xlfn.XLOOKUP(M396,Parâmetros!B:B,Parâmetros!C:C,_xlfn.XLOOKUP(Base!M392,Parâmetros!G:G,Parâmetros!H:H))</f>
        <v>QUALIDADE DOS DADOS</v>
      </c>
      <c r="P396" s="1" t="str">
        <f>_xlfn.XLOOKUP(I396,Parâmetros!A:A,Parâmetros!D:D,_xlfn.XLOOKUP(Q396,Parâmetros!F:F,Parâmetros!I:I))</f>
        <v>OPERAÇÕES / SUPORTE KCS</v>
      </c>
      <c r="Q396" s="1">
        <f t="shared" si="13"/>
        <v>24</v>
      </c>
    </row>
    <row r="397" spans="1:17" x14ac:dyDescent="0.25">
      <c r="A397" s="1" t="str">
        <f>_xlfn.XLOOKUP(D397,'Novo relatório'!B:B,'Novo relatório'!C:C,"RESOLVIDO")</f>
        <v>RESOLVIDO</v>
      </c>
      <c r="C397" t="str">
        <f t="shared" si="12"/>
        <v>RESOLVIDO</v>
      </c>
      <c r="D397" s="1">
        <v>3203566</v>
      </c>
      <c r="E397" s="1" t="s">
        <v>26</v>
      </c>
      <c r="F397" s="2">
        <v>45681.724999999999</v>
      </c>
      <c r="G397" s="1" t="s">
        <v>881</v>
      </c>
      <c r="H397" s="1" t="s">
        <v>881</v>
      </c>
      <c r="I397" s="1" t="s">
        <v>394</v>
      </c>
      <c r="J397" s="2">
        <v>45681.859722222223</v>
      </c>
      <c r="K397" s="2"/>
      <c r="L397" s="1" t="s">
        <v>18</v>
      </c>
      <c r="M397" s="1" t="str">
        <f>_xlfn.XLOOKUP(I397,Parâmetros!A:A,Parâmetros!B:B,_xlfn.XLOOKUP(Q397,Parâmetros!F:F,Parâmetros!G:G,"NOVA MENSAGEM"))</f>
        <v>REMARK - CNPJ</v>
      </c>
      <c r="N397" s="1" t="str">
        <f>_xlfn.XLOOKUP(M397,Parâmetros!K:K,Parâmetros!L:L,"")</f>
        <v/>
      </c>
      <c r="O397" s="1" t="str">
        <f>_xlfn.XLOOKUP(M397,Parâmetros!B:B,Parâmetros!C:C,_xlfn.XLOOKUP(Base!M393,Parâmetros!G:G,Parâmetros!H:H))</f>
        <v>QUALIDADE DOS DADOS</v>
      </c>
      <c r="P397" s="1" t="str">
        <f>_xlfn.XLOOKUP(I397,Parâmetros!A:A,Parâmetros!D:D,_xlfn.XLOOKUP(Q397,Parâmetros!F:F,Parâmetros!I:I))</f>
        <v>OPERAÇÕES / SUPORTE KCS</v>
      </c>
      <c r="Q397" s="1">
        <f t="shared" si="13"/>
        <v>24</v>
      </c>
    </row>
    <row r="398" spans="1:17" x14ac:dyDescent="0.25">
      <c r="A398" s="1" t="str">
        <f>_xlfn.XLOOKUP(D398,'Novo relatório'!B:B,'Novo relatório'!C:C,"RESOLVIDO")</f>
        <v>RESOLVIDO</v>
      </c>
      <c r="C398" t="str">
        <f t="shared" si="12"/>
        <v>RESOLVIDO</v>
      </c>
      <c r="D398" s="1">
        <v>3203587</v>
      </c>
      <c r="E398" s="1" t="s">
        <v>26</v>
      </c>
      <c r="F398" s="2">
        <v>45681.724999999999</v>
      </c>
      <c r="G398" s="1" t="s">
        <v>871</v>
      </c>
      <c r="H398" s="1" t="s">
        <v>871</v>
      </c>
      <c r="I398" s="1" t="s">
        <v>83</v>
      </c>
      <c r="J398" s="2">
        <v>45681.861805555556</v>
      </c>
      <c r="K398" s="2"/>
      <c r="L398" s="1" t="s">
        <v>18</v>
      </c>
      <c r="M398" s="1" t="str">
        <f>_xlfn.XLOOKUP(I398,Parâmetros!A:A,Parâmetros!B:B,_xlfn.XLOOKUP(Q398,Parâmetros!F:F,Parâmetros!G:G,"NOVA MENSAGEM"))</f>
        <v>CLIENTE NÃO IDENTIFICADO</v>
      </c>
      <c r="N398" s="1" t="str">
        <f>_xlfn.XLOOKUP(M398,Parâmetros!K:K,Parâmetros!L:L,"")</f>
        <v>DK DE CLIENTE NÃO PREENCIDO / CLIENTE NÃO CONFIGURADO NO OBT</v>
      </c>
      <c r="O398" s="1" t="str">
        <f>_xlfn.XLOOKUP(M398,Parâmetros!B:B,Parâmetros!C:C,_xlfn.XLOOKUP(Base!M394,Parâmetros!G:G,Parâmetros!H:H))</f>
        <v>INDEFINIDO</v>
      </c>
      <c r="P398" s="1" t="str">
        <f>_xlfn.XLOOKUP(I398,Parâmetros!A:A,Parâmetros!D:D,_xlfn.XLOOKUP(Q398,Parâmetros!F:F,Parâmetros!I:I))</f>
        <v>OPERAÇÕES / SUPORTE KCS</v>
      </c>
      <c r="Q398" s="1" t="str">
        <f t="shared" si="13"/>
        <v>COLUNA I</v>
      </c>
    </row>
    <row r="399" spans="1:17" x14ac:dyDescent="0.25">
      <c r="A399" s="1" t="str">
        <f>_xlfn.XLOOKUP(D399,'Novo relatório'!B:B,'Novo relatório'!C:C,"RESOLVIDO")</f>
        <v>RESOLVIDO</v>
      </c>
      <c r="C399" t="str">
        <f t="shared" si="12"/>
        <v>RESOLVIDO</v>
      </c>
      <c r="D399" s="1">
        <v>3203588</v>
      </c>
      <c r="E399" s="1" t="s">
        <v>26</v>
      </c>
      <c r="F399" s="2">
        <v>45681.724999999999</v>
      </c>
      <c r="G399" s="1" t="s">
        <v>768</v>
      </c>
      <c r="H399" s="1" t="s">
        <v>768</v>
      </c>
      <c r="I399" s="1" t="s">
        <v>589</v>
      </c>
      <c r="J399" s="2">
        <v>45681.862500000003</v>
      </c>
      <c r="K399" s="2"/>
      <c r="L399" s="1" t="s">
        <v>18</v>
      </c>
      <c r="M399" s="1" t="str">
        <f>_xlfn.XLOOKUP(I399,Parâmetros!A:A,Parâmetros!B:B,_xlfn.XLOOKUP(Q399,Parâmetros!F:F,Parâmetros!G:G,"NOVA MENSAGEM"))</f>
        <v>REMARK - CNPJ</v>
      </c>
      <c r="N399" s="1" t="str">
        <f>_xlfn.XLOOKUP(M399,Parâmetros!K:K,Parâmetros!L:L,"")</f>
        <v/>
      </c>
      <c r="O399" s="1" t="str">
        <f>_xlfn.XLOOKUP(M399,Parâmetros!B:B,Parâmetros!C:C,_xlfn.XLOOKUP(Base!M395,Parâmetros!G:G,Parâmetros!H:H))</f>
        <v>QUALIDADE DOS DADOS</v>
      </c>
      <c r="P399" s="1" t="str">
        <f>_xlfn.XLOOKUP(I399,Parâmetros!A:A,Parâmetros!D:D,_xlfn.XLOOKUP(Q399,Parâmetros!F:F,Parâmetros!I:I))</f>
        <v>OPERAÇÕES / SUPORTE KCS</v>
      </c>
      <c r="Q399" s="1">
        <f t="shared" si="13"/>
        <v>24</v>
      </c>
    </row>
    <row r="400" spans="1:17" x14ac:dyDescent="0.25">
      <c r="A400" s="1" t="str">
        <f>_xlfn.XLOOKUP(D400,'Novo relatório'!B:B,'Novo relatório'!C:C,"RESOLVIDO")</f>
        <v>RESOLVIDO</v>
      </c>
      <c r="C400" t="str">
        <f t="shared" si="12"/>
        <v>RESOLVIDO</v>
      </c>
      <c r="D400" s="1">
        <v>3205314</v>
      </c>
      <c r="E400" s="1" t="s">
        <v>26</v>
      </c>
      <c r="F400" s="2">
        <v>45684.473611111112</v>
      </c>
      <c r="G400" s="1" t="s">
        <v>905</v>
      </c>
      <c r="H400" s="1" t="s">
        <v>905</v>
      </c>
      <c r="I400" s="1" t="s">
        <v>83</v>
      </c>
      <c r="J400" s="2">
        <v>45684.606944444444</v>
      </c>
      <c r="K400" s="2"/>
      <c r="L400" s="1" t="s">
        <v>18</v>
      </c>
      <c r="M400" s="1" t="str">
        <f>_xlfn.XLOOKUP(I400,Parâmetros!A:A,Parâmetros!B:B,_xlfn.XLOOKUP(Q400,Parâmetros!F:F,Parâmetros!G:G,"NOVA MENSAGEM"))</f>
        <v>CLIENTE NÃO IDENTIFICADO</v>
      </c>
      <c r="N400" s="1" t="str">
        <f>_xlfn.XLOOKUP(M400,Parâmetros!K:K,Parâmetros!L:L,"")</f>
        <v>DK DE CLIENTE NÃO PREENCIDO / CLIENTE NÃO CONFIGURADO NO OBT</v>
      </c>
      <c r="O400" s="1" t="str">
        <f>_xlfn.XLOOKUP(M400,Parâmetros!B:B,Parâmetros!C:C,_xlfn.XLOOKUP(Base!M396,Parâmetros!G:G,Parâmetros!H:H))</f>
        <v>INDEFINIDO</v>
      </c>
      <c r="P400" s="1" t="str">
        <f>_xlfn.XLOOKUP(I400,Parâmetros!A:A,Parâmetros!D:D,_xlfn.XLOOKUP(Q400,Parâmetros!F:F,Parâmetros!I:I))</f>
        <v>OPERAÇÕES / SUPORTE KCS</v>
      </c>
      <c r="Q400" s="1" t="str">
        <f t="shared" si="13"/>
        <v>COLUNA I</v>
      </c>
    </row>
    <row r="401" spans="1:17" x14ac:dyDescent="0.25">
      <c r="A401" s="1" t="str">
        <f>_xlfn.XLOOKUP(D401,'Novo relatório'!B:B,'Novo relatório'!C:C,"RESOLVIDO")</f>
        <v>RESOLVIDO</v>
      </c>
      <c r="C401" t="str">
        <f t="shared" si="12"/>
        <v>RESOLVIDO</v>
      </c>
      <c r="D401" s="1">
        <v>3205321</v>
      </c>
      <c r="E401" s="1" t="s">
        <v>26</v>
      </c>
      <c r="F401" s="2">
        <v>45684.473611111112</v>
      </c>
      <c r="G401" s="1" t="s">
        <v>922</v>
      </c>
      <c r="H401" s="1" t="s">
        <v>922</v>
      </c>
      <c r="I401" s="1" t="s">
        <v>396</v>
      </c>
      <c r="J401" s="2">
        <v>45684.606944444444</v>
      </c>
      <c r="L401" s="1" t="s">
        <v>18</v>
      </c>
      <c r="M401" s="1" t="str">
        <f>_xlfn.XLOOKUP(I401,Parâmetros!A:A,Parâmetros!B:B,_xlfn.XLOOKUP(Q401,Parâmetros!F:F,Parâmetros!G:G,"NOVA MENSAGEM"))</f>
        <v>CÓD. CLIENTE DIVERGENTE</v>
      </c>
      <c r="N401" s="1" t="str">
        <f>_xlfn.XLOOKUP(M401,Parâmetros!K:K,Parâmetros!L:L,"")</f>
        <v>CÓDIGO DIFERENTE DO CADASTRADO NO BENNER (CLIENTE X GRUPO)</v>
      </c>
      <c r="O401" s="1" t="str">
        <f>_xlfn.XLOOKUP(M401,Parâmetros!B:B,Parâmetros!C:C,_xlfn.XLOOKUP(Base!M397,Parâmetros!G:G,Parâmetros!H:H))</f>
        <v>QUALIDADE DOS DADOS</v>
      </c>
      <c r="P401" s="1" t="str">
        <f>_xlfn.XLOOKUP(I401,Parâmetros!A:A,Parâmetros!D:D,_xlfn.XLOOKUP(Q401,Parâmetros!F:F,Parâmetros!I:I))</f>
        <v>SUPORTE OBT</v>
      </c>
      <c r="Q401" s="1">
        <f t="shared" si="13"/>
        <v>1</v>
      </c>
    </row>
    <row r="402" spans="1:17" x14ac:dyDescent="0.25">
      <c r="A402" s="1" t="str">
        <f>_xlfn.XLOOKUP(D402,'Novo relatório'!B:B,'Novo relatório'!C:C,"RESOLVIDO")</f>
        <v>RESOLVIDO</v>
      </c>
      <c r="C402" t="str">
        <f t="shared" si="12"/>
        <v>RESOLVIDO</v>
      </c>
      <c r="D402" s="1">
        <v>3205338</v>
      </c>
      <c r="E402" s="1" t="s">
        <v>26</v>
      </c>
      <c r="F402" s="2">
        <v>45684.473611111112</v>
      </c>
      <c r="G402" s="1" t="s">
        <v>832</v>
      </c>
      <c r="H402" s="1" t="s">
        <v>832</v>
      </c>
      <c r="I402" s="1" t="s">
        <v>83</v>
      </c>
      <c r="J402" s="2">
        <v>45684.607638888891</v>
      </c>
      <c r="K402" s="2"/>
      <c r="L402" s="1" t="s">
        <v>18</v>
      </c>
      <c r="M402" s="1" t="str">
        <f>_xlfn.XLOOKUP(I402,Parâmetros!A:A,Parâmetros!B:B,_xlfn.XLOOKUP(Q402,Parâmetros!F:F,Parâmetros!G:G,"NOVA MENSAGEM"))</f>
        <v>CLIENTE NÃO IDENTIFICADO</v>
      </c>
      <c r="N402" s="1" t="str">
        <f>_xlfn.XLOOKUP(M402,Parâmetros!K:K,Parâmetros!L:L,"")</f>
        <v>DK DE CLIENTE NÃO PREENCIDO / CLIENTE NÃO CONFIGURADO NO OBT</v>
      </c>
      <c r="O402" s="1" t="str">
        <f>_xlfn.XLOOKUP(M402,Parâmetros!B:B,Parâmetros!C:C,_xlfn.XLOOKUP(Base!M398,Parâmetros!G:G,Parâmetros!H:H))</f>
        <v>INDEFINIDO</v>
      </c>
      <c r="P402" s="1" t="str">
        <f>_xlfn.XLOOKUP(I402,Parâmetros!A:A,Parâmetros!D:D,_xlfn.XLOOKUP(Q402,Parâmetros!F:F,Parâmetros!I:I))</f>
        <v>OPERAÇÕES / SUPORTE KCS</v>
      </c>
      <c r="Q402" s="1" t="str">
        <f t="shared" si="13"/>
        <v>COLUNA I</v>
      </c>
    </row>
    <row r="403" spans="1:17" x14ac:dyDescent="0.25">
      <c r="A403" s="1" t="str">
        <f>_xlfn.XLOOKUP(D403,'Novo relatório'!B:B,'Novo relatório'!C:C,"RESOLVIDO")</f>
        <v>RESOLVIDO</v>
      </c>
      <c r="C403" t="str">
        <f t="shared" si="12"/>
        <v>RESOLVIDO</v>
      </c>
      <c r="D403" s="1">
        <v>3205344</v>
      </c>
      <c r="E403" s="1" t="s">
        <v>26</v>
      </c>
      <c r="F403" s="2">
        <v>45688.477083333331</v>
      </c>
      <c r="G403" s="1" t="s">
        <v>702</v>
      </c>
      <c r="H403" s="1" t="s">
        <v>702</v>
      </c>
      <c r="I403" s="1" t="s">
        <v>394</v>
      </c>
      <c r="J403" s="2">
        <v>45684.60833333333</v>
      </c>
      <c r="K403" s="2">
        <v>45688.606249999997</v>
      </c>
      <c r="L403" s="1" t="s">
        <v>18</v>
      </c>
      <c r="M403" s="1" t="str">
        <f>_xlfn.XLOOKUP(I403,Parâmetros!A:A,Parâmetros!B:B,_xlfn.XLOOKUP(Q403,Parâmetros!F:F,Parâmetros!G:G,"NOVA MENSAGEM"))</f>
        <v>REMARK - CNPJ</v>
      </c>
      <c r="N403" s="1" t="str">
        <f>_xlfn.XLOOKUP(M403,Parâmetros!K:K,Parâmetros!L:L,"")</f>
        <v/>
      </c>
      <c r="O403" s="1" t="str">
        <f>_xlfn.XLOOKUP(M403,Parâmetros!B:B,Parâmetros!C:C,_xlfn.XLOOKUP(Base!M399,Parâmetros!G:G,Parâmetros!H:H))</f>
        <v>QUALIDADE DOS DADOS</v>
      </c>
      <c r="P403" s="1" t="str">
        <f>_xlfn.XLOOKUP(I403,Parâmetros!A:A,Parâmetros!D:D,_xlfn.XLOOKUP(Q403,Parâmetros!F:F,Parâmetros!I:I))</f>
        <v>OPERAÇÕES / SUPORTE KCS</v>
      </c>
      <c r="Q403" s="1">
        <f t="shared" si="13"/>
        <v>24</v>
      </c>
    </row>
    <row r="404" spans="1:17" x14ac:dyDescent="0.25">
      <c r="A404" s="1" t="str">
        <f>_xlfn.XLOOKUP(D404,'Novo relatório'!B:B,'Novo relatório'!C:C,"RESOLVIDO")</f>
        <v>RESOLVIDO</v>
      </c>
      <c r="C404" t="str">
        <f t="shared" si="12"/>
        <v>RESOLVIDO</v>
      </c>
      <c r="D404" s="1">
        <v>3205589</v>
      </c>
      <c r="E404" s="1" t="s">
        <v>26</v>
      </c>
      <c r="F404" s="2">
        <v>45684.554166666669</v>
      </c>
      <c r="G404" s="1" t="s">
        <v>831</v>
      </c>
      <c r="H404" s="1" t="s">
        <v>831</v>
      </c>
      <c r="I404" s="1" t="s">
        <v>83</v>
      </c>
      <c r="J404" s="2">
        <v>45684.689583333333</v>
      </c>
      <c r="K404" s="2"/>
      <c r="L404" s="1" t="s">
        <v>18</v>
      </c>
      <c r="M404" s="1" t="str">
        <f>_xlfn.XLOOKUP(I404,Parâmetros!A:A,Parâmetros!B:B,_xlfn.XLOOKUP(Q404,Parâmetros!F:F,Parâmetros!G:G,"NOVA MENSAGEM"))</f>
        <v>CLIENTE NÃO IDENTIFICADO</v>
      </c>
      <c r="N404" s="1" t="str">
        <f>_xlfn.XLOOKUP(M404,Parâmetros!K:K,Parâmetros!L:L,"")</f>
        <v>DK DE CLIENTE NÃO PREENCIDO / CLIENTE NÃO CONFIGURADO NO OBT</v>
      </c>
      <c r="O404" s="1" t="str">
        <f>_xlfn.XLOOKUP(M404,Parâmetros!B:B,Parâmetros!C:C,_xlfn.XLOOKUP(Base!M400,Parâmetros!G:G,Parâmetros!H:H))</f>
        <v>INDEFINIDO</v>
      </c>
      <c r="P404" s="1" t="str">
        <f>_xlfn.XLOOKUP(I404,Parâmetros!A:A,Parâmetros!D:D,_xlfn.XLOOKUP(Q404,Parâmetros!F:F,Parâmetros!I:I))</f>
        <v>OPERAÇÕES / SUPORTE KCS</v>
      </c>
      <c r="Q404" s="1" t="str">
        <f t="shared" si="13"/>
        <v>COLUNA I</v>
      </c>
    </row>
    <row r="405" spans="1:17" x14ac:dyDescent="0.25">
      <c r="A405" s="1" t="str">
        <f>_xlfn.XLOOKUP(D405,'Novo relatório'!B:B,'Novo relatório'!C:C,"RESOLVIDO")</f>
        <v>RESOLVIDO</v>
      </c>
      <c r="C405" t="str">
        <f t="shared" si="12"/>
        <v>RESOLVIDO</v>
      </c>
      <c r="D405" s="1">
        <v>3205655</v>
      </c>
      <c r="E405" s="1" t="s">
        <v>26</v>
      </c>
      <c r="F405" s="2">
        <v>45684.59652777778</v>
      </c>
      <c r="G405" s="1" t="s">
        <v>847</v>
      </c>
      <c r="H405" s="1" t="s">
        <v>847</v>
      </c>
      <c r="I405" s="1" t="s">
        <v>394</v>
      </c>
      <c r="J405" s="2">
        <v>45684.7</v>
      </c>
      <c r="K405" s="2">
        <v>45684.731944444444</v>
      </c>
      <c r="L405" s="1" t="s">
        <v>18</v>
      </c>
      <c r="M405" s="1" t="str">
        <f>_xlfn.XLOOKUP(I405,Parâmetros!A:A,Parâmetros!B:B,_xlfn.XLOOKUP(Q405,Parâmetros!F:F,Parâmetros!G:G,"NOVA MENSAGEM"))</f>
        <v>REMARK - CNPJ</v>
      </c>
      <c r="N405" s="1" t="str">
        <f>_xlfn.XLOOKUP(M405,Parâmetros!K:K,Parâmetros!L:L,"")</f>
        <v/>
      </c>
      <c r="O405" s="1" t="str">
        <f>_xlfn.XLOOKUP(M405,Parâmetros!B:B,Parâmetros!C:C,_xlfn.XLOOKUP(Base!M401,Parâmetros!G:G,Parâmetros!H:H))</f>
        <v>QUALIDADE DOS DADOS</v>
      </c>
      <c r="P405" s="1" t="str">
        <f>_xlfn.XLOOKUP(I405,Parâmetros!A:A,Parâmetros!D:D,_xlfn.XLOOKUP(Q405,Parâmetros!F:F,Parâmetros!I:I))</f>
        <v>OPERAÇÕES / SUPORTE KCS</v>
      </c>
      <c r="Q405" s="1">
        <f t="shared" si="13"/>
        <v>24</v>
      </c>
    </row>
    <row r="406" spans="1:17" x14ac:dyDescent="0.25">
      <c r="A406" s="1" t="str">
        <f>_xlfn.XLOOKUP(D406,'Novo relatório'!B:B,'Novo relatório'!C:C,"RESOLVIDO")</f>
        <v>RESOLVIDO</v>
      </c>
      <c r="C406" t="str">
        <f t="shared" si="12"/>
        <v>RESOLVIDO</v>
      </c>
      <c r="D406" s="1">
        <v>3205795</v>
      </c>
      <c r="E406" s="1" t="s">
        <v>26</v>
      </c>
      <c r="F406" s="2">
        <v>45684.59652777778</v>
      </c>
      <c r="G406" s="1" t="s">
        <v>825</v>
      </c>
      <c r="H406" s="1" t="s">
        <v>825</v>
      </c>
      <c r="I406" s="1" t="s">
        <v>799</v>
      </c>
      <c r="J406" s="2">
        <v>45684.731944444444</v>
      </c>
      <c r="K406" s="2"/>
      <c r="L406" s="1" t="s">
        <v>18</v>
      </c>
      <c r="M406" s="1" t="str">
        <f>_xlfn.XLOOKUP(I406,Parâmetros!A:A,Parâmetros!B:B,_xlfn.XLOOKUP(Q406,Parâmetros!F:F,Parâmetros!G:G,"NOVA MENSAGEM"))</f>
        <v>REMARK - CNPJ</v>
      </c>
      <c r="N406" s="1" t="str">
        <f>_xlfn.XLOOKUP(M406,Parâmetros!K:K,Parâmetros!L:L,"")</f>
        <v/>
      </c>
      <c r="O406" s="1" t="e">
        <f>_xlfn.XLOOKUP(M406,Parâmetros!B:B,Parâmetros!C:C,_xlfn.XLOOKUP(Base!M402,Parâmetros!G:G,Parâmetros!H:H))</f>
        <v>#N/A</v>
      </c>
      <c r="P406" s="1" t="str">
        <f>_xlfn.XLOOKUP(I406,Parâmetros!A:A,Parâmetros!D:D,_xlfn.XLOOKUP(Q406,Parâmetros!F:F,Parâmetros!I:I))</f>
        <v>OPERAÇÕES / SUPORTE KCS</v>
      </c>
      <c r="Q406" s="1">
        <f t="shared" si="13"/>
        <v>24</v>
      </c>
    </row>
    <row r="407" spans="1:17" x14ac:dyDescent="0.25">
      <c r="A407" s="1" t="str">
        <f>_xlfn.XLOOKUP(D407,'Novo relatório'!B:B,'Novo relatório'!C:C,"RESOLVIDO")</f>
        <v>RESOLVIDO</v>
      </c>
      <c r="C407" t="str">
        <f t="shared" si="12"/>
        <v>RESOLVIDO</v>
      </c>
      <c r="D407" s="1">
        <v>3205800</v>
      </c>
      <c r="E407" s="1" t="s">
        <v>26</v>
      </c>
      <c r="F407" s="2">
        <v>45684.675000000003</v>
      </c>
      <c r="G407" s="1" t="s">
        <v>855</v>
      </c>
      <c r="H407" s="1" t="s">
        <v>855</v>
      </c>
      <c r="I407" s="1" t="s">
        <v>403</v>
      </c>
      <c r="J407" s="2">
        <v>45684.732638888891</v>
      </c>
      <c r="K407" s="2">
        <v>45684.805555555555</v>
      </c>
      <c r="L407" s="1" t="s">
        <v>18</v>
      </c>
      <c r="M407" s="1" t="str">
        <f>_xlfn.XLOOKUP(I407,Parâmetros!A:A,Parâmetros!B:B,_xlfn.XLOOKUP(Q407,Parâmetros!F:F,Parâmetros!G:G,"NOVA MENSAGEM"))</f>
        <v>REMARK - CNPJ</v>
      </c>
      <c r="N407" s="1" t="str">
        <f>_xlfn.XLOOKUP(M407,Parâmetros!K:K,Parâmetros!L:L,"")</f>
        <v/>
      </c>
      <c r="O407" s="1" t="str">
        <f>_xlfn.XLOOKUP(M407,Parâmetros!B:B,Parâmetros!C:C,_xlfn.XLOOKUP(Base!M403,Parâmetros!G:G,Parâmetros!H:H))</f>
        <v>QUALIDADE DOS DADOS</v>
      </c>
      <c r="P407" s="1" t="str">
        <f>_xlfn.XLOOKUP(I407,Parâmetros!A:A,Parâmetros!D:D,_xlfn.XLOOKUP(Q407,Parâmetros!F:F,Parâmetros!I:I))</f>
        <v>OPERAÇÕES / SUPORTE KCS</v>
      </c>
      <c r="Q407" s="1">
        <f t="shared" si="13"/>
        <v>24</v>
      </c>
    </row>
    <row r="408" spans="1:17" x14ac:dyDescent="0.25">
      <c r="A408" s="1" t="str">
        <f>_xlfn.XLOOKUP(D408,'Novo relatório'!B:B,'Novo relatório'!C:C,"RESOLVIDO")</f>
        <v>RESOLVIDO</v>
      </c>
      <c r="C408" t="str">
        <f t="shared" si="12"/>
        <v>RESOLVIDO</v>
      </c>
      <c r="D408" s="1">
        <v>3205998</v>
      </c>
      <c r="E408" s="1" t="s">
        <v>26</v>
      </c>
      <c r="F408" s="2">
        <v>45684.661111111112</v>
      </c>
      <c r="G408" s="1" t="s">
        <v>698</v>
      </c>
      <c r="H408" s="1" t="s">
        <v>698</v>
      </c>
      <c r="I408" s="1" t="s">
        <v>394</v>
      </c>
      <c r="J408" s="2">
        <v>45684.794444444444</v>
      </c>
      <c r="L408" s="1" t="s">
        <v>18</v>
      </c>
      <c r="M408" s="1" t="str">
        <f>_xlfn.XLOOKUP(I408,Parâmetros!A:A,Parâmetros!B:B,_xlfn.XLOOKUP(Q408,Parâmetros!F:F,Parâmetros!G:G,"NOVA MENSAGEM"))</f>
        <v>REMARK - CNPJ</v>
      </c>
      <c r="N408" s="1" t="str">
        <f>_xlfn.XLOOKUP(M408,Parâmetros!K:K,Parâmetros!L:L,"")</f>
        <v/>
      </c>
      <c r="O408" s="1" t="e">
        <f>_xlfn.XLOOKUP(M408,Parâmetros!B:B,Parâmetros!C:C,_xlfn.XLOOKUP(Base!M404,Parâmetros!G:G,Parâmetros!H:H))</f>
        <v>#N/A</v>
      </c>
      <c r="P408" s="1" t="str">
        <f>_xlfn.XLOOKUP(I408,Parâmetros!A:A,Parâmetros!D:D,_xlfn.XLOOKUP(Q408,Parâmetros!F:F,Parâmetros!I:I))</f>
        <v>OPERAÇÕES / SUPORTE KCS</v>
      </c>
      <c r="Q408" s="1">
        <f t="shared" si="13"/>
        <v>24</v>
      </c>
    </row>
    <row r="409" spans="1:17" x14ac:dyDescent="0.25">
      <c r="A409" s="1" t="str">
        <f>_xlfn.XLOOKUP(D409,'Novo relatório'!B:B,'Novo relatório'!C:C,"RESOLVIDO")</f>
        <v>RESOLVIDO</v>
      </c>
      <c r="C409" t="str">
        <f t="shared" si="12"/>
        <v>RESOLVIDO</v>
      </c>
      <c r="D409" s="1">
        <v>3206591</v>
      </c>
      <c r="E409" s="1" t="s">
        <v>26</v>
      </c>
      <c r="F409" s="2">
        <v>45685.541666666664</v>
      </c>
      <c r="G409" s="1" t="s">
        <v>730</v>
      </c>
      <c r="H409" s="1" t="s">
        <v>730</v>
      </c>
      <c r="I409" s="1" t="s">
        <v>588</v>
      </c>
      <c r="J409" s="2">
        <v>45684.856944444444</v>
      </c>
      <c r="K409" s="2">
        <v>45685.674305555556</v>
      </c>
      <c r="L409" s="1" t="s">
        <v>14</v>
      </c>
      <c r="M409" s="1" t="str">
        <f>_xlfn.XLOOKUP(I409,Parâmetros!A:A,Parâmetros!B:B,_xlfn.XLOOKUP(Q409,Parâmetros!F:F,Parâmetros!G:G,"NOVA MENSAGEM"))</f>
        <v>ERRO NO XML</v>
      </c>
      <c r="N409" s="1" t="str">
        <f>_xlfn.XLOOKUP(M409,Parâmetros!K:K,Parâmetros!L:L,"")</f>
        <v/>
      </c>
      <c r="O409" s="1" t="str">
        <f>_xlfn.XLOOKUP(M409,Parâmetros!B:B,Parâmetros!C:C,_xlfn.XLOOKUP(Base!M405,Parâmetros!G:G,Parâmetros!H:H))</f>
        <v>SISTEMA</v>
      </c>
      <c r="P409" s="1" t="str">
        <f>_xlfn.XLOOKUP(I409,Parâmetros!A:A,Parâmetros!D:D,_xlfn.XLOOKUP(Q409,Parâmetros!F:F,Parâmetros!I:I))</f>
        <v>SUPORTE OBT</v>
      </c>
      <c r="Q409" s="1" t="str">
        <f t="shared" si="13"/>
        <v>COLUNA I</v>
      </c>
    </row>
    <row r="410" spans="1:17" x14ac:dyDescent="0.25">
      <c r="A410" s="1" t="str">
        <f>_xlfn.XLOOKUP(D410,'Novo relatório'!B:B,'Novo relatório'!C:C,"RESOLVIDO")</f>
        <v>RESOLVIDO</v>
      </c>
      <c r="C410" t="str">
        <f t="shared" si="12"/>
        <v>RESOLVIDO</v>
      </c>
      <c r="D410" s="1">
        <v>3206599</v>
      </c>
      <c r="E410" s="1" t="s">
        <v>26</v>
      </c>
      <c r="F410" s="2">
        <v>45685.275000000001</v>
      </c>
      <c r="G410" s="1" t="s">
        <v>902</v>
      </c>
      <c r="H410" s="1" t="s">
        <v>902</v>
      </c>
      <c r="I410" s="1" t="s">
        <v>403</v>
      </c>
      <c r="J410" s="2">
        <v>45684.856944444444</v>
      </c>
      <c r="K410" s="2">
        <v>45685.409722222219</v>
      </c>
      <c r="L410" s="1" t="s">
        <v>18</v>
      </c>
      <c r="M410" s="1" t="str">
        <f>_xlfn.XLOOKUP(I410,Parâmetros!A:A,Parâmetros!B:B,_xlfn.XLOOKUP(Q410,Parâmetros!F:F,Parâmetros!G:G,"NOVA MENSAGEM"))</f>
        <v>REMARK - CNPJ</v>
      </c>
      <c r="N410" s="1" t="str">
        <f>_xlfn.XLOOKUP(M410,Parâmetros!K:K,Parâmetros!L:L,"")</f>
        <v/>
      </c>
      <c r="O410" s="1" t="str">
        <f>_xlfn.XLOOKUP(M410,Parâmetros!B:B,Parâmetros!C:C,_xlfn.XLOOKUP(Base!M406,Parâmetros!G:G,Parâmetros!H:H))</f>
        <v>QUALIDADE DOS DADOS</v>
      </c>
      <c r="P410" s="1" t="str">
        <f>_xlfn.XLOOKUP(I410,Parâmetros!A:A,Parâmetros!D:D,_xlfn.XLOOKUP(Q410,Parâmetros!F:F,Parâmetros!I:I))</f>
        <v>OPERAÇÕES / SUPORTE KCS</v>
      </c>
      <c r="Q410" s="1">
        <f t="shared" si="13"/>
        <v>24</v>
      </c>
    </row>
    <row r="411" spans="1:17" x14ac:dyDescent="0.25">
      <c r="A411" s="1" t="str">
        <f>_xlfn.XLOOKUP(D411,'Novo relatório'!B:B,'Novo relatório'!C:C,"RESOLVIDO")</f>
        <v>RESOLVIDO</v>
      </c>
      <c r="C411" t="str">
        <f t="shared" si="12"/>
        <v>RESOLVIDO</v>
      </c>
      <c r="D411" s="1">
        <v>3208322</v>
      </c>
      <c r="E411" s="1" t="s">
        <v>26</v>
      </c>
      <c r="F411" s="2">
        <v>45691.709027777775</v>
      </c>
      <c r="G411" s="1" t="s">
        <v>810</v>
      </c>
      <c r="H411" s="1" t="s">
        <v>810</v>
      </c>
      <c r="I411" s="1" t="s">
        <v>588</v>
      </c>
      <c r="J411" s="2">
        <v>45685.668749999997</v>
      </c>
      <c r="K411" s="2">
        <v>45691.836111111108</v>
      </c>
      <c r="L411" s="1" t="s">
        <v>14</v>
      </c>
      <c r="M411" s="1" t="str">
        <f>_xlfn.XLOOKUP(I411,Parâmetros!A:A,Parâmetros!B:B,_xlfn.XLOOKUP(Q411,Parâmetros!F:F,Parâmetros!G:G,"NOVA MENSAGEM"))</f>
        <v>ERRO NO XML</v>
      </c>
      <c r="N411" s="1" t="str">
        <f>_xlfn.XLOOKUP(M411,Parâmetros!K:K,Parâmetros!L:L,"")</f>
        <v/>
      </c>
      <c r="O411" s="1" t="str">
        <f>_xlfn.XLOOKUP(M411,Parâmetros!B:B,Parâmetros!C:C,_xlfn.XLOOKUP(Base!M407,Parâmetros!G:G,Parâmetros!H:H))</f>
        <v>SISTEMA</v>
      </c>
      <c r="P411" s="1" t="str">
        <f>_xlfn.XLOOKUP(I411,Parâmetros!A:A,Parâmetros!D:D,_xlfn.XLOOKUP(Q411,Parâmetros!F:F,Parâmetros!I:I))</f>
        <v>SUPORTE OBT</v>
      </c>
      <c r="Q411" s="1" t="str">
        <f t="shared" si="13"/>
        <v>COLUNA I</v>
      </c>
    </row>
    <row r="412" spans="1:17" x14ac:dyDescent="0.25">
      <c r="A412" s="1" t="str">
        <f>_xlfn.XLOOKUP(D412,'Novo relatório'!B:B,'Novo relatório'!C:C,"RESOLVIDO")</f>
        <v>RESOLVIDO</v>
      </c>
      <c r="C412" t="str">
        <f t="shared" si="12"/>
        <v>RESOLVIDO</v>
      </c>
      <c r="D412" s="1">
        <v>3208326</v>
      </c>
      <c r="E412" s="1" t="s">
        <v>26</v>
      </c>
      <c r="F412" s="2">
        <v>45685.534722222219</v>
      </c>
      <c r="G412" s="1" t="s">
        <v>800</v>
      </c>
      <c r="H412" s="1" t="s">
        <v>800</v>
      </c>
      <c r="I412" s="1" t="s">
        <v>396</v>
      </c>
      <c r="J412" s="2">
        <v>45685.669444444444</v>
      </c>
      <c r="K412" s="2"/>
      <c r="L412" s="1" t="s">
        <v>18</v>
      </c>
      <c r="M412" s="1" t="str">
        <f>_xlfn.XLOOKUP(I412,Parâmetros!A:A,Parâmetros!B:B,_xlfn.XLOOKUP(Q412,Parâmetros!F:F,Parâmetros!G:G,"NOVA MENSAGEM"))</f>
        <v>CÓD. CLIENTE DIVERGENTE</v>
      </c>
      <c r="N412" s="1" t="str">
        <f>_xlfn.XLOOKUP(M412,Parâmetros!K:K,Parâmetros!L:L,"")</f>
        <v>CÓDIGO DIFERENTE DO CADASTRADO NO BENNER (CLIENTE X GRUPO)</v>
      </c>
      <c r="O412" s="1" t="str">
        <f>_xlfn.XLOOKUP(M412,Parâmetros!B:B,Parâmetros!C:C,_xlfn.XLOOKUP(Base!M408,Parâmetros!G:G,Parâmetros!H:H))</f>
        <v>QUALIDADE DOS DADOS</v>
      </c>
      <c r="P412" s="1" t="str">
        <f>_xlfn.XLOOKUP(I412,Parâmetros!A:A,Parâmetros!D:D,_xlfn.XLOOKUP(Q412,Parâmetros!F:F,Parâmetros!I:I))</f>
        <v>SUPORTE OBT</v>
      </c>
      <c r="Q412" s="1">
        <f t="shared" si="13"/>
        <v>1</v>
      </c>
    </row>
    <row r="413" spans="1:17" x14ac:dyDescent="0.25">
      <c r="A413" s="1" t="str">
        <f>_xlfn.XLOOKUP(D413,'Novo relatório'!B:B,'Novo relatório'!C:C,"RESOLVIDO")</f>
        <v>RESOLVIDO</v>
      </c>
      <c r="C413" t="str">
        <f t="shared" si="12"/>
        <v>RESOLVIDO</v>
      </c>
      <c r="D413" s="1">
        <v>3208355</v>
      </c>
      <c r="E413" s="1" t="s">
        <v>26</v>
      </c>
      <c r="F413" s="2">
        <v>45685.534722222219</v>
      </c>
      <c r="G413" s="1" t="s">
        <v>895</v>
      </c>
      <c r="H413" s="1" t="s">
        <v>895</v>
      </c>
      <c r="I413" s="1" t="s">
        <v>588</v>
      </c>
      <c r="J413" s="2">
        <v>45685.671527777777</v>
      </c>
      <c r="K413" s="2"/>
      <c r="L413" s="1" t="s">
        <v>14</v>
      </c>
      <c r="M413" s="1" t="str">
        <f>_xlfn.XLOOKUP(I413,Parâmetros!A:A,Parâmetros!B:B,_xlfn.XLOOKUP(Q413,Parâmetros!F:F,Parâmetros!G:G,"NOVA MENSAGEM"))</f>
        <v>ERRO NO XML</v>
      </c>
      <c r="N413" s="1" t="str">
        <f>_xlfn.XLOOKUP(M413,Parâmetros!K:K,Parâmetros!L:L,"")</f>
        <v/>
      </c>
      <c r="O413" s="1" t="str">
        <f>_xlfn.XLOOKUP(M413,Parâmetros!B:B,Parâmetros!C:C,_xlfn.XLOOKUP(Base!M409,Parâmetros!G:G,Parâmetros!H:H))</f>
        <v>SISTEMA</v>
      </c>
      <c r="P413" s="1" t="str">
        <f>_xlfn.XLOOKUP(I413,Parâmetros!A:A,Parâmetros!D:D,_xlfn.XLOOKUP(Q413,Parâmetros!F:F,Parâmetros!I:I))</f>
        <v>SUPORTE OBT</v>
      </c>
      <c r="Q413" s="1" t="str">
        <f t="shared" si="13"/>
        <v>COLUNA I</v>
      </c>
    </row>
    <row r="414" spans="1:17" x14ac:dyDescent="0.25">
      <c r="A414" s="1" t="str">
        <f>_xlfn.XLOOKUP(D414,'Novo relatório'!B:B,'Novo relatório'!C:C,"RESOLVIDO")</f>
        <v>RESOLVIDO</v>
      </c>
      <c r="C414" t="str">
        <f t="shared" si="12"/>
        <v>RESOLVIDO</v>
      </c>
      <c r="D414" s="1">
        <v>3208460</v>
      </c>
      <c r="E414" s="1" t="s">
        <v>26</v>
      </c>
      <c r="F414" s="2">
        <v>45685.625694444447</v>
      </c>
      <c r="G414" s="1" t="s">
        <v>923</v>
      </c>
      <c r="H414" s="1" t="s">
        <v>923</v>
      </c>
      <c r="I414" s="1" t="s">
        <v>692</v>
      </c>
      <c r="J414" s="2">
        <v>45685.712500000001</v>
      </c>
      <c r="K414" s="2">
        <v>45685.75277777778</v>
      </c>
      <c r="L414" s="1" t="s">
        <v>18</v>
      </c>
      <c r="M414" s="1" t="str">
        <f>_xlfn.XLOOKUP(I414,Parâmetros!A:A,Parâmetros!B:B,_xlfn.XLOOKUP(Q414,Parâmetros!F:F,Parâmetros!G:G,"NOVA MENSAGEM"))</f>
        <v>REMARK - CNPJ</v>
      </c>
      <c r="N414" s="1" t="str">
        <f>_xlfn.XLOOKUP(M414,Parâmetros!K:K,Parâmetros!L:L,"")</f>
        <v/>
      </c>
      <c r="O414" s="1" t="str">
        <f>_xlfn.XLOOKUP(M414,Parâmetros!B:B,Parâmetros!C:C,_xlfn.XLOOKUP(Base!M410,Parâmetros!G:G,Parâmetros!H:H))</f>
        <v>QUALIDADE DOS DADOS</v>
      </c>
      <c r="P414" s="1" t="str">
        <f>_xlfn.XLOOKUP(I414,Parâmetros!A:A,Parâmetros!D:D,_xlfn.XLOOKUP(Q414,Parâmetros!F:F,Parâmetros!I:I))</f>
        <v>OPERAÇÕES / SUPORTE KCS</v>
      </c>
      <c r="Q414" s="1">
        <f t="shared" si="13"/>
        <v>24</v>
      </c>
    </row>
    <row r="415" spans="1:17" x14ac:dyDescent="0.25">
      <c r="A415" s="1" t="str">
        <f>_xlfn.XLOOKUP(D415,'Novo relatório'!B:B,'Novo relatório'!C:C,"RESOLVIDO")</f>
        <v>RESOLVIDO</v>
      </c>
      <c r="C415" t="str">
        <f t="shared" si="12"/>
        <v>RESOLVIDO</v>
      </c>
      <c r="D415" s="1">
        <v>3208677</v>
      </c>
      <c r="E415" s="1" t="s">
        <v>26</v>
      </c>
      <c r="F415" s="2">
        <v>45685.625694444447</v>
      </c>
      <c r="G415" s="1" t="s">
        <v>908</v>
      </c>
      <c r="H415" s="1" t="s">
        <v>908</v>
      </c>
      <c r="I415" s="1" t="s">
        <v>620</v>
      </c>
      <c r="J415" s="2">
        <v>45685.753472222219</v>
      </c>
      <c r="K415" s="2"/>
      <c r="L415" s="1" t="s">
        <v>18</v>
      </c>
      <c r="M415" s="1" t="str">
        <f>_xlfn.XLOOKUP(I415,Parâmetros!A:A,Parâmetros!B:B,_xlfn.XLOOKUP(Q415,Parâmetros!F:F,Parâmetros!G:G,"NOVA MENSAGEM"))</f>
        <v>CÓD. CLIENTE DIVERGENTE</v>
      </c>
      <c r="N415" s="1" t="str">
        <f>_xlfn.XLOOKUP(M415,Parâmetros!K:K,Parâmetros!L:L,"")</f>
        <v>CÓDIGO DIFERENTE DO CADASTRADO NO BENNER (CLIENTE X GRUPO)</v>
      </c>
      <c r="O415" s="1" t="str">
        <f>_xlfn.XLOOKUP(M415,Parâmetros!B:B,Parâmetros!C:C,_xlfn.XLOOKUP(Base!M411,Parâmetros!G:G,Parâmetros!H:H))</f>
        <v>QUALIDADE DOS DADOS</v>
      </c>
      <c r="P415" s="1" t="str">
        <f>_xlfn.XLOOKUP(I415,Parâmetros!A:A,Parâmetros!D:D,_xlfn.XLOOKUP(Q415,Parâmetros!F:F,Parâmetros!I:I))</f>
        <v>SUPORTE OBT</v>
      </c>
      <c r="Q415" s="1">
        <f t="shared" si="13"/>
        <v>1</v>
      </c>
    </row>
    <row r="416" spans="1:17" x14ac:dyDescent="0.25">
      <c r="A416" s="1" t="str">
        <f>_xlfn.XLOOKUP(D416,'Novo relatório'!B:B,'Novo relatório'!C:C,"RESOLVIDO")</f>
        <v>RESOLVIDO</v>
      </c>
      <c r="C416" t="str">
        <f t="shared" si="12"/>
        <v>RESOLVIDO</v>
      </c>
      <c r="D416" s="1">
        <v>3208678</v>
      </c>
      <c r="E416" s="1" t="s">
        <v>26</v>
      </c>
      <c r="F416" s="2">
        <v>45685.625694444447</v>
      </c>
      <c r="G416" s="1" t="s">
        <v>830</v>
      </c>
      <c r="H416" s="1" t="s">
        <v>830</v>
      </c>
      <c r="I416" s="1" t="s">
        <v>396</v>
      </c>
      <c r="J416" s="2">
        <v>45685.754166666666</v>
      </c>
      <c r="K416" s="2"/>
      <c r="L416" s="1" t="s">
        <v>18</v>
      </c>
      <c r="M416" s="1" t="str">
        <f>_xlfn.XLOOKUP(I416,Parâmetros!A:A,Parâmetros!B:B,_xlfn.XLOOKUP(Q416,Parâmetros!F:F,Parâmetros!G:G,"NOVA MENSAGEM"))</f>
        <v>CÓD. CLIENTE DIVERGENTE</v>
      </c>
      <c r="N416" s="1" t="str">
        <f>_xlfn.XLOOKUP(M416,Parâmetros!K:K,Parâmetros!L:L,"")</f>
        <v>CÓDIGO DIFERENTE DO CADASTRADO NO BENNER (CLIENTE X GRUPO)</v>
      </c>
      <c r="O416" s="1" t="str">
        <f>_xlfn.XLOOKUP(M416,Parâmetros!B:B,Parâmetros!C:C,_xlfn.XLOOKUP(Base!M412,Parâmetros!G:G,Parâmetros!H:H))</f>
        <v>QUALIDADE DOS DADOS</v>
      </c>
      <c r="P416" s="1" t="str">
        <f>_xlfn.XLOOKUP(I416,Parâmetros!A:A,Parâmetros!D:D,_xlfn.XLOOKUP(Q416,Parâmetros!F:F,Parâmetros!I:I))</f>
        <v>SUPORTE OBT</v>
      </c>
      <c r="Q416" s="1">
        <f t="shared" si="13"/>
        <v>1</v>
      </c>
    </row>
    <row r="417" spans="1:17" x14ac:dyDescent="0.25">
      <c r="A417" s="1" t="str">
        <f>_xlfn.XLOOKUP(D417,'Novo relatório'!B:B,'Novo relatório'!C:C,"RESOLVIDO")</f>
        <v>RESOLVIDO</v>
      </c>
      <c r="C417" t="str">
        <f t="shared" si="12"/>
        <v>RESOLVIDO</v>
      </c>
      <c r="D417" s="1">
        <v>3208797</v>
      </c>
      <c r="E417" s="1" t="s">
        <v>26</v>
      </c>
      <c r="F417" s="2">
        <v>45685.67083333333</v>
      </c>
      <c r="G417" s="1" t="s">
        <v>724</v>
      </c>
      <c r="H417" s="1" t="s">
        <v>725</v>
      </c>
      <c r="I417" s="1" t="s">
        <v>85</v>
      </c>
      <c r="J417" s="2">
        <v>45685.805555555555</v>
      </c>
      <c r="L417" s="1" t="s">
        <v>18</v>
      </c>
      <c r="M417" s="1" t="str">
        <f>_xlfn.XLOOKUP(I417,Parâmetros!A:A,Parâmetros!B:B,_xlfn.XLOOKUP(Q417,Parâmetros!F:F,Parâmetros!G:G,"NOVA MENSAGEM"))</f>
        <v>CLIENTE NÃO IDENTIFICADO</v>
      </c>
      <c r="N417" s="1" t="str">
        <f>_xlfn.XLOOKUP(M417,Parâmetros!K:K,Parâmetros!L:L,"")</f>
        <v>DK DE CLIENTE NÃO PREENCIDO / CLIENTE NÃO CONFIGURADO NO OBT</v>
      </c>
      <c r="O417" s="1" t="str">
        <f>_xlfn.XLOOKUP(M417,Parâmetros!B:B,Parâmetros!C:C,_xlfn.XLOOKUP(Base!M413,Parâmetros!G:G,Parâmetros!H:H))</f>
        <v>INDEFINIDO</v>
      </c>
      <c r="P417" s="1" t="str">
        <f>_xlfn.XLOOKUP(I417,Parâmetros!A:A,Parâmetros!D:D,_xlfn.XLOOKUP(Q417,Parâmetros!F:F,Parâmetros!I:I))</f>
        <v>OPERAÇÕES / SUPORTE KCS</v>
      </c>
      <c r="Q417" s="1" t="str">
        <f t="shared" si="13"/>
        <v>COLUNA I</v>
      </c>
    </row>
    <row r="418" spans="1:17" x14ac:dyDescent="0.25">
      <c r="A418" s="1" t="str">
        <f>_xlfn.XLOOKUP(D418,'Novo relatório'!B:B,'Novo relatório'!C:C,"RESOLVIDO")</f>
        <v>RESOLVIDO</v>
      </c>
      <c r="C418" t="str">
        <f t="shared" si="12"/>
        <v>RESOLVIDO</v>
      </c>
      <c r="D418" s="1">
        <v>3208815</v>
      </c>
      <c r="E418" s="1" t="s">
        <v>26</v>
      </c>
      <c r="F418" s="2">
        <v>45686.268055555556</v>
      </c>
      <c r="G418" s="1" t="s">
        <v>721</v>
      </c>
      <c r="H418" s="1" t="s">
        <v>721</v>
      </c>
      <c r="I418" s="1" t="s">
        <v>718</v>
      </c>
      <c r="J418" s="2">
        <v>45685.814583333333</v>
      </c>
      <c r="K418" s="2">
        <v>45686.397222222222</v>
      </c>
      <c r="L418" s="1" t="s">
        <v>18</v>
      </c>
      <c r="M418" s="1" t="str">
        <f>_xlfn.XLOOKUP(I418,Parâmetros!A:A,Parâmetros!B:B,_xlfn.XLOOKUP(Q418,Parâmetros!F:F,Parâmetros!G:G,"NOVA MENSAGEM"))</f>
        <v>REMARK - CNPJ</v>
      </c>
      <c r="N418" s="1" t="str">
        <f>_xlfn.XLOOKUP(M418,Parâmetros!K:K,Parâmetros!L:L,"")</f>
        <v/>
      </c>
      <c r="O418" s="1" t="str">
        <f>_xlfn.XLOOKUP(M418,Parâmetros!B:B,Parâmetros!C:C,_xlfn.XLOOKUP(Base!M414,Parâmetros!G:G,Parâmetros!H:H))</f>
        <v>QUALIDADE DOS DADOS</v>
      </c>
      <c r="P418" s="1" t="str">
        <f>_xlfn.XLOOKUP(I418,Parâmetros!A:A,Parâmetros!D:D,_xlfn.XLOOKUP(Q418,Parâmetros!F:F,Parâmetros!I:I))</f>
        <v>OPERAÇÕES / SUPORTE KCS</v>
      </c>
      <c r="Q418" s="1">
        <f t="shared" si="13"/>
        <v>24</v>
      </c>
    </row>
    <row r="419" spans="1:17" x14ac:dyDescent="0.25">
      <c r="A419" s="1" t="str">
        <f>_xlfn.XLOOKUP(D419,'Novo relatório'!B:B,'Novo relatório'!C:C,"RESOLVIDO")</f>
        <v>GOVER</v>
      </c>
      <c r="C419" t="str">
        <f t="shared" si="12"/>
        <v>PENDENTE</v>
      </c>
      <c r="D419" s="1">
        <v>3210564</v>
      </c>
      <c r="E419" s="1" t="s">
        <v>24</v>
      </c>
      <c r="F419" s="2">
        <v>45686.427083333336</v>
      </c>
      <c r="G419" s="1">
        <v>4482820</v>
      </c>
      <c r="H419" s="1">
        <v>4482820</v>
      </c>
      <c r="I419" s="1" t="s">
        <v>77</v>
      </c>
      <c r="J419" s="2">
        <v>45686.62777777778</v>
      </c>
      <c r="K419" s="2">
        <v>45699.412499999999</v>
      </c>
      <c r="L419" s="1" t="s">
        <v>14</v>
      </c>
      <c r="M419" s="1" t="str">
        <f>_xlfn.XLOOKUP(I419,Parâmetros!A:A,Parâmetros!B:B,_xlfn.XLOOKUP(Q419,Parâmetros!F:F,Parâmetros!G:G,"NOVA MENSAGEM"))</f>
        <v>RLOC NÃO INFORMADO</v>
      </c>
      <c r="N419" s="1" t="str">
        <f>_xlfn.XLOOKUP(M419,Parâmetros!K:K,Parâmetros!L:L,"")</f>
        <v>RLOC NÃO PREENCHIDO NA RESERVA</v>
      </c>
      <c r="O419" s="1" t="str">
        <f>_xlfn.XLOOKUP(M419,Parâmetros!B:B,Parâmetros!C:C,_xlfn.XLOOKUP(Base!M415,Parâmetros!G:G,Parâmetros!H:H))</f>
        <v>QUALIDADE DOS DADOS</v>
      </c>
      <c r="P419" s="1" t="str">
        <f>_xlfn.XLOOKUP(I419,Parâmetros!A:A,Parâmetros!D:D,_xlfn.XLOOKUP(Q419,Parâmetros!F:F,Parâmetros!I:I))</f>
        <v>SUPORTE OBT</v>
      </c>
      <c r="Q419" s="1" t="str">
        <f t="shared" si="13"/>
        <v>COLUNA I</v>
      </c>
    </row>
    <row r="420" spans="1:17" x14ac:dyDescent="0.25">
      <c r="A420" s="1" t="str">
        <f>_xlfn.XLOOKUP(D420,'Novo relatório'!B:B,'Novo relatório'!C:C,"RESOLVIDO")</f>
        <v>GOVER</v>
      </c>
      <c r="C420" t="str">
        <f t="shared" si="12"/>
        <v>PENDENTE</v>
      </c>
      <c r="D420" s="1">
        <v>3210813</v>
      </c>
      <c r="E420" s="1" t="s">
        <v>24</v>
      </c>
      <c r="F420" s="2">
        <v>45686.588194444441</v>
      </c>
      <c r="G420" s="1">
        <v>4483061</v>
      </c>
      <c r="H420" s="1" t="s">
        <v>939</v>
      </c>
      <c r="I420" s="1" t="s">
        <v>940</v>
      </c>
      <c r="J420" s="2">
        <v>45686.69027777778</v>
      </c>
      <c r="K420" s="2">
        <v>45699.412499999999</v>
      </c>
      <c r="L420" s="1" t="s">
        <v>14</v>
      </c>
      <c r="M420" s="1" t="str">
        <f>_xlfn.XLOOKUP(I420,Parâmetros!A:A,Parâmetros!B:B,_xlfn.XLOOKUP(Q420,Parâmetros!F:F,Parâmetros!G:G,"NOVA MENSAGEM"))</f>
        <v>TAG - ITEM HOTEL</v>
      </c>
      <c r="N420" s="1" t="str">
        <f>_xlfn.XLOOKUP(M420,Parâmetros!K:K,Parâmetros!L:L,"")</f>
        <v/>
      </c>
      <c r="O420" s="1" t="str">
        <f>_xlfn.XLOOKUP(M420,Parâmetros!B:B,Parâmetros!C:C,_xlfn.XLOOKUP(Base!M416,Parâmetros!G:G,Parâmetros!H:H))</f>
        <v>SISTEMA</v>
      </c>
      <c r="P420" s="1" t="str">
        <f>_xlfn.XLOOKUP(I420,Parâmetros!A:A,Parâmetros!D:D,_xlfn.XLOOKUP(Q420,Parâmetros!F:F,Parâmetros!I:I))</f>
        <v>SUPORTE OBT</v>
      </c>
      <c r="Q420" s="1" t="str">
        <f t="shared" si="13"/>
        <v>COLUNA I</v>
      </c>
    </row>
    <row r="421" spans="1:17" x14ac:dyDescent="0.25">
      <c r="A421" s="1" t="str">
        <f>_xlfn.XLOOKUP(D421,'Novo relatório'!B:B,'Novo relatório'!C:C,"RESOLVIDO")</f>
        <v>RESOLVIDO</v>
      </c>
      <c r="C421" t="str">
        <f t="shared" si="12"/>
        <v>RESOLVIDO</v>
      </c>
      <c r="D421" s="1">
        <v>3213491</v>
      </c>
      <c r="E421" s="1" t="s">
        <v>26</v>
      </c>
      <c r="F421" s="2">
        <v>45687.603472222225</v>
      </c>
      <c r="G421" s="1" t="s">
        <v>792</v>
      </c>
      <c r="H421" s="1" t="s">
        <v>792</v>
      </c>
      <c r="I421" s="1" t="s">
        <v>403</v>
      </c>
      <c r="J421" s="2">
        <v>45687.732638888891</v>
      </c>
      <c r="K421" s="2"/>
      <c r="L421" s="1" t="s">
        <v>18</v>
      </c>
      <c r="M421" s="1" t="str">
        <f>_xlfn.XLOOKUP(I421,Parâmetros!A:A,Parâmetros!B:B,_xlfn.XLOOKUP(Q421,Parâmetros!F:F,Parâmetros!G:G,"NOVA MENSAGEM"))</f>
        <v>REMARK - CNPJ</v>
      </c>
      <c r="N421" s="1" t="str">
        <f>_xlfn.XLOOKUP(M421,Parâmetros!K:K,Parâmetros!L:L,"")</f>
        <v/>
      </c>
      <c r="O421" s="1" t="e">
        <f>_xlfn.XLOOKUP(M421,Parâmetros!B:B,Parâmetros!C:C,_xlfn.XLOOKUP(Base!M417,Parâmetros!G:G,Parâmetros!H:H))</f>
        <v>#N/A</v>
      </c>
      <c r="P421" s="1" t="str">
        <f>_xlfn.XLOOKUP(I421,Parâmetros!A:A,Parâmetros!D:D,_xlfn.XLOOKUP(Q421,Parâmetros!F:F,Parâmetros!I:I))</f>
        <v>OPERAÇÕES / SUPORTE KCS</v>
      </c>
      <c r="Q421" s="1">
        <f t="shared" si="13"/>
        <v>24</v>
      </c>
    </row>
    <row r="422" spans="1:17" x14ac:dyDescent="0.25">
      <c r="A422" s="1" t="str">
        <f>_xlfn.XLOOKUP(D422,'Novo relatório'!B:B,'Novo relatório'!C:C,"RESOLVIDO")</f>
        <v>RESOLVIDO</v>
      </c>
      <c r="C422" t="str">
        <f t="shared" si="12"/>
        <v>RESOLVIDO</v>
      </c>
      <c r="D422" s="1">
        <v>3213629</v>
      </c>
      <c r="E422" s="1" t="s">
        <v>26</v>
      </c>
      <c r="F422" s="2">
        <v>45687.647916666669</v>
      </c>
      <c r="G422" s="1" t="s">
        <v>850</v>
      </c>
      <c r="H422" s="1" t="s">
        <v>850</v>
      </c>
      <c r="I422" s="1" t="s">
        <v>620</v>
      </c>
      <c r="J422" s="2">
        <v>45687.782638888886</v>
      </c>
      <c r="K422" s="2"/>
      <c r="L422" s="1" t="s">
        <v>18</v>
      </c>
      <c r="M422" s="1" t="str">
        <f>_xlfn.XLOOKUP(I422,Parâmetros!A:A,Parâmetros!B:B,_xlfn.XLOOKUP(Q422,Parâmetros!F:F,Parâmetros!G:G,"NOVA MENSAGEM"))</f>
        <v>CÓD. CLIENTE DIVERGENTE</v>
      </c>
      <c r="N422" s="1" t="str">
        <f>_xlfn.XLOOKUP(M422,Parâmetros!K:K,Parâmetros!L:L,"")</f>
        <v>CÓDIGO DIFERENTE DO CADASTRADO NO BENNER (CLIENTE X GRUPO)</v>
      </c>
      <c r="O422" s="1" t="str">
        <f>_xlfn.XLOOKUP(M422,Parâmetros!B:B,Parâmetros!C:C,_xlfn.XLOOKUP(Base!M418,Parâmetros!G:G,Parâmetros!H:H))</f>
        <v>QUALIDADE DOS DADOS</v>
      </c>
      <c r="P422" s="1" t="str">
        <f>_xlfn.XLOOKUP(I422,Parâmetros!A:A,Parâmetros!D:D,_xlfn.XLOOKUP(Q422,Parâmetros!F:F,Parâmetros!I:I))</f>
        <v>SUPORTE OBT</v>
      </c>
      <c r="Q422" s="1">
        <f t="shared" si="13"/>
        <v>1</v>
      </c>
    </row>
    <row r="423" spans="1:17" x14ac:dyDescent="0.25">
      <c r="A423" s="1" t="str">
        <f>_xlfn.XLOOKUP(D423,'Novo relatório'!B:B,'Novo relatório'!C:C,"RESOLVIDO")</f>
        <v>RESOLVIDO</v>
      </c>
      <c r="C423" t="str">
        <f t="shared" si="12"/>
        <v>RESOLVIDO</v>
      </c>
      <c r="D423" s="1">
        <v>3213637</v>
      </c>
      <c r="E423" s="1" t="s">
        <v>26</v>
      </c>
      <c r="F423" s="2">
        <v>45687.647916666669</v>
      </c>
      <c r="G423" s="1" t="s">
        <v>804</v>
      </c>
      <c r="H423" s="1" t="s">
        <v>804</v>
      </c>
      <c r="I423" s="1" t="s">
        <v>394</v>
      </c>
      <c r="J423" s="2">
        <v>45687.78402777778</v>
      </c>
      <c r="K423" s="2"/>
      <c r="L423" s="1" t="s">
        <v>18</v>
      </c>
      <c r="M423" s="1" t="str">
        <f>_xlfn.XLOOKUP(I423,Parâmetros!A:A,Parâmetros!B:B,_xlfn.XLOOKUP(Q423,Parâmetros!F:F,Parâmetros!G:G,"NOVA MENSAGEM"))</f>
        <v>REMARK - CNPJ</v>
      </c>
      <c r="N423" s="1" t="str">
        <f>_xlfn.XLOOKUP(M423,Parâmetros!K:K,Parâmetros!L:L,"")</f>
        <v/>
      </c>
      <c r="O423" s="1" t="e">
        <f>_xlfn.XLOOKUP(M423,Parâmetros!B:B,Parâmetros!C:C,_xlfn.XLOOKUP(Base!M419,Parâmetros!G:G,Parâmetros!H:H))</f>
        <v>#N/A</v>
      </c>
      <c r="P423" s="1" t="str">
        <f>_xlfn.XLOOKUP(I423,Parâmetros!A:A,Parâmetros!D:D,_xlfn.XLOOKUP(Q423,Parâmetros!F:F,Parâmetros!I:I))</f>
        <v>OPERAÇÕES / SUPORTE KCS</v>
      </c>
      <c r="Q423" s="1">
        <f t="shared" si="13"/>
        <v>24</v>
      </c>
    </row>
    <row r="424" spans="1:17" x14ac:dyDescent="0.25">
      <c r="A424" s="1" t="str">
        <f>_xlfn.XLOOKUP(D424,'Novo relatório'!B:B,'Novo relatório'!C:C,"RESOLVIDO")</f>
        <v>RESOLVIDO</v>
      </c>
      <c r="C424" t="str">
        <f t="shared" si="12"/>
        <v>RESOLVIDO</v>
      </c>
      <c r="D424" s="1">
        <v>3213651</v>
      </c>
      <c r="E424" s="1" t="s">
        <v>26</v>
      </c>
      <c r="F424" s="2">
        <v>45687.647916666669</v>
      </c>
      <c r="G424" s="1" t="s">
        <v>820</v>
      </c>
      <c r="H424" s="1" t="s">
        <v>820</v>
      </c>
      <c r="I424" s="1" t="s">
        <v>83</v>
      </c>
      <c r="J424" s="2">
        <v>45687.785416666666</v>
      </c>
      <c r="K424" s="2"/>
      <c r="L424" s="1" t="s">
        <v>18</v>
      </c>
      <c r="M424" s="1" t="str">
        <f>_xlfn.XLOOKUP(I424,Parâmetros!A:A,Parâmetros!B:B,_xlfn.XLOOKUP(Q424,Parâmetros!F:F,Parâmetros!G:G,"NOVA MENSAGEM"))</f>
        <v>CLIENTE NÃO IDENTIFICADO</v>
      </c>
      <c r="N424" s="1" t="str">
        <f>_xlfn.XLOOKUP(M424,Parâmetros!K:K,Parâmetros!L:L,"")</f>
        <v>DK DE CLIENTE NÃO PREENCIDO / CLIENTE NÃO CONFIGURADO NO OBT</v>
      </c>
      <c r="O424" s="1" t="str">
        <f>_xlfn.XLOOKUP(M424,Parâmetros!B:B,Parâmetros!C:C,_xlfn.XLOOKUP(Base!M420,Parâmetros!G:G,Parâmetros!H:H))</f>
        <v>INDEFINIDO</v>
      </c>
      <c r="P424" s="1" t="str">
        <f>_xlfn.XLOOKUP(I424,Parâmetros!A:A,Parâmetros!D:D,_xlfn.XLOOKUP(Q424,Parâmetros!F:F,Parâmetros!I:I))</f>
        <v>OPERAÇÕES / SUPORTE KCS</v>
      </c>
      <c r="Q424" s="1" t="str">
        <f t="shared" si="13"/>
        <v>COLUNA I</v>
      </c>
    </row>
    <row r="425" spans="1:17" x14ac:dyDescent="0.25">
      <c r="A425" s="1" t="str">
        <f>_xlfn.XLOOKUP(D425,'Novo relatório'!B:B,'Novo relatório'!C:C,"RESOLVIDO")</f>
        <v>RESOLVIDO</v>
      </c>
      <c r="C425" t="str">
        <f t="shared" si="12"/>
        <v>RESOLVIDO</v>
      </c>
      <c r="D425" s="1">
        <v>3213652</v>
      </c>
      <c r="E425" s="1" t="s">
        <v>26</v>
      </c>
      <c r="F425" s="2">
        <v>45687.647916666669</v>
      </c>
      <c r="G425" s="1" t="s">
        <v>744</v>
      </c>
      <c r="H425" s="1" t="s">
        <v>744</v>
      </c>
      <c r="I425" s="1" t="s">
        <v>620</v>
      </c>
      <c r="J425" s="2">
        <v>45687.785416666666</v>
      </c>
      <c r="L425" s="1" t="s">
        <v>18</v>
      </c>
      <c r="M425" s="1" t="str">
        <f>_xlfn.XLOOKUP(I425,Parâmetros!A:A,Parâmetros!B:B,_xlfn.XLOOKUP(Q425,Parâmetros!F:F,Parâmetros!G:G,"NOVA MENSAGEM"))</f>
        <v>CÓD. CLIENTE DIVERGENTE</v>
      </c>
      <c r="N425" s="1" t="str">
        <f>_xlfn.XLOOKUP(M425,Parâmetros!K:K,Parâmetros!L:L,"")</f>
        <v>CÓDIGO DIFERENTE DO CADASTRADO NO BENNER (CLIENTE X GRUPO)</v>
      </c>
      <c r="O425" s="1" t="str">
        <f>_xlfn.XLOOKUP(M425,Parâmetros!B:B,Parâmetros!C:C,_xlfn.XLOOKUP(Base!M421,Parâmetros!G:G,Parâmetros!H:H))</f>
        <v>QUALIDADE DOS DADOS</v>
      </c>
      <c r="P425" s="1" t="str">
        <f>_xlfn.XLOOKUP(I425,Parâmetros!A:A,Parâmetros!D:D,_xlfn.XLOOKUP(Q425,Parâmetros!F:F,Parâmetros!I:I))</f>
        <v>SUPORTE OBT</v>
      </c>
      <c r="Q425" s="1">
        <f t="shared" si="13"/>
        <v>1</v>
      </c>
    </row>
    <row r="426" spans="1:17" x14ac:dyDescent="0.25">
      <c r="A426" s="1" t="str">
        <f>_xlfn.XLOOKUP(D426,'Novo relatório'!B:B,'Novo relatório'!C:C,"RESOLVIDO")</f>
        <v>RESOLVIDO</v>
      </c>
      <c r="C426" t="str">
        <f t="shared" si="12"/>
        <v>RESOLVIDO</v>
      </c>
      <c r="D426" s="1">
        <v>3213656</v>
      </c>
      <c r="E426" s="1" t="s">
        <v>26</v>
      </c>
      <c r="F426" s="2">
        <v>45687.647916666669</v>
      </c>
      <c r="G426" s="1" t="s">
        <v>767</v>
      </c>
      <c r="H426" s="1" t="s">
        <v>767</v>
      </c>
      <c r="I426" s="1" t="s">
        <v>488</v>
      </c>
      <c r="J426" s="2">
        <v>45687.786111111112</v>
      </c>
      <c r="K426" s="2"/>
      <c r="L426" s="1" t="s">
        <v>18</v>
      </c>
      <c r="M426" s="1" t="str">
        <f>_xlfn.XLOOKUP(I426,Parâmetros!A:A,Parâmetros!B:B,_xlfn.XLOOKUP(Q426,Parâmetros!F:F,Parâmetros!G:G,"NOVA MENSAGEM"))</f>
        <v>CÓD. CLIENTE DIVERGENTE</v>
      </c>
      <c r="N426" s="1" t="str">
        <f>_xlfn.XLOOKUP(M426,Parâmetros!K:K,Parâmetros!L:L,"")</f>
        <v>CÓDIGO DIFERENTE DO CADASTRADO NO BENNER (CLIENTE X GRUPO)</v>
      </c>
      <c r="O426" s="1" t="str">
        <f>_xlfn.XLOOKUP(M426,Parâmetros!B:B,Parâmetros!C:C,_xlfn.XLOOKUP(Base!M422,Parâmetros!G:G,Parâmetros!H:H))</f>
        <v>QUALIDADE DOS DADOS</v>
      </c>
      <c r="P426" s="1" t="str">
        <f>_xlfn.XLOOKUP(I426,Parâmetros!A:A,Parâmetros!D:D,_xlfn.XLOOKUP(Q426,Parâmetros!F:F,Parâmetros!I:I))</f>
        <v>OPERAÇÕES / SUPORTE KCS</v>
      </c>
      <c r="Q426" s="1">
        <f t="shared" si="13"/>
        <v>1</v>
      </c>
    </row>
    <row r="427" spans="1:17" x14ac:dyDescent="0.25">
      <c r="A427" s="1" t="str">
        <f>_xlfn.XLOOKUP(D427,'Novo relatório'!B:B,'Novo relatório'!C:C,"RESOLVIDO")</f>
        <v>RESOLVIDO</v>
      </c>
      <c r="C427" t="str">
        <f t="shared" si="12"/>
        <v>RESOLVIDO</v>
      </c>
      <c r="D427" s="1">
        <v>3213743</v>
      </c>
      <c r="E427" s="1" t="s">
        <v>26</v>
      </c>
      <c r="F427" s="2">
        <v>45687.696527777778</v>
      </c>
      <c r="G427" s="1" t="s">
        <v>717</v>
      </c>
      <c r="H427" s="1" t="s">
        <v>717</v>
      </c>
      <c r="I427" s="1" t="s">
        <v>718</v>
      </c>
      <c r="J427" s="2">
        <v>45687.824999999997</v>
      </c>
      <c r="K427" s="2"/>
      <c r="L427" s="1" t="s">
        <v>18</v>
      </c>
      <c r="M427" s="1" t="str">
        <f>_xlfn.XLOOKUP(I427,Parâmetros!A:A,Parâmetros!B:B,_xlfn.XLOOKUP(Q427,Parâmetros!F:F,Parâmetros!G:G,"NOVA MENSAGEM"))</f>
        <v>REMARK - CNPJ</v>
      </c>
      <c r="N427" s="1" t="str">
        <f>_xlfn.XLOOKUP(M427,Parâmetros!K:K,Parâmetros!L:L,"")</f>
        <v/>
      </c>
      <c r="O427" s="1" t="str">
        <f>_xlfn.XLOOKUP(M427,Parâmetros!B:B,Parâmetros!C:C,_xlfn.XLOOKUP(Base!M423,Parâmetros!G:G,Parâmetros!H:H))</f>
        <v>QUALIDADE DOS DADOS</v>
      </c>
      <c r="P427" s="1" t="str">
        <f>_xlfn.XLOOKUP(I427,Parâmetros!A:A,Parâmetros!D:D,_xlfn.XLOOKUP(Q427,Parâmetros!F:F,Parâmetros!I:I))</f>
        <v>OPERAÇÕES / SUPORTE KCS</v>
      </c>
      <c r="Q427" s="1">
        <f t="shared" si="13"/>
        <v>24</v>
      </c>
    </row>
    <row r="428" spans="1:17" x14ac:dyDescent="0.25">
      <c r="A428" s="1" t="str">
        <f>_xlfn.XLOOKUP(D428,'Novo relatório'!B:B,'Novo relatório'!C:C,"RESOLVIDO")</f>
        <v>RESOLVIDO</v>
      </c>
      <c r="C428" t="str">
        <f t="shared" si="12"/>
        <v>RESOLVIDO</v>
      </c>
      <c r="D428" s="1">
        <v>3213744</v>
      </c>
      <c r="E428" s="1" t="s">
        <v>26</v>
      </c>
      <c r="F428" s="2">
        <v>45687.696527777778</v>
      </c>
      <c r="G428" s="1" t="s">
        <v>737</v>
      </c>
      <c r="H428" s="1" t="s">
        <v>737</v>
      </c>
      <c r="I428" s="1" t="s">
        <v>589</v>
      </c>
      <c r="J428" s="2">
        <v>45687.825694444444</v>
      </c>
      <c r="L428" s="1" t="s">
        <v>18</v>
      </c>
      <c r="M428" s="1" t="str">
        <f>_xlfn.XLOOKUP(I428,Parâmetros!A:A,Parâmetros!B:B,_xlfn.XLOOKUP(Q428,Parâmetros!F:F,Parâmetros!G:G,"NOVA MENSAGEM"))</f>
        <v>REMARK - CNPJ</v>
      </c>
      <c r="N428" s="1" t="str">
        <f>_xlfn.XLOOKUP(M428,Parâmetros!K:K,Parâmetros!L:L,"")</f>
        <v/>
      </c>
      <c r="O428" s="1" t="e">
        <f>_xlfn.XLOOKUP(M428,Parâmetros!B:B,Parâmetros!C:C,_xlfn.XLOOKUP(Base!M424,Parâmetros!G:G,Parâmetros!H:H))</f>
        <v>#N/A</v>
      </c>
      <c r="P428" s="1" t="str">
        <f>_xlfn.XLOOKUP(I428,Parâmetros!A:A,Parâmetros!D:D,_xlfn.XLOOKUP(Q428,Parâmetros!F:F,Parâmetros!I:I))</f>
        <v>OPERAÇÕES / SUPORTE KCS</v>
      </c>
      <c r="Q428" s="1">
        <f t="shared" si="13"/>
        <v>24</v>
      </c>
    </row>
    <row r="429" spans="1:17" x14ac:dyDescent="0.25">
      <c r="A429" s="1" t="str">
        <f>_xlfn.XLOOKUP(D429,'Novo relatório'!B:B,'Novo relatório'!C:C,"RESOLVIDO")</f>
        <v>GOVER</v>
      </c>
      <c r="C429" t="str">
        <f t="shared" si="12"/>
        <v>PENDENTE</v>
      </c>
      <c r="D429" s="1">
        <v>3214628</v>
      </c>
      <c r="E429" s="1" t="s">
        <v>24</v>
      </c>
      <c r="F429" s="2">
        <v>45687.756944444445</v>
      </c>
      <c r="G429" s="1">
        <v>4484129</v>
      </c>
      <c r="H429" s="1" t="s">
        <v>946</v>
      </c>
      <c r="I429" s="1" t="s">
        <v>947</v>
      </c>
      <c r="J429" s="2">
        <v>45688.37777777778</v>
      </c>
      <c r="L429" s="1" t="s">
        <v>14</v>
      </c>
      <c r="M429" s="1" t="str">
        <f>_xlfn.XLOOKUP(I429,Parâmetros!A:A,Parâmetros!B:B,_xlfn.XLOOKUP(Q429,Parâmetros!F:F,Parâmetros!G:G,"NOVA MENSAGEM"))</f>
        <v>TAG - ITEM HOTEL</v>
      </c>
      <c r="N429" s="1" t="str">
        <f>_xlfn.XLOOKUP(M429,Parâmetros!K:K,Parâmetros!L:L,"")</f>
        <v/>
      </c>
      <c r="O429" s="1" t="str">
        <f>_xlfn.XLOOKUP(M429,Parâmetros!B:B,Parâmetros!C:C,_xlfn.XLOOKUP(Base!M425,Parâmetros!G:G,Parâmetros!H:H))</f>
        <v>SISTEMA</v>
      </c>
      <c r="P429" s="1" t="str">
        <f>_xlfn.XLOOKUP(I429,Parâmetros!A:A,Parâmetros!D:D,_xlfn.XLOOKUP(Q429,Parâmetros!F:F,Parâmetros!I:I))</f>
        <v>SUPORTE OBT</v>
      </c>
      <c r="Q429" s="1" t="str">
        <f t="shared" si="13"/>
        <v>COLUNA I</v>
      </c>
    </row>
    <row r="430" spans="1:17" x14ac:dyDescent="0.25">
      <c r="A430" s="1" t="str">
        <f>_xlfn.XLOOKUP(D430,'Novo relatório'!B:B,'Novo relatório'!C:C,"RESOLVIDO")</f>
        <v>GOVER</v>
      </c>
      <c r="C430" t="str">
        <f t="shared" si="12"/>
        <v>PENDENTE</v>
      </c>
      <c r="D430" s="1">
        <v>3214637</v>
      </c>
      <c r="E430" s="1" t="s">
        <v>24</v>
      </c>
      <c r="F430" s="2">
        <v>45687.761111111111</v>
      </c>
      <c r="G430" s="1">
        <v>4484134</v>
      </c>
      <c r="H430" s="1" t="s">
        <v>941</v>
      </c>
      <c r="I430" s="1" t="s">
        <v>942</v>
      </c>
      <c r="J430" s="2">
        <v>45688.384722222225</v>
      </c>
      <c r="L430" s="1" t="s">
        <v>14</v>
      </c>
      <c r="M430" s="1" t="str">
        <f>_xlfn.XLOOKUP(I430,Parâmetros!A:A,Parâmetros!B:B,_xlfn.XLOOKUP(Q430,Parâmetros!F:F,Parâmetros!G:G,"NOVA MENSAGEM"))</f>
        <v>TAG - ITEM HOTEL</v>
      </c>
      <c r="N430" s="1" t="str">
        <f>_xlfn.XLOOKUP(M430,Parâmetros!K:K,Parâmetros!L:L,"")</f>
        <v/>
      </c>
      <c r="O430" s="1" t="str">
        <f>_xlfn.XLOOKUP(M430,Parâmetros!B:B,Parâmetros!C:C,_xlfn.XLOOKUP(Base!M426,Parâmetros!G:G,Parâmetros!H:H))</f>
        <v>SISTEMA</v>
      </c>
      <c r="P430" s="1" t="str">
        <f>_xlfn.XLOOKUP(I430,Parâmetros!A:A,Parâmetros!D:D,_xlfn.XLOOKUP(Q430,Parâmetros!F:F,Parâmetros!I:I))</f>
        <v>SUPORTE OBT</v>
      </c>
      <c r="Q430" s="1" t="str">
        <f t="shared" si="13"/>
        <v>COLUNA I</v>
      </c>
    </row>
    <row r="431" spans="1:17" x14ac:dyDescent="0.25">
      <c r="A431" s="1" t="str">
        <f>_xlfn.XLOOKUP(D431,'Novo relatório'!B:B,'Novo relatório'!C:C,"RESOLVIDO")</f>
        <v>RESOLVIDO</v>
      </c>
      <c r="C431" t="str">
        <f t="shared" si="12"/>
        <v>RESOLVIDO</v>
      </c>
      <c r="D431" s="1">
        <v>3214641</v>
      </c>
      <c r="E431" s="1" t="s">
        <v>26</v>
      </c>
      <c r="F431" s="2">
        <v>45688.254166666666</v>
      </c>
      <c r="G431" s="1" t="s">
        <v>776</v>
      </c>
      <c r="H431" s="1" t="s">
        <v>776</v>
      </c>
      <c r="I431" s="1" t="s">
        <v>83</v>
      </c>
      <c r="J431" s="2">
        <v>45688.387499999997</v>
      </c>
      <c r="K431" s="2"/>
      <c r="L431" s="1" t="s">
        <v>18</v>
      </c>
      <c r="M431" s="1" t="str">
        <f>_xlfn.XLOOKUP(I431,Parâmetros!A:A,Parâmetros!B:B,_xlfn.XLOOKUP(Q431,Parâmetros!F:F,Parâmetros!G:G,"NOVA MENSAGEM"))</f>
        <v>CLIENTE NÃO IDENTIFICADO</v>
      </c>
      <c r="N431" s="1" t="str">
        <f>_xlfn.XLOOKUP(M431,Parâmetros!K:K,Parâmetros!L:L,"")</f>
        <v>DK DE CLIENTE NÃO PREENCIDO / CLIENTE NÃO CONFIGURADO NO OBT</v>
      </c>
      <c r="O431" s="1" t="str">
        <f>_xlfn.XLOOKUP(M431,Parâmetros!B:B,Parâmetros!C:C,_xlfn.XLOOKUP(Base!M427,Parâmetros!G:G,Parâmetros!H:H))</f>
        <v>INDEFINIDO</v>
      </c>
      <c r="P431" s="1" t="str">
        <f>_xlfn.XLOOKUP(I431,Parâmetros!A:A,Parâmetros!D:D,_xlfn.XLOOKUP(Q431,Parâmetros!F:F,Parâmetros!I:I))</f>
        <v>OPERAÇÕES / SUPORTE KCS</v>
      </c>
      <c r="Q431" s="1" t="str">
        <f t="shared" si="13"/>
        <v>COLUNA I</v>
      </c>
    </row>
    <row r="432" spans="1:17" x14ac:dyDescent="0.25">
      <c r="A432" s="1" t="str">
        <f>_xlfn.XLOOKUP(D432,'Novo relatório'!B:B,'Novo relatório'!C:C,"RESOLVIDO")</f>
        <v>RESOLVIDO</v>
      </c>
      <c r="C432" t="str">
        <f t="shared" si="12"/>
        <v>RESOLVIDO</v>
      </c>
      <c r="D432" s="1">
        <v>3214797</v>
      </c>
      <c r="E432" s="1" t="s">
        <v>26</v>
      </c>
      <c r="F432" s="2">
        <v>45688.34375</v>
      </c>
      <c r="G432" s="1" t="s">
        <v>824</v>
      </c>
      <c r="H432" s="1" t="s">
        <v>824</v>
      </c>
      <c r="I432" s="1" t="s">
        <v>83</v>
      </c>
      <c r="J432" s="2">
        <v>45688.470833333333</v>
      </c>
      <c r="K432" s="2"/>
      <c r="L432" s="1" t="s">
        <v>18</v>
      </c>
      <c r="M432" s="1" t="str">
        <f>_xlfn.XLOOKUP(I432,Parâmetros!A:A,Parâmetros!B:B,_xlfn.XLOOKUP(Q432,Parâmetros!F:F,Parâmetros!G:G,"NOVA MENSAGEM"))</f>
        <v>CLIENTE NÃO IDENTIFICADO</v>
      </c>
      <c r="N432" s="1" t="str">
        <f>_xlfn.XLOOKUP(M432,Parâmetros!K:K,Parâmetros!L:L,"")</f>
        <v>DK DE CLIENTE NÃO PREENCIDO / CLIENTE NÃO CONFIGURADO NO OBT</v>
      </c>
      <c r="O432" s="1" t="str">
        <f>_xlfn.XLOOKUP(M432,Parâmetros!B:B,Parâmetros!C:C,_xlfn.XLOOKUP(Base!M428,Parâmetros!G:G,Parâmetros!H:H))</f>
        <v>INDEFINIDO</v>
      </c>
      <c r="P432" s="1" t="str">
        <f>_xlfn.XLOOKUP(I432,Parâmetros!A:A,Parâmetros!D:D,_xlfn.XLOOKUP(Q432,Parâmetros!F:F,Parâmetros!I:I))</f>
        <v>OPERAÇÕES / SUPORTE KCS</v>
      </c>
      <c r="Q432" s="1" t="str">
        <f t="shared" si="13"/>
        <v>COLUNA I</v>
      </c>
    </row>
    <row r="433" spans="1:17" x14ac:dyDescent="0.25">
      <c r="A433" s="1" t="str">
        <f>_xlfn.XLOOKUP(D433,'Novo relatório'!B:B,'Novo relatório'!C:C,"RESOLVIDO")</f>
        <v>RESOLVIDO</v>
      </c>
      <c r="C433" t="str">
        <f t="shared" si="12"/>
        <v>RESOLVIDO</v>
      </c>
      <c r="D433" s="1">
        <v>3214852</v>
      </c>
      <c r="E433" s="1" t="s">
        <v>26</v>
      </c>
      <c r="F433" s="2">
        <v>45688.36041666667</v>
      </c>
      <c r="G433" s="1" t="s">
        <v>859</v>
      </c>
      <c r="H433" s="1" t="s">
        <v>859</v>
      </c>
      <c r="I433" s="1" t="s">
        <v>398</v>
      </c>
      <c r="J433" s="2">
        <v>45688.491666666669</v>
      </c>
      <c r="K433" s="2"/>
      <c r="L433" s="1" t="s">
        <v>18</v>
      </c>
      <c r="M433" s="1" t="str">
        <f>_xlfn.XLOOKUP(I433,Parâmetros!A:A,Parâmetros!B:B,_xlfn.XLOOKUP(Q433,Parâmetros!F:F,Parâmetros!G:G,"NOVA MENSAGEM"))</f>
        <v>REMARK - CNPJ</v>
      </c>
      <c r="N433" s="1" t="str">
        <f>_xlfn.XLOOKUP(M433,Parâmetros!K:K,Parâmetros!L:L,"")</f>
        <v/>
      </c>
      <c r="O433" s="1" t="e">
        <f>_xlfn.XLOOKUP(M433,Parâmetros!B:B,Parâmetros!C:C,_xlfn.XLOOKUP(Base!M429,Parâmetros!G:G,Parâmetros!H:H))</f>
        <v>#N/A</v>
      </c>
      <c r="P433" s="1" t="str">
        <f>_xlfn.XLOOKUP(I433,Parâmetros!A:A,Parâmetros!D:D,_xlfn.XLOOKUP(Q433,Parâmetros!F:F,Parâmetros!I:I))</f>
        <v>OPERAÇÕES / SUPORTE KCS</v>
      </c>
      <c r="Q433" s="1">
        <f t="shared" si="13"/>
        <v>24</v>
      </c>
    </row>
    <row r="434" spans="1:17" x14ac:dyDescent="0.25">
      <c r="A434" s="1" t="str">
        <f>_xlfn.XLOOKUP(D434,'Novo relatório'!B:B,'Novo relatório'!C:C,"RESOLVIDO")</f>
        <v>RESOLVIDO</v>
      </c>
      <c r="C434" t="str">
        <f t="shared" si="12"/>
        <v>RESOLVIDO</v>
      </c>
      <c r="D434" s="1">
        <v>3215078</v>
      </c>
      <c r="E434" s="1" t="s">
        <v>26</v>
      </c>
      <c r="F434" s="2">
        <v>45688.48333333333</v>
      </c>
      <c r="G434" s="1" t="s">
        <v>834</v>
      </c>
      <c r="H434" s="1" t="s">
        <v>835</v>
      </c>
      <c r="I434" s="1" t="s">
        <v>85</v>
      </c>
      <c r="J434" s="2">
        <v>45688.617361111108</v>
      </c>
      <c r="K434" s="2"/>
      <c r="L434" s="1" t="s">
        <v>18</v>
      </c>
      <c r="M434" s="1" t="str">
        <f>_xlfn.XLOOKUP(I434,Parâmetros!A:A,Parâmetros!B:B,_xlfn.XLOOKUP(Q434,Parâmetros!F:F,Parâmetros!G:G,"NOVA MENSAGEM"))</f>
        <v>CLIENTE NÃO IDENTIFICADO</v>
      </c>
      <c r="N434" s="1" t="str">
        <f>_xlfn.XLOOKUP(M434,Parâmetros!K:K,Parâmetros!L:L,"")</f>
        <v>DK DE CLIENTE NÃO PREENCIDO / CLIENTE NÃO CONFIGURADO NO OBT</v>
      </c>
      <c r="O434" s="1" t="str">
        <f>_xlfn.XLOOKUP(M434,Parâmetros!B:B,Parâmetros!C:C,_xlfn.XLOOKUP(Base!M430,Parâmetros!G:G,Parâmetros!H:H))</f>
        <v>INDEFINIDO</v>
      </c>
      <c r="P434" s="1" t="str">
        <f>_xlfn.XLOOKUP(I434,Parâmetros!A:A,Parâmetros!D:D,_xlfn.XLOOKUP(Q434,Parâmetros!F:F,Parâmetros!I:I))</f>
        <v>OPERAÇÕES / SUPORTE KCS</v>
      </c>
      <c r="Q434" s="1" t="str">
        <f t="shared" si="13"/>
        <v>COLUNA I</v>
      </c>
    </row>
    <row r="435" spans="1:17" x14ac:dyDescent="0.25">
      <c r="A435" s="1" t="str">
        <f>_xlfn.XLOOKUP(D435,'Novo relatório'!B:B,'Novo relatório'!C:C,"RESOLVIDO")</f>
        <v>RESOLVIDO</v>
      </c>
      <c r="C435" t="str">
        <f t="shared" si="12"/>
        <v>RESOLVIDO</v>
      </c>
      <c r="D435" s="1">
        <v>3215360</v>
      </c>
      <c r="E435" s="1" t="s">
        <v>26</v>
      </c>
      <c r="F435" s="2">
        <v>45688.510416666664</v>
      </c>
      <c r="G435" s="1" t="s">
        <v>780</v>
      </c>
      <c r="H435" s="1" t="s">
        <v>780</v>
      </c>
      <c r="I435" s="1" t="s">
        <v>398</v>
      </c>
      <c r="J435" s="2">
        <v>45688.636805555558</v>
      </c>
      <c r="K435" s="2"/>
      <c r="L435" s="1" t="s">
        <v>18</v>
      </c>
      <c r="M435" s="1" t="str">
        <f>_xlfn.XLOOKUP(I435,Parâmetros!A:A,Parâmetros!B:B,_xlfn.XLOOKUP(Q435,Parâmetros!F:F,Parâmetros!G:G,"NOVA MENSAGEM"))</f>
        <v>REMARK - CNPJ</v>
      </c>
      <c r="N435" s="1" t="str">
        <f>_xlfn.XLOOKUP(M435,Parâmetros!K:K,Parâmetros!L:L,"")</f>
        <v/>
      </c>
      <c r="O435" s="1" t="e">
        <f>_xlfn.XLOOKUP(M435,Parâmetros!B:B,Parâmetros!C:C,_xlfn.XLOOKUP(Base!M431,Parâmetros!G:G,Parâmetros!H:H))</f>
        <v>#N/A</v>
      </c>
      <c r="P435" s="1" t="str">
        <f>_xlfn.XLOOKUP(I435,Parâmetros!A:A,Parâmetros!D:D,_xlfn.XLOOKUP(Q435,Parâmetros!F:F,Parâmetros!I:I))</f>
        <v>OPERAÇÕES / SUPORTE KCS</v>
      </c>
      <c r="Q435" s="1">
        <f t="shared" si="13"/>
        <v>24</v>
      </c>
    </row>
    <row r="436" spans="1:17" x14ac:dyDescent="0.25">
      <c r="A436" s="1" t="str">
        <f>_xlfn.XLOOKUP(D436,'Novo relatório'!B:B,'Novo relatório'!C:C,"RESOLVIDO")</f>
        <v>RESOLVIDO</v>
      </c>
      <c r="C436" t="str">
        <f t="shared" si="12"/>
        <v>RESOLVIDO</v>
      </c>
      <c r="D436" s="1">
        <v>3215365</v>
      </c>
      <c r="E436" s="1" t="s">
        <v>26</v>
      </c>
      <c r="F436" s="2">
        <v>45688.510416666664</v>
      </c>
      <c r="G436" s="1" t="s">
        <v>729</v>
      </c>
      <c r="H436" s="1" t="s">
        <v>729</v>
      </c>
      <c r="I436" s="1" t="s">
        <v>398</v>
      </c>
      <c r="J436" s="2">
        <v>45688.637499999997</v>
      </c>
      <c r="L436" s="1" t="s">
        <v>18</v>
      </c>
      <c r="M436" s="1" t="str">
        <f>_xlfn.XLOOKUP(I436,Parâmetros!A:A,Parâmetros!B:B,_xlfn.XLOOKUP(Q436,Parâmetros!F:F,Parâmetros!G:G,"NOVA MENSAGEM"))</f>
        <v>REMARK - CNPJ</v>
      </c>
      <c r="N436" s="1" t="str">
        <f>_xlfn.XLOOKUP(M436,Parâmetros!K:K,Parâmetros!L:L,"")</f>
        <v/>
      </c>
      <c r="O436" s="1" t="e">
        <f>_xlfn.XLOOKUP(M436,Parâmetros!B:B,Parâmetros!C:C,_xlfn.XLOOKUP(Base!M432,Parâmetros!G:G,Parâmetros!H:H))</f>
        <v>#N/A</v>
      </c>
      <c r="P436" s="1" t="str">
        <f>_xlfn.XLOOKUP(I436,Parâmetros!A:A,Parâmetros!D:D,_xlfn.XLOOKUP(Q436,Parâmetros!F:F,Parâmetros!I:I))</f>
        <v>OPERAÇÕES / SUPORTE KCS</v>
      </c>
      <c r="Q436" s="1">
        <f t="shared" si="13"/>
        <v>24</v>
      </c>
    </row>
    <row r="437" spans="1:17" x14ac:dyDescent="0.25">
      <c r="A437" s="1" t="str">
        <f>_xlfn.XLOOKUP(D437,'Novo relatório'!B:B,'Novo relatório'!C:C,"RESOLVIDO")</f>
        <v>RESOLVIDO</v>
      </c>
      <c r="C437" t="str">
        <f t="shared" si="12"/>
        <v>RESOLVIDO</v>
      </c>
      <c r="D437" s="1">
        <v>3215368</v>
      </c>
      <c r="E437" s="1" t="s">
        <v>26</v>
      </c>
      <c r="F437" s="2">
        <v>45688.510416666664</v>
      </c>
      <c r="G437" s="1" t="s">
        <v>703</v>
      </c>
      <c r="H437" s="1" t="s">
        <v>703</v>
      </c>
      <c r="I437" s="1" t="s">
        <v>398</v>
      </c>
      <c r="J437" s="2">
        <v>45688.637499999997</v>
      </c>
      <c r="K437" s="2"/>
      <c r="L437" s="1" t="s">
        <v>18</v>
      </c>
      <c r="M437" s="1" t="str">
        <f>_xlfn.XLOOKUP(I437,Parâmetros!A:A,Parâmetros!B:B,_xlfn.XLOOKUP(Q437,Parâmetros!F:F,Parâmetros!G:G,"NOVA MENSAGEM"))</f>
        <v>REMARK - CNPJ</v>
      </c>
      <c r="N437" s="1" t="str">
        <f>_xlfn.XLOOKUP(M437,Parâmetros!K:K,Parâmetros!L:L,"")</f>
        <v/>
      </c>
      <c r="O437" s="1" t="str">
        <f>_xlfn.XLOOKUP(M437,Parâmetros!B:B,Parâmetros!C:C,_xlfn.XLOOKUP(Base!M433,Parâmetros!G:G,Parâmetros!H:H))</f>
        <v>QUALIDADE DOS DADOS</v>
      </c>
      <c r="P437" s="1" t="str">
        <f>_xlfn.XLOOKUP(I437,Parâmetros!A:A,Parâmetros!D:D,_xlfn.XLOOKUP(Q437,Parâmetros!F:F,Parâmetros!I:I))</f>
        <v>OPERAÇÕES / SUPORTE KCS</v>
      </c>
      <c r="Q437" s="1">
        <f t="shared" si="13"/>
        <v>24</v>
      </c>
    </row>
    <row r="438" spans="1:17" x14ac:dyDescent="0.25">
      <c r="A438" s="1" t="str">
        <f>_xlfn.XLOOKUP(D438,'Novo relatório'!B:B,'Novo relatório'!C:C,"RESOLVIDO")</f>
        <v>RESOLVIDO</v>
      </c>
      <c r="C438" t="str">
        <f t="shared" si="12"/>
        <v>RESOLVIDO</v>
      </c>
      <c r="D438" s="1">
        <v>3216361</v>
      </c>
      <c r="E438" s="1" t="s">
        <v>26</v>
      </c>
      <c r="F438" s="2">
        <v>45688.710416666669</v>
      </c>
      <c r="G438" s="1" t="s">
        <v>704</v>
      </c>
      <c r="H438" s="1" t="s">
        <v>704</v>
      </c>
      <c r="I438" s="1" t="s">
        <v>394</v>
      </c>
      <c r="J438" s="2">
        <v>45688.752083333333</v>
      </c>
      <c r="K438" s="2">
        <v>45688.84652777778</v>
      </c>
      <c r="L438" s="1" t="s">
        <v>18</v>
      </c>
      <c r="M438" s="1" t="str">
        <f>_xlfn.XLOOKUP(I438,Parâmetros!A:A,Parâmetros!B:B,_xlfn.XLOOKUP(Q438,Parâmetros!F:F,Parâmetros!G:G,"NOVA MENSAGEM"))</f>
        <v>REMARK - CNPJ</v>
      </c>
      <c r="N438" s="1" t="str">
        <f>_xlfn.XLOOKUP(M438,Parâmetros!K:K,Parâmetros!L:L,"")</f>
        <v/>
      </c>
      <c r="O438" s="1" t="e">
        <f>_xlfn.XLOOKUP(M438,Parâmetros!B:B,Parâmetros!C:C,_xlfn.XLOOKUP(Base!M434,Parâmetros!G:G,Parâmetros!H:H))</f>
        <v>#N/A</v>
      </c>
      <c r="P438" s="1" t="str">
        <f>_xlfn.XLOOKUP(I438,Parâmetros!A:A,Parâmetros!D:D,_xlfn.XLOOKUP(Q438,Parâmetros!F:F,Parâmetros!I:I))</f>
        <v>OPERAÇÕES / SUPORTE KCS</v>
      </c>
      <c r="Q438" s="1">
        <f t="shared" si="13"/>
        <v>24</v>
      </c>
    </row>
    <row r="439" spans="1:17" x14ac:dyDescent="0.25">
      <c r="A439" s="1" t="str">
        <f>_xlfn.XLOOKUP(D439,'Novo relatório'!B:B,'Novo relatório'!C:C,"RESOLVIDO")</f>
        <v>SABRE</v>
      </c>
      <c r="C439" t="str">
        <f t="shared" si="12"/>
        <v>PENDENTE</v>
      </c>
      <c r="D439" s="1">
        <v>3216438</v>
      </c>
      <c r="E439" s="1" t="s">
        <v>26</v>
      </c>
      <c r="F439" s="2">
        <v>45692.583333333336</v>
      </c>
      <c r="G439" s="1" t="s">
        <v>864</v>
      </c>
      <c r="H439" s="1" t="s">
        <v>864</v>
      </c>
      <c r="I439" s="1" t="s">
        <v>865</v>
      </c>
      <c r="J439" s="2">
        <v>45688.774305555555</v>
      </c>
      <c r="K439" s="2">
        <v>45693.368750000001</v>
      </c>
      <c r="L439" s="1" t="s">
        <v>18</v>
      </c>
      <c r="M439" s="1" t="str">
        <f>_xlfn.XLOOKUP(I439,Parâmetros!A:A,Parâmetros!B:B,_xlfn.XLOOKUP(Q439,Parâmetros!F:F,Parâmetros!G:G,"NOVA MENSAGEM"))</f>
        <v>REMARK - CNPJ</v>
      </c>
      <c r="N439" s="1" t="str">
        <f>_xlfn.XLOOKUP(M439,Parâmetros!K:K,Parâmetros!L:L,"")</f>
        <v/>
      </c>
      <c r="O439" s="1" t="str">
        <f>_xlfn.XLOOKUP(M439,Parâmetros!B:B,Parâmetros!C:C,_xlfn.XLOOKUP(Base!M435,Parâmetros!G:G,Parâmetros!H:H))</f>
        <v>QUALIDADE DOS DADOS</v>
      </c>
      <c r="P439" s="1" t="str">
        <f>_xlfn.XLOOKUP(I439,Parâmetros!A:A,Parâmetros!D:D,_xlfn.XLOOKUP(Q439,Parâmetros!F:F,Parâmetros!I:I))</f>
        <v>OPERAÇÕES / SUPORTE KCS</v>
      </c>
      <c r="Q439" s="1">
        <f t="shared" si="13"/>
        <v>24</v>
      </c>
    </row>
    <row r="440" spans="1:17" x14ac:dyDescent="0.25">
      <c r="A440" s="1" t="str">
        <f>_xlfn.XLOOKUP(D440,'Novo relatório'!B:B,'Novo relatório'!C:C,"RESOLVIDO")</f>
        <v>SABRE</v>
      </c>
      <c r="C440" t="str">
        <f t="shared" si="12"/>
        <v>PENDENTE</v>
      </c>
      <c r="D440" s="1">
        <v>3216439</v>
      </c>
      <c r="E440" s="1" t="s">
        <v>26</v>
      </c>
      <c r="F440" s="2">
        <v>45692.583333333336</v>
      </c>
      <c r="G440" s="1" t="s">
        <v>866</v>
      </c>
      <c r="H440" s="1" t="s">
        <v>864</v>
      </c>
      <c r="I440" s="1" t="s">
        <v>867</v>
      </c>
      <c r="J440" s="2">
        <v>45688.774305555555</v>
      </c>
      <c r="K440" s="2">
        <v>45693.368750000001</v>
      </c>
      <c r="L440" s="1" t="s">
        <v>18</v>
      </c>
      <c r="M440" s="1" t="str">
        <f>_xlfn.XLOOKUP(I440,Parâmetros!A:A,Parâmetros!B:B,_xlfn.XLOOKUP(Q440,Parâmetros!F:F,Parâmetros!G:G,"NOVA MENSAGEM"))</f>
        <v>REMARK - CNPJ</v>
      </c>
      <c r="N440" s="1" t="str">
        <f>_xlfn.XLOOKUP(M440,Parâmetros!K:K,Parâmetros!L:L,"")</f>
        <v/>
      </c>
      <c r="O440" s="1" t="str">
        <f>_xlfn.XLOOKUP(M440,Parâmetros!B:B,Parâmetros!C:C,_xlfn.XLOOKUP(Base!M436,Parâmetros!G:G,Parâmetros!H:H))</f>
        <v>QUALIDADE DOS DADOS</v>
      </c>
      <c r="P440" s="1" t="str">
        <f>_xlfn.XLOOKUP(I440,Parâmetros!A:A,Parâmetros!D:D,_xlfn.XLOOKUP(Q440,Parâmetros!F:F,Parâmetros!I:I))</f>
        <v>OPERAÇÕES / SUPORTE KCS</v>
      </c>
      <c r="Q440" s="1">
        <f t="shared" si="13"/>
        <v>24</v>
      </c>
    </row>
    <row r="441" spans="1:17" x14ac:dyDescent="0.25">
      <c r="A441" s="1" t="str">
        <f>_xlfn.XLOOKUP(D441,'Novo relatório'!B:B,'Novo relatório'!C:C,"RESOLVIDO")</f>
        <v>SABRE</v>
      </c>
      <c r="C441" t="str">
        <f t="shared" si="12"/>
        <v>PENDENTE</v>
      </c>
      <c r="D441" s="1">
        <v>3216560</v>
      </c>
      <c r="E441" s="1" t="s">
        <v>26</v>
      </c>
      <c r="F441" s="2">
        <v>45688.710416666669</v>
      </c>
      <c r="G441" s="1" t="s">
        <v>892</v>
      </c>
      <c r="H441" s="1" t="s">
        <v>892</v>
      </c>
      <c r="I441" s="1" t="s">
        <v>83</v>
      </c>
      <c r="J441" s="2">
        <v>45688.845138888886</v>
      </c>
      <c r="K441" s="2"/>
      <c r="L441" s="1" t="s">
        <v>18</v>
      </c>
      <c r="M441" s="1" t="str">
        <f>_xlfn.XLOOKUP(I441,Parâmetros!A:A,Parâmetros!B:B,_xlfn.XLOOKUP(Q441,Parâmetros!F:F,Parâmetros!G:G,"NOVA MENSAGEM"))</f>
        <v>CLIENTE NÃO IDENTIFICADO</v>
      </c>
      <c r="N441" s="1" t="str">
        <f>_xlfn.XLOOKUP(M441,Parâmetros!K:K,Parâmetros!L:L,"")</f>
        <v>DK DE CLIENTE NÃO PREENCIDO / CLIENTE NÃO CONFIGURADO NO OBT</v>
      </c>
      <c r="O441" s="1" t="str">
        <f>_xlfn.XLOOKUP(M441,Parâmetros!B:B,Parâmetros!C:C,_xlfn.XLOOKUP(Base!M437,Parâmetros!G:G,Parâmetros!H:H))</f>
        <v>INDEFINIDO</v>
      </c>
      <c r="P441" s="1" t="str">
        <f>_xlfn.XLOOKUP(I441,Parâmetros!A:A,Parâmetros!D:D,_xlfn.XLOOKUP(Q441,Parâmetros!F:F,Parâmetros!I:I))</f>
        <v>OPERAÇÕES / SUPORTE KCS</v>
      </c>
      <c r="Q441" s="1" t="str">
        <f t="shared" si="13"/>
        <v>COLUNA I</v>
      </c>
    </row>
    <row r="442" spans="1:17" x14ac:dyDescent="0.25">
      <c r="A442" s="1" t="str">
        <f>_xlfn.XLOOKUP(D442,'Novo relatório'!B:B,'Novo relatório'!C:C,"RESOLVIDO")</f>
        <v>SABRE</v>
      </c>
      <c r="C442" t="str">
        <f t="shared" si="12"/>
        <v>PENDENTE</v>
      </c>
      <c r="D442" s="1">
        <v>3216572</v>
      </c>
      <c r="E442" s="1" t="s">
        <v>26</v>
      </c>
      <c r="F442" s="2">
        <v>45688.710416666669</v>
      </c>
      <c r="G442" s="1" t="s">
        <v>781</v>
      </c>
      <c r="H442" s="1" t="s">
        <v>781</v>
      </c>
      <c r="I442" s="1" t="s">
        <v>409</v>
      </c>
      <c r="J442" s="2">
        <v>45688.847222222219</v>
      </c>
      <c r="K442" s="2"/>
      <c r="L442" s="1" t="s">
        <v>18</v>
      </c>
      <c r="M442" s="1" t="str">
        <f>_xlfn.XLOOKUP(I442,Parâmetros!A:A,Parâmetros!B:B,_xlfn.XLOOKUP(Q442,Parâmetros!F:F,Parâmetros!G:G,"NOVA MENSAGEM"))</f>
        <v>CÓD. CLIENTE DIVERGENTE</v>
      </c>
      <c r="N442" s="1" t="str">
        <f>_xlfn.XLOOKUP(M442,Parâmetros!K:K,Parâmetros!L:L,"")</f>
        <v>CÓDIGO DIFERENTE DO CADASTRADO NO BENNER (CLIENTE X GRUPO)</v>
      </c>
      <c r="O442" s="1" t="str">
        <f>_xlfn.XLOOKUP(M442,Parâmetros!B:B,Parâmetros!C:C,_xlfn.XLOOKUP(Base!M438,Parâmetros!G:G,Parâmetros!H:H))</f>
        <v>QUALIDADE DOS DADOS</v>
      </c>
      <c r="P442" s="1" t="str">
        <f>_xlfn.XLOOKUP(I442,Parâmetros!A:A,Parâmetros!D:D,_xlfn.XLOOKUP(Q442,Parâmetros!F:F,Parâmetros!I:I))</f>
        <v>SUPORTE OBT</v>
      </c>
      <c r="Q442" s="1">
        <f t="shared" si="13"/>
        <v>1</v>
      </c>
    </row>
    <row r="443" spans="1:17" x14ac:dyDescent="0.25">
      <c r="A443" s="1" t="str">
        <f>_xlfn.XLOOKUP(D443,'Novo relatório'!B:B,'Novo relatório'!C:C,"RESOLVIDO")</f>
        <v>SABRE</v>
      </c>
      <c r="C443" t="str">
        <f t="shared" si="12"/>
        <v>PENDENTE</v>
      </c>
      <c r="D443" s="1">
        <v>3216577</v>
      </c>
      <c r="E443" s="1" t="s">
        <v>26</v>
      </c>
      <c r="F443" s="2">
        <v>45688.710416666669</v>
      </c>
      <c r="G443" s="1" t="s">
        <v>741</v>
      </c>
      <c r="H443" s="1" t="s">
        <v>741</v>
      </c>
      <c r="I443" s="1" t="s">
        <v>581</v>
      </c>
      <c r="J443" s="2">
        <v>45688.847916666666</v>
      </c>
      <c r="K443" s="2"/>
      <c r="L443" s="1" t="s">
        <v>18</v>
      </c>
      <c r="M443" s="1" t="str">
        <f>_xlfn.XLOOKUP(I443,Parâmetros!A:A,Parâmetros!B:B,_xlfn.XLOOKUP(Q443,Parâmetros!F:F,Parâmetros!G:G,"NOVA MENSAGEM"))</f>
        <v>REMARK - CNPJ</v>
      </c>
      <c r="N443" s="1" t="str">
        <f>_xlfn.XLOOKUP(M443,Parâmetros!K:K,Parâmetros!L:L,"")</f>
        <v/>
      </c>
      <c r="O443" s="1" t="str">
        <f>_xlfn.XLOOKUP(M443,Parâmetros!B:B,Parâmetros!C:C,_xlfn.XLOOKUP(Base!M439,Parâmetros!G:G,Parâmetros!H:H))</f>
        <v>QUALIDADE DOS DADOS</v>
      </c>
      <c r="P443" s="1" t="str">
        <f>_xlfn.XLOOKUP(I443,Parâmetros!A:A,Parâmetros!D:D,_xlfn.XLOOKUP(Q443,Parâmetros!F:F,Parâmetros!I:I))</f>
        <v>OPERAÇÕES / SUPORTE KCS</v>
      </c>
      <c r="Q443" s="1">
        <f t="shared" si="13"/>
        <v>24</v>
      </c>
    </row>
    <row r="444" spans="1:17" x14ac:dyDescent="0.25">
      <c r="A444" s="1" t="str">
        <f>_xlfn.XLOOKUP(D444,'Novo relatório'!B:B,'Novo relatório'!C:C,"RESOLVIDO")</f>
        <v>SABRE</v>
      </c>
      <c r="C444" t="str">
        <f t="shared" si="12"/>
        <v>PENDENTE</v>
      </c>
      <c r="D444" s="1">
        <v>3220057</v>
      </c>
      <c r="E444" s="1" t="s">
        <v>26</v>
      </c>
      <c r="F444" s="2">
        <v>45691.375694444447</v>
      </c>
      <c r="G444" s="1" t="s">
        <v>873</v>
      </c>
      <c r="H444" s="1" t="s">
        <v>873</v>
      </c>
      <c r="I444" s="1" t="s">
        <v>83</v>
      </c>
      <c r="J444" s="2">
        <v>45691.504166666666</v>
      </c>
      <c r="K444" s="2"/>
      <c r="L444" s="1" t="s">
        <v>18</v>
      </c>
      <c r="M444" s="1" t="str">
        <f>_xlfn.XLOOKUP(I444,Parâmetros!A:A,Parâmetros!B:B,_xlfn.XLOOKUP(Q444,Parâmetros!F:F,Parâmetros!G:G,"NOVA MENSAGEM"))</f>
        <v>CLIENTE NÃO IDENTIFICADO</v>
      </c>
      <c r="N444" s="1" t="str">
        <f>_xlfn.XLOOKUP(M444,Parâmetros!K:K,Parâmetros!L:L,"")</f>
        <v>DK DE CLIENTE NÃO PREENCIDO / CLIENTE NÃO CONFIGURADO NO OBT</v>
      </c>
      <c r="O444" s="1" t="str">
        <f>_xlfn.XLOOKUP(M444,Parâmetros!B:B,Parâmetros!C:C,_xlfn.XLOOKUP(Base!M440,Parâmetros!G:G,Parâmetros!H:H))</f>
        <v>INDEFINIDO</v>
      </c>
      <c r="P444" s="1" t="str">
        <f>_xlfn.XLOOKUP(I444,Parâmetros!A:A,Parâmetros!D:D,_xlfn.XLOOKUP(Q444,Parâmetros!F:F,Parâmetros!I:I))</f>
        <v>OPERAÇÕES / SUPORTE KCS</v>
      </c>
      <c r="Q444" s="1" t="str">
        <f t="shared" si="13"/>
        <v>COLUNA I</v>
      </c>
    </row>
    <row r="445" spans="1:17" x14ac:dyDescent="0.25">
      <c r="A445" s="1" t="str">
        <f>_xlfn.XLOOKUP(D445,'Novo relatório'!B:B,'Novo relatório'!C:C,"RESOLVIDO")</f>
        <v>RESOLVIDO</v>
      </c>
      <c r="C445" t="str">
        <f t="shared" si="12"/>
        <v>RESOLVIDO</v>
      </c>
      <c r="D445" s="1">
        <v>3220148</v>
      </c>
      <c r="E445" s="1" t="s">
        <v>26</v>
      </c>
      <c r="F445" s="2">
        <v>45691.480555555558</v>
      </c>
      <c r="G445" s="1" t="s">
        <v>764</v>
      </c>
      <c r="H445" s="1" t="s">
        <v>764</v>
      </c>
      <c r="I445" s="1" t="s">
        <v>588</v>
      </c>
      <c r="J445" s="2">
        <v>45691.556944444441</v>
      </c>
      <c r="K445" s="2">
        <v>45691.618750000001</v>
      </c>
      <c r="L445" s="1" t="s">
        <v>14</v>
      </c>
      <c r="M445" s="1" t="str">
        <f>_xlfn.XLOOKUP(I445,Parâmetros!A:A,Parâmetros!B:B,_xlfn.XLOOKUP(Q445,Parâmetros!F:F,Parâmetros!G:G,"NOVA MENSAGEM"))</f>
        <v>ERRO NO XML</v>
      </c>
      <c r="N445" s="1" t="str">
        <f>_xlfn.XLOOKUP(M445,Parâmetros!K:K,Parâmetros!L:L,"")</f>
        <v/>
      </c>
      <c r="O445" s="1" t="str">
        <f>_xlfn.XLOOKUP(M445,Parâmetros!B:B,Parâmetros!C:C,_xlfn.XLOOKUP(Base!M441,Parâmetros!G:G,Parâmetros!H:H))</f>
        <v>SISTEMA</v>
      </c>
      <c r="P445" s="1" t="str">
        <f>_xlfn.XLOOKUP(I445,Parâmetros!A:A,Parâmetros!D:D,_xlfn.XLOOKUP(Q445,Parâmetros!F:F,Parâmetros!I:I))</f>
        <v>SUPORTE OBT</v>
      </c>
      <c r="Q445" s="1" t="str">
        <f t="shared" si="13"/>
        <v>COLUNA I</v>
      </c>
    </row>
    <row r="446" spans="1:17" x14ac:dyDescent="0.25">
      <c r="A446" s="1" t="str">
        <f>_xlfn.XLOOKUP(D446,'Novo relatório'!B:B,'Novo relatório'!C:C,"RESOLVIDO")</f>
        <v>SABRE</v>
      </c>
      <c r="C446" t="str">
        <f t="shared" si="12"/>
        <v>PENDENTE</v>
      </c>
      <c r="D446" s="1">
        <v>3220285</v>
      </c>
      <c r="E446" s="1" t="s">
        <v>26</v>
      </c>
      <c r="F446" s="2">
        <v>45691.480555555558</v>
      </c>
      <c r="G446" s="1" t="s">
        <v>844</v>
      </c>
      <c r="H446" s="1" t="s">
        <v>844</v>
      </c>
      <c r="I446" s="1" t="s">
        <v>410</v>
      </c>
      <c r="J446" s="2">
        <v>45691.616666666669</v>
      </c>
      <c r="K446" s="2"/>
      <c r="L446" s="1" t="s">
        <v>18</v>
      </c>
      <c r="M446" s="1" t="str">
        <f>_xlfn.XLOOKUP(I446,Parâmetros!A:A,Parâmetros!B:B,_xlfn.XLOOKUP(Q446,Parâmetros!F:F,Parâmetros!G:G,"NOVA MENSAGEM"))</f>
        <v>CÓD. CLIENTE DIVERGENTE</v>
      </c>
      <c r="N446" s="1" t="str">
        <f>_xlfn.XLOOKUP(M446,Parâmetros!K:K,Parâmetros!L:L,"")</f>
        <v>CÓDIGO DIFERENTE DO CADASTRADO NO BENNER (CLIENTE X GRUPO)</v>
      </c>
      <c r="O446" s="1" t="str">
        <f>_xlfn.XLOOKUP(M446,Parâmetros!B:B,Parâmetros!C:C,_xlfn.XLOOKUP(Base!M442,Parâmetros!G:G,Parâmetros!H:H))</f>
        <v>QUALIDADE DOS DADOS</v>
      </c>
      <c r="P446" s="1" t="str">
        <f>_xlfn.XLOOKUP(I446,Parâmetros!A:A,Parâmetros!D:D,_xlfn.XLOOKUP(Q446,Parâmetros!F:F,Parâmetros!I:I))</f>
        <v>SUPORTE OBT</v>
      </c>
      <c r="Q446" s="1">
        <f t="shared" si="13"/>
        <v>1</v>
      </c>
    </row>
    <row r="447" spans="1:17" x14ac:dyDescent="0.25">
      <c r="A447" s="1" t="str">
        <f>_xlfn.XLOOKUP(D447,'Novo relatório'!B:B,'Novo relatório'!C:C,"RESOLVIDO")</f>
        <v>RESOLVIDO</v>
      </c>
      <c r="C447" t="str">
        <f t="shared" si="12"/>
        <v>RESOLVIDO</v>
      </c>
      <c r="D447" s="1">
        <v>3220286</v>
      </c>
      <c r="E447" s="1" t="s">
        <v>26</v>
      </c>
      <c r="F447" s="2">
        <v>45691.480555555558</v>
      </c>
      <c r="G447" s="1" t="s">
        <v>786</v>
      </c>
      <c r="H447" s="1" t="s">
        <v>786</v>
      </c>
      <c r="I447" s="1" t="s">
        <v>588</v>
      </c>
      <c r="J447" s="2">
        <v>45691.616666666669</v>
      </c>
      <c r="K447" s="2"/>
      <c r="L447" s="1" t="s">
        <v>14</v>
      </c>
      <c r="M447" s="1" t="str">
        <f>_xlfn.XLOOKUP(I447,Parâmetros!A:A,Parâmetros!B:B,_xlfn.XLOOKUP(Q447,Parâmetros!F:F,Parâmetros!G:G,"NOVA MENSAGEM"))</f>
        <v>ERRO NO XML</v>
      </c>
      <c r="N447" s="1" t="str">
        <f>_xlfn.XLOOKUP(M447,Parâmetros!K:K,Parâmetros!L:L,"")</f>
        <v/>
      </c>
      <c r="O447" s="1" t="str">
        <f>_xlfn.XLOOKUP(M447,Parâmetros!B:B,Parâmetros!C:C,_xlfn.XLOOKUP(Base!M443,Parâmetros!G:G,Parâmetros!H:H))</f>
        <v>SISTEMA</v>
      </c>
      <c r="P447" s="1" t="str">
        <f>_xlfn.XLOOKUP(I447,Parâmetros!A:A,Parâmetros!D:D,_xlfn.XLOOKUP(Q447,Parâmetros!F:F,Parâmetros!I:I))</f>
        <v>SUPORTE OBT</v>
      </c>
      <c r="Q447" s="1" t="str">
        <f t="shared" si="13"/>
        <v>COLUNA I</v>
      </c>
    </row>
    <row r="448" spans="1:17" x14ac:dyDescent="0.25">
      <c r="A448" s="1" t="str">
        <f>_xlfn.XLOOKUP(D448,'Novo relatório'!B:B,'Novo relatório'!C:C,"RESOLVIDO")</f>
        <v>SABRE</v>
      </c>
      <c r="C448" t="str">
        <f t="shared" si="12"/>
        <v>PENDENTE</v>
      </c>
      <c r="D448" s="1">
        <v>3220287</v>
      </c>
      <c r="E448" s="1" t="s">
        <v>26</v>
      </c>
      <c r="F448" s="2">
        <v>45691.480555555558</v>
      </c>
      <c r="G448" s="1" t="s">
        <v>845</v>
      </c>
      <c r="H448" s="1" t="s">
        <v>845</v>
      </c>
      <c r="I448" s="1" t="s">
        <v>410</v>
      </c>
      <c r="J448" s="2">
        <v>45691.616666666669</v>
      </c>
      <c r="K448" s="2"/>
      <c r="L448" s="1" t="s">
        <v>18</v>
      </c>
      <c r="M448" s="1" t="str">
        <f>_xlfn.XLOOKUP(I448,Parâmetros!A:A,Parâmetros!B:B,_xlfn.XLOOKUP(Q448,Parâmetros!F:F,Parâmetros!G:G,"NOVA MENSAGEM"))</f>
        <v>CÓD. CLIENTE DIVERGENTE</v>
      </c>
      <c r="N448" s="1" t="str">
        <f>_xlfn.XLOOKUP(M448,Parâmetros!K:K,Parâmetros!L:L,"")</f>
        <v>CÓDIGO DIFERENTE DO CADASTRADO NO BENNER (CLIENTE X GRUPO)</v>
      </c>
      <c r="O448" s="1" t="str">
        <f>_xlfn.XLOOKUP(M448,Parâmetros!B:B,Parâmetros!C:C,_xlfn.XLOOKUP(Base!M444,Parâmetros!G:G,Parâmetros!H:H))</f>
        <v>QUALIDADE DOS DADOS</v>
      </c>
      <c r="P448" s="1" t="str">
        <f>_xlfn.XLOOKUP(I448,Parâmetros!A:A,Parâmetros!D:D,_xlfn.XLOOKUP(Q448,Parâmetros!F:F,Parâmetros!I:I))</f>
        <v>SUPORTE OBT</v>
      </c>
      <c r="Q448" s="1">
        <f t="shared" si="13"/>
        <v>1</v>
      </c>
    </row>
    <row r="449" spans="1:17" x14ac:dyDescent="0.25">
      <c r="A449" s="1" t="str">
        <f>_xlfn.XLOOKUP(D449,'Novo relatório'!B:B,'Novo relatório'!C:C,"RESOLVIDO")</f>
        <v>SABRE</v>
      </c>
      <c r="C449" t="str">
        <f t="shared" si="12"/>
        <v>PENDENTE</v>
      </c>
      <c r="D449" s="1">
        <v>3220290</v>
      </c>
      <c r="E449" s="1" t="s">
        <v>26</v>
      </c>
      <c r="F449" s="2">
        <v>45691.480555555558</v>
      </c>
      <c r="G449" s="1" t="s">
        <v>762</v>
      </c>
      <c r="H449" s="1" t="s">
        <v>762</v>
      </c>
      <c r="I449" s="1" t="s">
        <v>409</v>
      </c>
      <c r="J449" s="2">
        <v>45691.617361111108</v>
      </c>
      <c r="L449" s="1" t="s">
        <v>18</v>
      </c>
      <c r="M449" s="1" t="str">
        <f>_xlfn.XLOOKUP(I449,Parâmetros!A:A,Parâmetros!B:B,_xlfn.XLOOKUP(Q449,Parâmetros!F:F,Parâmetros!G:G,"NOVA MENSAGEM"))</f>
        <v>CÓD. CLIENTE DIVERGENTE</v>
      </c>
      <c r="N449" s="1" t="str">
        <f>_xlfn.XLOOKUP(M449,Parâmetros!K:K,Parâmetros!L:L,"")</f>
        <v>CÓDIGO DIFERENTE DO CADASTRADO NO BENNER (CLIENTE X GRUPO)</v>
      </c>
      <c r="O449" s="1" t="str">
        <f>_xlfn.XLOOKUP(M449,Parâmetros!B:B,Parâmetros!C:C,_xlfn.XLOOKUP(Base!M445,Parâmetros!G:G,Parâmetros!H:H))</f>
        <v>QUALIDADE DOS DADOS</v>
      </c>
      <c r="P449" s="1" t="str">
        <f>_xlfn.XLOOKUP(I449,Parâmetros!A:A,Parâmetros!D:D,_xlfn.XLOOKUP(Q449,Parâmetros!F:F,Parâmetros!I:I))</f>
        <v>SUPORTE OBT</v>
      </c>
      <c r="Q449" s="1">
        <f t="shared" si="13"/>
        <v>1</v>
      </c>
    </row>
    <row r="450" spans="1:17" x14ac:dyDescent="0.25">
      <c r="A450" s="1" t="str">
        <f>_xlfn.XLOOKUP(D450,'Novo relatório'!B:B,'Novo relatório'!C:C,"RESOLVIDO")</f>
        <v>RESOLVIDO</v>
      </c>
      <c r="C450" t="str">
        <f t="shared" ref="C450:C513" si="14">IF(A450="RESOLVIDO","RESOLVIDO",IF(B450="","PENDENTE",IF(LEFT(B450,7)="CHAMADO","AGUARDANDO FORNECEDOR",IF(B450="CONTABILIZAR","CONTABILIZAR NO PORTAL"))))</f>
        <v>RESOLVIDO</v>
      </c>
      <c r="D450" s="1">
        <v>3220291</v>
      </c>
      <c r="E450" s="1" t="s">
        <v>26</v>
      </c>
      <c r="F450" s="2">
        <v>45691.480555555558</v>
      </c>
      <c r="G450" s="1" t="s">
        <v>785</v>
      </c>
      <c r="H450" s="1" t="s">
        <v>785</v>
      </c>
      <c r="I450" s="1" t="s">
        <v>588</v>
      </c>
      <c r="J450" s="2">
        <v>45691.617361111108</v>
      </c>
      <c r="K450" s="2"/>
      <c r="L450" s="1" t="s">
        <v>14</v>
      </c>
      <c r="M450" s="1" t="str">
        <f>_xlfn.XLOOKUP(I450,Parâmetros!A:A,Parâmetros!B:B,_xlfn.XLOOKUP(Q450,Parâmetros!F:F,Parâmetros!G:G,"NOVA MENSAGEM"))</f>
        <v>ERRO NO XML</v>
      </c>
      <c r="N450" s="1" t="str">
        <f>_xlfn.XLOOKUP(M450,Parâmetros!K:K,Parâmetros!L:L,"")</f>
        <v/>
      </c>
      <c r="O450" s="1" t="str">
        <f>_xlfn.XLOOKUP(M450,Parâmetros!B:B,Parâmetros!C:C,_xlfn.XLOOKUP(Base!M446,Parâmetros!G:G,Parâmetros!H:H))</f>
        <v>SISTEMA</v>
      </c>
      <c r="P450" s="1" t="str">
        <f>_xlfn.XLOOKUP(I450,Parâmetros!A:A,Parâmetros!D:D,_xlfn.XLOOKUP(Q450,Parâmetros!F:F,Parâmetros!I:I))</f>
        <v>SUPORTE OBT</v>
      </c>
      <c r="Q450" s="1" t="str">
        <f t="shared" ref="Q450:Q513" si="15">IFERROR(FIND("Não foi possível localizar o contrato do fornecedor",I450),IFERROR(FIND("veículo",I450),IFERROR(FIND("agagem",I450),IFERROR(FIND("error in XML document",I450),IFERROR(FIND("Não localizado cliente código",I450),IFERROR(FIND("lemontech",I450),IFERROR(FIND("&gt;Fornecedor com o",I450),IFERROR(FIND("INSERT",I450),IFERROR(FIND("com CNPJ",I450),IFERROR(FIND("Consultando Agente-&gt; O agente",I450),IFERROR(FIND("Não foi possível determinar a validade do cartão, favor verificar os dados do cartão",I450),"COLUNA I")))))))))))</f>
        <v>COLUNA I</v>
      </c>
    </row>
    <row r="451" spans="1:17" x14ac:dyDescent="0.25">
      <c r="A451" s="1" t="str">
        <f>_xlfn.XLOOKUP(D451,'Novo relatório'!B:B,'Novo relatório'!C:C,"RESOLVIDO")</f>
        <v>SABRE</v>
      </c>
      <c r="C451" t="str">
        <f t="shared" si="14"/>
        <v>PENDENTE</v>
      </c>
      <c r="D451" s="1">
        <v>3220293</v>
      </c>
      <c r="E451" s="1" t="s">
        <v>26</v>
      </c>
      <c r="F451" s="2">
        <v>45691.480555555558</v>
      </c>
      <c r="G451" s="1" t="s">
        <v>738</v>
      </c>
      <c r="H451" s="1" t="s">
        <v>738</v>
      </c>
      <c r="I451" s="1" t="s">
        <v>394</v>
      </c>
      <c r="J451" s="2">
        <v>45691.618055555555</v>
      </c>
      <c r="L451" s="1" t="s">
        <v>18</v>
      </c>
      <c r="M451" s="1" t="str">
        <f>_xlfn.XLOOKUP(I451,Parâmetros!A:A,Parâmetros!B:B,_xlfn.XLOOKUP(Q451,Parâmetros!F:F,Parâmetros!G:G,"NOVA MENSAGEM"))</f>
        <v>REMARK - CNPJ</v>
      </c>
      <c r="N451" s="1" t="str">
        <f>_xlfn.XLOOKUP(M451,Parâmetros!K:K,Parâmetros!L:L,"")</f>
        <v/>
      </c>
      <c r="O451" s="1" t="str">
        <f>_xlfn.XLOOKUP(M451,Parâmetros!B:B,Parâmetros!C:C,_xlfn.XLOOKUP(Base!M447,Parâmetros!G:G,Parâmetros!H:H))</f>
        <v>INDEFINIDO</v>
      </c>
      <c r="P451" s="1" t="str">
        <f>_xlfn.XLOOKUP(I451,Parâmetros!A:A,Parâmetros!D:D,_xlfn.XLOOKUP(Q451,Parâmetros!F:F,Parâmetros!I:I))</f>
        <v>OPERAÇÕES / SUPORTE KCS</v>
      </c>
      <c r="Q451" s="1">
        <f t="shared" si="15"/>
        <v>24</v>
      </c>
    </row>
    <row r="452" spans="1:17" x14ac:dyDescent="0.25">
      <c r="A452" s="1" t="str">
        <f>_xlfn.XLOOKUP(D452,'Novo relatório'!B:B,'Novo relatório'!C:C,"RESOLVIDO")</f>
        <v>SABRE</v>
      </c>
      <c r="C452" t="str">
        <f t="shared" si="14"/>
        <v>PENDENTE</v>
      </c>
      <c r="D452" s="1">
        <v>3220295</v>
      </c>
      <c r="E452" s="1" t="s">
        <v>26</v>
      </c>
      <c r="F452" s="2">
        <v>45691.480555555558</v>
      </c>
      <c r="G452" s="1" t="s">
        <v>819</v>
      </c>
      <c r="H452" s="1" t="s">
        <v>819</v>
      </c>
      <c r="I452" s="1" t="s">
        <v>394</v>
      </c>
      <c r="J452" s="2">
        <v>45691.618055555555</v>
      </c>
      <c r="K452" s="2"/>
      <c r="L452" s="1" t="s">
        <v>18</v>
      </c>
      <c r="M452" s="1" t="str">
        <f>_xlfn.XLOOKUP(I452,Parâmetros!A:A,Parâmetros!B:B,_xlfn.XLOOKUP(Q452,Parâmetros!F:F,Parâmetros!G:G,"NOVA MENSAGEM"))</f>
        <v>REMARK - CNPJ</v>
      </c>
      <c r="N452" s="1" t="str">
        <f>_xlfn.XLOOKUP(M452,Parâmetros!K:K,Parâmetros!L:L,"")</f>
        <v/>
      </c>
      <c r="O452" s="1" t="str">
        <f>_xlfn.XLOOKUP(M452,Parâmetros!B:B,Parâmetros!C:C,_xlfn.XLOOKUP(Base!M448,Parâmetros!G:G,Parâmetros!H:H))</f>
        <v>QUALIDADE DOS DADOS</v>
      </c>
      <c r="P452" s="1" t="str">
        <f>_xlfn.XLOOKUP(I452,Parâmetros!A:A,Parâmetros!D:D,_xlfn.XLOOKUP(Q452,Parâmetros!F:F,Parâmetros!I:I))</f>
        <v>OPERAÇÕES / SUPORTE KCS</v>
      </c>
      <c r="Q452" s="1">
        <f t="shared" si="15"/>
        <v>24</v>
      </c>
    </row>
    <row r="453" spans="1:17" x14ac:dyDescent="0.25">
      <c r="A453" s="1" t="str">
        <f>_xlfn.XLOOKUP(D453,'Novo relatório'!B:B,'Novo relatório'!C:C,"RESOLVIDO")</f>
        <v>RESOLVIDO</v>
      </c>
      <c r="C453" t="str">
        <f t="shared" si="14"/>
        <v>RESOLVIDO</v>
      </c>
      <c r="D453" s="1">
        <v>3220298</v>
      </c>
      <c r="E453" s="1" t="s">
        <v>26</v>
      </c>
      <c r="F453" s="2">
        <v>45691.480555555558</v>
      </c>
      <c r="G453" s="1" t="s">
        <v>893</v>
      </c>
      <c r="H453" s="1" t="s">
        <v>893</v>
      </c>
      <c r="I453" s="1" t="s">
        <v>588</v>
      </c>
      <c r="J453" s="2">
        <v>45691.618750000001</v>
      </c>
      <c r="K453" s="2"/>
      <c r="L453" s="1" t="s">
        <v>14</v>
      </c>
      <c r="M453" s="1" t="str">
        <f>_xlfn.XLOOKUP(I453,Parâmetros!A:A,Parâmetros!B:B,_xlfn.XLOOKUP(Q453,Parâmetros!F:F,Parâmetros!G:G,"NOVA MENSAGEM"))</f>
        <v>ERRO NO XML</v>
      </c>
      <c r="N453" s="1" t="str">
        <f>_xlfn.XLOOKUP(M453,Parâmetros!K:K,Parâmetros!L:L,"")</f>
        <v/>
      </c>
      <c r="O453" s="1" t="str">
        <f>_xlfn.XLOOKUP(M453,Parâmetros!B:B,Parâmetros!C:C,_xlfn.XLOOKUP(Base!M449,Parâmetros!G:G,Parâmetros!H:H))</f>
        <v>SISTEMA</v>
      </c>
      <c r="P453" s="1" t="str">
        <f>_xlfn.XLOOKUP(I453,Parâmetros!A:A,Parâmetros!D:D,_xlfn.XLOOKUP(Q453,Parâmetros!F:F,Parâmetros!I:I))</f>
        <v>SUPORTE OBT</v>
      </c>
      <c r="Q453" s="1" t="str">
        <f t="shared" si="15"/>
        <v>COLUNA I</v>
      </c>
    </row>
    <row r="454" spans="1:17" x14ac:dyDescent="0.25">
      <c r="A454" s="1" t="str">
        <f>_xlfn.XLOOKUP(D454,'Novo relatório'!B:B,'Novo relatório'!C:C,"RESOLVIDO")</f>
        <v>SABRE</v>
      </c>
      <c r="C454" t="str">
        <f t="shared" si="14"/>
        <v>PENDENTE</v>
      </c>
      <c r="D454" s="1">
        <v>3220299</v>
      </c>
      <c r="E454" s="1" t="s">
        <v>26</v>
      </c>
      <c r="F454" s="2">
        <v>45691.480555555558</v>
      </c>
      <c r="G454" s="1" t="s">
        <v>728</v>
      </c>
      <c r="H454" s="1" t="s">
        <v>728</v>
      </c>
      <c r="I454" s="1" t="s">
        <v>394</v>
      </c>
      <c r="J454" s="2">
        <v>45691.618750000001</v>
      </c>
      <c r="L454" s="1" t="s">
        <v>18</v>
      </c>
      <c r="M454" s="1" t="str">
        <f>_xlfn.XLOOKUP(I454,Parâmetros!A:A,Parâmetros!B:B,_xlfn.XLOOKUP(Q454,Parâmetros!F:F,Parâmetros!G:G,"NOVA MENSAGEM"))</f>
        <v>REMARK - CNPJ</v>
      </c>
      <c r="N454" s="1" t="str">
        <f>_xlfn.XLOOKUP(M454,Parâmetros!K:K,Parâmetros!L:L,"")</f>
        <v/>
      </c>
      <c r="O454" s="1" t="str">
        <f>_xlfn.XLOOKUP(M454,Parâmetros!B:B,Parâmetros!C:C,_xlfn.XLOOKUP(Base!M450,Parâmetros!G:G,Parâmetros!H:H))</f>
        <v>INDEFINIDO</v>
      </c>
      <c r="P454" s="1" t="str">
        <f>_xlfn.XLOOKUP(I454,Parâmetros!A:A,Parâmetros!D:D,_xlfn.XLOOKUP(Q454,Parâmetros!F:F,Parâmetros!I:I))</f>
        <v>OPERAÇÕES / SUPORTE KCS</v>
      </c>
      <c r="Q454" s="1">
        <f t="shared" si="15"/>
        <v>24</v>
      </c>
    </row>
    <row r="455" spans="1:17" x14ac:dyDescent="0.25">
      <c r="A455" s="1" t="str">
        <f>_xlfn.XLOOKUP(D455,'Novo relatório'!B:B,'Novo relatório'!C:C,"RESOLVIDO")</f>
        <v>SABRE</v>
      </c>
      <c r="C455" t="str">
        <f t="shared" si="14"/>
        <v>PENDENTE</v>
      </c>
      <c r="D455" s="1">
        <v>3220340</v>
      </c>
      <c r="E455" s="1" t="s">
        <v>26</v>
      </c>
      <c r="F455" s="2">
        <v>45691.508333333331</v>
      </c>
      <c r="G455" s="1" t="s">
        <v>879</v>
      </c>
      <c r="H455" s="1" t="s">
        <v>879</v>
      </c>
      <c r="I455" s="1" t="s">
        <v>83</v>
      </c>
      <c r="J455" s="2">
        <v>45691.638888888891</v>
      </c>
      <c r="K455" s="2"/>
      <c r="L455" s="1" t="s">
        <v>18</v>
      </c>
      <c r="M455" s="1" t="str">
        <f>_xlfn.XLOOKUP(I455,Parâmetros!A:A,Parâmetros!B:B,_xlfn.XLOOKUP(Q455,Parâmetros!F:F,Parâmetros!G:G,"NOVA MENSAGEM"))</f>
        <v>CLIENTE NÃO IDENTIFICADO</v>
      </c>
      <c r="N455" s="1" t="str">
        <f>_xlfn.XLOOKUP(M455,Parâmetros!K:K,Parâmetros!L:L,"")</f>
        <v>DK DE CLIENTE NÃO PREENCIDO / CLIENTE NÃO CONFIGURADO NO OBT</v>
      </c>
      <c r="O455" s="1" t="str">
        <f>_xlfn.XLOOKUP(M455,Parâmetros!B:B,Parâmetros!C:C,_xlfn.XLOOKUP(Base!M451,Parâmetros!G:G,Parâmetros!H:H))</f>
        <v>INDEFINIDO</v>
      </c>
      <c r="P455" s="1" t="str">
        <f>_xlfn.XLOOKUP(I455,Parâmetros!A:A,Parâmetros!D:D,_xlfn.XLOOKUP(Q455,Parâmetros!F:F,Parâmetros!I:I))</f>
        <v>OPERAÇÕES / SUPORTE KCS</v>
      </c>
      <c r="Q455" s="1" t="str">
        <f t="shared" si="15"/>
        <v>COLUNA I</v>
      </c>
    </row>
    <row r="456" spans="1:17" x14ac:dyDescent="0.25">
      <c r="A456" s="1" t="str">
        <f>_xlfn.XLOOKUP(D456,'Novo relatório'!B:B,'Novo relatório'!C:C,"RESOLVIDO")</f>
        <v>GOVER</v>
      </c>
      <c r="C456" t="str">
        <f t="shared" si="14"/>
        <v>PENDENTE</v>
      </c>
      <c r="D456" s="1">
        <v>3220697</v>
      </c>
      <c r="E456" s="1" t="s">
        <v>24</v>
      </c>
      <c r="F456" s="2">
        <v>45691.467361111114</v>
      </c>
      <c r="G456" s="1">
        <v>4485088</v>
      </c>
      <c r="H456" s="1" t="s">
        <v>943</v>
      </c>
      <c r="I456" s="1" t="s">
        <v>944</v>
      </c>
      <c r="J456" s="2">
        <v>45691.683333333334</v>
      </c>
      <c r="K456" s="2">
        <v>45699.412499999999</v>
      </c>
      <c r="L456" s="1" t="s">
        <v>14</v>
      </c>
      <c r="M456" s="1" t="str">
        <f>_xlfn.XLOOKUP(I456,Parâmetros!A:A,Parâmetros!B:B,_xlfn.XLOOKUP(Q456,Parâmetros!F:F,Parâmetros!G:G,"NOVA MENSAGEM"))</f>
        <v>TAG - ITEM HOTEL</v>
      </c>
      <c r="N456" s="1" t="str">
        <f>_xlfn.XLOOKUP(M456,Parâmetros!K:K,Parâmetros!L:L,"")</f>
        <v/>
      </c>
      <c r="O456" s="1" t="str">
        <f>_xlfn.XLOOKUP(M456,Parâmetros!B:B,Parâmetros!C:C,_xlfn.XLOOKUP(Base!M452,Parâmetros!G:G,Parâmetros!H:H))</f>
        <v>SISTEMA</v>
      </c>
      <c r="P456" s="1" t="str">
        <f>_xlfn.XLOOKUP(I456,Parâmetros!A:A,Parâmetros!D:D,_xlfn.XLOOKUP(Q456,Parâmetros!F:F,Parâmetros!I:I))</f>
        <v>SUPORTE OBT</v>
      </c>
      <c r="Q456" s="1" t="str">
        <f t="shared" si="15"/>
        <v>COLUNA I</v>
      </c>
    </row>
    <row r="457" spans="1:17" x14ac:dyDescent="0.25">
      <c r="A457" s="1" t="str">
        <f>_xlfn.XLOOKUP(D457,'Novo relatório'!B:B,'Novo relatório'!C:C,"RESOLVIDO")</f>
        <v>SABRE</v>
      </c>
      <c r="C457" t="str">
        <f t="shared" si="14"/>
        <v>PENDENTE</v>
      </c>
      <c r="D457" s="1">
        <v>3221580</v>
      </c>
      <c r="E457" s="1" t="s">
        <v>26</v>
      </c>
      <c r="F457" s="2">
        <v>45691.709027777775</v>
      </c>
      <c r="G457" s="1" t="s">
        <v>693</v>
      </c>
      <c r="H457" s="1" t="s">
        <v>693</v>
      </c>
      <c r="I457" s="1" t="s">
        <v>692</v>
      </c>
      <c r="J457" s="2">
        <v>45691.774305555555</v>
      </c>
      <c r="K457" s="2">
        <v>45691.836805555555</v>
      </c>
      <c r="L457" s="1" t="s">
        <v>18</v>
      </c>
      <c r="M457" s="1" t="str">
        <f>_xlfn.XLOOKUP(I457,Parâmetros!A:A,Parâmetros!B:B,_xlfn.XLOOKUP(Q457,Parâmetros!F:F,Parâmetros!G:G,"NOVA MENSAGEM"))</f>
        <v>REMARK - CNPJ</v>
      </c>
      <c r="N457" s="1" t="str">
        <f>_xlfn.XLOOKUP(M457,Parâmetros!K:K,Parâmetros!L:L,"")</f>
        <v/>
      </c>
      <c r="O457" s="1" t="str">
        <f>_xlfn.XLOOKUP(M457,Parâmetros!B:B,Parâmetros!C:C,_xlfn.XLOOKUP(Base!M453,Parâmetros!G:G,Parâmetros!H:H))</f>
        <v>INDEFINIDO</v>
      </c>
      <c r="P457" s="1" t="str">
        <f>_xlfn.XLOOKUP(I457,Parâmetros!A:A,Parâmetros!D:D,_xlfn.XLOOKUP(Q457,Parâmetros!F:F,Parâmetros!I:I))</f>
        <v>OPERAÇÕES / SUPORTE KCS</v>
      </c>
      <c r="Q457" s="1">
        <f t="shared" si="15"/>
        <v>24</v>
      </c>
    </row>
    <row r="458" spans="1:17" x14ac:dyDescent="0.25">
      <c r="A458" s="1" t="str">
        <f>_xlfn.XLOOKUP(D458,'Novo relatório'!B:B,'Novo relatório'!C:C,"RESOLVIDO")</f>
        <v>SABRE</v>
      </c>
      <c r="C458" t="str">
        <f t="shared" si="14"/>
        <v>PENDENTE</v>
      </c>
      <c r="D458" s="1">
        <v>3221581</v>
      </c>
      <c r="E458" s="1" t="s">
        <v>26</v>
      </c>
      <c r="F458" s="2">
        <v>45691.709027777775</v>
      </c>
      <c r="G458" s="1" t="s">
        <v>761</v>
      </c>
      <c r="H458" s="1" t="s">
        <v>761</v>
      </c>
      <c r="I458" s="1" t="s">
        <v>692</v>
      </c>
      <c r="J458" s="2">
        <v>45691.775000000001</v>
      </c>
      <c r="K458" s="2">
        <v>45691.836805555555</v>
      </c>
      <c r="L458" s="1" t="s">
        <v>18</v>
      </c>
      <c r="M458" s="1" t="str">
        <f>_xlfn.XLOOKUP(I458,Parâmetros!A:A,Parâmetros!B:B,_xlfn.XLOOKUP(Q458,Parâmetros!F:F,Parâmetros!G:G,"NOVA MENSAGEM"))</f>
        <v>REMARK - CNPJ</v>
      </c>
      <c r="N458" s="1" t="str">
        <f>_xlfn.XLOOKUP(M458,Parâmetros!K:K,Parâmetros!L:L,"")</f>
        <v/>
      </c>
      <c r="O458" s="1" t="str">
        <f>_xlfn.XLOOKUP(M458,Parâmetros!B:B,Parâmetros!C:C,_xlfn.XLOOKUP(Base!M454,Parâmetros!G:G,Parâmetros!H:H))</f>
        <v>QUALIDADE DOS DADOS</v>
      </c>
      <c r="P458" s="1" t="str">
        <f>_xlfn.XLOOKUP(I458,Parâmetros!A:A,Parâmetros!D:D,_xlfn.XLOOKUP(Q458,Parâmetros!F:F,Parâmetros!I:I))</f>
        <v>OPERAÇÕES / SUPORTE KCS</v>
      </c>
      <c r="Q458" s="1">
        <f t="shared" si="15"/>
        <v>24</v>
      </c>
    </row>
    <row r="459" spans="1:17" x14ac:dyDescent="0.25">
      <c r="A459" s="1" t="str">
        <f>_xlfn.XLOOKUP(D459,'Novo relatório'!B:B,'Novo relatório'!C:C,"RESOLVIDO")</f>
        <v>SABRE</v>
      </c>
      <c r="C459" t="str">
        <f t="shared" si="14"/>
        <v>PENDENTE</v>
      </c>
      <c r="D459" s="1">
        <v>3221582</v>
      </c>
      <c r="E459" s="1" t="s">
        <v>26</v>
      </c>
      <c r="F459" s="2">
        <v>45691.709027777775</v>
      </c>
      <c r="G459" s="1" t="s">
        <v>887</v>
      </c>
      <c r="H459" s="1" t="s">
        <v>887</v>
      </c>
      <c r="I459" s="1" t="s">
        <v>692</v>
      </c>
      <c r="J459" s="2">
        <v>45691.775000000001</v>
      </c>
      <c r="K459" s="2">
        <v>45691.837500000001</v>
      </c>
      <c r="L459" s="1" t="s">
        <v>18</v>
      </c>
      <c r="M459" s="1" t="str">
        <f>_xlfn.XLOOKUP(I459,Parâmetros!A:A,Parâmetros!B:B,_xlfn.XLOOKUP(Q459,Parâmetros!F:F,Parâmetros!G:G,"NOVA MENSAGEM"))</f>
        <v>REMARK - CNPJ</v>
      </c>
      <c r="N459" s="1" t="str">
        <f>_xlfn.XLOOKUP(M459,Parâmetros!K:K,Parâmetros!L:L,"")</f>
        <v/>
      </c>
      <c r="O459" s="1" t="e">
        <f>_xlfn.XLOOKUP(M459,Parâmetros!B:B,Parâmetros!C:C,_xlfn.XLOOKUP(Base!M455,Parâmetros!G:G,Parâmetros!H:H))</f>
        <v>#N/A</v>
      </c>
      <c r="P459" s="1" t="str">
        <f>_xlfn.XLOOKUP(I459,Parâmetros!A:A,Parâmetros!D:D,_xlfn.XLOOKUP(Q459,Parâmetros!F:F,Parâmetros!I:I))</f>
        <v>OPERAÇÕES / SUPORTE KCS</v>
      </c>
      <c r="Q459" s="1">
        <f t="shared" si="15"/>
        <v>24</v>
      </c>
    </row>
    <row r="460" spans="1:17" x14ac:dyDescent="0.25">
      <c r="A460" s="1" t="str">
        <f>_xlfn.XLOOKUP(D460,'Novo relatório'!B:B,'Novo relatório'!C:C,"RESOLVIDO")</f>
        <v>SABRE</v>
      </c>
      <c r="C460" t="str">
        <f t="shared" si="14"/>
        <v>PENDENTE</v>
      </c>
      <c r="D460" s="1">
        <v>3221585</v>
      </c>
      <c r="E460" s="1" t="s">
        <v>26</v>
      </c>
      <c r="F460" s="2">
        <v>45691.709027777775</v>
      </c>
      <c r="G460" s="1" t="s">
        <v>763</v>
      </c>
      <c r="H460" s="1" t="s">
        <v>763</v>
      </c>
      <c r="I460" s="1" t="s">
        <v>692</v>
      </c>
      <c r="J460" s="2">
        <v>45691.775000000001</v>
      </c>
      <c r="K460" s="2">
        <v>45691.838194444441</v>
      </c>
      <c r="L460" s="1" t="s">
        <v>18</v>
      </c>
      <c r="M460" s="1" t="str">
        <f>_xlfn.XLOOKUP(I460,Parâmetros!A:A,Parâmetros!B:B,_xlfn.XLOOKUP(Q460,Parâmetros!F:F,Parâmetros!G:G,"NOVA MENSAGEM"))</f>
        <v>REMARK - CNPJ</v>
      </c>
      <c r="N460" s="1" t="str">
        <f>_xlfn.XLOOKUP(M460,Parâmetros!K:K,Parâmetros!L:L,"")</f>
        <v/>
      </c>
      <c r="O460" s="1" t="e">
        <f>_xlfn.XLOOKUP(M460,Parâmetros!B:B,Parâmetros!C:C,_xlfn.XLOOKUP(Base!M456,Parâmetros!G:G,Parâmetros!H:H))</f>
        <v>#N/A</v>
      </c>
      <c r="P460" s="1" t="str">
        <f>_xlfn.XLOOKUP(I460,Parâmetros!A:A,Parâmetros!D:D,_xlfn.XLOOKUP(Q460,Parâmetros!F:F,Parâmetros!I:I))</f>
        <v>OPERAÇÕES / SUPORTE KCS</v>
      </c>
      <c r="Q460" s="1">
        <f t="shared" si="15"/>
        <v>24</v>
      </c>
    </row>
    <row r="461" spans="1:17" x14ac:dyDescent="0.25">
      <c r="A461" s="1" t="str">
        <f>_xlfn.XLOOKUP(D461,'Novo relatório'!B:B,'Novo relatório'!C:C,"RESOLVIDO")</f>
        <v>SABRE</v>
      </c>
      <c r="C461" t="str">
        <f t="shared" si="14"/>
        <v>PENDENTE</v>
      </c>
      <c r="D461" s="1">
        <v>3221780</v>
      </c>
      <c r="E461" s="1" t="s">
        <v>26</v>
      </c>
      <c r="F461" s="2">
        <v>45691.709027777775</v>
      </c>
      <c r="G461" s="1" t="s">
        <v>839</v>
      </c>
      <c r="H461" s="1" t="s">
        <v>839</v>
      </c>
      <c r="I461" s="1" t="s">
        <v>840</v>
      </c>
      <c r="J461" s="2">
        <v>45691.835416666669</v>
      </c>
      <c r="K461" s="2"/>
      <c r="L461" s="1" t="s">
        <v>18</v>
      </c>
      <c r="M461" s="1" t="str">
        <f>_xlfn.XLOOKUP(I461,Parâmetros!A:A,Parâmetros!B:B,_xlfn.XLOOKUP(Q461,Parâmetros!F:F,Parâmetros!G:G,"NOVA MENSAGEM"))</f>
        <v>REMARK - CNPJ</v>
      </c>
      <c r="N461" s="1" t="str">
        <f>_xlfn.XLOOKUP(M461,Parâmetros!K:K,Parâmetros!L:L,"")</f>
        <v/>
      </c>
      <c r="O461" s="1" t="str">
        <f>_xlfn.XLOOKUP(M461,Parâmetros!B:B,Parâmetros!C:C,_xlfn.XLOOKUP(Base!M457,Parâmetros!G:G,Parâmetros!H:H))</f>
        <v>QUALIDADE DOS DADOS</v>
      </c>
      <c r="P461" s="1" t="str">
        <f>_xlfn.XLOOKUP(I461,Parâmetros!A:A,Parâmetros!D:D,_xlfn.XLOOKUP(Q461,Parâmetros!F:F,Parâmetros!I:I))</f>
        <v>OPERAÇÕES / SUPORTE KCS</v>
      </c>
      <c r="Q461" s="1">
        <f t="shared" si="15"/>
        <v>24</v>
      </c>
    </row>
    <row r="462" spans="1:17" x14ac:dyDescent="0.25">
      <c r="A462" s="1" t="str">
        <f>_xlfn.XLOOKUP(D462,'Novo relatório'!B:B,'Novo relatório'!C:C,"RESOLVIDO")</f>
        <v>SABRE</v>
      </c>
      <c r="C462" t="str">
        <f t="shared" si="14"/>
        <v>PENDENTE</v>
      </c>
      <c r="D462" s="1">
        <v>3221788</v>
      </c>
      <c r="E462" s="1" t="s">
        <v>26</v>
      </c>
      <c r="F462" s="2">
        <v>45691.709027777775</v>
      </c>
      <c r="G462" s="1" t="s">
        <v>841</v>
      </c>
      <c r="H462" s="1" t="s">
        <v>841</v>
      </c>
      <c r="I462" s="1" t="s">
        <v>410</v>
      </c>
      <c r="J462" s="2">
        <v>45691.836805555555</v>
      </c>
      <c r="K462" s="2"/>
      <c r="L462" s="1" t="s">
        <v>18</v>
      </c>
      <c r="M462" s="1" t="str">
        <f>_xlfn.XLOOKUP(I462,Parâmetros!A:A,Parâmetros!B:B,_xlfn.XLOOKUP(Q462,Parâmetros!F:F,Parâmetros!G:G,"NOVA MENSAGEM"))</f>
        <v>CÓD. CLIENTE DIVERGENTE</v>
      </c>
      <c r="N462" s="1" t="str">
        <f>_xlfn.XLOOKUP(M462,Parâmetros!K:K,Parâmetros!L:L,"")</f>
        <v>CÓDIGO DIFERENTE DO CADASTRADO NO BENNER (CLIENTE X GRUPO)</v>
      </c>
      <c r="O462" s="1" t="str">
        <f>_xlfn.XLOOKUP(M462,Parâmetros!B:B,Parâmetros!C:C,_xlfn.XLOOKUP(Base!M458,Parâmetros!G:G,Parâmetros!H:H))</f>
        <v>QUALIDADE DOS DADOS</v>
      </c>
      <c r="P462" s="1" t="str">
        <f>_xlfn.XLOOKUP(I462,Parâmetros!A:A,Parâmetros!D:D,_xlfn.XLOOKUP(Q462,Parâmetros!F:F,Parâmetros!I:I))</f>
        <v>SUPORTE OBT</v>
      </c>
      <c r="Q462" s="1">
        <f t="shared" si="15"/>
        <v>1</v>
      </c>
    </row>
    <row r="463" spans="1:17" x14ac:dyDescent="0.25">
      <c r="A463" s="1" t="str">
        <f>_xlfn.XLOOKUP(D463,'Novo relatório'!B:B,'Novo relatório'!C:C,"RESOLVIDO")</f>
        <v>SABRE</v>
      </c>
      <c r="C463" t="str">
        <f t="shared" si="14"/>
        <v>PENDENTE</v>
      </c>
      <c r="D463" s="1">
        <v>3221790</v>
      </c>
      <c r="E463" s="1" t="s">
        <v>26</v>
      </c>
      <c r="F463" s="2">
        <v>45691.709027777775</v>
      </c>
      <c r="G463" s="1" t="s">
        <v>812</v>
      </c>
      <c r="H463" s="1" t="s">
        <v>812</v>
      </c>
      <c r="I463" s="1" t="s">
        <v>394</v>
      </c>
      <c r="J463" s="2">
        <v>45691.837500000001</v>
      </c>
      <c r="K463" s="2"/>
      <c r="L463" s="1" t="s">
        <v>18</v>
      </c>
      <c r="M463" s="1" t="str">
        <f>_xlfn.XLOOKUP(I463,Parâmetros!A:A,Parâmetros!B:B,_xlfn.XLOOKUP(Q463,Parâmetros!F:F,Parâmetros!G:G,"NOVA MENSAGEM"))</f>
        <v>REMARK - CNPJ</v>
      </c>
      <c r="N463" s="1" t="str">
        <f>_xlfn.XLOOKUP(M463,Parâmetros!K:K,Parâmetros!L:L,"")</f>
        <v/>
      </c>
      <c r="O463" s="1" t="str">
        <f>_xlfn.XLOOKUP(M463,Parâmetros!B:B,Parâmetros!C:C,_xlfn.XLOOKUP(Base!M459,Parâmetros!G:G,Parâmetros!H:H))</f>
        <v>QUALIDADE DOS DADOS</v>
      </c>
      <c r="P463" s="1" t="str">
        <f>_xlfn.XLOOKUP(I463,Parâmetros!A:A,Parâmetros!D:D,_xlfn.XLOOKUP(Q463,Parâmetros!F:F,Parâmetros!I:I))</f>
        <v>OPERAÇÕES / SUPORTE KCS</v>
      </c>
      <c r="Q463" s="1">
        <f t="shared" si="15"/>
        <v>24</v>
      </c>
    </row>
    <row r="464" spans="1:17" x14ac:dyDescent="0.25">
      <c r="A464" s="1" t="str">
        <f>_xlfn.XLOOKUP(D464,'Novo relatório'!B:B,'Novo relatório'!C:C,"RESOLVIDO")</f>
        <v>SABRE</v>
      </c>
      <c r="C464" t="str">
        <f t="shared" si="14"/>
        <v>PENDENTE</v>
      </c>
      <c r="D464" s="1">
        <v>3221792</v>
      </c>
      <c r="E464" s="1" t="s">
        <v>26</v>
      </c>
      <c r="F464" s="2">
        <v>45691.709027777775</v>
      </c>
      <c r="G464" s="1" t="s">
        <v>842</v>
      </c>
      <c r="H464" s="1" t="s">
        <v>842</v>
      </c>
      <c r="I464" s="1" t="s">
        <v>589</v>
      </c>
      <c r="J464" s="2">
        <v>45691.837500000001</v>
      </c>
      <c r="K464" s="2"/>
      <c r="L464" s="1" t="s">
        <v>18</v>
      </c>
      <c r="M464" s="1" t="str">
        <f>_xlfn.XLOOKUP(I464,Parâmetros!A:A,Parâmetros!B:B,_xlfn.XLOOKUP(Q464,Parâmetros!F:F,Parâmetros!G:G,"NOVA MENSAGEM"))</f>
        <v>REMARK - CNPJ</v>
      </c>
      <c r="N464" s="1" t="str">
        <f>_xlfn.XLOOKUP(M464,Parâmetros!K:K,Parâmetros!L:L,"")</f>
        <v/>
      </c>
      <c r="O464" s="1" t="str">
        <f>_xlfn.XLOOKUP(M464,Parâmetros!B:B,Parâmetros!C:C,_xlfn.XLOOKUP(Base!M460,Parâmetros!G:G,Parâmetros!H:H))</f>
        <v>QUALIDADE DOS DADOS</v>
      </c>
      <c r="P464" s="1" t="str">
        <f>_xlfn.XLOOKUP(I464,Parâmetros!A:A,Parâmetros!D:D,_xlfn.XLOOKUP(Q464,Parâmetros!F:F,Parâmetros!I:I))</f>
        <v>OPERAÇÕES / SUPORTE KCS</v>
      </c>
      <c r="Q464" s="1">
        <f t="shared" si="15"/>
        <v>24</v>
      </c>
    </row>
    <row r="465" spans="1:17" x14ac:dyDescent="0.25">
      <c r="A465" s="1" t="str">
        <f>_xlfn.XLOOKUP(D465,'Novo relatório'!B:B,'Novo relatório'!C:C,"RESOLVIDO")</f>
        <v>SABRE</v>
      </c>
      <c r="C465" t="str">
        <f t="shared" si="14"/>
        <v>PENDENTE</v>
      </c>
      <c r="D465" s="1">
        <v>3221797</v>
      </c>
      <c r="E465" s="1" t="s">
        <v>26</v>
      </c>
      <c r="F465" s="2">
        <v>45691.709027777775</v>
      </c>
      <c r="G465" s="1" t="s">
        <v>843</v>
      </c>
      <c r="H465" s="1" t="s">
        <v>843</v>
      </c>
      <c r="I465" s="1" t="s">
        <v>83</v>
      </c>
      <c r="J465" s="2">
        <v>45691.838194444441</v>
      </c>
      <c r="K465" s="2"/>
      <c r="L465" s="1" t="s">
        <v>18</v>
      </c>
      <c r="M465" s="1" t="str">
        <f>_xlfn.XLOOKUP(I465,Parâmetros!A:A,Parâmetros!B:B,_xlfn.XLOOKUP(Q465,Parâmetros!F:F,Parâmetros!G:G,"NOVA MENSAGEM"))</f>
        <v>CLIENTE NÃO IDENTIFICADO</v>
      </c>
      <c r="N465" s="1" t="str">
        <f>_xlfn.XLOOKUP(M465,Parâmetros!K:K,Parâmetros!L:L,"")</f>
        <v>DK DE CLIENTE NÃO PREENCIDO / CLIENTE NÃO CONFIGURADO NO OBT</v>
      </c>
      <c r="O465" s="1" t="str">
        <f>_xlfn.XLOOKUP(M465,Parâmetros!B:B,Parâmetros!C:C,_xlfn.XLOOKUP(Base!M461,Parâmetros!G:G,Parâmetros!H:H))</f>
        <v>INDEFINIDO</v>
      </c>
      <c r="P465" s="1" t="str">
        <f>_xlfn.XLOOKUP(I465,Parâmetros!A:A,Parâmetros!D:D,_xlfn.XLOOKUP(Q465,Parâmetros!F:F,Parâmetros!I:I))</f>
        <v>OPERAÇÕES / SUPORTE KCS</v>
      </c>
      <c r="Q465" s="1" t="str">
        <f t="shared" si="15"/>
        <v>COLUNA I</v>
      </c>
    </row>
    <row r="466" spans="1:17" x14ac:dyDescent="0.25">
      <c r="A466" s="1" t="str">
        <f>_xlfn.XLOOKUP(D466,'Novo relatório'!B:B,'Novo relatório'!C:C,"RESOLVIDO")</f>
        <v>SABRE</v>
      </c>
      <c r="C466" t="str">
        <f t="shared" si="14"/>
        <v>PENDENTE</v>
      </c>
      <c r="D466" s="1">
        <v>3221799</v>
      </c>
      <c r="E466" s="1" t="s">
        <v>26</v>
      </c>
      <c r="F466" s="2">
        <v>45691.709027777775</v>
      </c>
      <c r="G466" s="1" t="s">
        <v>731</v>
      </c>
      <c r="H466" s="1" t="s">
        <v>731</v>
      </c>
      <c r="I466" s="1" t="s">
        <v>394</v>
      </c>
      <c r="J466" s="2">
        <v>45691.838888888888</v>
      </c>
      <c r="L466" s="1" t="s">
        <v>18</v>
      </c>
      <c r="M466" s="1" t="str">
        <f>_xlfn.XLOOKUP(I466,Parâmetros!A:A,Parâmetros!B:B,_xlfn.XLOOKUP(Q466,Parâmetros!F:F,Parâmetros!G:G,"NOVA MENSAGEM"))</f>
        <v>REMARK - CNPJ</v>
      </c>
      <c r="N466" s="1" t="str">
        <f>_xlfn.XLOOKUP(M466,Parâmetros!K:K,Parâmetros!L:L,"")</f>
        <v/>
      </c>
      <c r="O466" s="1" t="str">
        <f>_xlfn.XLOOKUP(M466,Parâmetros!B:B,Parâmetros!C:C,_xlfn.XLOOKUP(Base!M462,Parâmetros!G:G,Parâmetros!H:H))</f>
        <v>QUALIDADE DOS DADOS</v>
      </c>
      <c r="P466" s="1" t="str">
        <f>_xlfn.XLOOKUP(I466,Parâmetros!A:A,Parâmetros!D:D,_xlfn.XLOOKUP(Q466,Parâmetros!F:F,Parâmetros!I:I))</f>
        <v>OPERAÇÕES / SUPORTE KCS</v>
      </c>
      <c r="Q466" s="1">
        <f t="shared" si="15"/>
        <v>24</v>
      </c>
    </row>
    <row r="467" spans="1:17" x14ac:dyDescent="0.25">
      <c r="A467" s="1" t="str">
        <f>_xlfn.XLOOKUP(D467,'Novo relatório'!B:B,'Novo relatório'!C:C,"RESOLVIDO")</f>
        <v>SABRE</v>
      </c>
      <c r="C467" t="str">
        <f t="shared" si="14"/>
        <v>PENDENTE</v>
      </c>
      <c r="D467" s="1">
        <v>3221800</v>
      </c>
      <c r="E467" s="1" t="s">
        <v>26</v>
      </c>
      <c r="F467" s="2">
        <v>45691.709027777775</v>
      </c>
      <c r="G467" s="1" t="s">
        <v>689</v>
      </c>
      <c r="H467" s="1" t="s">
        <v>689</v>
      </c>
      <c r="I467" s="1" t="s">
        <v>83</v>
      </c>
      <c r="J467" s="2">
        <v>45691.838888888888</v>
      </c>
      <c r="L467" s="1" t="s">
        <v>18</v>
      </c>
      <c r="M467" s="1" t="str">
        <f>_xlfn.XLOOKUP(I467,Parâmetros!A:A,Parâmetros!B:B,_xlfn.XLOOKUP(Q467,Parâmetros!F:F,Parâmetros!G:G,"NOVA MENSAGEM"))</f>
        <v>CLIENTE NÃO IDENTIFICADO</v>
      </c>
      <c r="N467" s="1" t="str">
        <f>_xlfn.XLOOKUP(M467,Parâmetros!K:K,Parâmetros!L:L,"")</f>
        <v>DK DE CLIENTE NÃO PREENCIDO / CLIENTE NÃO CONFIGURADO NO OBT</v>
      </c>
      <c r="O467" s="1" t="str">
        <f>_xlfn.XLOOKUP(M467,Parâmetros!B:B,Parâmetros!C:C,_xlfn.XLOOKUP(Base!M463,Parâmetros!G:G,Parâmetros!H:H))</f>
        <v>INDEFINIDO</v>
      </c>
      <c r="P467" s="1" t="str">
        <f>_xlfn.XLOOKUP(I467,Parâmetros!A:A,Parâmetros!D:D,_xlfn.XLOOKUP(Q467,Parâmetros!F:F,Parâmetros!I:I))</f>
        <v>OPERAÇÕES / SUPORTE KCS</v>
      </c>
      <c r="Q467" s="1" t="str">
        <f t="shared" si="15"/>
        <v>COLUNA I</v>
      </c>
    </row>
    <row r="468" spans="1:17" x14ac:dyDescent="0.25">
      <c r="A468" s="1" t="str">
        <f>_xlfn.XLOOKUP(D468,'Novo relatório'!B:B,'Novo relatório'!C:C,"RESOLVIDO")</f>
        <v>SABRE</v>
      </c>
      <c r="C468" t="str">
        <f t="shared" si="14"/>
        <v>PENDENTE</v>
      </c>
      <c r="D468" s="1">
        <v>3221802</v>
      </c>
      <c r="E468" s="1" t="s">
        <v>26</v>
      </c>
      <c r="F468" s="2">
        <v>45692.328472222223</v>
      </c>
      <c r="G468" s="1" t="s">
        <v>691</v>
      </c>
      <c r="H468" s="1" t="s">
        <v>691</v>
      </c>
      <c r="I468" s="1" t="s">
        <v>692</v>
      </c>
      <c r="J468" s="2">
        <v>45691.839583333334</v>
      </c>
      <c r="K468" s="2">
        <v>45693.336111111108</v>
      </c>
      <c r="L468" s="1" t="s">
        <v>18</v>
      </c>
      <c r="M468" s="1" t="str">
        <f>_xlfn.XLOOKUP(I468,Parâmetros!A:A,Parâmetros!B:B,_xlfn.XLOOKUP(Q468,Parâmetros!F:F,Parâmetros!G:G,"NOVA MENSAGEM"))</f>
        <v>REMARK - CNPJ</v>
      </c>
      <c r="N468" s="1" t="str">
        <f>_xlfn.XLOOKUP(M468,Parâmetros!K:K,Parâmetros!L:L,"")</f>
        <v/>
      </c>
      <c r="O468" s="1" t="str">
        <f>_xlfn.XLOOKUP(M468,Parâmetros!B:B,Parâmetros!C:C,_xlfn.XLOOKUP(Base!M464,Parâmetros!G:G,Parâmetros!H:H))</f>
        <v>QUALIDADE DOS DADOS</v>
      </c>
      <c r="P468" s="1" t="str">
        <f>_xlfn.XLOOKUP(I468,Parâmetros!A:A,Parâmetros!D:D,_xlfn.XLOOKUP(Q468,Parâmetros!F:F,Parâmetros!I:I))</f>
        <v>OPERAÇÕES / SUPORTE KCS</v>
      </c>
      <c r="Q468" s="1">
        <f t="shared" si="15"/>
        <v>24</v>
      </c>
    </row>
    <row r="469" spans="1:17" x14ac:dyDescent="0.25">
      <c r="A469" s="1" t="str">
        <f>_xlfn.XLOOKUP(D469,'Novo relatório'!B:B,'Novo relatório'!C:C,"RESOLVIDO")</f>
        <v>SABRE</v>
      </c>
      <c r="C469" t="str">
        <f t="shared" si="14"/>
        <v>PENDENTE</v>
      </c>
      <c r="D469" s="1">
        <v>3221807</v>
      </c>
      <c r="E469" s="1" t="s">
        <v>26</v>
      </c>
      <c r="F469" s="2">
        <v>45691.709027777775</v>
      </c>
      <c r="G469" s="1" t="s">
        <v>688</v>
      </c>
      <c r="H469" s="1" t="s">
        <v>688</v>
      </c>
      <c r="I469" s="1" t="s">
        <v>83</v>
      </c>
      <c r="J469" s="2">
        <v>45691.840277777781</v>
      </c>
      <c r="K469" s="2"/>
      <c r="L469" s="1" t="s">
        <v>18</v>
      </c>
      <c r="M469" s="1" t="str">
        <f>_xlfn.XLOOKUP(I469,Parâmetros!A:A,Parâmetros!B:B,_xlfn.XLOOKUP(Q469,Parâmetros!F:F,Parâmetros!G:G,"NOVA MENSAGEM"))</f>
        <v>CLIENTE NÃO IDENTIFICADO</v>
      </c>
      <c r="N469" s="1" t="str">
        <f>_xlfn.XLOOKUP(M469,Parâmetros!K:K,Parâmetros!L:L,"")</f>
        <v>DK DE CLIENTE NÃO PREENCIDO / CLIENTE NÃO CONFIGURADO NO OBT</v>
      </c>
      <c r="O469" s="1" t="str">
        <f>_xlfn.XLOOKUP(M469,Parâmetros!B:B,Parâmetros!C:C,_xlfn.XLOOKUP(Base!M465,Parâmetros!G:G,Parâmetros!H:H))</f>
        <v>INDEFINIDO</v>
      </c>
      <c r="P469" s="1" t="str">
        <f>_xlfn.XLOOKUP(I469,Parâmetros!A:A,Parâmetros!D:D,_xlfn.XLOOKUP(Q469,Parâmetros!F:F,Parâmetros!I:I))</f>
        <v>OPERAÇÕES / SUPORTE KCS</v>
      </c>
      <c r="Q469" s="1" t="str">
        <f t="shared" si="15"/>
        <v>COLUNA I</v>
      </c>
    </row>
    <row r="470" spans="1:17" x14ac:dyDescent="0.25">
      <c r="A470" s="1" t="str">
        <f>_xlfn.XLOOKUP(D470,'Novo relatório'!B:B,'Novo relatório'!C:C,"RESOLVIDO")</f>
        <v>SABRE</v>
      </c>
      <c r="C470" t="str">
        <f t="shared" si="14"/>
        <v>PENDENTE</v>
      </c>
      <c r="D470" s="1">
        <v>3221812</v>
      </c>
      <c r="E470" s="1" t="s">
        <v>26</v>
      </c>
      <c r="F470" s="2">
        <v>45691.709027777775</v>
      </c>
      <c r="G470" s="1" t="s">
        <v>760</v>
      </c>
      <c r="H470" s="1" t="s">
        <v>760</v>
      </c>
      <c r="I470" s="1" t="s">
        <v>83</v>
      </c>
      <c r="J470" s="2">
        <v>45691.84097222222</v>
      </c>
      <c r="L470" s="1" t="s">
        <v>18</v>
      </c>
      <c r="M470" s="1" t="str">
        <f>_xlfn.XLOOKUP(I470,Parâmetros!A:A,Parâmetros!B:B,_xlfn.XLOOKUP(Q470,Parâmetros!F:F,Parâmetros!G:G,"NOVA MENSAGEM"))</f>
        <v>CLIENTE NÃO IDENTIFICADO</v>
      </c>
      <c r="N470" s="1" t="str">
        <f>_xlfn.XLOOKUP(M470,Parâmetros!K:K,Parâmetros!L:L,"")</f>
        <v>DK DE CLIENTE NÃO PREENCIDO / CLIENTE NÃO CONFIGURADO NO OBT</v>
      </c>
      <c r="O470" s="1" t="str">
        <f>_xlfn.XLOOKUP(M470,Parâmetros!B:B,Parâmetros!C:C,_xlfn.XLOOKUP(Base!M466,Parâmetros!G:G,Parâmetros!H:H))</f>
        <v>INDEFINIDO</v>
      </c>
      <c r="P470" s="1" t="str">
        <f>_xlfn.XLOOKUP(I470,Parâmetros!A:A,Parâmetros!D:D,_xlfn.XLOOKUP(Q470,Parâmetros!F:F,Parâmetros!I:I))</f>
        <v>OPERAÇÕES / SUPORTE KCS</v>
      </c>
      <c r="Q470" s="1" t="str">
        <f t="shared" si="15"/>
        <v>COLUNA I</v>
      </c>
    </row>
    <row r="471" spans="1:17" x14ac:dyDescent="0.25">
      <c r="A471" s="1" t="str">
        <f>_xlfn.XLOOKUP(D471,'Novo relatório'!B:B,'Novo relatório'!C:C,"RESOLVIDO")</f>
        <v>GOVER</v>
      </c>
      <c r="C471" t="str">
        <f t="shared" si="14"/>
        <v>PENDENTE</v>
      </c>
      <c r="D471" s="1">
        <v>3222452</v>
      </c>
      <c r="E471" s="1" t="s">
        <v>24</v>
      </c>
      <c r="F471" s="2">
        <v>45691.73541666667</v>
      </c>
      <c r="G471" s="1">
        <v>4485474</v>
      </c>
      <c r="H471" s="1" t="s">
        <v>948</v>
      </c>
      <c r="I471" s="1" t="s">
        <v>949</v>
      </c>
      <c r="J471" s="2">
        <v>45692.384722222225</v>
      </c>
      <c r="L471" s="1" t="s">
        <v>14</v>
      </c>
      <c r="M471" s="1" t="str">
        <f>_xlfn.XLOOKUP(I471,Parâmetros!A:A,Parâmetros!B:B,_xlfn.XLOOKUP(Q471,Parâmetros!F:F,Parâmetros!G:G,"NOVA MENSAGEM"))</f>
        <v>TAG - ITEM HOTEL</v>
      </c>
      <c r="N471" s="1" t="str">
        <f>_xlfn.XLOOKUP(M471,Parâmetros!K:K,Parâmetros!L:L,"")</f>
        <v/>
      </c>
      <c r="O471" s="1" t="str">
        <f>_xlfn.XLOOKUP(M471,Parâmetros!B:B,Parâmetros!C:C,_xlfn.XLOOKUP(Base!M467,Parâmetros!G:G,Parâmetros!H:H))</f>
        <v>SISTEMA</v>
      </c>
      <c r="P471" s="1" t="str">
        <f>_xlfn.XLOOKUP(I471,Parâmetros!A:A,Parâmetros!D:D,_xlfn.XLOOKUP(Q471,Parâmetros!F:F,Parâmetros!I:I))</f>
        <v>SUPORTE OBT</v>
      </c>
      <c r="Q471" s="1" t="str">
        <f t="shared" si="15"/>
        <v>COLUNA I</v>
      </c>
    </row>
    <row r="472" spans="1:17" x14ac:dyDescent="0.25">
      <c r="A472" s="1" t="str">
        <f>_xlfn.XLOOKUP(D472,'Novo relatório'!B:B,'Novo relatório'!C:C,"RESOLVIDO")</f>
        <v>SABRE</v>
      </c>
      <c r="C472" t="str">
        <f t="shared" si="14"/>
        <v>PENDENTE</v>
      </c>
      <c r="D472" s="1">
        <v>3222923</v>
      </c>
      <c r="E472" s="1" t="s">
        <v>26</v>
      </c>
      <c r="F472" s="2">
        <v>45692.363194444442</v>
      </c>
      <c r="G472" s="1" t="s">
        <v>755</v>
      </c>
      <c r="H472" s="1" t="s">
        <v>756</v>
      </c>
      <c r="I472" s="1" t="s">
        <v>85</v>
      </c>
      <c r="J472" s="2">
        <v>45692.51458333333</v>
      </c>
      <c r="K472" s="2">
        <v>45693.336805555555</v>
      </c>
      <c r="L472" s="1" t="s">
        <v>18</v>
      </c>
      <c r="M472" s="1" t="str">
        <f>_xlfn.XLOOKUP(I472,Parâmetros!A:A,Parâmetros!B:B,_xlfn.XLOOKUP(Q472,Parâmetros!F:F,Parâmetros!G:G,"NOVA MENSAGEM"))</f>
        <v>CLIENTE NÃO IDENTIFICADO</v>
      </c>
      <c r="N472" s="1" t="str">
        <f>_xlfn.XLOOKUP(M472,Parâmetros!K:K,Parâmetros!L:L,"")</f>
        <v>DK DE CLIENTE NÃO PREENCIDO / CLIENTE NÃO CONFIGURADO NO OBT</v>
      </c>
      <c r="O472" s="1" t="str">
        <f>_xlfn.XLOOKUP(M472,Parâmetros!B:B,Parâmetros!C:C,_xlfn.XLOOKUP(Base!M468,Parâmetros!G:G,Parâmetros!H:H))</f>
        <v>INDEFINIDO</v>
      </c>
      <c r="P472" s="1" t="str">
        <f>_xlfn.XLOOKUP(I472,Parâmetros!A:A,Parâmetros!D:D,_xlfn.XLOOKUP(Q472,Parâmetros!F:F,Parâmetros!I:I))</f>
        <v>OPERAÇÕES / SUPORTE KCS</v>
      </c>
      <c r="Q472" s="1" t="str">
        <f t="shared" si="15"/>
        <v>COLUNA I</v>
      </c>
    </row>
    <row r="473" spans="1:17" x14ac:dyDescent="0.25">
      <c r="A473" s="1" t="str">
        <f>_xlfn.XLOOKUP(D473,'Novo relatório'!B:B,'Novo relatório'!C:C,"RESOLVIDO")</f>
        <v>SABRE</v>
      </c>
      <c r="C473" t="str">
        <f t="shared" si="14"/>
        <v>PENDENTE</v>
      </c>
      <c r="D473" s="1">
        <v>3222946</v>
      </c>
      <c r="E473" s="1" t="s">
        <v>26</v>
      </c>
      <c r="F473" s="2">
        <v>45692.390277777777</v>
      </c>
      <c r="G473" s="1" t="s">
        <v>918</v>
      </c>
      <c r="H473" s="1" t="s">
        <v>918</v>
      </c>
      <c r="I473" s="1" t="s">
        <v>394</v>
      </c>
      <c r="J473" s="2">
        <v>45692.524305555555</v>
      </c>
      <c r="K473" s="2">
        <v>45693.361111111109</v>
      </c>
      <c r="L473" s="1" t="s">
        <v>18</v>
      </c>
      <c r="M473" s="1" t="str">
        <f>_xlfn.XLOOKUP(I473,Parâmetros!A:A,Parâmetros!B:B,_xlfn.XLOOKUP(Q473,Parâmetros!F:F,Parâmetros!G:G,"NOVA MENSAGEM"))</f>
        <v>REMARK - CNPJ</v>
      </c>
      <c r="N473" s="1" t="str">
        <f>_xlfn.XLOOKUP(M473,Parâmetros!K:K,Parâmetros!L:L,"")</f>
        <v/>
      </c>
      <c r="O473" s="1" t="e">
        <f>_xlfn.XLOOKUP(M473,Parâmetros!B:B,Parâmetros!C:C,_xlfn.XLOOKUP(Base!M469,Parâmetros!G:G,Parâmetros!H:H))</f>
        <v>#N/A</v>
      </c>
      <c r="P473" s="1" t="str">
        <f>_xlfn.XLOOKUP(I473,Parâmetros!A:A,Parâmetros!D:D,_xlfn.XLOOKUP(Q473,Parâmetros!F:F,Parâmetros!I:I))</f>
        <v>OPERAÇÕES / SUPORTE KCS</v>
      </c>
      <c r="Q473" s="1">
        <f t="shared" si="15"/>
        <v>24</v>
      </c>
    </row>
    <row r="474" spans="1:17" x14ac:dyDescent="0.25">
      <c r="A474" s="1" t="str">
        <f>_xlfn.XLOOKUP(D474,'Novo relatório'!B:B,'Novo relatório'!C:C,"RESOLVIDO")</f>
        <v>SABRE</v>
      </c>
      <c r="C474" t="str">
        <f t="shared" si="14"/>
        <v>PENDENTE</v>
      </c>
      <c r="D474" s="1">
        <v>3223156</v>
      </c>
      <c r="E474" s="1" t="s">
        <v>26</v>
      </c>
      <c r="F474" s="2">
        <v>45692.496527777781</v>
      </c>
      <c r="G474" s="1" t="s">
        <v>782</v>
      </c>
      <c r="H474" s="1" t="s">
        <v>782</v>
      </c>
      <c r="I474" s="1" t="s">
        <v>394</v>
      </c>
      <c r="J474" s="2">
        <v>45692.631944444445</v>
      </c>
      <c r="K474" s="2">
        <v>45693.362500000003</v>
      </c>
      <c r="L474" s="1" t="s">
        <v>18</v>
      </c>
      <c r="M474" s="1" t="str">
        <f>_xlfn.XLOOKUP(I474,Parâmetros!A:A,Parâmetros!B:B,_xlfn.XLOOKUP(Q474,Parâmetros!F:F,Parâmetros!G:G,"NOVA MENSAGEM"))</f>
        <v>REMARK - CNPJ</v>
      </c>
      <c r="N474" s="1" t="str">
        <f>_xlfn.XLOOKUP(M474,Parâmetros!K:K,Parâmetros!L:L,"")</f>
        <v/>
      </c>
      <c r="O474" s="1" t="e">
        <f>_xlfn.XLOOKUP(M474,Parâmetros!B:B,Parâmetros!C:C,_xlfn.XLOOKUP(Base!M470,Parâmetros!G:G,Parâmetros!H:H))</f>
        <v>#N/A</v>
      </c>
      <c r="P474" s="1" t="str">
        <f>_xlfn.XLOOKUP(I474,Parâmetros!A:A,Parâmetros!D:D,_xlfn.XLOOKUP(Q474,Parâmetros!F:F,Parâmetros!I:I))</f>
        <v>OPERAÇÕES / SUPORTE KCS</v>
      </c>
      <c r="Q474" s="1">
        <f t="shared" si="15"/>
        <v>24</v>
      </c>
    </row>
    <row r="475" spans="1:17" x14ac:dyDescent="0.25">
      <c r="A475" s="1" t="str">
        <f>_xlfn.XLOOKUP(D475,'Novo relatório'!B:B,'Novo relatório'!C:C,"RESOLVIDO")</f>
        <v>SABRE</v>
      </c>
      <c r="C475" t="str">
        <f t="shared" si="14"/>
        <v>PENDENTE</v>
      </c>
      <c r="D475" s="1">
        <v>3223331</v>
      </c>
      <c r="E475" s="1" t="s">
        <v>26</v>
      </c>
      <c r="F475" s="2">
        <v>45692.547222222223</v>
      </c>
      <c r="G475" s="1" t="s">
        <v>713</v>
      </c>
      <c r="H475" s="1" t="s">
        <v>714</v>
      </c>
      <c r="I475" s="1" t="s">
        <v>85</v>
      </c>
      <c r="J475" s="2">
        <v>45692.684027777781</v>
      </c>
      <c r="K475" s="2">
        <v>45693.337500000001</v>
      </c>
      <c r="L475" s="1" t="s">
        <v>18</v>
      </c>
      <c r="M475" s="1" t="str">
        <f>_xlfn.XLOOKUP(I475,Parâmetros!A:A,Parâmetros!B:B,_xlfn.XLOOKUP(Q475,Parâmetros!F:F,Parâmetros!G:G,"NOVA MENSAGEM"))</f>
        <v>CLIENTE NÃO IDENTIFICADO</v>
      </c>
      <c r="N475" s="1" t="str">
        <f>_xlfn.XLOOKUP(M475,Parâmetros!K:K,Parâmetros!L:L,"")</f>
        <v>DK DE CLIENTE NÃO PREENCIDO / CLIENTE NÃO CONFIGURADO NO OBT</v>
      </c>
      <c r="O475" s="1" t="str">
        <f>_xlfn.XLOOKUP(M475,Parâmetros!B:B,Parâmetros!C:C,_xlfn.XLOOKUP(Base!M471,Parâmetros!G:G,Parâmetros!H:H))</f>
        <v>INDEFINIDO</v>
      </c>
      <c r="P475" s="1" t="str">
        <f>_xlfn.XLOOKUP(I475,Parâmetros!A:A,Parâmetros!D:D,_xlfn.XLOOKUP(Q475,Parâmetros!F:F,Parâmetros!I:I))</f>
        <v>OPERAÇÕES / SUPORTE KCS</v>
      </c>
      <c r="Q475" s="1" t="str">
        <f t="shared" si="15"/>
        <v>COLUNA I</v>
      </c>
    </row>
    <row r="476" spans="1:17" x14ac:dyDescent="0.25">
      <c r="A476" s="1" t="str">
        <f>_xlfn.XLOOKUP(D476,'Novo relatório'!B:B,'Novo relatório'!C:C,"RESOLVIDO")</f>
        <v>SABRE</v>
      </c>
      <c r="C476" t="str">
        <f t="shared" si="14"/>
        <v>PENDENTE</v>
      </c>
      <c r="D476" s="1">
        <v>3223878</v>
      </c>
      <c r="E476" s="1" t="s">
        <v>26</v>
      </c>
      <c r="F476" s="2">
        <v>45692.571527777778</v>
      </c>
      <c r="G476" s="1" t="s">
        <v>886</v>
      </c>
      <c r="H476" s="1" t="s">
        <v>886</v>
      </c>
      <c r="I476" s="1" t="s">
        <v>398</v>
      </c>
      <c r="J476" s="2">
        <v>45692.729166666664</v>
      </c>
      <c r="K476" s="2">
        <v>45693.365277777775</v>
      </c>
      <c r="L476" s="1" t="s">
        <v>18</v>
      </c>
      <c r="M476" s="1" t="str">
        <f>_xlfn.XLOOKUP(I476,Parâmetros!A:A,Parâmetros!B:B,_xlfn.XLOOKUP(Q476,Parâmetros!F:F,Parâmetros!G:G,"NOVA MENSAGEM"))</f>
        <v>REMARK - CNPJ</v>
      </c>
      <c r="N476" s="1" t="str">
        <f>_xlfn.XLOOKUP(M476,Parâmetros!K:K,Parâmetros!L:L,"")</f>
        <v/>
      </c>
      <c r="O476" s="1" t="e">
        <f>_xlfn.XLOOKUP(M476,Parâmetros!B:B,Parâmetros!C:C,_xlfn.XLOOKUP(Base!M472,Parâmetros!G:G,Parâmetros!H:H))</f>
        <v>#N/A</v>
      </c>
      <c r="P476" s="1" t="str">
        <f>_xlfn.XLOOKUP(I476,Parâmetros!A:A,Parâmetros!D:D,_xlfn.XLOOKUP(Q476,Parâmetros!F:F,Parâmetros!I:I))</f>
        <v>OPERAÇÕES / SUPORTE KCS</v>
      </c>
      <c r="Q476" s="1">
        <f t="shared" si="15"/>
        <v>24</v>
      </c>
    </row>
    <row r="477" spans="1:17" x14ac:dyDescent="0.25">
      <c r="A477" s="1" t="str">
        <f>_xlfn.XLOOKUP(D477,'Novo relatório'!B:B,'Novo relatório'!C:C,"RESOLVIDO")</f>
        <v>RESOLVIDO</v>
      </c>
      <c r="C477" t="str">
        <f t="shared" si="14"/>
        <v>RESOLVIDO</v>
      </c>
      <c r="D477" s="1">
        <v>3223920</v>
      </c>
      <c r="E477" s="1" t="s">
        <v>26</v>
      </c>
      <c r="F477" s="2">
        <v>45692.571527777778</v>
      </c>
      <c r="G477" s="1" t="s">
        <v>858</v>
      </c>
      <c r="H477" s="1" t="s">
        <v>858</v>
      </c>
      <c r="I477" s="1" t="s">
        <v>588</v>
      </c>
      <c r="J477" s="2">
        <v>45692.731944444444</v>
      </c>
      <c r="K477" s="2">
        <v>45693.368055555555</v>
      </c>
      <c r="L477" s="1" t="s">
        <v>14</v>
      </c>
      <c r="M477" s="1" t="str">
        <f>_xlfn.XLOOKUP(I477,Parâmetros!A:A,Parâmetros!B:B,_xlfn.XLOOKUP(Q477,Parâmetros!F:F,Parâmetros!G:G,"NOVA MENSAGEM"))</f>
        <v>ERRO NO XML</v>
      </c>
      <c r="N477" s="1" t="str">
        <f>_xlfn.XLOOKUP(M477,Parâmetros!K:K,Parâmetros!L:L,"")</f>
        <v/>
      </c>
      <c r="O477" s="1" t="str">
        <f>_xlfn.XLOOKUP(M477,Parâmetros!B:B,Parâmetros!C:C,_xlfn.XLOOKUP(Base!M473,Parâmetros!G:G,Parâmetros!H:H))</f>
        <v>SISTEMA</v>
      </c>
      <c r="P477" s="1" t="str">
        <f>_xlfn.XLOOKUP(I477,Parâmetros!A:A,Parâmetros!D:D,_xlfn.XLOOKUP(Q477,Parâmetros!F:F,Parâmetros!I:I))</f>
        <v>SUPORTE OBT</v>
      </c>
      <c r="Q477" s="1" t="str">
        <f t="shared" si="15"/>
        <v>COLUNA I</v>
      </c>
    </row>
    <row r="478" spans="1:17" x14ac:dyDescent="0.25">
      <c r="A478" s="1" t="str">
        <f>_xlfn.XLOOKUP(D478,'Novo relatório'!B:B,'Novo relatório'!C:C,"RESOLVIDO")</f>
        <v>SABRE</v>
      </c>
      <c r="C478" t="str">
        <f t="shared" si="14"/>
        <v>PENDENTE</v>
      </c>
      <c r="D478" s="1">
        <v>3224058</v>
      </c>
      <c r="E478" s="1" t="s">
        <v>26</v>
      </c>
      <c r="F478" s="2">
        <v>45692.579861111109</v>
      </c>
      <c r="G478" s="1" t="s">
        <v>711</v>
      </c>
      <c r="H478" s="1" t="s">
        <v>712</v>
      </c>
      <c r="I478" s="1" t="s">
        <v>166</v>
      </c>
      <c r="J478" s="2">
        <v>45692.743750000001</v>
      </c>
      <c r="K478" s="2">
        <v>45693.338194444441</v>
      </c>
      <c r="L478" s="1" t="s">
        <v>19</v>
      </c>
      <c r="M478" s="1" t="str">
        <f>_xlfn.XLOOKUP(I478,Parâmetros!A:A,Parâmetros!B:B,_xlfn.XLOOKUP(Q478,Parâmetros!F:F,Parâmetros!G:G,"NOVA MENSAGEM"))</f>
        <v>CONTRATO FORNECEDOR</v>
      </c>
      <c r="N478" s="1" t="str">
        <f>_xlfn.XLOOKUP(M478,Parâmetros!K:K,Parâmetros!L:L,"")</f>
        <v>CONTRATO INATIVO OU DIVERGENTE</v>
      </c>
      <c r="O478" s="1" t="str">
        <f>_xlfn.XLOOKUP(M478,Parâmetros!B:B,Parâmetros!C:C,_xlfn.XLOOKUP(Base!M474,Parâmetros!G:G,Parâmetros!H:H))</f>
        <v>SISTEMA</v>
      </c>
      <c r="P478" s="1" t="str">
        <f>_xlfn.XLOOKUP(I478,Parâmetros!A:A,Parâmetros!D:D,_xlfn.XLOOKUP(Q478,Parâmetros!F:F,Parâmetros!I:I))</f>
        <v>OPERAÇÕES / SUPORTE KCS</v>
      </c>
      <c r="Q478" s="1">
        <f t="shared" si="15"/>
        <v>43</v>
      </c>
    </row>
    <row r="479" spans="1:17" x14ac:dyDescent="0.25">
      <c r="A479" s="1" t="str">
        <f>_xlfn.XLOOKUP(D479,'Novo relatório'!B:B,'Novo relatório'!C:C,"RESOLVIDO")</f>
        <v>SABRE</v>
      </c>
      <c r="C479" t="str">
        <f t="shared" si="14"/>
        <v>PENDENTE</v>
      </c>
      <c r="D479" s="1">
        <v>3224547</v>
      </c>
      <c r="E479" s="1" t="s">
        <v>26</v>
      </c>
      <c r="F479" s="2">
        <v>45692.661805555559</v>
      </c>
      <c r="G479" s="1" t="s">
        <v>836</v>
      </c>
      <c r="H479" s="1" t="s">
        <v>837</v>
      </c>
      <c r="I479" s="1" t="s">
        <v>838</v>
      </c>
      <c r="J479" s="2">
        <v>45692.816666666666</v>
      </c>
      <c r="K479" s="2">
        <v>45693.341666666667</v>
      </c>
      <c r="L479" s="1" t="s">
        <v>18</v>
      </c>
      <c r="M479" s="1" t="str">
        <f>_xlfn.XLOOKUP(I479,Parâmetros!A:A,Parâmetros!B:B,_xlfn.XLOOKUP(Q479,Parâmetros!F:F,Parâmetros!G:G,"NOVA MENSAGEM"))</f>
        <v>CÓD. CLIENTE DIVERGENTE</v>
      </c>
      <c r="N479" s="1" t="str">
        <f>_xlfn.XLOOKUP(M479,Parâmetros!K:K,Parâmetros!L:L,"")</f>
        <v>CÓDIGO DIFERENTE DO CADASTRADO NO BENNER (CLIENTE X GRUPO)</v>
      </c>
      <c r="O479" s="1" t="str">
        <f>_xlfn.XLOOKUP(M479,Parâmetros!B:B,Parâmetros!C:C,_xlfn.XLOOKUP(Base!M475,Parâmetros!G:G,Parâmetros!H:H))</f>
        <v>QUALIDADE DOS DADOS</v>
      </c>
      <c r="P479" s="1" t="str">
        <f>_xlfn.XLOOKUP(I479,Parâmetros!A:A,Parâmetros!D:D,_xlfn.XLOOKUP(Q479,Parâmetros!F:F,Parâmetros!I:I))</f>
        <v>SUPORTE OBT</v>
      </c>
      <c r="Q479" s="1">
        <f t="shared" si="15"/>
        <v>1</v>
      </c>
    </row>
    <row r="480" spans="1:17" x14ac:dyDescent="0.25">
      <c r="A480" s="1" t="str">
        <f>_xlfn.XLOOKUP(D480,'Novo relatório'!B:B,'Novo relatório'!C:C,"RESOLVIDO")</f>
        <v>SABRE</v>
      </c>
      <c r="C480" t="str">
        <f t="shared" si="14"/>
        <v>PENDENTE</v>
      </c>
      <c r="D480" s="1">
        <v>3224605</v>
      </c>
      <c r="E480" s="1" t="s">
        <v>26</v>
      </c>
      <c r="F480" s="2">
        <v>45692.72152777778</v>
      </c>
      <c r="G480" s="1" t="s">
        <v>913</v>
      </c>
      <c r="H480" s="1" t="s">
        <v>913</v>
      </c>
      <c r="I480" s="1" t="s">
        <v>394</v>
      </c>
      <c r="J480" s="2">
        <v>45692.878472222219</v>
      </c>
      <c r="K480" s="2">
        <v>45693.370138888888</v>
      </c>
      <c r="L480" s="1" t="s">
        <v>18</v>
      </c>
      <c r="M480" s="1" t="str">
        <f>_xlfn.XLOOKUP(I480,Parâmetros!A:A,Parâmetros!B:B,_xlfn.XLOOKUP(Q480,Parâmetros!F:F,Parâmetros!G:G,"NOVA MENSAGEM"))</f>
        <v>REMARK - CNPJ</v>
      </c>
      <c r="N480" s="1" t="str">
        <f>_xlfn.XLOOKUP(M480,Parâmetros!K:K,Parâmetros!L:L,"")</f>
        <v/>
      </c>
      <c r="O480" s="1" t="str">
        <f>_xlfn.XLOOKUP(M480,Parâmetros!B:B,Parâmetros!C:C,_xlfn.XLOOKUP(Base!M476,Parâmetros!G:G,Parâmetros!H:H))</f>
        <v>QUALIDADE DOS DADOS</v>
      </c>
      <c r="P480" s="1" t="str">
        <f>_xlfn.XLOOKUP(I480,Parâmetros!A:A,Parâmetros!D:D,_xlfn.XLOOKUP(Q480,Parâmetros!F:F,Parâmetros!I:I))</f>
        <v>OPERAÇÕES / SUPORTE KCS</v>
      </c>
      <c r="Q480" s="1">
        <f t="shared" si="15"/>
        <v>24</v>
      </c>
    </row>
    <row r="481" spans="1:17" x14ac:dyDescent="0.25">
      <c r="A481" s="1" t="str">
        <f>_xlfn.XLOOKUP(D481,'Novo relatório'!B:B,'Novo relatório'!C:C,"RESOLVIDO")</f>
        <v>SABRE</v>
      </c>
      <c r="C481" t="str">
        <f t="shared" si="14"/>
        <v>PENDENTE</v>
      </c>
      <c r="D481" s="1">
        <v>3224608</v>
      </c>
      <c r="E481" s="1" t="s">
        <v>26</v>
      </c>
      <c r="F481" s="2">
        <v>45692.72152777778</v>
      </c>
      <c r="G481" s="1" t="s">
        <v>710</v>
      </c>
      <c r="H481" s="1" t="s">
        <v>710</v>
      </c>
      <c r="I481" s="1" t="s">
        <v>692</v>
      </c>
      <c r="J481" s="2">
        <v>45692.879166666666</v>
      </c>
      <c r="K481" s="2">
        <v>45693.32708333333</v>
      </c>
      <c r="L481" s="1" t="s">
        <v>18</v>
      </c>
      <c r="M481" s="1" t="str">
        <f>_xlfn.XLOOKUP(I481,Parâmetros!A:A,Parâmetros!B:B,_xlfn.XLOOKUP(Q481,Parâmetros!F:F,Parâmetros!G:G,"NOVA MENSAGEM"))</f>
        <v>REMARK - CNPJ</v>
      </c>
      <c r="N481" s="1" t="str">
        <f>_xlfn.XLOOKUP(M481,Parâmetros!K:K,Parâmetros!L:L,"")</f>
        <v/>
      </c>
      <c r="O481" s="1" t="str">
        <f>_xlfn.XLOOKUP(M481,Parâmetros!B:B,Parâmetros!C:C,_xlfn.XLOOKUP(Base!M477,Parâmetros!G:G,Parâmetros!H:H))</f>
        <v>INDEFINIDO</v>
      </c>
      <c r="P481" s="1" t="str">
        <f>_xlfn.XLOOKUP(I481,Parâmetros!A:A,Parâmetros!D:D,_xlfn.XLOOKUP(Q481,Parâmetros!F:F,Parâmetros!I:I))</f>
        <v>OPERAÇÕES / SUPORTE KCS</v>
      </c>
      <c r="Q481" s="1">
        <f t="shared" si="15"/>
        <v>24</v>
      </c>
    </row>
    <row r="482" spans="1:17" x14ac:dyDescent="0.25">
      <c r="A482" s="1" t="str">
        <f>_xlfn.XLOOKUP(D482,'Novo relatório'!B:B,'Novo relatório'!C:C,"RESOLVIDO")</f>
        <v>SABRE</v>
      </c>
      <c r="C482" t="str">
        <f t="shared" si="14"/>
        <v>PENDENTE</v>
      </c>
      <c r="D482" s="1">
        <v>3224623</v>
      </c>
      <c r="E482" s="1" t="s">
        <v>26</v>
      </c>
      <c r="F482" s="2">
        <v>45692.72152777778</v>
      </c>
      <c r="G482" s="1" t="s">
        <v>912</v>
      </c>
      <c r="H482" s="1" t="s">
        <v>912</v>
      </c>
      <c r="I482" s="1" t="s">
        <v>692</v>
      </c>
      <c r="J482" s="2">
        <v>45692.881249999999</v>
      </c>
      <c r="K482" s="2">
        <v>45693.32916666667</v>
      </c>
      <c r="L482" s="1" t="s">
        <v>18</v>
      </c>
      <c r="M482" s="1" t="str">
        <f>_xlfn.XLOOKUP(I482,Parâmetros!A:A,Parâmetros!B:B,_xlfn.XLOOKUP(Q482,Parâmetros!F:F,Parâmetros!G:G,"NOVA MENSAGEM"))</f>
        <v>REMARK - CNPJ</v>
      </c>
      <c r="N482" s="1" t="str">
        <f>_xlfn.XLOOKUP(M482,Parâmetros!K:K,Parâmetros!L:L,"")</f>
        <v/>
      </c>
      <c r="O482" s="1" t="str">
        <f>_xlfn.XLOOKUP(M482,Parâmetros!B:B,Parâmetros!C:C,_xlfn.XLOOKUP(Base!M478,Parâmetros!G:G,Parâmetros!H:H))</f>
        <v>SISTEMA</v>
      </c>
      <c r="P482" s="1" t="str">
        <f>_xlfn.XLOOKUP(I482,Parâmetros!A:A,Parâmetros!D:D,_xlfn.XLOOKUP(Q482,Parâmetros!F:F,Parâmetros!I:I))</f>
        <v>OPERAÇÕES / SUPORTE KCS</v>
      </c>
      <c r="Q482" s="1">
        <f t="shared" si="15"/>
        <v>24</v>
      </c>
    </row>
    <row r="483" spans="1:17" x14ac:dyDescent="0.25">
      <c r="A483" s="1" t="str">
        <f>_xlfn.XLOOKUP(D483,'Novo relatório'!B:B,'Novo relatório'!C:C,"RESOLVIDO")</f>
        <v>SABRE</v>
      </c>
      <c r="C483" t="str">
        <f t="shared" si="14"/>
        <v>PENDENTE</v>
      </c>
      <c r="D483" s="1">
        <v>3224624</v>
      </c>
      <c r="E483" s="1" t="s">
        <v>26</v>
      </c>
      <c r="F483" s="2">
        <v>45692.72152777778</v>
      </c>
      <c r="G483" s="1" t="s">
        <v>921</v>
      </c>
      <c r="H483" s="1" t="s">
        <v>921</v>
      </c>
      <c r="I483" s="1" t="s">
        <v>692</v>
      </c>
      <c r="J483" s="2">
        <v>45692.881249999999</v>
      </c>
      <c r="K483" s="2">
        <v>45693.32916666667</v>
      </c>
      <c r="L483" s="1" t="s">
        <v>18</v>
      </c>
      <c r="M483" s="1" t="str">
        <f>_xlfn.XLOOKUP(I483,Parâmetros!A:A,Parâmetros!B:B,_xlfn.XLOOKUP(Q483,Parâmetros!F:F,Parâmetros!G:G,"NOVA MENSAGEM"))</f>
        <v>REMARK - CNPJ</v>
      </c>
      <c r="N483" s="1" t="str">
        <f>_xlfn.XLOOKUP(M483,Parâmetros!K:K,Parâmetros!L:L,"")</f>
        <v/>
      </c>
      <c r="O483" s="1" t="str">
        <f>_xlfn.XLOOKUP(M483,Parâmetros!B:B,Parâmetros!C:C,_xlfn.XLOOKUP(Base!M479,Parâmetros!G:G,Parâmetros!H:H))</f>
        <v>QUALIDADE DOS DADOS</v>
      </c>
      <c r="P483" s="1" t="str">
        <f>_xlfn.XLOOKUP(I483,Parâmetros!A:A,Parâmetros!D:D,_xlfn.XLOOKUP(Q483,Parâmetros!F:F,Parâmetros!I:I))</f>
        <v>OPERAÇÕES / SUPORTE KCS</v>
      </c>
      <c r="Q483" s="1">
        <f t="shared" si="15"/>
        <v>24</v>
      </c>
    </row>
    <row r="484" spans="1:17" x14ac:dyDescent="0.25">
      <c r="A484" s="1" t="str">
        <f>_xlfn.XLOOKUP(D484,'Novo relatório'!B:B,'Novo relatório'!C:C,"RESOLVIDO")</f>
        <v>GOVER</v>
      </c>
      <c r="C484" t="str">
        <f t="shared" si="14"/>
        <v>PENDENTE</v>
      </c>
      <c r="D484" s="1">
        <v>3225181</v>
      </c>
      <c r="E484" s="1" t="s">
        <v>24</v>
      </c>
      <c r="F484" s="2">
        <v>45692.859027777777</v>
      </c>
      <c r="G484" s="1">
        <v>4486419</v>
      </c>
      <c r="H484" s="1" t="s">
        <v>1038</v>
      </c>
      <c r="I484" s="1" t="s">
        <v>1039</v>
      </c>
      <c r="J484" s="2">
        <v>45693.39166666667</v>
      </c>
      <c r="L484" s="1" t="s">
        <v>14</v>
      </c>
      <c r="M484" s="1" t="str">
        <f>_xlfn.XLOOKUP(I484,Parâmetros!A:A,Parâmetros!B:B,_xlfn.XLOOKUP(Q484,Parâmetros!F:F,Parâmetros!G:G,"NOVA MENSAGEM"))</f>
        <v>TAG - ITEM HOTEL</v>
      </c>
      <c r="N484" s="1" t="str">
        <f>_xlfn.XLOOKUP(M484,Parâmetros!K:K,Parâmetros!L:L,"")</f>
        <v/>
      </c>
      <c r="O484" s="1" t="str">
        <f>_xlfn.XLOOKUP(M484,Parâmetros!B:B,Parâmetros!C:C,_xlfn.XLOOKUP(Base!M480,Parâmetros!G:G,Parâmetros!H:H))</f>
        <v>SISTEMA</v>
      </c>
      <c r="P484" s="1" t="str">
        <f>_xlfn.XLOOKUP(I484,Parâmetros!A:A,Parâmetros!D:D,_xlfn.XLOOKUP(Q484,Parâmetros!F:F,Parâmetros!I:I))</f>
        <v>SUPORTE OBT</v>
      </c>
      <c r="Q484" s="1" t="str">
        <f t="shared" si="15"/>
        <v>COLUNA I</v>
      </c>
    </row>
    <row r="485" spans="1:17" x14ac:dyDescent="0.25">
      <c r="A485" s="1" t="str">
        <f>_xlfn.XLOOKUP(D485,'Novo relatório'!B:B,'Novo relatório'!C:C,"RESOLVIDO")</f>
        <v>GOVER</v>
      </c>
      <c r="C485" t="str">
        <f t="shared" si="14"/>
        <v>PENDENTE</v>
      </c>
      <c r="D485" s="1">
        <v>3225191</v>
      </c>
      <c r="E485" s="1" t="s">
        <v>24</v>
      </c>
      <c r="F485" s="2">
        <v>45692.797222222223</v>
      </c>
      <c r="G485" s="1">
        <v>4486399</v>
      </c>
      <c r="H485" s="1" t="s">
        <v>1036</v>
      </c>
      <c r="I485" s="1" t="s">
        <v>1037</v>
      </c>
      <c r="J485" s="2">
        <v>45693.399305555555</v>
      </c>
      <c r="L485" s="1" t="s">
        <v>14</v>
      </c>
      <c r="M485" s="1" t="str">
        <f>_xlfn.XLOOKUP(I485,Parâmetros!A:A,Parâmetros!B:B,_xlfn.XLOOKUP(Q485,Parâmetros!F:F,Parâmetros!G:G,"NOVA MENSAGEM"))</f>
        <v>TAG - ITEM HOTEL</v>
      </c>
      <c r="N485" s="1" t="str">
        <f>_xlfn.XLOOKUP(M485,Parâmetros!K:K,Parâmetros!L:L,"")</f>
        <v/>
      </c>
      <c r="O485" s="1" t="str">
        <f>_xlfn.XLOOKUP(M485,Parâmetros!B:B,Parâmetros!C:C,_xlfn.XLOOKUP(Base!M481,Parâmetros!G:G,Parâmetros!H:H))</f>
        <v>SISTEMA</v>
      </c>
      <c r="P485" s="1" t="str">
        <f>_xlfn.XLOOKUP(I485,Parâmetros!A:A,Parâmetros!D:D,_xlfn.XLOOKUP(Q485,Parâmetros!F:F,Parâmetros!I:I))</f>
        <v>SUPORTE OBT</v>
      </c>
      <c r="Q485" s="1" t="str">
        <f t="shared" si="15"/>
        <v>COLUNA I</v>
      </c>
    </row>
    <row r="486" spans="1:17" x14ac:dyDescent="0.25">
      <c r="A486" s="1" t="str">
        <f>_xlfn.XLOOKUP(D486,'Novo relatório'!B:B,'Novo relatório'!C:C,"RESOLVIDO")</f>
        <v>SABRE</v>
      </c>
      <c r="C486" t="str">
        <f t="shared" si="14"/>
        <v>PENDENTE</v>
      </c>
      <c r="D486" s="1">
        <v>3225198</v>
      </c>
      <c r="E486" s="1" t="s">
        <v>26</v>
      </c>
      <c r="F486" s="2">
        <v>45693.396527777775</v>
      </c>
      <c r="G486" s="1" t="s">
        <v>965</v>
      </c>
      <c r="H486" s="1" t="s">
        <v>965</v>
      </c>
      <c r="I486" s="1" t="s">
        <v>394</v>
      </c>
      <c r="J486" s="2">
        <v>45693.404861111114</v>
      </c>
      <c r="K486" s="2">
        <v>45694.898611111108</v>
      </c>
      <c r="L486" s="1" t="s">
        <v>18</v>
      </c>
      <c r="M486" s="1" t="str">
        <f>_xlfn.XLOOKUP(I486,Parâmetros!A:A,Parâmetros!B:B,_xlfn.XLOOKUP(Q486,Parâmetros!F:F,Parâmetros!G:G,"NOVA MENSAGEM"))</f>
        <v>REMARK - CNPJ</v>
      </c>
      <c r="N486" s="1" t="str">
        <f>_xlfn.XLOOKUP(M486,Parâmetros!K:K,Parâmetros!L:L,"")</f>
        <v/>
      </c>
      <c r="O486" s="1" t="str">
        <f>_xlfn.XLOOKUP(M486,Parâmetros!B:B,Parâmetros!C:C,_xlfn.XLOOKUP(Base!M482,Parâmetros!G:G,Parâmetros!H:H))</f>
        <v>QUALIDADE DOS DADOS</v>
      </c>
      <c r="P486" s="1" t="str">
        <f>_xlfn.XLOOKUP(I486,Parâmetros!A:A,Parâmetros!D:D,_xlfn.XLOOKUP(Q486,Parâmetros!F:F,Parâmetros!I:I))</f>
        <v>OPERAÇÕES / SUPORTE KCS</v>
      </c>
      <c r="Q486" s="1">
        <f t="shared" si="15"/>
        <v>24</v>
      </c>
    </row>
    <row r="487" spans="1:17" x14ac:dyDescent="0.25">
      <c r="A487" s="1" t="str">
        <f>_xlfn.XLOOKUP(D487,'Novo relatório'!B:B,'Novo relatório'!C:C,"RESOLVIDO")</f>
        <v>SABRE</v>
      </c>
      <c r="C487" t="str">
        <f t="shared" si="14"/>
        <v>PENDENTE</v>
      </c>
      <c r="D487" s="1">
        <v>3225353</v>
      </c>
      <c r="E487" s="1" t="s">
        <v>26</v>
      </c>
      <c r="F487" s="2">
        <v>45693.262499999997</v>
      </c>
      <c r="G487" s="1" t="s">
        <v>958</v>
      </c>
      <c r="H487" s="1" t="s">
        <v>958</v>
      </c>
      <c r="I487" s="1" t="s">
        <v>865</v>
      </c>
      <c r="J487" s="2">
        <v>45693.429166666669</v>
      </c>
      <c r="K487" s="2">
        <v>45694.933333333334</v>
      </c>
      <c r="L487" s="1" t="s">
        <v>18</v>
      </c>
      <c r="M487" s="1" t="str">
        <f>_xlfn.XLOOKUP(I487,Parâmetros!A:A,Parâmetros!B:B,_xlfn.XLOOKUP(Q487,Parâmetros!F:F,Parâmetros!G:G,"NOVA MENSAGEM"))</f>
        <v>REMARK - CNPJ</v>
      </c>
      <c r="N487" s="1" t="str">
        <f>_xlfn.XLOOKUP(M487,Parâmetros!K:K,Parâmetros!L:L,"")</f>
        <v/>
      </c>
      <c r="O487" s="1" t="str">
        <f>_xlfn.XLOOKUP(M487,Parâmetros!B:B,Parâmetros!C:C,_xlfn.XLOOKUP(Base!M483,Parâmetros!G:G,Parâmetros!H:H))</f>
        <v>QUALIDADE DOS DADOS</v>
      </c>
      <c r="P487" s="1" t="str">
        <f>_xlfn.XLOOKUP(I487,Parâmetros!A:A,Parâmetros!D:D,_xlfn.XLOOKUP(Q487,Parâmetros!F:F,Parâmetros!I:I))</f>
        <v>OPERAÇÕES / SUPORTE KCS</v>
      </c>
      <c r="Q487" s="1">
        <f t="shared" si="15"/>
        <v>24</v>
      </c>
    </row>
    <row r="488" spans="1:17" x14ac:dyDescent="0.25">
      <c r="A488" s="1" t="str">
        <f>_xlfn.XLOOKUP(D488,'Novo relatório'!B:B,'Novo relatório'!C:C,"RESOLVIDO")</f>
        <v>SABRE</v>
      </c>
      <c r="C488" t="str">
        <f t="shared" si="14"/>
        <v>PENDENTE</v>
      </c>
      <c r="D488" s="1">
        <v>3225354</v>
      </c>
      <c r="E488" s="1" t="s">
        <v>26</v>
      </c>
      <c r="F488" s="2">
        <v>45693.262499999997</v>
      </c>
      <c r="G488" s="1" t="s">
        <v>959</v>
      </c>
      <c r="H488" s="1" t="s">
        <v>958</v>
      </c>
      <c r="I488" s="1" t="s">
        <v>867</v>
      </c>
      <c r="J488" s="2">
        <v>45693.429166666669</v>
      </c>
      <c r="K488" s="2">
        <v>45694.933333333334</v>
      </c>
      <c r="L488" s="1" t="s">
        <v>18</v>
      </c>
      <c r="M488" s="1" t="str">
        <f>_xlfn.XLOOKUP(I488,Parâmetros!A:A,Parâmetros!B:B,_xlfn.XLOOKUP(Q488,Parâmetros!F:F,Parâmetros!G:G,"NOVA MENSAGEM"))</f>
        <v>REMARK - CNPJ</v>
      </c>
      <c r="N488" s="1" t="str">
        <f>_xlfn.XLOOKUP(M488,Parâmetros!K:K,Parâmetros!L:L,"")</f>
        <v/>
      </c>
      <c r="O488" s="1" t="e">
        <f>_xlfn.XLOOKUP(M488,Parâmetros!B:B,Parâmetros!C:C,_xlfn.XLOOKUP(Base!M484,Parâmetros!G:G,Parâmetros!H:H))</f>
        <v>#N/A</v>
      </c>
      <c r="P488" s="1" t="str">
        <f>_xlfn.XLOOKUP(I488,Parâmetros!A:A,Parâmetros!D:D,_xlfn.XLOOKUP(Q488,Parâmetros!F:F,Parâmetros!I:I))</f>
        <v>OPERAÇÕES / SUPORTE KCS</v>
      </c>
      <c r="Q488" s="1">
        <f t="shared" si="15"/>
        <v>24</v>
      </c>
    </row>
    <row r="489" spans="1:17" x14ac:dyDescent="0.25">
      <c r="A489" s="1" t="str">
        <f>_xlfn.XLOOKUP(D489,'Novo relatório'!B:B,'Novo relatório'!C:C,"RESOLVIDO")</f>
        <v>GOVER</v>
      </c>
      <c r="C489" t="str">
        <f t="shared" si="14"/>
        <v>PENDENTE</v>
      </c>
      <c r="D489" s="1">
        <v>3225511</v>
      </c>
      <c r="E489" s="1" t="s">
        <v>24</v>
      </c>
      <c r="F489" s="2">
        <v>45693.427777777775</v>
      </c>
      <c r="G489" s="1">
        <v>4486586</v>
      </c>
      <c r="H489" s="1">
        <v>4486586</v>
      </c>
      <c r="I489" s="1" t="s">
        <v>77</v>
      </c>
      <c r="J489" s="2">
        <v>45693.441666666666</v>
      </c>
      <c r="K489" s="2">
        <v>45699.412499999999</v>
      </c>
      <c r="L489" s="1" t="s">
        <v>14</v>
      </c>
      <c r="M489" s="1" t="str">
        <f>_xlfn.XLOOKUP(I489,Parâmetros!A:A,Parâmetros!B:B,_xlfn.XLOOKUP(Q489,Parâmetros!F:F,Parâmetros!G:G,"NOVA MENSAGEM"))</f>
        <v>RLOC NÃO INFORMADO</v>
      </c>
      <c r="N489" s="1" t="str">
        <f>_xlfn.XLOOKUP(M489,Parâmetros!K:K,Parâmetros!L:L,"")</f>
        <v>RLOC NÃO PREENCHIDO NA RESERVA</v>
      </c>
      <c r="O489" s="1" t="str">
        <f>_xlfn.XLOOKUP(M489,Parâmetros!B:B,Parâmetros!C:C,_xlfn.XLOOKUP(Base!M485,Parâmetros!G:G,Parâmetros!H:H))</f>
        <v>QUALIDADE DOS DADOS</v>
      </c>
      <c r="P489" s="1" t="str">
        <f>_xlfn.XLOOKUP(I489,Parâmetros!A:A,Parâmetros!D:D,_xlfn.XLOOKUP(Q489,Parâmetros!F:F,Parâmetros!I:I))</f>
        <v>SUPORTE OBT</v>
      </c>
      <c r="Q489" s="1" t="str">
        <f t="shared" si="15"/>
        <v>COLUNA I</v>
      </c>
    </row>
    <row r="490" spans="1:17" x14ac:dyDescent="0.25">
      <c r="A490" s="1" t="str">
        <f>_xlfn.XLOOKUP(D490,'Novo relatório'!B:B,'Novo relatório'!C:C,"RESOLVIDO")</f>
        <v>SABRE</v>
      </c>
      <c r="C490" t="str">
        <f t="shared" si="14"/>
        <v>PENDENTE</v>
      </c>
      <c r="D490" s="1">
        <v>3226268</v>
      </c>
      <c r="E490" s="1" t="s">
        <v>26</v>
      </c>
      <c r="F490" s="2">
        <v>45693.349305555559</v>
      </c>
      <c r="G490" s="1" t="s">
        <v>974</v>
      </c>
      <c r="H490" s="1" t="s">
        <v>974</v>
      </c>
      <c r="I490" s="1" t="s">
        <v>692</v>
      </c>
      <c r="J490" s="2">
        <v>45693.543749999997</v>
      </c>
      <c r="K490" s="2">
        <v>45694.936111111114</v>
      </c>
      <c r="L490" s="1" t="s">
        <v>18</v>
      </c>
      <c r="M490" s="1" t="str">
        <f>_xlfn.XLOOKUP(I490,Parâmetros!A:A,Parâmetros!B:B,_xlfn.XLOOKUP(Q490,Parâmetros!F:F,Parâmetros!G:G,"NOVA MENSAGEM"))</f>
        <v>REMARK - CNPJ</v>
      </c>
      <c r="N490" s="1" t="str">
        <f>_xlfn.XLOOKUP(M490,Parâmetros!K:K,Parâmetros!L:L,"")</f>
        <v/>
      </c>
      <c r="O490" s="1" t="str">
        <f>_xlfn.XLOOKUP(M490,Parâmetros!B:B,Parâmetros!C:C,_xlfn.XLOOKUP(Base!M486,Parâmetros!G:G,Parâmetros!H:H))</f>
        <v>QUALIDADE DOS DADOS</v>
      </c>
      <c r="P490" s="1" t="str">
        <f>_xlfn.XLOOKUP(I490,Parâmetros!A:A,Parâmetros!D:D,_xlfn.XLOOKUP(Q490,Parâmetros!F:F,Parâmetros!I:I))</f>
        <v>OPERAÇÕES / SUPORTE KCS</v>
      </c>
      <c r="Q490" s="1">
        <f t="shared" si="15"/>
        <v>24</v>
      </c>
    </row>
    <row r="491" spans="1:17" x14ac:dyDescent="0.25">
      <c r="A491" s="1" t="str">
        <f>_xlfn.XLOOKUP(D491,'Novo relatório'!B:B,'Novo relatório'!C:C,"RESOLVIDO")</f>
        <v>SABRE</v>
      </c>
      <c r="C491" t="str">
        <f t="shared" si="14"/>
        <v>PENDENTE</v>
      </c>
      <c r="D491" s="1">
        <v>3226445</v>
      </c>
      <c r="E491" s="1" t="s">
        <v>26</v>
      </c>
      <c r="F491" s="2">
        <v>45693.396527777775</v>
      </c>
      <c r="G491" s="1" t="s">
        <v>1021</v>
      </c>
      <c r="H491" s="1" t="s">
        <v>1021</v>
      </c>
      <c r="I491" s="1" t="s">
        <v>620</v>
      </c>
      <c r="J491" s="2">
        <v>45693.588194444441</v>
      </c>
      <c r="K491" s="2">
        <v>45694.899305555555</v>
      </c>
      <c r="L491" s="1" t="s">
        <v>18</v>
      </c>
      <c r="M491" s="1" t="str">
        <f>_xlfn.XLOOKUP(I491,Parâmetros!A:A,Parâmetros!B:B,_xlfn.XLOOKUP(Q491,Parâmetros!F:F,Parâmetros!G:G,"NOVA MENSAGEM"))</f>
        <v>CÓD. CLIENTE DIVERGENTE</v>
      </c>
      <c r="N491" s="1" t="str">
        <f>_xlfn.XLOOKUP(M491,Parâmetros!K:K,Parâmetros!L:L,"")</f>
        <v>CÓDIGO DIFERENTE DO CADASTRADO NO BENNER (CLIENTE X GRUPO)</v>
      </c>
      <c r="O491" s="1" t="str">
        <f>_xlfn.XLOOKUP(M491,Parâmetros!B:B,Parâmetros!C:C,_xlfn.XLOOKUP(Base!M487,Parâmetros!G:G,Parâmetros!H:H))</f>
        <v>QUALIDADE DOS DADOS</v>
      </c>
      <c r="P491" s="1" t="str">
        <f>_xlfn.XLOOKUP(I491,Parâmetros!A:A,Parâmetros!D:D,_xlfn.XLOOKUP(Q491,Parâmetros!F:F,Parâmetros!I:I))</f>
        <v>SUPORTE OBT</v>
      </c>
      <c r="Q491" s="1">
        <f t="shared" si="15"/>
        <v>1</v>
      </c>
    </row>
    <row r="492" spans="1:17" x14ac:dyDescent="0.25">
      <c r="A492" s="1" t="str">
        <f>_xlfn.XLOOKUP(D492,'Novo relatório'!B:B,'Novo relatório'!C:C,"RESOLVIDO")</f>
        <v>SABRE</v>
      </c>
      <c r="C492" t="str">
        <f t="shared" si="14"/>
        <v>PENDENTE</v>
      </c>
      <c r="D492" s="1">
        <v>3226448</v>
      </c>
      <c r="E492" s="1" t="s">
        <v>26</v>
      </c>
      <c r="F492" s="2">
        <v>45693.396527777775</v>
      </c>
      <c r="G492" s="1" t="s">
        <v>956</v>
      </c>
      <c r="H492" s="1" t="s">
        <v>956</v>
      </c>
      <c r="I492" s="1" t="s">
        <v>410</v>
      </c>
      <c r="J492" s="2">
        <v>45693.588888888888</v>
      </c>
      <c r="K492" s="2">
        <v>45694.9</v>
      </c>
      <c r="L492" s="1" t="s">
        <v>18</v>
      </c>
      <c r="M492" s="1" t="str">
        <f>_xlfn.XLOOKUP(I492,Parâmetros!A:A,Parâmetros!B:B,_xlfn.XLOOKUP(Q492,Parâmetros!F:F,Parâmetros!G:G,"NOVA MENSAGEM"))</f>
        <v>CÓD. CLIENTE DIVERGENTE</v>
      </c>
      <c r="N492" s="1" t="str">
        <f>_xlfn.XLOOKUP(M492,Parâmetros!K:K,Parâmetros!L:L,"")</f>
        <v>CÓDIGO DIFERENTE DO CADASTRADO NO BENNER (CLIENTE X GRUPO)</v>
      </c>
      <c r="O492" s="1" t="str">
        <f>_xlfn.XLOOKUP(M492,Parâmetros!B:B,Parâmetros!C:C,_xlfn.XLOOKUP(Base!M488,Parâmetros!G:G,Parâmetros!H:H))</f>
        <v>QUALIDADE DOS DADOS</v>
      </c>
      <c r="P492" s="1" t="str">
        <f>_xlfn.XLOOKUP(I492,Parâmetros!A:A,Parâmetros!D:D,_xlfn.XLOOKUP(Q492,Parâmetros!F:F,Parâmetros!I:I))</f>
        <v>SUPORTE OBT</v>
      </c>
      <c r="Q492" s="1">
        <f t="shared" si="15"/>
        <v>1</v>
      </c>
    </row>
    <row r="493" spans="1:17" x14ac:dyDescent="0.25">
      <c r="A493" s="1" t="str">
        <f>_xlfn.XLOOKUP(D493,'Novo relatório'!B:B,'Novo relatório'!C:C,"RESOLVIDO")</f>
        <v>SABRE</v>
      </c>
      <c r="C493" t="str">
        <f t="shared" si="14"/>
        <v>PENDENTE</v>
      </c>
      <c r="D493" s="1">
        <v>3226449</v>
      </c>
      <c r="E493" s="1" t="s">
        <v>26</v>
      </c>
      <c r="F493" s="2">
        <v>45693.53402777778</v>
      </c>
      <c r="G493" s="1" t="s">
        <v>975</v>
      </c>
      <c r="H493" s="1" t="s">
        <v>975</v>
      </c>
      <c r="I493" s="1" t="s">
        <v>692</v>
      </c>
      <c r="J493" s="2">
        <v>45693.589583333334</v>
      </c>
      <c r="K493" s="2">
        <v>45694.9375</v>
      </c>
      <c r="L493" s="1" t="s">
        <v>18</v>
      </c>
      <c r="M493" s="1" t="str">
        <f>_xlfn.XLOOKUP(I493,Parâmetros!A:A,Parâmetros!B:B,_xlfn.XLOOKUP(Q493,Parâmetros!F:F,Parâmetros!G:G,"NOVA MENSAGEM"))</f>
        <v>REMARK - CNPJ</v>
      </c>
      <c r="N493" s="1" t="str">
        <f>_xlfn.XLOOKUP(M493,Parâmetros!K:K,Parâmetros!L:L,"")</f>
        <v/>
      </c>
      <c r="O493" s="1" t="e">
        <f>_xlfn.XLOOKUP(M493,Parâmetros!B:B,Parâmetros!C:C,_xlfn.XLOOKUP(Base!M489,Parâmetros!G:G,Parâmetros!H:H))</f>
        <v>#N/A</v>
      </c>
      <c r="P493" s="1" t="str">
        <f>_xlfn.XLOOKUP(I493,Parâmetros!A:A,Parâmetros!D:D,_xlfn.XLOOKUP(Q493,Parâmetros!F:F,Parâmetros!I:I))</f>
        <v>OPERAÇÕES / SUPORTE KCS</v>
      </c>
      <c r="Q493" s="1">
        <f t="shared" si="15"/>
        <v>24</v>
      </c>
    </row>
    <row r="494" spans="1:17" x14ac:dyDescent="0.25">
      <c r="A494" s="1" t="str">
        <f>_xlfn.XLOOKUP(D494,'Novo relatório'!B:B,'Novo relatório'!C:C,"RESOLVIDO")</f>
        <v>SABRE</v>
      </c>
      <c r="C494" t="str">
        <f t="shared" si="14"/>
        <v>PENDENTE</v>
      </c>
      <c r="D494" s="1">
        <v>3226451</v>
      </c>
      <c r="E494" s="1" t="s">
        <v>26</v>
      </c>
      <c r="F494" s="2">
        <v>45693.396527777775</v>
      </c>
      <c r="G494" s="1" t="s">
        <v>1020</v>
      </c>
      <c r="H494" s="1" t="s">
        <v>1020</v>
      </c>
      <c r="I494" s="1" t="s">
        <v>620</v>
      </c>
      <c r="J494" s="2">
        <v>45693.589583333334</v>
      </c>
      <c r="K494" s="2">
        <v>45694.900694444441</v>
      </c>
      <c r="L494" s="1" t="s">
        <v>18</v>
      </c>
      <c r="M494" s="1" t="str">
        <f>_xlfn.XLOOKUP(I494,Parâmetros!A:A,Parâmetros!B:B,_xlfn.XLOOKUP(Q494,Parâmetros!F:F,Parâmetros!G:G,"NOVA MENSAGEM"))</f>
        <v>CÓD. CLIENTE DIVERGENTE</v>
      </c>
      <c r="N494" s="1" t="str">
        <f>_xlfn.XLOOKUP(M494,Parâmetros!K:K,Parâmetros!L:L,"")</f>
        <v>CÓDIGO DIFERENTE DO CADASTRADO NO BENNER (CLIENTE X GRUPO)</v>
      </c>
      <c r="O494" s="1" t="str">
        <f>_xlfn.XLOOKUP(M494,Parâmetros!B:B,Parâmetros!C:C,_xlfn.XLOOKUP(Base!M490,Parâmetros!G:G,Parâmetros!H:H))</f>
        <v>QUALIDADE DOS DADOS</v>
      </c>
      <c r="P494" s="1" t="str">
        <f>_xlfn.XLOOKUP(I494,Parâmetros!A:A,Parâmetros!D:D,_xlfn.XLOOKUP(Q494,Parâmetros!F:F,Parâmetros!I:I))</f>
        <v>SUPORTE OBT</v>
      </c>
      <c r="Q494" s="1">
        <f t="shared" si="15"/>
        <v>1</v>
      </c>
    </row>
    <row r="495" spans="1:17" x14ac:dyDescent="0.25">
      <c r="A495" s="1" t="str">
        <f>_xlfn.XLOOKUP(D495,'Novo relatório'!B:B,'Novo relatório'!C:C,"RESOLVIDO")</f>
        <v>SABRE</v>
      </c>
      <c r="C495" t="str">
        <f t="shared" si="14"/>
        <v>PENDENTE</v>
      </c>
      <c r="D495" s="1">
        <v>3226461</v>
      </c>
      <c r="E495" s="1" t="s">
        <v>26</v>
      </c>
      <c r="F495" s="2">
        <v>45693.443055555559</v>
      </c>
      <c r="G495" s="1" t="s">
        <v>976</v>
      </c>
      <c r="H495" s="1" t="s">
        <v>976</v>
      </c>
      <c r="I495" s="1" t="s">
        <v>404</v>
      </c>
      <c r="J495" s="2">
        <v>45693.59097222222</v>
      </c>
      <c r="K495" s="2">
        <v>45694.902083333334</v>
      </c>
      <c r="L495" s="1" t="s">
        <v>18</v>
      </c>
      <c r="M495" s="1" t="str">
        <f>_xlfn.XLOOKUP(I495,Parâmetros!A:A,Parâmetros!B:B,_xlfn.XLOOKUP(Q495,Parâmetros!F:F,Parâmetros!G:G,"NOVA MENSAGEM"))</f>
        <v>CÓD. CLIENTE DIVERGENTE</v>
      </c>
      <c r="N495" s="1" t="str">
        <f>_xlfn.XLOOKUP(M495,Parâmetros!K:K,Parâmetros!L:L,"")</f>
        <v>CÓDIGO DIFERENTE DO CADASTRADO NO BENNER (CLIENTE X GRUPO)</v>
      </c>
      <c r="O495" s="1" t="str">
        <f>_xlfn.XLOOKUP(M495,Parâmetros!B:B,Parâmetros!C:C,_xlfn.XLOOKUP(Base!M491,Parâmetros!G:G,Parâmetros!H:H))</f>
        <v>QUALIDADE DOS DADOS</v>
      </c>
      <c r="P495" s="1" t="str">
        <f>_xlfn.XLOOKUP(I495,Parâmetros!A:A,Parâmetros!D:D,_xlfn.XLOOKUP(Q495,Parâmetros!F:F,Parâmetros!I:I))</f>
        <v>SUPORTE OBT</v>
      </c>
      <c r="Q495" s="1">
        <f t="shared" si="15"/>
        <v>1</v>
      </c>
    </row>
    <row r="496" spans="1:17" x14ac:dyDescent="0.25">
      <c r="A496" s="1" t="str">
        <f>_xlfn.XLOOKUP(D496,'Novo relatório'!B:B,'Novo relatório'!C:C,"RESOLVIDO")</f>
        <v>SABRE</v>
      </c>
      <c r="C496" t="str">
        <f t="shared" si="14"/>
        <v>PENDENTE</v>
      </c>
      <c r="D496" s="1">
        <v>3227033</v>
      </c>
      <c r="E496" s="1" t="s">
        <v>26</v>
      </c>
      <c r="F496" s="2">
        <v>45693.563194444447</v>
      </c>
      <c r="G496" s="1" t="s">
        <v>950</v>
      </c>
      <c r="H496" s="1" t="s">
        <v>950</v>
      </c>
      <c r="I496" s="1" t="s">
        <v>394</v>
      </c>
      <c r="J496" s="2">
        <v>45693.713194444441</v>
      </c>
      <c r="K496" s="2">
        <v>45694.958333333336</v>
      </c>
      <c r="L496" s="1" t="s">
        <v>18</v>
      </c>
      <c r="M496" s="1" t="str">
        <f>_xlfn.XLOOKUP(I496,Parâmetros!A:A,Parâmetros!B:B,_xlfn.XLOOKUP(Q496,Parâmetros!F:F,Parâmetros!G:G,"NOVA MENSAGEM"))</f>
        <v>REMARK - CNPJ</v>
      </c>
      <c r="N496" s="1" t="str">
        <f>_xlfn.XLOOKUP(M496,Parâmetros!K:K,Parâmetros!L:L,"")</f>
        <v/>
      </c>
      <c r="O496" s="1" t="str">
        <f>_xlfn.XLOOKUP(M496,Parâmetros!B:B,Parâmetros!C:C,_xlfn.XLOOKUP(Base!M492,Parâmetros!G:G,Parâmetros!H:H))</f>
        <v>QUALIDADE DOS DADOS</v>
      </c>
      <c r="P496" s="1" t="str">
        <f>_xlfn.XLOOKUP(I496,Parâmetros!A:A,Parâmetros!D:D,_xlfn.XLOOKUP(Q496,Parâmetros!F:F,Parâmetros!I:I))</f>
        <v>OPERAÇÕES / SUPORTE KCS</v>
      </c>
      <c r="Q496" s="1">
        <f t="shared" si="15"/>
        <v>24</v>
      </c>
    </row>
    <row r="497" spans="1:17" x14ac:dyDescent="0.25">
      <c r="A497" s="1" t="str">
        <f>_xlfn.XLOOKUP(D497,'Novo relatório'!B:B,'Novo relatório'!C:C,"RESOLVIDO")</f>
        <v>SABRE</v>
      </c>
      <c r="C497" t="str">
        <f t="shared" si="14"/>
        <v>PENDENTE</v>
      </c>
      <c r="D497" s="1">
        <v>3227037</v>
      </c>
      <c r="E497" s="1" t="s">
        <v>26</v>
      </c>
      <c r="F497" s="2">
        <v>45693.79791666667</v>
      </c>
      <c r="G497" s="1" t="s">
        <v>1006</v>
      </c>
      <c r="H497" s="1" t="s">
        <v>1006</v>
      </c>
      <c r="I497" s="1" t="s">
        <v>394</v>
      </c>
      <c r="J497" s="2">
        <v>45693.713194444441</v>
      </c>
      <c r="K497" s="2">
        <v>45694.905555555553</v>
      </c>
      <c r="L497" s="1" t="s">
        <v>18</v>
      </c>
      <c r="M497" s="1" t="str">
        <f>_xlfn.XLOOKUP(I497,Parâmetros!A:A,Parâmetros!B:B,_xlfn.XLOOKUP(Q497,Parâmetros!F:F,Parâmetros!G:G,"NOVA MENSAGEM"))</f>
        <v>REMARK - CNPJ</v>
      </c>
      <c r="N497" s="1" t="str">
        <f>_xlfn.XLOOKUP(M497,Parâmetros!K:K,Parâmetros!L:L,"")</f>
        <v/>
      </c>
      <c r="O497" s="1" t="str">
        <f>_xlfn.XLOOKUP(M497,Parâmetros!B:B,Parâmetros!C:C,_xlfn.XLOOKUP(Base!M493,Parâmetros!G:G,Parâmetros!H:H))</f>
        <v>QUALIDADE DOS DADOS</v>
      </c>
      <c r="P497" s="1" t="str">
        <f>_xlfn.XLOOKUP(I497,Parâmetros!A:A,Parâmetros!D:D,_xlfn.XLOOKUP(Q497,Parâmetros!F:F,Parâmetros!I:I))</f>
        <v>OPERAÇÕES / SUPORTE KCS</v>
      </c>
      <c r="Q497" s="1">
        <f t="shared" si="15"/>
        <v>24</v>
      </c>
    </row>
    <row r="498" spans="1:17" x14ac:dyDescent="0.25">
      <c r="A498" s="1" t="str">
        <f>_xlfn.XLOOKUP(D498,'Novo relatório'!B:B,'Novo relatório'!C:C,"RESOLVIDO")</f>
        <v>SABRE</v>
      </c>
      <c r="C498" t="str">
        <f t="shared" si="14"/>
        <v>PENDENTE</v>
      </c>
      <c r="D498" s="1">
        <v>3227490</v>
      </c>
      <c r="E498" s="1" t="s">
        <v>26</v>
      </c>
      <c r="F498" s="2">
        <v>45693.602083333331</v>
      </c>
      <c r="G498" s="1" t="s">
        <v>977</v>
      </c>
      <c r="H498" s="1" t="s">
        <v>977</v>
      </c>
      <c r="I498" s="1" t="s">
        <v>865</v>
      </c>
      <c r="J498" s="2">
        <v>45693.754166666666</v>
      </c>
      <c r="K498" s="2">
        <v>45694.938888888886</v>
      </c>
      <c r="L498" s="1" t="s">
        <v>18</v>
      </c>
      <c r="M498" s="1" t="str">
        <f>_xlfn.XLOOKUP(I498,Parâmetros!A:A,Parâmetros!B:B,_xlfn.XLOOKUP(Q498,Parâmetros!F:F,Parâmetros!G:G,"NOVA MENSAGEM"))</f>
        <v>REMARK - CNPJ</v>
      </c>
      <c r="N498" s="1" t="str">
        <f>_xlfn.XLOOKUP(M498,Parâmetros!K:K,Parâmetros!L:L,"")</f>
        <v/>
      </c>
      <c r="O498" s="1" t="str">
        <f>_xlfn.XLOOKUP(M498,Parâmetros!B:B,Parâmetros!C:C,_xlfn.XLOOKUP(Base!M494,Parâmetros!G:G,Parâmetros!H:H))</f>
        <v>QUALIDADE DOS DADOS</v>
      </c>
      <c r="P498" s="1" t="str">
        <f>_xlfn.XLOOKUP(I498,Parâmetros!A:A,Parâmetros!D:D,_xlfn.XLOOKUP(Q498,Parâmetros!F:F,Parâmetros!I:I))</f>
        <v>OPERAÇÕES / SUPORTE KCS</v>
      </c>
      <c r="Q498" s="1">
        <f t="shared" si="15"/>
        <v>24</v>
      </c>
    </row>
    <row r="499" spans="1:17" x14ac:dyDescent="0.25">
      <c r="A499" s="1" t="str">
        <f>_xlfn.XLOOKUP(D499,'Novo relatório'!B:B,'Novo relatório'!C:C,"RESOLVIDO")</f>
        <v>SABRE</v>
      </c>
      <c r="C499" t="str">
        <f t="shared" si="14"/>
        <v>PENDENTE</v>
      </c>
      <c r="D499" s="1">
        <v>3227601</v>
      </c>
      <c r="E499" s="1" t="s">
        <v>26</v>
      </c>
      <c r="F499" s="2">
        <v>45695.234722222223</v>
      </c>
      <c r="G499" s="1" t="s">
        <v>995</v>
      </c>
      <c r="H499" s="1" t="s">
        <v>996</v>
      </c>
      <c r="I499" s="1" t="s">
        <v>757</v>
      </c>
      <c r="J499" s="2">
        <v>45693.759722222225</v>
      </c>
      <c r="K499" s="2">
        <v>45695.368055555555</v>
      </c>
      <c r="L499" s="1" t="s">
        <v>18</v>
      </c>
      <c r="M499" s="1" t="str">
        <f>_xlfn.XLOOKUP(I499,Parâmetros!A:A,Parâmetros!B:B,_xlfn.XLOOKUP(Q499,Parâmetros!F:F,Parâmetros!G:G,"NOVA MENSAGEM"))</f>
        <v>CÓD. CLIENTE DIVERGENTE</v>
      </c>
      <c r="N499" s="1" t="str">
        <f>_xlfn.XLOOKUP(M499,Parâmetros!K:K,Parâmetros!L:L,"")</f>
        <v>CÓDIGO DIFERENTE DO CADASTRADO NO BENNER (CLIENTE X GRUPO)</v>
      </c>
      <c r="O499" s="1" t="str">
        <f>_xlfn.XLOOKUP(M499,Parâmetros!B:B,Parâmetros!C:C,_xlfn.XLOOKUP(Base!M495,Parâmetros!G:G,Parâmetros!H:H))</f>
        <v>QUALIDADE DOS DADOS</v>
      </c>
      <c r="P499" s="1" t="str">
        <f>_xlfn.XLOOKUP(I499,Parâmetros!A:A,Parâmetros!D:D,_xlfn.XLOOKUP(Q499,Parâmetros!F:F,Parâmetros!I:I))</f>
        <v>SUPORTE OBT</v>
      </c>
      <c r="Q499" s="1">
        <f t="shared" si="15"/>
        <v>1</v>
      </c>
    </row>
    <row r="500" spans="1:17" x14ac:dyDescent="0.25">
      <c r="A500" s="1" t="str">
        <f>_xlfn.XLOOKUP(D500,'Novo relatório'!B:B,'Novo relatório'!C:C,"RESOLVIDO")</f>
        <v>RESOLVIDO</v>
      </c>
      <c r="C500" t="str">
        <f t="shared" si="14"/>
        <v>RESOLVIDO</v>
      </c>
      <c r="D500" s="1">
        <v>3227712</v>
      </c>
      <c r="E500" s="1" t="s">
        <v>26</v>
      </c>
      <c r="F500" s="2">
        <v>45697.323611111111</v>
      </c>
      <c r="G500" s="1" t="s">
        <v>990</v>
      </c>
      <c r="H500" s="1" t="s">
        <v>990</v>
      </c>
      <c r="I500" s="1" t="s">
        <v>588</v>
      </c>
      <c r="J500" s="2">
        <v>45693.768055555556</v>
      </c>
      <c r="K500" s="2">
        <v>45697.45</v>
      </c>
      <c r="L500" s="1" t="s">
        <v>14</v>
      </c>
      <c r="M500" s="1" t="str">
        <f>_xlfn.XLOOKUP(I500,Parâmetros!A:A,Parâmetros!B:B,_xlfn.XLOOKUP(Q500,Parâmetros!F:F,Parâmetros!G:G,"NOVA MENSAGEM"))</f>
        <v>ERRO NO XML</v>
      </c>
      <c r="N500" s="1" t="str">
        <f>_xlfn.XLOOKUP(M500,Parâmetros!K:K,Parâmetros!L:L,"")</f>
        <v/>
      </c>
      <c r="O500" s="1" t="str">
        <f>_xlfn.XLOOKUP(M500,Parâmetros!B:B,Parâmetros!C:C,_xlfn.XLOOKUP(Base!M496,Parâmetros!G:G,Parâmetros!H:H))</f>
        <v>SISTEMA</v>
      </c>
      <c r="P500" s="1" t="str">
        <f>_xlfn.XLOOKUP(I500,Parâmetros!A:A,Parâmetros!D:D,_xlfn.XLOOKUP(Q500,Parâmetros!F:F,Parâmetros!I:I))</f>
        <v>SUPORTE OBT</v>
      </c>
      <c r="Q500" s="1" t="str">
        <f t="shared" si="15"/>
        <v>COLUNA I</v>
      </c>
    </row>
    <row r="501" spans="1:17" x14ac:dyDescent="0.25">
      <c r="A501" s="1" t="str">
        <f>_xlfn.XLOOKUP(D501,'Novo relatório'!B:B,'Novo relatório'!C:C,"RESOLVIDO")</f>
        <v>SABRE</v>
      </c>
      <c r="C501" t="str">
        <f t="shared" si="14"/>
        <v>PENDENTE</v>
      </c>
      <c r="D501" s="1">
        <v>3227759</v>
      </c>
      <c r="E501" s="1" t="s">
        <v>26</v>
      </c>
      <c r="F501" s="2">
        <v>45693.79791666667</v>
      </c>
      <c r="G501" s="1" t="s">
        <v>1005</v>
      </c>
      <c r="H501" s="1" t="s">
        <v>1005</v>
      </c>
      <c r="I501" s="1" t="s">
        <v>394</v>
      </c>
      <c r="J501" s="2">
        <v>45693.786111111112</v>
      </c>
      <c r="K501" s="2">
        <v>45694.905555555553</v>
      </c>
      <c r="L501" s="1" t="s">
        <v>18</v>
      </c>
      <c r="M501" s="1" t="str">
        <f>_xlfn.XLOOKUP(I501,Parâmetros!A:A,Parâmetros!B:B,_xlfn.XLOOKUP(Q501,Parâmetros!F:F,Parâmetros!G:G,"NOVA MENSAGEM"))</f>
        <v>REMARK - CNPJ</v>
      </c>
      <c r="N501" s="1" t="str">
        <f>_xlfn.XLOOKUP(M501,Parâmetros!K:K,Parâmetros!L:L,"")</f>
        <v/>
      </c>
      <c r="O501" s="1" t="str">
        <f>_xlfn.XLOOKUP(M501,Parâmetros!B:B,Parâmetros!C:C,_xlfn.XLOOKUP(Base!M497,Parâmetros!G:G,Parâmetros!H:H))</f>
        <v>QUALIDADE DOS DADOS</v>
      </c>
      <c r="P501" s="1" t="str">
        <f>_xlfn.XLOOKUP(I501,Parâmetros!A:A,Parâmetros!D:D,_xlfn.XLOOKUP(Q501,Parâmetros!F:F,Parâmetros!I:I))</f>
        <v>OPERAÇÕES / SUPORTE KCS</v>
      </c>
      <c r="Q501" s="1">
        <f t="shared" si="15"/>
        <v>24</v>
      </c>
    </row>
    <row r="502" spans="1:17" x14ac:dyDescent="0.25">
      <c r="A502" s="1" t="str">
        <f>_xlfn.XLOOKUP(D502,'Novo relatório'!B:B,'Novo relatório'!C:C,"RESOLVIDO")</f>
        <v>SABRE</v>
      </c>
      <c r="C502" t="str">
        <f t="shared" si="14"/>
        <v>PENDENTE</v>
      </c>
      <c r="D502" s="1">
        <v>3227810</v>
      </c>
      <c r="E502" s="1" t="s">
        <v>26</v>
      </c>
      <c r="F502" s="2">
        <v>45693.621527777781</v>
      </c>
      <c r="G502" s="1" t="s">
        <v>994</v>
      </c>
      <c r="H502" s="1" t="s">
        <v>994</v>
      </c>
      <c r="I502" s="1" t="s">
        <v>692</v>
      </c>
      <c r="J502" s="2">
        <v>45693.824305555558</v>
      </c>
      <c r="K502" s="2">
        <v>45694.939583333333</v>
      </c>
      <c r="L502" s="1" t="s">
        <v>18</v>
      </c>
      <c r="M502" s="1" t="str">
        <f>_xlfn.XLOOKUP(I502,Parâmetros!A:A,Parâmetros!B:B,_xlfn.XLOOKUP(Q502,Parâmetros!F:F,Parâmetros!G:G,"NOVA MENSAGEM"))</f>
        <v>REMARK - CNPJ</v>
      </c>
      <c r="N502" s="1" t="str">
        <f>_xlfn.XLOOKUP(M502,Parâmetros!K:K,Parâmetros!L:L,"")</f>
        <v/>
      </c>
      <c r="O502" s="1" t="str">
        <f>_xlfn.XLOOKUP(M502,Parâmetros!B:B,Parâmetros!C:C,_xlfn.XLOOKUP(Base!M498,Parâmetros!G:G,Parâmetros!H:H))</f>
        <v>QUALIDADE DOS DADOS</v>
      </c>
      <c r="P502" s="1" t="str">
        <f>_xlfn.XLOOKUP(I502,Parâmetros!A:A,Parâmetros!D:D,_xlfn.XLOOKUP(Q502,Parâmetros!F:F,Parâmetros!I:I))</f>
        <v>OPERAÇÕES / SUPORTE KCS</v>
      </c>
      <c r="Q502" s="1">
        <f t="shared" si="15"/>
        <v>24</v>
      </c>
    </row>
    <row r="503" spans="1:17" x14ac:dyDescent="0.25">
      <c r="A503" s="1" t="str">
        <f>_xlfn.XLOOKUP(D503,'Novo relatório'!B:B,'Novo relatório'!C:C,"RESOLVIDO")</f>
        <v>SABRE</v>
      </c>
      <c r="C503" t="str">
        <f t="shared" si="14"/>
        <v>PENDENTE</v>
      </c>
      <c r="D503" s="1">
        <v>3227844</v>
      </c>
      <c r="E503" s="1" t="s">
        <v>26</v>
      </c>
      <c r="F503" s="2">
        <v>45693.658333333333</v>
      </c>
      <c r="G503" s="1" t="s">
        <v>988</v>
      </c>
      <c r="H503" s="1" t="s">
        <v>988</v>
      </c>
      <c r="I503" s="1" t="s">
        <v>692</v>
      </c>
      <c r="J503" s="2">
        <v>45693.826388888891</v>
      </c>
      <c r="K503" s="2">
        <v>45694.941666666666</v>
      </c>
      <c r="L503" s="1" t="s">
        <v>18</v>
      </c>
      <c r="M503" s="1" t="str">
        <f>_xlfn.XLOOKUP(I503,Parâmetros!A:A,Parâmetros!B:B,_xlfn.XLOOKUP(Q503,Parâmetros!F:F,Parâmetros!G:G,"NOVA MENSAGEM"))</f>
        <v>REMARK - CNPJ</v>
      </c>
      <c r="N503" s="1" t="str">
        <f>_xlfn.XLOOKUP(M503,Parâmetros!K:K,Parâmetros!L:L,"")</f>
        <v/>
      </c>
      <c r="O503" s="1" t="str">
        <f>_xlfn.XLOOKUP(M503,Parâmetros!B:B,Parâmetros!C:C,_xlfn.XLOOKUP(Base!M499,Parâmetros!G:G,Parâmetros!H:H))</f>
        <v>QUALIDADE DOS DADOS</v>
      </c>
      <c r="P503" s="1" t="str">
        <f>_xlfn.XLOOKUP(I503,Parâmetros!A:A,Parâmetros!D:D,_xlfn.XLOOKUP(Q503,Parâmetros!F:F,Parâmetros!I:I))</f>
        <v>OPERAÇÕES / SUPORTE KCS</v>
      </c>
      <c r="Q503" s="1">
        <f t="shared" si="15"/>
        <v>24</v>
      </c>
    </row>
    <row r="504" spans="1:17" x14ac:dyDescent="0.25">
      <c r="A504" s="1" t="str">
        <f>_xlfn.XLOOKUP(D504,'Novo relatório'!B:B,'Novo relatório'!C:C,"RESOLVIDO")</f>
        <v>SABRE</v>
      </c>
      <c r="C504" t="str">
        <f t="shared" si="14"/>
        <v>PENDENTE</v>
      </c>
      <c r="D504" s="1">
        <v>3228018</v>
      </c>
      <c r="E504" s="1" t="s">
        <v>26</v>
      </c>
      <c r="F504" s="2">
        <v>45694.273611111108</v>
      </c>
      <c r="G504" s="1" t="s">
        <v>951</v>
      </c>
      <c r="H504" s="1" t="s">
        <v>951</v>
      </c>
      <c r="I504" s="1" t="s">
        <v>692</v>
      </c>
      <c r="J504" s="2">
        <v>45693.95208333333</v>
      </c>
      <c r="K504" s="2">
        <v>45694.942361111112</v>
      </c>
      <c r="L504" s="1" t="s">
        <v>18</v>
      </c>
      <c r="M504" s="1" t="str">
        <f>_xlfn.XLOOKUP(I504,Parâmetros!A:A,Parâmetros!B:B,_xlfn.XLOOKUP(Q504,Parâmetros!F:F,Parâmetros!G:G,"NOVA MENSAGEM"))</f>
        <v>REMARK - CNPJ</v>
      </c>
      <c r="N504" s="1" t="str">
        <f>_xlfn.XLOOKUP(M504,Parâmetros!K:K,Parâmetros!L:L,"")</f>
        <v/>
      </c>
      <c r="O504" s="1" t="str">
        <f>_xlfn.XLOOKUP(M504,Parâmetros!B:B,Parâmetros!C:C,_xlfn.XLOOKUP(Base!M500,Parâmetros!G:G,Parâmetros!H:H))</f>
        <v>INDEFINIDO</v>
      </c>
      <c r="P504" s="1" t="str">
        <f>_xlfn.XLOOKUP(I504,Parâmetros!A:A,Parâmetros!D:D,_xlfn.XLOOKUP(Q504,Parâmetros!F:F,Parâmetros!I:I))</f>
        <v>OPERAÇÕES / SUPORTE KCS</v>
      </c>
      <c r="Q504" s="1">
        <f t="shared" si="15"/>
        <v>24</v>
      </c>
    </row>
    <row r="505" spans="1:17" x14ac:dyDescent="0.25">
      <c r="A505" s="1" t="str">
        <f>_xlfn.XLOOKUP(D505,'Novo relatório'!B:B,'Novo relatório'!C:C,"RESOLVIDO")</f>
        <v>TMS</v>
      </c>
      <c r="C505" t="str">
        <f t="shared" si="14"/>
        <v>PENDENTE</v>
      </c>
      <c r="D505" s="1">
        <v>3228553</v>
      </c>
      <c r="E505" s="1" t="s">
        <v>12</v>
      </c>
      <c r="F505" s="2">
        <v>45694.400000000001</v>
      </c>
      <c r="G505" s="1">
        <v>177065</v>
      </c>
      <c r="H505" s="1">
        <v>177065</v>
      </c>
      <c r="I505" s="1" t="s">
        <v>16</v>
      </c>
      <c r="J505" s="2">
        <v>45694.454861111109</v>
      </c>
      <c r="K505" s="2">
        <v>45699.01666666667</v>
      </c>
      <c r="L505" s="1" t="s">
        <v>14</v>
      </c>
      <c r="M505" s="1" t="str">
        <f>_xlfn.XLOOKUP(I505,Parâmetros!A:A,Parâmetros!B:B,_xlfn.XLOOKUP(Q505,Parâmetros!F:F,Parâmetros!G:G,"NOVA MENSAGEM"))</f>
        <v>ASSENTO / BAGAGEM</v>
      </c>
      <c r="N505" s="1" t="str">
        <f>_xlfn.XLOOKUP(M505,Parâmetros!K:K,Parâmetros!L:L,"")</f>
        <v>CAMPO OBSERVAÇÃO PREENCHIDO INCORRETAMENTE</v>
      </c>
      <c r="O505" s="1" t="str">
        <f>_xlfn.XLOOKUP(M505,Parâmetros!B:B,Parâmetros!C:C,_xlfn.XLOOKUP(Base!M501,Parâmetros!G:G,Parâmetros!H:H))</f>
        <v>QUALIDADE DOS DADOS</v>
      </c>
      <c r="P505" s="1" t="str">
        <f>_xlfn.XLOOKUP(I505,Parâmetros!A:A,Parâmetros!D:D,_xlfn.XLOOKUP(Q505,Parâmetros!F:F,Parâmetros!I:I))</f>
        <v>OPERAÇÕES / SUPORTE KCS</v>
      </c>
      <c r="Q505" s="1">
        <f t="shared" si="15"/>
        <v>118</v>
      </c>
    </row>
    <row r="506" spans="1:17" x14ac:dyDescent="0.25">
      <c r="A506" s="1" t="str">
        <f>_xlfn.XLOOKUP(D506,'Novo relatório'!B:B,'Novo relatório'!C:C,"RESOLVIDO")</f>
        <v>SABRE</v>
      </c>
      <c r="C506" t="str">
        <f t="shared" si="14"/>
        <v>PENDENTE</v>
      </c>
      <c r="D506" s="1">
        <v>3228600</v>
      </c>
      <c r="E506" s="1" t="s">
        <v>26</v>
      </c>
      <c r="F506" s="2">
        <v>45694.273611111108</v>
      </c>
      <c r="G506" s="1" t="s">
        <v>1016</v>
      </c>
      <c r="H506" s="1" t="s">
        <v>1016</v>
      </c>
      <c r="I506" s="1" t="s">
        <v>692</v>
      </c>
      <c r="J506" s="2">
        <v>45694.461805555555</v>
      </c>
      <c r="K506" s="2">
        <v>45694.942361111112</v>
      </c>
      <c r="L506" s="1" t="s">
        <v>18</v>
      </c>
      <c r="M506" s="1" t="str">
        <f>_xlfn.XLOOKUP(I506,Parâmetros!A:A,Parâmetros!B:B,_xlfn.XLOOKUP(Q506,Parâmetros!F:F,Parâmetros!G:G,"NOVA MENSAGEM"))</f>
        <v>REMARK - CNPJ</v>
      </c>
      <c r="N506" s="1" t="str">
        <f>_xlfn.XLOOKUP(M506,Parâmetros!K:K,Parâmetros!L:L,"")</f>
        <v/>
      </c>
      <c r="O506" s="1" t="str">
        <f>_xlfn.XLOOKUP(M506,Parâmetros!B:B,Parâmetros!C:C,_xlfn.XLOOKUP(Base!M502,Parâmetros!G:G,Parâmetros!H:H))</f>
        <v>QUALIDADE DOS DADOS</v>
      </c>
      <c r="P506" s="1" t="str">
        <f>_xlfn.XLOOKUP(I506,Parâmetros!A:A,Parâmetros!D:D,_xlfn.XLOOKUP(Q506,Parâmetros!F:F,Parâmetros!I:I))</f>
        <v>OPERAÇÕES / SUPORTE KCS</v>
      </c>
      <c r="Q506" s="1">
        <f t="shared" si="15"/>
        <v>24</v>
      </c>
    </row>
    <row r="507" spans="1:17" x14ac:dyDescent="0.25">
      <c r="A507" s="1" t="str">
        <f>_xlfn.XLOOKUP(D507,'Novo relatório'!B:B,'Novo relatório'!C:C,"RESOLVIDO")</f>
        <v>SABRE</v>
      </c>
      <c r="C507" t="str">
        <f t="shared" si="14"/>
        <v>PENDENTE</v>
      </c>
      <c r="D507" s="1">
        <v>3228602</v>
      </c>
      <c r="E507" s="1" t="s">
        <v>26</v>
      </c>
      <c r="F507" s="2">
        <v>45694.273611111108</v>
      </c>
      <c r="G507" s="1" t="s">
        <v>1017</v>
      </c>
      <c r="H507" s="1" t="s">
        <v>1016</v>
      </c>
      <c r="I507" s="1" t="s">
        <v>898</v>
      </c>
      <c r="J507" s="2">
        <v>45694.461805555555</v>
      </c>
      <c r="K507" s="2">
        <v>45694.942361111112</v>
      </c>
      <c r="L507" s="1" t="s">
        <v>18</v>
      </c>
      <c r="M507" s="1" t="str">
        <f>_xlfn.XLOOKUP(I507,Parâmetros!A:A,Parâmetros!B:B,_xlfn.XLOOKUP(Q507,Parâmetros!F:F,Parâmetros!G:G,"NOVA MENSAGEM"))</f>
        <v>REMARK - CNPJ</v>
      </c>
      <c r="N507" s="1" t="str">
        <f>_xlfn.XLOOKUP(M507,Parâmetros!K:K,Parâmetros!L:L,"")</f>
        <v/>
      </c>
      <c r="O507" s="1" t="str">
        <f>_xlfn.XLOOKUP(M507,Parâmetros!B:B,Parâmetros!C:C,_xlfn.XLOOKUP(Base!M503,Parâmetros!G:G,Parâmetros!H:H))</f>
        <v>QUALIDADE DOS DADOS</v>
      </c>
      <c r="P507" s="1" t="str">
        <f>_xlfn.XLOOKUP(I507,Parâmetros!A:A,Parâmetros!D:D,_xlfn.XLOOKUP(Q507,Parâmetros!F:F,Parâmetros!I:I))</f>
        <v>OPERAÇÕES / SUPORTE KCS</v>
      </c>
      <c r="Q507" s="1">
        <f t="shared" si="15"/>
        <v>24</v>
      </c>
    </row>
    <row r="508" spans="1:17" x14ac:dyDescent="0.25">
      <c r="A508" s="1" t="str">
        <f>_xlfn.XLOOKUP(D508,'Novo relatório'!B:B,'Novo relatório'!C:C,"RESOLVIDO")</f>
        <v>SABRE</v>
      </c>
      <c r="C508" t="str">
        <f t="shared" si="14"/>
        <v>PENDENTE</v>
      </c>
      <c r="D508" s="1">
        <v>3228605</v>
      </c>
      <c r="E508" s="1" t="s">
        <v>26</v>
      </c>
      <c r="F508" s="2">
        <v>45694.273611111108</v>
      </c>
      <c r="G508" s="1" t="s">
        <v>952</v>
      </c>
      <c r="H508" s="1" t="s">
        <v>952</v>
      </c>
      <c r="I508" s="1" t="s">
        <v>692</v>
      </c>
      <c r="J508" s="2">
        <v>45694.462500000001</v>
      </c>
      <c r="K508" s="2">
        <v>45694.942361111112</v>
      </c>
      <c r="L508" s="1" t="s">
        <v>18</v>
      </c>
      <c r="M508" s="1" t="str">
        <f>_xlfn.XLOOKUP(I508,Parâmetros!A:A,Parâmetros!B:B,_xlfn.XLOOKUP(Q508,Parâmetros!F:F,Parâmetros!G:G,"NOVA MENSAGEM"))</f>
        <v>REMARK - CNPJ</v>
      </c>
      <c r="N508" s="1" t="str">
        <f>_xlfn.XLOOKUP(M508,Parâmetros!K:K,Parâmetros!L:L,"")</f>
        <v/>
      </c>
      <c r="O508" s="1" t="str">
        <f>_xlfn.XLOOKUP(M508,Parâmetros!B:B,Parâmetros!C:C,_xlfn.XLOOKUP(Base!M504,Parâmetros!G:G,Parâmetros!H:H))</f>
        <v>QUALIDADE DOS DADOS</v>
      </c>
      <c r="P508" s="1" t="str">
        <f>_xlfn.XLOOKUP(I508,Parâmetros!A:A,Parâmetros!D:D,_xlfn.XLOOKUP(Q508,Parâmetros!F:F,Parâmetros!I:I))</f>
        <v>OPERAÇÕES / SUPORTE KCS</v>
      </c>
      <c r="Q508" s="1">
        <f t="shared" si="15"/>
        <v>24</v>
      </c>
    </row>
    <row r="509" spans="1:17" x14ac:dyDescent="0.25">
      <c r="A509" s="1" t="str">
        <f>_xlfn.XLOOKUP(D509,'Novo relatório'!B:B,'Novo relatório'!C:C,"RESOLVIDO")</f>
        <v>SABRE</v>
      </c>
      <c r="C509" t="str">
        <f t="shared" si="14"/>
        <v>PENDENTE</v>
      </c>
      <c r="D509" s="1">
        <v>3228606</v>
      </c>
      <c r="E509" s="1" t="s">
        <v>26</v>
      </c>
      <c r="F509" s="2">
        <v>45694.273611111108</v>
      </c>
      <c r="G509" s="1" t="s">
        <v>953</v>
      </c>
      <c r="H509" s="1" t="s">
        <v>952</v>
      </c>
      <c r="I509" s="1" t="s">
        <v>898</v>
      </c>
      <c r="J509" s="2">
        <v>45694.462500000001</v>
      </c>
      <c r="K509" s="2">
        <v>45694.942361111112</v>
      </c>
      <c r="L509" s="1" t="s">
        <v>18</v>
      </c>
      <c r="M509" s="1" t="str">
        <f>_xlfn.XLOOKUP(I509,Parâmetros!A:A,Parâmetros!B:B,_xlfn.XLOOKUP(Q509,Parâmetros!F:F,Parâmetros!G:G,"NOVA MENSAGEM"))</f>
        <v>REMARK - CNPJ</v>
      </c>
      <c r="N509" s="1" t="str">
        <f>_xlfn.XLOOKUP(M509,Parâmetros!K:K,Parâmetros!L:L,"")</f>
        <v/>
      </c>
      <c r="O509" s="1" t="str">
        <f>_xlfn.XLOOKUP(M509,Parâmetros!B:B,Parâmetros!C:C,_xlfn.XLOOKUP(Base!M505,Parâmetros!G:G,Parâmetros!H:H))</f>
        <v>QUALIDADE DOS DADOS</v>
      </c>
      <c r="P509" s="1" t="str">
        <f>_xlfn.XLOOKUP(I509,Parâmetros!A:A,Parâmetros!D:D,_xlfn.XLOOKUP(Q509,Parâmetros!F:F,Parâmetros!I:I))</f>
        <v>OPERAÇÕES / SUPORTE KCS</v>
      </c>
      <c r="Q509" s="1">
        <f t="shared" si="15"/>
        <v>24</v>
      </c>
    </row>
    <row r="510" spans="1:17" x14ac:dyDescent="0.25">
      <c r="A510" s="1" t="str">
        <f>_xlfn.XLOOKUP(D510,'Novo relatório'!B:B,'Novo relatório'!C:C,"RESOLVIDO")</f>
        <v>SABRE</v>
      </c>
      <c r="C510" t="str">
        <f t="shared" si="14"/>
        <v>PENDENTE</v>
      </c>
      <c r="D510" s="1">
        <v>3228913</v>
      </c>
      <c r="E510" s="1" t="s">
        <v>26</v>
      </c>
      <c r="F510" s="2">
        <v>45694.3125</v>
      </c>
      <c r="G510" s="1" t="s">
        <v>971</v>
      </c>
      <c r="H510" s="1" t="s">
        <v>971</v>
      </c>
      <c r="I510" s="1" t="s">
        <v>394</v>
      </c>
      <c r="J510" s="2">
        <v>45694.509722222225</v>
      </c>
      <c r="K510" s="2">
        <v>45694.885416666664</v>
      </c>
      <c r="L510" s="1" t="s">
        <v>18</v>
      </c>
      <c r="M510" s="1" t="str">
        <f>_xlfn.XLOOKUP(I510,Parâmetros!A:A,Parâmetros!B:B,_xlfn.XLOOKUP(Q510,Parâmetros!F:F,Parâmetros!G:G,"NOVA MENSAGEM"))</f>
        <v>REMARK - CNPJ</v>
      </c>
      <c r="N510" s="1" t="str">
        <f>_xlfn.XLOOKUP(M510,Parâmetros!K:K,Parâmetros!L:L,"")</f>
        <v/>
      </c>
      <c r="O510" s="1" t="str">
        <f>_xlfn.XLOOKUP(M510,Parâmetros!B:B,Parâmetros!C:C,_xlfn.XLOOKUP(Base!M506,Parâmetros!G:G,Parâmetros!H:H))</f>
        <v>QUALIDADE DOS DADOS</v>
      </c>
      <c r="P510" s="1" t="str">
        <f>_xlfn.XLOOKUP(I510,Parâmetros!A:A,Parâmetros!D:D,_xlfn.XLOOKUP(Q510,Parâmetros!F:F,Parâmetros!I:I))</f>
        <v>OPERAÇÕES / SUPORTE KCS</v>
      </c>
      <c r="Q510" s="1">
        <f t="shared" si="15"/>
        <v>24</v>
      </c>
    </row>
    <row r="511" spans="1:17" x14ac:dyDescent="0.25">
      <c r="A511" s="1" t="str">
        <f>_xlfn.XLOOKUP(D511,'Novo relatório'!B:B,'Novo relatório'!C:C,"RESOLVIDO")</f>
        <v>SABRE</v>
      </c>
      <c r="C511" t="str">
        <f t="shared" si="14"/>
        <v>PENDENTE</v>
      </c>
      <c r="D511" s="1">
        <v>3229213</v>
      </c>
      <c r="E511" s="1" t="s">
        <v>26</v>
      </c>
      <c r="F511" s="2">
        <v>45694.473611111112</v>
      </c>
      <c r="G511" s="1" t="s">
        <v>978</v>
      </c>
      <c r="H511" s="1" t="s">
        <v>978</v>
      </c>
      <c r="I511" s="1" t="s">
        <v>652</v>
      </c>
      <c r="J511" s="2">
        <v>45694.668055555558</v>
      </c>
      <c r="K511" s="2">
        <v>45694.911111111112</v>
      </c>
      <c r="L511" s="1" t="s">
        <v>18</v>
      </c>
      <c r="M511" s="1" t="str">
        <f>_xlfn.XLOOKUP(I511,Parâmetros!A:A,Parâmetros!B:B,_xlfn.XLOOKUP(Q511,Parâmetros!F:F,Parâmetros!G:G,"NOVA MENSAGEM"))</f>
        <v>CÓD. CLIENTE DIVERGENTE</v>
      </c>
      <c r="N511" s="1" t="str">
        <f>_xlfn.XLOOKUP(M511,Parâmetros!K:K,Parâmetros!L:L,"")</f>
        <v>CÓDIGO DIFERENTE DO CADASTRADO NO BENNER (CLIENTE X GRUPO)</v>
      </c>
      <c r="O511" s="1" t="str">
        <f>_xlfn.XLOOKUP(M511,Parâmetros!B:B,Parâmetros!C:C,_xlfn.XLOOKUP(Base!M507,Parâmetros!G:G,Parâmetros!H:H))</f>
        <v>QUALIDADE DOS DADOS</v>
      </c>
      <c r="P511" s="1" t="str">
        <f>_xlfn.XLOOKUP(I511,Parâmetros!A:A,Parâmetros!D:D,_xlfn.XLOOKUP(Q511,Parâmetros!F:F,Parâmetros!I:I))</f>
        <v>SUPORTE OBT</v>
      </c>
      <c r="Q511" s="1">
        <f t="shared" si="15"/>
        <v>1</v>
      </c>
    </row>
    <row r="512" spans="1:17" x14ac:dyDescent="0.25">
      <c r="A512" s="1" t="str">
        <f>_xlfn.XLOOKUP(D512,'Novo relatório'!B:B,'Novo relatório'!C:C,"RESOLVIDO")</f>
        <v>SABRE</v>
      </c>
      <c r="C512" t="str">
        <f t="shared" si="14"/>
        <v>PENDENTE</v>
      </c>
      <c r="D512" s="1">
        <v>3229215</v>
      </c>
      <c r="E512" s="1" t="s">
        <v>26</v>
      </c>
      <c r="F512" s="2">
        <v>45694.473611111112</v>
      </c>
      <c r="G512" s="1" t="s">
        <v>1007</v>
      </c>
      <c r="H512" s="1" t="s">
        <v>1007</v>
      </c>
      <c r="I512" s="1" t="s">
        <v>394</v>
      </c>
      <c r="J512" s="2">
        <v>45694.668749999997</v>
      </c>
      <c r="K512" s="2">
        <v>45694.911805555559</v>
      </c>
      <c r="L512" s="1" t="s">
        <v>18</v>
      </c>
      <c r="M512" s="1" t="str">
        <f>_xlfn.XLOOKUP(I512,Parâmetros!A:A,Parâmetros!B:B,_xlfn.XLOOKUP(Q512,Parâmetros!F:F,Parâmetros!G:G,"NOVA MENSAGEM"))</f>
        <v>REMARK - CNPJ</v>
      </c>
      <c r="N512" s="1" t="str">
        <f>_xlfn.XLOOKUP(M512,Parâmetros!K:K,Parâmetros!L:L,"")</f>
        <v/>
      </c>
      <c r="O512" s="1" t="str">
        <f>_xlfn.XLOOKUP(M512,Parâmetros!B:B,Parâmetros!C:C,_xlfn.XLOOKUP(Base!M508,Parâmetros!G:G,Parâmetros!H:H))</f>
        <v>QUALIDADE DOS DADOS</v>
      </c>
      <c r="P512" s="1" t="str">
        <f>_xlfn.XLOOKUP(I512,Parâmetros!A:A,Parâmetros!D:D,_xlfn.XLOOKUP(Q512,Parâmetros!F:F,Parâmetros!I:I))</f>
        <v>OPERAÇÕES / SUPORTE KCS</v>
      </c>
      <c r="Q512" s="1">
        <f t="shared" si="15"/>
        <v>24</v>
      </c>
    </row>
    <row r="513" spans="1:17" x14ac:dyDescent="0.25">
      <c r="A513" s="1" t="str">
        <f>_xlfn.XLOOKUP(D513,'Novo relatório'!B:B,'Novo relatório'!C:C,"RESOLVIDO")</f>
        <v>SABRE</v>
      </c>
      <c r="C513" t="str">
        <f t="shared" si="14"/>
        <v>PENDENTE</v>
      </c>
      <c r="D513" s="1">
        <v>3229216</v>
      </c>
      <c r="E513" s="1" t="s">
        <v>26</v>
      </c>
      <c r="F513" s="2">
        <v>45694.473611111112</v>
      </c>
      <c r="G513" s="1" t="s">
        <v>1004</v>
      </c>
      <c r="H513" s="1" t="s">
        <v>1004</v>
      </c>
      <c r="I513" s="1" t="s">
        <v>83</v>
      </c>
      <c r="J513" s="2">
        <v>45694.668749999997</v>
      </c>
      <c r="K513" s="2">
        <v>45694.911805555559</v>
      </c>
      <c r="L513" s="1" t="s">
        <v>18</v>
      </c>
      <c r="M513" s="1" t="str">
        <f>_xlfn.XLOOKUP(I513,Parâmetros!A:A,Parâmetros!B:B,_xlfn.XLOOKUP(Q513,Parâmetros!F:F,Parâmetros!G:G,"NOVA MENSAGEM"))</f>
        <v>CLIENTE NÃO IDENTIFICADO</v>
      </c>
      <c r="N513" s="1" t="str">
        <f>_xlfn.XLOOKUP(M513,Parâmetros!K:K,Parâmetros!L:L,"")</f>
        <v>DK DE CLIENTE NÃO PREENCIDO / CLIENTE NÃO CONFIGURADO NO OBT</v>
      </c>
      <c r="O513" s="1" t="str">
        <f>_xlfn.XLOOKUP(M513,Parâmetros!B:B,Parâmetros!C:C,_xlfn.XLOOKUP(Base!M509,Parâmetros!G:G,Parâmetros!H:H))</f>
        <v>INDEFINIDO</v>
      </c>
      <c r="P513" s="1" t="str">
        <f>_xlfn.XLOOKUP(I513,Parâmetros!A:A,Parâmetros!D:D,_xlfn.XLOOKUP(Q513,Parâmetros!F:F,Parâmetros!I:I))</f>
        <v>OPERAÇÕES / SUPORTE KCS</v>
      </c>
      <c r="Q513" s="1" t="str">
        <f t="shared" si="15"/>
        <v>COLUNA I</v>
      </c>
    </row>
    <row r="514" spans="1:17" x14ac:dyDescent="0.25">
      <c r="A514" s="1" t="str">
        <f>_xlfn.XLOOKUP(D514,'Novo relatório'!B:B,'Novo relatório'!C:C,"RESOLVIDO")</f>
        <v>RESOLVIDO</v>
      </c>
      <c r="C514" t="str">
        <f t="shared" ref="C514:C577" si="16">IF(A514="RESOLVIDO","RESOLVIDO",IF(B514="","PENDENTE",IF(LEFT(B514,7)="CHAMADO","AGUARDANDO FORNECEDOR",IF(B514="CONTABILIZAR","CONTABILIZAR NO PORTAL"))))</f>
        <v>RESOLVIDO</v>
      </c>
      <c r="D514" s="1">
        <v>3229232</v>
      </c>
      <c r="E514" s="1" t="s">
        <v>26</v>
      </c>
      <c r="F514" s="2">
        <v>45698.59375</v>
      </c>
      <c r="G514" s="1" t="s">
        <v>970</v>
      </c>
      <c r="H514" s="1" t="s">
        <v>970</v>
      </c>
      <c r="I514" s="1" t="s">
        <v>588</v>
      </c>
      <c r="J514" s="2">
        <v>45694.670138888891</v>
      </c>
      <c r="K514" s="2">
        <v>45698.722222222219</v>
      </c>
      <c r="L514" s="1" t="s">
        <v>14</v>
      </c>
      <c r="M514" s="1" t="str">
        <f>_xlfn.XLOOKUP(I514,Parâmetros!A:A,Parâmetros!B:B,_xlfn.XLOOKUP(Q514,Parâmetros!F:F,Parâmetros!G:G,"NOVA MENSAGEM"))</f>
        <v>ERRO NO XML</v>
      </c>
      <c r="N514" s="1" t="str">
        <f>_xlfn.XLOOKUP(M514,Parâmetros!K:K,Parâmetros!L:L,"")</f>
        <v/>
      </c>
      <c r="O514" s="1" t="str">
        <f>_xlfn.XLOOKUP(M514,Parâmetros!B:B,Parâmetros!C:C,_xlfn.XLOOKUP(Base!M510,Parâmetros!G:G,Parâmetros!H:H))</f>
        <v>SISTEMA</v>
      </c>
      <c r="P514" s="1" t="str">
        <f>_xlfn.XLOOKUP(I514,Parâmetros!A:A,Parâmetros!D:D,_xlfn.XLOOKUP(Q514,Parâmetros!F:F,Parâmetros!I:I))</f>
        <v>SUPORTE OBT</v>
      </c>
      <c r="Q514" s="1" t="str">
        <f t="shared" ref="Q514:Q577" si="17">IFERROR(FIND("Não foi possível localizar o contrato do fornecedor",I514),IFERROR(FIND("veículo",I514),IFERROR(FIND("agagem",I514),IFERROR(FIND("error in XML document",I514),IFERROR(FIND("Não localizado cliente código",I514),IFERROR(FIND("lemontech",I514),IFERROR(FIND("&gt;Fornecedor com o",I514),IFERROR(FIND("INSERT",I514),IFERROR(FIND("com CNPJ",I514),IFERROR(FIND("Consultando Agente-&gt; O agente",I514),IFERROR(FIND("Não foi possível determinar a validade do cartão, favor verificar os dados do cartão",I514),"COLUNA I")))))))))))</f>
        <v>COLUNA I</v>
      </c>
    </row>
    <row r="515" spans="1:17" x14ac:dyDescent="0.25">
      <c r="A515" s="1" t="str">
        <f>_xlfn.XLOOKUP(D515,'Novo relatório'!B:B,'Novo relatório'!C:C,"RESOLVIDO")</f>
        <v>SABRE</v>
      </c>
      <c r="C515" t="str">
        <f t="shared" si="16"/>
        <v>PENDENTE</v>
      </c>
      <c r="D515" s="1">
        <v>3229238</v>
      </c>
      <c r="E515" s="1" t="s">
        <v>26</v>
      </c>
      <c r="F515" s="2">
        <v>45694.473611111112</v>
      </c>
      <c r="G515" s="1" t="s">
        <v>998</v>
      </c>
      <c r="H515" s="1" t="s">
        <v>998</v>
      </c>
      <c r="I515" s="1" t="s">
        <v>406</v>
      </c>
      <c r="J515" s="2">
        <v>45694.67083333333</v>
      </c>
      <c r="K515" s="2">
        <v>45694.913194444445</v>
      </c>
      <c r="L515" s="1" t="s">
        <v>18</v>
      </c>
      <c r="M515" s="1" t="str">
        <f>_xlfn.XLOOKUP(I515,Parâmetros!A:A,Parâmetros!B:B,_xlfn.XLOOKUP(Q515,Parâmetros!F:F,Parâmetros!G:G,"NOVA MENSAGEM"))</f>
        <v>REMARK - CNPJ</v>
      </c>
      <c r="N515" s="1" t="str">
        <f>_xlfn.XLOOKUP(M515,Parâmetros!K:K,Parâmetros!L:L,"")</f>
        <v/>
      </c>
      <c r="O515" s="1" t="str">
        <f>_xlfn.XLOOKUP(M515,Parâmetros!B:B,Parâmetros!C:C,_xlfn.XLOOKUP(Base!M511,Parâmetros!G:G,Parâmetros!H:H))</f>
        <v>QUALIDADE DOS DADOS</v>
      </c>
      <c r="P515" s="1" t="str">
        <f>_xlfn.XLOOKUP(I515,Parâmetros!A:A,Parâmetros!D:D,_xlfn.XLOOKUP(Q515,Parâmetros!F:F,Parâmetros!I:I))</f>
        <v>OPERAÇÕES / SUPORTE KCS</v>
      </c>
      <c r="Q515" s="1">
        <f t="shared" si="17"/>
        <v>24</v>
      </c>
    </row>
    <row r="516" spans="1:17" x14ac:dyDescent="0.25">
      <c r="A516" s="1" t="str">
        <f>_xlfn.XLOOKUP(D516,'Novo relatório'!B:B,'Novo relatório'!C:C,"RESOLVIDO")</f>
        <v>RESOLVIDO</v>
      </c>
      <c r="C516" t="str">
        <f t="shared" si="16"/>
        <v>RESOLVIDO</v>
      </c>
      <c r="D516" s="1">
        <v>3229242</v>
      </c>
      <c r="E516" s="1" t="s">
        <v>26</v>
      </c>
      <c r="F516" s="2">
        <v>45740.590277777781</v>
      </c>
      <c r="G516" s="1" t="s">
        <v>1700</v>
      </c>
      <c r="H516" s="1" t="s">
        <v>1700</v>
      </c>
      <c r="I516" s="1" t="s">
        <v>588</v>
      </c>
      <c r="J516" s="2">
        <v>45694.67083333333</v>
      </c>
      <c r="K516" s="2">
        <v>45740.680555555555</v>
      </c>
      <c r="L516" s="1" t="s">
        <v>14</v>
      </c>
      <c r="M516" s="1" t="str">
        <f>_xlfn.XLOOKUP(I516,Parâmetros!A:A,Parâmetros!B:B,_xlfn.XLOOKUP(Q516,Parâmetros!F:F,Parâmetros!G:G,"NOVA MENSAGEM"))</f>
        <v>ERRO NO XML</v>
      </c>
      <c r="N516" s="1" t="str">
        <f>_xlfn.XLOOKUP(M516,Parâmetros!K:K,Parâmetros!L:L,"")</f>
        <v/>
      </c>
      <c r="O516" s="1" t="str">
        <f>_xlfn.XLOOKUP(M516,Parâmetros!B:B,Parâmetros!C:C,_xlfn.XLOOKUP(Base!M1040,Parâmetros!G:G,Parâmetros!H:H))</f>
        <v>SISTEMA</v>
      </c>
      <c r="P516" s="1" t="str">
        <f>_xlfn.XLOOKUP(I516,Parâmetros!A:A,Parâmetros!D:D,_xlfn.XLOOKUP(Q516,Parâmetros!F:F,Parâmetros!I:I))</f>
        <v>SUPORTE OBT</v>
      </c>
      <c r="Q516" s="1" t="str">
        <f t="shared" si="17"/>
        <v>COLUNA I</v>
      </c>
    </row>
    <row r="517" spans="1:17" x14ac:dyDescent="0.25">
      <c r="A517" s="1" t="str">
        <f>_xlfn.XLOOKUP(D517,'Novo relatório'!B:B,'Novo relatório'!C:C,"RESOLVIDO")</f>
        <v>SABRE</v>
      </c>
      <c r="C517" t="str">
        <f t="shared" si="16"/>
        <v>PENDENTE</v>
      </c>
      <c r="D517" s="1">
        <v>3229243</v>
      </c>
      <c r="E517" s="1" t="s">
        <v>26</v>
      </c>
      <c r="F517" s="2">
        <v>45694.473611111112</v>
      </c>
      <c r="G517" s="1" t="s">
        <v>1011</v>
      </c>
      <c r="H517" s="1" t="s">
        <v>1011</v>
      </c>
      <c r="I517" s="1" t="s">
        <v>620</v>
      </c>
      <c r="J517" s="2">
        <v>45694.671527777777</v>
      </c>
      <c r="K517" s="2">
        <v>45694.913888888892</v>
      </c>
      <c r="L517" s="1" t="s">
        <v>18</v>
      </c>
      <c r="M517" s="1" t="str">
        <f>_xlfn.XLOOKUP(I517,Parâmetros!A:A,Parâmetros!B:B,_xlfn.XLOOKUP(Q517,Parâmetros!F:F,Parâmetros!G:G,"NOVA MENSAGEM"))</f>
        <v>CÓD. CLIENTE DIVERGENTE</v>
      </c>
      <c r="N517" s="1" t="str">
        <f>_xlfn.XLOOKUP(M517,Parâmetros!K:K,Parâmetros!L:L,"")</f>
        <v>CÓDIGO DIFERENTE DO CADASTRADO NO BENNER (CLIENTE X GRUPO)</v>
      </c>
      <c r="O517" s="1" t="str">
        <f>_xlfn.XLOOKUP(M517,Parâmetros!B:B,Parâmetros!C:C,_xlfn.XLOOKUP(Base!M512,Parâmetros!G:G,Parâmetros!H:H))</f>
        <v>QUALIDADE DOS DADOS</v>
      </c>
      <c r="P517" s="1" t="str">
        <f>_xlfn.XLOOKUP(I517,Parâmetros!A:A,Parâmetros!D:D,_xlfn.XLOOKUP(Q517,Parâmetros!F:F,Parâmetros!I:I))</f>
        <v>SUPORTE OBT</v>
      </c>
      <c r="Q517" s="1">
        <f t="shared" si="17"/>
        <v>1</v>
      </c>
    </row>
    <row r="518" spans="1:17" x14ac:dyDescent="0.25">
      <c r="A518" s="1" t="str">
        <f>_xlfn.XLOOKUP(D518,'Novo relatório'!B:B,'Novo relatório'!C:C,"RESOLVIDO")</f>
        <v>SABRE</v>
      </c>
      <c r="C518" t="str">
        <f t="shared" si="16"/>
        <v>PENDENTE</v>
      </c>
      <c r="D518" s="1">
        <v>3229244</v>
      </c>
      <c r="E518" s="1" t="s">
        <v>26</v>
      </c>
      <c r="F518" s="2">
        <v>45694.473611111112</v>
      </c>
      <c r="G518" s="1" t="s">
        <v>1013</v>
      </c>
      <c r="H518" s="1" t="s">
        <v>1013</v>
      </c>
      <c r="I518" s="1" t="s">
        <v>620</v>
      </c>
      <c r="J518" s="2">
        <v>45694.671527777777</v>
      </c>
      <c r="K518" s="2">
        <v>45694.913888888892</v>
      </c>
      <c r="L518" s="1" t="s">
        <v>18</v>
      </c>
      <c r="M518" s="1" t="str">
        <f>_xlfn.XLOOKUP(I518,Parâmetros!A:A,Parâmetros!B:B,_xlfn.XLOOKUP(Q518,Parâmetros!F:F,Parâmetros!G:G,"NOVA MENSAGEM"))</f>
        <v>CÓD. CLIENTE DIVERGENTE</v>
      </c>
      <c r="N518" s="1" t="str">
        <f>_xlfn.XLOOKUP(M518,Parâmetros!K:K,Parâmetros!L:L,"")</f>
        <v>CÓDIGO DIFERENTE DO CADASTRADO NO BENNER (CLIENTE X GRUPO)</v>
      </c>
      <c r="O518" s="1" t="str">
        <f>_xlfn.XLOOKUP(M518,Parâmetros!B:B,Parâmetros!C:C,_xlfn.XLOOKUP(Base!M513,Parâmetros!G:G,Parâmetros!H:H))</f>
        <v>QUALIDADE DOS DADOS</v>
      </c>
      <c r="P518" s="1" t="str">
        <f>_xlfn.XLOOKUP(I518,Parâmetros!A:A,Parâmetros!D:D,_xlfn.XLOOKUP(Q518,Parâmetros!F:F,Parâmetros!I:I))</f>
        <v>SUPORTE OBT</v>
      </c>
      <c r="Q518" s="1">
        <f t="shared" si="17"/>
        <v>1</v>
      </c>
    </row>
    <row r="519" spans="1:17" x14ac:dyDescent="0.25">
      <c r="A519" s="1" t="str">
        <f>_xlfn.XLOOKUP(D519,'Novo relatório'!B:B,'Novo relatório'!C:C,"RESOLVIDO")</f>
        <v>SABRE</v>
      </c>
      <c r="C519" t="str">
        <f t="shared" si="16"/>
        <v>PENDENTE</v>
      </c>
      <c r="D519" s="1">
        <v>3230426</v>
      </c>
      <c r="E519" s="1" t="s">
        <v>26</v>
      </c>
      <c r="F519" s="2">
        <v>45694.552777777775</v>
      </c>
      <c r="G519" s="1" t="s">
        <v>1009</v>
      </c>
      <c r="H519" s="1" t="s">
        <v>1010</v>
      </c>
      <c r="I519" s="1" t="s">
        <v>85</v>
      </c>
      <c r="J519" s="2">
        <v>45694.826388888891</v>
      </c>
      <c r="K519" s="2">
        <v>45694.944444444445</v>
      </c>
      <c r="L519" s="1" t="s">
        <v>18</v>
      </c>
      <c r="M519" s="1" t="str">
        <f>_xlfn.XLOOKUP(I519,Parâmetros!A:A,Parâmetros!B:B,_xlfn.XLOOKUP(Q519,Parâmetros!F:F,Parâmetros!G:G,"NOVA MENSAGEM"))</f>
        <v>CLIENTE NÃO IDENTIFICADO</v>
      </c>
      <c r="N519" s="1" t="str">
        <f>_xlfn.XLOOKUP(M519,Parâmetros!K:K,Parâmetros!L:L,"")</f>
        <v>DK DE CLIENTE NÃO PREENCIDO / CLIENTE NÃO CONFIGURADO NO OBT</v>
      </c>
      <c r="O519" s="1" t="str">
        <f>_xlfn.XLOOKUP(M519,Parâmetros!B:B,Parâmetros!C:C,_xlfn.XLOOKUP(Base!M514,Parâmetros!G:G,Parâmetros!H:H))</f>
        <v>INDEFINIDO</v>
      </c>
      <c r="P519" s="1" t="str">
        <f>_xlfn.XLOOKUP(I519,Parâmetros!A:A,Parâmetros!D:D,_xlfn.XLOOKUP(Q519,Parâmetros!F:F,Parâmetros!I:I))</f>
        <v>OPERAÇÕES / SUPORTE KCS</v>
      </c>
      <c r="Q519" s="1" t="str">
        <f t="shared" si="17"/>
        <v>COLUNA I</v>
      </c>
    </row>
    <row r="520" spans="1:17" x14ac:dyDescent="0.25">
      <c r="A520" s="1" t="str">
        <f>_xlfn.XLOOKUP(D520,'Novo relatório'!B:B,'Novo relatório'!C:C,"RESOLVIDO")</f>
        <v>SABRE</v>
      </c>
      <c r="C520" t="str">
        <f t="shared" si="16"/>
        <v>PENDENTE</v>
      </c>
      <c r="D520" s="1">
        <v>3230538</v>
      </c>
      <c r="E520" s="1" t="s">
        <v>26</v>
      </c>
      <c r="F520" s="2">
        <v>45694.697916666664</v>
      </c>
      <c r="G520" s="1" t="s">
        <v>999</v>
      </c>
      <c r="H520" s="1" t="s">
        <v>999</v>
      </c>
      <c r="I520" s="1" t="s">
        <v>620</v>
      </c>
      <c r="J520" s="2">
        <v>45694.913888888892</v>
      </c>
      <c r="L520" s="1" t="s">
        <v>18</v>
      </c>
      <c r="M520" s="1" t="str">
        <f>_xlfn.XLOOKUP(I520,Parâmetros!A:A,Parâmetros!B:B,_xlfn.XLOOKUP(Q520,Parâmetros!F:F,Parâmetros!G:G,"NOVA MENSAGEM"))</f>
        <v>CÓD. CLIENTE DIVERGENTE</v>
      </c>
      <c r="N520" s="1" t="str">
        <f>_xlfn.XLOOKUP(M520,Parâmetros!K:K,Parâmetros!L:L,"")</f>
        <v>CÓDIGO DIFERENTE DO CADASTRADO NO BENNER (CLIENTE X GRUPO)</v>
      </c>
      <c r="O520" s="1" t="str">
        <f>_xlfn.XLOOKUP(M520,Parâmetros!B:B,Parâmetros!C:C,_xlfn.XLOOKUP(Base!M515,Parâmetros!G:G,Parâmetros!H:H))</f>
        <v>QUALIDADE DOS DADOS</v>
      </c>
      <c r="P520" s="1" t="str">
        <f>_xlfn.XLOOKUP(I520,Parâmetros!A:A,Parâmetros!D:D,_xlfn.XLOOKUP(Q520,Parâmetros!F:F,Parâmetros!I:I))</f>
        <v>SUPORTE OBT</v>
      </c>
      <c r="Q520" s="1">
        <f t="shared" si="17"/>
        <v>1</v>
      </c>
    </row>
    <row r="521" spans="1:17" x14ac:dyDescent="0.25">
      <c r="A521" s="1" t="str">
        <f>_xlfn.XLOOKUP(D521,'Novo relatório'!B:B,'Novo relatório'!C:C,"RESOLVIDO")</f>
        <v>SABRE</v>
      </c>
      <c r="C521" t="str">
        <f t="shared" si="16"/>
        <v>PENDENTE</v>
      </c>
      <c r="D521" s="1">
        <v>3230559</v>
      </c>
      <c r="E521" s="1" t="s">
        <v>26</v>
      </c>
      <c r="F521" s="2">
        <v>45695.270833333336</v>
      </c>
      <c r="G521" s="1" t="s">
        <v>1012</v>
      </c>
      <c r="H521" s="1" t="s">
        <v>1012</v>
      </c>
      <c r="I521" s="1" t="s">
        <v>692</v>
      </c>
      <c r="J521" s="2">
        <v>45694.916666666664</v>
      </c>
      <c r="K521" s="2">
        <v>45695.399305555555</v>
      </c>
      <c r="L521" s="1" t="s">
        <v>18</v>
      </c>
      <c r="M521" s="1" t="str">
        <f>_xlfn.XLOOKUP(I521,Parâmetros!A:A,Parâmetros!B:B,_xlfn.XLOOKUP(Q521,Parâmetros!F:F,Parâmetros!G:G,"NOVA MENSAGEM"))</f>
        <v>REMARK - CNPJ</v>
      </c>
      <c r="N521" s="1" t="str">
        <f>_xlfn.XLOOKUP(M521,Parâmetros!K:K,Parâmetros!L:L,"")</f>
        <v/>
      </c>
      <c r="O521" s="1" t="str">
        <f>_xlfn.XLOOKUP(M521,Parâmetros!B:B,Parâmetros!C:C,_xlfn.XLOOKUP(Base!M516,Parâmetros!G:G,Parâmetros!H:H))</f>
        <v>INDEFINIDO</v>
      </c>
      <c r="P521" s="1" t="str">
        <f>_xlfn.XLOOKUP(I521,Parâmetros!A:A,Parâmetros!D:D,_xlfn.XLOOKUP(Q521,Parâmetros!F:F,Parâmetros!I:I))</f>
        <v>OPERAÇÕES / SUPORTE KCS</v>
      </c>
      <c r="Q521" s="1">
        <f t="shared" si="17"/>
        <v>24</v>
      </c>
    </row>
    <row r="522" spans="1:17" x14ac:dyDescent="0.25">
      <c r="A522" s="1" t="str">
        <f>_xlfn.XLOOKUP(D522,'Novo relatório'!B:B,'Novo relatório'!C:C,"RESOLVIDO")</f>
        <v>SABRE</v>
      </c>
      <c r="C522" t="str">
        <f t="shared" si="16"/>
        <v>PENDENTE</v>
      </c>
      <c r="D522" s="1">
        <v>3230562</v>
      </c>
      <c r="E522" s="1" t="s">
        <v>26</v>
      </c>
      <c r="F522" s="2">
        <v>45695.270833333336</v>
      </c>
      <c r="G522" s="1" t="s">
        <v>1018</v>
      </c>
      <c r="H522" s="1" t="s">
        <v>1018</v>
      </c>
      <c r="I522" s="1" t="s">
        <v>692</v>
      </c>
      <c r="J522" s="2">
        <v>45694.917361111111</v>
      </c>
      <c r="K522" s="2">
        <v>45695.399305555555</v>
      </c>
      <c r="L522" s="1" t="s">
        <v>18</v>
      </c>
      <c r="M522" s="1" t="str">
        <f>_xlfn.XLOOKUP(I522,Parâmetros!A:A,Parâmetros!B:B,_xlfn.XLOOKUP(Q522,Parâmetros!F:F,Parâmetros!G:G,"NOVA MENSAGEM"))</f>
        <v>REMARK - CNPJ</v>
      </c>
      <c r="N522" s="1" t="str">
        <f>_xlfn.XLOOKUP(M522,Parâmetros!K:K,Parâmetros!L:L,"")</f>
        <v/>
      </c>
      <c r="O522" s="1" t="str">
        <f>_xlfn.XLOOKUP(M522,Parâmetros!B:B,Parâmetros!C:C,_xlfn.XLOOKUP(Base!M517,Parâmetros!G:G,Parâmetros!H:H))</f>
        <v>QUALIDADE DOS DADOS</v>
      </c>
      <c r="P522" s="1" t="str">
        <f>_xlfn.XLOOKUP(I522,Parâmetros!A:A,Parâmetros!D:D,_xlfn.XLOOKUP(Q522,Parâmetros!F:F,Parâmetros!I:I))</f>
        <v>OPERAÇÕES / SUPORTE KCS</v>
      </c>
      <c r="Q522" s="1">
        <f t="shared" si="17"/>
        <v>24</v>
      </c>
    </row>
    <row r="523" spans="1:17" x14ac:dyDescent="0.25">
      <c r="A523" s="1" t="str">
        <f>_xlfn.XLOOKUP(D523,'Novo relatório'!B:B,'Novo relatório'!C:C,"RESOLVIDO")</f>
        <v>SABRE</v>
      </c>
      <c r="C523" t="str">
        <f t="shared" si="16"/>
        <v>PENDENTE</v>
      </c>
      <c r="D523" s="1">
        <v>3230564</v>
      </c>
      <c r="E523" s="1" t="s">
        <v>26</v>
      </c>
      <c r="F523" s="2">
        <v>45695.271527777775</v>
      </c>
      <c r="G523" s="1" t="s">
        <v>1019</v>
      </c>
      <c r="H523" s="1" t="s">
        <v>1019</v>
      </c>
      <c r="I523" s="1" t="s">
        <v>692</v>
      </c>
      <c r="J523" s="2">
        <v>45694.917361111111</v>
      </c>
      <c r="K523" s="2">
        <v>45695.399305555555</v>
      </c>
      <c r="L523" s="1" t="s">
        <v>18</v>
      </c>
      <c r="M523" s="1" t="str">
        <f>_xlfn.XLOOKUP(I523,Parâmetros!A:A,Parâmetros!B:B,_xlfn.XLOOKUP(Q523,Parâmetros!F:F,Parâmetros!G:G,"NOVA MENSAGEM"))</f>
        <v>REMARK - CNPJ</v>
      </c>
      <c r="N523" s="1" t="str">
        <f>_xlfn.XLOOKUP(M523,Parâmetros!K:K,Parâmetros!L:L,"")</f>
        <v/>
      </c>
      <c r="O523" s="1" t="str">
        <f>_xlfn.XLOOKUP(M523,Parâmetros!B:B,Parâmetros!C:C,_xlfn.XLOOKUP(Base!M518,Parâmetros!G:G,Parâmetros!H:H))</f>
        <v>QUALIDADE DOS DADOS</v>
      </c>
      <c r="P523" s="1" t="str">
        <f>_xlfn.XLOOKUP(I523,Parâmetros!A:A,Parâmetros!D:D,_xlfn.XLOOKUP(Q523,Parâmetros!F:F,Parâmetros!I:I))</f>
        <v>OPERAÇÕES / SUPORTE KCS</v>
      </c>
      <c r="Q523" s="1">
        <f t="shared" si="17"/>
        <v>24</v>
      </c>
    </row>
    <row r="524" spans="1:17" x14ac:dyDescent="0.25">
      <c r="A524" s="1" t="str">
        <f>_xlfn.XLOOKUP(D524,'Novo relatório'!B:B,'Novo relatório'!C:C,"RESOLVIDO")</f>
        <v>SABRE</v>
      </c>
      <c r="C524" t="str">
        <f t="shared" si="16"/>
        <v>PENDENTE</v>
      </c>
      <c r="D524" s="1">
        <v>3231626</v>
      </c>
      <c r="E524" s="1" t="s">
        <v>26</v>
      </c>
      <c r="F524" s="2">
        <v>45695.362500000003</v>
      </c>
      <c r="G524" s="1" t="s">
        <v>967</v>
      </c>
      <c r="H524" s="1" t="s">
        <v>967</v>
      </c>
      <c r="I524" s="1" t="s">
        <v>692</v>
      </c>
      <c r="J524" s="2">
        <v>45695.493750000001</v>
      </c>
      <c r="L524" s="1" t="s">
        <v>18</v>
      </c>
      <c r="M524" s="1" t="str">
        <f>_xlfn.XLOOKUP(I524,Parâmetros!A:A,Parâmetros!B:B,_xlfn.XLOOKUP(Q524,Parâmetros!F:F,Parâmetros!G:G,"NOVA MENSAGEM"))</f>
        <v>REMARK - CNPJ</v>
      </c>
      <c r="N524" s="1" t="str">
        <f>_xlfn.XLOOKUP(M524,Parâmetros!K:K,Parâmetros!L:L,"")</f>
        <v/>
      </c>
      <c r="O524" s="1" t="e">
        <f>_xlfn.XLOOKUP(M524,Parâmetros!B:B,Parâmetros!C:C,_xlfn.XLOOKUP(Base!M519,Parâmetros!G:G,Parâmetros!H:H))</f>
        <v>#N/A</v>
      </c>
      <c r="P524" s="1" t="str">
        <f>_xlfn.XLOOKUP(I524,Parâmetros!A:A,Parâmetros!D:D,_xlfn.XLOOKUP(Q524,Parâmetros!F:F,Parâmetros!I:I))</f>
        <v>OPERAÇÕES / SUPORTE KCS</v>
      </c>
      <c r="Q524" s="1">
        <f t="shared" si="17"/>
        <v>24</v>
      </c>
    </row>
    <row r="525" spans="1:17" x14ac:dyDescent="0.25">
      <c r="A525" s="1" t="str">
        <f>_xlfn.XLOOKUP(D525,'Novo relatório'!B:B,'Novo relatório'!C:C,"RESOLVIDO")</f>
        <v>SABRE</v>
      </c>
      <c r="C525" t="str">
        <f t="shared" si="16"/>
        <v>PENDENTE</v>
      </c>
      <c r="D525" s="1">
        <v>3231628</v>
      </c>
      <c r="E525" s="1" t="s">
        <v>26</v>
      </c>
      <c r="F525" s="2">
        <v>45695.362500000003</v>
      </c>
      <c r="G525" s="1" t="s">
        <v>968</v>
      </c>
      <c r="H525" s="1" t="s">
        <v>967</v>
      </c>
      <c r="I525" s="1" t="s">
        <v>898</v>
      </c>
      <c r="J525" s="2">
        <v>45695.493750000001</v>
      </c>
      <c r="L525" s="1" t="s">
        <v>18</v>
      </c>
      <c r="M525" s="1" t="str">
        <f>_xlfn.XLOOKUP(I525,Parâmetros!A:A,Parâmetros!B:B,_xlfn.XLOOKUP(Q525,Parâmetros!F:F,Parâmetros!G:G,"NOVA MENSAGEM"))</f>
        <v>REMARK - CNPJ</v>
      </c>
      <c r="N525" s="1" t="str">
        <f>_xlfn.XLOOKUP(M525,Parâmetros!K:K,Parâmetros!L:L,"")</f>
        <v/>
      </c>
      <c r="O525" s="1" t="str">
        <f>_xlfn.XLOOKUP(M525,Parâmetros!B:B,Parâmetros!C:C,_xlfn.XLOOKUP(Base!M520,Parâmetros!G:G,Parâmetros!H:H))</f>
        <v>QUALIDADE DOS DADOS</v>
      </c>
      <c r="P525" s="1" t="str">
        <f>_xlfn.XLOOKUP(I525,Parâmetros!A:A,Parâmetros!D:D,_xlfn.XLOOKUP(Q525,Parâmetros!F:F,Parâmetros!I:I))</f>
        <v>OPERAÇÕES / SUPORTE KCS</v>
      </c>
      <c r="Q525" s="1">
        <f t="shared" si="17"/>
        <v>24</v>
      </c>
    </row>
    <row r="526" spans="1:17" x14ac:dyDescent="0.25">
      <c r="A526" s="1" t="str">
        <f>_xlfn.XLOOKUP(D526,'Novo relatório'!B:B,'Novo relatório'!C:C,"RESOLVIDO")</f>
        <v>SABRE</v>
      </c>
      <c r="C526" t="str">
        <f t="shared" si="16"/>
        <v>PENDENTE</v>
      </c>
      <c r="D526" s="1">
        <v>3232092</v>
      </c>
      <c r="E526" s="1" t="s">
        <v>26</v>
      </c>
      <c r="F526" s="2">
        <v>45695.531944444447</v>
      </c>
      <c r="G526" s="1" t="s">
        <v>979</v>
      </c>
      <c r="H526" s="1" t="s">
        <v>979</v>
      </c>
      <c r="I526" s="1" t="s">
        <v>620</v>
      </c>
      <c r="J526" s="2">
        <v>45695.661805555559</v>
      </c>
      <c r="L526" s="1" t="s">
        <v>18</v>
      </c>
      <c r="M526" s="1" t="str">
        <f>_xlfn.XLOOKUP(I526,Parâmetros!A:A,Parâmetros!B:B,_xlfn.XLOOKUP(Q526,Parâmetros!F:F,Parâmetros!G:G,"NOVA MENSAGEM"))</f>
        <v>CÓD. CLIENTE DIVERGENTE</v>
      </c>
      <c r="N526" s="1" t="str">
        <f>_xlfn.XLOOKUP(M526,Parâmetros!K:K,Parâmetros!L:L,"")</f>
        <v>CÓDIGO DIFERENTE DO CADASTRADO NO BENNER (CLIENTE X GRUPO)</v>
      </c>
      <c r="O526" s="1" t="str">
        <f>_xlfn.XLOOKUP(M526,Parâmetros!B:B,Parâmetros!C:C,_xlfn.XLOOKUP(Base!M521,Parâmetros!G:G,Parâmetros!H:H))</f>
        <v>QUALIDADE DOS DADOS</v>
      </c>
      <c r="P526" s="1" t="str">
        <f>_xlfn.XLOOKUP(I526,Parâmetros!A:A,Parâmetros!D:D,_xlfn.XLOOKUP(Q526,Parâmetros!F:F,Parâmetros!I:I))</f>
        <v>SUPORTE OBT</v>
      </c>
      <c r="Q526" s="1">
        <f t="shared" si="17"/>
        <v>1</v>
      </c>
    </row>
    <row r="527" spans="1:17" x14ac:dyDescent="0.25">
      <c r="A527" s="1" t="str">
        <f>_xlfn.XLOOKUP(D527,'Novo relatório'!B:B,'Novo relatório'!C:C,"RESOLVIDO")</f>
        <v>SABRE</v>
      </c>
      <c r="C527" t="str">
        <f t="shared" si="16"/>
        <v>PENDENTE</v>
      </c>
      <c r="D527" s="1">
        <v>3232093</v>
      </c>
      <c r="E527" s="1" t="s">
        <v>26</v>
      </c>
      <c r="F527" s="2">
        <v>45695.531944444447</v>
      </c>
      <c r="G527" s="1" t="s">
        <v>972</v>
      </c>
      <c r="H527" s="1" t="s">
        <v>972</v>
      </c>
      <c r="I527" s="1" t="s">
        <v>589</v>
      </c>
      <c r="J527" s="2">
        <v>45695.662499999999</v>
      </c>
      <c r="L527" s="1" t="s">
        <v>18</v>
      </c>
      <c r="M527" s="1" t="str">
        <f>_xlfn.XLOOKUP(I527,Parâmetros!A:A,Parâmetros!B:B,_xlfn.XLOOKUP(Q527,Parâmetros!F:F,Parâmetros!G:G,"NOVA MENSAGEM"))</f>
        <v>REMARK - CNPJ</v>
      </c>
      <c r="N527" s="1" t="str">
        <f>_xlfn.XLOOKUP(M527,Parâmetros!K:K,Parâmetros!L:L,"")</f>
        <v/>
      </c>
      <c r="O527" s="1" t="str">
        <f>_xlfn.XLOOKUP(M527,Parâmetros!B:B,Parâmetros!C:C,_xlfn.XLOOKUP(Base!M522,Parâmetros!G:G,Parâmetros!H:H))</f>
        <v>QUALIDADE DOS DADOS</v>
      </c>
      <c r="P527" s="1" t="str">
        <f>_xlfn.XLOOKUP(I527,Parâmetros!A:A,Parâmetros!D:D,_xlfn.XLOOKUP(Q527,Parâmetros!F:F,Parâmetros!I:I))</f>
        <v>OPERAÇÕES / SUPORTE KCS</v>
      </c>
      <c r="Q527" s="1">
        <f t="shared" si="17"/>
        <v>24</v>
      </c>
    </row>
    <row r="528" spans="1:17" x14ac:dyDescent="0.25">
      <c r="A528" s="1" t="str">
        <f>_xlfn.XLOOKUP(D528,'Novo relatório'!B:B,'Novo relatório'!C:C,"RESOLVIDO")</f>
        <v>SABRE</v>
      </c>
      <c r="C528" t="str">
        <f t="shared" si="16"/>
        <v>PENDENTE</v>
      </c>
      <c r="D528" s="1">
        <v>3232094</v>
      </c>
      <c r="E528" s="1" t="s">
        <v>26</v>
      </c>
      <c r="F528" s="2">
        <v>45695.531944444447</v>
      </c>
      <c r="G528" s="1" t="s">
        <v>963</v>
      </c>
      <c r="H528" s="1" t="s">
        <v>963</v>
      </c>
      <c r="I528" s="1" t="s">
        <v>581</v>
      </c>
      <c r="J528" s="2">
        <v>45695.662499999999</v>
      </c>
      <c r="L528" s="1" t="s">
        <v>18</v>
      </c>
      <c r="M528" s="1" t="str">
        <f>_xlfn.XLOOKUP(I528,Parâmetros!A:A,Parâmetros!B:B,_xlfn.XLOOKUP(Q528,Parâmetros!F:F,Parâmetros!G:G,"NOVA MENSAGEM"))</f>
        <v>REMARK - CNPJ</v>
      </c>
      <c r="N528" s="1" t="str">
        <f>_xlfn.XLOOKUP(M528,Parâmetros!K:K,Parâmetros!L:L,"")</f>
        <v/>
      </c>
      <c r="O528" s="1" t="str">
        <f>_xlfn.XLOOKUP(M528,Parâmetros!B:B,Parâmetros!C:C,_xlfn.XLOOKUP(Base!M523,Parâmetros!G:G,Parâmetros!H:H))</f>
        <v>QUALIDADE DOS DADOS</v>
      </c>
      <c r="P528" s="1" t="str">
        <f>_xlfn.XLOOKUP(I528,Parâmetros!A:A,Parâmetros!D:D,_xlfn.XLOOKUP(Q528,Parâmetros!F:F,Parâmetros!I:I))</f>
        <v>OPERAÇÕES / SUPORTE KCS</v>
      </c>
      <c r="Q528" s="1">
        <f t="shared" si="17"/>
        <v>24</v>
      </c>
    </row>
    <row r="529" spans="1:17" x14ac:dyDescent="0.25">
      <c r="A529" s="1" t="str">
        <f>_xlfn.XLOOKUP(D529,'Novo relatório'!B:B,'Novo relatório'!C:C,"RESOLVIDO")</f>
        <v>SABRE</v>
      </c>
      <c r="C529" t="str">
        <f t="shared" si="16"/>
        <v>PENDENTE</v>
      </c>
      <c r="D529" s="1">
        <v>3232099</v>
      </c>
      <c r="E529" s="1" t="s">
        <v>26</v>
      </c>
      <c r="F529" s="2">
        <v>45695.531944444447</v>
      </c>
      <c r="G529" s="1" t="s">
        <v>957</v>
      </c>
      <c r="H529" s="1" t="s">
        <v>957</v>
      </c>
      <c r="I529" s="1" t="s">
        <v>83</v>
      </c>
      <c r="J529" s="2">
        <v>45695.663194444445</v>
      </c>
      <c r="L529" s="1" t="s">
        <v>18</v>
      </c>
      <c r="M529" s="1" t="str">
        <f>_xlfn.XLOOKUP(I529,Parâmetros!A:A,Parâmetros!B:B,_xlfn.XLOOKUP(Q529,Parâmetros!F:F,Parâmetros!G:G,"NOVA MENSAGEM"))</f>
        <v>CLIENTE NÃO IDENTIFICADO</v>
      </c>
      <c r="N529" s="1" t="str">
        <f>_xlfn.XLOOKUP(M529,Parâmetros!K:K,Parâmetros!L:L,"")</f>
        <v>DK DE CLIENTE NÃO PREENCIDO / CLIENTE NÃO CONFIGURADO NO OBT</v>
      </c>
      <c r="O529" s="1" t="str">
        <f>_xlfn.XLOOKUP(M529,Parâmetros!B:B,Parâmetros!C:C,_xlfn.XLOOKUP(Base!M524,Parâmetros!G:G,Parâmetros!H:H))</f>
        <v>INDEFINIDO</v>
      </c>
      <c r="P529" s="1" t="str">
        <f>_xlfn.XLOOKUP(I529,Parâmetros!A:A,Parâmetros!D:D,_xlfn.XLOOKUP(Q529,Parâmetros!F:F,Parâmetros!I:I))</f>
        <v>OPERAÇÕES / SUPORTE KCS</v>
      </c>
      <c r="Q529" s="1" t="str">
        <f t="shared" si="17"/>
        <v>COLUNA I</v>
      </c>
    </row>
    <row r="530" spans="1:17" x14ac:dyDescent="0.25">
      <c r="A530" s="1" t="str">
        <f>_xlfn.XLOOKUP(D530,'Novo relatório'!B:B,'Novo relatório'!C:C,"RESOLVIDO")</f>
        <v>SABRE</v>
      </c>
      <c r="C530" t="str">
        <f t="shared" si="16"/>
        <v>PENDENTE</v>
      </c>
      <c r="D530" s="1">
        <v>3232322</v>
      </c>
      <c r="E530" s="1" t="s">
        <v>26</v>
      </c>
      <c r="F530" s="2">
        <v>45695.722916666666</v>
      </c>
      <c r="G530" s="1" t="s">
        <v>961</v>
      </c>
      <c r="H530" s="1" t="s">
        <v>961</v>
      </c>
      <c r="I530" s="1" t="s">
        <v>394</v>
      </c>
      <c r="J530" s="2">
        <v>45695.72152777778</v>
      </c>
      <c r="K530" s="2">
        <v>45695.866666666669</v>
      </c>
      <c r="L530" s="1" t="s">
        <v>18</v>
      </c>
      <c r="M530" s="1" t="str">
        <f>_xlfn.XLOOKUP(I530,Parâmetros!A:A,Parâmetros!B:B,_xlfn.XLOOKUP(Q530,Parâmetros!F:F,Parâmetros!G:G,"NOVA MENSAGEM"))</f>
        <v>REMARK - CNPJ</v>
      </c>
      <c r="N530" s="1" t="str">
        <f>_xlfn.XLOOKUP(M530,Parâmetros!K:K,Parâmetros!L:L,"")</f>
        <v/>
      </c>
      <c r="O530" s="1" t="str">
        <f>_xlfn.XLOOKUP(M530,Parâmetros!B:B,Parâmetros!C:C,_xlfn.XLOOKUP(Base!M525,Parâmetros!G:G,Parâmetros!H:H))</f>
        <v>QUALIDADE DOS DADOS</v>
      </c>
      <c r="P530" s="1" t="str">
        <f>_xlfn.XLOOKUP(I530,Parâmetros!A:A,Parâmetros!D:D,_xlfn.XLOOKUP(Q530,Parâmetros!F:F,Parâmetros!I:I))</f>
        <v>OPERAÇÕES / SUPORTE KCS</v>
      </c>
      <c r="Q530" s="1">
        <f t="shared" si="17"/>
        <v>24</v>
      </c>
    </row>
    <row r="531" spans="1:17" x14ac:dyDescent="0.25">
      <c r="A531" s="1" t="str">
        <f>_xlfn.XLOOKUP(D531,'Novo relatório'!B:B,'Novo relatório'!C:C,"RESOLVIDO")</f>
        <v>SABRE</v>
      </c>
      <c r="C531" t="str">
        <f t="shared" si="16"/>
        <v>PENDENTE</v>
      </c>
      <c r="D531" s="1">
        <v>3233049</v>
      </c>
      <c r="E531" s="1" t="s">
        <v>26</v>
      </c>
      <c r="F531" s="2">
        <v>45695.722916666666</v>
      </c>
      <c r="G531" s="1" t="s">
        <v>960</v>
      </c>
      <c r="H531" s="1" t="s">
        <v>960</v>
      </c>
      <c r="I531" s="1" t="s">
        <v>692</v>
      </c>
      <c r="J531" s="2">
        <v>45695.786111111112</v>
      </c>
      <c r="K531" s="2">
        <v>45695.866666666669</v>
      </c>
      <c r="L531" s="1" t="s">
        <v>18</v>
      </c>
      <c r="M531" s="1" t="str">
        <f>_xlfn.XLOOKUP(I531,Parâmetros!A:A,Parâmetros!B:B,_xlfn.XLOOKUP(Q531,Parâmetros!F:F,Parâmetros!G:G,"NOVA MENSAGEM"))</f>
        <v>REMARK - CNPJ</v>
      </c>
      <c r="N531" s="1" t="str">
        <f>_xlfn.XLOOKUP(M531,Parâmetros!K:K,Parâmetros!L:L,"")</f>
        <v/>
      </c>
      <c r="O531" s="1" t="str">
        <f>_xlfn.XLOOKUP(M531,Parâmetros!B:B,Parâmetros!C:C,_xlfn.XLOOKUP(Base!M526,Parâmetros!G:G,Parâmetros!H:H))</f>
        <v>QUALIDADE DOS DADOS</v>
      </c>
      <c r="P531" s="1" t="str">
        <f>_xlfn.XLOOKUP(I531,Parâmetros!A:A,Parâmetros!D:D,_xlfn.XLOOKUP(Q531,Parâmetros!F:F,Parâmetros!I:I))</f>
        <v>OPERAÇÕES / SUPORTE KCS</v>
      </c>
      <c r="Q531" s="1">
        <f t="shared" si="17"/>
        <v>24</v>
      </c>
    </row>
    <row r="532" spans="1:17" x14ac:dyDescent="0.25">
      <c r="A532" s="1" t="str">
        <f>_xlfn.XLOOKUP(D532,'Novo relatório'!B:B,'Novo relatório'!C:C,"RESOLVIDO")</f>
        <v>SABRE</v>
      </c>
      <c r="C532" t="str">
        <f t="shared" si="16"/>
        <v>PENDENTE</v>
      </c>
      <c r="D532" s="1">
        <v>3233056</v>
      </c>
      <c r="E532" s="1" t="s">
        <v>26</v>
      </c>
      <c r="F532" s="2">
        <v>45695.722916666666</v>
      </c>
      <c r="G532" s="1" t="s">
        <v>984</v>
      </c>
      <c r="H532" s="1" t="s">
        <v>984</v>
      </c>
      <c r="I532" s="1" t="s">
        <v>692</v>
      </c>
      <c r="J532" s="2">
        <v>45695.786111111112</v>
      </c>
      <c r="K532" s="2">
        <v>45695.866666666669</v>
      </c>
      <c r="L532" s="1" t="s">
        <v>18</v>
      </c>
      <c r="M532" s="1" t="str">
        <f>_xlfn.XLOOKUP(I532,Parâmetros!A:A,Parâmetros!B:B,_xlfn.XLOOKUP(Q532,Parâmetros!F:F,Parâmetros!G:G,"NOVA MENSAGEM"))</f>
        <v>REMARK - CNPJ</v>
      </c>
      <c r="N532" s="1" t="str">
        <f>_xlfn.XLOOKUP(M532,Parâmetros!K:K,Parâmetros!L:L,"")</f>
        <v/>
      </c>
      <c r="O532" s="1" t="str">
        <f>_xlfn.XLOOKUP(M532,Parâmetros!B:B,Parâmetros!C:C,_xlfn.XLOOKUP(Base!M527,Parâmetros!G:G,Parâmetros!H:H))</f>
        <v>QUALIDADE DOS DADOS</v>
      </c>
      <c r="P532" s="1" t="str">
        <f>_xlfn.XLOOKUP(I532,Parâmetros!A:A,Parâmetros!D:D,_xlfn.XLOOKUP(Q532,Parâmetros!F:F,Parâmetros!I:I))</f>
        <v>OPERAÇÕES / SUPORTE KCS</v>
      </c>
      <c r="Q532" s="1">
        <f t="shared" si="17"/>
        <v>24</v>
      </c>
    </row>
    <row r="533" spans="1:17" x14ac:dyDescent="0.25">
      <c r="A533" s="1" t="str">
        <f>_xlfn.XLOOKUP(D533,'Novo relatório'!B:B,'Novo relatório'!C:C,"RESOLVIDO")</f>
        <v>SABRE</v>
      </c>
      <c r="C533" t="str">
        <f t="shared" si="16"/>
        <v>PENDENTE</v>
      </c>
      <c r="D533" s="1">
        <v>3233348</v>
      </c>
      <c r="E533" s="1" t="s">
        <v>26</v>
      </c>
      <c r="F533" s="2">
        <v>45695.722916666666</v>
      </c>
      <c r="G533" s="1" t="s">
        <v>991</v>
      </c>
      <c r="H533" s="1" t="s">
        <v>991</v>
      </c>
      <c r="I533" s="1" t="s">
        <v>83</v>
      </c>
      <c r="J533" s="2">
        <v>45695.867361111108</v>
      </c>
      <c r="L533" s="1" t="s">
        <v>18</v>
      </c>
      <c r="M533" s="1" t="str">
        <f>_xlfn.XLOOKUP(I533,Parâmetros!A:A,Parâmetros!B:B,_xlfn.XLOOKUP(Q533,Parâmetros!F:F,Parâmetros!G:G,"NOVA MENSAGEM"))</f>
        <v>CLIENTE NÃO IDENTIFICADO</v>
      </c>
      <c r="N533" s="1" t="str">
        <f>_xlfn.XLOOKUP(M533,Parâmetros!K:K,Parâmetros!L:L,"")</f>
        <v>DK DE CLIENTE NÃO PREENCIDO / CLIENTE NÃO CONFIGURADO NO OBT</v>
      </c>
      <c r="O533" s="1" t="str">
        <f>_xlfn.XLOOKUP(M533,Parâmetros!B:B,Parâmetros!C:C,_xlfn.XLOOKUP(Base!M528,Parâmetros!G:G,Parâmetros!H:H))</f>
        <v>INDEFINIDO</v>
      </c>
      <c r="P533" s="1" t="str">
        <f>_xlfn.XLOOKUP(I533,Parâmetros!A:A,Parâmetros!D:D,_xlfn.XLOOKUP(Q533,Parâmetros!F:F,Parâmetros!I:I))</f>
        <v>OPERAÇÕES / SUPORTE KCS</v>
      </c>
      <c r="Q533" s="1" t="str">
        <f t="shared" si="17"/>
        <v>COLUNA I</v>
      </c>
    </row>
    <row r="534" spans="1:17" x14ac:dyDescent="0.25">
      <c r="A534" s="1" t="str">
        <f>_xlfn.XLOOKUP(D534,'Novo relatório'!B:B,'Novo relatório'!C:C,"RESOLVIDO")</f>
        <v>SABRE</v>
      </c>
      <c r="C534" t="str">
        <f t="shared" si="16"/>
        <v>PENDENTE</v>
      </c>
      <c r="D534" s="1">
        <v>3233354</v>
      </c>
      <c r="E534" s="1" t="s">
        <v>26</v>
      </c>
      <c r="F534" s="2">
        <v>45695.722916666666</v>
      </c>
      <c r="G534" s="1" t="s">
        <v>954</v>
      </c>
      <c r="H534" s="1" t="s">
        <v>954</v>
      </c>
      <c r="I534" s="1" t="s">
        <v>83</v>
      </c>
      <c r="J534" s="2">
        <v>45695.867361111108</v>
      </c>
      <c r="L534" s="1" t="s">
        <v>18</v>
      </c>
      <c r="M534" s="1" t="str">
        <f>_xlfn.XLOOKUP(I534,Parâmetros!A:A,Parâmetros!B:B,_xlfn.XLOOKUP(Q534,Parâmetros!F:F,Parâmetros!G:G,"NOVA MENSAGEM"))</f>
        <v>CLIENTE NÃO IDENTIFICADO</v>
      </c>
      <c r="N534" s="1" t="str">
        <f>_xlfn.XLOOKUP(M534,Parâmetros!K:K,Parâmetros!L:L,"")</f>
        <v>DK DE CLIENTE NÃO PREENCIDO / CLIENTE NÃO CONFIGURADO NO OBT</v>
      </c>
      <c r="O534" s="1" t="str">
        <f>_xlfn.XLOOKUP(M534,Parâmetros!B:B,Parâmetros!C:C,_xlfn.XLOOKUP(Base!M529,Parâmetros!G:G,Parâmetros!H:H))</f>
        <v>INDEFINIDO</v>
      </c>
      <c r="P534" s="1" t="str">
        <f>_xlfn.XLOOKUP(I534,Parâmetros!A:A,Parâmetros!D:D,_xlfn.XLOOKUP(Q534,Parâmetros!F:F,Parâmetros!I:I))</f>
        <v>OPERAÇÕES / SUPORTE KCS</v>
      </c>
      <c r="Q534" s="1" t="str">
        <f t="shared" si="17"/>
        <v>COLUNA I</v>
      </c>
    </row>
    <row r="535" spans="1:17" x14ac:dyDescent="0.25">
      <c r="A535" s="1" t="str">
        <f>_xlfn.XLOOKUP(D535,'Novo relatório'!B:B,'Novo relatório'!C:C,"RESOLVIDO")</f>
        <v>SABRE</v>
      </c>
      <c r="C535" t="str">
        <f t="shared" si="16"/>
        <v>PENDENTE</v>
      </c>
      <c r="D535" s="1">
        <v>3233355</v>
      </c>
      <c r="E535" s="1" t="s">
        <v>26</v>
      </c>
      <c r="F535" s="2">
        <v>45695.722916666666</v>
      </c>
      <c r="G535" s="1" t="s">
        <v>973</v>
      </c>
      <c r="H535" s="1" t="s">
        <v>973</v>
      </c>
      <c r="I535" s="1" t="s">
        <v>83</v>
      </c>
      <c r="J535" s="2">
        <v>45695.868055555555</v>
      </c>
      <c r="L535" s="1" t="s">
        <v>18</v>
      </c>
      <c r="M535" s="1" t="str">
        <f>_xlfn.XLOOKUP(I535,Parâmetros!A:A,Parâmetros!B:B,_xlfn.XLOOKUP(Q535,Parâmetros!F:F,Parâmetros!G:G,"NOVA MENSAGEM"))</f>
        <v>CLIENTE NÃO IDENTIFICADO</v>
      </c>
      <c r="N535" s="1" t="str">
        <f>_xlfn.XLOOKUP(M535,Parâmetros!K:K,Parâmetros!L:L,"")</f>
        <v>DK DE CLIENTE NÃO PREENCIDO / CLIENTE NÃO CONFIGURADO NO OBT</v>
      </c>
      <c r="O535" s="1" t="str">
        <f>_xlfn.XLOOKUP(M535,Parâmetros!B:B,Parâmetros!C:C,_xlfn.XLOOKUP(Base!M530,Parâmetros!G:G,Parâmetros!H:H))</f>
        <v>INDEFINIDO</v>
      </c>
      <c r="P535" s="1" t="str">
        <f>_xlfn.XLOOKUP(I535,Parâmetros!A:A,Parâmetros!D:D,_xlfn.XLOOKUP(Q535,Parâmetros!F:F,Parâmetros!I:I))</f>
        <v>OPERAÇÕES / SUPORTE KCS</v>
      </c>
      <c r="Q535" s="1" t="str">
        <f t="shared" si="17"/>
        <v>COLUNA I</v>
      </c>
    </row>
    <row r="536" spans="1:17" x14ac:dyDescent="0.25">
      <c r="A536" s="1" t="str">
        <f>_xlfn.XLOOKUP(D536,'Novo relatório'!B:B,'Novo relatório'!C:C,"RESOLVIDO")</f>
        <v>SABRE</v>
      </c>
      <c r="C536" t="str">
        <f t="shared" si="16"/>
        <v>PENDENTE</v>
      </c>
      <c r="D536" s="1">
        <v>3233358</v>
      </c>
      <c r="E536" s="1" t="s">
        <v>26</v>
      </c>
      <c r="F536" s="2">
        <v>45695.722916666666</v>
      </c>
      <c r="G536" s="1" t="s">
        <v>1015</v>
      </c>
      <c r="H536" s="1" t="s">
        <v>1015</v>
      </c>
      <c r="I536" s="1" t="s">
        <v>83</v>
      </c>
      <c r="J536" s="2">
        <v>45695.868055555555</v>
      </c>
      <c r="L536" s="1" t="s">
        <v>18</v>
      </c>
      <c r="M536" s="1" t="str">
        <f>_xlfn.XLOOKUP(I536,Parâmetros!A:A,Parâmetros!B:B,_xlfn.XLOOKUP(Q536,Parâmetros!F:F,Parâmetros!G:G,"NOVA MENSAGEM"))</f>
        <v>CLIENTE NÃO IDENTIFICADO</v>
      </c>
      <c r="N536" s="1" t="str">
        <f>_xlfn.XLOOKUP(M536,Parâmetros!K:K,Parâmetros!L:L,"")</f>
        <v>DK DE CLIENTE NÃO PREENCIDO / CLIENTE NÃO CONFIGURADO NO OBT</v>
      </c>
      <c r="O536" s="1" t="str">
        <f>_xlfn.XLOOKUP(M536,Parâmetros!B:B,Parâmetros!C:C,_xlfn.XLOOKUP(Base!M531,Parâmetros!G:G,Parâmetros!H:H))</f>
        <v>INDEFINIDO</v>
      </c>
      <c r="P536" s="1" t="str">
        <f>_xlfn.XLOOKUP(I536,Parâmetros!A:A,Parâmetros!D:D,_xlfn.XLOOKUP(Q536,Parâmetros!F:F,Parâmetros!I:I))</f>
        <v>OPERAÇÕES / SUPORTE KCS</v>
      </c>
      <c r="Q536" s="1" t="str">
        <f t="shared" si="17"/>
        <v>COLUNA I</v>
      </c>
    </row>
    <row r="537" spans="1:17" x14ac:dyDescent="0.25">
      <c r="A537" s="1" t="str">
        <f>_xlfn.XLOOKUP(D537,'Novo relatório'!B:B,'Novo relatório'!C:C,"RESOLVIDO")</f>
        <v>SABRE</v>
      </c>
      <c r="C537" t="str">
        <f t="shared" si="16"/>
        <v>PENDENTE</v>
      </c>
      <c r="D537" s="1">
        <v>3233364</v>
      </c>
      <c r="E537" s="1" t="s">
        <v>26</v>
      </c>
      <c r="F537" s="2">
        <v>45695.722916666666</v>
      </c>
      <c r="G537" s="1" t="s">
        <v>985</v>
      </c>
      <c r="H537" s="1" t="s">
        <v>985</v>
      </c>
      <c r="I537" s="1" t="s">
        <v>986</v>
      </c>
      <c r="J537" s="2">
        <v>45695.868750000001</v>
      </c>
      <c r="L537" s="1" t="s">
        <v>18</v>
      </c>
      <c r="M537" s="1" t="str">
        <f>_xlfn.XLOOKUP(I537,Parâmetros!A:A,Parâmetros!B:B,_xlfn.XLOOKUP(Q537,Parâmetros!F:F,Parâmetros!G:G,"NOVA MENSAGEM"))</f>
        <v>REMARK - CNPJ</v>
      </c>
      <c r="N537" s="1" t="str">
        <f>_xlfn.XLOOKUP(M537,Parâmetros!K:K,Parâmetros!L:L,"")</f>
        <v/>
      </c>
      <c r="O537" s="1" t="str">
        <f>_xlfn.XLOOKUP(M537,Parâmetros!B:B,Parâmetros!C:C,_xlfn.XLOOKUP(Base!M532,Parâmetros!G:G,Parâmetros!H:H))</f>
        <v>QUALIDADE DOS DADOS</v>
      </c>
      <c r="P537" s="1" t="str">
        <f>_xlfn.XLOOKUP(I537,Parâmetros!A:A,Parâmetros!D:D,_xlfn.XLOOKUP(Q537,Parâmetros!F:F,Parâmetros!I:I))</f>
        <v>OPERAÇÕES / SUPORTE KCS</v>
      </c>
      <c r="Q537" s="1">
        <f t="shared" si="17"/>
        <v>24</v>
      </c>
    </row>
    <row r="538" spans="1:17" x14ac:dyDescent="0.25">
      <c r="A538" s="1" t="str">
        <f>_xlfn.XLOOKUP(D538,'Novo relatório'!B:B,'Novo relatório'!C:C,"RESOLVIDO")</f>
        <v>SABRE</v>
      </c>
      <c r="C538" t="str">
        <f t="shared" si="16"/>
        <v>PENDENTE</v>
      </c>
      <c r="D538" s="1">
        <v>3233369</v>
      </c>
      <c r="E538" s="1" t="s">
        <v>26</v>
      </c>
      <c r="F538" s="2">
        <v>45695.722916666666</v>
      </c>
      <c r="G538" s="1" t="s">
        <v>1003</v>
      </c>
      <c r="H538" s="1" t="s">
        <v>1003</v>
      </c>
      <c r="I538" s="1" t="s">
        <v>83</v>
      </c>
      <c r="J538" s="2">
        <v>45695.868750000001</v>
      </c>
      <c r="L538" s="1" t="s">
        <v>18</v>
      </c>
      <c r="M538" s="1" t="str">
        <f>_xlfn.XLOOKUP(I538,Parâmetros!A:A,Parâmetros!B:B,_xlfn.XLOOKUP(Q538,Parâmetros!F:F,Parâmetros!G:G,"NOVA MENSAGEM"))</f>
        <v>CLIENTE NÃO IDENTIFICADO</v>
      </c>
      <c r="N538" s="1" t="str">
        <f>_xlfn.XLOOKUP(M538,Parâmetros!K:K,Parâmetros!L:L,"")</f>
        <v>DK DE CLIENTE NÃO PREENCIDO / CLIENTE NÃO CONFIGURADO NO OBT</v>
      </c>
      <c r="O538" s="1" t="str">
        <f>_xlfn.XLOOKUP(M538,Parâmetros!B:B,Parâmetros!C:C,_xlfn.XLOOKUP(Base!M533,Parâmetros!G:G,Parâmetros!H:H))</f>
        <v>INDEFINIDO</v>
      </c>
      <c r="P538" s="1" t="str">
        <f>_xlfn.XLOOKUP(I538,Parâmetros!A:A,Parâmetros!D:D,_xlfn.XLOOKUP(Q538,Parâmetros!F:F,Parâmetros!I:I))</f>
        <v>OPERAÇÕES / SUPORTE KCS</v>
      </c>
      <c r="Q538" s="1" t="str">
        <f t="shared" si="17"/>
        <v>COLUNA I</v>
      </c>
    </row>
    <row r="539" spans="1:17" x14ac:dyDescent="0.25">
      <c r="A539" s="1" t="str">
        <f>_xlfn.XLOOKUP(D539,'Novo relatório'!B:B,'Novo relatório'!C:C,"RESOLVIDO")</f>
        <v>TMS</v>
      </c>
      <c r="C539" t="str">
        <f t="shared" si="16"/>
        <v>PENDENTE</v>
      </c>
      <c r="D539" s="1">
        <v>3234017</v>
      </c>
      <c r="E539" s="1" t="s">
        <v>12</v>
      </c>
      <c r="F539" s="2">
        <v>45695.803472222222</v>
      </c>
      <c r="G539" s="1">
        <v>4808</v>
      </c>
      <c r="H539" s="1">
        <v>4808</v>
      </c>
      <c r="I539" s="1" t="s">
        <v>16</v>
      </c>
      <c r="J539" s="2">
        <v>45695.972916666666</v>
      </c>
      <c r="K539" s="2">
        <v>45698.761805555558</v>
      </c>
      <c r="L539" s="1" t="s">
        <v>14</v>
      </c>
      <c r="M539" s="1" t="str">
        <f>_xlfn.XLOOKUP(I539,Parâmetros!A:A,Parâmetros!B:B,_xlfn.XLOOKUP(Q539,Parâmetros!F:F,Parâmetros!G:G,"NOVA MENSAGEM"))</f>
        <v>ASSENTO / BAGAGEM</v>
      </c>
      <c r="N539" s="1" t="str">
        <f>_xlfn.XLOOKUP(M539,Parâmetros!K:K,Parâmetros!L:L,"")</f>
        <v>CAMPO OBSERVAÇÃO PREENCHIDO INCORRETAMENTE</v>
      </c>
      <c r="O539" s="1" t="str">
        <f>_xlfn.XLOOKUP(M539,Parâmetros!B:B,Parâmetros!C:C,_xlfn.XLOOKUP(Base!M534,Parâmetros!G:G,Parâmetros!H:H))</f>
        <v>QUALIDADE DOS DADOS</v>
      </c>
      <c r="P539" s="1" t="str">
        <f>_xlfn.XLOOKUP(I539,Parâmetros!A:A,Parâmetros!D:D,_xlfn.XLOOKUP(Q539,Parâmetros!F:F,Parâmetros!I:I))</f>
        <v>OPERAÇÕES / SUPORTE KCS</v>
      </c>
      <c r="Q539" s="1">
        <f t="shared" si="17"/>
        <v>118</v>
      </c>
    </row>
    <row r="540" spans="1:17" x14ac:dyDescent="0.25">
      <c r="A540" s="1" t="str">
        <f>_xlfn.XLOOKUP(D540,'Novo relatório'!B:B,'Novo relatório'!C:C,"RESOLVIDO")</f>
        <v>TMS</v>
      </c>
      <c r="C540" t="str">
        <f t="shared" si="16"/>
        <v>PENDENTE</v>
      </c>
      <c r="D540" s="1">
        <v>3234166</v>
      </c>
      <c r="E540" s="1" t="s">
        <v>12</v>
      </c>
      <c r="F540" s="2">
        <v>45695.730555555558</v>
      </c>
      <c r="G540" s="1">
        <v>18013</v>
      </c>
      <c r="H540" s="1">
        <v>18013</v>
      </c>
      <c r="I540" s="1" t="s">
        <v>1022</v>
      </c>
      <c r="J540" s="2">
        <v>45695.987500000003</v>
      </c>
      <c r="K540" s="2">
        <v>45698.806250000001</v>
      </c>
      <c r="L540" s="1" t="s">
        <v>14</v>
      </c>
      <c r="M540" s="1" t="str">
        <f>_xlfn.XLOOKUP(I540,Parâmetros!A:A,Parâmetros!B:B,_xlfn.XLOOKUP(Q540,Parâmetros!F:F,Parâmetros!G:G,"NOVA MENSAGEM"))</f>
        <v>ASSENTO / BAGAGEM</v>
      </c>
      <c r="N540" s="1" t="str">
        <f>_xlfn.XLOOKUP(M540,Parâmetros!K:K,Parâmetros!L:L,"")</f>
        <v>CAMPO OBSERVAÇÃO PREENCHIDO INCORRETAMENTE</v>
      </c>
      <c r="O540" s="1" t="str">
        <f>_xlfn.XLOOKUP(M540,Parâmetros!B:B,Parâmetros!C:C,_xlfn.XLOOKUP(Base!M535,Parâmetros!G:G,Parâmetros!H:H))</f>
        <v>QUALIDADE DOS DADOS</v>
      </c>
      <c r="P540" s="1" t="str">
        <f>_xlfn.XLOOKUP(I540,Parâmetros!A:A,Parâmetros!D:D,_xlfn.XLOOKUP(Q540,Parâmetros!F:F,Parâmetros!I:I))</f>
        <v>OPERAÇÕES / SUPORTE KCS</v>
      </c>
      <c r="Q540" s="1">
        <f t="shared" si="17"/>
        <v>127</v>
      </c>
    </row>
    <row r="541" spans="1:17" x14ac:dyDescent="0.25">
      <c r="A541" s="1" t="str">
        <f>_xlfn.XLOOKUP(D541,'Novo relatório'!B:B,'Novo relatório'!C:C,"RESOLVIDO")</f>
        <v>SABRE</v>
      </c>
      <c r="C541" t="str">
        <f t="shared" si="16"/>
        <v>PENDENTE</v>
      </c>
      <c r="D541" s="1">
        <v>3234556</v>
      </c>
      <c r="E541" s="1" t="s">
        <v>26</v>
      </c>
      <c r="F541" s="2">
        <v>45698.236111111109</v>
      </c>
      <c r="G541" s="1" t="s">
        <v>964</v>
      </c>
      <c r="H541" s="1" t="s">
        <v>964</v>
      </c>
      <c r="I541" s="1" t="s">
        <v>394</v>
      </c>
      <c r="J541" s="2">
        <v>45698.366666666669</v>
      </c>
      <c r="L541" s="1" t="s">
        <v>18</v>
      </c>
      <c r="M541" s="1" t="str">
        <f>_xlfn.XLOOKUP(I541,Parâmetros!A:A,Parâmetros!B:B,_xlfn.XLOOKUP(Q541,Parâmetros!F:F,Parâmetros!G:G,"NOVA MENSAGEM"))</f>
        <v>REMARK - CNPJ</v>
      </c>
      <c r="N541" s="1" t="str">
        <f>_xlfn.XLOOKUP(M541,Parâmetros!K:K,Parâmetros!L:L,"")</f>
        <v/>
      </c>
      <c r="O541" s="1" t="e">
        <f>_xlfn.XLOOKUP(M541,Parâmetros!B:B,Parâmetros!C:C,_xlfn.XLOOKUP(Base!M536,Parâmetros!G:G,Parâmetros!H:H))</f>
        <v>#N/A</v>
      </c>
      <c r="P541" s="1" t="str">
        <f>_xlfn.XLOOKUP(I541,Parâmetros!A:A,Parâmetros!D:D,_xlfn.XLOOKUP(Q541,Parâmetros!F:F,Parâmetros!I:I))</f>
        <v>OPERAÇÕES / SUPORTE KCS</v>
      </c>
      <c r="Q541" s="1">
        <f t="shared" si="17"/>
        <v>24</v>
      </c>
    </row>
    <row r="542" spans="1:17" x14ac:dyDescent="0.25">
      <c r="A542" s="1" t="str">
        <f>_xlfn.XLOOKUP(D542,'Novo relatório'!B:B,'Novo relatório'!C:C,"RESOLVIDO")</f>
        <v>SABRE</v>
      </c>
      <c r="C542" t="str">
        <f t="shared" si="16"/>
        <v>PENDENTE</v>
      </c>
      <c r="D542" s="1">
        <v>3235417</v>
      </c>
      <c r="E542" s="1" t="s">
        <v>26</v>
      </c>
      <c r="F542" s="2">
        <v>45698.351388888892</v>
      </c>
      <c r="G542" s="1" t="s">
        <v>997</v>
      </c>
      <c r="H542" s="1" t="s">
        <v>997</v>
      </c>
      <c r="I542" s="1" t="s">
        <v>394</v>
      </c>
      <c r="J542" s="2">
        <v>45698.480555555558</v>
      </c>
      <c r="L542" s="1" t="s">
        <v>18</v>
      </c>
      <c r="M542" s="1" t="str">
        <f>_xlfn.XLOOKUP(I542,Parâmetros!A:A,Parâmetros!B:B,_xlfn.XLOOKUP(Q542,Parâmetros!F:F,Parâmetros!G:G,"NOVA MENSAGEM"))</f>
        <v>REMARK - CNPJ</v>
      </c>
      <c r="N542" s="1" t="str">
        <f>_xlfn.XLOOKUP(M542,Parâmetros!K:K,Parâmetros!L:L,"")</f>
        <v/>
      </c>
      <c r="O542" s="1" t="str">
        <f>_xlfn.XLOOKUP(M542,Parâmetros!B:B,Parâmetros!C:C,_xlfn.XLOOKUP(Base!M537,Parâmetros!G:G,Parâmetros!H:H))</f>
        <v>QUALIDADE DOS DADOS</v>
      </c>
      <c r="P542" s="1" t="str">
        <f>_xlfn.XLOOKUP(I542,Parâmetros!A:A,Parâmetros!D:D,_xlfn.XLOOKUP(Q542,Parâmetros!F:F,Parâmetros!I:I))</f>
        <v>OPERAÇÕES / SUPORTE KCS</v>
      </c>
      <c r="Q542" s="1">
        <f t="shared" si="17"/>
        <v>24</v>
      </c>
    </row>
    <row r="543" spans="1:17" x14ac:dyDescent="0.25">
      <c r="A543" s="1" t="str">
        <f>_xlfn.XLOOKUP(D543,'Novo relatório'!B:B,'Novo relatório'!C:C,"RESOLVIDO")</f>
        <v>SABRE</v>
      </c>
      <c r="C543" t="str">
        <f t="shared" si="16"/>
        <v>PENDENTE</v>
      </c>
      <c r="D543" s="1">
        <v>3236652</v>
      </c>
      <c r="E543" s="1" t="s">
        <v>26</v>
      </c>
      <c r="F543" s="2">
        <v>45698.572222222225</v>
      </c>
      <c r="G543" s="1" t="s">
        <v>1000</v>
      </c>
      <c r="H543" s="1" t="s">
        <v>1000</v>
      </c>
      <c r="I543" s="1" t="s">
        <v>692</v>
      </c>
      <c r="J543" s="2">
        <v>45698.70208333333</v>
      </c>
      <c r="L543" s="1" t="s">
        <v>18</v>
      </c>
      <c r="M543" s="1" t="str">
        <f>_xlfn.XLOOKUP(I543,Parâmetros!A:A,Parâmetros!B:B,_xlfn.XLOOKUP(Q543,Parâmetros!F:F,Parâmetros!G:G,"NOVA MENSAGEM"))</f>
        <v>REMARK - CNPJ</v>
      </c>
      <c r="N543" s="1" t="str">
        <f>_xlfn.XLOOKUP(M543,Parâmetros!K:K,Parâmetros!L:L,"")</f>
        <v/>
      </c>
      <c r="O543" s="1" t="e">
        <f>_xlfn.XLOOKUP(M543,Parâmetros!B:B,Parâmetros!C:C,_xlfn.XLOOKUP(Base!M538,Parâmetros!G:G,Parâmetros!H:H))</f>
        <v>#N/A</v>
      </c>
      <c r="P543" s="1" t="str">
        <f>_xlfn.XLOOKUP(I543,Parâmetros!A:A,Parâmetros!D:D,_xlfn.XLOOKUP(Q543,Parâmetros!F:F,Parâmetros!I:I))</f>
        <v>OPERAÇÕES / SUPORTE KCS</v>
      </c>
      <c r="Q543" s="1">
        <f t="shared" si="17"/>
        <v>24</v>
      </c>
    </row>
    <row r="544" spans="1:17" x14ac:dyDescent="0.25">
      <c r="A544" s="1" t="str">
        <f>_xlfn.XLOOKUP(D544,'Novo relatório'!B:B,'Novo relatório'!C:C,"RESOLVIDO")</f>
        <v>SABRE</v>
      </c>
      <c r="C544" t="str">
        <f t="shared" si="16"/>
        <v>PENDENTE</v>
      </c>
      <c r="D544" s="1">
        <v>3236653</v>
      </c>
      <c r="E544" s="1" t="s">
        <v>26</v>
      </c>
      <c r="F544" s="2">
        <v>45698.572222222225</v>
      </c>
      <c r="G544" s="1" t="s">
        <v>1001</v>
      </c>
      <c r="H544" s="1" t="s">
        <v>1000</v>
      </c>
      <c r="I544" s="1" t="s">
        <v>898</v>
      </c>
      <c r="J544" s="2">
        <v>45698.70208333333</v>
      </c>
      <c r="L544" s="1" t="s">
        <v>18</v>
      </c>
      <c r="M544" s="1" t="str">
        <f>_xlfn.XLOOKUP(I544,Parâmetros!A:A,Parâmetros!B:B,_xlfn.XLOOKUP(Q544,Parâmetros!F:F,Parâmetros!G:G,"NOVA MENSAGEM"))</f>
        <v>REMARK - CNPJ</v>
      </c>
      <c r="N544" s="1" t="str">
        <f>_xlfn.XLOOKUP(M544,Parâmetros!K:K,Parâmetros!L:L,"")</f>
        <v/>
      </c>
      <c r="O544" s="1" t="str">
        <f>_xlfn.XLOOKUP(M544,Parâmetros!B:B,Parâmetros!C:C,_xlfn.XLOOKUP(Base!M539,Parâmetros!G:G,Parâmetros!H:H))</f>
        <v>QUALIDADE DOS DADOS</v>
      </c>
      <c r="P544" s="1" t="str">
        <f>_xlfn.XLOOKUP(I544,Parâmetros!A:A,Parâmetros!D:D,_xlfn.XLOOKUP(Q544,Parâmetros!F:F,Parâmetros!I:I))</f>
        <v>OPERAÇÕES / SUPORTE KCS</v>
      </c>
      <c r="Q544" s="1">
        <f t="shared" si="17"/>
        <v>24</v>
      </c>
    </row>
    <row r="545" spans="1:17" x14ac:dyDescent="0.25">
      <c r="A545" s="1" t="str">
        <f>_xlfn.XLOOKUP(D545,'Novo relatório'!B:B,'Novo relatório'!C:C,"RESOLVIDO")</f>
        <v>SABRE</v>
      </c>
      <c r="C545" t="str">
        <f t="shared" si="16"/>
        <v>PENDENTE</v>
      </c>
      <c r="D545" s="1">
        <v>3237963</v>
      </c>
      <c r="E545" s="1" t="s">
        <v>26</v>
      </c>
      <c r="F545" s="2">
        <v>45698.729861111111</v>
      </c>
      <c r="G545" s="1" t="s">
        <v>980</v>
      </c>
      <c r="H545" s="1" t="s">
        <v>980</v>
      </c>
      <c r="I545" s="1" t="s">
        <v>83</v>
      </c>
      <c r="J545" s="2">
        <v>45698.856249999997</v>
      </c>
      <c r="L545" s="1" t="s">
        <v>18</v>
      </c>
      <c r="M545" s="1" t="str">
        <f>_xlfn.XLOOKUP(I545,Parâmetros!A:A,Parâmetros!B:B,_xlfn.XLOOKUP(Q545,Parâmetros!F:F,Parâmetros!G:G,"NOVA MENSAGEM"))</f>
        <v>CLIENTE NÃO IDENTIFICADO</v>
      </c>
      <c r="N545" s="1" t="str">
        <f>_xlfn.XLOOKUP(M545,Parâmetros!K:K,Parâmetros!L:L,"")</f>
        <v>DK DE CLIENTE NÃO PREENCIDO / CLIENTE NÃO CONFIGURADO NO OBT</v>
      </c>
      <c r="O545" s="1" t="str">
        <f>_xlfn.XLOOKUP(M545,Parâmetros!B:B,Parâmetros!C:C,_xlfn.XLOOKUP(Base!M540,Parâmetros!G:G,Parâmetros!H:H))</f>
        <v>INDEFINIDO</v>
      </c>
      <c r="P545" s="1" t="str">
        <f>_xlfn.XLOOKUP(I545,Parâmetros!A:A,Parâmetros!D:D,_xlfn.XLOOKUP(Q545,Parâmetros!F:F,Parâmetros!I:I))</f>
        <v>OPERAÇÕES / SUPORTE KCS</v>
      </c>
      <c r="Q545" s="1" t="str">
        <f t="shared" si="17"/>
        <v>COLUNA I</v>
      </c>
    </row>
    <row r="546" spans="1:17" x14ac:dyDescent="0.25">
      <c r="A546" s="1" t="str">
        <f>_xlfn.XLOOKUP(D546,'Novo relatório'!B:B,'Novo relatório'!C:C,"RESOLVIDO")</f>
        <v>SABRE</v>
      </c>
      <c r="C546" t="str">
        <f t="shared" si="16"/>
        <v>PENDENTE</v>
      </c>
      <c r="D546" s="1">
        <v>3237965</v>
      </c>
      <c r="E546" s="1" t="s">
        <v>26</v>
      </c>
      <c r="F546" s="2">
        <v>45698.729861111111</v>
      </c>
      <c r="G546" s="1" t="s">
        <v>982</v>
      </c>
      <c r="H546" s="1" t="s">
        <v>982</v>
      </c>
      <c r="I546" s="1" t="s">
        <v>83</v>
      </c>
      <c r="J546" s="2">
        <v>45698.856249999997</v>
      </c>
      <c r="L546" s="1" t="s">
        <v>18</v>
      </c>
      <c r="M546" s="1" t="str">
        <f>_xlfn.XLOOKUP(I546,Parâmetros!A:A,Parâmetros!B:B,_xlfn.XLOOKUP(Q546,Parâmetros!F:F,Parâmetros!G:G,"NOVA MENSAGEM"))</f>
        <v>CLIENTE NÃO IDENTIFICADO</v>
      </c>
      <c r="N546" s="1" t="str">
        <f>_xlfn.XLOOKUP(M546,Parâmetros!K:K,Parâmetros!L:L,"")</f>
        <v>DK DE CLIENTE NÃO PREENCIDO / CLIENTE NÃO CONFIGURADO NO OBT</v>
      </c>
      <c r="O546" s="1" t="str">
        <f>_xlfn.XLOOKUP(M546,Parâmetros!B:B,Parâmetros!C:C,_xlfn.XLOOKUP(Base!M541,Parâmetros!G:G,Parâmetros!H:H))</f>
        <v>INDEFINIDO</v>
      </c>
      <c r="P546" s="1" t="str">
        <f>_xlfn.XLOOKUP(I546,Parâmetros!A:A,Parâmetros!D:D,_xlfn.XLOOKUP(Q546,Parâmetros!F:F,Parâmetros!I:I))</f>
        <v>OPERAÇÕES / SUPORTE KCS</v>
      </c>
      <c r="Q546" s="1" t="str">
        <f t="shared" si="17"/>
        <v>COLUNA I</v>
      </c>
    </row>
    <row r="547" spans="1:17" x14ac:dyDescent="0.25">
      <c r="A547" s="1" t="str">
        <f>_xlfn.XLOOKUP(D547,'Novo relatório'!B:B,'Novo relatório'!C:C,"RESOLVIDO")</f>
        <v>SABRE</v>
      </c>
      <c r="C547" t="str">
        <f t="shared" si="16"/>
        <v>PENDENTE</v>
      </c>
      <c r="D547" s="1">
        <v>3237966</v>
      </c>
      <c r="E547" s="1" t="s">
        <v>26</v>
      </c>
      <c r="F547" s="2">
        <v>45698.729861111111</v>
      </c>
      <c r="G547" s="1" t="s">
        <v>993</v>
      </c>
      <c r="H547" s="1" t="s">
        <v>993</v>
      </c>
      <c r="I547" s="1" t="s">
        <v>83</v>
      </c>
      <c r="J547" s="2">
        <v>45698.856249999997</v>
      </c>
      <c r="L547" s="1" t="s">
        <v>18</v>
      </c>
      <c r="M547" s="1" t="str">
        <f>_xlfn.XLOOKUP(I547,Parâmetros!A:A,Parâmetros!B:B,_xlfn.XLOOKUP(Q547,Parâmetros!F:F,Parâmetros!G:G,"NOVA MENSAGEM"))</f>
        <v>CLIENTE NÃO IDENTIFICADO</v>
      </c>
      <c r="N547" s="1" t="str">
        <f>_xlfn.XLOOKUP(M547,Parâmetros!K:K,Parâmetros!L:L,"")</f>
        <v>DK DE CLIENTE NÃO PREENCIDO / CLIENTE NÃO CONFIGURADO NO OBT</v>
      </c>
      <c r="O547" s="1" t="str">
        <f>_xlfn.XLOOKUP(M547,Parâmetros!B:B,Parâmetros!C:C,_xlfn.XLOOKUP(Base!M542,Parâmetros!G:G,Parâmetros!H:H))</f>
        <v>INDEFINIDO</v>
      </c>
      <c r="P547" s="1" t="str">
        <f>_xlfn.XLOOKUP(I547,Parâmetros!A:A,Parâmetros!D:D,_xlfn.XLOOKUP(Q547,Parâmetros!F:F,Parâmetros!I:I))</f>
        <v>OPERAÇÕES / SUPORTE KCS</v>
      </c>
      <c r="Q547" s="1" t="str">
        <f t="shared" si="17"/>
        <v>COLUNA I</v>
      </c>
    </row>
    <row r="548" spans="1:17" x14ac:dyDescent="0.25">
      <c r="A548" s="1" t="str">
        <f>_xlfn.XLOOKUP(D548,'Novo relatório'!B:B,'Novo relatório'!C:C,"RESOLVIDO")</f>
        <v>SABRE</v>
      </c>
      <c r="C548" t="str">
        <f t="shared" si="16"/>
        <v>PENDENTE</v>
      </c>
      <c r="D548" s="1">
        <v>3237974</v>
      </c>
      <c r="E548" s="1" t="s">
        <v>26</v>
      </c>
      <c r="F548" s="2">
        <v>45698.729861111111</v>
      </c>
      <c r="G548" s="1" t="s">
        <v>981</v>
      </c>
      <c r="H548" s="1" t="s">
        <v>981</v>
      </c>
      <c r="I548" s="1" t="s">
        <v>395</v>
      </c>
      <c r="J548" s="2">
        <v>45698.856944444444</v>
      </c>
      <c r="L548" s="1" t="s">
        <v>18</v>
      </c>
      <c r="M548" s="1" t="str">
        <f>_xlfn.XLOOKUP(I548,Parâmetros!A:A,Parâmetros!B:B,_xlfn.XLOOKUP(Q548,Parâmetros!F:F,Parâmetros!G:G,"NOVA MENSAGEM"))</f>
        <v>REMARK - CNPJ</v>
      </c>
      <c r="N548" s="1" t="str">
        <f>_xlfn.XLOOKUP(M548,Parâmetros!K:K,Parâmetros!L:L,"")</f>
        <v/>
      </c>
      <c r="O548" s="1" t="str">
        <f>_xlfn.XLOOKUP(M548,Parâmetros!B:B,Parâmetros!C:C,_xlfn.XLOOKUP(Base!M543,Parâmetros!G:G,Parâmetros!H:H))</f>
        <v>QUALIDADE DOS DADOS</v>
      </c>
      <c r="P548" s="1" t="str">
        <f>_xlfn.XLOOKUP(I548,Parâmetros!A:A,Parâmetros!D:D,_xlfn.XLOOKUP(Q548,Parâmetros!F:F,Parâmetros!I:I))</f>
        <v>OPERAÇÕES / SUPORTE KCS</v>
      </c>
      <c r="Q548" s="1">
        <f t="shared" si="17"/>
        <v>24</v>
      </c>
    </row>
    <row r="549" spans="1:17" x14ac:dyDescent="0.25">
      <c r="A549" s="1" t="str">
        <f>_xlfn.XLOOKUP(D549,'Novo relatório'!B:B,'Novo relatório'!C:C,"RESOLVIDO")</f>
        <v>RESOLVIDO</v>
      </c>
      <c r="C549" t="str">
        <f t="shared" si="16"/>
        <v>RESOLVIDO</v>
      </c>
      <c r="D549" s="1">
        <v>3237977</v>
      </c>
      <c r="E549" s="1" t="s">
        <v>26</v>
      </c>
      <c r="F549" s="2">
        <v>45698.729861111111</v>
      </c>
      <c r="G549" s="1" t="s">
        <v>992</v>
      </c>
      <c r="H549" s="1" t="s">
        <v>992</v>
      </c>
      <c r="I549" s="1" t="s">
        <v>588</v>
      </c>
      <c r="J549" s="2">
        <v>45698.857638888891</v>
      </c>
      <c r="L549" s="1" t="s">
        <v>14</v>
      </c>
      <c r="M549" s="1" t="str">
        <f>_xlfn.XLOOKUP(I549,Parâmetros!A:A,Parâmetros!B:B,_xlfn.XLOOKUP(Q549,Parâmetros!F:F,Parâmetros!G:G,"NOVA MENSAGEM"))</f>
        <v>ERRO NO XML</v>
      </c>
      <c r="N549" s="1" t="str">
        <f>_xlfn.XLOOKUP(M549,Parâmetros!K:K,Parâmetros!L:L,"")</f>
        <v/>
      </c>
      <c r="O549" s="1" t="str">
        <f>_xlfn.XLOOKUP(M549,Parâmetros!B:B,Parâmetros!C:C,_xlfn.XLOOKUP(Base!M544,Parâmetros!G:G,Parâmetros!H:H))</f>
        <v>SISTEMA</v>
      </c>
      <c r="P549" s="1" t="str">
        <f>_xlfn.XLOOKUP(I549,Parâmetros!A:A,Parâmetros!D:D,_xlfn.XLOOKUP(Q549,Parâmetros!F:F,Parâmetros!I:I))</f>
        <v>SUPORTE OBT</v>
      </c>
      <c r="Q549" s="1" t="str">
        <f t="shared" si="17"/>
        <v>COLUNA I</v>
      </c>
    </row>
    <row r="550" spans="1:17" x14ac:dyDescent="0.25">
      <c r="A550" s="1" t="str">
        <f>_xlfn.XLOOKUP(D550,'Novo relatório'!B:B,'Novo relatório'!C:C,"RESOLVIDO")</f>
        <v>SABRE</v>
      </c>
      <c r="C550" t="str">
        <f t="shared" si="16"/>
        <v>PENDENTE</v>
      </c>
      <c r="D550" s="1">
        <v>3237980</v>
      </c>
      <c r="E550" s="1" t="s">
        <v>26</v>
      </c>
      <c r="F550" s="2">
        <v>45698.729861111111</v>
      </c>
      <c r="G550" s="1" t="s">
        <v>983</v>
      </c>
      <c r="H550" s="1" t="s">
        <v>983</v>
      </c>
      <c r="I550" s="1" t="s">
        <v>83</v>
      </c>
      <c r="J550" s="2">
        <v>45698.85833333333</v>
      </c>
      <c r="L550" s="1" t="s">
        <v>18</v>
      </c>
      <c r="M550" s="1" t="str">
        <f>_xlfn.XLOOKUP(I550,Parâmetros!A:A,Parâmetros!B:B,_xlfn.XLOOKUP(Q550,Parâmetros!F:F,Parâmetros!G:G,"NOVA MENSAGEM"))</f>
        <v>CLIENTE NÃO IDENTIFICADO</v>
      </c>
      <c r="N550" s="1" t="str">
        <f>_xlfn.XLOOKUP(M550,Parâmetros!K:K,Parâmetros!L:L,"")</f>
        <v>DK DE CLIENTE NÃO PREENCIDO / CLIENTE NÃO CONFIGURADO NO OBT</v>
      </c>
      <c r="O550" s="1" t="str">
        <f>_xlfn.XLOOKUP(M550,Parâmetros!B:B,Parâmetros!C:C,_xlfn.XLOOKUP(Base!M545,Parâmetros!G:G,Parâmetros!H:H))</f>
        <v>INDEFINIDO</v>
      </c>
      <c r="P550" s="1" t="str">
        <f>_xlfn.XLOOKUP(I550,Parâmetros!A:A,Parâmetros!D:D,_xlfn.XLOOKUP(Q550,Parâmetros!F:F,Parâmetros!I:I))</f>
        <v>OPERAÇÕES / SUPORTE KCS</v>
      </c>
      <c r="Q550" s="1" t="str">
        <f t="shared" si="17"/>
        <v>COLUNA I</v>
      </c>
    </row>
    <row r="551" spans="1:17" x14ac:dyDescent="0.25">
      <c r="A551" s="1" t="str">
        <f>_xlfn.XLOOKUP(D551,'Novo relatório'!B:B,'Novo relatório'!C:C,"RESOLVIDO")</f>
        <v>SABRE</v>
      </c>
      <c r="C551" t="str">
        <f t="shared" si="16"/>
        <v>PENDENTE</v>
      </c>
      <c r="D551" s="1">
        <v>3237989</v>
      </c>
      <c r="E551" s="1" t="s">
        <v>26</v>
      </c>
      <c r="F551" s="2">
        <v>45698.729861111111</v>
      </c>
      <c r="G551" s="1" t="s">
        <v>966</v>
      </c>
      <c r="H551" s="1" t="s">
        <v>966</v>
      </c>
      <c r="I551" s="1" t="s">
        <v>394</v>
      </c>
      <c r="J551" s="2">
        <v>45698.859722222223</v>
      </c>
      <c r="L551" s="1" t="s">
        <v>18</v>
      </c>
      <c r="M551" s="1" t="str">
        <f>_xlfn.XLOOKUP(I551,Parâmetros!A:A,Parâmetros!B:B,_xlfn.XLOOKUP(Q551,Parâmetros!F:F,Parâmetros!G:G,"NOVA MENSAGEM"))</f>
        <v>REMARK - CNPJ</v>
      </c>
      <c r="N551" s="1" t="str">
        <f>_xlfn.XLOOKUP(M551,Parâmetros!K:K,Parâmetros!L:L,"")</f>
        <v/>
      </c>
      <c r="O551" s="1" t="e">
        <f>_xlfn.XLOOKUP(M551,Parâmetros!B:B,Parâmetros!C:C,_xlfn.XLOOKUP(Base!M546,Parâmetros!G:G,Parâmetros!H:H))</f>
        <v>#N/A</v>
      </c>
      <c r="P551" s="1" t="str">
        <f>_xlfn.XLOOKUP(I551,Parâmetros!A:A,Parâmetros!D:D,_xlfn.XLOOKUP(Q551,Parâmetros!F:F,Parâmetros!I:I))</f>
        <v>OPERAÇÕES / SUPORTE KCS</v>
      </c>
      <c r="Q551" s="1">
        <f t="shared" si="17"/>
        <v>24</v>
      </c>
    </row>
    <row r="552" spans="1:17" x14ac:dyDescent="0.25">
      <c r="A552" s="1" t="str">
        <f>_xlfn.XLOOKUP(D552,'Novo relatório'!B:B,'Novo relatório'!C:C,"RESOLVIDO")</f>
        <v>SABRE</v>
      </c>
      <c r="C552" t="str">
        <f t="shared" si="16"/>
        <v>PENDENTE</v>
      </c>
      <c r="D552" s="1">
        <v>3237994</v>
      </c>
      <c r="E552" s="1" t="s">
        <v>26</v>
      </c>
      <c r="F552" s="2">
        <v>45698.729861111111</v>
      </c>
      <c r="G552" s="1" t="s">
        <v>987</v>
      </c>
      <c r="H552" s="1" t="s">
        <v>987</v>
      </c>
      <c r="I552" s="1" t="s">
        <v>751</v>
      </c>
      <c r="J552" s="2">
        <v>45698.86041666667</v>
      </c>
      <c r="L552" s="1" t="s">
        <v>19</v>
      </c>
      <c r="M552" s="1" t="str">
        <f>_xlfn.XLOOKUP(I552,Parâmetros!A:A,Parâmetros!B:B,_xlfn.XLOOKUP(Q552,Parâmetros!F:F,Parâmetros!G:G,"NOVA MENSAGEM"))</f>
        <v>CONTRATO FORNECEDOR</v>
      </c>
      <c r="N552" s="1" t="str">
        <f>_xlfn.XLOOKUP(M552,Parâmetros!K:K,Parâmetros!L:L,"")</f>
        <v>CONTRATO INATIVO OU DIVERGENTE</v>
      </c>
      <c r="O552" s="1" t="str">
        <f>_xlfn.XLOOKUP(M552,Parâmetros!B:B,Parâmetros!C:C,_xlfn.XLOOKUP(Base!M547,Parâmetros!G:G,Parâmetros!H:H))</f>
        <v>SISTEMA</v>
      </c>
      <c r="P552" s="1" t="str">
        <f>_xlfn.XLOOKUP(I552,Parâmetros!A:A,Parâmetros!D:D,_xlfn.XLOOKUP(Q552,Parâmetros!F:F,Parâmetros!I:I))</f>
        <v>OPERAÇÕES / SUPORTE KCS</v>
      </c>
      <c r="Q552" s="1">
        <f t="shared" si="17"/>
        <v>43</v>
      </c>
    </row>
    <row r="553" spans="1:17" x14ac:dyDescent="0.25">
      <c r="A553" s="1" t="str">
        <f>_xlfn.XLOOKUP(D553,'Novo relatório'!B:B,'Novo relatório'!C:C,"RESOLVIDO")</f>
        <v>SABRE</v>
      </c>
      <c r="C553" t="str">
        <f t="shared" si="16"/>
        <v>PENDENTE</v>
      </c>
      <c r="D553" s="1">
        <v>3238010</v>
      </c>
      <c r="E553" s="1" t="s">
        <v>26</v>
      </c>
      <c r="F553" s="2">
        <v>45698.729861111111</v>
      </c>
      <c r="G553" s="1" t="s">
        <v>955</v>
      </c>
      <c r="H553" s="1" t="s">
        <v>955</v>
      </c>
      <c r="I553" s="1" t="s">
        <v>671</v>
      </c>
      <c r="J553" s="2">
        <v>45698.861805555556</v>
      </c>
      <c r="L553" s="1" t="s">
        <v>18</v>
      </c>
      <c r="M553" s="1" t="str">
        <f>_xlfn.XLOOKUP(I553,Parâmetros!A:A,Parâmetros!B:B,_xlfn.XLOOKUP(Q553,Parâmetros!F:F,Parâmetros!G:G,"NOVA MENSAGEM"))</f>
        <v>CÓD. CLIENTE DIVERGENTE</v>
      </c>
      <c r="N553" s="1" t="str">
        <f>_xlfn.XLOOKUP(M553,Parâmetros!K:K,Parâmetros!L:L,"")</f>
        <v>CÓDIGO DIFERENTE DO CADASTRADO NO BENNER (CLIENTE X GRUPO)</v>
      </c>
      <c r="O553" s="1" t="str">
        <f>_xlfn.XLOOKUP(M553,Parâmetros!B:B,Parâmetros!C:C,_xlfn.XLOOKUP(Base!M548,Parâmetros!G:G,Parâmetros!H:H))</f>
        <v>QUALIDADE DOS DADOS</v>
      </c>
      <c r="P553" s="1" t="str">
        <f>_xlfn.XLOOKUP(I553,Parâmetros!A:A,Parâmetros!D:D,_xlfn.XLOOKUP(Q553,Parâmetros!F:F,Parâmetros!I:I))</f>
        <v>SUPORTE OBT</v>
      </c>
      <c r="Q553" s="1">
        <f t="shared" si="17"/>
        <v>1</v>
      </c>
    </row>
    <row r="554" spans="1:17" x14ac:dyDescent="0.25">
      <c r="A554" s="1" t="str">
        <f>_xlfn.XLOOKUP(D554,'Novo relatório'!B:B,'Novo relatório'!C:C,"RESOLVIDO")</f>
        <v>SABRE</v>
      </c>
      <c r="C554" t="str">
        <f t="shared" si="16"/>
        <v>PENDENTE</v>
      </c>
      <c r="D554" s="1">
        <v>3238013</v>
      </c>
      <c r="E554" s="1" t="s">
        <v>26</v>
      </c>
      <c r="F554" s="2">
        <v>45698.729861111111</v>
      </c>
      <c r="G554" s="1" t="s">
        <v>1002</v>
      </c>
      <c r="H554" s="1" t="s">
        <v>1002</v>
      </c>
      <c r="I554" s="1" t="s">
        <v>169</v>
      </c>
      <c r="J554" s="2">
        <v>45698.861805555556</v>
      </c>
      <c r="L554" s="1" t="s">
        <v>18</v>
      </c>
      <c r="M554" s="1" t="str">
        <f>_xlfn.XLOOKUP(I554,Parâmetros!A:A,Parâmetros!B:B,_xlfn.XLOOKUP(Q554,Parâmetros!F:F,Parâmetros!G:G,"NOVA MENSAGEM"))</f>
        <v>CÓD. CLIENTE DIVERGENTE</v>
      </c>
      <c r="N554" s="1" t="str">
        <f>_xlfn.XLOOKUP(M554,Parâmetros!K:K,Parâmetros!L:L,"")</f>
        <v>CÓDIGO DIFERENTE DO CADASTRADO NO BENNER (CLIENTE X GRUPO)</v>
      </c>
      <c r="O554" s="1" t="str">
        <f>_xlfn.XLOOKUP(M554,Parâmetros!B:B,Parâmetros!C:C,_xlfn.XLOOKUP(Base!M549,Parâmetros!G:G,Parâmetros!H:H))</f>
        <v>QUALIDADE DOS DADOS</v>
      </c>
      <c r="P554" s="1" t="str">
        <f>_xlfn.XLOOKUP(I554,Parâmetros!A:A,Parâmetros!D:D,_xlfn.XLOOKUP(Q554,Parâmetros!F:F,Parâmetros!I:I))</f>
        <v>SUPORTE OBT</v>
      </c>
      <c r="Q554" s="1">
        <f t="shared" si="17"/>
        <v>1</v>
      </c>
    </row>
    <row r="555" spans="1:17" x14ac:dyDescent="0.25">
      <c r="A555" s="1" t="str">
        <f>_xlfn.XLOOKUP(D555,'Novo relatório'!B:B,'Novo relatório'!C:C,"RESOLVIDO")</f>
        <v>SABRE</v>
      </c>
      <c r="C555" t="str">
        <f t="shared" si="16"/>
        <v>PENDENTE</v>
      </c>
      <c r="D555" s="1">
        <v>3238068</v>
      </c>
      <c r="E555" s="1" t="s">
        <v>26</v>
      </c>
      <c r="F555" s="2">
        <v>45698.879166666666</v>
      </c>
      <c r="G555" s="1" t="s">
        <v>962</v>
      </c>
      <c r="H555" s="1" t="s">
        <v>962</v>
      </c>
      <c r="I555" s="1" t="s">
        <v>83</v>
      </c>
      <c r="J555" s="2">
        <v>45699.012499999997</v>
      </c>
      <c r="L555" s="1" t="s">
        <v>18</v>
      </c>
      <c r="M555" s="1" t="str">
        <f>_xlfn.XLOOKUP(I555,Parâmetros!A:A,Parâmetros!B:B,_xlfn.XLOOKUP(Q555,Parâmetros!F:F,Parâmetros!G:G,"NOVA MENSAGEM"))</f>
        <v>CLIENTE NÃO IDENTIFICADO</v>
      </c>
      <c r="N555" s="1" t="str">
        <f>_xlfn.XLOOKUP(M555,Parâmetros!K:K,Parâmetros!L:L,"")</f>
        <v>DK DE CLIENTE NÃO PREENCIDO / CLIENTE NÃO CONFIGURADO NO OBT</v>
      </c>
      <c r="O555" s="1" t="str">
        <f>_xlfn.XLOOKUP(M555,Parâmetros!B:B,Parâmetros!C:C,_xlfn.XLOOKUP(Base!M550,Parâmetros!G:G,Parâmetros!H:H))</f>
        <v>INDEFINIDO</v>
      </c>
      <c r="P555" s="1" t="str">
        <f>_xlfn.XLOOKUP(I555,Parâmetros!A:A,Parâmetros!D:D,_xlfn.XLOOKUP(Q555,Parâmetros!F:F,Parâmetros!I:I))</f>
        <v>OPERAÇÕES / SUPORTE KCS</v>
      </c>
      <c r="Q555" s="1" t="str">
        <f t="shared" si="17"/>
        <v>COLUNA I</v>
      </c>
    </row>
    <row r="556" spans="1:17" x14ac:dyDescent="0.25">
      <c r="A556" s="1" t="str">
        <f>_xlfn.XLOOKUP(D556,'Novo relatório'!B:B,'Novo relatório'!C:C,"RESOLVIDO")</f>
        <v>GOVER</v>
      </c>
      <c r="C556" t="str">
        <f t="shared" si="16"/>
        <v>PENDENTE</v>
      </c>
      <c r="D556" s="1">
        <v>3238399</v>
      </c>
      <c r="E556" s="1" t="s">
        <v>24</v>
      </c>
      <c r="F556" s="2">
        <v>45464.780555555553</v>
      </c>
      <c r="G556" s="1">
        <v>4357832</v>
      </c>
      <c r="H556" s="1" t="s">
        <v>275</v>
      </c>
      <c r="I556" s="1" t="s">
        <v>268</v>
      </c>
      <c r="J556" s="2">
        <v>45699.44027777778</v>
      </c>
      <c r="K556" s="2">
        <v>45713.426388888889</v>
      </c>
      <c r="L556" s="1" t="s">
        <v>14</v>
      </c>
      <c r="M556" s="1" t="str">
        <f>_xlfn.XLOOKUP(I556,Parâmetros!A:A,Parâmetros!B:B,_xlfn.XLOOKUP(Q556,Parâmetros!F:F,Parâmetros!G:G,"NOVA MENSAGEM"))</f>
        <v>CONFIGURAÇÃO OBT/ BENNER</v>
      </c>
      <c r="N556" s="1" t="str">
        <f>_xlfn.XLOOKUP(M556,Parâmetros!K:K,Parâmetros!L:L,"")</f>
        <v/>
      </c>
      <c r="O556" s="1" t="str">
        <f>_xlfn.XLOOKUP(M556,Parâmetros!B:B,Parâmetros!C:C,_xlfn.XLOOKUP(Base!M696,Parâmetros!G:G,Parâmetros!H:H))</f>
        <v>SISTEMA</v>
      </c>
      <c r="P556" s="1" t="str">
        <f>_xlfn.XLOOKUP(I556,Parâmetros!A:A,Parâmetros!D:D,_xlfn.XLOOKUP(Q556,Parâmetros!F:F,Parâmetros!I:I))</f>
        <v>SUPORTE BENNER</v>
      </c>
      <c r="Q556" s="1" t="str">
        <f t="shared" si="17"/>
        <v>COLUNA I</v>
      </c>
    </row>
    <row r="557" spans="1:17" x14ac:dyDescent="0.25">
      <c r="A557" s="1" t="str">
        <f>_xlfn.XLOOKUP(D557,'Novo relatório'!B:B,'Novo relatório'!C:C,"RESOLVIDO")</f>
        <v>GOVER</v>
      </c>
      <c r="C557" t="str">
        <f t="shared" si="16"/>
        <v>PENDENTE</v>
      </c>
      <c r="D557" s="1">
        <v>3238400</v>
      </c>
      <c r="E557" s="1" t="s">
        <v>24</v>
      </c>
      <c r="F557" s="2">
        <v>45468.6</v>
      </c>
      <c r="G557" s="1">
        <v>4359256</v>
      </c>
      <c r="H557" s="1" t="s">
        <v>276</v>
      </c>
      <c r="I557" s="1" t="s">
        <v>268</v>
      </c>
      <c r="J557" s="2">
        <v>45699.44027777778</v>
      </c>
      <c r="K557" s="2">
        <v>45713.426388888889</v>
      </c>
      <c r="L557" s="1" t="s">
        <v>14</v>
      </c>
      <c r="M557" s="1" t="str">
        <f>_xlfn.XLOOKUP(I557,Parâmetros!A:A,Parâmetros!B:B,_xlfn.XLOOKUP(Q557,Parâmetros!F:F,Parâmetros!G:G,"NOVA MENSAGEM"))</f>
        <v>CONFIGURAÇÃO OBT/ BENNER</v>
      </c>
      <c r="N557" s="1" t="str">
        <f>_xlfn.XLOOKUP(M557,Parâmetros!K:K,Parâmetros!L:L,"")</f>
        <v/>
      </c>
      <c r="O557" s="1" t="str">
        <f>_xlfn.XLOOKUP(M557,Parâmetros!B:B,Parâmetros!C:C,_xlfn.XLOOKUP(Base!M697,Parâmetros!G:G,Parâmetros!H:H))</f>
        <v>SISTEMA</v>
      </c>
      <c r="P557" s="1" t="str">
        <f>_xlfn.XLOOKUP(I557,Parâmetros!A:A,Parâmetros!D:D,_xlfn.XLOOKUP(Q557,Parâmetros!F:F,Parâmetros!I:I))</f>
        <v>SUPORTE BENNER</v>
      </c>
      <c r="Q557" s="1" t="str">
        <f t="shared" si="17"/>
        <v>COLUNA I</v>
      </c>
    </row>
    <row r="558" spans="1:17" x14ac:dyDescent="0.25">
      <c r="A558" s="1" t="str">
        <f>_xlfn.XLOOKUP(D558,'Novo relatório'!B:B,'Novo relatório'!C:C,"RESOLVIDO")</f>
        <v>GOVER</v>
      </c>
      <c r="C558" t="str">
        <f t="shared" si="16"/>
        <v>PENDENTE</v>
      </c>
      <c r="D558" s="1">
        <v>3238401</v>
      </c>
      <c r="E558" s="1" t="s">
        <v>24</v>
      </c>
      <c r="F558" s="2">
        <v>45471.440972222219</v>
      </c>
      <c r="G558" s="1">
        <v>4361360</v>
      </c>
      <c r="H558" s="1" t="s">
        <v>277</v>
      </c>
      <c r="I558" s="1" t="s">
        <v>196</v>
      </c>
      <c r="J558" s="2">
        <v>45699.44027777778</v>
      </c>
      <c r="K558" s="2">
        <v>45713.426388888889</v>
      </c>
      <c r="L558" s="1" t="s">
        <v>18</v>
      </c>
      <c r="M558" s="1" t="str">
        <f>_xlfn.XLOOKUP(I558,Parâmetros!A:A,Parâmetros!B:B,_xlfn.XLOOKUP(Q558,Parâmetros!F:F,Parâmetros!G:G,"NOVA MENSAGEM"))</f>
        <v>CLIENTE NÃO IDENTIFICADO</v>
      </c>
      <c r="N558" s="1" t="str">
        <f>_xlfn.XLOOKUP(M558,Parâmetros!K:K,Parâmetros!L:L,"")</f>
        <v>DK DE CLIENTE NÃO PREENCIDO / CLIENTE NÃO CONFIGURADO NO OBT</v>
      </c>
      <c r="O558" s="1" t="str">
        <f>_xlfn.XLOOKUP(M558,Parâmetros!B:B,Parâmetros!C:C,_xlfn.XLOOKUP(Base!M698,Parâmetros!G:G,Parâmetros!H:H))</f>
        <v>INDEFINIDO</v>
      </c>
      <c r="P558" s="1" t="str">
        <f>_xlfn.XLOOKUP(I558,Parâmetros!A:A,Parâmetros!D:D,_xlfn.XLOOKUP(Q558,Parâmetros!F:F,Parâmetros!I:I))</f>
        <v>OPERAÇÕES / SUPORTE KCS</v>
      </c>
      <c r="Q558" s="1" t="str">
        <f t="shared" si="17"/>
        <v>COLUNA I</v>
      </c>
    </row>
    <row r="559" spans="1:17" x14ac:dyDescent="0.25">
      <c r="A559" s="1" t="str">
        <f>_xlfn.XLOOKUP(D559,'Novo relatório'!B:B,'Novo relatório'!C:C,"RESOLVIDO")</f>
        <v>GOVER</v>
      </c>
      <c r="C559" t="str">
        <f t="shared" si="16"/>
        <v>PENDENTE</v>
      </c>
      <c r="D559" s="1">
        <v>3238402</v>
      </c>
      <c r="E559" s="1" t="s">
        <v>24</v>
      </c>
      <c r="F559" s="2">
        <v>45477.425694444442</v>
      </c>
      <c r="G559" s="1">
        <v>4365165</v>
      </c>
      <c r="H559" s="1" t="s">
        <v>278</v>
      </c>
      <c r="I559" s="1" t="s">
        <v>268</v>
      </c>
      <c r="J559" s="2">
        <v>45699.44027777778</v>
      </c>
      <c r="K559" s="2">
        <v>45713.426388888889</v>
      </c>
      <c r="L559" s="1" t="s">
        <v>14</v>
      </c>
      <c r="M559" s="1" t="str">
        <f>_xlfn.XLOOKUP(I559,Parâmetros!A:A,Parâmetros!B:B,_xlfn.XLOOKUP(Q559,Parâmetros!F:F,Parâmetros!G:G,"NOVA MENSAGEM"))</f>
        <v>CONFIGURAÇÃO OBT/ BENNER</v>
      </c>
      <c r="N559" s="1" t="str">
        <f>_xlfn.XLOOKUP(M559,Parâmetros!K:K,Parâmetros!L:L,"")</f>
        <v/>
      </c>
      <c r="O559" s="1" t="str">
        <f>_xlfn.XLOOKUP(M559,Parâmetros!B:B,Parâmetros!C:C,_xlfn.XLOOKUP(Base!M699,Parâmetros!G:G,Parâmetros!H:H))</f>
        <v>SISTEMA</v>
      </c>
      <c r="P559" s="1" t="str">
        <f>_xlfn.XLOOKUP(I559,Parâmetros!A:A,Parâmetros!D:D,_xlfn.XLOOKUP(Q559,Parâmetros!F:F,Parâmetros!I:I))</f>
        <v>SUPORTE BENNER</v>
      </c>
      <c r="Q559" s="1" t="str">
        <f t="shared" si="17"/>
        <v>COLUNA I</v>
      </c>
    </row>
    <row r="560" spans="1:17" x14ac:dyDescent="0.25">
      <c r="A560" s="1" t="str">
        <f>_xlfn.XLOOKUP(D560,'Novo relatório'!B:B,'Novo relatório'!C:C,"RESOLVIDO")</f>
        <v>GOVER</v>
      </c>
      <c r="C560" t="str">
        <f t="shared" si="16"/>
        <v>PENDENTE</v>
      </c>
      <c r="D560" s="1">
        <v>3238403</v>
      </c>
      <c r="E560" s="1" t="s">
        <v>24</v>
      </c>
      <c r="F560" s="2">
        <v>45477.679166666669</v>
      </c>
      <c r="G560" s="1">
        <v>4365713</v>
      </c>
      <c r="H560" s="1" t="s">
        <v>279</v>
      </c>
      <c r="I560" s="1" t="s">
        <v>268</v>
      </c>
      <c r="J560" s="2">
        <v>45699.44027777778</v>
      </c>
      <c r="K560" s="2">
        <v>45713.426388888889</v>
      </c>
      <c r="L560" s="1" t="s">
        <v>14</v>
      </c>
      <c r="M560" s="1" t="str">
        <f>_xlfn.XLOOKUP(I560,Parâmetros!A:A,Parâmetros!B:B,_xlfn.XLOOKUP(Q560,Parâmetros!F:F,Parâmetros!G:G,"NOVA MENSAGEM"))</f>
        <v>CONFIGURAÇÃO OBT/ BENNER</v>
      </c>
      <c r="N560" s="1" t="str">
        <f>_xlfn.XLOOKUP(M560,Parâmetros!K:K,Parâmetros!L:L,"")</f>
        <v/>
      </c>
      <c r="O560" s="1" t="str">
        <f>_xlfn.XLOOKUP(M560,Parâmetros!B:B,Parâmetros!C:C,_xlfn.XLOOKUP(Base!M700,Parâmetros!G:G,Parâmetros!H:H))</f>
        <v>SISTEMA</v>
      </c>
      <c r="P560" s="1" t="str">
        <f>_xlfn.XLOOKUP(I560,Parâmetros!A:A,Parâmetros!D:D,_xlfn.XLOOKUP(Q560,Parâmetros!F:F,Parâmetros!I:I))</f>
        <v>SUPORTE BENNER</v>
      </c>
      <c r="Q560" s="1" t="str">
        <f t="shared" si="17"/>
        <v>COLUNA I</v>
      </c>
    </row>
    <row r="561" spans="1:17" x14ac:dyDescent="0.25">
      <c r="A561" s="1" t="str">
        <f>_xlfn.XLOOKUP(D561,'Novo relatório'!B:B,'Novo relatório'!C:C,"RESOLVIDO")</f>
        <v>GOVER</v>
      </c>
      <c r="C561" t="str">
        <f t="shared" si="16"/>
        <v>PENDENTE</v>
      </c>
      <c r="D561" s="1">
        <v>3238510</v>
      </c>
      <c r="E561" s="1" t="s">
        <v>24</v>
      </c>
      <c r="F561" s="2">
        <v>45699.458333333336</v>
      </c>
      <c r="G561" s="1">
        <v>4489769</v>
      </c>
      <c r="H561" s="1">
        <v>4489769</v>
      </c>
      <c r="I561" s="1" t="s">
        <v>77</v>
      </c>
      <c r="J561" s="2">
        <v>45699.482638888891</v>
      </c>
      <c r="K561" s="2">
        <v>45713.427083333336</v>
      </c>
      <c r="L561" s="1" t="s">
        <v>14</v>
      </c>
      <c r="M561" s="1" t="str">
        <f>_xlfn.XLOOKUP(I561,Parâmetros!A:A,Parâmetros!B:B,_xlfn.XLOOKUP(Q561,Parâmetros!F:F,Parâmetros!G:G,"NOVA MENSAGEM"))</f>
        <v>RLOC NÃO INFORMADO</v>
      </c>
      <c r="N561" s="1" t="str">
        <f>_xlfn.XLOOKUP(M561,Parâmetros!K:K,Parâmetros!L:L,"")</f>
        <v>RLOC NÃO PREENCHIDO NA RESERVA</v>
      </c>
      <c r="O561" s="1" t="str">
        <f>_xlfn.XLOOKUP(M561,Parâmetros!B:B,Parâmetros!C:C,_xlfn.XLOOKUP(Base!M701,Parâmetros!G:G,Parâmetros!H:H))</f>
        <v>QUALIDADE DOS DADOS</v>
      </c>
      <c r="P561" s="1" t="str">
        <f>_xlfn.XLOOKUP(I561,Parâmetros!A:A,Parâmetros!D:D,_xlfn.XLOOKUP(Q561,Parâmetros!F:F,Parâmetros!I:I))</f>
        <v>SUPORTE OBT</v>
      </c>
      <c r="Q561" s="1" t="str">
        <f t="shared" si="17"/>
        <v>COLUNA I</v>
      </c>
    </row>
    <row r="562" spans="1:17" x14ac:dyDescent="0.25">
      <c r="A562" s="1" t="str">
        <f>_xlfn.XLOOKUP(D562,'Novo relatório'!B:B,'Novo relatório'!C:C,"RESOLVIDO")</f>
        <v>SABRE</v>
      </c>
      <c r="C562" t="str">
        <f t="shared" si="16"/>
        <v>PENDENTE</v>
      </c>
      <c r="D562" s="1">
        <v>3238573</v>
      </c>
      <c r="E562" s="1" t="s">
        <v>26</v>
      </c>
      <c r="F562" s="2">
        <v>45699.368750000001</v>
      </c>
      <c r="G562" s="1" t="s">
        <v>1068</v>
      </c>
      <c r="H562" s="1" t="s">
        <v>1068</v>
      </c>
      <c r="I562" s="1" t="s">
        <v>692</v>
      </c>
      <c r="J562" s="2">
        <v>45699.504166666666</v>
      </c>
      <c r="L562" s="1" t="s">
        <v>18</v>
      </c>
      <c r="M562" s="1" t="str">
        <f>_xlfn.XLOOKUP(I562,Parâmetros!A:A,Parâmetros!B:B,_xlfn.XLOOKUP(Q562,Parâmetros!F:F,Parâmetros!G:G,"NOVA MENSAGEM"))</f>
        <v>REMARK - CNPJ</v>
      </c>
      <c r="N562" s="1" t="str">
        <f>_xlfn.XLOOKUP(M562,Parâmetros!K:K,Parâmetros!L:L,"")</f>
        <v/>
      </c>
      <c r="O562" s="1" t="str">
        <f>_xlfn.XLOOKUP(M562,Parâmetros!B:B,Parâmetros!C:C,_xlfn.XLOOKUP(Base!M562,Parâmetros!G:G,Parâmetros!H:H))</f>
        <v>QUALIDADE DOS DADOS</v>
      </c>
      <c r="P562" s="1" t="str">
        <f>_xlfn.XLOOKUP(I562,Parâmetros!A:A,Parâmetros!D:D,_xlfn.XLOOKUP(Q562,Parâmetros!F:F,Parâmetros!I:I))</f>
        <v>OPERAÇÕES / SUPORTE KCS</v>
      </c>
      <c r="Q562" s="1">
        <f t="shared" si="17"/>
        <v>24</v>
      </c>
    </row>
    <row r="563" spans="1:17" x14ac:dyDescent="0.25">
      <c r="A563" s="1" t="str">
        <f>_xlfn.XLOOKUP(D563,'Novo relatório'!B:B,'Novo relatório'!C:C,"RESOLVIDO")</f>
        <v>SABRE</v>
      </c>
      <c r="C563" t="str">
        <f t="shared" si="16"/>
        <v>PENDENTE</v>
      </c>
      <c r="D563" s="1">
        <v>3238574</v>
      </c>
      <c r="E563" s="1" t="s">
        <v>26</v>
      </c>
      <c r="F563" s="2">
        <v>45699.368750000001</v>
      </c>
      <c r="G563" s="1" t="s">
        <v>1069</v>
      </c>
      <c r="H563" s="1" t="s">
        <v>1068</v>
      </c>
      <c r="I563" s="1" t="s">
        <v>898</v>
      </c>
      <c r="J563" s="2">
        <v>45699.504166666666</v>
      </c>
      <c r="L563" s="1" t="s">
        <v>18</v>
      </c>
      <c r="M563" s="1" t="str">
        <f>_xlfn.XLOOKUP(I563,Parâmetros!A:A,Parâmetros!B:B,_xlfn.XLOOKUP(Q563,Parâmetros!F:F,Parâmetros!G:G,"NOVA MENSAGEM"))</f>
        <v>REMARK - CNPJ</v>
      </c>
      <c r="N563" s="1" t="str">
        <f>_xlfn.XLOOKUP(M563,Parâmetros!K:K,Parâmetros!L:L,"")</f>
        <v/>
      </c>
      <c r="O563" s="1" t="str">
        <f>_xlfn.XLOOKUP(M563,Parâmetros!B:B,Parâmetros!C:C,_xlfn.XLOOKUP(Base!M563,Parâmetros!G:G,Parâmetros!H:H))</f>
        <v>QUALIDADE DOS DADOS</v>
      </c>
      <c r="P563" s="1" t="str">
        <f>_xlfn.XLOOKUP(I563,Parâmetros!A:A,Parâmetros!D:D,_xlfn.XLOOKUP(Q563,Parâmetros!F:F,Parâmetros!I:I))</f>
        <v>OPERAÇÕES / SUPORTE KCS</v>
      </c>
      <c r="Q563" s="1">
        <f t="shared" si="17"/>
        <v>24</v>
      </c>
    </row>
    <row r="564" spans="1:17" x14ac:dyDescent="0.25">
      <c r="A564" s="1" t="str">
        <f>_xlfn.XLOOKUP(D564,'Novo relatório'!B:B,'Novo relatório'!C:C,"RESOLVIDO")</f>
        <v>SABRE</v>
      </c>
      <c r="C564" t="str">
        <f t="shared" si="16"/>
        <v>PENDENTE</v>
      </c>
      <c r="D564" s="1">
        <v>3239472</v>
      </c>
      <c r="E564" s="1" t="s">
        <v>26</v>
      </c>
      <c r="F564" s="2">
        <v>45699.563194444447</v>
      </c>
      <c r="G564" s="1" t="s">
        <v>1181</v>
      </c>
      <c r="H564" s="1" t="s">
        <v>1181</v>
      </c>
      <c r="I564" s="1" t="s">
        <v>865</v>
      </c>
      <c r="J564" s="2">
        <v>45699.691666666666</v>
      </c>
      <c r="L564" s="1" t="s">
        <v>18</v>
      </c>
      <c r="M564" s="1" t="str">
        <f>_xlfn.XLOOKUP(I564,Parâmetros!A:A,Parâmetros!B:B,_xlfn.XLOOKUP(Q564,Parâmetros!F:F,Parâmetros!G:G,"NOVA MENSAGEM"))</f>
        <v>REMARK - CNPJ</v>
      </c>
      <c r="N564" s="1" t="str">
        <f>_xlfn.XLOOKUP(M564,Parâmetros!K:K,Parâmetros!L:L,"")</f>
        <v/>
      </c>
      <c r="O564" s="1" t="str">
        <f>_xlfn.XLOOKUP(M564,Parâmetros!B:B,Parâmetros!C:C,_xlfn.XLOOKUP(Base!M650,Parâmetros!G:G,Parâmetros!H:H))</f>
        <v>QUALIDADE DOS DADOS</v>
      </c>
      <c r="P564" s="1" t="str">
        <f>_xlfn.XLOOKUP(I564,Parâmetros!A:A,Parâmetros!D:D,_xlfn.XLOOKUP(Q564,Parâmetros!F:F,Parâmetros!I:I))</f>
        <v>OPERAÇÕES / SUPORTE KCS</v>
      </c>
      <c r="Q564" s="1">
        <f t="shared" si="17"/>
        <v>24</v>
      </c>
    </row>
    <row r="565" spans="1:17" x14ac:dyDescent="0.25">
      <c r="A565" s="1" t="str">
        <f>_xlfn.XLOOKUP(D565,'Novo relatório'!B:B,'Novo relatório'!C:C,"RESOLVIDO")</f>
        <v>SABRE</v>
      </c>
      <c r="C565" t="str">
        <f t="shared" si="16"/>
        <v>PENDENTE</v>
      </c>
      <c r="D565" s="1">
        <v>3239473</v>
      </c>
      <c r="E565" s="1" t="s">
        <v>26</v>
      </c>
      <c r="F565" s="2">
        <v>45699.563194444447</v>
      </c>
      <c r="G565" s="1" t="s">
        <v>1182</v>
      </c>
      <c r="H565" s="1" t="s">
        <v>1181</v>
      </c>
      <c r="I565" s="1" t="s">
        <v>867</v>
      </c>
      <c r="J565" s="2">
        <v>45699.691666666666</v>
      </c>
      <c r="L565" s="1" t="s">
        <v>18</v>
      </c>
      <c r="M565" s="1" t="str">
        <f>_xlfn.XLOOKUP(I565,Parâmetros!A:A,Parâmetros!B:B,_xlfn.XLOOKUP(Q565,Parâmetros!F:F,Parâmetros!G:G,"NOVA MENSAGEM"))</f>
        <v>REMARK - CNPJ</v>
      </c>
      <c r="N565" s="1" t="str">
        <f>_xlfn.XLOOKUP(M565,Parâmetros!K:K,Parâmetros!L:L,"")</f>
        <v/>
      </c>
      <c r="O565" s="1" t="str">
        <f>_xlfn.XLOOKUP(M565,Parâmetros!B:B,Parâmetros!C:C,_xlfn.XLOOKUP(Base!M651,Parâmetros!G:G,Parâmetros!H:H))</f>
        <v>QUALIDADE DOS DADOS</v>
      </c>
      <c r="P565" s="1" t="str">
        <f>_xlfn.XLOOKUP(I565,Parâmetros!A:A,Parâmetros!D:D,_xlfn.XLOOKUP(Q565,Parâmetros!F:F,Parâmetros!I:I))</f>
        <v>OPERAÇÕES / SUPORTE KCS</v>
      </c>
      <c r="Q565" s="1">
        <f t="shared" si="17"/>
        <v>24</v>
      </c>
    </row>
    <row r="566" spans="1:17" x14ac:dyDescent="0.25">
      <c r="A566" s="1" t="str">
        <f>_xlfn.XLOOKUP(D566,'Novo relatório'!B:B,'Novo relatório'!C:C,"RESOLVIDO")</f>
        <v>SABRE</v>
      </c>
      <c r="C566" t="str">
        <f t="shared" si="16"/>
        <v>PENDENTE</v>
      </c>
      <c r="D566" s="1">
        <v>3239533</v>
      </c>
      <c r="E566" s="1" t="s">
        <v>26</v>
      </c>
      <c r="F566" s="2">
        <v>45699.584027777775</v>
      </c>
      <c r="G566" s="1" t="s">
        <v>1120</v>
      </c>
      <c r="H566" s="1" t="s">
        <v>1120</v>
      </c>
      <c r="I566" s="1" t="s">
        <v>692</v>
      </c>
      <c r="J566" s="2">
        <v>45699.713888888888</v>
      </c>
      <c r="L566" s="1" t="s">
        <v>18</v>
      </c>
      <c r="M566" s="1" t="str">
        <f>_xlfn.XLOOKUP(I566,Parâmetros!A:A,Parâmetros!B:B,_xlfn.XLOOKUP(Q566,Parâmetros!F:F,Parâmetros!G:G,"NOVA MENSAGEM"))</f>
        <v>REMARK - CNPJ</v>
      </c>
      <c r="N566" s="1" t="str">
        <f>_xlfn.XLOOKUP(M566,Parâmetros!K:K,Parâmetros!L:L,"")</f>
        <v/>
      </c>
      <c r="O566" s="1" t="str">
        <f>_xlfn.XLOOKUP(M566,Parâmetros!B:B,Parâmetros!C:C,_xlfn.XLOOKUP(Base!M603,Parâmetros!G:G,Parâmetros!H:H))</f>
        <v>QUALIDADE DOS DADOS</v>
      </c>
      <c r="P566" s="1" t="str">
        <f>_xlfn.XLOOKUP(I566,Parâmetros!A:A,Parâmetros!D:D,_xlfn.XLOOKUP(Q566,Parâmetros!F:F,Parâmetros!I:I))</f>
        <v>OPERAÇÕES / SUPORTE KCS</v>
      </c>
      <c r="Q566" s="1">
        <f t="shared" si="17"/>
        <v>24</v>
      </c>
    </row>
    <row r="567" spans="1:17" x14ac:dyDescent="0.25">
      <c r="A567" s="1" t="str">
        <f>_xlfn.XLOOKUP(D567,'Novo relatório'!B:B,'Novo relatório'!C:C,"RESOLVIDO")</f>
        <v>SABRE</v>
      </c>
      <c r="C567" t="str">
        <f t="shared" si="16"/>
        <v>PENDENTE</v>
      </c>
      <c r="D567" s="1">
        <v>3239534</v>
      </c>
      <c r="E567" s="1" t="s">
        <v>26</v>
      </c>
      <c r="F567" s="2">
        <v>45699.584027777775</v>
      </c>
      <c r="G567" s="1" t="s">
        <v>1121</v>
      </c>
      <c r="H567" s="1" t="s">
        <v>1120</v>
      </c>
      <c r="I567" s="1" t="s">
        <v>898</v>
      </c>
      <c r="J567" s="2">
        <v>45699.714583333334</v>
      </c>
      <c r="L567" s="1" t="s">
        <v>18</v>
      </c>
      <c r="M567" s="1" t="str">
        <f>_xlfn.XLOOKUP(I567,Parâmetros!A:A,Parâmetros!B:B,_xlfn.XLOOKUP(Q567,Parâmetros!F:F,Parâmetros!G:G,"NOVA MENSAGEM"))</f>
        <v>REMARK - CNPJ</v>
      </c>
      <c r="N567" s="1" t="str">
        <f>_xlfn.XLOOKUP(M567,Parâmetros!K:K,Parâmetros!L:L,"")</f>
        <v/>
      </c>
      <c r="O567" s="1" t="str">
        <f>_xlfn.XLOOKUP(M567,Parâmetros!B:B,Parâmetros!C:C,_xlfn.XLOOKUP(Base!M604,Parâmetros!G:G,Parâmetros!H:H))</f>
        <v>QUALIDADE DOS DADOS</v>
      </c>
      <c r="P567" s="1" t="str">
        <f>_xlfn.XLOOKUP(I567,Parâmetros!A:A,Parâmetros!D:D,_xlfn.XLOOKUP(Q567,Parâmetros!F:F,Parâmetros!I:I))</f>
        <v>OPERAÇÕES / SUPORTE KCS</v>
      </c>
      <c r="Q567" s="1">
        <f t="shared" si="17"/>
        <v>24</v>
      </c>
    </row>
    <row r="568" spans="1:17" x14ac:dyDescent="0.25">
      <c r="A568" s="1" t="str">
        <f>_xlfn.XLOOKUP(D568,'Novo relatório'!B:B,'Novo relatório'!C:C,"RESOLVIDO")</f>
        <v>SABRE</v>
      </c>
      <c r="C568" t="str">
        <f t="shared" si="16"/>
        <v>PENDENTE</v>
      </c>
      <c r="D568" s="1">
        <v>3239939</v>
      </c>
      <c r="E568" s="1" t="s">
        <v>26</v>
      </c>
      <c r="F568" s="2">
        <v>45699.648611111108</v>
      </c>
      <c r="G568" s="1" t="s">
        <v>1212</v>
      </c>
      <c r="H568" s="1" t="s">
        <v>1213</v>
      </c>
      <c r="I568" s="1" t="s">
        <v>64</v>
      </c>
      <c r="J568" s="2">
        <v>45699.782638888886</v>
      </c>
      <c r="L568" s="1" t="s">
        <v>65</v>
      </c>
      <c r="M568" s="1" t="str">
        <f>_xlfn.XLOOKUP(I568,Parâmetros!A:A,Parâmetros!B:B,_xlfn.XLOOKUP(Q568,Parâmetros!F:F,Parâmetros!G:G,"NOVA MENSAGEM"))</f>
        <v>FORMATO DE TEXTO</v>
      </c>
      <c r="N568" s="1" t="str">
        <f>_xlfn.XLOOKUP(M568,Parâmetros!K:K,Parâmetros!L:L,"")</f>
        <v>TEXTO FORA DO PADRÃO ACEITO NO CAMPO</v>
      </c>
      <c r="O568" s="1" t="str">
        <f>_xlfn.XLOOKUP(M568,Parâmetros!B:B,Parâmetros!C:C,_xlfn.XLOOKUP(Base!M676,Parâmetros!G:G,Parâmetros!H:H))</f>
        <v>INDEFINIDO</v>
      </c>
      <c r="P568" s="1" t="str">
        <f>_xlfn.XLOOKUP(I568,Parâmetros!A:A,Parâmetros!D:D,_xlfn.XLOOKUP(Q568,Parâmetros!F:F,Parâmetros!I:I))</f>
        <v>SUPORTE OBT</v>
      </c>
      <c r="Q568" s="1" t="str">
        <f t="shared" si="17"/>
        <v>COLUNA I</v>
      </c>
    </row>
    <row r="569" spans="1:17" x14ac:dyDescent="0.25">
      <c r="A569" s="1" t="str">
        <f>_xlfn.XLOOKUP(D569,'Novo relatório'!B:B,'Novo relatório'!C:C,"RESOLVIDO")</f>
        <v>SABRE</v>
      </c>
      <c r="C569" t="str">
        <f t="shared" si="16"/>
        <v>PENDENTE</v>
      </c>
      <c r="D569" s="1">
        <v>3240651</v>
      </c>
      <c r="E569" s="1" t="s">
        <v>26</v>
      </c>
      <c r="F569" s="2">
        <v>45708.71597222222</v>
      </c>
      <c r="G569" s="1" t="s">
        <v>1229</v>
      </c>
      <c r="H569" s="1" t="s">
        <v>1229</v>
      </c>
      <c r="I569" s="1" t="s">
        <v>83</v>
      </c>
      <c r="J569" s="2">
        <v>45699.866666666669</v>
      </c>
      <c r="K569" s="2">
        <v>45708.84652777778</v>
      </c>
      <c r="L569" s="1" t="s">
        <v>18</v>
      </c>
      <c r="M569" s="1" t="str">
        <f>_xlfn.XLOOKUP(I569,Parâmetros!A:A,Parâmetros!B:B,_xlfn.XLOOKUP(Q569,Parâmetros!F:F,Parâmetros!G:G,"NOVA MENSAGEM"))</f>
        <v>CLIENTE NÃO IDENTIFICADO</v>
      </c>
      <c r="N569" s="1" t="str">
        <f>_xlfn.XLOOKUP(M569,Parâmetros!K:K,Parâmetros!L:L,"")</f>
        <v>DK DE CLIENTE NÃO PREENCIDO / CLIENTE NÃO CONFIGURADO NO OBT</v>
      </c>
      <c r="O569" s="1" t="str">
        <f>_xlfn.XLOOKUP(M569,Parâmetros!B:B,Parâmetros!C:C,_xlfn.XLOOKUP(Base!M687,Parâmetros!G:G,Parâmetros!H:H))</f>
        <v>INDEFINIDO</v>
      </c>
      <c r="P569" s="1" t="str">
        <f>_xlfn.XLOOKUP(I569,Parâmetros!A:A,Parâmetros!D:D,_xlfn.XLOOKUP(Q569,Parâmetros!F:F,Parâmetros!I:I))</f>
        <v>OPERAÇÕES / SUPORTE KCS</v>
      </c>
      <c r="Q569" s="1" t="str">
        <f t="shared" si="17"/>
        <v>COLUNA I</v>
      </c>
    </row>
    <row r="570" spans="1:17" x14ac:dyDescent="0.25">
      <c r="A570" s="1" t="str">
        <f>_xlfn.XLOOKUP(D570,'Novo relatório'!B:B,'Novo relatório'!C:C,"RESOLVIDO")</f>
        <v>SABRE</v>
      </c>
      <c r="C570" t="str">
        <f t="shared" si="16"/>
        <v>PENDENTE</v>
      </c>
      <c r="D570" s="1">
        <v>3240656</v>
      </c>
      <c r="E570" s="1" t="s">
        <v>26</v>
      </c>
      <c r="F570" s="2">
        <v>45699.737500000003</v>
      </c>
      <c r="G570" s="1" t="s">
        <v>1168</v>
      </c>
      <c r="H570" s="1" t="s">
        <v>1168</v>
      </c>
      <c r="I570" s="1" t="s">
        <v>83</v>
      </c>
      <c r="J570" s="2">
        <v>45699.867361111108</v>
      </c>
      <c r="L570" s="1" t="s">
        <v>18</v>
      </c>
      <c r="M570" s="1" t="str">
        <f>_xlfn.XLOOKUP(I570,Parâmetros!A:A,Parâmetros!B:B,_xlfn.XLOOKUP(Q570,Parâmetros!F:F,Parâmetros!G:G,"NOVA MENSAGEM"))</f>
        <v>CLIENTE NÃO IDENTIFICADO</v>
      </c>
      <c r="N570" s="1" t="str">
        <f>_xlfn.XLOOKUP(M570,Parâmetros!K:K,Parâmetros!L:L,"")</f>
        <v>DK DE CLIENTE NÃO PREENCIDO / CLIENTE NÃO CONFIGURADO NO OBT</v>
      </c>
      <c r="O570" s="1" t="str">
        <f>_xlfn.XLOOKUP(M570,Parâmetros!B:B,Parâmetros!C:C,_xlfn.XLOOKUP(Base!M641,Parâmetros!G:G,Parâmetros!H:H))</f>
        <v>INDEFINIDO</v>
      </c>
      <c r="P570" s="1" t="str">
        <f>_xlfn.XLOOKUP(I570,Parâmetros!A:A,Parâmetros!D:D,_xlfn.XLOOKUP(Q570,Parâmetros!F:F,Parâmetros!I:I))</f>
        <v>OPERAÇÕES / SUPORTE KCS</v>
      </c>
      <c r="Q570" s="1" t="str">
        <f t="shared" si="17"/>
        <v>COLUNA I</v>
      </c>
    </row>
    <row r="571" spans="1:17" x14ac:dyDescent="0.25">
      <c r="A571" s="1" t="str">
        <f>_xlfn.XLOOKUP(D571,'Novo relatório'!B:B,'Novo relatório'!C:C,"RESOLVIDO")</f>
        <v>RESOLVIDO</v>
      </c>
      <c r="C571" t="str">
        <f t="shared" si="16"/>
        <v>RESOLVIDO</v>
      </c>
      <c r="D571" s="1">
        <v>3240664</v>
      </c>
      <c r="E571" s="1" t="s">
        <v>26</v>
      </c>
      <c r="F571" s="2">
        <v>45699.737500000003</v>
      </c>
      <c r="G571" s="1" t="s">
        <v>1115</v>
      </c>
      <c r="H571" s="1" t="s">
        <v>1115</v>
      </c>
      <c r="I571" s="1" t="s">
        <v>588</v>
      </c>
      <c r="J571" s="2">
        <v>45699.868055555555</v>
      </c>
      <c r="L571" s="1" t="s">
        <v>14</v>
      </c>
      <c r="M571" s="1" t="str">
        <f>_xlfn.XLOOKUP(I571,Parâmetros!A:A,Parâmetros!B:B,_xlfn.XLOOKUP(Q571,Parâmetros!F:F,Parâmetros!G:G,"NOVA MENSAGEM"))</f>
        <v>ERRO NO XML</v>
      </c>
      <c r="N571" s="1" t="str">
        <f>_xlfn.XLOOKUP(M571,Parâmetros!K:K,Parâmetros!L:L,"")</f>
        <v/>
      </c>
      <c r="O571" s="1" t="str">
        <f>_xlfn.XLOOKUP(M571,Parâmetros!B:B,Parâmetros!C:C,_xlfn.XLOOKUP(Base!M599,Parâmetros!G:G,Parâmetros!H:H))</f>
        <v>SISTEMA</v>
      </c>
      <c r="P571" s="1" t="str">
        <f>_xlfn.XLOOKUP(I571,Parâmetros!A:A,Parâmetros!D:D,_xlfn.XLOOKUP(Q571,Parâmetros!F:F,Parâmetros!I:I))</f>
        <v>SUPORTE OBT</v>
      </c>
      <c r="Q571" s="1" t="str">
        <f t="shared" si="17"/>
        <v>COLUNA I</v>
      </c>
    </row>
    <row r="572" spans="1:17" x14ac:dyDescent="0.25">
      <c r="A572" s="1" t="str">
        <f>_xlfn.XLOOKUP(D572,'Novo relatório'!B:B,'Novo relatório'!C:C,"RESOLVIDO")</f>
        <v>SABRE</v>
      </c>
      <c r="C572" t="str">
        <f t="shared" si="16"/>
        <v>PENDENTE</v>
      </c>
      <c r="D572" s="1">
        <v>3240665</v>
      </c>
      <c r="E572" s="1" t="s">
        <v>26</v>
      </c>
      <c r="F572" s="2">
        <v>45699.737500000003</v>
      </c>
      <c r="G572" s="1" t="s">
        <v>1132</v>
      </c>
      <c r="H572" s="1" t="s">
        <v>1132</v>
      </c>
      <c r="I572" s="1" t="s">
        <v>620</v>
      </c>
      <c r="J572" s="2">
        <v>45699.868055555555</v>
      </c>
      <c r="L572" s="1" t="s">
        <v>18</v>
      </c>
      <c r="M572" s="1" t="str">
        <f>_xlfn.XLOOKUP(I572,Parâmetros!A:A,Parâmetros!B:B,_xlfn.XLOOKUP(Q572,Parâmetros!F:F,Parâmetros!G:G,"NOVA MENSAGEM"))</f>
        <v>CÓD. CLIENTE DIVERGENTE</v>
      </c>
      <c r="N572" s="1" t="str">
        <f>_xlfn.XLOOKUP(M572,Parâmetros!K:K,Parâmetros!L:L,"")</f>
        <v>CÓDIGO DIFERENTE DO CADASTRADO NO BENNER (CLIENTE X GRUPO)</v>
      </c>
      <c r="O572" s="1" t="str">
        <f>_xlfn.XLOOKUP(M572,Parâmetros!B:B,Parâmetros!C:C,_xlfn.XLOOKUP(Base!M612,Parâmetros!G:G,Parâmetros!H:H))</f>
        <v>QUALIDADE DOS DADOS</v>
      </c>
      <c r="P572" s="1" t="str">
        <f>_xlfn.XLOOKUP(I572,Parâmetros!A:A,Parâmetros!D:D,_xlfn.XLOOKUP(Q572,Parâmetros!F:F,Parâmetros!I:I))</f>
        <v>SUPORTE OBT</v>
      </c>
      <c r="Q572" s="1">
        <f t="shared" si="17"/>
        <v>1</v>
      </c>
    </row>
    <row r="573" spans="1:17" x14ac:dyDescent="0.25">
      <c r="A573" s="1" t="str">
        <f>_xlfn.XLOOKUP(D573,'Novo relatório'!B:B,'Novo relatório'!C:C,"RESOLVIDO")</f>
        <v>SABRE</v>
      </c>
      <c r="C573" t="str">
        <f t="shared" si="16"/>
        <v>PENDENTE</v>
      </c>
      <c r="D573" s="1">
        <v>3240666</v>
      </c>
      <c r="E573" s="1" t="s">
        <v>26</v>
      </c>
      <c r="F573" s="2">
        <v>45699.737500000003</v>
      </c>
      <c r="G573" s="1" t="s">
        <v>1160</v>
      </c>
      <c r="H573" s="1" t="s">
        <v>1160</v>
      </c>
      <c r="I573" s="1" t="s">
        <v>620</v>
      </c>
      <c r="J573" s="2">
        <v>45699.868750000001</v>
      </c>
      <c r="L573" s="1" t="s">
        <v>18</v>
      </c>
      <c r="M573" s="1" t="str">
        <f>_xlfn.XLOOKUP(I573,Parâmetros!A:A,Parâmetros!B:B,_xlfn.XLOOKUP(Q573,Parâmetros!F:F,Parâmetros!G:G,"NOVA MENSAGEM"))</f>
        <v>CÓD. CLIENTE DIVERGENTE</v>
      </c>
      <c r="N573" s="1" t="str">
        <f>_xlfn.XLOOKUP(M573,Parâmetros!K:K,Parâmetros!L:L,"")</f>
        <v>CÓDIGO DIFERENTE DO CADASTRADO NO BENNER (CLIENTE X GRUPO)</v>
      </c>
      <c r="O573" s="1" t="str">
        <f>_xlfn.XLOOKUP(M573,Parâmetros!B:B,Parâmetros!C:C,_xlfn.XLOOKUP(Base!M635,Parâmetros!G:G,Parâmetros!H:H))</f>
        <v>QUALIDADE DOS DADOS</v>
      </c>
      <c r="P573" s="1" t="str">
        <f>_xlfn.XLOOKUP(I573,Parâmetros!A:A,Parâmetros!D:D,_xlfn.XLOOKUP(Q573,Parâmetros!F:F,Parâmetros!I:I))</f>
        <v>SUPORTE OBT</v>
      </c>
      <c r="Q573" s="1">
        <f t="shared" si="17"/>
        <v>1</v>
      </c>
    </row>
    <row r="574" spans="1:17" x14ac:dyDescent="0.25">
      <c r="A574" s="1" t="str">
        <f>_xlfn.XLOOKUP(D574,'Novo relatório'!B:B,'Novo relatório'!C:C,"RESOLVIDO")</f>
        <v>SABRE</v>
      </c>
      <c r="C574" t="str">
        <f t="shared" si="16"/>
        <v>PENDENTE</v>
      </c>
      <c r="D574" s="1">
        <v>3240668</v>
      </c>
      <c r="E574" s="1" t="s">
        <v>26</v>
      </c>
      <c r="F574" s="2">
        <v>45699.737500000003</v>
      </c>
      <c r="G574" s="1" t="s">
        <v>1159</v>
      </c>
      <c r="H574" s="1" t="s">
        <v>1159</v>
      </c>
      <c r="I574" s="1" t="s">
        <v>620</v>
      </c>
      <c r="J574" s="2">
        <v>45699.868750000001</v>
      </c>
      <c r="L574" s="1" t="s">
        <v>18</v>
      </c>
      <c r="M574" s="1" t="str">
        <f>_xlfn.XLOOKUP(I574,Parâmetros!A:A,Parâmetros!B:B,_xlfn.XLOOKUP(Q574,Parâmetros!F:F,Parâmetros!G:G,"NOVA MENSAGEM"))</f>
        <v>CÓD. CLIENTE DIVERGENTE</v>
      </c>
      <c r="N574" s="1" t="str">
        <f>_xlfn.XLOOKUP(M574,Parâmetros!K:K,Parâmetros!L:L,"")</f>
        <v>CÓDIGO DIFERENTE DO CADASTRADO NO BENNER (CLIENTE X GRUPO)</v>
      </c>
      <c r="O574" s="1" t="str">
        <f>_xlfn.XLOOKUP(M574,Parâmetros!B:B,Parâmetros!C:C,_xlfn.XLOOKUP(Base!M634,Parâmetros!G:G,Parâmetros!H:H))</f>
        <v>QUALIDADE DOS DADOS</v>
      </c>
      <c r="P574" s="1" t="str">
        <f>_xlfn.XLOOKUP(I574,Parâmetros!A:A,Parâmetros!D:D,_xlfn.XLOOKUP(Q574,Parâmetros!F:F,Parâmetros!I:I))</f>
        <v>SUPORTE OBT</v>
      </c>
      <c r="Q574" s="1">
        <f t="shared" si="17"/>
        <v>1</v>
      </c>
    </row>
    <row r="575" spans="1:17" x14ac:dyDescent="0.25">
      <c r="A575" s="1" t="str">
        <f>_xlfn.XLOOKUP(D575,'Novo relatório'!B:B,'Novo relatório'!C:C,"RESOLVIDO")</f>
        <v>SABRE</v>
      </c>
      <c r="C575" t="str">
        <f t="shared" si="16"/>
        <v>PENDENTE</v>
      </c>
      <c r="D575" s="1">
        <v>3240673</v>
      </c>
      <c r="E575" s="1" t="s">
        <v>26</v>
      </c>
      <c r="F575" s="2">
        <v>45699.737500000003</v>
      </c>
      <c r="G575" s="1" t="s">
        <v>1116</v>
      </c>
      <c r="H575" s="1" t="s">
        <v>1116</v>
      </c>
      <c r="I575" s="1" t="s">
        <v>1057</v>
      </c>
      <c r="J575" s="2">
        <v>45699.869444444441</v>
      </c>
      <c r="L575" s="1" t="s">
        <v>18</v>
      </c>
      <c r="M575" s="1" t="str">
        <f>_xlfn.XLOOKUP(I575,Parâmetros!A:A,Parâmetros!B:B,_xlfn.XLOOKUP(Q575,Parâmetros!F:F,Parâmetros!G:G,"NOVA MENSAGEM"))</f>
        <v>REMARK - CNPJ</v>
      </c>
      <c r="N575" s="1" t="str">
        <f>_xlfn.XLOOKUP(M575,Parâmetros!K:K,Parâmetros!L:L,"")</f>
        <v/>
      </c>
      <c r="O575" s="1" t="str">
        <f>_xlfn.XLOOKUP(M575,Parâmetros!B:B,Parâmetros!C:C,_xlfn.XLOOKUP(Base!M600,Parâmetros!G:G,Parâmetros!H:H))</f>
        <v>QUALIDADE DOS DADOS</v>
      </c>
      <c r="P575" s="1" t="str">
        <f>_xlfn.XLOOKUP(I575,Parâmetros!A:A,Parâmetros!D:D,_xlfn.XLOOKUP(Q575,Parâmetros!F:F,Parâmetros!I:I))</f>
        <v>OPERAÇÕES / SUPORTE KCS</v>
      </c>
      <c r="Q575" s="1">
        <f t="shared" si="17"/>
        <v>24</v>
      </c>
    </row>
    <row r="576" spans="1:17" x14ac:dyDescent="0.25">
      <c r="A576" s="1" t="str">
        <f>_xlfn.XLOOKUP(D576,'Novo relatório'!B:B,'Novo relatório'!C:C,"RESOLVIDO")</f>
        <v>SABRE</v>
      </c>
      <c r="C576" t="str">
        <f t="shared" si="16"/>
        <v>PENDENTE</v>
      </c>
      <c r="D576" s="1">
        <v>3240674</v>
      </c>
      <c r="E576" s="1" t="s">
        <v>26</v>
      </c>
      <c r="F576" s="2">
        <v>45699.737500000003</v>
      </c>
      <c r="G576" s="1" t="s">
        <v>1230</v>
      </c>
      <c r="H576" s="1" t="s">
        <v>1230</v>
      </c>
      <c r="I576" s="1" t="s">
        <v>410</v>
      </c>
      <c r="J576" s="2">
        <v>45699.869444444441</v>
      </c>
      <c r="L576" s="1" t="s">
        <v>18</v>
      </c>
      <c r="M576" s="1" t="str">
        <f>_xlfn.XLOOKUP(I576,Parâmetros!A:A,Parâmetros!B:B,_xlfn.XLOOKUP(Q576,Parâmetros!F:F,Parâmetros!G:G,"NOVA MENSAGEM"))</f>
        <v>CÓD. CLIENTE DIVERGENTE</v>
      </c>
      <c r="N576" s="1" t="str">
        <f>_xlfn.XLOOKUP(M576,Parâmetros!K:K,Parâmetros!L:L,"")</f>
        <v>CÓDIGO DIFERENTE DO CADASTRADO NO BENNER (CLIENTE X GRUPO)</v>
      </c>
      <c r="O576" s="1" t="str">
        <f>_xlfn.XLOOKUP(M576,Parâmetros!B:B,Parâmetros!C:C,_xlfn.XLOOKUP(Base!M688,Parâmetros!G:G,Parâmetros!H:H))</f>
        <v>QUALIDADE DOS DADOS</v>
      </c>
      <c r="P576" s="1" t="str">
        <f>_xlfn.XLOOKUP(I576,Parâmetros!A:A,Parâmetros!D:D,_xlfn.XLOOKUP(Q576,Parâmetros!F:F,Parâmetros!I:I))</f>
        <v>SUPORTE OBT</v>
      </c>
      <c r="Q576" s="1">
        <f t="shared" si="17"/>
        <v>1</v>
      </c>
    </row>
    <row r="577" spans="1:17" x14ac:dyDescent="0.25">
      <c r="A577" s="1" t="str">
        <f>_xlfn.XLOOKUP(D577,'Novo relatório'!B:B,'Novo relatório'!C:C,"RESOLVIDO")</f>
        <v>SABRE</v>
      </c>
      <c r="C577" t="str">
        <f t="shared" si="16"/>
        <v>PENDENTE</v>
      </c>
      <c r="D577" s="1">
        <v>3240675</v>
      </c>
      <c r="E577" s="1" t="s">
        <v>26</v>
      </c>
      <c r="F577" s="2">
        <v>45699.737500000003</v>
      </c>
      <c r="G577" s="1" t="s">
        <v>1074</v>
      </c>
      <c r="H577" s="1" t="s">
        <v>1074</v>
      </c>
      <c r="I577" s="1" t="s">
        <v>410</v>
      </c>
      <c r="J577" s="2">
        <v>45699.869444444441</v>
      </c>
      <c r="L577" s="1" t="s">
        <v>18</v>
      </c>
      <c r="M577" s="1" t="str">
        <f>_xlfn.XLOOKUP(I577,Parâmetros!A:A,Parâmetros!B:B,_xlfn.XLOOKUP(Q577,Parâmetros!F:F,Parâmetros!G:G,"NOVA MENSAGEM"))</f>
        <v>CÓD. CLIENTE DIVERGENTE</v>
      </c>
      <c r="N577" s="1" t="str">
        <f>_xlfn.XLOOKUP(M577,Parâmetros!K:K,Parâmetros!L:L,"")</f>
        <v>CÓDIGO DIFERENTE DO CADASTRADO NO BENNER (CLIENTE X GRUPO)</v>
      </c>
      <c r="O577" s="1" t="str">
        <f>_xlfn.XLOOKUP(M577,Parâmetros!B:B,Parâmetros!C:C,_xlfn.XLOOKUP(Base!M568,Parâmetros!G:G,Parâmetros!H:H))</f>
        <v>QUALIDADE DOS DADOS</v>
      </c>
      <c r="P577" s="1" t="str">
        <f>_xlfn.XLOOKUP(I577,Parâmetros!A:A,Parâmetros!D:D,_xlfn.XLOOKUP(Q577,Parâmetros!F:F,Parâmetros!I:I))</f>
        <v>SUPORTE OBT</v>
      </c>
      <c r="Q577" s="1">
        <f t="shared" si="17"/>
        <v>1</v>
      </c>
    </row>
    <row r="578" spans="1:17" x14ac:dyDescent="0.25">
      <c r="A578" s="1" t="str">
        <f>_xlfn.XLOOKUP(D578,'Novo relatório'!B:B,'Novo relatório'!C:C,"RESOLVIDO")</f>
        <v>SABRE</v>
      </c>
      <c r="C578" t="str">
        <f t="shared" ref="C578:C641" si="18">IF(A578="RESOLVIDO","RESOLVIDO",IF(B578="","PENDENTE",IF(LEFT(B578,7)="CHAMADO","AGUARDANDO FORNECEDOR",IF(B578="CONTABILIZAR","CONTABILIZAR NO PORTAL"))))</f>
        <v>PENDENTE</v>
      </c>
      <c r="D578" s="1">
        <v>3240677</v>
      </c>
      <c r="E578" s="1" t="s">
        <v>26</v>
      </c>
      <c r="F578" s="2">
        <v>45699.737500000003</v>
      </c>
      <c r="G578" s="1" t="s">
        <v>1112</v>
      </c>
      <c r="H578" s="1" t="s">
        <v>1112</v>
      </c>
      <c r="I578" s="1" t="s">
        <v>396</v>
      </c>
      <c r="J578" s="2">
        <v>45699.870138888888</v>
      </c>
      <c r="L578" s="1" t="s">
        <v>18</v>
      </c>
      <c r="M578" s="1" t="str">
        <f>_xlfn.XLOOKUP(I578,Parâmetros!A:A,Parâmetros!B:B,_xlfn.XLOOKUP(Q578,Parâmetros!F:F,Parâmetros!G:G,"NOVA MENSAGEM"))</f>
        <v>CÓD. CLIENTE DIVERGENTE</v>
      </c>
      <c r="N578" s="1" t="str">
        <f>_xlfn.XLOOKUP(M578,Parâmetros!K:K,Parâmetros!L:L,"")</f>
        <v>CÓDIGO DIFERENTE DO CADASTRADO NO BENNER (CLIENTE X GRUPO)</v>
      </c>
      <c r="O578" s="1" t="str">
        <f>_xlfn.XLOOKUP(M578,Parâmetros!B:B,Parâmetros!C:C,_xlfn.XLOOKUP(Base!M597,Parâmetros!G:G,Parâmetros!H:H))</f>
        <v>QUALIDADE DOS DADOS</v>
      </c>
      <c r="P578" s="1" t="str">
        <f>_xlfn.XLOOKUP(I578,Parâmetros!A:A,Parâmetros!D:D,_xlfn.XLOOKUP(Q578,Parâmetros!F:F,Parâmetros!I:I))</f>
        <v>SUPORTE OBT</v>
      </c>
      <c r="Q578" s="1">
        <f t="shared" ref="Q578:Q641" si="19">IFERROR(FIND("Não foi possível localizar o contrato do fornecedor",I578),IFERROR(FIND("veículo",I578),IFERROR(FIND("agagem",I578),IFERROR(FIND("error in XML document",I578),IFERROR(FIND("Não localizado cliente código",I578),IFERROR(FIND("lemontech",I578),IFERROR(FIND("&gt;Fornecedor com o",I578),IFERROR(FIND("INSERT",I578),IFERROR(FIND("com CNPJ",I578),IFERROR(FIND("Consultando Agente-&gt; O agente",I578),IFERROR(FIND("Não foi possível determinar a validade do cartão, favor verificar os dados do cartão",I578),"COLUNA I")))))))))))</f>
        <v>1</v>
      </c>
    </row>
    <row r="579" spans="1:17" x14ac:dyDescent="0.25">
      <c r="A579" s="1" t="str">
        <f>_xlfn.XLOOKUP(D579,'Novo relatório'!B:B,'Novo relatório'!C:C,"RESOLVIDO")</f>
        <v>SABRE</v>
      </c>
      <c r="C579" t="str">
        <f t="shared" si="18"/>
        <v>PENDENTE</v>
      </c>
      <c r="D579" s="1">
        <v>3240678</v>
      </c>
      <c r="E579" s="1" t="s">
        <v>26</v>
      </c>
      <c r="F579" s="2">
        <v>45699.737500000003</v>
      </c>
      <c r="G579" s="1" t="s">
        <v>1056</v>
      </c>
      <c r="H579" s="1" t="s">
        <v>1056</v>
      </c>
      <c r="I579" s="1" t="s">
        <v>1057</v>
      </c>
      <c r="J579" s="2">
        <v>45699.870138888888</v>
      </c>
      <c r="L579" s="1" t="s">
        <v>18</v>
      </c>
      <c r="M579" s="1" t="str">
        <f>_xlfn.XLOOKUP(I579,Parâmetros!A:A,Parâmetros!B:B,_xlfn.XLOOKUP(Q579,Parâmetros!F:F,Parâmetros!G:G,"NOVA MENSAGEM"))</f>
        <v>REMARK - CNPJ</v>
      </c>
      <c r="N579" s="1" t="str">
        <f>_xlfn.XLOOKUP(M579,Parâmetros!K:K,Parâmetros!L:L,"")</f>
        <v/>
      </c>
      <c r="O579" s="1" t="e">
        <f>_xlfn.XLOOKUP(M579,Parâmetros!B:B,Parâmetros!C:C,_xlfn.XLOOKUP(Base!M555,Parâmetros!G:G,Parâmetros!H:H))</f>
        <v>#N/A</v>
      </c>
      <c r="P579" s="1" t="str">
        <f>_xlfn.XLOOKUP(I579,Parâmetros!A:A,Parâmetros!D:D,_xlfn.XLOOKUP(Q579,Parâmetros!F:F,Parâmetros!I:I))</f>
        <v>OPERAÇÕES / SUPORTE KCS</v>
      </c>
      <c r="Q579" s="1">
        <f t="shared" si="19"/>
        <v>24</v>
      </c>
    </row>
    <row r="580" spans="1:17" x14ac:dyDescent="0.25">
      <c r="A580" s="1" t="str">
        <f>_xlfn.XLOOKUP(D580,'Novo relatório'!B:B,'Novo relatório'!C:C,"RESOLVIDO")</f>
        <v>SABRE</v>
      </c>
      <c r="C580" t="str">
        <f t="shared" si="18"/>
        <v>PENDENTE</v>
      </c>
      <c r="D580" s="1">
        <v>3240679</v>
      </c>
      <c r="E580" s="1" t="s">
        <v>26</v>
      </c>
      <c r="F580" s="2">
        <v>45699.737500000003</v>
      </c>
      <c r="G580" s="1" t="s">
        <v>1094</v>
      </c>
      <c r="H580" s="1" t="s">
        <v>1094</v>
      </c>
      <c r="I580" s="1" t="s">
        <v>83</v>
      </c>
      <c r="J580" s="2">
        <v>45699.870138888888</v>
      </c>
      <c r="L580" s="1" t="s">
        <v>18</v>
      </c>
      <c r="M580" s="1" t="str">
        <f>_xlfn.XLOOKUP(I580,Parâmetros!A:A,Parâmetros!B:B,_xlfn.XLOOKUP(Q580,Parâmetros!F:F,Parâmetros!G:G,"NOVA MENSAGEM"))</f>
        <v>CLIENTE NÃO IDENTIFICADO</v>
      </c>
      <c r="N580" s="1" t="str">
        <f>_xlfn.XLOOKUP(M580,Parâmetros!K:K,Parâmetros!L:L,"")</f>
        <v>DK DE CLIENTE NÃO PREENCIDO / CLIENTE NÃO CONFIGURADO NO OBT</v>
      </c>
      <c r="O580" s="1" t="str">
        <f>_xlfn.XLOOKUP(M580,Parâmetros!B:B,Parâmetros!C:C,_xlfn.XLOOKUP(Base!M583,Parâmetros!G:G,Parâmetros!H:H))</f>
        <v>INDEFINIDO</v>
      </c>
      <c r="P580" s="1" t="str">
        <f>_xlfn.XLOOKUP(I580,Parâmetros!A:A,Parâmetros!D:D,_xlfn.XLOOKUP(Q580,Parâmetros!F:F,Parâmetros!I:I))</f>
        <v>OPERAÇÕES / SUPORTE KCS</v>
      </c>
      <c r="Q580" s="1" t="str">
        <f t="shared" si="19"/>
        <v>COLUNA I</v>
      </c>
    </row>
    <row r="581" spans="1:17" x14ac:dyDescent="0.25">
      <c r="A581" s="1" t="str">
        <f>_xlfn.XLOOKUP(D581,'Novo relatório'!B:B,'Novo relatório'!C:C,"RESOLVIDO")</f>
        <v>SABRE</v>
      </c>
      <c r="C581" t="str">
        <f t="shared" si="18"/>
        <v>PENDENTE</v>
      </c>
      <c r="D581" s="1">
        <v>3240680</v>
      </c>
      <c r="E581" s="1" t="s">
        <v>26</v>
      </c>
      <c r="F581" s="2">
        <v>45699.737500000003</v>
      </c>
      <c r="G581" s="1" t="s">
        <v>1095</v>
      </c>
      <c r="H581" s="1" t="s">
        <v>1095</v>
      </c>
      <c r="I581" s="1" t="s">
        <v>83</v>
      </c>
      <c r="J581" s="2">
        <v>45699.870138888888</v>
      </c>
      <c r="L581" s="1" t="s">
        <v>18</v>
      </c>
      <c r="M581" s="1" t="str">
        <f>_xlfn.XLOOKUP(I581,Parâmetros!A:A,Parâmetros!B:B,_xlfn.XLOOKUP(Q581,Parâmetros!F:F,Parâmetros!G:G,"NOVA MENSAGEM"))</f>
        <v>CLIENTE NÃO IDENTIFICADO</v>
      </c>
      <c r="N581" s="1" t="str">
        <f>_xlfn.XLOOKUP(M581,Parâmetros!K:K,Parâmetros!L:L,"")</f>
        <v>DK DE CLIENTE NÃO PREENCIDO / CLIENTE NÃO CONFIGURADO NO OBT</v>
      </c>
      <c r="O581" s="1" t="str">
        <f>_xlfn.XLOOKUP(M581,Parâmetros!B:B,Parâmetros!C:C,_xlfn.XLOOKUP(Base!M584,Parâmetros!G:G,Parâmetros!H:H))</f>
        <v>INDEFINIDO</v>
      </c>
      <c r="P581" s="1" t="str">
        <f>_xlfn.XLOOKUP(I581,Parâmetros!A:A,Parâmetros!D:D,_xlfn.XLOOKUP(Q581,Parâmetros!F:F,Parâmetros!I:I))</f>
        <v>OPERAÇÕES / SUPORTE KCS</v>
      </c>
      <c r="Q581" s="1" t="str">
        <f t="shared" si="19"/>
        <v>COLUNA I</v>
      </c>
    </row>
    <row r="582" spans="1:17" x14ac:dyDescent="0.25">
      <c r="A582" s="1" t="str">
        <f>_xlfn.XLOOKUP(D582,'Novo relatório'!B:B,'Novo relatório'!C:C,"RESOLVIDO")</f>
        <v>SABRE</v>
      </c>
      <c r="C582" t="str">
        <f t="shared" si="18"/>
        <v>PENDENTE</v>
      </c>
      <c r="D582" s="1">
        <v>3240691</v>
      </c>
      <c r="E582" s="1" t="s">
        <v>26</v>
      </c>
      <c r="F582" s="2">
        <v>45702.590277777781</v>
      </c>
      <c r="G582" s="1" t="s">
        <v>1156</v>
      </c>
      <c r="H582" s="1" t="s">
        <v>1156</v>
      </c>
      <c r="I582" s="1" t="s">
        <v>83</v>
      </c>
      <c r="J582" s="2">
        <v>45699.871527777781</v>
      </c>
      <c r="K582" s="2">
        <v>45702.72152777778</v>
      </c>
      <c r="L582" s="1" t="s">
        <v>18</v>
      </c>
      <c r="M582" s="1" t="str">
        <f>_xlfn.XLOOKUP(I582,Parâmetros!A:A,Parâmetros!B:B,_xlfn.XLOOKUP(Q582,Parâmetros!F:F,Parâmetros!G:G,"NOVA MENSAGEM"))</f>
        <v>CLIENTE NÃO IDENTIFICADO</v>
      </c>
      <c r="N582" s="1" t="str">
        <f>_xlfn.XLOOKUP(M582,Parâmetros!K:K,Parâmetros!L:L,"")</f>
        <v>DK DE CLIENTE NÃO PREENCIDO / CLIENTE NÃO CONFIGURADO NO OBT</v>
      </c>
      <c r="O582" s="1" t="str">
        <f>_xlfn.XLOOKUP(M582,Parâmetros!B:B,Parâmetros!C:C,_xlfn.XLOOKUP(Base!M632,Parâmetros!G:G,Parâmetros!H:H))</f>
        <v>INDEFINIDO</v>
      </c>
      <c r="P582" s="1" t="str">
        <f>_xlfn.XLOOKUP(I582,Parâmetros!A:A,Parâmetros!D:D,_xlfn.XLOOKUP(Q582,Parâmetros!F:F,Parâmetros!I:I))</f>
        <v>OPERAÇÕES / SUPORTE KCS</v>
      </c>
      <c r="Q582" s="1" t="str">
        <f t="shared" si="19"/>
        <v>COLUNA I</v>
      </c>
    </row>
    <row r="583" spans="1:17" x14ac:dyDescent="0.25">
      <c r="A583" s="1" t="str">
        <f>_xlfn.XLOOKUP(D583,'Novo relatório'!B:B,'Novo relatório'!C:C,"RESOLVIDO")</f>
        <v>SABRE</v>
      </c>
      <c r="C583" t="str">
        <f t="shared" si="18"/>
        <v>PENDENTE</v>
      </c>
      <c r="D583" s="1">
        <v>3241014</v>
      </c>
      <c r="E583" s="1" t="s">
        <v>26</v>
      </c>
      <c r="F583" s="2">
        <v>45700.373611111114</v>
      </c>
      <c r="G583" s="1" t="s">
        <v>1089</v>
      </c>
      <c r="H583" s="1" t="s">
        <v>1090</v>
      </c>
      <c r="I583" s="1" t="s">
        <v>64</v>
      </c>
      <c r="J583" s="2">
        <v>45700.481944444444</v>
      </c>
      <c r="K583" s="2">
        <v>45700.502083333333</v>
      </c>
      <c r="L583" s="1" t="s">
        <v>65</v>
      </c>
      <c r="M583" s="1" t="str">
        <f>_xlfn.XLOOKUP(I583,Parâmetros!A:A,Parâmetros!B:B,_xlfn.XLOOKUP(Q583,Parâmetros!F:F,Parâmetros!G:G,"NOVA MENSAGEM"))</f>
        <v>FORMATO DE TEXTO</v>
      </c>
      <c r="N583" s="1" t="str">
        <f>_xlfn.XLOOKUP(M583,Parâmetros!K:K,Parâmetros!L:L,"")</f>
        <v>TEXTO FORA DO PADRÃO ACEITO NO CAMPO</v>
      </c>
      <c r="O583" s="1" t="str">
        <f>_xlfn.XLOOKUP(M583,Parâmetros!B:B,Parâmetros!C:C,_xlfn.XLOOKUP(Base!M581,Parâmetros!G:G,Parâmetros!H:H))</f>
        <v>INDEFINIDO</v>
      </c>
      <c r="P583" s="1" t="str">
        <f>_xlfn.XLOOKUP(I583,Parâmetros!A:A,Parâmetros!D:D,_xlfn.XLOOKUP(Q583,Parâmetros!F:F,Parâmetros!I:I))</f>
        <v>SUPORTE OBT</v>
      </c>
      <c r="Q583" s="1" t="str">
        <f t="shared" si="19"/>
        <v>COLUNA I</v>
      </c>
    </row>
    <row r="584" spans="1:17" x14ac:dyDescent="0.25">
      <c r="A584" s="1" t="str">
        <f>_xlfn.XLOOKUP(D584,'Novo relatório'!B:B,'Novo relatório'!C:C,"RESOLVIDO")</f>
        <v>SABRE</v>
      </c>
      <c r="C584" t="str">
        <f t="shared" si="18"/>
        <v>PENDENTE</v>
      </c>
      <c r="D584" s="1">
        <v>3241113</v>
      </c>
      <c r="E584" s="1" t="s">
        <v>26</v>
      </c>
      <c r="F584" s="2">
        <v>45700.390277777777</v>
      </c>
      <c r="G584" s="1" t="s">
        <v>1208</v>
      </c>
      <c r="H584" s="1" t="s">
        <v>1209</v>
      </c>
      <c r="I584" s="1" t="s">
        <v>64</v>
      </c>
      <c r="J584" s="2">
        <v>45700.522916666669</v>
      </c>
      <c r="L584" s="1" t="s">
        <v>65</v>
      </c>
      <c r="M584" s="1" t="str">
        <f>_xlfn.XLOOKUP(I584,Parâmetros!A:A,Parâmetros!B:B,_xlfn.XLOOKUP(Q584,Parâmetros!F:F,Parâmetros!G:G,"NOVA MENSAGEM"))</f>
        <v>FORMATO DE TEXTO</v>
      </c>
      <c r="N584" s="1" t="str">
        <f>_xlfn.XLOOKUP(M584,Parâmetros!K:K,Parâmetros!L:L,"")</f>
        <v>TEXTO FORA DO PADRÃO ACEITO NO CAMPO</v>
      </c>
      <c r="O584" s="1" t="str">
        <f>_xlfn.XLOOKUP(M584,Parâmetros!B:B,Parâmetros!C:C,_xlfn.XLOOKUP(Base!M673,Parâmetros!G:G,Parâmetros!H:H))</f>
        <v>INDEFINIDO</v>
      </c>
      <c r="P584" s="1" t="str">
        <f>_xlfn.XLOOKUP(I584,Parâmetros!A:A,Parâmetros!D:D,_xlfn.XLOOKUP(Q584,Parâmetros!F:F,Parâmetros!I:I))</f>
        <v>SUPORTE OBT</v>
      </c>
      <c r="Q584" s="1" t="str">
        <f t="shared" si="19"/>
        <v>COLUNA I</v>
      </c>
    </row>
    <row r="585" spans="1:17" x14ac:dyDescent="0.25">
      <c r="A585" s="1" t="str">
        <f>_xlfn.XLOOKUP(D585,'Novo relatório'!B:B,'Novo relatório'!C:C,"RESOLVIDO")</f>
        <v>SABRE</v>
      </c>
      <c r="C585" t="str">
        <f t="shared" si="18"/>
        <v>PENDENTE</v>
      </c>
      <c r="D585" s="1">
        <v>3241114</v>
      </c>
      <c r="E585" s="1" t="s">
        <v>26</v>
      </c>
      <c r="F585" s="2">
        <v>45701.655555555553</v>
      </c>
      <c r="G585" s="1" t="s">
        <v>1079</v>
      </c>
      <c r="H585" s="1" t="s">
        <v>1080</v>
      </c>
      <c r="I585" s="1" t="s">
        <v>64</v>
      </c>
      <c r="J585" s="2">
        <v>45700.522916666669</v>
      </c>
      <c r="K585" s="2">
        <v>45701.783333333333</v>
      </c>
      <c r="L585" s="1" t="s">
        <v>65</v>
      </c>
      <c r="M585" s="1" t="str">
        <f>_xlfn.XLOOKUP(I585,Parâmetros!A:A,Parâmetros!B:B,_xlfn.XLOOKUP(Q585,Parâmetros!F:F,Parâmetros!G:G,"NOVA MENSAGEM"))</f>
        <v>FORMATO DE TEXTO</v>
      </c>
      <c r="N585" s="1" t="str">
        <f>_xlfn.XLOOKUP(M585,Parâmetros!K:K,Parâmetros!L:L,"")</f>
        <v>TEXTO FORA DO PADRÃO ACEITO NO CAMPO</v>
      </c>
      <c r="O585" s="1" t="str">
        <f>_xlfn.XLOOKUP(M585,Parâmetros!B:B,Parâmetros!C:C,_xlfn.XLOOKUP(Base!M573,Parâmetros!G:G,Parâmetros!H:H))</f>
        <v>INDEFINIDO</v>
      </c>
      <c r="P585" s="1" t="str">
        <f>_xlfn.XLOOKUP(I585,Parâmetros!A:A,Parâmetros!D:D,_xlfn.XLOOKUP(Q585,Parâmetros!F:F,Parâmetros!I:I))</f>
        <v>SUPORTE OBT</v>
      </c>
      <c r="Q585" s="1" t="str">
        <f t="shared" si="19"/>
        <v>COLUNA I</v>
      </c>
    </row>
    <row r="586" spans="1:17" x14ac:dyDescent="0.25">
      <c r="A586" s="1" t="str">
        <f>_xlfn.XLOOKUP(D586,'Novo relatório'!B:B,'Novo relatório'!C:C,"RESOLVIDO")</f>
        <v>GOVER</v>
      </c>
      <c r="C586" t="str">
        <f t="shared" si="18"/>
        <v>PENDENTE</v>
      </c>
      <c r="D586" s="1">
        <v>3241458</v>
      </c>
      <c r="E586" s="1" t="s">
        <v>24</v>
      </c>
      <c r="F586" s="2">
        <v>45700.409722222219</v>
      </c>
      <c r="G586" s="1">
        <v>4490304</v>
      </c>
      <c r="H586" s="1" t="s">
        <v>1237</v>
      </c>
      <c r="I586" s="1" t="s">
        <v>1238</v>
      </c>
      <c r="J586" s="2">
        <v>45700.559027777781</v>
      </c>
      <c r="K586" s="2">
        <v>45713.427083333336</v>
      </c>
      <c r="L586" s="1" t="s">
        <v>19</v>
      </c>
      <c r="M586" s="1" t="str">
        <f>_xlfn.XLOOKUP(I586,Parâmetros!A:A,Parâmetros!B:B,_xlfn.XLOOKUP(Q586,Parâmetros!F:F,Parâmetros!G:G,"NOVA MENSAGEM"))</f>
        <v>CONTRATO FORNECEDOR</v>
      </c>
      <c r="N586" s="1" t="str">
        <f>_xlfn.XLOOKUP(M586,Parâmetros!K:K,Parâmetros!L:L,"")</f>
        <v>CONTRATO INATIVO OU DIVERGENTE</v>
      </c>
      <c r="O586" s="1" t="str">
        <f>_xlfn.XLOOKUP(M586,Parâmetros!B:B,Parâmetros!C:C,_xlfn.XLOOKUP(Base!M702,Parâmetros!G:G,Parâmetros!H:H))</f>
        <v>SISTEMA</v>
      </c>
      <c r="P586" s="1" t="str">
        <f>_xlfn.XLOOKUP(I586,Parâmetros!A:A,Parâmetros!D:D,_xlfn.XLOOKUP(Q586,Parâmetros!F:F,Parâmetros!I:I))</f>
        <v>OPERAÇÕES / SUPORTE KCS</v>
      </c>
      <c r="Q586" s="1">
        <f t="shared" si="19"/>
        <v>55</v>
      </c>
    </row>
    <row r="587" spans="1:17" x14ac:dyDescent="0.25">
      <c r="A587" s="1" t="str">
        <f>_xlfn.XLOOKUP(D587,'Novo relatório'!B:B,'Novo relatório'!C:C,"RESOLVIDO")</f>
        <v>SABRE</v>
      </c>
      <c r="C587" t="str">
        <f t="shared" si="18"/>
        <v>PENDENTE</v>
      </c>
      <c r="D587" s="1">
        <v>3242204</v>
      </c>
      <c r="E587" s="1" t="s">
        <v>26</v>
      </c>
      <c r="F587" s="2">
        <v>45700.563194444447</v>
      </c>
      <c r="G587" s="1" t="s">
        <v>1147</v>
      </c>
      <c r="H587" s="1" t="s">
        <v>1147</v>
      </c>
      <c r="I587" s="1" t="s">
        <v>692</v>
      </c>
      <c r="J587" s="2">
        <v>45700.693055555559</v>
      </c>
      <c r="L587" s="1" t="s">
        <v>18</v>
      </c>
      <c r="M587" s="1" t="str">
        <f>_xlfn.XLOOKUP(I587,Parâmetros!A:A,Parâmetros!B:B,_xlfn.XLOOKUP(Q587,Parâmetros!F:F,Parâmetros!G:G,"NOVA MENSAGEM"))</f>
        <v>REMARK - CNPJ</v>
      </c>
      <c r="N587" s="1" t="str">
        <f>_xlfn.XLOOKUP(M587,Parâmetros!K:K,Parâmetros!L:L,"")</f>
        <v/>
      </c>
      <c r="O587" s="1" t="str">
        <f>_xlfn.XLOOKUP(M587,Parâmetros!B:B,Parâmetros!C:C,_xlfn.XLOOKUP(Base!M624,Parâmetros!G:G,Parâmetros!H:H))</f>
        <v>QUALIDADE DOS DADOS</v>
      </c>
      <c r="P587" s="1" t="str">
        <f>_xlfn.XLOOKUP(I587,Parâmetros!A:A,Parâmetros!D:D,_xlfn.XLOOKUP(Q587,Parâmetros!F:F,Parâmetros!I:I))</f>
        <v>OPERAÇÕES / SUPORTE KCS</v>
      </c>
      <c r="Q587" s="1">
        <f t="shared" si="19"/>
        <v>24</v>
      </c>
    </row>
    <row r="588" spans="1:17" x14ac:dyDescent="0.25">
      <c r="A588" s="1" t="str">
        <f>_xlfn.XLOOKUP(D588,'Novo relatório'!B:B,'Novo relatório'!C:C,"RESOLVIDO")</f>
        <v>SABRE</v>
      </c>
      <c r="C588" t="str">
        <f t="shared" si="18"/>
        <v>PENDENTE</v>
      </c>
      <c r="D588" s="1">
        <v>3242205</v>
      </c>
      <c r="E588" s="1" t="s">
        <v>26</v>
      </c>
      <c r="F588" s="2">
        <v>45700.563194444447</v>
      </c>
      <c r="G588" s="1" t="s">
        <v>1148</v>
      </c>
      <c r="H588" s="1" t="s">
        <v>1147</v>
      </c>
      <c r="I588" s="1" t="s">
        <v>898</v>
      </c>
      <c r="J588" s="2">
        <v>45700.693055555559</v>
      </c>
      <c r="L588" s="1" t="s">
        <v>18</v>
      </c>
      <c r="M588" s="1" t="str">
        <f>_xlfn.XLOOKUP(I588,Parâmetros!A:A,Parâmetros!B:B,_xlfn.XLOOKUP(Q588,Parâmetros!F:F,Parâmetros!G:G,"NOVA MENSAGEM"))</f>
        <v>REMARK - CNPJ</v>
      </c>
      <c r="N588" s="1" t="str">
        <f>_xlfn.XLOOKUP(M588,Parâmetros!K:K,Parâmetros!L:L,"")</f>
        <v/>
      </c>
      <c r="O588" s="1" t="str">
        <f>_xlfn.XLOOKUP(M588,Parâmetros!B:B,Parâmetros!C:C,_xlfn.XLOOKUP(Base!M625,Parâmetros!G:G,Parâmetros!H:H))</f>
        <v>QUALIDADE DOS DADOS</v>
      </c>
      <c r="P588" s="1" t="str">
        <f>_xlfn.XLOOKUP(I588,Parâmetros!A:A,Parâmetros!D:D,_xlfn.XLOOKUP(Q588,Parâmetros!F:F,Parâmetros!I:I))</f>
        <v>OPERAÇÕES / SUPORTE KCS</v>
      </c>
      <c r="Q588" s="1">
        <f t="shared" si="19"/>
        <v>24</v>
      </c>
    </row>
    <row r="589" spans="1:17" x14ac:dyDescent="0.25">
      <c r="A589" s="1" t="str">
        <f>_xlfn.XLOOKUP(D589,'Novo relatório'!B:B,'Novo relatório'!C:C,"RESOLVIDO")</f>
        <v>SABRE</v>
      </c>
      <c r="C589" t="str">
        <f t="shared" si="18"/>
        <v>PENDENTE</v>
      </c>
      <c r="D589" s="1">
        <v>3243939</v>
      </c>
      <c r="E589" s="1" t="s">
        <v>26</v>
      </c>
      <c r="F589" s="2">
        <v>45713.268750000003</v>
      </c>
      <c r="G589" s="1" t="s">
        <v>1210</v>
      </c>
      <c r="H589" s="1" t="s">
        <v>1210</v>
      </c>
      <c r="I589" s="1" t="s">
        <v>589</v>
      </c>
      <c r="J589" s="2">
        <v>45701.513888888891</v>
      </c>
      <c r="K589" s="2">
        <v>45713.40625</v>
      </c>
      <c r="L589" s="1" t="s">
        <v>18</v>
      </c>
      <c r="M589" s="1" t="str">
        <f>_xlfn.XLOOKUP(I589,Parâmetros!A:A,Parâmetros!B:B,_xlfn.XLOOKUP(Q589,Parâmetros!F:F,Parâmetros!G:G,"NOVA MENSAGEM"))</f>
        <v>REMARK - CNPJ</v>
      </c>
      <c r="N589" s="1" t="str">
        <f>_xlfn.XLOOKUP(M589,Parâmetros!K:K,Parâmetros!L:L,"")</f>
        <v/>
      </c>
      <c r="O589" s="1" t="str">
        <f>_xlfn.XLOOKUP(M589,Parâmetros!B:B,Parâmetros!C:C,_xlfn.XLOOKUP(Base!M674,Parâmetros!G:G,Parâmetros!H:H))</f>
        <v>SISTEMA</v>
      </c>
      <c r="P589" s="1" t="str">
        <f>_xlfn.XLOOKUP(I589,Parâmetros!A:A,Parâmetros!D:D,_xlfn.XLOOKUP(Q589,Parâmetros!F:F,Parâmetros!I:I))</f>
        <v>OPERAÇÕES / SUPORTE KCS</v>
      </c>
      <c r="Q589" s="1">
        <f t="shared" si="19"/>
        <v>24</v>
      </c>
    </row>
    <row r="590" spans="1:17" x14ac:dyDescent="0.25">
      <c r="A590" s="1" t="str">
        <f>_xlfn.XLOOKUP(D590,'Novo relatório'!B:B,'Novo relatório'!C:C,"RESOLVIDO")</f>
        <v>SABRE</v>
      </c>
      <c r="C590" t="str">
        <f t="shared" si="18"/>
        <v>PENDENTE</v>
      </c>
      <c r="D590" s="1">
        <v>3243958</v>
      </c>
      <c r="E590" s="1" t="s">
        <v>26</v>
      </c>
      <c r="F590" s="2">
        <v>45701.382638888892</v>
      </c>
      <c r="G590" s="1" t="s">
        <v>1117</v>
      </c>
      <c r="H590" s="1" t="s">
        <v>1117</v>
      </c>
      <c r="I590" s="1" t="s">
        <v>620</v>
      </c>
      <c r="J590" s="2">
        <v>45701.515972222223</v>
      </c>
      <c r="L590" s="1" t="s">
        <v>18</v>
      </c>
      <c r="M590" s="1" t="str">
        <f>_xlfn.XLOOKUP(I590,Parâmetros!A:A,Parâmetros!B:B,_xlfn.XLOOKUP(Q590,Parâmetros!F:F,Parâmetros!G:G,"NOVA MENSAGEM"))</f>
        <v>CÓD. CLIENTE DIVERGENTE</v>
      </c>
      <c r="N590" s="1" t="str">
        <f>_xlfn.XLOOKUP(M590,Parâmetros!K:K,Parâmetros!L:L,"")</f>
        <v>CÓDIGO DIFERENTE DO CADASTRADO NO BENNER (CLIENTE X GRUPO)</v>
      </c>
      <c r="O590" s="1" t="str">
        <f>_xlfn.XLOOKUP(M590,Parâmetros!B:B,Parâmetros!C:C,_xlfn.XLOOKUP(Base!M601,Parâmetros!G:G,Parâmetros!H:H))</f>
        <v>QUALIDADE DOS DADOS</v>
      </c>
      <c r="P590" s="1" t="str">
        <f>_xlfn.XLOOKUP(I590,Parâmetros!A:A,Parâmetros!D:D,_xlfn.XLOOKUP(Q590,Parâmetros!F:F,Parâmetros!I:I))</f>
        <v>SUPORTE OBT</v>
      </c>
      <c r="Q590" s="1">
        <f t="shared" si="19"/>
        <v>1</v>
      </c>
    </row>
    <row r="591" spans="1:17" x14ac:dyDescent="0.25">
      <c r="A591" s="1" t="str">
        <f>_xlfn.XLOOKUP(D591,'Novo relatório'!B:B,'Novo relatório'!C:C,"RESOLVIDO")</f>
        <v>RESOLVIDO</v>
      </c>
      <c r="C591" t="str">
        <f t="shared" si="18"/>
        <v>RESOLVIDO</v>
      </c>
      <c r="D591" s="1">
        <v>3243976</v>
      </c>
      <c r="E591" s="1" t="s">
        <v>26</v>
      </c>
      <c r="F591" s="2">
        <v>45723.736805555556</v>
      </c>
      <c r="G591" s="1" t="s">
        <v>1497</v>
      </c>
      <c r="H591" s="1" t="s">
        <v>1497</v>
      </c>
      <c r="I591" s="1" t="s">
        <v>588</v>
      </c>
      <c r="J591" s="2">
        <v>45701.517361111109</v>
      </c>
      <c r="K591" s="2">
        <v>45723.870138888888</v>
      </c>
      <c r="L591" s="1" t="s">
        <v>14</v>
      </c>
      <c r="M591" s="1" t="str">
        <f>_xlfn.XLOOKUP(I591,Parâmetros!A:A,Parâmetros!B:B,_xlfn.XLOOKUP(Q591,Parâmetros!F:F,Parâmetros!G:G,"NOVA MENSAGEM"))</f>
        <v>ERRO NO XML</v>
      </c>
      <c r="N591" s="1" t="str">
        <f>_xlfn.XLOOKUP(M591,Parâmetros!K:K,Parâmetros!L:L,"")</f>
        <v/>
      </c>
      <c r="O591" s="1" t="str">
        <f>_xlfn.XLOOKUP(M591,Parâmetros!B:B,Parâmetros!C:C,_xlfn.XLOOKUP(Base!M908,Parâmetros!G:G,Parâmetros!H:H))</f>
        <v>SISTEMA</v>
      </c>
      <c r="P591" s="1" t="str">
        <f>_xlfn.XLOOKUP(I591,Parâmetros!A:A,Parâmetros!D:D,_xlfn.XLOOKUP(Q591,Parâmetros!F:F,Parâmetros!I:I))</f>
        <v>SUPORTE OBT</v>
      </c>
      <c r="Q591" s="1" t="str">
        <f t="shared" si="19"/>
        <v>COLUNA I</v>
      </c>
    </row>
    <row r="592" spans="1:17" x14ac:dyDescent="0.25">
      <c r="A592" s="1" t="str">
        <f>_xlfn.XLOOKUP(D592,'Novo relatório'!B:B,'Novo relatório'!C:C,"RESOLVIDO")</f>
        <v>SABRE</v>
      </c>
      <c r="C592" t="str">
        <f t="shared" si="18"/>
        <v>PENDENTE</v>
      </c>
      <c r="D592" s="1">
        <v>3243989</v>
      </c>
      <c r="E592" s="1" t="s">
        <v>26</v>
      </c>
      <c r="F592" s="2">
        <v>45701.382638888892</v>
      </c>
      <c r="G592" s="1" t="s">
        <v>1051</v>
      </c>
      <c r="H592" s="1" t="s">
        <v>1051</v>
      </c>
      <c r="I592" s="1" t="s">
        <v>408</v>
      </c>
      <c r="J592" s="2">
        <v>45701.519444444442</v>
      </c>
      <c r="L592" s="1" t="s">
        <v>18</v>
      </c>
      <c r="M592" s="1" t="str">
        <f>_xlfn.XLOOKUP(I592,Parâmetros!A:A,Parâmetros!B:B,_xlfn.XLOOKUP(Q592,Parâmetros!F:F,Parâmetros!G:G,"NOVA MENSAGEM"))</f>
        <v>CÓD. CLIENTE DIVERGENTE</v>
      </c>
      <c r="N592" s="1" t="str">
        <f>_xlfn.XLOOKUP(M592,Parâmetros!K:K,Parâmetros!L:L,"")</f>
        <v>CÓDIGO DIFERENTE DO CADASTRADO NO BENNER (CLIENTE X GRUPO)</v>
      </c>
      <c r="O592" s="1" t="str">
        <f>_xlfn.XLOOKUP(M592,Parâmetros!B:B,Parâmetros!C:C,_xlfn.XLOOKUP(Base!M551,Parâmetros!G:G,Parâmetros!H:H))</f>
        <v>QUALIDADE DOS DADOS</v>
      </c>
      <c r="P592" s="1" t="str">
        <f>_xlfn.XLOOKUP(I592,Parâmetros!A:A,Parâmetros!D:D,_xlfn.XLOOKUP(Q592,Parâmetros!F:F,Parâmetros!I:I))</f>
        <v>SUPORTE OBT</v>
      </c>
      <c r="Q592" s="1">
        <f t="shared" si="19"/>
        <v>1</v>
      </c>
    </row>
    <row r="593" spans="1:17" x14ac:dyDescent="0.25">
      <c r="A593" s="1" t="str">
        <f>_xlfn.XLOOKUP(D593,'Novo relatório'!B:B,'Novo relatório'!C:C,"RESOLVIDO")</f>
        <v>SABRE</v>
      </c>
      <c r="C593" t="str">
        <f t="shared" si="18"/>
        <v>PENDENTE</v>
      </c>
      <c r="D593" s="1">
        <v>3243995</v>
      </c>
      <c r="E593" s="1" t="s">
        <v>26</v>
      </c>
      <c r="F593" s="2">
        <v>45701.382638888892</v>
      </c>
      <c r="G593" s="1" t="s">
        <v>1146</v>
      </c>
      <c r="H593" s="1" t="s">
        <v>1146</v>
      </c>
      <c r="I593" s="1" t="s">
        <v>83</v>
      </c>
      <c r="J593" s="2">
        <v>45701.520138888889</v>
      </c>
      <c r="L593" s="1" t="s">
        <v>18</v>
      </c>
      <c r="M593" s="1" t="str">
        <f>_xlfn.XLOOKUP(I593,Parâmetros!A:A,Parâmetros!B:B,_xlfn.XLOOKUP(Q593,Parâmetros!F:F,Parâmetros!G:G,"NOVA MENSAGEM"))</f>
        <v>CLIENTE NÃO IDENTIFICADO</v>
      </c>
      <c r="N593" s="1" t="str">
        <f>_xlfn.XLOOKUP(M593,Parâmetros!K:K,Parâmetros!L:L,"")</f>
        <v>DK DE CLIENTE NÃO PREENCIDO / CLIENTE NÃO CONFIGURADO NO OBT</v>
      </c>
      <c r="O593" s="1" t="str">
        <f>_xlfn.XLOOKUP(M593,Parâmetros!B:B,Parâmetros!C:C,_xlfn.XLOOKUP(Base!M623,Parâmetros!G:G,Parâmetros!H:H))</f>
        <v>INDEFINIDO</v>
      </c>
      <c r="P593" s="1" t="str">
        <f>_xlfn.XLOOKUP(I593,Parâmetros!A:A,Parâmetros!D:D,_xlfn.XLOOKUP(Q593,Parâmetros!F:F,Parâmetros!I:I))</f>
        <v>OPERAÇÕES / SUPORTE KCS</v>
      </c>
      <c r="Q593" s="1" t="str">
        <f t="shared" si="19"/>
        <v>COLUNA I</v>
      </c>
    </row>
    <row r="594" spans="1:17" x14ac:dyDescent="0.25">
      <c r="A594" s="1" t="str">
        <f>_xlfn.XLOOKUP(D594,'Novo relatório'!B:B,'Novo relatório'!C:C,"RESOLVIDO")</f>
        <v>SABRE</v>
      </c>
      <c r="C594" t="str">
        <f t="shared" si="18"/>
        <v>PENDENTE</v>
      </c>
      <c r="D594" s="1">
        <v>3243997</v>
      </c>
      <c r="E594" s="1" t="s">
        <v>26</v>
      </c>
      <c r="F594" s="2">
        <v>45701.382638888892</v>
      </c>
      <c r="G594" s="1" t="s">
        <v>1071</v>
      </c>
      <c r="H594" s="1" t="s">
        <v>1071</v>
      </c>
      <c r="I594" s="1" t="s">
        <v>396</v>
      </c>
      <c r="J594" s="2">
        <v>45701.520138888889</v>
      </c>
      <c r="L594" s="1" t="s">
        <v>18</v>
      </c>
      <c r="M594" s="1" t="str">
        <f>_xlfn.XLOOKUP(I594,Parâmetros!A:A,Parâmetros!B:B,_xlfn.XLOOKUP(Q594,Parâmetros!F:F,Parâmetros!G:G,"NOVA MENSAGEM"))</f>
        <v>CÓD. CLIENTE DIVERGENTE</v>
      </c>
      <c r="N594" s="1" t="str">
        <f>_xlfn.XLOOKUP(M594,Parâmetros!K:K,Parâmetros!L:L,"")</f>
        <v>CÓDIGO DIFERENTE DO CADASTRADO NO BENNER (CLIENTE X GRUPO)</v>
      </c>
      <c r="O594" s="1" t="str">
        <f>_xlfn.XLOOKUP(M594,Parâmetros!B:B,Parâmetros!C:C,_xlfn.XLOOKUP(Base!M565,Parâmetros!G:G,Parâmetros!H:H))</f>
        <v>QUALIDADE DOS DADOS</v>
      </c>
      <c r="P594" s="1" t="str">
        <f>_xlfn.XLOOKUP(I594,Parâmetros!A:A,Parâmetros!D:D,_xlfn.XLOOKUP(Q594,Parâmetros!F:F,Parâmetros!I:I))</f>
        <v>SUPORTE OBT</v>
      </c>
      <c r="Q594" s="1">
        <f t="shared" si="19"/>
        <v>1</v>
      </c>
    </row>
    <row r="595" spans="1:17" x14ac:dyDescent="0.25">
      <c r="A595" s="1" t="str">
        <f>_xlfn.XLOOKUP(D595,'Novo relatório'!B:B,'Novo relatório'!C:C,"RESOLVIDO")</f>
        <v>SABRE</v>
      </c>
      <c r="C595" t="str">
        <f t="shared" si="18"/>
        <v>PENDENTE</v>
      </c>
      <c r="D595" s="1">
        <v>3243998</v>
      </c>
      <c r="E595" s="1" t="s">
        <v>26</v>
      </c>
      <c r="F595" s="2">
        <v>45701.382638888892</v>
      </c>
      <c r="G595" s="1" t="s">
        <v>1141</v>
      </c>
      <c r="H595" s="1" t="s">
        <v>1141</v>
      </c>
      <c r="I595" s="1" t="s">
        <v>83</v>
      </c>
      <c r="J595" s="2">
        <v>45701.520138888889</v>
      </c>
      <c r="L595" s="1" t="s">
        <v>18</v>
      </c>
      <c r="M595" s="1" t="str">
        <f>_xlfn.XLOOKUP(I595,Parâmetros!A:A,Parâmetros!B:B,_xlfn.XLOOKUP(Q595,Parâmetros!F:F,Parâmetros!G:G,"NOVA MENSAGEM"))</f>
        <v>CLIENTE NÃO IDENTIFICADO</v>
      </c>
      <c r="N595" s="1" t="str">
        <f>_xlfn.XLOOKUP(M595,Parâmetros!K:K,Parâmetros!L:L,"")</f>
        <v>DK DE CLIENTE NÃO PREENCIDO / CLIENTE NÃO CONFIGURADO NO OBT</v>
      </c>
      <c r="O595" s="1" t="str">
        <f>_xlfn.XLOOKUP(M595,Parâmetros!B:B,Parâmetros!C:C,_xlfn.XLOOKUP(Base!M619,Parâmetros!G:G,Parâmetros!H:H))</f>
        <v>INDEFINIDO</v>
      </c>
      <c r="P595" s="1" t="str">
        <f>_xlfn.XLOOKUP(I595,Parâmetros!A:A,Parâmetros!D:D,_xlfn.XLOOKUP(Q595,Parâmetros!F:F,Parâmetros!I:I))</f>
        <v>OPERAÇÕES / SUPORTE KCS</v>
      </c>
      <c r="Q595" s="1" t="str">
        <f t="shared" si="19"/>
        <v>COLUNA I</v>
      </c>
    </row>
    <row r="596" spans="1:17" x14ac:dyDescent="0.25">
      <c r="A596" s="1" t="str">
        <f>_xlfn.XLOOKUP(D596,'Novo relatório'!B:B,'Novo relatório'!C:C,"RESOLVIDO")</f>
        <v>SABRE</v>
      </c>
      <c r="C596" t="str">
        <f t="shared" si="18"/>
        <v>PENDENTE</v>
      </c>
      <c r="D596" s="1">
        <v>3244002</v>
      </c>
      <c r="E596" s="1" t="s">
        <v>26</v>
      </c>
      <c r="F596" s="2">
        <v>45701.382638888892</v>
      </c>
      <c r="G596" s="1" t="s">
        <v>1127</v>
      </c>
      <c r="H596" s="1" t="s">
        <v>1127</v>
      </c>
      <c r="I596" s="1" t="s">
        <v>652</v>
      </c>
      <c r="J596" s="2">
        <v>45701.520833333336</v>
      </c>
      <c r="L596" s="1" t="s">
        <v>18</v>
      </c>
      <c r="M596" s="1" t="str">
        <f>_xlfn.XLOOKUP(I596,Parâmetros!A:A,Parâmetros!B:B,_xlfn.XLOOKUP(Q596,Parâmetros!F:F,Parâmetros!G:G,"NOVA MENSAGEM"))</f>
        <v>CÓD. CLIENTE DIVERGENTE</v>
      </c>
      <c r="N596" s="1" t="str">
        <f>_xlfn.XLOOKUP(M596,Parâmetros!K:K,Parâmetros!L:L,"")</f>
        <v>CÓDIGO DIFERENTE DO CADASTRADO NO BENNER (CLIENTE X GRUPO)</v>
      </c>
      <c r="O596" s="1" t="str">
        <f>_xlfn.XLOOKUP(M596,Parâmetros!B:B,Parâmetros!C:C,_xlfn.XLOOKUP(Base!M608,Parâmetros!G:G,Parâmetros!H:H))</f>
        <v>QUALIDADE DOS DADOS</v>
      </c>
      <c r="P596" s="1" t="str">
        <f>_xlfn.XLOOKUP(I596,Parâmetros!A:A,Parâmetros!D:D,_xlfn.XLOOKUP(Q596,Parâmetros!F:F,Parâmetros!I:I))</f>
        <v>SUPORTE OBT</v>
      </c>
      <c r="Q596" s="1">
        <f t="shared" si="19"/>
        <v>1</v>
      </c>
    </row>
    <row r="597" spans="1:17" x14ac:dyDescent="0.25">
      <c r="A597" s="1" t="str">
        <f>_xlfn.XLOOKUP(D597,'Novo relatório'!B:B,'Novo relatório'!C:C,"RESOLVIDO")</f>
        <v>TMS</v>
      </c>
      <c r="C597" t="str">
        <f t="shared" si="18"/>
        <v>PENDENTE</v>
      </c>
      <c r="D597" s="1">
        <v>3244153</v>
      </c>
      <c r="E597" s="1" t="s">
        <v>12</v>
      </c>
      <c r="F597" s="2">
        <v>45701.388888888891</v>
      </c>
      <c r="G597" s="1">
        <v>52639</v>
      </c>
      <c r="H597" s="1">
        <v>52639</v>
      </c>
      <c r="I597" s="1" t="s">
        <v>1235</v>
      </c>
      <c r="J597" s="2">
        <v>45701.554166666669</v>
      </c>
      <c r="K597" s="2">
        <v>45704.845138888886</v>
      </c>
      <c r="L597" s="1" t="s">
        <v>14</v>
      </c>
      <c r="M597" s="1" t="str">
        <f>_xlfn.XLOOKUP(I597,Parâmetros!A:A,Parâmetros!B:B,_xlfn.XLOOKUP(Q597,Parâmetros!F:F,Parâmetros!G:G,"NOVA MENSAGEM"))</f>
        <v>NOVA MENSAGEM</v>
      </c>
      <c r="N597" s="1" t="str">
        <f>_xlfn.XLOOKUP(M597,Parâmetros!K:K,Parâmetros!L:L,"")</f>
        <v/>
      </c>
      <c r="O597" s="1" t="str">
        <f>_xlfn.XLOOKUP(M597,Parâmetros!B:B,Parâmetros!C:C,_xlfn.XLOOKUP(Base!M693,Parâmetros!G:G,Parâmetros!H:H))</f>
        <v>QUALIDADE DOS DADOS</v>
      </c>
      <c r="P597" s="1" t="e">
        <f>_xlfn.XLOOKUP(I597,Parâmetros!A:A,Parâmetros!D:D,_xlfn.XLOOKUP(Q597,Parâmetros!F:F,Parâmetros!I:I))</f>
        <v>#N/A</v>
      </c>
      <c r="Q597" s="1">
        <f t="shared" si="19"/>
        <v>123</v>
      </c>
    </row>
    <row r="598" spans="1:17" x14ac:dyDescent="0.25">
      <c r="A598" s="1" t="str">
        <f>_xlfn.XLOOKUP(D598,'Novo relatório'!B:B,'Novo relatório'!C:C,"RESOLVIDO")</f>
        <v>SABRE</v>
      </c>
      <c r="C598" t="str">
        <f t="shared" si="18"/>
        <v>PENDENTE</v>
      </c>
      <c r="D598" s="1">
        <v>3245146</v>
      </c>
      <c r="E598" s="1" t="s">
        <v>26</v>
      </c>
      <c r="F598" s="2">
        <v>45701.655555555553</v>
      </c>
      <c r="G598" s="1" t="s">
        <v>1185</v>
      </c>
      <c r="H598" s="1" t="s">
        <v>1186</v>
      </c>
      <c r="I598" s="1" t="s">
        <v>64</v>
      </c>
      <c r="J598" s="2">
        <v>45701.773611111108</v>
      </c>
      <c r="K598" s="2">
        <v>45701.78402777778</v>
      </c>
      <c r="L598" s="1" t="s">
        <v>65</v>
      </c>
      <c r="M598" s="1" t="str">
        <f>_xlfn.XLOOKUP(I598,Parâmetros!A:A,Parâmetros!B:B,_xlfn.XLOOKUP(Q598,Parâmetros!F:F,Parâmetros!G:G,"NOVA MENSAGEM"))</f>
        <v>FORMATO DE TEXTO</v>
      </c>
      <c r="N598" s="1" t="str">
        <f>_xlfn.XLOOKUP(M598,Parâmetros!K:K,Parâmetros!L:L,"")</f>
        <v>TEXTO FORA DO PADRÃO ACEITO NO CAMPO</v>
      </c>
      <c r="O598" s="1" t="str">
        <f>_xlfn.XLOOKUP(M598,Parâmetros!B:B,Parâmetros!C:C,_xlfn.XLOOKUP(Base!M654,Parâmetros!G:G,Parâmetros!H:H))</f>
        <v>INDEFINIDO</v>
      </c>
      <c r="P598" s="1" t="str">
        <f>_xlfn.XLOOKUP(I598,Parâmetros!A:A,Parâmetros!D:D,_xlfn.XLOOKUP(Q598,Parâmetros!F:F,Parâmetros!I:I))</f>
        <v>SUPORTE OBT</v>
      </c>
      <c r="Q598" s="1" t="str">
        <f t="shared" si="19"/>
        <v>COLUNA I</v>
      </c>
    </row>
    <row r="599" spans="1:17" x14ac:dyDescent="0.25">
      <c r="A599" s="1" t="str">
        <f>_xlfn.XLOOKUP(D599,'Novo relatório'!B:B,'Novo relatório'!C:C,"RESOLVIDO")</f>
        <v>SABRE</v>
      </c>
      <c r="C599" t="str">
        <f t="shared" si="18"/>
        <v>PENDENTE</v>
      </c>
      <c r="D599" s="1">
        <v>3245155</v>
      </c>
      <c r="E599" s="1" t="s">
        <v>26</v>
      </c>
      <c r="F599" s="2">
        <v>45702.335416666669</v>
      </c>
      <c r="G599" s="1" t="s">
        <v>1097</v>
      </c>
      <c r="H599" s="1" t="s">
        <v>1098</v>
      </c>
      <c r="I599" s="1" t="s">
        <v>64</v>
      </c>
      <c r="J599" s="2">
        <v>45701.783333333333</v>
      </c>
      <c r="K599" s="2">
        <v>45702.462500000001</v>
      </c>
      <c r="L599" s="1" t="s">
        <v>65</v>
      </c>
      <c r="M599" s="1" t="str">
        <f>_xlfn.XLOOKUP(I599,Parâmetros!A:A,Parâmetros!B:B,_xlfn.XLOOKUP(Q599,Parâmetros!F:F,Parâmetros!G:G,"NOVA MENSAGEM"))</f>
        <v>FORMATO DE TEXTO</v>
      </c>
      <c r="N599" s="1" t="str">
        <f>_xlfn.XLOOKUP(M599,Parâmetros!K:K,Parâmetros!L:L,"")</f>
        <v>TEXTO FORA DO PADRÃO ACEITO NO CAMPO</v>
      </c>
      <c r="O599" s="1" t="str">
        <f>_xlfn.XLOOKUP(M599,Parâmetros!B:B,Parâmetros!C:C,_xlfn.XLOOKUP(Base!M586,Parâmetros!G:G,Parâmetros!H:H))</f>
        <v>INDEFINIDO</v>
      </c>
      <c r="P599" s="1" t="str">
        <f>_xlfn.XLOOKUP(I599,Parâmetros!A:A,Parâmetros!D:D,_xlfn.XLOOKUP(Q599,Parâmetros!F:F,Parâmetros!I:I))</f>
        <v>SUPORTE OBT</v>
      </c>
      <c r="Q599" s="1" t="str">
        <f t="shared" si="19"/>
        <v>COLUNA I</v>
      </c>
    </row>
    <row r="600" spans="1:17" x14ac:dyDescent="0.25">
      <c r="A600" s="1" t="str">
        <f>_xlfn.XLOOKUP(D600,'Novo relatório'!B:B,'Novo relatório'!C:C,"RESOLVIDO")</f>
        <v>SABRE</v>
      </c>
      <c r="C600" t="str">
        <f t="shared" si="18"/>
        <v>PENDENTE</v>
      </c>
      <c r="D600" s="1">
        <v>3245970</v>
      </c>
      <c r="E600" s="1" t="s">
        <v>26</v>
      </c>
      <c r="F600" s="2">
        <v>45701.897916666669</v>
      </c>
      <c r="G600" s="1" t="s">
        <v>1082</v>
      </c>
      <c r="H600" s="1" t="s">
        <v>1082</v>
      </c>
      <c r="I600" s="1" t="s">
        <v>1083</v>
      </c>
      <c r="J600" s="2">
        <v>45702.033333333333</v>
      </c>
      <c r="L600" s="1" t="s">
        <v>18</v>
      </c>
      <c r="M600" s="1" t="str">
        <f>_xlfn.XLOOKUP(I600,Parâmetros!A:A,Parâmetros!B:B,_xlfn.XLOOKUP(Q600,Parâmetros!F:F,Parâmetros!G:G,"NOVA MENSAGEM"))</f>
        <v>CÓD. CLIENTE DIVERGENTE</v>
      </c>
      <c r="N600" s="1" t="str">
        <f>_xlfn.XLOOKUP(M600,Parâmetros!K:K,Parâmetros!L:L,"")</f>
        <v>CÓDIGO DIFERENTE DO CADASTRADO NO BENNER (CLIENTE X GRUPO)</v>
      </c>
      <c r="O600" s="1" t="str">
        <f>_xlfn.XLOOKUP(M600,Parâmetros!B:B,Parâmetros!C:C,_xlfn.XLOOKUP(Base!M575,Parâmetros!G:G,Parâmetros!H:H))</f>
        <v>QUALIDADE DOS DADOS</v>
      </c>
      <c r="P600" s="1" t="str">
        <f>_xlfn.XLOOKUP(I600,Parâmetros!A:A,Parâmetros!D:D,_xlfn.XLOOKUP(Q600,Parâmetros!F:F,Parâmetros!I:I))</f>
        <v>SUPORTE OBT</v>
      </c>
      <c r="Q600" s="1">
        <f t="shared" si="19"/>
        <v>1</v>
      </c>
    </row>
    <row r="601" spans="1:17" x14ac:dyDescent="0.25">
      <c r="A601" s="1" t="str">
        <f>_xlfn.XLOOKUP(D601,'Novo relatório'!B:B,'Novo relatório'!C:C,"RESOLVIDO")</f>
        <v>SABRE</v>
      </c>
      <c r="C601" t="str">
        <f t="shared" si="18"/>
        <v>PENDENTE</v>
      </c>
      <c r="D601" s="1">
        <v>3245971</v>
      </c>
      <c r="E601" s="1" t="s">
        <v>26</v>
      </c>
      <c r="F601" s="2">
        <v>45701.897916666669</v>
      </c>
      <c r="G601" s="1" t="s">
        <v>1204</v>
      </c>
      <c r="H601" s="1" t="s">
        <v>1204</v>
      </c>
      <c r="I601" s="1" t="s">
        <v>840</v>
      </c>
      <c r="J601" s="2">
        <v>45702.033333333333</v>
      </c>
      <c r="L601" s="1" t="s">
        <v>18</v>
      </c>
      <c r="M601" s="1" t="str">
        <f>_xlfn.XLOOKUP(I601,Parâmetros!A:A,Parâmetros!B:B,_xlfn.XLOOKUP(Q601,Parâmetros!F:F,Parâmetros!G:G,"NOVA MENSAGEM"))</f>
        <v>REMARK - CNPJ</v>
      </c>
      <c r="N601" s="1" t="str">
        <f>_xlfn.XLOOKUP(M601,Parâmetros!K:K,Parâmetros!L:L,"")</f>
        <v/>
      </c>
      <c r="O601" s="1" t="str">
        <f>_xlfn.XLOOKUP(M601,Parâmetros!B:B,Parâmetros!C:C,_xlfn.XLOOKUP(Base!M669,Parâmetros!G:G,Parâmetros!H:H))</f>
        <v>INDEFINIDO</v>
      </c>
      <c r="P601" s="1" t="str">
        <f>_xlfn.XLOOKUP(I601,Parâmetros!A:A,Parâmetros!D:D,_xlfn.XLOOKUP(Q601,Parâmetros!F:F,Parâmetros!I:I))</f>
        <v>OPERAÇÕES / SUPORTE KCS</v>
      </c>
      <c r="Q601" s="1">
        <f t="shared" si="19"/>
        <v>24</v>
      </c>
    </row>
    <row r="602" spans="1:17" x14ac:dyDescent="0.25">
      <c r="A602" s="1" t="str">
        <f>_xlfn.XLOOKUP(D602,'Novo relatório'!B:B,'Novo relatório'!C:C,"RESOLVIDO")</f>
        <v>SABRE</v>
      </c>
      <c r="C602" t="str">
        <f t="shared" si="18"/>
        <v>PENDENTE</v>
      </c>
      <c r="D602" s="1">
        <v>3245973</v>
      </c>
      <c r="E602" s="1" t="s">
        <v>26</v>
      </c>
      <c r="F602" s="2">
        <v>45701.897916666669</v>
      </c>
      <c r="G602" s="1" t="s">
        <v>1084</v>
      </c>
      <c r="H602" s="1" t="s">
        <v>1084</v>
      </c>
      <c r="I602" s="1" t="s">
        <v>83</v>
      </c>
      <c r="J602" s="2">
        <v>45702.033333333333</v>
      </c>
      <c r="L602" s="1" t="s">
        <v>18</v>
      </c>
      <c r="M602" s="1" t="str">
        <f>_xlfn.XLOOKUP(I602,Parâmetros!A:A,Parâmetros!B:B,_xlfn.XLOOKUP(Q602,Parâmetros!F:F,Parâmetros!G:G,"NOVA MENSAGEM"))</f>
        <v>CLIENTE NÃO IDENTIFICADO</v>
      </c>
      <c r="N602" s="1" t="str">
        <f>_xlfn.XLOOKUP(M602,Parâmetros!K:K,Parâmetros!L:L,"")</f>
        <v>DK DE CLIENTE NÃO PREENCIDO / CLIENTE NÃO CONFIGURADO NO OBT</v>
      </c>
      <c r="O602" s="1" t="str">
        <f>_xlfn.XLOOKUP(M602,Parâmetros!B:B,Parâmetros!C:C,_xlfn.XLOOKUP(Base!M576,Parâmetros!G:G,Parâmetros!H:H))</f>
        <v>INDEFINIDO</v>
      </c>
      <c r="P602" s="1" t="str">
        <f>_xlfn.XLOOKUP(I602,Parâmetros!A:A,Parâmetros!D:D,_xlfn.XLOOKUP(Q602,Parâmetros!F:F,Parâmetros!I:I))</f>
        <v>OPERAÇÕES / SUPORTE KCS</v>
      </c>
      <c r="Q602" s="1" t="str">
        <f t="shared" si="19"/>
        <v>COLUNA I</v>
      </c>
    </row>
    <row r="603" spans="1:17" x14ac:dyDescent="0.25">
      <c r="A603" s="1" t="str">
        <f>_xlfn.XLOOKUP(D603,'Novo relatório'!B:B,'Novo relatório'!C:C,"RESOLVIDO")</f>
        <v>SABRE</v>
      </c>
      <c r="C603" t="str">
        <f t="shared" si="18"/>
        <v>PENDENTE</v>
      </c>
      <c r="D603" s="1">
        <v>3245976</v>
      </c>
      <c r="E603" s="1" t="s">
        <v>26</v>
      </c>
      <c r="F603" s="2">
        <v>45701.897916666669</v>
      </c>
      <c r="G603" s="1" t="s">
        <v>1149</v>
      </c>
      <c r="H603" s="1" t="s">
        <v>1149</v>
      </c>
      <c r="I603" s="1" t="s">
        <v>1083</v>
      </c>
      <c r="J603" s="2">
        <v>45702.03402777778</v>
      </c>
      <c r="L603" s="1" t="s">
        <v>18</v>
      </c>
      <c r="M603" s="1" t="str">
        <f>_xlfn.XLOOKUP(I603,Parâmetros!A:A,Parâmetros!B:B,_xlfn.XLOOKUP(Q603,Parâmetros!F:F,Parâmetros!G:G,"NOVA MENSAGEM"))</f>
        <v>CÓD. CLIENTE DIVERGENTE</v>
      </c>
      <c r="N603" s="1" t="str">
        <f>_xlfn.XLOOKUP(M603,Parâmetros!K:K,Parâmetros!L:L,"")</f>
        <v>CÓDIGO DIFERENTE DO CADASTRADO NO BENNER (CLIENTE X GRUPO)</v>
      </c>
      <c r="O603" s="1" t="str">
        <f>_xlfn.XLOOKUP(M603,Parâmetros!B:B,Parâmetros!C:C,_xlfn.XLOOKUP(Base!M626,Parâmetros!G:G,Parâmetros!H:H))</f>
        <v>QUALIDADE DOS DADOS</v>
      </c>
      <c r="P603" s="1" t="str">
        <f>_xlfn.XLOOKUP(I603,Parâmetros!A:A,Parâmetros!D:D,_xlfn.XLOOKUP(Q603,Parâmetros!F:F,Parâmetros!I:I))</f>
        <v>SUPORTE OBT</v>
      </c>
      <c r="Q603" s="1">
        <f t="shared" si="19"/>
        <v>1</v>
      </c>
    </row>
    <row r="604" spans="1:17" x14ac:dyDescent="0.25">
      <c r="A604" s="1" t="str">
        <f>_xlfn.XLOOKUP(D604,'Novo relatório'!B:B,'Novo relatório'!C:C,"RESOLVIDO")</f>
        <v>SABRE</v>
      </c>
      <c r="C604" t="str">
        <f t="shared" si="18"/>
        <v>PENDENTE</v>
      </c>
      <c r="D604" s="1">
        <v>3245977</v>
      </c>
      <c r="E604" s="1" t="s">
        <v>26</v>
      </c>
      <c r="F604" s="2">
        <v>45702.411805555559</v>
      </c>
      <c r="G604" s="1" t="s">
        <v>1100</v>
      </c>
      <c r="H604" s="1" t="s">
        <v>1100</v>
      </c>
      <c r="I604" s="1" t="s">
        <v>1101</v>
      </c>
      <c r="J604" s="2">
        <v>45702.03402777778</v>
      </c>
      <c r="K604" s="2">
        <v>45702.543749999997</v>
      </c>
      <c r="L604" s="1" t="s">
        <v>18</v>
      </c>
      <c r="M604" s="1" t="str">
        <f>_xlfn.XLOOKUP(I604,Parâmetros!A:A,Parâmetros!B:B,_xlfn.XLOOKUP(Q604,Parâmetros!F:F,Parâmetros!G:G,"NOVA MENSAGEM"))</f>
        <v>CÓD. CLIENTE DIVERGENTE</v>
      </c>
      <c r="N604" s="1" t="str">
        <f>_xlfn.XLOOKUP(M604,Parâmetros!K:K,Parâmetros!L:L,"")</f>
        <v>CÓDIGO DIFERENTE DO CADASTRADO NO BENNER (CLIENTE X GRUPO)</v>
      </c>
      <c r="O604" s="1" t="str">
        <f>_xlfn.XLOOKUP(M604,Parâmetros!B:B,Parâmetros!C:C,_xlfn.XLOOKUP(Base!M588,Parâmetros!G:G,Parâmetros!H:H))</f>
        <v>QUALIDADE DOS DADOS</v>
      </c>
      <c r="P604" s="1" t="str">
        <f>_xlfn.XLOOKUP(I604,Parâmetros!A:A,Parâmetros!D:D,_xlfn.XLOOKUP(Q604,Parâmetros!F:F,Parâmetros!I:I))</f>
        <v>SUPORTE OBT</v>
      </c>
      <c r="Q604" s="1">
        <f t="shared" si="19"/>
        <v>1</v>
      </c>
    </row>
    <row r="605" spans="1:17" x14ac:dyDescent="0.25">
      <c r="A605" s="1" t="str">
        <f>_xlfn.XLOOKUP(D605,'Novo relatório'!B:B,'Novo relatório'!C:C,"RESOLVIDO")</f>
        <v>SABRE</v>
      </c>
      <c r="C605" t="str">
        <f t="shared" si="18"/>
        <v>PENDENTE</v>
      </c>
      <c r="D605" s="1">
        <v>3245998</v>
      </c>
      <c r="E605" s="1" t="s">
        <v>26</v>
      </c>
      <c r="F605" s="2">
        <v>45705.503472222219</v>
      </c>
      <c r="G605" s="1" t="s">
        <v>1077</v>
      </c>
      <c r="H605" s="1" t="s">
        <v>1077</v>
      </c>
      <c r="I605" s="1" t="s">
        <v>620</v>
      </c>
      <c r="J605" s="2">
        <v>45702.036111111112</v>
      </c>
      <c r="K605" s="2">
        <v>45705.63958333333</v>
      </c>
      <c r="L605" s="1" t="s">
        <v>18</v>
      </c>
      <c r="M605" s="1" t="str">
        <f>_xlfn.XLOOKUP(I605,Parâmetros!A:A,Parâmetros!B:B,_xlfn.XLOOKUP(Q605,Parâmetros!F:F,Parâmetros!G:G,"NOVA MENSAGEM"))</f>
        <v>CÓD. CLIENTE DIVERGENTE</v>
      </c>
      <c r="N605" s="1" t="str">
        <f>_xlfn.XLOOKUP(M605,Parâmetros!K:K,Parâmetros!L:L,"")</f>
        <v>CÓDIGO DIFERENTE DO CADASTRADO NO BENNER (CLIENTE X GRUPO)</v>
      </c>
      <c r="O605" s="1" t="str">
        <f>_xlfn.XLOOKUP(M605,Parâmetros!B:B,Parâmetros!C:C,_xlfn.XLOOKUP(Base!M571,Parâmetros!G:G,Parâmetros!H:H))</f>
        <v>QUALIDADE DOS DADOS</v>
      </c>
      <c r="P605" s="1" t="str">
        <f>_xlfn.XLOOKUP(I605,Parâmetros!A:A,Parâmetros!D:D,_xlfn.XLOOKUP(Q605,Parâmetros!F:F,Parâmetros!I:I))</f>
        <v>SUPORTE OBT</v>
      </c>
      <c r="Q605" s="1">
        <f t="shared" si="19"/>
        <v>1</v>
      </c>
    </row>
    <row r="606" spans="1:17" x14ac:dyDescent="0.25">
      <c r="A606" s="1" t="str">
        <f>_xlfn.XLOOKUP(D606,'Novo relatório'!B:B,'Novo relatório'!C:C,"RESOLVIDO")</f>
        <v>SABRE</v>
      </c>
      <c r="C606" t="str">
        <f t="shared" si="18"/>
        <v>PENDENTE</v>
      </c>
      <c r="D606" s="1">
        <v>3246001</v>
      </c>
      <c r="E606" s="1" t="s">
        <v>26</v>
      </c>
      <c r="F606" s="2">
        <v>45701.897916666669</v>
      </c>
      <c r="G606" s="1" t="s">
        <v>1061</v>
      </c>
      <c r="H606" s="1" t="s">
        <v>1061</v>
      </c>
      <c r="I606" s="1" t="s">
        <v>652</v>
      </c>
      <c r="J606" s="2">
        <v>45702.036805555559</v>
      </c>
      <c r="L606" s="1" t="s">
        <v>18</v>
      </c>
      <c r="M606" s="1" t="str">
        <f>_xlfn.XLOOKUP(I606,Parâmetros!A:A,Parâmetros!B:B,_xlfn.XLOOKUP(Q606,Parâmetros!F:F,Parâmetros!G:G,"NOVA MENSAGEM"))</f>
        <v>CÓD. CLIENTE DIVERGENTE</v>
      </c>
      <c r="N606" s="1" t="str">
        <f>_xlfn.XLOOKUP(M606,Parâmetros!K:K,Parâmetros!L:L,"")</f>
        <v>CÓDIGO DIFERENTE DO CADASTRADO NO BENNER (CLIENTE X GRUPO)</v>
      </c>
      <c r="O606" s="1" t="str">
        <f>_xlfn.XLOOKUP(M606,Parâmetros!B:B,Parâmetros!C:C,_xlfn.XLOOKUP(Base!M557,Parâmetros!G:G,Parâmetros!H:H))</f>
        <v>QUALIDADE DOS DADOS</v>
      </c>
      <c r="P606" s="1" t="str">
        <f>_xlfn.XLOOKUP(I606,Parâmetros!A:A,Parâmetros!D:D,_xlfn.XLOOKUP(Q606,Parâmetros!F:F,Parâmetros!I:I))</f>
        <v>SUPORTE OBT</v>
      </c>
      <c r="Q606" s="1">
        <f t="shared" si="19"/>
        <v>1</v>
      </c>
    </row>
    <row r="607" spans="1:17" x14ac:dyDescent="0.25">
      <c r="A607" s="1" t="str">
        <f>_xlfn.XLOOKUP(D607,'Novo relatório'!B:B,'Novo relatório'!C:C,"RESOLVIDO")</f>
        <v>SABRE</v>
      </c>
      <c r="C607" t="str">
        <f t="shared" si="18"/>
        <v>PENDENTE</v>
      </c>
      <c r="D607" s="1">
        <v>3246011</v>
      </c>
      <c r="E607" s="1" t="s">
        <v>26</v>
      </c>
      <c r="F607" s="2">
        <v>45701.897916666669</v>
      </c>
      <c r="G607" s="1" t="s">
        <v>1167</v>
      </c>
      <c r="H607" s="1" t="s">
        <v>1167</v>
      </c>
      <c r="I607" s="1" t="s">
        <v>620</v>
      </c>
      <c r="J607" s="2">
        <v>45702.038194444445</v>
      </c>
      <c r="L607" s="1" t="s">
        <v>18</v>
      </c>
      <c r="M607" s="1" t="str">
        <f>_xlfn.XLOOKUP(I607,Parâmetros!A:A,Parâmetros!B:B,_xlfn.XLOOKUP(Q607,Parâmetros!F:F,Parâmetros!G:G,"NOVA MENSAGEM"))</f>
        <v>CÓD. CLIENTE DIVERGENTE</v>
      </c>
      <c r="N607" s="1" t="str">
        <f>_xlfn.XLOOKUP(M607,Parâmetros!K:K,Parâmetros!L:L,"")</f>
        <v>CÓDIGO DIFERENTE DO CADASTRADO NO BENNER (CLIENTE X GRUPO)</v>
      </c>
      <c r="O607" s="1" t="str">
        <f>_xlfn.XLOOKUP(M607,Parâmetros!B:B,Parâmetros!C:C,_xlfn.XLOOKUP(Base!M640,Parâmetros!G:G,Parâmetros!H:H))</f>
        <v>QUALIDADE DOS DADOS</v>
      </c>
      <c r="P607" s="1" t="str">
        <f>_xlfn.XLOOKUP(I607,Parâmetros!A:A,Parâmetros!D:D,_xlfn.XLOOKUP(Q607,Parâmetros!F:F,Parâmetros!I:I))</f>
        <v>SUPORTE OBT</v>
      </c>
      <c r="Q607" s="1">
        <f t="shared" si="19"/>
        <v>1</v>
      </c>
    </row>
    <row r="608" spans="1:17" x14ac:dyDescent="0.25">
      <c r="A608" s="1" t="str">
        <f>_xlfn.XLOOKUP(D608,'Novo relatório'!B:B,'Novo relatório'!C:C,"RESOLVIDO")</f>
        <v>GOVER</v>
      </c>
      <c r="C608" t="str">
        <f t="shared" si="18"/>
        <v>PENDENTE</v>
      </c>
      <c r="D608" s="1">
        <v>3246079</v>
      </c>
      <c r="E608" s="1" t="s">
        <v>24</v>
      </c>
      <c r="F608" s="2">
        <v>45701.795138888891</v>
      </c>
      <c r="G608" s="1">
        <v>4491554</v>
      </c>
      <c r="H608" s="1" t="s">
        <v>1239</v>
      </c>
      <c r="I608" s="1" t="s">
        <v>1240</v>
      </c>
      <c r="J608" s="2">
        <v>45702.265972222223</v>
      </c>
      <c r="K608" s="2">
        <v>45713.427083333336</v>
      </c>
      <c r="L608" s="1" t="s">
        <v>14</v>
      </c>
      <c r="M608" s="1" t="str">
        <f>_xlfn.XLOOKUP(I608,Parâmetros!A:A,Parâmetros!B:B,_xlfn.XLOOKUP(Q608,Parâmetros!F:F,Parâmetros!G:G,"NOVA MENSAGEM"))</f>
        <v>TAG - ITEM VEÍCULO</v>
      </c>
      <c r="N608" s="1" t="str">
        <f>_xlfn.XLOOKUP(M608,Parâmetros!K:K,Parâmetros!L:L,"")</f>
        <v>TAGS DE DETALHAMENTO DO SERVIÇO NÃO ENVIADO NO XML</v>
      </c>
      <c r="O608" s="1" t="str">
        <f>_xlfn.XLOOKUP(M608,Parâmetros!B:B,Parâmetros!C:C,_xlfn.XLOOKUP(Base!M703,Parâmetros!G:G,Parâmetros!H:H))</f>
        <v>QUALIDADE DOS DADOS</v>
      </c>
      <c r="P608" s="1" t="str">
        <f>_xlfn.XLOOKUP(I608,Parâmetros!A:A,Parâmetros!D:D,_xlfn.XLOOKUP(Q608,Parâmetros!F:F,Parâmetros!I:I))</f>
        <v>SUPORTE OBT</v>
      </c>
      <c r="Q608" s="1">
        <f t="shared" si="19"/>
        <v>46</v>
      </c>
    </row>
    <row r="609" spans="1:17" x14ac:dyDescent="0.25">
      <c r="A609" s="1" t="str">
        <f>_xlfn.XLOOKUP(D609,'Novo relatório'!B:B,'Novo relatório'!C:C,"RESOLVIDO")</f>
        <v>SABRE</v>
      </c>
      <c r="C609" t="str">
        <f t="shared" si="18"/>
        <v>PENDENTE</v>
      </c>
      <c r="D609" s="1">
        <v>3246354</v>
      </c>
      <c r="E609" s="1" t="s">
        <v>26</v>
      </c>
      <c r="F609" s="2">
        <v>45702.295138888891</v>
      </c>
      <c r="G609" s="1" t="s">
        <v>1178</v>
      </c>
      <c r="H609" s="1" t="s">
        <v>1179</v>
      </c>
      <c r="I609" s="1" t="s">
        <v>1180</v>
      </c>
      <c r="J609" s="2">
        <v>45702.430555555555</v>
      </c>
      <c r="L609" s="1" t="s">
        <v>18</v>
      </c>
      <c r="M609" s="1" t="str">
        <f>_xlfn.XLOOKUP(I609,Parâmetros!A:A,Parâmetros!B:B,_xlfn.XLOOKUP(Q609,Parâmetros!F:F,Parâmetros!G:G,"NOVA MENSAGEM"))</f>
        <v>CÓD. CLIENTE DIVERGENTE</v>
      </c>
      <c r="N609" s="1" t="str">
        <f>_xlfn.XLOOKUP(M609,Parâmetros!K:K,Parâmetros!L:L,"")</f>
        <v>CÓDIGO DIFERENTE DO CADASTRADO NO BENNER (CLIENTE X GRUPO)</v>
      </c>
      <c r="O609" s="1" t="str">
        <f>_xlfn.XLOOKUP(M609,Parâmetros!B:B,Parâmetros!C:C,_xlfn.XLOOKUP(Base!M649,Parâmetros!G:G,Parâmetros!H:H))</f>
        <v>QUALIDADE DOS DADOS</v>
      </c>
      <c r="P609" s="1" t="str">
        <f>_xlfn.XLOOKUP(I609,Parâmetros!A:A,Parâmetros!D:D,_xlfn.XLOOKUP(Q609,Parâmetros!F:F,Parâmetros!I:I))</f>
        <v>SUPORTE OBT</v>
      </c>
      <c r="Q609" s="1">
        <f t="shared" si="19"/>
        <v>1</v>
      </c>
    </row>
    <row r="610" spans="1:17" x14ac:dyDescent="0.25">
      <c r="A610" s="1" t="str">
        <f>_xlfn.XLOOKUP(D610,'Novo relatório'!B:B,'Novo relatório'!C:C,"RESOLVIDO")</f>
        <v>SABRE</v>
      </c>
      <c r="C610" t="str">
        <f t="shared" si="18"/>
        <v>PENDENTE</v>
      </c>
      <c r="D610" s="1">
        <v>3246476</v>
      </c>
      <c r="E610" s="1" t="s">
        <v>26</v>
      </c>
      <c r="F610" s="2">
        <v>45702.396527777775</v>
      </c>
      <c r="G610" s="1" t="s">
        <v>1157</v>
      </c>
      <c r="H610" s="1" t="s">
        <v>1158</v>
      </c>
      <c r="I610" s="1" t="s">
        <v>64</v>
      </c>
      <c r="J610" s="2">
        <v>45702.462500000001</v>
      </c>
      <c r="K610" s="2">
        <v>45702.522916666669</v>
      </c>
      <c r="L610" s="1" t="s">
        <v>65</v>
      </c>
      <c r="M610" s="1" t="str">
        <f>_xlfn.XLOOKUP(I610,Parâmetros!A:A,Parâmetros!B:B,_xlfn.XLOOKUP(Q610,Parâmetros!F:F,Parâmetros!G:G,"NOVA MENSAGEM"))</f>
        <v>FORMATO DE TEXTO</v>
      </c>
      <c r="N610" s="1" t="str">
        <f>_xlfn.XLOOKUP(M610,Parâmetros!K:K,Parâmetros!L:L,"")</f>
        <v>TEXTO FORA DO PADRÃO ACEITO NO CAMPO</v>
      </c>
      <c r="O610" s="1" t="str">
        <f>_xlfn.XLOOKUP(M610,Parâmetros!B:B,Parâmetros!C:C,_xlfn.XLOOKUP(Base!M633,Parâmetros!G:G,Parâmetros!H:H))</f>
        <v>INDEFINIDO</v>
      </c>
      <c r="P610" s="1" t="str">
        <f>_xlfn.XLOOKUP(I610,Parâmetros!A:A,Parâmetros!D:D,_xlfn.XLOOKUP(Q610,Parâmetros!F:F,Parâmetros!I:I))</f>
        <v>SUPORTE OBT</v>
      </c>
      <c r="Q610" s="1" t="str">
        <f t="shared" si="19"/>
        <v>COLUNA I</v>
      </c>
    </row>
    <row r="611" spans="1:17" x14ac:dyDescent="0.25">
      <c r="A611" s="1" t="str">
        <f>_xlfn.XLOOKUP(D611,'Novo relatório'!B:B,'Novo relatório'!C:C,"RESOLVIDO")</f>
        <v>SABRE</v>
      </c>
      <c r="C611" t="str">
        <f t="shared" si="18"/>
        <v>PENDENTE</v>
      </c>
      <c r="D611" s="1">
        <v>3246780</v>
      </c>
      <c r="E611" s="1" t="s">
        <v>26</v>
      </c>
      <c r="F611" s="2">
        <v>45702.397222222222</v>
      </c>
      <c r="G611" s="1" t="s">
        <v>1154</v>
      </c>
      <c r="H611" s="1" t="s">
        <v>1155</v>
      </c>
      <c r="I611" s="1" t="s">
        <v>64</v>
      </c>
      <c r="J611" s="2">
        <v>45702.513194444444</v>
      </c>
      <c r="K611" s="2">
        <v>45702.523611111108</v>
      </c>
      <c r="L611" s="1" t="s">
        <v>65</v>
      </c>
      <c r="M611" s="1" t="str">
        <f>_xlfn.XLOOKUP(I611,Parâmetros!A:A,Parâmetros!B:B,_xlfn.XLOOKUP(Q611,Parâmetros!F:F,Parâmetros!G:G,"NOVA MENSAGEM"))</f>
        <v>FORMATO DE TEXTO</v>
      </c>
      <c r="N611" s="1" t="str">
        <f>_xlfn.XLOOKUP(M611,Parâmetros!K:K,Parâmetros!L:L,"")</f>
        <v>TEXTO FORA DO PADRÃO ACEITO NO CAMPO</v>
      </c>
      <c r="O611" s="1" t="str">
        <f>_xlfn.XLOOKUP(M611,Parâmetros!B:B,Parâmetros!C:C,_xlfn.XLOOKUP(Base!M631,Parâmetros!G:G,Parâmetros!H:H))</f>
        <v>INDEFINIDO</v>
      </c>
      <c r="P611" s="1" t="str">
        <f>_xlfn.XLOOKUP(I611,Parâmetros!A:A,Parâmetros!D:D,_xlfn.XLOOKUP(Q611,Parâmetros!F:F,Parâmetros!I:I))</f>
        <v>SUPORTE OBT</v>
      </c>
      <c r="Q611" s="1" t="str">
        <f t="shared" si="19"/>
        <v>COLUNA I</v>
      </c>
    </row>
    <row r="612" spans="1:17" x14ac:dyDescent="0.25">
      <c r="A612" s="1" t="str">
        <f>_xlfn.XLOOKUP(D612,'Novo relatório'!B:B,'Novo relatório'!C:C,"RESOLVIDO")</f>
        <v>SABRE</v>
      </c>
      <c r="C612" t="str">
        <f t="shared" si="18"/>
        <v>PENDENTE</v>
      </c>
      <c r="D612" s="1">
        <v>3246802</v>
      </c>
      <c r="E612" s="1" t="s">
        <v>26</v>
      </c>
      <c r="F612" s="2">
        <v>45705.322222222225</v>
      </c>
      <c r="G612" s="1" t="s">
        <v>1171</v>
      </c>
      <c r="H612" s="1" t="s">
        <v>1172</v>
      </c>
      <c r="I612" s="1" t="s">
        <v>64</v>
      </c>
      <c r="J612" s="2">
        <v>45702.522916666669</v>
      </c>
      <c r="K612" s="2">
        <v>45705.45208333333</v>
      </c>
      <c r="L612" s="1" t="s">
        <v>65</v>
      </c>
      <c r="M612" s="1" t="str">
        <f>_xlfn.XLOOKUP(I612,Parâmetros!A:A,Parâmetros!B:B,_xlfn.XLOOKUP(Q612,Parâmetros!F:F,Parâmetros!G:G,"NOVA MENSAGEM"))</f>
        <v>FORMATO DE TEXTO</v>
      </c>
      <c r="N612" s="1" t="str">
        <f>_xlfn.XLOOKUP(M612,Parâmetros!K:K,Parâmetros!L:L,"")</f>
        <v>TEXTO FORA DO PADRÃO ACEITO NO CAMPO</v>
      </c>
      <c r="O612" s="1" t="str">
        <f>_xlfn.XLOOKUP(M612,Parâmetros!B:B,Parâmetros!C:C,_xlfn.XLOOKUP(Base!M644,Parâmetros!G:G,Parâmetros!H:H))</f>
        <v>INDEFINIDO</v>
      </c>
      <c r="P612" s="1" t="str">
        <f>_xlfn.XLOOKUP(I612,Parâmetros!A:A,Parâmetros!D:D,_xlfn.XLOOKUP(Q612,Parâmetros!F:F,Parâmetros!I:I))</f>
        <v>SUPORTE OBT</v>
      </c>
      <c r="Q612" s="1" t="str">
        <f t="shared" si="19"/>
        <v>COLUNA I</v>
      </c>
    </row>
    <row r="613" spans="1:17" x14ac:dyDescent="0.25">
      <c r="A613" s="1" t="str">
        <f>_xlfn.XLOOKUP(D613,'Novo relatório'!B:B,'Novo relatório'!C:C,"RESOLVIDO")</f>
        <v>SABRE</v>
      </c>
      <c r="C613" t="str">
        <f t="shared" si="18"/>
        <v>PENDENTE</v>
      </c>
      <c r="D613" s="1">
        <v>3247891</v>
      </c>
      <c r="E613" s="1" t="s">
        <v>26</v>
      </c>
      <c r="F613" s="2">
        <v>45702.583333333336</v>
      </c>
      <c r="G613" s="1" t="s">
        <v>1122</v>
      </c>
      <c r="H613" s="1" t="s">
        <v>1122</v>
      </c>
      <c r="I613" s="1" t="s">
        <v>1123</v>
      </c>
      <c r="J613" s="2">
        <v>45702.711111111108</v>
      </c>
      <c r="L613" s="1" t="s">
        <v>18</v>
      </c>
      <c r="M613" s="1" t="str">
        <f>_xlfn.XLOOKUP(I613,Parâmetros!A:A,Parâmetros!B:B,_xlfn.XLOOKUP(Q613,Parâmetros!F:F,Parâmetros!G:G,"NOVA MENSAGEM"))</f>
        <v>CÓD. CLIENTE DIVERGENTE</v>
      </c>
      <c r="N613" s="1" t="str">
        <f>_xlfn.XLOOKUP(M613,Parâmetros!K:K,Parâmetros!L:L,"")</f>
        <v>CÓDIGO DIFERENTE DO CADASTRADO NO BENNER (CLIENTE X GRUPO)</v>
      </c>
      <c r="O613" s="1" t="str">
        <f>_xlfn.XLOOKUP(M613,Parâmetros!B:B,Parâmetros!C:C,_xlfn.XLOOKUP(Base!M605,Parâmetros!G:G,Parâmetros!H:H))</f>
        <v>QUALIDADE DOS DADOS</v>
      </c>
      <c r="P613" s="1" t="str">
        <f>_xlfn.XLOOKUP(I613,Parâmetros!A:A,Parâmetros!D:D,_xlfn.XLOOKUP(Q613,Parâmetros!F:F,Parâmetros!I:I))</f>
        <v>SUPORTE OBT</v>
      </c>
      <c r="Q613" s="1">
        <f t="shared" si="19"/>
        <v>1</v>
      </c>
    </row>
    <row r="614" spans="1:17" x14ac:dyDescent="0.25">
      <c r="A614" s="1" t="str">
        <f>_xlfn.XLOOKUP(D614,'Novo relatório'!B:B,'Novo relatório'!C:C,"RESOLVIDO")</f>
        <v>SABRE</v>
      </c>
      <c r="C614" t="str">
        <f t="shared" si="18"/>
        <v>PENDENTE</v>
      </c>
      <c r="D614" s="1">
        <v>3247893</v>
      </c>
      <c r="E614" s="1" t="s">
        <v>26</v>
      </c>
      <c r="F614" s="2">
        <v>45702.583333333336</v>
      </c>
      <c r="G614" s="1" t="s">
        <v>1124</v>
      </c>
      <c r="H614" s="1" t="s">
        <v>1122</v>
      </c>
      <c r="I614" s="1" t="s">
        <v>1125</v>
      </c>
      <c r="J614" s="2">
        <v>45702.711805555555</v>
      </c>
      <c r="L614" s="1" t="s">
        <v>18</v>
      </c>
      <c r="M614" s="1" t="str">
        <f>_xlfn.XLOOKUP(I614,Parâmetros!A:A,Parâmetros!B:B,_xlfn.XLOOKUP(Q614,Parâmetros!F:F,Parâmetros!G:G,"NOVA MENSAGEM"))</f>
        <v>CÓD. CLIENTE DIVERGENTE</v>
      </c>
      <c r="N614" s="1" t="str">
        <f>_xlfn.XLOOKUP(M614,Parâmetros!K:K,Parâmetros!L:L,"")</f>
        <v>CÓDIGO DIFERENTE DO CADASTRADO NO BENNER (CLIENTE X GRUPO)</v>
      </c>
      <c r="O614" s="1" t="str">
        <f>_xlfn.XLOOKUP(M614,Parâmetros!B:B,Parâmetros!C:C,_xlfn.XLOOKUP(Base!M606,Parâmetros!G:G,Parâmetros!H:H))</f>
        <v>QUALIDADE DOS DADOS</v>
      </c>
      <c r="P614" s="1" t="str">
        <f>_xlfn.XLOOKUP(I614,Parâmetros!A:A,Parâmetros!D:D,_xlfn.XLOOKUP(Q614,Parâmetros!F:F,Parâmetros!I:I))</f>
        <v>SUPORTE OBT</v>
      </c>
      <c r="Q614" s="1">
        <f t="shared" si="19"/>
        <v>1</v>
      </c>
    </row>
    <row r="615" spans="1:17" x14ac:dyDescent="0.25">
      <c r="A615" s="1" t="str">
        <f>_xlfn.XLOOKUP(D615,'Novo relatório'!B:B,'Novo relatório'!C:C,"RESOLVIDO")</f>
        <v>SABRE</v>
      </c>
      <c r="C615" t="str">
        <f t="shared" si="18"/>
        <v>PENDENTE</v>
      </c>
      <c r="D615" s="1">
        <v>3248086</v>
      </c>
      <c r="E615" s="1" t="s">
        <v>26</v>
      </c>
      <c r="F615" s="2">
        <v>45705.320833333331</v>
      </c>
      <c r="G615" s="1" t="s">
        <v>1169</v>
      </c>
      <c r="H615" s="1" t="s">
        <v>1169</v>
      </c>
      <c r="I615" s="1" t="s">
        <v>865</v>
      </c>
      <c r="J615" s="2">
        <v>45702.754861111112</v>
      </c>
      <c r="K615" s="2">
        <v>45705.450694444444</v>
      </c>
      <c r="L615" s="1" t="s">
        <v>18</v>
      </c>
      <c r="M615" s="1" t="str">
        <f>_xlfn.XLOOKUP(I615,Parâmetros!A:A,Parâmetros!B:B,_xlfn.XLOOKUP(Q615,Parâmetros!F:F,Parâmetros!G:G,"NOVA MENSAGEM"))</f>
        <v>REMARK - CNPJ</v>
      </c>
      <c r="N615" s="1" t="str">
        <f>_xlfn.XLOOKUP(M615,Parâmetros!K:K,Parâmetros!L:L,"")</f>
        <v/>
      </c>
      <c r="O615" s="1" t="str">
        <f>_xlfn.XLOOKUP(M615,Parâmetros!B:B,Parâmetros!C:C,_xlfn.XLOOKUP(Base!M642,Parâmetros!G:G,Parâmetros!H:H))</f>
        <v>QUALIDADE DOS DADOS</v>
      </c>
      <c r="P615" s="1" t="str">
        <f>_xlfn.XLOOKUP(I615,Parâmetros!A:A,Parâmetros!D:D,_xlfn.XLOOKUP(Q615,Parâmetros!F:F,Parâmetros!I:I))</f>
        <v>OPERAÇÕES / SUPORTE KCS</v>
      </c>
      <c r="Q615" s="1">
        <f t="shared" si="19"/>
        <v>24</v>
      </c>
    </row>
    <row r="616" spans="1:17" x14ac:dyDescent="0.25">
      <c r="A616" s="1" t="str">
        <f>_xlfn.XLOOKUP(D616,'Novo relatório'!B:B,'Novo relatório'!C:C,"RESOLVIDO")</f>
        <v>SABRE</v>
      </c>
      <c r="C616" t="str">
        <f t="shared" si="18"/>
        <v>PENDENTE</v>
      </c>
      <c r="D616" s="1">
        <v>3248121</v>
      </c>
      <c r="E616" s="1" t="s">
        <v>26</v>
      </c>
      <c r="F616" s="2">
        <v>45705.313194444447</v>
      </c>
      <c r="G616" s="1" t="s">
        <v>1130</v>
      </c>
      <c r="H616" s="1" t="s">
        <v>1130</v>
      </c>
      <c r="I616" s="1" t="s">
        <v>1131</v>
      </c>
      <c r="J616" s="2">
        <v>45702.762499999997</v>
      </c>
      <c r="K616" s="2">
        <v>45705.44027777778</v>
      </c>
      <c r="L616" s="1" t="s">
        <v>18</v>
      </c>
      <c r="M616" s="1" t="str">
        <f>_xlfn.XLOOKUP(I616,Parâmetros!A:A,Parâmetros!B:B,_xlfn.XLOOKUP(Q616,Parâmetros!F:F,Parâmetros!G:G,"NOVA MENSAGEM"))</f>
        <v>REMARK - CNPJ</v>
      </c>
      <c r="N616" s="1" t="str">
        <f>_xlfn.XLOOKUP(M616,Parâmetros!K:K,Parâmetros!L:L,"")</f>
        <v/>
      </c>
      <c r="O616" s="1" t="e">
        <f>_xlfn.XLOOKUP(M616,Parâmetros!B:B,Parâmetros!C:C,_xlfn.XLOOKUP(Base!M611,Parâmetros!G:G,Parâmetros!H:H))</f>
        <v>#N/A</v>
      </c>
      <c r="P616" s="1" t="str">
        <f>_xlfn.XLOOKUP(I616,Parâmetros!A:A,Parâmetros!D:D,_xlfn.XLOOKUP(Q616,Parâmetros!F:F,Parâmetros!I:I))</f>
        <v>OPERAÇÕES / SUPORTE KCS</v>
      </c>
      <c r="Q616" s="1">
        <f t="shared" si="19"/>
        <v>24</v>
      </c>
    </row>
    <row r="617" spans="1:17" x14ac:dyDescent="0.25">
      <c r="A617" s="1" t="str">
        <f>_xlfn.XLOOKUP(D617,'Novo relatório'!B:B,'Novo relatório'!C:C,"RESOLVIDO")</f>
        <v>SABRE</v>
      </c>
      <c r="C617" t="str">
        <f t="shared" si="18"/>
        <v>PENDENTE</v>
      </c>
      <c r="D617" s="1">
        <v>3248151</v>
      </c>
      <c r="E617" s="1" t="s">
        <v>26</v>
      </c>
      <c r="F617" s="2">
        <v>45705.503472222219</v>
      </c>
      <c r="G617" s="1" t="s">
        <v>1135</v>
      </c>
      <c r="H617" s="1" t="s">
        <v>1135</v>
      </c>
      <c r="I617" s="1" t="s">
        <v>707</v>
      </c>
      <c r="J617" s="2">
        <v>45702.772916666669</v>
      </c>
      <c r="K617" s="2">
        <v>45705.638888888891</v>
      </c>
      <c r="L617" s="1" t="s">
        <v>18</v>
      </c>
      <c r="M617" s="1" t="str">
        <f>_xlfn.XLOOKUP(I617,Parâmetros!A:A,Parâmetros!B:B,_xlfn.XLOOKUP(Q617,Parâmetros!F:F,Parâmetros!G:G,"NOVA MENSAGEM"))</f>
        <v>CÓD. CLIENTE DIVERGENTE</v>
      </c>
      <c r="N617" s="1" t="str">
        <f>_xlfn.XLOOKUP(M617,Parâmetros!K:K,Parâmetros!L:L,"")</f>
        <v>CÓDIGO DIFERENTE DO CADASTRADO NO BENNER (CLIENTE X GRUPO)</v>
      </c>
      <c r="O617" s="1" t="str">
        <f>_xlfn.XLOOKUP(M617,Parâmetros!B:B,Parâmetros!C:C,_xlfn.XLOOKUP(Base!M614,Parâmetros!G:G,Parâmetros!H:H))</f>
        <v>QUALIDADE DOS DADOS</v>
      </c>
      <c r="P617" s="1" t="str">
        <f>_xlfn.XLOOKUP(I617,Parâmetros!A:A,Parâmetros!D:D,_xlfn.XLOOKUP(Q617,Parâmetros!F:F,Parâmetros!I:I))</f>
        <v>SUPORTE OBT</v>
      </c>
      <c r="Q617" s="1">
        <f t="shared" si="19"/>
        <v>1</v>
      </c>
    </row>
    <row r="618" spans="1:17" x14ac:dyDescent="0.25">
      <c r="A618" s="1" t="str">
        <f>_xlfn.XLOOKUP(D618,'Novo relatório'!B:B,'Novo relatório'!C:C,"RESOLVIDO")</f>
        <v>SABRE</v>
      </c>
      <c r="C618" t="str">
        <f t="shared" si="18"/>
        <v>PENDENTE</v>
      </c>
      <c r="D618" s="1">
        <v>3248152</v>
      </c>
      <c r="E618" s="1" t="s">
        <v>26</v>
      </c>
      <c r="F618" s="2">
        <v>45705.503472222219</v>
      </c>
      <c r="G618" s="1" t="s">
        <v>1207</v>
      </c>
      <c r="H618" s="1" t="s">
        <v>1207</v>
      </c>
      <c r="I618" s="1" t="s">
        <v>408</v>
      </c>
      <c r="J618" s="2">
        <v>45702.773611111108</v>
      </c>
      <c r="K618" s="2">
        <v>45705.638888888891</v>
      </c>
      <c r="L618" s="1" t="s">
        <v>18</v>
      </c>
      <c r="M618" s="1" t="str">
        <f>_xlfn.XLOOKUP(I618,Parâmetros!A:A,Parâmetros!B:B,_xlfn.XLOOKUP(Q618,Parâmetros!F:F,Parâmetros!G:G,"NOVA MENSAGEM"))</f>
        <v>CÓD. CLIENTE DIVERGENTE</v>
      </c>
      <c r="N618" s="1" t="str">
        <f>_xlfn.XLOOKUP(M618,Parâmetros!K:K,Parâmetros!L:L,"")</f>
        <v>CÓDIGO DIFERENTE DO CADASTRADO NO BENNER (CLIENTE X GRUPO)</v>
      </c>
      <c r="O618" s="1" t="str">
        <f>_xlfn.XLOOKUP(M618,Parâmetros!B:B,Parâmetros!C:C,_xlfn.XLOOKUP(Base!M672,Parâmetros!G:G,Parâmetros!H:H))</f>
        <v>QUALIDADE DOS DADOS</v>
      </c>
      <c r="P618" s="1" t="str">
        <f>_xlfn.XLOOKUP(I618,Parâmetros!A:A,Parâmetros!D:D,_xlfn.XLOOKUP(Q618,Parâmetros!F:F,Parâmetros!I:I))</f>
        <v>SUPORTE OBT</v>
      </c>
      <c r="Q618" s="1">
        <f t="shared" si="19"/>
        <v>1</v>
      </c>
    </row>
    <row r="619" spans="1:17" x14ac:dyDescent="0.25">
      <c r="A619" s="1" t="str">
        <f>_xlfn.XLOOKUP(D619,'Novo relatório'!B:B,'Novo relatório'!C:C,"RESOLVIDO")</f>
        <v>SABRE</v>
      </c>
      <c r="C619" t="str">
        <f t="shared" si="18"/>
        <v>PENDENTE</v>
      </c>
      <c r="D619" s="1">
        <v>3249128</v>
      </c>
      <c r="E619" s="1" t="s">
        <v>26</v>
      </c>
      <c r="F619" s="2">
        <v>45702.765277777777</v>
      </c>
      <c r="G619" s="1" t="s">
        <v>1177</v>
      </c>
      <c r="H619" s="1" t="s">
        <v>1177</v>
      </c>
      <c r="I619" s="1" t="s">
        <v>83</v>
      </c>
      <c r="J619" s="2">
        <v>45702.897916666669</v>
      </c>
      <c r="L619" s="1" t="s">
        <v>18</v>
      </c>
      <c r="M619" s="1" t="str">
        <f>_xlfn.XLOOKUP(I619,Parâmetros!A:A,Parâmetros!B:B,_xlfn.XLOOKUP(Q619,Parâmetros!F:F,Parâmetros!G:G,"NOVA MENSAGEM"))</f>
        <v>CLIENTE NÃO IDENTIFICADO</v>
      </c>
      <c r="N619" s="1" t="str">
        <f>_xlfn.XLOOKUP(M619,Parâmetros!K:K,Parâmetros!L:L,"")</f>
        <v>DK DE CLIENTE NÃO PREENCIDO / CLIENTE NÃO CONFIGURADO NO OBT</v>
      </c>
      <c r="O619" s="1" t="str">
        <f>_xlfn.XLOOKUP(M619,Parâmetros!B:B,Parâmetros!C:C,_xlfn.XLOOKUP(Base!M648,Parâmetros!G:G,Parâmetros!H:H))</f>
        <v>INDEFINIDO</v>
      </c>
      <c r="P619" s="1" t="str">
        <f>_xlfn.XLOOKUP(I619,Parâmetros!A:A,Parâmetros!D:D,_xlfn.XLOOKUP(Q619,Parâmetros!F:F,Parâmetros!I:I))</f>
        <v>OPERAÇÕES / SUPORTE KCS</v>
      </c>
      <c r="Q619" s="1" t="str">
        <f t="shared" si="19"/>
        <v>COLUNA I</v>
      </c>
    </row>
    <row r="620" spans="1:17" x14ac:dyDescent="0.25">
      <c r="A620" s="1" t="str">
        <f>_xlfn.XLOOKUP(D620,'Novo relatório'!B:B,'Novo relatório'!C:C,"RESOLVIDO")</f>
        <v>SABRE</v>
      </c>
      <c r="C620" t="str">
        <f t="shared" si="18"/>
        <v>PENDENTE</v>
      </c>
      <c r="D620" s="1">
        <v>3249129</v>
      </c>
      <c r="E620" s="1" t="s">
        <v>26</v>
      </c>
      <c r="F620" s="2">
        <v>45705.316666666666</v>
      </c>
      <c r="G620" s="1" t="s">
        <v>1228</v>
      </c>
      <c r="H620" s="1" t="s">
        <v>1228</v>
      </c>
      <c r="I620" s="1" t="s">
        <v>829</v>
      </c>
      <c r="J620" s="2">
        <v>45702.897916666669</v>
      </c>
      <c r="K620" s="2">
        <v>45705.45</v>
      </c>
      <c r="L620" s="1" t="s">
        <v>18</v>
      </c>
      <c r="M620" s="1" t="str">
        <f>_xlfn.XLOOKUP(I620,Parâmetros!A:A,Parâmetros!B:B,_xlfn.XLOOKUP(Q620,Parâmetros!F:F,Parâmetros!G:G,"NOVA MENSAGEM"))</f>
        <v>REMARK - CNPJ</v>
      </c>
      <c r="N620" s="1" t="str">
        <f>_xlfn.XLOOKUP(M620,Parâmetros!K:K,Parâmetros!L:L,"")</f>
        <v/>
      </c>
      <c r="O620" s="1" t="str">
        <f>_xlfn.XLOOKUP(M620,Parâmetros!B:B,Parâmetros!C:C,_xlfn.XLOOKUP(Base!M686,Parâmetros!G:G,Parâmetros!H:H))</f>
        <v>QUALIDADE DOS DADOS</v>
      </c>
      <c r="P620" s="1" t="str">
        <f>_xlfn.XLOOKUP(I620,Parâmetros!A:A,Parâmetros!D:D,_xlfn.XLOOKUP(Q620,Parâmetros!F:F,Parâmetros!I:I))</f>
        <v>OPERAÇÕES / SUPORTE KCS</v>
      </c>
      <c r="Q620" s="1">
        <f t="shared" si="19"/>
        <v>24</v>
      </c>
    </row>
    <row r="621" spans="1:17" x14ac:dyDescent="0.25">
      <c r="A621" s="1" t="str">
        <f>_xlfn.XLOOKUP(D621,'Novo relatório'!B:B,'Novo relatório'!C:C,"RESOLVIDO")</f>
        <v>SABRE</v>
      </c>
      <c r="C621" t="str">
        <f t="shared" si="18"/>
        <v>PENDENTE</v>
      </c>
      <c r="D621" s="1">
        <v>3249130</v>
      </c>
      <c r="E621" s="1" t="s">
        <v>26</v>
      </c>
      <c r="F621" s="2">
        <v>45702.765277777777</v>
      </c>
      <c r="G621" s="1" t="s">
        <v>1138</v>
      </c>
      <c r="H621" s="1" t="s">
        <v>1138</v>
      </c>
      <c r="I621" s="1" t="s">
        <v>83</v>
      </c>
      <c r="J621" s="2">
        <v>45702.898611111108</v>
      </c>
      <c r="L621" s="1" t="s">
        <v>18</v>
      </c>
      <c r="M621" s="1" t="str">
        <f>_xlfn.XLOOKUP(I621,Parâmetros!A:A,Parâmetros!B:B,_xlfn.XLOOKUP(Q621,Parâmetros!F:F,Parâmetros!G:G,"NOVA MENSAGEM"))</f>
        <v>CLIENTE NÃO IDENTIFICADO</v>
      </c>
      <c r="N621" s="1" t="str">
        <f>_xlfn.XLOOKUP(M621,Parâmetros!K:K,Parâmetros!L:L,"")</f>
        <v>DK DE CLIENTE NÃO PREENCIDO / CLIENTE NÃO CONFIGURADO NO OBT</v>
      </c>
      <c r="O621" s="1" t="str">
        <f>_xlfn.XLOOKUP(M621,Parâmetros!B:B,Parâmetros!C:C,_xlfn.XLOOKUP(Base!M616,Parâmetros!G:G,Parâmetros!H:H))</f>
        <v>INDEFINIDO</v>
      </c>
      <c r="P621" s="1" t="str">
        <f>_xlfn.XLOOKUP(I621,Parâmetros!A:A,Parâmetros!D:D,_xlfn.XLOOKUP(Q621,Parâmetros!F:F,Parâmetros!I:I))</f>
        <v>OPERAÇÕES / SUPORTE KCS</v>
      </c>
      <c r="Q621" s="1" t="str">
        <f t="shared" si="19"/>
        <v>COLUNA I</v>
      </c>
    </row>
    <row r="622" spans="1:17" x14ac:dyDescent="0.25">
      <c r="A622" s="1" t="str">
        <f>_xlfn.XLOOKUP(D622,'Novo relatório'!B:B,'Novo relatório'!C:C,"RESOLVIDO")</f>
        <v>SABRE</v>
      </c>
      <c r="C622" t="str">
        <f t="shared" si="18"/>
        <v>PENDENTE</v>
      </c>
      <c r="D622" s="1">
        <v>3249132</v>
      </c>
      <c r="E622" s="1" t="s">
        <v>26</v>
      </c>
      <c r="F622" s="2">
        <v>45702.765277777777</v>
      </c>
      <c r="G622" s="1" t="s">
        <v>1088</v>
      </c>
      <c r="H622" s="1" t="s">
        <v>1088</v>
      </c>
      <c r="I622" s="1" t="s">
        <v>83</v>
      </c>
      <c r="J622" s="2">
        <v>45702.898611111108</v>
      </c>
      <c r="L622" s="1" t="s">
        <v>18</v>
      </c>
      <c r="M622" s="1" t="str">
        <f>_xlfn.XLOOKUP(I622,Parâmetros!A:A,Parâmetros!B:B,_xlfn.XLOOKUP(Q622,Parâmetros!F:F,Parâmetros!G:G,"NOVA MENSAGEM"))</f>
        <v>CLIENTE NÃO IDENTIFICADO</v>
      </c>
      <c r="N622" s="1" t="str">
        <f>_xlfn.XLOOKUP(M622,Parâmetros!K:K,Parâmetros!L:L,"")</f>
        <v>DK DE CLIENTE NÃO PREENCIDO / CLIENTE NÃO CONFIGURADO NO OBT</v>
      </c>
      <c r="O622" s="1" t="str">
        <f>_xlfn.XLOOKUP(M622,Parâmetros!B:B,Parâmetros!C:C,_xlfn.XLOOKUP(Base!M580,Parâmetros!G:G,Parâmetros!H:H))</f>
        <v>INDEFINIDO</v>
      </c>
      <c r="P622" s="1" t="str">
        <f>_xlfn.XLOOKUP(I622,Parâmetros!A:A,Parâmetros!D:D,_xlfn.XLOOKUP(Q622,Parâmetros!F:F,Parâmetros!I:I))</f>
        <v>OPERAÇÕES / SUPORTE KCS</v>
      </c>
      <c r="Q622" s="1" t="str">
        <f t="shared" si="19"/>
        <v>COLUNA I</v>
      </c>
    </row>
    <row r="623" spans="1:17" x14ac:dyDescent="0.25">
      <c r="A623" s="1" t="str">
        <f>_xlfn.XLOOKUP(D623,'Novo relatório'!B:B,'Novo relatório'!C:C,"RESOLVIDO")</f>
        <v>RESOLVIDO</v>
      </c>
      <c r="C623" t="str">
        <f t="shared" si="18"/>
        <v>RESOLVIDO</v>
      </c>
      <c r="D623" s="1">
        <v>3249137</v>
      </c>
      <c r="E623" s="1" t="s">
        <v>26</v>
      </c>
      <c r="F623" s="2">
        <v>45705.321527777778</v>
      </c>
      <c r="G623" s="1" t="s">
        <v>1191</v>
      </c>
      <c r="H623" s="1" t="s">
        <v>1191</v>
      </c>
      <c r="I623" s="1" t="s">
        <v>588</v>
      </c>
      <c r="J623" s="2">
        <v>45702.899305555555</v>
      </c>
      <c r="K623" s="2">
        <v>45705.451388888891</v>
      </c>
      <c r="L623" s="1" t="s">
        <v>14</v>
      </c>
      <c r="M623" s="1" t="str">
        <f>_xlfn.XLOOKUP(I623,Parâmetros!A:A,Parâmetros!B:B,_xlfn.XLOOKUP(Q623,Parâmetros!F:F,Parâmetros!G:G,"NOVA MENSAGEM"))</f>
        <v>ERRO NO XML</v>
      </c>
      <c r="N623" s="1" t="str">
        <f>_xlfn.XLOOKUP(M623,Parâmetros!K:K,Parâmetros!L:L,"")</f>
        <v/>
      </c>
      <c r="O623" s="1" t="str">
        <f>_xlfn.XLOOKUP(M623,Parâmetros!B:B,Parâmetros!C:C,_xlfn.XLOOKUP(Base!M658,Parâmetros!G:G,Parâmetros!H:H))</f>
        <v>SISTEMA</v>
      </c>
      <c r="P623" s="1" t="str">
        <f>_xlfn.XLOOKUP(I623,Parâmetros!A:A,Parâmetros!D:D,_xlfn.XLOOKUP(Q623,Parâmetros!F:F,Parâmetros!I:I))</f>
        <v>SUPORTE OBT</v>
      </c>
      <c r="Q623" s="1" t="str">
        <f t="shared" si="19"/>
        <v>COLUNA I</v>
      </c>
    </row>
    <row r="624" spans="1:17" x14ac:dyDescent="0.25">
      <c r="A624" s="1" t="str">
        <f>_xlfn.XLOOKUP(D624,'Novo relatório'!B:B,'Novo relatório'!C:C,"RESOLVIDO")</f>
        <v>SABRE</v>
      </c>
      <c r="C624" t="str">
        <f t="shared" si="18"/>
        <v>PENDENTE</v>
      </c>
      <c r="D624" s="1">
        <v>3249147</v>
      </c>
      <c r="E624" s="1" t="s">
        <v>26</v>
      </c>
      <c r="F624" s="2">
        <v>45705.318749999999</v>
      </c>
      <c r="G624" s="1" t="s">
        <v>1163</v>
      </c>
      <c r="H624" s="1" t="s">
        <v>1163</v>
      </c>
      <c r="I624" s="1" t="s">
        <v>1164</v>
      </c>
      <c r="J624" s="2">
        <v>45702.9</v>
      </c>
      <c r="K624" s="2">
        <v>45705.450694444444</v>
      </c>
      <c r="L624" s="1" t="s">
        <v>18</v>
      </c>
      <c r="M624" s="1" t="str">
        <f>_xlfn.XLOOKUP(I624,Parâmetros!A:A,Parâmetros!B:B,_xlfn.XLOOKUP(Q624,Parâmetros!F:F,Parâmetros!G:G,"NOVA MENSAGEM"))</f>
        <v>REMARK - CNPJ</v>
      </c>
      <c r="N624" s="1" t="str">
        <f>_xlfn.XLOOKUP(M624,Parâmetros!K:K,Parâmetros!L:L,"")</f>
        <v/>
      </c>
      <c r="O624" s="1" t="str">
        <f>_xlfn.XLOOKUP(M624,Parâmetros!B:B,Parâmetros!C:C,_xlfn.XLOOKUP(Base!M637,Parâmetros!G:G,Parâmetros!H:H))</f>
        <v>QUALIDADE DOS DADOS</v>
      </c>
      <c r="P624" s="1" t="str">
        <f>_xlfn.XLOOKUP(I624,Parâmetros!A:A,Parâmetros!D:D,_xlfn.XLOOKUP(Q624,Parâmetros!F:F,Parâmetros!I:I))</f>
        <v>OPERAÇÕES / SUPORTE KCS</v>
      </c>
      <c r="Q624" s="1">
        <f t="shared" si="19"/>
        <v>24</v>
      </c>
    </row>
    <row r="625" spans="1:17" x14ac:dyDescent="0.25">
      <c r="A625" s="1" t="str">
        <f>_xlfn.XLOOKUP(D625,'Novo relatório'!B:B,'Novo relatório'!C:C,"RESOLVIDO")</f>
        <v>SABRE</v>
      </c>
      <c r="C625" t="str">
        <f t="shared" si="18"/>
        <v>PENDENTE</v>
      </c>
      <c r="D625" s="1">
        <v>3249148</v>
      </c>
      <c r="E625" s="1" t="s">
        <v>26</v>
      </c>
      <c r="F625" s="2">
        <v>45705.279861111114</v>
      </c>
      <c r="G625" s="1" t="s">
        <v>1199</v>
      </c>
      <c r="H625" s="1" t="s">
        <v>1199</v>
      </c>
      <c r="I625" s="1" t="s">
        <v>1164</v>
      </c>
      <c r="J625" s="2">
        <v>45702.9</v>
      </c>
      <c r="K625" s="2">
        <v>45705.408333333333</v>
      </c>
      <c r="L625" s="1" t="s">
        <v>18</v>
      </c>
      <c r="M625" s="1" t="str">
        <f>_xlfn.XLOOKUP(I625,Parâmetros!A:A,Parâmetros!B:B,_xlfn.XLOOKUP(Q625,Parâmetros!F:F,Parâmetros!G:G,"NOVA MENSAGEM"))</f>
        <v>REMARK - CNPJ</v>
      </c>
      <c r="N625" s="1" t="str">
        <f>_xlfn.XLOOKUP(M625,Parâmetros!K:K,Parâmetros!L:L,"")</f>
        <v/>
      </c>
      <c r="O625" s="1" t="str">
        <f>_xlfn.XLOOKUP(M625,Parâmetros!B:B,Parâmetros!C:C,_xlfn.XLOOKUP(Base!M665,Parâmetros!G:G,Parâmetros!H:H))</f>
        <v>QUALIDADE DOS DADOS</v>
      </c>
      <c r="P625" s="1" t="str">
        <f>_xlfn.XLOOKUP(I625,Parâmetros!A:A,Parâmetros!D:D,_xlfn.XLOOKUP(Q625,Parâmetros!F:F,Parâmetros!I:I))</f>
        <v>OPERAÇÕES / SUPORTE KCS</v>
      </c>
      <c r="Q625" s="1">
        <f t="shared" si="19"/>
        <v>24</v>
      </c>
    </row>
    <row r="626" spans="1:17" x14ac:dyDescent="0.25">
      <c r="A626" s="1" t="str">
        <f>_xlfn.XLOOKUP(D626,'Novo relatório'!B:B,'Novo relatório'!C:C,"RESOLVIDO")</f>
        <v>RESOLVIDO</v>
      </c>
      <c r="C626" t="str">
        <f t="shared" si="18"/>
        <v>RESOLVIDO</v>
      </c>
      <c r="D626" s="1">
        <v>3249149</v>
      </c>
      <c r="E626" s="1" t="s">
        <v>26</v>
      </c>
      <c r="F626" s="2">
        <v>45723.736805555556</v>
      </c>
      <c r="G626" s="1" t="s">
        <v>1425</v>
      </c>
      <c r="H626" s="1" t="s">
        <v>1425</v>
      </c>
      <c r="I626" s="1" t="s">
        <v>632</v>
      </c>
      <c r="J626" s="2">
        <v>45702.9</v>
      </c>
      <c r="K626" s="2">
        <v>45723.870833333334</v>
      </c>
      <c r="L626" s="1" t="s">
        <v>14</v>
      </c>
      <c r="M626" s="1" t="str">
        <f>_xlfn.XLOOKUP(I626,Parâmetros!A:A,Parâmetros!B:B,_xlfn.XLOOKUP(Q626,Parâmetros!F:F,Parâmetros!G:G,"NOVA MENSAGEM"))</f>
        <v>ERRO NO XML</v>
      </c>
      <c r="N626" s="1" t="str">
        <f>_xlfn.XLOOKUP(M626,Parâmetros!K:K,Parâmetros!L:L,"")</f>
        <v/>
      </c>
      <c r="O626" s="1" t="str">
        <f>_xlfn.XLOOKUP(M626,Parâmetros!B:B,Parâmetros!C:C,_xlfn.XLOOKUP(Base!M850,Parâmetros!G:G,Parâmetros!H:H))</f>
        <v>SISTEMA</v>
      </c>
      <c r="P626" s="1" t="str">
        <f>_xlfn.XLOOKUP(I626,Parâmetros!A:A,Parâmetros!D:D,_xlfn.XLOOKUP(Q626,Parâmetros!F:F,Parâmetros!I:I))</f>
        <v>SUPORTE OBT</v>
      </c>
      <c r="Q626" s="1" t="str">
        <f t="shared" si="19"/>
        <v>COLUNA I</v>
      </c>
    </row>
    <row r="627" spans="1:17" x14ac:dyDescent="0.25">
      <c r="A627" s="1" t="str">
        <f>_xlfn.XLOOKUP(D627,'Novo relatório'!B:B,'Novo relatório'!C:C,"RESOLVIDO")</f>
        <v>SABRE</v>
      </c>
      <c r="C627" t="str">
        <f t="shared" si="18"/>
        <v>PENDENTE</v>
      </c>
      <c r="D627" s="1">
        <v>3249153</v>
      </c>
      <c r="E627" s="1" t="s">
        <v>26</v>
      </c>
      <c r="F627" s="2">
        <v>45702.765277777777</v>
      </c>
      <c r="G627" s="1" t="s">
        <v>1184</v>
      </c>
      <c r="H627" s="1" t="s">
        <v>1184</v>
      </c>
      <c r="I627" s="1" t="s">
        <v>83</v>
      </c>
      <c r="J627" s="2">
        <v>45702.900694444441</v>
      </c>
      <c r="L627" s="1" t="s">
        <v>18</v>
      </c>
      <c r="M627" s="1" t="str">
        <f>_xlfn.XLOOKUP(I627,Parâmetros!A:A,Parâmetros!B:B,_xlfn.XLOOKUP(Q627,Parâmetros!F:F,Parâmetros!G:G,"NOVA MENSAGEM"))</f>
        <v>CLIENTE NÃO IDENTIFICADO</v>
      </c>
      <c r="N627" s="1" t="str">
        <f>_xlfn.XLOOKUP(M627,Parâmetros!K:K,Parâmetros!L:L,"")</f>
        <v>DK DE CLIENTE NÃO PREENCIDO / CLIENTE NÃO CONFIGURADO NO OBT</v>
      </c>
      <c r="O627" s="1" t="str">
        <f>_xlfn.XLOOKUP(M627,Parâmetros!B:B,Parâmetros!C:C,_xlfn.XLOOKUP(Base!M653,Parâmetros!G:G,Parâmetros!H:H))</f>
        <v>INDEFINIDO</v>
      </c>
      <c r="P627" s="1" t="str">
        <f>_xlfn.XLOOKUP(I627,Parâmetros!A:A,Parâmetros!D:D,_xlfn.XLOOKUP(Q627,Parâmetros!F:F,Parâmetros!I:I))</f>
        <v>OPERAÇÕES / SUPORTE KCS</v>
      </c>
      <c r="Q627" s="1" t="str">
        <f t="shared" si="19"/>
        <v>COLUNA I</v>
      </c>
    </row>
    <row r="628" spans="1:17" x14ac:dyDescent="0.25">
      <c r="A628" s="1" t="str">
        <f>_xlfn.XLOOKUP(D628,'Novo relatório'!B:B,'Novo relatório'!C:C,"RESOLVIDO")</f>
        <v>SABRE</v>
      </c>
      <c r="C628" t="str">
        <f t="shared" si="18"/>
        <v>PENDENTE</v>
      </c>
      <c r="D628" s="1">
        <v>3249479</v>
      </c>
      <c r="E628" s="1" t="s">
        <v>26</v>
      </c>
      <c r="F628" s="2">
        <v>45705.272222222222</v>
      </c>
      <c r="G628" s="1" t="s">
        <v>1214</v>
      </c>
      <c r="H628" s="1" t="s">
        <v>1214</v>
      </c>
      <c r="I628" s="1" t="s">
        <v>1215</v>
      </c>
      <c r="J628" s="2">
        <v>45705.397916666669</v>
      </c>
      <c r="L628" s="1" t="s">
        <v>18</v>
      </c>
      <c r="M628" s="1" t="str">
        <f>_xlfn.XLOOKUP(I628,Parâmetros!A:A,Parâmetros!B:B,_xlfn.XLOOKUP(Q628,Parâmetros!F:F,Parâmetros!G:G,"NOVA MENSAGEM"))</f>
        <v>CÓD. CLIENTE DIVERGENTE</v>
      </c>
      <c r="N628" s="1" t="str">
        <f>_xlfn.XLOOKUP(M628,Parâmetros!K:K,Parâmetros!L:L,"")</f>
        <v>CÓDIGO DIFERENTE DO CADASTRADO NO BENNER (CLIENTE X GRUPO)</v>
      </c>
      <c r="O628" s="1" t="str">
        <f>_xlfn.XLOOKUP(M628,Parâmetros!B:B,Parâmetros!C:C,_xlfn.XLOOKUP(Base!M677,Parâmetros!G:G,Parâmetros!H:H))</f>
        <v>QUALIDADE DOS DADOS</v>
      </c>
      <c r="P628" s="1" t="str">
        <f>_xlfn.XLOOKUP(I628,Parâmetros!A:A,Parâmetros!D:D,_xlfn.XLOOKUP(Q628,Parâmetros!F:F,Parâmetros!I:I))</f>
        <v>SUPORTE OBT</v>
      </c>
      <c r="Q628" s="1">
        <f t="shared" si="19"/>
        <v>1</v>
      </c>
    </row>
    <row r="629" spans="1:17" x14ac:dyDescent="0.25">
      <c r="A629" s="1" t="str">
        <f>_xlfn.XLOOKUP(D629,'Novo relatório'!B:B,'Novo relatório'!C:C,"RESOLVIDO")</f>
        <v>SABRE</v>
      </c>
      <c r="C629" t="str">
        <f t="shared" si="18"/>
        <v>PENDENTE</v>
      </c>
      <c r="D629" s="1">
        <v>3249534</v>
      </c>
      <c r="E629" s="1" t="s">
        <v>26</v>
      </c>
      <c r="F629" s="2">
        <v>45705.503472222219</v>
      </c>
      <c r="G629" s="1" t="s">
        <v>1128</v>
      </c>
      <c r="H629" s="1" t="s">
        <v>1128</v>
      </c>
      <c r="I629" s="1" t="s">
        <v>409</v>
      </c>
      <c r="J629" s="2">
        <v>45705.429861111108</v>
      </c>
      <c r="K629" s="2">
        <v>45705.640277777777</v>
      </c>
      <c r="L629" s="1" t="s">
        <v>18</v>
      </c>
      <c r="M629" s="1" t="str">
        <f>_xlfn.XLOOKUP(I629,Parâmetros!A:A,Parâmetros!B:B,_xlfn.XLOOKUP(Q629,Parâmetros!F:F,Parâmetros!G:G,"NOVA MENSAGEM"))</f>
        <v>CÓD. CLIENTE DIVERGENTE</v>
      </c>
      <c r="N629" s="1" t="str">
        <f>_xlfn.XLOOKUP(M629,Parâmetros!K:K,Parâmetros!L:L,"")</f>
        <v>CÓDIGO DIFERENTE DO CADASTRADO NO BENNER (CLIENTE X GRUPO)</v>
      </c>
      <c r="O629" s="1" t="str">
        <f>_xlfn.XLOOKUP(M629,Parâmetros!B:B,Parâmetros!C:C,_xlfn.XLOOKUP(Base!M609,Parâmetros!G:G,Parâmetros!H:H))</f>
        <v>QUALIDADE DOS DADOS</v>
      </c>
      <c r="P629" s="1" t="str">
        <f>_xlfn.XLOOKUP(I629,Parâmetros!A:A,Parâmetros!D:D,_xlfn.XLOOKUP(Q629,Parâmetros!F:F,Parâmetros!I:I))</f>
        <v>SUPORTE OBT</v>
      </c>
      <c r="Q629" s="1">
        <f t="shared" si="19"/>
        <v>1</v>
      </c>
    </row>
    <row r="630" spans="1:17" x14ac:dyDescent="0.25">
      <c r="A630" s="1" t="str">
        <f>_xlfn.XLOOKUP(D630,'Novo relatório'!B:B,'Novo relatório'!C:C,"RESOLVIDO")</f>
        <v>SABRE</v>
      </c>
      <c r="C630" t="str">
        <f t="shared" si="18"/>
        <v>PENDENTE</v>
      </c>
      <c r="D630" s="1">
        <v>3249543</v>
      </c>
      <c r="E630" s="1" t="s">
        <v>26</v>
      </c>
      <c r="F630" s="2">
        <v>45705.503472222219</v>
      </c>
      <c r="G630" s="1" t="s">
        <v>1222</v>
      </c>
      <c r="H630" s="1" t="s">
        <v>1222</v>
      </c>
      <c r="I630" s="1" t="s">
        <v>409</v>
      </c>
      <c r="J630" s="2">
        <v>45705.439583333333</v>
      </c>
      <c r="K630" s="2">
        <v>45705.640277777777</v>
      </c>
      <c r="L630" s="1" t="s">
        <v>18</v>
      </c>
      <c r="M630" s="1" t="str">
        <f>_xlfn.XLOOKUP(I630,Parâmetros!A:A,Parâmetros!B:B,_xlfn.XLOOKUP(Q630,Parâmetros!F:F,Parâmetros!G:G,"NOVA MENSAGEM"))</f>
        <v>CÓD. CLIENTE DIVERGENTE</v>
      </c>
      <c r="N630" s="1" t="str">
        <f>_xlfn.XLOOKUP(M630,Parâmetros!K:K,Parâmetros!L:L,"")</f>
        <v>CÓDIGO DIFERENTE DO CADASTRADO NO BENNER (CLIENTE X GRUPO)</v>
      </c>
      <c r="O630" s="1" t="str">
        <f>_xlfn.XLOOKUP(M630,Parâmetros!B:B,Parâmetros!C:C,_xlfn.XLOOKUP(Base!M681,Parâmetros!G:G,Parâmetros!H:H))</f>
        <v>QUALIDADE DOS DADOS</v>
      </c>
      <c r="P630" s="1" t="str">
        <f>_xlfn.XLOOKUP(I630,Parâmetros!A:A,Parâmetros!D:D,_xlfn.XLOOKUP(Q630,Parâmetros!F:F,Parâmetros!I:I))</f>
        <v>SUPORTE OBT</v>
      </c>
      <c r="Q630" s="1">
        <f t="shared" si="19"/>
        <v>1</v>
      </c>
    </row>
    <row r="631" spans="1:17" x14ac:dyDescent="0.25">
      <c r="A631" s="1" t="str">
        <f>_xlfn.XLOOKUP(D631,'Novo relatório'!B:B,'Novo relatório'!C:C,"RESOLVIDO")</f>
        <v>SABRE</v>
      </c>
      <c r="C631" t="str">
        <f t="shared" si="18"/>
        <v>PENDENTE</v>
      </c>
      <c r="D631" s="1">
        <v>3249544</v>
      </c>
      <c r="E631" s="1" t="s">
        <v>26</v>
      </c>
      <c r="F631" s="2">
        <v>45705.503472222219</v>
      </c>
      <c r="G631" s="1" t="s">
        <v>1096</v>
      </c>
      <c r="H631" s="1" t="s">
        <v>1096</v>
      </c>
      <c r="I631" s="1" t="s">
        <v>409</v>
      </c>
      <c r="J631" s="2">
        <v>45705.439583333333</v>
      </c>
      <c r="K631" s="2">
        <v>45705.640277777777</v>
      </c>
      <c r="L631" s="1" t="s">
        <v>18</v>
      </c>
      <c r="M631" s="1" t="str">
        <f>_xlfn.XLOOKUP(I631,Parâmetros!A:A,Parâmetros!B:B,_xlfn.XLOOKUP(Q631,Parâmetros!F:F,Parâmetros!G:G,"NOVA MENSAGEM"))</f>
        <v>CÓD. CLIENTE DIVERGENTE</v>
      </c>
      <c r="N631" s="1" t="str">
        <f>_xlfn.XLOOKUP(M631,Parâmetros!K:K,Parâmetros!L:L,"")</f>
        <v>CÓDIGO DIFERENTE DO CADASTRADO NO BENNER (CLIENTE X GRUPO)</v>
      </c>
      <c r="O631" s="1" t="str">
        <f>_xlfn.XLOOKUP(M631,Parâmetros!B:B,Parâmetros!C:C,_xlfn.XLOOKUP(Base!M585,Parâmetros!G:G,Parâmetros!H:H))</f>
        <v>QUALIDADE DOS DADOS</v>
      </c>
      <c r="P631" s="1" t="str">
        <f>_xlfn.XLOOKUP(I631,Parâmetros!A:A,Parâmetros!D:D,_xlfn.XLOOKUP(Q631,Parâmetros!F:F,Parâmetros!I:I))</f>
        <v>SUPORTE OBT</v>
      </c>
      <c r="Q631" s="1">
        <f t="shared" si="19"/>
        <v>1</v>
      </c>
    </row>
    <row r="632" spans="1:17" x14ac:dyDescent="0.25">
      <c r="A632" s="1" t="str">
        <f>_xlfn.XLOOKUP(D632,'Novo relatório'!B:B,'Novo relatório'!C:C,"RESOLVIDO")</f>
        <v>SABRE</v>
      </c>
      <c r="C632" t="str">
        <f t="shared" si="18"/>
        <v>PENDENTE</v>
      </c>
      <c r="D632" s="1">
        <v>3249545</v>
      </c>
      <c r="E632" s="1" t="s">
        <v>26</v>
      </c>
      <c r="F632" s="2">
        <v>45705.309027777781</v>
      </c>
      <c r="G632" s="1" t="s">
        <v>1187</v>
      </c>
      <c r="H632" s="1" t="s">
        <v>1187</v>
      </c>
      <c r="I632" s="1" t="s">
        <v>409</v>
      </c>
      <c r="J632" s="2">
        <v>45705.439583333333</v>
      </c>
      <c r="L632" s="1" t="s">
        <v>18</v>
      </c>
      <c r="M632" s="1" t="str">
        <f>_xlfn.XLOOKUP(I632,Parâmetros!A:A,Parâmetros!B:B,_xlfn.XLOOKUP(Q632,Parâmetros!F:F,Parâmetros!G:G,"NOVA MENSAGEM"))</f>
        <v>CÓD. CLIENTE DIVERGENTE</v>
      </c>
      <c r="N632" s="1" t="str">
        <f>_xlfn.XLOOKUP(M632,Parâmetros!K:K,Parâmetros!L:L,"")</f>
        <v>CÓDIGO DIFERENTE DO CADASTRADO NO BENNER (CLIENTE X GRUPO)</v>
      </c>
      <c r="O632" s="1" t="str">
        <f>_xlfn.XLOOKUP(M632,Parâmetros!B:B,Parâmetros!C:C,_xlfn.XLOOKUP(Base!M655,Parâmetros!G:G,Parâmetros!H:H))</f>
        <v>QUALIDADE DOS DADOS</v>
      </c>
      <c r="P632" s="1" t="str">
        <f>_xlfn.XLOOKUP(I632,Parâmetros!A:A,Parâmetros!D:D,_xlfn.XLOOKUP(Q632,Parâmetros!F:F,Parâmetros!I:I))</f>
        <v>SUPORTE OBT</v>
      </c>
      <c r="Q632" s="1">
        <f t="shared" si="19"/>
        <v>1</v>
      </c>
    </row>
    <row r="633" spans="1:17" x14ac:dyDescent="0.25">
      <c r="A633" s="1" t="str">
        <f>_xlfn.XLOOKUP(D633,'Novo relatório'!B:B,'Novo relatório'!C:C,"RESOLVIDO")</f>
        <v>SABRE</v>
      </c>
      <c r="C633" t="str">
        <f t="shared" si="18"/>
        <v>PENDENTE</v>
      </c>
      <c r="D633" s="1">
        <v>3249546</v>
      </c>
      <c r="E633" s="1" t="s">
        <v>26</v>
      </c>
      <c r="F633" s="2">
        <v>45705.503472222219</v>
      </c>
      <c r="G633" s="1" t="s">
        <v>1076</v>
      </c>
      <c r="H633" s="1" t="s">
        <v>1076</v>
      </c>
      <c r="I633" s="1" t="s">
        <v>409</v>
      </c>
      <c r="J633" s="2">
        <v>45705.439583333333</v>
      </c>
      <c r="K633" s="2">
        <v>45705.638888888891</v>
      </c>
      <c r="L633" s="1" t="s">
        <v>18</v>
      </c>
      <c r="M633" s="1" t="str">
        <f>_xlfn.XLOOKUP(I633,Parâmetros!A:A,Parâmetros!B:B,_xlfn.XLOOKUP(Q633,Parâmetros!F:F,Parâmetros!G:G,"NOVA MENSAGEM"))</f>
        <v>CÓD. CLIENTE DIVERGENTE</v>
      </c>
      <c r="N633" s="1" t="str">
        <f>_xlfn.XLOOKUP(M633,Parâmetros!K:K,Parâmetros!L:L,"")</f>
        <v>CÓDIGO DIFERENTE DO CADASTRADO NO BENNER (CLIENTE X GRUPO)</v>
      </c>
      <c r="O633" s="1" t="str">
        <f>_xlfn.XLOOKUP(M633,Parâmetros!B:B,Parâmetros!C:C,_xlfn.XLOOKUP(Base!M570,Parâmetros!G:G,Parâmetros!H:H))</f>
        <v>QUALIDADE DOS DADOS</v>
      </c>
      <c r="P633" s="1" t="str">
        <f>_xlfn.XLOOKUP(I633,Parâmetros!A:A,Parâmetros!D:D,_xlfn.XLOOKUP(Q633,Parâmetros!F:F,Parâmetros!I:I))</f>
        <v>SUPORTE OBT</v>
      </c>
      <c r="Q633" s="1">
        <f t="shared" si="19"/>
        <v>1</v>
      </c>
    </row>
    <row r="634" spans="1:17" x14ac:dyDescent="0.25">
      <c r="A634" s="1" t="str">
        <f>_xlfn.XLOOKUP(D634,'Novo relatório'!B:B,'Novo relatório'!C:C,"RESOLVIDO")</f>
        <v>SABRE</v>
      </c>
      <c r="C634" t="str">
        <f t="shared" si="18"/>
        <v>PENDENTE</v>
      </c>
      <c r="D634" s="1">
        <v>3249547</v>
      </c>
      <c r="E634" s="1" t="s">
        <v>26</v>
      </c>
      <c r="F634" s="2">
        <v>45705.503472222219</v>
      </c>
      <c r="G634" s="1" t="s">
        <v>1225</v>
      </c>
      <c r="H634" s="1" t="s">
        <v>1225</v>
      </c>
      <c r="I634" s="1" t="s">
        <v>409</v>
      </c>
      <c r="J634" s="2">
        <v>45705.439583333333</v>
      </c>
      <c r="K634" s="2">
        <v>45705.63958333333</v>
      </c>
      <c r="L634" s="1" t="s">
        <v>18</v>
      </c>
      <c r="M634" s="1" t="str">
        <f>_xlfn.XLOOKUP(I634,Parâmetros!A:A,Parâmetros!B:B,_xlfn.XLOOKUP(Q634,Parâmetros!F:F,Parâmetros!G:G,"NOVA MENSAGEM"))</f>
        <v>CÓD. CLIENTE DIVERGENTE</v>
      </c>
      <c r="N634" s="1" t="str">
        <f>_xlfn.XLOOKUP(M634,Parâmetros!K:K,Parâmetros!L:L,"")</f>
        <v>CÓDIGO DIFERENTE DO CADASTRADO NO BENNER (CLIENTE X GRUPO)</v>
      </c>
      <c r="O634" s="1" t="str">
        <f>_xlfn.XLOOKUP(M634,Parâmetros!B:B,Parâmetros!C:C,_xlfn.XLOOKUP(Base!M683,Parâmetros!G:G,Parâmetros!H:H))</f>
        <v>QUALIDADE DOS DADOS</v>
      </c>
      <c r="P634" s="1" t="str">
        <f>_xlfn.XLOOKUP(I634,Parâmetros!A:A,Parâmetros!D:D,_xlfn.XLOOKUP(Q634,Parâmetros!F:F,Parâmetros!I:I))</f>
        <v>SUPORTE OBT</v>
      </c>
      <c r="Q634" s="1">
        <f t="shared" si="19"/>
        <v>1</v>
      </c>
    </row>
    <row r="635" spans="1:17" x14ac:dyDescent="0.25">
      <c r="A635" s="1" t="str">
        <f>_xlfn.XLOOKUP(D635,'Novo relatório'!B:B,'Novo relatório'!C:C,"RESOLVIDO")</f>
        <v>SABRE</v>
      </c>
      <c r="C635" t="str">
        <f t="shared" si="18"/>
        <v>PENDENTE</v>
      </c>
      <c r="D635" s="1">
        <v>3249548</v>
      </c>
      <c r="E635" s="1" t="s">
        <v>26</v>
      </c>
      <c r="F635" s="2">
        <v>45705.503472222219</v>
      </c>
      <c r="G635" s="1" t="s">
        <v>1192</v>
      </c>
      <c r="H635" s="1" t="s">
        <v>1192</v>
      </c>
      <c r="I635" s="1" t="s">
        <v>409</v>
      </c>
      <c r="J635" s="2">
        <v>45705.439583333333</v>
      </c>
      <c r="K635" s="2">
        <v>45705.63958333333</v>
      </c>
      <c r="L635" s="1" t="s">
        <v>18</v>
      </c>
      <c r="M635" s="1" t="str">
        <f>_xlfn.XLOOKUP(I635,Parâmetros!A:A,Parâmetros!B:B,_xlfn.XLOOKUP(Q635,Parâmetros!F:F,Parâmetros!G:G,"NOVA MENSAGEM"))</f>
        <v>CÓD. CLIENTE DIVERGENTE</v>
      </c>
      <c r="N635" s="1" t="str">
        <f>_xlfn.XLOOKUP(M635,Parâmetros!K:K,Parâmetros!L:L,"")</f>
        <v>CÓDIGO DIFERENTE DO CADASTRADO NO BENNER (CLIENTE X GRUPO)</v>
      </c>
      <c r="O635" s="1" t="str">
        <f>_xlfn.XLOOKUP(M635,Parâmetros!B:B,Parâmetros!C:C,_xlfn.XLOOKUP(Base!M659,Parâmetros!G:G,Parâmetros!H:H))</f>
        <v>QUALIDADE DOS DADOS</v>
      </c>
      <c r="P635" s="1" t="str">
        <f>_xlfn.XLOOKUP(I635,Parâmetros!A:A,Parâmetros!D:D,_xlfn.XLOOKUP(Q635,Parâmetros!F:F,Parâmetros!I:I))</f>
        <v>SUPORTE OBT</v>
      </c>
      <c r="Q635" s="1">
        <f t="shared" si="19"/>
        <v>1</v>
      </c>
    </row>
    <row r="636" spans="1:17" x14ac:dyDescent="0.25">
      <c r="A636" s="1" t="str">
        <f>_xlfn.XLOOKUP(D636,'Novo relatório'!B:B,'Novo relatório'!C:C,"RESOLVIDO")</f>
        <v>SABRE</v>
      </c>
      <c r="C636" t="str">
        <f t="shared" si="18"/>
        <v>PENDENTE</v>
      </c>
      <c r="D636" s="1">
        <v>3249549</v>
      </c>
      <c r="E636" s="1" t="s">
        <v>26</v>
      </c>
      <c r="F636" s="2">
        <v>45705.503472222219</v>
      </c>
      <c r="G636" s="1" t="s">
        <v>1190</v>
      </c>
      <c r="H636" s="1" t="s">
        <v>1190</v>
      </c>
      <c r="I636" s="1" t="s">
        <v>409</v>
      </c>
      <c r="J636" s="2">
        <v>45705.439583333333</v>
      </c>
      <c r="K636" s="2">
        <v>45705.63958333333</v>
      </c>
      <c r="L636" s="1" t="s">
        <v>18</v>
      </c>
      <c r="M636" s="1" t="str">
        <f>_xlfn.XLOOKUP(I636,Parâmetros!A:A,Parâmetros!B:B,_xlfn.XLOOKUP(Q636,Parâmetros!F:F,Parâmetros!G:G,"NOVA MENSAGEM"))</f>
        <v>CÓD. CLIENTE DIVERGENTE</v>
      </c>
      <c r="N636" s="1" t="str">
        <f>_xlfn.XLOOKUP(M636,Parâmetros!K:K,Parâmetros!L:L,"")</f>
        <v>CÓDIGO DIFERENTE DO CADASTRADO NO BENNER (CLIENTE X GRUPO)</v>
      </c>
      <c r="O636" s="1" t="str">
        <f>_xlfn.XLOOKUP(M636,Parâmetros!B:B,Parâmetros!C:C,_xlfn.XLOOKUP(Base!M657,Parâmetros!G:G,Parâmetros!H:H))</f>
        <v>QUALIDADE DOS DADOS</v>
      </c>
      <c r="P636" s="1" t="str">
        <f>_xlfn.XLOOKUP(I636,Parâmetros!A:A,Parâmetros!D:D,_xlfn.XLOOKUP(Q636,Parâmetros!F:F,Parâmetros!I:I))</f>
        <v>SUPORTE OBT</v>
      </c>
      <c r="Q636" s="1">
        <f t="shared" si="19"/>
        <v>1</v>
      </c>
    </row>
    <row r="637" spans="1:17" x14ac:dyDescent="0.25">
      <c r="A637" s="1" t="str">
        <f>_xlfn.XLOOKUP(D637,'Novo relatório'!B:B,'Novo relatório'!C:C,"RESOLVIDO")</f>
        <v>SABRE</v>
      </c>
      <c r="C637" t="str">
        <f t="shared" si="18"/>
        <v>PENDENTE</v>
      </c>
      <c r="D637" s="1">
        <v>3249550</v>
      </c>
      <c r="E637" s="1" t="s">
        <v>26</v>
      </c>
      <c r="F637" s="2">
        <v>45705.503472222219</v>
      </c>
      <c r="G637" s="1" t="s">
        <v>1217</v>
      </c>
      <c r="H637" s="1" t="s">
        <v>1217</v>
      </c>
      <c r="I637" s="1" t="s">
        <v>409</v>
      </c>
      <c r="J637" s="2">
        <v>45705.439583333333</v>
      </c>
      <c r="K637" s="2">
        <v>45705.640277777777</v>
      </c>
      <c r="L637" s="1" t="s">
        <v>18</v>
      </c>
      <c r="M637" s="1" t="str">
        <f>_xlfn.XLOOKUP(I637,Parâmetros!A:A,Parâmetros!B:B,_xlfn.XLOOKUP(Q637,Parâmetros!F:F,Parâmetros!G:G,"NOVA MENSAGEM"))</f>
        <v>CÓD. CLIENTE DIVERGENTE</v>
      </c>
      <c r="N637" s="1" t="str">
        <f>_xlfn.XLOOKUP(M637,Parâmetros!K:K,Parâmetros!L:L,"")</f>
        <v>CÓDIGO DIFERENTE DO CADASTRADO NO BENNER (CLIENTE X GRUPO)</v>
      </c>
      <c r="O637" s="1" t="str">
        <f>_xlfn.XLOOKUP(M637,Parâmetros!B:B,Parâmetros!C:C,_xlfn.XLOOKUP(Base!M678,Parâmetros!G:G,Parâmetros!H:H))</f>
        <v>QUALIDADE DOS DADOS</v>
      </c>
      <c r="P637" s="1" t="str">
        <f>_xlfn.XLOOKUP(I637,Parâmetros!A:A,Parâmetros!D:D,_xlfn.XLOOKUP(Q637,Parâmetros!F:F,Parâmetros!I:I))</f>
        <v>SUPORTE OBT</v>
      </c>
      <c r="Q637" s="1">
        <f t="shared" si="19"/>
        <v>1</v>
      </c>
    </row>
    <row r="638" spans="1:17" x14ac:dyDescent="0.25">
      <c r="A638" s="1" t="str">
        <f>_xlfn.XLOOKUP(D638,'Novo relatório'!B:B,'Novo relatório'!C:C,"RESOLVIDO")</f>
        <v>RESOLVIDO</v>
      </c>
      <c r="C638" t="str">
        <f t="shared" si="18"/>
        <v>RESOLVIDO</v>
      </c>
      <c r="D638" s="1">
        <v>3249560</v>
      </c>
      <c r="E638" s="1" t="s">
        <v>26</v>
      </c>
      <c r="F638" s="2">
        <v>45705.503472222219</v>
      </c>
      <c r="G638" s="1" t="s">
        <v>1193</v>
      </c>
      <c r="H638" s="1" t="s">
        <v>1193</v>
      </c>
      <c r="I638" s="1" t="s">
        <v>588</v>
      </c>
      <c r="J638" s="2">
        <v>45705.450694444444</v>
      </c>
      <c r="K638" s="2">
        <v>45705.640277777777</v>
      </c>
      <c r="L638" s="1" t="s">
        <v>14</v>
      </c>
      <c r="M638" s="1" t="str">
        <f>_xlfn.XLOOKUP(I638,Parâmetros!A:A,Parâmetros!B:B,_xlfn.XLOOKUP(Q638,Parâmetros!F:F,Parâmetros!G:G,"NOVA MENSAGEM"))</f>
        <v>ERRO NO XML</v>
      </c>
      <c r="N638" s="1" t="str">
        <f>_xlfn.XLOOKUP(M638,Parâmetros!K:K,Parâmetros!L:L,"")</f>
        <v/>
      </c>
      <c r="O638" s="1" t="str">
        <f>_xlfn.XLOOKUP(M638,Parâmetros!B:B,Parâmetros!C:C,_xlfn.XLOOKUP(Base!M660,Parâmetros!G:G,Parâmetros!H:H))</f>
        <v>SISTEMA</v>
      </c>
      <c r="P638" s="1" t="str">
        <f>_xlfn.XLOOKUP(I638,Parâmetros!A:A,Parâmetros!D:D,_xlfn.XLOOKUP(Q638,Parâmetros!F:F,Parâmetros!I:I))</f>
        <v>SUPORTE OBT</v>
      </c>
      <c r="Q638" s="1" t="str">
        <f t="shared" si="19"/>
        <v>COLUNA I</v>
      </c>
    </row>
    <row r="639" spans="1:17" x14ac:dyDescent="0.25">
      <c r="A639" s="1" t="str">
        <f>_xlfn.XLOOKUP(D639,'Novo relatório'!B:B,'Novo relatório'!C:C,"RESOLVIDO")</f>
        <v>SABRE</v>
      </c>
      <c r="C639" t="str">
        <f t="shared" si="18"/>
        <v>PENDENTE</v>
      </c>
      <c r="D639" s="1">
        <v>3249600</v>
      </c>
      <c r="E639" s="1" t="s">
        <v>26</v>
      </c>
      <c r="F639" s="2">
        <v>45705.324305555558</v>
      </c>
      <c r="G639" s="1" t="s">
        <v>1200</v>
      </c>
      <c r="H639" s="1" t="s">
        <v>1200</v>
      </c>
      <c r="I639" s="1" t="s">
        <v>408</v>
      </c>
      <c r="J639" s="2">
        <v>45705.461111111108</v>
      </c>
      <c r="L639" s="1" t="s">
        <v>18</v>
      </c>
      <c r="M639" s="1" t="str">
        <f>_xlfn.XLOOKUP(I639,Parâmetros!A:A,Parâmetros!B:B,_xlfn.XLOOKUP(Q639,Parâmetros!F:F,Parâmetros!G:G,"NOVA MENSAGEM"))</f>
        <v>CÓD. CLIENTE DIVERGENTE</v>
      </c>
      <c r="N639" s="1" t="str">
        <f>_xlfn.XLOOKUP(M639,Parâmetros!K:K,Parâmetros!L:L,"")</f>
        <v>CÓDIGO DIFERENTE DO CADASTRADO NO BENNER (CLIENTE X GRUPO)</v>
      </c>
      <c r="O639" s="1" t="str">
        <f>_xlfn.XLOOKUP(M639,Parâmetros!B:B,Parâmetros!C:C,_xlfn.XLOOKUP(Base!M666,Parâmetros!G:G,Parâmetros!H:H))</f>
        <v>QUALIDADE DOS DADOS</v>
      </c>
      <c r="P639" s="1" t="str">
        <f>_xlfn.XLOOKUP(I639,Parâmetros!A:A,Parâmetros!D:D,_xlfn.XLOOKUP(Q639,Parâmetros!F:F,Parâmetros!I:I))</f>
        <v>SUPORTE OBT</v>
      </c>
      <c r="Q639" s="1">
        <f t="shared" si="19"/>
        <v>1</v>
      </c>
    </row>
    <row r="640" spans="1:17" x14ac:dyDescent="0.25">
      <c r="A640" s="1" t="str">
        <f>_xlfn.XLOOKUP(D640,'Novo relatório'!B:B,'Novo relatório'!C:C,"RESOLVIDO")</f>
        <v>SABRE</v>
      </c>
      <c r="C640" t="str">
        <f t="shared" si="18"/>
        <v>PENDENTE</v>
      </c>
      <c r="D640" s="1">
        <v>3249601</v>
      </c>
      <c r="E640" s="1" t="s">
        <v>26</v>
      </c>
      <c r="F640" s="2">
        <v>45705.324305555558</v>
      </c>
      <c r="G640" s="1" t="s">
        <v>1201</v>
      </c>
      <c r="H640" s="1" t="s">
        <v>1200</v>
      </c>
      <c r="I640" s="1" t="s">
        <v>1202</v>
      </c>
      <c r="J640" s="2">
        <v>45705.461111111108</v>
      </c>
      <c r="L640" s="1" t="s">
        <v>18</v>
      </c>
      <c r="M640" s="1" t="str">
        <f>_xlfn.XLOOKUP(I640,Parâmetros!A:A,Parâmetros!B:B,_xlfn.XLOOKUP(Q640,Parâmetros!F:F,Parâmetros!G:G,"NOVA MENSAGEM"))</f>
        <v>CÓD. CLIENTE DIVERGENTE</v>
      </c>
      <c r="N640" s="1" t="str">
        <f>_xlfn.XLOOKUP(M640,Parâmetros!K:K,Parâmetros!L:L,"")</f>
        <v>CÓDIGO DIFERENTE DO CADASTRADO NO BENNER (CLIENTE X GRUPO)</v>
      </c>
      <c r="O640" s="1" t="str">
        <f>_xlfn.XLOOKUP(M640,Parâmetros!B:B,Parâmetros!C:C,_xlfn.XLOOKUP(Base!M667,Parâmetros!G:G,Parâmetros!H:H))</f>
        <v>QUALIDADE DOS DADOS</v>
      </c>
      <c r="P640" s="1" t="str">
        <f>_xlfn.XLOOKUP(I640,Parâmetros!A:A,Parâmetros!D:D,_xlfn.XLOOKUP(Q640,Parâmetros!F:F,Parâmetros!I:I))</f>
        <v>SUPORTE OBT</v>
      </c>
      <c r="Q640" s="1">
        <f t="shared" si="19"/>
        <v>1</v>
      </c>
    </row>
    <row r="641" spans="1:17" x14ac:dyDescent="0.25">
      <c r="A641" s="1" t="str">
        <f>_xlfn.XLOOKUP(D641,'Novo relatório'!B:B,'Novo relatório'!C:C,"RESOLVIDO")</f>
        <v>SABRE</v>
      </c>
      <c r="C641" t="str">
        <f t="shared" si="18"/>
        <v>PENDENTE</v>
      </c>
      <c r="D641" s="1">
        <v>3249761</v>
      </c>
      <c r="E641" s="1" t="s">
        <v>26</v>
      </c>
      <c r="F641" s="2">
        <v>45705.430555555555</v>
      </c>
      <c r="G641" s="1" t="s">
        <v>1137</v>
      </c>
      <c r="H641" s="1" t="s">
        <v>1137</v>
      </c>
      <c r="I641" s="1" t="s">
        <v>83</v>
      </c>
      <c r="J641" s="2">
        <v>45705.565972222219</v>
      </c>
      <c r="L641" s="1" t="s">
        <v>18</v>
      </c>
      <c r="M641" s="1" t="str">
        <f>_xlfn.XLOOKUP(I641,Parâmetros!A:A,Parâmetros!B:B,_xlfn.XLOOKUP(Q641,Parâmetros!F:F,Parâmetros!G:G,"NOVA MENSAGEM"))</f>
        <v>CLIENTE NÃO IDENTIFICADO</v>
      </c>
      <c r="N641" s="1" t="str">
        <f>_xlfn.XLOOKUP(M641,Parâmetros!K:K,Parâmetros!L:L,"")</f>
        <v>DK DE CLIENTE NÃO PREENCIDO / CLIENTE NÃO CONFIGURADO NO OBT</v>
      </c>
      <c r="O641" s="1" t="str">
        <f>_xlfn.XLOOKUP(M641,Parâmetros!B:B,Parâmetros!C:C,_xlfn.XLOOKUP(Base!M615,Parâmetros!G:G,Parâmetros!H:H))</f>
        <v>INDEFINIDO</v>
      </c>
      <c r="P641" s="1" t="str">
        <f>_xlfn.XLOOKUP(I641,Parâmetros!A:A,Parâmetros!D:D,_xlfn.XLOOKUP(Q641,Parâmetros!F:F,Parâmetros!I:I))</f>
        <v>OPERAÇÕES / SUPORTE KCS</v>
      </c>
      <c r="Q641" s="1" t="str">
        <f t="shared" si="19"/>
        <v>COLUNA I</v>
      </c>
    </row>
    <row r="642" spans="1:17" x14ac:dyDescent="0.25">
      <c r="A642" s="1" t="str">
        <f>_xlfn.XLOOKUP(D642,'Novo relatório'!B:B,'Novo relatório'!C:C,"RESOLVIDO")</f>
        <v>SABRE</v>
      </c>
      <c r="C642" t="str">
        <f t="shared" ref="C642:C705" si="20">IF(A642="RESOLVIDO","RESOLVIDO",IF(B642="","PENDENTE",IF(LEFT(B642,7)="CHAMADO","AGUARDANDO FORNECEDOR",IF(B642="CONTABILIZAR","CONTABILIZAR NO PORTAL"))))</f>
        <v>PENDENTE</v>
      </c>
      <c r="D642" s="1">
        <v>3250280</v>
      </c>
      <c r="E642" s="1" t="s">
        <v>26</v>
      </c>
      <c r="F642" s="2">
        <v>45709.395138888889</v>
      </c>
      <c r="G642" s="1" t="s">
        <v>1153</v>
      </c>
      <c r="H642" s="1" t="s">
        <v>1153</v>
      </c>
      <c r="I642" s="1" t="s">
        <v>652</v>
      </c>
      <c r="J642" s="2">
        <v>45705.63958333333</v>
      </c>
      <c r="K642" s="2">
        <v>45709.522222222222</v>
      </c>
      <c r="L642" s="1" t="s">
        <v>18</v>
      </c>
      <c r="M642" s="1" t="str">
        <f>_xlfn.XLOOKUP(I642,Parâmetros!A:A,Parâmetros!B:B,_xlfn.XLOOKUP(Q642,Parâmetros!F:F,Parâmetros!G:G,"NOVA MENSAGEM"))</f>
        <v>CÓD. CLIENTE DIVERGENTE</v>
      </c>
      <c r="N642" s="1" t="str">
        <f>_xlfn.XLOOKUP(M642,Parâmetros!K:K,Parâmetros!L:L,"")</f>
        <v>CÓDIGO DIFERENTE DO CADASTRADO NO BENNER (CLIENTE X GRUPO)</v>
      </c>
      <c r="O642" s="1" t="str">
        <f>_xlfn.XLOOKUP(M642,Parâmetros!B:B,Parâmetros!C:C,_xlfn.XLOOKUP(Base!M630,Parâmetros!G:G,Parâmetros!H:H))</f>
        <v>QUALIDADE DOS DADOS</v>
      </c>
      <c r="P642" s="1" t="str">
        <f>_xlfn.XLOOKUP(I642,Parâmetros!A:A,Parâmetros!D:D,_xlfn.XLOOKUP(Q642,Parâmetros!F:F,Parâmetros!I:I))</f>
        <v>SUPORTE OBT</v>
      </c>
      <c r="Q642" s="1">
        <f t="shared" ref="Q642:Q705" si="21">IFERROR(FIND("Não foi possível localizar o contrato do fornecedor",I642),IFERROR(FIND("veículo",I642),IFERROR(FIND("agagem",I642),IFERROR(FIND("error in XML document",I642),IFERROR(FIND("Não localizado cliente código",I642),IFERROR(FIND("lemontech",I642),IFERROR(FIND("&gt;Fornecedor com o",I642),IFERROR(FIND("INSERT",I642),IFERROR(FIND("com CNPJ",I642),IFERROR(FIND("Consultando Agente-&gt; O agente",I642),IFERROR(FIND("Não foi possível determinar a validade do cartão, favor verificar os dados do cartão",I642),"COLUNA I")))))))))))</f>
        <v>1</v>
      </c>
    </row>
    <row r="643" spans="1:17" x14ac:dyDescent="0.25">
      <c r="A643" s="1" t="str">
        <f>_xlfn.XLOOKUP(D643,'Novo relatório'!B:B,'Novo relatório'!C:C,"RESOLVIDO")</f>
        <v>SABRE</v>
      </c>
      <c r="C643" t="str">
        <f t="shared" si="20"/>
        <v>PENDENTE</v>
      </c>
      <c r="D643" s="1">
        <v>3250289</v>
      </c>
      <c r="E643" s="1" t="s">
        <v>26</v>
      </c>
      <c r="F643" s="2">
        <v>45705.503472222219</v>
      </c>
      <c r="G643" s="1" t="s">
        <v>1140</v>
      </c>
      <c r="H643" s="1" t="s">
        <v>1140</v>
      </c>
      <c r="I643" s="1" t="s">
        <v>620</v>
      </c>
      <c r="J643" s="2">
        <v>45705.640277777777</v>
      </c>
      <c r="L643" s="1" t="s">
        <v>18</v>
      </c>
      <c r="M643" s="1" t="str">
        <f>_xlfn.XLOOKUP(I643,Parâmetros!A:A,Parâmetros!B:B,_xlfn.XLOOKUP(Q643,Parâmetros!F:F,Parâmetros!G:G,"NOVA MENSAGEM"))</f>
        <v>CÓD. CLIENTE DIVERGENTE</v>
      </c>
      <c r="N643" s="1" t="str">
        <f>_xlfn.XLOOKUP(M643,Parâmetros!K:K,Parâmetros!L:L,"")</f>
        <v>CÓDIGO DIFERENTE DO CADASTRADO NO BENNER (CLIENTE X GRUPO)</v>
      </c>
      <c r="O643" s="1" t="str">
        <f>_xlfn.XLOOKUP(M643,Parâmetros!B:B,Parâmetros!C:C,_xlfn.XLOOKUP(Base!M618,Parâmetros!G:G,Parâmetros!H:H))</f>
        <v>QUALIDADE DOS DADOS</v>
      </c>
      <c r="P643" s="1" t="str">
        <f>_xlfn.XLOOKUP(I643,Parâmetros!A:A,Parâmetros!D:D,_xlfn.XLOOKUP(Q643,Parâmetros!F:F,Parâmetros!I:I))</f>
        <v>SUPORTE OBT</v>
      </c>
      <c r="Q643" s="1">
        <f t="shared" si="21"/>
        <v>1</v>
      </c>
    </row>
    <row r="644" spans="1:17" x14ac:dyDescent="0.25">
      <c r="A644" s="1" t="str">
        <f>_xlfn.XLOOKUP(D644,'Novo relatório'!B:B,'Novo relatório'!C:C,"RESOLVIDO")</f>
        <v>SABRE</v>
      </c>
      <c r="C644" t="str">
        <f t="shared" si="20"/>
        <v>PENDENTE</v>
      </c>
      <c r="D644" s="1">
        <v>3250291</v>
      </c>
      <c r="E644" s="1" t="s">
        <v>26</v>
      </c>
      <c r="F644" s="2">
        <v>45705.503472222219</v>
      </c>
      <c r="G644" s="1" t="s">
        <v>1206</v>
      </c>
      <c r="H644" s="1" t="s">
        <v>1206</v>
      </c>
      <c r="I644" s="1" t="s">
        <v>169</v>
      </c>
      <c r="J644" s="2">
        <v>45705.640972222223</v>
      </c>
      <c r="L644" s="1" t="s">
        <v>18</v>
      </c>
      <c r="M644" s="1" t="str">
        <f>_xlfn.XLOOKUP(I644,Parâmetros!A:A,Parâmetros!B:B,_xlfn.XLOOKUP(Q644,Parâmetros!F:F,Parâmetros!G:G,"NOVA MENSAGEM"))</f>
        <v>CÓD. CLIENTE DIVERGENTE</v>
      </c>
      <c r="N644" s="1" t="str">
        <f>_xlfn.XLOOKUP(M644,Parâmetros!K:K,Parâmetros!L:L,"")</f>
        <v>CÓDIGO DIFERENTE DO CADASTRADO NO BENNER (CLIENTE X GRUPO)</v>
      </c>
      <c r="O644" s="1" t="str">
        <f>_xlfn.XLOOKUP(M644,Parâmetros!B:B,Parâmetros!C:C,_xlfn.XLOOKUP(Base!M671,Parâmetros!G:G,Parâmetros!H:H))</f>
        <v>QUALIDADE DOS DADOS</v>
      </c>
      <c r="P644" s="1" t="str">
        <f>_xlfn.XLOOKUP(I644,Parâmetros!A:A,Parâmetros!D:D,_xlfn.XLOOKUP(Q644,Parâmetros!F:F,Parâmetros!I:I))</f>
        <v>SUPORTE OBT</v>
      </c>
      <c r="Q644" s="1">
        <f t="shared" si="21"/>
        <v>1</v>
      </c>
    </row>
    <row r="645" spans="1:17" x14ac:dyDescent="0.25">
      <c r="A645" s="1" t="str">
        <f>_xlfn.XLOOKUP(D645,'Novo relatório'!B:B,'Novo relatório'!C:C,"RESOLVIDO")</f>
        <v>SABRE</v>
      </c>
      <c r="C645" t="str">
        <f t="shared" si="20"/>
        <v>PENDENTE</v>
      </c>
      <c r="D645" s="1">
        <v>3250713</v>
      </c>
      <c r="E645" s="1" t="s">
        <v>26</v>
      </c>
      <c r="F645" s="2">
        <v>45706.380555555559</v>
      </c>
      <c r="G645" s="1" t="s">
        <v>1133</v>
      </c>
      <c r="H645" s="1" t="s">
        <v>1133</v>
      </c>
      <c r="I645" s="1" t="s">
        <v>1134</v>
      </c>
      <c r="J645" s="2">
        <v>45705.753472222219</v>
      </c>
      <c r="K645" s="2">
        <v>45706.513194444444</v>
      </c>
      <c r="L645" s="1" t="s">
        <v>18</v>
      </c>
      <c r="M645" s="1" t="str">
        <f>_xlfn.XLOOKUP(I645,Parâmetros!A:A,Parâmetros!B:B,_xlfn.XLOOKUP(Q645,Parâmetros!F:F,Parâmetros!G:G,"NOVA MENSAGEM"))</f>
        <v>CÓD. CLIENTE DIVERGENTE</v>
      </c>
      <c r="N645" s="1" t="str">
        <f>_xlfn.XLOOKUP(M645,Parâmetros!K:K,Parâmetros!L:L,"")</f>
        <v>CÓDIGO DIFERENTE DO CADASTRADO NO BENNER (CLIENTE X GRUPO)</v>
      </c>
      <c r="O645" s="1" t="str">
        <f>_xlfn.XLOOKUP(M645,Parâmetros!B:B,Parâmetros!C:C,_xlfn.XLOOKUP(Base!M613,Parâmetros!G:G,Parâmetros!H:H))</f>
        <v>QUALIDADE DOS DADOS</v>
      </c>
      <c r="P645" s="1" t="str">
        <f>_xlfn.XLOOKUP(I645,Parâmetros!A:A,Parâmetros!D:D,_xlfn.XLOOKUP(Q645,Parâmetros!F:F,Parâmetros!I:I))</f>
        <v>SUPORTE OBT</v>
      </c>
      <c r="Q645" s="1">
        <f t="shared" si="21"/>
        <v>1</v>
      </c>
    </row>
    <row r="646" spans="1:17" x14ac:dyDescent="0.25">
      <c r="A646" s="1" t="str">
        <f>_xlfn.XLOOKUP(D646,'Novo relatório'!B:B,'Novo relatório'!C:C,"RESOLVIDO")</f>
        <v>SABRE</v>
      </c>
      <c r="C646" t="str">
        <f t="shared" si="20"/>
        <v>PENDENTE</v>
      </c>
      <c r="D646" s="1">
        <v>3250730</v>
      </c>
      <c r="E646" s="1" t="s">
        <v>26</v>
      </c>
      <c r="F646" s="2">
        <v>45705.620833333334</v>
      </c>
      <c r="G646" s="1" t="s">
        <v>1070</v>
      </c>
      <c r="H646" s="1" t="s">
        <v>1070</v>
      </c>
      <c r="I646" s="1" t="s">
        <v>83</v>
      </c>
      <c r="J646" s="2">
        <v>45705.755555555559</v>
      </c>
      <c r="L646" s="1" t="s">
        <v>18</v>
      </c>
      <c r="M646" s="1" t="str">
        <f>_xlfn.XLOOKUP(I646,Parâmetros!A:A,Parâmetros!B:B,_xlfn.XLOOKUP(Q646,Parâmetros!F:F,Parâmetros!G:G,"NOVA MENSAGEM"))</f>
        <v>CLIENTE NÃO IDENTIFICADO</v>
      </c>
      <c r="N646" s="1" t="str">
        <f>_xlfn.XLOOKUP(M646,Parâmetros!K:K,Parâmetros!L:L,"")</f>
        <v>DK DE CLIENTE NÃO PREENCIDO / CLIENTE NÃO CONFIGURADO NO OBT</v>
      </c>
      <c r="O646" s="1" t="str">
        <f>_xlfn.XLOOKUP(M646,Parâmetros!B:B,Parâmetros!C:C,_xlfn.XLOOKUP(Base!M564,Parâmetros!G:G,Parâmetros!H:H))</f>
        <v>INDEFINIDO</v>
      </c>
      <c r="P646" s="1" t="str">
        <f>_xlfn.XLOOKUP(I646,Parâmetros!A:A,Parâmetros!D:D,_xlfn.XLOOKUP(Q646,Parâmetros!F:F,Parâmetros!I:I))</f>
        <v>OPERAÇÕES / SUPORTE KCS</v>
      </c>
      <c r="Q646" s="1" t="str">
        <f t="shared" si="21"/>
        <v>COLUNA I</v>
      </c>
    </row>
    <row r="647" spans="1:17" x14ac:dyDescent="0.25">
      <c r="A647" s="1" t="str">
        <f>_xlfn.XLOOKUP(D647,'Novo relatório'!B:B,'Novo relatório'!C:C,"RESOLVIDO")</f>
        <v>SABRE</v>
      </c>
      <c r="C647" t="str">
        <f t="shared" si="20"/>
        <v>PENDENTE</v>
      </c>
      <c r="D647" s="1">
        <v>3250754</v>
      </c>
      <c r="E647" s="1" t="s">
        <v>26</v>
      </c>
      <c r="F647" s="2">
        <v>45705.645138888889</v>
      </c>
      <c r="G647" s="1" t="s">
        <v>1175</v>
      </c>
      <c r="H647" s="1" t="s">
        <v>1175</v>
      </c>
      <c r="I647" s="1" t="s">
        <v>692</v>
      </c>
      <c r="J647" s="2">
        <v>45705.775694444441</v>
      </c>
      <c r="L647" s="1" t="s">
        <v>18</v>
      </c>
      <c r="M647" s="1" t="str">
        <f>_xlfn.XLOOKUP(I647,Parâmetros!A:A,Parâmetros!B:B,_xlfn.XLOOKUP(Q647,Parâmetros!F:F,Parâmetros!G:G,"NOVA MENSAGEM"))</f>
        <v>REMARK - CNPJ</v>
      </c>
      <c r="N647" s="1" t="str">
        <f>_xlfn.XLOOKUP(M647,Parâmetros!K:K,Parâmetros!L:L,"")</f>
        <v/>
      </c>
      <c r="O647" s="1" t="e">
        <f>_xlfn.XLOOKUP(M647,Parâmetros!B:B,Parâmetros!C:C,_xlfn.XLOOKUP(Base!M646,Parâmetros!G:G,Parâmetros!H:H))</f>
        <v>#N/A</v>
      </c>
      <c r="P647" s="1" t="str">
        <f>_xlfn.XLOOKUP(I647,Parâmetros!A:A,Parâmetros!D:D,_xlfn.XLOOKUP(Q647,Parâmetros!F:F,Parâmetros!I:I))</f>
        <v>OPERAÇÕES / SUPORTE KCS</v>
      </c>
      <c r="Q647" s="1">
        <f t="shared" si="21"/>
        <v>24</v>
      </c>
    </row>
    <row r="648" spans="1:17" x14ac:dyDescent="0.25">
      <c r="A648" s="1" t="str">
        <f>_xlfn.XLOOKUP(D648,'Novo relatório'!B:B,'Novo relatório'!C:C,"RESOLVIDO")</f>
        <v>SABRE</v>
      </c>
      <c r="C648" t="str">
        <f t="shared" si="20"/>
        <v>PENDENTE</v>
      </c>
      <c r="D648" s="1">
        <v>3250768</v>
      </c>
      <c r="E648" s="1" t="s">
        <v>26</v>
      </c>
      <c r="F648" s="2">
        <v>45705.65347222222</v>
      </c>
      <c r="G648" s="1" t="s">
        <v>1196</v>
      </c>
      <c r="H648" s="1" t="s">
        <v>1196</v>
      </c>
      <c r="I648" s="1" t="s">
        <v>692</v>
      </c>
      <c r="J648" s="2">
        <v>45705.786805555559</v>
      </c>
      <c r="L648" s="1" t="s">
        <v>18</v>
      </c>
      <c r="M648" s="1" t="str">
        <f>_xlfn.XLOOKUP(I648,Parâmetros!A:A,Parâmetros!B:B,_xlfn.XLOOKUP(Q648,Parâmetros!F:F,Parâmetros!G:G,"NOVA MENSAGEM"))</f>
        <v>REMARK - CNPJ</v>
      </c>
      <c r="N648" s="1" t="str">
        <f>_xlfn.XLOOKUP(M648,Parâmetros!K:K,Parâmetros!L:L,"")</f>
        <v/>
      </c>
      <c r="O648" s="1" t="e">
        <f>_xlfn.XLOOKUP(M648,Parâmetros!B:B,Parâmetros!C:C,_xlfn.XLOOKUP(Base!M662,Parâmetros!G:G,Parâmetros!H:H))</f>
        <v>#N/A</v>
      </c>
      <c r="P648" s="1" t="str">
        <f>_xlfn.XLOOKUP(I648,Parâmetros!A:A,Parâmetros!D:D,_xlfn.XLOOKUP(Q648,Parâmetros!F:F,Parâmetros!I:I))</f>
        <v>OPERAÇÕES / SUPORTE KCS</v>
      </c>
      <c r="Q648" s="1">
        <f t="shared" si="21"/>
        <v>24</v>
      </c>
    </row>
    <row r="649" spans="1:17" x14ac:dyDescent="0.25">
      <c r="A649" s="1" t="str">
        <f>_xlfn.XLOOKUP(D649,'Novo relatório'!B:B,'Novo relatório'!C:C,"RESOLVIDO")</f>
        <v>SABRE</v>
      </c>
      <c r="C649" t="str">
        <f t="shared" si="20"/>
        <v>PENDENTE</v>
      </c>
      <c r="D649" s="1">
        <v>3250769</v>
      </c>
      <c r="E649" s="1" t="s">
        <v>26</v>
      </c>
      <c r="F649" s="2">
        <v>45705.65347222222</v>
      </c>
      <c r="G649" s="1" t="s">
        <v>1197</v>
      </c>
      <c r="H649" s="1" t="s">
        <v>1196</v>
      </c>
      <c r="I649" s="1" t="s">
        <v>898</v>
      </c>
      <c r="J649" s="2">
        <v>45705.786805555559</v>
      </c>
      <c r="L649" s="1" t="s">
        <v>18</v>
      </c>
      <c r="M649" s="1" t="str">
        <f>_xlfn.XLOOKUP(I649,Parâmetros!A:A,Parâmetros!B:B,_xlfn.XLOOKUP(Q649,Parâmetros!F:F,Parâmetros!G:G,"NOVA MENSAGEM"))</f>
        <v>REMARK - CNPJ</v>
      </c>
      <c r="N649" s="1" t="str">
        <f>_xlfn.XLOOKUP(M649,Parâmetros!K:K,Parâmetros!L:L,"")</f>
        <v/>
      </c>
      <c r="O649" s="1" t="e">
        <f>_xlfn.XLOOKUP(M649,Parâmetros!B:B,Parâmetros!C:C,_xlfn.XLOOKUP(Base!M663,Parâmetros!G:G,Parâmetros!H:H))</f>
        <v>#N/A</v>
      </c>
      <c r="P649" s="1" t="str">
        <f>_xlfn.XLOOKUP(I649,Parâmetros!A:A,Parâmetros!D:D,_xlfn.XLOOKUP(Q649,Parâmetros!F:F,Parâmetros!I:I))</f>
        <v>OPERAÇÕES / SUPORTE KCS</v>
      </c>
      <c r="Q649" s="1">
        <f t="shared" si="21"/>
        <v>24</v>
      </c>
    </row>
    <row r="650" spans="1:17" x14ac:dyDescent="0.25">
      <c r="A650" s="1" t="str">
        <f>_xlfn.XLOOKUP(D650,'Novo relatório'!B:B,'Novo relatório'!C:C,"RESOLVIDO")</f>
        <v>SABRE</v>
      </c>
      <c r="C650" t="str">
        <f t="shared" si="20"/>
        <v>PENDENTE</v>
      </c>
      <c r="D650" s="1">
        <v>3250791</v>
      </c>
      <c r="E650" s="1" t="s">
        <v>26</v>
      </c>
      <c r="F650" s="2">
        <v>45705.659722222219</v>
      </c>
      <c r="G650" s="1" t="s">
        <v>1142</v>
      </c>
      <c r="H650" s="1" t="s">
        <v>1142</v>
      </c>
      <c r="I650" s="1" t="s">
        <v>865</v>
      </c>
      <c r="J650" s="2">
        <v>45705.79583333333</v>
      </c>
      <c r="L650" s="1" t="s">
        <v>18</v>
      </c>
      <c r="M650" s="1" t="str">
        <f>_xlfn.XLOOKUP(I650,Parâmetros!A:A,Parâmetros!B:B,_xlfn.XLOOKUP(Q650,Parâmetros!F:F,Parâmetros!G:G,"NOVA MENSAGEM"))</f>
        <v>REMARK - CNPJ</v>
      </c>
      <c r="N650" s="1" t="str">
        <f>_xlfn.XLOOKUP(M650,Parâmetros!K:K,Parâmetros!L:L,"")</f>
        <v/>
      </c>
      <c r="O650" s="1" t="str">
        <f>_xlfn.XLOOKUP(M650,Parâmetros!B:B,Parâmetros!C:C,_xlfn.XLOOKUP(Base!M620,Parâmetros!G:G,Parâmetros!H:H))</f>
        <v>QUALIDADE DOS DADOS</v>
      </c>
      <c r="P650" s="1" t="str">
        <f>_xlfn.XLOOKUP(I650,Parâmetros!A:A,Parâmetros!D:D,_xlfn.XLOOKUP(Q650,Parâmetros!F:F,Parâmetros!I:I))</f>
        <v>OPERAÇÕES / SUPORTE KCS</v>
      </c>
      <c r="Q650" s="1">
        <f t="shared" si="21"/>
        <v>24</v>
      </c>
    </row>
    <row r="651" spans="1:17" x14ac:dyDescent="0.25">
      <c r="A651" s="1" t="str">
        <f>_xlfn.XLOOKUP(D651,'Novo relatório'!B:B,'Novo relatório'!C:C,"RESOLVIDO")</f>
        <v>SABRE</v>
      </c>
      <c r="C651" t="str">
        <f t="shared" si="20"/>
        <v>PENDENTE</v>
      </c>
      <c r="D651" s="1">
        <v>3250792</v>
      </c>
      <c r="E651" s="1" t="s">
        <v>26</v>
      </c>
      <c r="F651" s="2">
        <v>45705.659722222219</v>
      </c>
      <c r="G651" s="1" t="s">
        <v>1145</v>
      </c>
      <c r="H651" s="1" t="s">
        <v>1142</v>
      </c>
      <c r="I651" s="1" t="s">
        <v>867</v>
      </c>
      <c r="J651" s="2">
        <v>45705.796527777777</v>
      </c>
      <c r="L651" s="1" t="s">
        <v>18</v>
      </c>
      <c r="M651" s="1" t="str">
        <f>_xlfn.XLOOKUP(I651,Parâmetros!A:A,Parâmetros!B:B,_xlfn.XLOOKUP(Q651,Parâmetros!F:F,Parâmetros!G:G,"NOVA MENSAGEM"))</f>
        <v>REMARK - CNPJ</v>
      </c>
      <c r="N651" s="1" t="str">
        <f>_xlfn.XLOOKUP(M651,Parâmetros!K:K,Parâmetros!L:L,"")</f>
        <v/>
      </c>
      <c r="O651" s="1" t="e">
        <f>_xlfn.XLOOKUP(M651,Parâmetros!B:B,Parâmetros!C:C,_xlfn.XLOOKUP(Base!M622,Parâmetros!G:G,Parâmetros!H:H))</f>
        <v>#N/A</v>
      </c>
      <c r="P651" s="1" t="str">
        <f>_xlfn.XLOOKUP(I651,Parâmetros!A:A,Parâmetros!D:D,_xlfn.XLOOKUP(Q651,Parâmetros!F:F,Parâmetros!I:I))</f>
        <v>OPERAÇÕES / SUPORTE KCS</v>
      </c>
      <c r="Q651" s="1">
        <f t="shared" si="21"/>
        <v>24</v>
      </c>
    </row>
    <row r="652" spans="1:17" x14ac:dyDescent="0.25">
      <c r="A652" s="1" t="str">
        <f>_xlfn.XLOOKUP(D652,'Novo relatório'!B:B,'Novo relatório'!C:C,"RESOLVIDO")</f>
        <v>SABRE</v>
      </c>
      <c r="C652" t="str">
        <f t="shared" si="20"/>
        <v>PENDENTE</v>
      </c>
      <c r="D652" s="1">
        <v>3250793</v>
      </c>
      <c r="E652" s="1" t="s">
        <v>26</v>
      </c>
      <c r="F652" s="2">
        <v>45705.659722222219</v>
      </c>
      <c r="G652" s="1" t="s">
        <v>1143</v>
      </c>
      <c r="H652" s="1" t="s">
        <v>1142</v>
      </c>
      <c r="I652" s="1" t="s">
        <v>1144</v>
      </c>
      <c r="J652" s="2">
        <v>45705.796527777777</v>
      </c>
      <c r="L652" s="1" t="s">
        <v>18</v>
      </c>
      <c r="M652" s="1" t="str">
        <f>_xlfn.XLOOKUP(I652,Parâmetros!A:A,Parâmetros!B:B,_xlfn.XLOOKUP(Q652,Parâmetros!F:F,Parâmetros!G:G,"NOVA MENSAGEM"))</f>
        <v>REMARK - CNPJ</v>
      </c>
      <c r="N652" s="1" t="str">
        <f>_xlfn.XLOOKUP(M652,Parâmetros!K:K,Parâmetros!L:L,"")</f>
        <v/>
      </c>
      <c r="O652" s="1" t="e">
        <f>_xlfn.XLOOKUP(M652,Parâmetros!B:B,Parâmetros!C:C,_xlfn.XLOOKUP(Base!M621,Parâmetros!G:G,Parâmetros!H:H))</f>
        <v>#N/A</v>
      </c>
      <c r="P652" s="1" t="str">
        <f>_xlfn.XLOOKUP(I652,Parâmetros!A:A,Parâmetros!D:D,_xlfn.XLOOKUP(Q652,Parâmetros!F:F,Parâmetros!I:I))</f>
        <v>OPERAÇÕES / SUPORTE KCS</v>
      </c>
      <c r="Q652" s="1">
        <f t="shared" si="21"/>
        <v>24</v>
      </c>
    </row>
    <row r="653" spans="1:17" x14ac:dyDescent="0.25">
      <c r="A653" s="1" t="str">
        <f>_xlfn.XLOOKUP(D653,'Novo relatório'!B:B,'Novo relatório'!C:C,"RESOLVIDO")</f>
        <v>SABRE</v>
      </c>
      <c r="C653" t="str">
        <f t="shared" si="20"/>
        <v>PENDENTE</v>
      </c>
      <c r="D653" s="1">
        <v>3251407</v>
      </c>
      <c r="E653" s="1" t="s">
        <v>26</v>
      </c>
      <c r="F653" s="2">
        <v>45706.318749999999</v>
      </c>
      <c r="G653" s="1" t="s">
        <v>1151</v>
      </c>
      <c r="H653" s="1" t="s">
        <v>1151</v>
      </c>
      <c r="I653" s="1" t="s">
        <v>829</v>
      </c>
      <c r="J653" s="2">
        <v>45705.898611111108</v>
      </c>
      <c r="K653" s="2">
        <v>45706.450694444444</v>
      </c>
      <c r="L653" s="1" t="s">
        <v>18</v>
      </c>
      <c r="M653" s="1" t="str">
        <f>_xlfn.XLOOKUP(I653,Parâmetros!A:A,Parâmetros!B:B,_xlfn.XLOOKUP(Q653,Parâmetros!F:F,Parâmetros!G:G,"NOVA MENSAGEM"))</f>
        <v>REMARK - CNPJ</v>
      </c>
      <c r="N653" s="1" t="str">
        <f>_xlfn.XLOOKUP(M653,Parâmetros!K:K,Parâmetros!L:L,"")</f>
        <v/>
      </c>
      <c r="O653" s="1" t="str">
        <f>_xlfn.XLOOKUP(M653,Parâmetros!B:B,Parâmetros!C:C,_xlfn.XLOOKUP(Base!M628,Parâmetros!G:G,Parâmetros!H:H))</f>
        <v>QUALIDADE DOS DADOS</v>
      </c>
      <c r="P653" s="1" t="str">
        <f>_xlfn.XLOOKUP(I653,Parâmetros!A:A,Parâmetros!D:D,_xlfn.XLOOKUP(Q653,Parâmetros!F:F,Parâmetros!I:I))</f>
        <v>OPERAÇÕES / SUPORTE KCS</v>
      </c>
      <c r="Q653" s="1">
        <f t="shared" si="21"/>
        <v>24</v>
      </c>
    </row>
    <row r="654" spans="1:17" x14ac:dyDescent="0.25">
      <c r="A654" s="1" t="str">
        <f>_xlfn.XLOOKUP(D654,'Novo relatório'!B:B,'Novo relatório'!C:C,"RESOLVIDO")</f>
        <v>SABRE</v>
      </c>
      <c r="C654" t="str">
        <f t="shared" si="20"/>
        <v>PENDENTE</v>
      </c>
      <c r="D654" s="1">
        <v>3251413</v>
      </c>
      <c r="E654" s="1" t="s">
        <v>26</v>
      </c>
      <c r="F654" s="2">
        <v>45706.319444444445</v>
      </c>
      <c r="G654" s="1" t="s">
        <v>1150</v>
      </c>
      <c r="H654" s="1" t="s">
        <v>1150</v>
      </c>
      <c r="I654" s="1" t="s">
        <v>829</v>
      </c>
      <c r="J654" s="2">
        <v>45705.898611111108</v>
      </c>
      <c r="K654" s="2">
        <v>45706.450694444444</v>
      </c>
      <c r="L654" s="1" t="s">
        <v>18</v>
      </c>
      <c r="M654" s="1" t="str">
        <f>_xlfn.XLOOKUP(I654,Parâmetros!A:A,Parâmetros!B:B,_xlfn.XLOOKUP(Q654,Parâmetros!F:F,Parâmetros!G:G,"NOVA MENSAGEM"))</f>
        <v>REMARK - CNPJ</v>
      </c>
      <c r="N654" s="1" t="str">
        <f>_xlfn.XLOOKUP(M654,Parâmetros!K:K,Parâmetros!L:L,"")</f>
        <v/>
      </c>
      <c r="O654" s="1" t="e">
        <f>_xlfn.XLOOKUP(M654,Parâmetros!B:B,Parâmetros!C:C,_xlfn.XLOOKUP(Base!M627,Parâmetros!G:G,Parâmetros!H:H))</f>
        <v>#N/A</v>
      </c>
      <c r="P654" s="1" t="str">
        <f>_xlfn.XLOOKUP(I654,Parâmetros!A:A,Parâmetros!D:D,_xlfn.XLOOKUP(Q654,Parâmetros!F:F,Parâmetros!I:I))</f>
        <v>OPERAÇÕES / SUPORTE KCS</v>
      </c>
      <c r="Q654" s="1">
        <f t="shared" si="21"/>
        <v>24</v>
      </c>
    </row>
    <row r="655" spans="1:17" x14ac:dyDescent="0.25">
      <c r="A655" s="1" t="str">
        <f>_xlfn.XLOOKUP(D655,'Novo relatório'!B:B,'Novo relatório'!C:C,"RESOLVIDO")</f>
        <v>SABRE</v>
      </c>
      <c r="C655" t="str">
        <f t="shared" si="20"/>
        <v>PENDENTE</v>
      </c>
      <c r="D655" s="1">
        <v>3251422</v>
      </c>
      <c r="E655" s="1" t="s">
        <v>26</v>
      </c>
      <c r="F655" s="2">
        <v>45706.319444444445</v>
      </c>
      <c r="G655" s="1" t="s">
        <v>1058</v>
      </c>
      <c r="H655" s="1" t="s">
        <v>1058</v>
      </c>
      <c r="I655" s="1" t="s">
        <v>1059</v>
      </c>
      <c r="J655" s="2">
        <v>45705.899305555555</v>
      </c>
      <c r="K655" s="2">
        <v>45706.451388888891</v>
      </c>
      <c r="L655" s="1" t="s">
        <v>18</v>
      </c>
      <c r="M655" s="1" t="str">
        <f>_xlfn.XLOOKUP(I655,Parâmetros!A:A,Parâmetros!B:B,_xlfn.XLOOKUP(Q655,Parâmetros!F:F,Parâmetros!G:G,"NOVA MENSAGEM"))</f>
        <v>REMARK - CNPJ</v>
      </c>
      <c r="N655" s="1" t="str">
        <f>_xlfn.XLOOKUP(M655,Parâmetros!K:K,Parâmetros!L:L,"")</f>
        <v/>
      </c>
      <c r="O655" s="1" t="e">
        <f>_xlfn.XLOOKUP(M655,Parâmetros!B:B,Parâmetros!C:C,_xlfn.XLOOKUP(Base!M556,Parâmetros!G:G,Parâmetros!H:H))</f>
        <v>#N/A</v>
      </c>
      <c r="P655" s="1" t="str">
        <f>_xlfn.XLOOKUP(I655,Parâmetros!A:A,Parâmetros!D:D,_xlfn.XLOOKUP(Q655,Parâmetros!F:F,Parâmetros!I:I))</f>
        <v>OPERAÇÕES / SUPORTE KCS</v>
      </c>
      <c r="Q655" s="1">
        <f t="shared" si="21"/>
        <v>24</v>
      </c>
    </row>
    <row r="656" spans="1:17" x14ac:dyDescent="0.25">
      <c r="A656" s="1" t="str">
        <f>_xlfn.XLOOKUP(D656,'Novo relatório'!B:B,'Novo relatório'!C:C,"RESOLVIDO")</f>
        <v>SABRE</v>
      </c>
      <c r="C656" t="str">
        <f t="shared" si="20"/>
        <v>PENDENTE</v>
      </c>
      <c r="D656" s="1">
        <v>3251425</v>
      </c>
      <c r="E656" s="1" t="s">
        <v>26</v>
      </c>
      <c r="F656" s="2">
        <v>45713.268750000003</v>
      </c>
      <c r="G656" s="1" t="s">
        <v>1103</v>
      </c>
      <c r="H656" s="1" t="s">
        <v>1103</v>
      </c>
      <c r="I656" s="1" t="s">
        <v>1054</v>
      </c>
      <c r="J656" s="2">
        <v>45705.899305555555</v>
      </c>
      <c r="K656" s="2">
        <v>45713.408333333333</v>
      </c>
      <c r="L656" s="1" t="s">
        <v>18</v>
      </c>
      <c r="M656" s="1" t="str">
        <f>_xlfn.XLOOKUP(I656,Parâmetros!A:A,Parâmetros!B:B,_xlfn.XLOOKUP(Q656,Parâmetros!F:F,Parâmetros!G:G,"NOVA MENSAGEM"))</f>
        <v>CÓD. CLIENTE DIVERGENTE</v>
      </c>
      <c r="N656" s="1" t="str">
        <f>_xlfn.XLOOKUP(M656,Parâmetros!K:K,Parâmetros!L:L,"")</f>
        <v>CÓDIGO DIFERENTE DO CADASTRADO NO BENNER (CLIENTE X GRUPO)</v>
      </c>
      <c r="O656" s="1" t="str">
        <f>_xlfn.XLOOKUP(M656,Parâmetros!B:B,Parâmetros!C:C,_xlfn.XLOOKUP(Base!M590,Parâmetros!G:G,Parâmetros!H:H))</f>
        <v>QUALIDADE DOS DADOS</v>
      </c>
      <c r="P656" s="1" t="str">
        <f>_xlfn.XLOOKUP(I656,Parâmetros!A:A,Parâmetros!D:D,_xlfn.XLOOKUP(Q656,Parâmetros!F:F,Parâmetros!I:I))</f>
        <v>SUPORTE OBT</v>
      </c>
      <c r="Q656" s="1">
        <f t="shared" si="21"/>
        <v>1</v>
      </c>
    </row>
    <row r="657" spans="1:17" x14ac:dyDescent="0.25">
      <c r="A657" s="1" t="str">
        <f>_xlfn.XLOOKUP(D657,'Novo relatório'!B:B,'Novo relatório'!C:C,"RESOLVIDO")</f>
        <v>SABRE</v>
      </c>
      <c r="C657" t="str">
        <f t="shared" si="20"/>
        <v>PENDENTE</v>
      </c>
      <c r="D657" s="1">
        <v>3251436</v>
      </c>
      <c r="E657" s="1" t="s">
        <v>26</v>
      </c>
      <c r="F657" s="2">
        <v>45706.319444444445</v>
      </c>
      <c r="G657" s="1" t="s">
        <v>1226</v>
      </c>
      <c r="H657" s="1" t="s">
        <v>1226</v>
      </c>
      <c r="I657" s="1" t="s">
        <v>1059</v>
      </c>
      <c r="J657" s="2">
        <v>45705.9</v>
      </c>
      <c r="K657" s="2">
        <v>45706.451388888891</v>
      </c>
      <c r="L657" s="1" t="s">
        <v>18</v>
      </c>
      <c r="M657" s="1" t="str">
        <f>_xlfn.XLOOKUP(I657,Parâmetros!A:A,Parâmetros!B:B,_xlfn.XLOOKUP(Q657,Parâmetros!F:F,Parâmetros!G:G,"NOVA MENSAGEM"))</f>
        <v>REMARK - CNPJ</v>
      </c>
      <c r="N657" s="1" t="str">
        <f>_xlfn.XLOOKUP(M657,Parâmetros!K:K,Parâmetros!L:L,"")</f>
        <v/>
      </c>
      <c r="O657" s="1" t="e">
        <f>_xlfn.XLOOKUP(M657,Parâmetros!B:B,Parâmetros!C:C,_xlfn.XLOOKUP(Base!M684,Parâmetros!G:G,Parâmetros!H:H))</f>
        <v>#N/A</v>
      </c>
      <c r="P657" s="1" t="str">
        <f>_xlfn.XLOOKUP(I657,Parâmetros!A:A,Parâmetros!D:D,_xlfn.XLOOKUP(Q657,Parâmetros!F:F,Parâmetros!I:I))</f>
        <v>OPERAÇÕES / SUPORTE KCS</v>
      </c>
      <c r="Q657" s="1">
        <f t="shared" si="21"/>
        <v>24</v>
      </c>
    </row>
    <row r="658" spans="1:17" x14ac:dyDescent="0.25">
      <c r="A658" s="1" t="str">
        <f>_xlfn.XLOOKUP(D658,'Novo relatório'!B:B,'Novo relatório'!C:C,"RESOLVIDO")</f>
        <v>SABRE</v>
      </c>
      <c r="C658" t="str">
        <f t="shared" si="20"/>
        <v>PENDENTE</v>
      </c>
      <c r="D658" s="1">
        <v>3251452</v>
      </c>
      <c r="E658" s="1" t="s">
        <v>26</v>
      </c>
      <c r="F658" s="2">
        <v>45705.770138888889</v>
      </c>
      <c r="G658" s="1" t="s">
        <v>1055</v>
      </c>
      <c r="H658" s="1" t="s">
        <v>1055</v>
      </c>
      <c r="I658" s="1" t="s">
        <v>83</v>
      </c>
      <c r="J658" s="2">
        <v>45705.900694444441</v>
      </c>
      <c r="L658" s="1" t="s">
        <v>18</v>
      </c>
      <c r="M658" s="1" t="str">
        <f>_xlfn.XLOOKUP(I658,Parâmetros!A:A,Parâmetros!B:B,_xlfn.XLOOKUP(Q658,Parâmetros!F:F,Parâmetros!G:G,"NOVA MENSAGEM"))</f>
        <v>CLIENTE NÃO IDENTIFICADO</v>
      </c>
      <c r="N658" s="1" t="str">
        <f>_xlfn.XLOOKUP(M658,Parâmetros!K:K,Parâmetros!L:L,"")</f>
        <v>DK DE CLIENTE NÃO PREENCIDO / CLIENTE NÃO CONFIGURADO NO OBT</v>
      </c>
      <c r="O658" s="1" t="str">
        <f>_xlfn.XLOOKUP(M658,Parâmetros!B:B,Parâmetros!C:C,_xlfn.XLOOKUP(Base!M554,Parâmetros!G:G,Parâmetros!H:H))</f>
        <v>INDEFINIDO</v>
      </c>
      <c r="P658" s="1" t="str">
        <f>_xlfn.XLOOKUP(I658,Parâmetros!A:A,Parâmetros!D:D,_xlfn.XLOOKUP(Q658,Parâmetros!F:F,Parâmetros!I:I))</f>
        <v>OPERAÇÕES / SUPORTE KCS</v>
      </c>
      <c r="Q658" s="1" t="str">
        <f t="shared" si="21"/>
        <v>COLUNA I</v>
      </c>
    </row>
    <row r="659" spans="1:17" x14ac:dyDescent="0.25">
      <c r="A659" s="1" t="str">
        <f>_xlfn.XLOOKUP(D659,'Novo relatório'!B:B,'Novo relatório'!C:C,"RESOLVIDO")</f>
        <v>SABRE</v>
      </c>
      <c r="C659" t="str">
        <f t="shared" si="20"/>
        <v>PENDENTE</v>
      </c>
      <c r="D659" s="1">
        <v>3251454</v>
      </c>
      <c r="E659" s="1" t="s">
        <v>26</v>
      </c>
      <c r="F659" s="2">
        <v>45705.770138888889</v>
      </c>
      <c r="G659" s="1" t="s">
        <v>1113</v>
      </c>
      <c r="H659" s="1" t="s">
        <v>1113</v>
      </c>
      <c r="I659" s="1" t="s">
        <v>1114</v>
      </c>
      <c r="J659" s="2">
        <v>45705.900694444441</v>
      </c>
      <c r="L659" s="1" t="s">
        <v>18</v>
      </c>
      <c r="M659" s="1" t="str">
        <f>_xlfn.XLOOKUP(I659,Parâmetros!A:A,Parâmetros!B:B,_xlfn.XLOOKUP(Q659,Parâmetros!F:F,Parâmetros!G:G,"NOVA MENSAGEM"))</f>
        <v>CÓD. CLIENTE DIVERGENTE</v>
      </c>
      <c r="N659" s="1" t="str">
        <f>_xlfn.XLOOKUP(M659,Parâmetros!K:K,Parâmetros!L:L,"")</f>
        <v>CÓDIGO DIFERENTE DO CADASTRADO NO BENNER (CLIENTE X GRUPO)</v>
      </c>
      <c r="O659" s="1" t="str">
        <f>_xlfn.XLOOKUP(M659,Parâmetros!B:B,Parâmetros!C:C,_xlfn.XLOOKUP(Base!M598,Parâmetros!G:G,Parâmetros!H:H))</f>
        <v>QUALIDADE DOS DADOS</v>
      </c>
      <c r="P659" s="1" t="str">
        <f>_xlfn.XLOOKUP(I659,Parâmetros!A:A,Parâmetros!D:D,_xlfn.XLOOKUP(Q659,Parâmetros!F:F,Parâmetros!I:I))</f>
        <v>SUPORTE OBT</v>
      </c>
      <c r="Q659" s="1">
        <f t="shared" si="21"/>
        <v>1</v>
      </c>
    </row>
    <row r="660" spans="1:17" x14ac:dyDescent="0.25">
      <c r="A660" s="1" t="str">
        <f>_xlfn.XLOOKUP(D660,'Novo relatório'!B:B,'Novo relatório'!C:C,"RESOLVIDO")</f>
        <v>SABRE</v>
      </c>
      <c r="C660" t="str">
        <f t="shared" si="20"/>
        <v>PENDENTE</v>
      </c>
      <c r="D660" s="1">
        <v>3252768</v>
      </c>
      <c r="E660" s="1" t="s">
        <v>26</v>
      </c>
      <c r="F660" s="2">
        <v>45706.35833333333</v>
      </c>
      <c r="G660" s="1" t="s">
        <v>1161</v>
      </c>
      <c r="H660" s="1" t="s">
        <v>1162</v>
      </c>
      <c r="I660" s="1" t="s">
        <v>64</v>
      </c>
      <c r="J660" s="2">
        <v>45706.481944444444</v>
      </c>
      <c r="K660" s="2">
        <v>45706.493750000001</v>
      </c>
      <c r="L660" s="1" t="s">
        <v>65</v>
      </c>
      <c r="M660" s="1" t="str">
        <f>_xlfn.XLOOKUP(I660,Parâmetros!A:A,Parâmetros!B:B,_xlfn.XLOOKUP(Q660,Parâmetros!F:F,Parâmetros!G:G,"NOVA MENSAGEM"))</f>
        <v>FORMATO DE TEXTO</v>
      </c>
      <c r="N660" s="1" t="str">
        <f>_xlfn.XLOOKUP(M660,Parâmetros!K:K,Parâmetros!L:L,"")</f>
        <v>TEXTO FORA DO PADRÃO ACEITO NO CAMPO</v>
      </c>
      <c r="O660" s="1" t="str">
        <f>_xlfn.XLOOKUP(M660,Parâmetros!B:B,Parâmetros!C:C,_xlfn.XLOOKUP(Base!M636,Parâmetros!G:G,Parâmetros!H:H))</f>
        <v>INDEFINIDO</v>
      </c>
      <c r="P660" s="1" t="str">
        <f>_xlfn.XLOOKUP(I660,Parâmetros!A:A,Parâmetros!D:D,_xlfn.XLOOKUP(Q660,Parâmetros!F:F,Parâmetros!I:I))</f>
        <v>SUPORTE OBT</v>
      </c>
      <c r="Q660" s="1" t="str">
        <f t="shared" si="21"/>
        <v>COLUNA I</v>
      </c>
    </row>
    <row r="661" spans="1:17" x14ac:dyDescent="0.25">
      <c r="A661" s="1" t="str">
        <f>_xlfn.XLOOKUP(D661,'Novo relatório'!B:B,'Novo relatório'!C:C,"RESOLVIDO")</f>
        <v>SABRE</v>
      </c>
      <c r="C661" t="str">
        <f t="shared" si="20"/>
        <v>PENDENTE</v>
      </c>
      <c r="D661" s="1">
        <v>3252792</v>
      </c>
      <c r="E661" s="1" t="s">
        <v>26</v>
      </c>
      <c r="F661" s="2">
        <v>45706.35833333333</v>
      </c>
      <c r="G661" s="1" t="s">
        <v>1223</v>
      </c>
      <c r="H661" s="1" t="s">
        <v>1224</v>
      </c>
      <c r="I661" s="1" t="s">
        <v>64</v>
      </c>
      <c r="J661" s="2">
        <v>45706.493750000001</v>
      </c>
      <c r="L661" s="1" t="s">
        <v>65</v>
      </c>
      <c r="M661" s="1" t="str">
        <f>_xlfn.XLOOKUP(I661,Parâmetros!A:A,Parâmetros!B:B,_xlfn.XLOOKUP(Q661,Parâmetros!F:F,Parâmetros!G:G,"NOVA MENSAGEM"))</f>
        <v>FORMATO DE TEXTO</v>
      </c>
      <c r="N661" s="1" t="str">
        <f>_xlfn.XLOOKUP(M661,Parâmetros!K:K,Parâmetros!L:L,"")</f>
        <v>TEXTO FORA DO PADRÃO ACEITO NO CAMPO</v>
      </c>
      <c r="O661" s="1" t="str">
        <f>_xlfn.XLOOKUP(M661,Parâmetros!B:B,Parâmetros!C:C,_xlfn.XLOOKUP(Base!M682,Parâmetros!G:G,Parâmetros!H:H))</f>
        <v>INDEFINIDO</v>
      </c>
      <c r="P661" s="1" t="str">
        <f>_xlfn.XLOOKUP(I661,Parâmetros!A:A,Parâmetros!D:D,_xlfn.XLOOKUP(Q661,Parâmetros!F:F,Parâmetros!I:I))</f>
        <v>SUPORTE OBT</v>
      </c>
      <c r="Q661" s="1" t="str">
        <f t="shared" si="21"/>
        <v>COLUNA I</v>
      </c>
    </row>
    <row r="662" spans="1:17" x14ac:dyDescent="0.25">
      <c r="A662" s="1" t="str">
        <f>_xlfn.XLOOKUP(D662,'Novo relatório'!B:B,'Novo relatório'!C:C,"RESOLVIDO")</f>
        <v>SABRE</v>
      </c>
      <c r="C662" t="str">
        <f t="shared" si="20"/>
        <v>PENDENTE</v>
      </c>
      <c r="D662" s="1">
        <v>3254373</v>
      </c>
      <c r="E662" s="1" t="s">
        <v>26</v>
      </c>
      <c r="F662" s="2">
        <v>45706.676388888889</v>
      </c>
      <c r="G662" s="1" t="s">
        <v>1108</v>
      </c>
      <c r="H662" s="1" t="s">
        <v>1109</v>
      </c>
      <c r="I662" s="1" t="s">
        <v>64</v>
      </c>
      <c r="J662" s="2">
        <v>45706.806250000001</v>
      </c>
      <c r="L662" s="1" t="s">
        <v>65</v>
      </c>
      <c r="M662" s="1" t="str">
        <f>_xlfn.XLOOKUP(I662,Parâmetros!A:A,Parâmetros!B:B,_xlfn.XLOOKUP(Q662,Parâmetros!F:F,Parâmetros!G:G,"NOVA MENSAGEM"))</f>
        <v>FORMATO DE TEXTO</v>
      </c>
      <c r="N662" s="1" t="str">
        <f>_xlfn.XLOOKUP(M662,Parâmetros!K:K,Parâmetros!L:L,"")</f>
        <v>TEXTO FORA DO PADRÃO ACEITO NO CAMPO</v>
      </c>
      <c r="O662" s="1" t="str">
        <f>_xlfn.XLOOKUP(M662,Parâmetros!B:B,Parâmetros!C:C,_xlfn.XLOOKUP(Base!M594,Parâmetros!G:G,Parâmetros!H:H))</f>
        <v>INDEFINIDO</v>
      </c>
      <c r="P662" s="1" t="str">
        <f>_xlfn.XLOOKUP(I662,Parâmetros!A:A,Parâmetros!D:D,_xlfn.XLOOKUP(Q662,Parâmetros!F:F,Parâmetros!I:I))</f>
        <v>SUPORTE OBT</v>
      </c>
      <c r="Q662" s="1" t="str">
        <f t="shared" si="21"/>
        <v>COLUNA I</v>
      </c>
    </row>
    <row r="663" spans="1:17" x14ac:dyDescent="0.25">
      <c r="A663" s="1" t="str">
        <f>_xlfn.XLOOKUP(D663,'Novo relatório'!B:B,'Novo relatório'!C:C,"RESOLVIDO")</f>
        <v>SABRE</v>
      </c>
      <c r="C663" t="str">
        <f t="shared" si="20"/>
        <v>PENDENTE</v>
      </c>
      <c r="D663" s="1">
        <v>3255177</v>
      </c>
      <c r="E663" s="1" t="s">
        <v>26</v>
      </c>
      <c r="F663" s="2">
        <v>45707.217361111114</v>
      </c>
      <c r="G663" s="1" t="s">
        <v>1227</v>
      </c>
      <c r="H663" s="1" t="s">
        <v>1227</v>
      </c>
      <c r="I663" s="1" t="s">
        <v>83</v>
      </c>
      <c r="J663" s="2">
        <v>45707.34652777778</v>
      </c>
      <c r="L663" s="1" t="s">
        <v>18</v>
      </c>
      <c r="M663" s="1" t="str">
        <f>_xlfn.XLOOKUP(I663,Parâmetros!A:A,Parâmetros!B:B,_xlfn.XLOOKUP(Q663,Parâmetros!F:F,Parâmetros!G:G,"NOVA MENSAGEM"))</f>
        <v>CLIENTE NÃO IDENTIFICADO</v>
      </c>
      <c r="N663" s="1" t="str">
        <f>_xlfn.XLOOKUP(M663,Parâmetros!K:K,Parâmetros!L:L,"")</f>
        <v>DK DE CLIENTE NÃO PREENCIDO / CLIENTE NÃO CONFIGURADO NO OBT</v>
      </c>
      <c r="O663" s="1" t="str">
        <f>_xlfn.XLOOKUP(M663,Parâmetros!B:B,Parâmetros!C:C,_xlfn.XLOOKUP(Base!M685,Parâmetros!G:G,Parâmetros!H:H))</f>
        <v>INDEFINIDO</v>
      </c>
      <c r="P663" s="1" t="str">
        <f>_xlfn.XLOOKUP(I663,Parâmetros!A:A,Parâmetros!D:D,_xlfn.XLOOKUP(Q663,Parâmetros!F:F,Parâmetros!I:I))</f>
        <v>OPERAÇÕES / SUPORTE KCS</v>
      </c>
      <c r="Q663" s="1" t="str">
        <f t="shared" si="21"/>
        <v>COLUNA I</v>
      </c>
    </row>
    <row r="664" spans="1:17" x14ac:dyDescent="0.25">
      <c r="A664" s="1" t="str">
        <f>_xlfn.XLOOKUP(D664,'Novo relatório'!B:B,'Novo relatório'!C:C,"RESOLVIDO")</f>
        <v>SABRE</v>
      </c>
      <c r="C664" t="str">
        <f t="shared" si="20"/>
        <v>PENDENTE</v>
      </c>
      <c r="D664" s="1">
        <v>3255185</v>
      </c>
      <c r="E664" s="1" t="s">
        <v>26</v>
      </c>
      <c r="F664" s="2">
        <v>45707.217361111114</v>
      </c>
      <c r="G664" s="1" t="s">
        <v>1211</v>
      </c>
      <c r="H664" s="1" t="s">
        <v>1211</v>
      </c>
      <c r="I664" s="1" t="s">
        <v>83</v>
      </c>
      <c r="J664" s="2">
        <v>45707.347916666666</v>
      </c>
      <c r="L664" s="1" t="s">
        <v>18</v>
      </c>
      <c r="M664" s="1" t="str">
        <f>_xlfn.XLOOKUP(I664,Parâmetros!A:A,Parâmetros!B:B,_xlfn.XLOOKUP(Q664,Parâmetros!F:F,Parâmetros!G:G,"NOVA MENSAGEM"))</f>
        <v>CLIENTE NÃO IDENTIFICADO</v>
      </c>
      <c r="N664" s="1" t="str">
        <f>_xlfn.XLOOKUP(M664,Parâmetros!K:K,Parâmetros!L:L,"")</f>
        <v>DK DE CLIENTE NÃO PREENCIDO / CLIENTE NÃO CONFIGURADO NO OBT</v>
      </c>
      <c r="O664" s="1" t="str">
        <f>_xlfn.XLOOKUP(M664,Parâmetros!B:B,Parâmetros!C:C,_xlfn.XLOOKUP(Base!M675,Parâmetros!G:G,Parâmetros!H:H))</f>
        <v>INDEFINIDO</v>
      </c>
      <c r="P664" s="1" t="str">
        <f>_xlfn.XLOOKUP(I664,Parâmetros!A:A,Parâmetros!D:D,_xlfn.XLOOKUP(Q664,Parâmetros!F:F,Parâmetros!I:I))</f>
        <v>OPERAÇÕES / SUPORTE KCS</v>
      </c>
      <c r="Q664" s="1" t="str">
        <f t="shared" si="21"/>
        <v>COLUNA I</v>
      </c>
    </row>
    <row r="665" spans="1:17" x14ac:dyDescent="0.25">
      <c r="A665" s="1" t="str">
        <f>_xlfn.XLOOKUP(D665,'Novo relatório'!B:B,'Novo relatório'!C:C,"RESOLVIDO")</f>
        <v>SABRE</v>
      </c>
      <c r="C665" t="str">
        <f t="shared" si="20"/>
        <v>PENDENTE</v>
      </c>
      <c r="D665" s="1">
        <v>3255238</v>
      </c>
      <c r="E665" s="1" t="s">
        <v>26</v>
      </c>
      <c r="F665" s="2">
        <v>45707.247916666667</v>
      </c>
      <c r="G665" s="1" t="s">
        <v>1081</v>
      </c>
      <c r="H665" s="1" t="s">
        <v>1081</v>
      </c>
      <c r="I665" s="1" t="s">
        <v>409</v>
      </c>
      <c r="J665" s="2">
        <v>45707.378472222219</v>
      </c>
      <c r="L665" s="1" t="s">
        <v>18</v>
      </c>
      <c r="M665" s="1" t="str">
        <f>_xlfn.XLOOKUP(I665,Parâmetros!A:A,Parâmetros!B:B,_xlfn.XLOOKUP(Q665,Parâmetros!F:F,Parâmetros!G:G,"NOVA MENSAGEM"))</f>
        <v>CÓD. CLIENTE DIVERGENTE</v>
      </c>
      <c r="N665" s="1" t="str">
        <f>_xlfn.XLOOKUP(M665,Parâmetros!K:K,Parâmetros!L:L,"")</f>
        <v>CÓDIGO DIFERENTE DO CADASTRADO NO BENNER (CLIENTE X GRUPO)</v>
      </c>
      <c r="O665" s="1" t="str">
        <f>_xlfn.XLOOKUP(M665,Parâmetros!B:B,Parâmetros!C:C,_xlfn.XLOOKUP(Base!M574,Parâmetros!G:G,Parâmetros!H:H))</f>
        <v>QUALIDADE DOS DADOS</v>
      </c>
      <c r="P665" s="1" t="str">
        <f>_xlfn.XLOOKUP(I665,Parâmetros!A:A,Parâmetros!D:D,_xlfn.XLOOKUP(Q665,Parâmetros!F:F,Parâmetros!I:I))</f>
        <v>SUPORTE OBT</v>
      </c>
      <c r="Q665" s="1">
        <f t="shared" si="21"/>
        <v>1</v>
      </c>
    </row>
    <row r="666" spans="1:17" x14ac:dyDescent="0.25">
      <c r="A666" s="1" t="str">
        <f>_xlfn.XLOOKUP(D666,'Novo relatório'!B:B,'Novo relatório'!C:C,"RESOLVIDO")</f>
        <v>SABRE</v>
      </c>
      <c r="C666" t="str">
        <f t="shared" si="20"/>
        <v>PENDENTE</v>
      </c>
      <c r="D666" s="1">
        <v>3255240</v>
      </c>
      <c r="E666" s="1" t="s">
        <v>26</v>
      </c>
      <c r="F666" s="2">
        <v>45707.247916666667</v>
      </c>
      <c r="G666" s="1" t="s">
        <v>1198</v>
      </c>
      <c r="H666" s="1" t="s">
        <v>1198</v>
      </c>
      <c r="I666" s="1" t="s">
        <v>409</v>
      </c>
      <c r="J666" s="2">
        <v>45707.378472222219</v>
      </c>
      <c r="L666" s="1" t="s">
        <v>18</v>
      </c>
      <c r="M666" s="1" t="str">
        <f>_xlfn.XLOOKUP(I666,Parâmetros!A:A,Parâmetros!B:B,_xlfn.XLOOKUP(Q666,Parâmetros!F:F,Parâmetros!G:G,"NOVA MENSAGEM"))</f>
        <v>CÓD. CLIENTE DIVERGENTE</v>
      </c>
      <c r="N666" s="1" t="str">
        <f>_xlfn.XLOOKUP(M666,Parâmetros!K:K,Parâmetros!L:L,"")</f>
        <v>CÓDIGO DIFERENTE DO CADASTRADO NO BENNER (CLIENTE X GRUPO)</v>
      </c>
      <c r="O666" s="1" t="str">
        <f>_xlfn.XLOOKUP(M666,Parâmetros!B:B,Parâmetros!C:C,_xlfn.XLOOKUP(Base!M664,Parâmetros!G:G,Parâmetros!H:H))</f>
        <v>QUALIDADE DOS DADOS</v>
      </c>
      <c r="P666" s="1" t="str">
        <f>_xlfn.XLOOKUP(I666,Parâmetros!A:A,Parâmetros!D:D,_xlfn.XLOOKUP(Q666,Parâmetros!F:F,Parâmetros!I:I))</f>
        <v>SUPORTE OBT</v>
      </c>
      <c r="Q666" s="1">
        <f t="shared" si="21"/>
        <v>1</v>
      </c>
    </row>
    <row r="667" spans="1:17" x14ac:dyDescent="0.25">
      <c r="A667" s="1" t="str">
        <f>_xlfn.XLOOKUP(D667,'Novo relatório'!B:B,'Novo relatório'!C:C,"RESOLVIDO")</f>
        <v>RESOLVIDO</v>
      </c>
      <c r="C667" t="str">
        <f t="shared" si="20"/>
        <v>RESOLVIDO</v>
      </c>
      <c r="D667" s="1">
        <v>3255365</v>
      </c>
      <c r="E667" s="1" t="s">
        <v>26</v>
      </c>
      <c r="F667" s="2">
        <v>45706.509027777778</v>
      </c>
      <c r="G667" s="1" t="s">
        <v>1203</v>
      </c>
      <c r="H667" s="1" t="s">
        <v>1203</v>
      </c>
      <c r="I667" s="1" t="s">
        <v>588</v>
      </c>
      <c r="J667" s="2">
        <v>45707.40902777778</v>
      </c>
      <c r="L667" s="1" t="s">
        <v>14</v>
      </c>
      <c r="M667" s="1" t="str">
        <f>_xlfn.XLOOKUP(I667,Parâmetros!A:A,Parâmetros!B:B,_xlfn.XLOOKUP(Q667,Parâmetros!F:F,Parâmetros!G:G,"NOVA MENSAGEM"))</f>
        <v>ERRO NO XML</v>
      </c>
      <c r="N667" s="1" t="str">
        <f>_xlfn.XLOOKUP(M667,Parâmetros!K:K,Parâmetros!L:L,"")</f>
        <v/>
      </c>
      <c r="O667" s="1" t="str">
        <f>_xlfn.XLOOKUP(M667,Parâmetros!B:B,Parâmetros!C:C,_xlfn.XLOOKUP(Base!M668,Parâmetros!G:G,Parâmetros!H:H))</f>
        <v>SISTEMA</v>
      </c>
      <c r="P667" s="1" t="str">
        <f>_xlfn.XLOOKUP(I667,Parâmetros!A:A,Parâmetros!D:D,_xlfn.XLOOKUP(Q667,Parâmetros!F:F,Parâmetros!I:I))</f>
        <v>SUPORTE OBT</v>
      </c>
      <c r="Q667" s="1" t="str">
        <f t="shared" si="21"/>
        <v>COLUNA I</v>
      </c>
    </row>
    <row r="668" spans="1:17" x14ac:dyDescent="0.25">
      <c r="A668" s="1" t="str">
        <f>_xlfn.XLOOKUP(D668,'Novo relatório'!B:B,'Novo relatório'!C:C,"RESOLVIDO")</f>
        <v>SABRE</v>
      </c>
      <c r="C668" t="str">
        <f t="shared" si="20"/>
        <v>PENDENTE</v>
      </c>
      <c r="D668" s="1">
        <v>3255642</v>
      </c>
      <c r="E668" s="1" t="s">
        <v>26</v>
      </c>
      <c r="F668" s="2">
        <v>45707.372916666667</v>
      </c>
      <c r="G668" s="1" t="s">
        <v>1194</v>
      </c>
      <c r="H668" s="1" t="s">
        <v>1195</v>
      </c>
      <c r="I668" s="1" t="s">
        <v>85</v>
      </c>
      <c r="J668" s="2">
        <v>45707.505555555559</v>
      </c>
      <c r="L668" s="1" t="s">
        <v>18</v>
      </c>
      <c r="M668" s="1" t="str">
        <f>_xlfn.XLOOKUP(I668,Parâmetros!A:A,Parâmetros!B:B,_xlfn.XLOOKUP(Q668,Parâmetros!F:F,Parâmetros!G:G,"NOVA MENSAGEM"))</f>
        <v>CLIENTE NÃO IDENTIFICADO</v>
      </c>
      <c r="N668" s="1" t="str">
        <f>_xlfn.XLOOKUP(M668,Parâmetros!K:K,Parâmetros!L:L,"")</f>
        <v>DK DE CLIENTE NÃO PREENCIDO / CLIENTE NÃO CONFIGURADO NO OBT</v>
      </c>
      <c r="O668" s="1" t="str">
        <f>_xlfn.XLOOKUP(M668,Parâmetros!B:B,Parâmetros!C:C,_xlfn.XLOOKUP(Base!M661,Parâmetros!G:G,Parâmetros!H:H))</f>
        <v>INDEFINIDO</v>
      </c>
      <c r="P668" s="1" t="str">
        <f>_xlfn.XLOOKUP(I668,Parâmetros!A:A,Parâmetros!D:D,_xlfn.XLOOKUP(Q668,Parâmetros!F:F,Parâmetros!I:I))</f>
        <v>OPERAÇÕES / SUPORTE KCS</v>
      </c>
      <c r="Q668" s="1" t="str">
        <f t="shared" si="21"/>
        <v>COLUNA I</v>
      </c>
    </row>
    <row r="669" spans="1:17" x14ac:dyDescent="0.25">
      <c r="A669" s="1" t="str">
        <f>_xlfn.XLOOKUP(D669,'Novo relatório'!B:B,'Novo relatório'!C:C,"RESOLVIDO")</f>
        <v>RESOLVIDO</v>
      </c>
      <c r="C669" t="str">
        <f t="shared" si="20"/>
        <v>RESOLVIDO</v>
      </c>
      <c r="D669" s="1">
        <v>3255762</v>
      </c>
      <c r="E669" s="1" t="s">
        <v>26</v>
      </c>
      <c r="F669" s="2">
        <v>45707.423611111109</v>
      </c>
      <c r="G669" s="1" t="s">
        <v>1139</v>
      </c>
      <c r="H669" s="1" t="s">
        <v>1139</v>
      </c>
      <c r="I669" s="1" t="s">
        <v>588</v>
      </c>
      <c r="J669" s="2">
        <v>45707.556250000001</v>
      </c>
      <c r="L669" s="1" t="s">
        <v>14</v>
      </c>
      <c r="M669" s="1" t="str">
        <f>_xlfn.XLOOKUP(I669,Parâmetros!A:A,Parâmetros!B:B,_xlfn.XLOOKUP(Q669,Parâmetros!F:F,Parâmetros!G:G,"NOVA MENSAGEM"))</f>
        <v>ERRO NO XML</v>
      </c>
      <c r="N669" s="1" t="str">
        <f>_xlfn.XLOOKUP(M669,Parâmetros!K:K,Parâmetros!L:L,"")</f>
        <v/>
      </c>
      <c r="O669" s="1" t="str">
        <f>_xlfn.XLOOKUP(M669,Parâmetros!B:B,Parâmetros!C:C,_xlfn.XLOOKUP(Base!M617,Parâmetros!G:G,Parâmetros!H:H))</f>
        <v>SISTEMA</v>
      </c>
      <c r="P669" s="1" t="str">
        <f>_xlfn.XLOOKUP(I669,Parâmetros!A:A,Parâmetros!D:D,_xlfn.XLOOKUP(Q669,Parâmetros!F:F,Parâmetros!I:I))</f>
        <v>SUPORTE OBT</v>
      </c>
      <c r="Q669" s="1" t="str">
        <f t="shared" si="21"/>
        <v>COLUNA I</v>
      </c>
    </row>
    <row r="670" spans="1:17" x14ac:dyDescent="0.25">
      <c r="A670" s="1" t="str">
        <f>_xlfn.XLOOKUP(D670,'Novo relatório'!B:B,'Novo relatório'!C:C,"RESOLVIDO")</f>
        <v>RESOLVIDO</v>
      </c>
      <c r="C670" t="str">
        <f t="shared" si="20"/>
        <v>RESOLVIDO</v>
      </c>
      <c r="D670" s="1">
        <v>3256236</v>
      </c>
      <c r="E670" s="1" t="s">
        <v>26</v>
      </c>
      <c r="F670" s="2">
        <v>45708.213194444441</v>
      </c>
      <c r="G670" s="1" t="s">
        <v>1072</v>
      </c>
      <c r="H670" s="1" t="s">
        <v>1072</v>
      </c>
      <c r="I670" s="1" t="s">
        <v>588</v>
      </c>
      <c r="J670" s="2">
        <v>45707.793749999997</v>
      </c>
      <c r="K670" s="2">
        <v>45709.511805555558</v>
      </c>
      <c r="L670" s="1" t="s">
        <v>14</v>
      </c>
      <c r="M670" s="1" t="str">
        <f>_xlfn.XLOOKUP(I670,Parâmetros!A:A,Parâmetros!B:B,_xlfn.XLOOKUP(Q670,Parâmetros!F:F,Parâmetros!G:G,"NOVA MENSAGEM"))</f>
        <v>ERRO NO XML</v>
      </c>
      <c r="N670" s="1" t="str">
        <f>_xlfn.XLOOKUP(M670,Parâmetros!K:K,Parâmetros!L:L,"")</f>
        <v/>
      </c>
      <c r="O670" s="1" t="str">
        <f>_xlfn.XLOOKUP(M670,Parâmetros!B:B,Parâmetros!C:C,_xlfn.XLOOKUP(Base!M566,Parâmetros!G:G,Parâmetros!H:H))</f>
        <v>SISTEMA</v>
      </c>
      <c r="P670" s="1" t="str">
        <f>_xlfn.XLOOKUP(I670,Parâmetros!A:A,Parâmetros!D:D,_xlfn.XLOOKUP(Q670,Parâmetros!F:F,Parâmetros!I:I))</f>
        <v>SUPORTE OBT</v>
      </c>
      <c r="Q670" s="1" t="str">
        <f t="shared" si="21"/>
        <v>COLUNA I</v>
      </c>
    </row>
    <row r="671" spans="1:17" x14ac:dyDescent="0.25">
      <c r="A671" s="1" t="str">
        <f>_xlfn.XLOOKUP(D671,'Novo relatório'!B:B,'Novo relatório'!C:C,"RESOLVIDO")</f>
        <v>SABRE</v>
      </c>
      <c r="C671" t="str">
        <f t="shared" si="20"/>
        <v>PENDENTE</v>
      </c>
      <c r="D671" s="1">
        <v>3256240</v>
      </c>
      <c r="E671" s="1" t="s">
        <v>26</v>
      </c>
      <c r="F671" s="2">
        <v>45707.665277777778</v>
      </c>
      <c r="G671" s="1" t="s">
        <v>1205</v>
      </c>
      <c r="H671" s="1" t="s">
        <v>1205</v>
      </c>
      <c r="I671" s="1" t="s">
        <v>1060</v>
      </c>
      <c r="J671" s="2">
        <v>45707.794444444444</v>
      </c>
      <c r="L671" s="1" t="s">
        <v>18</v>
      </c>
      <c r="M671" s="1" t="str">
        <f>_xlfn.XLOOKUP(I671,Parâmetros!A:A,Parâmetros!B:B,_xlfn.XLOOKUP(Q671,Parâmetros!F:F,Parâmetros!G:G,"NOVA MENSAGEM"))</f>
        <v>CÓD. CLIENTE DIVERGENTE</v>
      </c>
      <c r="N671" s="1" t="str">
        <f>_xlfn.XLOOKUP(M671,Parâmetros!K:K,Parâmetros!L:L,"")</f>
        <v>CÓDIGO DIFERENTE DO CADASTRADO NO BENNER (CLIENTE X GRUPO)</v>
      </c>
      <c r="O671" s="1" t="str">
        <f>_xlfn.XLOOKUP(M671,Parâmetros!B:B,Parâmetros!C:C,_xlfn.XLOOKUP(Base!M670,Parâmetros!G:G,Parâmetros!H:H))</f>
        <v>QUALIDADE DOS DADOS</v>
      </c>
      <c r="P671" s="1" t="str">
        <f>_xlfn.XLOOKUP(I671,Parâmetros!A:A,Parâmetros!D:D,_xlfn.XLOOKUP(Q671,Parâmetros!F:F,Parâmetros!I:I))</f>
        <v>SUPORTE OBT</v>
      </c>
      <c r="Q671" s="1">
        <f t="shared" si="21"/>
        <v>1</v>
      </c>
    </row>
    <row r="672" spans="1:17" x14ac:dyDescent="0.25">
      <c r="A672" s="1" t="str">
        <f>_xlfn.XLOOKUP(D672,'Novo relatório'!B:B,'Novo relatório'!C:C,"RESOLVIDO")</f>
        <v>SABRE</v>
      </c>
      <c r="C672" t="str">
        <f t="shared" si="20"/>
        <v>PENDENTE</v>
      </c>
      <c r="D672" s="1">
        <v>3256265</v>
      </c>
      <c r="E672" s="1" t="s">
        <v>26</v>
      </c>
      <c r="F672" s="2">
        <v>45707.724999999999</v>
      </c>
      <c r="G672" s="1" t="s">
        <v>1078</v>
      </c>
      <c r="H672" s="1" t="s">
        <v>1078</v>
      </c>
      <c r="I672" s="1" t="s">
        <v>83</v>
      </c>
      <c r="J672" s="2">
        <v>45707.855555555558</v>
      </c>
      <c r="L672" s="1" t="s">
        <v>18</v>
      </c>
      <c r="M672" s="1" t="str">
        <f>_xlfn.XLOOKUP(I672,Parâmetros!A:A,Parâmetros!B:B,_xlfn.XLOOKUP(Q672,Parâmetros!F:F,Parâmetros!G:G,"NOVA MENSAGEM"))</f>
        <v>CLIENTE NÃO IDENTIFICADO</v>
      </c>
      <c r="N672" s="1" t="str">
        <f>_xlfn.XLOOKUP(M672,Parâmetros!K:K,Parâmetros!L:L,"")</f>
        <v>DK DE CLIENTE NÃO PREENCIDO / CLIENTE NÃO CONFIGURADO NO OBT</v>
      </c>
      <c r="O672" s="1" t="str">
        <f>_xlfn.XLOOKUP(M672,Parâmetros!B:B,Parâmetros!C:C,_xlfn.XLOOKUP(Base!M572,Parâmetros!G:G,Parâmetros!H:H))</f>
        <v>INDEFINIDO</v>
      </c>
      <c r="P672" s="1" t="str">
        <f>_xlfn.XLOOKUP(I672,Parâmetros!A:A,Parâmetros!D:D,_xlfn.XLOOKUP(Q672,Parâmetros!F:F,Parâmetros!I:I))</f>
        <v>OPERAÇÕES / SUPORTE KCS</v>
      </c>
      <c r="Q672" s="1" t="str">
        <f t="shared" si="21"/>
        <v>COLUNA I</v>
      </c>
    </row>
    <row r="673" spans="1:17" x14ac:dyDescent="0.25">
      <c r="A673" s="1" t="str">
        <f>_xlfn.XLOOKUP(D673,'Novo relatório'!B:B,'Novo relatório'!C:C,"RESOLVIDO")</f>
        <v>TMS</v>
      </c>
      <c r="C673" t="str">
        <f t="shared" si="20"/>
        <v>PENDENTE</v>
      </c>
      <c r="D673" s="1">
        <v>3256658</v>
      </c>
      <c r="E673" s="1" t="s">
        <v>12</v>
      </c>
      <c r="F673" s="2">
        <v>45707.517361111109</v>
      </c>
      <c r="G673" s="1">
        <v>52704</v>
      </c>
      <c r="H673" s="1">
        <v>52704</v>
      </c>
      <c r="I673" s="1" t="s">
        <v>113</v>
      </c>
      <c r="J673" s="2">
        <v>45708.416666666664</v>
      </c>
      <c r="K673" s="2">
        <v>45710.928472222222</v>
      </c>
      <c r="L673" s="1" t="s">
        <v>14</v>
      </c>
      <c r="M673" s="1" t="str">
        <f>_xlfn.XLOOKUP(I673,Parâmetros!A:A,Parâmetros!B:B,_xlfn.XLOOKUP(Q673,Parâmetros!F:F,Parâmetros!G:G,"NOVA MENSAGEM"))</f>
        <v>FORMATO DE TEXTO</v>
      </c>
      <c r="N673" s="1" t="str">
        <f>_xlfn.XLOOKUP(M673,Parâmetros!K:K,Parâmetros!L:L,"")</f>
        <v>TEXTO FORA DO PADRÃO ACEITO NO CAMPO</v>
      </c>
      <c r="O673" s="1" t="str">
        <f>_xlfn.XLOOKUP(M673,Parâmetros!B:B,Parâmetros!C:C,_xlfn.XLOOKUP(Base!M695,Parâmetros!G:G,Parâmetros!H:H))</f>
        <v>INDEFINIDO</v>
      </c>
      <c r="P673" s="1" t="str">
        <f>_xlfn.XLOOKUP(I673,Parâmetros!A:A,Parâmetros!D:D,_xlfn.XLOOKUP(Q673,Parâmetros!F:F,Parâmetros!I:I))</f>
        <v>SUPORTE OBT</v>
      </c>
      <c r="Q673" s="1" t="str">
        <f t="shared" si="21"/>
        <v>COLUNA I</v>
      </c>
    </row>
    <row r="674" spans="1:17" x14ac:dyDescent="0.25">
      <c r="A674" s="1" t="str">
        <f>_xlfn.XLOOKUP(D674,'Novo relatório'!B:B,'Novo relatório'!C:C,"RESOLVIDO")</f>
        <v>TMS</v>
      </c>
      <c r="C674" t="str">
        <f t="shared" si="20"/>
        <v>PENDENTE</v>
      </c>
      <c r="D674" s="1">
        <v>3257383</v>
      </c>
      <c r="E674" s="1" t="s">
        <v>12</v>
      </c>
      <c r="F674" s="2">
        <v>45666.795138888891</v>
      </c>
      <c r="G674" s="1">
        <v>17008</v>
      </c>
      <c r="H674" s="1">
        <v>17008</v>
      </c>
      <c r="I674" s="1" t="s">
        <v>545</v>
      </c>
      <c r="M674" s="1" t="str">
        <f>_xlfn.XLOOKUP(I674,Parâmetros!A:A,Parâmetros!B:B,_xlfn.XLOOKUP(Q674,Parâmetros!F:F,Parâmetros!G:G,"NOVA MENSAGEM"))</f>
        <v>ERRO DE SQL</v>
      </c>
      <c r="N674" s="1" t="str">
        <f>_xlfn.XLOOKUP(M674,Parâmetros!K:K,Parâmetros!L:L,"")</f>
        <v>ERRO NA IMPORTAÇÃO/MODIFICAÇÃO DAS INFOMAÇÕES</v>
      </c>
      <c r="O674" s="1" t="str">
        <f>_xlfn.XLOOKUP(M674,Parâmetros!B:B,Parâmetros!C:C,_xlfn.XLOOKUP(Base!M998,Parâmetros!G:G,Parâmetros!H:H))</f>
        <v>SISTEMA</v>
      </c>
      <c r="P674" s="1" t="str">
        <f>_xlfn.XLOOKUP(I674,Parâmetros!A:A,Parâmetros!D:D,_xlfn.XLOOKUP(Q674,Parâmetros!F:F,Parâmetros!I:I))</f>
        <v>SUPORTE BENNER</v>
      </c>
      <c r="Q674" s="1" t="str">
        <f t="shared" si="21"/>
        <v>COLUNA I</v>
      </c>
    </row>
    <row r="675" spans="1:17" x14ac:dyDescent="0.25">
      <c r="A675" s="1" t="str">
        <f>_xlfn.XLOOKUP(D675,'Novo relatório'!B:B,'Novo relatório'!C:C,"RESOLVIDO")</f>
        <v>SABRE</v>
      </c>
      <c r="C675" t="str">
        <f t="shared" si="20"/>
        <v>PENDENTE</v>
      </c>
      <c r="D675" s="1">
        <v>3257723</v>
      </c>
      <c r="E675" s="1" t="s">
        <v>26</v>
      </c>
      <c r="F675" s="2">
        <v>45708.412499999999</v>
      </c>
      <c r="G675" s="1" t="s">
        <v>1188</v>
      </c>
      <c r="H675" s="1" t="s">
        <v>1188</v>
      </c>
      <c r="I675" s="1" t="s">
        <v>1189</v>
      </c>
      <c r="J675" s="2">
        <v>45708.544444444444</v>
      </c>
      <c r="L675" s="1" t="s">
        <v>18</v>
      </c>
      <c r="M675" s="1" t="str">
        <f>_xlfn.XLOOKUP(I675,Parâmetros!A:A,Parâmetros!B:B,_xlfn.XLOOKUP(Q675,Parâmetros!F:F,Parâmetros!G:G,"NOVA MENSAGEM"))</f>
        <v>CÓD. CLIENTE DIVERGENTE</v>
      </c>
      <c r="N675" s="1" t="str">
        <f>_xlfn.XLOOKUP(M675,Parâmetros!K:K,Parâmetros!L:L,"")</f>
        <v>CÓDIGO DIFERENTE DO CADASTRADO NO BENNER (CLIENTE X GRUPO)</v>
      </c>
      <c r="O675" s="1" t="str">
        <f>_xlfn.XLOOKUP(M675,Parâmetros!B:B,Parâmetros!C:C,_xlfn.XLOOKUP(Base!M656,Parâmetros!G:G,Parâmetros!H:H))</f>
        <v>QUALIDADE DOS DADOS</v>
      </c>
      <c r="P675" s="1" t="str">
        <f>_xlfn.XLOOKUP(I675,Parâmetros!A:A,Parâmetros!D:D,_xlfn.XLOOKUP(Q675,Parâmetros!F:F,Parâmetros!I:I))</f>
        <v>SUPORTE OBT</v>
      </c>
      <c r="Q675" s="1">
        <f t="shared" si="21"/>
        <v>1</v>
      </c>
    </row>
    <row r="676" spans="1:17" x14ac:dyDescent="0.25">
      <c r="A676" s="1" t="str">
        <f>_xlfn.XLOOKUP(D676,'Novo relatório'!B:B,'Novo relatório'!C:C,"RESOLVIDO")</f>
        <v>SABRE</v>
      </c>
      <c r="C676" t="str">
        <f t="shared" si="20"/>
        <v>PENDENTE</v>
      </c>
      <c r="D676" s="1">
        <v>3257726</v>
      </c>
      <c r="E676" s="1" t="s">
        <v>26</v>
      </c>
      <c r="F676" s="2">
        <v>45709.222222222219</v>
      </c>
      <c r="G676" s="1" t="s">
        <v>1066</v>
      </c>
      <c r="H676" s="1" t="s">
        <v>1066</v>
      </c>
      <c r="I676" s="1" t="s">
        <v>1067</v>
      </c>
      <c r="J676" s="2">
        <v>45708.545138888891</v>
      </c>
      <c r="K676" s="2">
        <v>45709.356249999997</v>
      </c>
      <c r="L676" s="1" t="s">
        <v>18</v>
      </c>
      <c r="M676" s="1" t="str">
        <f>_xlfn.XLOOKUP(I676,Parâmetros!A:A,Parâmetros!B:B,_xlfn.XLOOKUP(Q676,Parâmetros!F:F,Parâmetros!G:G,"NOVA MENSAGEM"))</f>
        <v>CÓD. CLIENTE DIVERGENTE</v>
      </c>
      <c r="N676" s="1" t="str">
        <f>_xlfn.XLOOKUP(M676,Parâmetros!K:K,Parâmetros!L:L,"")</f>
        <v>CÓDIGO DIFERENTE DO CADASTRADO NO BENNER (CLIENTE X GRUPO)</v>
      </c>
      <c r="O676" s="1" t="str">
        <f>_xlfn.XLOOKUP(M676,Parâmetros!B:B,Parâmetros!C:C,_xlfn.XLOOKUP(Base!M561,Parâmetros!G:G,Parâmetros!H:H))</f>
        <v>QUALIDADE DOS DADOS</v>
      </c>
      <c r="P676" s="1" t="str">
        <f>_xlfn.XLOOKUP(I676,Parâmetros!A:A,Parâmetros!D:D,_xlfn.XLOOKUP(Q676,Parâmetros!F:F,Parâmetros!I:I))</f>
        <v>SUPORTE OBT</v>
      </c>
      <c r="Q676" s="1">
        <f t="shared" si="21"/>
        <v>1</v>
      </c>
    </row>
    <row r="677" spans="1:17" x14ac:dyDescent="0.25">
      <c r="A677" s="1" t="str">
        <f>_xlfn.XLOOKUP(D677,'Novo relatório'!B:B,'Novo relatório'!C:C,"RESOLVIDO")</f>
        <v>SABRE</v>
      </c>
      <c r="C677" t="str">
        <f t="shared" si="20"/>
        <v>PENDENTE</v>
      </c>
      <c r="D677" s="1">
        <v>3257749</v>
      </c>
      <c r="E677" s="1" t="s">
        <v>26</v>
      </c>
      <c r="F677" s="2">
        <v>45708.417361111111</v>
      </c>
      <c r="G677" s="1" t="s">
        <v>1053</v>
      </c>
      <c r="H677" s="1" t="s">
        <v>1053</v>
      </c>
      <c r="I677" s="1" t="s">
        <v>1054</v>
      </c>
      <c r="J677" s="2">
        <v>45708.548611111109</v>
      </c>
      <c r="L677" s="1" t="s">
        <v>18</v>
      </c>
      <c r="M677" s="1" t="str">
        <f>_xlfn.XLOOKUP(I677,Parâmetros!A:A,Parâmetros!B:B,_xlfn.XLOOKUP(Q677,Parâmetros!F:F,Parâmetros!G:G,"NOVA MENSAGEM"))</f>
        <v>CÓD. CLIENTE DIVERGENTE</v>
      </c>
      <c r="N677" s="1" t="str">
        <f>_xlfn.XLOOKUP(M677,Parâmetros!K:K,Parâmetros!L:L,"")</f>
        <v>CÓDIGO DIFERENTE DO CADASTRADO NO BENNER (CLIENTE X GRUPO)</v>
      </c>
      <c r="O677" s="1" t="str">
        <f>_xlfn.XLOOKUP(M677,Parâmetros!B:B,Parâmetros!C:C,_xlfn.XLOOKUP(Base!M553,Parâmetros!G:G,Parâmetros!H:H))</f>
        <v>QUALIDADE DOS DADOS</v>
      </c>
      <c r="P677" s="1" t="str">
        <f>_xlfn.XLOOKUP(I677,Parâmetros!A:A,Parâmetros!D:D,_xlfn.XLOOKUP(Q677,Parâmetros!F:F,Parâmetros!I:I))</f>
        <v>SUPORTE OBT</v>
      </c>
      <c r="Q677" s="1">
        <f t="shared" si="21"/>
        <v>1</v>
      </c>
    </row>
    <row r="678" spans="1:17" x14ac:dyDescent="0.25">
      <c r="A678" s="1" t="str">
        <f>_xlfn.XLOOKUP(D678,'Novo relatório'!B:B,'Novo relatório'!C:C,"RESOLVIDO")</f>
        <v>SABRE</v>
      </c>
      <c r="C678" t="str">
        <f t="shared" si="20"/>
        <v>PENDENTE</v>
      </c>
      <c r="D678" s="1">
        <v>3257793</v>
      </c>
      <c r="E678" s="1" t="s">
        <v>26</v>
      </c>
      <c r="F678" s="2">
        <v>45708.489583333336</v>
      </c>
      <c r="G678" s="1" t="s">
        <v>1118</v>
      </c>
      <c r="H678" s="1" t="s">
        <v>1119</v>
      </c>
      <c r="I678" s="1" t="s">
        <v>64</v>
      </c>
      <c r="J678" s="2">
        <v>45708.616666666669</v>
      </c>
      <c r="L678" s="1" t="s">
        <v>65</v>
      </c>
      <c r="M678" s="1" t="str">
        <f>_xlfn.XLOOKUP(I678,Parâmetros!A:A,Parâmetros!B:B,_xlfn.XLOOKUP(Q678,Parâmetros!F:F,Parâmetros!G:G,"NOVA MENSAGEM"))</f>
        <v>FORMATO DE TEXTO</v>
      </c>
      <c r="N678" s="1" t="str">
        <f>_xlfn.XLOOKUP(M678,Parâmetros!K:K,Parâmetros!L:L,"")</f>
        <v>TEXTO FORA DO PADRÃO ACEITO NO CAMPO</v>
      </c>
      <c r="O678" s="1" t="str">
        <f>_xlfn.XLOOKUP(M678,Parâmetros!B:B,Parâmetros!C:C,_xlfn.XLOOKUP(Base!M602,Parâmetros!G:G,Parâmetros!H:H))</f>
        <v>INDEFINIDO</v>
      </c>
      <c r="P678" s="1" t="str">
        <f>_xlfn.XLOOKUP(I678,Parâmetros!A:A,Parâmetros!D:D,_xlfn.XLOOKUP(Q678,Parâmetros!F:F,Parâmetros!I:I))</f>
        <v>SUPORTE OBT</v>
      </c>
      <c r="Q678" s="1" t="str">
        <f t="shared" si="21"/>
        <v>COLUNA I</v>
      </c>
    </row>
    <row r="679" spans="1:17" x14ac:dyDescent="0.25">
      <c r="A679" s="1" t="str">
        <f>_xlfn.XLOOKUP(D679,'Novo relatório'!B:B,'Novo relatório'!C:C,"RESOLVIDO")</f>
        <v>TMS</v>
      </c>
      <c r="C679" t="str">
        <f t="shared" si="20"/>
        <v>PENDENTE</v>
      </c>
      <c r="D679" s="1">
        <v>3258574</v>
      </c>
      <c r="E679" s="1" t="s">
        <v>12</v>
      </c>
      <c r="F679" s="2">
        <v>45708.517361111109</v>
      </c>
      <c r="G679" s="1">
        <v>5051</v>
      </c>
      <c r="H679" s="1">
        <v>5051</v>
      </c>
      <c r="I679" s="1" t="s">
        <v>1234</v>
      </c>
      <c r="J679" s="2">
        <v>45708.648611111108</v>
      </c>
      <c r="K679" s="2">
        <v>45711.941666666666</v>
      </c>
      <c r="L679" s="1" t="s">
        <v>14</v>
      </c>
      <c r="M679" s="1" t="str">
        <f>_xlfn.XLOOKUP(I679,Parâmetros!A:A,Parâmetros!B:B,_xlfn.XLOOKUP(Q679,Parâmetros!F:F,Parâmetros!G:G,"NOVA MENSAGEM"))</f>
        <v>ASSENTO / BAGAGEM</v>
      </c>
      <c r="N679" s="1" t="str">
        <f>_xlfn.XLOOKUP(M679,Parâmetros!K:K,Parâmetros!L:L,"")</f>
        <v>CAMPO OBSERVAÇÃO PREENCHIDO INCORRETAMENTE</v>
      </c>
      <c r="O679" s="1" t="str">
        <f>_xlfn.XLOOKUP(M679,Parâmetros!B:B,Parâmetros!C:C,_xlfn.XLOOKUP(Base!M692,Parâmetros!G:G,Parâmetros!H:H))</f>
        <v>QUALIDADE DOS DADOS</v>
      </c>
      <c r="P679" s="1" t="str">
        <f>_xlfn.XLOOKUP(I679,Parâmetros!A:A,Parâmetros!D:D,_xlfn.XLOOKUP(Q679,Parâmetros!F:F,Parâmetros!I:I))</f>
        <v>OPERAÇÕES / SUPORTE KCS</v>
      </c>
      <c r="Q679" s="1">
        <f t="shared" si="21"/>
        <v>127</v>
      </c>
    </row>
    <row r="680" spans="1:17" x14ac:dyDescent="0.25">
      <c r="A680" s="1" t="str">
        <f>_xlfn.XLOOKUP(D680,'Novo relatório'!B:B,'Novo relatório'!C:C,"RESOLVIDO")</f>
        <v>SABRE</v>
      </c>
      <c r="C680" t="str">
        <f t="shared" si="20"/>
        <v>PENDENTE</v>
      </c>
      <c r="D680" s="1">
        <v>3259586</v>
      </c>
      <c r="E680" s="1" t="s">
        <v>26</v>
      </c>
      <c r="F680" s="2">
        <v>45708.71597222222</v>
      </c>
      <c r="G680" s="1" t="s">
        <v>1126</v>
      </c>
      <c r="H680" s="1" t="s">
        <v>1126</v>
      </c>
      <c r="I680" s="1" t="s">
        <v>620</v>
      </c>
      <c r="J680" s="2">
        <v>45708.84652777778</v>
      </c>
      <c r="L680" s="1" t="s">
        <v>18</v>
      </c>
      <c r="M680" s="1" t="str">
        <f>_xlfn.XLOOKUP(I680,Parâmetros!A:A,Parâmetros!B:B,_xlfn.XLOOKUP(Q680,Parâmetros!F:F,Parâmetros!G:G,"NOVA MENSAGEM"))</f>
        <v>CÓD. CLIENTE DIVERGENTE</v>
      </c>
      <c r="N680" s="1" t="str">
        <f>_xlfn.XLOOKUP(M680,Parâmetros!K:K,Parâmetros!L:L,"")</f>
        <v>CÓDIGO DIFERENTE DO CADASTRADO NO BENNER (CLIENTE X GRUPO)</v>
      </c>
      <c r="O680" s="1" t="str">
        <f>_xlfn.XLOOKUP(M680,Parâmetros!B:B,Parâmetros!C:C,_xlfn.XLOOKUP(Base!M607,Parâmetros!G:G,Parâmetros!H:H))</f>
        <v>QUALIDADE DOS DADOS</v>
      </c>
      <c r="P680" s="1" t="str">
        <f>_xlfn.XLOOKUP(I680,Parâmetros!A:A,Parâmetros!D:D,_xlfn.XLOOKUP(Q680,Parâmetros!F:F,Parâmetros!I:I))</f>
        <v>SUPORTE OBT</v>
      </c>
      <c r="Q680" s="1">
        <f t="shared" si="21"/>
        <v>1</v>
      </c>
    </row>
    <row r="681" spans="1:17" x14ac:dyDescent="0.25">
      <c r="A681" s="1" t="str">
        <f>_xlfn.XLOOKUP(D681,'Novo relatório'!B:B,'Novo relatório'!C:C,"RESOLVIDO")</f>
        <v>SABRE</v>
      </c>
      <c r="C681" t="str">
        <f t="shared" si="20"/>
        <v>PENDENTE</v>
      </c>
      <c r="D681" s="1">
        <v>3259587</v>
      </c>
      <c r="E681" s="1" t="s">
        <v>26</v>
      </c>
      <c r="F681" s="2">
        <v>45708.71597222222</v>
      </c>
      <c r="G681" s="1" t="s">
        <v>1129</v>
      </c>
      <c r="H681" s="1" t="s">
        <v>1129</v>
      </c>
      <c r="I681" s="1" t="s">
        <v>83</v>
      </c>
      <c r="J681" s="2">
        <v>45708.84652777778</v>
      </c>
      <c r="L681" s="1" t="s">
        <v>18</v>
      </c>
      <c r="M681" s="1" t="str">
        <f>_xlfn.XLOOKUP(I681,Parâmetros!A:A,Parâmetros!B:B,_xlfn.XLOOKUP(Q681,Parâmetros!F:F,Parâmetros!G:G,"NOVA MENSAGEM"))</f>
        <v>CLIENTE NÃO IDENTIFICADO</v>
      </c>
      <c r="N681" s="1" t="str">
        <f>_xlfn.XLOOKUP(M681,Parâmetros!K:K,Parâmetros!L:L,"")</f>
        <v>DK DE CLIENTE NÃO PREENCIDO / CLIENTE NÃO CONFIGURADO NO OBT</v>
      </c>
      <c r="O681" s="1" t="str">
        <f>_xlfn.XLOOKUP(M681,Parâmetros!B:B,Parâmetros!C:C,_xlfn.XLOOKUP(Base!M610,Parâmetros!G:G,Parâmetros!H:H))</f>
        <v>INDEFINIDO</v>
      </c>
      <c r="P681" s="1" t="str">
        <f>_xlfn.XLOOKUP(I681,Parâmetros!A:A,Parâmetros!D:D,_xlfn.XLOOKUP(Q681,Parâmetros!F:F,Parâmetros!I:I))</f>
        <v>OPERAÇÕES / SUPORTE KCS</v>
      </c>
      <c r="Q681" s="1" t="str">
        <f t="shared" si="21"/>
        <v>COLUNA I</v>
      </c>
    </row>
    <row r="682" spans="1:17" x14ac:dyDescent="0.25">
      <c r="A682" s="1" t="str">
        <f>_xlfn.XLOOKUP(D682,'Novo relatório'!B:B,'Novo relatório'!C:C,"RESOLVIDO")</f>
        <v>SABRE</v>
      </c>
      <c r="C682" t="str">
        <f t="shared" si="20"/>
        <v>PENDENTE</v>
      </c>
      <c r="D682" s="1">
        <v>3259588</v>
      </c>
      <c r="E682" s="1" t="s">
        <v>26</v>
      </c>
      <c r="F682" s="2">
        <v>45709.220833333333</v>
      </c>
      <c r="G682" s="1" t="s">
        <v>1183</v>
      </c>
      <c r="H682" s="1" t="s">
        <v>1183</v>
      </c>
      <c r="I682" s="1" t="s">
        <v>578</v>
      </c>
      <c r="J682" s="2">
        <v>45708.847222222219</v>
      </c>
      <c r="K682" s="2">
        <v>45709.356249999997</v>
      </c>
      <c r="L682" s="1" t="s">
        <v>18</v>
      </c>
      <c r="M682" s="1" t="str">
        <f>_xlfn.XLOOKUP(I682,Parâmetros!A:A,Parâmetros!B:B,_xlfn.XLOOKUP(Q682,Parâmetros!F:F,Parâmetros!G:G,"NOVA MENSAGEM"))</f>
        <v>REMARK - CNPJ</v>
      </c>
      <c r="N682" s="1" t="str">
        <f>_xlfn.XLOOKUP(M682,Parâmetros!K:K,Parâmetros!L:L,"")</f>
        <v/>
      </c>
      <c r="O682" s="1" t="str">
        <f>_xlfn.XLOOKUP(M682,Parâmetros!B:B,Parâmetros!C:C,_xlfn.XLOOKUP(Base!M652,Parâmetros!G:G,Parâmetros!H:H))</f>
        <v>QUALIDADE DOS DADOS</v>
      </c>
      <c r="P682" s="1" t="str">
        <f>_xlfn.XLOOKUP(I682,Parâmetros!A:A,Parâmetros!D:D,_xlfn.XLOOKUP(Q682,Parâmetros!F:F,Parâmetros!I:I))</f>
        <v>OPERAÇÕES / SUPORTE KCS</v>
      </c>
      <c r="Q682" s="1">
        <f t="shared" si="21"/>
        <v>24</v>
      </c>
    </row>
    <row r="683" spans="1:17" x14ac:dyDescent="0.25">
      <c r="A683" s="1" t="str">
        <f>_xlfn.XLOOKUP(D683,'Novo relatório'!B:B,'Novo relatório'!C:C,"RESOLVIDO")</f>
        <v>RESOLVIDO</v>
      </c>
      <c r="C683" t="str">
        <f t="shared" si="20"/>
        <v>RESOLVIDO</v>
      </c>
      <c r="D683" s="1">
        <v>3259853</v>
      </c>
      <c r="E683" s="1" t="s">
        <v>12</v>
      </c>
      <c r="F683" s="2">
        <v>45708.759722222225</v>
      </c>
      <c r="G683" s="1">
        <v>1053</v>
      </c>
      <c r="H683" s="1">
        <v>1053</v>
      </c>
      <c r="I683" s="1" t="s">
        <v>16</v>
      </c>
      <c r="J683" s="2">
        <v>45708.918055555558</v>
      </c>
      <c r="K683" s="2">
        <v>45711.945138888892</v>
      </c>
      <c r="L683" s="1" t="s">
        <v>14</v>
      </c>
      <c r="M683" s="1" t="str">
        <f>_xlfn.XLOOKUP(I683,Parâmetros!A:A,Parâmetros!B:B,_xlfn.XLOOKUP(Q683,Parâmetros!F:F,Parâmetros!G:G,"NOVA MENSAGEM"))</f>
        <v>ASSENTO / BAGAGEM</v>
      </c>
      <c r="N683" s="1" t="str">
        <f>_xlfn.XLOOKUP(M683,Parâmetros!K:K,Parâmetros!L:L,"")</f>
        <v>CAMPO OBSERVAÇÃO PREENCHIDO INCORRETAMENTE</v>
      </c>
      <c r="O683" s="1" t="str">
        <f>_xlfn.XLOOKUP(M683,Parâmetros!B:B,Parâmetros!C:C,_xlfn.XLOOKUP(Base!M689,Parâmetros!G:G,Parâmetros!H:H))</f>
        <v>QUALIDADE DOS DADOS</v>
      </c>
      <c r="P683" s="1" t="str">
        <f>_xlfn.XLOOKUP(I683,Parâmetros!A:A,Parâmetros!D:D,_xlfn.XLOOKUP(Q683,Parâmetros!F:F,Parâmetros!I:I))</f>
        <v>OPERAÇÕES / SUPORTE KCS</v>
      </c>
      <c r="Q683" s="1">
        <f t="shared" si="21"/>
        <v>118</v>
      </c>
    </row>
    <row r="684" spans="1:17" x14ac:dyDescent="0.25">
      <c r="A684" s="1" t="str">
        <f>_xlfn.XLOOKUP(D684,'Novo relatório'!B:B,'Novo relatório'!C:C,"RESOLVIDO")</f>
        <v>SABRE</v>
      </c>
      <c r="C684" t="str">
        <f t="shared" si="20"/>
        <v>PENDENTE</v>
      </c>
      <c r="D684" s="1">
        <v>3260098</v>
      </c>
      <c r="E684" s="1" t="s">
        <v>26</v>
      </c>
      <c r="F684" s="2">
        <v>45709.220138888886</v>
      </c>
      <c r="G684" s="1" t="s">
        <v>1065</v>
      </c>
      <c r="H684" s="1" t="s">
        <v>1065</v>
      </c>
      <c r="I684" s="1" t="s">
        <v>83</v>
      </c>
      <c r="J684" s="2">
        <v>45709.345833333333</v>
      </c>
      <c r="L684" s="1" t="s">
        <v>18</v>
      </c>
      <c r="M684" s="1" t="str">
        <f>_xlfn.XLOOKUP(I684,Parâmetros!A:A,Parâmetros!B:B,_xlfn.XLOOKUP(Q684,Parâmetros!F:F,Parâmetros!G:G,"NOVA MENSAGEM"))</f>
        <v>CLIENTE NÃO IDENTIFICADO</v>
      </c>
      <c r="N684" s="1" t="str">
        <f>_xlfn.XLOOKUP(M684,Parâmetros!K:K,Parâmetros!L:L,"")</f>
        <v>DK DE CLIENTE NÃO PREENCIDO / CLIENTE NÃO CONFIGURADO NO OBT</v>
      </c>
      <c r="O684" s="1" t="str">
        <f>_xlfn.XLOOKUP(M684,Parâmetros!B:B,Parâmetros!C:C,_xlfn.XLOOKUP(Base!M560,Parâmetros!G:G,Parâmetros!H:H))</f>
        <v>INDEFINIDO</v>
      </c>
      <c r="P684" s="1" t="str">
        <f>_xlfn.XLOOKUP(I684,Parâmetros!A:A,Parâmetros!D:D,_xlfn.XLOOKUP(Q684,Parâmetros!F:F,Parâmetros!I:I))</f>
        <v>OPERAÇÕES / SUPORTE KCS</v>
      </c>
      <c r="Q684" s="1" t="str">
        <f t="shared" si="21"/>
        <v>COLUNA I</v>
      </c>
    </row>
    <row r="685" spans="1:17" x14ac:dyDescent="0.25">
      <c r="A685" s="1" t="str">
        <f>_xlfn.XLOOKUP(D685,'Novo relatório'!B:B,'Novo relatório'!C:C,"RESOLVIDO")</f>
        <v>SABRE</v>
      </c>
      <c r="C685" t="str">
        <f t="shared" si="20"/>
        <v>PENDENTE</v>
      </c>
      <c r="D685" s="1">
        <v>3260766</v>
      </c>
      <c r="E685" s="1" t="s">
        <v>26</v>
      </c>
      <c r="F685" s="2">
        <v>45712.49722222222</v>
      </c>
      <c r="G685" s="1" t="s">
        <v>1085</v>
      </c>
      <c r="H685" s="1" t="s">
        <v>1085</v>
      </c>
      <c r="I685" s="1" t="s">
        <v>1060</v>
      </c>
      <c r="J685" s="2">
        <v>45709.523611111108</v>
      </c>
      <c r="K685" s="2">
        <v>45712.627083333333</v>
      </c>
      <c r="L685" s="1" t="s">
        <v>18</v>
      </c>
      <c r="M685" s="1" t="str">
        <f>_xlfn.XLOOKUP(I685,Parâmetros!A:A,Parâmetros!B:B,_xlfn.XLOOKUP(Q685,Parâmetros!F:F,Parâmetros!G:G,"NOVA MENSAGEM"))</f>
        <v>CÓD. CLIENTE DIVERGENTE</v>
      </c>
      <c r="N685" s="1" t="str">
        <f>_xlfn.XLOOKUP(M685,Parâmetros!K:K,Parâmetros!L:L,"")</f>
        <v>CÓDIGO DIFERENTE DO CADASTRADO NO BENNER (CLIENTE X GRUPO)</v>
      </c>
      <c r="O685" s="1" t="str">
        <f>_xlfn.XLOOKUP(M685,Parâmetros!B:B,Parâmetros!C:C,_xlfn.XLOOKUP(Base!M577,Parâmetros!G:G,Parâmetros!H:H))</f>
        <v>QUALIDADE DOS DADOS</v>
      </c>
      <c r="P685" s="1" t="str">
        <f>_xlfn.XLOOKUP(I685,Parâmetros!A:A,Parâmetros!D:D,_xlfn.XLOOKUP(Q685,Parâmetros!F:F,Parâmetros!I:I))</f>
        <v>SUPORTE OBT</v>
      </c>
      <c r="Q685" s="1">
        <f t="shared" si="21"/>
        <v>1</v>
      </c>
    </row>
    <row r="686" spans="1:17" x14ac:dyDescent="0.25">
      <c r="A686" s="1" t="str">
        <f>_xlfn.XLOOKUP(D686,'Novo relatório'!B:B,'Novo relatório'!C:C,"RESOLVIDO")</f>
        <v>SABRE</v>
      </c>
      <c r="C686" t="str">
        <f t="shared" si="20"/>
        <v>PENDENTE</v>
      </c>
      <c r="D686" s="1">
        <v>3260784</v>
      </c>
      <c r="E686" s="1" t="s">
        <v>26</v>
      </c>
      <c r="F686" s="2">
        <v>45709.395138888889</v>
      </c>
      <c r="G686" s="1" t="s">
        <v>1173</v>
      </c>
      <c r="H686" s="1" t="s">
        <v>1173</v>
      </c>
      <c r="I686" s="1" t="s">
        <v>1174</v>
      </c>
      <c r="J686" s="2">
        <v>45709.525000000001</v>
      </c>
      <c r="L686" s="1" t="s">
        <v>18</v>
      </c>
      <c r="M686" s="1" t="str">
        <f>_xlfn.XLOOKUP(I686,Parâmetros!A:A,Parâmetros!B:B,_xlfn.XLOOKUP(Q686,Parâmetros!F:F,Parâmetros!G:G,"NOVA MENSAGEM"))</f>
        <v>REMARK - CNPJ</v>
      </c>
      <c r="N686" s="1" t="str">
        <f>_xlfn.XLOOKUP(M686,Parâmetros!K:K,Parâmetros!L:L,"")</f>
        <v/>
      </c>
      <c r="O686" s="1" t="str">
        <f>_xlfn.XLOOKUP(M686,Parâmetros!B:B,Parâmetros!C:C,_xlfn.XLOOKUP(Base!M645,Parâmetros!G:G,Parâmetros!H:H))</f>
        <v>QUALIDADE DOS DADOS</v>
      </c>
      <c r="P686" s="1" t="str">
        <f>_xlfn.XLOOKUP(I686,Parâmetros!A:A,Parâmetros!D:D,_xlfn.XLOOKUP(Q686,Parâmetros!F:F,Parâmetros!I:I))</f>
        <v>OPERAÇÕES / SUPORTE KCS</v>
      </c>
      <c r="Q686" s="1">
        <f t="shared" si="21"/>
        <v>24</v>
      </c>
    </row>
    <row r="687" spans="1:17" x14ac:dyDescent="0.25">
      <c r="A687" s="1" t="str">
        <f>_xlfn.XLOOKUP(D687,'Novo relatório'!B:B,'Novo relatório'!C:C,"RESOLVIDO")</f>
        <v>SABRE</v>
      </c>
      <c r="C687" t="str">
        <f t="shared" si="20"/>
        <v>PENDENTE</v>
      </c>
      <c r="D687" s="1">
        <v>3260926</v>
      </c>
      <c r="E687" s="1" t="s">
        <v>26</v>
      </c>
      <c r="F687" s="2">
        <v>45709.45416666667</v>
      </c>
      <c r="G687" s="1" t="s">
        <v>1052</v>
      </c>
      <c r="H687" s="1" t="s">
        <v>1052</v>
      </c>
      <c r="I687" s="1" t="s">
        <v>83</v>
      </c>
      <c r="J687" s="2">
        <v>45709.585416666669</v>
      </c>
      <c r="L687" s="1" t="s">
        <v>18</v>
      </c>
      <c r="M687" s="1" t="str">
        <f>_xlfn.XLOOKUP(I687,Parâmetros!A:A,Parâmetros!B:B,_xlfn.XLOOKUP(Q687,Parâmetros!F:F,Parâmetros!G:G,"NOVA MENSAGEM"))</f>
        <v>CLIENTE NÃO IDENTIFICADO</v>
      </c>
      <c r="N687" s="1" t="str">
        <f>_xlfn.XLOOKUP(M687,Parâmetros!K:K,Parâmetros!L:L,"")</f>
        <v>DK DE CLIENTE NÃO PREENCIDO / CLIENTE NÃO CONFIGURADO NO OBT</v>
      </c>
      <c r="O687" s="1" t="str">
        <f>_xlfn.XLOOKUP(M687,Parâmetros!B:B,Parâmetros!C:C,_xlfn.XLOOKUP(Base!M552,Parâmetros!G:G,Parâmetros!H:H))</f>
        <v>INDEFINIDO</v>
      </c>
      <c r="P687" s="1" t="str">
        <f>_xlfn.XLOOKUP(I687,Parâmetros!A:A,Parâmetros!D:D,_xlfn.XLOOKUP(Q687,Parâmetros!F:F,Parâmetros!I:I))</f>
        <v>OPERAÇÕES / SUPORTE KCS</v>
      </c>
      <c r="Q687" s="1" t="str">
        <f t="shared" si="21"/>
        <v>COLUNA I</v>
      </c>
    </row>
    <row r="688" spans="1:17" x14ac:dyDescent="0.25">
      <c r="A688" s="1" t="str">
        <f>_xlfn.XLOOKUP(D688,'Novo relatório'!B:B,'Novo relatório'!C:C,"RESOLVIDO")</f>
        <v>SABRE</v>
      </c>
      <c r="C688" t="str">
        <f t="shared" si="20"/>
        <v>PENDENTE</v>
      </c>
      <c r="D688" s="1">
        <v>3260945</v>
      </c>
      <c r="E688" s="1" t="s">
        <v>26</v>
      </c>
      <c r="F688" s="2">
        <v>45709.45416666667</v>
      </c>
      <c r="G688" s="1" t="s">
        <v>1107</v>
      </c>
      <c r="H688" s="1" t="s">
        <v>1107</v>
      </c>
      <c r="I688" s="1" t="s">
        <v>620</v>
      </c>
      <c r="J688" s="2">
        <v>45709.586805555555</v>
      </c>
      <c r="L688" s="1" t="s">
        <v>18</v>
      </c>
      <c r="M688" s="1" t="str">
        <f>_xlfn.XLOOKUP(I688,Parâmetros!A:A,Parâmetros!B:B,_xlfn.XLOOKUP(Q688,Parâmetros!F:F,Parâmetros!G:G,"NOVA MENSAGEM"))</f>
        <v>CÓD. CLIENTE DIVERGENTE</v>
      </c>
      <c r="N688" s="1" t="str">
        <f>_xlfn.XLOOKUP(M688,Parâmetros!K:K,Parâmetros!L:L,"")</f>
        <v>CÓDIGO DIFERENTE DO CADASTRADO NO BENNER (CLIENTE X GRUPO)</v>
      </c>
      <c r="O688" s="1" t="str">
        <f>_xlfn.XLOOKUP(M688,Parâmetros!B:B,Parâmetros!C:C,_xlfn.XLOOKUP(Base!M593,Parâmetros!G:G,Parâmetros!H:H))</f>
        <v>QUALIDADE DOS DADOS</v>
      </c>
      <c r="P688" s="1" t="str">
        <f>_xlfn.XLOOKUP(I688,Parâmetros!A:A,Parâmetros!D:D,_xlfn.XLOOKUP(Q688,Parâmetros!F:F,Parâmetros!I:I))</f>
        <v>SUPORTE OBT</v>
      </c>
      <c r="Q688" s="1">
        <f t="shared" si="21"/>
        <v>1</v>
      </c>
    </row>
    <row r="689" spans="1:17" x14ac:dyDescent="0.25">
      <c r="A689" s="1" t="str">
        <f>_xlfn.XLOOKUP(D689,'Novo relatório'!B:B,'Novo relatório'!C:C,"RESOLVIDO")</f>
        <v>SABRE</v>
      </c>
      <c r="C689" t="str">
        <f t="shared" si="20"/>
        <v>PENDENTE</v>
      </c>
      <c r="D689" s="1">
        <v>3260963</v>
      </c>
      <c r="E689" s="1" t="s">
        <v>26</v>
      </c>
      <c r="F689" s="2">
        <v>45709.469444444447</v>
      </c>
      <c r="G689" s="1" t="s">
        <v>1091</v>
      </c>
      <c r="H689" s="1" t="s">
        <v>1092</v>
      </c>
      <c r="I689" s="1" t="s">
        <v>1093</v>
      </c>
      <c r="J689" s="2">
        <v>45709.597916666666</v>
      </c>
      <c r="L689" s="1" t="s">
        <v>18</v>
      </c>
      <c r="M689" s="1" t="str">
        <f>_xlfn.XLOOKUP(I689,Parâmetros!A:A,Parâmetros!B:B,_xlfn.XLOOKUP(Q689,Parâmetros!F:F,Parâmetros!G:G,"NOVA MENSAGEM"))</f>
        <v>CÓD. CLIENTE DIVERGENTE</v>
      </c>
      <c r="N689" s="1" t="str">
        <f>_xlfn.XLOOKUP(M689,Parâmetros!K:K,Parâmetros!L:L,"")</f>
        <v>CÓDIGO DIFERENTE DO CADASTRADO NO BENNER (CLIENTE X GRUPO)</v>
      </c>
      <c r="O689" s="1" t="str">
        <f>_xlfn.XLOOKUP(M689,Parâmetros!B:B,Parâmetros!C:C,_xlfn.XLOOKUP(Base!M582,Parâmetros!G:G,Parâmetros!H:H))</f>
        <v>QUALIDADE DOS DADOS</v>
      </c>
      <c r="P689" s="1" t="str">
        <f>_xlfn.XLOOKUP(I689,Parâmetros!A:A,Parâmetros!D:D,_xlfn.XLOOKUP(Q689,Parâmetros!F:F,Parâmetros!I:I))</f>
        <v>SUPORTE OBT</v>
      </c>
      <c r="Q689" s="1">
        <f t="shared" si="21"/>
        <v>1</v>
      </c>
    </row>
    <row r="690" spans="1:17" x14ac:dyDescent="0.25">
      <c r="A690" s="1" t="str">
        <f>_xlfn.XLOOKUP(D690,'Novo relatório'!B:B,'Novo relatório'!C:C,"RESOLVIDO")</f>
        <v>TMS</v>
      </c>
      <c r="C690" t="str">
        <f t="shared" si="20"/>
        <v>PENDENTE</v>
      </c>
      <c r="D690" s="1">
        <v>3261825</v>
      </c>
      <c r="E690" s="1" t="s">
        <v>12</v>
      </c>
      <c r="F690" s="2">
        <v>45709.438888888886</v>
      </c>
      <c r="G690" s="1">
        <v>3002</v>
      </c>
      <c r="H690" s="1">
        <v>3002</v>
      </c>
      <c r="I690" s="1" t="s">
        <v>16</v>
      </c>
      <c r="J690" s="2">
        <v>45709.728472222225</v>
      </c>
      <c r="K690" s="2">
        <v>45712.967361111114</v>
      </c>
      <c r="L690" s="1" t="s">
        <v>14</v>
      </c>
      <c r="M690" s="1" t="str">
        <f>_xlfn.XLOOKUP(I690,Parâmetros!A:A,Parâmetros!B:B,_xlfn.XLOOKUP(Q690,Parâmetros!F:F,Parâmetros!G:G,"NOVA MENSAGEM"))</f>
        <v>ASSENTO / BAGAGEM</v>
      </c>
      <c r="N690" s="1" t="str">
        <f>_xlfn.XLOOKUP(M690,Parâmetros!K:K,Parâmetros!L:L,"")</f>
        <v>CAMPO OBSERVAÇÃO PREENCHIDO INCORRETAMENTE</v>
      </c>
      <c r="O690" s="1" t="str">
        <f>_xlfn.XLOOKUP(M690,Parâmetros!B:B,Parâmetros!C:C,_xlfn.XLOOKUP(Base!M691,Parâmetros!G:G,Parâmetros!H:H))</f>
        <v>QUALIDADE DOS DADOS</v>
      </c>
      <c r="P690" s="1" t="str">
        <f>_xlfn.XLOOKUP(I690,Parâmetros!A:A,Parâmetros!D:D,_xlfn.XLOOKUP(Q690,Parâmetros!F:F,Parâmetros!I:I))</f>
        <v>OPERAÇÕES / SUPORTE KCS</v>
      </c>
      <c r="Q690" s="1">
        <f t="shared" si="21"/>
        <v>118</v>
      </c>
    </row>
    <row r="691" spans="1:17" x14ac:dyDescent="0.25">
      <c r="A691" s="1" t="str">
        <f>_xlfn.XLOOKUP(D691,'Novo relatório'!B:B,'Novo relatório'!C:C,"RESOLVIDO")</f>
        <v>SABRE</v>
      </c>
      <c r="C691" t="str">
        <f t="shared" si="20"/>
        <v>PENDENTE</v>
      </c>
      <c r="D691" s="1">
        <v>3262221</v>
      </c>
      <c r="E691" s="1" t="s">
        <v>26</v>
      </c>
      <c r="F691" s="2">
        <v>45709.634722222225</v>
      </c>
      <c r="G691" s="1" t="s">
        <v>1219</v>
      </c>
      <c r="H691" s="1" t="s">
        <v>1220</v>
      </c>
      <c r="I691" s="1" t="s">
        <v>1221</v>
      </c>
      <c r="J691" s="2">
        <v>45709.763888888891</v>
      </c>
      <c r="L691" s="1" t="s">
        <v>19</v>
      </c>
      <c r="M691" s="1" t="str">
        <f>_xlfn.XLOOKUP(I691,Parâmetros!A:A,Parâmetros!B:B,_xlfn.XLOOKUP(Q691,Parâmetros!F:F,Parâmetros!G:G,"NOVA MENSAGEM"))</f>
        <v>NOVA MENSAGEM</v>
      </c>
      <c r="N691" s="1" t="str">
        <f>_xlfn.XLOOKUP(M691,Parâmetros!K:K,Parâmetros!L:L,"")</f>
        <v/>
      </c>
      <c r="O691" s="1" t="str">
        <f>_xlfn.XLOOKUP(M691,Parâmetros!B:B,Parâmetros!C:C,_xlfn.XLOOKUP(Base!M680,Parâmetros!G:G,Parâmetros!H:H))</f>
        <v>QUALIDADE DOS DADOS</v>
      </c>
      <c r="P691" s="1" t="e">
        <f>_xlfn.XLOOKUP(I691,Parâmetros!A:A,Parâmetros!D:D,_xlfn.XLOOKUP(Q691,Parâmetros!F:F,Parâmetros!I:I))</f>
        <v>#N/A</v>
      </c>
      <c r="Q691" s="1">
        <f t="shared" si="21"/>
        <v>56</v>
      </c>
    </row>
    <row r="692" spans="1:17" x14ac:dyDescent="0.25">
      <c r="A692" s="1" t="str">
        <f>_xlfn.XLOOKUP(D692,'Novo relatório'!B:B,'Novo relatório'!C:C,"RESOLVIDO")</f>
        <v>SABRE</v>
      </c>
      <c r="C692" t="str">
        <f t="shared" si="20"/>
        <v>PENDENTE</v>
      </c>
      <c r="D692" s="1">
        <v>3263625</v>
      </c>
      <c r="E692" s="1" t="s">
        <v>26</v>
      </c>
      <c r="F692" s="2">
        <v>45712.306944444441</v>
      </c>
      <c r="G692" s="1" t="s">
        <v>1218</v>
      </c>
      <c r="H692" s="1" t="s">
        <v>1218</v>
      </c>
      <c r="I692" s="1" t="s">
        <v>408</v>
      </c>
      <c r="J692" s="2">
        <v>45712.439583333333</v>
      </c>
      <c r="L692" s="1" t="s">
        <v>18</v>
      </c>
      <c r="M692" s="1" t="str">
        <f>_xlfn.XLOOKUP(I692,Parâmetros!A:A,Parâmetros!B:B,_xlfn.XLOOKUP(Q692,Parâmetros!F:F,Parâmetros!G:G,"NOVA MENSAGEM"))</f>
        <v>CÓD. CLIENTE DIVERGENTE</v>
      </c>
      <c r="N692" s="1" t="str">
        <f>_xlfn.XLOOKUP(M692,Parâmetros!K:K,Parâmetros!L:L,"")</f>
        <v>CÓDIGO DIFERENTE DO CADASTRADO NO BENNER (CLIENTE X GRUPO)</v>
      </c>
      <c r="O692" s="1" t="str">
        <f>_xlfn.XLOOKUP(M692,Parâmetros!B:B,Parâmetros!C:C,_xlfn.XLOOKUP(Base!M679,Parâmetros!G:G,Parâmetros!H:H))</f>
        <v>QUALIDADE DOS DADOS</v>
      </c>
      <c r="P692" s="1" t="str">
        <f>_xlfn.XLOOKUP(I692,Parâmetros!A:A,Parâmetros!D:D,_xlfn.XLOOKUP(Q692,Parâmetros!F:F,Parâmetros!I:I))</f>
        <v>SUPORTE OBT</v>
      </c>
      <c r="Q692" s="1">
        <f t="shared" si="21"/>
        <v>1</v>
      </c>
    </row>
    <row r="693" spans="1:17" x14ac:dyDescent="0.25">
      <c r="A693" s="1" t="str">
        <f>_xlfn.XLOOKUP(D693,'Novo relatório'!B:B,'Novo relatório'!C:C,"RESOLVIDO")</f>
        <v>SABRE</v>
      </c>
      <c r="C693" t="str">
        <f t="shared" si="20"/>
        <v>PENDENTE</v>
      </c>
      <c r="D693" s="1">
        <v>3263629</v>
      </c>
      <c r="E693" s="1" t="s">
        <v>26</v>
      </c>
      <c r="F693" s="2">
        <v>45712.306944444441</v>
      </c>
      <c r="G693" s="1" t="s">
        <v>1165</v>
      </c>
      <c r="H693" s="1" t="s">
        <v>1165</v>
      </c>
      <c r="I693" s="1" t="s">
        <v>1060</v>
      </c>
      <c r="J693" s="2">
        <v>45712.440972222219</v>
      </c>
      <c r="L693" s="1" t="s">
        <v>18</v>
      </c>
      <c r="M693" s="1" t="str">
        <f>_xlfn.XLOOKUP(I693,Parâmetros!A:A,Parâmetros!B:B,_xlfn.XLOOKUP(Q693,Parâmetros!F:F,Parâmetros!G:G,"NOVA MENSAGEM"))</f>
        <v>CÓD. CLIENTE DIVERGENTE</v>
      </c>
      <c r="N693" s="1" t="str">
        <f>_xlfn.XLOOKUP(M693,Parâmetros!K:K,Parâmetros!L:L,"")</f>
        <v>CÓDIGO DIFERENTE DO CADASTRADO NO BENNER (CLIENTE X GRUPO)</v>
      </c>
      <c r="O693" s="1" t="str">
        <f>_xlfn.XLOOKUP(M693,Parâmetros!B:B,Parâmetros!C:C,_xlfn.XLOOKUP(Base!M638,Parâmetros!G:G,Parâmetros!H:H))</f>
        <v>QUALIDADE DOS DADOS</v>
      </c>
      <c r="P693" s="1" t="str">
        <f>_xlfn.XLOOKUP(I693,Parâmetros!A:A,Parâmetros!D:D,_xlfn.XLOOKUP(Q693,Parâmetros!F:F,Parâmetros!I:I))</f>
        <v>SUPORTE OBT</v>
      </c>
      <c r="Q693" s="1">
        <f t="shared" si="21"/>
        <v>1</v>
      </c>
    </row>
    <row r="694" spans="1:17" x14ac:dyDescent="0.25">
      <c r="A694" s="1" t="str">
        <f>_xlfn.XLOOKUP(D694,'Novo relatório'!B:B,'Novo relatório'!C:C,"RESOLVIDO")</f>
        <v>SABRE</v>
      </c>
      <c r="C694" t="str">
        <f t="shared" si="20"/>
        <v>PENDENTE</v>
      </c>
      <c r="D694" s="1">
        <v>3263662</v>
      </c>
      <c r="E694" s="1" t="s">
        <v>26</v>
      </c>
      <c r="F694" s="2">
        <v>45712.306944444441</v>
      </c>
      <c r="G694" s="1" t="s">
        <v>1110</v>
      </c>
      <c r="H694" s="1" t="s">
        <v>1110</v>
      </c>
      <c r="I694" s="1" t="s">
        <v>398</v>
      </c>
      <c r="J694" s="2">
        <v>45712.445138888892</v>
      </c>
      <c r="L694" s="1" t="s">
        <v>18</v>
      </c>
      <c r="M694" s="1" t="str">
        <f>_xlfn.XLOOKUP(I694,Parâmetros!A:A,Parâmetros!B:B,_xlfn.XLOOKUP(Q694,Parâmetros!F:F,Parâmetros!G:G,"NOVA MENSAGEM"))</f>
        <v>REMARK - CNPJ</v>
      </c>
      <c r="N694" s="1" t="str">
        <f>_xlfn.XLOOKUP(M694,Parâmetros!K:K,Parâmetros!L:L,"")</f>
        <v/>
      </c>
      <c r="O694" s="1" t="e">
        <f>_xlfn.XLOOKUP(M694,Parâmetros!B:B,Parâmetros!C:C,_xlfn.XLOOKUP(Base!M595,Parâmetros!G:G,Parâmetros!H:H))</f>
        <v>#N/A</v>
      </c>
      <c r="P694" s="1" t="str">
        <f>_xlfn.XLOOKUP(I694,Parâmetros!A:A,Parâmetros!D:D,_xlfn.XLOOKUP(Q694,Parâmetros!F:F,Parâmetros!I:I))</f>
        <v>OPERAÇÕES / SUPORTE KCS</v>
      </c>
      <c r="Q694" s="1">
        <f t="shared" si="21"/>
        <v>24</v>
      </c>
    </row>
    <row r="695" spans="1:17" x14ac:dyDescent="0.25">
      <c r="A695" s="1" t="str">
        <f>_xlfn.XLOOKUP(D695,'Novo relatório'!B:B,'Novo relatório'!C:C,"RESOLVIDO")</f>
        <v>SABRE</v>
      </c>
      <c r="C695" t="str">
        <f t="shared" si="20"/>
        <v>PENDENTE</v>
      </c>
      <c r="D695" s="1">
        <v>3263693</v>
      </c>
      <c r="E695" s="1" t="s">
        <v>26</v>
      </c>
      <c r="F695" s="2">
        <v>45712.306944444441</v>
      </c>
      <c r="G695" s="1" t="s">
        <v>1170</v>
      </c>
      <c r="H695" s="1" t="s">
        <v>1170</v>
      </c>
      <c r="I695" s="1" t="s">
        <v>396</v>
      </c>
      <c r="J695" s="2">
        <v>45712.451388888891</v>
      </c>
      <c r="L695" s="1" t="s">
        <v>18</v>
      </c>
      <c r="M695" s="1" t="str">
        <f>_xlfn.XLOOKUP(I695,Parâmetros!A:A,Parâmetros!B:B,_xlfn.XLOOKUP(Q695,Parâmetros!F:F,Parâmetros!G:G,"NOVA MENSAGEM"))</f>
        <v>CÓD. CLIENTE DIVERGENTE</v>
      </c>
      <c r="N695" s="1" t="str">
        <f>_xlfn.XLOOKUP(M695,Parâmetros!K:K,Parâmetros!L:L,"")</f>
        <v>CÓDIGO DIFERENTE DO CADASTRADO NO BENNER (CLIENTE X GRUPO)</v>
      </c>
      <c r="O695" s="1" t="str">
        <f>_xlfn.XLOOKUP(M695,Parâmetros!B:B,Parâmetros!C:C,_xlfn.XLOOKUP(Base!M643,Parâmetros!G:G,Parâmetros!H:H))</f>
        <v>QUALIDADE DOS DADOS</v>
      </c>
      <c r="P695" s="1" t="str">
        <f>_xlfn.XLOOKUP(I695,Parâmetros!A:A,Parâmetros!D:D,_xlfn.XLOOKUP(Q695,Parâmetros!F:F,Parâmetros!I:I))</f>
        <v>SUPORTE OBT</v>
      </c>
      <c r="Q695" s="1">
        <f t="shared" si="21"/>
        <v>1</v>
      </c>
    </row>
    <row r="696" spans="1:17" x14ac:dyDescent="0.25">
      <c r="A696" s="1" t="str">
        <f>_xlfn.XLOOKUP(D696,'Novo relatório'!B:B,'Novo relatório'!C:C,"RESOLVIDO")</f>
        <v>TMS</v>
      </c>
      <c r="C696" t="str">
        <f t="shared" si="20"/>
        <v>PENDENTE</v>
      </c>
      <c r="D696" s="1">
        <v>3263757</v>
      </c>
      <c r="E696" s="1" t="s">
        <v>12</v>
      </c>
      <c r="F696" s="2">
        <v>45712.426388888889</v>
      </c>
      <c r="G696" s="1">
        <v>54142</v>
      </c>
      <c r="H696" s="1">
        <v>54142</v>
      </c>
      <c r="I696" s="1" t="s">
        <v>1236</v>
      </c>
      <c r="J696" s="2">
        <v>45712.458333333336</v>
      </c>
      <c r="K696" s="2">
        <v>45713.209722222222</v>
      </c>
      <c r="L696" s="1" t="s">
        <v>14</v>
      </c>
      <c r="M696" s="1" t="str">
        <f>_xlfn.XLOOKUP(I696,Parâmetros!A:A,Parâmetros!B:B,_xlfn.XLOOKUP(Q696,Parâmetros!F:F,Parâmetros!G:G,"NOVA MENSAGEM"))</f>
        <v>ASSENTO / BAGAGEM</v>
      </c>
      <c r="N696" s="1" t="str">
        <f>_xlfn.XLOOKUP(M696,Parâmetros!K:K,Parâmetros!L:L,"")</f>
        <v>CAMPO OBSERVAÇÃO PREENCHIDO INCORRETAMENTE</v>
      </c>
      <c r="O696" s="1" t="str">
        <f>_xlfn.XLOOKUP(M696,Parâmetros!B:B,Parâmetros!C:C,_xlfn.XLOOKUP(Base!M694,Parâmetros!G:G,Parâmetros!H:H))</f>
        <v>QUALIDADE DOS DADOS</v>
      </c>
      <c r="P696" s="1" t="str">
        <f>_xlfn.XLOOKUP(I696,Parâmetros!A:A,Parâmetros!D:D,_xlfn.XLOOKUP(Q696,Parâmetros!F:F,Parâmetros!I:I))</f>
        <v>OPERAÇÕES / SUPORTE KCS</v>
      </c>
      <c r="Q696" s="1">
        <f t="shared" si="21"/>
        <v>127</v>
      </c>
    </row>
    <row r="697" spans="1:17" x14ac:dyDescent="0.25">
      <c r="A697" s="1" t="str">
        <f>_xlfn.XLOOKUP(D697,'Novo relatório'!B:B,'Novo relatório'!C:C,"RESOLVIDO")</f>
        <v>SABRE</v>
      </c>
      <c r="C697" t="str">
        <f t="shared" si="20"/>
        <v>PENDENTE</v>
      </c>
      <c r="D697" s="1">
        <v>3264451</v>
      </c>
      <c r="E697" s="1" t="s">
        <v>26</v>
      </c>
      <c r="F697" s="2">
        <v>45712.636111111111</v>
      </c>
      <c r="G697" s="1" t="s">
        <v>1176</v>
      </c>
      <c r="H697" s="1" t="s">
        <v>1176</v>
      </c>
      <c r="I697" s="1" t="s">
        <v>83</v>
      </c>
      <c r="J697" s="2">
        <v>45712.656944444447</v>
      </c>
      <c r="K697" s="2">
        <v>45712.761805555558</v>
      </c>
      <c r="L697" s="1" t="s">
        <v>18</v>
      </c>
      <c r="M697" s="1" t="str">
        <f>_xlfn.XLOOKUP(I697,Parâmetros!A:A,Parâmetros!B:B,_xlfn.XLOOKUP(Q697,Parâmetros!F:F,Parâmetros!G:G,"NOVA MENSAGEM"))</f>
        <v>CLIENTE NÃO IDENTIFICADO</v>
      </c>
      <c r="N697" s="1" t="str">
        <f>_xlfn.XLOOKUP(M697,Parâmetros!K:K,Parâmetros!L:L,"")</f>
        <v>DK DE CLIENTE NÃO PREENCIDO / CLIENTE NÃO CONFIGURADO NO OBT</v>
      </c>
      <c r="O697" s="1" t="str">
        <f>_xlfn.XLOOKUP(M697,Parâmetros!B:B,Parâmetros!C:C,_xlfn.XLOOKUP(Base!M647,Parâmetros!G:G,Parâmetros!H:H))</f>
        <v>INDEFINIDO</v>
      </c>
      <c r="P697" s="1" t="str">
        <f>_xlfn.XLOOKUP(I697,Parâmetros!A:A,Parâmetros!D:D,_xlfn.XLOOKUP(Q697,Parâmetros!F:F,Parâmetros!I:I))</f>
        <v>OPERAÇÕES / SUPORTE KCS</v>
      </c>
      <c r="Q697" s="1" t="str">
        <f t="shared" si="21"/>
        <v>COLUNA I</v>
      </c>
    </row>
    <row r="698" spans="1:17" x14ac:dyDescent="0.25">
      <c r="A698" s="1" t="str">
        <f>_xlfn.XLOOKUP(D698,'Novo relatório'!B:B,'Novo relatório'!C:C,"RESOLVIDO")</f>
        <v>TMS</v>
      </c>
      <c r="C698" t="str">
        <f t="shared" si="20"/>
        <v>PENDENTE</v>
      </c>
      <c r="D698" s="1">
        <v>3266085</v>
      </c>
      <c r="E698" s="1" t="s">
        <v>12</v>
      </c>
      <c r="F698" s="2">
        <v>45712.769444444442</v>
      </c>
      <c r="G698" s="1">
        <v>25319</v>
      </c>
      <c r="H698" s="1">
        <v>25319</v>
      </c>
      <c r="I698" s="1" t="s">
        <v>374</v>
      </c>
      <c r="J698" s="2">
        <v>45712.958333333336</v>
      </c>
      <c r="K698" s="2">
        <v>45713.209722222222</v>
      </c>
      <c r="L698" s="1" t="s">
        <v>14</v>
      </c>
      <c r="M698" s="1" t="str">
        <f>_xlfn.XLOOKUP(I698,Parâmetros!A:A,Parâmetros!B:B,_xlfn.XLOOKUP(Q698,Parâmetros!F:F,Parâmetros!G:G,"NOVA MENSAGEM"))</f>
        <v>FORMATO DE TEXTO</v>
      </c>
      <c r="N698" s="1" t="str">
        <f>_xlfn.XLOOKUP(M698,Parâmetros!K:K,Parâmetros!L:L,"")</f>
        <v>TEXTO FORA DO PADRÃO ACEITO NO CAMPO</v>
      </c>
      <c r="O698" s="1" t="str">
        <f>_xlfn.XLOOKUP(M698,Parâmetros!B:B,Parâmetros!C:C,_xlfn.XLOOKUP(Base!M690,Parâmetros!G:G,Parâmetros!H:H))</f>
        <v>INDEFINIDO</v>
      </c>
      <c r="P698" s="1" t="str">
        <f>_xlfn.XLOOKUP(I698,Parâmetros!A:A,Parâmetros!D:D,_xlfn.XLOOKUP(Q698,Parâmetros!F:F,Parâmetros!I:I))</f>
        <v>SUPORTE OBT</v>
      </c>
      <c r="Q698" s="1" t="str">
        <f t="shared" si="21"/>
        <v>COLUNA I</v>
      </c>
    </row>
    <row r="699" spans="1:17" x14ac:dyDescent="0.25">
      <c r="A699" s="1" t="str">
        <f>_xlfn.XLOOKUP(D699,'Novo relatório'!B:B,'Novo relatório'!C:C,"RESOLVIDO")</f>
        <v>SABRE</v>
      </c>
      <c r="C699" t="str">
        <f t="shared" si="20"/>
        <v>PENDENTE</v>
      </c>
      <c r="D699" s="1">
        <v>3266483</v>
      </c>
      <c r="E699" s="1" t="s">
        <v>26</v>
      </c>
      <c r="F699" s="2">
        <v>45713.268750000003</v>
      </c>
      <c r="G699" s="1" t="s">
        <v>1063</v>
      </c>
      <c r="H699" s="1" t="s">
        <v>1063</v>
      </c>
      <c r="I699" s="1" t="s">
        <v>1064</v>
      </c>
      <c r="J699" s="2">
        <v>45713.402083333334</v>
      </c>
      <c r="L699" s="1" t="s">
        <v>19</v>
      </c>
      <c r="M699" s="1" t="str">
        <f>_xlfn.XLOOKUP(I699,Parâmetros!A:A,Parâmetros!B:B,_xlfn.XLOOKUP(Q699,Parâmetros!F:F,Parâmetros!G:G,"NOVA MENSAGEM"))</f>
        <v>NOVA MENSAGEM</v>
      </c>
      <c r="N699" s="1" t="str">
        <f>_xlfn.XLOOKUP(M699,Parâmetros!K:K,Parâmetros!L:L,"")</f>
        <v/>
      </c>
      <c r="O699" s="1" t="e">
        <f>_xlfn.XLOOKUP(M699,Parâmetros!B:B,Parâmetros!C:C,_xlfn.XLOOKUP(Base!M559,Parâmetros!G:G,Parâmetros!H:H))</f>
        <v>#N/A</v>
      </c>
      <c r="P699" s="1" t="e">
        <f>_xlfn.XLOOKUP(I699,Parâmetros!A:A,Parâmetros!D:D,_xlfn.XLOOKUP(Q699,Parâmetros!F:F,Parâmetros!I:I))</f>
        <v>#N/A</v>
      </c>
      <c r="Q699" s="1">
        <f t="shared" si="21"/>
        <v>34</v>
      </c>
    </row>
    <row r="700" spans="1:17" x14ac:dyDescent="0.25">
      <c r="A700" s="1" t="str">
        <f>_xlfn.XLOOKUP(D700,'Novo relatório'!B:B,'Novo relatório'!C:C,"RESOLVIDO")</f>
        <v>SABRE</v>
      </c>
      <c r="C700" t="str">
        <f t="shared" si="20"/>
        <v>PENDENTE</v>
      </c>
      <c r="D700" s="1">
        <v>3266488</v>
      </c>
      <c r="E700" s="1" t="s">
        <v>26</v>
      </c>
      <c r="F700" s="2">
        <v>45713.268750000003</v>
      </c>
      <c r="G700" s="1" t="s">
        <v>1073</v>
      </c>
      <c r="H700" s="1" t="s">
        <v>1073</v>
      </c>
      <c r="I700" s="1" t="s">
        <v>488</v>
      </c>
      <c r="J700" s="2">
        <v>45713.402777777781</v>
      </c>
      <c r="L700" s="1" t="s">
        <v>18</v>
      </c>
      <c r="M700" s="1" t="str">
        <f>_xlfn.XLOOKUP(I700,Parâmetros!A:A,Parâmetros!B:B,_xlfn.XLOOKUP(Q700,Parâmetros!F:F,Parâmetros!G:G,"NOVA MENSAGEM"))</f>
        <v>CÓD. CLIENTE DIVERGENTE</v>
      </c>
      <c r="N700" s="1" t="str">
        <f>_xlfn.XLOOKUP(M700,Parâmetros!K:K,Parâmetros!L:L,"")</f>
        <v>CÓDIGO DIFERENTE DO CADASTRADO NO BENNER (CLIENTE X GRUPO)</v>
      </c>
      <c r="O700" s="1" t="str">
        <f>_xlfn.XLOOKUP(M700,Parâmetros!B:B,Parâmetros!C:C,_xlfn.XLOOKUP(Base!M567,Parâmetros!G:G,Parâmetros!H:H))</f>
        <v>QUALIDADE DOS DADOS</v>
      </c>
      <c r="P700" s="1" t="str">
        <f>_xlfn.XLOOKUP(I700,Parâmetros!A:A,Parâmetros!D:D,_xlfn.XLOOKUP(Q700,Parâmetros!F:F,Parâmetros!I:I))</f>
        <v>OPERAÇÕES / SUPORTE KCS</v>
      </c>
      <c r="Q700" s="1">
        <f t="shared" si="21"/>
        <v>1</v>
      </c>
    </row>
    <row r="701" spans="1:17" x14ac:dyDescent="0.25">
      <c r="A701" s="1" t="str">
        <f>_xlfn.XLOOKUP(D701,'Novo relatório'!B:B,'Novo relatório'!C:C,"RESOLVIDO")</f>
        <v>SABRE</v>
      </c>
      <c r="C701" t="str">
        <f t="shared" si="20"/>
        <v>PENDENTE</v>
      </c>
      <c r="D701" s="1">
        <v>3266493</v>
      </c>
      <c r="E701" s="1" t="s">
        <v>26</v>
      </c>
      <c r="F701" s="2">
        <v>45713.268750000003</v>
      </c>
      <c r="G701" s="1" t="s">
        <v>1087</v>
      </c>
      <c r="H701" s="1" t="s">
        <v>1087</v>
      </c>
      <c r="I701" s="1" t="s">
        <v>1060</v>
      </c>
      <c r="J701" s="2">
        <v>45713.40347222222</v>
      </c>
      <c r="L701" s="1" t="s">
        <v>18</v>
      </c>
      <c r="M701" s="1" t="str">
        <f>_xlfn.XLOOKUP(I701,Parâmetros!A:A,Parâmetros!B:B,_xlfn.XLOOKUP(Q701,Parâmetros!F:F,Parâmetros!G:G,"NOVA MENSAGEM"))</f>
        <v>CÓD. CLIENTE DIVERGENTE</v>
      </c>
      <c r="N701" s="1" t="str">
        <f>_xlfn.XLOOKUP(M701,Parâmetros!K:K,Parâmetros!L:L,"")</f>
        <v>CÓDIGO DIFERENTE DO CADASTRADO NO BENNER (CLIENTE X GRUPO)</v>
      </c>
      <c r="O701" s="1" t="str">
        <f>_xlfn.XLOOKUP(M701,Parâmetros!B:B,Parâmetros!C:C,_xlfn.XLOOKUP(Base!M579,Parâmetros!G:G,Parâmetros!H:H))</f>
        <v>QUALIDADE DOS DADOS</v>
      </c>
      <c r="P701" s="1" t="str">
        <f>_xlfn.XLOOKUP(I701,Parâmetros!A:A,Parâmetros!D:D,_xlfn.XLOOKUP(Q701,Parâmetros!F:F,Parâmetros!I:I))</f>
        <v>SUPORTE OBT</v>
      </c>
      <c r="Q701" s="1">
        <f t="shared" si="21"/>
        <v>1</v>
      </c>
    </row>
    <row r="702" spans="1:17" x14ac:dyDescent="0.25">
      <c r="A702" s="1" t="str">
        <f>_xlfn.XLOOKUP(D702,'Novo relatório'!B:B,'Novo relatório'!C:C,"RESOLVIDO")</f>
        <v>SABRE</v>
      </c>
      <c r="C702" t="str">
        <f t="shared" si="20"/>
        <v>PENDENTE</v>
      </c>
      <c r="D702" s="1">
        <v>3266494</v>
      </c>
      <c r="E702" s="1" t="s">
        <v>26</v>
      </c>
      <c r="F702" s="2">
        <v>45713.268750000003</v>
      </c>
      <c r="G702" s="1" t="s">
        <v>1111</v>
      </c>
      <c r="H702" s="1" t="s">
        <v>1111</v>
      </c>
      <c r="I702" s="1" t="s">
        <v>1064</v>
      </c>
      <c r="J702" s="2">
        <v>45713.404166666667</v>
      </c>
      <c r="L702" s="1" t="s">
        <v>19</v>
      </c>
      <c r="M702" s="1" t="str">
        <f>_xlfn.XLOOKUP(I702,Parâmetros!A:A,Parâmetros!B:B,_xlfn.XLOOKUP(Q702,Parâmetros!F:F,Parâmetros!G:G,"NOVA MENSAGEM"))</f>
        <v>NOVA MENSAGEM</v>
      </c>
      <c r="N702" s="1" t="str">
        <f>_xlfn.XLOOKUP(M702,Parâmetros!K:K,Parâmetros!L:L,"")</f>
        <v/>
      </c>
      <c r="O702" s="1" t="str">
        <f>_xlfn.XLOOKUP(M702,Parâmetros!B:B,Parâmetros!C:C,_xlfn.XLOOKUP(Base!M596,Parâmetros!G:G,Parâmetros!H:H))</f>
        <v>QUALIDADE DOS DADOS</v>
      </c>
      <c r="P702" s="1" t="e">
        <f>_xlfn.XLOOKUP(I702,Parâmetros!A:A,Parâmetros!D:D,_xlfn.XLOOKUP(Q702,Parâmetros!F:F,Parâmetros!I:I))</f>
        <v>#N/A</v>
      </c>
      <c r="Q702" s="1">
        <f t="shared" si="21"/>
        <v>34</v>
      </c>
    </row>
    <row r="703" spans="1:17" x14ac:dyDescent="0.25">
      <c r="A703" s="1" t="str">
        <f>_xlfn.XLOOKUP(D703,'Novo relatório'!B:B,'Novo relatório'!C:C,"RESOLVIDO")</f>
        <v>SABRE</v>
      </c>
      <c r="C703" t="str">
        <f t="shared" si="20"/>
        <v>PENDENTE</v>
      </c>
      <c r="D703" s="1">
        <v>3266502</v>
      </c>
      <c r="E703" s="1" t="s">
        <v>26</v>
      </c>
      <c r="F703" s="2">
        <v>45713.268750000003</v>
      </c>
      <c r="G703" s="1" t="s">
        <v>1086</v>
      </c>
      <c r="H703" s="1" t="s">
        <v>1086</v>
      </c>
      <c r="I703" s="1" t="s">
        <v>1054</v>
      </c>
      <c r="J703" s="2">
        <v>45713.404861111114</v>
      </c>
      <c r="L703" s="1" t="s">
        <v>18</v>
      </c>
      <c r="M703" s="1" t="str">
        <f>_xlfn.XLOOKUP(I703,Parâmetros!A:A,Parâmetros!B:B,_xlfn.XLOOKUP(Q703,Parâmetros!F:F,Parâmetros!G:G,"NOVA MENSAGEM"))</f>
        <v>CÓD. CLIENTE DIVERGENTE</v>
      </c>
      <c r="N703" s="1" t="str">
        <f>_xlfn.XLOOKUP(M703,Parâmetros!K:K,Parâmetros!L:L,"")</f>
        <v>CÓDIGO DIFERENTE DO CADASTRADO NO BENNER (CLIENTE X GRUPO)</v>
      </c>
      <c r="O703" s="1" t="str">
        <f>_xlfn.XLOOKUP(M703,Parâmetros!B:B,Parâmetros!C:C,_xlfn.XLOOKUP(Base!M578,Parâmetros!G:G,Parâmetros!H:H))</f>
        <v>QUALIDADE DOS DADOS</v>
      </c>
      <c r="P703" s="1" t="str">
        <f>_xlfn.XLOOKUP(I703,Parâmetros!A:A,Parâmetros!D:D,_xlfn.XLOOKUP(Q703,Parâmetros!F:F,Parâmetros!I:I))</f>
        <v>SUPORTE OBT</v>
      </c>
      <c r="Q703" s="1">
        <f t="shared" si="21"/>
        <v>1</v>
      </c>
    </row>
    <row r="704" spans="1:17" x14ac:dyDescent="0.25">
      <c r="A704" s="1" t="str">
        <f>_xlfn.XLOOKUP(D704,'Novo relatório'!B:B,'Novo relatório'!C:C,"RESOLVIDO")</f>
        <v>SABRE</v>
      </c>
      <c r="C704" t="str">
        <f t="shared" si="20"/>
        <v>PENDENTE</v>
      </c>
      <c r="D704" s="1">
        <v>3266507</v>
      </c>
      <c r="E704" s="1" t="s">
        <v>26</v>
      </c>
      <c r="F704" s="2">
        <v>45713.268750000003</v>
      </c>
      <c r="G704" s="1" t="s">
        <v>1102</v>
      </c>
      <c r="H704" s="1" t="s">
        <v>1102</v>
      </c>
      <c r="I704" s="1" t="s">
        <v>83</v>
      </c>
      <c r="J704" s="2">
        <v>45713.405555555553</v>
      </c>
      <c r="L704" s="1" t="s">
        <v>18</v>
      </c>
      <c r="M704" s="1" t="str">
        <f>_xlfn.XLOOKUP(I704,Parâmetros!A:A,Parâmetros!B:B,_xlfn.XLOOKUP(Q704,Parâmetros!F:F,Parâmetros!G:G,"NOVA MENSAGEM"))</f>
        <v>CLIENTE NÃO IDENTIFICADO</v>
      </c>
      <c r="N704" s="1" t="str">
        <f>_xlfn.XLOOKUP(M704,Parâmetros!K:K,Parâmetros!L:L,"")</f>
        <v>DK DE CLIENTE NÃO PREENCIDO / CLIENTE NÃO CONFIGURADO NO OBT</v>
      </c>
      <c r="O704" s="1" t="str">
        <f>_xlfn.XLOOKUP(M704,Parâmetros!B:B,Parâmetros!C:C,_xlfn.XLOOKUP(Base!M589,Parâmetros!G:G,Parâmetros!H:H))</f>
        <v>INDEFINIDO</v>
      </c>
      <c r="P704" s="1" t="str">
        <f>_xlfn.XLOOKUP(I704,Parâmetros!A:A,Parâmetros!D:D,_xlfn.XLOOKUP(Q704,Parâmetros!F:F,Parâmetros!I:I))</f>
        <v>OPERAÇÕES / SUPORTE KCS</v>
      </c>
      <c r="Q704" s="1" t="str">
        <f t="shared" si="21"/>
        <v>COLUNA I</v>
      </c>
    </row>
    <row r="705" spans="1:17" x14ac:dyDescent="0.25">
      <c r="A705" s="1" t="str">
        <f>_xlfn.XLOOKUP(D705,'Novo relatório'!B:B,'Novo relatório'!C:C,"RESOLVIDO")</f>
        <v>SABRE</v>
      </c>
      <c r="C705" t="str">
        <f t="shared" si="20"/>
        <v>PENDENTE</v>
      </c>
      <c r="D705" s="1">
        <v>3266514</v>
      </c>
      <c r="E705" s="1" t="s">
        <v>26</v>
      </c>
      <c r="F705" s="2">
        <v>45713.268750000003</v>
      </c>
      <c r="G705" s="1" t="s">
        <v>1062</v>
      </c>
      <c r="H705" s="1" t="s">
        <v>1062</v>
      </c>
      <c r="I705" s="1" t="s">
        <v>83</v>
      </c>
      <c r="J705" s="2">
        <v>45713.40625</v>
      </c>
      <c r="L705" s="1" t="s">
        <v>18</v>
      </c>
      <c r="M705" s="1" t="str">
        <f>_xlfn.XLOOKUP(I705,Parâmetros!A:A,Parâmetros!B:B,_xlfn.XLOOKUP(Q705,Parâmetros!F:F,Parâmetros!G:G,"NOVA MENSAGEM"))</f>
        <v>CLIENTE NÃO IDENTIFICADO</v>
      </c>
      <c r="N705" s="1" t="str">
        <f>_xlfn.XLOOKUP(M705,Parâmetros!K:K,Parâmetros!L:L,"")</f>
        <v>DK DE CLIENTE NÃO PREENCIDO / CLIENTE NÃO CONFIGURADO NO OBT</v>
      </c>
      <c r="O705" s="1" t="str">
        <f>_xlfn.XLOOKUP(M705,Parâmetros!B:B,Parâmetros!C:C,_xlfn.XLOOKUP(Base!M558,Parâmetros!G:G,Parâmetros!H:H))</f>
        <v>INDEFINIDO</v>
      </c>
      <c r="P705" s="1" t="str">
        <f>_xlfn.XLOOKUP(I705,Parâmetros!A:A,Parâmetros!D:D,_xlfn.XLOOKUP(Q705,Parâmetros!F:F,Parâmetros!I:I))</f>
        <v>OPERAÇÕES / SUPORTE KCS</v>
      </c>
      <c r="Q705" s="1" t="str">
        <f t="shared" si="21"/>
        <v>COLUNA I</v>
      </c>
    </row>
    <row r="706" spans="1:17" x14ac:dyDescent="0.25">
      <c r="A706" s="1" t="str">
        <f>_xlfn.XLOOKUP(D706,'Novo relatório'!B:B,'Novo relatório'!C:C,"RESOLVIDO")</f>
        <v>SABRE</v>
      </c>
      <c r="C706" t="str">
        <f t="shared" ref="C706:C769" si="22">IF(A706="RESOLVIDO","RESOLVIDO",IF(B706="","PENDENTE",IF(LEFT(B706,7)="CHAMADO","AGUARDANDO FORNECEDOR",IF(B706="CONTABILIZAR","CONTABILIZAR NO PORTAL"))))</f>
        <v>PENDENTE</v>
      </c>
      <c r="D706" s="1">
        <v>3266517</v>
      </c>
      <c r="E706" s="1" t="s">
        <v>26</v>
      </c>
      <c r="F706" s="2">
        <v>45713.268750000003</v>
      </c>
      <c r="G706" s="1" t="s">
        <v>1075</v>
      </c>
      <c r="H706" s="1" t="s">
        <v>1075</v>
      </c>
      <c r="I706" s="1" t="s">
        <v>1060</v>
      </c>
      <c r="J706" s="2">
        <v>45713.40625</v>
      </c>
      <c r="L706" s="1" t="s">
        <v>18</v>
      </c>
      <c r="M706" s="1" t="str">
        <f>_xlfn.XLOOKUP(I706,Parâmetros!A:A,Parâmetros!B:B,_xlfn.XLOOKUP(Q706,Parâmetros!F:F,Parâmetros!G:G,"NOVA MENSAGEM"))</f>
        <v>CÓD. CLIENTE DIVERGENTE</v>
      </c>
      <c r="N706" s="1" t="str">
        <f>_xlfn.XLOOKUP(M706,Parâmetros!K:K,Parâmetros!L:L,"")</f>
        <v>CÓDIGO DIFERENTE DO CADASTRADO NO BENNER (CLIENTE X GRUPO)</v>
      </c>
      <c r="O706" s="1" t="str">
        <f>_xlfn.XLOOKUP(M706,Parâmetros!B:B,Parâmetros!C:C,_xlfn.XLOOKUP(Base!M569,Parâmetros!G:G,Parâmetros!H:H))</f>
        <v>QUALIDADE DOS DADOS</v>
      </c>
      <c r="P706" s="1" t="str">
        <f>_xlfn.XLOOKUP(I706,Parâmetros!A:A,Parâmetros!D:D,_xlfn.XLOOKUP(Q706,Parâmetros!F:F,Parâmetros!I:I))</f>
        <v>SUPORTE OBT</v>
      </c>
      <c r="Q706" s="1">
        <f t="shared" ref="Q706:Q769" si="23">IFERROR(FIND("Não foi possível localizar o contrato do fornecedor",I706),IFERROR(FIND("veículo",I706),IFERROR(FIND("agagem",I706),IFERROR(FIND("error in XML document",I706),IFERROR(FIND("Não localizado cliente código",I706),IFERROR(FIND("lemontech",I706),IFERROR(FIND("&gt;Fornecedor com o",I706),IFERROR(FIND("INSERT",I706),IFERROR(FIND("com CNPJ",I706),IFERROR(FIND("Consultando Agente-&gt; O agente",I706),IFERROR(FIND("Não foi possível determinar a validade do cartão, favor verificar os dados do cartão",I706),"COLUNA I")))))))))))</f>
        <v>1</v>
      </c>
    </row>
    <row r="707" spans="1:17" x14ac:dyDescent="0.25">
      <c r="A707" s="1" t="str">
        <f>_xlfn.XLOOKUP(D707,'Novo relatório'!B:B,'Novo relatório'!C:C,"RESOLVIDO")</f>
        <v>SABRE</v>
      </c>
      <c r="C707" t="str">
        <f t="shared" si="22"/>
        <v>PENDENTE</v>
      </c>
      <c r="D707" s="1">
        <v>3266523</v>
      </c>
      <c r="E707" s="1" t="s">
        <v>26</v>
      </c>
      <c r="F707" s="2">
        <v>45713.268750000003</v>
      </c>
      <c r="G707" s="1" t="s">
        <v>1166</v>
      </c>
      <c r="H707" s="1" t="s">
        <v>1166</v>
      </c>
      <c r="I707" s="1" t="s">
        <v>83</v>
      </c>
      <c r="J707" s="2">
        <v>45713.406944444447</v>
      </c>
      <c r="L707" s="1" t="s">
        <v>18</v>
      </c>
      <c r="M707" s="1" t="str">
        <f>_xlfn.XLOOKUP(I707,Parâmetros!A:A,Parâmetros!B:B,_xlfn.XLOOKUP(Q707,Parâmetros!F:F,Parâmetros!G:G,"NOVA MENSAGEM"))</f>
        <v>CLIENTE NÃO IDENTIFICADO</v>
      </c>
      <c r="N707" s="1" t="str">
        <f>_xlfn.XLOOKUP(M707,Parâmetros!K:K,Parâmetros!L:L,"")</f>
        <v>DK DE CLIENTE NÃO PREENCIDO / CLIENTE NÃO CONFIGURADO NO OBT</v>
      </c>
      <c r="O707" s="1" t="str">
        <f>_xlfn.XLOOKUP(M707,Parâmetros!B:B,Parâmetros!C:C,_xlfn.XLOOKUP(Base!M639,Parâmetros!G:G,Parâmetros!H:H))</f>
        <v>INDEFINIDO</v>
      </c>
      <c r="P707" s="1" t="str">
        <f>_xlfn.XLOOKUP(I707,Parâmetros!A:A,Parâmetros!D:D,_xlfn.XLOOKUP(Q707,Parâmetros!F:F,Parâmetros!I:I))</f>
        <v>OPERAÇÕES / SUPORTE KCS</v>
      </c>
      <c r="Q707" s="1" t="str">
        <f t="shared" si="23"/>
        <v>COLUNA I</v>
      </c>
    </row>
    <row r="708" spans="1:17" x14ac:dyDescent="0.25">
      <c r="A708" s="1" t="str">
        <f>_xlfn.XLOOKUP(D708,'Novo relatório'!B:B,'Novo relatório'!C:C,"RESOLVIDO")</f>
        <v>SABRE</v>
      </c>
      <c r="C708" t="str">
        <f t="shared" si="22"/>
        <v>PENDENTE</v>
      </c>
      <c r="D708" s="1">
        <v>3266525</v>
      </c>
      <c r="E708" s="1" t="s">
        <v>26</v>
      </c>
      <c r="F708" s="2">
        <v>45713.268750000003</v>
      </c>
      <c r="G708" s="1" t="s">
        <v>1106</v>
      </c>
      <c r="H708" s="1" t="s">
        <v>1106</v>
      </c>
      <c r="I708" s="1" t="s">
        <v>1060</v>
      </c>
      <c r="J708" s="2">
        <v>45713.406944444447</v>
      </c>
      <c r="L708" s="1" t="s">
        <v>18</v>
      </c>
      <c r="M708" s="1" t="str">
        <f>_xlfn.XLOOKUP(I708,Parâmetros!A:A,Parâmetros!B:B,_xlfn.XLOOKUP(Q708,Parâmetros!F:F,Parâmetros!G:G,"NOVA MENSAGEM"))</f>
        <v>CÓD. CLIENTE DIVERGENTE</v>
      </c>
      <c r="N708" s="1" t="str">
        <f>_xlfn.XLOOKUP(M708,Parâmetros!K:K,Parâmetros!L:L,"")</f>
        <v>CÓDIGO DIFERENTE DO CADASTRADO NO BENNER (CLIENTE X GRUPO)</v>
      </c>
      <c r="O708" s="1" t="str">
        <f>_xlfn.XLOOKUP(M708,Parâmetros!B:B,Parâmetros!C:C,_xlfn.XLOOKUP(Base!M592,Parâmetros!G:G,Parâmetros!H:H))</f>
        <v>QUALIDADE DOS DADOS</v>
      </c>
      <c r="P708" s="1" t="str">
        <f>_xlfn.XLOOKUP(I708,Parâmetros!A:A,Parâmetros!D:D,_xlfn.XLOOKUP(Q708,Parâmetros!F:F,Parâmetros!I:I))</f>
        <v>SUPORTE OBT</v>
      </c>
      <c r="Q708" s="1">
        <f t="shared" si="23"/>
        <v>1</v>
      </c>
    </row>
    <row r="709" spans="1:17" x14ac:dyDescent="0.25">
      <c r="A709" s="1" t="str">
        <f>_xlfn.XLOOKUP(D709,'Novo relatório'!B:B,'Novo relatório'!C:C,"RESOLVIDO")</f>
        <v>SABRE</v>
      </c>
      <c r="C709" t="str">
        <f t="shared" si="22"/>
        <v>PENDENTE</v>
      </c>
      <c r="D709" s="1">
        <v>3266593</v>
      </c>
      <c r="E709" s="1" t="s">
        <v>26</v>
      </c>
      <c r="F709" s="2">
        <v>45713.293749999997</v>
      </c>
      <c r="G709" s="1" t="s">
        <v>1104</v>
      </c>
      <c r="H709" s="1" t="s">
        <v>1105</v>
      </c>
      <c r="I709" s="1" t="s">
        <v>85</v>
      </c>
      <c r="J709" s="2">
        <v>45713.42083333333</v>
      </c>
      <c r="L709" s="1" t="s">
        <v>18</v>
      </c>
      <c r="M709" s="1" t="str">
        <f>_xlfn.XLOOKUP(I709,Parâmetros!A:A,Parâmetros!B:B,_xlfn.XLOOKUP(Q709,Parâmetros!F:F,Parâmetros!G:G,"NOVA MENSAGEM"))</f>
        <v>CLIENTE NÃO IDENTIFICADO</v>
      </c>
      <c r="N709" s="1" t="str">
        <f>_xlfn.XLOOKUP(M709,Parâmetros!K:K,Parâmetros!L:L,"")</f>
        <v>DK DE CLIENTE NÃO PREENCIDO / CLIENTE NÃO CONFIGURADO NO OBT</v>
      </c>
      <c r="O709" s="1" t="str">
        <f>_xlfn.XLOOKUP(M709,Parâmetros!B:B,Parâmetros!C:C,_xlfn.XLOOKUP(Base!M591,Parâmetros!G:G,Parâmetros!H:H))</f>
        <v>INDEFINIDO</v>
      </c>
      <c r="P709" s="1" t="str">
        <f>_xlfn.XLOOKUP(I709,Parâmetros!A:A,Parâmetros!D:D,_xlfn.XLOOKUP(Q709,Parâmetros!F:F,Parâmetros!I:I))</f>
        <v>OPERAÇÕES / SUPORTE KCS</v>
      </c>
      <c r="Q709" s="1" t="str">
        <f t="shared" si="23"/>
        <v>COLUNA I</v>
      </c>
    </row>
    <row r="710" spans="1:17" x14ac:dyDescent="0.25">
      <c r="A710" s="1" t="str">
        <f>_xlfn.XLOOKUP(D710,'Novo relatório'!B:B,'Novo relatório'!C:C,"RESOLVIDO")</f>
        <v>LEMONTECH</v>
      </c>
      <c r="C710" t="str">
        <f t="shared" si="22"/>
        <v>PENDENTE</v>
      </c>
      <c r="D710" s="1">
        <v>3266687</v>
      </c>
      <c r="E710" s="1" t="s">
        <v>25</v>
      </c>
      <c r="F710" s="2">
        <v>45713.415972222225</v>
      </c>
      <c r="G710" s="1" t="s">
        <v>1368</v>
      </c>
      <c r="H710" s="1" t="s">
        <v>1063</v>
      </c>
      <c r="I710" s="1" t="s">
        <v>537</v>
      </c>
      <c r="J710" s="2">
        <v>45713.459027777775</v>
      </c>
      <c r="K710" s="2">
        <v>45716.417361111111</v>
      </c>
      <c r="L710" s="1" t="s">
        <v>19</v>
      </c>
      <c r="M710" s="1" t="str">
        <f>_xlfn.XLOOKUP(I710,Parâmetros!A:A,Parâmetros!B:B,_xlfn.XLOOKUP(Q710,Parâmetros!F:F,Parâmetros!G:G,"NOVA MENSAGEM"))</f>
        <v>CONTRATO FORNECEDOR</v>
      </c>
      <c r="N710" s="1" t="str">
        <f>_xlfn.XLOOKUP(M710,Parâmetros!K:K,Parâmetros!L:L,"")</f>
        <v>CONTRATO INATIVO OU DIVERGENTE</v>
      </c>
      <c r="O710" s="1" t="str">
        <f>_xlfn.XLOOKUP(M710,Parâmetros!B:B,Parâmetros!C:C,_xlfn.XLOOKUP(Base!M806,Parâmetros!G:G,Parâmetros!H:H))</f>
        <v>SISTEMA</v>
      </c>
      <c r="P710" s="1" t="str">
        <f>_xlfn.XLOOKUP(I710,Parâmetros!A:A,Parâmetros!D:D,_xlfn.XLOOKUP(Q710,Parâmetros!F:F,Parâmetros!I:I))</f>
        <v>OPERAÇÕES / SUPORTE KCS</v>
      </c>
      <c r="Q710" s="1">
        <f t="shared" si="23"/>
        <v>55</v>
      </c>
    </row>
    <row r="711" spans="1:17" x14ac:dyDescent="0.25">
      <c r="A711" s="1" t="str">
        <f>_xlfn.XLOOKUP(D711,'Novo relatório'!B:B,'Novo relatório'!C:C,"RESOLVIDO")</f>
        <v>SABRE</v>
      </c>
      <c r="C711" t="str">
        <f t="shared" si="22"/>
        <v>PENDENTE</v>
      </c>
      <c r="D711" s="1">
        <v>3267303</v>
      </c>
      <c r="E711" s="1" t="s">
        <v>26</v>
      </c>
      <c r="F711" s="2">
        <v>45713.411111111112</v>
      </c>
      <c r="G711" s="1" t="s">
        <v>1260</v>
      </c>
      <c r="H711" s="1" t="s">
        <v>1260</v>
      </c>
      <c r="I711" s="1" t="s">
        <v>707</v>
      </c>
      <c r="J711" s="2">
        <v>45713.544444444444</v>
      </c>
      <c r="L711" s="1" t="s">
        <v>18</v>
      </c>
      <c r="M711" s="1" t="str">
        <f>_xlfn.XLOOKUP(I711,Parâmetros!A:A,Parâmetros!B:B,_xlfn.XLOOKUP(Q711,Parâmetros!F:F,Parâmetros!G:G,"NOVA MENSAGEM"))</f>
        <v>CÓD. CLIENTE DIVERGENTE</v>
      </c>
      <c r="N711" s="1" t="str">
        <f>_xlfn.XLOOKUP(M711,Parâmetros!K:K,Parâmetros!L:L,"")</f>
        <v>CÓDIGO DIFERENTE DO CADASTRADO NO BENNER (CLIENTE X GRUPO)</v>
      </c>
      <c r="O711" s="1" t="str">
        <f>_xlfn.XLOOKUP(M711,Parâmetros!B:B,Parâmetros!C:C,_xlfn.XLOOKUP(Base!M715,Parâmetros!G:G,Parâmetros!H:H))</f>
        <v>QUALIDADE DOS DADOS</v>
      </c>
      <c r="P711" s="1" t="str">
        <f>_xlfn.XLOOKUP(I711,Parâmetros!A:A,Parâmetros!D:D,_xlfn.XLOOKUP(Q711,Parâmetros!F:F,Parâmetros!I:I))</f>
        <v>SUPORTE OBT</v>
      </c>
      <c r="Q711" s="1">
        <f t="shared" si="23"/>
        <v>1</v>
      </c>
    </row>
    <row r="712" spans="1:17" x14ac:dyDescent="0.25">
      <c r="A712" s="1" t="str">
        <f>_xlfn.XLOOKUP(D712,'Novo relatório'!B:B,'Novo relatório'!C:C,"RESOLVIDO")</f>
        <v>SABRE</v>
      </c>
      <c r="C712" t="str">
        <f t="shared" si="22"/>
        <v>PENDENTE</v>
      </c>
      <c r="D712" s="1">
        <v>3267306</v>
      </c>
      <c r="E712" s="1" t="s">
        <v>26</v>
      </c>
      <c r="F712" s="2">
        <v>45713.411111111112</v>
      </c>
      <c r="G712" s="1" t="s">
        <v>1311</v>
      </c>
      <c r="H712" s="1" t="s">
        <v>1311</v>
      </c>
      <c r="I712" s="1" t="s">
        <v>652</v>
      </c>
      <c r="J712" s="2">
        <v>45713.544444444444</v>
      </c>
      <c r="L712" s="1" t="s">
        <v>18</v>
      </c>
      <c r="M712" s="1" t="str">
        <f>_xlfn.XLOOKUP(I712,Parâmetros!A:A,Parâmetros!B:B,_xlfn.XLOOKUP(Q712,Parâmetros!F:F,Parâmetros!G:G,"NOVA MENSAGEM"))</f>
        <v>CÓD. CLIENTE DIVERGENTE</v>
      </c>
      <c r="N712" s="1" t="str">
        <f>_xlfn.XLOOKUP(M712,Parâmetros!K:K,Parâmetros!L:L,"")</f>
        <v>CÓDIGO DIFERENTE DO CADASTRADO NO BENNER (CLIENTE X GRUPO)</v>
      </c>
      <c r="O712" s="1" t="str">
        <f>_xlfn.XLOOKUP(M712,Parâmetros!B:B,Parâmetros!C:C,_xlfn.XLOOKUP(Base!M755,Parâmetros!G:G,Parâmetros!H:H))</f>
        <v>QUALIDADE DOS DADOS</v>
      </c>
      <c r="P712" s="1" t="str">
        <f>_xlfn.XLOOKUP(I712,Parâmetros!A:A,Parâmetros!D:D,_xlfn.XLOOKUP(Q712,Parâmetros!F:F,Parâmetros!I:I))</f>
        <v>SUPORTE OBT</v>
      </c>
      <c r="Q712" s="1">
        <f t="shared" si="23"/>
        <v>1</v>
      </c>
    </row>
    <row r="713" spans="1:17" x14ac:dyDescent="0.25">
      <c r="A713" s="1" t="str">
        <f>_xlfn.XLOOKUP(D713,'Novo relatório'!B:B,'Novo relatório'!C:C,"RESOLVIDO")</f>
        <v>SABRE</v>
      </c>
      <c r="C713" t="str">
        <f t="shared" si="22"/>
        <v>PENDENTE</v>
      </c>
      <c r="D713" s="1">
        <v>3267309</v>
      </c>
      <c r="E713" s="1" t="s">
        <v>26</v>
      </c>
      <c r="F713" s="2">
        <v>45713.571527777778</v>
      </c>
      <c r="G713" s="1" t="s">
        <v>1294</v>
      </c>
      <c r="H713" s="1" t="s">
        <v>1294</v>
      </c>
      <c r="I713" s="1" t="s">
        <v>83</v>
      </c>
      <c r="J713" s="2">
        <v>45713.545138888891</v>
      </c>
      <c r="K713" s="2">
        <v>45713.7</v>
      </c>
      <c r="L713" s="1" t="s">
        <v>18</v>
      </c>
      <c r="M713" s="1" t="str">
        <f>_xlfn.XLOOKUP(I713,Parâmetros!A:A,Parâmetros!B:B,_xlfn.XLOOKUP(Q713,Parâmetros!F:F,Parâmetros!G:G,"NOVA MENSAGEM"))</f>
        <v>CLIENTE NÃO IDENTIFICADO</v>
      </c>
      <c r="N713" s="1" t="str">
        <f>_xlfn.XLOOKUP(M713,Parâmetros!K:K,Parâmetros!L:L,"")</f>
        <v>DK DE CLIENTE NÃO PREENCIDO / CLIENTE NÃO CONFIGURADO NO OBT</v>
      </c>
      <c r="O713" s="1" t="str">
        <f>_xlfn.XLOOKUP(M713,Parâmetros!B:B,Parâmetros!C:C,_xlfn.XLOOKUP(Base!M740,Parâmetros!G:G,Parâmetros!H:H))</f>
        <v>INDEFINIDO</v>
      </c>
      <c r="P713" s="1" t="str">
        <f>_xlfn.XLOOKUP(I713,Parâmetros!A:A,Parâmetros!D:D,_xlfn.XLOOKUP(Q713,Parâmetros!F:F,Parâmetros!I:I))</f>
        <v>OPERAÇÕES / SUPORTE KCS</v>
      </c>
      <c r="Q713" s="1" t="str">
        <f t="shared" si="23"/>
        <v>COLUNA I</v>
      </c>
    </row>
    <row r="714" spans="1:17" x14ac:dyDescent="0.25">
      <c r="A714" s="1" t="str">
        <f>_xlfn.XLOOKUP(D714,'Novo relatório'!B:B,'Novo relatório'!C:C,"RESOLVIDO")</f>
        <v>SABRE</v>
      </c>
      <c r="C714" t="str">
        <f t="shared" si="22"/>
        <v>PENDENTE</v>
      </c>
      <c r="D714" s="1">
        <v>3267310</v>
      </c>
      <c r="E714" s="1" t="s">
        <v>26</v>
      </c>
      <c r="F714" s="2">
        <v>45713.571527777778</v>
      </c>
      <c r="G714" s="1" t="s">
        <v>1252</v>
      </c>
      <c r="H714" s="1" t="s">
        <v>1252</v>
      </c>
      <c r="I714" s="1" t="s">
        <v>1054</v>
      </c>
      <c r="J714" s="2">
        <v>45713.545138888891</v>
      </c>
      <c r="K714" s="2">
        <v>45713.7</v>
      </c>
      <c r="L714" s="1" t="s">
        <v>18</v>
      </c>
      <c r="M714" s="1" t="str">
        <f>_xlfn.XLOOKUP(I714,Parâmetros!A:A,Parâmetros!B:B,_xlfn.XLOOKUP(Q714,Parâmetros!F:F,Parâmetros!G:G,"NOVA MENSAGEM"))</f>
        <v>CÓD. CLIENTE DIVERGENTE</v>
      </c>
      <c r="N714" s="1" t="str">
        <f>_xlfn.XLOOKUP(M714,Parâmetros!K:K,Parâmetros!L:L,"")</f>
        <v>CÓDIGO DIFERENTE DO CADASTRADO NO BENNER (CLIENTE X GRUPO)</v>
      </c>
      <c r="O714" s="1" t="str">
        <f>_xlfn.XLOOKUP(M714,Parâmetros!B:B,Parâmetros!C:C,_xlfn.XLOOKUP(Base!M708,Parâmetros!G:G,Parâmetros!H:H))</f>
        <v>QUALIDADE DOS DADOS</v>
      </c>
      <c r="P714" s="1" t="str">
        <f>_xlfn.XLOOKUP(I714,Parâmetros!A:A,Parâmetros!D:D,_xlfn.XLOOKUP(Q714,Parâmetros!F:F,Parâmetros!I:I))</f>
        <v>SUPORTE OBT</v>
      </c>
      <c r="Q714" s="1">
        <f t="shared" si="23"/>
        <v>1</v>
      </c>
    </row>
    <row r="715" spans="1:17" x14ac:dyDescent="0.25">
      <c r="A715" s="1" t="str">
        <f>_xlfn.XLOOKUP(D715,'Novo relatório'!B:B,'Novo relatório'!C:C,"RESOLVIDO")</f>
        <v>SABRE</v>
      </c>
      <c r="C715" t="str">
        <f t="shared" si="22"/>
        <v>PENDENTE</v>
      </c>
      <c r="D715" s="1">
        <v>3267323</v>
      </c>
      <c r="E715" s="1" t="s">
        <v>26</v>
      </c>
      <c r="F715" s="2">
        <v>45713.572222222225</v>
      </c>
      <c r="G715" s="1" t="s">
        <v>1283</v>
      </c>
      <c r="H715" s="1" t="s">
        <v>1283</v>
      </c>
      <c r="I715" s="1" t="s">
        <v>1054</v>
      </c>
      <c r="J715" s="2">
        <v>45713.54583333333</v>
      </c>
      <c r="K715" s="2">
        <v>45713.7</v>
      </c>
      <c r="L715" s="1" t="s">
        <v>18</v>
      </c>
      <c r="M715" s="1" t="str">
        <f>_xlfn.XLOOKUP(I715,Parâmetros!A:A,Parâmetros!B:B,_xlfn.XLOOKUP(Q715,Parâmetros!F:F,Parâmetros!G:G,"NOVA MENSAGEM"))</f>
        <v>CÓD. CLIENTE DIVERGENTE</v>
      </c>
      <c r="N715" s="1" t="str">
        <f>_xlfn.XLOOKUP(M715,Parâmetros!K:K,Parâmetros!L:L,"")</f>
        <v>CÓDIGO DIFERENTE DO CADASTRADO NO BENNER (CLIENTE X GRUPO)</v>
      </c>
      <c r="O715" s="1" t="str">
        <f>_xlfn.XLOOKUP(M715,Parâmetros!B:B,Parâmetros!C:C,_xlfn.XLOOKUP(Base!M731,Parâmetros!G:G,Parâmetros!H:H))</f>
        <v>QUALIDADE DOS DADOS</v>
      </c>
      <c r="P715" s="1" t="str">
        <f>_xlfn.XLOOKUP(I715,Parâmetros!A:A,Parâmetros!D:D,_xlfn.XLOOKUP(Q715,Parâmetros!F:F,Parâmetros!I:I))</f>
        <v>SUPORTE OBT</v>
      </c>
      <c r="Q715" s="1">
        <f t="shared" si="23"/>
        <v>1</v>
      </c>
    </row>
    <row r="716" spans="1:17" x14ac:dyDescent="0.25">
      <c r="A716" s="1" t="str">
        <f>_xlfn.XLOOKUP(D716,'Novo relatório'!B:B,'Novo relatório'!C:C,"RESOLVIDO")</f>
        <v>SABRE</v>
      </c>
      <c r="C716" t="str">
        <f t="shared" si="22"/>
        <v>PENDENTE</v>
      </c>
      <c r="D716" s="1">
        <v>3268280</v>
      </c>
      <c r="E716" s="1" t="s">
        <v>26</v>
      </c>
      <c r="F716" s="2">
        <v>45713.710416666669</v>
      </c>
      <c r="G716" s="1" t="s">
        <v>1313</v>
      </c>
      <c r="H716" s="1" t="s">
        <v>1313</v>
      </c>
      <c r="I716" s="1" t="s">
        <v>83</v>
      </c>
      <c r="J716" s="2">
        <v>45713.741666666669</v>
      </c>
      <c r="K716" s="2">
        <v>45713.845138888886</v>
      </c>
      <c r="L716" s="1" t="s">
        <v>18</v>
      </c>
      <c r="M716" s="1" t="str">
        <f>_xlfn.XLOOKUP(I716,Parâmetros!A:A,Parâmetros!B:B,_xlfn.XLOOKUP(Q716,Parâmetros!F:F,Parâmetros!G:G,"NOVA MENSAGEM"))</f>
        <v>CLIENTE NÃO IDENTIFICADO</v>
      </c>
      <c r="N716" s="1" t="str">
        <f>_xlfn.XLOOKUP(M716,Parâmetros!K:K,Parâmetros!L:L,"")</f>
        <v>DK DE CLIENTE NÃO PREENCIDO / CLIENTE NÃO CONFIGURADO NO OBT</v>
      </c>
      <c r="O716" s="1" t="str">
        <f>_xlfn.XLOOKUP(M716,Parâmetros!B:B,Parâmetros!C:C,_xlfn.XLOOKUP(Base!M757,Parâmetros!G:G,Parâmetros!H:H))</f>
        <v>INDEFINIDO</v>
      </c>
      <c r="P716" s="1" t="str">
        <f>_xlfn.XLOOKUP(I716,Parâmetros!A:A,Parâmetros!D:D,_xlfn.XLOOKUP(Q716,Parâmetros!F:F,Parâmetros!I:I))</f>
        <v>OPERAÇÕES / SUPORTE KCS</v>
      </c>
      <c r="Q716" s="1" t="str">
        <f t="shared" si="23"/>
        <v>COLUNA I</v>
      </c>
    </row>
    <row r="717" spans="1:17" x14ac:dyDescent="0.25">
      <c r="A717" s="1" t="str">
        <f>_xlfn.XLOOKUP(D717,'Novo relatório'!B:B,'Novo relatório'!C:C,"RESOLVIDO")</f>
        <v>SABRE</v>
      </c>
      <c r="C717" t="str">
        <f t="shared" si="22"/>
        <v>PENDENTE</v>
      </c>
      <c r="D717" s="1">
        <v>3268864</v>
      </c>
      <c r="E717" s="1" t="s">
        <v>26</v>
      </c>
      <c r="F717" s="2">
        <v>45713.710416666669</v>
      </c>
      <c r="G717" s="1" t="s">
        <v>1251</v>
      </c>
      <c r="H717" s="1" t="s">
        <v>1251</v>
      </c>
      <c r="I717" s="1" t="s">
        <v>83</v>
      </c>
      <c r="J717" s="2">
        <v>45713.845833333333</v>
      </c>
      <c r="L717" s="1" t="s">
        <v>18</v>
      </c>
      <c r="M717" s="1" t="str">
        <f>_xlfn.XLOOKUP(I717,Parâmetros!A:A,Parâmetros!B:B,_xlfn.XLOOKUP(Q717,Parâmetros!F:F,Parâmetros!G:G,"NOVA MENSAGEM"))</f>
        <v>CLIENTE NÃO IDENTIFICADO</v>
      </c>
      <c r="N717" s="1" t="str">
        <f>_xlfn.XLOOKUP(M717,Parâmetros!K:K,Parâmetros!L:L,"")</f>
        <v>DK DE CLIENTE NÃO PREENCIDO / CLIENTE NÃO CONFIGURADO NO OBT</v>
      </c>
      <c r="O717" s="1" t="str">
        <f>_xlfn.XLOOKUP(M717,Parâmetros!B:B,Parâmetros!C:C,_xlfn.XLOOKUP(Base!M707,Parâmetros!G:G,Parâmetros!H:H))</f>
        <v>INDEFINIDO</v>
      </c>
      <c r="P717" s="1" t="str">
        <f>_xlfn.XLOOKUP(I717,Parâmetros!A:A,Parâmetros!D:D,_xlfn.XLOOKUP(Q717,Parâmetros!F:F,Parâmetros!I:I))</f>
        <v>OPERAÇÕES / SUPORTE KCS</v>
      </c>
      <c r="Q717" s="1" t="str">
        <f t="shared" si="23"/>
        <v>COLUNA I</v>
      </c>
    </row>
    <row r="718" spans="1:17" x14ac:dyDescent="0.25">
      <c r="A718" s="1" t="str">
        <f>_xlfn.XLOOKUP(D718,'Novo relatório'!B:B,'Novo relatório'!C:C,"RESOLVIDO")</f>
        <v>SABRE</v>
      </c>
      <c r="C718" t="str">
        <f t="shared" si="22"/>
        <v>PENDENTE</v>
      </c>
      <c r="D718" s="1">
        <v>3268866</v>
      </c>
      <c r="E718" s="1" t="s">
        <v>26</v>
      </c>
      <c r="F718" s="2">
        <v>45713.710416666669</v>
      </c>
      <c r="G718" s="1" t="s">
        <v>1327</v>
      </c>
      <c r="H718" s="1" t="s">
        <v>1327</v>
      </c>
      <c r="I718" s="1" t="s">
        <v>410</v>
      </c>
      <c r="J718" s="2">
        <v>45713.84652777778</v>
      </c>
      <c r="L718" s="1" t="s">
        <v>18</v>
      </c>
      <c r="M718" s="1" t="str">
        <f>_xlfn.XLOOKUP(I718,Parâmetros!A:A,Parâmetros!B:B,_xlfn.XLOOKUP(Q718,Parâmetros!F:F,Parâmetros!G:G,"NOVA MENSAGEM"))</f>
        <v>CÓD. CLIENTE DIVERGENTE</v>
      </c>
      <c r="N718" s="1" t="str">
        <f>_xlfn.XLOOKUP(M718,Parâmetros!K:K,Parâmetros!L:L,"")</f>
        <v>CÓDIGO DIFERENTE DO CADASTRADO NO BENNER (CLIENTE X GRUPO)</v>
      </c>
      <c r="O718" s="1" t="str">
        <f>_xlfn.XLOOKUP(M718,Parâmetros!B:B,Parâmetros!C:C,_xlfn.XLOOKUP(Base!M767,Parâmetros!G:G,Parâmetros!H:H))</f>
        <v>QUALIDADE DOS DADOS</v>
      </c>
      <c r="P718" s="1" t="str">
        <f>_xlfn.XLOOKUP(I718,Parâmetros!A:A,Parâmetros!D:D,_xlfn.XLOOKUP(Q718,Parâmetros!F:F,Parâmetros!I:I))</f>
        <v>SUPORTE OBT</v>
      </c>
      <c r="Q718" s="1">
        <f t="shared" si="23"/>
        <v>1</v>
      </c>
    </row>
    <row r="719" spans="1:17" x14ac:dyDescent="0.25">
      <c r="A719" s="1" t="str">
        <f>_xlfn.XLOOKUP(D719,'Novo relatório'!B:B,'Novo relatório'!C:C,"RESOLVIDO")</f>
        <v>SABRE</v>
      </c>
      <c r="C719" t="str">
        <f t="shared" si="22"/>
        <v>PENDENTE</v>
      </c>
      <c r="D719" s="1">
        <v>3268867</v>
      </c>
      <c r="E719" s="1" t="s">
        <v>26</v>
      </c>
      <c r="F719" s="2">
        <v>45713.710416666669</v>
      </c>
      <c r="G719" s="1" t="s">
        <v>1363</v>
      </c>
      <c r="H719" s="1" t="s">
        <v>1363</v>
      </c>
      <c r="I719" s="1" t="s">
        <v>83</v>
      </c>
      <c r="J719" s="2">
        <v>45713.84652777778</v>
      </c>
      <c r="L719" s="1" t="s">
        <v>18</v>
      </c>
      <c r="M719" s="1" t="str">
        <f>_xlfn.XLOOKUP(I719,Parâmetros!A:A,Parâmetros!B:B,_xlfn.XLOOKUP(Q719,Parâmetros!F:F,Parâmetros!G:G,"NOVA MENSAGEM"))</f>
        <v>CLIENTE NÃO IDENTIFICADO</v>
      </c>
      <c r="N719" s="1" t="str">
        <f>_xlfn.XLOOKUP(M719,Parâmetros!K:K,Parâmetros!L:L,"")</f>
        <v>DK DE CLIENTE NÃO PREENCIDO / CLIENTE NÃO CONFIGURADO NO OBT</v>
      </c>
      <c r="O719" s="1" t="str">
        <f>_xlfn.XLOOKUP(M719,Parâmetros!B:B,Parâmetros!C:C,_xlfn.XLOOKUP(Base!M793,Parâmetros!G:G,Parâmetros!H:H))</f>
        <v>INDEFINIDO</v>
      </c>
      <c r="P719" s="1" t="str">
        <f>_xlfn.XLOOKUP(I719,Parâmetros!A:A,Parâmetros!D:D,_xlfn.XLOOKUP(Q719,Parâmetros!F:F,Parâmetros!I:I))</f>
        <v>OPERAÇÕES / SUPORTE KCS</v>
      </c>
      <c r="Q719" s="1" t="str">
        <f t="shared" si="23"/>
        <v>COLUNA I</v>
      </c>
    </row>
    <row r="720" spans="1:17" x14ac:dyDescent="0.25">
      <c r="A720" s="1" t="str">
        <f>_xlfn.XLOOKUP(D720,'Novo relatório'!B:B,'Novo relatório'!C:C,"RESOLVIDO")</f>
        <v>SABRE</v>
      </c>
      <c r="C720" t="str">
        <f t="shared" si="22"/>
        <v>PENDENTE</v>
      </c>
      <c r="D720" s="1">
        <v>3268878</v>
      </c>
      <c r="E720" s="1" t="s">
        <v>26</v>
      </c>
      <c r="F720" s="2">
        <v>45713.710416666669</v>
      </c>
      <c r="G720" s="1" t="s">
        <v>1248</v>
      </c>
      <c r="H720" s="1" t="s">
        <v>1248</v>
      </c>
      <c r="I720" s="1" t="s">
        <v>1054</v>
      </c>
      <c r="J720" s="2">
        <v>45713.847916666666</v>
      </c>
      <c r="L720" s="1" t="s">
        <v>18</v>
      </c>
      <c r="M720" s="1" t="str">
        <f>_xlfn.XLOOKUP(I720,Parâmetros!A:A,Parâmetros!B:B,_xlfn.XLOOKUP(Q720,Parâmetros!F:F,Parâmetros!G:G,"NOVA MENSAGEM"))</f>
        <v>CÓD. CLIENTE DIVERGENTE</v>
      </c>
      <c r="N720" s="1" t="str">
        <f>_xlfn.XLOOKUP(M720,Parâmetros!K:K,Parâmetros!L:L,"")</f>
        <v>CÓDIGO DIFERENTE DO CADASTRADO NO BENNER (CLIENTE X GRUPO)</v>
      </c>
      <c r="O720" s="1" t="str">
        <f>_xlfn.XLOOKUP(M720,Parâmetros!B:B,Parâmetros!C:C,_xlfn.XLOOKUP(Base!M705,Parâmetros!G:G,Parâmetros!H:H))</f>
        <v>QUALIDADE DOS DADOS</v>
      </c>
      <c r="P720" s="1" t="str">
        <f>_xlfn.XLOOKUP(I720,Parâmetros!A:A,Parâmetros!D:D,_xlfn.XLOOKUP(Q720,Parâmetros!F:F,Parâmetros!I:I))</f>
        <v>SUPORTE OBT</v>
      </c>
      <c r="Q720" s="1">
        <f t="shared" si="23"/>
        <v>1</v>
      </c>
    </row>
    <row r="721" spans="1:17" x14ac:dyDescent="0.25">
      <c r="A721" s="1" t="str">
        <f>_xlfn.XLOOKUP(D721,'Novo relatório'!B:B,'Novo relatório'!C:C,"RESOLVIDO")</f>
        <v>SABRE</v>
      </c>
      <c r="C721" t="str">
        <f t="shared" si="22"/>
        <v>PENDENTE</v>
      </c>
      <c r="D721" s="1">
        <v>3268879</v>
      </c>
      <c r="E721" s="1" t="s">
        <v>26</v>
      </c>
      <c r="F721" s="2">
        <v>45713.710416666669</v>
      </c>
      <c r="G721" s="1" t="s">
        <v>1289</v>
      </c>
      <c r="H721" s="1" t="s">
        <v>1289</v>
      </c>
      <c r="I721" s="1" t="s">
        <v>1054</v>
      </c>
      <c r="J721" s="2">
        <v>45713.847916666666</v>
      </c>
      <c r="L721" s="1" t="s">
        <v>18</v>
      </c>
      <c r="M721" s="1" t="str">
        <f>_xlfn.XLOOKUP(I721,Parâmetros!A:A,Parâmetros!B:B,_xlfn.XLOOKUP(Q721,Parâmetros!F:F,Parâmetros!G:G,"NOVA MENSAGEM"))</f>
        <v>CÓD. CLIENTE DIVERGENTE</v>
      </c>
      <c r="N721" s="1" t="str">
        <f>_xlfn.XLOOKUP(M721,Parâmetros!K:K,Parâmetros!L:L,"")</f>
        <v>CÓDIGO DIFERENTE DO CADASTRADO NO BENNER (CLIENTE X GRUPO)</v>
      </c>
      <c r="O721" s="1" t="str">
        <f>_xlfn.XLOOKUP(M721,Parâmetros!B:B,Parâmetros!C:C,_xlfn.XLOOKUP(Base!M736,Parâmetros!G:G,Parâmetros!H:H))</f>
        <v>QUALIDADE DOS DADOS</v>
      </c>
      <c r="P721" s="1" t="str">
        <f>_xlfn.XLOOKUP(I721,Parâmetros!A:A,Parâmetros!D:D,_xlfn.XLOOKUP(Q721,Parâmetros!F:F,Parâmetros!I:I))</f>
        <v>SUPORTE OBT</v>
      </c>
      <c r="Q721" s="1">
        <f t="shared" si="23"/>
        <v>1</v>
      </c>
    </row>
    <row r="722" spans="1:17" x14ac:dyDescent="0.25">
      <c r="A722" s="1" t="str">
        <f>_xlfn.XLOOKUP(D722,'Novo relatório'!B:B,'Novo relatório'!C:C,"RESOLVIDO")</f>
        <v>SABRE</v>
      </c>
      <c r="C722" t="str">
        <f t="shared" si="22"/>
        <v>PENDENTE</v>
      </c>
      <c r="D722" s="1">
        <v>3268881</v>
      </c>
      <c r="E722" s="1" t="s">
        <v>26</v>
      </c>
      <c r="F722" s="2">
        <v>45713.710416666669</v>
      </c>
      <c r="G722" s="1" t="s">
        <v>1291</v>
      </c>
      <c r="H722" s="1" t="s">
        <v>1291</v>
      </c>
      <c r="I722" s="1" t="s">
        <v>83</v>
      </c>
      <c r="J722" s="2">
        <v>45713.847916666666</v>
      </c>
      <c r="L722" s="1" t="s">
        <v>18</v>
      </c>
      <c r="M722" s="1" t="str">
        <f>_xlfn.XLOOKUP(I722,Parâmetros!A:A,Parâmetros!B:B,_xlfn.XLOOKUP(Q722,Parâmetros!F:F,Parâmetros!G:G,"NOVA MENSAGEM"))</f>
        <v>CLIENTE NÃO IDENTIFICADO</v>
      </c>
      <c r="N722" s="1" t="str">
        <f>_xlfn.XLOOKUP(M722,Parâmetros!K:K,Parâmetros!L:L,"")</f>
        <v>DK DE CLIENTE NÃO PREENCIDO / CLIENTE NÃO CONFIGURADO NO OBT</v>
      </c>
      <c r="O722" s="1" t="str">
        <f>_xlfn.XLOOKUP(M722,Parâmetros!B:B,Parâmetros!C:C,_xlfn.XLOOKUP(Base!M738,Parâmetros!G:G,Parâmetros!H:H))</f>
        <v>INDEFINIDO</v>
      </c>
      <c r="P722" s="1" t="str">
        <f>_xlfn.XLOOKUP(I722,Parâmetros!A:A,Parâmetros!D:D,_xlfn.XLOOKUP(Q722,Parâmetros!F:F,Parâmetros!I:I))</f>
        <v>OPERAÇÕES / SUPORTE KCS</v>
      </c>
      <c r="Q722" s="1" t="str">
        <f t="shared" si="23"/>
        <v>COLUNA I</v>
      </c>
    </row>
    <row r="723" spans="1:17" x14ac:dyDescent="0.25">
      <c r="A723" s="1" t="str">
        <f>_xlfn.XLOOKUP(D723,'Novo relatório'!B:B,'Novo relatório'!C:C,"RESOLVIDO")</f>
        <v>TMS</v>
      </c>
      <c r="C723" t="str">
        <f t="shared" si="22"/>
        <v>PENDENTE</v>
      </c>
      <c r="D723" s="1">
        <v>3269814</v>
      </c>
      <c r="E723" s="1" t="s">
        <v>12</v>
      </c>
      <c r="F723" s="2">
        <v>45474.531944444447</v>
      </c>
      <c r="G723" s="1">
        <v>174</v>
      </c>
      <c r="H723" s="1">
        <v>174</v>
      </c>
      <c r="I723" s="1" t="s">
        <v>374</v>
      </c>
      <c r="J723" s="2">
        <v>45714.49722222222</v>
      </c>
      <c r="L723" s="1" t="s">
        <v>14</v>
      </c>
      <c r="M723" s="1" t="str">
        <f>_xlfn.XLOOKUP(I723,Parâmetros!A:A,Parâmetros!B:B,_xlfn.XLOOKUP(Q723,Parâmetros!F:F,Parâmetros!G:G,"NOVA MENSAGEM"))</f>
        <v>FORMATO DE TEXTO</v>
      </c>
      <c r="N723" s="1" t="str">
        <f>_xlfn.XLOOKUP(M723,Parâmetros!K:K,Parâmetros!L:L,"")</f>
        <v>TEXTO FORA DO PADRÃO ACEITO NO CAMPO</v>
      </c>
      <c r="O723" s="1" t="str">
        <f>_xlfn.XLOOKUP(M723,Parâmetros!B:B,Parâmetros!C:C,_xlfn.XLOOKUP(Base!M796,Parâmetros!G:G,Parâmetros!H:H))</f>
        <v>INDEFINIDO</v>
      </c>
      <c r="P723" s="1" t="str">
        <f>_xlfn.XLOOKUP(I723,Parâmetros!A:A,Parâmetros!D:D,_xlfn.XLOOKUP(Q723,Parâmetros!F:F,Parâmetros!I:I))</f>
        <v>SUPORTE OBT</v>
      </c>
      <c r="Q723" s="1" t="str">
        <f t="shared" si="23"/>
        <v>COLUNA I</v>
      </c>
    </row>
    <row r="724" spans="1:17" x14ac:dyDescent="0.25">
      <c r="A724" s="1" t="str">
        <f>_xlfn.XLOOKUP(D724,'Novo relatório'!B:B,'Novo relatório'!C:C,"RESOLVIDO")</f>
        <v>TMS</v>
      </c>
      <c r="C724" t="str">
        <f t="shared" si="22"/>
        <v>PENDENTE</v>
      </c>
      <c r="D724" s="1">
        <v>3269817</v>
      </c>
      <c r="E724" s="1" t="s">
        <v>12</v>
      </c>
      <c r="F724" s="2">
        <v>45474.535416666666</v>
      </c>
      <c r="G724" s="1">
        <v>173</v>
      </c>
      <c r="H724" s="1">
        <v>173</v>
      </c>
      <c r="I724" s="1" t="s">
        <v>374</v>
      </c>
      <c r="J724" s="2">
        <v>45714.49722222222</v>
      </c>
      <c r="L724" s="1" t="s">
        <v>14</v>
      </c>
      <c r="M724" s="1" t="str">
        <f>_xlfn.XLOOKUP(I724,Parâmetros!A:A,Parâmetros!B:B,_xlfn.XLOOKUP(Q724,Parâmetros!F:F,Parâmetros!G:G,"NOVA MENSAGEM"))</f>
        <v>FORMATO DE TEXTO</v>
      </c>
      <c r="N724" s="1" t="str">
        <f>_xlfn.XLOOKUP(M724,Parâmetros!K:K,Parâmetros!L:L,"")</f>
        <v>TEXTO FORA DO PADRÃO ACEITO NO CAMPO</v>
      </c>
      <c r="O724" s="1" t="str">
        <f>_xlfn.XLOOKUP(M724,Parâmetros!B:B,Parâmetros!C:C,_xlfn.XLOOKUP(Base!M795,Parâmetros!G:G,Parâmetros!H:H))</f>
        <v>INDEFINIDO</v>
      </c>
      <c r="P724" s="1" t="str">
        <f>_xlfn.XLOOKUP(I724,Parâmetros!A:A,Parâmetros!D:D,_xlfn.XLOOKUP(Q724,Parâmetros!F:F,Parâmetros!I:I))</f>
        <v>SUPORTE OBT</v>
      </c>
      <c r="Q724" s="1" t="str">
        <f t="shared" si="23"/>
        <v>COLUNA I</v>
      </c>
    </row>
    <row r="725" spans="1:17" x14ac:dyDescent="0.25">
      <c r="A725" s="1" t="str">
        <f>_xlfn.XLOOKUP(D725,'Novo relatório'!B:B,'Novo relatório'!C:C,"RESOLVIDO")</f>
        <v>TMS</v>
      </c>
      <c r="C725" t="str">
        <f t="shared" si="22"/>
        <v>PENDENTE</v>
      </c>
      <c r="D725" s="1">
        <v>3269820</v>
      </c>
      <c r="E725" s="1" t="s">
        <v>12</v>
      </c>
      <c r="F725" s="2">
        <v>45470.826388888891</v>
      </c>
      <c r="G725" s="1">
        <v>171</v>
      </c>
      <c r="H725" s="1">
        <v>171</v>
      </c>
      <c r="I725" s="1" t="s">
        <v>374</v>
      </c>
      <c r="J725" s="2">
        <v>45714.49722222222</v>
      </c>
      <c r="L725" s="1" t="s">
        <v>14</v>
      </c>
      <c r="M725" s="1" t="str">
        <f>_xlfn.XLOOKUP(I725,Parâmetros!A:A,Parâmetros!B:B,_xlfn.XLOOKUP(Q725,Parâmetros!F:F,Parâmetros!G:G,"NOVA MENSAGEM"))</f>
        <v>FORMATO DE TEXTO</v>
      </c>
      <c r="N725" s="1" t="str">
        <f>_xlfn.XLOOKUP(M725,Parâmetros!K:K,Parâmetros!L:L,"")</f>
        <v>TEXTO FORA DO PADRÃO ACEITO NO CAMPO</v>
      </c>
      <c r="O725" s="1" t="str">
        <f>_xlfn.XLOOKUP(M725,Parâmetros!B:B,Parâmetros!C:C,_xlfn.XLOOKUP(Base!M999,Parâmetros!G:G,Parâmetros!H:H))</f>
        <v>INDEFINIDO</v>
      </c>
      <c r="P725" s="1" t="str">
        <f>_xlfn.XLOOKUP(I725,Parâmetros!A:A,Parâmetros!D:D,_xlfn.XLOOKUP(Q725,Parâmetros!F:F,Parâmetros!I:I))</f>
        <v>SUPORTE OBT</v>
      </c>
      <c r="Q725" s="1" t="str">
        <f t="shared" si="23"/>
        <v>COLUNA I</v>
      </c>
    </row>
    <row r="726" spans="1:17" x14ac:dyDescent="0.25">
      <c r="A726" s="1" t="str">
        <f>_xlfn.XLOOKUP(D726,'Novo relatório'!B:B,'Novo relatório'!C:C,"RESOLVIDO")</f>
        <v>TMS</v>
      </c>
      <c r="C726" t="str">
        <f t="shared" si="22"/>
        <v>PENDENTE</v>
      </c>
      <c r="D726" s="1">
        <v>3269919</v>
      </c>
      <c r="E726" s="1" t="s">
        <v>12</v>
      </c>
      <c r="F726" s="2">
        <v>45621.411111111112</v>
      </c>
      <c r="G726" s="1">
        <v>7940</v>
      </c>
      <c r="H726" s="1">
        <v>7940</v>
      </c>
      <c r="I726" s="1" t="s">
        <v>1367</v>
      </c>
      <c r="J726" s="2">
        <v>45714.504861111112</v>
      </c>
      <c r="L726" s="1" t="s">
        <v>14</v>
      </c>
      <c r="M726" s="1" t="str">
        <f>_xlfn.XLOOKUP(I726,Parâmetros!A:A,Parâmetros!B:B,_xlfn.XLOOKUP(Q726,Parâmetros!F:F,Parâmetros!G:G,"NOVA MENSAGEM"))</f>
        <v>ASSENTO / BAGAGEM</v>
      </c>
      <c r="N726" s="1" t="str">
        <f>_xlfn.XLOOKUP(M726,Parâmetros!K:K,Parâmetros!L:L,"")</f>
        <v>CAMPO OBSERVAÇÃO PREENCHIDO INCORRETAMENTE</v>
      </c>
      <c r="O726" s="1" t="str">
        <f>_xlfn.XLOOKUP(M726,Parâmetros!B:B,Parâmetros!C:C,_xlfn.XLOOKUP(Base!M805,Parâmetros!G:G,Parâmetros!H:H))</f>
        <v>QUALIDADE DOS DADOS</v>
      </c>
      <c r="P726" s="1" t="str">
        <f>_xlfn.XLOOKUP(I726,Parâmetros!A:A,Parâmetros!D:D,_xlfn.XLOOKUP(Q726,Parâmetros!F:F,Parâmetros!I:I))</f>
        <v>OPERAÇÕES / SUPORTE KCS</v>
      </c>
      <c r="Q726" s="1">
        <f t="shared" si="23"/>
        <v>127</v>
      </c>
    </row>
    <row r="727" spans="1:17" x14ac:dyDescent="0.25">
      <c r="A727" s="1" t="str">
        <f>_xlfn.XLOOKUP(D727,'Novo relatório'!B:B,'Novo relatório'!C:C,"RESOLVIDO")</f>
        <v>SABRE</v>
      </c>
      <c r="C727" t="str">
        <f t="shared" si="22"/>
        <v>PENDENTE</v>
      </c>
      <c r="D727" s="1">
        <v>3270053</v>
      </c>
      <c r="E727" s="1" t="s">
        <v>26</v>
      </c>
      <c r="F727" s="2">
        <v>45714.54583333333</v>
      </c>
      <c r="G727" s="1" t="s">
        <v>1270</v>
      </c>
      <c r="H727" s="1" t="s">
        <v>1270</v>
      </c>
      <c r="I727" s="1" t="s">
        <v>1136</v>
      </c>
      <c r="J727" s="2">
        <v>45714.574305555558</v>
      </c>
      <c r="K727" s="2">
        <v>45714.678472222222</v>
      </c>
      <c r="L727" s="1" t="s">
        <v>18</v>
      </c>
      <c r="M727" s="1" t="str">
        <f>_xlfn.XLOOKUP(I727,Parâmetros!A:A,Parâmetros!B:B,_xlfn.XLOOKUP(Q727,Parâmetros!F:F,Parâmetros!G:G,"NOVA MENSAGEM"))</f>
        <v>CÓD. CLIENTE DIVERGENTE</v>
      </c>
      <c r="N727" s="1" t="str">
        <f>_xlfn.XLOOKUP(M727,Parâmetros!K:K,Parâmetros!L:L,"")</f>
        <v>CÓDIGO DIFERENTE DO CADASTRADO NO BENNER (CLIENTE X GRUPO)</v>
      </c>
      <c r="O727" s="1" t="str">
        <f>_xlfn.XLOOKUP(M727,Parâmetros!B:B,Parâmetros!C:C,_xlfn.XLOOKUP(Base!M723,Parâmetros!G:G,Parâmetros!H:H))</f>
        <v>QUALIDADE DOS DADOS</v>
      </c>
      <c r="P727" s="1" t="str">
        <f>_xlfn.XLOOKUP(I727,Parâmetros!A:A,Parâmetros!D:D,_xlfn.XLOOKUP(Q727,Parâmetros!F:F,Parâmetros!I:I))</f>
        <v>SUPORTE OBT</v>
      </c>
      <c r="Q727" s="1">
        <f t="shared" si="23"/>
        <v>1</v>
      </c>
    </row>
    <row r="728" spans="1:17" x14ac:dyDescent="0.25">
      <c r="A728" s="1" t="str">
        <f>_xlfn.XLOOKUP(D728,'Novo relatório'!B:B,'Novo relatório'!C:C,"RESOLVIDO")</f>
        <v>SABRE</v>
      </c>
      <c r="C728" t="str">
        <f t="shared" si="22"/>
        <v>PENDENTE</v>
      </c>
      <c r="D728" s="1">
        <v>3270078</v>
      </c>
      <c r="E728" s="1" t="s">
        <v>26</v>
      </c>
      <c r="F728" s="2">
        <v>45714.442361111112</v>
      </c>
      <c r="G728" s="1" t="s">
        <v>1309</v>
      </c>
      <c r="H728" s="1" t="s">
        <v>1309</v>
      </c>
      <c r="I728" s="1" t="s">
        <v>410</v>
      </c>
      <c r="J728" s="2">
        <v>45714.57708333333</v>
      </c>
      <c r="L728" s="1" t="s">
        <v>18</v>
      </c>
      <c r="M728" s="1" t="str">
        <f>_xlfn.XLOOKUP(I728,Parâmetros!A:A,Parâmetros!B:B,_xlfn.XLOOKUP(Q728,Parâmetros!F:F,Parâmetros!G:G,"NOVA MENSAGEM"))</f>
        <v>CÓD. CLIENTE DIVERGENTE</v>
      </c>
      <c r="N728" s="1" t="str">
        <f>_xlfn.XLOOKUP(M728,Parâmetros!K:K,Parâmetros!L:L,"")</f>
        <v>CÓDIGO DIFERENTE DO CADASTRADO NO BENNER (CLIENTE X GRUPO)</v>
      </c>
      <c r="O728" s="1" t="str">
        <f>_xlfn.XLOOKUP(M728,Parâmetros!B:B,Parâmetros!C:C,_xlfn.XLOOKUP(Base!M753,Parâmetros!G:G,Parâmetros!H:H))</f>
        <v>QUALIDADE DOS DADOS</v>
      </c>
      <c r="P728" s="1" t="str">
        <f>_xlfn.XLOOKUP(I728,Parâmetros!A:A,Parâmetros!D:D,_xlfn.XLOOKUP(Q728,Parâmetros!F:F,Parâmetros!I:I))</f>
        <v>SUPORTE OBT</v>
      </c>
      <c r="Q728" s="1">
        <f t="shared" si="23"/>
        <v>1</v>
      </c>
    </row>
    <row r="729" spans="1:17" x14ac:dyDescent="0.25">
      <c r="A729" s="1" t="str">
        <f>_xlfn.XLOOKUP(D729,'Novo relatório'!B:B,'Novo relatório'!C:C,"RESOLVIDO")</f>
        <v>SABRE</v>
      </c>
      <c r="C729" t="str">
        <f t="shared" si="22"/>
        <v>PENDENTE</v>
      </c>
      <c r="D729" s="1">
        <v>3270083</v>
      </c>
      <c r="E729" s="1" t="s">
        <v>26</v>
      </c>
      <c r="F729" s="2">
        <v>45714.609027777777</v>
      </c>
      <c r="G729" s="1" t="s">
        <v>1308</v>
      </c>
      <c r="H729" s="1" t="s">
        <v>1308</v>
      </c>
      <c r="I729" s="1" t="s">
        <v>589</v>
      </c>
      <c r="J729" s="2">
        <v>45714.577777777777</v>
      </c>
      <c r="K729" s="2">
        <v>45714.740972222222</v>
      </c>
      <c r="L729" s="1" t="s">
        <v>18</v>
      </c>
      <c r="M729" s="1" t="str">
        <f>_xlfn.XLOOKUP(I729,Parâmetros!A:A,Parâmetros!B:B,_xlfn.XLOOKUP(Q729,Parâmetros!F:F,Parâmetros!G:G,"NOVA MENSAGEM"))</f>
        <v>REMARK - CNPJ</v>
      </c>
      <c r="N729" s="1" t="str">
        <f>_xlfn.XLOOKUP(M729,Parâmetros!K:K,Parâmetros!L:L,"")</f>
        <v/>
      </c>
      <c r="O729" s="1" t="str">
        <f>_xlfn.XLOOKUP(M729,Parâmetros!B:B,Parâmetros!C:C,_xlfn.XLOOKUP(Base!M752,Parâmetros!G:G,Parâmetros!H:H))</f>
        <v>QUALIDADE DOS DADOS</v>
      </c>
      <c r="P729" s="1" t="str">
        <f>_xlfn.XLOOKUP(I729,Parâmetros!A:A,Parâmetros!D:D,_xlfn.XLOOKUP(Q729,Parâmetros!F:F,Parâmetros!I:I))</f>
        <v>OPERAÇÕES / SUPORTE KCS</v>
      </c>
      <c r="Q729" s="1">
        <f t="shared" si="23"/>
        <v>24</v>
      </c>
    </row>
    <row r="730" spans="1:17" x14ac:dyDescent="0.25">
      <c r="A730" s="1" t="str">
        <f>_xlfn.XLOOKUP(D730,'Novo relatório'!B:B,'Novo relatório'!C:C,"RESOLVIDO")</f>
        <v>SABRE</v>
      </c>
      <c r="C730" t="str">
        <f t="shared" si="22"/>
        <v>PENDENTE</v>
      </c>
      <c r="D730" s="1">
        <v>3270188</v>
      </c>
      <c r="E730" s="1" t="s">
        <v>26</v>
      </c>
      <c r="F730" s="2">
        <v>45714.616666666669</v>
      </c>
      <c r="G730" s="1" t="s">
        <v>1284</v>
      </c>
      <c r="H730" s="1" t="s">
        <v>1284</v>
      </c>
      <c r="I730" s="1" t="s">
        <v>1054</v>
      </c>
      <c r="J730" s="2">
        <v>45714.627083333333</v>
      </c>
      <c r="K730" s="2">
        <v>45714.743750000001</v>
      </c>
      <c r="L730" s="1" t="s">
        <v>18</v>
      </c>
      <c r="M730" s="1" t="str">
        <f>_xlfn.XLOOKUP(I730,Parâmetros!A:A,Parâmetros!B:B,_xlfn.XLOOKUP(Q730,Parâmetros!F:F,Parâmetros!G:G,"NOVA MENSAGEM"))</f>
        <v>CÓD. CLIENTE DIVERGENTE</v>
      </c>
      <c r="N730" s="1" t="str">
        <f>_xlfn.XLOOKUP(M730,Parâmetros!K:K,Parâmetros!L:L,"")</f>
        <v>CÓDIGO DIFERENTE DO CADASTRADO NO BENNER (CLIENTE X GRUPO)</v>
      </c>
      <c r="O730" s="1" t="str">
        <f>_xlfn.XLOOKUP(M730,Parâmetros!B:B,Parâmetros!C:C,_xlfn.XLOOKUP(Base!M732,Parâmetros!G:G,Parâmetros!H:H))</f>
        <v>QUALIDADE DOS DADOS</v>
      </c>
      <c r="P730" s="1" t="str">
        <f>_xlfn.XLOOKUP(I730,Parâmetros!A:A,Parâmetros!D:D,_xlfn.XLOOKUP(Q730,Parâmetros!F:F,Parâmetros!I:I))</f>
        <v>SUPORTE OBT</v>
      </c>
      <c r="Q730" s="1">
        <f t="shared" si="23"/>
        <v>1</v>
      </c>
    </row>
    <row r="731" spans="1:17" x14ac:dyDescent="0.25">
      <c r="A731" s="1" t="str">
        <f>_xlfn.XLOOKUP(D731,'Novo relatório'!B:B,'Novo relatório'!C:C,"RESOLVIDO")</f>
        <v>SABRE</v>
      </c>
      <c r="C731" t="str">
        <f t="shared" si="22"/>
        <v>PENDENTE</v>
      </c>
      <c r="D731" s="1">
        <v>3270200</v>
      </c>
      <c r="E731" s="1" t="s">
        <v>26</v>
      </c>
      <c r="F731" s="2">
        <v>45714.491666666669</v>
      </c>
      <c r="G731" s="1" t="s">
        <v>1349</v>
      </c>
      <c r="H731" s="1" t="s">
        <v>1349</v>
      </c>
      <c r="I731" s="1" t="s">
        <v>83</v>
      </c>
      <c r="J731" s="2">
        <v>45714.628472222219</v>
      </c>
      <c r="L731" s="1" t="s">
        <v>18</v>
      </c>
      <c r="M731" s="1" t="str">
        <f>_xlfn.XLOOKUP(I731,Parâmetros!A:A,Parâmetros!B:B,_xlfn.XLOOKUP(Q731,Parâmetros!F:F,Parâmetros!G:G,"NOVA MENSAGEM"))</f>
        <v>CLIENTE NÃO IDENTIFICADO</v>
      </c>
      <c r="N731" s="1" t="str">
        <f>_xlfn.XLOOKUP(M731,Parâmetros!K:K,Parâmetros!L:L,"")</f>
        <v>DK DE CLIENTE NÃO PREENCIDO / CLIENTE NÃO CONFIGURADO NO OBT</v>
      </c>
      <c r="O731" s="1" t="str">
        <f>_xlfn.XLOOKUP(M731,Parâmetros!B:B,Parâmetros!C:C,_xlfn.XLOOKUP(Base!M784,Parâmetros!G:G,Parâmetros!H:H))</f>
        <v>INDEFINIDO</v>
      </c>
      <c r="P731" s="1" t="str">
        <f>_xlfn.XLOOKUP(I731,Parâmetros!A:A,Parâmetros!D:D,_xlfn.XLOOKUP(Q731,Parâmetros!F:F,Parâmetros!I:I))</f>
        <v>OPERAÇÕES / SUPORTE KCS</v>
      </c>
      <c r="Q731" s="1" t="str">
        <f t="shared" si="23"/>
        <v>COLUNA I</v>
      </c>
    </row>
    <row r="732" spans="1:17" x14ac:dyDescent="0.25">
      <c r="A732" s="1" t="str">
        <f>_xlfn.XLOOKUP(D732,'Novo relatório'!B:B,'Novo relatório'!C:C,"RESOLVIDO")</f>
        <v>SABRE</v>
      </c>
      <c r="C732" t="str">
        <f t="shared" si="22"/>
        <v>PENDENTE</v>
      </c>
      <c r="D732" s="1">
        <v>3270295</v>
      </c>
      <c r="E732" s="1" t="s">
        <v>26</v>
      </c>
      <c r="F732" s="2">
        <v>45721.758333333331</v>
      </c>
      <c r="G732" s="1" t="s">
        <v>1342</v>
      </c>
      <c r="H732" s="1" t="s">
        <v>1342</v>
      </c>
      <c r="I732" s="1" t="s">
        <v>1189</v>
      </c>
      <c r="J732" s="2">
        <v>45714.668749999997</v>
      </c>
      <c r="K732" s="2">
        <v>45721.887499999997</v>
      </c>
      <c r="L732" s="1" t="s">
        <v>18</v>
      </c>
      <c r="M732" s="1" t="str">
        <f>_xlfn.XLOOKUP(I732,Parâmetros!A:A,Parâmetros!B:B,_xlfn.XLOOKUP(Q732,Parâmetros!F:F,Parâmetros!G:G,"NOVA MENSAGEM"))</f>
        <v>CÓD. CLIENTE DIVERGENTE</v>
      </c>
      <c r="N732" s="1" t="str">
        <f>_xlfn.XLOOKUP(M732,Parâmetros!K:K,Parâmetros!L:L,"")</f>
        <v>CÓDIGO DIFERENTE DO CADASTRADO NO BENNER (CLIENTE X GRUPO)</v>
      </c>
      <c r="O732" s="1" t="str">
        <f>_xlfn.XLOOKUP(M732,Parâmetros!B:B,Parâmetros!C:C,_xlfn.XLOOKUP(Base!M778,Parâmetros!G:G,Parâmetros!H:H))</f>
        <v>QUALIDADE DOS DADOS</v>
      </c>
      <c r="P732" s="1" t="str">
        <f>_xlfn.XLOOKUP(I732,Parâmetros!A:A,Parâmetros!D:D,_xlfn.XLOOKUP(Q732,Parâmetros!F:F,Parâmetros!I:I))</f>
        <v>SUPORTE OBT</v>
      </c>
      <c r="Q732" s="1">
        <f t="shared" si="23"/>
        <v>1</v>
      </c>
    </row>
    <row r="733" spans="1:17" x14ac:dyDescent="0.25">
      <c r="A733" s="1" t="str">
        <f>_xlfn.XLOOKUP(D733,'Novo relatório'!B:B,'Novo relatório'!C:C,"RESOLVIDO")</f>
        <v>SABRE</v>
      </c>
      <c r="C733" t="str">
        <f t="shared" si="22"/>
        <v>PENDENTE</v>
      </c>
      <c r="D733" s="1">
        <v>3270324</v>
      </c>
      <c r="E733" s="1" t="s">
        <v>26</v>
      </c>
      <c r="F733" s="2">
        <v>45721.758333333331</v>
      </c>
      <c r="G733" s="1" t="s">
        <v>1287</v>
      </c>
      <c r="H733" s="1" t="s">
        <v>1287</v>
      </c>
      <c r="I733" s="1" t="s">
        <v>1054</v>
      </c>
      <c r="J733" s="2">
        <v>45714.678472222222</v>
      </c>
      <c r="K733" s="2">
        <v>45721.887499999997</v>
      </c>
      <c r="L733" s="1" t="s">
        <v>18</v>
      </c>
      <c r="M733" s="1" t="str">
        <f>_xlfn.XLOOKUP(I733,Parâmetros!A:A,Parâmetros!B:B,_xlfn.XLOOKUP(Q733,Parâmetros!F:F,Parâmetros!G:G,"NOVA MENSAGEM"))</f>
        <v>CÓD. CLIENTE DIVERGENTE</v>
      </c>
      <c r="N733" s="1" t="str">
        <f>_xlfn.XLOOKUP(M733,Parâmetros!K:K,Parâmetros!L:L,"")</f>
        <v>CÓDIGO DIFERENTE DO CADASTRADO NO BENNER (CLIENTE X GRUPO)</v>
      </c>
      <c r="O733" s="1" t="str">
        <f>_xlfn.XLOOKUP(M733,Parâmetros!B:B,Parâmetros!C:C,_xlfn.XLOOKUP(Base!M734,Parâmetros!G:G,Parâmetros!H:H))</f>
        <v>QUALIDADE DOS DADOS</v>
      </c>
      <c r="P733" s="1" t="str">
        <f>_xlfn.XLOOKUP(I733,Parâmetros!A:A,Parâmetros!D:D,_xlfn.XLOOKUP(Q733,Parâmetros!F:F,Parâmetros!I:I))</f>
        <v>SUPORTE OBT</v>
      </c>
      <c r="Q733" s="1">
        <f t="shared" si="23"/>
        <v>1</v>
      </c>
    </row>
    <row r="734" spans="1:17" x14ac:dyDescent="0.25">
      <c r="A734" s="1" t="str">
        <f>_xlfn.XLOOKUP(D734,'Novo relatório'!B:B,'Novo relatório'!C:C,"RESOLVIDO")</f>
        <v>SABRE</v>
      </c>
      <c r="C734" t="str">
        <f t="shared" si="22"/>
        <v>PENDENTE</v>
      </c>
      <c r="D734" s="1">
        <v>3270475</v>
      </c>
      <c r="E734" s="1" t="s">
        <v>26</v>
      </c>
      <c r="F734" s="2">
        <v>45714.588194444441</v>
      </c>
      <c r="G734" s="1" t="s">
        <v>1295</v>
      </c>
      <c r="H734" s="1" t="s">
        <v>1295</v>
      </c>
      <c r="I734" s="1" t="s">
        <v>83</v>
      </c>
      <c r="J734" s="2">
        <v>45714.722916666666</v>
      </c>
      <c r="L734" s="1" t="s">
        <v>18</v>
      </c>
      <c r="M734" s="1" t="str">
        <f>_xlfn.XLOOKUP(I734,Parâmetros!A:A,Parâmetros!B:B,_xlfn.XLOOKUP(Q734,Parâmetros!F:F,Parâmetros!G:G,"NOVA MENSAGEM"))</f>
        <v>CLIENTE NÃO IDENTIFICADO</v>
      </c>
      <c r="N734" s="1" t="str">
        <f>_xlfn.XLOOKUP(M734,Parâmetros!K:K,Parâmetros!L:L,"")</f>
        <v>DK DE CLIENTE NÃO PREENCIDO / CLIENTE NÃO CONFIGURADO NO OBT</v>
      </c>
      <c r="O734" s="1" t="str">
        <f>_xlfn.XLOOKUP(M734,Parâmetros!B:B,Parâmetros!C:C,_xlfn.XLOOKUP(Base!M741,Parâmetros!G:G,Parâmetros!H:H))</f>
        <v>INDEFINIDO</v>
      </c>
      <c r="P734" s="1" t="str">
        <f>_xlfn.XLOOKUP(I734,Parâmetros!A:A,Parâmetros!D:D,_xlfn.XLOOKUP(Q734,Parâmetros!F:F,Parâmetros!I:I))</f>
        <v>OPERAÇÕES / SUPORTE KCS</v>
      </c>
      <c r="Q734" s="1" t="str">
        <f t="shared" si="23"/>
        <v>COLUNA I</v>
      </c>
    </row>
    <row r="735" spans="1:17" x14ac:dyDescent="0.25">
      <c r="A735" s="1" t="str">
        <f>_xlfn.XLOOKUP(D735,'Novo relatório'!B:B,'Novo relatório'!C:C,"RESOLVIDO")</f>
        <v>TMS</v>
      </c>
      <c r="C735" t="str">
        <f t="shared" si="22"/>
        <v>PENDENTE</v>
      </c>
      <c r="D735" s="1">
        <v>3270995</v>
      </c>
      <c r="E735" s="1" t="s">
        <v>12</v>
      </c>
      <c r="F735" s="2">
        <v>45714.664583333331</v>
      </c>
      <c r="G735" s="1">
        <v>42856</v>
      </c>
      <c r="H735" s="1">
        <v>42856</v>
      </c>
      <c r="I735" s="1" t="s">
        <v>16</v>
      </c>
      <c r="J735" s="2">
        <v>45714.761805555558</v>
      </c>
      <c r="K735" s="2">
        <v>45717.773611111108</v>
      </c>
      <c r="L735" s="1" t="s">
        <v>14</v>
      </c>
      <c r="M735" s="1" t="str">
        <f>_xlfn.XLOOKUP(I735,Parâmetros!A:A,Parâmetros!B:B,_xlfn.XLOOKUP(Q735,Parâmetros!F:F,Parâmetros!G:G,"NOVA MENSAGEM"))</f>
        <v>ASSENTO / BAGAGEM</v>
      </c>
      <c r="N735" s="1" t="str">
        <f>_xlfn.XLOOKUP(M735,Parâmetros!K:K,Parâmetros!L:L,"")</f>
        <v>CAMPO OBSERVAÇÃO PREENCHIDO INCORRETAMENTE</v>
      </c>
      <c r="O735" s="1" t="str">
        <f>_xlfn.XLOOKUP(M735,Parâmetros!B:B,Parâmetros!C:C,_xlfn.XLOOKUP(Base!M798,Parâmetros!G:G,Parâmetros!H:H))</f>
        <v>QUALIDADE DOS DADOS</v>
      </c>
      <c r="P735" s="1" t="str">
        <f>_xlfn.XLOOKUP(I735,Parâmetros!A:A,Parâmetros!D:D,_xlfn.XLOOKUP(Q735,Parâmetros!F:F,Parâmetros!I:I))</f>
        <v>OPERAÇÕES / SUPORTE KCS</v>
      </c>
      <c r="Q735" s="1">
        <f t="shared" si="23"/>
        <v>118</v>
      </c>
    </row>
    <row r="736" spans="1:17" x14ac:dyDescent="0.25">
      <c r="A736" s="1" t="str">
        <f>_xlfn.XLOOKUP(D736,'Novo relatório'!B:B,'Novo relatório'!C:C,"RESOLVIDO")</f>
        <v>SABRE</v>
      </c>
      <c r="C736" t="str">
        <f t="shared" si="22"/>
        <v>PENDENTE</v>
      </c>
      <c r="D736" s="1">
        <v>3271465</v>
      </c>
      <c r="E736" s="1" t="s">
        <v>26</v>
      </c>
      <c r="F736" s="2">
        <v>45715.313194444447</v>
      </c>
      <c r="G736" s="1" t="s">
        <v>1303</v>
      </c>
      <c r="H736" s="1" t="s">
        <v>1303</v>
      </c>
      <c r="I736" s="1" t="s">
        <v>589</v>
      </c>
      <c r="J736" s="2">
        <v>45714.856249999997</v>
      </c>
      <c r="K736" s="2">
        <v>45715.439583333333</v>
      </c>
      <c r="L736" s="1" t="s">
        <v>18</v>
      </c>
      <c r="M736" s="1" t="str">
        <f>_xlfn.XLOOKUP(I736,Parâmetros!A:A,Parâmetros!B:B,_xlfn.XLOOKUP(Q736,Parâmetros!F:F,Parâmetros!G:G,"NOVA MENSAGEM"))</f>
        <v>REMARK - CNPJ</v>
      </c>
      <c r="N736" s="1" t="str">
        <f>_xlfn.XLOOKUP(M736,Parâmetros!K:K,Parâmetros!L:L,"")</f>
        <v/>
      </c>
      <c r="O736" s="1" t="e">
        <f>_xlfn.XLOOKUP(M736,Parâmetros!B:B,Parâmetros!C:C,_xlfn.XLOOKUP(Base!M747,Parâmetros!G:G,Parâmetros!H:H))</f>
        <v>#N/A</v>
      </c>
      <c r="P736" s="1" t="str">
        <f>_xlfn.XLOOKUP(I736,Parâmetros!A:A,Parâmetros!D:D,_xlfn.XLOOKUP(Q736,Parâmetros!F:F,Parâmetros!I:I))</f>
        <v>OPERAÇÕES / SUPORTE KCS</v>
      </c>
      <c r="Q736" s="1">
        <f t="shared" si="23"/>
        <v>24</v>
      </c>
    </row>
    <row r="737" spans="1:17" x14ac:dyDescent="0.25">
      <c r="A737" s="1" t="str">
        <f>_xlfn.XLOOKUP(D737,'Novo relatório'!B:B,'Novo relatório'!C:C,"RESOLVIDO")</f>
        <v>SABRE</v>
      </c>
      <c r="C737" t="str">
        <f t="shared" si="22"/>
        <v>PENDENTE</v>
      </c>
      <c r="D737" s="1">
        <v>3271476</v>
      </c>
      <c r="E737" s="1" t="s">
        <v>26</v>
      </c>
      <c r="F737" s="2">
        <v>45715.291666666664</v>
      </c>
      <c r="G737" s="1" t="s">
        <v>1312</v>
      </c>
      <c r="H737" s="1" t="s">
        <v>1312</v>
      </c>
      <c r="I737" s="1" t="s">
        <v>83</v>
      </c>
      <c r="J737" s="2">
        <v>45714.857638888891</v>
      </c>
      <c r="K737" s="2">
        <v>45715.42083333333</v>
      </c>
      <c r="L737" s="1" t="s">
        <v>18</v>
      </c>
      <c r="M737" s="1" t="str">
        <f>_xlfn.XLOOKUP(I737,Parâmetros!A:A,Parâmetros!B:B,_xlfn.XLOOKUP(Q737,Parâmetros!F:F,Parâmetros!G:G,"NOVA MENSAGEM"))</f>
        <v>CLIENTE NÃO IDENTIFICADO</v>
      </c>
      <c r="N737" s="1" t="str">
        <f>_xlfn.XLOOKUP(M737,Parâmetros!K:K,Parâmetros!L:L,"")</f>
        <v>DK DE CLIENTE NÃO PREENCIDO / CLIENTE NÃO CONFIGURADO NO OBT</v>
      </c>
      <c r="O737" s="1" t="str">
        <f>_xlfn.XLOOKUP(M737,Parâmetros!B:B,Parâmetros!C:C,_xlfn.XLOOKUP(Base!M756,Parâmetros!G:G,Parâmetros!H:H))</f>
        <v>INDEFINIDO</v>
      </c>
      <c r="P737" s="1" t="str">
        <f>_xlfn.XLOOKUP(I737,Parâmetros!A:A,Parâmetros!D:D,_xlfn.XLOOKUP(Q737,Parâmetros!F:F,Parâmetros!I:I))</f>
        <v>OPERAÇÕES / SUPORTE KCS</v>
      </c>
      <c r="Q737" s="1" t="str">
        <f t="shared" si="23"/>
        <v>COLUNA I</v>
      </c>
    </row>
    <row r="738" spans="1:17" x14ac:dyDescent="0.25">
      <c r="A738" s="1" t="str">
        <f>_xlfn.XLOOKUP(D738,'Novo relatório'!B:B,'Novo relatório'!C:C,"RESOLVIDO")</f>
        <v>SABRE</v>
      </c>
      <c r="C738" t="str">
        <f t="shared" si="22"/>
        <v>PENDENTE</v>
      </c>
      <c r="D738" s="1">
        <v>3271840</v>
      </c>
      <c r="E738" s="1" t="s">
        <v>26</v>
      </c>
      <c r="F738" s="2">
        <v>45715.265277777777</v>
      </c>
      <c r="G738" s="1" t="s">
        <v>1249</v>
      </c>
      <c r="H738" s="1" t="s">
        <v>1250</v>
      </c>
      <c r="I738" s="1" t="s">
        <v>64</v>
      </c>
      <c r="J738" s="2">
        <v>45715.397916666669</v>
      </c>
      <c r="L738" s="1" t="s">
        <v>1244</v>
      </c>
      <c r="M738" s="1" t="str">
        <f>_xlfn.XLOOKUP(I738,Parâmetros!A:A,Parâmetros!B:B,_xlfn.XLOOKUP(Q738,Parâmetros!F:F,Parâmetros!G:G,"NOVA MENSAGEM"))</f>
        <v>FORMATO DE TEXTO</v>
      </c>
      <c r="N738" s="1" t="str">
        <f>_xlfn.XLOOKUP(M738,Parâmetros!K:K,Parâmetros!L:L,"")</f>
        <v>TEXTO FORA DO PADRÃO ACEITO NO CAMPO</v>
      </c>
      <c r="O738" s="1" t="str">
        <f>_xlfn.XLOOKUP(M738,Parâmetros!B:B,Parâmetros!C:C,_xlfn.XLOOKUP(Base!M706,Parâmetros!G:G,Parâmetros!H:H))</f>
        <v>INDEFINIDO</v>
      </c>
      <c r="P738" s="1" t="str">
        <f>_xlfn.XLOOKUP(I738,Parâmetros!A:A,Parâmetros!D:D,_xlfn.XLOOKUP(Q738,Parâmetros!F:F,Parâmetros!I:I))</f>
        <v>SUPORTE OBT</v>
      </c>
      <c r="Q738" s="1" t="str">
        <f t="shared" si="23"/>
        <v>COLUNA I</v>
      </c>
    </row>
    <row r="739" spans="1:17" x14ac:dyDescent="0.25">
      <c r="A739" s="1" t="str">
        <f>_xlfn.XLOOKUP(D739,'Novo relatório'!B:B,'Novo relatório'!C:C,"RESOLVIDO")</f>
        <v>SABRE</v>
      </c>
      <c r="C739" t="str">
        <f t="shared" si="22"/>
        <v>PENDENTE</v>
      </c>
      <c r="D739" s="1">
        <v>3271841</v>
      </c>
      <c r="E739" s="1" t="s">
        <v>26</v>
      </c>
      <c r="F739" s="2">
        <v>45715.265972222223</v>
      </c>
      <c r="G739" s="1" t="s">
        <v>1297</v>
      </c>
      <c r="H739" s="1" t="s">
        <v>1298</v>
      </c>
      <c r="I739" s="1" t="s">
        <v>64</v>
      </c>
      <c r="J739" s="2">
        <v>45715.397916666669</v>
      </c>
      <c r="L739" s="1" t="s">
        <v>1244</v>
      </c>
      <c r="M739" s="1" t="str">
        <f>_xlfn.XLOOKUP(I739,Parâmetros!A:A,Parâmetros!B:B,_xlfn.XLOOKUP(Q739,Parâmetros!F:F,Parâmetros!G:G,"NOVA MENSAGEM"))</f>
        <v>FORMATO DE TEXTO</v>
      </c>
      <c r="N739" s="1" t="str">
        <f>_xlfn.XLOOKUP(M739,Parâmetros!K:K,Parâmetros!L:L,"")</f>
        <v>TEXTO FORA DO PADRÃO ACEITO NO CAMPO</v>
      </c>
      <c r="O739" s="1" t="str">
        <f>_xlfn.XLOOKUP(M739,Parâmetros!B:B,Parâmetros!C:C,_xlfn.XLOOKUP(Base!M743,Parâmetros!G:G,Parâmetros!H:H))</f>
        <v>INDEFINIDO</v>
      </c>
      <c r="P739" s="1" t="str">
        <f>_xlfn.XLOOKUP(I739,Parâmetros!A:A,Parâmetros!D:D,_xlfn.XLOOKUP(Q739,Parâmetros!F:F,Parâmetros!I:I))</f>
        <v>SUPORTE OBT</v>
      </c>
      <c r="Q739" s="1" t="str">
        <f t="shared" si="23"/>
        <v>COLUNA I</v>
      </c>
    </row>
    <row r="740" spans="1:17" x14ac:dyDescent="0.25">
      <c r="A740" s="1" t="str">
        <f>_xlfn.XLOOKUP(D740,'Novo relatório'!B:B,'Novo relatório'!C:C,"RESOLVIDO")</f>
        <v>SABRE</v>
      </c>
      <c r="C740" t="str">
        <f t="shared" si="22"/>
        <v>PENDENTE</v>
      </c>
      <c r="D740" s="1">
        <v>3271842</v>
      </c>
      <c r="E740" s="1" t="s">
        <v>26</v>
      </c>
      <c r="F740" s="2">
        <v>45715.265972222223</v>
      </c>
      <c r="G740" s="1" t="s">
        <v>1285</v>
      </c>
      <c r="H740" s="1" t="s">
        <v>1286</v>
      </c>
      <c r="I740" s="1" t="s">
        <v>64</v>
      </c>
      <c r="J740" s="2">
        <v>45715.397916666669</v>
      </c>
      <c r="L740" s="1" t="s">
        <v>1244</v>
      </c>
      <c r="M740" s="1" t="str">
        <f>_xlfn.XLOOKUP(I740,Parâmetros!A:A,Parâmetros!B:B,_xlfn.XLOOKUP(Q740,Parâmetros!F:F,Parâmetros!G:G,"NOVA MENSAGEM"))</f>
        <v>FORMATO DE TEXTO</v>
      </c>
      <c r="N740" s="1" t="str">
        <f>_xlfn.XLOOKUP(M740,Parâmetros!K:K,Parâmetros!L:L,"")</f>
        <v>TEXTO FORA DO PADRÃO ACEITO NO CAMPO</v>
      </c>
      <c r="O740" s="1" t="str">
        <f>_xlfn.XLOOKUP(M740,Parâmetros!B:B,Parâmetros!C:C,_xlfn.XLOOKUP(Base!M733,Parâmetros!G:G,Parâmetros!H:H))</f>
        <v>INDEFINIDO</v>
      </c>
      <c r="P740" s="1" t="str">
        <f>_xlfn.XLOOKUP(I740,Parâmetros!A:A,Parâmetros!D:D,_xlfn.XLOOKUP(Q740,Parâmetros!F:F,Parâmetros!I:I))</f>
        <v>SUPORTE OBT</v>
      </c>
      <c r="Q740" s="1" t="str">
        <f t="shared" si="23"/>
        <v>COLUNA I</v>
      </c>
    </row>
    <row r="741" spans="1:17" x14ac:dyDescent="0.25">
      <c r="A741" s="1" t="str">
        <f>_xlfn.XLOOKUP(D741,'Novo relatório'!B:B,'Novo relatório'!C:C,"RESOLVIDO")</f>
        <v>SABRE</v>
      </c>
      <c r="C741" t="str">
        <f t="shared" si="22"/>
        <v>PENDENTE</v>
      </c>
      <c r="D741" s="1">
        <v>3271843</v>
      </c>
      <c r="E741" s="1" t="s">
        <v>26</v>
      </c>
      <c r="F741" s="2">
        <v>45715.265972222223</v>
      </c>
      <c r="G741" s="1" t="s">
        <v>1271</v>
      </c>
      <c r="H741" s="1" t="s">
        <v>1272</v>
      </c>
      <c r="I741" s="1" t="s">
        <v>64</v>
      </c>
      <c r="J741" s="2">
        <v>45715.397916666669</v>
      </c>
      <c r="L741" s="1" t="s">
        <v>1244</v>
      </c>
      <c r="M741" s="1" t="str">
        <f>_xlfn.XLOOKUP(I741,Parâmetros!A:A,Parâmetros!B:B,_xlfn.XLOOKUP(Q741,Parâmetros!F:F,Parâmetros!G:G,"NOVA MENSAGEM"))</f>
        <v>FORMATO DE TEXTO</v>
      </c>
      <c r="N741" s="1" t="str">
        <f>_xlfn.XLOOKUP(M741,Parâmetros!K:K,Parâmetros!L:L,"")</f>
        <v>TEXTO FORA DO PADRÃO ACEITO NO CAMPO</v>
      </c>
      <c r="O741" s="1" t="str">
        <f>_xlfn.XLOOKUP(M741,Parâmetros!B:B,Parâmetros!C:C,_xlfn.XLOOKUP(Base!M724,Parâmetros!G:G,Parâmetros!H:H))</f>
        <v>INDEFINIDO</v>
      </c>
      <c r="P741" s="1" t="str">
        <f>_xlfn.XLOOKUP(I741,Parâmetros!A:A,Parâmetros!D:D,_xlfn.XLOOKUP(Q741,Parâmetros!F:F,Parâmetros!I:I))</f>
        <v>SUPORTE OBT</v>
      </c>
      <c r="Q741" s="1" t="str">
        <f t="shared" si="23"/>
        <v>COLUNA I</v>
      </c>
    </row>
    <row r="742" spans="1:17" x14ac:dyDescent="0.25">
      <c r="A742" s="1" t="str">
        <f>_xlfn.XLOOKUP(D742,'Novo relatório'!B:B,'Novo relatório'!C:C,"RESOLVIDO")</f>
        <v>SABRE</v>
      </c>
      <c r="C742" t="str">
        <f t="shared" si="22"/>
        <v>PENDENTE</v>
      </c>
      <c r="D742" s="1">
        <v>3271844</v>
      </c>
      <c r="E742" s="1" t="s">
        <v>26</v>
      </c>
      <c r="F742" s="2">
        <v>45715.265972222223</v>
      </c>
      <c r="G742" s="1" t="s">
        <v>1359</v>
      </c>
      <c r="H742" s="1" t="s">
        <v>1360</v>
      </c>
      <c r="I742" s="1" t="s">
        <v>64</v>
      </c>
      <c r="J742" s="2">
        <v>45715.397916666669</v>
      </c>
      <c r="L742" s="1" t="s">
        <v>1244</v>
      </c>
      <c r="M742" s="1" t="str">
        <f>_xlfn.XLOOKUP(I742,Parâmetros!A:A,Parâmetros!B:B,_xlfn.XLOOKUP(Q742,Parâmetros!F:F,Parâmetros!G:G,"NOVA MENSAGEM"))</f>
        <v>FORMATO DE TEXTO</v>
      </c>
      <c r="N742" s="1" t="str">
        <f>_xlfn.XLOOKUP(M742,Parâmetros!K:K,Parâmetros!L:L,"")</f>
        <v>TEXTO FORA DO PADRÃO ACEITO NO CAMPO</v>
      </c>
      <c r="O742" s="1" t="str">
        <f>_xlfn.XLOOKUP(M742,Parâmetros!B:B,Parâmetros!C:C,_xlfn.XLOOKUP(Base!M791,Parâmetros!G:G,Parâmetros!H:H))</f>
        <v>INDEFINIDO</v>
      </c>
      <c r="P742" s="1" t="str">
        <f>_xlfn.XLOOKUP(I742,Parâmetros!A:A,Parâmetros!D:D,_xlfn.XLOOKUP(Q742,Parâmetros!F:F,Parâmetros!I:I))</f>
        <v>SUPORTE OBT</v>
      </c>
      <c r="Q742" s="1" t="str">
        <f t="shared" si="23"/>
        <v>COLUNA I</v>
      </c>
    </row>
    <row r="743" spans="1:17" x14ac:dyDescent="0.25">
      <c r="A743" s="1" t="str">
        <f>_xlfn.XLOOKUP(D743,'Novo relatório'!B:B,'Novo relatório'!C:C,"RESOLVIDO")</f>
        <v>SABRE</v>
      </c>
      <c r="C743" t="str">
        <f t="shared" si="22"/>
        <v>PENDENTE</v>
      </c>
      <c r="D743" s="1">
        <v>3271845</v>
      </c>
      <c r="E743" s="1" t="s">
        <v>26</v>
      </c>
      <c r="F743" s="2">
        <v>45715.265972222223</v>
      </c>
      <c r="G743" s="1" t="s">
        <v>1334</v>
      </c>
      <c r="H743" s="1" t="s">
        <v>1335</v>
      </c>
      <c r="I743" s="1" t="s">
        <v>64</v>
      </c>
      <c r="J743" s="2">
        <v>45715.397916666669</v>
      </c>
      <c r="L743" s="1" t="s">
        <v>1244</v>
      </c>
      <c r="M743" s="1" t="str">
        <f>_xlfn.XLOOKUP(I743,Parâmetros!A:A,Parâmetros!B:B,_xlfn.XLOOKUP(Q743,Parâmetros!F:F,Parâmetros!G:G,"NOVA MENSAGEM"))</f>
        <v>FORMATO DE TEXTO</v>
      </c>
      <c r="N743" s="1" t="str">
        <f>_xlfn.XLOOKUP(M743,Parâmetros!K:K,Parâmetros!L:L,"")</f>
        <v>TEXTO FORA DO PADRÃO ACEITO NO CAMPO</v>
      </c>
      <c r="O743" s="1" t="str">
        <f>_xlfn.XLOOKUP(M743,Parâmetros!B:B,Parâmetros!C:C,_xlfn.XLOOKUP(Base!M772,Parâmetros!G:G,Parâmetros!H:H))</f>
        <v>INDEFINIDO</v>
      </c>
      <c r="P743" s="1" t="str">
        <f>_xlfn.XLOOKUP(I743,Parâmetros!A:A,Parâmetros!D:D,_xlfn.XLOOKUP(Q743,Parâmetros!F:F,Parâmetros!I:I))</f>
        <v>SUPORTE OBT</v>
      </c>
      <c r="Q743" s="1" t="str">
        <f t="shared" si="23"/>
        <v>COLUNA I</v>
      </c>
    </row>
    <row r="744" spans="1:17" x14ac:dyDescent="0.25">
      <c r="A744" s="1" t="str">
        <f>_xlfn.XLOOKUP(D744,'Novo relatório'!B:B,'Novo relatório'!C:C,"RESOLVIDO")</f>
        <v>SABRE</v>
      </c>
      <c r="C744" t="str">
        <f t="shared" si="22"/>
        <v>PENDENTE</v>
      </c>
      <c r="D744" s="1">
        <v>3271846</v>
      </c>
      <c r="E744" s="1" t="s">
        <v>26</v>
      </c>
      <c r="F744" s="2">
        <v>45715.26666666667</v>
      </c>
      <c r="G744" s="1" t="s">
        <v>1268</v>
      </c>
      <c r="H744" s="1" t="s">
        <v>1269</v>
      </c>
      <c r="I744" s="1" t="s">
        <v>64</v>
      </c>
      <c r="J744" s="2">
        <v>45715.397916666669</v>
      </c>
      <c r="L744" s="1" t="s">
        <v>1244</v>
      </c>
      <c r="M744" s="1" t="str">
        <f>_xlfn.XLOOKUP(I744,Parâmetros!A:A,Parâmetros!B:B,_xlfn.XLOOKUP(Q744,Parâmetros!F:F,Parâmetros!G:G,"NOVA MENSAGEM"))</f>
        <v>FORMATO DE TEXTO</v>
      </c>
      <c r="N744" s="1" t="str">
        <f>_xlfn.XLOOKUP(M744,Parâmetros!K:K,Parâmetros!L:L,"")</f>
        <v>TEXTO FORA DO PADRÃO ACEITO NO CAMPO</v>
      </c>
      <c r="O744" s="1" t="str">
        <f>_xlfn.XLOOKUP(M744,Parâmetros!B:B,Parâmetros!C:C,_xlfn.XLOOKUP(Base!M722,Parâmetros!G:G,Parâmetros!H:H))</f>
        <v>INDEFINIDO</v>
      </c>
      <c r="P744" s="1" t="str">
        <f>_xlfn.XLOOKUP(I744,Parâmetros!A:A,Parâmetros!D:D,_xlfn.XLOOKUP(Q744,Parâmetros!F:F,Parâmetros!I:I))</f>
        <v>SUPORTE OBT</v>
      </c>
      <c r="Q744" s="1" t="str">
        <f t="shared" si="23"/>
        <v>COLUNA I</v>
      </c>
    </row>
    <row r="745" spans="1:17" x14ac:dyDescent="0.25">
      <c r="A745" s="1" t="str">
        <f>_xlfn.XLOOKUP(D745,'Novo relatório'!B:B,'Novo relatório'!C:C,"RESOLVIDO")</f>
        <v>SABRE</v>
      </c>
      <c r="C745" t="str">
        <f t="shared" si="22"/>
        <v>PENDENTE</v>
      </c>
      <c r="D745" s="1">
        <v>3271847</v>
      </c>
      <c r="E745" s="1" t="s">
        <v>26</v>
      </c>
      <c r="F745" s="2">
        <v>45715.26666666667</v>
      </c>
      <c r="G745" s="1" t="s">
        <v>1292</v>
      </c>
      <c r="H745" s="1" t="s">
        <v>1293</v>
      </c>
      <c r="I745" s="1" t="s">
        <v>64</v>
      </c>
      <c r="J745" s="2">
        <v>45715.397916666669</v>
      </c>
      <c r="L745" s="1" t="s">
        <v>1244</v>
      </c>
      <c r="M745" s="1" t="str">
        <f>_xlfn.XLOOKUP(I745,Parâmetros!A:A,Parâmetros!B:B,_xlfn.XLOOKUP(Q745,Parâmetros!F:F,Parâmetros!G:G,"NOVA MENSAGEM"))</f>
        <v>FORMATO DE TEXTO</v>
      </c>
      <c r="N745" s="1" t="str">
        <f>_xlfn.XLOOKUP(M745,Parâmetros!K:K,Parâmetros!L:L,"")</f>
        <v>TEXTO FORA DO PADRÃO ACEITO NO CAMPO</v>
      </c>
      <c r="O745" s="1" t="str">
        <f>_xlfn.XLOOKUP(M745,Parâmetros!B:B,Parâmetros!C:C,_xlfn.XLOOKUP(Base!M739,Parâmetros!G:G,Parâmetros!H:H))</f>
        <v>INDEFINIDO</v>
      </c>
      <c r="P745" s="1" t="str">
        <f>_xlfn.XLOOKUP(I745,Parâmetros!A:A,Parâmetros!D:D,_xlfn.XLOOKUP(Q745,Parâmetros!F:F,Parâmetros!I:I))</f>
        <v>SUPORTE OBT</v>
      </c>
      <c r="Q745" s="1" t="str">
        <f t="shared" si="23"/>
        <v>COLUNA I</v>
      </c>
    </row>
    <row r="746" spans="1:17" x14ac:dyDescent="0.25">
      <c r="A746" s="1" t="str">
        <f>_xlfn.XLOOKUP(D746,'Novo relatório'!B:B,'Novo relatório'!C:C,"RESOLVIDO")</f>
        <v>SABRE</v>
      </c>
      <c r="C746" t="str">
        <f t="shared" si="22"/>
        <v>PENDENTE</v>
      </c>
      <c r="D746" s="1">
        <v>3271848</v>
      </c>
      <c r="E746" s="1" t="s">
        <v>26</v>
      </c>
      <c r="F746" s="2">
        <v>45715.267361111109</v>
      </c>
      <c r="G746" s="1" t="s">
        <v>1281</v>
      </c>
      <c r="H746" s="1" t="s">
        <v>1282</v>
      </c>
      <c r="I746" s="1" t="s">
        <v>64</v>
      </c>
      <c r="J746" s="2">
        <v>45715.397916666669</v>
      </c>
      <c r="L746" s="1" t="s">
        <v>1244</v>
      </c>
      <c r="M746" s="1" t="str">
        <f>_xlfn.XLOOKUP(I746,Parâmetros!A:A,Parâmetros!B:B,_xlfn.XLOOKUP(Q746,Parâmetros!F:F,Parâmetros!G:G,"NOVA MENSAGEM"))</f>
        <v>FORMATO DE TEXTO</v>
      </c>
      <c r="N746" s="1" t="str">
        <f>_xlfn.XLOOKUP(M746,Parâmetros!K:K,Parâmetros!L:L,"")</f>
        <v>TEXTO FORA DO PADRÃO ACEITO NO CAMPO</v>
      </c>
      <c r="O746" s="1" t="str">
        <f>_xlfn.XLOOKUP(M746,Parâmetros!B:B,Parâmetros!C:C,_xlfn.XLOOKUP(Base!M730,Parâmetros!G:G,Parâmetros!H:H))</f>
        <v>INDEFINIDO</v>
      </c>
      <c r="P746" s="1" t="str">
        <f>_xlfn.XLOOKUP(I746,Parâmetros!A:A,Parâmetros!D:D,_xlfn.XLOOKUP(Q746,Parâmetros!F:F,Parâmetros!I:I))</f>
        <v>SUPORTE OBT</v>
      </c>
      <c r="Q746" s="1" t="str">
        <f t="shared" si="23"/>
        <v>COLUNA I</v>
      </c>
    </row>
    <row r="747" spans="1:17" x14ac:dyDescent="0.25">
      <c r="A747" s="1" t="str">
        <f>_xlfn.XLOOKUP(D747,'Novo relatório'!B:B,'Novo relatório'!C:C,"RESOLVIDO")</f>
        <v>SABRE</v>
      </c>
      <c r="C747" t="str">
        <f t="shared" si="22"/>
        <v>PENDENTE</v>
      </c>
      <c r="D747" s="1">
        <v>3271849</v>
      </c>
      <c r="E747" s="1" t="s">
        <v>26</v>
      </c>
      <c r="F747" s="2">
        <v>45715.267361111109</v>
      </c>
      <c r="G747" s="1" t="s">
        <v>1266</v>
      </c>
      <c r="H747" s="1" t="s">
        <v>1267</v>
      </c>
      <c r="I747" s="1" t="s">
        <v>64</v>
      </c>
      <c r="J747" s="2">
        <v>45715.397916666669</v>
      </c>
      <c r="L747" s="1" t="s">
        <v>1244</v>
      </c>
      <c r="M747" s="1" t="str">
        <f>_xlfn.XLOOKUP(I747,Parâmetros!A:A,Parâmetros!B:B,_xlfn.XLOOKUP(Q747,Parâmetros!F:F,Parâmetros!G:G,"NOVA MENSAGEM"))</f>
        <v>FORMATO DE TEXTO</v>
      </c>
      <c r="N747" s="1" t="str">
        <f>_xlfn.XLOOKUP(M747,Parâmetros!K:K,Parâmetros!L:L,"")</f>
        <v>TEXTO FORA DO PADRÃO ACEITO NO CAMPO</v>
      </c>
      <c r="O747" s="1" t="str">
        <f>_xlfn.XLOOKUP(M747,Parâmetros!B:B,Parâmetros!C:C,_xlfn.XLOOKUP(Base!M721,Parâmetros!G:G,Parâmetros!H:H))</f>
        <v>INDEFINIDO</v>
      </c>
      <c r="P747" s="1" t="str">
        <f>_xlfn.XLOOKUP(I747,Parâmetros!A:A,Parâmetros!D:D,_xlfn.XLOOKUP(Q747,Parâmetros!F:F,Parâmetros!I:I))</f>
        <v>SUPORTE OBT</v>
      </c>
      <c r="Q747" s="1" t="str">
        <f t="shared" si="23"/>
        <v>COLUNA I</v>
      </c>
    </row>
    <row r="748" spans="1:17" x14ac:dyDescent="0.25">
      <c r="A748" s="1" t="str">
        <f>_xlfn.XLOOKUP(D748,'Novo relatório'!B:B,'Novo relatório'!C:C,"RESOLVIDO")</f>
        <v>TMS</v>
      </c>
      <c r="C748" t="str">
        <f t="shared" si="22"/>
        <v>PENDENTE</v>
      </c>
      <c r="D748" s="1">
        <v>3272507</v>
      </c>
      <c r="E748" s="1" t="s">
        <v>12</v>
      </c>
      <c r="F748" s="2">
        <v>45715.461805555555</v>
      </c>
      <c r="G748" s="1">
        <v>3017</v>
      </c>
      <c r="H748" s="1">
        <v>3017</v>
      </c>
      <c r="I748" s="1" t="s">
        <v>1366</v>
      </c>
      <c r="J748" s="2">
        <v>45715.525694444441</v>
      </c>
      <c r="K748" s="2">
        <v>45718.788194444445</v>
      </c>
      <c r="L748" s="1" t="s">
        <v>14</v>
      </c>
      <c r="M748" s="1" t="str">
        <f>_xlfn.XLOOKUP(I748,Parâmetros!A:A,Parâmetros!B:B,_xlfn.XLOOKUP(Q748,Parâmetros!F:F,Parâmetros!G:G,"NOVA MENSAGEM"))</f>
        <v>ASSENTO / BAGAGEM</v>
      </c>
      <c r="N748" s="1" t="str">
        <f>_xlfn.XLOOKUP(M748,Parâmetros!K:K,Parâmetros!L:L,"")</f>
        <v>CAMPO OBSERVAÇÃO PREENCHIDO INCORRETAMENTE</v>
      </c>
      <c r="O748" s="1" t="str">
        <f>_xlfn.XLOOKUP(M748,Parâmetros!B:B,Parâmetros!C:C,_xlfn.XLOOKUP(Base!M797,Parâmetros!G:G,Parâmetros!H:H))</f>
        <v>QUALIDADE DOS DADOS</v>
      </c>
      <c r="P748" s="1" t="str">
        <f>_xlfn.XLOOKUP(I748,Parâmetros!A:A,Parâmetros!D:D,_xlfn.XLOOKUP(Q748,Parâmetros!F:F,Parâmetros!I:I))</f>
        <v>OPERAÇÕES / SUPORTE KCS</v>
      </c>
      <c r="Q748" s="1">
        <f t="shared" si="23"/>
        <v>127</v>
      </c>
    </row>
    <row r="749" spans="1:17" x14ac:dyDescent="0.25">
      <c r="A749" s="1" t="str">
        <f>_xlfn.XLOOKUP(D749,'Novo relatório'!B:B,'Novo relatório'!C:C,"RESOLVIDO")</f>
        <v>SABRE</v>
      </c>
      <c r="C749" t="str">
        <f t="shared" si="22"/>
        <v>PENDENTE</v>
      </c>
      <c r="D749" s="1">
        <v>3272950</v>
      </c>
      <c r="E749" s="1" t="s">
        <v>26</v>
      </c>
      <c r="F749" s="2">
        <v>45715.525000000001</v>
      </c>
      <c r="G749" s="1" t="s">
        <v>1337</v>
      </c>
      <c r="H749" s="1" t="s">
        <v>1338</v>
      </c>
      <c r="I749" s="1" t="s">
        <v>64</v>
      </c>
      <c r="J749" s="2">
        <v>45715.657638888886</v>
      </c>
      <c r="L749" s="1" t="s">
        <v>1244</v>
      </c>
      <c r="M749" s="1" t="str">
        <f>_xlfn.XLOOKUP(I749,Parâmetros!A:A,Parâmetros!B:B,_xlfn.XLOOKUP(Q749,Parâmetros!F:F,Parâmetros!G:G,"NOVA MENSAGEM"))</f>
        <v>FORMATO DE TEXTO</v>
      </c>
      <c r="N749" s="1" t="str">
        <f>_xlfn.XLOOKUP(M749,Parâmetros!K:K,Parâmetros!L:L,"")</f>
        <v>TEXTO FORA DO PADRÃO ACEITO NO CAMPO</v>
      </c>
      <c r="O749" s="1" t="str">
        <f>_xlfn.XLOOKUP(M749,Parâmetros!B:B,Parâmetros!C:C,_xlfn.XLOOKUP(Base!M774,Parâmetros!G:G,Parâmetros!H:H))</f>
        <v>INDEFINIDO</v>
      </c>
      <c r="P749" s="1" t="str">
        <f>_xlfn.XLOOKUP(I749,Parâmetros!A:A,Parâmetros!D:D,_xlfn.XLOOKUP(Q749,Parâmetros!F:F,Parâmetros!I:I))</f>
        <v>SUPORTE OBT</v>
      </c>
      <c r="Q749" s="1" t="str">
        <f t="shared" si="23"/>
        <v>COLUNA I</v>
      </c>
    </row>
    <row r="750" spans="1:17" x14ac:dyDescent="0.25">
      <c r="A750" s="1" t="str">
        <f>_xlfn.XLOOKUP(D750,'Novo relatório'!B:B,'Novo relatório'!C:C,"RESOLVIDO")</f>
        <v>SABRE</v>
      </c>
      <c r="C750" t="str">
        <f t="shared" si="22"/>
        <v>PENDENTE</v>
      </c>
      <c r="D750" s="1">
        <v>3273228</v>
      </c>
      <c r="E750" s="1" t="s">
        <v>26</v>
      </c>
      <c r="F750" s="2">
        <v>45715.59375</v>
      </c>
      <c r="G750" s="1" t="s">
        <v>1317</v>
      </c>
      <c r="H750" s="1" t="s">
        <v>1318</v>
      </c>
      <c r="I750" s="1" t="s">
        <v>85</v>
      </c>
      <c r="J750" s="2">
        <v>45715.722222222219</v>
      </c>
      <c r="L750" s="1" t="s">
        <v>18</v>
      </c>
      <c r="M750" s="1" t="str">
        <f>_xlfn.XLOOKUP(I750,Parâmetros!A:A,Parâmetros!B:B,_xlfn.XLOOKUP(Q750,Parâmetros!F:F,Parâmetros!G:G,"NOVA MENSAGEM"))</f>
        <v>CLIENTE NÃO IDENTIFICADO</v>
      </c>
      <c r="N750" s="1" t="str">
        <f>_xlfn.XLOOKUP(M750,Parâmetros!K:K,Parâmetros!L:L,"")</f>
        <v>DK DE CLIENTE NÃO PREENCIDO / CLIENTE NÃO CONFIGURADO NO OBT</v>
      </c>
      <c r="O750" s="1" t="str">
        <f>_xlfn.XLOOKUP(M750,Parâmetros!B:B,Parâmetros!C:C,_xlfn.XLOOKUP(Base!M760,Parâmetros!G:G,Parâmetros!H:H))</f>
        <v>INDEFINIDO</v>
      </c>
      <c r="P750" s="1" t="str">
        <f>_xlfn.XLOOKUP(I750,Parâmetros!A:A,Parâmetros!D:D,_xlfn.XLOOKUP(Q750,Parâmetros!F:F,Parâmetros!I:I))</f>
        <v>OPERAÇÕES / SUPORTE KCS</v>
      </c>
      <c r="Q750" s="1" t="str">
        <f t="shared" si="23"/>
        <v>COLUNA I</v>
      </c>
    </row>
    <row r="751" spans="1:17" x14ac:dyDescent="0.25">
      <c r="A751" s="1" t="str">
        <f>_xlfn.XLOOKUP(D751,'Novo relatório'!B:B,'Novo relatório'!C:C,"RESOLVIDO")</f>
        <v>SABRE</v>
      </c>
      <c r="C751" t="str">
        <f t="shared" si="22"/>
        <v>PENDENTE</v>
      </c>
      <c r="D751" s="1">
        <v>3274012</v>
      </c>
      <c r="E751" s="1" t="s">
        <v>26</v>
      </c>
      <c r="F751" s="2">
        <v>45721.758333333331</v>
      </c>
      <c r="G751" s="1" t="s">
        <v>1344</v>
      </c>
      <c r="H751" s="1" t="s">
        <v>1344</v>
      </c>
      <c r="I751" s="1" t="s">
        <v>829</v>
      </c>
      <c r="J751" s="2">
        <v>45715.793749999997</v>
      </c>
      <c r="K751" s="2">
        <v>45721.890277777777</v>
      </c>
      <c r="L751" s="1" t="s">
        <v>18</v>
      </c>
      <c r="M751" s="1" t="str">
        <f>_xlfn.XLOOKUP(I751,Parâmetros!A:A,Parâmetros!B:B,_xlfn.XLOOKUP(Q751,Parâmetros!F:F,Parâmetros!G:G,"NOVA MENSAGEM"))</f>
        <v>REMARK - CNPJ</v>
      </c>
      <c r="N751" s="1" t="str">
        <f>_xlfn.XLOOKUP(M751,Parâmetros!K:K,Parâmetros!L:L,"")</f>
        <v/>
      </c>
      <c r="O751" s="1" t="e">
        <f>_xlfn.XLOOKUP(M751,Parâmetros!B:B,Parâmetros!C:C,_xlfn.XLOOKUP(Base!M780,Parâmetros!G:G,Parâmetros!H:H))</f>
        <v>#N/A</v>
      </c>
      <c r="P751" s="1" t="str">
        <f>_xlfn.XLOOKUP(I751,Parâmetros!A:A,Parâmetros!D:D,_xlfn.XLOOKUP(Q751,Parâmetros!F:F,Parâmetros!I:I))</f>
        <v>OPERAÇÕES / SUPORTE KCS</v>
      </c>
      <c r="Q751" s="1">
        <f t="shared" si="23"/>
        <v>24</v>
      </c>
    </row>
    <row r="752" spans="1:17" x14ac:dyDescent="0.25">
      <c r="A752" s="1" t="str">
        <f>_xlfn.XLOOKUP(D752,'Novo relatório'!B:B,'Novo relatório'!C:C,"RESOLVIDO")</f>
        <v>TMS</v>
      </c>
      <c r="C752" t="str">
        <f t="shared" si="22"/>
        <v>PENDENTE</v>
      </c>
      <c r="D752" s="1">
        <v>3274055</v>
      </c>
      <c r="E752" s="1" t="s">
        <v>12</v>
      </c>
      <c r="F752" s="2">
        <v>45715.633333333331</v>
      </c>
      <c r="G752" s="1">
        <v>72</v>
      </c>
      <c r="H752" s="1">
        <v>72</v>
      </c>
      <c r="I752" s="1" t="s">
        <v>16</v>
      </c>
      <c r="J752" s="2">
        <v>45715.79791666667</v>
      </c>
      <c r="K752" s="2">
        <v>45718.788888888892</v>
      </c>
      <c r="L752" s="1" t="s">
        <v>14</v>
      </c>
      <c r="M752" s="1" t="str">
        <f>_xlfn.XLOOKUP(I752,Parâmetros!A:A,Parâmetros!B:B,_xlfn.XLOOKUP(Q752,Parâmetros!F:F,Parâmetros!G:G,"NOVA MENSAGEM"))</f>
        <v>ASSENTO / BAGAGEM</v>
      </c>
      <c r="N752" s="1" t="str">
        <f>_xlfn.XLOOKUP(M752,Parâmetros!K:K,Parâmetros!L:L,"")</f>
        <v>CAMPO OBSERVAÇÃO PREENCHIDO INCORRETAMENTE</v>
      </c>
      <c r="O752" s="1" t="str">
        <f>_xlfn.XLOOKUP(M752,Parâmetros!B:B,Parâmetros!C:C,_xlfn.XLOOKUP(Base!M803,Parâmetros!G:G,Parâmetros!H:H))</f>
        <v>QUALIDADE DOS DADOS</v>
      </c>
      <c r="P752" s="1" t="str">
        <f>_xlfn.XLOOKUP(I752,Parâmetros!A:A,Parâmetros!D:D,_xlfn.XLOOKUP(Q752,Parâmetros!F:F,Parâmetros!I:I))</f>
        <v>OPERAÇÕES / SUPORTE KCS</v>
      </c>
      <c r="Q752" s="1">
        <f t="shared" si="23"/>
        <v>118</v>
      </c>
    </row>
    <row r="753" spans="1:17" x14ac:dyDescent="0.25">
      <c r="A753" s="1" t="str">
        <f>_xlfn.XLOOKUP(D753,'Novo relatório'!B:B,'Novo relatório'!C:C,"RESOLVIDO")</f>
        <v>TMS</v>
      </c>
      <c r="C753" t="str">
        <f t="shared" si="22"/>
        <v>PENDENTE</v>
      </c>
      <c r="D753" s="1">
        <v>3274057</v>
      </c>
      <c r="E753" s="1" t="s">
        <v>12</v>
      </c>
      <c r="F753" s="2">
        <v>45715.638888888891</v>
      </c>
      <c r="G753" s="1">
        <v>68</v>
      </c>
      <c r="H753" s="1">
        <v>68</v>
      </c>
      <c r="I753" s="1" t="s">
        <v>16</v>
      </c>
      <c r="J753" s="2">
        <v>45715.79791666667</v>
      </c>
      <c r="K753" s="2">
        <v>45718.788888888892</v>
      </c>
      <c r="L753" s="1" t="s">
        <v>14</v>
      </c>
      <c r="M753" s="1" t="str">
        <f>_xlfn.XLOOKUP(I753,Parâmetros!A:A,Parâmetros!B:B,_xlfn.XLOOKUP(Q753,Parâmetros!F:F,Parâmetros!G:G,"NOVA MENSAGEM"))</f>
        <v>ASSENTO / BAGAGEM</v>
      </c>
      <c r="N753" s="1" t="str">
        <f>_xlfn.XLOOKUP(M753,Parâmetros!K:K,Parâmetros!L:L,"")</f>
        <v>CAMPO OBSERVAÇÃO PREENCHIDO INCORRETAMENTE</v>
      </c>
      <c r="O753" s="1" t="str">
        <f>_xlfn.XLOOKUP(M753,Parâmetros!B:B,Parâmetros!C:C,_xlfn.XLOOKUP(Base!M802,Parâmetros!G:G,Parâmetros!H:H))</f>
        <v>QUALIDADE DOS DADOS</v>
      </c>
      <c r="P753" s="1" t="str">
        <f>_xlfn.XLOOKUP(I753,Parâmetros!A:A,Parâmetros!D:D,_xlfn.XLOOKUP(Q753,Parâmetros!F:F,Parâmetros!I:I))</f>
        <v>OPERAÇÕES / SUPORTE KCS</v>
      </c>
      <c r="Q753" s="1">
        <f t="shared" si="23"/>
        <v>118</v>
      </c>
    </row>
    <row r="754" spans="1:17" x14ac:dyDescent="0.25">
      <c r="A754" s="1" t="str">
        <f>_xlfn.XLOOKUP(D754,'Novo relatório'!B:B,'Novo relatório'!C:C,"RESOLVIDO")</f>
        <v>SABRE</v>
      </c>
      <c r="C754" t="str">
        <f t="shared" si="22"/>
        <v>PENDENTE</v>
      </c>
      <c r="D754" s="1">
        <v>3274104</v>
      </c>
      <c r="E754" s="1" t="s">
        <v>26</v>
      </c>
      <c r="F754" s="2">
        <v>45721.758333333331</v>
      </c>
      <c r="G754" s="1" t="s">
        <v>1336</v>
      </c>
      <c r="H754" s="1" t="s">
        <v>1336</v>
      </c>
      <c r="I754" s="1" t="s">
        <v>1054</v>
      </c>
      <c r="J754" s="2">
        <v>45715.803472222222</v>
      </c>
      <c r="K754" s="2">
        <v>45721.892361111109</v>
      </c>
      <c r="L754" s="1" t="s">
        <v>18</v>
      </c>
      <c r="M754" s="1" t="str">
        <f>_xlfn.XLOOKUP(I754,Parâmetros!A:A,Parâmetros!B:B,_xlfn.XLOOKUP(Q754,Parâmetros!F:F,Parâmetros!G:G,"NOVA MENSAGEM"))</f>
        <v>CÓD. CLIENTE DIVERGENTE</v>
      </c>
      <c r="N754" s="1" t="str">
        <f>_xlfn.XLOOKUP(M754,Parâmetros!K:K,Parâmetros!L:L,"")</f>
        <v>CÓDIGO DIFERENTE DO CADASTRADO NO BENNER (CLIENTE X GRUPO)</v>
      </c>
      <c r="O754" s="1" t="str">
        <f>_xlfn.XLOOKUP(M754,Parâmetros!B:B,Parâmetros!C:C,_xlfn.XLOOKUP(Base!M773,Parâmetros!G:G,Parâmetros!H:H))</f>
        <v>QUALIDADE DOS DADOS</v>
      </c>
      <c r="P754" s="1" t="str">
        <f>_xlfn.XLOOKUP(I754,Parâmetros!A:A,Parâmetros!D:D,_xlfn.XLOOKUP(Q754,Parâmetros!F:F,Parâmetros!I:I))</f>
        <v>SUPORTE OBT</v>
      </c>
      <c r="Q754" s="1">
        <f t="shared" si="23"/>
        <v>1</v>
      </c>
    </row>
    <row r="755" spans="1:17" x14ac:dyDescent="0.25">
      <c r="A755" s="1" t="str">
        <f>_xlfn.XLOOKUP(D755,'Novo relatório'!B:B,'Novo relatório'!C:C,"RESOLVIDO")</f>
        <v>SABRE</v>
      </c>
      <c r="C755" t="str">
        <f t="shared" si="22"/>
        <v>PENDENTE</v>
      </c>
      <c r="D755" s="1">
        <v>3274107</v>
      </c>
      <c r="E755" s="1" t="s">
        <v>26</v>
      </c>
      <c r="F755" s="2">
        <v>45721.758333333331</v>
      </c>
      <c r="G755" s="1" t="s">
        <v>1316</v>
      </c>
      <c r="H755" s="1" t="s">
        <v>1316</v>
      </c>
      <c r="I755" s="1" t="s">
        <v>829</v>
      </c>
      <c r="J755" s="2">
        <v>45715.804166666669</v>
      </c>
      <c r="K755" s="2">
        <v>45721.892361111109</v>
      </c>
      <c r="L755" s="1" t="s">
        <v>18</v>
      </c>
      <c r="M755" s="1" t="str">
        <f>_xlfn.XLOOKUP(I755,Parâmetros!A:A,Parâmetros!B:B,_xlfn.XLOOKUP(Q755,Parâmetros!F:F,Parâmetros!G:G,"NOVA MENSAGEM"))</f>
        <v>REMARK - CNPJ</v>
      </c>
      <c r="N755" s="1" t="str">
        <f>_xlfn.XLOOKUP(M755,Parâmetros!K:K,Parâmetros!L:L,"")</f>
        <v/>
      </c>
      <c r="O755" s="1" t="e">
        <f>_xlfn.XLOOKUP(M755,Parâmetros!B:B,Parâmetros!C:C,_xlfn.XLOOKUP(Base!M759,Parâmetros!G:G,Parâmetros!H:H))</f>
        <v>#N/A</v>
      </c>
      <c r="P755" s="1" t="str">
        <f>_xlfn.XLOOKUP(I755,Parâmetros!A:A,Parâmetros!D:D,_xlfn.XLOOKUP(Q755,Parâmetros!F:F,Parâmetros!I:I))</f>
        <v>OPERAÇÕES / SUPORTE KCS</v>
      </c>
      <c r="Q755" s="1">
        <f t="shared" si="23"/>
        <v>24</v>
      </c>
    </row>
    <row r="756" spans="1:17" x14ac:dyDescent="0.25">
      <c r="A756" s="1" t="str">
        <f>_xlfn.XLOOKUP(D756,'Novo relatório'!B:B,'Novo relatório'!C:C,"RESOLVIDO")</f>
        <v>SABRE</v>
      </c>
      <c r="C756" t="str">
        <f t="shared" si="22"/>
        <v>PENDENTE</v>
      </c>
      <c r="D756" s="1">
        <v>3274239</v>
      </c>
      <c r="E756" s="1" t="s">
        <v>26</v>
      </c>
      <c r="F756" s="2">
        <v>45715.689583333333</v>
      </c>
      <c r="G756" s="1" t="s">
        <v>1361</v>
      </c>
      <c r="H756" s="1" t="s">
        <v>1362</v>
      </c>
      <c r="I756" s="1" t="s">
        <v>64</v>
      </c>
      <c r="J756" s="2">
        <v>45715.824999999997</v>
      </c>
      <c r="L756" s="1" t="s">
        <v>1244</v>
      </c>
      <c r="M756" s="1" t="str">
        <f>_xlfn.XLOOKUP(I756,Parâmetros!A:A,Parâmetros!B:B,_xlfn.XLOOKUP(Q756,Parâmetros!F:F,Parâmetros!G:G,"NOVA MENSAGEM"))</f>
        <v>FORMATO DE TEXTO</v>
      </c>
      <c r="N756" s="1" t="str">
        <f>_xlfn.XLOOKUP(M756,Parâmetros!K:K,Parâmetros!L:L,"")</f>
        <v>TEXTO FORA DO PADRÃO ACEITO NO CAMPO</v>
      </c>
      <c r="O756" s="1" t="str">
        <f>_xlfn.XLOOKUP(M756,Parâmetros!B:B,Parâmetros!C:C,_xlfn.XLOOKUP(Base!M792,Parâmetros!G:G,Parâmetros!H:H))</f>
        <v>INDEFINIDO</v>
      </c>
      <c r="P756" s="1" t="str">
        <f>_xlfn.XLOOKUP(I756,Parâmetros!A:A,Parâmetros!D:D,_xlfn.XLOOKUP(Q756,Parâmetros!F:F,Parâmetros!I:I))</f>
        <v>SUPORTE OBT</v>
      </c>
      <c r="Q756" s="1" t="str">
        <f t="shared" si="23"/>
        <v>COLUNA I</v>
      </c>
    </row>
    <row r="757" spans="1:17" x14ac:dyDescent="0.25">
      <c r="A757" s="1" t="str">
        <f>_xlfn.XLOOKUP(D757,'Novo relatório'!B:B,'Novo relatório'!C:C,"RESOLVIDO")</f>
        <v>SABRE</v>
      </c>
      <c r="C757" t="str">
        <f t="shared" si="22"/>
        <v>PENDENTE</v>
      </c>
      <c r="D757" s="1">
        <v>3274240</v>
      </c>
      <c r="E757" s="1" t="s">
        <v>26</v>
      </c>
      <c r="F757" s="2">
        <v>45715.689583333333</v>
      </c>
      <c r="G757" s="1" t="s">
        <v>1253</v>
      </c>
      <c r="H757" s="1" t="s">
        <v>1254</v>
      </c>
      <c r="I757" s="1" t="s">
        <v>64</v>
      </c>
      <c r="J757" s="2">
        <v>45715.824999999997</v>
      </c>
      <c r="L757" s="1" t="s">
        <v>1244</v>
      </c>
      <c r="M757" s="1" t="str">
        <f>_xlfn.XLOOKUP(I757,Parâmetros!A:A,Parâmetros!B:B,_xlfn.XLOOKUP(Q757,Parâmetros!F:F,Parâmetros!G:G,"NOVA MENSAGEM"))</f>
        <v>FORMATO DE TEXTO</v>
      </c>
      <c r="N757" s="1" t="str">
        <f>_xlfn.XLOOKUP(M757,Parâmetros!K:K,Parâmetros!L:L,"")</f>
        <v>TEXTO FORA DO PADRÃO ACEITO NO CAMPO</v>
      </c>
      <c r="O757" s="1" t="str">
        <f>_xlfn.XLOOKUP(M757,Parâmetros!B:B,Parâmetros!C:C,_xlfn.XLOOKUP(Base!M709,Parâmetros!G:G,Parâmetros!H:H))</f>
        <v>INDEFINIDO</v>
      </c>
      <c r="P757" s="1" t="str">
        <f>_xlfn.XLOOKUP(I757,Parâmetros!A:A,Parâmetros!D:D,_xlfn.XLOOKUP(Q757,Parâmetros!F:F,Parâmetros!I:I))</f>
        <v>SUPORTE OBT</v>
      </c>
      <c r="Q757" s="1" t="str">
        <f t="shared" si="23"/>
        <v>COLUNA I</v>
      </c>
    </row>
    <row r="758" spans="1:17" x14ac:dyDescent="0.25">
      <c r="A758" s="1" t="str">
        <f>_xlfn.XLOOKUP(D758,'Novo relatório'!B:B,'Novo relatório'!C:C,"RESOLVIDO")</f>
        <v>SABRE</v>
      </c>
      <c r="C758" t="str">
        <f t="shared" si="22"/>
        <v>PENDENTE</v>
      </c>
      <c r="D758" s="1">
        <v>3274241</v>
      </c>
      <c r="E758" s="1" t="s">
        <v>26</v>
      </c>
      <c r="F758" s="2">
        <v>45715.689583333333</v>
      </c>
      <c r="G758" s="1" t="s">
        <v>1356</v>
      </c>
      <c r="H758" s="1" t="s">
        <v>1357</v>
      </c>
      <c r="I758" s="1" t="s">
        <v>64</v>
      </c>
      <c r="J758" s="2">
        <v>45715.824999999997</v>
      </c>
      <c r="L758" s="1" t="s">
        <v>1244</v>
      </c>
      <c r="M758" s="1" t="str">
        <f>_xlfn.XLOOKUP(I758,Parâmetros!A:A,Parâmetros!B:B,_xlfn.XLOOKUP(Q758,Parâmetros!F:F,Parâmetros!G:G,"NOVA MENSAGEM"))</f>
        <v>FORMATO DE TEXTO</v>
      </c>
      <c r="N758" s="1" t="str">
        <f>_xlfn.XLOOKUP(M758,Parâmetros!K:K,Parâmetros!L:L,"")</f>
        <v>TEXTO FORA DO PADRÃO ACEITO NO CAMPO</v>
      </c>
      <c r="O758" s="1" t="str">
        <f>_xlfn.XLOOKUP(M758,Parâmetros!B:B,Parâmetros!C:C,_xlfn.XLOOKUP(Base!M789,Parâmetros!G:G,Parâmetros!H:H))</f>
        <v>INDEFINIDO</v>
      </c>
      <c r="P758" s="1" t="str">
        <f>_xlfn.XLOOKUP(I758,Parâmetros!A:A,Parâmetros!D:D,_xlfn.XLOOKUP(Q758,Parâmetros!F:F,Parâmetros!I:I))</f>
        <v>SUPORTE OBT</v>
      </c>
      <c r="Q758" s="1" t="str">
        <f t="shared" si="23"/>
        <v>COLUNA I</v>
      </c>
    </row>
    <row r="759" spans="1:17" x14ac:dyDescent="0.25">
      <c r="A759" s="1" t="str">
        <f>_xlfn.XLOOKUP(D759,'Novo relatório'!B:B,'Novo relatório'!C:C,"RESOLVIDO")</f>
        <v>SABRE</v>
      </c>
      <c r="C759" t="str">
        <f t="shared" si="22"/>
        <v>PENDENTE</v>
      </c>
      <c r="D759" s="1">
        <v>3274242</v>
      </c>
      <c r="E759" s="1" t="s">
        <v>26</v>
      </c>
      <c r="F759" s="2">
        <v>45715.69027777778</v>
      </c>
      <c r="G759" s="1" t="s">
        <v>1364</v>
      </c>
      <c r="H759" s="1" t="s">
        <v>1365</v>
      </c>
      <c r="I759" s="1" t="s">
        <v>64</v>
      </c>
      <c r="J759" s="2">
        <v>45715.824999999997</v>
      </c>
      <c r="L759" s="1" t="s">
        <v>1244</v>
      </c>
      <c r="M759" s="1" t="str">
        <f>_xlfn.XLOOKUP(I759,Parâmetros!A:A,Parâmetros!B:B,_xlfn.XLOOKUP(Q759,Parâmetros!F:F,Parâmetros!G:G,"NOVA MENSAGEM"))</f>
        <v>FORMATO DE TEXTO</v>
      </c>
      <c r="N759" s="1" t="str">
        <f>_xlfn.XLOOKUP(M759,Parâmetros!K:K,Parâmetros!L:L,"")</f>
        <v>TEXTO FORA DO PADRÃO ACEITO NO CAMPO</v>
      </c>
      <c r="O759" s="1" t="str">
        <f>_xlfn.XLOOKUP(M759,Parâmetros!B:B,Parâmetros!C:C,_xlfn.XLOOKUP(Base!M794,Parâmetros!G:G,Parâmetros!H:H))</f>
        <v>INDEFINIDO</v>
      </c>
      <c r="P759" s="1" t="str">
        <f>_xlfn.XLOOKUP(I759,Parâmetros!A:A,Parâmetros!D:D,_xlfn.XLOOKUP(Q759,Parâmetros!F:F,Parâmetros!I:I))</f>
        <v>SUPORTE OBT</v>
      </c>
      <c r="Q759" s="1" t="str">
        <f t="shared" si="23"/>
        <v>COLUNA I</v>
      </c>
    </row>
    <row r="760" spans="1:17" x14ac:dyDescent="0.25">
      <c r="A760" s="1" t="str">
        <f>_xlfn.XLOOKUP(D760,'Novo relatório'!B:B,'Novo relatório'!C:C,"RESOLVIDO")</f>
        <v>TMS</v>
      </c>
      <c r="C760" t="str">
        <f t="shared" si="22"/>
        <v>PENDENTE</v>
      </c>
      <c r="D760" s="1">
        <v>3274394</v>
      </c>
      <c r="E760" s="1" t="s">
        <v>12</v>
      </c>
      <c r="F760" s="2">
        <v>45715.744444444441</v>
      </c>
      <c r="G760" s="1">
        <v>53270</v>
      </c>
      <c r="H760" s="1">
        <v>53270</v>
      </c>
      <c r="I760" s="1" t="s">
        <v>16</v>
      </c>
      <c r="J760" s="2">
        <v>45716.019444444442</v>
      </c>
      <c r="K760" s="2">
        <v>45718.788888888892</v>
      </c>
      <c r="L760" s="1" t="s">
        <v>14</v>
      </c>
      <c r="M760" s="1" t="str">
        <f>_xlfn.XLOOKUP(I760,Parâmetros!A:A,Parâmetros!B:B,_xlfn.XLOOKUP(Q760,Parâmetros!F:F,Parâmetros!G:G,"NOVA MENSAGEM"))</f>
        <v>ASSENTO / BAGAGEM</v>
      </c>
      <c r="N760" s="1" t="str">
        <f>_xlfn.XLOOKUP(M760,Parâmetros!K:K,Parâmetros!L:L,"")</f>
        <v>CAMPO OBSERVAÇÃO PREENCHIDO INCORRETAMENTE</v>
      </c>
      <c r="O760" s="1" t="str">
        <f>_xlfn.XLOOKUP(M760,Parâmetros!B:B,Parâmetros!C:C,_xlfn.XLOOKUP(Base!M800,Parâmetros!G:G,Parâmetros!H:H))</f>
        <v>QUALIDADE DOS DADOS</v>
      </c>
      <c r="P760" s="1" t="str">
        <f>_xlfn.XLOOKUP(I760,Parâmetros!A:A,Parâmetros!D:D,_xlfn.XLOOKUP(Q760,Parâmetros!F:F,Parâmetros!I:I))</f>
        <v>OPERAÇÕES / SUPORTE KCS</v>
      </c>
      <c r="Q760" s="1">
        <f t="shared" si="23"/>
        <v>118</v>
      </c>
    </row>
    <row r="761" spans="1:17" x14ac:dyDescent="0.25">
      <c r="A761" s="1" t="str">
        <f>_xlfn.XLOOKUP(D761,'Novo relatório'!B:B,'Novo relatório'!C:C,"RESOLVIDO")</f>
        <v>SABRE</v>
      </c>
      <c r="C761" t="str">
        <f t="shared" si="22"/>
        <v>PENDENTE</v>
      </c>
      <c r="D761" s="1">
        <v>3274666</v>
      </c>
      <c r="E761" s="1" t="s">
        <v>26</v>
      </c>
      <c r="F761" s="2">
        <v>45721.758333333331</v>
      </c>
      <c r="G761" s="1" t="s">
        <v>1300</v>
      </c>
      <c r="H761" s="1" t="s">
        <v>1300</v>
      </c>
      <c r="I761" s="1" t="s">
        <v>1054</v>
      </c>
      <c r="J761" s="2">
        <v>45716.428472222222</v>
      </c>
      <c r="K761" s="2">
        <v>45721.893750000003</v>
      </c>
      <c r="L761" s="1" t="s">
        <v>18</v>
      </c>
      <c r="M761" s="1" t="str">
        <f>_xlfn.XLOOKUP(I761,Parâmetros!A:A,Parâmetros!B:B,_xlfn.XLOOKUP(Q761,Parâmetros!F:F,Parâmetros!G:G,"NOVA MENSAGEM"))</f>
        <v>CÓD. CLIENTE DIVERGENTE</v>
      </c>
      <c r="N761" s="1" t="str">
        <f>_xlfn.XLOOKUP(M761,Parâmetros!K:K,Parâmetros!L:L,"")</f>
        <v>CÓDIGO DIFERENTE DO CADASTRADO NO BENNER (CLIENTE X GRUPO)</v>
      </c>
      <c r="O761" s="1" t="str">
        <f>_xlfn.XLOOKUP(M761,Parâmetros!B:B,Parâmetros!C:C,_xlfn.XLOOKUP(Base!M745,Parâmetros!G:G,Parâmetros!H:H))</f>
        <v>QUALIDADE DOS DADOS</v>
      </c>
      <c r="P761" s="1" t="str">
        <f>_xlfn.XLOOKUP(I761,Parâmetros!A:A,Parâmetros!D:D,_xlfn.XLOOKUP(Q761,Parâmetros!F:F,Parâmetros!I:I))</f>
        <v>SUPORTE OBT</v>
      </c>
      <c r="Q761" s="1">
        <f t="shared" si="23"/>
        <v>1</v>
      </c>
    </row>
    <row r="762" spans="1:17" x14ac:dyDescent="0.25">
      <c r="A762" s="1" t="str">
        <f>_xlfn.XLOOKUP(D762,'Novo relatório'!B:B,'Novo relatório'!C:C,"RESOLVIDO")</f>
        <v>SABRE</v>
      </c>
      <c r="C762" t="str">
        <f t="shared" si="22"/>
        <v>PENDENTE</v>
      </c>
      <c r="D762" s="1">
        <v>3274667</v>
      </c>
      <c r="E762" s="1" t="s">
        <v>26</v>
      </c>
      <c r="F762" s="2">
        <v>45721.758333333331</v>
      </c>
      <c r="G762" s="1" t="s">
        <v>1261</v>
      </c>
      <c r="H762" s="1" t="s">
        <v>1261</v>
      </c>
      <c r="I762" s="1" t="s">
        <v>829</v>
      </c>
      <c r="J762" s="2">
        <v>45716.428472222222</v>
      </c>
      <c r="K762" s="2">
        <v>45721.893750000003</v>
      </c>
      <c r="L762" s="1" t="s">
        <v>18</v>
      </c>
      <c r="M762" s="1" t="str">
        <f>_xlfn.XLOOKUP(I762,Parâmetros!A:A,Parâmetros!B:B,_xlfn.XLOOKUP(Q762,Parâmetros!F:F,Parâmetros!G:G,"NOVA MENSAGEM"))</f>
        <v>REMARK - CNPJ</v>
      </c>
      <c r="N762" s="1" t="str">
        <f>_xlfn.XLOOKUP(M762,Parâmetros!K:K,Parâmetros!L:L,"")</f>
        <v/>
      </c>
      <c r="O762" s="1" t="e">
        <f>_xlfn.XLOOKUP(M762,Parâmetros!B:B,Parâmetros!C:C,_xlfn.XLOOKUP(Base!M716,Parâmetros!G:G,Parâmetros!H:H))</f>
        <v>#N/A</v>
      </c>
      <c r="P762" s="1" t="str">
        <f>_xlfn.XLOOKUP(I762,Parâmetros!A:A,Parâmetros!D:D,_xlfn.XLOOKUP(Q762,Parâmetros!F:F,Parâmetros!I:I))</f>
        <v>OPERAÇÕES / SUPORTE KCS</v>
      </c>
      <c r="Q762" s="1">
        <f t="shared" si="23"/>
        <v>24</v>
      </c>
    </row>
    <row r="763" spans="1:17" x14ac:dyDescent="0.25">
      <c r="A763" s="1" t="str">
        <f>_xlfn.XLOOKUP(D763,'Novo relatório'!B:B,'Novo relatório'!C:C,"RESOLVIDO")</f>
        <v>TMS</v>
      </c>
      <c r="C763" t="str">
        <f t="shared" si="22"/>
        <v>PENDENTE</v>
      </c>
      <c r="D763" s="1">
        <v>3275329</v>
      </c>
      <c r="E763" s="1" t="s">
        <v>12</v>
      </c>
      <c r="F763" s="2">
        <v>45716.387499999997</v>
      </c>
      <c r="G763" s="1">
        <v>67</v>
      </c>
      <c r="H763" s="1">
        <v>67</v>
      </c>
      <c r="I763" s="1" t="s">
        <v>16</v>
      </c>
      <c r="J763" s="2">
        <v>45716.546527777777</v>
      </c>
      <c r="K763" s="2">
        <v>45719.804166666669</v>
      </c>
      <c r="L763" s="1" t="s">
        <v>14</v>
      </c>
      <c r="M763" s="1" t="str">
        <f>_xlfn.XLOOKUP(I763,Parâmetros!A:A,Parâmetros!B:B,_xlfn.XLOOKUP(Q763,Parâmetros!F:F,Parâmetros!G:G,"NOVA MENSAGEM"))</f>
        <v>ASSENTO / BAGAGEM</v>
      </c>
      <c r="N763" s="1" t="str">
        <f>_xlfn.XLOOKUP(M763,Parâmetros!K:K,Parâmetros!L:L,"")</f>
        <v>CAMPO OBSERVAÇÃO PREENCHIDO INCORRETAMENTE</v>
      </c>
      <c r="O763" s="1" t="str">
        <f>_xlfn.XLOOKUP(M763,Parâmetros!B:B,Parâmetros!C:C,_xlfn.XLOOKUP(Base!M801,Parâmetros!G:G,Parâmetros!H:H))</f>
        <v>QUALIDADE DOS DADOS</v>
      </c>
      <c r="P763" s="1" t="str">
        <f>_xlfn.XLOOKUP(I763,Parâmetros!A:A,Parâmetros!D:D,_xlfn.XLOOKUP(Q763,Parâmetros!F:F,Parâmetros!I:I))</f>
        <v>OPERAÇÕES / SUPORTE KCS</v>
      </c>
      <c r="Q763" s="1">
        <f t="shared" si="23"/>
        <v>118</v>
      </c>
    </row>
    <row r="764" spans="1:17" x14ac:dyDescent="0.25">
      <c r="A764" s="1" t="str">
        <f>_xlfn.XLOOKUP(D764,'Novo relatório'!B:B,'Novo relatório'!C:C,"RESOLVIDO")</f>
        <v>SABRE</v>
      </c>
      <c r="C764" t="str">
        <f t="shared" si="22"/>
        <v>PENDENTE</v>
      </c>
      <c r="D764" s="1">
        <v>3275692</v>
      </c>
      <c r="E764" s="1" t="s">
        <v>26</v>
      </c>
      <c r="F764" s="2">
        <v>45721.758333333331</v>
      </c>
      <c r="G764" s="1" t="s">
        <v>1257</v>
      </c>
      <c r="H764" s="1" t="s">
        <v>1257</v>
      </c>
      <c r="I764" s="1" t="s">
        <v>1215</v>
      </c>
      <c r="J764" s="2">
        <v>45716.668749999997</v>
      </c>
      <c r="K764" s="2">
        <v>45721.890277777777</v>
      </c>
      <c r="L764" s="1" t="s">
        <v>18</v>
      </c>
      <c r="M764" s="1" t="str">
        <f>_xlfn.XLOOKUP(I764,Parâmetros!A:A,Parâmetros!B:B,_xlfn.XLOOKUP(Q764,Parâmetros!F:F,Parâmetros!G:G,"NOVA MENSAGEM"))</f>
        <v>CÓD. CLIENTE DIVERGENTE</v>
      </c>
      <c r="N764" s="1" t="str">
        <f>_xlfn.XLOOKUP(M764,Parâmetros!K:K,Parâmetros!L:L,"")</f>
        <v>CÓDIGO DIFERENTE DO CADASTRADO NO BENNER (CLIENTE X GRUPO)</v>
      </c>
      <c r="O764" s="1" t="str">
        <f>_xlfn.XLOOKUP(M764,Parâmetros!B:B,Parâmetros!C:C,_xlfn.XLOOKUP(Base!M712,Parâmetros!G:G,Parâmetros!H:H))</f>
        <v>QUALIDADE DOS DADOS</v>
      </c>
      <c r="P764" s="1" t="str">
        <f>_xlfn.XLOOKUP(I764,Parâmetros!A:A,Parâmetros!D:D,_xlfn.XLOOKUP(Q764,Parâmetros!F:F,Parâmetros!I:I))</f>
        <v>SUPORTE OBT</v>
      </c>
      <c r="Q764" s="1">
        <f t="shared" si="23"/>
        <v>1</v>
      </c>
    </row>
    <row r="765" spans="1:17" x14ac:dyDescent="0.25">
      <c r="A765" s="1" t="str">
        <f>_xlfn.XLOOKUP(D765,'Novo relatório'!B:B,'Novo relatório'!C:C,"RESOLVIDO")</f>
        <v>SABRE</v>
      </c>
      <c r="C765" t="str">
        <f t="shared" si="22"/>
        <v>PENDENTE</v>
      </c>
      <c r="D765" s="1">
        <v>3275912</v>
      </c>
      <c r="E765" s="1" t="s">
        <v>26</v>
      </c>
      <c r="F765" s="2">
        <v>45716.587500000001</v>
      </c>
      <c r="G765" s="1" t="s">
        <v>1345</v>
      </c>
      <c r="H765" s="1" t="s">
        <v>1345</v>
      </c>
      <c r="I765" s="1" t="s">
        <v>1060</v>
      </c>
      <c r="J765" s="2">
        <v>45716.72152777778</v>
      </c>
      <c r="L765" s="1" t="s">
        <v>18</v>
      </c>
      <c r="M765" s="1" t="str">
        <f>_xlfn.XLOOKUP(I765,Parâmetros!A:A,Parâmetros!B:B,_xlfn.XLOOKUP(Q765,Parâmetros!F:F,Parâmetros!G:G,"NOVA MENSAGEM"))</f>
        <v>CÓD. CLIENTE DIVERGENTE</v>
      </c>
      <c r="N765" s="1" t="str">
        <f>_xlfn.XLOOKUP(M765,Parâmetros!K:K,Parâmetros!L:L,"")</f>
        <v>CÓDIGO DIFERENTE DO CADASTRADO NO BENNER (CLIENTE X GRUPO)</v>
      </c>
      <c r="O765" s="1" t="str">
        <f>_xlfn.XLOOKUP(M765,Parâmetros!B:B,Parâmetros!C:C,_xlfn.XLOOKUP(Base!M781,Parâmetros!G:G,Parâmetros!H:H))</f>
        <v>QUALIDADE DOS DADOS</v>
      </c>
      <c r="P765" s="1" t="str">
        <f>_xlfn.XLOOKUP(I765,Parâmetros!A:A,Parâmetros!D:D,_xlfn.XLOOKUP(Q765,Parâmetros!F:F,Parâmetros!I:I))</f>
        <v>SUPORTE OBT</v>
      </c>
      <c r="Q765" s="1">
        <f t="shared" si="23"/>
        <v>1</v>
      </c>
    </row>
    <row r="766" spans="1:17" x14ac:dyDescent="0.25">
      <c r="A766" s="1" t="str">
        <f>_xlfn.XLOOKUP(D766,'Novo relatório'!B:B,'Novo relatório'!C:C,"RESOLVIDO")</f>
        <v>SABRE</v>
      </c>
      <c r="C766" t="str">
        <f t="shared" si="22"/>
        <v>PENDENTE</v>
      </c>
      <c r="D766" s="1">
        <v>3275916</v>
      </c>
      <c r="E766" s="1" t="s">
        <v>26</v>
      </c>
      <c r="F766" s="2">
        <v>45716.587500000001</v>
      </c>
      <c r="G766" s="1" t="s">
        <v>1262</v>
      </c>
      <c r="H766" s="1" t="s">
        <v>1262</v>
      </c>
      <c r="I766" s="1" t="s">
        <v>620</v>
      </c>
      <c r="J766" s="2">
        <v>45716.72152777778</v>
      </c>
      <c r="L766" s="1" t="s">
        <v>18</v>
      </c>
      <c r="M766" s="1" t="str">
        <f>_xlfn.XLOOKUP(I766,Parâmetros!A:A,Parâmetros!B:B,_xlfn.XLOOKUP(Q766,Parâmetros!F:F,Parâmetros!G:G,"NOVA MENSAGEM"))</f>
        <v>CÓD. CLIENTE DIVERGENTE</v>
      </c>
      <c r="N766" s="1" t="str">
        <f>_xlfn.XLOOKUP(M766,Parâmetros!K:K,Parâmetros!L:L,"")</f>
        <v>CÓDIGO DIFERENTE DO CADASTRADO NO BENNER (CLIENTE X GRUPO)</v>
      </c>
      <c r="O766" s="1" t="str">
        <f>_xlfn.XLOOKUP(M766,Parâmetros!B:B,Parâmetros!C:C,_xlfn.XLOOKUP(Base!M717,Parâmetros!G:G,Parâmetros!H:H))</f>
        <v>QUALIDADE DOS DADOS</v>
      </c>
      <c r="P766" s="1" t="str">
        <f>_xlfn.XLOOKUP(I766,Parâmetros!A:A,Parâmetros!D:D,_xlfn.XLOOKUP(Q766,Parâmetros!F:F,Parâmetros!I:I))</f>
        <v>SUPORTE OBT</v>
      </c>
      <c r="Q766" s="1">
        <f t="shared" si="23"/>
        <v>1</v>
      </c>
    </row>
    <row r="767" spans="1:17" x14ac:dyDescent="0.25">
      <c r="A767" s="1" t="str">
        <f>_xlfn.XLOOKUP(D767,'Novo relatório'!B:B,'Novo relatório'!C:C,"RESOLVIDO")</f>
        <v>SABRE</v>
      </c>
      <c r="C767" t="str">
        <f t="shared" si="22"/>
        <v>PENDENTE</v>
      </c>
      <c r="D767" s="1">
        <v>3275921</v>
      </c>
      <c r="E767" s="1" t="s">
        <v>26</v>
      </c>
      <c r="F767" s="2">
        <v>45716.587500000001</v>
      </c>
      <c r="G767" s="1" t="s">
        <v>1299</v>
      </c>
      <c r="H767" s="1" t="s">
        <v>1299</v>
      </c>
      <c r="I767" s="1" t="s">
        <v>83</v>
      </c>
      <c r="J767" s="2">
        <v>45716.722222222219</v>
      </c>
      <c r="L767" s="1" t="s">
        <v>18</v>
      </c>
      <c r="M767" s="1" t="str">
        <f>_xlfn.XLOOKUP(I767,Parâmetros!A:A,Parâmetros!B:B,_xlfn.XLOOKUP(Q767,Parâmetros!F:F,Parâmetros!G:G,"NOVA MENSAGEM"))</f>
        <v>CLIENTE NÃO IDENTIFICADO</v>
      </c>
      <c r="N767" s="1" t="str">
        <f>_xlfn.XLOOKUP(M767,Parâmetros!K:K,Parâmetros!L:L,"")</f>
        <v>DK DE CLIENTE NÃO PREENCIDO / CLIENTE NÃO CONFIGURADO NO OBT</v>
      </c>
      <c r="O767" s="1" t="str">
        <f>_xlfn.XLOOKUP(M767,Parâmetros!B:B,Parâmetros!C:C,_xlfn.XLOOKUP(Base!M744,Parâmetros!G:G,Parâmetros!H:H))</f>
        <v>INDEFINIDO</v>
      </c>
      <c r="P767" s="1" t="str">
        <f>_xlfn.XLOOKUP(I767,Parâmetros!A:A,Parâmetros!D:D,_xlfn.XLOOKUP(Q767,Parâmetros!F:F,Parâmetros!I:I))</f>
        <v>OPERAÇÕES / SUPORTE KCS</v>
      </c>
      <c r="Q767" s="1" t="str">
        <f t="shared" si="23"/>
        <v>COLUNA I</v>
      </c>
    </row>
    <row r="768" spans="1:17" x14ac:dyDescent="0.25">
      <c r="A768" s="1" t="str">
        <f>_xlfn.XLOOKUP(D768,'Novo relatório'!B:B,'Novo relatório'!C:C,"RESOLVIDO")</f>
        <v>SABRE</v>
      </c>
      <c r="C768" t="str">
        <f t="shared" si="22"/>
        <v>PENDENTE</v>
      </c>
      <c r="D768" s="1">
        <v>3275924</v>
      </c>
      <c r="E768" s="1" t="s">
        <v>26</v>
      </c>
      <c r="F768" s="2">
        <v>45716.587500000001</v>
      </c>
      <c r="G768" s="1" t="s">
        <v>1263</v>
      </c>
      <c r="H768" s="1" t="s">
        <v>1263</v>
      </c>
      <c r="I768" s="1" t="s">
        <v>620</v>
      </c>
      <c r="J768" s="2">
        <v>45716.722222222219</v>
      </c>
      <c r="L768" s="1" t="s">
        <v>18</v>
      </c>
      <c r="M768" s="1" t="str">
        <f>_xlfn.XLOOKUP(I768,Parâmetros!A:A,Parâmetros!B:B,_xlfn.XLOOKUP(Q768,Parâmetros!F:F,Parâmetros!G:G,"NOVA MENSAGEM"))</f>
        <v>CÓD. CLIENTE DIVERGENTE</v>
      </c>
      <c r="N768" s="1" t="str">
        <f>_xlfn.XLOOKUP(M768,Parâmetros!K:K,Parâmetros!L:L,"")</f>
        <v>CÓDIGO DIFERENTE DO CADASTRADO NO BENNER (CLIENTE X GRUPO)</v>
      </c>
      <c r="O768" s="1" t="str">
        <f>_xlfn.XLOOKUP(M768,Parâmetros!B:B,Parâmetros!C:C,_xlfn.XLOOKUP(Base!M718,Parâmetros!G:G,Parâmetros!H:H))</f>
        <v>QUALIDADE DOS DADOS</v>
      </c>
      <c r="P768" s="1" t="str">
        <f>_xlfn.XLOOKUP(I768,Parâmetros!A:A,Parâmetros!D:D,_xlfn.XLOOKUP(Q768,Parâmetros!F:F,Parâmetros!I:I))</f>
        <v>SUPORTE OBT</v>
      </c>
      <c r="Q768" s="1">
        <f t="shared" si="23"/>
        <v>1</v>
      </c>
    </row>
    <row r="769" spans="1:17" x14ac:dyDescent="0.25">
      <c r="A769" s="1" t="str">
        <f>_xlfn.XLOOKUP(D769,'Novo relatório'!B:B,'Novo relatório'!C:C,"RESOLVIDO")</f>
        <v>SABRE</v>
      </c>
      <c r="C769" t="str">
        <f t="shared" si="22"/>
        <v>PENDENTE</v>
      </c>
      <c r="D769" s="1">
        <v>3275925</v>
      </c>
      <c r="E769" s="1" t="s">
        <v>26</v>
      </c>
      <c r="F769" s="2">
        <v>45716.587500000001</v>
      </c>
      <c r="G769" s="1" t="s">
        <v>1259</v>
      </c>
      <c r="H769" s="1" t="s">
        <v>1259</v>
      </c>
      <c r="I769" s="1" t="s">
        <v>707</v>
      </c>
      <c r="J769" s="2">
        <v>45716.722222222219</v>
      </c>
      <c r="L769" s="1" t="s">
        <v>18</v>
      </c>
      <c r="M769" s="1" t="str">
        <f>_xlfn.XLOOKUP(I769,Parâmetros!A:A,Parâmetros!B:B,_xlfn.XLOOKUP(Q769,Parâmetros!F:F,Parâmetros!G:G,"NOVA MENSAGEM"))</f>
        <v>CÓD. CLIENTE DIVERGENTE</v>
      </c>
      <c r="N769" s="1" t="str">
        <f>_xlfn.XLOOKUP(M769,Parâmetros!K:K,Parâmetros!L:L,"")</f>
        <v>CÓDIGO DIFERENTE DO CADASTRADO NO BENNER (CLIENTE X GRUPO)</v>
      </c>
      <c r="O769" s="1" t="str">
        <f>_xlfn.XLOOKUP(M769,Parâmetros!B:B,Parâmetros!C:C,_xlfn.XLOOKUP(Base!M714,Parâmetros!G:G,Parâmetros!H:H))</f>
        <v>QUALIDADE DOS DADOS</v>
      </c>
      <c r="P769" s="1" t="str">
        <f>_xlfn.XLOOKUP(I769,Parâmetros!A:A,Parâmetros!D:D,_xlfn.XLOOKUP(Q769,Parâmetros!F:F,Parâmetros!I:I))</f>
        <v>SUPORTE OBT</v>
      </c>
      <c r="Q769" s="1">
        <f t="shared" si="23"/>
        <v>1</v>
      </c>
    </row>
    <row r="770" spans="1:17" x14ac:dyDescent="0.25">
      <c r="A770" s="1" t="str">
        <f>_xlfn.XLOOKUP(D770,'Novo relatório'!B:B,'Novo relatório'!C:C,"RESOLVIDO")</f>
        <v>SABRE</v>
      </c>
      <c r="C770" t="str">
        <f t="shared" ref="C770:C833" si="24">IF(A770="RESOLVIDO","RESOLVIDO",IF(B770="","PENDENTE",IF(LEFT(B770,7)="CHAMADO","AGUARDANDO FORNECEDOR",IF(B770="CONTABILIZAR","CONTABILIZAR NO PORTAL"))))</f>
        <v>PENDENTE</v>
      </c>
      <c r="D770" s="1">
        <v>3275927</v>
      </c>
      <c r="E770" s="1" t="s">
        <v>26</v>
      </c>
      <c r="F770" s="2">
        <v>45716.587500000001</v>
      </c>
      <c r="G770" s="1" t="s">
        <v>1340</v>
      </c>
      <c r="H770" s="1" t="s">
        <v>1340</v>
      </c>
      <c r="I770" s="1" t="s">
        <v>83</v>
      </c>
      <c r="J770" s="2">
        <v>45716.722222222219</v>
      </c>
      <c r="L770" s="1" t="s">
        <v>18</v>
      </c>
      <c r="M770" s="1" t="str">
        <f>_xlfn.XLOOKUP(I770,Parâmetros!A:A,Parâmetros!B:B,_xlfn.XLOOKUP(Q770,Parâmetros!F:F,Parâmetros!G:G,"NOVA MENSAGEM"))</f>
        <v>CLIENTE NÃO IDENTIFICADO</v>
      </c>
      <c r="N770" s="1" t="str">
        <f>_xlfn.XLOOKUP(M770,Parâmetros!K:K,Parâmetros!L:L,"")</f>
        <v>DK DE CLIENTE NÃO PREENCIDO / CLIENTE NÃO CONFIGURADO NO OBT</v>
      </c>
      <c r="O770" s="1" t="str">
        <f>_xlfn.XLOOKUP(M770,Parâmetros!B:B,Parâmetros!C:C,_xlfn.XLOOKUP(Base!M776,Parâmetros!G:G,Parâmetros!H:H))</f>
        <v>INDEFINIDO</v>
      </c>
      <c r="P770" s="1" t="str">
        <f>_xlfn.XLOOKUP(I770,Parâmetros!A:A,Parâmetros!D:D,_xlfn.XLOOKUP(Q770,Parâmetros!F:F,Parâmetros!I:I))</f>
        <v>OPERAÇÕES / SUPORTE KCS</v>
      </c>
      <c r="Q770" s="1" t="str">
        <f t="shared" ref="Q770:Q833" si="25">IFERROR(FIND("Não foi possível localizar o contrato do fornecedor",I770),IFERROR(FIND("veículo",I770),IFERROR(FIND("agagem",I770),IFERROR(FIND("error in XML document",I770),IFERROR(FIND("Não localizado cliente código",I770),IFERROR(FIND("lemontech",I770),IFERROR(FIND("&gt;Fornecedor com o",I770),IFERROR(FIND("INSERT",I770),IFERROR(FIND("com CNPJ",I770),IFERROR(FIND("Consultando Agente-&gt; O agente",I770),IFERROR(FIND("Não foi possível determinar a validade do cartão, favor verificar os dados do cartão",I770),"COLUNA I")))))))))))</f>
        <v>COLUNA I</v>
      </c>
    </row>
    <row r="771" spans="1:17" x14ac:dyDescent="0.25">
      <c r="A771" s="1" t="str">
        <f>_xlfn.XLOOKUP(D771,'Novo relatório'!B:B,'Novo relatório'!C:C,"RESOLVIDO")</f>
        <v>SABRE</v>
      </c>
      <c r="C771" t="str">
        <f t="shared" si="24"/>
        <v>PENDENTE</v>
      </c>
      <c r="D771" s="1">
        <v>3275940</v>
      </c>
      <c r="E771" s="1" t="s">
        <v>26</v>
      </c>
      <c r="F771" s="2">
        <v>45716.587500000001</v>
      </c>
      <c r="G771" s="1" t="s">
        <v>1255</v>
      </c>
      <c r="H771" s="1" t="s">
        <v>1255</v>
      </c>
      <c r="I771" s="1" t="s">
        <v>396</v>
      </c>
      <c r="J771" s="2">
        <v>45716.723611111112</v>
      </c>
      <c r="L771" s="1" t="s">
        <v>18</v>
      </c>
      <c r="M771" s="1" t="str">
        <f>_xlfn.XLOOKUP(I771,Parâmetros!A:A,Parâmetros!B:B,_xlfn.XLOOKUP(Q771,Parâmetros!F:F,Parâmetros!G:G,"NOVA MENSAGEM"))</f>
        <v>CÓD. CLIENTE DIVERGENTE</v>
      </c>
      <c r="N771" s="1" t="str">
        <f>_xlfn.XLOOKUP(M771,Parâmetros!K:K,Parâmetros!L:L,"")</f>
        <v>CÓDIGO DIFERENTE DO CADASTRADO NO BENNER (CLIENTE X GRUPO)</v>
      </c>
      <c r="O771" s="1" t="str">
        <f>_xlfn.XLOOKUP(M771,Parâmetros!B:B,Parâmetros!C:C,_xlfn.XLOOKUP(Base!M710,Parâmetros!G:G,Parâmetros!H:H))</f>
        <v>QUALIDADE DOS DADOS</v>
      </c>
      <c r="P771" s="1" t="str">
        <f>_xlfn.XLOOKUP(I771,Parâmetros!A:A,Parâmetros!D:D,_xlfn.XLOOKUP(Q771,Parâmetros!F:F,Parâmetros!I:I))</f>
        <v>SUPORTE OBT</v>
      </c>
      <c r="Q771" s="1">
        <f t="shared" si="25"/>
        <v>1</v>
      </c>
    </row>
    <row r="772" spans="1:17" x14ac:dyDescent="0.25">
      <c r="A772" s="1" t="str">
        <f>_xlfn.XLOOKUP(D772,'Novo relatório'!B:B,'Novo relatório'!C:C,"RESOLVIDO")</f>
        <v>SABRE</v>
      </c>
      <c r="C772" t="str">
        <f t="shared" si="24"/>
        <v>PENDENTE</v>
      </c>
      <c r="D772" s="1">
        <v>3275957</v>
      </c>
      <c r="E772" s="1" t="s">
        <v>26</v>
      </c>
      <c r="F772" s="2">
        <v>45716.683333333334</v>
      </c>
      <c r="G772" s="1" t="s">
        <v>1328</v>
      </c>
      <c r="H772" s="1" t="s">
        <v>1328</v>
      </c>
      <c r="I772" s="1" t="s">
        <v>1060</v>
      </c>
      <c r="J772" s="2">
        <v>45716.724999999999</v>
      </c>
      <c r="K772" s="2">
        <v>45716.813888888886</v>
      </c>
      <c r="L772" s="1" t="s">
        <v>18</v>
      </c>
      <c r="M772" s="1" t="str">
        <f>_xlfn.XLOOKUP(I772,Parâmetros!A:A,Parâmetros!B:B,_xlfn.XLOOKUP(Q772,Parâmetros!F:F,Parâmetros!G:G,"NOVA MENSAGEM"))</f>
        <v>CÓD. CLIENTE DIVERGENTE</v>
      </c>
      <c r="N772" s="1" t="str">
        <f>_xlfn.XLOOKUP(M772,Parâmetros!K:K,Parâmetros!L:L,"")</f>
        <v>CÓDIGO DIFERENTE DO CADASTRADO NO BENNER (CLIENTE X GRUPO)</v>
      </c>
      <c r="O772" s="1" t="str">
        <f>_xlfn.XLOOKUP(M772,Parâmetros!B:B,Parâmetros!C:C,_xlfn.XLOOKUP(Base!M768,Parâmetros!G:G,Parâmetros!H:H))</f>
        <v>QUALIDADE DOS DADOS</v>
      </c>
      <c r="P772" s="1" t="str">
        <f>_xlfn.XLOOKUP(I772,Parâmetros!A:A,Parâmetros!D:D,_xlfn.XLOOKUP(Q772,Parâmetros!F:F,Parâmetros!I:I))</f>
        <v>SUPORTE OBT</v>
      </c>
      <c r="Q772" s="1">
        <f t="shared" si="25"/>
        <v>1</v>
      </c>
    </row>
    <row r="773" spans="1:17" x14ac:dyDescent="0.25">
      <c r="A773" s="1" t="str">
        <f>_xlfn.XLOOKUP(D773,'Novo relatório'!B:B,'Novo relatório'!C:C,"RESOLVIDO")</f>
        <v>SABRE</v>
      </c>
      <c r="C773" t="str">
        <f t="shared" si="24"/>
        <v>PENDENTE</v>
      </c>
      <c r="D773" s="1">
        <v>3275963</v>
      </c>
      <c r="E773" s="1" t="s">
        <v>26</v>
      </c>
      <c r="F773" s="2">
        <v>45716.587500000001</v>
      </c>
      <c r="G773" s="1" t="s">
        <v>1279</v>
      </c>
      <c r="H773" s="1" t="s">
        <v>1279</v>
      </c>
      <c r="I773" s="1" t="s">
        <v>1280</v>
      </c>
      <c r="J773" s="2">
        <v>45716.725694444445</v>
      </c>
      <c r="L773" s="1" t="s">
        <v>18</v>
      </c>
      <c r="M773" s="1" t="str">
        <f>_xlfn.XLOOKUP(I773,Parâmetros!A:A,Parâmetros!B:B,_xlfn.XLOOKUP(Q773,Parâmetros!F:F,Parâmetros!G:G,"NOVA MENSAGEM"))</f>
        <v>CÓD. CLIENTE DIVERGENTE</v>
      </c>
      <c r="N773" s="1" t="str">
        <f>_xlfn.XLOOKUP(M773,Parâmetros!K:K,Parâmetros!L:L,"")</f>
        <v>CÓDIGO DIFERENTE DO CADASTRADO NO BENNER (CLIENTE X GRUPO)</v>
      </c>
      <c r="O773" s="1" t="str">
        <f>_xlfn.XLOOKUP(M773,Parâmetros!B:B,Parâmetros!C:C,_xlfn.XLOOKUP(Base!M729,Parâmetros!G:G,Parâmetros!H:H))</f>
        <v>QUALIDADE DOS DADOS</v>
      </c>
      <c r="P773" s="1" t="str">
        <f>_xlfn.XLOOKUP(I773,Parâmetros!A:A,Parâmetros!D:D,_xlfn.XLOOKUP(Q773,Parâmetros!F:F,Parâmetros!I:I))</f>
        <v>SUPORTE OBT</v>
      </c>
      <c r="Q773" s="1">
        <f t="shared" si="25"/>
        <v>1</v>
      </c>
    </row>
    <row r="774" spans="1:17" x14ac:dyDescent="0.25">
      <c r="A774" s="1" t="str">
        <f>_xlfn.XLOOKUP(D774,'Novo relatório'!B:B,'Novo relatório'!C:C,"RESOLVIDO")</f>
        <v>SABRE</v>
      </c>
      <c r="C774" t="str">
        <f t="shared" si="24"/>
        <v>PENDENTE</v>
      </c>
      <c r="D774" s="1">
        <v>3275968</v>
      </c>
      <c r="E774" s="1" t="s">
        <v>26</v>
      </c>
      <c r="F774" s="2">
        <v>45716.587500000001</v>
      </c>
      <c r="G774" s="1" t="s">
        <v>1288</v>
      </c>
      <c r="H774" s="1" t="s">
        <v>1288</v>
      </c>
      <c r="I774" s="1" t="s">
        <v>1189</v>
      </c>
      <c r="J774" s="2">
        <v>45716.725694444445</v>
      </c>
      <c r="L774" s="1" t="s">
        <v>18</v>
      </c>
      <c r="M774" s="1" t="str">
        <f>_xlfn.XLOOKUP(I774,Parâmetros!A:A,Parâmetros!B:B,_xlfn.XLOOKUP(Q774,Parâmetros!F:F,Parâmetros!G:G,"NOVA MENSAGEM"))</f>
        <v>CÓD. CLIENTE DIVERGENTE</v>
      </c>
      <c r="N774" s="1" t="str">
        <f>_xlfn.XLOOKUP(M774,Parâmetros!K:K,Parâmetros!L:L,"")</f>
        <v>CÓDIGO DIFERENTE DO CADASTRADO NO BENNER (CLIENTE X GRUPO)</v>
      </c>
      <c r="O774" s="1" t="str">
        <f>_xlfn.XLOOKUP(M774,Parâmetros!B:B,Parâmetros!C:C,_xlfn.XLOOKUP(Base!M735,Parâmetros!G:G,Parâmetros!H:H))</f>
        <v>QUALIDADE DOS DADOS</v>
      </c>
      <c r="P774" s="1" t="str">
        <f>_xlfn.XLOOKUP(I774,Parâmetros!A:A,Parâmetros!D:D,_xlfn.XLOOKUP(Q774,Parâmetros!F:F,Parâmetros!I:I))</f>
        <v>SUPORTE OBT</v>
      </c>
      <c r="Q774" s="1">
        <f t="shared" si="25"/>
        <v>1</v>
      </c>
    </row>
    <row r="775" spans="1:17" x14ac:dyDescent="0.25">
      <c r="A775" s="1" t="str">
        <f>_xlfn.XLOOKUP(D775,'Novo relatório'!B:B,'Novo relatório'!C:C,"RESOLVIDO")</f>
        <v>RESOLVIDO</v>
      </c>
      <c r="C775" t="str">
        <f t="shared" si="24"/>
        <v>RESOLVIDO</v>
      </c>
      <c r="D775" s="1">
        <v>3276175</v>
      </c>
      <c r="E775" s="1" t="s">
        <v>12</v>
      </c>
      <c r="F775" s="2">
        <v>45716.67083333333</v>
      </c>
      <c r="G775" s="1">
        <v>5193</v>
      </c>
      <c r="H775" s="1">
        <v>5193</v>
      </c>
      <c r="I775" s="1" t="s">
        <v>16</v>
      </c>
      <c r="J775" s="2">
        <v>45716.759027777778</v>
      </c>
      <c r="K775" s="2">
        <v>45719.799305555556</v>
      </c>
      <c r="L775" s="1" t="s">
        <v>14</v>
      </c>
      <c r="M775" s="1" t="str">
        <f>_xlfn.XLOOKUP(I775,Parâmetros!A:A,Parâmetros!B:B,_xlfn.XLOOKUP(Q775,Parâmetros!F:F,Parâmetros!G:G,"NOVA MENSAGEM"))</f>
        <v>ASSENTO / BAGAGEM</v>
      </c>
      <c r="N775" s="1" t="str">
        <f>_xlfn.XLOOKUP(M775,Parâmetros!K:K,Parâmetros!L:L,"")</f>
        <v>CAMPO OBSERVAÇÃO PREENCHIDO INCORRETAMENTE</v>
      </c>
      <c r="O775" s="1" t="str">
        <f>_xlfn.XLOOKUP(M775,Parâmetros!B:B,Parâmetros!C:C,_xlfn.XLOOKUP(Base!M799,Parâmetros!G:G,Parâmetros!H:H))</f>
        <v>QUALIDADE DOS DADOS</v>
      </c>
      <c r="P775" s="1" t="str">
        <f>_xlfn.XLOOKUP(I775,Parâmetros!A:A,Parâmetros!D:D,_xlfn.XLOOKUP(Q775,Parâmetros!F:F,Parâmetros!I:I))</f>
        <v>OPERAÇÕES / SUPORTE KCS</v>
      </c>
      <c r="Q775" s="1">
        <f t="shared" si="25"/>
        <v>118</v>
      </c>
    </row>
    <row r="776" spans="1:17" x14ac:dyDescent="0.25">
      <c r="A776" s="1" t="str">
        <f>_xlfn.XLOOKUP(D776,'Novo relatório'!B:B,'Novo relatório'!C:C,"RESOLVIDO")</f>
        <v>SABRE</v>
      </c>
      <c r="C776" t="str">
        <f t="shared" si="24"/>
        <v>PENDENTE</v>
      </c>
      <c r="D776" s="1">
        <v>3276545</v>
      </c>
      <c r="E776" s="1" t="s">
        <v>26</v>
      </c>
      <c r="F776" s="2">
        <v>45716.650694444441</v>
      </c>
      <c r="G776" s="1" t="s">
        <v>1276</v>
      </c>
      <c r="H776" s="1" t="s">
        <v>1276</v>
      </c>
      <c r="I776" s="1" t="s">
        <v>83</v>
      </c>
      <c r="J776" s="2">
        <v>45716.784722222219</v>
      </c>
      <c r="L776" s="1" t="s">
        <v>18</v>
      </c>
      <c r="M776" s="1" t="str">
        <f>_xlfn.XLOOKUP(I776,Parâmetros!A:A,Parâmetros!B:B,_xlfn.XLOOKUP(Q776,Parâmetros!F:F,Parâmetros!G:G,"NOVA MENSAGEM"))</f>
        <v>CLIENTE NÃO IDENTIFICADO</v>
      </c>
      <c r="N776" s="1" t="str">
        <f>_xlfn.XLOOKUP(M776,Parâmetros!K:K,Parâmetros!L:L,"")</f>
        <v>DK DE CLIENTE NÃO PREENCIDO / CLIENTE NÃO CONFIGURADO NO OBT</v>
      </c>
      <c r="O776" s="1" t="str">
        <f>_xlfn.XLOOKUP(M776,Parâmetros!B:B,Parâmetros!C:C,_xlfn.XLOOKUP(Base!M727,Parâmetros!G:G,Parâmetros!H:H))</f>
        <v>INDEFINIDO</v>
      </c>
      <c r="P776" s="1" t="str">
        <f>_xlfn.XLOOKUP(I776,Parâmetros!A:A,Parâmetros!D:D,_xlfn.XLOOKUP(Q776,Parâmetros!F:F,Parâmetros!I:I))</f>
        <v>OPERAÇÕES / SUPORTE KCS</v>
      </c>
      <c r="Q776" s="1" t="str">
        <f t="shared" si="25"/>
        <v>COLUNA I</v>
      </c>
    </row>
    <row r="777" spans="1:17" x14ac:dyDescent="0.25">
      <c r="A777" s="1" t="str">
        <f>_xlfn.XLOOKUP(D777,'Novo relatório'!B:B,'Novo relatório'!C:C,"RESOLVIDO")</f>
        <v>SABRE</v>
      </c>
      <c r="C777" t="str">
        <f t="shared" si="24"/>
        <v>PENDENTE</v>
      </c>
      <c r="D777" s="1">
        <v>3276711</v>
      </c>
      <c r="E777" s="1" t="s">
        <v>26</v>
      </c>
      <c r="F777" s="2">
        <v>45716.657638888886</v>
      </c>
      <c r="G777" s="1" t="s">
        <v>1319</v>
      </c>
      <c r="H777" s="1" t="s">
        <v>1319</v>
      </c>
      <c r="I777" s="1" t="s">
        <v>1280</v>
      </c>
      <c r="J777" s="2">
        <v>45716.795138888891</v>
      </c>
      <c r="L777" s="1" t="s">
        <v>18</v>
      </c>
      <c r="M777" s="1" t="str">
        <f>_xlfn.XLOOKUP(I777,Parâmetros!A:A,Parâmetros!B:B,_xlfn.XLOOKUP(Q777,Parâmetros!F:F,Parâmetros!G:G,"NOVA MENSAGEM"))</f>
        <v>CÓD. CLIENTE DIVERGENTE</v>
      </c>
      <c r="N777" s="1" t="str">
        <f>_xlfn.XLOOKUP(M777,Parâmetros!K:K,Parâmetros!L:L,"")</f>
        <v>CÓDIGO DIFERENTE DO CADASTRADO NO BENNER (CLIENTE X GRUPO)</v>
      </c>
      <c r="O777" s="1" t="str">
        <f>_xlfn.XLOOKUP(M777,Parâmetros!B:B,Parâmetros!C:C,_xlfn.XLOOKUP(Base!M761,Parâmetros!G:G,Parâmetros!H:H))</f>
        <v>QUALIDADE DOS DADOS</v>
      </c>
      <c r="P777" s="1" t="str">
        <f>_xlfn.XLOOKUP(I777,Parâmetros!A:A,Parâmetros!D:D,_xlfn.XLOOKUP(Q777,Parâmetros!F:F,Parâmetros!I:I))</f>
        <v>SUPORTE OBT</v>
      </c>
      <c r="Q777" s="1">
        <f t="shared" si="25"/>
        <v>1</v>
      </c>
    </row>
    <row r="778" spans="1:17" x14ac:dyDescent="0.25">
      <c r="A778" s="1" t="str">
        <f>_xlfn.XLOOKUP(D778,'Novo relatório'!B:B,'Novo relatório'!C:C,"RESOLVIDO")</f>
        <v>SABRE</v>
      </c>
      <c r="C778" t="str">
        <f t="shared" si="24"/>
        <v>PENDENTE</v>
      </c>
      <c r="D778" s="1">
        <v>3276712</v>
      </c>
      <c r="E778" s="1" t="s">
        <v>26</v>
      </c>
      <c r="F778" s="2">
        <v>45716.657638888886</v>
      </c>
      <c r="G778" s="1" t="s">
        <v>1290</v>
      </c>
      <c r="H778" s="1" t="s">
        <v>1290</v>
      </c>
      <c r="I778" s="1" t="s">
        <v>620</v>
      </c>
      <c r="J778" s="2">
        <v>45716.795138888891</v>
      </c>
      <c r="L778" s="1" t="s">
        <v>18</v>
      </c>
      <c r="M778" s="1" t="str">
        <f>_xlfn.XLOOKUP(I778,Parâmetros!A:A,Parâmetros!B:B,_xlfn.XLOOKUP(Q778,Parâmetros!F:F,Parâmetros!G:G,"NOVA MENSAGEM"))</f>
        <v>CÓD. CLIENTE DIVERGENTE</v>
      </c>
      <c r="N778" s="1" t="str">
        <f>_xlfn.XLOOKUP(M778,Parâmetros!K:K,Parâmetros!L:L,"")</f>
        <v>CÓDIGO DIFERENTE DO CADASTRADO NO BENNER (CLIENTE X GRUPO)</v>
      </c>
      <c r="O778" s="1" t="str">
        <f>_xlfn.XLOOKUP(M778,Parâmetros!B:B,Parâmetros!C:C,_xlfn.XLOOKUP(Base!M737,Parâmetros!G:G,Parâmetros!H:H))</f>
        <v>QUALIDADE DOS DADOS</v>
      </c>
      <c r="P778" s="1" t="str">
        <f>_xlfn.XLOOKUP(I778,Parâmetros!A:A,Parâmetros!D:D,_xlfn.XLOOKUP(Q778,Parâmetros!F:F,Parâmetros!I:I))</f>
        <v>SUPORTE OBT</v>
      </c>
      <c r="Q778" s="1">
        <f t="shared" si="25"/>
        <v>1</v>
      </c>
    </row>
    <row r="779" spans="1:17" x14ac:dyDescent="0.25">
      <c r="A779" s="1" t="str">
        <f>_xlfn.XLOOKUP(D779,'Novo relatório'!B:B,'Novo relatório'!C:C,"RESOLVIDO")</f>
        <v>SABRE</v>
      </c>
      <c r="C779" t="str">
        <f t="shared" si="24"/>
        <v>PENDENTE</v>
      </c>
      <c r="D779" s="1">
        <v>3276727</v>
      </c>
      <c r="E779" s="1" t="s">
        <v>26</v>
      </c>
      <c r="F779" s="2">
        <v>45716.663194444445</v>
      </c>
      <c r="G779" s="1" t="s">
        <v>1358</v>
      </c>
      <c r="H779" s="1" t="s">
        <v>1358</v>
      </c>
      <c r="I779" s="1" t="s">
        <v>1054</v>
      </c>
      <c r="J779" s="2">
        <v>45716.79583333333</v>
      </c>
      <c r="K779" s="2">
        <v>45716.800694444442</v>
      </c>
      <c r="L779" s="1" t="s">
        <v>18</v>
      </c>
      <c r="M779" s="1" t="str">
        <f>_xlfn.XLOOKUP(I779,Parâmetros!A:A,Parâmetros!B:B,_xlfn.XLOOKUP(Q779,Parâmetros!F:F,Parâmetros!G:G,"NOVA MENSAGEM"))</f>
        <v>CÓD. CLIENTE DIVERGENTE</v>
      </c>
      <c r="N779" s="1" t="str">
        <f>_xlfn.XLOOKUP(M779,Parâmetros!K:K,Parâmetros!L:L,"")</f>
        <v>CÓDIGO DIFERENTE DO CADASTRADO NO BENNER (CLIENTE X GRUPO)</v>
      </c>
      <c r="O779" s="1" t="str">
        <f>_xlfn.XLOOKUP(M779,Parâmetros!B:B,Parâmetros!C:C,_xlfn.XLOOKUP(Base!M790,Parâmetros!G:G,Parâmetros!H:H))</f>
        <v>QUALIDADE DOS DADOS</v>
      </c>
      <c r="P779" s="1" t="str">
        <f>_xlfn.XLOOKUP(I779,Parâmetros!A:A,Parâmetros!D:D,_xlfn.XLOOKUP(Q779,Parâmetros!F:F,Parâmetros!I:I))</f>
        <v>SUPORTE OBT</v>
      </c>
      <c r="Q779" s="1">
        <f t="shared" si="25"/>
        <v>1</v>
      </c>
    </row>
    <row r="780" spans="1:17" x14ac:dyDescent="0.25">
      <c r="A780" s="1" t="str">
        <f>_xlfn.XLOOKUP(D780,'Novo relatório'!B:B,'Novo relatório'!C:C,"RESOLVIDO")</f>
        <v>SABRE</v>
      </c>
      <c r="C780" t="str">
        <f t="shared" si="24"/>
        <v>PENDENTE</v>
      </c>
      <c r="D780" s="1">
        <v>3276765</v>
      </c>
      <c r="E780" s="1" t="s">
        <v>26</v>
      </c>
      <c r="F780" s="2">
        <v>45721.290277777778</v>
      </c>
      <c r="G780" s="1" t="s">
        <v>1246</v>
      </c>
      <c r="H780" s="1" t="s">
        <v>1247</v>
      </c>
      <c r="I780" s="1" t="s">
        <v>64</v>
      </c>
      <c r="J780" s="2">
        <v>45716.797222222223</v>
      </c>
      <c r="K780" s="2">
        <v>45721.52847222222</v>
      </c>
      <c r="L780" s="1" t="s">
        <v>1244</v>
      </c>
      <c r="M780" s="1" t="str">
        <f>_xlfn.XLOOKUP(I780,Parâmetros!A:A,Parâmetros!B:B,_xlfn.XLOOKUP(Q780,Parâmetros!F:F,Parâmetros!G:G,"NOVA MENSAGEM"))</f>
        <v>FORMATO DE TEXTO</v>
      </c>
      <c r="N780" s="1" t="str">
        <f>_xlfn.XLOOKUP(M780,Parâmetros!K:K,Parâmetros!L:L,"")</f>
        <v>TEXTO FORA DO PADRÃO ACEITO NO CAMPO</v>
      </c>
      <c r="O780" s="1" t="str">
        <f>_xlfn.XLOOKUP(M780,Parâmetros!B:B,Parâmetros!C:C,_xlfn.XLOOKUP(Base!M704,Parâmetros!G:G,Parâmetros!H:H))</f>
        <v>INDEFINIDO</v>
      </c>
      <c r="P780" s="1" t="str">
        <f>_xlfn.XLOOKUP(I780,Parâmetros!A:A,Parâmetros!D:D,_xlfn.XLOOKUP(Q780,Parâmetros!F:F,Parâmetros!I:I))</f>
        <v>SUPORTE OBT</v>
      </c>
      <c r="Q780" s="1" t="str">
        <f t="shared" si="25"/>
        <v>COLUNA I</v>
      </c>
    </row>
    <row r="781" spans="1:17" x14ac:dyDescent="0.25">
      <c r="A781" s="1" t="str">
        <f>_xlfn.XLOOKUP(D781,'Novo relatório'!B:B,'Novo relatório'!C:C,"RESOLVIDO")</f>
        <v>SABRE</v>
      </c>
      <c r="C781" t="str">
        <f t="shared" si="24"/>
        <v>PENDENTE</v>
      </c>
      <c r="D781" s="1">
        <v>3276778</v>
      </c>
      <c r="E781" s="1" t="s">
        <v>26</v>
      </c>
      <c r="F781" s="2">
        <v>45716.665277777778</v>
      </c>
      <c r="G781" s="1" t="s">
        <v>1325</v>
      </c>
      <c r="H781" s="1" t="s">
        <v>1326</v>
      </c>
      <c r="I781" s="1" t="s">
        <v>64</v>
      </c>
      <c r="J781" s="2">
        <v>45716.797222222223</v>
      </c>
      <c r="L781" s="1" t="s">
        <v>1244</v>
      </c>
      <c r="M781" s="1" t="str">
        <f>_xlfn.XLOOKUP(I781,Parâmetros!A:A,Parâmetros!B:B,_xlfn.XLOOKUP(Q781,Parâmetros!F:F,Parâmetros!G:G,"NOVA MENSAGEM"))</f>
        <v>FORMATO DE TEXTO</v>
      </c>
      <c r="N781" s="1" t="str">
        <f>_xlfn.XLOOKUP(M781,Parâmetros!K:K,Parâmetros!L:L,"")</f>
        <v>TEXTO FORA DO PADRÃO ACEITO NO CAMPO</v>
      </c>
      <c r="O781" s="1" t="str">
        <f>_xlfn.XLOOKUP(M781,Parâmetros!B:B,Parâmetros!C:C,_xlfn.XLOOKUP(Base!M766,Parâmetros!G:G,Parâmetros!H:H))</f>
        <v>INDEFINIDO</v>
      </c>
      <c r="P781" s="1" t="str">
        <f>_xlfn.XLOOKUP(I781,Parâmetros!A:A,Parâmetros!D:D,_xlfn.XLOOKUP(Q781,Parâmetros!F:F,Parâmetros!I:I))</f>
        <v>SUPORTE OBT</v>
      </c>
      <c r="Q781" s="1" t="str">
        <f t="shared" si="25"/>
        <v>COLUNA I</v>
      </c>
    </row>
    <row r="782" spans="1:17" x14ac:dyDescent="0.25">
      <c r="A782" s="1" t="str">
        <f>_xlfn.XLOOKUP(D782,'Novo relatório'!B:B,'Novo relatório'!C:C,"RESOLVIDO")</f>
        <v>SABRE</v>
      </c>
      <c r="C782" t="str">
        <f t="shared" si="24"/>
        <v>PENDENTE</v>
      </c>
      <c r="D782" s="1">
        <v>3276779</v>
      </c>
      <c r="E782" s="1" t="s">
        <v>26</v>
      </c>
      <c r="F782" s="2">
        <v>45716.665972222225</v>
      </c>
      <c r="G782" s="1" t="s">
        <v>1321</v>
      </c>
      <c r="H782" s="1" t="s">
        <v>1322</v>
      </c>
      <c r="I782" s="1" t="s">
        <v>64</v>
      </c>
      <c r="J782" s="2">
        <v>45716.797222222223</v>
      </c>
      <c r="L782" s="1" t="s">
        <v>1244</v>
      </c>
      <c r="M782" s="1" t="str">
        <f>_xlfn.XLOOKUP(I782,Parâmetros!A:A,Parâmetros!B:B,_xlfn.XLOOKUP(Q782,Parâmetros!F:F,Parâmetros!G:G,"NOVA MENSAGEM"))</f>
        <v>FORMATO DE TEXTO</v>
      </c>
      <c r="N782" s="1" t="str">
        <f>_xlfn.XLOOKUP(M782,Parâmetros!K:K,Parâmetros!L:L,"")</f>
        <v>TEXTO FORA DO PADRÃO ACEITO NO CAMPO</v>
      </c>
      <c r="O782" s="1" t="str">
        <f>_xlfn.XLOOKUP(M782,Parâmetros!B:B,Parâmetros!C:C,_xlfn.XLOOKUP(Base!M763,Parâmetros!G:G,Parâmetros!H:H))</f>
        <v>INDEFINIDO</v>
      </c>
      <c r="P782" s="1" t="str">
        <f>_xlfn.XLOOKUP(I782,Parâmetros!A:A,Parâmetros!D:D,_xlfn.XLOOKUP(Q782,Parâmetros!F:F,Parâmetros!I:I))</f>
        <v>SUPORTE OBT</v>
      </c>
      <c r="Q782" s="1" t="str">
        <f t="shared" si="25"/>
        <v>COLUNA I</v>
      </c>
    </row>
    <row r="783" spans="1:17" x14ac:dyDescent="0.25">
      <c r="A783" s="1" t="str">
        <f>_xlfn.XLOOKUP(D783,'Novo relatório'!B:B,'Novo relatório'!C:C,"RESOLVIDO")</f>
        <v>SABRE</v>
      </c>
      <c r="C783" t="str">
        <f t="shared" si="24"/>
        <v>PENDENTE</v>
      </c>
      <c r="D783" s="1">
        <v>3276781</v>
      </c>
      <c r="E783" s="1" t="s">
        <v>26</v>
      </c>
      <c r="F783" s="2">
        <v>45716.665972222225</v>
      </c>
      <c r="G783" s="1" t="s">
        <v>1277</v>
      </c>
      <c r="H783" s="1" t="s">
        <v>1278</v>
      </c>
      <c r="I783" s="1" t="s">
        <v>64</v>
      </c>
      <c r="J783" s="2">
        <v>45716.797222222223</v>
      </c>
      <c r="L783" s="1" t="s">
        <v>1244</v>
      </c>
      <c r="M783" s="1" t="str">
        <f>_xlfn.XLOOKUP(I783,Parâmetros!A:A,Parâmetros!B:B,_xlfn.XLOOKUP(Q783,Parâmetros!F:F,Parâmetros!G:G,"NOVA MENSAGEM"))</f>
        <v>FORMATO DE TEXTO</v>
      </c>
      <c r="N783" s="1" t="str">
        <f>_xlfn.XLOOKUP(M783,Parâmetros!K:K,Parâmetros!L:L,"")</f>
        <v>TEXTO FORA DO PADRÃO ACEITO NO CAMPO</v>
      </c>
      <c r="O783" s="1" t="str">
        <f>_xlfn.XLOOKUP(M783,Parâmetros!B:B,Parâmetros!C:C,_xlfn.XLOOKUP(Base!M728,Parâmetros!G:G,Parâmetros!H:H))</f>
        <v>INDEFINIDO</v>
      </c>
      <c r="P783" s="1" t="str">
        <f>_xlfn.XLOOKUP(I783,Parâmetros!A:A,Parâmetros!D:D,_xlfn.XLOOKUP(Q783,Parâmetros!F:F,Parâmetros!I:I))</f>
        <v>SUPORTE OBT</v>
      </c>
      <c r="Q783" s="1" t="str">
        <f t="shared" si="25"/>
        <v>COLUNA I</v>
      </c>
    </row>
    <row r="784" spans="1:17" x14ac:dyDescent="0.25">
      <c r="A784" s="1" t="str">
        <f>_xlfn.XLOOKUP(D784,'Novo relatório'!B:B,'Novo relatório'!C:C,"RESOLVIDO")</f>
        <v>GOVER</v>
      </c>
      <c r="C784" t="str">
        <f t="shared" si="24"/>
        <v>PENDENTE</v>
      </c>
      <c r="D784" s="1">
        <v>3279961</v>
      </c>
      <c r="E784" s="1" t="s">
        <v>24</v>
      </c>
      <c r="F784" s="2">
        <v>45721.386805555558</v>
      </c>
      <c r="G784" s="1">
        <v>4500166</v>
      </c>
      <c r="H784" s="1">
        <v>4500166</v>
      </c>
      <c r="I784" s="1" t="s">
        <v>77</v>
      </c>
      <c r="J784" s="2">
        <v>45721.393055555556</v>
      </c>
      <c r="K784" s="2">
        <v>45722.67291666667</v>
      </c>
      <c r="L784" s="1" t="s">
        <v>14</v>
      </c>
      <c r="M784" s="1" t="str">
        <f>_xlfn.XLOOKUP(I784,Parâmetros!A:A,Parâmetros!B:B,_xlfn.XLOOKUP(Q784,Parâmetros!F:F,Parâmetros!G:G,"NOVA MENSAGEM"))</f>
        <v>RLOC NÃO INFORMADO</v>
      </c>
      <c r="N784" s="1" t="str">
        <f>_xlfn.XLOOKUP(M784,Parâmetros!K:K,Parâmetros!L:L,"")</f>
        <v>RLOC NÃO PREENCHIDO NA RESERVA</v>
      </c>
      <c r="O784" s="1" t="str">
        <f>_xlfn.XLOOKUP(M784,Parâmetros!B:B,Parâmetros!C:C,_xlfn.XLOOKUP(Base!M807,Parâmetros!G:G,Parâmetros!H:H))</f>
        <v>QUALIDADE DOS DADOS</v>
      </c>
      <c r="P784" s="1" t="str">
        <f>_xlfn.XLOOKUP(I784,Parâmetros!A:A,Parâmetros!D:D,_xlfn.XLOOKUP(Q784,Parâmetros!F:F,Parâmetros!I:I))</f>
        <v>SUPORTE OBT</v>
      </c>
      <c r="Q784" s="1" t="str">
        <f t="shared" si="25"/>
        <v>COLUNA I</v>
      </c>
    </row>
    <row r="785" spans="1:17" x14ac:dyDescent="0.25">
      <c r="A785" s="1" t="str">
        <f>_xlfn.XLOOKUP(D785,'Novo relatório'!B:B,'Novo relatório'!C:C,"RESOLVIDO")</f>
        <v>SABRE</v>
      </c>
      <c r="C785" t="str">
        <f t="shared" si="24"/>
        <v>PENDENTE</v>
      </c>
      <c r="D785" s="1">
        <v>3280215</v>
      </c>
      <c r="E785" s="1" t="s">
        <v>26</v>
      </c>
      <c r="F785" s="2">
        <v>45721.29583333333</v>
      </c>
      <c r="G785" s="1" t="s">
        <v>1350</v>
      </c>
      <c r="H785" s="1" t="s">
        <v>1351</v>
      </c>
      <c r="I785" s="1" t="s">
        <v>64</v>
      </c>
      <c r="J785" s="2">
        <v>45721.529166666667</v>
      </c>
      <c r="L785" s="1" t="s">
        <v>1244</v>
      </c>
      <c r="M785" s="1" t="str">
        <f>_xlfn.XLOOKUP(I785,Parâmetros!A:A,Parâmetros!B:B,_xlfn.XLOOKUP(Q785,Parâmetros!F:F,Parâmetros!G:G,"NOVA MENSAGEM"))</f>
        <v>FORMATO DE TEXTO</v>
      </c>
      <c r="N785" s="1" t="str">
        <f>_xlfn.XLOOKUP(M785,Parâmetros!K:K,Parâmetros!L:L,"")</f>
        <v>TEXTO FORA DO PADRÃO ACEITO NO CAMPO</v>
      </c>
      <c r="O785" s="1" t="str">
        <f>_xlfn.XLOOKUP(M785,Parâmetros!B:B,Parâmetros!C:C,_xlfn.XLOOKUP(Base!M785,Parâmetros!G:G,Parâmetros!H:H))</f>
        <v>INDEFINIDO</v>
      </c>
      <c r="P785" s="1" t="str">
        <f>_xlfn.XLOOKUP(I785,Parâmetros!A:A,Parâmetros!D:D,_xlfn.XLOOKUP(Q785,Parâmetros!F:F,Parâmetros!I:I))</f>
        <v>SUPORTE OBT</v>
      </c>
      <c r="Q785" s="1" t="str">
        <f t="shared" si="25"/>
        <v>COLUNA I</v>
      </c>
    </row>
    <row r="786" spans="1:17" x14ac:dyDescent="0.25">
      <c r="A786" s="1" t="str">
        <f>_xlfn.XLOOKUP(D786,'Novo relatório'!B:B,'Novo relatório'!C:C,"RESOLVIDO")</f>
        <v>SABRE</v>
      </c>
      <c r="C786" t="str">
        <f t="shared" si="24"/>
        <v>PENDENTE</v>
      </c>
      <c r="D786" s="1">
        <v>3280857</v>
      </c>
      <c r="E786" s="1" t="s">
        <v>26</v>
      </c>
      <c r="F786" s="2">
        <v>45721.525000000001</v>
      </c>
      <c r="G786" s="1" t="s">
        <v>1258</v>
      </c>
      <c r="H786" s="1" t="s">
        <v>1258</v>
      </c>
      <c r="I786" s="1" t="s">
        <v>1054</v>
      </c>
      <c r="J786" s="2">
        <v>45721.658333333333</v>
      </c>
      <c r="L786" s="1" t="s">
        <v>18</v>
      </c>
      <c r="M786" s="1" t="str">
        <f>_xlfn.XLOOKUP(I786,Parâmetros!A:A,Parâmetros!B:B,_xlfn.XLOOKUP(Q786,Parâmetros!F:F,Parâmetros!G:G,"NOVA MENSAGEM"))</f>
        <v>CÓD. CLIENTE DIVERGENTE</v>
      </c>
      <c r="N786" s="1" t="str">
        <f>_xlfn.XLOOKUP(M786,Parâmetros!K:K,Parâmetros!L:L,"")</f>
        <v>CÓDIGO DIFERENTE DO CADASTRADO NO BENNER (CLIENTE X GRUPO)</v>
      </c>
      <c r="O786" s="1" t="str">
        <f>_xlfn.XLOOKUP(M786,Parâmetros!B:B,Parâmetros!C:C,_xlfn.XLOOKUP(Base!M713,Parâmetros!G:G,Parâmetros!H:H))</f>
        <v>QUALIDADE DOS DADOS</v>
      </c>
      <c r="P786" s="1" t="str">
        <f>_xlfn.XLOOKUP(I786,Parâmetros!A:A,Parâmetros!D:D,_xlfn.XLOOKUP(Q786,Parâmetros!F:F,Parâmetros!I:I))</f>
        <v>SUPORTE OBT</v>
      </c>
      <c r="Q786" s="1">
        <f t="shared" si="25"/>
        <v>1</v>
      </c>
    </row>
    <row r="787" spans="1:17" x14ac:dyDescent="0.25">
      <c r="A787" s="1" t="str">
        <f>_xlfn.XLOOKUP(D787,'Novo relatório'!B:B,'Novo relatório'!C:C,"RESOLVIDO")</f>
        <v>SABRE</v>
      </c>
      <c r="C787" t="str">
        <f t="shared" si="24"/>
        <v>PENDENTE</v>
      </c>
      <c r="D787" s="1">
        <v>3280860</v>
      </c>
      <c r="E787" s="1" t="s">
        <v>26</v>
      </c>
      <c r="F787" s="2">
        <v>45721.525000000001</v>
      </c>
      <c r="G787" s="1" t="s">
        <v>1348</v>
      </c>
      <c r="H787" s="1" t="s">
        <v>1348</v>
      </c>
      <c r="I787" s="1" t="s">
        <v>1054</v>
      </c>
      <c r="J787" s="2">
        <v>45721.658333333333</v>
      </c>
      <c r="L787" s="1" t="s">
        <v>18</v>
      </c>
      <c r="M787" s="1" t="str">
        <f>_xlfn.XLOOKUP(I787,Parâmetros!A:A,Parâmetros!B:B,_xlfn.XLOOKUP(Q787,Parâmetros!F:F,Parâmetros!G:G,"NOVA MENSAGEM"))</f>
        <v>CÓD. CLIENTE DIVERGENTE</v>
      </c>
      <c r="N787" s="1" t="str">
        <f>_xlfn.XLOOKUP(M787,Parâmetros!K:K,Parâmetros!L:L,"")</f>
        <v>CÓDIGO DIFERENTE DO CADASTRADO NO BENNER (CLIENTE X GRUPO)</v>
      </c>
      <c r="O787" s="1" t="str">
        <f>_xlfn.XLOOKUP(M787,Parâmetros!B:B,Parâmetros!C:C,_xlfn.XLOOKUP(Base!M783,Parâmetros!G:G,Parâmetros!H:H))</f>
        <v>QUALIDADE DOS DADOS</v>
      </c>
      <c r="P787" s="1" t="str">
        <f>_xlfn.XLOOKUP(I787,Parâmetros!A:A,Parâmetros!D:D,_xlfn.XLOOKUP(Q787,Parâmetros!F:F,Parâmetros!I:I))</f>
        <v>SUPORTE OBT</v>
      </c>
      <c r="Q787" s="1">
        <f t="shared" si="25"/>
        <v>1</v>
      </c>
    </row>
    <row r="788" spans="1:17" x14ac:dyDescent="0.25">
      <c r="A788" s="1" t="str">
        <f>_xlfn.XLOOKUP(D788,'Novo relatório'!B:B,'Novo relatório'!C:C,"RESOLVIDO")</f>
        <v>RESOLVIDO</v>
      </c>
      <c r="C788" t="str">
        <f t="shared" si="24"/>
        <v>RESOLVIDO</v>
      </c>
      <c r="D788" s="1">
        <v>3280901</v>
      </c>
      <c r="E788" s="1" t="s">
        <v>26</v>
      </c>
      <c r="F788" s="2">
        <v>45721.525000000001</v>
      </c>
      <c r="G788" s="1" t="s">
        <v>1324</v>
      </c>
      <c r="H788" s="1" t="s">
        <v>1324</v>
      </c>
      <c r="I788" s="1" t="s">
        <v>588</v>
      </c>
      <c r="J788" s="2">
        <v>45721.660416666666</v>
      </c>
      <c r="L788" s="1" t="s">
        <v>14</v>
      </c>
      <c r="M788" s="1" t="str">
        <f>_xlfn.XLOOKUP(I788,Parâmetros!A:A,Parâmetros!B:B,_xlfn.XLOOKUP(Q788,Parâmetros!F:F,Parâmetros!G:G,"NOVA MENSAGEM"))</f>
        <v>ERRO NO XML</v>
      </c>
      <c r="N788" s="1" t="str">
        <f>_xlfn.XLOOKUP(M788,Parâmetros!K:K,Parâmetros!L:L,"")</f>
        <v/>
      </c>
      <c r="O788" s="1" t="str">
        <f>_xlfn.XLOOKUP(M788,Parâmetros!B:B,Parâmetros!C:C,_xlfn.XLOOKUP(Base!M765,Parâmetros!G:G,Parâmetros!H:H))</f>
        <v>SISTEMA</v>
      </c>
      <c r="P788" s="1" t="str">
        <f>_xlfn.XLOOKUP(I788,Parâmetros!A:A,Parâmetros!D:D,_xlfn.XLOOKUP(Q788,Parâmetros!F:F,Parâmetros!I:I))</f>
        <v>SUPORTE OBT</v>
      </c>
      <c r="Q788" s="1" t="str">
        <f t="shared" si="25"/>
        <v>COLUNA I</v>
      </c>
    </row>
    <row r="789" spans="1:17" x14ac:dyDescent="0.25">
      <c r="A789" s="1" t="str">
        <f>_xlfn.XLOOKUP(D789,'Novo relatório'!B:B,'Novo relatório'!C:C,"RESOLVIDO")</f>
        <v>SABRE</v>
      </c>
      <c r="C789" t="str">
        <f t="shared" si="24"/>
        <v>PENDENTE</v>
      </c>
      <c r="D789" s="1">
        <v>3280903</v>
      </c>
      <c r="E789" s="1" t="s">
        <v>26</v>
      </c>
      <c r="F789" s="2">
        <v>45721.525000000001</v>
      </c>
      <c r="G789" s="1" t="s">
        <v>1264</v>
      </c>
      <c r="H789" s="1" t="s">
        <v>1264</v>
      </c>
      <c r="I789" s="1" t="s">
        <v>1054</v>
      </c>
      <c r="J789" s="2">
        <v>45721.660416666666</v>
      </c>
      <c r="L789" s="1" t="s">
        <v>18</v>
      </c>
      <c r="M789" s="1" t="str">
        <f>_xlfn.XLOOKUP(I789,Parâmetros!A:A,Parâmetros!B:B,_xlfn.XLOOKUP(Q789,Parâmetros!F:F,Parâmetros!G:G,"NOVA MENSAGEM"))</f>
        <v>CÓD. CLIENTE DIVERGENTE</v>
      </c>
      <c r="N789" s="1" t="str">
        <f>_xlfn.XLOOKUP(M789,Parâmetros!K:K,Parâmetros!L:L,"")</f>
        <v>CÓDIGO DIFERENTE DO CADASTRADO NO BENNER (CLIENTE X GRUPO)</v>
      </c>
      <c r="O789" s="1" t="str">
        <f>_xlfn.XLOOKUP(M789,Parâmetros!B:B,Parâmetros!C:C,_xlfn.XLOOKUP(Base!M719,Parâmetros!G:G,Parâmetros!H:H))</f>
        <v>QUALIDADE DOS DADOS</v>
      </c>
      <c r="P789" s="1" t="str">
        <f>_xlfn.XLOOKUP(I789,Parâmetros!A:A,Parâmetros!D:D,_xlfn.XLOOKUP(Q789,Parâmetros!F:F,Parâmetros!I:I))</f>
        <v>SUPORTE OBT</v>
      </c>
      <c r="Q789" s="1">
        <f t="shared" si="25"/>
        <v>1</v>
      </c>
    </row>
    <row r="790" spans="1:17" x14ac:dyDescent="0.25">
      <c r="A790" s="1" t="str">
        <f>_xlfn.XLOOKUP(D790,'Novo relatório'!B:B,'Novo relatório'!C:C,"RESOLVIDO")</f>
        <v>SABRE</v>
      </c>
      <c r="C790" t="str">
        <f t="shared" si="24"/>
        <v>PENDENTE</v>
      </c>
      <c r="D790" s="1">
        <v>3280905</v>
      </c>
      <c r="E790" s="1" t="s">
        <v>26</v>
      </c>
      <c r="F790" s="2">
        <v>45722.283333333333</v>
      </c>
      <c r="G790" s="1" t="s">
        <v>1265</v>
      </c>
      <c r="H790" s="1" t="s">
        <v>1265</v>
      </c>
      <c r="I790" s="1" t="s">
        <v>1131</v>
      </c>
      <c r="J790" s="2">
        <v>45721.660416666666</v>
      </c>
      <c r="K790" s="2">
        <v>45722.419444444444</v>
      </c>
      <c r="L790" s="1" t="s">
        <v>18</v>
      </c>
      <c r="M790" s="1" t="str">
        <f>_xlfn.XLOOKUP(I790,Parâmetros!A:A,Parâmetros!B:B,_xlfn.XLOOKUP(Q790,Parâmetros!F:F,Parâmetros!G:G,"NOVA MENSAGEM"))</f>
        <v>REMARK - CNPJ</v>
      </c>
      <c r="N790" s="1" t="str">
        <f>_xlfn.XLOOKUP(M790,Parâmetros!K:K,Parâmetros!L:L,"")</f>
        <v/>
      </c>
      <c r="O790" s="1" t="str">
        <f>_xlfn.XLOOKUP(M790,Parâmetros!B:B,Parâmetros!C:C,_xlfn.XLOOKUP(Base!M720,Parâmetros!G:G,Parâmetros!H:H))</f>
        <v>QUALIDADE DOS DADOS</v>
      </c>
      <c r="P790" s="1" t="str">
        <f>_xlfn.XLOOKUP(I790,Parâmetros!A:A,Parâmetros!D:D,_xlfn.XLOOKUP(Q790,Parâmetros!F:F,Parâmetros!I:I))</f>
        <v>OPERAÇÕES / SUPORTE KCS</v>
      </c>
      <c r="Q790" s="1">
        <f t="shared" si="25"/>
        <v>24</v>
      </c>
    </row>
    <row r="791" spans="1:17" x14ac:dyDescent="0.25">
      <c r="A791" s="1" t="str">
        <f>_xlfn.XLOOKUP(D791,'Novo relatório'!B:B,'Novo relatório'!C:C,"RESOLVIDO")</f>
        <v>SABRE</v>
      </c>
      <c r="C791" t="str">
        <f t="shared" si="24"/>
        <v>PENDENTE</v>
      </c>
      <c r="D791" s="1">
        <v>3280906</v>
      </c>
      <c r="E791" s="1" t="s">
        <v>26</v>
      </c>
      <c r="F791" s="2">
        <v>45721.525000000001</v>
      </c>
      <c r="G791" s="1" t="s">
        <v>1296</v>
      </c>
      <c r="H791" s="1" t="s">
        <v>1296</v>
      </c>
      <c r="I791" s="1" t="s">
        <v>1054</v>
      </c>
      <c r="J791" s="2">
        <v>45721.660416666666</v>
      </c>
      <c r="L791" s="1" t="s">
        <v>18</v>
      </c>
      <c r="M791" s="1" t="str">
        <f>_xlfn.XLOOKUP(I791,Parâmetros!A:A,Parâmetros!B:B,_xlfn.XLOOKUP(Q791,Parâmetros!F:F,Parâmetros!G:G,"NOVA MENSAGEM"))</f>
        <v>CÓD. CLIENTE DIVERGENTE</v>
      </c>
      <c r="N791" s="1" t="str">
        <f>_xlfn.XLOOKUP(M791,Parâmetros!K:K,Parâmetros!L:L,"")</f>
        <v>CÓDIGO DIFERENTE DO CADASTRADO NO BENNER (CLIENTE X GRUPO)</v>
      </c>
      <c r="O791" s="1" t="str">
        <f>_xlfn.XLOOKUP(M791,Parâmetros!B:B,Parâmetros!C:C,_xlfn.XLOOKUP(Base!M742,Parâmetros!G:G,Parâmetros!H:H))</f>
        <v>QUALIDADE DOS DADOS</v>
      </c>
      <c r="P791" s="1" t="str">
        <f>_xlfn.XLOOKUP(I791,Parâmetros!A:A,Parâmetros!D:D,_xlfn.XLOOKUP(Q791,Parâmetros!F:F,Parâmetros!I:I))</f>
        <v>SUPORTE OBT</v>
      </c>
      <c r="Q791" s="1">
        <f t="shared" si="25"/>
        <v>1</v>
      </c>
    </row>
    <row r="792" spans="1:17" x14ac:dyDescent="0.25">
      <c r="A792" s="1" t="str">
        <f>_xlfn.XLOOKUP(D792,'Novo relatório'!B:B,'Novo relatório'!C:C,"RESOLVIDO")</f>
        <v>SABRE</v>
      </c>
      <c r="C792" t="str">
        <f t="shared" si="24"/>
        <v>PENDENTE</v>
      </c>
      <c r="D792" s="1">
        <v>3280907</v>
      </c>
      <c r="E792" s="1" t="s">
        <v>26</v>
      </c>
      <c r="F792" s="2">
        <v>45721.525000000001</v>
      </c>
      <c r="G792" s="1" t="s">
        <v>1306</v>
      </c>
      <c r="H792" s="1" t="s">
        <v>1306</v>
      </c>
      <c r="I792" s="1" t="s">
        <v>1060</v>
      </c>
      <c r="J792" s="2">
        <v>45721.661111111112</v>
      </c>
      <c r="L792" s="1" t="s">
        <v>18</v>
      </c>
      <c r="M792" s="1" t="str">
        <f>_xlfn.XLOOKUP(I792,Parâmetros!A:A,Parâmetros!B:B,_xlfn.XLOOKUP(Q792,Parâmetros!F:F,Parâmetros!G:G,"NOVA MENSAGEM"))</f>
        <v>CÓD. CLIENTE DIVERGENTE</v>
      </c>
      <c r="N792" s="1" t="str">
        <f>_xlfn.XLOOKUP(M792,Parâmetros!K:K,Parâmetros!L:L,"")</f>
        <v>CÓDIGO DIFERENTE DO CADASTRADO NO BENNER (CLIENTE X GRUPO)</v>
      </c>
      <c r="O792" s="1" t="str">
        <f>_xlfn.XLOOKUP(M792,Parâmetros!B:B,Parâmetros!C:C,_xlfn.XLOOKUP(Base!M750,Parâmetros!G:G,Parâmetros!H:H))</f>
        <v>QUALIDADE DOS DADOS</v>
      </c>
      <c r="P792" s="1" t="str">
        <f>_xlfn.XLOOKUP(I792,Parâmetros!A:A,Parâmetros!D:D,_xlfn.XLOOKUP(Q792,Parâmetros!F:F,Parâmetros!I:I))</f>
        <v>SUPORTE OBT</v>
      </c>
      <c r="Q792" s="1">
        <f t="shared" si="25"/>
        <v>1</v>
      </c>
    </row>
    <row r="793" spans="1:17" x14ac:dyDescent="0.25">
      <c r="A793" s="1" t="str">
        <f>_xlfn.XLOOKUP(D793,'Novo relatório'!B:B,'Novo relatório'!C:C,"RESOLVIDO")</f>
        <v>SABRE</v>
      </c>
      <c r="C793" t="str">
        <f t="shared" si="24"/>
        <v>PENDENTE</v>
      </c>
      <c r="D793" s="1">
        <v>3280910</v>
      </c>
      <c r="E793" s="1" t="s">
        <v>26</v>
      </c>
      <c r="F793" s="2">
        <v>45722.296527777777</v>
      </c>
      <c r="G793" s="1" t="s">
        <v>1310</v>
      </c>
      <c r="H793" s="1" t="s">
        <v>1310</v>
      </c>
      <c r="I793" s="1" t="s">
        <v>1060</v>
      </c>
      <c r="J793" s="2">
        <v>45721.661111111112</v>
      </c>
      <c r="K793" s="2">
        <v>45722.429166666669</v>
      </c>
      <c r="L793" s="1" t="s">
        <v>18</v>
      </c>
      <c r="M793" s="1" t="str">
        <f>_xlfn.XLOOKUP(I793,Parâmetros!A:A,Parâmetros!B:B,_xlfn.XLOOKUP(Q793,Parâmetros!F:F,Parâmetros!G:G,"NOVA MENSAGEM"))</f>
        <v>CÓD. CLIENTE DIVERGENTE</v>
      </c>
      <c r="N793" s="1" t="str">
        <f>_xlfn.XLOOKUP(M793,Parâmetros!K:K,Parâmetros!L:L,"")</f>
        <v>CÓDIGO DIFERENTE DO CADASTRADO NO BENNER (CLIENTE X GRUPO)</v>
      </c>
      <c r="O793" s="1" t="str">
        <f>_xlfn.XLOOKUP(M793,Parâmetros!B:B,Parâmetros!C:C,_xlfn.XLOOKUP(Base!M754,Parâmetros!G:G,Parâmetros!H:H))</f>
        <v>QUALIDADE DOS DADOS</v>
      </c>
      <c r="P793" s="1" t="str">
        <f>_xlfn.XLOOKUP(I793,Parâmetros!A:A,Parâmetros!D:D,_xlfn.XLOOKUP(Q793,Parâmetros!F:F,Parâmetros!I:I))</f>
        <v>SUPORTE OBT</v>
      </c>
      <c r="Q793" s="1">
        <f t="shared" si="25"/>
        <v>1</v>
      </c>
    </row>
    <row r="794" spans="1:17" x14ac:dyDescent="0.25">
      <c r="A794" s="1" t="str">
        <f>_xlfn.XLOOKUP(D794,'Novo relatório'!B:B,'Novo relatório'!C:C,"RESOLVIDO")</f>
        <v>SABRE</v>
      </c>
      <c r="C794" t="str">
        <f t="shared" si="24"/>
        <v>PENDENTE</v>
      </c>
      <c r="D794" s="1">
        <v>3280915</v>
      </c>
      <c r="E794" s="1" t="s">
        <v>26</v>
      </c>
      <c r="F794" s="2">
        <v>45722.3</v>
      </c>
      <c r="G794" s="1" t="s">
        <v>1305</v>
      </c>
      <c r="H794" s="1" t="s">
        <v>1305</v>
      </c>
      <c r="I794" s="1" t="s">
        <v>1060</v>
      </c>
      <c r="J794" s="2">
        <v>45721.661111111112</v>
      </c>
      <c r="K794" s="2">
        <v>45722.429166666669</v>
      </c>
      <c r="L794" s="1" t="s">
        <v>18</v>
      </c>
      <c r="M794" s="1" t="str">
        <f>_xlfn.XLOOKUP(I794,Parâmetros!A:A,Parâmetros!B:B,_xlfn.XLOOKUP(Q794,Parâmetros!F:F,Parâmetros!G:G,"NOVA MENSAGEM"))</f>
        <v>CÓD. CLIENTE DIVERGENTE</v>
      </c>
      <c r="N794" s="1" t="str">
        <f>_xlfn.XLOOKUP(M794,Parâmetros!K:K,Parâmetros!L:L,"")</f>
        <v>CÓDIGO DIFERENTE DO CADASTRADO NO BENNER (CLIENTE X GRUPO)</v>
      </c>
      <c r="O794" s="1" t="str">
        <f>_xlfn.XLOOKUP(M794,Parâmetros!B:B,Parâmetros!C:C,_xlfn.XLOOKUP(Base!M749,Parâmetros!G:G,Parâmetros!H:H))</f>
        <v>QUALIDADE DOS DADOS</v>
      </c>
      <c r="P794" s="1" t="str">
        <f>_xlfn.XLOOKUP(I794,Parâmetros!A:A,Parâmetros!D:D,_xlfn.XLOOKUP(Q794,Parâmetros!F:F,Parâmetros!I:I))</f>
        <v>SUPORTE OBT</v>
      </c>
      <c r="Q794" s="1">
        <f t="shared" si="25"/>
        <v>1</v>
      </c>
    </row>
    <row r="795" spans="1:17" x14ac:dyDescent="0.25">
      <c r="A795" s="1" t="str">
        <f>_xlfn.XLOOKUP(D795,'Novo relatório'!B:B,'Novo relatório'!C:C,"RESOLVIDO")</f>
        <v>GOVER</v>
      </c>
      <c r="C795" t="str">
        <f t="shared" si="24"/>
        <v>PENDENTE</v>
      </c>
      <c r="D795" s="1">
        <v>3280983</v>
      </c>
      <c r="E795" s="1" t="s">
        <v>24</v>
      </c>
      <c r="F795" s="2">
        <v>45721.679166666669</v>
      </c>
      <c r="G795" s="1">
        <v>4500599</v>
      </c>
      <c r="H795" s="1" t="s">
        <v>1369</v>
      </c>
      <c r="I795" s="1" t="s">
        <v>1370</v>
      </c>
      <c r="J795" s="2">
        <v>45721.686805555553</v>
      </c>
      <c r="K795" s="2">
        <v>45722.67291666667</v>
      </c>
      <c r="L795" s="1" t="s">
        <v>14</v>
      </c>
      <c r="M795" s="1" t="str">
        <f>_xlfn.XLOOKUP(I795,Parâmetros!A:A,Parâmetros!B:B,_xlfn.XLOOKUP(Q795,Parâmetros!F:F,Parâmetros!G:G,"NOVA MENSAGEM"))</f>
        <v>NOVA MENSAGEM</v>
      </c>
      <c r="N795" s="1" t="str">
        <f>_xlfn.XLOOKUP(M795,Parâmetros!K:K,Parâmetros!L:L,"")</f>
        <v/>
      </c>
      <c r="O795" s="1" t="str">
        <f>_xlfn.XLOOKUP(M795,Parâmetros!B:B,Parâmetros!C:C,_xlfn.XLOOKUP(Base!M808,Parâmetros!G:G,Parâmetros!H:H))</f>
        <v>QUALIDADE DOS DADOS</v>
      </c>
      <c r="P795" s="1" t="e">
        <f>_xlfn.XLOOKUP(I795,Parâmetros!A:A,Parâmetros!D:D,_xlfn.XLOOKUP(Q795,Parâmetros!F:F,Parâmetros!I:I))</f>
        <v>#N/A</v>
      </c>
      <c r="Q795" s="1" t="str">
        <f t="shared" si="25"/>
        <v>COLUNA I</v>
      </c>
    </row>
    <row r="796" spans="1:17" x14ac:dyDescent="0.25">
      <c r="A796" s="1" t="str">
        <f>_xlfn.XLOOKUP(D796,'Novo relatório'!B:B,'Novo relatório'!C:C,"RESOLVIDO")</f>
        <v>SABRE</v>
      </c>
      <c r="C796" t="str">
        <f t="shared" si="24"/>
        <v>PENDENTE</v>
      </c>
      <c r="D796" s="1">
        <v>3281126</v>
      </c>
      <c r="E796" s="1" t="s">
        <v>26</v>
      </c>
      <c r="F796" s="2">
        <v>45721.612500000003</v>
      </c>
      <c r="G796" s="1" t="s">
        <v>1352</v>
      </c>
      <c r="H796" s="1" t="s">
        <v>1352</v>
      </c>
      <c r="I796" s="1" t="s">
        <v>707</v>
      </c>
      <c r="J796" s="2">
        <v>45721.741666666669</v>
      </c>
      <c r="L796" s="1" t="s">
        <v>18</v>
      </c>
      <c r="M796" s="1" t="str">
        <f>_xlfn.XLOOKUP(I796,Parâmetros!A:A,Parâmetros!B:B,_xlfn.XLOOKUP(Q796,Parâmetros!F:F,Parâmetros!G:G,"NOVA MENSAGEM"))</f>
        <v>CÓD. CLIENTE DIVERGENTE</v>
      </c>
      <c r="N796" s="1" t="str">
        <f>_xlfn.XLOOKUP(M796,Parâmetros!K:K,Parâmetros!L:L,"")</f>
        <v>CÓDIGO DIFERENTE DO CADASTRADO NO BENNER (CLIENTE X GRUPO)</v>
      </c>
      <c r="O796" s="1" t="str">
        <f>_xlfn.XLOOKUP(M796,Parâmetros!B:B,Parâmetros!C:C,_xlfn.XLOOKUP(Base!M786,Parâmetros!G:G,Parâmetros!H:H))</f>
        <v>QUALIDADE DOS DADOS</v>
      </c>
      <c r="P796" s="1" t="str">
        <f>_xlfn.XLOOKUP(I796,Parâmetros!A:A,Parâmetros!D:D,_xlfn.XLOOKUP(Q796,Parâmetros!F:F,Parâmetros!I:I))</f>
        <v>SUPORTE OBT</v>
      </c>
      <c r="Q796" s="1">
        <f t="shared" si="25"/>
        <v>1</v>
      </c>
    </row>
    <row r="797" spans="1:17" x14ac:dyDescent="0.25">
      <c r="A797" s="1" t="str">
        <f>_xlfn.XLOOKUP(D797,'Novo relatório'!B:B,'Novo relatório'!C:C,"RESOLVIDO")</f>
        <v>SABRE</v>
      </c>
      <c r="C797" t="str">
        <f t="shared" si="24"/>
        <v>PENDENTE</v>
      </c>
      <c r="D797" s="1">
        <v>3281289</v>
      </c>
      <c r="E797" s="1" t="s">
        <v>26</v>
      </c>
      <c r="F797" s="2">
        <v>45721.724305555559</v>
      </c>
      <c r="G797" s="1" t="s">
        <v>1307</v>
      </c>
      <c r="H797" s="1" t="s">
        <v>1307</v>
      </c>
      <c r="I797" s="1" t="s">
        <v>1060</v>
      </c>
      <c r="J797" s="2">
        <v>45721.79791666667</v>
      </c>
      <c r="K797" s="2">
        <v>45721.856249999997</v>
      </c>
      <c r="L797" s="1" t="s">
        <v>18</v>
      </c>
      <c r="M797" s="1" t="str">
        <f>_xlfn.XLOOKUP(I797,Parâmetros!A:A,Parâmetros!B:B,_xlfn.XLOOKUP(Q797,Parâmetros!F:F,Parâmetros!G:G,"NOVA MENSAGEM"))</f>
        <v>CÓD. CLIENTE DIVERGENTE</v>
      </c>
      <c r="N797" s="1" t="str">
        <f>_xlfn.XLOOKUP(M797,Parâmetros!K:K,Parâmetros!L:L,"")</f>
        <v>CÓDIGO DIFERENTE DO CADASTRADO NO BENNER (CLIENTE X GRUPO)</v>
      </c>
      <c r="O797" s="1" t="str">
        <f>_xlfn.XLOOKUP(M797,Parâmetros!B:B,Parâmetros!C:C,_xlfn.XLOOKUP(Base!M751,Parâmetros!G:G,Parâmetros!H:H))</f>
        <v>QUALIDADE DOS DADOS</v>
      </c>
      <c r="P797" s="1" t="str">
        <f>_xlfn.XLOOKUP(I797,Parâmetros!A:A,Parâmetros!D:D,_xlfn.XLOOKUP(Q797,Parâmetros!F:F,Parâmetros!I:I))</f>
        <v>SUPORTE OBT</v>
      </c>
      <c r="Q797" s="1">
        <f t="shared" si="25"/>
        <v>1</v>
      </c>
    </row>
    <row r="798" spans="1:17" x14ac:dyDescent="0.25">
      <c r="A798" s="1" t="str">
        <f>_xlfn.XLOOKUP(D798,'Novo relatório'!B:B,'Novo relatório'!C:C,"RESOLVIDO")</f>
        <v>SABRE</v>
      </c>
      <c r="C798" t="str">
        <f t="shared" si="24"/>
        <v>PENDENTE</v>
      </c>
      <c r="D798" s="1">
        <v>3281696</v>
      </c>
      <c r="E798" s="1" t="s">
        <v>26</v>
      </c>
      <c r="F798" s="2">
        <v>45721.724305555559</v>
      </c>
      <c r="G798" s="1" t="s">
        <v>1304</v>
      </c>
      <c r="H798" s="1" t="s">
        <v>1304</v>
      </c>
      <c r="I798" s="1" t="s">
        <v>83</v>
      </c>
      <c r="J798" s="2">
        <v>45721.855555555558</v>
      </c>
      <c r="L798" s="1" t="s">
        <v>18</v>
      </c>
      <c r="M798" s="1" t="str">
        <f>_xlfn.XLOOKUP(I798,Parâmetros!A:A,Parâmetros!B:B,_xlfn.XLOOKUP(Q798,Parâmetros!F:F,Parâmetros!G:G,"NOVA MENSAGEM"))</f>
        <v>CLIENTE NÃO IDENTIFICADO</v>
      </c>
      <c r="N798" s="1" t="str">
        <f>_xlfn.XLOOKUP(M798,Parâmetros!K:K,Parâmetros!L:L,"")</f>
        <v>DK DE CLIENTE NÃO PREENCIDO / CLIENTE NÃO CONFIGURADO NO OBT</v>
      </c>
      <c r="O798" s="1" t="str">
        <f>_xlfn.XLOOKUP(M798,Parâmetros!B:B,Parâmetros!C:C,_xlfn.XLOOKUP(Base!M748,Parâmetros!G:G,Parâmetros!H:H))</f>
        <v>INDEFINIDO</v>
      </c>
      <c r="P798" s="1" t="str">
        <f>_xlfn.XLOOKUP(I798,Parâmetros!A:A,Parâmetros!D:D,_xlfn.XLOOKUP(Q798,Parâmetros!F:F,Parâmetros!I:I))</f>
        <v>OPERAÇÕES / SUPORTE KCS</v>
      </c>
      <c r="Q798" s="1" t="str">
        <f t="shared" si="25"/>
        <v>COLUNA I</v>
      </c>
    </row>
    <row r="799" spans="1:17" x14ac:dyDescent="0.25">
      <c r="A799" s="1" t="str">
        <f>_xlfn.XLOOKUP(D799,'Novo relatório'!B:B,'Novo relatório'!C:C,"RESOLVIDO")</f>
        <v>SABRE</v>
      </c>
      <c r="C799" t="str">
        <f t="shared" si="24"/>
        <v>PENDENTE</v>
      </c>
      <c r="D799" s="1">
        <v>3281699</v>
      </c>
      <c r="E799" s="1" t="s">
        <v>26</v>
      </c>
      <c r="F799" s="2">
        <v>45722.518750000003</v>
      </c>
      <c r="G799" s="1" t="s">
        <v>1301</v>
      </c>
      <c r="H799" s="1" t="s">
        <v>1301</v>
      </c>
      <c r="I799" s="1" t="s">
        <v>1302</v>
      </c>
      <c r="J799" s="2">
        <v>45721.856249999997</v>
      </c>
      <c r="K799" s="2">
        <v>45722.647916666669</v>
      </c>
      <c r="L799" s="1" t="s">
        <v>18</v>
      </c>
      <c r="M799" s="1" t="str">
        <f>_xlfn.XLOOKUP(I799,Parâmetros!A:A,Parâmetros!B:B,_xlfn.XLOOKUP(Q799,Parâmetros!F:F,Parâmetros!G:G,"NOVA MENSAGEM"))</f>
        <v>REMARK - CNPJ</v>
      </c>
      <c r="N799" s="1" t="str">
        <f>_xlfn.XLOOKUP(M799,Parâmetros!K:K,Parâmetros!L:L,"")</f>
        <v/>
      </c>
      <c r="O799" s="1" t="e">
        <f>_xlfn.XLOOKUP(M799,Parâmetros!B:B,Parâmetros!C:C,_xlfn.XLOOKUP(Base!M746,Parâmetros!G:G,Parâmetros!H:H))</f>
        <v>#N/A</v>
      </c>
      <c r="P799" s="1" t="str">
        <f>_xlfn.XLOOKUP(I799,Parâmetros!A:A,Parâmetros!D:D,_xlfn.XLOOKUP(Q799,Parâmetros!F:F,Parâmetros!I:I))</f>
        <v>OPERAÇÕES / SUPORTE KCS</v>
      </c>
      <c r="Q799" s="1">
        <f t="shared" si="25"/>
        <v>24</v>
      </c>
    </row>
    <row r="800" spans="1:17" x14ac:dyDescent="0.25">
      <c r="A800" s="1" t="str">
        <f>_xlfn.XLOOKUP(D800,'Novo relatório'!B:B,'Novo relatório'!C:C,"RESOLVIDO")</f>
        <v>TMS</v>
      </c>
      <c r="C800" t="str">
        <f t="shared" si="24"/>
        <v>PENDENTE</v>
      </c>
      <c r="D800" s="1">
        <v>3281708</v>
      </c>
      <c r="E800" s="1" t="s">
        <v>12</v>
      </c>
      <c r="F800" s="2">
        <v>45721.574305555558</v>
      </c>
      <c r="G800" s="1">
        <v>77</v>
      </c>
      <c r="H800" s="1">
        <v>77</v>
      </c>
      <c r="I800" s="1" t="s">
        <v>16</v>
      </c>
      <c r="J800" s="2">
        <v>45721.856944444444</v>
      </c>
      <c r="K800" s="2">
        <v>45722.62777777778</v>
      </c>
      <c r="L800" s="1" t="s">
        <v>14</v>
      </c>
      <c r="M800" s="1" t="str">
        <f>_xlfn.XLOOKUP(I800,Parâmetros!A:A,Parâmetros!B:B,_xlfn.XLOOKUP(Q800,Parâmetros!F:F,Parâmetros!G:G,"NOVA MENSAGEM"))</f>
        <v>ASSENTO / BAGAGEM</v>
      </c>
      <c r="N800" s="1" t="str">
        <f>_xlfn.XLOOKUP(M800,Parâmetros!K:K,Parâmetros!L:L,"")</f>
        <v>CAMPO OBSERVAÇÃO PREENCHIDO INCORRETAMENTE</v>
      </c>
      <c r="O800" s="1" t="str">
        <f>_xlfn.XLOOKUP(M800,Parâmetros!B:B,Parâmetros!C:C,_xlfn.XLOOKUP(Base!M804,Parâmetros!G:G,Parâmetros!H:H))</f>
        <v>QUALIDADE DOS DADOS</v>
      </c>
      <c r="P800" s="1" t="str">
        <f>_xlfn.XLOOKUP(I800,Parâmetros!A:A,Parâmetros!D:D,_xlfn.XLOOKUP(Q800,Parâmetros!F:F,Parâmetros!I:I))</f>
        <v>OPERAÇÕES / SUPORTE KCS</v>
      </c>
      <c r="Q800" s="1">
        <f t="shared" si="25"/>
        <v>118</v>
      </c>
    </row>
    <row r="801" spans="1:17" x14ac:dyDescent="0.25">
      <c r="A801" s="1" t="str">
        <f>_xlfn.XLOOKUP(D801,'Novo relatório'!B:B,'Novo relatório'!C:C,"RESOLVIDO")</f>
        <v>SABRE</v>
      </c>
      <c r="C801" t="str">
        <f t="shared" si="24"/>
        <v>PENDENTE</v>
      </c>
      <c r="D801" s="1">
        <v>3281716</v>
      </c>
      <c r="E801" s="1" t="s">
        <v>26</v>
      </c>
      <c r="F801" s="2">
        <v>45721.724305555559</v>
      </c>
      <c r="G801" s="1" t="s">
        <v>1320</v>
      </c>
      <c r="H801" s="1" t="s">
        <v>1320</v>
      </c>
      <c r="I801" s="1" t="s">
        <v>83</v>
      </c>
      <c r="J801" s="2">
        <v>45721.856944444444</v>
      </c>
      <c r="L801" s="1" t="s">
        <v>18</v>
      </c>
      <c r="M801" s="1" t="str">
        <f>_xlfn.XLOOKUP(I801,Parâmetros!A:A,Parâmetros!B:B,_xlfn.XLOOKUP(Q801,Parâmetros!F:F,Parâmetros!G:G,"NOVA MENSAGEM"))</f>
        <v>CLIENTE NÃO IDENTIFICADO</v>
      </c>
      <c r="N801" s="1" t="str">
        <f>_xlfn.XLOOKUP(M801,Parâmetros!K:K,Parâmetros!L:L,"")</f>
        <v>DK DE CLIENTE NÃO PREENCIDO / CLIENTE NÃO CONFIGURADO NO OBT</v>
      </c>
      <c r="O801" s="1" t="str">
        <f>_xlfn.XLOOKUP(M801,Parâmetros!B:B,Parâmetros!C:C,_xlfn.XLOOKUP(Base!M762,Parâmetros!G:G,Parâmetros!H:H))</f>
        <v>INDEFINIDO</v>
      </c>
      <c r="P801" s="1" t="str">
        <f>_xlfn.XLOOKUP(I801,Parâmetros!A:A,Parâmetros!D:D,_xlfn.XLOOKUP(Q801,Parâmetros!F:F,Parâmetros!I:I))</f>
        <v>OPERAÇÕES / SUPORTE KCS</v>
      </c>
      <c r="Q801" s="1" t="str">
        <f t="shared" si="25"/>
        <v>COLUNA I</v>
      </c>
    </row>
    <row r="802" spans="1:17" x14ac:dyDescent="0.25">
      <c r="A802" s="1" t="str">
        <f>_xlfn.XLOOKUP(D802,'Novo relatório'!B:B,'Novo relatório'!C:C,"RESOLVIDO")</f>
        <v>SABRE</v>
      </c>
      <c r="C802" t="str">
        <f t="shared" si="24"/>
        <v>PENDENTE</v>
      </c>
      <c r="D802" s="1">
        <v>3281883</v>
      </c>
      <c r="E802" s="1" t="s">
        <v>26</v>
      </c>
      <c r="F802" s="2">
        <v>45721.758333333331</v>
      </c>
      <c r="G802" s="1" t="s">
        <v>1323</v>
      </c>
      <c r="H802" s="1" t="s">
        <v>1323</v>
      </c>
      <c r="I802" s="1" t="s">
        <v>707</v>
      </c>
      <c r="J802" s="2">
        <v>45721.887499999997</v>
      </c>
      <c r="L802" s="1" t="s">
        <v>18</v>
      </c>
      <c r="M802" s="1" t="str">
        <f>_xlfn.XLOOKUP(I802,Parâmetros!A:A,Parâmetros!B:B,_xlfn.XLOOKUP(Q802,Parâmetros!F:F,Parâmetros!G:G,"NOVA MENSAGEM"))</f>
        <v>CÓD. CLIENTE DIVERGENTE</v>
      </c>
      <c r="N802" s="1" t="str">
        <f>_xlfn.XLOOKUP(M802,Parâmetros!K:K,Parâmetros!L:L,"")</f>
        <v>CÓDIGO DIFERENTE DO CADASTRADO NO BENNER (CLIENTE X GRUPO)</v>
      </c>
      <c r="O802" s="1" t="str">
        <f>_xlfn.XLOOKUP(M802,Parâmetros!B:B,Parâmetros!C:C,_xlfn.XLOOKUP(Base!M764,Parâmetros!G:G,Parâmetros!H:H))</f>
        <v>QUALIDADE DOS DADOS</v>
      </c>
      <c r="P802" s="1" t="str">
        <f>_xlfn.XLOOKUP(I802,Parâmetros!A:A,Parâmetros!D:D,_xlfn.XLOOKUP(Q802,Parâmetros!F:F,Parâmetros!I:I))</f>
        <v>SUPORTE OBT</v>
      </c>
      <c r="Q802" s="1">
        <f t="shared" si="25"/>
        <v>1</v>
      </c>
    </row>
    <row r="803" spans="1:17" x14ac:dyDescent="0.25">
      <c r="A803" s="1" t="str">
        <f>_xlfn.XLOOKUP(D803,'Novo relatório'!B:B,'Novo relatório'!C:C,"RESOLVIDO")</f>
        <v>SABRE</v>
      </c>
      <c r="C803" t="str">
        <f t="shared" si="24"/>
        <v>PENDENTE</v>
      </c>
      <c r="D803" s="1">
        <v>3281885</v>
      </c>
      <c r="E803" s="1" t="s">
        <v>26</v>
      </c>
      <c r="F803" s="2">
        <v>45721.758333333331</v>
      </c>
      <c r="G803" s="1" t="s">
        <v>1256</v>
      </c>
      <c r="H803" s="1" t="s">
        <v>1256</v>
      </c>
      <c r="I803" s="1" t="s">
        <v>83</v>
      </c>
      <c r="J803" s="2">
        <v>45721.887499999997</v>
      </c>
      <c r="L803" s="1" t="s">
        <v>18</v>
      </c>
      <c r="M803" s="1" t="str">
        <f>_xlfn.XLOOKUP(I803,Parâmetros!A:A,Parâmetros!B:B,_xlfn.XLOOKUP(Q803,Parâmetros!F:F,Parâmetros!G:G,"NOVA MENSAGEM"))</f>
        <v>CLIENTE NÃO IDENTIFICADO</v>
      </c>
      <c r="N803" s="1" t="str">
        <f>_xlfn.XLOOKUP(M803,Parâmetros!K:K,Parâmetros!L:L,"")</f>
        <v>DK DE CLIENTE NÃO PREENCIDO / CLIENTE NÃO CONFIGURADO NO OBT</v>
      </c>
      <c r="O803" s="1" t="str">
        <f>_xlfn.XLOOKUP(M803,Parâmetros!B:B,Parâmetros!C:C,_xlfn.XLOOKUP(Base!M711,Parâmetros!G:G,Parâmetros!H:H))</f>
        <v>INDEFINIDO</v>
      </c>
      <c r="P803" s="1" t="str">
        <f>_xlfn.XLOOKUP(I803,Parâmetros!A:A,Parâmetros!D:D,_xlfn.XLOOKUP(Q803,Parâmetros!F:F,Parâmetros!I:I))</f>
        <v>OPERAÇÕES / SUPORTE KCS</v>
      </c>
      <c r="Q803" s="1" t="str">
        <f t="shared" si="25"/>
        <v>COLUNA I</v>
      </c>
    </row>
    <row r="804" spans="1:17" x14ac:dyDescent="0.25">
      <c r="A804" s="1" t="str">
        <f>_xlfn.XLOOKUP(D804,'Novo relatório'!B:B,'Novo relatório'!C:C,"RESOLVIDO")</f>
        <v>SABRE</v>
      </c>
      <c r="C804" t="str">
        <f t="shared" si="24"/>
        <v>PENDENTE</v>
      </c>
      <c r="D804" s="1">
        <v>3281887</v>
      </c>
      <c r="E804" s="1" t="s">
        <v>26</v>
      </c>
      <c r="F804" s="2">
        <v>45721.758333333331</v>
      </c>
      <c r="G804" s="1" t="s">
        <v>1353</v>
      </c>
      <c r="H804" s="1" t="s">
        <v>1353</v>
      </c>
      <c r="I804" s="1" t="s">
        <v>1354</v>
      </c>
      <c r="J804" s="2">
        <v>45721.888194444444</v>
      </c>
      <c r="L804" s="1" t="s">
        <v>18</v>
      </c>
      <c r="M804" s="1" t="str">
        <f>_xlfn.XLOOKUP(I804,Parâmetros!A:A,Parâmetros!B:B,_xlfn.XLOOKUP(Q804,Parâmetros!F:F,Parâmetros!G:G,"NOVA MENSAGEM"))</f>
        <v>CÓD. CLIENTE DIVERGENTE</v>
      </c>
      <c r="N804" s="1" t="str">
        <f>_xlfn.XLOOKUP(M804,Parâmetros!K:K,Parâmetros!L:L,"")</f>
        <v>CÓDIGO DIFERENTE DO CADASTRADO NO BENNER (CLIENTE X GRUPO)</v>
      </c>
      <c r="O804" s="1" t="str">
        <f>_xlfn.XLOOKUP(M804,Parâmetros!B:B,Parâmetros!C:C,_xlfn.XLOOKUP(Base!M787,Parâmetros!G:G,Parâmetros!H:H))</f>
        <v>QUALIDADE DOS DADOS</v>
      </c>
      <c r="P804" s="1" t="str">
        <f>_xlfn.XLOOKUP(I804,Parâmetros!A:A,Parâmetros!D:D,_xlfn.XLOOKUP(Q804,Parâmetros!F:F,Parâmetros!I:I))</f>
        <v>SUPORTE OBT</v>
      </c>
      <c r="Q804" s="1">
        <f t="shared" si="25"/>
        <v>1</v>
      </c>
    </row>
    <row r="805" spans="1:17" x14ac:dyDescent="0.25">
      <c r="A805" s="1" t="str">
        <f>_xlfn.XLOOKUP(D805,'Novo relatório'!B:B,'Novo relatório'!C:C,"RESOLVIDO")</f>
        <v>SABRE</v>
      </c>
      <c r="C805" t="str">
        <f t="shared" si="24"/>
        <v>PENDENTE</v>
      </c>
      <c r="D805" s="1">
        <v>3281896</v>
      </c>
      <c r="E805" s="1" t="s">
        <v>26</v>
      </c>
      <c r="F805" s="2">
        <v>45721.758333333331</v>
      </c>
      <c r="G805" s="1" t="s">
        <v>1341</v>
      </c>
      <c r="H805" s="1" t="s">
        <v>1341</v>
      </c>
      <c r="I805" s="1" t="s">
        <v>652</v>
      </c>
      <c r="J805" s="2">
        <v>45721.890277777777</v>
      </c>
      <c r="L805" s="1" t="s">
        <v>18</v>
      </c>
      <c r="M805" s="1" t="str">
        <f>_xlfn.XLOOKUP(I805,Parâmetros!A:A,Parâmetros!B:B,_xlfn.XLOOKUP(Q805,Parâmetros!F:F,Parâmetros!G:G,"NOVA MENSAGEM"))</f>
        <v>CÓD. CLIENTE DIVERGENTE</v>
      </c>
      <c r="N805" s="1" t="str">
        <f>_xlfn.XLOOKUP(M805,Parâmetros!K:K,Parâmetros!L:L,"")</f>
        <v>CÓDIGO DIFERENTE DO CADASTRADO NO BENNER (CLIENTE X GRUPO)</v>
      </c>
      <c r="O805" s="1" t="str">
        <f>_xlfn.XLOOKUP(M805,Parâmetros!B:B,Parâmetros!C:C,_xlfn.XLOOKUP(Base!M777,Parâmetros!G:G,Parâmetros!H:H))</f>
        <v>QUALIDADE DOS DADOS</v>
      </c>
      <c r="P805" s="1" t="str">
        <f>_xlfn.XLOOKUP(I805,Parâmetros!A:A,Parâmetros!D:D,_xlfn.XLOOKUP(Q805,Parâmetros!F:F,Parâmetros!I:I))</f>
        <v>SUPORTE OBT</v>
      </c>
      <c r="Q805" s="1">
        <f t="shared" si="25"/>
        <v>1</v>
      </c>
    </row>
    <row r="806" spans="1:17" x14ac:dyDescent="0.25">
      <c r="A806" s="1" t="str">
        <f>_xlfn.XLOOKUP(D806,'Novo relatório'!B:B,'Novo relatório'!C:C,"RESOLVIDO")</f>
        <v>SABRE</v>
      </c>
      <c r="C806" t="str">
        <f t="shared" si="24"/>
        <v>PENDENTE</v>
      </c>
      <c r="D806" s="1">
        <v>3281897</v>
      </c>
      <c r="E806" s="1" t="s">
        <v>26</v>
      </c>
      <c r="F806" s="2">
        <v>45721.758333333331</v>
      </c>
      <c r="G806" s="1" t="s">
        <v>1343</v>
      </c>
      <c r="H806" s="1" t="s">
        <v>1343</v>
      </c>
      <c r="I806" s="1" t="s">
        <v>829</v>
      </c>
      <c r="J806" s="2">
        <v>45721.890277777777</v>
      </c>
      <c r="L806" s="1" t="s">
        <v>18</v>
      </c>
      <c r="M806" s="1" t="str">
        <f>_xlfn.XLOOKUP(I806,Parâmetros!A:A,Parâmetros!B:B,_xlfn.XLOOKUP(Q806,Parâmetros!F:F,Parâmetros!G:G,"NOVA MENSAGEM"))</f>
        <v>REMARK - CNPJ</v>
      </c>
      <c r="N806" s="1" t="str">
        <f>_xlfn.XLOOKUP(M806,Parâmetros!K:K,Parâmetros!L:L,"")</f>
        <v/>
      </c>
      <c r="O806" s="1" t="str">
        <f>_xlfn.XLOOKUP(M806,Parâmetros!B:B,Parâmetros!C:C,_xlfn.XLOOKUP(Base!M779,Parâmetros!G:G,Parâmetros!H:H))</f>
        <v>QUALIDADE DOS DADOS</v>
      </c>
      <c r="P806" s="1" t="str">
        <f>_xlfn.XLOOKUP(I806,Parâmetros!A:A,Parâmetros!D:D,_xlfn.XLOOKUP(Q806,Parâmetros!F:F,Parâmetros!I:I))</f>
        <v>OPERAÇÕES / SUPORTE KCS</v>
      </c>
      <c r="Q806" s="1">
        <f t="shared" si="25"/>
        <v>24</v>
      </c>
    </row>
    <row r="807" spans="1:17" x14ac:dyDescent="0.25">
      <c r="A807" s="1" t="str">
        <f>_xlfn.XLOOKUP(D807,'Novo relatório'!B:B,'Novo relatório'!C:C,"RESOLVIDO")</f>
        <v>SABRE</v>
      </c>
      <c r="C807" t="str">
        <f t="shared" si="24"/>
        <v>PENDENTE</v>
      </c>
      <c r="D807" s="1">
        <v>3281899</v>
      </c>
      <c r="E807" s="1" t="s">
        <v>26</v>
      </c>
      <c r="F807" s="2">
        <v>45721.758333333331</v>
      </c>
      <c r="G807" s="1" t="s">
        <v>1339</v>
      </c>
      <c r="H807" s="1" t="s">
        <v>1339</v>
      </c>
      <c r="I807" s="1" t="s">
        <v>83</v>
      </c>
      <c r="J807" s="2">
        <v>45721.892361111109</v>
      </c>
      <c r="L807" s="1" t="s">
        <v>18</v>
      </c>
      <c r="M807" s="1" t="str">
        <f>_xlfn.XLOOKUP(I807,Parâmetros!A:A,Parâmetros!B:B,_xlfn.XLOOKUP(Q807,Parâmetros!F:F,Parâmetros!G:G,"NOVA MENSAGEM"))</f>
        <v>CLIENTE NÃO IDENTIFICADO</v>
      </c>
      <c r="N807" s="1" t="str">
        <f>_xlfn.XLOOKUP(M807,Parâmetros!K:K,Parâmetros!L:L,"")</f>
        <v>DK DE CLIENTE NÃO PREENCIDO / CLIENTE NÃO CONFIGURADO NO OBT</v>
      </c>
      <c r="O807" s="1" t="str">
        <f>_xlfn.XLOOKUP(M807,Parâmetros!B:B,Parâmetros!C:C,_xlfn.XLOOKUP(Base!M775,Parâmetros!G:G,Parâmetros!H:H))</f>
        <v>INDEFINIDO</v>
      </c>
      <c r="P807" s="1" t="str">
        <f>_xlfn.XLOOKUP(I807,Parâmetros!A:A,Parâmetros!D:D,_xlfn.XLOOKUP(Q807,Parâmetros!F:F,Parâmetros!I:I))</f>
        <v>OPERAÇÕES / SUPORTE KCS</v>
      </c>
      <c r="Q807" s="1" t="str">
        <f t="shared" si="25"/>
        <v>COLUNA I</v>
      </c>
    </row>
    <row r="808" spans="1:17" x14ac:dyDescent="0.25">
      <c r="A808" s="1" t="str">
        <f>_xlfn.XLOOKUP(D808,'Novo relatório'!B:B,'Novo relatório'!C:C,"RESOLVIDO")</f>
        <v>SABRE</v>
      </c>
      <c r="C808" t="str">
        <f t="shared" si="24"/>
        <v>PENDENTE</v>
      </c>
      <c r="D808" s="1">
        <v>3281900</v>
      </c>
      <c r="E808" s="1" t="s">
        <v>26</v>
      </c>
      <c r="F808" s="2">
        <v>45721.758333333331</v>
      </c>
      <c r="G808" s="1" t="s">
        <v>1333</v>
      </c>
      <c r="H808" s="1" t="s">
        <v>1333</v>
      </c>
      <c r="I808" s="1" t="s">
        <v>1060</v>
      </c>
      <c r="J808" s="2">
        <v>45721.892361111109</v>
      </c>
      <c r="L808" s="1" t="s">
        <v>18</v>
      </c>
      <c r="M808" s="1" t="str">
        <f>_xlfn.XLOOKUP(I808,Parâmetros!A:A,Parâmetros!B:B,_xlfn.XLOOKUP(Q808,Parâmetros!F:F,Parâmetros!G:G,"NOVA MENSAGEM"))</f>
        <v>CÓD. CLIENTE DIVERGENTE</v>
      </c>
      <c r="N808" s="1" t="str">
        <f>_xlfn.XLOOKUP(M808,Parâmetros!K:K,Parâmetros!L:L,"")</f>
        <v>CÓDIGO DIFERENTE DO CADASTRADO NO BENNER (CLIENTE X GRUPO)</v>
      </c>
      <c r="O808" s="1" t="str">
        <f>_xlfn.XLOOKUP(M808,Parâmetros!B:B,Parâmetros!C:C,_xlfn.XLOOKUP(Base!M771,Parâmetros!G:G,Parâmetros!H:H))</f>
        <v>QUALIDADE DOS DADOS</v>
      </c>
      <c r="P808" s="1" t="str">
        <f>_xlfn.XLOOKUP(I808,Parâmetros!A:A,Parâmetros!D:D,_xlfn.XLOOKUP(Q808,Parâmetros!F:F,Parâmetros!I:I))</f>
        <v>SUPORTE OBT</v>
      </c>
      <c r="Q808" s="1">
        <f t="shared" si="25"/>
        <v>1</v>
      </c>
    </row>
    <row r="809" spans="1:17" x14ac:dyDescent="0.25">
      <c r="A809" s="1" t="str">
        <f>_xlfn.XLOOKUP(D809,'Novo relatório'!B:B,'Novo relatório'!C:C,"RESOLVIDO")</f>
        <v>SABRE</v>
      </c>
      <c r="C809" t="str">
        <f t="shared" si="24"/>
        <v>PENDENTE</v>
      </c>
      <c r="D809" s="1">
        <v>3281901</v>
      </c>
      <c r="E809" s="1" t="s">
        <v>26</v>
      </c>
      <c r="F809" s="2">
        <v>45721.758333333331</v>
      </c>
      <c r="G809" s="1" t="s">
        <v>1275</v>
      </c>
      <c r="H809" s="1" t="s">
        <v>1275</v>
      </c>
      <c r="I809" s="1" t="s">
        <v>1189</v>
      </c>
      <c r="J809" s="2">
        <v>45721.892361111109</v>
      </c>
      <c r="L809" s="1" t="s">
        <v>18</v>
      </c>
      <c r="M809" s="1" t="str">
        <f>_xlfn.XLOOKUP(I809,Parâmetros!A:A,Parâmetros!B:B,_xlfn.XLOOKUP(Q809,Parâmetros!F:F,Parâmetros!G:G,"NOVA MENSAGEM"))</f>
        <v>CÓD. CLIENTE DIVERGENTE</v>
      </c>
      <c r="N809" s="1" t="str">
        <f>_xlfn.XLOOKUP(M809,Parâmetros!K:K,Parâmetros!L:L,"")</f>
        <v>CÓDIGO DIFERENTE DO CADASTRADO NO BENNER (CLIENTE X GRUPO)</v>
      </c>
      <c r="O809" s="1" t="str">
        <f>_xlfn.XLOOKUP(M809,Parâmetros!B:B,Parâmetros!C:C,_xlfn.XLOOKUP(Base!M726,Parâmetros!G:G,Parâmetros!H:H))</f>
        <v>QUALIDADE DOS DADOS</v>
      </c>
      <c r="P809" s="1" t="str">
        <f>_xlfn.XLOOKUP(I809,Parâmetros!A:A,Parâmetros!D:D,_xlfn.XLOOKUP(Q809,Parâmetros!F:F,Parâmetros!I:I))</f>
        <v>SUPORTE OBT</v>
      </c>
      <c r="Q809" s="1">
        <f t="shared" si="25"/>
        <v>1</v>
      </c>
    </row>
    <row r="810" spans="1:17" x14ac:dyDescent="0.25">
      <c r="A810" s="1" t="str">
        <f>_xlfn.XLOOKUP(D810,'Novo relatório'!B:B,'Novo relatório'!C:C,"RESOLVIDO")</f>
        <v>SABRE</v>
      </c>
      <c r="C810" t="str">
        <f t="shared" si="24"/>
        <v>PENDENTE</v>
      </c>
      <c r="D810" s="1">
        <v>3281955</v>
      </c>
      <c r="E810" s="1" t="s">
        <v>26</v>
      </c>
      <c r="F810" s="2">
        <v>45722.301388888889</v>
      </c>
      <c r="G810" s="1" t="s">
        <v>1346</v>
      </c>
      <c r="H810" s="1" t="s">
        <v>1346</v>
      </c>
      <c r="I810" s="1" t="s">
        <v>1347</v>
      </c>
      <c r="J810" s="2">
        <v>45722.316666666666</v>
      </c>
      <c r="K810" s="2">
        <v>45722.431944444441</v>
      </c>
      <c r="L810" s="1" t="s">
        <v>18</v>
      </c>
      <c r="M810" s="1" t="str">
        <f>_xlfn.XLOOKUP(I810,Parâmetros!A:A,Parâmetros!B:B,_xlfn.XLOOKUP(Q810,Parâmetros!F:F,Parâmetros!G:G,"NOVA MENSAGEM"))</f>
        <v>REMARK - CNPJ</v>
      </c>
      <c r="N810" s="1" t="str">
        <f>_xlfn.XLOOKUP(M810,Parâmetros!K:K,Parâmetros!L:L,"")</f>
        <v/>
      </c>
      <c r="O810" s="1" t="e">
        <f>_xlfn.XLOOKUP(M810,Parâmetros!B:B,Parâmetros!C:C,_xlfn.XLOOKUP(Base!M782,Parâmetros!G:G,Parâmetros!H:H))</f>
        <v>#N/A</v>
      </c>
      <c r="P810" s="1" t="str">
        <f>_xlfn.XLOOKUP(I810,Parâmetros!A:A,Parâmetros!D:D,_xlfn.XLOOKUP(Q810,Parâmetros!F:F,Parâmetros!I:I))</f>
        <v>OPERAÇÕES / SUPORTE KCS</v>
      </c>
      <c r="Q810" s="1">
        <f t="shared" si="25"/>
        <v>24</v>
      </c>
    </row>
    <row r="811" spans="1:17" x14ac:dyDescent="0.25">
      <c r="A811" s="1" t="str">
        <f>_xlfn.XLOOKUP(D811,'Novo relatório'!B:B,'Novo relatório'!C:C,"RESOLVIDO")</f>
        <v>SABRE</v>
      </c>
      <c r="C811" t="str">
        <f t="shared" si="24"/>
        <v>PENDENTE</v>
      </c>
      <c r="D811" s="1">
        <v>3282125</v>
      </c>
      <c r="E811" s="1" t="s">
        <v>26</v>
      </c>
      <c r="F811" s="2">
        <v>45722.274305555555</v>
      </c>
      <c r="G811" s="1" t="s">
        <v>1331</v>
      </c>
      <c r="H811" s="1" t="s">
        <v>1332</v>
      </c>
      <c r="I811" s="1" t="s">
        <v>64</v>
      </c>
      <c r="J811" s="2">
        <v>45722.40902777778</v>
      </c>
      <c r="L811" s="1" t="s">
        <v>1244</v>
      </c>
      <c r="M811" s="1" t="str">
        <f>_xlfn.XLOOKUP(I811,Parâmetros!A:A,Parâmetros!B:B,_xlfn.XLOOKUP(Q811,Parâmetros!F:F,Parâmetros!G:G,"NOVA MENSAGEM"))</f>
        <v>FORMATO DE TEXTO</v>
      </c>
      <c r="N811" s="1" t="str">
        <f>_xlfn.XLOOKUP(M811,Parâmetros!K:K,Parâmetros!L:L,"")</f>
        <v>TEXTO FORA DO PADRÃO ACEITO NO CAMPO</v>
      </c>
      <c r="O811" s="1" t="str">
        <f>_xlfn.XLOOKUP(M811,Parâmetros!B:B,Parâmetros!C:C,_xlfn.XLOOKUP(Base!M770,Parâmetros!G:G,Parâmetros!H:H))</f>
        <v>INDEFINIDO</v>
      </c>
      <c r="P811" s="1" t="str">
        <f>_xlfn.XLOOKUP(I811,Parâmetros!A:A,Parâmetros!D:D,_xlfn.XLOOKUP(Q811,Parâmetros!F:F,Parâmetros!I:I))</f>
        <v>SUPORTE OBT</v>
      </c>
      <c r="Q811" s="1" t="str">
        <f t="shared" si="25"/>
        <v>COLUNA I</v>
      </c>
    </row>
    <row r="812" spans="1:17" x14ac:dyDescent="0.25">
      <c r="A812" s="1" t="str">
        <f>_xlfn.XLOOKUP(D812,'Novo relatório'!B:B,'Novo relatório'!C:C,"RESOLVIDO")</f>
        <v>SABRE</v>
      </c>
      <c r="C812" t="str">
        <f t="shared" si="24"/>
        <v>PENDENTE</v>
      </c>
      <c r="D812" s="1">
        <v>3282126</v>
      </c>
      <c r="E812" s="1" t="s">
        <v>26</v>
      </c>
      <c r="F812" s="2">
        <v>45722.275000000001</v>
      </c>
      <c r="G812" s="1" t="s">
        <v>1329</v>
      </c>
      <c r="H812" s="1" t="s">
        <v>1330</v>
      </c>
      <c r="I812" s="1" t="s">
        <v>64</v>
      </c>
      <c r="J812" s="2">
        <v>45722.409722222219</v>
      </c>
      <c r="L812" s="1" t="s">
        <v>1244</v>
      </c>
      <c r="M812" s="1" t="str">
        <f>_xlfn.XLOOKUP(I812,Parâmetros!A:A,Parâmetros!B:B,_xlfn.XLOOKUP(Q812,Parâmetros!F:F,Parâmetros!G:G,"NOVA MENSAGEM"))</f>
        <v>FORMATO DE TEXTO</v>
      </c>
      <c r="N812" s="1" t="str">
        <f>_xlfn.XLOOKUP(M812,Parâmetros!K:K,Parâmetros!L:L,"")</f>
        <v>TEXTO FORA DO PADRÃO ACEITO NO CAMPO</v>
      </c>
      <c r="O812" s="1" t="str">
        <f>_xlfn.XLOOKUP(M812,Parâmetros!B:B,Parâmetros!C:C,_xlfn.XLOOKUP(Base!M769,Parâmetros!G:G,Parâmetros!H:H))</f>
        <v>INDEFINIDO</v>
      </c>
      <c r="P812" s="1" t="str">
        <f>_xlfn.XLOOKUP(I812,Parâmetros!A:A,Parâmetros!D:D,_xlfn.XLOOKUP(Q812,Parâmetros!F:F,Parâmetros!I:I))</f>
        <v>SUPORTE OBT</v>
      </c>
      <c r="Q812" s="1" t="str">
        <f t="shared" si="25"/>
        <v>COLUNA I</v>
      </c>
    </row>
    <row r="813" spans="1:17" x14ac:dyDescent="0.25">
      <c r="A813" s="1" t="str">
        <f>_xlfn.XLOOKUP(D813,'Novo relatório'!B:B,'Novo relatório'!C:C,"RESOLVIDO")</f>
        <v>SABRE</v>
      </c>
      <c r="C813" t="str">
        <f t="shared" si="24"/>
        <v>PENDENTE</v>
      </c>
      <c r="D813" s="1">
        <v>3282128</v>
      </c>
      <c r="E813" s="1" t="s">
        <v>26</v>
      </c>
      <c r="F813" s="2">
        <v>45722.275694444441</v>
      </c>
      <c r="G813" s="1" t="s">
        <v>1273</v>
      </c>
      <c r="H813" s="1" t="s">
        <v>1274</v>
      </c>
      <c r="I813" s="1" t="s">
        <v>64</v>
      </c>
      <c r="J813" s="2">
        <v>45722.409722222219</v>
      </c>
      <c r="L813" s="1" t="s">
        <v>1244</v>
      </c>
      <c r="M813" s="1" t="str">
        <f>_xlfn.XLOOKUP(I813,Parâmetros!A:A,Parâmetros!B:B,_xlfn.XLOOKUP(Q813,Parâmetros!F:F,Parâmetros!G:G,"NOVA MENSAGEM"))</f>
        <v>FORMATO DE TEXTO</v>
      </c>
      <c r="N813" s="1" t="str">
        <f>_xlfn.XLOOKUP(M813,Parâmetros!K:K,Parâmetros!L:L,"")</f>
        <v>TEXTO FORA DO PADRÃO ACEITO NO CAMPO</v>
      </c>
      <c r="O813" s="1" t="str">
        <f>_xlfn.XLOOKUP(M813,Parâmetros!B:B,Parâmetros!C:C,_xlfn.XLOOKUP(Base!M725,Parâmetros!G:G,Parâmetros!H:H))</f>
        <v>INDEFINIDO</v>
      </c>
      <c r="P813" s="1" t="str">
        <f>_xlfn.XLOOKUP(I813,Parâmetros!A:A,Parâmetros!D:D,_xlfn.XLOOKUP(Q813,Parâmetros!F:F,Parâmetros!I:I))</f>
        <v>SUPORTE OBT</v>
      </c>
      <c r="Q813" s="1" t="str">
        <f t="shared" si="25"/>
        <v>COLUNA I</v>
      </c>
    </row>
    <row r="814" spans="1:17" x14ac:dyDescent="0.25">
      <c r="A814" s="1" t="str">
        <f>_xlfn.XLOOKUP(D814,'Novo relatório'!B:B,'Novo relatório'!C:C,"RESOLVIDO")</f>
        <v>SABRE</v>
      </c>
      <c r="C814" t="str">
        <f t="shared" si="24"/>
        <v>PENDENTE</v>
      </c>
      <c r="D814" s="1">
        <v>3282130</v>
      </c>
      <c r="E814" s="1" t="s">
        <v>26</v>
      </c>
      <c r="F814" s="2">
        <v>45722.275694444441</v>
      </c>
      <c r="G814" s="1" t="s">
        <v>1314</v>
      </c>
      <c r="H814" s="1" t="s">
        <v>1315</v>
      </c>
      <c r="I814" s="1" t="s">
        <v>64</v>
      </c>
      <c r="J814" s="2">
        <v>45722.409722222219</v>
      </c>
      <c r="L814" s="1" t="s">
        <v>1244</v>
      </c>
      <c r="M814" s="1" t="str">
        <f>_xlfn.XLOOKUP(I814,Parâmetros!A:A,Parâmetros!B:B,_xlfn.XLOOKUP(Q814,Parâmetros!F:F,Parâmetros!G:G,"NOVA MENSAGEM"))</f>
        <v>FORMATO DE TEXTO</v>
      </c>
      <c r="N814" s="1" t="str">
        <f>_xlfn.XLOOKUP(M814,Parâmetros!K:K,Parâmetros!L:L,"")</f>
        <v>TEXTO FORA DO PADRÃO ACEITO NO CAMPO</v>
      </c>
      <c r="O814" s="1" t="str">
        <f>_xlfn.XLOOKUP(M814,Parâmetros!B:B,Parâmetros!C:C,_xlfn.XLOOKUP(Base!M758,Parâmetros!G:G,Parâmetros!H:H))</f>
        <v>INDEFINIDO</v>
      </c>
      <c r="P814" s="1" t="str">
        <f>_xlfn.XLOOKUP(I814,Parâmetros!A:A,Parâmetros!D:D,_xlfn.XLOOKUP(Q814,Parâmetros!F:F,Parâmetros!I:I))</f>
        <v>SUPORTE OBT</v>
      </c>
      <c r="Q814" s="1" t="str">
        <f t="shared" si="25"/>
        <v>COLUNA I</v>
      </c>
    </row>
    <row r="815" spans="1:17" x14ac:dyDescent="0.25">
      <c r="A815" s="1" t="str">
        <f>_xlfn.XLOOKUP(D815,'Novo relatório'!B:B,'Novo relatório'!C:C,"RESOLVIDO")</f>
        <v>SABRE</v>
      </c>
      <c r="C815" t="str">
        <f t="shared" si="24"/>
        <v>PENDENTE</v>
      </c>
      <c r="D815" s="1">
        <v>3282473</v>
      </c>
      <c r="E815" s="1" t="s">
        <v>26</v>
      </c>
      <c r="F815" s="2">
        <v>45722.410416666666</v>
      </c>
      <c r="G815" s="1" t="s">
        <v>1355</v>
      </c>
      <c r="H815" s="1" t="s">
        <v>1355</v>
      </c>
      <c r="I815" s="1" t="s">
        <v>83</v>
      </c>
      <c r="J815" s="2">
        <v>45722.54583333333</v>
      </c>
      <c r="L815" s="1" t="s">
        <v>18</v>
      </c>
      <c r="M815" s="1" t="str">
        <f>_xlfn.XLOOKUP(I815,Parâmetros!A:A,Parâmetros!B:B,_xlfn.XLOOKUP(Q815,Parâmetros!F:F,Parâmetros!G:G,"NOVA MENSAGEM"))</f>
        <v>CLIENTE NÃO IDENTIFICADO</v>
      </c>
      <c r="N815" s="1" t="str">
        <f>_xlfn.XLOOKUP(M815,Parâmetros!K:K,Parâmetros!L:L,"")</f>
        <v>DK DE CLIENTE NÃO PREENCIDO / CLIENTE NÃO CONFIGURADO NO OBT</v>
      </c>
      <c r="O815" s="1" t="str">
        <f>_xlfn.XLOOKUP(M815,Parâmetros!B:B,Parâmetros!C:C,_xlfn.XLOOKUP(Base!M788,Parâmetros!G:G,Parâmetros!H:H))</f>
        <v>INDEFINIDO</v>
      </c>
      <c r="P815" s="1" t="str">
        <f>_xlfn.XLOOKUP(I815,Parâmetros!A:A,Parâmetros!D:D,_xlfn.XLOOKUP(Q815,Parâmetros!F:F,Parâmetros!I:I))</f>
        <v>OPERAÇÕES / SUPORTE KCS</v>
      </c>
      <c r="Q815" s="1" t="str">
        <f t="shared" si="25"/>
        <v>COLUNA I</v>
      </c>
    </row>
    <row r="816" spans="1:17" x14ac:dyDescent="0.25">
      <c r="A816" s="1" t="str">
        <f>_xlfn.XLOOKUP(D816,'Novo relatório'!B:B,'Novo relatório'!C:C,"RESOLVIDO")</f>
        <v>SABRE</v>
      </c>
      <c r="C816" t="str">
        <f t="shared" si="24"/>
        <v>PENDENTE</v>
      </c>
      <c r="D816" s="1">
        <v>3283593</v>
      </c>
      <c r="E816" s="1" t="s">
        <v>26</v>
      </c>
      <c r="F816" s="2">
        <v>45722.591666666667</v>
      </c>
      <c r="G816" s="1" t="s">
        <v>1388</v>
      </c>
      <c r="H816" s="1" t="s">
        <v>1389</v>
      </c>
      <c r="I816" s="1" t="s">
        <v>64</v>
      </c>
      <c r="J816" s="2">
        <v>45722.720833333333</v>
      </c>
      <c r="L816" s="1" t="s">
        <v>1244</v>
      </c>
      <c r="M816" s="1" t="str">
        <f>_xlfn.XLOOKUP(I816,Parâmetros!A:A,Parâmetros!B:B,_xlfn.XLOOKUP(Q816,Parâmetros!F:F,Parâmetros!G:G,"NOVA MENSAGEM"))</f>
        <v>FORMATO DE TEXTO</v>
      </c>
      <c r="N816" s="1" t="str">
        <f>_xlfn.XLOOKUP(M816,Parâmetros!K:K,Parâmetros!L:L,"")</f>
        <v>TEXTO FORA DO PADRÃO ACEITO NO CAMPO</v>
      </c>
      <c r="O816" s="1" t="str">
        <f>_xlfn.XLOOKUP(M816,Parâmetros!B:B,Parâmetros!C:C,_xlfn.XLOOKUP(Base!M822,Parâmetros!G:G,Parâmetros!H:H))</f>
        <v>INDEFINIDO</v>
      </c>
      <c r="P816" s="1" t="str">
        <f>_xlfn.XLOOKUP(I816,Parâmetros!A:A,Parâmetros!D:D,_xlfn.XLOOKUP(Q816,Parâmetros!F:F,Parâmetros!I:I))</f>
        <v>SUPORTE OBT</v>
      </c>
      <c r="Q816" s="1" t="str">
        <f t="shared" si="25"/>
        <v>COLUNA I</v>
      </c>
    </row>
    <row r="817" spans="1:17" x14ac:dyDescent="0.25">
      <c r="A817" s="1" t="str">
        <f>_xlfn.XLOOKUP(D817,'Novo relatório'!B:B,'Novo relatório'!C:C,"RESOLVIDO")</f>
        <v>SABRE</v>
      </c>
      <c r="C817" t="str">
        <f t="shared" si="24"/>
        <v>PENDENTE</v>
      </c>
      <c r="D817" s="1">
        <v>3283594</v>
      </c>
      <c r="E817" s="1" t="s">
        <v>26</v>
      </c>
      <c r="F817" s="2">
        <v>45722.592361111114</v>
      </c>
      <c r="G817" s="1" t="s">
        <v>1558</v>
      </c>
      <c r="H817" s="1" t="s">
        <v>1559</v>
      </c>
      <c r="I817" s="1" t="s">
        <v>64</v>
      </c>
      <c r="J817" s="2">
        <v>45722.720833333333</v>
      </c>
      <c r="L817" s="1" t="s">
        <v>1244</v>
      </c>
      <c r="M817" s="1" t="str">
        <f>_xlfn.XLOOKUP(I817,Parâmetros!A:A,Parâmetros!B:B,_xlfn.XLOOKUP(Q817,Parâmetros!F:F,Parâmetros!G:G,"NOVA MENSAGEM"))</f>
        <v>FORMATO DE TEXTO</v>
      </c>
      <c r="N817" s="1" t="str">
        <f>_xlfn.XLOOKUP(M817,Parâmetros!K:K,Parâmetros!L:L,"")</f>
        <v>TEXTO FORA DO PADRÃO ACEITO NO CAMPO</v>
      </c>
      <c r="O817" s="1" t="str">
        <f>_xlfn.XLOOKUP(M817,Parâmetros!B:B,Parâmetros!C:C,_xlfn.XLOOKUP(Base!M956,Parâmetros!G:G,Parâmetros!H:H))</f>
        <v>INDEFINIDO</v>
      </c>
      <c r="P817" s="1" t="str">
        <f>_xlfn.XLOOKUP(I817,Parâmetros!A:A,Parâmetros!D:D,_xlfn.XLOOKUP(Q817,Parâmetros!F:F,Parâmetros!I:I))</f>
        <v>SUPORTE OBT</v>
      </c>
      <c r="Q817" s="1" t="str">
        <f t="shared" si="25"/>
        <v>COLUNA I</v>
      </c>
    </row>
    <row r="818" spans="1:17" x14ac:dyDescent="0.25">
      <c r="A818" s="1" t="str">
        <f>_xlfn.XLOOKUP(D818,'Novo relatório'!B:B,'Novo relatório'!C:C,"RESOLVIDO")</f>
        <v>SABRE</v>
      </c>
      <c r="C818" t="str">
        <f t="shared" si="24"/>
        <v>PENDENTE</v>
      </c>
      <c r="D818" s="1">
        <v>3283595</v>
      </c>
      <c r="E818" s="1" t="s">
        <v>26</v>
      </c>
      <c r="F818" s="2">
        <v>45722.592361111114</v>
      </c>
      <c r="G818" s="1" t="s">
        <v>1585</v>
      </c>
      <c r="H818" s="1" t="s">
        <v>1586</v>
      </c>
      <c r="I818" s="1" t="s">
        <v>64</v>
      </c>
      <c r="J818" s="2">
        <v>45722.72152777778</v>
      </c>
      <c r="L818" s="1" t="s">
        <v>1244</v>
      </c>
      <c r="M818" s="1" t="str">
        <f>_xlfn.XLOOKUP(I818,Parâmetros!A:A,Parâmetros!B:B,_xlfn.XLOOKUP(Q818,Parâmetros!F:F,Parâmetros!G:G,"NOVA MENSAGEM"))</f>
        <v>FORMATO DE TEXTO</v>
      </c>
      <c r="N818" s="1" t="str">
        <f>_xlfn.XLOOKUP(M818,Parâmetros!K:K,Parâmetros!L:L,"")</f>
        <v>TEXTO FORA DO PADRÃO ACEITO NO CAMPO</v>
      </c>
      <c r="O818" s="1" t="str">
        <f>_xlfn.XLOOKUP(M818,Parâmetros!B:B,Parâmetros!C:C,_xlfn.XLOOKUP(Base!M978,Parâmetros!G:G,Parâmetros!H:H))</f>
        <v>INDEFINIDO</v>
      </c>
      <c r="P818" s="1" t="str">
        <f>_xlfn.XLOOKUP(I818,Parâmetros!A:A,Parâmetros!D:D,_xlfn.XLOOKUP(Q818,Parâmetros!F:F,Parâmetros!I:I))</f>
        <v>SUPORTE OBT</v>
      </c>
      <c r="Q818" s="1" t="str">
        <f t="shared" si="25"/>
        <v>COLUNA I</v>
      </c>
    </row>
    <row r="819" spans="1:17" x14ac:dyDescent="0.25">
      <c r="A819" s="1" t="str">
        <f>_xlfn.XLOOKUP(D819,'Novo relatório'!B:B,'Novo relatório'!C:C,"RESOLVIDO")</f>
        <v>SABRE</v>
      </c>
      <c r="C819" t="str">
        <f t="shared" si="24"/>
        <v>PENDENTE</v>
      </c>
      <c r="D819" s="1">
        <v>3283596</v>
      </c>
      <c r="E819" s="1" t="s">
        <v>26</v>
      </c>
      <c r="F819" s="2">
        <v>45722.592361111114</v>
      </c>
      <c r="G819" s="1" t="s">
        <v>1544</v>
      </c>
      <c r="H819" s="1" t="s">
        <v>1545</v>
      </c>
      <c r="I819" s="1" t="s">
        <v>64</v>
      </c>
      <c r="J819" s="2">
        <v>45722.72152777778</v>
      </c>
      <c r="L819" s="1" t="s">
        <v>1244</v>
      </c>
      <c r="M819" s="1" t="str">
        <f>_xlfn.XLOOKUP(I819,Parâmetros!A:A,Parâmetros!B:B,_xlfn.XLOOKUP(Q819,Parâmetros!F:F,Parâmetros!G:G,"NOVA MENSAGEM"))</f>
        <v>FORMATO DE TEXTO</v>
      </c>
      <c r="N819" s="1" t="str">
        <f>_xlfn.XLOOKUP(M819,Parâmetros!K:K,Parâmetros!L:L,"")</f>
        <v>TEXTO FORA DO PADRÃO ACEITO NO CAMPO</v>
      </c>
      <c r="O819" s="1" t="str">
        <f>_xlfn.XLOOKUP(M819,Parâmetros!B:B,Parâmetros!C:C,_xlfn.XLOOKUP(Base!M946,Parâmetros!G:G,Parâmetros!H:H))</f>
        <v>INDEFINIDO</v>
      </c>
      <c r="P819" s="1" t="str">
        <f>_xlfn.XLOOKUP(I819,Parâmetros!A:A,Parâmetros!D:D,_xlfn.XLOOKUP(Q819,Parâmetros!F:F,Parâmetros!I:I))</f>
        <v>SUPORTE OBT</v>
      </c>
      <c r="Q819" s="1" t="str">
        <f t="shared" si="25"/>
        <v>COLUNA I</v>
      </c>
    </row>
    <row r="820" spans="1:17" x14ac:dyDescent="0.25">
      <c r="A820" s="1" t="str">
        <f>_xlfn.XLOOKUP(D820,'Novo relatório'!B:B,'Novo relatório'!C:C,"RESOLVIDO")</f>
        <v>SABRE</v>
      </c>
      <c r="C820" t="str">
        <f t="shared" si="24"/>
        <v>PENDENTE</v>
      </c>
      <c r="D820" s="1">
        <v>3283598</v>
      </c>
      <c r="E820" s="1" t="s">
        <v>26</v>
      </c>
      <c r="F820" s="2">
        <v>45722.595138888886</v>
      </c>
      <c r="G820" s="1" t="s">
        <v>1470</v>
      </c>
      <c r="H820" s="1" t="s">
        <v>1471</v>
      </c>
      <c r="I820" s="1" t="s">
        <v>64</v>
      </c>
      <c r="J820" s="2">
        <v>45722.72152777778</v>
      </c>
      <c r="L820" s="1" t="s">
        <v>1244</v>
      </c>
      <c r="M820" s="1" t="str">
        <f>_xlfn.XLOOKUP(I820,Parâmetros!A:A,Parâmetros!B:B,_xlfn.XLOOKUP(Q820,Parâmetros!F:F,Parâmetros!G:G,"NOVA MENSAGEM"))</f>
        <v>FORMATO DE TEXTO</v>
      </c>
      <c r="N820" s="1" t="str">
        <f>_xlfn.XLOOKUP(M820,Parâmetros!K:K,Parâmetros!L:L,"")</f>
        <v>TEXTO FORA DO PADRÃO ACEITO NO CAMPO</v>
      </c>
      <c r="O820" s="1" t="str">
        <f>_xlfn.XLOOKUP(M820,Parâmetros!B:B,Parâmetros!C:C,_xlfn.XLOOKUP(Base!M885,Parâmetros!G:G,Parâmetros!H:H))</f>
        <v>INDEFINIDO</v>
      </c>
      <c r="P820" s="1" t="str">
        <f>_xlfn.XLOOKUP(I820,Parâmetros!A:A,Parâmetros!D:D,_xlfn.XLOOKUP(Q820,Parâmetros!F:F,Parâmetros!I:I))</f>
        <v>SUPORTE OBT</v>
      </c>
      <c r="Q820" s="1" t="str">
        <f t="shared" si="25"/>
        <v>COLUNA I</v>
      </c>
    </row>
    <row r="821" spans="1:17" x14ac:dyDescent="0.25">
      <c r="A821" s="1" t="str">
        <f>_xlfn.XLOOKUP(D821,'Novo relatório'!B:B,'Novo relatório'!C:C,"RESOLVIDO")</f>
        <v>SABRE</v>
      </c>
      <c r="C821" t="str">
        <f t="shared" si="24"/>
        <v>PENDENTE</v>
      </c>
      <c r="D821" s="1">
        <v>3283727</v>
      </c>
      <c r="E821" s="1" t="s">
        <v>26</v>
      </c>
      <c r="F821" s="2">
        <v>45723.670138888891</v>
      </c>
      <c r="G821" s="1" t="s">
        <v>1453</v>
      </c>
      <c r="H821" s="1" t="s">
        <v>1453</v>
      </c>
      <c r="I821" s="1" t="s">
        <v>1134</v>
      </c>
      <c r="J821" s="2">
        <v>45722.755555555559</v>
      </c>
      <c r="K821" s="2">
        <v>45723.804861111108</v>
      </c>
      <c r="L821" s="1" t="s">
        <v>18</v>
      </c>
      <c r="M821" s="1" t="str">
        <f>_xlfn.XLOOKUP(I821,Parâmetros!A:A,Parâmetros!B:B,_xlfn.XLOOKUP(Q821,Parâmetros!F:F,Parâmetros!G:G,"NOVA MENSAGEM"))</f>
        <v>CÓD. CLIENTE DIVERGENTE</v>
      </c>
      <c r="N821" s="1" t="str">
        <f>_xlfn.XLOOKUP(M821,Parâmetros!K:K,Parâmetros!L:L,"")</f>
        <v>CÓDIGO DIFERENTE DO CADASTRADO NO BENNER (CLIENTE X GRUPO)</v>
      </c>
      <c r="O821" s="1" t="str">
        <f>_xlfn.XLOOKUP(M821,Parâmetros!B:B,Parâmetros!C:C,_xlfn.XLOOKUP(Base!M874,Parâmetros!G:G,Parâmetros!H:H))</f>
        <v>QUALIDADE DOS DADOS</v>
      </c>
      <c r="P821" s="1" t="str">
        <f>_xlfn.XLOOKUP(I821,Parâmetros!A:A,Parâmetros!D:D,_xlfn.XLOOKUP(Q821,Parâmetros!F:F,Parâmetros!I:I))</f>
        <v>SUPORTE OBT</v>
      </c>
      <c r="Q821" s="1">
        <f t="shared" si="25"/>
        <v>1</v>
      </c>
    </row>
    <row r="822" spans="1:17" x14ac:dyDescent="0.25">
      <c r="A822" s="1" t="str">
        <f>_xlfn.XLOOKUP(D822,'Novo relatório'!B:B,'Novo relatório'!C:C,"RESOLVIDO")</f>
        <v>RESOLVIDO</v>
      </c>
      <c r="C822" t="str">
        <f t="shared" si="24"/>
        <v>RESOLVIDO</v>
      </c>
      <c r="D822" s="1">
        <v>3283765</v>
      </c>
      <c r="E822" s="1" t="s">
        <v>26</v>
      </c>
      <c r="F822" s="2">
        <v>45722.647916666669</v>
      </c>
      <c r="G822" s="1" t="s">
        <v>1587</v>
      </c>
      <c r="H822" s="1" t="s">
        <v>1587</v>
      </c>
      <c r="I822" s="1" t="s">
        <v>588</v>
      </c>
      <c r="J822" s="2">
        <v>45722.775694444441</v>
      </c>
      <c r="L822" s="1" t="s">
        <v>14</v>
      </c>
      <c r="M822" s="1" t="str">
        <f>_xlfn.XLOOKUP(I822,Parâmetros!A:A,Parâmetros!B:B,_xlfn.XLOOKUP(Q822,Parâmetros!F:F,Parâmetros!G:G,"NOVA MENSAGEM"))</f>
        <v>ERRO NO XML</v>
      </c>
      <c r="N822" s="1" t="str">
        <f>_xlfn.XLOOKUP(M822,Parâmetros!K:K,Parâmetros!L:L,"")</f>
        <v/>
      </c>
      <c r="O822" s="1" t="str">
        <f>_xlfn.XLOOKUP(M822,Parâmetros!B:B,Parâmetros!C:C,_xlfn.XLOOKUP(Base!M979,Parâmetros!G:G,Parâmetros!H:H))</f>
        <v>SISTEMA</v>
      </c>
      <c r="P822" s="1" t="str">
        <f>_xlfn.XLOOKUP(I822,Parâmetros!A:A,Parâmetros!D:D,_xlfn.XLOOKUP(Q822,Parâmetros!F:F,Parâmetros!I:I))</f>
        <v>SUPORTE OBT</v>
      </c>
      <c r="Q822" s="1" t="str">
        <f t="shared" si="25"/>
        <v>COLUNA I</v>
      </c>
    </row>
    <row r="823" spans="1:17" x14ac:dyDescent="0.25">
      <c r="A823" s="1" t="str">
        <f>_xlfn.XLOOKUP(D823,'Novo relatório'!B:B,'Novo relatório'!C:C,"RESOLVIDO")</f>
        <v>RESOLVIDO</v>
      </c>
      <c r="C823" t="str">
        <f t="shared" si="24"/>
        <v>RESOLVIDO</v>
      </c>
      <c r="D823" s="1">
        <v>3283772</v>
      </c>
      <c r="E823" s="1" t="s">
        <v>26</v>
      </c>
      <c r="F823" s="2">
        <v>45722.649305555555</v>
      </c>
      <c r="G823" s="1" t="s">
        <v>1408</v>
      </c>
      <c r="H823" s="1" t="s">
        <v>1408</v>
      </c>
      <c r="I823" s="1" t="s">
        <v>588</v>
      </c>
      <c r="J823" s="2">
        <v>45722.775694444441</v>
      </c>
      <c r="L823" s="1" t="s">
        <v>14</v>
      </c>
      <c r="M823" s="1" t="str">
        <f>_xlfn.XLOOKUP(I823,Parâmetros!A:A,Parâmetros!B:B,_xlfn.XLOOKUP(Q823,Parâmetros!F:F,Parâmetros!G:G,"NOVA MENSAGEM"))</f>
        <v>ERRO NO XML</v>
      </c>
      <c r="N823" s="1" t="str">
        <f>_xlfn.XLOOKUP(M823,Parâmetros!K:K,Parâmetros!L:L,"")</f>
        <v/>
      </c>
      <c r="O823" s="1" t="str">
        <f>_xlfn.XLOOKUP(M823,Parâmetros!B:B,Parâmetros!C:C,_xlfn.XLOOKUP(Base!M836,Parâmetros!G:G,Parâmetros!H:H))</f>
        <v>SISTEMA</v>
      </c>
      <c r="P823" s="1" t="str">
        <f>_xlfn.XLOOKUP(I823,Parâmetros!A:A,Parâmetros!D:D,_xlfn.XLOOKUP(Q823,Parâmetros!F:F,Parâmetros!I:I))</f>
        <v>SUPORTE OBT</v>
      </c>
      <c r="Q823" s="1" t="str">
        <f t="shared" si="25"/>
        <v>COLUNA I</v>
      </c>
    </row>
    <row r="824" spans="1:17" x14ac:dyDescent="0.25">
      <c r="A824" s="1" t="str">
        <f>_xlfn.XLOOKUP(D824,'Novo relatório'!B:B,'Novo relatório'!C:C,"RESOLVIDO")</f>
        <v>SABRE</v>
      </c>
      <c r="C824" t="str">
        <f t="shared" si="24"/>
        <v>PENDENTE</v>
      </c>
      <c r="D824" s="1">
        <v>3283820</v>
      </c>
      <c r="E824" s="1" t="s">
        <v>26</v>
      </c>
      <c r="F824" s="2">
        <v>45722.663888888892</v>
      </c>
      <c r="G824" s="1" t="s">
        <v>1583</v>
      </c>
      <c r="H824" s="1" t="s">
        <v>1584</v>
      </c>
      <c r="I824" s="1" t="s">
        <v>64</v>
      </c>
      <c r="J824" s="2">
        <v>45722.794444444444</v>
      </c>
      <c r="L824" s="1" t="s">
        <v>1244</v>
      </c>
      <c r="M824" s="1" t="str">
        <f>_xlfn.XLOOKUP(I824,Parâmetros!A:A,Parâmetros!B:B,_xlfn.XLOOKUP(Q824,Parâmetros!F:F,Parâmetros!G:G,"NOVA MENSAGEM"))</f>
        <v>FORMATO DE TEXTO</v>
      </c>
      <c r="N824" s="1" t="str">
        <f>_xlfn.XLOOKUP(M824,Parâmetros!K:K,Parâmetros!L:L,"")</f>
        <v>TEXTO FORA DO PADRÃO ACEITO NO CAMPO</v>
      </c>
      <c r="O824" s="1" t="str">
        <f>_xlfn.XLOOKUP(M824,Parâmetros!B:B,Parâmetros!C:C,_xlfn.XLOOKUP(Base!M977,Parâmetros!G:G,Parâmetros!H:H))</f>
        <v>INDEFINIDO</v>
      </c>
      <c r="P824" s="1" t="str">
        <f>_xlfn.XLOOKUP(I824,Parâmetros!A:A,Parâmetros!D:D,_xlfn.XLOOKUP(Q824,Parâmetros!F:F,Parâmetros!I:I))</f>
        <v>SUPORTE OBT</v>
      </c>
      <c r="Q824" s="1" t="str">
        <f t="shared" si="25"/>
        <v>COLUNA I</v>
      </c>
    </row>
    <row r="825" spans="1:17" x14ac:dyDescent="0.25">
      <c r="A825" s="1" t="str">
        <f>_xlfn.XLOOKUP(D825,'Novo relatório'!B:B,'Novo relatório'!C:C,"RESOLVIDO")</f>
        <v>SABRE</v>
      </c>
      <c r="C825" t="str">
        <f t="shared" si="24"/>
        <v>PENDENTE</v>
      </c>
      <c r="D825" s="1">
        <v>3284942</v>
      </c>
      <c r="E825" s="1" t="s">
        <v>26</v>
      </c>
      <c r="F825" s="2">
        <v>45723.331944444442</v>
      </c>
      <c r="G825" s="1" t="s">
        <v>1491</v>
      </c>
      <c r="H825" s="1" t="s">
        <v>1491</v>
      </c>
      <c r="I825" s="1" t="s">
        <v>1060</v>
      </c>
      <c r="J825" s="2">
        <v>45723.460416666669</v>
      </c>
      <c r="L825" s="1" t="s">
        <v>18</v>
      </c>
      <c r="M825" s="1" t="str">
        <f>_xlfn.XLOOKUP(I825,Parâmetros!A:A,Parâmetros!B:B,_xlfn.XLOOKUP(Q825,Parâmetros!F:F,Parâmetros!G:G,"NOVA MENSAGEM"))</f>
        <v>CÓD. CLIENTE DIVERGENTE</v>
      </c>
      <c r="N825" s="1" t="str">
        <f>_xlfn.XLOOKUP(M825,Parâmetros!K:K,Parâmetros!L:L,"")</f>
        <v>CÓDIGO DIFERENTE DO CADASTRADO NO BENNER (CLIENTE X GRUPO)</v>
      </c>
      <c r="O825" s="1" t="str">
        <f>_xlfn.XLOOKUP(M825,Parâmetros!B:B,Parâmetros!C:C,_xlfn.XLOOKUP(Base!M903,Parâmetros!G:G,Parâmetros!H:H))</f>
        <v>QUALIDADE DOS DADOS</v>
      </c>
      <c r="P825" s="1" t="str">
        <f>_xlfn.XLOOKUP(I825,Parâmetros!A:A,Parâmetros!D:D,_xlfn.XLOOKUP(Q825,Parâmetros!F:F,Parâmetros!I:I))</f>
        <v>SUPORTE OBT</v>
      </c>
      <c r="Q825" s="1">
        <f t="shared" si="25"/>
        <v>1</v>
      </c>
    </row>
    <row r="826" spans="1:17" x14ac:dyDescent="0.25">
      <c r="A826" s="1" t="str">
        <f>_xlfn.XLOOKUP(D826,'Novo relatório'!B:B,'Novo relatório'!C:C,"RESOLVIDO")</f>
        <v>SABRE</v>
      </c>
      <c r="C826" t="str">
        <f t="shared" si="24"/>
        <v>PENDENTE</v>
      </c>
      <c r="D826" s="1">
        <v>3285114</v>
      </c>
      <c r="E826" s="1" t="s">
        <v>26</v>
      </c>
      <c r="F826" s="2">
        <v>45723.37777777778</v>
      </c>
      <c r="G826" s="1" t="s">
        <v>1581</v>
      </c>
      <c r="H826" s="1" t="s">
        <v>1581</v>
      </c>
      <c r="I826" s="1" t="s">
        <v>1134</v>
      </c>
      <c r="J826" s="2">
        <v>45723.51458333333</v>
      </c>
      <c r="L826" s="1" t="s">
        <v>18</v>
      </c>
      <c r="M826" s="1" t="str">
        <f>_xlfn.XLOOKUP(I826,Parâmetros!A:A,Parâmetros!B:B,_xlfn.XLOOKUP(Q826,Parâmetros!F:F,Parâmetros!G:G,"NOVA MENSAGEM"))</f>
        <v>CÓD. CLIENTE DIVERGENTE</v>
      </c>
      <c r="N826" s="1" t="str">
        <f>_xlfn.XLOOKUP(M826,Parâmetros!K:K,Parâmetros!L:L,"")</f>
        <v>CÓDIGO DIFERENTE DO CADASTRADO NO BENNER (CLIENTE X GRUPO)</v>
      </c>
      <c r="O826" s="1" t="str">
        <f>_xlfn.XLOOKUP(M826,Parâmetros!B:B,Parâmetros!C:C,_xlfn.XLOOKUP(Base!M975,Parâmetros!G:G,Parâmetros!H:H))</f>
        <v>QUALIDADE DOS DADOS</v>
      </c>
      <c r="P826" s="1" t="str">
        <f>_xlfn.XLOOKUP(I826,Parâmetros!A:A,Parâmetros!D:D,_xlfn.XLOOKUP(Q826,Parâmetros!F:F,Parâmetros!I:I))</f>
        <v>SUPORTE OBT</v>
      </c>
      <c r="Q826" s="1">
        <f t="shared" si="25"/>
        <v>1</v>
      </c>
    </row>
    <row r="827" spans="1:17" x14ac:dyDescent="0.25">
      <c r="A827" s="1" t="str">
        <f>_xlfn.XLOOKUP(D827,'Novo relatório'!B:B,'Novo relatório'!C:C,"RESOLVIDO")</f>
        <v>SABRE</v>
      </c>
      <c r="C827" t="str">
        <f t="shared" si="24"/>
        <v>PENDENTE</v>
      </c>
      <c r="D827" s="1">
        <v>3285124</v>
      </c>
      <c r="E827" s="1" t="s">
        <v>26</v>
      </c>
      <c r="F827" s="2">
        <v>45723.37777777778</v>
      </c>
      <c r="G827" s="1" t="s">
        <v>1492</v>
      </c>
      <c r="H827" s="1" t="s">
        <v>1492</v>
      </c>
      <c r="I827" s="1" t="s">
        <v>1054</v>
      </c>
      <c r="J827" s="2">
        <v>45723.515277777777</v>
      </c>
      <c r="L827" s="1" t="s">
        <v>18</v>
      </c>
      <c r="M827" s="1" t="str">
        <f>_xlfn.XLOOKUP(I827,Parâmetros!A:A,Parâmetros!B:B,_xlfn.XLOOKUP(Q827,Parâmetros!F:F,Parâmetros!G:G,"NOVA MENSAGEM"))</f>
        <v>CÓD. CLIENTE DIVERGENTE</v>
      </c>
      <c r="N827" s="1" t="str">
        <f>_xlfn.XLOOKUP(M827,Parâmetros!K:K,Parâmetros!L:L,"")</f>
        <v>CÓDIGO DIFERENTE DO CADASTRADO NO BENNER (CLIENTE X GRUPO)</v>
      </c>
      <c r="O827" s="1" t="str">
        <f>_xlfn.XLOOKUP(M827,Parâmetros!B:B,Parâmetros!C:C,_xlfn.XLOOKUP(Base!M904,Parâmetros!G:G,Parâmetros!H:H))</f>
        <v>QUALIDADE DOS DADOS</v>
      </c>
      <c r="P827" s="1" t="str">
        <f>_xlfn.XLOOKUP(I827,Parâmetros!A:A,Parâmetros!D:D,_xlfn.XLOOKUP(Q827,Parâmetros!F:F,Parâmetros!I:I))</f>
        <v>SUPORTE OBT</v>
      </c>
      <c r="Q827" s="1">
        <f t="shared" si="25"/>
        <v>1</v>
      </c>
    </row>
    <row r="828" spans="1:17" x14ac:dyDescent="0.25">
      <c r="A828" s="1" t="str">
        <f>_xlfn.XLOOKUP(D828,'Novo relatório'!B:B,'Novo relatório'!C:C,"RESOLVIDO")</f>
        <v>SABRE</v>
      </c>
      <c r="C828" t="str">
        <f t="shared" si="24"/>
        <v>PENDENTE</v>
      </c>
      <c r="D828" s="1">
        <v>3285128</v>
      </c>
      <c r="E828" s="1" t="s">
        <v>26</v>
      </c>
      <c r="F828" s="2">
        <v>45723.37777777778</v>
      </c>
      <c r="G828" s="1" t="s">
        <v>1565</v>
      </c>
      <c r="H828" s="1" t="s">
        <v>1565</v>
      </c>
      <c r="I828" s="1" t="s">
        <v>83</v>
      </c>
      <c r="J828" s="2">
        <v>45723.515972222223</v>
      </c>
      <c r="L828" s="1" t="s">
        <v>18</v>
      </c>
      <c r="M828" s="1" t="str">
        <f>_xlfn.XLOOKUP(I828,Parâmetros!A:A,Parâmetros!B:B,_xlfn.XLOOKUP(Q828,Parâmetros!F:F,Parâmetros!G:G,"NOVA MENSAGEM"))</f>
        <v>CLIENTE NÃO IDENTIFICADO</v>
      </c>
      <c r="N828" s="1" t="str">
        <f>_xlfn.XLOOKUP(M828,Parâmetros!K:K,Parâmetros!L:L,"")</f>
        <v>DK DE CLIENTE NÃO PREENCIDO / CLIENTE NÃO CONFIGURADO NO OBT</v>
      </c>
      <c r="O828" s="1" t="str">
        <f>_xlfn.XLOOKUP(M828,Parâmetros!B:B,Parâmetros!C:C,_xlfn.XLOOKUP(Base!M962,Parâmetros!G:G,Parâmetros!H:H))</f>
        <v>INDEFINIDO</v>
      </c>
      <c r="P828" s="1" t="str">
        <f>_xlfn.XLOOKUP(I828,Parâmetros!A:A,Parâmetros!D:D,_xlfn.XLOOKUP(Q828,Parâmetros!F:F,Parâmetros!I:I))</f>
        <v>OPERAÇÕES / SUPORTE KCS</v>
      </c>
      <c r="Q828" s="1" t="str">
        <f t="shared" si="25"/>
        <v>COLUNA I</v>
      </c>
    </row>
    <row r="829" spans="1:17" x14ac:dyDescent="0.25">
      <c r="A829" s="1" t="str">
        <f>_xlfn.XLOOKUP(D829,'Novo relatório'!B:B,'Novo relatório'!C:C,"RESOLVIDO")</f>
        <v>SABRE</v>
      </c>
      <c r="C829" t="str">
        <f t="shared" si="24"/>
        <v>PENDENTE</v>
      </c>
      <c r="D829" s="1">
        <v>3285212</v>
      </c>
      <c r="E829" s="1" t="s">
        <v>26</v>
      </c>
      <c r="F829" s="2">
        <v>45723.411805555559</v>
      </c>
      <c r="G829" s="1" t="s">
        <v>1502</v>
      </c>
      <c r="H829" s="1" t="s">
        <v>1503</v>
      </c>
      <c r="I829" s="1" t="s">
        <v>64</v>
      </c>
      <c r="J829" s="2">
        <v>45723.544444444444</v>
      </c>
      <c r="L829" s="1" t="s">
        <v>1244</v>
      </c>
      <c r="M829" s="1" t="str">
        <f>_xlfn.XLOOKUP(I829,Parâmetros!A:A,Parâmetros!B:B,_xlfn.XLOOKUP(Q829,Parâmetros!F:F,Parâmetros!G:G,"NOVA MENSAGEM"))</f>
        <v>FORMATO DE TEXTO</v>
      </c>
      <c r="N829" s="1" t="str">
        <f>_xlfn.XLOOKUP(M829,Parâmetros!K:K,Parâmetros!L:L,"")</f>
        <v>TEXTO FORA DO PADRÃO ACEITO NO CAMPO</v>
      </c>
      <c r="O829" s="1" t="str">
        <f>_xlfn.XLOOKUP(M829,Parâmetros!B:B,Parâmetros!C:C,_xlfn.XLOOKUP(Base!M913,Parâmetros!G:G,Parâmetros!H:H))</f>
        <v>INDEFINIDO</v>
      </c>
      <c r="P829" s="1" t="str">
        <f>_xlfn.XLOOKUP(I829,Parâmetros!A:A,Parâmetros!D:D,_xlfn.XLOOKUP(Q829,Parâmetros!F:F,Parâmetros!I:I))</f>
        <v>SUPORTE OBT</v>
      </c>
      <c r="Q829" s="1" t="str">
        <f t="shared" si="25"/>
        <v>COLUNA I</v>
      </c>
    </row>
    <row r="830" spans="1:17" x14ac:dyDescent="0.25">
      <c r="A830" s="1" t="str">
        <f>_xlfn.XLOOKUP(D830,'Novo relatório'!B:B,'Novo relatório'!C:C,"RESOLVIDO")</f>
        <v>SABRE</v>
      </c>
      <c r="C830" t="str">
        <f t="shared" si="24"/>
        <v>PENDENTE</v>
      </c>
      <c r="D830" s="1">
        <v>3285213</v>
      </c>
      <c r="E830" s="1" t="s">
        <v>26</v>
      </c>
      <c r="F830" s="2">
        <v>45723.418749999997</v>
      </c>
      <c r="G830" s="1" t="s">
        <v>1594</v>
      </c>
      <c r="H830" s="1" t="s">
        <v>1595</v>
      </c>
      <c r="I830" s="1" t="s">
        <v>64</v>
      </c>
      <c r="J830" s="2">
        <v>45723.544444444444</v>
      </c>
      <c r="L830" s="1" t="s">
        <v>1244</v>
      </c>
      <c r="M830" s="1" t="str">
        <f>_xlfn.XLOOKUP(I830,Parâmetros!A:A,Parâmetros!B:B,_xlfn.XLOOKUP(Q830,Parâmetros!F:F,Parâmetros!G:G,"NOVA MENSAGEM"))</f>
        <v>FORMATO DE TEXTO</v>
      </c>
      <c r="N830" s="1" t="str">
        <f>_xlfn.XLOOKUP(M830,Parâmetros!K:K,Parâmetros!L:L,"")</f>
        <v>TEXTO FORA DO PADRÃO ACEITO NO CAMPO</v>
      </c>
      <c r="O830" s="1" t="str">
        <f>_xlfn.XLOOKUP(M830,Parâmetros!B:B,Parâmetros!C:C,_xlfn.XLOOKUP(Base!M985,Parâmetros!G:G,Parâmetros!H:H))</f>
        <v>INDEFINIDO</v>
      </c>
      <c r="P830" s="1" t="str">
        <f>_xlfn.XLOOKUP(I830,Parâmetros!A:A,Parâmetros!D:D,_xlfn.XLOOKUP(Q830,Parâmetros!F:F,Parâmetros!I:I))</f>
        <v>SUPORTE OBT</v>
      </c>
      <c r="Q830" s="1" t="str">
        <f t="shared" si="25"/>
        <v>COLUNA I</v>
      </c>
    </row>
    <row r="831" spans="1:17" x14ac:dyDescent="0.25">
      <c r="A831" s="1" t="str">
        <f>_xlfn.XLOOKUP(D831,'Novo relatório'!B:B,'Novo relatório'!C:C,"RESOLVIDO")</f>
        <v>SABRE</v>
      </c>
      <c r="C831" t="str">
        <f t="shared" si="24"/>
        <v>PENDENTE</v>
      </c>
      <c r="D831" s="1">
        <v>3285237</v>
      </c>
      <c r="E831" s="1" t="s">
        <v>26</v>
      </c>
      <c r="F831" s="2">
        <v>45723.419444444444</v>
      </c>
      <c r="G831" s="1" t="s">
        <v>1579</v>
      </c>
      <c r="H831" s="1" t="s">
        <v>1580</v>
      </c>
      <c r="I831" s="1" t="s">
        <v>64</v>
      </c>
      <c r="J831" s="2">
        <v>45723.554166666669</v>
      </c>
      <c r="L831" s="1" t="s">
        <v>1244</v>
      </c>
      <c r="M831" s="1" t="str">
        <f>_xlfn.XLOOKUP(I831,Parâmetros!A:A,Parâmetros!B:B,_xlfn.XLOOKUP(Q831,Parâmetros!F:F,Parâmetros!G:G,"NOVA MENSAGEM"))</f>
        <v>FORMATO DE TEXTO</v>
      </c>
      <c r="N831" s="1" t="str">
        <f>_xlfn.XLOOKUP(M831,Parâmetros!K:K,Parâmetros!L:L,"")</f>
        <v>TEXTO FORA DO PADRÃO ACEITO NO CAMPO</v>
      </c>
      <c r="O831" s="1" t="str">
        <f>_xlfn.XLOOKUP(M831,Parâmetros!B:B,Parâmetros!C:C,_xlfn.XLOOKUP(Base!M974,Parâmetros!G:G,Parâmetros!H:H))</f>
        <v>INDEFINIDO</v>
      </c>
      <c r="P831" s="1" t="str">
        <f>_xlfn.XLOOKUP(I831,Parâmetros!A:A,Parâmetros!D:D,_xlfn.XLOOKUP(Q831,Parâmetros!F:F,Parâmetros!I:I))</f>
        <v>SUPORTE OBT</v>
      </c>
      <c r="Q831" s="1" t="str">
        <f t="shared" si="25"/>
        <v>COLUNA I</v>
      </c>
    </row>
    <row r="832" spans="1:17" x14ac:dyDescent="0.25">
      <c r="A832" s="1" t="str">
        <f>_xlfn.XLOOKUP(D832,'Novo relatório'!B:B,'Novo relatório'!C:C,"RESOLVIDO")</f>
        <v>SABRE</v>
      </c>
      <c r="C832" t="str">
        <f t="shared" si="24"/>
        <v>PENDENTE</v>
      </c>
      <c r="D832" s="1">
        <v>3285531</v>
      </c>
      <c r="E832" s="1" t="s">
        <v>26</v>
      </c>
      <c r="F832" s="2">
        <v>45723.484027777777</v>
      </c>
      <c r="G832" s="1" t="s">
        <v>1404</v>
      </c>
      <c r="H832" s="1" t="s">
        <v>1404</v>
      </c>
      <c r="I832" s="1" t="s">
        <v>1189</v>
      </c>
      <c r="J832" s="2">
        <v>45723.615972222222</v>
      </c>
      <c r="L832" s="1" t="s">
        <v>18</v>
      </c>
      <c r="M832" s="1" t="str">
        <f>_xlfn.XLOOKUP(I832,Parâmetros!A:A,Parâmetros!B:B,_xlfn.XLOOKUP(Q832,Parâmetros!F:F,Parâmetros!G:G,"NOVA MENSAGEM"))</f>
        <v>CÓD. CLIENTE DIVERGENTE</v>
      </c>
      <c r="N832" s="1" t="str">
        <f>_xlfn.XLOOKUP(M832,Parâmetros!K:K,Parâmetros!L:L,"")</f>
        <v>CÓDIGO DIFERENTE DO CADASTRADO NO BENNER (CLIENTE X GRUPO)</v>
      </c>
      <c r="O832" s="1" t="str">
        <f>_xlfn.XLOOKUP(M832,Parâmetros!B:B,Parâmetros!C:C,_xlfn.XLOOKUP(Base!M833,Parâmetros!G:G,Parâmetros!H:H))</f>
        <v>QUALIDADE DOS DADOS</v>
      </c>
      <c r="P832" s="1" t="str">
        <f>_xlfn.XLOOKUP(I832,Parâmetros!A:A,Parâmetros!D:D,_xlfn.XLOOKUP(Q832,Parâmetros!F:F,Parâmetros!I:I))</f>
        <v>SUPORTE OBT</v>
      </c>
      <c r="Q832" s="1">
        <f t="shared" si="25"/>
        <v>1</v>
      </c>
    </row>
    <row r="833" spans="1:17" x14ac:dyDescent="0.25">
      <c r="A833" s="1" t="str">
        <f>_xlfn.XLOOKUP(D833,'Novo relatório'!B:B,'Novo relatório'!C:C,"RESOLVIDO")</f>
        <v>TMS</v>
      </c>
      <c r="C833" t="str">
        <f t="shared" si="24"/>
        <v>PENDENTE</v>
      </c>
      <c r="D833" s="1">
        <v>3285727</v>
      </c>
      <c r="E833" s="1" t="s">
        <v>12</v>
      </c>
      <c r="F833" s="2">
        <v>45723.554861111108</v>
      </c>
      <c r="G833" s="1">
        <v>35197</v>
      </c>
      <c r="H833" s="1">
        <v>35197</v>
      </c>
      <c r="I833" s="1" t="s">
        <v>1610</v>
      </c>
      <c r="J833" s="2">
        <v>45723.640972222223</v>
      </c>
      <c r="K833" s="2">
        <v>45726.926388888889</v>
      </c>
      <c r="L833" s="1" t="s">
        <v>19</v>
      </c>
      <c r="M833" s="1" t="str">
        <f>_xlfn.XLOOKUP(I833,Parâmetros!A:A,Parâmetros!B:B,_xlfn.XLOOKUP(Q833,Parâmetros!F:F,Parâmetros!G:G,"NOVA MENSAGEM"))</f>
        <v>CONTRATO FORNECEDOR</v>
      </c>
      <c r="N833" s="1" t="str">
        <f>_xlfn.XLOOKUP(M833,Parâmetros!K:K,Parâmetros!L:L,"")</f>
        <v>CONTRATO INATIVO OU DIVERGENTE</v>
      </c>
      <c r="O833" s="1" t="str">
        <f>_xlfn.XLOOKUP(M833,Parâmetros!B:B,Parâmetros!C:C,_xlfn.XLOOKUP(Base!M1006,Parâmetros!G:G,Parâmetros!H:H))</f>
        <v>SISTEMA</v>
      </c>
      <c r="P833" s="1" t="str">
        <f>_xlfn.XLOOKUP(I833,Parâmetros!A:A,Parâmetros!D:D,_xlfn.XLOOKUP(Q833,Parâmetros!F:F,Parâmetros!I:I))</f>
        <v>OPERAÇÕES / SUPORTE KCS</v>
      </c>
      <c r="Q833" s="1">
        <f t="shared" si="25"/>
        <v>43</v>
      </c>
    </row>
    <row r="834" spans="1:17" x14ac:dyDescent="0.25">
      <c r="A834" s="1" t="str">
        <f>_xlfn.XLOOKUP(D834,'Novo relatório'!B:B,'Novo relatório'!C:C,"RESOLVIDO")</f>
        <v>SABRE</v>
      </c>
      <c r="C834" t="str">
        <f t="shared" ref="C834:C897" si="26">IF(A834="RESOLVIDO","RESOLVIDO",IF(B834="","PENDENTE",IF(LEFT(B834,7)="CHAMADO","AGUARDANDO FORNECEDOR",IF(B834="CONTABILIZAR","CONTABILIZAR NO PORTAL"))))</f>
        <v>PENDENTE</v>
      </c>
      <c r="D834" s="1">
        <v>3285916</v>
      </c>
      <c r="E834" s="1" t="s">
        <v>26</v>
      </c>
      <c r="F834" s="2">
        <v>45723.527083333334</v>
      </c>
      <c r="G834" s="1" t="s">
        <v>1467</v>
      </c>
      <c r="H834" s="1" t="s">
        <v>1467</v>
      </c>
      <c r="I834" s="1" t="s">
        <v>1215</v>
      </c>
      <c r="J834" s="2">
        <v>45723.65902777778</v>
      </c>
      <c r="L834" s="1" t="s">
        <v>18</v>
      </c>
      <c r="M834" s="1" t="str">
        <f>_xlfn.XLOOKUP(I834,Parâmetros!A:A,Parâmetros!B:B,_xlfn.XLOOKUP(Q834,Parâmetros!F:F,Parâmetros!G:G,"NOVA MENSAGEM"))</f>
        <v>CÓD. CLIENTE DIVERGENTE</v>
      </c>
      <c r="N834" s="1" t="str">
        <f>_xlfn.XLOOKUP(M834,Parâmetros!K:K,Parâmetros!L:L,"")</f>
        <v>CÓDIGO DIFERENTE DO CADASTRADO NO BENNER (CLIENTE X GRUPO)</v>
      </c>
      <c r="O834" s="1" t="str">
        <f>_xlfn.XLOOKUP(M834,Parâmetros!B:B,Parâmetros!C:C,_xlfn.XLOOKUP(Base!M883,Parâmetros!G:G,Parâmetros!H:H))</f>
        <v>QUALIDADE DOS DADOS</v>
      </c>
      <c r="P834" s="1" t="str">
        <f>_xlfn.XLOOKUP(I834,Parâmetros!A:A,Parâmetros!D:D,_xlfn.XLOOKUP(Q834,Parâmetros!F:F,Parâmetros!I:I))</f>
        <v>SUPORTE OBT</v>
      </c>
      <c r="Q834" s="1">
        <f t="shared" ref="Q834:Q897" si="27">IFERROR(FIND("Não foi possível localizar o contrato do fornecedor",I834),IFERROR(FIND("veículo",I834),IFERROR(FIND("agagem",I834),IFERROR(FIND("error in XML document",I834),IFERROR(FIND("Não localizado cliente código",I834),IFERROR(FIND("lemontech",I834),IFERROR(FIND("&gt;Fornecedor com o",I834),IFERROR(FIND("INSERT",I834),IFERROR(FIND("com CNPJ",I834),IFERROR(FIND("Consultando Agente-&gt; O agente",I834),IFERROR(FIND("Não foi possível determinar a validade do cartão, favor verificar os dados do cartão",I834),"COLUNA I")))))))))))</f>
        <v>1</v>
      </c>
    </row>
    <row r="835" spans="1:17" x14ac:dyDescent="0.25">
      <c r="A835" s="1" t="str">
        <f>_xlfn.XLOOKUP(D835,'Novo relatório'!B:B,'Novo relatório'!C:C,"RESOLVIDO")</f>
        <v>SABRE</v>
      </c>
      <c r="C835" t="str">
        <f t="shared" si="26"/>
        <v>PENDENTE</v>
      </c>
      <c r="D835" s="1">
        <v>3286269</v>
      </c>
      <c r="E835" s="1" t="s">
        <v>26</v>
      </c>
      <c r="F835" s="2">
        <v>45723.679861111108</v>
      </c>
      <c r="G835" s="1" t="s">
        <v>1414</v>
      </c>
      <c r="H835" s="1" t="s">
        <v>1414</v>
      </c>
      <c r="I835" s="1" t="s">
        <v>83</v>
      </c>
      <c r="J835" s="2">
        <v>45723.7</v>
      </c>
      <c r="K835" s="2">
        <v>45723.814583333333</v>
      </c>
      <c r="L835" s="1" t="s">
        <v>18</v>
      </c>
      <c r="M835" s="1" t="str">
        <f>_xlfn.XLOOKUP(I835,Parâmetros!A:A,Parâmetros!B:B,_xlfn.XLOOKUP(Q835,Parâmetros!F:F,Parâmetros!G:G,"NOVA MENSAGEM"))</f>
        <v>CLIENTE NÃO IDENTIFICADO</v>
      </c>
      <c r="N835" s="1" t="str">
        <f>_xlfn.XLOOKUP(M835,Parâmetros!K:K,Parâmetros!L:L,"")</f>
        <v>DK DE CLIENTE NÃO PREENCIDO / CLIENTE NÃO CONFIGURADO NO OBT</v>
      </c>
      <c r="O835" s="1" t="str">
        <f>_xlfn.XLOOKUP(M835,Parâmetros!B:B,Parâmetros!C:C,_xlfn.XLOOKUP(Base!M840,Parâmetros!G:G,Parâmetros!H:H))</f>
        <v>INDEFINIDO</v>
      </c>
      <c r="P835" s="1" t="str">
        <f>_xlfn.XLOOKUP(I835,Parâmetros!A:A,Parâmetros!D:D,_xlfn.XLOOKUP(Q835,Parâmetros!F:F,Parâmetros!I:I))</f>
        <v>OPERAÇÕES / SUPORTE KCS</v>
      </c>
      <c r="Q835" s="1" t="str">
        <f t="shared" si="27"/>
        <v>COLUNA I</v>
      </c>
    </row>
    <row r="836" spans="1:17" x14ac:dyDescent="0.25">
      <c r="A836" s="1" t="str">
        <f>_xlfn.XLOOKUP(D836,'Novo relatório'!B:B,'Novo relatório'!C:C,"RESOLVIDO")</f>
        <v>SABRE</v>
      </c>
      <c r="C836" t="str">
        <f t="shared" si="26"/>
        <v>PENDENTE</v>
      </c>
      <c r="D836" s="1">
        <v>3286573</v>
      </c>
      <c r="E836" s="1" t="s">
        <v>26</v>
      </c>
      <c r="F836" s="2">
        <v>45723.625694444447</v>
      </c>
      <c r="G836" s="1" t="s">
        <v>1567</v>
      </c>
      <c r="H836" s="1" t="s">
        <v>1568</v>
      </c>
      <c r="I836" s="1" t="s">
        <v>64</v>
      </c>
      <c r="J836" s="2">
        <v>45723.75277777778</v>
      </c>
      <c r="L836" s="1" t="s">
        <v>1244</v>
      </c>
      <c r="M836" s="1" t="str">
        <f>_xlfn.XLOOKUP(I836,Parâmetros!A:A,Parâmetros!B:B,_xlfn.XLOOKUP(Q836,Parâmetros!F:F,Parâmetros!G:G,"NOVA MENSAGEM"))</f>
        <v>FORMATO DE TEXTO</v>
      </c>
      <c r="N836" s="1" t="str">
        <f>_xlfn.XLOOKUP(M836,Parâmetros!K:K,Parâmetros!L:L,"")</f>
        <v>TEXTO FORA DO PADRÃO ACEITO NO CAMPO</v>
      </c>
      <c r="O836" s="1" t="str">
        <f>_xlfn.XLOOKUP(M836,Parâmetros!B:B,Parâmetros!C:C,_xlfn.XLOOKUP(Base!M964,Parâmetros!G:G,Parâmetros!H:H))</f>
        <v>INDEFINIDO</v>
      </c>
      <c r="P836" s="1" t="str">
        <f>_xlfn.XLOOKUP(I836,Parâmetros!A:A,Parâmetros!D:D,_xlfn.XLOOKUP(Q836,Parâmetros!F:F,Parâmetros!I:I))</f>
        <v>SUPORTE OBT</v>
      </c>
      <c r="Q836" s="1" t="str">
        <f t="shared" si="27"/>
        <v>COLUNA I</v>
      </c>
    </row>
    <row r="837" spans="1:17" x14ac:dyDescent="0.25">
      <c r="A837" s="1" t="str">
        <f>_xlfn.XLOOKUP(D837,'Novo relatório'!B:B,'Novo relatório'!C:C,"RESOLVIDO")</f>
        <v>SABRE</v>
      </c>
      <c r="C837" t="str">
        <f t="shared" si="26"/>
        <v>PENDENTE</v>
      </c>
      <c r="D837" s="1">
        <v>3286574</v>
      </c>
      <c r="E837" s="1" t="s">
        <v>26</v>
      </c>
      <c r="F837" s="2">
        <v>45723.625694444447</v>
      </c>
      <c r="G837" s="1" t="s">
        <v>1488</v>
      </c>
      <c r="H837" s="1" t="s">
        <v>1489</v>
      </c>
      <c r="I837" s="1" t="s">
        <v>64</v>
      </c>
      <c r="J837" s="2">
        <v>45723.75277777778</v>
      </c>
      <c r="L837" s="1" t="s">
        <v>1244</v>
      </c>
      <c r="M837" s="1" t="str">
        <f>_xlfn.XLOOKUP(I837,Parâmetros!A:A,Parâmetros!B:B,_xlfn.XLOOKUP(Q837,Parâmetros!F:F,Parâmetros!G:G,"NOVA MENSAGEM"))</f>
        <v>FORMATO DE TEXTO</v>
      </c>
      <c r="N837" s="1" t="str">
        <f>_xlfn.XLOOKUP(M837,Parâmetros!K:K,Parâmetros!L:L,"")</f>
        <v>TEXTO FORA DO PADRÃO ACEITO NO CAMPO</v>
      </c>
      <c r="O837" s="1" t="str">
        <f>_xlfn.XLOOKUP(M837,Parâmetros!B:B,Parâmetros!C:C,_xlfn.XLOOKUP(Base!M901,Parâmetros!G:G,Parâmetros!H:H))</f>
        <v>INDEFINIDO</v>
      </c>
      <c r="P837" s="1" t="str">
        <f>_xlfn.XLOOKUP(I837,Parâmetros!A:A,Parâmetros!D:D,_xlfn.XLOOKUP(Q837,Parâmetros!F:F,Parâmetros!I:I))</f>
        <v>SUPORTE OBT</v>
      </c>
      <c r="Q837" s="1" t="str">
        <f t="shared" si="27"/>
        <v>COLUNA I</v>
      </c>
    </row>
    <row r="838" spans="1:17" x14ac:dyDescent="0.25">
      <c r="A838" s="1" t="str">
        <f>_xlfn.XLOOKUP(D838,'Novo relatório'!B:B,'Novo relatório'!C:C,"RESOLVIDO")</f>
        <v>SABRE</v>
      </c>
      <c r="C838" t="str">
        <f t="shared" si="26"/>
        <v>PENDENTE</v>
      </c>
      <c r="D838" s="1">
        <v>3286613</v>
      </c>
      <c r="E838" s="1" t="s">
        <v>26</v>
      </c>
      <c r="F838" s="2">
        <v>45723.631944444445</v>
      </c>
      <c r="G838" s="1" t="s">
        <v>1441</v>
      </c>
      <c r="H838" s="1" t="s">
        <v>1442</v>
      </c>
      <c r="I838" s="1" t="s">
        <v>64</v>
      </c>
      <c r="J838" s="2">
        <v>45723.762499999997</v>
      </c>
      <c r="L838" s="1" t="s">
        <v>1244</v>
      </c>
      <c r="M838" s="1" t="str">
        <f>_xlfn.XLOOKUP(I838,Parâmetros!A:A,Parâmetros!B:B,_xlfn.XLOOKUP(Q838,Parâmetros!F:F,Parâmetros!G:G,"NOVA MENSAGEM"))</f>
        <v>FORMATO DE TEXTO</v>
      </c>
      <c r="N838" s="1" t="str">
        <f>_xlfn.XLOOKUP(M838,Parâmetros!K:K,Parâmetros!L:L,"")</f>
        <v>TEXTO FORA DO PADRÃO ACEITO NO CAMPO</v>
      </c>
      <c r="O838" s="1" t="str">
        <f>_xlfn.XLOOKUP(M838,Parâmetros!B:B,Parâmetros!C:C,_xlfn.XLOOKUP(Base!M865,Parâmetros!G:G,Parâmetros!H:H))</f>
        <v>INDEFINIDO</v>
      </c>
      <c r="P838" s="1" t="str">
        <f>_xlfn.XLOOKUP(I838,Parâmetros!A:A,Parâmetros!D:D,_xlfn.XLOOKUP(Q838,Parâmetros!F:F,Parâmetros!I:I))</f>
        <v>SUPORTE OBT</v>
      </c>
      <c r="Q838" s="1" t="str">
        <f t="shared" si="27"/>
        <v>COLUNA I</v>
      </c>
    </row>
    <row r="839" spans="1:17" x14ac:dyDescent="0.25">
      <c r="A839" s="1" t="str">
        <f>_xlfn.XLOOKUP(D839,'Novo relatório'!B:B,'Novo relatório'!C:C,"RESOLVIDO")</f>
        <v>SABRE</v>
      </c>
      <c r="C839" t="str">
        <f t="shared" si="26"/>
        <v>PENDENTE</v>
      </c>
      <c r="D839" s="1">
        <v>3286791</v>
      </c>
      <c r="E839" s="1" t="s">
        <v>26</v>
      </c>
      <c r="F839" s="2">
        <v>45726.431944444441</v>
      </c>
      <c r="G839" s="1" t="s">
        <v>1578</v>
      </c>
      <c r="H839" s="1" t="s">
        <v>1578</v>
      </c>
      <c r="I839" s="1" t="s">
        <v>588</v>
      </c>
      <c r="J839" s="2">
        <v>45723.817361111112</v>
      </c>
      <c r="K839" s="2">
        <v>45726.523611111108</v>
      </c>
      <c r="L839" s="1" t="s">
        <v>14</v>
      </c>
      <c r="M839" s="1" t="str">
        <f>_xlfn.XLOOKUP(I839,Parâmetros!A:A,Parâmetros!B:B,_xlfn.XLOOKUP(Q839,Parâmetros!F:F,Parâmetros!G:G,"NOVA MENSAGEM"))</f>
        <v>ERRO NO XML</v>
      </c>
      <c r="N839" s="1" t="str">
        <f>_xlfn.XLOOKUP(M839,Parâmetros!K:K,Parâmetros!L:L,"")</f>
        <v/>
      </c>
      <c r="O839" s="1" t="str">
        <f>_xlfn.XLOOKUP(M839,Parâmetros!B:B,Parâmetros!C:C,_xlfn.XLOOKUP(Base!M973,Parâmetros!G:G,Parâmetros!H:H))</f>
        <v>SISTEMA</v>
      </c>
      <c r="P839" s="1" t="str">
        <f>_xlfn.XLOOKUP(I839,Parâmetros!A:A,Parâmetros!D:D,_xlfn.XLOOKUP(Q839,Parâmetros!F:F,Parâmetros!I:I))</f>
        <v>SUPORTE OBT</v>
      </c>
      <c r="Q839" s="1" t="str">
        <f t="shared" si="27"/>
        <v>COLUNA I</v>
      </c>
    </row>
    <row r="840" spans="1:17" x14ac:dyDescent="0.25">
      <c r="A840" s="1" t="str">
        <f>_xlfn.XLOOKUP(D840,'Novo relatório'!B:B,'Novo relatório'!C:C,"RESOLVIDO")</f>
        <v>SABRE</v>
      </c>
      <c r="C840" t="str">
        <f t="shared" si="26"/>
        <v>PENDENTE</v>
      </c>
      <c r="D840" s="1">
        <v>3286792</v>
      </c>
      <c r="E840" s="1" t="s">
        <v>26</v>
      </c>
      <c r="F840" s="2">
        <v>45726.643055555556</v>
      </c>
      <c r="G840" s="1" t="s">
        <v>1571</v>
      </c>
      <c r="H840" s="1" t="s">
        <v>1571</v>
      </c>
      <c r="I840" s="1" t="s">
        <v>588</v>
      </c>
      <c r="J840" s="2">
        <v>45723.817361111112</v>
      </c>
      <c r="K840" s="2">
        <v>45726.731944444444</v>
      </c>
      <c r="L840" s="1" t="s">
        <v>14</v>
      </c>
      <c r="M840" s="1" t="str">
        <f>_xlfn.XLOOKUP(I840,Parâmetros!A:A,Parâmetros!B:B,_xlfn.XLOOKUP(Q840,Parâmetros!F:F,Parâmetros!G:G,"NOVA MENSAGEM"))</f>
        <v>ERRO NO XML</v>
      </c>
      <c r="N840" s="1" t="str">
        <f>_xlfn.XLOOKUP(M840,Parâmetros!K:K,Parâmetros!L:L,"")</f>
        <v/>
      </c>
      <c r="O840" s="1" t="str">
        <f>_xlfn.XLOOKUP(M840,Parâmetros!B:B,Parâmetros!C:C,_xlfn.XLOOKUP(Base!M967,Parâmetros!G:G,Parâmetros!H:H))</f>
        <v>SISTEMA</v>
      </c>
      <c r="P840" s="1" t="str">
        <f>_xlfn.XLOOKUP(I840,Parâmetros!A:A,Parâmetros!D:D,_xlfn.XLOOKUP(Q840,Parâmetros!F:F,Parâmetros!I:I))</f>
        <v>SUPORTE OBT</v>
      </c>
      <c r="Q840" s="1" t="str">
        <f t="shared" si="27"/>
        <v>COLUNA I</v>
      </c>
    </row>
    <row r="841" spans="1:17" x14ac:dyDescent="0.25">
      <c r="A841" s="1" t="str">
        <f>_xlfn.XLOOKUP(D841,'Novo relatório'!B:B,'Novo relatório'!C:C,"RESOLVIDO")</f>
        <v>SABRE</v>
      </c>
      <c r="C841" t="str">
        <f t="shared" si="26"/>
        <v>PENDENTE</v>
      </c>
      <c r="D841" s="1">
        <v>3286793</v>
      </c>
      <c r="E841" s="1" t="s">
        <v>26</v>
      </c>
      <c r="F841" s="2">
        <v>45726.643750000003</v>
      </c>
      <c r="G841" s="1" t="s">
        <v>1591</v>
      </c>
      <c r="H841" s="1" t="s">
        <v>1591</v>
      </c>
      <c r="I841" s="1" t="s">
        <v>588</v>
      </c>
      <c r="J841" s="2">
        <v>45723.817361111112</v>
      </c>
      <c r="K841" s="2">
        <v>45726.731944444444</v>
      </c>
      <c r="L841" s="1" t="s">
        <v>14</v>
      </c>
      <c r="M841" s="1" t="str">
        <f>_xlfn.XLOOKUP(I841,Parâmetros!A:A,Parâmetros!B:B,_xlfn.XLOOKUP(Q841,Parâmetros!F:F,Parâmetros!G:G,"NOVA MENSAGEM"))</f>
        <v>ERRO NO XML</v>
      </c>
      <c r="N841" s="1" t="str">
        <f>_xlfn.XLOOKUP(M841,Parâmetros!K:K,Parâmetros!L:L,"")</f>
        <v/>
      </c>
      <c r="O841" s="1" t="str">
        <f>_xlfn.XLOOKUP(M841,Parâmetros!B:B,Parâmetros!C:C,_xlfn.XLOOKUP(Base!M982,Parâmetros!G:G,Parâmetros!H:H))</f>
        <v>SISTEMA</v>
      </c>
      <c r="P841" s="1" t="str">
        <f>_xlfn.XLOOKUP(I841,Parâmetros!A:A,Parâmetros!D:D,_xlfn.XLOOKUP(Q841,Parâmetros!F:F,Parâmetros!I:I))</f>
        <v>SUPORTE OBT</v>
      </c>
      <c r="Q841" s="1" t="str">
        <f t="shared" si="27"/>
        <v>COLUNA I</v>
      </c>
    </row>
    <row r="842" spans="1:17" x14ac:dyDescent="0.25">
      <c r="A842" s="1" t="str">
        <f>_xlfn.XLOOKUP(D842,'Novo relatório'!B:B,'Novo relatório'!C:C,"RESOLVIDO")</f>
        <v>SABRE</v>
      </c>
      <c r="C842" t="str">
        <f t="shared" si="26"/>
        <v>PENDENTE</v>
      </c>
      <c r="D842" s="1">
        <v>3286794</v>
      </c>
      <c r="E842" s="1" t="s">
        <v>26</v>
      </c>
      <c r="F842" s="2">
        <v>45726.643750000003</v>
      </c>
      <c r="G842" s="1" t="s">
        <v>1597</v>
      </c>
      <c r="H842" s="1" t="s">
        <v>1597</v>
      </c>
      <c r="I842" s="1" t="s">
        <v>1189</v>
      </c>
      <c r="J842" s="2">
        <v>45723.817361111112</v>
      </c>
      <c r="K842" s="2">
        <v>45726.731944444444</v>
      </c>
      <c r="L842" s="1" t="s">
        <v>18</v>
      </c>
      <c r="M842" s="1" t="str">
        <f>_xlfn.XLOOKUP(I842,Parâmetros!A:A,Parâmetros!B:B,_xlfn.XLOOKUP(Q842,Parâmetros!F:F,Parâmetros!G:G,"NOVA MENSAGEM"))</f>
        <v>CÓD. CLIENTE DIVERGENTE</v>
      </c>
      <c r="N842" s="1" t="str">
        <f>_xlfn.XLOOKUP(M842,Parâmetros!K:K,Parâmetros!L:L,"")</f>
        <v>CÓDIGO DIFERENTE DO CADASTRADO NO BENNER (CLIENTE X GRUPO)</v>
      </c>
      <c r="O842" s="1" t="str">
        <f>_xlfn.XLOOKUP(M842,Parâmetros!B:B,Parâmetros!C:C,_xlfn.XLOOKUP(Base!M987,Parâmetros!G:G,Parâmetros!H:H))</f>
        <v>QUALIDADE DOS DADOS</v>
      </c>
      <c r="P842" s="1" t="str">
        <f>_xlfn.XLOOKUP(I842,Parâmetros!A:A,Parâmetros!D:D,_xlfn.XLOOKUP(Q842,Parâmetros!F:F,Parâmetros!I:I))</f>
        <v>SUPORTE OBT</v>
      </c>
      <c r="Q842" s="1">
        <f t="shared" si="27"/>
        <v>1</v>
      </c>
    </row>
    <row r="843" spans="1:17" x14ac:dyDescent="0.25">
      <c r="A843" s="1" t="str">
        <f>_xlfn.XLOOKUP(D843,'Novo relatório'!B:B,'Novo relatório'!C:C,"RESOLVIDO")</f>
        <v>RESOLVIDO</v>
      </c>
      <c r="C843" t="str">
        <f t="shared" si="26"/>
        <v>RESOLVIDO</v>
      </c>
      <c r="D843" s="1">
        <v>3286826</v>
      </c>
      <c r="E843" s="1" t="s">
        <v>12</v>
      </c>
      <c r="F843" s="2">
        <v>45723.726388888892</v>
      </c>
      <c r="G843" s="1">
        <v>5367</v>
      </c>
      <c r="H843" s="1">
        <v>5367</v>
      </c>
      <c r="I843" s="1" t="s">
        <v>16</v>
      </c>
      <c r="J843" s="2">
        <v>45723.855555555558</v>
      </c>
      <c r="K843" s="2">
        <v>45726.898611111108</v>
      </c>
      <c r="L843" s="1" t="s">
        <v>14</v>
      </c>
      <c r="M843" s="1" t="str">
        <f>_xlfn.XLOOKUP(I843,Parâmetros!A:A,Parâmetros!B:B,_xlfn.XLOOKUP(Q843,Parâmetros!F:F,Parâmetros!G:G,"NOVA MENSAGEM"))</f>
        <v>ASSENTO / BAGAGEM</v>
      </c>
      <c r="N843" s="1" t="str">
        <f>_xlfn.XLOOKUP(M843,Parâmetros!K:K,Parâmetros!L:L,"")</f>
        <v>CAMPO OBSERVAÇÃO PREENCHIDO INCORRETAMENTE</v>
      </c>
      <c r="O843" s="1" t="str">
        <f>_xlfn.XLOOKUP(M843,Parâmetros!B:B,Parâmetros!C:C,_xlfn.XLOOKUP(Base!M1008,Parâmetros!G:G,Parâmetros!H:H))</f>
        <v>QUALIDADE DOS DADOS</v>
      </c>
      <c r="P843" s="1" t="str">
        <f>_xlfn.XLOOKUP(I843,Parâmetros!A:A,Parâmetros!D:D,_xlfn.XLOOKUP(Q843,Parâmetros!F:F,Parâmetros!I:I))</f>
        <v>OPERAÇÕES / SUPORTE KCS</v>
      </c>
      <c r="Q843" s="1">
        <f t="shared" si="27"/>
        <v>118</v>
      </c>
    </row>
    <row r="844" spans="1:17" x14ac:dyDescent="0.25">
      <c r="A844" s="1" t="str">
        <f>_xlfn.XLOOKUP(D844,'Novo relatório'!B:B,'Novo relatório'!C:C,"RESOLVIDO")</f>
        <v>SABRE</v>
      </c>
      <c r="C844" t="str">
        <f t="shared" si="26"/>
        <v>PENDENTE</v>
      </c>
      <c r="D844" s="1">
        <v>3287018</v>
      </c>
      <c r="E844" s="1" t="s">
        <v>26</v>
      </c>
      <c r="F844" s="2">
        <v>45723.736805555556</v>
      </c>
      <c r="G844" s="1" t="s">
        <v>1493</v>
      </c>
      <c r="H844" s="1" t="s">
        <v>1493</v>
      </c>
      <c r="I844" s="1" t="s">
        <v>396</v>
      </c>
      <c r="J844" s="2">
        <v>45723.865972222222</v>
      </c>
      <c r="L844" s="1" t="s">
        <v>18</v>
      </c>
      <c r="M844" s="1" t="str">
        <f>_xlfn.XLOOKUP(I844,Parâmetros!A:A,Parâmetros!B:B,_xlfn.XLOOKUP(Q844,Parâmetros!F:F,Parâmetros!G:G,"NOVA MENSAGEM"))</f>
        <v>CÓD. CLIENTE DIVERGENTE</v>
      </c>
      <c r="N844" s="1" t="str">
        <f>_xlfn.XLOOKUP(M844,Parâmetros!K:K,Parâmetros!L:L,"")</f>
        <v>CÓDIGO DIFERENTE DO CADASTRADO NO BENNER (CLIENTE X GRUPO)</v>
      </c>
      <c r="O844" s="1" t="str">
        <f>_xlfn.XLOOKUP(M844,Parâmetros!B:B,Parâmetros!C:C,_xlfn.XLOOKUP(Base!M905,Parâmetros!G:G,Parâmetros!H:H))</f>
        <v>QUALIDADE DOS DADOS</v>
      </c>
      <c r="P844" s="1" t="str">
        <f>_xlfn.XLOOKUP(I844,Parâmetros!A:A,Parâmetros!D:D,_xlfn.XLOOKUP(Q844,Parâmetros!F:F,Parâmetros!I:I))</f>
        <v>SUPORTE OBT</v>
      </c>
      <c r="Q844" s="1">
        <f t="shared" si="27"/>
        <v>1</v>
      </c>
    </row>
    <row r="845" spans="1:17" x14ac:dyDescent="0.25">
      <c r="A845" s="1" t="str">
        <f>_xlfn.XLOOKUP(D845,'Novo relatório'!B:B,'Novo relatório'!C:C,"RESOLVIDO")</f>
        <v>SABRE</v>
      </c>
      <c r="C845" t="str">
        <f t="shared" si="26"/>
        <v>PENDENTE</v>
      </c>
      <c r="D845" s="1">
        <v>3287021</v>
      </c>
      <c r="E845" s="1" t="s">
        <v>26</v>
      </c>
      <c r="F845" s="2">
        <v>45723.736805555556</v>
      </c>
      <c r="G845" s="1" t="s">
        <v>1563</v>
      </c>
      <c r="H845" s="1" t="s">
        <v>1563</v>
      </c>
      <c r="I845" s="1" t="s">
        <v>1060</v>
      </c>
      <c r="J845" s="2">
        <v>45723.865972222222</v>
      </c>
      <c r="L845" s="1" t="s">
        <v>18</v>
      </c>
      <c r="M845" s="1" t="str">
        <f>_xlfn.XLOOKUP(I845,Parâmetros!A:A,Parâmetros!B:B,_xlfn.XLOOKUP(Q845,Parâmetros!F:F,Parâmetros!G:G,"NOVA MENSAGEM"))</f>
        <v>CÓD. CLIENTE DIVERGENTE</v>
      </c>
      <c r="N845" s="1" t="str">
        <f>_xlfn.XLOOKUP(M845,Parâmetros!K:K,Parâmetros!L:L,"")</f>
        <v>CÓDIGO DIFERENTE DO CADASTRADO NO BENNER (CLIENTE X GRUPO)</v>
      </c>
      <c r="O845" s="1" t="str">
        <f>_xlfn.XLOOKUP(M845,Parâmetros!B:B,Parâmetros!C:C,_xlfn.XLOOKUP(Base!M960,Parâmetros!G:G,Parâmetros!H:H))</f>
        <v>QUALIDADE DOS DADOS</v>
      </c>
      <c r="P845" s="1" t="str">
        <f>_xlfn.XLOOKUP(I845,Parâmetros!A:A,Parâmetros!D:D,_xlfn.XLOOKUP(Q845,Parâmetros!F:F,Parâmetros!I:I))</f>
        <v>SUPORTE OBT</v>
      </c>
      <c r="Q845" s="1">
        <f t="shared" si="27"/>
        <v>1</v>
      </c>
    </row>
    <row r="846" spans="1:17" x14ac:dyDescent="0.25">
      <c r="A846" s="1" t="str">
        <f>_xlfn.XLOOKUP(D846,'Novo relatório'!B:B,'Novo relatório'!C:C,"RESOLVIDO")</f>
        <v>SABRE</v>
      </c>
      <c r="C846" t="str">
        <f t="shared" si="26"/>
        <v>PENDENTE</v>
      </c>
      <c r="D846" s="1">
        <v>3287024</v>
      </c>
      <c r="E846" s="1" t="s">
        <v>26</v>
      </c>
      <c r="F846" s="2">
        <v>45723.736805555556</v>
      </c>
      <c r="G846" s="1" t="s">
        <v>1490</v>
      </c>
      <c r="H846" s="1" t="s">
        <v>1490</v>
      </c>
      <c r="I846" s="1" t="s">
        <v>83</v>
      </c>
      <c r="J846" s="2">
        <v>45723.865972222222</v>
      </c>
      <c r="L846" s="1" t="s">
        <v>18</v>
      </c>
      <c r="M846" s="1" t="str">
        <f>_xlfn.XLOOKUP(I846,Parâmetros!A:A,Parâmetros!B:B,_xlfn.XLOOKUP(Q846,Parâmetros!F:F,Parâmetros!G:G,"NOVA MENSAGEM"))</f>
        <v>CLIENTE NÃO IDENTIFICADO</v>
      </c>
      <c r="N846" s="1" t="str">
        <f>_xlfn.XLOOKUP(M846,Parâmetros!K:K,Parâmetros!L:L,"")</f>
        <v>DK DE CLIENTE NÃO PREENCIDO / CLIENTE NÃO CONFIGURADO NO OBT</v>
      </c>
      <c r="O846" s="1" t="str">
        <f>_xlfn.XLOOKUP(M846,Parâmetros!B:B,Parâmetros!C:C,_xlfn.XLOOKUP(Base!M902,Parâmetros!G:G,Parâmetros!H:H))</f>
        <v>INDEFINIDO</v>
      </c>
      <c r="P846" s="1" t="str">
        <f>_xlfn.XLOOKUP(I846,Parâmetros!A:A,Parâmetros!D:D,_xlfn.XLOOKUP(Q846,Parâmetros!F:F,Parâmetros!I:I))</f>
        <v>OPERAÇÕES / SUPORTE KCS</v>
      </c>
      <c r="Q846" s="1" t="str">
        <f t="shared" si="27"/>
        <v>COLUNA I</v>
      </c>
    </row>
    <row r="847" spans="1:17" x14ac:dyDescent="0.25">
      <c r="A847" s="1" t="str">
        <f>_xlfn.XLOOKUP(D847,'Novo relatório'!B:B,'Novo relatório'!C:C,"RESOLVIDO")</f>
        <v>SABRE</v>
      </c>
      <c r="C847" t="str">
        <f t="shared" si="26"/>
        <v>PENDENTE</v>
      </c>
      <c r="D847" s="1">
        <v>3287051</v>
      </c>
      <c r="E847" s="1" t="s">
        <v>26</v>
      </c>
      <c r="F847" s="2">
        <v>45726.624305555553</v>
      </c>
      <c r="G847" s="1" t="s">
        <v>1564</v>
      </c>
      <c r="H847" s="1" t="s">
        <v>1564</v>
      </c>
      <c r="I847" s="1" t="s">
        <v>83</v>
      </c>
      <c r="J847" s="2">
        <v>45723.867361111108</v>
      </c>
      <c r="K847" s="2">
        <v>45726.711805555555</v>
      </c>
      <c r="L847" s="1" t="s">
        <v>18</v>
      </c>
      <c r="M847" s="1" t="str">
        <f>_xlfn.XLOOKUP(I847,Parâmetros!A:A,Parâmetros!B:B,_xlfn.XLOOKUP(Q847,Parâmetros!F:F,Parâmetros!G:G,"NOVA MENSAGEM"))</f>
        <v>CLIENTE NÃO IDENTIFICADO</v>
      </c>
      <c r="N847" s="1" t="str">
        <f>_xlfn.XLOOKUP(M847,Parâmetros!K:K,Parâmetros!L:L,"")</f>
        <v>DK DE CLIENTE NÃO PREENCIDO / CLIENTE NÃO CONFIGURADO NO OBT</v>
      </c>
      <c r="O847" s="1" t="str">
        <f>_xlfn.XLOOKUP(M847,Parâmetros!B:B,Parâmetros!C:C,_xlfn.XLOOKUP(Base!M961,Parâmetros!G:G,Parâmetros!H:H))</f>
        <v>INDEFINIDO</v>
      </c>
      <c r="P847" s="1" t="str">
        <f>_xlfn.XLOOKUP(I847,Parâmetros!A:A,Parâmetros!D:D,_xlfn.XLOOKUP(Q847,Parâmetros!F:F,Parâmetros!I:I))</f>
        <v>OPERAÇÕES / SUPORTE KCS</v>
      </c>
      <c r="Q847" s="1" t="str">
        <f t="shared" si="27"/>
        <v>COLUNA I</v>
      </c>
    </row>
    <row r="848" spans="1:17" x14ac:dyDescent="0.25">
      <c r="A848" s="1" t="str">
        <f>_xlfn.XLOOKUP(D848,'Novo relatório'!B:B,'Novo relatório'!C:C,"RESOLVIDO")</f>
        <v>SABRE</v>
      </c>
      <c r="C848" t="str">
        <f t="shared" si="26"/>
        <v>PENDENTE</v>
      </c>
      <c r="D848" s="1">
        <v>3287088</v>
      </c>
      <c r="E848" s="1" t="s">
        <v>26</v>
      </c>
      <c r="F848" s="2">
        <v>45723.736805555556</v>
      </c>
      <c r="G848" s="1" t="s">
        <v>1577</v>
      </c>
      <c r="H848" s="1" t="s">
        <v>1577</v>
      </c>
      <c r="I848" s="1" t="s">
        <v>1134</v>
      </c>
      <c r="J848" s="2">
        <v>45723.868750000001</v>
      </c>
      <c r="L848" s="1" t="s">
        <v>18</v>
      </c>
      <c r="M848" s="1" t="str">
        <f>_xlfn.XLOOKUP(I848,Parâmetros!A:A,Parâmetros!B:B,_xlfn.XLOOKUP(Q848,Parâmetros!F:F,Parâmetros!G:G,"NOVA MENSAGEM"))</f>
        <v>CÓD. CLIENTE DIVERGENTE</v>
      </c>
      <c r="N848" s="1" t="str">
        <f>_xlfn.XLOOKUP(M848,Parâmetros!K:K,Parâmetros!L:L,"")</f>
        <v>CÓDIGO DIFERENTE DO CADASTRADO NO BENNER (CLIENTE X GRUPO)</v>
      </c>
      <c r="O848" s="1" t="str">
        <f>_xlfn.XLOOKUP(M848,Parâmetros!B:B,Parâmetros!C:C,_xlfn.XLOOKUP(Base!M972,Parâmetros!G:G,Parâmetros!H:H))</f>
        <v>QUALIDADE DOS DADOS</v>
      </c>
      <c r="P848" s="1" t="str">
        <f>_xlfn.XLOOKUP(I848,Parâmetros!A:A,Parâmetros!D:D,_xlfn.XLOOKUP(Q848,Parâmetros!F:F,Parâmetros!I:I))</f>
        <v>SUPORTE OBT</v>
      </c>
      <c r="Q848" s="1">
        <f t="shared" si="27"/>
        <v>1</v>
      </c>
    </row>
    <row r="849" spans="1:17" x14ac:dyDescent="0.25">
      <c r="A849" s="1" t="str">
        <f>_xlfn.XLOOKUP(D849,'Novo relatório'!B:B,'Novo relatório'!C:C,"RESOLVIDO")</f>
        <v>SABRE</v>
      </c>
      <c r="C849" t="str">
        <f t="shared" si="26"/>
        <v>PENDENTE</v>
      </c>
      <c r="D849" s="1">
        <v>3287105</v>
      </c>
      <c r="E849" s="1" t="s">
        <v>26</v>
      </c>
      <c r="F849" s="2">
        <v>45727.37777777778</v>
      </c>
      <c r="G849" s="1" t="s">
        <v>1487</v>
      </c>
      <c r="H849" s="1" t="s">
        <v>1487</v>
      </c>
      <c r="I849" s="1" t="s">
        <v>1189</v>
      </c>
      <c r="J849" s="2">
        <v>45723.869444444441</v>
      </c>
      <c r="K849" s="2">
        <v>45727.463888888888</v>
      </c>
      <c r="L849" s="1" t="s">
        <v>18</v>
      </c>
      <c r="M849" s="1" t="str">
        <f>_xlfn.XLOOKUP(I849,Parâmetros!A:A,Parâmetros!B:B,_xlfn.XLOOKUP(Q849,Parâmetros!F:F,Parâmetros!G:G,"NOVA MENSAGEM"))</f>
        <v>CÓD. CLIENTE DIVERGENTE</v>
      </c>
      <c r="N849" s="1" t="str">
        <f>_xlfn.XLOOKUP(M849,Parâmetros!K:K,Parâmetros!L:L,"")</f>
        <v>CÓDIGO DIFERENTE DO CADASTRADO NO BENNER (CLIENTE X GRUPO)</v>
      </c>
      <c r="O849" s="1" t="str">
        <f>_xlfn.XLOOKUP(M849,Parâmetros!B:B,Parâmetros!C:C,_xlfn.XLOOKUP(Base!M900,Parâmetros!G:G,Parâmetros!H:H))</f>
        <v>QUALIDADE DOS DADOS</v>
      </c>
      <c r="P849" s="1" t="str">
        <f>_xlfn.XLOOKUP(I849,Parâmetros!A:A,Parâmetros!D:D,_xlfn.XLOOKUP(Q849,Parâmetros!F:F,Parâmetros!I:I))</f>
        <v>SUPORTE OBT</v>
      </c>
      <c r="Q849" s="1">
        <f t="shared" si="27"/>
        <v>1</v>
      </c>
    </row>
    <row r="850" spans="1:17" x14ac:dyDescent="0.25">
      <c r="A850" s="1" t="str">
        <f>_xlfn.XLOOKUP(D850,'Novo relatório'!B:B,'Novo relatório'!C:C,"RESOLVIDO")</f>
        <v>SABRE</v>
      </c>
      <c r="C850" t="str">
        <f t="shared" si="26"/>
        <v>PENDENTE</v>
      </c>
      <c r="D850" s="1">
        <v>3287108</v>
      </c>
      <c r="E850" s="1" t="s">
        <v>26</v>
      </c>
      <c r="F850" s="2">
        <v>45727.381944444445</v>
      </c>
      <c r="G850" s="1" t="s">
        <v>1566</v>
      </c>
      <c r="H850" s="1" t="s">
        <v>1566</v>
      </c>
      <c r="I850" s="1" t="s">
        <v>1060</v>
      </c>
      <c r="J850" s="2">
        <v>45723.870138888888</v>
      </c>
      <c r="K850" s="2">
        <v>45727.474305555559</v>
      </c>
      <c r="L850" s="1" t="s">
        <v>18</v>
      </c>
      <c r="M850" s="1" t="str">
        <f>_xlfn.XLOOKUP(I850,Parâmetros!A:A,Parâmetros!B:B,_xlfn.XLOOKUP(Q850,Parâmetros!F:F,Parâmetros!G:G,"NOVA MENSAGEM"))</f>
        <v>CÓD. CLIENTE DIVERGENTE</v>
      </c>
      <c r="N850" s="1" t="str">
        <f>_xlfn.XLOOKUP(M850,Parâmetros!K:K,Parâmetros!L:L,"")</f>
        <v>CÓDIGO DIFERENTE DO CADASTRADO NO BENNER (CLIENTE X GRUPO)</v>
      </c>
      <c r="O850" s="1" t="str">
        <f>_xlfn.XLOOKUP(M850,Parâmetros!B:B,Parâmetros!C:C,_xlfn.XLOOKUP(Base!M963,Parâmetros!G:G,Parâmetros!H:H))</f>
        <v>QUALIDADE DOS DADOS</v>
      </c>
      <c r="P850" s="1" t="str">
        <f>_xlfn.XLOOKUP(I850,Parâmetros!A:A,Parâmetros!D:D,_xlfn.XLOOKUP(Q850,Parâmetros!F:F,Parâmetros!I:I))</f>
        <v>SUPORTE OBT</v>
      </c>
      <c r="Q850" s="1">
        <f t="shared" si="27"/>
        <v>1</v>
      </c>
    </row>
    <row r="851" spans="1:17" x14ac:dyDescent="0.25">
      <c r="A851" s="1" t="str">
        <f>_xlfn.XLOOKUP(D851,'Novo relatório'!B:B,'Novo relatório'!C:C,"RESOLVIDO")</f>
        <v>SABRE</v>
      </c>
      <c r="C851" t="str">
        <f t="shared" si="26"/>
        <v>PENDENTE</v>
      </c>
      <c r="D851" s="1">
        <v>3287112</v>
      </c>
      <c r="E851" s="1" t="s">
        <v>26</v>
      </c>
      <c r="F851" s="2">
        <v>45723.736805555556</v>
      </c>
      <c r="G851" s="1" t="s">
        <v>1569</v>
      </c>
      <c r="H851" s="1" t="s">
        <v>1569</v>
      </c>
      <c r="I851" s="1" t="s">
        <v>1060</v>
      </c>
      <c r="J851" s="2">
        <v>45723.870138888888</v>
      </c>
      <c r="L851" s="1" t="s">
        <v>18</v>
      </c>
      <c r="M851" s="1" t="str">
        <f>_xlfn.XLOOKUP(I851,Parâmetros!A:A,Parâmetros!B:B,_xlfn.XLOOKUP(Q851,Parâmetros!F:F,Parâmetros!G:G,"NOVA MENSAGEM"))</f>
        <v>CÓD. CLIENTE DIVERGENTE</v>
      </c>
      <c r="N851" s="1" t="str">
        <f>_xlfn.XLOOKUP(M851,Parâmetros!K:K,Parâmetros!L:L,"")</f>
        <v>CÓDIGO DIFERENTE DO CADASTRADO NO BENNER (CLIENTE X GRUPO)</v>
      </c>
      <c r="O851" s="1" t="str">
        <f>_xlfn.XLOOKUP(M851,Parâmetros!B:B,Parâmetros!C:C,_xlfn.XLOOKUP(Base!M965,Parâmetros!G:G,Parâmetros!H:H))</f>
        <v>QUALIDADE DOS DADOS</v>
      </c>
      <c r="P851" s="1" t="str">
        <f>_xlfn.XLOOKUP(I851,Parâmetros!A:A,Parâmetros!D:D,_xlfn.XLOOKUP(Q851,Parâmetros!F:F,Parâmetros!I:I))</f>
        <v>SUPORTE OBT</v>
      </c>
      <c r="Q851" s="1">
        <f t="shared" si="27"/>
        <v>1</v>
      </c>
    </row>
    <row r="852" spans="1:17" x14ac:dyDescent="0.25">
      <c r="A852" s="1" t="str">
        <f>_xlfn.XLOOKUP(D852,'Novo relatório'!B:B,'Novo relatório'!C:C,"RESOLVIDO")</f>
        <v>SABRE</v>
      </c>
      <c r="C852" t="str">
        <f t="shared" si="26"/>
        <v>PENDENTE</v>
      </c>
      <c r="D852" s="1">
        <v>3287115</v>
      </c>
      <c r="E852" s="1" t="s">
        <v>26</v>
      </c>
      <c r="F852" s="2">
        <v>45723.736805555556</v>
      </c>
      <c r="G852" s="1" t="s">
        <v>1593</v>
      </c>
      <c r="H852" s="1" t="s">
        <v>1593</v>
      </c>
      <c r="I852" s="1" t="s">
        <v>620</v>
      </c>
      <c r="J852" s="2">
        <v>45723.870138888888</v>
      </c>
      <c r="L852" s="1" t="s">
        <v>18</v>
      </c>
      <c r="M852" s="1" t="str">
        <f>_xlfn.XLOOKUP(I852,Parâmetros!A:A,Parâmetros!B:B,_xlfn.XLOOKUP(Q852,Parâmetros!F:F,Parâmetros!G:G,"NOVA MENSAGEM"))</f>
        <v>CÓD. CLIENTE DIVERGENTE</v>
      </c>
      <c r="N852" s="1" t="str">
        <f>_xlfn.XLOOKUP(M852,Parâmetros!K:K,Parâmetros!L:L,"")</f>
        <v>CÓDIGO DIFERENTE DO CADASTRADO NO BENNER (CLIENTE X GRUPO)</v>
      </c>
      <c r="O852" s="1" t="str">
        <f>_xlfn.XLOOKUP(M852,Parâmetros!B:B,Parâmetros!C:C,_xlfn.XLOOKUP(Base!M984,Parâmetros!G:G,Parâmetros!H:H))</f>
        <v>QUALIDADE DOS DADOS</v>
      </c>
      <c r="P852" s="1" t="str">
        <f>_xlfn.XLOOKUP(I852,Parâmetros!A:A,Parâmetros!D:D,_xlfn.XLOOKUP(Q852,Parâmetros!F:F,Parâmetros!I:I))</f>
        <v>SUPORTE OBT</v>
      </c>
      <c r="Q852" s="1">
        <f t="shared" si="27"/>
        <v>1</v>
      </c>
    </row>
    <row r="853" spans="1:17" x14ac:dyDescent="0.25">
      <c r="A853" s="1" t="str">
        <f>_xlfn.XLOOKUP(D853,'Novo relatório'!B:B,'Novo relatório'!C:C,"RESOLVIDO")</f>
        <v>SABRE</v>
      </c>
      <c r="C853" t="str">
        <f t="shared" si="26"/>
        <v>PENDENTE</v>
      </c>
      <c r="D853" s="1">
        <v>3287116</v>
      </c>
      <c r="E853" s="1" t="s">
        <v>26</v>
      </c>
      <c r="F853" s="2">
        <v>45727.38958333333</v>
      </c>
      <c r="G853" s="1" t="s">
        <v>1511</v>
      </c>
      <c r="H853" s="1" t="s">
        <v>1511</v>
      </c>
      <c r="I853" s="1" t="s">
        <v>1189</v>
      </c>
      <c r="J853" s="2">
        <v>45723.870138888888</v>
      </c>
      <c r="K853" s="2">
        <v>45727.474999999999</v>
      </c>
      <c r="L853" s="1" t="s">
        <v>18</v>
      </c>
      <c r="M853" s="1" t="str">
        <f>_xlfn.XLOOKUP(I853,Parâmetros!A:A,Parâmetros!B:B,_xlfn.XLOOKUP(Q853,Parâmetros!F:F,Parâmetros!G:G,"NOVA MENSAGEM"))</f>
        <v>CÓD. CLIENTE DIVERGENTE</v>
      </c>
      <c r="N853" s="1" t="str">
        <f>_xlfn.XLOOKUP(M853,Parâmetros!K:K,Parâmetros!L:L,"")</f>
        <v>CÓDIGO DIFERENTE DO CADASTRADO NO BENNER (CLIENTE X GRUPO)</v>
      </c>
      <c r="O853" s="1" t="str">
        <f>_xlfn.XLOOKUP(M853,Parâmetros!B:B,Parâmetros!C:C,_xlfn.XLOOKUP(Base!M920,Parâmetros!G:G,Parâmetros!H:H))</f>
        <v>QUALIDADE DOS DADOS</v>
      </c>
      <c r="P853" s="1" t="str">
        <f>_xlfn.XLOOKUP(I853,Parâmetros!A:A,Parâmetros!D:D,_xlfn.XLOOKUP(Q853,Parâmetros!F:F,Parâmetros!I:I))</f>
        <v>SUPORTE OBT</v>
      </c>
      <c r="Q853" s="1">
        <f t="shared" si="27"/>
        <v>1</v>
      </c>
    </row>
    <row r="854" spans="1:17" x14ac:dyDescent="0.25">
      <c r="A854" s="1" t="str">
        <f>_xlfn.XLOOKUP(D854,'Novo relatório'!B:B,'Novo relatório'!C:C,"RESOLVIDO")</f>
        <v>SABRE</v>
      </c>
      <c r="C854" t="str">
        <f t="shared" si="26"/>
        <v>PENDENTE</v>
      </c>
      <c r="D854" s="1">
        <v>3287129</v>
      </c>
      <c r="E854" s="1" t="s">
        <v>26</v>
      </c>
      <c r="F854" s="2">
        <v>45723.736805555556</v>
      </c>
      <c r="G854" s="1" t="s">
        <v>1561</v>
      </c>
      <c r="H854" s="1" t="s">
        <v>1561</v>
      </c>
      <c r="I854" s="1" t="s">
        <v>396</v>
      </c>
      <c r="J854" s="2">
        <v>45723.870833333334</v>
      </c>
      <c r="L854" s="1" t="s">
        <v>18</v>
      </c>
      <c r="M854" s="1" t="str">
        <f>_xlfn.XLOOKUP(I854,Parâmetros!A:A,Parâmetros!B:B,_xlfn.XLOOKUP(Q854,Parâmetros!F:F,Parâmetros!G:G,"NOVA MENSAGEM"))</f>
        <v>CÓD. CLIENTE DIVERGENTE</v>
      </c>
      <c r="N854" s="1" t="str">
        <f>_xlfn.XLOOKUP(M854,Parâmetros!K:K,Parâmetros!L:L,"")</f>
        <v>CÓDIGO DIFERENTE DO CADASTRADO NO BENNER (CLIENTE X GRUPO)</v>
      </c>
      <c r="O854" s="1" t="str">
        <f>_xlfn.XLOOKUP(M854,Parâmetros!B:B,Parâmetros!C:C,_xlfn.XLOOKUP(Base!M958,Parâmetros!G:G,Parâmetros!H:H))</f>
        <v>QUALIDADE DOS DADOS</v>
      </c>
      <c r="P854" s="1" t="str">
        <f>_xlfn.XLOOKUP(I854,Parâmetros!A:A,Parâmetros!D:D,_xlfn.XLOOKUP(Q854,Parâmetros!F:F,Parâmetros!I:I))</f>
        <v>SUPORTE OBT</v>
      </c>
      <c r="Q854" s="1">
        <f t="shared" si="27"/>
        <v>1</v>
      </c>
    </row>
    <row r="855" spans="1:17" x14ac:dyDescent="0.25">
      <c r="A855" s="1" t="str">
        <f>_xlfn.XLOOKUP(D855,'Novo relatório'!B:B,'Novo relatório'!C:C,"RESOLVIDO")</f>
        <v>SABRE</v>
      </c>
      <c r="C855" t="str">
        <f t="shared" si="26"/>
        <v>PENDENTE</v>
      </c>
      <c r="D855" s="1">
        <v>3287133</v>
      </c>
      <c r="E855" s="1" t="s">
        <v>26</v>
      </c>
      <c r="F855" s="2">
        <v>45727.404166666667</v>
      </c>
      <c r="G855" s="1" t="s">
        <v>1434</v>
      </c>
      <c r="H855" s="1" t="s">
        <v>1434</v>
      </c>
      <c r="I855" s="1" t="s">
        <v>1054</v>
      </c>
      <c r="J855" s="2">
        <v>45723.870833333334</v>
      </c>
      <c r="K855" s="2">
        <v>45727.496527777781</v>
      </c>
      <c r="L855" s="1" t="s">
        <v>18</v>
      </c>
      <c r="M855" s="1" t="str">
        <f>_xlfn.XLOOKUP(I855,Parâmetros!A:A,Parâmetros!B:B,_xlfn.XLOOKUP(Q855,Parâmetros!F:F,Parâmetros!G:G,"NOVA MENSAGEM"))</f>
        <v>CÓD. CLIENTE DIVERGENTE</v>
      </c>
      <c r="N855" s="1" t="str">
        <f>_xlfn.XLOOKUP(M855,Parâmetros!K:K,Parâmetros!L:L,"")</f>
        <v>CÓDIGO DIFERENTE DO CADASTRADO NO BENNER (CLIENTE X GRUPO)</v>
      </c>
      <c r="O855" s="1" t="str">
        <f>_xlfn.XLOOKUP(M855,Parâmetros!B:B,Parâmetros!C:C,_xlfn.XLOOKUP(Base!M858,Parâmetros!G:G,Parâmetros!H:H))</f>
        <v>QUALIDADE DOS DADOS</v>
      </c>
      <c r="P855" s="1" t="str">
        <f>_xlfn.XLOOKUP(I855,Parâmetros!A:A,Parâmetros!D:D,_xlfn.XLOOKUP(Q855,Parâmetros!F:F,Parâmetros!I:I))</f>
        <v>SUPORTE OBT</v>
      </c>
      <c r="Q855" s="1">
        <f t="shared" si="27"/>
        <v>1</v>
      </c>
    </row>
    <row r="856" spans="1:17" x14ac:dyDescent="0.25">
      <c r="A856" s="1" t="str">
        <f>_xlfn.XLOOKUP(D856,'Novo relatório'!B:B,'Novo relatório'!C:C,"RESOLVIDO")</f>
        <v>SABRE</v>
      </c>
      <c r="C856" t="str">
        <f t="shared" si="26"/>
        <v>PENDENTE</v>
      </c>
      <c r="D856" s="1">
        <v>3287137</v>
      </c>
      <c r="E856" s="1" t="s">
        <v>26</v>
      </c>
      <c r="F856" s="2">
        <v>45723.736805555556</v>
      </c>
      <c r="G856" s="1" t="s">
        <v>1513</v>
      </c>
      <c r="H856" s="1" t="s">
        <v>1513</v>
      </c>
      <c r="I856" s="1" t="s">
        <v>396</v>
      </c>
      <c r="J856" s="2">
        <v>45723.871527777781</v>
      </c>
      <c r="L856" s="1" t="s">
        <v>18</v>
      </c>
      <c r="M856" s="1" t="str">
        <f>_xlfn.XLOOKUP(I856,Parâmetros!A:A,Parâmetros!B:B,_xlfn.XLOOKUP(Q856,Parâmetros!F:F,Parâmetros!G:G,"NOVA MENSAGEM"))</f>
        <v>CÓD. CLIENTE DIVERGENTE</v>
      </c>
      <c r="N856" s="1" t="str">
        <f>_xlfn.XLOOKUP(M856,Parâmetros!K:K,Parâmetros!L:L,"")</f>
        <v>CÓDIGO DIFERENTE DO CADASTRADO NO BENNER (CLIENTE X GRUPO)</v>
      </c>
      <c r="O856" s="1" t="str">
        <f>_xlfn.XLOOKUP(M856,Parâmetros!B:B,Parâmetros!C:C,_xlfn.XLOOKUP(Base!M922,Parâmetros!G:G,Parâmetros!H:H))</f>
        <v>QUALIDADE DOS DADOS</v>
      </c>
      <c r="P856" s="1" t="str">
        <f>_xlfn.XLOOKUP(I856,Parâmetros!A:A,Parâmetros!D:D,_xlfn.XLOOKUP(Q856,Parâmetros!F:F,Parâmetros!I:I))</f>
        <v>SUPORTE OBT</v>
      </c>
      <c r="Q856" s="1">
        <f t="shared" si="27"/>
        <v>1</v>
      </c>
    </row>
    <row r="857" spans="1:17" x14ac:dyDescent="0.25">
      <c r="A857" s="1" t="str">
        <f>_xlfn.XLOOKUP(D857,'Novo relatório'!B:B,'Novo relatório'!C:C,"RESOLVIDO")</f>
        <v>SABRE</v>
      </c>
      <c r="C857" t="str">
        <f t="shared" si="26"/>
        <v>PENDENTE</v>
      </c>
      <c r="D857" s="1">
        <v>3287140</v>
      </c>
      <c r="E857" s="1" t="s">
        <v>26</v>
      </c>
      <c r="F857" s="2">
        <v>45723.736805555556</v>
      </c>
      <c r="G857" s="1" t="s">
        <v>1570</v>
      </c>
      <c r="H857" s="1" t="s">
        <v>1570</v>
      </c>
      <c r="I857" s="1" t="s">
        <v>707</v>
      </c>
      <c r="J857" s="2">
        <v>45723.871527777781</v>
      </c>
      <c r="L857" s="1" t="s">
        <v>18</v>
      </c>
      <c r="M857" s="1" t="str">
        <f>_xlfn.XLOOKUP(I857,Parâmetros!A:A,Parâmetros!B:B,_xlfn.XLOOKUP(Q857,Parâmetros!F:F,Parâmetros!G:G,"NOVA MENSAGEM"))</f>
        <v>CÓD. CLIENTE DIVERGENTE</v>
      </c>
      <c r="N857" s="1" t="str">
        <f>_xlfn.XLOOKUP(M857,Parâmetros!K:K,Parâmetros!L:L,"")</f>
        <v>CÓDIGO DIFERENTE DO CADASTRADO NO BENNER (CLIENTE X GRUPO)</v>
      </c>
      <c r="O857" s="1" t="str">
        <f>_xlfn.XLOOKUP(M857,Parâmetros!B:B,Parâmetros!C:C,_xlfn.XLOOKUP(Base!M966,Parâmetros!G:G,Parâmetros!H:H))</f>
        <v>QUALIDADE DOS DADOS</v>
      </c>
      <c r="P857" s="1" t="str">
        <f>_xlfn.XLOOKUP(I857,Parâmetros!A:A,Parâmetros!D:D,_xlfn.XLOOKUP(Q857,Parâmetros!F:F,Parâmetros!I:I))</f>
        <v>SUPORTE OBT</v>
      </c>
      <c r="Q857" s="1">
        <f t="shared" si="27"/>
        <v>1</v>
      </c>
    </row>
    <row r="858" spans="1:17" x14ac:dyDescent="0.25">
      <c r="A858" s="1" t="str">
        <f>_xlfn.XLOOKUP(D858,'Novo relatório'!B:B,'Novo relatório'!C:C,"RESOLVIDO")</f>
        <v>SABRE</v>
      </c>
      <c r="C858" t="str">
        <f t="shared" si="26"/>
        <v>PENDENTE</v>
      </c>
      <c r="D858" s="1">
        <v>3287148</v>
      </c>
      <c r="E858" s="1" t="s">
        <v>26</v>
      </c>
      <c r="F858" s="2">
        <v>45727.770833333336</v>
      </c>
      <c r="G858" s="1" t="s">
        <v>1543</v>
      </c>
      <c r="H858" s="1" t="s">
        <v>1543</v>
      </c>
      <c r="I858" s="1" t="s">
        <v>1189</v>
      </c>
      <c r="J858" s="2">
        <v>45723.871527777781</v>
      </c>
      <c r="K858" s="2">
        <v>45727.856249999997</v>
      </c>
      <c r="L858" s="1" t="s">
        <v>18</v>
      </c>
      <c r="M858" s="1" t="str">
        <f>_xlfn.XLOOKUP(I858,Parâmetros!A:A,Parâmetros!B:B,_xlfn.XLOOKUP(Q858,Parâmetros!F:F,Parâmetros!G:G,"NOVA MENSAGEM"))</f>
        <v>CÓD. CLIENTE DIVERGENTE</v>
      </c>
      <c r="N858" s="1" t="str">
        <f>_xlfn.XLOOKUP(M858,Parâmetros!K:K,Parâmetros!L:L,"")</f>
        <v>CÓDIGO DIFERENTE DO CADASTRADO NO BENNER (CLIENTE X GRUPO)</v>
      </c>
      <c r="O858" s="1" t="str">
        <f>_xlfn.XLOOKUP(M858,Parâmetros!B:B,Parâmetros!C:C,_xlfn.XLOOKUP(Base!M945,Parâmetros!G:G,Parâmetros!H:H))</f>
        <v>QUALIDADE DOS DADOS</v>
      </c>
      <c r="P858" s="1" t="str">
        <f>_xlfn.XLOOKUP(I858,Parâmetros!A:A,Parâmetros!D:D,_xlfn.XLOOKUP(Q858,Parâmetros!F:F,Parâmetros!I:I))</f>
        <v>SUPORTE OBT</v>
      </c>
      <c r="Q858" s="1">
        <f t="shared" si="27"/>
        <v>1</v>
      </c>
    </row>
    <row r="859" spans="1:17" x14ac:dyDescent="0.25">
      <c r="A859" s="1" t="str">
        <f>_xlfn.XLOOKUP(D859,'Novo relatório'!B:B,'Novo relatório'!C:C,"RESOLVIDO")</f>
        <v>SABRE</v>
      </c>
      <c r="C859" t="str">
        <f t="shared" si="26"/>
        <v>PENDENTE</v>
      </c>
      <c r="D859" s="1">
        <v>3287152</v>
      </c>
      <c r="E859" s="1" t="s">
        <v>26</v>
      </c>
      <c r="F859" s="2">
        <v>45723.736805555556</v>
      </c>
      <c r="G859" s="1" t="s">
        <v>1475</v>
      </c>
      <c r="H859" s="1" t="s">
        <v>1475</v>
      </c>
      <c r="I859" s="1" t="s">
        <v>707</v>
      </c>
      <c r="J859" s="2">
        <v>45723.871527777781</v>
      </c>
      <c r="L859" s="1" t="s">
        <v>18</v>
      </c>
      <c r="M859" s="1" t="str">
        <f>_xlfn.XLOOKUP(I859,Parâmetros!A:A,Parâmetros!B:B,_xlfn.XLOOKUP(Q859,Parâmetros!F:F,Parâmetros!G:G,"NOVA MENSAGEM"))</f>
        <v>CÓD. CLIENTE DIVERGENTE</v>
      </c>
      <c r="N859" s="1" t="str">
        <f>_xlfn.XLOOKUP(M859,Parâmetros!K:K,Parâmetros!L:L,"")</f>
        <v>CÓDIGO DIFERENTE DO CADASTRADO NO BENNER (CLIENTE X GRUPO)</v>
      </c>
      <c r="O859" s="1" t="str">
        <f>_xlfn.XLOOKUP(M859,Parâmetros!B:B,Parâmetros!C:C,_xlfn.XLOOKUP(Base!M889,Parâmetros!G:G,Parâmetros!H:H))</f>
        <v>QUALIDADE DOS DADOS</v>
      </c>
      <c r="P859" s="1" t="str">
        <f>_xlfn.XLOOKUP(I859,Parâmetros!A:A,Parâmetros!D:D,_xlfn.XLOOKUP(Q859,Parâmetros!F:F,Parâmetros!I:I))</f>
        <v>SUPORTE OBT</v>
      </c>
      <c r="Q859" s="1">
        <f t="shared" si="27"/>
        <v>1</v>
      </c>
    </row>
    <row r="860" spans="1:17" x14ac:dyDescent="0.25">
      <c r="A860" s="1" t="str">
        <f>_xlfn.XLOOKUP(D860,'Novo relatório'!B:B,'Novo relatório'!C:C,"RESOLVIDO")</f>
        <v>SABRE</v>
      </c>
      <c r="C860" t="str">
        <f t="shared" si="26"/>
        <v>PENDENTE</v>
      </c>
      <c r="D860" s="1">
        <v>3287153</v>
      </c>
      <c r="E860" s="1" t="s">
        <v>26</v>
      </c>
      <c r="F860" s="2">
        <v>45723.736805555556</v>
      </c>
      <c r="G860" s="1" t="s">
        <v>1387</v>
      </c>
      <c r="H860" s="1" t="s">
        <v>1387</v>
      </c>
      <c r="I860" s="1" t="s">
        <v>707</v>
      </c>
      <c r="J860" s="2">
        <v>45723.87222222222</v>
      </c>
      <c r="L860" s="1" t="s">
        <v>18</v>
      </c>
      <c r="M860" s="1" t="str">
        <f>_xlfn.XLOOKUP(I860,Parâmetros!A:A,Parâmetros!B:B,_xlfn.XLOOKUP(Q860,Parâmetros!F:F,Parâmetros!G:G,"NOVA MENSAGEM"))</f>
        <v>CÓD. CLIENTE DIVERGENTE</v>
      </c>
      <c r="N860" s="1" t="str">
        <f>_xlfn.XLOOKUP(M860,Parâmetros!K:K,Parâmetros!L:L,"")</f>
        <v>CÓDIGO DIFERENTE DO CADASTRADO NO BENNER (CLIENTE X GRUPO)</v>
      </c>
      <c r="O860" s="1" t="str">
        <f>_xlfn.XLOOKUP(M860,Parâmetros!B:B,Parâmetros!C:C,_xlfn.XLOOKUP(Base!M821,Parâmetros!G:G,Parâmetros!H:H))</f>
        <v>QUALIDADE DOS DADOS</v>
      </c>
      <c r="P860" s="1" t="str">
        <f>_xlfn.XLOOKUP(I860,Parâmetros!A:A,Parâmetros!D:D,_xlfn.XLOOKUP(Q860,Parâmetros!F:F,Parâmetros!I:I))</f>
        <v>SUPORTE OBT</v>
      </c>
      <c r="Q860" s="1">
        <f t="shared" si="27"/>
        <v>1</v>
      </c>
    </row>
    <row r="861" spans="1:17" x14ac:dyDescent="0.25">
      <c r="A861" s="1" t="str">
        <f>_xlfn.XLOOKUP(D861,'Novo relatório'!B:B,'Novo relatório'!C:C,"RESOLVIDO")</f>
        <v>SABRE</v>
      </c>
      <c r="C861" t="str">
        <f t="shared" si="26"/>
        <v>PENDENTE</v>
      </c>
      <c r="D861" s="1">
        <v>3288296</v>
      </c>
      <c r="E861" s="1" t="s">
        <v>26</v>
      </c>
      <c r="F861" s="2">
        <v>45729.35833333333</v>
      </c>
      <c r="G861" s="1" t="s">
        <v>1402</v>
      </c>
      <c r="H861" s="1" t="s">
        <v>1402</v>
      </c>
      <c r="I861" s="1" t="s">
        <v>1403</v>
      </c>
      <c r="J861" s="2">
        <v>45726.429166666669</v>
      </c>
      <c r="K861" s="2">
        <v>45729.45</v>
      </c>
      <c r="L861" s="1" t="s">
        <v>18</v>
      </c>
      <c r="M861" s="1" t="str">
        <f>_xlfn.XLOOKUP(I861,Parâmetros!A:A,Parâmetros!B:B,_xlfn.XLOOKUP(Q861,Parâmetros!F:F,Parâmetros!G:G,"NOVA MENSAGEM"))</f>
        <v>CÓD. CLIENTE DIVERGENTE</v>
      </c>
      <c r="N861" s="1" t="str">
        <f>_xlfn.XLOOKUP(M861,Parâmetros!K:K,Parâmetros!L:L,"")</f>
        <v>CÓDIGO DIFERENTE DO CADASTRADO NO BENNER (CLIENTE X GRUPO)</v>
      </c>
      <c r="O861" s="1" t="str">
        <f>_xlfn.XLOOKUP(M861,Parâmetros!B:B,Parâmetros!C:C,_xlfn.XLOOKUP(Base!M832,Parâmetros!G:G,Parâmetros!H:H))</f>
        <v>QUALIDADE DOS DADOS</v>
      </c>
      <c r="P861" s="1" t="str">
        <f>_xlfn.XLOOKUP(I861,Parâmetros!A:A,Parâmetros!D:D,_xlfn.XLOOKUP(Q861,Parâmetros!F:F,Parâmetros!I:I))</f>
        <v>SUPORTE OBT</v>
      </c>
      <c r="Q861" s="1">
        <f t="shared" si="27"/>
        <v>1</v>
      </c>
    </row>
    <row r="862" spans="1:17" x14ac:dyDescent="0.25">
      <c r="A862" s="1" t="str">
        <f>_xlfn.XLOOKUP(D862,'Novo relatório'!B:B,'Novo relatório'!C:C,"RESOLVIDO")</f>
        <v>SABRE</v>
      </c>
      <c r="C862" t="str">
        <f t="shared" si="26"/>
        <v>PENDENTE</v>
      </c>
      <c r="D862" s="1">
        <v>3288566</v>
      </c>
      <c r="E862" s="1" t="s">
        <v>26</v>
      </c>
      <c r="F862" s="2">
        <v>45726.429166666669</v>
      </c>
      <c r="G862" s="1" t="s">
        <v>1514</v>
      </c>
      <c r="H862" s="1" t="s">
        <v>1514</v>
      </c>
      <c r="I862" s="1" t="s">
        <v>1215</v>
      </c>
      <c r="J862" s="2">
        <v>45726.522916666669</v>
      </c>
      <c r="L862" s="1" t="s">
        <v>18</v>
      </c>
      <c r="M862" s="1" t="str">
        <f>_xlfn.XLOOKUP(I862,Parâmetros!A:A,Parâmetros!B:B,_xlfn.XLOOKUP(Q862,Parâmetros!F:F,Parâmetros!G:G,"NOVA MENSAGEM"))</f>
        <v>CÓD. CLIENTE DIVERGENTE</v>
      </c>
      <c r="N862" s="1" t="str">
        <f>_xlfn.XLOOKUP(M862,Parâmetros!K:K,Parâmetros!L:L,"")</f>
        <v>CÓDIGO DIFERENTE DO CADASTRADO NO BENNER (CLIENTE X GRUPO)</v>
      </c>
      <c r="O862" s="1" t="str">
        <f>_xlfn.XLOOKUP(M862,Parâmetros!B:B,Parâmetros!C:C,_xlfn.XLOOKUP(Base!M923,Parâmetros!G:G,Parâmetros!H:H))</f>
        <v>QUALIDADE DOS DADOS</v>
      </c>
      <c r="P862" s="1" t="str">
        <f>_xlfn.XLOOKUP(I862,Parâmetros!A:A,Parâmetros!D:D,_xlfn.XLOOKUP(Q862,Parâmetros!F:F,Parâmetros!I:I))</f>
        <v>SUPORTE OBT</v>
      </c>
      <c r="Q862" s="1">
        <f t="shared" si="27"/>
        <v>1</v>
      </c>
    </row>
    <row r="863" spans="1:17" x14ac:dyDescent="0.25">
      <c r="A863" s="1" t="str">
        <f>_xlfn.XLOOKUP(D863,'Novo relatório'!B:B,'Novo relatório'!C:C,"RESOLVIDO")</f>
        <v>SABRE</v>
      </c>
      <c r="C863" t="str">
        <f t="shared" si="26"/>
        <v>PENDENTE</v>
      </c>
      <c r="D863" s="1">
        <v>3288567</v>
      </c>
      <c r="E863" s="1" t="s">
        <v>26</v>
      </c>
      <c r="F863" s="2">
        <v>45726.429166666669</v>
      </c>
      <c r="G863" s="1" t="s">
        <v>1515</v>
      </c>
      <c r="H863" s="1" t="s">
        <v>1514</v>
      </c>
      <c r="I863" s="1" t="s">
        <v>1216</v>
      </c>
      <c r="J863" s="2">
        <v>45726.522916666669</v>
      </c>
      <c r="L863" s="1" t="s">
        <v>18</v>
      </c>
      <c r="M863" s="1" t="str">
        <f>_xlfn.XLOOKUP(I863,Parâmetros!A:A,Parâmetros!B:B,_xlfn.XLOOKUP(Q863,Parâmetros!F:F,Parâmetros!G:G,"NOVA MENSAGEM"))</f>
        <v>CÓD. CLIENTE DIVERGENTE</v>
      </c>
      <c r="N863" s="1" t="str">
        <f>_xlfn.XLOOKUP(M863,Parâmetros!K:K,Parâmetros!L:L,"")</f>
        <v>CÓDIGO DIFERENTE DO CADASTRADO NO BENNER (CLIENTE X GRUPO)</v>
      </c>
      <c r="O863" s="1" t="str">
        <f>_xlfn.XLOOKUP(M863,Parâmetros!B:B,Parâmetros!C:C,_xlfn.XLOOKUP(Base!M924,Parâmetros!G:G,Parâmetros!H:H))</f>
        <v>QUALIDADE DOS DADOS</v>
      </c>
      <c r="P863" s="1" t="str">
        <f>_xlfn.XLOOKUP(I863,Parâmetros!A:A,Parâmetros!D:D,_xlfn.XLOOKUP(Q863,Parâmetros!F:F,Parâmetros!I:I))</f>
        <v>SUPORTE OBT</v>
      </c>
      <c r="Q863" s="1">
        <f t="shared" si="27"/>
        <v>1</v>
      </c>
    </row>
    <row r="864" spans="1:17" x14ac:dyDescent="0.25">
      <c r="A864" s="1" t="str">
        <f>_xlfn.XLOOKUP(D864,'Novo relatório'!B:B,'Novo relatório'!C:C,"RESOLVIDO")</f>
        <v>SABRE</v>
      </c>
      <c r="C864" t="str">
        <f t="shared" si="26"/>
        <v>PENDENTE</v>
      </c>
      <c r="D864" s="1">
        <v>3288748</v>
      </c>
      <c r="E864" s="1" t="s">
        <v>26</v>
      </c>
      <c r="F864" s="2">
        <v>45726.480555555558</v>
      </c>
      <c r="G864" s="1" t="s">
        <v>1399</v>
      </c>
      <c r="H864" s="1" t="s">
        <v>1399</v>
      </c>
      <c r="I864" s="1" t="s">
        <v>83</v>
      </c>
      <c r="J864" s="2">
        <v>45726.57708333333</v>
      </c>
      <c r="L864" s="1" t="s">
        <v>18</v>
      </c>
      <c r="M864" s="1" t="str">
        <f>_xlfn.XLOOKUP(I864,Parâmetros!A:A,Parâmetros!B:B,_xlfn.XLOOKUP(Q864,Parâmetros!F:F,Parâmetros!G:G,"NOVA MENSAGEM"))</f>
        <v>CLIENTE NÃO IDENTIFICADO</v>
      </c>
      <c r="N864" s="1" t="str">
        <f>_xlfn.XLOOKUP(M864,Parâmetros!K:K,Parâmetros!L:L,"")</f>
        <v>DK DE CLIENTE NÃO PREENCIDO / CLIENTE NÃO CONFIGURADO NO OBT</v>
      </c>
      <c r="O864" s="1" t="str">
        <f>_xlfn.XLOOKUP(M864,Parâmetros!B:B,Parâmetros!C:C,_xlfn.XLOOKUP(Base!M830,Parâmetros!G:G,Parâmetros!H:H))</f>
        <v>INDEFINIDO</v>
      </c>
      <c r="P864" s="1" t="str">
        <f>_xlfn.XLOOKUP(I864,Parâmetros!A:A,Parâmetros!D:D,_xlfn.XLOOKUP(Q864,Parâmetros!F:F,Parâmetros!I:I))</f>
        <v>OPERAÇÕES / SUPORTE KCS</v>
      </c>
      <c r="Q864" s="1" t="str">
        <f t="shared" si="27"/>
        <v>COLUNA I</v>
      </c>
    </row>
    <row r="865" spans="1:17" x14ac:dyDescent="0.25">
      <c r="A865" s="1" t="str">
        <f>_xlfn.XLOOKUP(D865,'Novo relatório'!B:B,'Novo relatório'!C:C,"RESOLVIDO")</f>
        <v>SABRE</v>
      </c>
      <c r="C865" t="str">
        <f t="shared" si="26"/>
        <v>PENDENTE</v>
      </c>
      <c r="D865" s="1">
        <v>3288750</v>
      </c>
      <c r="E865" s="1" t="s">
        <v>26</v>
      </c>
      <c r="F865" s="2">
        <v>45726.480555555558</v>
      </c>
      <c r="G865" s="1" t="s">
        <v>1538</v>
      </c>
      <c r="H865" s="1" t="s">
        <v>1538</v>
      </c>
      <c r="I865" s="1" t="s">
        <v>652</v>
      </c>
      <c r="J865" s="2">
        <v>45726.57708333333</v>
      </c>
      <c r="L865" s="1" t="s">
        <v>18</v>
      </c>
      <c r="M865" s="1" t="str">
        <f>_xlfn.XLOOKUP(I865,Parâmetros!A:A,Parâmetros!B:B,_xlfn.XLOOKUP(Q865,Parâmetros!F:F,Parâmetros!G:G,"NOVA MENSAGEM"))</f>
        <v>CÓD. CLIENTE DIVERGENTE</v>
      </c>
      <c r="N865" s="1" t="str">
        <f>_xlfn.XLOOKUP(M865,Parâmetros!K:K,Parâmetros!L:L,"")</f>
        <v>CÓDIGO DIFERENTE DO CADASTRADO NO BENNER (CLIENTE X GRUPO)</v>
      </c>
      <c r="O865" s="1" t="str">
        <f>_xlfn.XLOOKUP(M865,Parâmetros!B:B,Parâmetros!C:C,_xlfn.XLOOKUP(Base!M941,Parâmetros!G:G,Parâmetros!H:H))</f>
        <v>QUALIDADE DOS DADOS</v>
      </c>
      <c r="P865" s="1" t="str">
        <f>_xlfn.XLOOKUP(I865,Parâmetros!A:A,Parâmetros!D:D,_xlfn.XLOOKUP(Q865,Parâmetros!F:F,Parâmetros!I:I))</f>
        <v>SUPORTE OBT</v>
      </c>
      <c r="Q865" s="1">
        <f t="shared" si="27"/>
        <v>1</v>
      </c>
    </row>
    <row r="866" spans="1:17" x14ac:dyDescent="0.25">
      <c r="A866" s="1" t="str">
        <f>_xlfn.XLOOKUP(D866,'Novo relatório'!B:B,'Novo relatório'!C:C,"RESOLVIDO")</f>
        <v>SABRE</v>
      </c>
      <c r="C866" t="str">
        <f t="shared" si="26"/>
        <v>PENDENTE</v>
      </c>
      <c r="D866" s="1">
        <v>3288751</v>
      </c>
      <c r="E866" s="1" t="s">
        <v>26</v>
      </c>
      <c r="F866" s="2">
        <v>45726.480555555558</v>
      </c>
      <c r="G866" s="1" t="s">
        <v>1534</v>
      </c>
      <c r="H866" s="1" t="s">
        <v>1534</v>
      </c>
      <c r="I866" s="1" t="s">
        <v>652</v>
      </c>
      <c r="J866" s="2">
        <v>45726.57708333333</v>
      </c>
      <c r="L866" s="1" t="s">
        <v>18</v>
      </c>
      <c r="M866" s="1" t="str">
        <f>_xlfn.XLOOKUP(I866,Parâmetros!A:A,Parâmetros!B:B,_xlfn.XLOOKUP(Q866,Parâmetros!F:F,Parâmetros!G:G,"NOVA MENSAGEM"))</f>
        <v>CÓD. CLIENTE DIVERGENTE</v>
      </c>
      <c r="N866" s="1" t="str">
        <f>_xlfn.XLOOKUP(M866,Parâmetros!K:K,Parâmetros!L:L,"")</f>
        <v>CÓDIGO DIFERENTE DO CADASTRADO NO BENNER (CLIENTE X GRUPO)</v>
      </c>
      <c r="O866" s="1" t="str">
        <f>_xlfn.XLOOKUP(M866,Parâmetros!B:B,Parâmetros!C:C,_xlfn.XLOOKUP(Base!M938,Parâmetros!G:G,Parâmetros!H:H))</f>
        <v>QUALIDADE DOS DADOS</v>
      </c>
      <c r="P866" s="1" t="str">
        <f>_xlfn.XLOOKUP(I866,Parâmetros!A:A,Parâmetros!D:D,_xlfn.XLOOKUP(Q866,Parâmetros!F:F,Parâmetros!I:I))</f>
        <v>SUPORTE OBT</v>
      </c>
      <c r="Q866" s="1">
        <f t="shared" si="27"/>
        <v>1</v>
      </c>
    </row>
    <row r="867" spans="1:17" x14ac:dyDescent="0.25">
      <c r="A867" s="1" t="str">
        <f>_xlfn.XLOOKUP(D867,'Novo relatório'!B:B,'Novo relatório'!C:C,"RESOLVIDO")</f>
        <v>SABRE</v>
      </c>
      <c r="C867" t="str">
        <f t="shared" si="26"/>
        <v>PENDENTE</v>
      </c>
      <c r="D867" s="1">
        <v>3288752</v>
      </c>
      <c r="E867" s="1" t="s">
        <v>26</v>
      </c>
      <c r="F867" s="2">
        <v>45726.480555555558</v>
      </c>
      <c r="G867" s="1" t="s">
        <v>1385</v>
      </c>
      <c r="H867" s="1" t="s">
        <v>1385</v>
      </c>
      <c r="I867" s="1" t="s">
        <v>83</v>
      </c>
      <c r="J867" s="2">
        <v>45726.57708333333</v>
      </c>
      <c r="L867" s="1" t="s">
        <v>18</v>
      </c>
      <c r="M867" s="1" t="str">
        <f>_xlfn.XLOOKUP(I867,Parâmetros!A:A,Parâmetros!B:B,_xlfn.XLOOKUP(Q867,Parâmetros!F:F,Parâmetros!G:G,"NOVA MENSAGEM"))</f>
        <v>CLIENTE NÃO IDENTIFICADO</v>
      </c>
      <c r="N867" s="1" t="str">
        <f>_xlfn.XLOOKUP(M867,Parâmetros!K:K,Parâmetros!L:L,"")</f>
        <v>DK DE CLIENTE NÃO PREENCIDO / CLIENTE NÃO CONFIGURADO NO OBT</v>
      </c>
      <c r="O867" s="1" t="str">
        <f>_xlfn.XLOOKUP(M867,Parâmetros!B:B,Parâmetros!C:C,_xlfn.XLOOKUP(Base!M819,Parâmetros!G:G,Parâmetros!H:H))</f>
        <v>INDEFINIDO</v>
      </c>
      <c r="P867" s="1" t="str">
        <f>_xlfn.XLOOKUP(I867,Parâmetros!A:A,Parâmetros!D:D,_xlfn.XLOOKUP(Q867,Parâmetros!F:F,Parâmetros!I:I))</f>
        <v>OPERAÇÕES / SUPORTE KCS</v>
      </c>
      <c r="Q867" s="1" t="str">
        <f t="shared" si="27"/>
        <v>COLUNA I</v>
      </c>
    </row>
    <row r="868" spans="1:17" x14ac:dyDescent="0.25">
      <c r="A868" s="1" t="str">
        <f>_xlfn.XLOOKUP(D868,'Novo relatório'!B:B,'Novo relatório'!C:C,"RESOLVIDO")</f>
        <v>RESOLVIDO</v>
      </c>
      <c r="C868" t="str">
        <f t="shared" si="26"/>
        <v>RESOLVIDO</v>
      </c>
      <c r="D868" s="1">
        <v>3288756</v>
      </c>
      <c r="E868" s="1" t="s">
        <v>26</v>
      </c>
      <c r="F868" s="2">
        <v>45734.696527777778</v>
      </c>
      <c r="G868" s="1" t="s">
        <v>1677</v>
      </c>
      <c r="H868" s="1" t="s">
        <v>1677</v>
      </c>
      <c r="I868" s="1" t="s">
        <v>632</v>
      </c>
      <c r="J868" s="2">
        <v>45726.577777777777</v>
      </c>
      <c r="K868" s="2">
        <v>45734.788194444445</v>
      </c>
      <c r="L868" s="1" t="s">
        <v>14</v>
      </c>
      <c r="M868" s="1" t="str">
        <f>_xlfn.XLOOKUP(I868,Parâmetros!A:A,Parâmetros!B:B,_xlfn.XLOOKUP(Q868,Parâmetros!F:F,Parâmetros!G:G,"NOVA MENSAGEM"))</f>
        <v>ERRO NO XML</v>
      </c>
      <c r="N868" s="1" t="str">
        <f>_xlfn.XLOOKUP(M868,Parâmetros!K:K,Parâmetros!L:L,"")</f>
        <v/>
      </c>
      <c r="O868" s="1" t="str">
        <f>_xlfn.XLOOKUP(M868,Parâmetros!B:B,Parâmetros!C:C,_xlfn.XLOOKUP(Base!M1041,Parâmetros!G:G,Parâmetros!H:H))</f>
        <v>SISTEMA</v>
      </c>
      <c r="P868" s="1" t="str">
        <f>_xlfn.XLOOKUP(I868,Parâmetros!A:A,Parâmetros!D:D,_xlfn.XLOOKUP(Q868,Parâmetros!F:F,Parâmetros!I:I))</f>
        <v>SUPORTE OBT</v>
      </c>
      <c r="Q868" s="1" t="str">
        <f t="shared" si="27"/>
        <v>COLUNA I</v>
      </c>
    </row>
    <row r="869" spans="1:17" x14ac:dyDescent="0.25">
      <c r="A869" s="1" t="str">
        <f>_xlfn.XLOOKUP(D869,'Novo relatório'!B:B,'Novo relatório'!C:C,"RESOLVIDO")</f>
        <v>TMS</v>
      </c>
      <c r="C869" t="str">
        <f t="shared" si="26"/>
        <v>PENDENTE</v>
      </c>
      <c r="D869" s="1">
        <v>3289013</v>
      </c>
      <c r="E869" s="1" t="s">
        <v>12</v>
      </c>
      <c r="F869" s="2">
        <v>45726.593055555553</v>
      </c>
      <c r="G869" s="1">
        <v>56419</v>
      </c>
      <c r="H869" s="1">
        <v>56419</v>
      </c>
      <c r="I869" s="1" t="s">
        <v>16</v>
      </c>
      <c r="J869" s="2">
        <v>45726.654861111114</v>
      </c>
      <c r="K869" s="2">
        <v>45729.946527777778</v>
      </c>
      <c r="L869" s="1" t="s">
        <v>14</v>
      </c>
      <c r="M869" s="1" t="str">
        <f>_xlfn.XLOOKUP(I869,Parâmetros!A:A,Parâmetros!B:B,_xlfn.XLOOKUP(Q869,Parâmetros!F:F,Parâmetros!G:G,"NOVA MENSAGEM"))</f>
        <v>ASSENTO / BAGAGEM</v>
      </c>
      <c r="N869" s="1" t="str">
        <f>_xlfn.XLOOKUP(M869,Parâmetros!K:K,Parâmetros!L:L,"")</f>
        <v>CAMPO OBSERVAÇÃO PREENCHIDO INCORRETAMENTE</v>
      </c>
      <c r="O869" s="1" t="str">
        <f>_xlfn.XLOOKUP(M869,Parâmetros!B:B,Parâmetros!C:C,_xlfn.XLOOKUP(Base!M1009,Parâmetros!G:G,Parâmetros!H:H))</f>
        <v>QUALIDADE DOS DADOS</v>
      </c>
      <c r="P869" s="1" t="str">
        <f>_xlfn.XLOOKUP(I869,Parâmetros!A:A,Parâmetros!D:D,_xlfn.XLOOKUP(Q869,Parâmetros!F:F,Parâmetros!I:I))</f>
        <v>OPERAÇÕES / SUPORTE KCS</v>
      </c>
      <c r="Q869" s="1">
        <f t="shared" si="27"/>
        <v>118</v>
      </c>
    </row>
    <row r="870" spans="1:17" x14ac:dyDescent="0.25">
      <c r="A870" s="1" t="str">
        <f>_xlfn.XLOOKUP(D870,'Novo relatório'!B:B,'Novo relatório'!C:C,"RESOLVIDO")</f>
        <v>SABRE</v>
      </c>
      <c r="C870" t="str">
        <f t="shared" si="26"/>
        <v>PENDENTE</v>
      </c>
      <c r="D870" s="1">
        <v>3289730</v>
      </c>
      <c r="E870" s="1" t="s">
        <v>26</v>
      </c>
      <c r="F870" s="2">
        <v>45726.643750000003</v>
      </c>
      <c r="G870" s="1" t="s">
        <v>1486</v>
      </c>
      <c r="H870" s="1" t="s">
        <v>1486</v>
      </c>
      <c r="I870" s="1" t="s">
        <v>1403</v>
      </c>
      <c r="J870" s="2">
        <v>45726.731944444444</v>
      </c>
      <c r="L870" s="1" t="s">
        <v>18</v>
      </c>
      <c r="M870" s="1" t="str">
        <f>_xlfn.XLOOKUP(I870,Parâmetros!A:A,Parâmetros!B:B,_xlfn.XLOOKUP(Q870,Parâmetros!F:F,Parâmetros!G:G,"NOVA MENSAGEM"))</f>
        <v>CÓD. CLIENTE DIVERGENTE</v>
      </c>
      <c r="N870" s="1" t="str">
        <f>_xlfn.XLOOKUP(M870,Parâmetros!K:K,Parâmetros!L:L,"")</f>
        <v>CÓDIGO DIFERENTE DO CADASTRADO NO BENNER (CLIENTE X GRUPO)</v>
      </c>
      <c r="O870" s="1" t="str">
        <f>_xlfn.XLOOKUP(M870,Parâmetros!B:B,Parâmetros!C:C,_xlfn.XLOOKUP(Base!M899,Parâmetros!G:G,Parâmetros!H:H))</f>
        <v>QUALIDADE DOS DADOS</v>
      </c>
      <c r="P870" s="1" t="str">
        <f>_xlfn.XLOOKUP(I870,Parâmetros!A:A,Parâmetros!D:D,_xlfn.XLOOKUP(Q870,Parâmetros!F:F,Parâmetros!I:I))</f>
        <v>SUPORTE OBT</v>
      </c>
      <c r="Q870" s="1">
        <f t="shared" si="27"/>
        <v>1</v>
      </c>
    </row>
    <row r="871" spans="1:17" x14ac:dyDescent="0.25">
      <c r="A871" s="1" t="str">
        <f>_xlfn.XLOOKUP(D871,'Novo relatório'!B:B,'Novo relatório'!C:C,"RESOLVIDO")</f>
        <v>SABRE</v>
      </c>
      <c r="C871" t="str">
        <f t="shared" si="26"/>
        <v>PENDENTE</v>
      </c>
      <c r="D871" s="1">
        <v>3290261</v>
      </c>
      <c r="E871" s="1" t="s">
        <v>26</v>
      </c>
      <c r="F871" s="2">
        <v>45726.724305555559</v>
      </c>
      <c r="G871" s="1" t="s">
        <v>1430</v>
      </c>
      <c r="H871" s="1" t="s">
        <v>1431</v>
      </c>
      <c r="I871" s="1" t="s">
        <v>64</v>
      </c>
      <c r="J871" s="2">
        <v>45726.814583333333</v>
      </c>
      <c r="L871" s="1" t="s">
        <v>1244</v>
      </c>
      <c r="M871" s="1" t="str">
        <f>_xlfn.XLOOKUP(I871,Parâmetros!A:A,Parâmetros!B:B,_xlfn.XLOOKUP(Q871,Parâmetros!F:F,Parâmetros!G:G,"NOVA MENSAGEM"))</f>
        <v>FORMATO DE TEXTO</v>
      </c>
      <c r="N871" s="1" t="str">
        <f>_xlfn.XLOOKUP(M871,Parâmetros!K:K,Parâmetros!L:L,"")</f>
        <v>TEXTO FORA DO PADRÃO ACEITO NO CAMPO</v>
      </c>
      <c r="O871" s="1" t="str">
        <f>_xlfn.XLOOKUP(M871,Parâmetros!B:B,Parâmetros!C:C,_xlfn.XLOOKUP(Base!M855,Parâmetros!G:G,Parâmetros!H:H))</f>
        <v>INDEFINIDO</v>
      </c>
      <c r="P871" s="1" t="str">
        <f>_xlfn.XLOOKUP(I871,Parâmetros!A:A,Parâmetros!D:D,_xlfn.XLOOKUP(Q871,Parâmetros!F:F,Parâmetros!I:I))</f>
        <v>SUPORTE OBT</v>
      </c>
      <c r="Q871" s="1" t="str">
        <f t="shared" si="27"/>
        <v>COLUNA I</v>
      </c>
    </row>
    <row r="872" spans="1:17" x14ac:dyDescent="0.25">
      <c r="A872" s="1" t="str">
        <f>_xlfn.XLOOKUP(D872,'Novo relatório'!B:B,'Novo relatório'!C:C,"RESOLVIDO")</f>
        <v>SABRE</v>
      </c>
      <c r="C872" t="str">
        <f t="shared" si="26"/>
        <v>PENDENTE</v>
      </c>
      <c r="D872" s="1">
        <v>3290275</v>
      </c>
      <c r="E872" s="1" t="s">
        <v>26</v>
      </c>
      <c r="F872" s="2">
        <v>45727.412499999999</v>
      </c>
      <c r="G872" s="1" t="s">
        <v>1531</v>
      </c>
      <c r="H872" s="1" t="s">
        <v>1531</v>
      </c>
      <c r="I872" s="1" t="s">
        <v>1532</v>
      </c>
      <c r="J872" s="2">
        <v>45726.835416666669</v>
      </c>
      <c r="K872" s="2">
        <v>45727.502083333333</v>
      </c>
      <c r="L872" s="1" t="s">
        <v>18</v>
      </c>
      <c r="M872" s="1" t="str">
        <f>_xlfn.XLOOKUP(I872,Parâmetros!A:A,Parâmetros!B:B,_xlfn.XLOOKUP(Q872,Parâmetros!F:F,Parâmetros!G:G,"NOVA MENSAGEM"))</f>
        <v>CÓD. CLIENTE DIVERGENTE</v>
      </c>
      <c r="N872" s="1" t="str">
        <f>_xlfn.XLOOKUP(M872,Parâmetros!K:K,Parâmetros!L:L,"")</f>
        <v>CÓDIGO DIFERENTE DO CADASTRADO NO BENNER (CLIENTE X GRUPO)</v>
      </c>
      <c r="O872" s="1" t="str">
        <f>_xlfn.XLOOKUP(M872,Parâmetros!B:B,Parâmetros!C:C,_xlfn.XLOOKUP(Base!M936,Parâmetros!G:G,Parâmetros!H:H))</f>
        <v>QUALIDADE DOS DADOS</v>
      </c>
      <c r="P872" s="1" t="str">
        <f>_xlfn.XLOOKUP(I872,Parâmetros!A:A,Parâmetros!D:D,_xlfn.XLOOKUP(Q872,Parâmetros!F:F,Parâmetros!I:I))</f>
        <v>SUPORTE OBT</v>
      </c>
      <c r="Q872" s="1">
        <f t="shared" si="27"/>
        <v>1</v>
      </c>
    </row>
    <row r="873" spans="1:17" x14ac:dyDescent="0.25">
      <c r="A873" s="1" t="str">
        <f>_xlfn.XLOOKUP(D873,'Novo relatório'!B:B,'Novo relatório'!C:C,"RESOLVIDO")</f>
        <v>SABRE</v>
      </c>
      <c r="C873" t="str">
        <f t="shared" si="26"/>
        <v>PENDENTE</v>
      </c>
      <c r="D873" s="1">
        <v>3290284</v>
      </c>
      <c r="E873" s="1" t="s">
        <v>26</v>
      </c>
      <c r="F873" s="2">
        <v>45727.722916666666</v>
      </c>
      <c r="G873" s="1" t="s">
        <v>1535</v>
      </c>
      <c r="H873" s="1" t="s">
        <v>1535</v>
      </c>
      <c r="I873" s="1" t="s">
        <v>1189</v>
      </c>
      <c r="J873" s="2">
        <v>45726.84652777778</v>
      </c>
      <c r="K873" s="2">
        <v>45727.816666666666</v>
      </c>
      <c r="L873" s="1" t="s">
        <v>18</v>
      </c>
      <c r="M873" s="1" t="str">
        <f>_xlfn.XLOOKUP(I873,Parâmetros!A:A,Parâmetros!B:B,_xlfn.XLOOKUP(Q873,Parâmetros!F:F,Parâmetros!G:G,"NOVA MENSAGEM"))</f>
        <v>CÓD. CLIENTE DIVERGENTE</v>
      </c>
      <c r="N873" s="1" t="str">
        <f>_xlfn.XLOOKUP(M873,Parâmetros!K:K,Parâmetros!L:L,"")</f>
        <v>CÓDIGO DIFERENTE DO CADASTRADO NO BENNER (CLIENTE X GRUPO)</v>
      </c>
      <c r="O873" s="1" t="str">
        <f>_xlfn.XLOOKUP(M873,Parâmetros!B:B,Parâmetros!C:C,_xlfn.XLOOKUP(Base!M939,Parâmetros!G:G,Parâmetros!H:H))</f>
        <v>QUALIDADE DOS DADOS</v>
      </c>
      <c r="P873" s="1" t="str">
        <f>_xlfn.XLOOKUP(I873,Parâmetros!A:A,Parâmetros!D:D,_xlfn.XLOOKUP(Q873,Parâmetros!F:F,Parâmetros!I:I))</f>
        <v>SUPORTE OBT</v>
      </c>
      <c r="Q873" s="1">
        <f t="shared" si="27"/>
        <v>1</v>
      </c>
    </row>
    <row r="874" spans="1:17" x14ac:dyDescent="0.25">
      <c r="A874" s="1" t="str">
        <f>_xlfn.XLOOKUP(D874,'Novo relatório'!B:B,'Novo relatório'!C:C,"RESOLVIDO")</f>
        <v>SABRE</v>
      </c>
      <c r="C874" t="str">
        <f t="shared" si="26"/>
        <v>PENDENTE</v>
      </c>
      <c r="D874" s="1">
        <v>3290298</v>
      </c>
      <c r="E874" s="1" t="s">
        <v>26</v>
      </c>
      <c r="F874" s="2">
        <v>45727.734027777777</v>
      </c>
      <c r="G874" s="1" t="s">
        <v>1599</v>
      </c>
      <c r="H874" s="1" t="s">
        <v>1599</v>
      </c>
      <c r="I874" s="1" t="s">
        <v>1189</v>
      </c>
      <c r="J874" s="2">
        <v>45726.847916666666</v>
      </c>
      <c r="K874" s="2">
        <v>45727.82708333333</v>
      </c>
      <c r="L874" s="1" t="s">
        <v>18</v>
      </c>
      <c r="M874" s="1" t="str">
        <f>_xlfn.XLOOKUP(I874,Parâmetros!A:A,Parâmetros!B:B,_xlfn.XLOOKUP(Q874,Parâmetros!F:F,Parâmetros!G:G,"NOVA MENSAGEM"))</f>
        <v>CÓD. CLIENTE DIVERGENTE</v>
      </c>
      <c r="N874" s="1" t="str">
        <f>_xlfn.XLOOKUP(M874,Parâmetros!K:K,Parâmetros!L:L,"")</f>
        <v>CÓDIGO DIFERENTE DO CADASTRADO NO BENNER (CLIENTE X GRUPO)</v>
      </c>
      <c r="O874" s="1" t="str">
        <f>_xlfn.XLOOKUP(M874,Parâmetros!B:B,Parâmetros!C:C,_xlfn.XLOOKUP(Base!M989,Parâmetros!G:G,Parâmetros!H:H))</f>
        <v>QUALIDADE DOS DADOS</v>
      </c>
      <c r="P874" s="1" t="str">
        <f>_xlfn.XLOOKUP(I874,Parâmetros!A:A,Parâmetros!D:D,_xlfn.XLOOKUP(Q874,Parâmetros!F:F,Parâmetros!I:I))</f>
        <v>SUPORTE OBT</v>
      </c>
      <c r="Q874" s="1">
        <f t="shared" si="27"/>
        <v>1</v>
      </c>
    </row>
    <row r="875" spans="1:17" x14ac:dyDescent="0.25">
      <c r="A875" s="1" t="str">
        <f>_xlfn.XLOOKUP(D875,'Novo relatório'!B:B,'Novo relatório'!C:C,"RESOLVIDO")</f>
        <v>SABRE</v>
      </c>
      <c r="C875" t="str">
        <f t="shared" si="26"/>
        <v>PENDENTE</v>
      </c>
      <c r="D875" s="1">
        <v>3290301</v>
      </c>
      <c r="E875" s="1" t="s">
        <v>26</v>
      </c>
      <c r="F875" s="2">
        <v>45727.477777777778</v>
      </c>
      <c r="G875" s="1" t="s">
        <v>1397</v>
      </c>
      <c r="H875" s="1" t="s">
        <v>1397</v>
      </c>
      <c r="I875" s="1" t="s">
        <v>1054</v>
      </c>
      <c r="J875" s="2">
        <v>45726.848611111112</v>
      </c>
      <c r="K875" s="2">
        <v>45727.564583333333</v>
      </c>
      <c r="L875" s="1" t="s">
        <v>18</v>
      </c>
      <c r="M875" s="1" t="str">
        <f>_xlfn.XLOOKUP(I875,Parâmetros!A:A,Parâmetros!B:B,_xlfn.XLOOKUP(Q875,Parâmetros!F:F,Parâmetros!G:G,"NOVA MENSAGEM"))</f>
        <v>CÓD. CLIENTE DIVERGENTE</v>
      </c>
      <c r="N875" s="1" t="str">
        <f>_xlfn.XLOOKUP(M875,Parâmetros!K:K,Parâmetros!L:L,"")</f>
        <v>CÓDIGO DIFERENTE DO CADASTRADO NO BENNER (CLIENTE X GRUPO)</v>
      </c>
      <c r="O875" s="1" t="str">
        <f>_xlfn.XLOOKUP(M875,Parâmetros!B:B,Parâmetros!C:C,_xlfn.XLOOKUP(Base!M828,Parâmetros!G:G,Parâmetros!H:H))</f>
        <v>QUALIDADE DOS DADOS</v>
      </c>
      <c r="P875" s="1" t="str">
        <f>_xlfn.XLOOKUP(I875,Parâmetros!A:A,Parâmetros!D:D,_xlfn.XLOOKUP(Q875,Parâmetros!F:F,Parâmetros!I:I))</f>
        <v>SUPORTE OBT</v>
      </c>
      <c r="Q875" s="1">
        <f t="shared" si="27"/>
        <v>1</v>
      </c>
    </row>
    <row r="876" spans="1:17" x14ac:dyDescent="0.25">
      <c r="A876" s="1" t="str">
        <f>_xlfn.XLOOKUP(D876,'Novo relatório'!B:B,'Novo relatório'!C:C,"RESOLVIDO")</f>
        <v>SABRE</v>
      </c>
      <c r="C876" t="str">
        <f t="shared" si="26"/>
        <v>PENDENTE</v>
      </c>
      <c r="D876" s="1">
        <v>3290302</v>
      </c>
      <c r="E876" s="1" t="s">
        <v>26</v>
      </c>
      <c r="F876" s="2">
        <v>45727.4375</v>
      </c>
      <c r="G876" s="1" t="s">
        <v>1407</v>
      </c>
      <c r="H876" s="1" t="s">
        <v>1407</v>
      </c>
      <c r="I876" s="1" t="s">
        <v>1054</v>
      </c>
      <c r="J876" s="2">
        <v>45726.848611111112</v>
      </c>
      <c r="K876" s="2">
        <v>45727.522916666669</v>
      </c>
      <c r="L876" s="1" t="s">
        <v>18</v>
      </c>
      <c r="M876" s="1" t="str">
        <f>_xlfn.XLOOKUP(I876,Parâmetros!A:A,Parâmetros!B:B,_xlfn.XLOOKUP(Q876,Parâmetros!F:F,Parâmetros!G:G,"NOVA MENSAGEM"))</f>
        <v>CÓD. CLIENTE DIVERGENTE</v>
      </c>
      <c r="N876" s="1" t="str">
        <f>_xlfn.XLOOKUP(M876,Parâmetros!K:K,Parâmetros!L:L,"")</f>
        <v>CÓDIGO DIFERENTE DO CADASTRADO NO BENNER (CLIENTE X GRUPO)</v>
      </c>
      <c r="O876" s="1" t="str">
        <f>_xlfn.XLOOKUP(M876,Parâmetros!B:B,Parâmetros!C:C,_xlfn.XLOOKUP(Base!M835,Parâmetros!G:G,Parâmetros!H:H))</f>
        <v>QUALIDADE DOS DADOS</v>
      </c>
      <c r="P876" s="1" t="str">
        <f>_xlfn.XLOOKUP(I876,Parâmetros!A:A,Parâmetros!D:D,_xlfn.XLOOKUP(Q876,Parâmetros!F:F,Parâmetros!I:I))</f>
        <v>SUPORTE OBT</v>
      </c>
      <c r="Q876" s="1">
        <f t="shared" si="27"/>
        <v>1</v>
      </c>
    </row>
    <row r="877" spans="1:17" x14ac:dyDescent="0.25">
      <c r="A877" s="1" t="str">
        <f>_xlfn.XLOOKUP(D877,'Novo relatório'!B:B,'Novo relatório'!C:C,"RESOLVIDO")</f>
        <v>SABRE</v>
      </c>
      <c r="C877" t="str">
        <f t="shared" si="26"/>
        <v>PENDENTE</v>
      </c>
      <c r="D877" s="1">
        <v>3290308</v>
      </c>
      <c r="E877" s="1" t="s">
        <v>26</v>
      </c>
      <c r="F877" s="2">
        <v>45727.479166666664</v>
      </c>
      <c r="G877" s="1" t="s">
        <v>1596</v>
      </c>
      <c r="H877" s="1" t="s">
        <v>1596</v>
      </c>
      <c r="I877" s="1" t="s">
        <v>1054</v>
      </c>
      <c r="J877" s="2">
        <v>45726.849305555559</v>
      </c>
      <c r="K877" s="2">
        <v>45727.56527777778</v>
      </c>
      <c r="L877" s="1" t="s">
        <v>18</v>
      </c>
      <c r="M877" s="1" t="str">
        <f>_xlfn.XLOOKUP(I877,Parâmetros!A:A,Parâmetros!B:B,_xlfn.XLOOKUP(Q877,Parâmetros!F:F,Parâmetros!G:G,"NOVA MENSAGEM"))</f>
        <v>CÓD. CLIENTE DIVERGENTE</v>
      </c>
      <c r="N877" s="1" t="str">
        <f>_xlfn.XLOOKUP(M877,Parâmetros!K:K,Parâmetros!L:L,"")</f>
        <v>CÓDIGO DIFERENTE DO CADASTRADO NO BENNER (CLIENTE X GRUPO)</v>
      </c>
      <c r="O877" s="1" t="str">
        <f>_xlfn.XLOOKUP(M877,Parâmetros!B:B,Parâmetros!C:C,_xlfn.XLOOKUP(Base!M986,Parâmetros!G:G,Parâmetros!H:H))</f>
        <v>QUALIDADE DOS DADOS</v>
      </c>
      <c r="P877" s="1" t="str">
        <f>_xlfn.XLOOKUP(I877,Parâmetros!A:A,Parâmetros!D:D,_xlfn.XLOOKUP(Q877,Parâmetros!F:F,Parâmetros!I:I))</f>
        <v>SUPORTE OBT</v>
      </c>
      <c r="Q877" s="1">
        <f t="shared" si="27"/>
        <v>1</v>
      </c>
    </row>
    <row r="878" spans="1:17" x14ac:dyDescent="0.25">
      <c r="A878" s="1" t="str">
        <f>_xlfn.XLOOKUP(D878,'Novo relatório'!B:B,'Novo relatório'!C:C,"RESOLVIDO")</f>
        <v>SABRE</v>
      </c>
      <c r="C878" t="str">
        <f t="shared" si="26"/>
        <v>PENDENTE</v>
      </c>
      <c r="D878" s="1">
        <v>3290314</v>
      </c>
      <c r="E878" s="1" t="s">
        <v>26</v>
      </c>
      <c r="F878" s="2">
        <v>45726.756944444445</v>
      </c>
      <c r="G878" s="1" t="s">
        <v>1473</v>
      </c>
      <c r="H878" s="1" t="s">
        <v>1473</v>
      </c>
      <c r="I878" s="1" t="s">
        <v>83</v>
      </c>
      <c r="J878" s="2">
        <v>45726.85</v>
      </c>
      <c r="L878" s="1" t="s">
        <v>18</v>
      </c>
      <c r="M878" s="1" t="str">
        <f>_xlfn.XLOOKUP(I878,Parâmetros!A:A,Parâmetros!B:B,_xlfn.XLOOKUP(Q878,Parâmetros!F:F,Parâmetros!G:G,"NOVA MENSAGEM"))</f>
        <v>CLIENTE NÃO IDENTIFICADO</v>
      </c>
      <c r="N878" s="1" t="str">
        <f>_xlfn.XLOOKUP(M878,Parâmetros!K:K,Parâmetros!L:L,"")</f>
        <v>DK DE CLIENTE NÃO PREENCIDO / CLIENTE NÃO CONFIGURADO NO OBT</v>
      </c>
      <c r="O878" s="1" t="str">
        <f>_xlfn.XLOOKUP(M878,Parâmetros!B:B,Parâmetros!C:C,_xlfn.XLOOKUP(Base!M887,Parâmetros!G:G,Parâmetros!H:H))</f>
        <v>INDEFINIDO</v>
      </c>
      <c r="P878" s="1" t="str">
        <f>_xlfn.XLOOKUP(I878,Parâmetros!A:A,Parâmetros!D:D,_xlfn.XLOOKUP(Q878,Parâmetros!F:F,Parâmetros!I:I))</f>
        <v>OPERAÇÕES / SUPORTE KCS</v>
      </c>
      <c r="Q878" s="1" t="str">
        <f t="shared" si="27"/>
        <v>COLUNA I</v>
      </c>
    </row>
    <row r="879" spans="1:17" x14ac:dyDescent="0.25">
      <c r="A879" s="1" t="str">
        <f>_xlfn.XLOOKUP(D879,'Novo relatório'!B:B,'Novo relatório'!C:C,"RESOLVIDO")</f>
        <v>SABRE</v>
      </c>
      <c r="C879" t="str">
        <f t="shared" si="26"/>
        <v>PENDENTE</v>
      </c>
      <c r="D879" s="1">
        <v>3290315</v>
      </c>
      <c r="E879" s="1" t="s">
        <v>26</v>
      </c>
      <c r="F879" s="2">
        <v>45726.756944444445</v>
      </c>
      <c r="G879" s="1" t="s">
        <v>1456</v>
      </c>
      <c r="H879" s="1" t="s">
        <v>1456</v>
      </c>
      <c r="I879" s="1" t="s">
        <v>83</v>
      </c>
      <c r="J879" s="2">
        <v>45726.85</v>
      </c>
      <c r="L879" s="1" t="s">
        <v>18</v>
      </c>
      <c r="M879" s="1" t="str">
        <f>_xlfn.XLOOKUP(I879,Parâmetros!A:A,Parâmetros!B:B,_xlfn.XLOOKUP(Q879,Parâmetros!F:F,Parâmetros!G:G,"NOVA MENSAGEM"))</f>
        <v>CLIENTE NÃO IDENTIFICADO</v>
      </c>
      <c r="N879" s="1" t="str">
        <f>_xlfn.XLOOKUP(M879,Parâmetros!K:K,Parâmetros!L:L,"")</f>
        <v>DK DE CLIENTE NÃO PREENCIDO / CLIENTE NÃO CONFIGURADO NO OBT</v>
      </c>
      <c r="O879" s="1" t="str">
        <f>_xlfn.XLOOKUP(M879,Parâmetros!B:B,Parâmetros!C:C,_xlfn.XLOOKUP(Base!M876,Parâmetros!G:G,Parâmetros!H:H))</f>
        <v>INDEFINIDO</v>
      </c>
      <c r="P879" s="1" t="str">
        <f>_xlfn.XLOOKUP(I879,Parâmetros!A:A,Parâmetros!D:D,_xlfn.XLOOKUP(Q879,Parâmetros!F:F,Parâmetros!I:I))</f>
        <v>OPERAÇÕES / SUPORTE KCS</v>
      </c>
      <c r="Q879" s="1" t="str">
        <f t="shared" si="27"/>
        <v>COLUNA I</v>
      </c>
    </row>
    <row r="880" spans="1:17" x14ac:dyDescent="0.25">
      <c r="A880" s="1" t="str">
        <f>_xlfn.XLOOKUP(D880,'Novo relatório'!B:B,'Novo relatório'!C:C,"RESOLVIDO")</f>
        <v>SABRE</v>
      </c>
      <c r="C880" t="str">
        <f t="shared" si="26"/>
        <v>PENDENTE</v>
      </c>
      <c r="D880" s="1">
        <v>3290316</v>
      </c>
      <c r="E880" s="1" t="s">
        <v>26</v>
      </c>
      <c r="F880" s="2">
        <v>45726.756944444445</v>
      </c>
      <c r="G880" s="1" t="s">
        <v>1436</v>
      </c>
      <c r="H880" s="1" t="s">
        <v>1436</v>
      </c>
      <c r="I880" s="1" t="s">
        <v>83</v>
      </c>
      <c r="J880" s="2">
        <v>45726.85</v>
      </c>
      <c r="L880" s="1" t="s">
        <v>18</v>
      </c>
      <c r="M880" s="1" t="str">
        <f>_xlfn.XLOOKUP(I880,Parâmetros!A:A,Parâmetros!B:B,_xlfn.XLOOKUP(Q880,Parâmetros!F:F,Parâmetros!G:G,"NOVA MENSAGEM"))</f>
        <v>CLIENTE NÃO IDENTIFICADO</v>
      </c>
      <c r="N880" s="1" t="str">
        <f>_xlfn.XLOOKUP(M880,Parâmetros!K:K,Parâmetros!L:L,"")</f>
        <v>DK DE CLIENTE NÃO PREENCIDO / CLIENTE NÃO CONFIGURADO NO OBT</v>
      </c>
      <c r="O880" s="1" t="str">
        <f>_xlfn.XLOOKUP(M880,Parâmetros!B:B,Parâmetros!C:C,_xlfn.XLOOKUP(Base!M860,Parâmetros!G:G,Parâmetros!H:H))</f>
        <v>INDEFINIDO</v>
      </c>
      <c r="P880" s="1" t="str">
        <f>_xlfn.XLOOKUP(I880,Parâmetros!A:A,Parâmetros!D:D,_xlfn.XLOOKUP(Q880,Parâmetros!F:F,Parâmetros!I:I))</f>
        <v>OPERAÇÕES / SUPORTE KCS</v>
      </c>
      <c r="Q880" s="1" t="str">
        <f t="shared" si="27"/>
        <v>COLUNA I</v>
      </c>
    </row>
    <row r="881" spans="1:17" x14ac:dyDescent="0.25">
      <c r="A881" s="1" t="str">
        <f>_xlfn.XLOOKUP(D881,'Novo relatório'!B:B,'Novo relatório'!C:C,"RESOLVIDO")</f>
        <v>SABRE</v>
      </c>
      <c r="C881" t="str">
        <f t="shared" si="26"/>
        <v>PENDENTE</v>
      </c>
      <c r="D881" s="1">
        <v>3290318</v>
      </c>
      <c r="E881" s="1" t="s">
        <v>26</v>
      </c>
      <c r="F881" s="2">
        <v>45726.756944444445</v>
      </c>
      <c r="G881" s="1" t="s">
        <v>1439</v>
      </c>
      <c r="H881" s="1" t="s">
        <v>1439</v>
      </c>
      <c r="I881" s="1" t="s">
        <v>83</v>
      </c>
      <c r="J881" s="2">
        <v>45726.850694444445</v>
      </c>
      <c r="L881" s="1" t="s">
        <v>18</v>
      </c>
      <c r="M881" s="1" t="str">
        <f>_xlfn.XLOOKUP(I881,Parâmetros!A:A,Parâmetros!B:B,_xlfn.XLOOKUP(Q881,Parâmetros!F:F,Parâmetros!G:G,"NOVA MENSAGEM"))</f>
        <v>CLIENTE NÃO IDENTIFICADO</v>
      </c>
      <c r="N881" s="1" t="str">
        <f>_xlfn.XLOOKUP(M881,Parâmetros!K:K,Parâmetros!L:L,"")</f>
        <v>DK DE CLIENTE NÃO PREENCIDO / CLIENTE NÃO CONFIGURADO NO OBT</v>
      </c>
      <c r="O881" s="1" t="str">
        <f>_xlfn.XLOOKUP(M881,Parâmetros!B:B,Parâmetros!C:C,_xlfn.XLOOKUP(Base!M863,Parâmetros!G:G,Parâmetros!H:H))</f>
        <v>INDEFINIDO</v>
      </c>
      <c r="P881" s="1" t="str">
        <f>_xlfn.XLOOKUP(I881,Parâmetros!A:A,Parâmetros!D:D,_xlfn.XLOOKUP(Q881,Parâmetros!F:F,Parâmetros!I:I))</f>
        <v>OPERAÇÕES / SUPORTE KCS</v>
      </c>
      <c r="Q881" s="1" t="str">
        <f t="shared" si="27"/>
        <v>COLUNA I</v>
      </c>
    </row>
    <row r="882" spans="1:17" x14ac:dyDescent="0.25">
      <c r="A882" s="1" t="str">
        <f>_xlfn.XLOOKUP(D882,'Novo relatório'!B:B,'Novo relatório'!C:C,"RESOLVIDO")</f>
        <v>SABRE</v>
      </c>
      <c r="C882" t="str">
        <f t="shared" si="26"/>
        <v>PENDENTE</v>
      </c>
      <c r="D882" s="1">
        <v>3290320</v>
      </c>
      <c r="E882" s="1" t="s">
        <v>26</v>
      </c>
      <c r="F882" s="2">
        <v>45726.756944444445</v>
      </c>
      <c r="G882" s="1" t="s">
        <v>1378</v>
      </c>
      <c r="H882" s="1" t="s">
        <v>1378</v>
      </c>
      <c r="I882" s="1" t="s">
        <v>83</v>
      </c>
      <c r="J882" s="2">
        <v>45726.850694444445</v>
      </c>
      <c r="L882" s="1" t="s">
        <v>18</v>
      </c>
      <c r="M882" s="1" t="str">
        <f>_xlfn.XLOOKUP(I882,Parâmetros!A:A,Parâmetros!B:B,_xlfn.XLOOKUP(Q882,Parâmetros!F:F,Parâmetros!G:G,"NOVA MENSAGEM"))</f>
        <v>CLIENTE NÃO IDENTIFICADO</v>
      </c>
      <c r="N882" s="1" t="str">
        <f>_xlfn.XLOOKUP(M882,Parâmetros!K:K,Parâmetros!L:L,"")</f>
        <v>DK DE CLIENTE NÃO PREENCIDO / CLIENTE NÃO CONFIGURADO NO OBT</v>
      </c>
      <c r="O882" s="1" t="str">
        <f>_xlfn.XLOOKUP(M882,Parâmetros!B:B,Parâmetros!C:C,_xlfn.XLOOKUP(Base!M815,Parâmetros!G:G,Parâmetros!H:H))</f>
        <v>INDEFINIDO</v>
      </c>
      <c r="P882" s="1" t="str">
        <f>_xlfn.XLOOKUP(I882,Parâmetros!A:A,Parâmetros!D:D,_xlfn.XLOOKUP(Q882,Parâmetros!F:F,Parâmetros!I:I))</f>
        <v>OPERAÇÕES / SUPORTE KCS</v>
      </c>
      <c r="Q882" s="1" t="str">
        <f t="shared" si="27"/>
        <v>COLUNA I</v>
      </c>
    </row>
    <row r="883" spans="1:17" x14ac:dyDescent="0.25">
      <c r="A883" s="1" t="str">
        <f>_xlfn.XLOOKUP(D883,'Novo relatório'!B:B,'Novo relatório'!C:C,"RESOLVIDO")</f>
        <v>SABRE</v>
      </c>
      <c r="C883" t="str">
        <f t="shared" si="26"/>
        <v>PENDENTE</v>
      </c>
      <c r="D883" s="1">
        <v>3290321</v>
      </c>
      <c r="E883" s="1" t="s">
        <v>26</v>
      </c>
      <c r="F883" s="2">
        <v>45726.756944444445</v>
      </c>
      <c r="G883" s="1" t="s">
        <v>1440</v>
      </c>
      <c r="H883" s="1" t="s">
        <v>1440</v>
      </c>
      <c r="I883" s="1" t="s">
        <v>83</v>
      </c>
      <c r="J883" s="2">
        <v>45726.850694444445</v>
      </c>
      <c r="L883" s="1" t="s">
        <v>18</v>
      </c>
      <c r="M883" s="1" t="str">
        <f>_xlfn.XLOOKUP(I883,Parâmetros!A:A,Parâmetros!B:B,_xlfn.XLOOKUP(Q883,Parâmetros!F:F,Parâmetros!G:G,"NOVA MENSAGEM"))</f>
        <v>CLIENTE NÃO IDENTIFICADO</v>
      </c>
      <c r="N883" s="1" t="str">
        <f>_xlfn.XLOOKUP(M883,Parâmetros!K:K,Parâmetros!L:L,"")</f>
        <v>DK DE CLIENTE NÃO PREENCIDO / CLIENTE NÃO CONFIGURADO NO OBT</v>
      </c>
      <c r="O883" s="1" t="str">
        <f>_xlfn.XLOOKUP(M883,Parâmetros!B:B,Parâmetros!C:C,_xlfn.XLOOKUP(Base!M864,Parâmetros!G:G,Parâmetros!H:H))</f>
        <v>INDEFINIDO</v>
      </c>
      <c r="P883" s="1" t="str">
        <f>_xlfn.XLOOKUP(I883,Parâmetros!A:A,Parâmetros!D:D,_xlfn.XLOOKUP(Q883,Parâmetros!F:F,Parâmetros!I:I))</f>
        <v>OPERAÇÕES / SUPORTE KCS</v>
      </c>
      <c r="Q883" s="1" t="str">
        <f t="shared" si="27"/>
        <v>COLUNA I</v>
      </c>
    </row>
    <row r="884" spans="1:17" x14ac:dyDescent="0.25">
      <c r="A884" s="1" t="str">
        <f>_xlfn.XLOOKUP(D884,'Novo relatório'!B:B,'Novo relatório'!C:C,"RESOLVIDO")</f>
        <v>SABRE</v>
      </c>
      <c r="C884" t="str">
        <f t="shared" si="26"/>
        <v>PENDENTE</v>
      </c>
      <c r="D884" s="1">
        <v>3290322</v>
      </c>
      <c r="E884" s="1" t="s">
        <v>26</v>
      </c>
      <c r="F884" s="2">
        <v>45726.756944444445</v>
      </c>
      <c r="G884" s="1" t="s">
        <v>1435</v>
      </c>
      <c r="H884" s="1" t="s">
        <v>1435</v>
      </c>
      <c r="I884" s="1" t="s">
        <v>83</v>
      </c>
      <c r="J884" s="2">
        <v>45726.850694444445</v>
      </c>
      <c r="L884" s="1" t="s">
        <v>18</v>
      </c>
      <c r="M884" s="1" t="str">
        <f>_xlfn.XLOOKUP(I884,Parâmetros!A:A,Parâmetros!B:B,_xlfn.XLOOKUP(Q884,Parâmetros!F:F,Parâmetros!G:G,"NOVA MENSAGEM"))</f>
        <v>CLIENTE NÃO IDENTIFICADO</v>
      </c>
      <c r="N884" s="1" t="str">
        <f>_xlfn.XLOOKUP(M884,Parâmetros!K:K,Parâmetros!L:L,"")</f>
        <v>DK DE CLIENTE NÃO PREENCIDO / CLIENTE NÃO CONFIGURADO NO OBT</v>
      </c>
      <c r="O884" s="1" t="str">
        <f>_xlfn.XLOOKUP(M884,Parâmetros!B:B,Parâmetros!C:C,_xlfn.XLOOKUP(Base!M859,Parâmetros!G:G,Parâmetros!H:H))</f>
        <v>INDEFINIDO</v>
      </c>
      <c r="P884" s="1" t="str">
        <f>_xlfn.XLOOKUP(I884,Parâmetros!A:A,Parâmetros!D:D,_xlfn.XLOOKUP(Q884,Parâmetros!F:F,Parâmetros!I:I))</f>
        <v>OPERAÇÕES / SUPORTE KCS</v>
      </c>
      <c r="Q884" s="1" t="str">
        <f t="shared" si="27"/>
        <v>COLUNA I</v>
      </c>
    </row>
    <row r="885" spans="1:17" x14ac:dyDescent="0.25">
      <c r="A885" s="1" t="str">
        <f>_xlfn.XLOOKUP(D885,'Novo relatório'!B:B,'Novo relatório'!C:C,"RESOLVIDO")</f>
        <v>SABRE</v>
      </c>
      <c r="C885" t="str">
        <f t="shared" si="26"/>
        <v>PENDENTE</v>
      </c>
      <c r="D885" s="1">
        <v>3290323</v>
      </c>
      <c r="E885" s="1" t="s">
        <v>26</v>
      </c>
      <c r="F885" s="2">
        <v>45726.756944444445</v>
      </c>
      <c r="G885" s="1" t="s">
        <v>1533</v>
      </c>
      <c r="H885" s="1" t="s">
        <v>1533</v>
      </c>
      <c r="I885" s="1" t="s">
        <v>83</v>
      </c>
      <c r="J885" s="2">
        <v>45726.850694444445</v>
      </c>
      <c r="L885" s="1" t="s">
        <v>18</v>
      </c>
      <c r="M885" s="1" t="str">
        <f>_xlfn.XLOOKUP(I885,Parâmetros!A:A,Parâmetros!B:B,_xlfn.XLOOKUP(Q885,Parâmetros!F:F,Parâmetros!G:G,"NOVA MENSAGEM"))</f>
        <v>CLIENTE NÃO IDENTIFICADO</v>
      </c>
      <c r="N885" s="1" t="str">
        <f>_xlfn.XLOOKUP(M885,Parâmetros!K:K,Parâmetros!L:L,"")</f>
        <v>DK DE CLIENTE NÃO PREENCIDO / CLIENTE NÃO CONFIGURADO NO OBT</v>
      </c>
      <c r="O885" s="1" t="str">
        <f>_xlfn.XLOOKUP(M885,Parâmetros!B:B,Parâmetros!C:C,_xlfn.XLOOKUP(Base!M937,Parâmetros!G:G,Parâmetros!H:H))</f>
        <v>INDEFINIDO</v>
      </c>
      <c r="P885" s="1" t="str">
        <f>_xlfn.XLOOKUP(I885,Parâmetros!A:A,Parâmetros!D:D,_xlfn.XLOOKUP(Q885,Parâmetros!F:F,Parâmetros!I:I))</f>
        <v>OPERAÇÕES / SUPORTE KCS</v>
      </c>
      <c r="Q885" s="1" t="str">
        <f t="shared" si="27"/>
        <v>COLUNA I</v>
      </c>
    </row>
    <row r="886" spans="1:17" x14ac:dyDescent="0.25">
      <c r="A886" s="1" t="str">
        <f>_xlfn.XLOOKUP(D886,'Novo relatório'!B:B,'Novo relatório'!C:C,"RESOLVIDO")</f>
        <v>SABRE</v>
      </c>
      <c r="C886" t="str">
        <f t="shared" si="26"/>
        <v>PENDENTE</v>
      </c>
      <c r="D886" s="1">
        <v>3290324</v>
      </c>
      <c r="E886" s="1" t="s">
        <v>26</v>
      </c>
      <c r="F886" s="2">
        <v>45726.756944444445</v>
      </c>
      <c r="G886" s="1" t="s">
        <v>1529</v>
      </c>
      <c r="H886" s="1" t="s">
        <v>1529</v>
      </c>
      <c r="I886" s="1" t="s">
        <v>83</v>
      </c>
      <c r="J886" s="2">
        <v>45726.850694444445</v>
      </c>
      <c r="L886" s="1" t="s">
        <v>18</v>
      </c>
      <c r="M886" s="1" t="str">
        <f>_xlfn.XLOOKUP(I886,Parâmetros!A:A,Parâmetros!B:B,_xlfn.XLOOKUP(Q886,Parâmetros!F:F,Parâmetros!G:G,"NOVA MENSAGEM"))</f>
        <v>CLIENTE NÃO IDENTIFICADO</v>
      </c>
      <c r="N886" s="1" t="str">
        <f>_xlfn.XLOOKUP(M886,Parâmetros!K:K,Parâmetros!L:L,"")</f>
        <v>DK DE CLIENTE NÃO PREENCIDO / CLIENTE NÃO CONFIGURADO NO OBT</v>
      </c>
      <c r="O886" s="1" t="str">
        <f>_xlfn.XLOOKUP(M886,Parâmetros!B:B,Parâmetros!C:C,_xlfn.XLOOKUP(Base!M934,Parâmetros!G:G,Parâmetros!H:H))</f>
        <v>INDEFINIDO</v>
      </c>
      <c r="P886" s="1" t="str">
        <f>_xlfn.XLOOKUP(I886,Parâmetros!A:A,Parâmetros!D:D,_xlfn.XLOOKUP(Q886,Parâmetros!F:F,Parâmetros!I:I))</f>
        <v>OPERAÇÕES / SUPORTE KCS</v>
      </c>
      <c r="Q886" s="1" t="str">
        <f t="shared" si="27"/>
        <v>COLUNA I</v>
      </c>
    </row>
    <row r="887" spans="1:17" x14ac:dyDescent="0.25">
      <c r="A887" s="1" t="str">
        <f>_xlfn.XLOOKUP(D887,'Novo relatório'!B:B,'Novo relatório'!C:C,"RESOLVIDO")</f>
        <v>SABRE</v>
      </c>
      <c r="C887" t="str">
        <f t="shared" si="26"/>
        <v>PENDENTE</v>
      </c>
      <c r="D887" s="1">
        <v>3290329</v>
      </c>
      <c r="E887" s="1" t="s">
        <v>26</v>
      </c>
      <c r="F887" s="2">
        <v>45726.756944444445</v>
      </c>
      <c r="G887" s="1" t="s">
        <v>1482</v>
      </c>
      <c r="H887" s="1" t="s">
        <v>1482</v>
      </c>
      <c r="I887" s="1" t="s">
        <v>83</v>
      </c>
      <c r="J887" s="2">
        <v>45726.851388888892</v>
      </c>
      <c r="L887" s="1" t="s">
        <v>18</v>
      </c>
      <c r="M887" s="1" t="str">
        <f>_xlfn.XLOOKUP(I887,Parâmetros!A:A,Parâmetros!B:B,_xlfn.XLOOKUP(Q887,Parâmetros!F:F,Parâmetros!G:G,"NOVA MENSAGEM"))</f>
        <v>CLIENTE NÃO IDENTIFICADO</v>
      </c>
      <c r="N887" s="1" t="str">
        <f>_xlfn.XLOOKUP(M887,Parâmetros!K:K,Parâmetros!L:L,"")</f>
        <v>DK DE CLIENTE NÃO PREENCIDO / CLIENTE NÃO CONFIGURADO NO OBT</v>
      </c>
      <c r="O887" s="1" t="str">
        <f>_xlfn.XLOOKUP(M887,Parâmetros!B:B,Parâmetros!C:C,_xlfn.XLOOKUP(Base!M896,Parâmetros!G:G,Parâmetros!H:H))</f>
        <v>INDEFINIDO</v>
      </c>
      <c r="P887" s="1" t="str">
        <f>_xlfn.XLOOKUP(I887,Parâmetros!A:A,Parâmetros!D:D,_xlfn.XLOOKUP(Q887,Parâmetros!F:F,Parâmetros!I:I))</f>
        <v>OPERAÇÕES / SUPORTE KCS</v>
      </c>
      <c r="Q887" s="1" t="str">
        <f t="shared" si="27"/>
        <v>COLUNA I</v>
      </c>
    </row>
    <row r="888" spans="1:17" x14ac:dyDescent="0.25">
      <c r="A888" s="1" t="str">
        <f>_xlfn.XLOOKUP(D888,'Novo relatório'!B:B,'Novo relatório'!C:C,"RESOLVIDO")</f>
        <v>SABRE</v>
      </c>
      <c r="C888" t="str">
        <f t="shared" si="26"/>
        <v>PENDENTE</v>
      </c>
      <c r="D888" s="1">
        <v>3290332</v>
      </c>
      <c r="E888" s="1" t="s">
        <v>26</v>
      </c>
      <c r="F888" s="2">
        <v>45726.756944444445</v>
      </c>
      <c r="G888" s="1" t="s">
        <v>1539</v>
      </c>
      <c r="H888" s="1" t="s">
        <v>1539</v>
      </c>
      <c r="I888" s="1" t="s">
        <v>83</v>
      </c>
      <c r="J888" s="2">
        <v>45726.851388888892</v>
      </c>
      <c r="L888" s="1" t="s">
        <v>18</v>
      </c>
      <c r="M888" s="1" t="str">
        <f>_xlfn.XLOOKUP(I888,Parâmetros!A:A,Parâmetros!B:B,_xlfn.XLOOKUP(Q888,Parâmetros!F:F,Parâmetros!G:G,"NOVA MENSAGEM"))</f>
        <v>CLIENTE NÃO IDENTIFICADO</v>
      </c>
      <c r="N888" s="1" t="str">
        <f>_xlfn.XLOOKUP(M888,Parâmetros!K:K,Parâmetros!L:L,"")</f>
        <v>DK DE CLIENTE NÃO PREENCIDO / CLIENTE NÃO CONFIGURADO NO OBT</v>
      </c>
      <c r="O888" s="1" t="str">
        <f>_xlfn.XLOOKUP(M888,Parâmetros!B:B,Parâmetros!C:C,_xlfn.XLOOKUP(Base!M942,Parâmetros!G:G,Parâmetros!H:H))</f>
        <v>INDEFINIDO</v>
      </c>
      <c r="P888" s="1" t="str">
        <f>_xlfn.XLOOKUP(I888,Parâmetros!A:A,Parâmetros!D:D,_xlfn.XLOOKUP(Q888,Parâmetros!F:F,Parâmetros!I:I))</f>
        <v>OPERAÇÕES / SUPORTE KCS</v>
      </c>
      <c r="Q888" s="1" t="str">
        <f t="shared" si="27"/>
        <v>COLUNA I</v>
      </c>
    </row>
    <row r="889" spans="1:17" x14ac:dyDescent="0.25">
      <c r="A889" s="1" t="str">
        <f>_xlfn.XLOOKUP(D889,'Novo relatório'!B:B,'Novo relatório'!C:C,"RESOLVIDO")</f>
        <v>TMS</v>
      </c>
      <c r="C889" t="str">
        <f t="shared" si="26"/>
        <v>PENDENTE</v>
      </c>
      <c r="D889" s="1">
        <v>3290731</v>
      </c>
      <c r="E889" s="1" t="s">
        <v>12</v>
      </c>
      <c r="F889" s="2">
        <v>45726.796527777777</v>
      </c>
      <c r="G889" s="1">
        <v>3130</v>
      </c>
      <c r="H889" s="1">
        <v>3130</v>
      </c>
      <c r="I889" s="1" t="s">
        <v>1233</v>
      </c>
      <c r="J889" s="2">
        <v>45726.945138888892</v>
      </c>
      <c r="K889" s="2">
        <v>45729.966666666667</v>
      </c>
      <c r="L889" s="1" t="s">
        <v>14</v>
      </c>
      <c r="M889" s="1" t="str">
        <f>_xlfn.XLOOKUP(I889,Parâmetros!A:A,Parâmetros!B:B,_xlfn.XLOOKUP(Q889,Parâmetros!F:F,Parâmetros!G:G,"NOVA MENSAGEM"))</f>
        <v>ASSENTO / BAGAGEM</v>
      </c>
      <c r="N889" s="1" t="str">
        <f>_xlfn.XLOOKUP(M889,Parâmetros!K:K,Parâmetros!L:L,"")</f>
        <v>CAMPO OBSERVAÇÃO PREENCHIDO INCORRETAMENTE</v>
      </c>
      <c r="O889" s="1" t="str">
        <f>_xlfn.XLOOKUP(M889,Parâmetros!B:B,Parâmetros!C:C,_xlfn.XLOOKUP(Base!M1002,Parâmetros!G:G,Parâmetros!H:H))</f>
        <v>QUALIDADE DOS DADOS</v>
      </c>
      <c r="P889" s="1" t="str">
        <f>_xlfn.XLOOKUP(I889,Parâmetros!A:A,Parâmetros!D:D,_xlfn.XLOOKUP(Q889,Parâmetros!F:F,Parâmetros!I:I))</f>
        <v>OPERAÇÕES / SUPORTE KCS</v>
      </c>
      <c r="Q889" s="1">
        <f t="shared" si="27"/>
        <v>127</v>
      </c>
    </row>
    <row r="890" spans="1:17" x14ac:dyDescent="0.25">
      <c r="A890" s="1" t="str">
        <f>_xlfn.XLOOKUP(D890,'Novo relatório'!B:B,'Novo relatório'!C:C,"RESOLVIDO")</f>
        <v>TMS</v>
      </c>
      <c r="C890" t="str">
        <f t="shared" si="26"/>
        <v>PENDENTE</v>
      </c>
      <c r="D890" s="1">
        <v>3290732</v>
      </c>
      <c r="E890" s="1" t="s">
        <v>12</v>
      </c>
      <c r="F890" s="2">
        <v>45726.79791666667</v>
      </c>
      <c r="G890" s="1">
        <v>3129</v>
      </c>
      <c r="H890" s="1">
        <v>3129</v>
      </c>
      <c r="I890" s="1" t="s">
        <v>1233</v>
      </c>
      <c r="J890" s="2">
        <v>45726.945138888892</v>
      </c>
      <c r="K890" s="2">
        <v>45729.967361111114</v>
      </c>
      <c r="L890" s="1" t="s">
        <v>14</v>
      </c>
      <c r="M890" s="1" t="str">
        <f>_xlfn.XLOOKUP(I890,Parâmetros!A:A,Parâmetros!B:B,_xlfn.XLOOKUP(Q890,Parâmetros!F:F,Parâmetros!G:G,"NOVA MENSAGEM"))</f>
        <v>ASSENTO / BAGAGEM</v>
      </c>
      <c r="N890" s="1" t="str">
        <f>_xlfn.XLOOKUP(M890,Parâmetros!K:K,Parâmetros!L:L,"")</f>
        <v>CAMPO OBSERVAÇÃO PREENCHIDO INCORRETAMENTE</v>
      </c>
      <c r="O890" s="1" t="str">
        <f>_xlfn.XLOOKUP(M890,Parâmetros!B:B,Parâmetros!C:C,_xlfn.XLOOKUP(Base!M1001,Parâmetros!G:G,Parâmetros!H:H))</f>
        <v>QUALIDADE DOS DADOS</v>
      </c>
      <c r="P890" s="1" t="str">
        <f>_xlfn.XLOOKUP(I890,Parâmetros!A:A,Parâmetros!D:D,_xlfn.XLOOKUP(Q890,Parâmetros!F:F,Parâmetros!I:I))</f>
        <v>OPERAÇÕES / SUPORTE KCS</v>
      </c>
      <c r="Q890" s="1">
        <f t="shared" si="27"/>
        <v>127</v>
      </c>
    </row>
    <row r="891" spans="1:17" x14ac:dyDescent="0.25">
      <c r="A891" s="1" t="str">
        <f>_xlfn.XLOOKUP(D891,'Novo relatório'!B:B,'Novo relatório'!C:C,"RESOLVIDO")</f>
        <v>TMS</v>
      </c>
      <c r="C891" t="str">
        <f t="shared" si="26"/>
        <v>PENDENTE</v>
      </c>
      <c r="D891" s="1">
        <v>3290907</v>
      </c>
      <c r="E891" s="1" t="s">
        <v>12</v>
      </c>
      <c r="F891" s="2">
        <v>45726.661111111112</v>
      </c>
      <c r="G891" s="1">
        <v>13906</v>
      </c>
      <c r="H891" s="1">
        <v>13906</v>
      </c>
      <c r="I891" s="1" t="s">
        <v>1608</v>
      </c>
      <c r="J891" s="2">
        <v>45726.968055555553</v>
      </c>
      <c r="K891" s="2">
        <v>45729.978472222225</v>
      </c>
      <c r="L891" s="1" t="s">
        <v>14</v>
      </c>
      <c r="M891" s="1" t="str">
        <f>_xlfn.XLOOKUP(I891,Parâmetros!A:A,Parâmetros!B:B,_xlfn.XLOOKUP(Q891,Parâmetros!F:F,Parâmetros!G:G,"NOVA MENSAGEM"))</f>
        <v>ASSENTO / BAGAGEM</v>
      </c>
      <c r="N891" s="1" t="str">
        <f>_xlfn.XLOOKUP(M891,Parâmetros!K:K,Parâmetros!L:L,"")</f>
        <v>CAMPO OBSERVAÇÃO PREENCHIDO INCORRETAMENTE</v>
      </c>
      <c r="O891" s="1" t="str">
        <f>_xlfn.XLOOKUP(M891,Parâmetros!B:B,Parâmetros!C:C,_xlfn.XLOOKUP(Base!M997,Parâmetros!G:G,Parâmetros!H:H))</f>
        <v>QUALIDADE DOS DADOS</v>
      </c>
      <c r="P891" s="1" t="str">
        <f>_xlfn.XLOOKUP(I891,Parâmetros!A:A,Parâmetros!D:D,_xlfn.XLOOKUP(Q891,Parâmetros!F:F,Parâmetros!I:I))</f>
        <v>OPERAÇÕES / SUPORTE KCS</v>
      </c>
      <c r="Q891" s="1">
        <f t="shared" si="27"/>
        <v>127</v>
      </c>
    </row>
    <row r="892" spans="1:17" x14ac:dyDescent="0.25">
      <c r="A892" s="1" t="str">
        <f>_xlfn.XLOOKUP(D892,'Novo relatório'!B:B,'Novo relatório'!C:C,"RESOLVIDO")</f>
        <v>TMS</v>
      </c>
      <c r="C892" t="str">
        <f t="shared" si="26"/>
        <v>PENDENTE</v>
      </c>
      <c r="D892" s="1">
        <v>3291253</v>
      </c>
      <c r="E892" s="1" t="s">
        <v>12</v>
      </c>
      <c r="F892" s="2">
        <v>45726.479861111111</v>
      </c>
      <c r="G892" s="1">
        <v>3438</v>
      </c>
      <c r="H892" s="1">
        <v>3438</v>
      </c>
      <c r="I892" s="1" t="s">
        <v>16</v>
      </c>
      <c r="J892" s="2">
        <v>45727.400694444441</v>
      </c>
      <c r="K892" s="2">
        <v>45733.738888888889</v>
      </c>
      <c r="L892" s="1" t="s">
        <v>14</v>
      </c>
      <c r="M892" s="1" t="str">
        <f>_xlfn.XLOOKUP(I892,Parâmetros!A:A,Parâmetros!B:B,_xlfn.XLOOKUP(Q892,Parâmetros!F:F,Parâmetros!G:G,"NOVA MENSAGEM"))</f>
        <v>ASSENTO / BAGAGEM</v>
      </c>
      <c r="N892" s="1" t="str">
        <f>_xlfn.XLOOKUP(M892,Parâmetros!K:K,Parâmetros!L:L,"")</f>
        <v>CAMPO OBSERVAÇÃO PREENCHIDO INCORRETAMENTE</v>
      </c>
      <c r="O892" s="1" t="str">
        <f>_xlfn.XLOOKUP(M892,Parâmetros!B:B,Parâmetros!C:C,_xlfn.XLOOKUP(Base!M1004,Parâmetros!G:G,Parâmetros!H:H))</f>
        <v>QUALIDADE DOS DADOS</v>
      </c>
      <c r="P892" s="1" t="str">
        <f>_xlfn.XLOOKUP(I892,Parâmetros!A:A,Parâmetros!D:D,_xlfn.XLOOKUP(Q892,Parâmetros!F:F,Parâmetros!I:I))</f>
        <v>OPERAÇÕES / SUPORTE KCS</v>
      </c>
      <c r="Q892" s="1">
        <f t="shared" si="27"/>
        <v>118</v>
      </c>
    </row>
    <row r="893" spans="1:17" x14ac:dyDescent="0.25">
      <c r="A893" s="1" t="str">
        <f>_xlfn.XLOOKUP(D893,'Novo relatório'!B:B,'Novo relatório'!C:C,"RESOLVIDO")</f>
        <v>SABRE</v>
      </c>
      <c r="C893" t="str">
        <f t="shared" si="26"/>
        <v>PENDENTE</v>
      </c>
      <c r="D893" s="1">
        <v>3291655</v>
      </c>
      <c r="E893" s="1" t="s">
        <v>26</v>
      </c>
      <c r="F893" s="2">
        <v>45727.386805555558</v>
      </c>
      <c r="G893" s="1" t="s">
        <v>1512</v>
      </c>
      <c r="H893" s="1" t="s">
        <v>1512</v>
      </c>
      <c r="I893" s="1" t="s">
        <v>1215</v>
      </c>
      <c r="J893" s="2">
        <v>45727.480555555558</v>
      </c>
      <c r="L893" s="1" t="s">
        <v>18</v>
      </c>
      <c r="M893" s="1" t="str">
        <f>_xlfn.XLOOKUP(I893,Parâmetros!A:A,Parâmetros!B:B,_xlfn.XLOOKUP(Q893,Parâmetros!F:F,Parâmetros!G:G,"NOVA MENSAGEM"))</f>
        <v>CÓD. CLIENTE DIVERGENTE</v>
      </c>
      <c r="N893" s="1" t="str">
        <f>_xlfn.XLOOKUP(M893,Parâmetros!K:K,Parâmetros!L:L,"")</f>
        <v>CÓDIGO DIFERENTE DO CADASTRADO NO BENNER (CLIENTE X GRUPO)</v>
      </c>
      <c r="O893" s="1" t="str">
        <f>_xlfn.XLOOKUP(M893,Parâmetros!B:B,Parâmetros!C:C,_xlfn.XLOOKUP(Base!M921,Parâmetros!G:G,Parâmetros!H:H))</f>
        <v>QUALIDADE DOS DADOS</v>
      </c>
      <c r="P893" s="1" t="str">
        <f>_xlfn.XLOOKUP(I893,Parâmetros!A:A,Parâmetros!D:D,_xlfn.XLOOKUP(Q893,Parâmetros!F:F,Parâmetros!I:I))</f>
        <v>SUPORTE OBT</v>
      </c>
      <c r="Q893" s="1">
        <f t="shared" si="27"/>
        <v>1</v>
      </c>
    </row>
    <row r="894" spans="1:17" x14ac:dyDescent="0.25">
      <c r="A894" s="1" t="str">
        <f>_xlfn.XLOOKUP(D894,'Novo relatório'!B:B,'Novo relatório'!C:C,"RESOLVIDO")</f>
        <v>SABRE</v>
      </c>
      <c r="C894" t="str">
        <f t="shared" si="26"/>
        <v>PENDENTE</v>
      </c>
      <c r="D894" s="1">
        <v>3291657</v>
      </c>
      <c r="E894" s="1" t="s">
        <v>26</v>
      </c>
      <c r="F894" s="2">
        <v>45727.387499999997</v>
      </c>
      <c r="G894" s="1" t="s">
        <v>1476</v>
      </c>
      <c r="H894" s="1" t="s">
        <v>1476</v>
      </c>
      <c r="I894" s="1" t="s">
        <v>1215</v>
      </c>
      <c r="J894" s="2">
        <v>45727.481249999997</v>
      </c>
      <c r="L894" s="1" t="s">
        <v>18</v>
      </c>
      <c r="M894" s="1" t="str">
        <f>_xlfn.XLOOKUP(I894,Parâmetros!A:A,Parâmetros!B:B,_xlfn.XLOOKUP(Q894,Parâmetros!F:F,Parâmetros!G:G,"NOVA MENSAGEM"))</f>
        <v>CÓD. CLIENTE DIVERGENTE</v>
      </c>
      <c r="N894" s="1" t="str">
        <f>_xlfn.XLOOKUP(M894,Parâmetros!K:K,Parâmetros!L:L,"")</f>
        <v>CÓDIGO DIFERENTE DO CADASTRADO NO BENNER (CLIENTE X GRUPO)</v>
      </c>
      <c r="O894" s="1" t="str">
        <f>_xlfn.XLOOKUP(M894,Parâmetros!B:B,Parâmetros!C:C,_xlfn.XLOOKUP(Base!M890,Parâmetros!G:G,Parâmetros!H:H))</f>
        <v>QUALIDADE DOS DADOS</v>
      </c>
      <c r="P894" s="1" t="str">
        <f>_xlfn.XLOOKUP(I894,Parâmetros!A:A,Parâmetros!D:D,_xlfn.XLOOKUP(Q894,Parâmetros!F:F,Parâmetros!I:I))</f>
        <v>SUPORTE OBT</v>
      </c>
      <c r="Q894" s="1">
        <f t="shared" si="27"/>
        <v>1</v>
      </c>
    </row>
    <row r="895" spans="1:17" x14ac:dyDescent="0.25">
      <c r="A895" s="1" t="str">
        <f>_xlfn.XLOOKUP(D895,'Novo relatório'!B:B,'Novo relatório'!C:C,"RESOLVIDO")</f>
        <v>SABRE</v>
      </c>
      <c r="C895" t="str">
        <f t="shared" si="26"/>
        <v>PENDENTE</v>
      </c>
      <c r="D895" s="1">
        <v>3291660</v>
      </c>
      <c r="E895" s="1" t="s">
        <v>26</v>
      </c>
      <c r="F895" s="2">
        <v>45728.416666666664</v>
      </c>
      <c r="G895" s="1" t="s">
        <v>1374</v>
      </c>
      <c r="H895" s="1" t="s">
        <v>1374</v>
      </c>
      <c r="I895" s="1" t="s">
        <v>1060</v>
      </c>
      <c r="J895" s="2">
        <v>45727.481249999997</v>
      </c>
      <c r="K895" s="2">
        <v>45728.50277777778</v>
      </c>
      <c r="L895" s="1" t="s">
        <v>18</v>
      </c>
      <c r="M895" s="1" t="str">
        <f>_xlfn.XLOOKUP(I895,Parâmetros!A:A,Parâmetros!B:B,_xlfn.XLOOKUP(Q895,Parâmetros!F:F,Parâmetros!G:G,"NOVA MENSAGEM"))</f>
        <v>CÓD. CLIENTE DIVERGENTE</v>
      </c>
      <c r="N895" s="1" t="str">
        <f>_xlfn.XLOOKUP(M895,Parâmetros!K:K,Parâmetros!L:L,"")</f>
        <v>CÓDIGO DIFERENTE DO CADASTRADO NO BENNER (CLIENTE X GRUPO)</v>
      </c>
      <c r="O895" s="1" t="str">
        <f>_xlfn.XLOOKUP(M895,Parâmetros!B:B,Parâmetros!C:C,_xlfn.XLOOKUP(Base!M812,Parâmetros!G:G,Parâmetros!H:H))</f>
        <v>QUALIDADE DOS DADOS</v>
      </c>
      <c r="P895" s="1" t="str">
        <f>_xlfn.XLOOKUP(I895,Parâmetros!A:A,Parâmetros!D:D,_xlfn.XLOOKUP(Q895,Parâmetros!F:F,Parâmetros!I:I))</f>
        <v>SUPORTE OBT</v>
      </c>
      <c r="Q895" s="1">
        <f t="shared" si="27"/>
        <v>1</v>
      </c>
    </row>
    <row r="896" spans="1:17" x14ac:dyDescent="0.25">
      <c r="A896" s="1" t="str">
        <f>_xlfn.XLOOKUP(D896,'Novo relatório'!B:B,'Novo relatório'!C:C,"RESOLVIDO")</f>
        <v>SABRE</v>
      </c>
      <c r="C896" t="str">
        <f t="shared" si="26"/>
        <v>PENDENTE</v>
      </c>
      <c r="D896" s="1">
        <v>3291744</v>
      </c>
      <c r="E896" s="1" t="s">
        <v>26</v>
      </c>
      <c r="F896" s="2">
        <v>45727.42291666667</v>
      </c>
      <c r="G896" s="1" t="s">
        <v>1375</v>
      </c>
      <c r="H896" s="1" t="s">
        <v>1375</v>
      </c>
      <c r="I896" s="1" t="s">
        <v>1215</v>
      </c>
      <c r="J896" s="2">
        <v>45727.512499999997</v>
      </c>
      <c r="L896" s="1" t="s">
        <v>18</v>
      </c>
      <c r="M896" s="1" t="str">
        <f>_xlfn.XLOOKUP(I896,Parâmetros!A:A,Parâmetros!B:B,_xlfn.XLOOKUP(Q896,Parâmetros!F:F,Parâmetros!G:G,"NOVA MENSAGEM"))</f>
        <v>CÓD. CLIENTE DIVERGENTE</v>
      </c>
      <c r="N896" s="1" t="str">
        <f>_xlfn.XLOOKUP(M896,Parâmetros!K:K,Parâmetros!L:L,"")</f>
        <v>CÓDIGO DIFERENTE DO CADASTRADO NO BENNER (CLIENTE X GRUPO)</v>
      </c>
      <c r="O896" s="1" t="str">
        <f>_xlfn.XLOOKUP(M896,Parâmetros!B:B,Parâmetros!C:C,_xlfn.XLOOKUP(Base!M813,Parâmetros!G:G,Parâmetros!H:H))</f>
        <v>QUALIDADE DOS DADOS</v>
      </c>
      <c r="P896" s="1" t="str">
        <f>_xlfn.XLOOKUP(I896,Parâmetros!A:A,Parâmetros!D:D,_xlfn.XLOOKUP(Q896,Parâmetros!F:F,Parâmetros!I:I))</f>
        <v>SUPORTE OBT</v>
      </c>
      <c r="Q896" s="1">
        <f t="shared" si="27"/>
        <v>1</v>
      </c>
    </row>
    <row r="897" spans="1:17" x14ac:dyDescent="0.25">
      <c r="A897" s="1" t="str">
        <f>_xlfn.XLOOKUP(D897,'Novo relatório'!B:B,'Novo relatório'!C:C,"RESOLVIDO")</f>
        <v>SABRE</v>
      </c>
      <c r="C897" t="str">
        <f t="shared" si="26"/>
        <v>PENDENTE</v>
      </c>
      <c r="D897" s="1">
        <v>3292055</v>
      </c>
      <c r="E897" s="1" t="s">
        <v>26</v>
      </c>
      <c r="F897" s="2">
        <v>45727.770833333336</v>
      </c>
      <c r="G897" s="1" t="s">
        <v>1415</v>
      </c>
      <c r="H897" s="1" t="s">
        <v>1415</v>
      </c>
      <c r="I897" s="1" t="s">
        <v>840</v>
      </c>
      <c r="J897" s="2">
        <v>45727.647916666669</v>
      </c>
      <c r="K897" s="2">
        <v>45727.856944444444</v>
      </c>
      <c r="L897" s="1" t="s">
        <v>18</v>
      </c>
      <c r="M897" s="1" t="str">
        <f>_xlfn.XLOOKUP(I897,Parâmetros!A:A,Parâmetros!B:B,_xlfn.XLOOKUP(Q897,Parâmetros!F:F,Parâmetros!G:G,"NOVA MENSAGEM"))</f>
        <v>REMARK - CNPJ</v>
      </c>
      <c r="N897" s="1" t="str">
        <f>_xlfn.XLOOKUP(M897,Parâmetros!K:K,Parâmetros!L:L,"")</f>
        <v/>
      </c>
      <c r="O897" s="1" t="str">
        <f>_xlfn.XLOOKUP(M897,Parâmetros!B:B,Parâmetros!C:C,_xlfn.XLOOKUP(Base!M841,Parâmetros!G:G,Parâmetros!H:H))</f>
        <v>INDEFINIDO</v>
      </c>
      <c r="P897" s="1" t="str">
        <f>_xlfn.XLOOKUP(I897,Parâmetros!A:A,Parâmetros!D:D,_xlfn.XLOOKUP(Q897,Parâmetros!F:F,Parâmetros!I:I))</f>
        <v>OPERAÇÕES / SUPORTE KCS</v>
      </c>
      <c r="Q897" s="1">
        <f t="shared" si="27"/>
        <v>24</v>
      </c>
    </row>
    <row r="898" spans="1:17" x14ac:dyDescent="0.25">
      <c r="A898" s="1" t="str">
        <f>_xlfn.XLOOKUP(D898,'Novo relatório'!B:B,'Novo relatório'!C:C,"RESOLVIDO")</f>
        <v>TMS</v>
      </c>
      <c r="C898" t="str">
        <f t="shared" ref="C898:C961" si="28">IF(A898="RESOLVIDO","RESOLVIDO",IF(B898="","PENDENTE",IF(LEFT(B898,7)="CHAMADO","AGUARDANDO FORNECEDOR",IF(B898="CONTABILIZAR","CONTABILIZAR NO PORTAL"))))</f>
        <v>PENDENTE</v>
      </c>
      <c r="D898" s="1">
        <v>3292118</v>
      </c>
      <c r="E898" s="1" t="s">
        <v>12</v>
      </c>
      <c r="F898" s="2">
        <v>45727.468055555553</v>
      </c>
      <c r="G898" s="1">
        <v>56708</v>
      </c>
      <c r="H898" s="1">
        <v>56708</v>
      </c>
      <c r="I898" s="1" t="s">
        <v>1611</v>
      </c>
      <c r="J898" s="2">
        <v>45727.661111111112</v>
      </c>
      <c r="K898" s="2">
        <v>45730.955555555556</v>
      </c>
      <c r="L898" s="1" t="s">
        <v>14</v>
      </c>
      <c r="M898" s="1" t="str">
        <f>_xlfn.XLOOKUP(I898,Parâmetros!A:A,Parâmetros!B:B,_xlfn.XLOOKUP(Q898,Parâmetros!F:F,Parâmetros!G:G,"NOVA MENSAGEM"))</f>
        <v>ASSENTO / BAGAGEM</v>
      </c>
      <c r="N898" s="1" t="str">
        <f>_xlfn.XLOOKUP(M898,Parâmetros!K:K,Parâmetros!L:L,"")</f>
        <v>CAMPO OBSERVAÇÃO PREENCHIDO INCORRETAMENTE</v>
      </c>
      <c r="O898" s="1" t="str">
        <f>_xlfn.XLOOKUP(M898,Parâmetros!B:B,Parâmetros!C:C,_xlfn.XLOOKUP(Base!M1010,Parâmetros!G:G,Parâmetros!H:H))</f>
        <v>QUALIDADE DOS DADOS</v>
      </c>
      <c r="P898" s="1" t="str">
        <f>_xlfn.XLOOKUP(I898,Parâmetros!A:A,Parâmetros!D:D,_xlfn.XLOOKUP(Q898,Parâmetros!F:F,Parâmetros!I:I))</f>
        <v>OPERAÇÕES / SUPORTE KCS</v>
      </c>
      <c r="Q898" s="1">
        <f t="shared" ref="Q898:Q961" si="29">IFERROR(FIND("Não foi possível localizar o contrato do fornecedor",I898),IFERROR(FIND("veículo",I898),IFERROR(FIND("agagem",I898),IFERROR(FIND("error in XML document",I898),IFERROR(FIND("Não localizado cliente código",I898),IFERROR(FIND("lemontech",I898),IFERROR(FIND("&gt;Fornecedor com o",I898),IFERROR(FIND("INSERT",I898),IFERROR(FIND("com CNPJ",I898),IFERROR(FIND("Consultando Agente-&gt; O agente",I898),IFERROR(FIND("Não foi possível determinar a validade do cartão, favor verificar os dados do cartão",I898),"COLUNA I")))))))))))</f>
        <v>127</v>
      </c>
    </row>
    <row r="899" spans="1:17" x14ac:dyDescent="0.25">
      <c r="A899" s="1" t="str">
        <f>_xlfn.XLOOKUP(D899,'Novo relatório'!B:B,'Novo relatório'!C:C,"RESOLVIDO")</f>
        <v>SABRE</v>
      </c>
      <c r="C899" t="str">
        <f t="shared" si="28"/>
        <v>PENDENTE</v>
      </c>
      <c r="D899" s="1">
        <v>3292266</v>
      </c>
      <c r="E899" s="1" t="s">
        <v>26</v>
      </c>
      <c r="F899" s="2">
        <v>45727.577777777777</v>
      </c>
      <c r="G899" s="1" t="s">
        <v>1551</v>
      </c>
      <c r="H899" s="1" t="s">
        <v>1552</v>
      </c>
      <c r="I899" s="1" t="s">
        <v>64</v>
      </c>
      <c r="J899" s="2">
        <v>45727.669444444444</v>
      </c>
      <c r="L899" s="1" t="s">
        <v>1244</v>
      </c>
      <c r="M899" s="1" t="str">
        <f>_xlfn.XLOOKUP(I899,Parâmetros!A:A,Parâmetros!B:B,_xlfn.XLOOKUP(Q899,Parâmetros!F:F,Parâmetros!G:G,"NOVA MENSAGEM"))</f>
        <v>FORMATO DE TEXTO</v>
      </c>
      <c r="N899" s="1" t="str">
        <f>_xlfn.XLOOKUP(M899,Parâmetros!K:K,Parâmetros!L:L,"")</f>
        <v>TEXTO FORA DO PADRÃO ACEITO NO CAMPO</v>
      </c>
      <c r="O899" s="1" t="str">
        <f>_xlfn.XLOOKUP(M899,Parâmetros!B:B,Parâmetros!C:C,_xlfn.XLOOKUP(Base!M951,Parâmetros!G:G,Parâmetros!H:H))</f>
        <v>INDEFINIDO</v>
      </c>
      <c r="P899" s="1" t="str">
        <f>_xlfn.XLOOKUP(I899,Parâmetros!A:A,Parâmetros!D:D,_xlfn.XLOOKUP(Q899,Parâmetros!F:F,Parâmetros!I:I))</f>
        <v>SUPORTE OBT</v>
      </c>
      <c r="Q899" s="1" t="str">
        <f t="shared" si="29"/>
        <v>COLUNA I</v>
      </c>
    </row>
    <row r="900" spans="1:17" x14ac:dyDescent="0.25">
      <c r="A900" s="1" t="str">
        <f>_xlfn.XLOOKUP(D900,'Novo relatório'!B:B,'Novo relatório'!C:C,"RESOLVIDO")</f>
        <v>SABRE</v>
      </c>
      <c r="C900" t="str">
        <f t="shared" si="28"/>
        <v>PENDENTE</v>
      </c>
      <c r="D900" s="1">
        <v>3292267</v>
      </c>
      <c r="E900" s="1" t="s">
        <v>26</v>
      </c>
      <c r="F900" s="2">
        <v>45727.578472222223</v>
      </c>
      <c r="G900" s="1" t="s">
        <v>1376</v>
      </c>
      <c r="H900" s="1" t="s">
        <v>1377</v>
      </c>
      <c r="I900" s="1" t="s">
        <v>64</v>
      </c>
      <c r="J900" s="2">
        <v>45727.670138888891</v>
      </c>
      <c r="L900" s="1" t="s">
        <v>1244</v>
      </c>
      <c r="M900" s="1" t="str">
        <f>_xlfn.XLOOKUP(I900,Parâmetros!A:A,Parâmetros!B:B,_xlfn.XLOOKUP(Q900,Parâmetros!F:F,Parâmetros!G:G,"NOVA MENSAGEM"))</f>
        <v>FORMATO DE TEXTO</v>
      </c>
      <c r="N900" s="1" t="str">
        <f>_xlfn.XLOOKUP(M900,Parâmetros!K:K,Parâmetros!L:L,"")</f>
        <v>TEXTO FORA DO PADRÃO ACEITO NO CAMPO</v>
      </c>
      <c r="O900" s="1" t="str">
        <f>_xlfn.XLOOKUP(M900,Parâmetros!B:B,Parâmetros!C:C,_xlfn.XLOOKUP(Base!M814,Parâmetros!G:G,Parâmetros!H:H))</f>
        <v>INDEFINIDO</v>
      </c>
      <c r="P900" s="1" t="str">
        <f>_xlfn.XLOOKUP(I900,Parâmetros!A:A,Parâmetros!D:D,_xlfn.XLOOKUP(Q900,Parâmetros!F:F,Parâmetros!I:I))</f>
        <v>SUPORTE OBT</v>
      </c>
      <c r="Q900" s="1" t="str">
        <f t="shared" si="29"/>
        <v>COLUNA I</v>
      </c>
    </row>
    <row r="901" spans="1:17" x14ac:dyDescent="0.25">
      <c r="A901" s="1" t="str">
        <f>_xlfn.XLOOKUP(D901,'Novo relatório'!B:B,'Novo relatório'!C:C,"RESOLVIDO")</f>
        <v>SABRE</v>
      </c>
      <c r="C901" t="str">
        <f t="shared" si="28"/>
        <v>PENDENTE</v>
      </c>
      <c r="D901" s="1">
        <v>3292269</v>
      </c>
      <c r="E901" s="1" t="s">
        <v>26</v>
      </c>
      <c r="F901" s="2">
        <v>45727.578472222223</v>
      </c>
      <c r="G901" s="1" t="s">
        <v>1395</v>
      </c>
      <c r="H901" s="1" t="s">
        <v>1396</v>
      </c>
      <c r="I901" s="1" t="s">
        <v>64</v>
      </c>
      <c r="J901" s="2">
        <v>45727.670138888891</v>
      </c>
      <c r="L901" s="1" t="s">
        <v>1244</v>
      </c>
      <c r="M901" s="1" t="str">
        <f>_xlfn.XLOOKUP(I901,Parâmetros!A:A,Parâmetros!B:B,_xlfn.XLOOKUP(Q901,Parâmetros!F:F,Parâmetros!G:G,"NOVA MENSAGEM"))</f>
        <v>FORMATO DE TEXTO</v>
      </c>
      <c r="N901" s="1" t="str">
        <f>_xlfn.XLOOKUP(M901,Parâmetros!K:K,Parâmetros!L:L,"")</f>
        <v>TEXTO FORA DO PADRÃO ACEITO NO CAMPO</v>
      </c>
      <c r="O901" s="1" t="str">
        <f>_xlfn.XLOOKUP(M901,Parâmetros!B:B,Parâmetros!C:C,_xlfn.XLOOKUP(Base!M827,Parâmetros!G:G,Parâmetros!H:H))</f>
        <v>INDEFINIDO</v>
      </c>
      <c r="P901" s="1" t="str">
        <f>_xlfn.XLOOKUP(I901,Parâmetros!A:A,Parâmetros!D:D,_xlfn.XLOOKUP(Q901,Parâmetros!F:F,Parâmetros!I:I))</f>
        <v>SUPORTE OBT</v>
      </c>
      <c r="Q901" s="1" t="str">
        <f t="shared" si="29"/>
        <v>COLUNA I</v>
      </c>
    </row>
    <row r="902" spans="1:17" x14ac:dyDescent="0.25">
      <c r="A902" s="1" t="str">
        <f>_xlfn.XLOOKUP(D902,'Novo relatório'!B:B,'Novo relatório'!C:C,"RESOLVIDO")</f>
        <v>SABRE</v>
      </c>
      <c r="C902" t="str">
        <f t="shared" si="28"/>
        <v>PENDENTE</v>
      </c>
      <c r="D902" s="1">
        <v>3293463</v>
      </c>
      <c r="E902" s="1" t="s">
        <v>26</v>
      </c>
      <c r="F902" s="2">
        <v>45727.718055555553</v>
      </c>
      <c r="G902" s="1" t="s">
        <v>1505</v>
      </c>
      <c r="H902" s="1" t="s">
        <v>1506</v>
      </c>
      <c r="I902" s="1" t="s">
        <v>64</v>
      </c>
      <c r="J902" s="2">
        <v>45727.803472222222</v>
      </c>
      <c r="L902" s="1" t="s">
        <v>1244</v>
      </c>
      <c r="M902" s="1" t="str">
        <f>_xlfn.XLOOKUP(I902,Parâmetros!A:A,Parâmetros!B:B,_xlfn.XLOOKUP(Q902,Parâmetros!F:F,Parâmetros!G:G,"NOVA MENSAGEM"))</f>
        <v>FORMATO DE TEXTO</v>
      </c>
      <c r="N902" s="1" t="str">
        <f>_xlfn.XLOOKUP(M902,Parâmetros!K:K,Parâmetros!L:L,"")</f>
        <v>TEXTO FORA DO PADRÃO ACEITO NO CAMPO</v>
      </c>
      <c r="O902" s="1" t="str">
        <f>_xlfn.XLOOKUP(M902,Parâmetros!B:B,Parâmetros!C:C,_xlfn.XLOOKUP(Base!M915,Parâmetros!G:G,Parâmetros!H:H))</f>
        <v>INDEFINIDO</v>
      </c>
      <c r="P902" s="1" t="str">
        <f>_xlfn.XLOOKUP(I902,Parâmetros!A:A,Parâmetros!D:D,_xlfn.XLOOKUP(Q902,Parâmetros!F:F,Parâmetros!I:I))</f>
        <v>SUPORTE OBT</v>
      </c>
      <c r="Q902" s="1" t="str">
        <f t="shared" si="29"/>
        <v>COLUNA I</v>
      </c>
    </row>
    <row r="903" spans="1:17" x14ac:dyDescent="0.25">
      <c r="A903" s="1" t="str">
        <f>_xlfn.XLOOKUP(D903,'Novo relatório'!B:B,'Novo relatório'!C:C,"RESOLVIDO")</f>
        <v>SABRE</v>
      </c>
      <c r="C903" t="str">
        <f t="shared" si="28"/>
        <v>PENDENTE</v>
      </c>
      <c r="D903" s="1">
        <v>3293499</v>
      </c>
      <c r="E903" s="1" t="s">
        <v>26</v>
      </c>
      <c r="F903" s="2">
        <v>45728.603472222225</v>
      </c>
      <c r="G903" s="1" t="s">
        <v>1432</v>
      </c>
      <c r="H903" s="1" t="s">
        <v>1432</v>
      </c>
      <c r="I903" s="1" t="s">
        <v>1189</v>
      </c>
      <c r="J903" s="2">
        <v>45727.856249999997</v>
      </c>
      <c r="K903" s="2">
        <v>45728.689583333333</v>
      </c>
      <c r="L903" s="1" t="s">
        <v>18</v>
      </c>
      <c r="M903" s="1" t="str">
        <f>_xlfn.XLOOKUP(I903,Parâmetros!A:A,Parâmetros!B:B,_xlfn.XLOOKUP(Q903,Parâmetros!F:F,Parâmetros!G:G,"NOVA MENSAGEM"))</f>
        <v>CÓD. CLIENTE DIVERGENTE</v>
      </c>
      <c r="N903" s="1" t="str">
        <f>_xlfn.XLOOKUP(M903,Parâmetros!K:K,Parâmetros!L:L,"")</f>
        <v>CÓDIGO DIFERENTE DO CADASTRADO NO BENNER (CLIENTE X GRUPO)</v>
      </c>
      <c r="O903" s="1" t="str">
        <f>_xlfn.XLOOKUP(M903,Parâmetros!B:B,Parâmetros!C:C,_xlfn.XLOOKUP(Base!M856,Parâmetros!G:G,Parâmetros!H:H))</f>
        <v>QUALIDADE DOS DADOS</v>
      </c>
      <c r="P903" s="1" t="str">
        <f>_xlfn.XLOOKUP(I903,Parâmetros!A:A,Parâmetros!D:D,_xlfn.XLOOKUP(Q903,Parâmetros!F:F,Parâmetros!I:I))</f>
        <v>SUPORTE OBT</v>
      </c>
      <c r="Q903" s="1">
        <f t="shared" si="29"/>
        <v>1</v>
      </c>
    </row>
    <row r="904" spans="1:17" x14ac:dyDescent="0.25">
      <c r="A904" s="1" t="str">
        <f>_xlfn.XLOOKUP(D904,'Novo relatório'!B:B,'Novo relatório'!C:C,"RESOLVIDO")</f>
        <v>SABRE</v>
      </c>
      <c r="C904" t="str">
        <f t="shared" si="28"/>
        <v>PENDENTE</v>
      </c>
      <c r="D904" s="1">
        <v>3293502</v>
      </c>
      <c r="E904" s="1" t="s">
        <v>26</v>
      </c>
      <c r="F904" s="2">
        <v>45727.770833333336</v>
      </c>
      <c r="G904" s="1" t="s">
        <v>1433</v>
      </c>
      <c r="H904" s="1" t="s">
        <v>1433</v>
      </c>
      <c r="I904" s="1" t="s">
        <v>83</v>
      </c>
      <c r="J904" s="2">
        <v>45727.856944444444</v>
      </c>
      <c r="L904" s="1" t="s">
        <v>18</v>
      </c>
      <c r="M904" s="1" t="str">
        <f>_xlfn.XLOOKUP(I904,Parâmetros!A:A,Parâmetros!B:B,_xlfn.XLOOKUP(Q904,Parâmetros!F:F,Parâmetros!G:G,"NOVA MENSAGEM"))</f>
        <v>CLIENTE NÃO IDENTIFICADO</v>
      </c>
      <c r="N904" s="1" t="str">
        <f>_xlfn.XLOOKUP(M904,Parâmetros!K:K,Parâmetros!L:L,"")</f>
        <v>DK DE CLIENTE NÃO PREENCIDO / CLIENTE NÃO CONFIGURADO NO OBT</v>
      </c>
      <c r="O904" s="1" t="str">
        <f>_xlfn.XLOOKUP(M904,Parâmetros!B:B,Parâmetros!C:C,_xlfn.XLOOKUP(Base!M857,Parâmetros!G:G,Parâmetros!H:H))</f>
        <v>INDEFINIDO</v>
      </c>
      <c r="P904" s="1" t="str">
        <f>_xlfn.XLOOKUP(I904,Parâmetros!A:A,Parâmetros!D:D,_xlfn.XLOOKUP(Q904,Parâmetros!F:F,Parâmetros!I:I))</f>
        <v>OPERAÇÕES / SUPORTE KCS</v>
      </c>
      <c r="Q904" s="1" t="str">
        <f t="shared" si="29"/>
        <v>COLUNA I</v>
      </c>
    </row>
    <row r="905" spans="1:17" x14ac:dyDescent="0.25">
      <c r="A905" s="1" t="str">
        <f>_xlfn.XLOOKUP(D905,'Novo relatório'!B:B,'Novo relatório'!C:C,"RESOLVIDO")</f>
        <v>SABRE</v>
      </c>
      <c r="C905" t="str">
        <f t="shared" si="28"/>
        <v>PENDENTE</v>
      </c>
      <c r="D905" s="1">
        <v>3293505</v>
      </c>
      <c r="E905" s="1" t="s">
        <v>26</v>
      </c>
      <c r="F905" s="2">
        <v>45727.770833333336</v>
      </c>
      <c r="G905" s="1" t="s">
        <v>1446</v>
      </c>
      <c r="H905" s="1" t="s">
        <v>1446</v>
      </c>
      <c r="I905" s="1" t="s">
        <v>410</v>
      </c>
      <c r="J905" s="2">
        <v>45727.856944444444</v>
      </c>
      <c r="L905" s="1" t="s">
        <v>18</v>
      </c>
      <c r="M905" s="1" t="str">
        <f>_xlfn.XLOOKUP(I905,Parâmetros!A:A,Parâmetros!B:B,_xlfn.XLOOKUP(Q905,Parâmetros!F:F,Parâmetros!G:G,"NOVA MENSAGEM"))</f>
        <v>CÓD. CLIENTE DIVERGENTE</v>
      </c>
      <c r="N905" s="1" t="str">
        <f>_xlfn.XLOOKUP(M905,Parâmetros!K:K,Parâmetros!L:L,"")</f>
        <v>CÓDIGO DIFERENTE DO CADASTRADO NO BENNER (CLIENTE X GRUPO)</v>
      </c>
      <c r="O905" s="1" t="str">
        <f>_xlfn.XLOOKUP(M905,Parâmetros!B:B,Parâmetros!C:C,_xlfn.XLOOKUP(Base!M868,Parâmetros!G:G,Parâmetros!H:H))</f>
        <v>QUALIDADE DOS DADOS</v>
      </c>
      <c r="P905" s="1" t="str">
        <f>_xlfn.XLOOKUP(I905,Parâmetros!A:A,Parâmetros!D:D,_xlfn.XLOOKUP(Q905,Parâmetros!F:F,Parâmetros!I:I))</f>
        <v>SUPORTE OBT</v>
      </c>
      <c r="Q905" s="1">
        <f t="shared" si="29"/>
        <v>1</v>
      </c>
    </row>
    <row r="906" spans="1:17" x14ac:dyDescent="0.25">
      <c r="A906" s="1" t="str">
        <f>_xlfn.XLOOKUP(D906,'Novo relatório'!B:B,'Novo relatório'!C:C,"RESOLVIDO")</f>
        <v>SABRE</v>
      </c>
      <c r="C906" t="str">
        <f t="shared" si="28"/>
        <v>PENDENTE</v>
      </c>
      <c r="D906" s="1">
        <v>3293506</v>
      </c>
      <c r="E906" s="1" t="s">
        <v>26</v>
      </c>
      <c r="F906" s="2">
        <v>45727.770833333336</v>
      </c>
      <c r="G906" s="1" t="s">
        <v>1418</v>
      </c>
      <c r="H906" s="1" t="s">
        <v>1418</v>
      </c>
      <c r="I906" s="1" t="s">
        <v>410</v>
      </c>
      <c r="J906" s="2">
        <v>45727.857638888891</v>
      </c>
      <c r="L906" s="1" t="s">
        <v>18</v>
      </c>
      <c r="M906" s="1" t="str">
        <f>_xlfn.XLOOKUP(I906,Parâmetros!A:A,Parâmetros!B:B,_xlfn.XLOOKUP(Q906,Parâmetros!F:F,Parâmetros!G:G,"NOVA MENSAGEM"))</f>
        <v>CÓD. CLIENTE DIVERGENTE</v>
      </c>
      <c r="N906" s="1" t="str">
        <f>_xlfn.XLOOKUP(M906,Parâmetros!K:K,Parâmetros!L:L,"")</f>
        <v>CÓDIGO DIFERENTE DO CADASTRADO NO BENNER (CLIENTE X GRUPO)</v>
      </c>
      <c r="O906" s="1" t="str">
        <f>_xlfn.XLOOKUP(M906,Parâmetros!B:B,Parâmetros!C:C,_xlfn.XLOOKUP(Base!M844,Parâmetros!G:G,Parâmetros!H:H))</f>
        <v>QUALIDADE DOS DADOS</v>
      </c>
      <c r="P906" s="1" t="str">
        <f>_xlfn.XLOOKUP(I906,Parâmetros!A:A,Parâmetros!D:D,_xlfn.XLOOKUP(Q906,Parâmetros!F:F,Parâmetros!I:I))</f>
        <v>SUPORTE OBT</v>
      </c>
      <c r="Q906" s="1">
        <f t="shared" si="29"/>
        <v>1</v>
      </c>
    </row>
    <row r="907" spans="1:17" x14ac:dyDescent="0.25">
      <c r="A907" s="1" t="str">
        <f>_xlfn.XLOOKUP(D907,'Novo relatório'!B:B,'Novo relatório'!C:C,"RESOLVIDO")</f>
        <v>SABRE</v>
      </c>
      <c r="C907" t="str">
        <f t="shared" si="28"/>
        <v>PENDENTE</v>
      </c>
      <c r="D907" s="1">
        <v>3293507</v>
      </c>
      <c r="E907" s="1" t="s">
        <v>26</v>
      </c>
      <c r="F907" s="2">
        <v>45727.770833333336</v>
      </c>
      <c r="G907" s="1" t="s">
        <v>1574</v>
      </c>
      <c r="H907" s="1" t="s">
        <v>1574</v>
      </c>
      <c r="I907" s="1" t="s">
        <v>620</v>
      </c>
      <c r="J907" s="2">
        <v>45727.857638888891</v>
      </c>
      <c r="L907" s="1" t="s">
        <v>18</v>
      </c>
      <c r="M907" s="1" t="str">
        <f>_xlfn.XLOOKUP(I907,Parâmetros!A:A,Parâmetros!B:B,_xlfn.XLOOKUP(Q907,Parâmetros!F:F,Parâmetros!G:G,"NOVA MENSAGEM"))</f>
        <v>CÓD. CLIENTE DIVERGENTE</v>
      </c>
      <c r="N907" s="1" t="str">
        <f>_xlfn.XLOOKUP(M907,Parâmetros!K:K,Parâmetros!L:L,"")</f>
        <v>CÓDIGO DIFERENTE DO CADASTRADO NO BENNER (CLIENTE X GRUPO)</v>
      </c>
      <c r="O907" s="1" t="str">
        <f>_xlfn.XLOOKUP(M907,Parâmetros!B:B,Parâmetros!C:C,_xlfn.XLOOKUP(Base!M970,Parâmetros!G:G,Parâmetros!H:H))</f>
        <v>QUALIDADE DOS DADOS</v>
      </c>
      <c r="P907" s="1" t="str">
        <f>_xlfn.XLOOKUP(I907,Parâmetros!A:A,Parâmetros!D:D,_xlfn.XLOOKUP(Q907,Parâmetros!F:F,Parâmetros!I:I))</f>
        <v>SUPORTE OBT</v>
      </c>
      <c r="Q907" s="1">
        <f t="shared" si="29"/>
        <v>1</v>
      </c>
    </row>
    <row r="908" spans="1:17" x14ac:dyDescent="0.25">
      <c r="A908" s="1" t="str">
        <f>_xlfn.XLOOKUP(D908,'Novo relatório'!B:B,'Novo relatório'!C:C,"RESOLVIDO")</f>
        <v>SABRE</v>
      </c>
      <c r="C908" t="str">
        <f t="shared" si="28"/>
        <v>PENDENTE</v>
      </c>
      <c r="D908" s="1">
        <v>3293509</v>
      </c>
      <c r="E908" s="1" t="s">
        <v>26</v>
      </c>
      <c r="F908" s="2">
        <v>45727.770833333336</v>
      </c>
      <c r="G908" s="1" t="s">
        <v>1592</v>
      </c>
      <c r="H908" s="1" t="s">
        <v>1592</v>
      </c>
      <c r="I908" s="1" t="s">
        <v>707</v>
      </c>
      <c r="J908" s="2">
        <v>45727.857638888891</v>
      </c>
      <c r="L908" s="1" t="s">
        <v>18</v>
      </c>
      <c r="M908" s="1" t="str">
        <f>_xlfn.XLOOKUP(I908,Parâmetros!A:A,Parâmetros!B:B,_xlfn.XLOOKUP(Q908,Parâmetros!F:F,Parâmetros!G:G,"NOVA MENSAGEM"))</f>
        <v>CÓD. CLIENTE DIVERGENTE</v>
      </c>
      <c r="N908" s="1" t="str">
        <f>_xlfn.XLOOKUP(M908,Parâmetros!K:K,Parâmetros!L:L,"")</f>
        <v>CÓDIGO DIFERENTE DO CADASTRADO NO BENNER (CLIENTE X GRUPO)</v>
      </c>
      <c r="O908" s="1" t="str">
        <f>_xlfn.XLOOKUP(M908,Parâmetros!B:B,Parâmetros!C:C,_xlfn.XLOOKUP(Base!M983,Parâmetros!G:G,Parâmetros!H:H))</f>
        <v>QUALIDADE DOS DADOS</v>
      </c>
      <c r="P908" s="1" t="str">
        <f>_xlfn.XLOOKUP(I908,Parâmetros!A:A,Parâmetros!D:D,_xlfn.XLOOKUP(Q908,Parâmetros!F:F,Parâmetros!I:I))</f>
        <v>SUPORTE OBT</v>
      </c>
      <c r="Q908" s="1">
        <f t="shared" si="29"/>
        <v>1</v>
      </c>
    </row>
    <row r="909" spans="1:17" x14ac:dyDescent="0.25">
      <c r="A909" s="1" t="str">
        <f>_xlfn.XLOOKUP(D909,'Novo relatório'!B:B,'Novo relatório'!C:C,"RESOLVIDO")</f>
        <v>SABRE</v>
      </c>
      <c r="C909" t="str">
        <f t="shared" si="28"/>
        <v>PENDENTE</v>
      </c>
      <c r="D909" s="1">
        <v>3293511</v>
      </c>
      <c r="E909" s="1" t="s">
        <v>26</v>
      </c>
      <c r="F909" s="2">
        <v>45727.770833333336</v>
      </c>
      <c r="G909" s="1" t="s">
        <v>1501</v>
      </c>
      <c r="H909" s="1" t="s">
        <v>1501</v>
      </c>
      <c r="I909" s="1" t="s">
        <v>620</v>
      </c>
      <c r="J909" s="2">
        <v>45727.857638888891</v>
      </c>
      <c r="L909" s="1" t="s">
        <v>18</v>
      </c>
      <c r="M909" s="1" t="str">
        <f>_xlfn.XLOOKUP(I909,Parâmetros!A:A,Parâmetros!B:B,_xlfn.XLOOKUP(Q909,Parâmetros!F:F,Parâmetros!G:G,"NOVA MENSAGEM"))</f>
        <v>CÓD. CLIENTE DIVERGENTE</v>
      </c>
      <c r="N909" s="1" t="str">
        <f>_xlfn.XLOOKUP(M909,Parâmetros!K:K,Parâmetros!L:L,"")</f>
        <v>CÓDIGO DIFERENTE DO CADASTRADO NO BENNER (CLIENTE X GRUPO)</v>
      </c>
      <c r="O909" s="1" t="str">
        <f>_xlfn.XLOOKUP(M909,Parâmetros!B:B,Parâmetros!C:C,_xlfn.XLOOKUP(Base!M912,Parâmetros!G:G,Parâmetros!H:H))</f>
        <v>QUALIDADE DOS DADOS</v>
      </c>
      <c r="P909" s="1" t="str">
        <f>_xlfn.XLOOKUP(I909,Parâmetros!A:A,Parâmetros!D:D,_xlfn.XLOOKUP(Q909,Parâmetros!F:F,Parâmetros!I:I))</f>
        <v>SUPORTE OBT</v>
      </c>
      <c r="Q909" s="1">
        <f t="shared" si="29"/>
        <v>1</v>
      </c>
    </row>
    <row r="910" spans="1:17" x14ac:dyDescent="0.25">
      <c r="A910" s="1" t="str">
        <f>_xlfn.XLOOKUP(D910,'Novo relatório'!B:B,'Novo relatório'!C:C,"RESOLVIDO")</f>
        <v>SABRE</v>
      </c>
      <c r="C910" t="str">
        <f t="shared" si="28"/>
        <v>PENDENTE</v>
      </c>
      <c r="D910" s="1">
        <v>3293513</v>
      </c>
      <c r="E910" s="1" t="s">
        <v>26</v>
      </c>
      <c r="F910" s="2">
        <v>45727.770833333336</v>
      </c>
      <c r="G910" s="1" t="s">
        <v>1419</v>
      </c>
      <c r="H910" s="1" t="s">
        <v>1419</v>
      </c>
      <c r="I910" s="1" t="s">
        <v>707</v>
      </c>
      <c r="J910" s="2">
        <v>45727.85833333333</v>
      </c>
      <c r="L910" s="1" t="s">
        <v>18</v>
      </c>
      <c r="M910" s="1" t="str">
        <f>_xlfn.XLOOKUP(I910,Parâmetros!A:A,Parâmetros!B:B,_xlfn.XLOOKUP(Q910,Parâmetros!F:F,Parâmetros!G:G,"NOVA MENSAGEM"))</f>
        <v>CÓD. CLIENTE DIVERGENTE</v>
      </c>
      <c r="N910" s="1" t="str">
        <f>_xlfn.XLOOKUP(M910,Parâmetros!K:K,Parâmetros!L:L,"")</f>
        <v>CÓDIGO DIFERENTE DO CADASTRADO NO BENNER (CLIENTE X GRUPO)</v>
      </c>
      <c r="O910" s="1" t="str">
        <f>_xlfn.XLOOKUP(M910,Parâmetros!B:B,Parâmetros!C:C,_xlfn.XLOOKUP(Base!M845,Parâmetros!G:G,Parâmetros!H:H))</f>
        <v>QUALIDADE DOS DADOS</v>
      </c>
      <c r="P910" s="1" t="str">
        <f>_xlfn.XLOOKUP(I910,Parâmetros!A:A,Parâmetros!D:D,_xlfn.XLOOKUP(Q910,Parâmetros!F:F,Parâmetros!I:I))</f>
        <v>SUPORTE OBT</v>
      </c>
      <c r="Q910" s="1">
        <f t="shared" si="29"/>
        <v>1</v>
      </c>
    </row>
    <row r="911" spans="1:17" x14ac:dyDescent="0.25">
      <c r="A911" s="1" t="str">
        <f>_xlfn.XLOOKUP(D911,'Novo relatório'!B:B,'Novo relatório'!C:C,"RESOLVIDO")</f>
        <v>SABRE</v>
      </c>
      <c r="C911" t="str">
        <f t="shared" si="28"/>
        <v>PENDENTE</v>
      </c>
      <c r="D911" s="1">
        <v>3293519</v>
      </c>
      <c r="E911" s="1" t="s">
        <v>26</v>
      </c>
      <c r="F911" s="2">
        <v>45728.421527777777</v>
      </c>
      <c r="G911" s="1" t="s">
        <v>1417</v>
      </c>
      <c r="H911" s="1" t="s">
        <v>1417</v>
      </c>
      <c r="I911" s="1" t="s">
        <v>1134</v>
      </c>
      <c r="J911" s="2">
        <v>45727.85833333333</v>
      </c>
      <c r="K911" s="2">
        <v>45728.511805555558</v>
      </c>
      <c r="L911" s="1" t="s">
        <v>18</v>
      </c>
      <c r="M911" s="1" t="str">
        <f>_xlfn.XLOOKUP(I911,Parâmetros!A:A,Parâmetros!B:B,_xlfn.XLOOKUP(Q911,Parâmetros!F:F,Parâmetros!G:G,"NOVA MENSAGEM"))</f>
        <v>CÓD. CLIENTE DIVERGENTE</v>
      </c>
      <c r="N911" s="1" t="str">
        <f>_xlfn.XLOOKUP(M911,Parâmetros!K:K,Parâmetros!L:L,"")</f>
        <v>CÓDIGO DIFERENTE DO CADASTRADO NO BENNER (CLIENTE X GRUPO)</v>
      </c>
      <c r="O911" s="1" t="str">
        <f>_xlfn.XLOOKUP(M911,Parâmetros!B:B,Parâmetros!C:C,_xlfn.XLOOKUP(Base!M843,Parâmetros!G:G,Parâmetros!H:H))</f>
        <v>QUALIDADE DOS DADOS</v>
      </c>
      <c r="P911" s="1" t="str">
        <f>_xlfn.XLOOKUP(I911,Parâmetros!A:A,Parâmetros!D:D,_xlfn.XLOOKUP(Q911,Parâmetros!F:F,Parâmetros!I:I))</f>
        <v>SUPORTE OBT</v>
      </c>
      <c r="Q911" s="1">
        <f t="shared" si="29"/>
        <v>1</v>
      </c>
    </row>
    <row r="912" spans="1:17" x14ac:dyDescent="0.25">
      <c r="A912" s="1" t="str">
        <f>_xlfn.XLOOKUP(D912,'Novo relatório'!B:B,'Novo relatório'!C:C,"RESOLVIDO")</f>
        <v>SABRE</v>
      </c>
      <c r="C912" t="str">
        <f t="shared" si="28"/>
        <v>PENDENTE</v>
      </c>
      <c r="D912" s="1">
        <v>3293520</v>
      </c>
      <c r="E912" s="1" t="s">
        <v>26</v>
      </c>
      <c r="F912" s="2">
        <v>45728.606944444444</v>
      </c>
      <c r="G912" s="1" t="s">
        <v>1530</v>
      </c>
      <c r="H912" s="1" t="s">
        <v>1530</v>
      </c>
      <c r="I912" s="1" t="s">
        <v>1060</v>
      </c>
      <c r="J912" s="2">
        <v>45727.85833333333</v>
      </c>
      <c r="K912" s="2">
        <v>45728.7</v>
      </c>
      <c r="L912" s="1" t="s">
        <v>18</v>
      </c>
      <c r="M912" s="1" t="str">
        <f>_xlfn.XLOOKUP(I912,Parâmetros!A:A,Parâmetros!B:B,_xlfn.XLOOKUP(Q912,Parâmetros!F:F,Parâmetros!G:G,"NOVA MENSAGEM"))</f>
        <v>CÓD. CLIENTE DIVERGENTE</v>
      </c>
      <c r="N912" s="1" t="str">
        <f>_xlfn.XLOOKUP(M912,Parâmetros!K:K,Parâmetros!L:L,"")</f>
        <v>CÓDIGO DIFERENTE DO CADASTRADO NO BENNER (CLIENTE X GRUPO)</v>
      </c>
      <c r="O912" s="1" t="str">
        <f>_xlfn.XLOOKUP(M912,Parâmetros!B:B,Parâmetros!C:C,_xlfn.XLOOKUP(Base!M935,Parâmetros!G:G,Parâmetros!H:H))</f>
        <v>QUALIDADE DOS DADOS</v>
      </c>
      <c r="P912" s="1" t="str">
        <f>_xlfn.XLOOKUP(I912,Parâmetros!A:A,Parâmetros!D:D,_xlfn.XLOOKUP(Q912,Parâmetros!F:F,Parâmetros!I:I))</f>
        <v>SUPORTE OBT</v>
      </c>
      <c r="Q912" s="1">
        <f t="shared" si="29"/>
        <v>1</v>
      </c>
    </row>
    <row r="913" spans="1:17" x14ac:dyDescent="0.25">
      <c r="A913" s="1" t="str">
        <f>_xlfn.XLOOKUP(D913,'Novo relatório'!B:B,'Novo relatório'!C:C,"RESOLVIDO")</f>
        <v>SABRE</v>
      </c>
      <c r="C913" t="str">
        <f t="shared" si="28"/>
        <v>PENDENTE</v>
      </c>
      <c r="D913" s="1">
        <v>3293521</v>
      </c>
      <c r="E913" s="1" t="s">
        <v>26</v>
      </c>
      <c r="F913" s="2">
        <v>45728.607638888891</v>
      </c>
      <c r="G913" s="1" t="s">
        <v>1391</v>
      </c>
      <c r="H913" s="1" t="s">
        <v>1391</v>
      </c>
      <c r="I913" s="1" t="s">
        <v>1060</v>
      </c>
      <c r="J913" s="2">
        <v>45727.859027777777</v>
      </c>
      <c r="K913" s="2">
        <v>45728.7</v>
      </c>
      <c r="L913" s="1" t="s">
        <v>18</v>
      </c>
      <c r="M913" s="1" t="str">
        <f>_xlfn.XLOOKUP(I913,Parâmetros!A:A,Parâmetros!B:B,_xlfn.XLOOKUP(Q913,Parâmetros!F:F,Parâmetros!G:G,"NOVA MENSAGEM"))</f>
        <v>CÓD. CLIENTE DIVERGENTE</v>
      </c>
      <c r="N913" s="1" t="str">
        <f>_xlfn.XLOOKUP(M913,Parâmetros!K:K,Parâmetros!L:L,"")</f>
        <v>CÓDIGO DIFERENTE DO CADASTRADO NO BENNER (CLIENTE X GRUPO)</v>
      </c>
      <c r="O913" s="1" t="str">
        <f>_xlfn.XLOOKUP(M913,Parâmetros!B:B,Parâmetros!C:C,_xlfn.XLOOKUP(Base!M824,Parâmetros!G:G,Parâmetros!H:H))</f>
        <v>QUALIDADE DOS DADOS</v>
      </c>
      <c r="P913" s="1" t="str">
        <f>_xlfn.XLOOKUP(I913,Parâmetros!A:A,Parâmetros!D:D,_xlfn.XLOOKUP(Q913,Parâmetros!F:F,Parâmetros!I:I))</f>
        <v>SUPORTE OBT</v>
      </c>
      <c r="Q913" s="1">
        <f t="shared" si="29"/>
        <v>1</v>
      </c>
    </row>
    <row r="914" spans="1:17" x14ac:dyDescent="0.25">
      <c r="A914" s="1" t="str">
        <f>_xlfn.XLOOKUP(D914,'Novo relatório'!B:B,'Novo relatório'!C:C,"RESOLVIDO")</f>
        <v>SABRE</v>
      </c>
      <c r="C914" t="str">
        <f t="shared" si="28"/>
        <v>PENDENTE</v>
      </c>
      <c r="D914" s="1">
        <v>3293531</v>
      </c>
      <c r="E914" s="1" t="s">
        <v>26</v>
      </c>
      <c r="F914" s="2">
        <v>45728.61041666667</v>
      </c>
      <c r="G914" s="1" t="s">
        <v>1573</v>
      </c>
      <c r="H914" s="1" t="s">
        <v>1573</v>
      </c>
      <c r="I914" s="1" t="s">
        <v>1054</v>
      </c>
      <c r="J914" s="2">
        <v>45727.859027777777</v>
      </c>
      <c r="K914" s="2">
        <v>45728.7</v>
      </c>
      <c r="L914" s="1" t="s">
        <v>18</v>
      </c>
      <c r="M914" s="1" t="str">
        <f>_xlfn.XLOOKUP(I914,Parâmetros!A:A,Parâmetros!B:B,_xlfn.XLOOKUP(Q914,Parâmetros!F:F,Parâmetros!G:G,"NOVA MENSAGEM"))</f>
        <v>CÓD. CLIENTE DIVERGENTE</v>
      </c>
      <c r="N914" s="1" t="str">
        <f>_xlfn.XLOOKUP(M914,Parâmetros!K:K,Parâmetros!L:L,"")</f>
        <v>CÓDIGO DIFERENTE DO CADASTRADO NO BENNER (CLIENTE X GRUPO)</v>
      </c>
      <c r="O914" s="1" t="str">
        <f>_xlfn.XLOOKUP(M914,Parâmetros!B:B,Parâmetros!C:C,_xlfn.XLOOKUP(Base!M969,Parâmetros!G:G,Parâmetros!H:H))</f>
        <v>QUALIDADE DOS DADOS</v>
      </c>
      <c r="P914" s="1" t="str">
        <f>_xlfn.XLOOKUP(I914,Parâmetros!A:A,Parâmetros!D:D,_xlfn.XLOOKUP(Q914,Parâmetros!F:F,Parâmetros!I:I))</f>
        <v>SUPORTE OBT</v>
      </c>
      <c r="Q914" s="1">
        <f t="shared" si="29"/>
        <v>1</v>
      </c>
    </row>
    <row r="915" spans="1:17" x14ac:dyDescent="0.25">
      <c r="A915" s="1" t="str">
        <f>_xlfn.XLOOKUP(D915,'Novo relatório'!B:B,'Novo relatório'!C:C,"RESOLVIDO")</f>
        <v>SABRE</v>
      </c>
      <c r="C915" t="str">
        <f t="shared" si="28"/>
        <v>PENDENTE</v>
      </c>
      <c r="D915" s="1">
        <v>3293543</v>
      </c>
      <c r="E915" s="1" t="s">
        <v>26</v>
      </c>
      <c r="F915" s="2">
        <v>45728.617361111108</v>
      </c>
      <c r="G915" s="1" t="s">
        <v>1481</v>
      </c>
      <c r="H915" s="1" t="s">
        <v>1481</v>
      </c>
      <c r="I915" s="1" t="s">
        <v>1189</v>
      </c>
      <c r="J915" s="2">
        <v>45727.86041666667</v>
      </c>
      <c r="K915" s="2">
        <v>45728.711111111108</v>
      </c>
      <c r="L915" s="1" t="s">
        <v>18</v>
      </c>
      <c r="M915" s="1" t="str">
        <f>_xlfn.XLOOKUP(I915,Parâmetros!A:A,Parâmetros!B:B,_xlfn.XLOOKUP(Q915,Parâmetros!F:F,Parâmetros!G:G,"NOVA MENSAGEM"))</f>
        <v>CÓD. CLIENTE DIVERGENTE</v>
      </c>
      <c r="N915" s="1" t="str">
        <f>_xlfn.XLOOKUP(M915,Parâmetros!K:K,Parâmetros!L:L,"")</f>
        <v>CÓDIGO DIFERENTE DO CADASTRADO NO BENNER (CLIENTE X GRUPO)</v>
      </c>
      <c r="O915" s="1" t="str">
        <f>_xlfn.XLOOKUP(M915,Parâmetros!B:B,Parâmetros!C:C,_xlfn.XLOOKUP(Base!M895,Parâmetros!G:G,Parâmetros!H:H))</f>
        <v>QUALIDADE DOS DADOS</v>
      </c>
      <c r="P915" s="1" t="str">
        <f>_xlfn.XLOOKUP(I915,Parâmetros!A:A,Parâmetros!D:D,_xlfn.XLOOKUP(Q915,Parâmetros!F:F,Parâmetros!I:I))</f>
        <v>SUPORTE OBT</v>
      </c>
      <c r="Q915" s="1">
        <f t="shared" si="29"/>
        <v>1</v>
      </c>
    </row>
    <row r="916" spans="1:17" x14ac:dyDescent="0.25">
      <c r="A916" s="1" t="str">
        <f>_xlfn.XLOOKUP(D916,'Novo relatório'!B:B,'Novo relatório'!C:C,"RESOLVIDO")</f>
        <v>SABRE</v>
      </c>
      <c r="C916" t="str">
        <f t="shared" si="28"/>
        <v>PENDENTE</v>
      </c>
      <c r="D916" s="1">
        <v>3293545</v>
      </c>
      <c r="E916" s="1" t="s">
        <v>26</v>
      </c>
      <c r="F916" s="2">
        <v>45727.770833333336</v>
      </c>
      <c r="G916" s="1" t="s">
        <v>1372</v>
      </c>
      <c r="H916" s="1" t="s">
        <v>1372</v>
      </c>
      <c r="I916" s="1" t="s">
        <v>83</v>
      </c>
      <c r="J916" s="2">
        <v>45727.86041666667</v>
      </c>
      <c r="L916" s="1" t="s">
        <v>18</v>
      </c>
      <c r="M916" s="1" t="str">
        <f>_xlfn.XLOOKUP(I916,Parâmetros!A:A,Parâmetros!B:B,_xlfn.XLOOKUP(Q916,Parâmetros!F:F,Parâmetros!G:G,"NOVA MENSAGEM"))</f>
        <v>CLIENTE NÃO IDENTIFICADO</v>
      </c>
      <c r="N916" s="1" t="str">
        <f>_xlfn.XLOOKUP(M916,Parâmetros!K:K,Parâmetros!L:L,"")</f>
        <v>DK DE CLIENTE NÃO PREENCIDO / CLIENTE NÃO CONFIGURADO NO OBT</v>
      </c>
      <c r="O916" s="1" t="str">
        <f>_xlfn.XLOOKUP(M916,Parâmetros!B:B,Parâmetros!C:C,_xlfn.XLOOKUP(Base!M810,Parâmetros!G:G,Parâmetros!H:H))</f>
        <v>INDEFINIDO</v>
      </c>
      <c r="P916" s="1" t="str">
        <f>_xlfn.XLOOKUP(I916,Parâmetros!A:A,Parâmetros!D:D,_xlfn.XLOOKUP(Q916,Parâmetros!F:F,Parâmetros!I:I))</f>
        <v>OPERAÇÕES / SUPORTE KCS</v>
      </c>
      <c r="Q916" s="1" t="str">
        <f t="shared" si="29"/>
        <v>COLUNA I</v>
      </c>
    </row>
    <row r="917" spans="1:17" x14ac:dyDescent="0.25">
      <c r="A917" s="1" t="str">
        <f>_xlfn.XLOOKUP(D917,'Novo relatório'!B:B,'Novo relatório'!C:C,"RESOLVIDO")</f>
        <v>SABRE</v>
      </c>
      <c r="C917" t="str">
        <f t="shared" si="28"/>
        <v>PENDENTE</v>
      </c>
      <c r="D917" s="1">
        <v>3293546</v>
      </c>
      <c r="E917" s="1" t="s">
        <v>26</v>
      </c>
      <c r="F917" s="2">
        <v>45727.770833333336</v>
      </c>
      <c r="G917" s="1" t="s">
        <v>1427</v>
      </c>
      <c r="H917" s="1" t="s">
        <v>1427</v>
      </c>
      <c r="I917" s="1" t="s">
        <v>83</v>
      </c>
      <c r="J917" s="2">
        <v>45727.86041666667</v>
      </c>
      <c r="L917" s="1" t="s">
        <v>18</v>
      </c>
      <c r="M917" s="1" t="str">
        <f>_xlfn.XLOOKUP(I917,Parâmetros!A:A,Parâmetros!B:B,_xlfn.XLOOKUP(Q917,Parâmetros!F:F,Parâmetros!G:G,"NOVA MENSAGEM"))</f>
        <v>CLIENTE NÃO IDENTIFICADO</v>
      </c>
      <c r="N917" s="1" t="str">
        <f>_xlfn.XLOOKUP(M917,Parâmetros!K:K,Parâmetros!L:L,"")</f>
        <v>DK DE CLIENTE NÃO PREENCIDO / CLIENTE NÃO CONFIGURADO NO OBT</v>
      </c>
      <c r="O917" s="1" t="str">
        <f>_xlfn.XLOOKUP(M917,Parâmetros!B:B,Parâmetros!C:C,_xlfn.XLOOKUP(Base!M852,Parâmetros!G:G,Parâmetros!H:H))</f>
        <v>INDEFINIDO</v>
      </c>
      <c r="P917" s="1" t="str">
        <f>_xlfn.XLOOKUP(I917,Parâmetros!A:A,Parâmetros!D:D,_xlfn.XLOOKUP(Q917,Parâmetros!F:F,Parâmetros!I:I))</f>
        <v>OPERAÇÕES / SUPORTE KCS</v>
      </c>
      <c r="Q917" s="1" t="str">
        <f t="shared" si="29"/>
        <v>COLUNA I</v>
      </c>
    </row>
    <row r="918" spans="1:17" x14ac:dyDescent="0.25">
      <c r="A918" s="1" t="str">
        <f>_xlfn.XLOOKUP(D918,'Novo relatório'!B:B,'Novo relatório'!C:C,"RESOLVIDO")</f>
        <v>SABRE</v>
      </c>
      <c r="C918" t="str">
        <f t="shared" si="28"/>
        <v>PENDENTE</v>
      </c>
      <c r="D918" s="1">
        <v>3293548</v>
      </c>
      <c r="E918" s="1" t="s">
        <v>26</v>
      </c>
      <c r="F918" s="2">
        <v>45728.617361111108</v>
      </c>
      <c r="G918" s="1" t="s">
        <v>1426</v>
      </c>
      <c r="H918" s="1" t="s">
        <v>1426</v>
      </c>
      <c r="I918" s="1" t="s">
        <v>1060</v>
      </c>
      <c r="J918" s="2">
        <v>45727.86041666667</v>
      </c>
      <c r="K918" s="2">
        <v>45728.711111111108</v>
      </c>
      <c r="L918" s="1" t="s">
        <v>18</v>
      </c>
      <c r="M918" s="1" t="str">
        <f>_xlfn.XLOOKUP(I918,Parâmetros!A:A,Parâmetros!B:B,_xlfn.XLOOKUP(Q918,Parâmetros!F:F,Parâmetros!G:G,"NOVA MENSAGEM"))</f>
        <v>CÓD. CLIENTE DIVERGENTE</v>
      </c>
      <c r="N918" s="1" t="str">
        <f>_xlfn.XLOOKUP(M918,Parâmetros!K:K,Parâmetros!L:L,"")</f>
        <v>CÓDIGO DIFERENTE DO CADASTRADO NO BENNER (CLIENTE X GRUPO)</v>
      </c>
      <c r="O918" s="1" t="str">
        <f>_xlfn.XLOOKUP(M918,Parâmetros!B:B,Parâmetros!C:C,_xlfn.XLOOKUP(Base!M851,Parâmetros!G:G,Parâmetros!H:H))</f>
        <v>QUALIDADE DOS DADOS</v>
      </c>
      <c r="P918" s="1" t="str">
        <f>_xlfn.XLOOKUP(I918,Parâmetros!A:A,Parâmetros!D:D,_xlfn.XLOOKUP(Q918,Parâmetros!F:F,Parâmetros!I:I))</f>
        <v>SUPORTE OBT</v>
      </c>
      <c r="Q918" s="1">
        <f t="shared" si="29"/>
        <v>1</v>
      </c>
    </row>
    <row r="919" spans="1:17" x14ac:dyDescent="0.25">
      <c r="A919" s="1" t="str">
        <f>_xlfn.XLOOKUP(D919,'Novo relatório'!B:B,'Novo relatório'!C:C,"RESOLVIDO")</f>
        <v>SABRE</v>
      </c>
      <c r="C919" t="str">
        <f t="shared" si="28"/>
        <v>PENDENTE</v>
      </c>
      <c r="D919" s="1">
        <v>3293549</v>
      </c>
      <c r="E919" s="1" t="s">
        <v>26</v>
      </c>
      <c r="F919" s="2">
        <v>45727.770833333336</v>
      </c>
      <c r="G919" s="1" t="s">
        <v>1510</v>
      </c>
      <c r="H919" s="1" t="s">
        <v>1510</v>
      </c>
      <c r="I919" s="1" t="s">
        <v>83</v>
      </c>
      <c r="J919" s="2">
        <v>45727.86041666667</v>
      </c>
      <c r="L919" s="1" t="s">
        <v>18</v>
      </c>
      <c r="M919" s="1" t="str">
        <f>_xlfn.XLOOKUP(I919,Parâmetros!A:A,Parâmetros!B:B,_xlfn.XLOOKUP(Q919,Parâmetros!F:F,Parâmetros!G:G,"NOVA MENSAGEM"))</f>
        <v>CLIENTE NÃO IDENTIFICADO</v>
      </c>
      <c r="N919" s="1" t="str">
        <f>_xlfn.XLOOKUP(M919,Parâmetros!K:K,Parâmetros!L:L,"")</f>
        <v>DK DE CLIENTE NÃO PREENCIDO / CLIENTE NÃO CONFIGURADO NO OBT</v>
      </c>
      <c r="O919" s="1" t="str">
        <f>_xlfn.XLOOKUP(M919,Parâmetros!B:B,Parâmetros!C:C,_xlfn.XLOOKUP(Base!M919,Parâmetros!G:G,Parâmetros!H:H))</f>
        <v>INDEFINIDO</v>
      </c>
      <c r="P919" s="1" t="str">
        <f>_xlfn.XLOOKUP(I919,Parâmetros!A:A,Parâmetros!D:D,_xlfn.XLOOKUP(Q919,Parâmetros!F:F,Parâmetros!I:I))</f>
        <v>OPERAÇÕES / SUPORTE KCS</v>
      </c>
      <c r="Q919" s="1" t="str">
        <f t="shared" si="29"/>
        <v>COLUNA I</v>
      </c>
    </row>
    <row r="920" spans="1:17" x14ac:dyDescent="0.25">
      <c r="A920" s="1" t="str">
        <f>_xlfn.XLOOKUP(D920,'Novo relatório'!B:B,'Novo relatório'!C:C,"RESOLVIDO")</f>
        <v>SABRE</v>
      </c>
      <c r="C920" t="str">
        <f t="shared" si="28"/>
        <v>PENDENTE</v>
      </c>
      <c r="D920" s="1">
        <v>3293551</v>
      </c>
      <c r="E920" s="1" t="s">
        <v>26</v>
      </c>
      <c r="F920" s="2">
        <v>45728.617361111108</v>
      </c>
      <c r="G920" s="1" t="s">
        <v>1416</v>
      </c>
      <c r="H920" s="1" t="s">
        <v>1416</v>
      </c>
      <c r="I920" s="1" t="s">
        <v>1060</v>
      </c>
      <c r="J920" s="2">
        <v>45727.86041666667</v>
      </c>
      <c r="K920" s="2">
        <v>45728.711111111108</v>
      </c>
      <c r="L920" s="1" t="s">
        <v>18</v>
      </c>
      <c r="M920" s="1" t="str">
        <f>_xlfn.XLOOKUP(I920,Parâmetros!A:A,Parâmetros!B:B,_xlfn.XLOOKUP(Q920,Parâmetros!F:F,Parâmetros!G:G,"NOVA MENSAGEM"))</f>
        <v>CÓD. CLIENTE DIVERGENTE</v>
      </c>
      <c r="N920" s="1" t="str">
        <f>_xlfn.XLOOKUP(M920,Parâmetros!K:K,Parâmetros!L:L,"")</f>
        <v>CÓDIGO DIFERENTE DO CADASTRADO NO BENNER (CLIENTE X GRUPO)</v>
      </c>
      <c r="O920" s="1" t="str">
        <f>_xlfn.XLOOKUP(M920,Parâmetros!B:B,Parâmetros!C:C,_xlfn.XLOOKUP(Base!M842,Parâmetros!G:G,Parâmetros!H:H))</f>
        <v>QUALIDADE DOS DADOS</v>
      </c>
      <c r="P920" s="1" t="str">
        <f>_xlfn.XLOOKUP(I920,Parâmetros!A:A,Parâmetros!D:D,_xlfn.XLOOKUP(Q920,Parâmetros!F:F,Parâmetros!I:I))</f>
        <v>SUPORTE OBT</v>
      </c>
      <c r="Q920" s="1">
        <f t="shared" si="29"/>
        <v>1</v>
      </c>
    </row>
    <row r="921" spans="1:17" x14ac:dyDescent="0.25">
      <c r="A921" s="1" t="str">
        <f>_xlfn.XLOOKUP(D921,'Novo relatório'!B:B,'Novo relatório'!C:C,"RESOLVIDO")</f>
        <v>SABRE</v>
      </c>
      <c r="C921" t="str">
        <f t="shared" si="28"/>
        <v>PENDENTE</v>
      </c>
      <c r="D921" s="1">
        <v>3293552</v>
      </c>
      <c r="E921" s="1" t="s">
        <v>26</v>
      </c>
      <c r="F921" s="2">
        <v>45728.421527777777</v>
      </c>
      <c r="G921" s="1" t="s">
        <v>1429</v>
      </c>
      <c r="H921" s="1" t="s">
        <v>1429</v>
      </c>
      <c r="I921" s="1" t="s">
        <v>1054</v>
      </c>
      <c r="J921" s="2">
        <v>45727.86041666667</v>
      </c>
      <c r="K921" s="2">
        <v>45728.512499999997</v>
      </c>
      <c r="L921" s="1" t="s">
        <v>18</v>
      </c>
      <c r="M921" s="1" t="str">
        <f>_xlfn.XLOOKUP(I921,Parâmetros!A:A,Parâmetros!B:B,_xlfn.XLOOKUP(Q921,Parâmetros!F:F,Parâmetros!G:G,"NOVA MENSAGEM"))</f>
        <v>CÓD. CLIENTE DIVERGENTE</v>
      </c>
      <c r="N921" s="1" t="str">
        <f>_xlfn.XLOOKUP(M921,Parâmetros!K:K,Parâmetros!L:L,"")</f>
        <v>CÓDIGO DIFERENTE DO CADASTRADO NO BENNER (CLIENTE X GRUPO)</v>
      </c>
      <c r="O921" s="1" t="str">
        <f>_xlfn.XLOOKUP(M921,Parâmetros!B:B,Parâmetros!C:C,_xlfn.XLOOKUP(Base!M854,Parâmetros!G:G,Parâmetros!H:H))</f>
        <v>QUALIDADE DOS DADOS</v>
      </c>
      <c r="P921" s="1" t="str">
        <f>_xlfn.XLOOKUP(I921,Parâmetros!A:A,Parâmetros!D:D,_xlfn.XLOOKUP(Q921,Parâmetros!F:F,Parâmetros!I:I))</f>
        <v>SUPORTE OBT</v>
      </c>
      <c r="Q921" s="1">
        <f t="shared" si="29"/>
        <v>1</v>
      </c>
    </row>
    <row r="922" spans="1:17" x14ac:dyDescent="0.25">
      <c r="A922" s="1" t="str">
        <f>_xlfn.XLOOKUP(D922,'Novo relatório'!B:B,'Novo relatório'!C:C,"RESOLVIDO")</f>
        <v>SABRE</v>
      </c>
      <c r="C922" t="str">
        <f t="shared" si="28"/>
        <v>PENDENTE</v>
      </c>
      <c r="D922" s="1">
        <v>3293553</v>
      </c>
      <c r="E922" s="1" t="s">
        <v>26</v>
      </c>
      <c r="F922" s="2">
        <v>45728.404166666667</v>
      </c>
      <c r="G922" s="1" t="s">
        <v>1428</v>
      </c>
      <c r="H922" s="1" t="s">
        <v>1428</v>
      </c>
      <c r="I922" s="1" t="s">
        <v>1060</v>
      </c>
      <c r="J922" s="2">
        <v>45727.861111111109</v>
      </c>
      <c r="K922" s="2">
        <v>45728.490277777775</v>
      </c>
      <c r="L922" s="1" t="s">
        <v>18</v>
      </c>
      <c r="M922" s="1" t="str">
        <f>_xlfn.XLOOKUP(I922,Parâmetros!A:A,Parâmetros!B:B,_xlfn.XLOOKUP(Q922,Parâmetros!F:F,Parâmetros!G:G,"NOVA MENSAGEM"))</f>
        <v>CÓD. CLIENTE DIVERGENTE</v>
      </c>
      <c r="N922" s="1" t="str">
        <f>_xlfn.XLOOKUP(M922,Parâmetros!K:K,Parâmetros!L:L,"")</f>
        <v>CÓDIGO DIFERENTE DO CADASTRADO NO BENNER (CLIENTE X GRUPO)</v>
      </c>
      <c r="O922" s="1" t="str">
        <f>_xlfn.XLOOKUP(M922,Parâmetros!B:B,Parâmetros!C:C,_xlfn.XLOOKUP(Base!M853,Parâmetros!G:G,Parâmetros!H:H))</f>
        <v>QUALIDADE DOS DADOS</v>
      </c>
      <c r="P922" s="1" t="str">
        <f>_xlfn.XLOOKUP(I922,Parâmetros!A:A,Parâmetros!D:D,_xlfn.XLOOKUP(Q922,Parâmetros!F:F,Parâmetros!I:I))</f>
        <v>SUPORTE OBT</v>
      </c>
      <c r="Q922" s="1">
        <f t="shared" si="29"/>
        <v>1</v>
      </c>
    </row>
    <row r="923" spans="1:17" x14ac:dyDescent="0.25">
      <c r="A923" s="1" t="str">
        <f>_xlfn.XLOOKUP(D923,'Novo relatório'!B:B,'Novo relatório'!C:C,"RESOLVIDO")</f>
        <v>SABRE</v>
      </c>
      <c r="C923" t="str">
        <f t="shared" si="28"/>
        <v>PENDENTE</v>
      </c>
      <c r="D923" s="1">
        <v>3293554</v>
      </c>
      <c r="E923" s="1" t="s">
        <v>26</v>
      </c>
      <c r="F923" s="2">
        <v>45728.445833333331</v>
      </c>
      <c r="G923" s="1" t="s">
        <v>1518</v>
      </c>
      <c r="H923" s="1" t="s">
        <v>1518</v>
      </c>
      <c r="I923" s="1" t="s">
        <v>1060</v>
      </c>
      <c r="J923" s="2">
        <v>45727.861111111109</v>
      </c>
      <c r="K923" s="2">
        <v>45728.533333333333</v>
      </c>
      <c r="L923" s="1" t="s">
        <v>18</v>
      </c>
      <c r="M923" s="1" t="str">
        <f>_xlfn.XLOOKUP(I923,Parâmetros!A:A,Parâmetros!B:B,_xlfn.XLOOKUP(Q923,Parâmetros!F:F,Parâmetros!G:G,"NOVA MENSAGEM"))</f>
        <v>CÓD. CLIENTE DIVERGENTE</v>
      </c>
      <c r="N923" s="1" t="str">
        <f>_xlfn.XLOOKUP(M923,Parâmetros!K:K,Parâmetros!L:L,"")</f>
        <v>CÓDIGO DIFERENTE DO CADASTRADO NO BENNER (CLIENTE X GRUPO)</v>
      </c>
      <c r="O923" s="1" t="str">
        <f>_xlfn.XLOOKUP(M923,Parâmetros!B:B,Parâmetros!C:C,_xlfn.XLOOKUP(Base!M926,Parâmetros!G:G,Parâmetros!H:H))</f>
        <v>QUALIDADE DOS DADOS</v>
      </c>
      <c r="P923" s="1" t="str">
        <f>_xlfn.XLOOKUP(I923,Parâmetros!A:A,Parâmetros!D:D,_xlfn.XLOOKUP(Q923,Parâmetros!F:F,Parâmetros!I:I))</f>
        <v>SUPORTE OBT</v>
      </c>
      <c r="Q923" s="1">
        <f t="shared" si="29"/>
        <v>1</v>
      </c>
    </row>
    <row r="924" spans="1:17" x14ac:dyDescent="0.25">
      <c r="A924" s="1" t="str">
        <f>_xlfn.XLOOKUP(D924,'Novo relatório'!B:B,'Novo relatório'!C:C,"RESOLVIDO")</f>
        <v>SABRE</v>
      </c>
      <c r="C924" t="str">
        <f t="shared" si="28"/>
        <v>PENDENTE</v>
      </c>
      <c r="D924" s="1">
        <v>3293555</v>
      </c>
      <c r="E924" s="1" t="s">
        <v>26</v>
      </c>
      <c r="F924" s="2">
        <v>45728.413888888892</v>
      </c>
      <c r="G924" s="1" t="s">
        <v>1373</v>
      </c>
      <c r="H924" s="1" t="s">
        <v>1373</v>
      </c>
      <c r="I924" s="1" t="s">
        <v>83</v>
      </c>
      <c r="J924" s="2">
        <v>45727.861111111109</v>
      </c>
      <c r="K924" s="2">
        <v>45728.50277777778</v>
      </c>
      <c r="L924" s="1" t="s">
        <v>18</v>
      </c>
      <c r="M924" s="1" t="str">
        <f>_xlfn.XLOOKUP(I924,Parâmetros!A:A,Parâmetros!B:B,_xlfn.XLOOKUP(Q924,Parâmetros!F:F,Parâmetros!G:G,"NOVA MENSAGEM"))</f>
        <v>CLIENTE NÃO IDENTIFICADO</v>
      </c>
      <c r="N924" s="1" t="str">
        <f>_xlfn.XLOOKUP(M924,Parâmetros!K:K,Parâmetros!L:L,"")</f>
        <v>DK DE CLIENTE NÃO PREENCIDO / CLIENTE NÃO CONFIGURADO NO OBT</v>
      </c>
      <c r="O924" s="1" t="str">
        <f>_xlfn.XLOOKUP(M924,Parâmetros!B:B,Parâmetros!C:C,_xlfn.XLOOKUP(Base!M811,Parâmetros!G:G,Parâmetros!H:H))</f>
        <v>INDEFINIDO</v>
      </c>
      <c r="P924" s="1" t="str">
        <f>_xlfn.XLOOKUP(I924,Parâmetros!A:A,Parâmetros!D:D,_xlfn.XLOOKUP(Q924,Parâmetros!F:F,Parâmetros!I:I))</f>
        <v>OPERAÇÕES / SUPORTE KCS</v>
      </c>
      <c r="Q924" s="1" t="str">
        <f t="shared" si="29"/>
        <v>COLUNA I</v>
      </c>
    </row>
    <row r="925" spans="1:17" x14ac:dyDescent="0.25">
      <c r="A925" s="1" t="str">
        <f>_xlfn.XLOOKUP(D925,'Novo relatório'!B:B,'Novo relatório'!C:C,"RESOLVIDO")</f>
        <v>TMS</v>
      </c>
      <c r="C925" t="str">
        <f t="shared" si="28"/>
        <v>PENDENTE</v>
      </c>
      <c r="D925" s="1">
        <v>3294582</v>
      </c>
      <c r="E925" s="1" t="s">
        <v>12</v>
      </c>
      <c r="F925" s="2">
        <v>45727.5</v>
      </c>
      <c r="G925" s="1">
        <v>3511</v>
      </c>
      <c r="H925" s="1">
        <v>3511</v>
      </c>
      <c r="I925" s="1" t="s">
        <v>16</v>
      </c>
      <c r="J925" s="2">
        <v>45728.447222222225</v>
      </c>
      <c r="K925" s="2">
        <v>45733.738888888889</v>
      </c>
      <c r="L925" s="1" t="s">
        <v>14</v>
      </c>
      <c r="M925" s="1" t="str">
        <f>_xlfn.XLOOKUP(I925,Parâmetros!A:A,Parâmetros!B:B,_xlfn.XLOOKUP(Q925,Parâmetros!F:F,Parâmetros!G:G,"NOVA MENSAGEM"))</f>
        <v>ASSENTO / BAGAGEM</v>
      </c>
      <c r="N925" s="1" t="str">
        <f>_xlfn.XLOOKUP(M925,Parâmetros!K:K,Parâmetros!L:L,"")</f>
        <v>CAMPO OBSERVAÇÃO PREENCHIDO INCORRETAMENTE</v>
      </c>
      <c r="O925" s="1" t="str">
        <f>_xlfn.XLOOKUP(M925,Parâmetros!B:B,Parâmetros!C:C,_xlfn.XLOOKUP(Base!M1005,Parâmetros!G:G,Parâmetros!H:H))</f>
        <v>QUALIDADE DOS DADOS</v>
      </c>
      <c r="P925" s="1" t="str">
        <f>_xlfn.XLOOKUP(I925,Parâmetros!A:A,Parâmetros!D:D,_xlfn.XLOOKUP(Q925,Parâmetros!F:F,Parâmetros!I:I))</f>
        <v>OPERAÇÕES / SUPORTE KCS</v>
      </c>
      <c r="Q925" s="1">
        <f t="shared" si="29"/>
        <v>118</v>
      </c>
    </row>
    <row r="926" spans="1:17" x14ac:dyDescent="0.25">
      <c r="A926" s="1" t="str">
        <f>_xlfn.XLOOKUP(D926,'Novo relatório'!B:B,'Novo relatório'!C:C,"RESOLVIDO")</f>
        <v>SABRE</v>
      </c>
      <c r="C926" t="str">
        <f t="shared" si="28"/>
        <v>PENDENTE</v>
      </c>
      <c r="D926" s="1">
        <v>3294767</v>
      </c>
      <c r="E926" s="1" t="s">
        <v>26</v>
      </c>
      <c r="F926" s="2">
        <v>45728.447222222225</v>
      </c>
      <c r="G926" s="1" t="s">
        <v>1588</v>
      </c>
      <c r="H926" s="1" t="s">
        <v>1589</v>
      </c>
      <c r="I926" s="1" t="s">
        <v>64</v>
      </c>
      <c r="J926" s="2">
        <v>45728.533333333333</v>
      </c>
      <c r="L926" s="1" t="s">
        <v>1244</v>
      </c>
      <c r="M926" s="1" t="str">
        <f>_xlfn.XLOOKUP(I926,Parâmetros!A:A,Parâmetros!B:B,_xlfn.XLOOKUP(Q926,Parâmetros!F:F,Parâmetros!G:G,"NOVA MENSAGEM"))</f>
        <v>FORMATO DE TEXTO</v>
      </c>
      <c r="N926" s="1" t="str">
        <f>_xlfn.XLOOKUP(M926,Parâmetros!K:K,Parâmetros!L:L,"")</f>
        <v>TEXTO FORA DO PADRÃO ACEITO NO CAMPO</v>
      </c>
      <c r="O926" s="1" t="str">
        <f>_xlfn.XLOOKUP(M926,Parâmetros!B:B,Parâmetros!C:C,_xlfn.XLOOKUP(Base!M980,Parâmetros!G:G,Parâmetros!H:H))</f>
        <v>INDEFINIDO</v>
      </c>
      <c r="P926" s="1" t="str">
        <f>_xlfn.XLOOKUP(I926,Parâmetros!A:A,Parâmetros!D:D,_xlfn.XLOOKUP(Q926,Parâmetros!F:F,Parâmetros!I:I))</f>
        <v>SUPORTE OBT</v>
      </c>
      <c r="Q926" s="1" t="str">
        <f t="shared" si="29"/>
        <v>COLUNA I</v>
      </c>
    </row>
    <row r="927" spans="1:17" x14ac:dyDescent="0.25">
      <c r="A927" s="1" t="str">
        <f>_xlfn.XLOOKUP(D927,'Novo relatório'!B:B,'Novo relatório'!C:C,"RESOLVIDO")</f>
        <v>SABRE</v>
      </c>
      <c r="C927" t="str">
        <f t="shared" si="28"/>
        <v>PENDENTE</v>
      </c>
      <c r="D927" s="1">
        <v>3294769</v>
      </c>
      <c r="E927" s="1" t="s">
        <v>26</v>
      </c>
      <c r="F927" s="2">
        <v>45728.447916666664</v>
      </c>
      <c r="G927" s="1" t="s">
        <v>1410</v>
      </c>
      <c r="H927" s="1" t="s">
        <v>1411</v>
      </c>
      <c r="I927" s="1" t="s">
        <v>64</v>
      </c>
      <c r="J927" s="2">
        <v>45728.53402777778</v>
      </c>
      <c r="L927" s="1" t="s">
        <v>1244</v>
      </c>
      <c r="M927" s="1" t="str">
        <f>_xlfn.XLOOKUP(I927,Parâmetros!A:A,Parâmetros!B:B,_xlfn.XLOOKUP(Q927,Parâmetros!F:F,Parâmetros!G:G,"NOVA MENSAGEM"))</f>
        <v>FORMATO DE TEXTO</v>
      </c>
      <c r="N927" s="1" t="str">
        <f>_xlfn.XLOOKUP(M927,Parâmetros!K:K,Parâmetros!L:L,"")</f>
        <v>TEXTO FORA DO PADRÃO ACEITO NO CAMPO</v>
      </c>
      <c r="O927" s="1" t="str">
        <f>_xlfn.XLOOKUP(M927,Parâmetros!B:B,Parâmetros!C:C,_xlfn.XLOOKUP(Base!M838,Parâmetros!G:G,Parâmetros!H:H))</f>
        <v>INDEFINIDO</v>
      </c>
      <c r="P927" s="1" t="str">
        <f>_xlfn.XLOOKUP(I927,Parâmetros!A:A,Parâmetros!D:D,_xlfn.XLOOKUP(Q927,Parâmetros!F:F,Parâmetros!I:I))</f>
        <v>SUPORTE OBT</v>
      </c>
      <c r="Q927" s="1" t="str">
        <f t="shared" si="29"/>
        <v>COLUNA I</v>
      </c>
    </row>
    <row r="928" spans="1:17" x14ac:dyDescent="0.25">
      <c r="A928" s="1" t="str">
        <f>_xlfn.XLOOKUP(D928,'Novo relatório'!B:B,'Novo relatório'!C:C,"RESOLVIDO")</f>
        <v>SABRE</v>
      </c>
      <c r="C928" t="str">
        <f t="shared" si="28"/>
        <v>PENDENTE</v>
      </c>
      <c r="D928" s="1">
        <v>3294795</v>
      </c>
      <c r="E928" s="1" t="s">
        <v>26</v>
      </c>
      <c r="F928" s="2">
        <v>45729.31527777778</v>
      </c>
      <c r="G928" s="1" t="s">
        <v>1598</v>
      </c>
      <c r="H928" s="1" t="s">
        <v>1598</v>
      </c>
      <c r="I928" s="1" t="s">
        <v>1054</v>
      </c>
      <c r="J928" s="2">
        <v>45728.543749999997</v>
      </c>
      <c r="K928" s="2">
        <v>45729.408333333333</v>
      </c>
      <c r="L928" s="1" t="s">
        <v>18</v>
      </c>
      <c r="M928" s="1" t="str">
        <f>_xlfn.XLOOKUP(I928,Parâmetros!A:A,Parâmetros!B:B,_xlfn.XLOOKUP(Q928,Parâmetros!F:F,Parâmetros!G:G,"NOVA MENSAGEM"))</f>
        <v>CÓD. CLIENTE DIVERGENTE</v>
      </c>
      <c r="N928" s="1" t="str">
        <f>_xlfn.XLOOKUP(M928,Parâmetros!K:K,Parâmetros!L:L,"")</f>
        <v>CÓDIGO DIFERENTE DO CADASTRADO NO BENNER (CLIENTE X GRUPO)</v>
      </c>
      <c r="O928" s="1" t="str">
        <f>_xlfn.XLOOKUP(M928,Parâmetros!B:B,Parâmetros!C:C,_xlfn.XLOOKUP(Base!M988,Parâmetros!G:G,Parâmetros!H:H))</f>
        <v>QUALIDADE DOS DADOS</v>
      </c>
      <c r="P928" s="1" t="str">
        <f>_xlfn.XLOOKUP(I928,Parâmetros!A:A,Parâmetros!D:D,_xlfn.XLOOKUP(Q928,Parâmetros!F:F,Parâmetros!I:I))</f>
        <v>SUPORTE OBT</v>
      </c>
      <c r="Q928" s="1">
        <f t="shared" si="29"/>
        <v>1</v>
      </c>
    </row>
    <row r="929" spans="1:17" x14ac:dyDescent="0.25">
      <c r="A929" s="1" t="str">
        <f>_xlfn.XLOOKUP(D929,'Novo relatório'!B:B,'Novo relatório'!C:C,"RESOLVIDO")</f>
        <v>TMS</v>
      </c>
      <c r="C929" t="str">
        <f t="shared" si="28"/>
        <v>PENDENTE</v>
      </c>
      <c r="D929" s="1">
        <v>3295021</v>
      </c>
      <c r="E929" s="1" t="s">
        <v>12</v>
      </c>
      <c r="F929" s="2">
        <v>45670.678472222222</v>
      </c>
      <c r="G929" s="1">
        <v>46977</v>
      </c>
      <c r="H929" s="1">
        <v>46977</v>
      </c>
      <c r="I929" s="1" t="s">
        <v>930</v>
      </c>
      <c r="J929" s="2">
        <v>45728.661111111112</v>
      </c>
      <c r="L929" s="1" t="s">
        <v>14</v>
      </c>
      <c r="M929" s="1" t="str">
        <f>_xlfn.XLOOKUP(I929,Parâmetros!A:A,Parâmetros!B:B,_xlfn.XLOOKUP(Q929,Parâmetros!F:F,Parâmetros!G:G,"NOVA MENSAGEM"))</f>
        <v>ASSENTO / BAGAGEM</v>
      </c>
      <c r="N929" s="1" t="str">
        <f>_xlfn.XLOOKUP(M929,Parâmetros!K:K,Parâmetros!L:L,"")</f>
        <v>CAMPO OBSERVAÇÃO PREENCHIDO INCORRETAMENTE</v>
      </c>
      <c r="O929" s="1" t="str">
        <f>_xlfn.XLOOKUP(M929,Parâmetros!B:B,Parâmetros!C:C,_xlfn.XLOOKUP(Base!M1024,Parâmetros!G:G,Parâmetros!H:H))</f>
        <v>QUALIDADE DOS DADOS</v>
      </c>
      <c r="P929" s="1" t="str">
        <f>_xlfn.XLOOKUP(I929,Parâmetros!A:A,Parâmetros!D:D,_xlfn.XLOOKUP(Q929,Parâmetros!F:F,Parâmetros!I:I))</f>
        <v>OPERAÇÕES / SUPORTE KCS</v>
      </c>
      <c r="Q929" s="1">
        <f t="shared" si="29"/>
        <v>127</v>
      </c>
    </row>
    <row r="930" spans="1:17" x14ac:dyDescent="0.25">
      <c r="A930" s="1" t="str">
        <f>_xlfn.XLOOKUP(D930,'Novo relatório'!B:B,'Novo relatório'!C:C,"RESOLVIDO")</f>
        <v>SABRE</v>
      </c>
      <c r="C930" t="str">
        <f t="shared" si="28"/>
        <v>PENDENTE</v>
      </c>
      <c r="D930" s="1">
        <v>3295048</v>
      </c>
      <c r="E930" s="1" t="s">
        <v>26</v>
      </c>
      <c r="F930" s="2">
        <v>45728.57916666667</v>
      </c>
      <c r="G930" s="1" t="s">
        <v>1421</v>
      </c>
      <c r="H930" s="1" t="s">
        <v>1421</v>
      </c>
      <c r="I930" s="1" t="s">
        <v>408</v>
      </c>
      <c r="J930" s="2">
        <v>45728.668055555558</v>
      </c>
      <c r="L930" s="1" t="s">
        <v>18</v>
      </c>
      <c r="M930" s="1" t="str">
        <f>_xlfn.XLOOKUP(I930,Parâmetros!A:A,Parâmetros!B:B,_xlfn.XLOOKUP(Q930,Parâmetros!F:F,Parâmetros!G:G,"NOVA MENSAGEM"))</f>
        <v>CÓD. CLIENTE DIVERGENTE</v>
      </c>
      <c r="N930" s="1" t="str">
        <f>_xlfn.XLOOKUP(M930,Parâmetros!K:K,Parâmetros!L:L,"")</f>
        <v>CÓDIGO DIFERENTE DO CADASTRADO NO BENNER (CLIENTE X GRUPO)</v>
      </c>
      <c r="O930" s="1" t="str">
        <f>_xlfn.XLOOKUP(M930,Parâmetros!B:B,Parâmetros!C:C,_xlfn.XLOOKUP(Base!M847,Parâmetros!G:G,Parâmetros!H:H))</f>
        <v>QUALIDADE DOS DADOS</v>
      </c>
      <c r="P930" s="1" t="str">
        <f>_xlfn.XLOOKUP(I930,Parâmetros!A:A,Parâmetros!D:D,_xlfn.XLOOKUP(Q930,Parâmetros!F:F,Parâmetros!I:I))</f>
        <v>SUPORTE OBT</v>
      </c>
      <c r="Q930" s="1">
        <f t="shared" si="29"/>
        <v>1</v>
      </c>
    </row>
    <row r="931" spans="1:17" x14ac:dyDescent="0.25">
      <c r="A931" s="1" t="str">
        <f>_xlfn.XLOOKUP(D931,'Novo relatório'!B:B,'Novo relatório'!C:C,"RESOLVIDO")</f>
        <v>SABRE</v>
      </c>
      <c r="C931" t="str">
        <f t="shared" si="28"/>
        <v>PENDENTE</v>
      </c>
      <c r="D931" s="1">
        <v>3295050</v>
      </c>
      <c r="E931" s="1" t="s">
        <v>26</v>
      </c>
      <c r="F931" s="2">
        <v>45728.57916666667</v>
      </c>
      <c r="G931" s="1" t="s">
        <v>1422</v>
      </c>
      <c r="H931" s="1" t="s">
        <v>1421</v>
      </c>
      <c r="I931" s="1" t="s">
        <v>1423</v>
      </c>
      <c r="J931" s="2">
        <v>45728.668055555558</v>
      </c>
      <c r="L931" s="1" t="s">
        <v>18</v>
      </c>
      <c r="M931" s="1" t="str">
        <f>_xlfn.XLOOKUP(I931,Parâmetros!A:A,Parâmetros!B:B,_xlfn.XLOOKUP(Q931,Parâmetros!F:F,Parâmetros!G:G,"NOVA MENSAGEM"))</f>
        <v>CÓD. CLIENTE DIVERGENTE</v>
      </c>
      <c r="N931" s="1" t="str">
        <f>_xlfn.XLOOKUP(M931,Parâmetros!K:K,Parâmetros!L:L,"")</f>
        <v>CÓDIGO DIFERENTE DO CADASTRADO NO BENNER (CLIENTE X GRUPO)</v>
      </c>
      <c r="O931" s="1" t="str">
        <f>_xlfn.XLOOKUP(M931,Parâmetros!B:B,Parâmetros!C:C,_xlfn.XLOOKUP(Base!M848,Parâmetros!G:G,Parâmetros!H:H))</f>
        <v>QUALIDADE DOS DADOS</v>
      </c>
      <c r="P931" s="1" t="str">
        <f>_xlfn.XLOOKUP(I931,Parâmetros!A:A,Parâmetros!D:D,_xlfn.XLOOKUP(Q931,Parâmetros!F:F,Parâmetros!I:I))</f>
        <v>SUPORTE OBT</v>
      </c>
      <c r="Q931" s="1">
        <f t="shared" si="29"/>
        <v>1</v>
      </c>
    </row>
    <row r="932" spans="1:17" x14ac:dyDescent="0.25">
      <c r="A932" s="1" t="str">
        <f>_xlfn.XLOOKUP(D932,'Novo relatório'!B:B,'Novo relatório'!C:C,"RESOLVIDO")</f>
        <v>TMS</v>
      </c>
      <c r="C932" t="str">
        <f t="shared" si="28"/>
        <v>PENDENTE</v>
      </c>
      <c r="D932" s="1">
        <v>3295584</v>
      </c>
      <c r="E932" s="1" t="s">
        <v>12</v>
      </c>
      <c r="F932" s="2">
        <v>45728.57916666667</v>
      </c>
      <c r="G932" s="1">
        <v>43103</v>
      </c>
      <c r="H932" s="1">
        <v>43103</v>
      </c>
      <c r="I932" s="1" t="s">
        <v>16</v>
      </c>
      <c r="J932" s="2">
        <v>45728.724999999999</v>
      </c>
      <c r="K932" s="2">
        <v>45731.968055555553</v>
      </c>
      <c r="L932" s="1" t="s">
        <v>14</v>
      </c>
      <c r="M932" s="1" t="str">
        <f>_xlfn.XLOOKUP(I932,Parâmetros!A:A,Parâmetros!B:B,_xlfn.XLOOKUP(Q932,Parâmetros!F:F,Parâmetros!G:G,"NOVA MENSAGEM"))</f>
        <v>ASSENTO / BAGAGEM</v>
      </c>
      <c r="N932" s="1" t="str">
        <f>_xlfn.XLOOKUP(M932,Parâmetros!K:K,Parâmetros!L:L,"")</f>
        <v>CAMPO OBSERVAÇÃO PREENCHIDO INCORRETAMENTE</v>
      </c>
      <c r="O932" s="1" t="str">
        <f>_xlfn.XLOOKUP(M932,Parâmetros!B:B,Parâmetros!C:C,_xlfn.XLOOKUP(Base!M1007,Parâmetros!G:G,Parâmetros!H:H))</f>
        <v>QUALIDADE DOS DADOS</v>
      </c>
      <c r="P932" s="1" t="str">
        <f>_xlfn.XLOOKUP(I932,Parâmetros!A:A,Parâmetros!D:D,_xlfn.XLOOKUP(Q932,Parâmetros!F:F,Parâmetros!I:I))</f>
        <v>OPERAÇÕES / SUPORTE KCS</v>
      </c>
      <c r="Q932" s="1">
        <f t="shared" si="29"/>
        <v>118</v>
      </c>
    </row>
    <row r="933" spans="1:17" x14ac:dyDescent="0.25">
      <c r="A933" s="1" t="str">
        <f>_xlfn.XLOOKUP(D933,'Novo relatório'!B:B,'Novo relatório'!C:C,"RESOLVIDO")</f>
        <v>SABRE</v>
      </c>
      <c r="C933" t="str">
        <f t="shared" si="28"/>
        <v>PENDENTE</v>
      </c>
      <c r="D933" s="1">
        <v>3296020</v>
      </c>
      <c r="E933" s="1" t="s">
        <v>26</v>
      </c>
      <c r="F933" s="2">
        <v>45729.32916666667</v>
      </c>
      <c r="G933" s="1" t="s">
        <v>1438</v>
      </c>
      <c r="H933" s="1" t="s">
        <v>1438</v>
      </c>
      <c r="I933" s="1" t="s">
        <v>1060</v>
      </c>
      <c r="J933" s="2">
        <v>45728.772222222222</v>
      </c>
      <c r="K933" s="2">
        <v>45729.418749999997</v>
      </c>
      <c r="L933" s="1" t="s">
        <v>18</v>
      </c>
      <c r="M933" s="1" t="str">
        <f>_xlfn.XLOOKUP(I933,Parâmetros!A:A,Parâmetros!B:B,_xlfn.XLOOKUP(Q933,Parâmetros!F:F,Parâmetros!G:G,"NOVA MENSAGEM"))</f>
        <v>CÓD. CLIENTE DIVERGENTE</v>
      </c>
      <c r="N933" s="1" t="str">
        <f>_xlfn.XLOOKUP(M933,Parâmetros!K:K,Parâmetros!L:L,"")</f>
        <v>CÓDIGO DIFERENTE DO CADASTRADO NO BENNER (CLIENTE X GRUPO)</v>
      </c>
      <c r="O933" s="1" t="str">
        <f>_xlfn.XLOOKUP(M933,Parâmetros!B:B,Parâmetros!C:C,_xlfn.XLOOKUP(Base!M862,Parâmetros!G:G,Parâmetros!H:H))</f>
        <v>QUALIDADE DOS DADOS</v>
      </c>
      <c r="P933" s="1" t="str">
        <f>_xlfn.XLOOKUP(I933,Parâmetros!A:A,Parâmetros!D:D,_xlfn.XLOOKUP(Q933,Parâmetros!F:F,Parâmetros!I:I))</f>
        <v>SUPORTE OBT</v>
      </c>
      <c r="Q933" s="1">
        <f t="shared" si="29"/>
        <v>1</v>
      </c>
    </row>
    <row r="934" spans="1:17" x14ac:dyDescent="0.25">
      <c r="A934" s="1" t="str">
        <f>_xlfn.XLOOKUP(D934,'Novo relatório'!B:B,'Novo relatório'!C:C,"RESOLVIDO")</f>
        <v>SABRE</v>
      </c>
      <c r="C934" t="str">
        <f t="shared" si="28"/>
        <v>PENDENTE</v>
      </c>
      <c r="D934" s="1">
        <v>3296021</v>
      </c>
      <c r="E934" s="1" t="s">
        <v>26</v>
      </c>
      <c r="F934" s="2">
        <v>45729.372916666667</v>
      </c>
      <c r="G934" s="1" t="s">
        <v>1420</v>
      </c>
      <c r="H934" s="1" t="s">
        <v>1420</v>
      </c>
      <c r="I934" s="1" t="s">
        <v>1060</v>
      </c>
      <c r="J934" s="2">
        <v>45728.772222222222</v>
      </c>
      <c r="K934" s="2">
        <v>45729.460416666669</v>
      </c>
      <c r="L934" s="1" t="s">
        <v>18</v>
      </c>
      <c r="M934" s="1" t="str">
        <f>_xlfn.XLOOKUP(I934,Parâmetros!A:A,Parâmetros!B:B,_xlfn.XLOOKUP(Q934,Parâmetros!F:F,Parâmetros!G:G,"NOVA MENSAGEM"))</f>
        <v>CÓD. CLIENTE DIVERGENTE</v>
      </c>
      <c r="N934" s="1" t="str">
        <f>_xlfn.XLOOKUP(M934,Parâmetros!K:K,Parâmetros!L:L,"")</f>
        <v>CÓDIGO DIFERENTE DO CADASTRADO NO BENNER (CLIENTE X GRUPO)</v>
      </c>
      <c r="O934" s="1" t="str">
        <f>_xlfn.XLOOKUP(M934,Parâmetros!B:B,Parâmetros!C:C,_xlfn.XLOOKUP(Base!M846,Parâmetros!G:G,Parâmetros!H:H))</f>
        <v>QUALIDADE DOS DADOS</v>
      </c>
      <c r="P934" s="1" t="str">
        <f>_xlfn.XLOOKUP(I934,Parâmetros!A:A,Parâmetros!D:D,_xlfn.XLOOKUP(Q934,Parâmetros!F:F,Parâmetros!I:I))</f>
        <v>SUPORTE OBT</v>
      </c>
      <c r="Q934" s="1">
        <f t="shared" si="29"/>
        <v>1</v>
      </c>
    </row>
    <row r="935" spans="1:17" x14ac:dyDescent="0.25">
      <c r="A935" s="1" t="str">
        <f>_xlfn.XLOOKUP(D935,'Novo relatório'!B:B,'Novo relatório'!C:C,"RESOLVIDO")</f>
        <v>SABRE</v>
      </c>
      <c r="C935" t="str">
        <f t="shared" si="28"/>
        <v>PENDENTE</v>
      </c>
      <c r="D935" s="1">
        <v>3296166</v>
      </c>
      <c r="E935" s="1" t="s">
        <v>26</v>
      </c>
      <c r="F935" s="2">
        <v>45728.75277777778</v>
      </c>
      <c r="G935" s="1" t="s">
        <v>1461</v>
      </c>
      <c r="H935" s="1" t="s">
        <v>1461</v>
      </c>
      <c r="I935" s="1" t="s">
        <v>652</v>
      </c>
      <c r="J935" s="2">
        <v>45728.839583333334</v>
      </c>
      <c r="L935" s="1" t="s">
        <v>18</v>
      </c>
      <c r="M935" s="1" t="str">
        <f>_xlfn.XLOOKUP(I935,Parâmetros!A:A,Parâmetros!B:B,_xlfn.XLOOKUP(Q935,Parâmetros!F:F,Parâmetros!G:G,"NOVA MENSAGEM"))</f>
        <v>CÓD. CLIENTE DIVERGENTE</v>
      </c>
      <c r="N935" s="1" t="str">
        <f>_xlfn.XLOOKUP(M935,Parâmetros!K:K,Parâmetros!L:L,"")</f>
        <v>CÓDIGO DIFERENTE DO CADASTRADO NO BENNER (CLIENTE X GRUPO)</v>
      </c>
      <c r="O935" s="1" t="str">
        <f>_xlfn.XLOOKUP(M935,Parâmetros!B:B,Parâmetros!C:C,_xlfn.XLOOKUP(Base!M879,Parâmetros!G:G,Parâmetros!H:H))</f>
        <v>QUALIDADE DOS DADOS</v>
      </c>
      <c r="P935" s="1" t="str">
        <f>_xlfn.XLOOKUP(I935,Parâmetros!A:A,Parâmetros!D:D,_xlfn.XLOOKUP(Q935,Parâmetros!F:F,Parâmetros!I:I))</f>
        <v>SUPORTE OBT</v>
      </c>
      <c r="Q935" s="1">
        <f t="shared" si="29"/>
        <v>1</v>
      </c>
    </row>
    <row r="936" spans="1:17" x14ac:dyDescent="0.25">
      <c r="A936" s="1" t="str">
        <f>_xlfn.XLOOKUP(D936,'Novo relatório'!B:B,'Novo relatório'!C:C,"RESOLVIDO")</f>
        <v>SABRE</v>
      </c>
      <c r="C936" t="str">
        <f t="shared" si="28"/>
        <v>PENDENTE</v>
      </c>
      <c r="D936" s="1">
        <v>3296169</v>
      </c>
      <c r="E936" s="1" t="s">
        <v>26</v>
      </c>
      <c r="F936" s="2">
        <v>45729.603472222225</v>
      </c>
      <c r="G936" s="1" t="s">
        <v>1409</v>
      </c>
      <c r="H936" s="1" t="s">
        <v>1409</v>
      </c>
      <c r="I936" s="1" t="s">
        <v>1060</v>
      </c>
      <c r="J936" s="2">
        <v>45728.840277777781</v>
      </c>
      <c r="K936" s="2">
        <v>45729.689583333333</v>
      </c>
      <c r="L936" s="1" t="s">
        <v>18</v>
      </c>
      <c r="M936" s="1" t="str">
        <f>_xlfn.XLOOKUP(I936,Parâmetros!A:A,Parâmetros!B:B,_xlfn.XLOOKUP(Q936,Parâmetros!F:F,Parâmetros!G:G,"NOVA MENSAGEM"))</f>
        <v>CÓD. CLIENTE DIVERGENTE</v>
      </c>
      <c r="N936" s="1" t="str">
        <f>_xlfn.XLOOKUP(M936,Parâmetros!K:K,Parâmetros!L:L,"")</f>
        <v>CÓDIGO DIFERENTE DO CADASTRADO NO BENNER (CLIENTE X GRUPO)</v>
      </c>
      <c r="O936" s="1" t="str">
        <f>_xlfn.XLOOKUP(M936,Parâmetros!B:B,Parâmetros!C:C,_xlfn.XLOOKUP(Base!M837,Parâmetros!G:G,Parâmetros!H:H))</f>
        <v>QUALIDADE DOS DADOS</v>
      </c>
      <c r="P936" s="1" t="str">
        <f>_xlfn.XLOOKUP(I936,Parâmetros!A:A,Parâmetros!D:D,_xlfn.XLOOKUP(Q936,Parâmetros!F:F,Parâmetros!I:I))</f>
        <v>SUPORTE OBT</v>
      </c>
      <c r="Q936" s="1">
        <f t="shared" si="29"/>
        <v>1</v>
      </c>
    </row>
    <row r="937" spans="1:17" x14ac:dyDescent="0.25">
      <c r="A937" s="1" t="str">
        <f>_xlfn.XLOOKUP(D937,'Novo relatório'!B:B,'Novo relatório'!C:C,"RESOLVIDO")</f>
        <v>SABRE</v>
      </c>
      <c r="C937" t="str">
        <f t="shared" si="28"/>
        <v>PENDENTE</v>
      </c>
      <c r="D937" s="1">
        <v>3296177</v>
      </c>
      <c r="E937" s="1" t="s">
        <v>26</v>
      </c>
      <c r="F937" s="2">
        <v>45728.75277777778</v>
      </c>
      <c r="G937" s="1" t="s">
        <v>1554</v>
      </c>
      <c r="H937" s="1" t="s">
        <v>1554</v>
      </c>
      <c r="I937" s="1" t="s">
        <v>83</v>
      </c>
      <c r="J937" s="2">
        <v>45728.84097222222</v>
      </c>
      <c r="L937" s="1" t="s">
        <v>18</v>
      </c>
      <c r="M937" s="1" t="str">
        <f>_xlfn.XLOOKUP(I937,Parâmetros!A:A,Parâmetros!B:B,_xlfn.XLOOKUP(Q937,Parâmetros!F:F,Parâmetros!G:G,"NOVA MENSAGEM"))</f>
        <v>CLIENTE NÃO IDENTIFICADO</v>
      </c>
      <c r="N937" s="1" t="str">
        <f>_xlfn.XLOOKUP(M937,Parâmetros!K:K,Parâmetros!L:L,"")</f>
        <v>DK DE CLIENTE NÃO PREENCIDO / CLIENTE NÃO CONFIGURADO NO OBT</v>
      </c>
      <c r="O937" s="1" t="str">
        <f>_xlfn.XLOOKUP(M937,Parâmetros!B:B,Parâmetros!C:C,_xlfn.XLOOKUP(Base!M953,Parâmetros!G:G,Parâmetros!H:H))</f>
        <v>INDEFINIDO</v>
      </c>
      <c r="P937" s="1" t="str">
        <f>_xlfn.XLOOKUP(I937,Parâmetros!A:A,Parâmetros!D:D,_xlfn.XLOOKUP(Q937,Parâmetros!F:F,Parâmetros!I:I))</f>
        <v>OPERAÇÕES / SUPORTE KCS</v>
      </c>
      <c r="Q937" s="1" t="str">
        <f t="shared" si="29"/>
        <v>COLUNA I</v>
      </c>
    </row>
    <row r="938" spans="1:17" x14ac:dyDescent="0.25">
      <c r="A938" s="1" t="str">
        <f>_xlfn.XLOOKUP(D938,'Novo relatório'!B:B,'Novo relatório'!C:C,"RESOLVIDO")</f>
        <v>SABRE</v>
      </c>
      <c r="C938" t="str">
        <f t="shared" si="28"/>
        <v>PENDENTE</v>
      </c>
      <c r="D938" s="1">
        <v>3296178</v>
      </c>
      <c r="E938" s="1" t="s">
        <v>26</v>
      </c>
      <c r="F938" s="2">
        <v>45729.60833333333</v>
      </c>
      <c r="G938" s="1" t="s">
        <v>1607</v>
      </c>
      <c r="H938" s="1" t="s">
        <v>1607</v>
      </c>
      <c r="I938" s="1" t="s">
        <v>1054</v>
      </c>
      <c r="J938" s="2">
        <v>45728.841666666667</v>
      </c>
      <c r="K938" s="2">
        <v>45729.70208333333</v>
      </c>
      <c r="L938" s="1" t="s">
        <v>18</v>
      </c>
      <c r="M938" s="1" t="str">
        <f>_xlfn.XLOOKUP(I938,Parâmetros!A:A,Parâmetros!B:B,_xlfn.XLOOKUP(Q938,Parâmetros!F:F,Parâmetros!G:G,"NOVA MENSAGEM"))</f>
        <v>CÓD. CLIENTE DIVERGENTE</v>
      </c>
      <c r="N938" s="1" t="str">
        <f>_xlfn.XLOOKUP(M938,Parâmetros!K:K,Parâmetros!L:L,"")</f>
        <v>CÓDIGO DIFERENTE DO CADASTRADO NO BENNER (CLIENTE X GRUPO)</v>
      </c>
      <c r="O938" s="1" t="str">
        <f>_xlfn.XLOOKUP(M938,Parâmetros!B:B,Parâmetros!C:C,_xlfn.XLOOKUP(Base!M995,Parâmetros!G:G,Parâmetros!H:H))</f>
        <v>QUALIDADE DOS DADOS</v>
      </c>
      <c r="P938" s="1" t="str">
        <f>_xlfn.XLOOKUP(I938,Parâmetros!A:A,Parâmetros!D:D,_xlfn.XLOOKUP(Q938,Parâmetros!F:F,Parâmetros!I:I))</f>
        <v>SUPORTE OBT</v>
      </c>
      <c r="Q938" s="1">
        <f t="shared" si="29"/>
        <v>1</v>
      </c>
    </row>
    <row r="939" spans="1:17" x14ac:dyDescent="0.25">
      <c r="A939" s="1" t="str">
        <f>_xlfn.XLOOKUP(D939,'Novo relatório'!B:B,'Novo relatório'!C:C,"RESOLVIDO")</f>
        <v>SABRE</v>
      </c>
      <c r="C939" t="str">
        <f t="shared" si="28"/>
        <v>PENDENTE</v>
      </c>
      <c r="D939" s="1">
        <v>3296186</v>
      </c>
      <c r="E939" s="1" t="s">
        <v>26</v>
      </c>
      <c r="F939" s="2">
        <v>45728.75277777778</v>
      </c>
      <c r="G939" s="1" t="s">
        <v>1437</v>
      </c>
      <c r="H939" s="1" t="s">
        <v>1437</v>
      </c>
      <c r="I939" s="1" t="s">
        <v>620</v>
      </c>
      <c r="J939" s="2">
        <v>45728.843055555553</v>
      </c>
      <c r="L939" s="1" t="s">
        <v>18</v>
      </c>
      <c r="M939" s="1" t="str">
        <f>_xlfn.XLOOKUP(I939,Parâmetros!A:A,Parâmetros!B:B,_xlfn.XLOOKUP(Q939,Parâmetros!F:F,Parâmetros!G:G,"NOVA MENSAGEM"))</f>
        <v>CÓD. CLIENTE DIVERGENTE</v>
      </c>
      <c r="N939" s="1" t="str">
        <f>_xlfn.XLOOKUP(M939,Parâmetros!K:K,Parâmetros!L:L,"")</f>
        <v>CÓDIGO DIFERENTE DO CADASTRADO NO BENNER (CLIENTE X GRUPO)</v>
      </c>
      <c r="O939" s="1" t="str">
        <f>_xlfn.XLOOKUP(M939,Parâmetros!B:B,Parâmetros!C:C,_xlfn.XLOOKUP(Base!M861,Parâmetros!G:G,Parâmetros!H:H))</f>
        <v>QUALIDADE DOS DADOS</v>
      </c>
      <c r="P939" s="1" t="str">
        <f>_xlfn.XLOOKUP(I939,Parâmetros!A:A,Parâmetros!D:D,_xlfn.XLOOKUP(Q939,Parâmetros!F:F,Parâmetros!I:I))</f>
        <v>SUPORTE OBT</v>
      </c>
      <c r="Q939" s="1">
        <f t="shared" si="29"/>
        <v>1</v>
      </c>
    </row>
    <row r="940" spans="1:17" x14ac:dyDescent="0.25">
      <c r="A940" s="1" t="str">
        <f>_xlfn.XLOOKUP(D940,'Novo relatório'!B:B,'Novo relatório'!C:C,"RESOLVIDO")</f>
        <v>SABRE</v>
      </c>
      <c r="C940" t="str">
        <f t="shared" si="28"/>
        <v>PENDENTE</v>
      </c>
      <c r="D940" s="1">
        <v>3296189</v>
      </c>
      <c r="E940" s="1" t="s">
        <v>26</v>
      </c>
      <c r="F940" s="2">
        <v>45728.75277777778</v>
      </c>
      <c r="G940" s="1" t="s">
        <v>1496</v>
      </c>
      <c r="H940" s="1" t="s">
        <v>1496</v>
      </c>
      <c r="I940" s="1" t="s">
        <v>83</v>
      </c>
      <c r="J940" s="2">
        <v>45728.843055555553</v>
      </c>
      <c r="L940" s="1" t="s">
        <v>18</v>
      </c>
      <c r="M940" s="1" t="str">
        <f>_xlfn.XLOOKUP(I940,Parâmetros!A:A,Parâmetros!B:B,_xlfn.XLOOKUP(Q940,Parâmetros!F:F,Parâmetros!G:G,"NOVA MENSAGEM"))</f>
        <v>CLIENTE NÃO IDENTIFICADO</v>
      </c>
      <c r="N940" s="1" t="str">
        <f>_xlfn.XLOOKUP(M940,Parâmetros!K:K,Parâmetros!L:L,"")</f>
        <v>DK DE CLIENTE NÃO PREENCIDO / CLIENTE NÃO CONFIGURADO NO OBT</v>
      </c>
      <c r="O940" s="1" t="str">
        <f>_xlfn.XLOOKUP(M940,Parâmetros!B:B,Parâmetros!C:C,_xlfn.XLOOKUP(Base!M907,Parâmetros!G:G,Parâmetros!H:H))</f>
        <v>INDEFINIDO</v>
      </c>
      <c r="P940" s="1" t="str">
        <f>_xlfn.XLOOKUP(I940,Parâmetros!A:A,Parâmetros!D:D,_xlfn.XLOOKUP(Q940,Parâmetros!F:F,Parâmetros!I:I))</f>
        <v>OPERAÇÕES / SUPORTE KCS</v>
      </c>
      <c r="Q940" s="1" t="str">
        <f t="shared" si="29"/>
        <v>COLUNA I</v>
      </c>
    </row>
    <row r="941" spans="1:17" x14ac:dyDescent="0.25">
      <c r="A941" s="1" t="str">
        <f>_xlfn.XLOOKUP(D941,'Novo relatório'!B:B,'Novo relatório'!C:C,"RESOLVIDO")</f>
        <v>SABRE</v>
      </c>
      <c r="C941" t="str">
        <f t="shared" si="28"/>
        <v>PENDENTE</v>
      </c>
      <c r="D941" s="1">
        <v>3296191</v>
      </c>
      <c r="E941" s="1" t="s">
        <v>26</v>
      </c>
      <c r="F941" s="2">
        <v>45729.633333333331</v>
      </c>
      <c r="G941" s="1" t="s">
        <v>1507</v>
      </c>
      <c r="H941" s="1" t="s">
        <v>1507</v>
      </c>
      <c r="I941" s="1" t="s">
        <v>1189</v>
      </c>
      <c r="J941" s="2">
        <v>45728.84375</v>
      </c>
      <c r="K941" s="2">
        <v>45729.72152777778</v>
      </c>
      <c r="L941" s="1" t="s">
        <v>18</v>
      </c>
      <c r="M941" s="1" t="str">
        <f>_xlfn.XLOOKUP(I941,Parâmetros!A:A,Parâmetros!B:B,_xlfn.XLOOKUP(Q941,Parâmetros!F:F,Parâmetros!G:G,"NOVA MENSAGEM"))</f>
        <v>CÓD. CLIENTE DIVERGENTE</v>
      </c>
      <c r="N941" s="1" t="str">
        <f>_xlfn.XLOOKUP(M941,Parâmetros!K:K,Parâmetros!L:L,"")</f>
        <v>CÓDIGO DIFERENTE DO CADASTRADO NO BENNER (CLIENTE X GRUPO)</v>
      </c>
      <c r="O941" s="1" t="str">
        <f>_xlfn.XLOOKUP(M941,Parâmetros!B:B,Parâmetros!C:C,_xlfn.XLOOKUP(Base!M916,Parâmetros!G:G,Parâmetros!H:H))</f>
        <v>QUALIDADE DOS DADOS</v>
      </c>
      <c r="P941" s="1" t="str">
        <f>_xlfn.XLOOKUP(I941,Parâmetros!A:A,Parâmetros!D:D,_xlfn.XLOOKUP(Q941,Parâmetros!F:F,Parâmetros!I:I))</f>
        <v>SUPORTE OBT</v>
      </c>
      <c r="Q941" s="1">
        <f t="shared" si="29"/>
        <v>1</v>
      </c>
    </row>
    <row r="942" spans="1:17" x14ac:dyDescent="0.25">
      <c r="A942" s="1" t="str">
        <f>_xlfn.XLOOKUP(D942,'Novo relatório'!B:B,'Novo relatório'!C:C,"RESOLVIDO")</f>
        <v>SABRE</v>
      </c>
      <c r="C942" t="str">
        <f t="shared" si="28"/>
        <v>PENDENTE</v>
      </c>
      <c r="D942" s="1">
        <v>3296192</v>
      </c>
      <c r="E942" s="1" t="s">
        <v>26</v>
      </c>
      <c r="F942" s="2">
        <v>45729.40625</v>
      </c>
      <c r="G942" s="1" t="s">
        <v>1550</v>
      </c>
      <c r="H942" s="1" t="s">
        <v>1550</v>
      </c>
      <c r="I942" s="1" t="s">
        <v>83</v>
      </c>
      <c r="J942" s="2">
        <v>45728.84375</v>
      </c>
      <c r="K942" s="2">
        <v>45729.491666666669</v>
      </c>
      <c r="L942" s="1" t="s">
        <v>18</v>
      </c>
      <c r="M942" s="1" t="str">
        <f>_xlfn.XLOOKUP(I942,Parâmetros!A:A,Parâmetros!B:B,_xlfn.XLOOKUP(Q942,Parâmetros!F:F,Parâmetros!G:G,"NOVA MENSAGEM"))</f>
        <v>CLIENTE NÃO IDENTIFICADO</v>
      </c>
      <c r="N942" s="1" t="str">
        <f>_xlfn.XLOOKUP(M942,Parâmetros!K:K,Parâmetros!L:L,"")</f>
        <v>DK DE CLIENTE NÃO PREENCIDO / CLIENTE NÃO CONFIGURADO NO OBT</v>
      </c>
      <c r="O942" s="1" t="str">
        <f>_xlfn.XLOOKUP(M942,Parâmetros!B:B,Parâmetros!C:C,_xlfn.XLOOKUP(Base!M950,Parâmetros!G:G,Parâmetros!H:H))</f>
        <v>INDEFINIDO</v>
      </c>
      <c r="P942" s="1" t="str">
        <f>_xlfn.XLOOKUP(I942,Parâmetros!A:A,Parâmetros!D:D,_xlfn.XLOOKUP(Q942,Parâmetros!F:F,Parâmetros!I:I))</f>
        <v>OPERAÇÕES / SUPORTE KCS</v>
      </c>
      <c r="Q942" s="1" t="str">
        <f t="shared" si="29"/>
        <v>COLUNA I</v>
      </c>
    </row>
    <row r="943" spans="1:17" x14ac:dyDescent="0.25">
      <c r="A943" s="1" t="str">
        <f>_xlfn.XLOOKUP(D943,'Novo relatório'!B:B,'Novo relatório'!C:C,"RESOLVIDO")</f>
        <v>SABRE</v>
      </c>
      <c r="C943" t="str">
        <f t="shared" si="28"/>
        <v>PENDENTE</v>
      </c>
      <c r="D943" s="1">
        <v>3296193</v>
      </c>
      <c r="E943" s="1" t="s">
        <v>26</v>
      </c>
      <c r="F943" s="2">
        <v>45728.75277777778</v>
      </c>
      <c r="G943" s="1" t="s">
        <v>1398</v>
      </c>
      <c r="H943" s="1" t="s">
        <v>1398</v>
      </c>
      <c r="I943" s="1" t="s">
        <v>620</v>
      </c>
      <c r="J943" s="2">
        <v>45728.84375</v>
      </c>
      <c r="L943" s="1" t="s">
        <v>18</v>
      </c>
      <c r="M943" s="1" t="str">
        <f>_xlfn.XLOOKUP(I943,Parâmetros!A:A,Parâmetros!B:B,_xlfn.XLOOKUP(Q943,Parâmetros!F:F,Parâmetros!G:G,"NOVA MENSAGEM"))</f>
        <v>CÓD. CLIENTE DIVERGENTE</v>
      </c>
      <c r="N943" s="1" t="str">
        <f>_xlfn.XLOOKUP(M943,Parâmetros!K:K,Parâmetros!L:L,"")</f>
        <v>CÓDIGO DIFERENTE DO CADASTRADO NO BENNER (CLIENTE X GRUPO)</v>
      </c>
      <c r="O943" s="1" t="str">
        <f>_xlfn.XLOOKUP(M943,Parâmetros!B:B,Parâmetros!C:C,_xlfn.XLOOKUP(Base!M829,Parâmetros!G:G,Parâmetros!H:H))</f>
        <v>QUALIDADE DOS DADOS</v>
      </c>
      <c r="P943" s="1" t="str">
        <f>_xlfn.XLOOKUP(I943,Parâmetros!A:A,Parâmetros!D:D,_xlfn.XLOOKUP(Q943,Parâmetros!F:F,Parâmetros!I:I))</f>
        <v>SUPORTE OBT</v>
      </c>
      <c r="Q943" s="1">
        <f t="shared" si="29"/>
        <v>1</v>
      </c>
    </row>
    <row r="944" spans="1:17" x14ac:dyDescent="0.25">
      <c r="A944" s="1" t="str">
        <f>_xlfn.XLOOKUP(D944,'Novo relatório'!B:B,'Novo relatório'!C:C,"RESOLVIDO")</f>
        <v>SABRE</v>
      </c>
      <c r="C944" t="str">
        <f t="shared" si="28"/>
        <v>PENDENTE</v>
      </c>
      <c r="D944" s="1">
        <v>3296198</v>
      </c>
      <c r="E944" s="1" t="s">
        <v>26</v>
      </c>
      <c r="F944" s="2">
        <v>45728.75277777778</v>
      </c>
      <c r="G944" s="1" t="s">
        <v>1560</v>
      </c>
      <c r="H944" s="1" t="s">
        <v>1560</v>
      </c>
      <c r="I944" s="1" t="s">
        <v>410</v>
      </c>
      <c r="J944" s="2">
        <v>45728.844444444447</v>
      </c>
      <c r="L944" s="1" t="s">
        <v>18</v>
      </c>
      <c r="M944" s="1" t="str">
        <f>_xlfn.XLOOKUP(I944,Parâmetros!A:A,Parâmetros!B:B,_xlfn.XLOOKUP(Q944,Parâmetros!F:F,Parâmetros!G:G,"NOVA MENSAGEM"))</f>
        <v>CÓD. CLIENTE DIVERGENTE</v>
      </c>
      <c r="N944" s="1" t="str">
        <f>_xlfn.XLOOKUP(M944,Parâmetros!K:K,Parâmetros!L:L,"")</f>
        <v>CÓDIGO DIFERENTE DO CADASTRADO NO BENNER (CLIENTE X GRUPO)</v>
      </c>
      <c r="O944" s="1" t="str">
        <f>_xlfn.XLOOKUP(M944,Parâmetros!B:B,Parâmetros!C:C,_xlfn.XLOOKUP(Base!M957,Parâmetros!G:G,Parâmetros!H:H))</f>
        <v>QUALIDADE DOS DADOS</v>
      </c>
      <c r="P944" s="1" t="str">
        <f>_xlfn.XLOOKUP(I944,Parâmetros!A:A,Parâmetros!D:D,_xlfn.XLOOKUP(Q944,Parâmetros!F:F,Parâmetros!I:I))</f>
        <v>SUPORTE OBT</v>
      </c>
      <c r="Q944" s="1">
        <f t="shared" si="29"/>
        <v>1</v>
      </c>
    </row>
    <row r="945" spans="1:17" x14ac:dyDescent="0.25">
      <c r="A945" s="1" t="str">
        <f>_xlfn.XLOOKUP(D945,'Novo relatório'!B:B,'Novo relatório'!C:C,"RESOLVIDO")</f>
        <v>SABRE</v>
      </c>
      <c r="C945" t="str">
        <f t="shared" si="28"/>
        <v>PENDENTE</v>
      </c>
      <c r="D945" s="1">
        <v>3296200</v>
      </c>
      <c r="E945" s="1" t="s">
        <v>26</v>
      </c>
      <c r="F945" s="2">
        <v>45729.637499999997</v>
      </c>
      <c r="G945" s="1" t="s">
        <v>1472</v>
      </c>
      <c r="H945" s="1" t="s">
        <v>1472</v>
      </c>
      <c r="I945" s="1" t="s">
        <v>1060</v>
      </c>
      <c r="J945" s="2">
        <v>45728.844444444447</v>
      </c>
      <c r="K945" s="2">
        <v>45729.732638888891</v>
      </c>
      <c r="L945" s="1" t="s">
        <v>18</v>
      </c>
      <c r="M945" s="1" t="str">
        <f>_xlfn.XLOOKUP(I945,Parâmetros!A:A,Parâmetros!B:B,_xlfn.XLOOKUP(Q945,Parâmetros!F:F,Parâmetros!G:G,"NOVA MENSAGEM"))</f>
        <v>CÓD. CLIENTE DIVERGENTE</v>
      </c>
      <c r="N945" s="1" t="str">
        <f>_xlfn.XLOOKUP(M945,Parâmetros!K:K,Parâmetros!L:L,"")</f>
        <v>CÓDIGO DIFERENTE DO CADASTRADO NO BENNER (CLIENTE X GRUPO)</v>
      </c>
      <c r="O945" s="1" t="str">
        <f>_xlfn.XLOOKUP(M945,Parâmetros!B:B,Parâmetros!C:C,_xlfn.XLOOKUP(Base!M886,Parâmetros!G:G,Parâmetros!H:H))</f>
        <v>QUALIDADE DOS DADOS</v>
      </c>
      <c r="P945" s="1" t="str">
        <f>_xlfn.XLOOKUP(I945,Parâmetros!A:A,Parâmetros!D:D,_xlfn.XLOOKUP(Q945,Parâmetros!F:F,Parâmetros!I:I))</f>
        <v>SUPORTE OBT</v>
      </c>
      <c r="Q945" s="1">
        <f t="shared" si="29"/>
        <v>1</v>
      </c>
    </row>
    <row r="946" spans="1:17" x14ac:dyDescent="0.25">
      <c r="A946" s="1" t="str">
        <f>_xlfn.XLOOKUP(D946,'Novo relatório'!B:B,'Novo relatório'!C:C,"RESOLVIDO")</f>
        <v>SABRE</v>
      </c>
      <c r="C946" t="str">
        <f t="shared" si="28"/>
        <v>PENDENTE</v>
      </c>
      <c r="D946" s="1">
        <v>3296201</v>
      </c>
      <c r="E946" s="1" t="s">
        <v>26</v>
      </c>
      <c r="F946" s="2">
        <v>45729.638194444444</v>
      </c>
      <c r="G946" s="1" t="s">
        <v>1498</v>
      </c>
      <c r="H946" s="1" t="s">
        <v>1498</v>
      </c>
      <c r="I946" s="1" t="s">
        <v>1060</v>
      </c>
      <c r="J946" s="2">
        <v>45728.844444444447</v>
      </c>
      <c r="K946" s="2">
        <v>45729.732638888891</v>
      </c>
      <c r="L946" s="1" t="s">
        <v>18</v>
      </c>
      <c r="M946" s="1" t="str">
        <f>_xlfn.XLOOKUP(I946,Parâmetros!A:A,Parâmetros!B:B,_xlfn.XLOOKUP(Q946,Parâmetros!F:F,Parâmetros!G:G,"NOVA MENSAGEM"))</f>
        <v>CÓD. CLIENTE DIVERGENTE</v>
      </c>
      <c r="N946" s="1" t="str">
        <f>_xlfn.XLOOKUP(M946,Parâmetros!K:K,Parâmetros!L:L,"")</f>
        <v>CÓDIGO DIFERENTE DO CADASTRADO NO BENNER (CLIENTE X GRUPO)</v>
      </c>
      <c r="O946" s="1" t="str">
        <f>_xlfn.XLOOKUP(M946,Parâmetros!B:B,Parâmetros!C:C,_xlfn.XLOOKUP(Base!M909,Parâmetros!G:G,Parâmetros!H:H))</f>
        <v>QUALIDADE DOS DADOS</v>
      </c>
      <c r="P946" s="1" t="str">
        <f>_xlfn.XLOOKUP(I946,Parâmetros!A:A,Parâmetros!D:D,_xlfn.XLOOKUP(Q946,Parâmetros!F:F,Parâmetros!I:I))</f>
        <v>SUPORTE OBT</v>
      </c>
      <c r="Q946" s="1">
        <f t="shared" si="29"/>
        <v>1</v>
      </c>
    </row>
    <row r="947" spans="1:17" x14ac:dyDescent="0.25">
      <c r="A947" s="1" t="str">
        <f>_xlfn.XLOOKUP(D947,'Novo relatório'!B:B,'Novo relatório'!C:C,"RESOLVIDO")</f>
        <v>SABRE</v>
      </c>
      <c r="C947" t="str">
        <f t="shared" si="28"/>
        <v>PENDENTE</v>
      </c>
      <c r="D947" s="1">
        <v>3296206</v>
      </c>
      <c r="E947" s="1" t="s">
        <v>26</v>
      </c>
      <c r="F947" s="2">
        <v>45728.75277777778</v>
      </c>
      <c r="G947" s="1" t="s">
        <v>1386</v>
      </c>
      <c r="H947" s="1" t="s">
        <v>1386</v>
      </c>
      <c r="I947" s="1" t="s">
        <v>1060</v>
      </c>
      <c r="J947" s="2">
        <v>45728.845138888886</v>
      </c>
      <c r="L947" s="1" t="s">
        <v>18</v>
      </c>
      <c r="M947" s="1" t="str">
        <f>_xlfn.XLOOKUP(I947,Parâmetros!A:A,Parâmetros!B:B,_xlfn.XLOOKUP(Q947,Parâmetros!F:F,Parâmetros!G:G,"NOVA MENSAGEM"))</f>
        <v>CÓD. CLIENTE DIVERGENTE</v>
      </c>
      <c r="N947" s="1" t="str">
        <f>_xlfn.XLOOKUP(M947,Parâmetros!K:K,Parâmetros!L:L,"")</f>
        <v>CÓDIGO DIFERENTE DO CADASTRADO NO BENNER (CLIENTE X GRUPO)</v>
      </c>
      <c r="O947" s="1" t="str">
        <f>_xlfn.XLOOKUP(M947,Parâmetros!B:B,Parâmetros!C:C,_xlfn.XLOOKUP(Base!M820,Parâmetros!G:G,Parâmetros!H:H))</f>
        <v>QUALIDADE DOS DADOS</v>
      </c>
      <c r="P947" s="1" t="str">
        <f>_xlfn.XLOOKUP(I947,Parâmetros!A:A,Parâmetros!D:D,_xlfn.XLOOKUP(Q947,Parâmetros!F:F,Parâmetros!I:I))</f>
        <v>SUPORTE OBT</v>
      </c>
      <c r="Q947" s="1">
        <f t="shared" si="29"/>
        <v>1</v>
      </c>
    </row>
    <row r="948" spans="1:17" x14ac:dyDescent="0.25">
      <c r="A948" s="1" t="str">
        <f>_xlfn.XLOOKUP(D948,'Novo relatório'!B:B,'Novo relatório'!C:C,"RESOLVIDO")</f>
        <v>SABRE</v>
      </c>
      <c r="C948" t="str">
        <f t="shared" si="28"/>
        <v>PENDENTE</v>
      </c>
      <c r="D948" s="1">
        <v>3296208</v>
      </c>
      <c r="E948" s="1" t="s">
        <v>26</v>
      </c>
      <c r="F948" s="2">
        <v>45728.75277777778</v>
      </c>
      <c r="G948" s="1" t="s">
        <v>1390</v>
      </c>
      <c r="H948" s="1" t="s">
        <v>1390</v>
      </c>
      <c r="I948" s="1" t="s">
        <v>1060</v>
      </c>
      <c r="J948" s="2">
        <v>45728.845138888886</v>
      </c>
      <c r="L948" s="1" t="s">
        <v>18</v>
      </c>
      <c r="M948" s="1" t="str">
        <f>_xlfn.XLOOKUP(I948,Parâmetros!A:A,Parâmetros!B:B,_xlfn.XLOOKUP(Q948,Parâmetros!F:F,Parâmetros!G:G,"NOVA MENSAGEM"))</f>
        <v>CÓD. CLIENTE DIVERGENTE</v>
      </c>
      <c r="N948" s="1" t="str">
        <f>_xlfn.XLOOKUP(M948,Parâmetros!K:K,Parâmetros!L:L,"")</f>
        <v>CÓDIGO DIFERENTE DO CADASTRADO NO BENNER (CLIENTE X GRUPO)</v>
      </c>
      <c r="O948" s="1" t="str">
        <f>_xlfn.XLOOKUP(M948,Parâmetros!B:B,Parâmetros!C:C,_xlfn.XLOOKUP(Base!M823,Parâmetros!G:G,Parâmetros!H:H))</f>
        <v>QUALIDADE DOS DADOS</v>
      </c>
      <c r="P948" s="1" t="str">
        <f>_xlfn.XLOOKUP(I948,Parâmetros!A:A,Parâmetros!D:D,_xlfn.XLOOKUP(Q948,Parâmetros!F:F,Parâmetros!I:I))</f>
        <v>SUPORTE OBT</v>
      </c>
      <c r="Q948" s="1">
        <f t="shared" si="29"/>
        <v>1</v>
      </c>
    </row>
    <row r="949" spans="1:17" x14ac:dyDescent="0.25">
      <c r="A949" s="1" t="str">
        <f>_xlfn.XLOOKUP(D949,'Novo relatório'!B:B,'Novo relatório'!C:C,"RESOLVIDO")</f>
        <v>SABRE</v>
      </c>
      <c r="C949" t="str">
        <f t="shared" si="28"/>
        <v>PENDENTE</v>
      </c>
      <c r="D949" s="1">
        <v>3296850</v>
      </c>
      <c r="E949" s="1" t="s">
        <v>26</v>
      </c>
      <c r="F949" s="2">
        <v>45729.306944444441</v>
      </c>
      <c r="G949" s="1" t="s">
        <v>1494</v>
      </c>
      <c r="H949" s="1" t="s">
        <v>1495</v>
      </c>
      <c r="I949" s="1" t="s">
        <v>64</v>
      </c>
      <c r="J949" s="2">
        <v>45729.397916666669</v>
      </c>
      <c r="L949" s="1" t="s">
        <v>1244</v>
      </c>
      <c r="M949" s="1" t="str">
        <f>_xlfn.XLOOKUP(I949,Parâmetros!A:A,Parâmetros!B:B,_xlfn.XLOOKUP(Q949,Parâmetros!F:F,Parâmetros!G:G,"NOVA MENSAGEM"))</f>
        <v>FORMATO DE TEXTO</v>
      </c>
      <c r="N949" s="1" t="str">
        <f>_xlfn.XLOOKUP(M949,Parâmetros!K:K,Parâmetros!L:L,"")</f>
        <v>TEXTO FORA DO PADRÃO ACEITO NO CAMPO</v>
      </c>
      <c r="O949" s="1" t="str">
        <f>_xlfn.XLOOKUP(M949,Parâmetros!B:B,Parâmetros!C:C,_xlfn.XLOOKUP(Base!M906,Parâmetros!G:G,Parâmetros!H:H))</f>
        <v>INDEFINIDO</v>
      </c>
      <c r="P949" s="1" t="str">
        <f>_xlfn.XLOOKUP(I949,Parâmetros!A:A,Parâmetros!D:D,_xlfn.XLOOKUP(Q949,Parâmetros!F:F,Parâmetros!I:I))</f>
        <v>SUPORTE OBT</v>
      </c>
      <c r="Q949" s="1" t="str">
        <f t="shared" si="29"/>
        <v>COLUNA I</v>
      </c>
    </row>
    <row r="950" spans="1:17" x14ac:dyDescent="0.25">
      <c r="A950" s="1" t="str">
        <f>_xlfn.XLOOKUP(D950,'Novo relatório'!B:B,'Novo relatório'!C:C,"RESOLVIDO")</f>
        <v>SABRE</v>
      </c>
      <c r="C950" t="str">
        <f t="shared" si="28"/>
        <v>PENDENTE</v>
      </c>
      <c r="D950" s="1">
        <v>3296851</v>
      </c>
      <c r="E950" s="1" t="s">
        <v>26</v>
      </c>
      <c r="F950" s="2">
        <v>45729.306944444441</v>
      </c>
      <c r="G950" s="1" t="s">
        <v>1400</v>
      </c>
      <c r="H950" s="1" t="s">
        <v>1401</v>
      </c>
      <c r="I950" s="1" t="s">
        <v>64</v>
      </c>
      <c r="J950" s="2">
        <v>45729.398611111108</v>
      </c>
      <c r="L950" s="1" t="s">
        <v>1244</v>
      </c>
      <c r="M950" s="1" t="str">
        <f>_xlfn.XLOOKUP(I950,Parâmetros!A:A,Parâmetros!B:B,_xlfn.XLOOKUP(Q950,Parâmetros!F:F,Parâmetros!G:G,"NOVA MENSAGEM"))</f>
        <v>FORMATO DE TEXTO</v>
      </c>
      <c r="N950" s="1" t="str">
        <f>_xlfn.XLOOKUP(M950,Parâmetros!K:K,Parâmetros!L:L,"")</f>
        <v>TEXTO FORA DO PADRÃO ACEITO NO CAMPO</v>
      </c>
      <c r="O950" s="1" t="str">
        <f>_xlfn.XLOOKUP(M950,Parâmetros!B:B,Parâmetros!C:C,_xlfn.XLOOKUP(Base!M831,Parâmetros!G:G,Parâmetros!H:H))</f>
        <v>INDEFINIDO</v>
      </c>
      <c r="P950" s="1" t="str">
        <f>_xlfn.XLOOKUP(I950,Parâmetros!A:A,Parâmetros!D:D,_xlfn.XLOOKUP(Q950,Parâmetros!F:F,Parâmetros!I:I))</f>
        <v>SUPORTE OBT</v>
      </c>
      <c r="Q950" s="1" t="str">
        <f t="shared" si="29"/>
        <v>COLUNA I</v>
      </c>
    </row>
    <row r="951" spans="1:17" x14ac:dyDescent="0.25">
      <c r="A951" s="1" t="str">
        <f>_xlfn.XLOOKUP(D951,'Novo relatório'!B:B,'Novo relatório'!C:C,"RESOLVIDO")</f>
        <v>SABRE</v>
      </c>
      <c r="C951" t="str">
        <f t="shared" si="28"/>
        <v>PENDENTE</v>
      </c>
      <c r="D951" s="1">
        <v>3296852</v>
      </c>
      <c r="E951" s="1" t="s">
        <v>26</v>
      </c>
      <c r="F951" s="2">
        <v>45729.306944444441</v>
      </c>
      <c r="G951" s="1" t="s">
        <v>1523</v>
      </c>
      <c r="H951" s="1" t="s">
        <v>1524</v>
      </c>
      <c r="I951" s="1" t="s">
        <v>64</v>
      </c>
      <c r="J951" s="2">
        <v>45729.398611111108</v>
      </c>
      <c r="L951" s="1" t="s">
        <v>1244</v>
      </c>
      <c r="M951" s="1" t="str">
        <f>_xlfn.XLOOKUP(I951,Parâmetros!A:A,Parâmetros!B:B,_xlfn.XLOOKUP(Q951,Parâmetros!F:F,Parâmetros!G:G,"NOVA MENSAGEM"))</f>
        <v>FORMATO DE TEXTO</v>
      </c>
      <c r="N951" s="1" t="str">
        <f>_xlfn.XLOOKUP(M951,Parâmetros!K:K,Parâmetros!L:L,"")</f>
        <v>TEXTO FORA DO PADRÃO ACEITO NO CAMPO</v>
      </c>
      <c r="O951" s="1" t="str">
        <f>_xlfn.XLOOKUP(M951,Parâmetros!B:B,Parâmetros!C:C,_xlfn.XLOOKUP(Base!M929,Parâmetros!G:G,Parâmetros!H:H))</f>
        <v>INDEFINIDO</v>
      </c>
      <c r="P951" s="1" t="str">
        <f>_xlfn.XLOOKUP(I951,Parâmetros!A:A,Parâmetros!D:D,_xlfn.XLOOKUP(Q951,Parâmetros!F:F,Parâmetros!I:I))</f>
        <v>SUPORTE OBT</v>
      </c>
      <c r="Q951" s="1" t="str">
        <f t="shared" si="29"/>
        <v>COLUNA I</v>
      </c>
    </row>
    <row r="952" spans="1:17" x14ac:dyDescent="0.25">
      <c r="A952" s="1" t="str">
        <f>_xlfn.XLOOKUP(D952,'Novo relatório'!B:B,'Novo relatório'!C:C,"RESOLVIDO")</f>
        <v>TMS</v>
      </c>
      <c r="C952" t="str">
        <f t="shared" si="28"/>
        <v>PENDENTE</v>
      </c>
      <c r="D952" s="1">
        <v>3297297</v>
      </c>
      <c r="E952" s="1" t="s">
        <v>12</v>
      </c>
      <c r="G952" s="1">
        <v>2946</v>
      </c>
      <c r="H952" s="1">
        <v>2946</v>
      </c>
      <c r="I952" s="1" t="s">
        <v>1609</v>
      </c>
      <c r="J952" s="2">
        <v>45729.509027777778</v>
      </c>
      <c r="L952" s="1" t="s">
        <v>14</v>
      </c>
      <c r="M952" s="1" t="str">
        <f>_xlfn.XLOOKUP(I952,Parâmetros!A:A,Parâmetros!B:B,_xlfn.XLOOKUP(Q952,Parâmetros!F:F,Parâmetros!G:G,"NOVA MENSAGEM"))</f>
        <v>NOVA MENSAGEM</v>
      </c>
      <c r="N952" s="1" t="str">
        <f>_xlfn.XLOOKUP(M952,Parâmetros!K:K,Parâmetros!L:L,"")</f>
        <v/>
      </c>
      <c r="O952" s="1" t="str">
        <f>_xlfn.XLOOKUP(M952,Parâmetros!B:B,Parâmetros!C:C,_xlfn.XLOOKUP(Base!M1000,Parâmetros!G:G,Parâmetros!H:H))</f>
        <v>QUALIDADE DOS DADOS</v>
      </c>
      <c r="P952" s="1" t="e">
        <f>_xlfn.XLOOKUP(I952,Parâmetros!A:A,Parâmetros!D:D,_xlfn.XLOOKUP(Q952,Parâmetros!F:F,Parâmetros!I:I))</f>
        <v>#N/A</v>
      </c>
      <c r="Q952" s="1" t="str">
        <f t="shared" si="29"/>
        <v>COLUNA I</v>
      </c>
    </row>
    <row r="953" spans="1:17" x14ac:dyDescent="0.25">
      <c r="A953" s="1" t="str">
        <f>_xlfn.XLOOKUP(D953,'Novo relatório'!B:B,'Novo relatório'!C:C,"RESOLVIDO")</f>
        <v>SABRE</v>
      </c>
      <c r="C953" t="str">
        <f t="shared" si="28"/>
        <v>PENDENTE</v>
      </c>
      <c r="D953" s="1">
        <v>3297307</v>
      </c>
      <c r="E953" s="1" t="s">
        <v>26</v>
      </c>
      <c r="F953" s="2">
        <v>45729.425000000003</v>
      </c>
      <c r="G953" s="1" t="s">
        <v>1521</v>
      </c>
      <c r="H953" s="1" t="s">
        <v>1522</v>
      </c>
      <c r="I953" s="1" t="s">
        <v>64</v>
      </c>
      <c r="J953" s="2">
        <v>45729.512499999997</v>
      </c>
      <c r="L953" s="1" t="s">
        <v>1244</v>
      </c>
      <c r="M953" s="1" t="str">
        <f>_xlfn.XLOOKUP(I953,Parâmetros!A:A,Parâmetros!B:B,_xlfn.XLOOKUP(Q953,Parâmetros!F:F,Parâmetros!G:G,"NOVA MENSAGEM"))</f>
        <v>FORMATO DE TEXTO</v>
      </c>
      <c r="N953" s="1" t="str">
        <f>_xlfn.XLOOKUP(M953,Parâmetros!K:K,Parâmetros!L:L,"")</f>
        <v>TEXTO FORA DO PADRÃO ACEITO NO CAMPO</v>
      </c>
      <c r="O953" s="1" t="str">
        <f>_xlfn.XLOOKUP(M953,Parâmetros!B:B,Parâmetros!C:C,_xlfn.XLOOKUP(Base!M928,Parâmetros!G:G,Parâmetros!H:H))</f>
        <v>INDEFINIDO</v>
      </c>
      <c r="P953" s="1" t="str">
        <f>_xlfn.XLOOKUP(I953,Parâmetros!A:A,Parâmetros!D:D,_xlfn.XLOOKUP(Q953,Parâmetros!F:F,Parâmetros!I:I))</f>
        <v>SUPORTE OBT</v>
      </c>
      <c r="Q953" s="1" t="str">
        <f t="shared" si="29"/>
        <v>COLUNA I</v>
      </c>
    </row>
    <row r="954" spans="1:17" x14ac:dyDescent="0.25">
      <c r="A954" s="1" t="str">
        <f>_xlfn.XLOOKUP(D954,'Novo relatório'!B:B,'Novo relatório'!C:C,"RESOLVIDO")</f>
        <v>SABRE</v>
      </c>
      <c r="C954" t="str">
        <f t="shared" si="28"/>
        <v>PENDENTE</v>
      </c>
      <c r="D954" s="1">
        <v>3297308</v>
      </c>
      <c r="E954" s="1" t="s">
        <v>26</v>
      </c>
      <c r="F954" s="2">
        <v>45729.425694444442</v>
      </c>
      <c r="G954" s="1" t="s">
        <v>1536</v>
      </c>
      <c r="H954" s="1" t="s">
        <v>1537</v>
      </c>
      <c r="I954" s="1" t="s">
        <v>64</v>
      </c>
      <c r="J954" s="2">
        <v>45729.512499999997</v>
      </c>
      <c r="L954" s="1" t="s">
        <v>1244</v>
      </c>
      <c r="M954" s="1" t="str">
        <f>_xlfn.XLOOKUP(I954,Parâmetros!A:A,Parâmetros!B:B,_xlfn.XLOOKUP(Q954,Parâmetros!F:F,Parâmetros!G:G,"NOVA MENSAGEM"))</f>
        <v>FORMATO DE TEXTO</v>
      </c>
      <c r="N954" s="1" t="str">
        <f>_xlfn.XLOOKUP(M954,Parâmetros!K:K,Parâmetros!L:L,"")</f>
        <v>TEXTO FORA DO PADRÃO ACEITO NO CAMPO</v>
      </c>
      <c r="O954" s="1" t="str">
        <f>_xlfn.XLOOKUP(M954,Parâmetros!B:B,Parâmetros!C:C,_xlfn.XLOOKUP(Base!M940,Parâmetros!G:G,Parâmetros!H:H))</f>
        <v>INDEFINIDO</v>
      </c>
      <c r="P954" s="1" t="str">
        <f>_xlfn.XLOOKUP(I954,Parâmetros!A:A,Parâmetros!D:D,_xlfn.XLOOKUP(Q954,Parâmetros!F:F,Parâmetros!I:I))</f>
        <v>SUPORTE OBT</v>
      </c>
      <c r="Q954" s="1" t="str">
        <f t="shared" si="29"/>
        <v>COLUNA I</v>
      </c>
    </row>
    <row r="955" spans="1:17" x14ac:dyDescent="0.25">
      <c r="A955" s="1" t="str">
        <f>_xlfn.XLOOKUP(D955,'Novo relatório'!B:B,'Novo relatório'!C:C,"RESOLVIDO")</f>
        <v>SABRE</v>
      </c>
      <c r="C955" t="str">
        <f t="shared" si="28"/>
        <v>PENDENTE</v>
      </c>
      <c r="D955" s="1">
        <v>3297309</v>
      </c>
      <c r="E955" s="1" t="s">
        <v>26</v>
      </c>
      <c r="F955" s="2">
        <v>45729.425694444442</v>
      </c>
      <c r="G955" s="1" t="s">
        <v>1516</v>
      </c>
      <c r="H955" s="1" t="s">
        <v>1517</v>
      </c>
      <c r="I955" s="1" t="s">
        <v>64</v>
      </c>
      <c r="J955" s="2">
        <v>45729.512499999997</v>
      </c>
      <c r="L955" s="1" t="s">
        <v>1244</v>
      </c>
      <c r="M955" s="1" t="str">
        <f>_xlfn.XLOOKUP(I955,Parâmetros!A:A,Parâmetros!B:B,_xlfn.XLOOKUP(Q955,Parâmetros!F:F,Parâmetros!G:G,"NOVA MENSAGEM"))</f>
        <v>FORMATO DE TEXTO</v>
      </c>
      <c r="N955" s="1" t="str">
        <f>_xlfn.XLOOKUP(M955,Parâmetros!K:K,Parâmetros!L:L,"")</f>
        <v>TEXTO FORA DO PADRÃO ACEITO NO CAMPO</v>
      </c>
      <c r="O955" s="1" t="str">
        <f>_xlfn.XLOOKUP(M955,Parâmetros!B:B,Parâmetros!C:C,_xlfn.XLOOKUP(Base!M925,Parâmetros!G:G,Parâmetros!H:H))</f>
        <v>INDEFINIDO</v>
      </c>
      <c r="P955" s="1" t="str">
        <f>_xlfn.XLOOKUP(I955,Parâmetros!A:A,Parâmetros!D:D,_xlfn.XLOOKUP(Q955,Parâmetros!F:F,Parâmetros!I:I))</f>
        <v>SUPORTE OBT</v>
      </c>
      <c r="Q955" s="1" t="str">
        <f t="shared" si="29"/>
        <v>COLUNA I</v>
      </c>
    </row>
    <row r="956" spans="1:17" x14ac:dyDescent="0.25">
      <c r="A956" s="1" t="str">
        <f>_xlfn.XLOOKUP(D956,'Novo relatório'!B:B,'Novo relatório'!C:C,"RESOLVIDO")</f>
        <v>SABRE</v>
      </c>
      <c r="C956" t="str">
        <f t="shared" si="28"/>
        <v>PENDENTE</v>
      </c>
      <c r="D956" s="1">
        <v>3297408</v>
      </c>
      <c r="E956" s="1" t="s">
        <v>26</v>
      </c>
      <c r="F956" s="2">
        <v>45729.467361111114</v>
      </c>
      <c r="G956" s="1" t="s">
        <v>1454</v>
      </c>
      <c r="H956" s="1" t="s">
        <v>1455</v>
      </c>
      <c r="I956" s="1" t="s">
        <v>64</v>
      </c>
      <c r="J956" s="2">
        <v>45729.554861111108</v>
      </c>
      <c r="L956" s="1" t="s">
        <v>1244</v>
      </c>
      <c r="M956" s="1" t="str">
        <f>_xlfn.XLOOKUP(I956,Parâmetros!A:A,Parâmetros!B:B,_xlfn.XLOOKUP(Q956,Parâmetros!F:F,Parâmetros!G:G,"NOVA MENSAGEM"))</f>
        <v>FORMATO DE TEXTO</v>
      </c>
      <c r="N956" s="1" t="str">
        <f>_xlfn.XLOOKUP(M956,Parâmetros!K:K,Parâmetros!L:L,"")</f>
        <v>TEXTO FORA DO PADRÃO ACEITO NO CAMPO</v>
      </c>
      <c r="O956" s="1" t="str">
        <f>_xlfn.XLOOKUP(M956,Parâmetros!B:B,Parâmetros!C:C,_xlfn.XLOOKUP(Base!M875,Parâmetros!G:G,Parâmetros!H:H))</f>
        <v>INDEFINIDO</v>
      </c>
      <c r="P956" s="1" t="str">
        <f>_xlfn.XLOOKUP(I956,Parâmetros!A:A,Parâmetros!D:D,_xlfn.XLOOKUP(Q956,Parâmetros!F:F,Parâmetros!I:I))</f>
        <v>SUPORTE OBT</v>
      </c>
      <c r="Q956" s="1" t="str">
        <f t="shared" si="29"/>
        <v>COLUNA I</v>
      </c>
    </row>
    <row r="957" spans="1:17" x14ac:dyDescent="0.25">
      <c r="A957" s="1" t="str">
        <f>_xlfn.XLOOKUP(D957,'Novo relatório'!B:B,'Novo relatório'!C:C,"RESOLVIDO")</f>
        <v>SABRE</v>
      </c>
      <c r="C957" t="str">
        <f t="shared" si="28"/>
        <v>PENDENTE</v>
      </c>
      <c r="D957" s="1">
        <v>3297518</v>
      </c>
      <c r="E957" s="1" t="s">
        <v>26</v>
      </c>
      <c r="F957" s="2">
        <v>45729.509027777778</v>
      </c>
      <c r="G957" s="1" t="s">
        <v>1451</v>
      </c>
      <c r="H957" s="1" t="s">
        <v>1452</v>
      </c>
      <c r="I957" s="1" t="s">
        <v>64</v>
      </c>
      <c r="J957" s="2">
        <v>45729.595833333333</v>
      </c>
      <c r="L957" s="1" t="s">
        <v>1244</v>
      </c>
      <c r="M957" s="1" t="str">
        <f>_xlfn.XLOOKUP(I957,Parâmetros!A:A,Parâmetros!B:B,_xlfn.XLOOKUP(Q957,Parâmetros!F:F,Parâmetros!G:G,"NOVA MENSAGEM"))</f>
        <v>FORMATO DE TEXTO</v>
      </c>
      <c r="N957" s="1" t="str">
        <f>_xlfn.XLOOKUP(M957,Parâmetros!K:K,Parâmetros!L:L,"")</f>
        <v>TEXTO FORA DO PADRÃO ACEITO NO CAMPO</v>
      </c>
      <c r="O957" s="1" t="str">
        <f>_xlfn.XLOOKUP(M957,Parâmetros!B:B,Parâmetros!C:C,_xlfn.XLOOKUP(Base!M873,Parâmetros!G:G,Parâmetros!H:H))</f>
        <v>INDEFINIDO</v>
      </c>
      <c r="P957" s="1" t="str">
        <f>_xlfn.XLOOKUP(I957,Parâmetros!A:A,Parâmetros!D:D,_xlfn.XLOOKUP(Q957,Parâmetros!F:F,Parâmetros!I:I))</f>
        <v>SUPORTE OBT</v>
      </c>
      <c r="Q957" s="1" t="str">
        <f t="shared" si="29"/>
        <v>COLUNA I</v>
      </c>
    </row>
    <row r="958" spans="1:17" x14ac:dyDescent="0.25">
      <c r="A958" s="1" t="str">
        <f>_xlfn.XLOOKUP(D958,'Novo relatório'!B:B,'Novo relatório'!C:C,"RESOLVIDO")</f>
        <v>SABRE</v>
      </c>
      <c r="C958" t="str">
        <f t="shared" si="28"/>
        <v>PENDENTE</v>
      </c>
      <c r="D958" s="1">
        <v>3297519</v>
      </c>
      <c r="E958" s="1" t="s">
        <v>26</v>
      </c>
      <c r="F958" s="2">
        <v>45729.509027777778</v>
      </c>
      <c r="G958" s="1" t="s">
        <v>1464</v>
      </c>
      <c r="H958" s="1" t="s">
        <v>1465</v>
      </c>
      <c r="I958" s="1" t="s">
        <v>64</v>
      </c>
      <c r="J958" s="2">
        <v>45729.595833333333</v>
      </c>
      <c r="L958" s="1" t="s">
        <v>1244</v>
      </c>
      <c r="M958" s="1" t="str">
        <f>_xlfn.XLOOKUP(I958,Parâmetros!A:A,Parâmetros!B:B,_xlfn.XLOOKUP(Q958,Parâmetros!F:F,Parâmetros!G:G,"NOVA MENSAGEM"))</f>
        <v>FORMATO DE TEXTO</v>
      </c>
      <c r="N958" s="1" t="str">
        <f>_xlfn.XLOOKUP(M958,Parâmetros!K:K,Parâmetros!L:L,"")</f>
        <v>TEXTO FORA DO PADRÃO ACEITO NO CAMPO</v>
      </c>
      <c r="O958" s="1" t="str">
        <f>_xlfn.XLOOKUP(M958,Parâmetros!B:B,Parâmetros!C:C,_xlfn.XLOOKUP(Base!M881,Parâmetros!G:G,Parâmetros!H:H))</f>
        <v>INDEFINIDO</v>
      </c>
      <c r="P958" s="1" t="str">
        <f>_xlfn.XLOOKUP(I958,Parâmetros!A:A,Parâmetros!D:D,_xlfn.XLOOKUP(Q958,Parâmetros!F:F,Parâmetros!I:I))</f>
        <v>SUPORTE OBT</v>
      </c>
      <c r="Q958" s="1" t="str">
        <f t="shared" si="29"/>
        <v>COLUNA I</v>
      </c>
    </row>
    <row r="959" spans="1:17" x14ac:dyDescent="0.25">
      <c r="A959" s="1" t="str">
        <f>_xlfn.XLOOKUP(D959,'Novo relatório'!B:B,'Novo relatório'!C:C,"RESOLVIDO")</f>
        <v>SABRE</v>
      </c>
      <c r="C959" t="str">
        <f t="shared" si="28"/>
        <v>PENDENTE</v>
      </c>
      <c r="D959" s="1">
        <v>3298613</v>
      </c>
      <c r="E959" s="1" t="s">
        <v>26</v>
      </c>
      <c r="F959" s="2">
        <v>45729.575694444444</v>
      </c>
      <c r="G959" s="1" t="s">
        <v>1478</v>
      </c>
      <c r="H959" s="1" t="s">
        <v>1478</v>
      </c>
      <c r="I959" s="1" t="s">
        <v>1215</v>
      </c>
      <c r="J959" s="2">
        <v>45729.668749999997</v>
      </c>
      <c r="L959" s="1" t="s">
        <v>18</v>
      </c>
      <c r="M959" s="1" t="str">
        <f>_xlfn.XLOOKUP(I959,Parâmetros!A:A,Parâmetros!B:B,_xlfn.XLOOKUP(Q959,Parâmetros!F:F,Parâmetros!G:G,"NOVA MENSAGEM"))</f>
        <v>CÓD. CLIENTE DIVERGENTE</v>
      </c>
      <c r="N959" s="1" t="str">
        <f>_xlfn.XLOOKUP(M959,Parâmetros!K:K,Parâmetros!L:L,"")</f>
        <v>CÓDIGO DIFERENTE DO CADASTRADO NO BENNER (CLIENTE X GRUPO)</v>
      </c>
      <c r="O959" s="1" t="str">
        <f>_xlfn.XLOOKUP(M959,Parâmetros!B:B,Parâmetros!C:C,_xlfn.XLOOKUP(Base!M892,Parâmetros!G:G,Parâmetros!H:H))</f>
        <v>QUALIDADE DOS DADOS</v>
      </c>
      <c r="P959" s="1" t="str">
        <f>_xlfn.XLOOKUP(I959,Parâmetros!A:A,Parâmetros!D:D,_xlfn.XLOOKUP(Q959,Parâmetros!F:F,Parâmetros!I:I))</f>
        <v>SUPORTE OBT</v>
      </c>
      <c r="Q959" s="1">
        <f t="shared" si="29"/>
        <v>1</v>
      </c>
    </row>
    <row r="960" spans="1:17" x14ac:dyDescent="0.25">
      <c r="A960" s="1" t="str">
        <f>_xlfn.XLOOKUP(D960,'Novo relatório'!B:B,'Novo relatório'!C:C,"RESOLVIDO")</f>
        <v>SABRE</v>
      </c>
      <c r="C960" t="str">
        <f t="shared" si="28"/>
        <v>PENDENTE</v>
      </c>
      <c r="D960" s="1">
        <v>3298614</v>
      </c>
      <c r="E960" s="1" t="s">
        <v>26</v>
      </c>
      <c r="F960" s="2">
        <v>45729.575694444444</v>
      </c>
      <c r="G960" s="1" t="s">
        <v>1479</v>
      </c>
      <c r="H960" s="1" t="s">
        <v>1478</v>
      </c>
      <c r="I960" s="1" t="s">
        <v>1216</v>
      </c>
      <c r="J960" s="2">
        <v>45729.668749999997</v>
      </c>
      <c r="L960" s="1" t="s">
        <v>18</v>
      </c>
      <c r="M960" s="1" t="str">
        <f>_xlfn.XLOOKUP(I960,Parâmetros!A:A,Parâmetros!B:B,_xlfn.XLOOKUP(Q960,Parâmetros!F:F,Parâmetros!G:G,"NOVA MENSAGEM"))</f>
        <v>CÓD. CLIENTE DIVERGENTE</v>
      </c>
      <c r="N960" s="1" t="str">
        <f>_xlfn.XLOOKUP(M960,Parâmetros!K:K,Parâmetros!L:L,"")</f>
        <v>CÓDIGO DIFERENTE DO CADASTRADO NO BENNER (CLIENTE X GRUPO)</v>
      </c>
      <c r="O960" s="1" t="str">
        <f>_xlfn.XLOOKUP(M960,Parâmetros!B:B,Parâmetros!C:C,_xlfn.XLOOKUP(Base!M893,Parâmetros!G:G,Parâmetros!H:H))</f>
        <v>QUALIDADE DOS DADOS</v>
      </c>
      <c r="P960" s="1" t="str">
        <f>_xlfn.XLOOKUP(I960,Parâmetros!A:A,Parâmetros!D:D,_xlfn.XLOOKUP(Q960,Parâmetros!F:F,Parâmetros!I:I))</f>
        <v>SUPORTE OBT</v>
      </c>
      <c r="Q960" s="1">
        <f t="shared" si="29"/>
        <v>1</v>
      </c>
    </row>
    <row r="961" spans="1:17" x14ac:dyDescent="0.25">
      <c r="A961" s="1" t="str">
        <f>_xlfn.XLOOKUP(D961,'Novo relatório'!B:B,'Novo relatório'!C:C,"RESOLVIDO")</f>
        <v>SABRE</v>
      </c>
      <c r="C961" t="str">
        <f t="shared" si="28"/>
        <v>PENDENTE</v>
      </c>
      <c r="D961" s="1">
        <v>3298864</v>
      </c>
      <c r="E961" s="1" t="s">
        <v>26</v>
      </c>
      <c r="F961" s="2">
        <v>45730.408333333333</v>
      </c>
      <c r="G961" s="1" t="s">
        <v>1603</v>
      </c>
      <c r="H961" s="1" t="s">
        <v>1603</v>
      </c>
      <c r="I961" s="1" t="s">
        <v>1060</v>
      </c>
      <c r="J961" s="2">
        <v>45729.701388888891</v>
      </c>
      <c r="K961" s="2">
        <v>45730.491666666669</v>
      </c>
      <c r="L961" s="1" t="s">
        <v>18</v>
      </c>
      <c r="M961" s="1" t="str">
        <f>_xlfn.XLOOKUP(I961,Parâmetros!A:A,Parâmetros!B:B,_xlfn.XLOOKUP(Q961,Parâmetros!F:F,Parâmetros!G:G,"NOVA MENSAGEM"))</f>
        <v>CÓD. CLIENTE DIVERGENTE</v>
      </c>
      <c r="N961" s="1" t="str">
        <f>_xlfn.XLOOKUP(M961,Parâmetros!K:K,Parâmetros!L:L,"")</f>
        <v>CÓDIGO DIFERENTE DO CADASTRADO NO BENNER (CLIENTE X GRUPO)</v>
      </c>
      <c r="O961" s="1" t="str">
        <f>_xlfn.XLOOKUP(M961,Parâmetros!B:B,Parâmetros!C:C,_xlfn.XLOOKUP(Base!M992,Parâmetros!G:G,Parâmetros!H:H))</f>
        <v>QUALIDADE DOS DADOS</v>
      </c>
      <c r="P961" s="1" t="str">
        <f>_xlfn.XLOOKUP(I961,Parâmetros!A:A,Parâmetros!D:D,_xlfn.XLOOKUP(Q961,Parâmetros!F:F,Parâmetros!I:I))</f>
        <v>SUPORTE OBT</v>
      </c>
      <c r="Q961" s="1">
        <f t="shared" si="29"/>
        <v>1</v>
      </c>
    </row>
    <row r="962" spans="1:17" x14ac:dyDescent="0.25">
      <c r="A962" s="1" t="str">
        <f>_xlfn.XLOOKUP(D962,'Novo relatório'!B:B,'Novo relatório'!C:C,"RESOLVIDO")</f>
        <v>SABRE</v>
      </c>
      <c r="C962" t="str">
        <f t="shared" ref="C962:C1025" si="30">IF(A962="RESOLVIDO","RESOLVIDO",IF(B962="","PENDENTE",IF(LEFT(B962,7)="CHAMADO","AGUARDANDO FORNECEDOR",IF(B962="CONTABILIZAR","CONTABILIZAR NO PORTAL"))))</f>
        <v>PENDENTE</v>
      </c>
      <c r="D962" s="1">
        <v>3299217</v>
      </c>
      <c r="E962" s="1" t="s">
        <v>26</v>
      </c>
      <c r="F962" s="2">
        <v>45729.665277777778</v>
      </c>
      <c r="G962" s="1" t="s">
        <v>1443</v>
      </c>
      <c r="H962" s="1" t="s">
        <v>1444</v>
      </c>
      <c r="I962" s="1" t="s">
        <v>64</v>
      </c>
      <c r="J962" s="2">
        <v>45729.752083333333</v>
      </c>
      <c r="L962" s="1" t="s">
        <v>1244</v>
      </c>
      <c r="M962" s="1" t="str">
        <f>_xlfn.XLOOKUP(I962,Parâmetros!A:A,Parâmetros!B:B,_xlfn.XLOOKUP(Q962,Parâmetros!F:F,Parâmetros!G:G,"NOVA MENSAGEM"))</f>
        <v>FORMATO DE TEXTO</v>
      </c>
      <c r="N962" s="1" t="str">
        <f>_xlfn.XLOOKUP(M962,Parâmetros!K:K,Parâmetros!L:L,"")</f>
        <v>TEXTO FORA DO PADRÃO ACEITO NO CAMPO</v>
      </c>
      <c r="O962" s="1" t="str">
        <f>_xlfn.XLOOKUP(M962,Parâmetros!B:B,Parâmetros!C:C,_xlfn.XLOOKUP(Base!M866,Parâmetros!G:G,Parâmetros!H:H))</f>
        <v>INDEFINIDO</v>
      </c>
      <c r="P962" s="1" t="str">
        <f>_xlfn.XLOOKUP(I962,Parâmetros!A:A,Parâmetros!D:D,_xlfn.XLOOKUP(Q962,Parâmetros!F:F,Parâmetros!I:I))</f>
        <v>SUPORTE OBT</v>
      </c>
      <c r="Q962" s="1" t="str">
        <f t="shared" ref="Q962:Q1025" si="31">IFERROR(FIND("Não foi possível localizar o contrato do fornecedor",I962),IFERROR(FIND("veículo",I962),IFERROR(FIND("agagem",I962),IFERROR(FIND("error in XML document",I962),IFERROR(FIND("Não localizado cliente código",I962),IFERROR(FIND("lemontech",I962),IFERROR(FIND("&gt;Fornecedor com o",I962),IFERROR(FIND("INSERT",I962),IFERROR(FIND("com CNPJ",I962),IFERROR(FIND("Consultando Agente-&gt; O agente",I962),IFERROR(FIND("Não foi possível determinar a validade do cartão, favor verificar os dados do cartão",I962),"COLUNA I")))))))))))</f>
        <v>COLUNA I</v>
      </c>
    </row>
    <row r="963" spans="1:17" x14ac:dyDescent="0.25">
      <c r="A963" s="1" t="str">
        <f>_xlfn.XLOOKUP(D963,'Novo relatório'!B:B,'Novo relatório'!C:C,"RESOLVIDO")</f>
        <v>SABRE</v>
      </c>
      <c r="C963" t="str">
        <f t="shared" si="30"/>
        <v>PENDENTE</v>
      </c>
      <c r="D963" s="1">
        <v>3299220</v>
      </c>
      <c r="E963" s="1" t="s">
        <v>26</v>
      </c>
      <c r="F963" s="2">
        <v>45729.665972222225</v>
      </c>
      <c r="G963" s="1" t="s">
        <v>1379</v>
      </c>
      <c r="H963" s="1" t="s">
        <v>1380</v>
      </c>
      <c r="I963" s="1" t="s">
        <v>64</v>
      </c>
      <c r="J963" s="2">
        <v>45729.752083333333</v>
      </c>
      <c r="L963" s="1" t="s">
        <v>1244</v>
      </c>
      <c r="M963" s="1" t="str">
        <f>_xlfn.XLOOKUP(I963,Parâmetros!A:A,Parâmetros!B:B,_xlfn.XLOOKUP(Q963,Parâmetros!F:F,Parâmetros!G:G,"NOVA MENSAGEM"))</f>
        <v>FORMATO DE TEXTO</v>
      </c>
      <c r="N963" s="1" t="str">
        <f>_xlfn.XLOOKUP(M963,Parâmetros!K:K,Parâmetros!L:L,"")</f>
        <v>TEXTO FORA DO PADRÃO ACEITO NO CAMPO</v>
      </c>
      <c r="O963" s="1" t="str">
        <f>_xlfn.XLOOKUP(M963,Parâmetros!B:B,Parâmetros!C:C,_xlfn.XLOOKUP(Base!M816,Parâmetros!G:G,Parâmetros!H:H))</f>
        <v>INDEFINIDO</v>
      </c>
      <c r="P963" s="1" t="str">
        <f>_xlfn.XLOOKUP(I963,Parâmetros!A:A,Parâmetros!D:D,_xlfn.XLOOKUP(Q963,Parâmetros!F:F,Parâmetros!I:I))</f>
        <v>SUPORTE OBT</v>
      </c>
      <c r="Q963" s="1" t="str">
        <f t="shared" si="31"/>
        <v>COLUNA I</v>
      </c>
    </row>
    <row r="964" spans="1:17" x14ac:dyDescent="0.25">
      <c r="A964" s="1" t="str">
        <f>_xlfn.XLOOKUP(D964,'Novo relatório'!B:B,'Novo relatório'!C:C,"RESOLVIDO")</f>
        <v>SABRE</v>
      </c>
      <c r="C964" t="str">
        <f t="shared" si="30"/>
        <v>PENDENTE</v>
      </c>
      <c r="D964" s="1">
        <v>3299223</v>
      </c>
      <c r="E964" s="1" t="s">
        <v>26</v>
      </c>
      <c r="F964" s="2">
        <v>45729.665972222225</v>
      </c>
      <c r="G964" s="1" t="s">
        <v>1412</v>
      </c>
      <c r="H964" s="1" t="s">
        <v>1413</v>
      </c>
      <c r="I964" s="1" t="s">
        <v>64</v>
      </c>
      <c r="J964" s="2">
        <v>45729.75277777778</v>
      </c>
      <c r="L964" s="1" t="s">
        <v>1244</v>
      </c>
      <c r="M964" s="1" t="str">
        <f>_xlfn.XLOOKUP(I964,Parâmetros!A:A,Parâmetros!B:B,_xlfn.XLOOKUP(Q964,Parâmetros!F:F,Parâmetros!G:G,"NOVA MENSAGEM"))</f>
        <v>FORMATO DE TEXTO</v>
      </c>
      <c r="N964" s="1" t="str">
        <f>_xlfn.XLOOKUP(M964,Parâmetros!K:K,Parâmetros!L:L,"")</f>
        <v>TEXTO FORA DO PADRÃO ACEITO NO CAMPO</v>
      </c>
      <c r="O964" s="1" t="str">
        <f>_xlfn.XLOOKUP(M964,Parâmetros!B:B,Parâmetros!C:C,_xlfn.XLOOKUP(Base!M839,Parâmetros!G:G,Parâmetros!H:H))</f>
        <v>INDEFINIDO</v>
      </c>
      <c r="P964" s="1" t="str">
        <f>_xlfn.XLOOKUP(I964,Parâmetros!A:A,Parâmetros!D:D,_xlfn.XLOOKUP(Q964,Parâmetros!F:F,Parâmetros!I:I))</f>
        <v>SUPORTE OBT</v>
      </c>
      <c r="Q964" s="1" t="str">
        <f t="shared" si="31"/>
        <v>COLUNA I</v>
      </c>
    </row>
    <row r="965" spans="1:17" x14ac:dyDescent="0.25">
      <c r="A965" s="1" t="str">
        <f>_xlfn.XLOOKUP(D965,'Novo relatório'!B:B,'Novo relatório'!C:C,"RESOLVIDO")</f>
        <v>SABRE</v>
      </c>
      <c r="C965" t="str">
        <f t="shared" si="30"/>
        <v>PENDENTE</v>
      </c>
      <c r="D965" s="1">
        <v>3299224</v>
      </c>
      <c r="E965" s="1" t="s">
        <v>26</v>
      </c>
      <c r="F965" s="2">
        <v>45729.665972222225</v>
      </c>
      <c r="G965" s="1" t="s">
        <v>1541</v>
      </c>
      <c r="H965" s="1" t="s">
        <v>1542</v>
      </c>
      <c r="I965" s="1" t="s">
        <v>64</v>
      </c>
      <c r="J965" s="2">
        <v>45729.75277777778</v>
      </c>
      <c r="L965" s="1" t="s">
        <v>1244</v>
      </c>
      <c r="M965" s="1" t="str">
        <f>_xlfn.XLOOKUP(I965,Parâmetros!A:A,Parâmetros!B:B,_xlfn.XLOOKUP(Q965,Parâmetros!F:F,Parâmetros!G:G,"NOVA MENSAGEM"))</f>
        <v>FORMATO DE TEXTO</v>
      </c>
      <c r="N965" s="1" t="str">
        <f>_xlfn.XLOOKUP(M965,Parâmetros!K:K,Parâmetros!L:L,"")</f>
        <v>TEXTO FORA DO PADRÃO ACEITO NO CAMPO</v>
      </c>
      <c r="O965" s="1" t="str">
        <f>_xlfn.XLOOKUP(M965,Parâmetros!B:B,Parâmetros!C:C,_xlfn.XLOOKUP(Base!M944,Parâmetros!G:G,Parâmetros!H:H))</f>
        <v>INDEFINIDO</v>
      </c>
      <c r="P965" s="1" t="str">
        <f>_xlfn.XLOOKUP(I965,Parâmetros!A:A,Parâmetros!D:D,_xlfn.XLOOKUP(Q965,Parâmetros!F:F,Parâmetros!I:I))</f>
        <v>SUPORTE OBT</v>
      </c>
      <c r="Q965" s="1" t="str">
        <f t="shared" si="31"/>
        <v>COLUNA I</v>
      </c>
    </row>
    <row r="966" spans="1:17" x14ac:dyDescent="0.25">
      <c r="A966" s="1" t="str">
        <f>_xlfn.XLOOKUP(D966,'Novo relatório'!B:B,'Novo relatório'!C:C,"RESOLVIDO")</f>
        <v>SABRE</v>
      </c>
      <c r="C966" t="str">
        <f t="shared" si="30"/>
        <v>PENDENTE</v>
      </c>
      <c r="D966" s="1">
        <v>3299532</v>
      </c>
      <c r="E966" s="1" t="s">
        <v>26</v>
      </c>
      <c r="F966" s="2">
        <v>45729.705555555556</v>
      </c>
      <c r="G966" s="1" t="s">
        <v>1546</v>
      </c>
      <c r="H966" s="1" t="s">
        <v>1547</v>
      </c>
      <c r="I966" s="1" t="s">
        <v>64</v>
      </c>
      <c r="J966" s="2">
        <v>45729.794444444444</v>
      </c>
      <c r="L966" s="1" t="s">
        <v>1244</v>
      </c>
      <c r="M966" s="1" t="str">
        <f>_xlfn.XLOOKUP(I966,Parâmetros!A:A,Parâmetros!B:B,_xlfn.XLOOKUP(Q966,Parâmetros!F:F,Parâmetros!G:G,"NOVA MENSAGEM"))</f>
        <v>FORMATO DE TEXTO</v>
      </c>
      <c r="N966" s="1" t="str">
        <f>_xlfn.XLOOKUP(M966,Parâmetros!K:K,Parâmetros!L:L,"")</f>
        <v>TEXTO FORA DO PADRÃO ACEITO NO CAMPO</v>
      </c>
      <c r="O966" s="1" t="str">
        <f>_xlfn.XLOOKUP(M966,Parâmetros!B:B,Parâmetros!C:C,_xlfn.XLOOKUP(Base!M947,Parâmetros!G:G,Parâmetros!H:H))</f>
        <v>INDEFINIDO</v>
      </c>
      <c r="P966" s="1" t="str">
        <f>_xlfn.XLOOKUP(I966,Parâmetros!A:A,Parâmetros!D:D,_xlfn.XLOOKUP(Q966,Parâmetros!F:F,Parâmetros!I:I))</f>
        <v>SUPORTE OBT</v>
      </c>
      <c r="Q966" s="1" t="str">
        <f t="shared" si="31"/>
        <v>COLUNA I</v>
      </c>
    </row>
    <row r="967" spans="1:17" x14ac:dyDescent="0.25">
      <c r="A967" s="1" t="str">
        <f>_xlfn.XLOOKUP(D967,'Novo relatório'!B:B,'Novo relatório'!C:C,"RESOLVIDO")</f>
        <v>SABRE</v>
      </c>
      <c r="C967" t="str">
        <f t="shared" si="30"/>
        <v>PENDENTE</v>
      </c>
      <c r="D967" s="1">
        <v>3299810</v>
      </c>
      <c r="E967" s="1" t="s">
        <v>26</v>
      </c>
      <c r="F967" s="2">
        <v>45730.561111111114</v>
      </c>
      <c r="G967" s="1" t="s">
        <v>1582</v>
      </c>
      <c r="H967" s="1" t="s">
        <v>1582</v>
      </c>
      <c r="I967" s="1" t="s">
        <v>1189</v>
      </c>
      <c r="J967" s="2">
        <v>45729.856944444444</v>
      </c>
      <c r="K967" s="2">
        <v>45730.649305555555</v>
      </c>
      <c r="L967" s="1" t="s">
        <v>18</v>
      </c>
      <c r="M967" s="1" t="str">
        <f>_xlfn.XLOOKUP(I967,Parâmetros!A:A,Parâmetros!B:B,_xlfn.XLOOKUP(Q967,Parâmetros!F:F,Parâmetros!G:G,"NOVA MENSAGEM"))</f>
        <v>CÓD. CLIENTE DIVERGENTE</v>
      </c>
      <c r="N967" s="1" t="str">
        <f>_xlfn.XLOOKUP(M967,Parâmetros!K:K,Parâmetros!L:L,"")</f>
        <v>CÓDIGO DIFERENTE DO CADASTRADO NO BENNER (CLIENTE X GRUPO)</v>
      </c>
      <c r="O967" s="1" t="str">
        <f>_xlfn.XLOOKUP(M967,Parâmetros!B:B,Parâmetros!C:C,_xlfn.XLOOKUP(Base!M976,Parâmetros!G:G,Parâmetros!H:H))</f>
        <v>QUALIDADE DOS DADOS</v>
      </c>
      <c r="P967" s="1" t="str">
        <f>_xlfn.XLOOKUP(I967,Parâmetros!A:A,Parâmetros!D:D,_xlfn.XLOOKUP(Q967,Parâmetros!F:F,Parâmetros!I:I))</f>
        <v>SUPORTE OBT</v>
      </c>
      <c r="Q967" s="1">
        <f t="shared" si="31"/>
        <v>1</v>
      </c>
    </row>
    <row r="968" spans="1:17" x14ac:dyDescent="0.25">
      <c r="A968" s="1" t="str">
        <f>_xlfn.XLOOKUP(D968,'Novo relatório'!B:B,'Novo relatório'!C:C,"RESOLVIDO")</f>
        <v>SABRE</v>
      </c>
      <c r="C968" t="str">
        <f t="shared" si="30"/>
        <v>PENDENTE</v>
      </c>
      <c r="D968" s="1">
        <v>3299813</v>
      </c>
      <c r="E968" s="1" t="s">
        <v>26</v>
      </c>
      <c r="F968" s="2">
        <v>45730.561111111114</v>
      </c>
      <c r="G968" s="1" t="s">
        <v>1562</v>
      </c>
      <c r="H968" s="1" t="s">
        <v>1562</v>
      </c>
      <c r="I968" s="1" t="s">
        <v>1189</v>
      </c>
      <c r="J968" s="2">
        <v>45729.857638888891</v>
      </c>
      <c r="K968" s="2">
        <v>45730.649305555555</v>
      </c>
      <c r="L968" s="1" t="s">
        <v>18</v>
      </c>
      <c r="M968" s="1" t="str">
        <f>_xlfn.XLOOKUP(I968,Parâmetros!A:A,Parâmetros!B:B,_xlfn.XLOOKUP(Q968,Parâmetros!F:F,Parâmetros!G:G,"NOVA MENSAGEM"))</f>
        <v>CÓD. CLIENTE DIVERGENTE</v>
      </c>
      <c r="N968" s="1" t="str">
        <f>_xlfn.XLOOKUP(M968,Parâmetros!K:K,Parâmetros!L:L,"")</f>
        <v>CÓDIGO DIFERENTE DO CADASTRADO NO BENNER (CLIENTE X GRUPO)</v>
      </c>
      <c r="O968" s="1" t="str">
        <f>_xlfn.XLOOKUP(M968,Parâmetros!B:B,Parâmetros!C:C,_xlfn.XLOOKUP(Base!M959,Parâmetros!G:G,Parâmetros!H:H))</f>
        <v>QUALIDADE DOS DADOS</v>
      </c>
      <c r="P968" s="1" t="str">
        <f>_xlfn.XLOOKUP(I968,Parâmetros!A:A,Parâmetros!D:D,_xlfn.XLOOKUP(Q968,Parâmetros!F:F,Parâmetros!I:I))</f>
        <v>SUPORTE OBT</v>
      </c>
      <c r="Q968" s="1">
        <f t="shared" si="31"/>
        <v>1</v>
      </c>
    </row>
    <row r="969" spans="1:17" x14ac:dyDescent="0.25">
      <c r="A969" s="1" t="str">
        <f>_xlfn.XLOOKUP(D969,'Novo relatório'!B:B,'Novo relatório'!C:C,"RESOLVIDO")</f>
        <v>SABRE</v>
      </c>
      <c r="C969" t="str">
        <f t="shared" si="30"/>
        <v>PENDENTE</v>
      </c>
      <c r="D969" s="1">
        <v>3299815</v>
      </c>
      <c r="E969" s="1" t="s">
        <v>26</v>
      </c>
      <c r="F969" s="2">
        <v>45729.765277777777</v>
      </c>
      <c r="G969" s="1" t="s">
        <v>1540</v>
      </c>
      <c r="H969" s="1" t="s">
        <v>1540</v>
      </c>
      <c r="I969" s="1" t="s">
        <v>83</v>
      </c>
      <c r="J969" s="2">
        <v>45729.85833333333</v>
      </c>
      <c r="L969" s="1" t="s">
        <v>18</v>
      </c>
      <c r="M969" s="1" t="str">
        <f>_xlfn.XLOOKUP(I969,Parâmetros!A:A,Parâmetros!B:B,_xlfn.XLOOKUP(Q969,Parâmetros!F:F,Parâmetros!G:G,"NOVA MENSAGEM"))</f>
        <v>CLIENTE NÃO IDENTIFICADO</v>
      </c>
      <c r="N969" s="1" t="str">
        <f>_xlfn.XLOOKUP(M969,Parâmetros!K:K,Parâmetros!L:L,"")</f>
        <v>DK DE CLIENTE NÃO PREENCIDO / CLIENTE NÃO CONFIGURADO NO OBT</v>
      </c>
      <c r="O969" s="1" t="str">
        <f>_xlfn.XLOOKUP(M969,Parâmetros!B:B,Parâmetros!C:C,_xlfn.XLOOKUP(Base!M943,Parâmetros!G:G,Parâmetros!H:H))</f>
        <v>INDEFINIDO</v>
      </c>
      <c r="P969" s="1" t="str">
        <f>_xlfn.XLOOKUP(I969,Parâmetros!A:A,Parâmetros!D:D,_xlfn.XLOOKUP(Q969,Parâmetros!F:F,Parâmetros!I:I))</f>
        <v>OPERAÇÕES / SUPORTE KCS</v>
      </c>
      <c r="Q969" s="1" t="str">
        <f t="shared" si="31"/>
        <v>COLUNA I</v>
      </c>
    </row>
    <row r="970" spans="1:17" x14ac:dyDescent="0.25">
      <c r="A970" s="1" t="str">
        <f>_xlfn.XLOOKUP(D970,'Novo relatório'!B:B,'Novo relatório'!C:C,"RESOLVIDO")</f>
        <v>SABRE</v>
      </c>
      <c r="C970" t="str">
        <f t="shared" si="30"/>
        <v>PENDENTE</v>
      </c>
      <c r="D970" s="1">
        <v>3299818</v>
      </c>
      <c r="E970" s="1" t="s">
        <v>26</v>
      </c>
      <c r="F970" s="2">
        <v>45729.765277777777</v>
      </c>
      <c r="G970" s="1" t="s">
        <v>1474</v>
      </c>
      <c r="H970" s="1" t="s">
        <v>1474</v>
      </c>
      <c r="I970" s="1" t="s">
        <v>83</v>
      </c>
      <c r="J970" s="2">
        <v>45729.86041666667</v>
      </c>
      <c r="L970" s="1" t="s">
        <v>18</v>
      </c>
      <c r="M970" s="1" t="str">
        <f>_xlfn.XLOOKUP(I970,Parâmetros!A:A,Parâmetros!B:B,_xlfn.XLOOKUP(Q970,Parâmetros!F:F,Parâmetros!G:G,"NOVA MENSAGEM"))</f>
        <v>CLIENTE NÃO IDENTIFICADO</v>
      </c>
      <c r="N970" s="1" t="str">
        <f>_xlfn.XLOOKUP(M970,Parâmetros!K:K,Parâmetros!L:L,"")</f>
        <v>DK DE CLIENTE NÃO PREENCIDO / CLIENTE NÃO CONFIGURADO NO OBT</v>
      </c>
      <c r="O970" s="1" t="str">
        <f>_xlfn.XLOOKUP(M970,Parâmetros!B:B,Parâmetros!C:C,_xlfn.XLOOKUP(Base!M888,Parâmetros!G:G,Parâmetros!H:H))</f>
        <v>INDEFINIDO</v>
      </c>
      <c r="P970" s="1" t="str">
        <f>_xlfn.XLOOKUP(I970,Parâmetros!A:A,Parâmetros!D:D,_xlfn.XLOOKUP(Q970,Parâmetros!F:F,Parâmetros!I:I))</f>
        <v>OPERAÇÕES / SUPORTE KCS</v>
      </c>
      <c r="Q970" s="1" t="str">
        <f t="shared" si="31"/>
        <v>COLUNA I</v>
      </c>
    </row>
    <row r="971" spans="1:17" x14ac:dyDescent="0.25">
      <c r="A971" s="1" t="str">
        <f>_xlfn.XLOOKUP(D971,'Novo relatório'!B:B,'Novo relatório'!C:C,"RESOLVIDO")</f>
        <v>SABRE</v>
      </c>
      <c r="C971" t="str">
        <f t="shared" si="30"/>
        <v>PENDENTE</v>
      </c>
      <c r="D971" s="1">
        <v>3299829</v>
      </c>
      <c r="E971" s="1" t="s">
        <v>26</v>
      </c>
      <c r="F971" s="2">
        <v>45729.765277777777</v>
      </c>
      <c r="G971" s="1" t="s">
        <v>1466</v>
      </c>
      <c r="H971" s="1" t="s">
        <v>1466</v>
      </c>
      <c r="I971" s="1" t="s">
        <v>1060</v>
      </c>
      <c r="J971" s="2">
        <v>45729.862500000003</v>
      </c>
      <c r="L971" s="1" t="s">
        <v>18</v>
      </c>
      <c r="M971" s="1" t="str">
        <f>_xlfn.XLOOKUP(I971,Parâmetros!A:A,Parâmetros!B:B,_xlfn.XLOOKUP(Q971,Parâmetros!F:F,Parâmetros!G:G,"NOVA MENSAGEM"))</f>
        <v>CÓD. CLIENTE DIVERGENTE</v>
      </c>
      <c r="N971" s="1" t="str">
        <f>_xlfn.XLOOKUP(M971,Parâmetros!K:K,Parâmetros!L:L,"")</f>
        <v>CÓDIGO DIFERENTE DO CADASTRADO NO BENNER (CLIENTE X GRUPO)</v>
      </c>
      <c r="O971" s="1" t="str">
        <f>_xlfn.XLOOKUP(M971,Parâmetros!B:B,Parâmetros!C:C,_xlfn.XLOOKUP(Base!M882,Parâmetros!G:G,Parâmetros!H:H))</f>
        <v>QUALIDADE DOS DADOS</v>
      </c>
      <c r="P971" s="1" t="str">
        <f>_xlfn.XLOOKUP(I971,Parâmetros!A:A,Parâmetros!D:D,_xlfn.XLOOKUP(Q971,Parâmetros!F:F,Parâmetros!I:I))</f>
        <v>SUPORTE OBT</v>
      </c>
      <c r="Q971" s="1">
        <f t="shared" si="31"/>
        <v>1</v>
      </c>
    </row>
    <row r="972" spans="1:17" x14ac:dyDescent="0.25">
      <c r="A972" s="1" t="str">
        <f>_xlfn.XLOOKUP(D972,'Novo relatório'!B:B,'Novo relatório'!C:C,"RESOLVIDO")</f>
        <v>SABRE</v>
      </c>
      <c r="C972" t="str">
        <f t="shared" si="30"/>
        <v>PENDENTE</v>
      </c>
      <c r="D972" s="1">
        <v>3299830</v>
      </c>
      <c r="E972" s="1" t="s">
        <v>26</v>
      </c>
      <c r="F972" s="2">
        <v>45730.575694444444</v>
      </c>
      <c r="G972" s="1" t="s">
        <v>1381</v>
      </c>
      <c r="H972" s="1" t="s">
        <v>1381</v>
      </c>
      <c r="I972" s="1" t="s">
        <v>1060</v>
      </c>
      <c r="J972" s="2">
        <v>45729.862500000003</v>
      </c>
      <c r="K972" s="2">
        <v>45730.668749999997</v>
      </c>
      <c r="L972" s="1" t="s">
        <v>18</v>
      </c>
      <c r="M972" s="1" t="str">
        <f>_xlfn.XLOOKUP(I972,Parâmetros!A:A,Parâmetros!B:B,_xlfn.XLOOKUP(Q972,Parâmetros!F:F,Parâmetros!G:G,"NOVA MENSAGEM"))</f>
        <v>CÓD. CLIENTE DIVERGENTE</v>
      </c>
      <c r="N972" s="1" t="str">
        <f>_xlfn.XLOOKUP(M972,Parâmetros!K:K,Parâmetros!L:L,"")</f>
        <v>CÓDIGO DIFERENTE DO CADASTRADO NO BENNER (CLIENTE X GRUPO)</v>
      </c>
      <c r="O972" s="1" t="str">
        <f>_xlfn.XLOOKUP(M972,Parâmetros!B:B,Parâmetros!C:C,_xlfn.XLOOKUP(Base!M817,Parâmetros!G:G,Parâmetros!H:H))</f>
        <v>QUALIDADE DOS DADOS</v>
      </c>
      <c r="P972" s="1" t="str">
        <f>_xlfn.XLOOKUP(I972,Parâmetros!A:A,Parâmetros!D:D,_xlfn.XLOOKUP(Q972,Parâmetros!F:F,Parâmetros!I:I))</f>
        <v>SUPORTE OBT</v>
      </c>
      <c r="Q972" s="1">
        <f t="shared" si="31"/>
        <v>1</v>
      </c>
    </row>
    <row r="973" spans="1:17" x14ac:dyDescent="0.25">
      <c r="A973" s="1" t="str">
        <f>_xlfn.XLOOKUP(D973,'Novo relatório'!B:B,'Novo relatório'!C:C,"RESOLVIDO")</f>
        <v>SABRE</v>
      </c>
      <c r="C973" t="str">
        <f t="shared" si="30"/>
        <v>PENDENTE</v>
      </c>
      <c r="D973" s="1">
        <v>3299831</v>
      </c>
      <c r="E973" s="1" t="s">
        <v>26</v>
      </c>
      <c r="F973" s="2">
        <v>45730.576388888891</v>
      </c>
      <c r="G973" s="1" t="s">
        <v>1450</v>
      </c>
      <c r="H973" s="1" t="s">
        <v>1450</v>
      </c>
      <c r="I973" s="1" t="s">
        <v>1060</v>
      </c>
      <c r="J973" s="2">
        <v>45729.862500000003</v>
      </c>
      <c r="K973" s="2">
        <v>45730.668749999997</v>
      </c>
      <c r="L973" s="1" t="s">
        <v>18</v>
      </c>
      <c r="M973" s="1" t="str">
        <f>_xlfn.XLOOKUP(I973,Parâmetros!A:A,Parâmetros!B:B,_xlfn.XLOOKUP(Q973,Parâmetros!F:F,Parâmetros!G:G,"NOVA MENSAGEM"))</f>
        <v>CÓD. CLIENTE DIVERGENTE</v>
      </c>
      <c r="N973" s="1" t="str">
        <f>_xlfn.XLOOKUP(M973,Parâmetros!K:K,Parâmetros!L:L,"")</f>
        <v>CÓDIGO DIFERENTE DO CADASTRADO NO BENNER (CLIENTE X GRUPO)</v>
      </c>
      <c r="O973" s="1" t="str">
        <f>_xlfn.XLOOKUP(M973,Parâmetros!B:B,Parâmetros!C:C,_xlfn.XLOOKUP(Base!M872,Parâmetros!G:G,Parâmetros!H:H))</f>
        <v>QUALIDADE DOS DADOS</v>
      </c>
      <c r="P973" s="1" t="str">
        <f>_xlfn.XLOOKUP(I973,Parâmetros!A:A,Parâmetros!D:D,_xlfn.XLOOKUP(Q973,Parâmetros!F:F,Parâmetros!I:I))</f>
        <v>SUPORTE OBT</v>
      </c>
      <c r="Q973" s="1">
        <f t="shared" si="31"/>
        <v>1</v>
      </c>
    </row>
    <row r="974" spans="1:17" x14ac:dyDescent="0.25">
      <c r="A974" s="1" t="str">
        <f>_xlfn.XLOOKUP(D974,'Novo relatório'!B:B,'Novo relatório'!C:C,"RESOLVIDO")</f>
        <v>SABRE</v>
      </c>
      <c r="C974" t="str">
        <f t="shared" si="30"/>
        <v>PENDENTE</v>
      </c>
      <c r="D974" s="1">
        <v>3299845</v>
      </c>
      <c r="E974" s="1" t="s">
        <v>26</v>
      </c>
      <c r="F974" s="2">
        <v>45729.765277777777</v>
      </c>
      <c r="G974" s="1" t="s">
        <v>1548</v>
      </c>
      <c r="H974" s="1" t="s">
        <v>1548</v>
      </c>
      <c r="I974" s="1" t="s">
        <v>83</v>
      </c>
      <c r="J974" s="2">
        <v>45729.863888888889</v>
      </c>
      <c r="L974" s="1" t="s">
        <v>18</v>
      </c>
      <c r="M974" s="1" t="str">
        <f>_xlfn.XLOOKUP(I974,Parâmetros!A:A,Parâmetros!B:B,_xlfn.XLOOKUP(Q974,Parâmetros!F:F,Parâmetros!G:G,"NOVA MENSAGEM"))</f>
        <v>CLIENTE NÃO IDENTIFICADO</v>
      </c>
      <c r="N974" s="1" t="str">
        <f>_xlfn.XLOOKUP(M974,Parâmetros!K:K,Parâmetros!L:L,"")</f>
        <v>DK DE CLIENTE NÃO PREENCIDO / CLIENTE NÃO CONFIGURADO NO OBT</v>
      </c>
      <c r="O974" s="1" t="str">
        <f>_xlfn.XLOOKUP(M974,Parâmetros!B:B,Parâmetros!C:C,_xlfn.XLOOKUP(Base!M948,Parâmetros!G:G,Parâmetros!H:H))</f>
        <v>INDEFINIDO</v>
      </c>
      <c r="P974" s="1" t="str">
        <f>_xlfn.XLOOKUP(I974,Parâmetros!A:A,Parâmetros!D:D,_xlfn.XLOOKUP(Q974,Parâmetros!F:F,Parâmetros!I:I))</f>
        <v>OPERAÇÕES / SUPORTE KCS</v>
      </c>
      <c r="Q974" s="1" t="str">
        <f t="shared" si="31"/>
        <v>COLUNA I</v>
      </c>
    </row>
    <row r="975" spans="1:17" x14ac:dyDescent="0.25">
      <c r="A975" s="1" t="str">
        <f>_xlfn.XLOOKUP(D975,'Novo relatório'!B:B,'Novo relatório'!C:C,"RESOLVIDO")</f>
        <v>SABRE</v>
      </c>
      <c r="C975" t="str">
        <f t="shared" si="30"/>
        <v>PENDENTE</v>
      </c>
      <c r="D975" s="1">
        <v>3300259</v>
      </c>
      <c r="E975" s="1" t="s">
        <v>26</v>
      </c>
      <c r="F975" s="2">
        <v>45730.231944444444</v>
      </c>
      <c r="G975" s="1" t="s">
        <v>1382</v>
      </c>
      <c r="H975" s="1" t="s">
        <v>1383</v>
      </c>
      <c r="I975" s="1" t="s">
        <v>1384</v>
      </c>
      <c r="J975" s="2">
        <v>45730.324999999997</v>
      </c>
      <c r="L975" s="1" t="s">
        <v>19</v>
      </c>
      <c r="M975" s="1" t="str">
        <f>_xlfn.XLOOKUP(I975,Parâmetros!A:A,Parâmetros!B:B,_xlfn.XLOOKUP(Q975,Parâmetros!F:F,Parâmetros!G:G,"NOVA MENSAGEM"))</f>
        <v>CONTRATO FORNECEDOR</v>
      </c>
      <c r="N975" s="1" t="str">
        <f>_xlfn.XLOOKUP(M975,Parâmetros!K:K,Parâmetros!L:L,"")</f>
        <v>CONTRATO INATIVO OU DIVERGENTE</v>
      </c>
      <c r="O975" s="1" t="str">
        <f>_xlfn.XLOOKUP(M975,Parâmetros!B:B,Parâmetros!C:C,_xlfn.XLOOKUP(Base!M818,Parâmetros!G:G,Parâmetros!H:H))</f>
        <v>SISTEMA</v>
      </c>
      <c r="P975" s="1" t="str">
        <f>_xlfn.XLOOKUP(I975,Parâmetros!A:A,Parâmetros!D:D,_xlfn.XLOOKUP(Q975,Parâmetros!F:F,Parâmetros!I:I))</f>
        <v>OPERAÇÕES / SUPORTE KCS</v>
      </c>
      <c r="Q975" s="1">
        <f t="shared" si="31"/>
        <v>43</v>
      </c>
    </row>
    <row r="976" spans="1:17" x14ac:dyDescent="0.25">
      <c r="A976" s="1" t="str">
        <f>_xlfn.XLOOKUP(D976,'Novo relatório'!B:B,'Novo relatório'!C:C,"RESOLVIDO")</f>
        <v>SABRE</v>
      </c>
      <c r="C976" t="str">
        <f t="shared" si="30"/>
        <v>PENDENTE</v>
      </c>
      <c r="D976" s="1">
        <v>3300510</v>
      </c>
      <c r="E976" s="1" t="s">
        <v>26</v>
      </c>
      <c r="F976" s="2">
        <v>45730.368750000001</v>
      </c>
      <c r="G976" s="1" t="s">
        <v>1600</v>
      </c>
      <c r="H976" s="1" t="s">
        <v>1601</v>
      </c>
      <c r="I976" s="1" t="s">
        <v>64</v>
      </c>
      <c r="J976" s="2">
        <v>45730.452777777777</v>
      </c>
      <c r="L976" s="1" t="s">
        <v>1244</v>
      </c>
      <c r="M976" s="1" t="str">
        <f>_xlfn.XLOOKUP(I976,Parâmetros!A:A,Parâmetros!B:B,_xlfn.XLOOKUP(Q976,Parâmetros!F:F,Parâmetros!G:G,"NOVA MENSAGEM"))</f>
        <v>FORMATO DE TEXTO</v>
      </c>
      <c r="N976" s="1" t="str">
        <f>_xlfn.XLOOKUP(M976,Parâmetros!K:K,Parâmetros!L:L,"")</f>
        <v>TEXTO FORA DO PADRÃO ACEITO NO CAMPO</v>
      </c>
      <c r="O976" s="1" t="str">
        <f>_xlfn.XLOOKUP(M976,Parâmetros!B:B,Parâmetros!C:C,_xlfn.XLOOKUP(Base!M990,Parâmetros!G:G,Parâmetros!H:H))</f>
        <v>INDEFINIDO</v>
      </c>
      <c r="P976" s="1" t="str">
        <f>_xlfn.XLOOKUP(I976,Parâmetros!A:A,Parâmetros!D:D,_xlfn.XLOOKUP(Q976,Parâmetros!F:F,Parâmetros!I:I))</f>
        <v>SUPORTE OBT</v>
      </c>
      <c r="Q976" s="1" t="str">
        <f t="shared" si="31"/>
        <v>COLUNA I</v>
      </c>
    </row>
    <row r="977" spans="1:17" x14ac:dyDescent="0.25">
      <c r="A977" s="1" t="str">
        <f>_xlfn.XLOOKUP(D977,'Novo relatório'!B:B,'Novo relatório'!C:C,"RESOLVIDO")</f>
        <v>SABRE</v>
      </c>
      <c r="C977" t="str">
        <f t="shared" si="30"/>
        <v>PENDENTE</v>
      </c>
      <c r="D977" s="1">
        <v>3300605</v>
      </c>
      <c r="E977" s="1" t="s">
        <v>26</v>
      </c>
      <c r="F977" s="2">
        <v>45730.369444444441</v>
      </c>
      <c r="G977" s="1" t="s">
        <v>1484</v>
      </c>
      <c r="H977" s="1" t="s">
        <v>1485</v>
      </c>
      <c r="I977" s="1" t="s">
        <v>64</v>
      </c>
      <c r="J977" s="2">
        <v>45730.463888888888</v>
      </c>
      <c r="L977" s="1" t="s">
        <v>1244</v>
      </c>
      <c r="M977" s="1" t="str">
        <f>_xlfn.XLOOKUP(I977,Parâmetros!A:A,Parâmetros!B:B,_xlfn.XLOOKUP(Q977,Parâmetros!F:F,Parâmetros!G:G,"NOVA MENSAGEM"))</f>
        <v>FORMATO DE TEXTO</v>
      </c>
      <c r="N977" s="1" t="str">
        <f>_xlfn.XLOOKUP(M977,Parâmetros!K:K,Parâmetros!L:L,"")</f>
        <v>TEXTO FORA DO PADRÃO ACEITO NO CAMPO</v>
      </c>
      <c r="O977" s="1" t="str">
        <f>_xlfn.XLOOKUP(M977,Parâmetros!B:B,Parâmetros!C:C,_xlfn.XLOOKUP(Base!M898,Parâmetros!G:G,Parâmetros!H:H))</f>
        <v>INDEFINIDO</v>
      </c>
      <c r="P977" s="1" t="str">
        <f>_xlfn.XLOOKUP(I977,Parâmetros!A:A,Parâmetros!D:D,_xlfn.XLOOKUP(Q977,Parâmetros!F:F,Parâmetros!I:I))</f>
        <v>SUPORTE OBT</v>
      </c>
      <c r="Q977" s="1" t="str">
        <f t="shared" si="31"/>
        <v>COLUNA I</v>
      </c>
    </row>
    <row r="978" spans="1:17" x14ac:dyDescent="0.25">
      <c r="A978" s="1" t="str">
        <f>_xlfn.XLOOKUP(D978,'Novo relatório'!B:B,'Novo relatório'!C:C,"RESOLVIDO")</f>
        <v>TMS</v>
      </c>
      <c r="C978" t="str">
        <f t="shared" si="30"/>
        <v>PENDENTE</v>
      </c>
      <c r="D978" s="1">
        <v>3300680</v>
      </c>
      <c r="E978" s="1" t="s">
        <v>12</v>
      </c>
      <c r="F978" s="2">
        <v>45723.786111111112</v>
      </c>
      <c r="G978" s="1">
        <v>3287</v>
      </c>
      <c r="H978" s="1">
        <v>3287</v>
      </c>
      <c r="I978" s="1" t="s">
        <v>353</v>
      </c>
      <c r="J978" s="2">
        <v>45730.470833333333</v>
      </c>
      <c r="K978" s="2">
        <v>45733.738888888889</v>
      </c>
      <c r="L978" s="1" t="s">
        <v>14</v>
      </c>
      <c r="M978" s="1" t="str">
        <f>_xlfn.XLOOKUP(I978,Parâmetros!A:A,Parâmetros!B:B,_xlfn.XLOOKUP(Q978,Parâmetros!F:F,Parâmetros!G:G,"NOVA MENSAGEM"))</f>
        <v>FORMATO DE TEXTO</v>
      </c>
      <c r="N978" s="1" t="str">
        <f>_xlfn.XLOOKUP(M978,Parâmetros!K:K,Parâmetros!L:L,"")</f>
        <v>TEXTO FORA DO PADRÃO ACEITO NO CAMPO</v>
      </c>
      <c r="O978" s="1" t="str">
        <f>_xlfn.XLOOKUP(M978,Parâmetros!B:B,Parâmetros!C:C,_xlfn.XLOOKUP(Base!M1003,Parâmetros!G:G,Parâmetros!H:H))</f>
        <v>INDEFINIDO</v>
      </c>
      <c r="P978" s="1" t="str">
        <f>_xlfn.XLOOKUP(I978,Parâmetros!A:A,Parâmetros!D:D,_xlfn.XLOOKUP(Q978,Parâmetros!F:F,Parâmetros!I:I))</f>
        <v>SUPORTE OBT</v>
      </c>
      <c r="Q978" s="1" t="str">
        <f t="shared" si="31"/>
        <v>COLUNA I</v>
      </c>
    </row>
    <row r="979" spans="1:17" x14ac:dyDescent="0.25">
      <c r="A979" s="1" t="str">
        <f>_xlfn.XLOOKUP(D979,'Novo relatório'!B:B,'Novo relatório'!C:C,"RESOLVIDO")</f>
        <v>SABRE</v>
      </c>
      <c r="C979" t="str">
        <f t="shared" si="30"/>
        <v>PENDENTE</v>
      </c>
      <c r="D979" s="1">
        <v>3300946</v>
      </c>
      <c r="E979" s="1" t="s">
        <v>26</v>
      </c>
      <c r="F979" s="2">
        <v>45733.451388888891</v>
      </c>
      <c r="G979" s="1" t="s">
        <v>1500</v>
      </c>
      <c r="H979" s="1" t="s">
        <v>1500</v>
      </c>
      <c r="I979" s="1" t="s">
        <v>588</v>
      </c>
      <c r="J979" s="2">
        <v>45730.513888888891</v>
      </c>
      <c r="K979" s="2">
        <v>45733.545138888891</v>
      </c>
      <c r="L979" s="1" t="s">
        <v>14</v>
      </c>
      <c r="M979" s="1" t="str">
        <f>_xlfn.XLOOKUP(I979,Parâmetros!A:A,Parâmetros!B:B,_xlfn.XLOOKUP(Q979,Parâmetros!F:F,Parâmetros!G:G,"NOVA MENSAGEM"))</f>
        <v>ERRO NO XML</v>
      </c>
      <c r="N979" s="1" t="str">
        <f>_xlfn.XLOOKUP(M979,Parâmetros!K:K,Parâmetros!L:L,"")</f>
        <v/>
      </c>
      <c r="O979" s="1" t="str">
        <f>_xlfn.XLOOKUP(M979,Parâmetros!B:B,Parâmetros!C:C,_xlfn.XLOOKUP(Base!M911,Parâmetros!G:G,Parâmetros!H:H))</f>
        <v>SISTEMA</v>
      </c>
      <c r="P979" s="1" t="str">
        <f>_xlfn.XLOOKUP(I979,Parâmetros!A:A,Parâmetros!D:D,_xlfn.XLOOKUP(Q979,Parâmetros!F:F,Parâmetros!I:I))</f>
        <v>SUPORTE OBT</v>
      </c>
      <c r="Q979" s="1" t="str">
        <f t="shared" si="31"/>
        <v>COLUNA I</v>
      </c>
    </row>
    <row r="980" spans="1:17" x14ac:dyDescent="0.25">
      <c r="A980" s="1" t="str">
        <f>_xlfn.XLOOKUP(D980,'Novo relatório'!B:B,'Novo relatório'!C:C,"RESOLVIDO")</f>
        <v>SABRE</v>
      </c>
      <c r="C980" t="str">
        <f t="shared" si="30"/>
        <v>PENDENTE</v>
      </c>
      <c r="D980" s="1">
        <v>3301059</v>
      </c>
      <c r="E980" s="1" t="s">
        <v>26</v>
      </c>
      <c r="F980" s="2">
        <v>45733.436805555553</v>
      </c>
      <c r="G980" s="1" t="s">
        <v>1509</v>
      </c>
      <c r="H980" s="1" t="s">
        <v>1509</v>
      </c>
      <c r="I980" s="1" t="s">
        <v>1060</v>
      </c>
      <c r="J980" s="2">
        <v>45730.565972222219</v>
      </c>
      <c r="K980" s="2">
        <v>45733.523611111108</v>
      </c>
      <c r="L980" s="1" t="s">
        <v>18</v>
      </c>
      <c r="M980" s="1" t="str">
        <f>_xlfn.XLOOKUP(I980,Parâmetros!A:A,Parâmetros!B:B,_xlfn.XLOOKUP(Q980,Parâmetros!F:F,Parâmetros!G:G,"NOVA MENSAGEM"))</f>
        <v>CÓD. CLIENTE DIVERGENTE</v>
      </c>
      <c r="N980" s="1" t="str">
        <f>_xlfn.XLOOKUP(M980,Parâmetros!K:K,Parâmetros!L:L,"")</f>
        <v>CÓDIGO DIFERENTE DO CADASTRADO NO BENNER (CLIENTE X GRUPO)</v>
      </c>
      <c r="O980" s="1" t="str">
        <f>_xlfn.XLOOKUP(M980,Parâmetros!B:B,Parâmetros!C:C,_xlfn.XLOOKUP(Base!M918,Parâmetros!G:G,Parâmetros!H:H))</f>
        <v>QUALIDADE DOS DADOS</v>
      </c>
      <c r="P980" s="1" t="str">
        <f>_xlfn.XLOOKUP(I980,Parâmetros!A:A,Parâmetros!D:D,_xlfn.XLOOKUP(Q980,Parâmetros!F:F,Parâmetros!I:I))</f>
        <v>SUPORTE OBT</v>
      </c>
      <c r="Q980" s="1">
        <f t="shared" si="31"/>
        <v>1</v>
      </c>
    </row>
    <row r="981" spans="1:17" x14ac:dyDescent="0.25">
      <c r="A981" s="1" t="str">
        <f>_xlfn.XLOOKUP(D981,'Novo relatório'!B:B,'Novo relatório'!C:C,"RESOLVIDO")</f>
        <v>SABRE</v>
      </c>
      <c r="C981" t="str">
        <f t="shared" si="30"/>
        <v>PENDENTE</v>
      </c>
      <c r="D981" s="1">
        <v>3301066</v>
      </c>
      <c r="E981" s="1" t="s">
        <v>26</v>
      </c>
      <c r="F981" s="2">
        <v>45730.472916666666</v>
      </c>
      <c r="G981" s="1" t="s">
        <v>1549</v>
      </c>
      <c r="H981" s="1" t="s">
        <v>1549</v>
      </c>
      <c r="I981" s="1" t="s">
        <v>83</v>
      </c>
      <c r="J981" s="2">
        <v>45730.568055555559</v>
      </c>
      <c r="L981" s="1" t="s">
        <v>18</v>
      </c>
      <c r="M981" s="1" t="str">
        <f>_xlfn.XLOOKUP(I981,Parâmetros!A:A,Parâmetros!B:B,_xlfn.XLOOKUP(Q981,Parâmetros!F:F,Parâmetros!G:G,"NOVA MENSAGEM"))</f>
        <v>CLIENTE NÃO IDENTIFICADO</v>
      </c>
      <c r="N981" s="1" t="str">
        <f>_xlfn.XLOOKUP(M981,Parâmetros!K:K,Parâmetros!L:L,"")</f>
        <v>DK DE CLIENTE NÃO PREENCIDO / CLIENTE NÃO CONFIGURADO NO OBT</v>
      </c>
      <c r="O981" s="1" t="str">
        <f>_xlfn.XLOOKUP(M981,Parâmetros!B:B,Parâmetros!C:C,_xlfn.XLOOKUP(Base!M949,Parâmetros!G:G,Parâmetros!H:H))</f>
        <v>INDEFINIDO</v>
      </c>
      <c r="P981" s="1" t="str">
        <f>_xlfn.XLOOKUP(I981,Parâmetros!A:A,Parâmetros!D:D,_xlfn.XLOOKUP(Q981,Parâmetros!F:F,Parâmetros!I:I))</f>
        <v>OPERAÇÕES / SUPORTE KCS</v>
      </c>
      <c r="Q981" s="1" t="str">
        <f t="shared" si="31"/>
        <v>COLUNA I</v>
      </c>
    </row>
    <row r="982" spans="1:17" x14ac:dyDescent="0.25">
      <c r="A982" s="1" t="str">
        <f>_xlfn.XLOOKUP(D982,'Novo relatório'!B:B,'Novo relatório'!C:C,"RESOLVIDO")</f>
        <v>GOVER</v>
      </c>
      <c r="C982" t="str">
        <f t="shared" si="30"/>
        <v>PENDENTE</v>
      </c>
      <c r="D982" s="1">
        <v>3301259</v>
      </c>
      <c r="E982" s="1" t="s">
        <v>24</v>
      </c>
      <c r="F982" s="2">
        <v>45729.35</v>
      </c>
      <c r="G982" s="1">
        <v>4505036</v>
      </c>
      <c r="H982" s="1" t="s">
        <v>1624</v>
      </c>
      <c r="I982" s="1" t="s">
        <v>1625</v>
      </c>
      <c r="J982" s="2">
        <v>45730.655555555553</v>
      </c>
      <c r="K982" s="2">
        <v>45734.447222222225</v>
      </c>
      <c r="L982" s="1" t="s">
        <v>14</v>
      </c>
      <c r="M982" s="1" t="str">
        <f>_xlfn.XLOOKUP(I982,Parâmetros!A:A,Parâmetros!B:B,_xlfn.XLOOKUP(Q982,Parâmetros!F:F,Parâmetros!G:G,"NOVA MENSAGEM"))</f>
        <v>TAG - ITEM VEÍCULO</v>
      </c>
      <c r="N982" s="1" t="str">
        <f>_xlfn.XLOOKUP(M982,Parâmetros!K:K,Parâmetros!L:L,"")</f>
        <v>TAGS DE DETALHAMENTO DO SERVIÇO NÃO ENVIADO NO XML</v>
      </c>
      <c r="O982" s="1" t="e">
        <f>_xlfn.XLOOKUP(M982,Parâmetros!B:B,Parâmetros!C:C,_xlfn.XLOOKUP(Base!M1011,Parâmetros!G:G,Parâmetros!H:H))</f>
        <v>#N/A</v>
      </c>
      <c r="P982" s="1" t="str">
        <f>_xlfn.XLOOKUP(I982,Parâmetros!A:A,Parâmetros!D:D,_xlfn.XLOOKUP(Q982,Parâmetros!F:F,Parâmetros!I:I))</f>
        <v>SUPORTE OBT</v>
      </c>
      <c r="Q982" s="1">
        <f t="shared" si="31"/>
        <v>46</v>
      </c>
    </row>
    <row r="983" spans="1:17" x14ac:dyDescent="0.25">
      <c r="A983" s="1" t="str">
        <f>_xlfn.XLOOKUP(D983,'Novo relatório'!B:B,'Novo relatório'!C:C,"RESOLVIDO")</f>
        <v>GOVER</v>
      </c>
      <c r="C983" t="str">
        <f t="shared" si="30"/>
        <v>PENDENTE</v>
      </c>
      <c r="D983" s="1">
        <v>3301260</v>
      </c>
      <c r="E983" s="1" t="s">
        <v>24</v>
      </c>
      <c r="F983" s="2">
        <v>45729.35</v>
      </c>
      <c r="G983" s="1">
        <v>4505036</v>
      </c>
      <c r="H983" s="1" t="s">
        <v>70</v>
      </c>
      <c r="I983" s="1" t="s">
        <v>71</v>
      </c>
      <c r="J983" s="2">
        <v>45730.655555555553</v>
      </c>
      <c r="K983" s="2">
        <v>45734.447222222225</v>
      </c>
      <c r="L983" s="1" t="s">
        <v>14</v>
      </c>
      <c r="M983" s="1" t="str">
        <f>_xlfn.XLOOKUP(I983,Parâmetros!A:A,Parâmetros!B:B,_xlfn.XLOOKUP(Q983,Parâmetros!F:F,Parâmetros!G:G,"NOVA MENSAGEM"))</f>
        <v>TAG - ITEM VEÍCULO</v>
      </c>
      <c r="N983" s="1" t="str">
        <f>_xlfn.XLOOKUP(M983,Parâmetros!K:K,Parâmetros!L:L,"")</f>
        <v>TAGS DE DETALHAMENTO DO SERVIÇO NÃO ENVIADO NO XML</v>
      </c>
      <c r="O983" s="1" t="e">
        <f>_xlfn.XLOOKUP(M983,Parâmetros!B:B,Parâmetros!C:C,_xlfn.XLOOKUP(Base!M1012,Parâmetros!G:G,Parâmetros!H:H))</f>
        <v>#N/A</v>
      </c>
      <c r="P983" s="1" t="str">
        <f>_xlfn.XLOOKUP(I983,Parâmetros!A:A,Parâmetros!D:D,_xlfn.XLOOKUP(Q983,Parâmetros!F:F,Parâmetros!I:I))</f>
        <v>SUPORTE OBT</v>
      </c>
      <c r="Q983" s="1">
        <f t="shared" si="31"/>
        <v>46</v>
      </c>
    </row>
    <row r="984" spans="1:17" x14ac:dyDescent="0.25">
      <c r="A984" s="1" t="str">
        <f>_xlfn.XLOOKUP(D984,'Novo relatório'!B:B,'Novo relatório'!C:C,"RESOLVIDO")</f>
        <v>SABRE</v>
      </c>
      <c r="C984" t="str">
        <f t="shared" si="30"/>
        <v>PENDENTE</v>
      </c>
      <c r="D984" s="1">
        <v>3301477</v>
      </c>
      <c r="E984" s="1" t="s">
        <v>26</v>
      </c>
      <c r="F984" s="2">
        <v>45730.614583333336</v>
      </c>
      <c r="G984" s="1" t="s">
        <v>1405</v>
      </c>
      <c r="H984" s="1" t="s">
        <v>1405</v>
      </c>
      <c r="I984" s="1" t="s">
        <v>1406</v>
      </c>
      <c r="J984" s="2">
        <v>45730.700694444444</v>
      </c>
      <c r="L984" s="1" t="s">
        <v>18</v>
      </c>
      <c r="M984" s="1" t="str">
        <f>_xlfn.XLOOKUP(I984,Parâmetros!A:A,Parâmetros!B:B,_xlfn.XLOOKUP(Q984,Parâmetros!F:F,Parâmetros!G:G,"NOVA MENSAGEM"))</f>
        <v>CÓD. CLIENTE DIVERGENTE</v>
      </c>
      <c r="N984" s="1" t="str">
        <f>_xlfn.XLOOKUP(M984,Parâmetros!K:K,Parâmetros!L:L,"")</f>
        <v>CÓDIGO DIFERENTE DO CADASTRADO NO BENNER (CLIENTE X GRUPO)</v>
      </c>
      <c r="O984" s="1" t="str">
        <f>_xlfn.XLOOKUP(M984,Parâmetros!B:B,Parâmetros!C:C,_xlfn.XLOOKUP(Base!M834,Parâmetros!G:G,Parâmetros!H:H))</f>
        <v>QUALIDADE DOS DADOS</v>
      </c>
      <c r="P984" s="1" t="str">
        <f>_xlfn.XLOOKUP(I984,Parâmetros!A:A,Parâmetros!D:D,_xlfn.XLOOKUP(Q984,Parâmetros!F:F,Parâmetros!I:I))</f>
        <v>SUPORTE OBT</v>
      </c>
      <c r="Q984" s="1">
        <f t="shared" si="31"/>
        <v>1</v>
      </c>
    </row>
    <row r="985" spans="1:17" x14ac:dyDescent="0.25">
      <c r="A985" s="1" t="str">
        <f>_xlfn.XLOOKUP(D985,'Novo relatório'!B:B,'Novo relatório'!C:C,"RESOLVIDO")</f>
        <v>SABRE</v>
      </c>
      <c r="C985" t="str">
        <f t="shared" si="30"/>
        <v>PENDENTE</v>
      </c>
      <c r="D985" s="1">
        <v>3302050</v>
      </c>
      <c r="E985" s="1" t="s">
        <v>26</v>
      </c>
      <c r="F985" s="2">
        <v>45730.657638888886</v>
      </c>
      <c r="G985" s="1" t="s">
        <v>1449</v>
      </c>
      <c r="H985" s="1" t="s">
        <v>1449</v>
      </c>
      <c r="I985" s="1" t="s">
        <v>83</v>
      </c>
      <c r="J985" s="2">
        <v>45730.742361111108</v>
      </c>
      <c r="L985" s="1" t="s">
        <v>18</v>
      </c>
      <c r="M985" s="1" t="str">
        <f>_xlfn.XLOOKUP(I985,Parâmetros!A:A,Parâmetros!B:B,_xlfn.XLOOKUP(Q985,Parâmetros!F:F,Parâmetros!G:G,"NOVA MENSAGEM"))</f>
        <v>CLIENTE NÃO IDENTIFICADO</v>
      </c>
      <c r="N985" s="1" t="str">
        <f>_xlfn.XLOOKUP(M985,Parâmetros!K:K,Parâmetros!L:L,"")</f>
        <v>DK DE CLIENTE NÃO PREENCIDO / CLIENTE NÃO CONFIGURADO NO OBT</v>
      </c>
      <c r="O985" s="1" t="str">
        <f>_xlfn.XLOOKUP(M985,Parâmetros!B:B,Parâmetros!C:C,_xlfn.XLOOKUP(Base!M871,Parâmetros!G:G,Parâmetros!H:H))</f>
        <v>INDEFINIDO</v>
      </c>
      <c r="P985" s="1" t="str">
        <f>_xlfn.XLOOKUP(I985,Parâmetros!A:A,Parâmetros!D:D,_xlfn.XLOOKUP(Q985,Parâmetros!F:F,Parâmetros!I:I))</f>
        <v>OPERAÇÕES / SUPORTE KCS</v>
      </c>
      <c r="Q985" s="1" t="str">
        <f t="shared" si="31"/>
        <v>COLUNA I</v>
      </c>
    </row>
    <row r="986" spans="1:17" x14ac:dyDescent="0.25">
      <c r="A986" s="1" t="str">
        <f>_xlfn.XLOOKUP(D986,'Novo relatório'!B:B,'Novo relatório'!C:C,"RESOLVIDO")</f>
        <v>SABRE</v>
      </c>
      <c r="C986" t="str">
        <f t="shared" si="30"/>
        <v>PENDENTE</v>
      </c>
      <c r="D986" s="1">
        <v>3302079</v>
      </c>
      <c r="E986" s="1" t="s">
        <v>26</v>
      </c>
      <c r="F986" s="2">
        <v>45733.530555555553</v>
      </c>
      <c r="G986" s="1" t="s">
        <v>1499</v>
      </c>
      <c r="H986" s="1" t="s">
        <v>1499</v>
      </c>
      <c r="I986" s="1" t="s">
        <v>1060</v>
      </c>
      <c r="J986" s="2">
        <v>45730.745138888888</v>
      </c>
      <c r="K986" s="2">
        <v>45733.616666666669</v>
      </c>
      <c r="L986" s="1" t="s">
        <v>18</v>
      </c>
      <c r="M986" s="1" t="str">
        <f>_xlfn.XLOOKUP(I986,Parâmetros!A:A,Parâmetros!B:B,_xlfn.XLOOKUP(Q986,Parâmetros!F:F,Parâmetros!G:G,"NOVA MENSAGEM"))</f>
        <v>CÓD. CLIENTE DIVERGENTE</v>
      </c>
      <c r="N986" s="1" t="str">
        <f>_xlfn.XLOOKUP(M986,Parâmetros!K:K,Parâmetros!L:L,"")</f>
        <v>CÓDIGO DIFERENTE DO CADASTRADO NO BENNER (CLIENTE X GRUPO)</v>
      </c>
      <c r="O986" s="1" t="str">
        <f>_xlfn.XLOOKUP(M986,Parâmetros!B:B,Parâmetros!C:C,_xlfn.XLOOKUP(Base!M910,Parâmetros!G:G,Parâmetros!H:H))</f>
        <v>QUALIDADE DOS DADOS</v>
      </c>
      <c r="P986" s="1" t="str">
        <f>_xlfn.XLOOKUP(I986,Parâmetros!A:A,Parâmetros!D:D,_xlfn.XLOOKUP(Q986,Parâmetros!F:F,Parâmetros!I:I))</f>
        <v>SUPORTE OBT</v>
      </c>
      <c r="Q986" s="1">
        <f t="shared" si="31"/>
        <v>1</v>
      </c>
    </row>
    <row r="987" spans="1:17" x14ac:dyDescent="0.25">
      <c r="A987" s="1" t="str">
        <f>_xlfn.XLOOKUP(D987,'Novo relatório'!B:B,'Novo relatório'!C:C,"RESOLVIDO")</f>
        <v>SABRE</v>
      </c>
      <c r="C987" t="str">
        <f t="shared" si="30"/>
        <v>PENDENTE</v>
      </c>
      <c r="D987" s="1">
        <v>3302080</v>
      </c>
      <c r="E987" s="1" t="s">
        <v>26</v>
      </c>
      <c r="F987" s="2">
        <v>45730.657638888886</v>
      </c>
      <c r="G987" s="1" t="s">
        <v>1483</v>
      </c>
      <c r="H987" s="1" t="s">
        <v>1483</v>
      </c>
      <c r="I987" s="1" t="s">
        <v>169</v>
      </c>
      <c r="J987" s="2">
        <v>45730.745833333334</v>
      </c>
      <c r="L987" s="1" t="s">
        <v>18</v>
      </c>
      <c r="M987" s="1" t="str">
        <f>_xlfn.XLOOKUP(I987,Parâmetros!A:A,Parâmetros!B:B,_xlfn.XLOOKUP(Q987,Parâmetros!F:F,Parâmetros!G:G,"NOVA MENSAGEM"))</f>
        <v>CÓD. CLIENTE DIVERGENTE</v>
      </c>
      <c r="N987" s="1" t="str">
        <f>_xlfn.XLOOKUP(M987,Parâmetros!K:K,Parâmetros!L:L,"")</f>
        <v>CÓDIGO DIFERENTE DO CADASTRADO NO BENNER (CLIENTE X GRUPO)</v>
      </c>
      <c r="O987" s="1" t="str">
        <f>_xlfn.XLOOKUP(M987,Parâmetros!B:B,Parâmetros!C:C,_xlfn.XLOOKUP(Base!M897,Parâmetros!G:G,Parâmetros!H:H))</f>
        <v>QUALIDADE DOS DADOS</v>
      </c>
      <c r="P987" s="1" t="str">
        <f>_xlfn.XLOOKUP(I987,Parâmetros!A:A,Parâmetros!D:D,_xlfn.XLOOKUP(Q987,Parâmetros!F:F,Parâmetros!I:I))</f>
        <v>SUPORTE OBT</v>
      </c>
      <c r="Q987" s="1">
        <f t="shared" si="31"/>
        <v>1</v>
      </c>
    </row>
    <row r="988" spans="1:17" x14ac:dyDescent="0.25">
      <c r="A988" s="1" t="str">
        <f>_xlfn.XLOOKUP(D988,'Novo relatório'!B:B,'Novo relatório'!C:C,"RESOLVIDO")</f>
        <v>SABRE</v>
      </c>
      <c r="C988" t="str">
        <f t="shared" si="30"/>
        <v>PENDENTE</v>
      </c>
      <c r="D988" s="1">
        <v>3302081</v>
      </c>
      <c r="E988" s="1" t="s">
        <v>26</v>
      </c>
      <c r="F988" s="2">
        <v>45730.657638888886</v>
      </c>
      <c r="G988" s="1" t="s">
        <v>1445</v>
      </c>
      <c r="H988" s="1" t="s">
        <v>1445</v>
      </c>
      <c r="I988" s="1" t="s">
        <v>707</v>
      </c>
      <c r="J988" s="2">
        <v>45730.745833333334</v>
      </c>
      <c r="L988" s="1" t="s">
        <v>18</v>
      </c>
      <c r="M988" s="1" t="str">
        <f>_xlfn.XLOOKUP(I988,Parâmetros!A:A,Parâmetros!B:B,_xlfn.XLOOKUP(Q988,Parâmetros!F:F,Parâmetros!G:G,"NOVA MENSAGEM"))</f>
        <v>CÓD. CLIENTE DIVERGENTE</v>
      </c>
      <c r="N988" s="1" t="str">
        <f>_xlfn.XLOOKUP(M988,Parâmetros!K:K,Parâmetros!L:L,"")</f>
        <v>CÓDIGO DIFERENTE DO CADASTRADO NO BENNER (CLIENTE X GRUPO)</v>
      </c>
      <c r="O988" s="1" t="str">
        <f>_xlfn.XLOOKUP(M988,Parâmetros!B:B,Parâmetros!C:C,_xlfn.XLOOKUP(Base!M867,Parâmetros!G:G,Parâmetros!H:H))</f>
        <v>QUALIDADE DOS DADOS</v>
      </c>
      <c r="P988" s="1" t="str">
        <f>_xlfn.XLOOKUP(I988,Parâmetros!A:A,Parâmetros!D:D,_xlfn.XLOOKUP(Q988,Parâmetros!F:F,Parâmetros!I:I))</f>
        <v>SUPORTE OBT</v>
      </c>
      <c r="Q988" s="1">
        <f t="shared" si="31"/>
        <v>1</v>
      </c>
    </row>
    <row r="989" spans="1:17" x14ac:dyDescent="0.25">
      <c r="A989" s="1" t="str">
        <f>_xlfn.XLOOKUP(D989,'Novo relatório'!B:B,'Novo relatório'!C:C,"RESOLVIDO")</f>
        <v>SABRE</v>
      </c>
      <c r="C989" t="str">
        <f t="shared" si="30"/>
        <v>PENDENTE</v>
      </c>
      <c r="D989" s="1">
        <v>3302611</v>
      </c>
      <c r="E989" s="1" t="s">
        <v>26</v>
      </c>
      <c r="F989" s="2">
        <v>45733.345138888886</v>
      </c>
      <c r="G989" s="1" t="s">
        <v>1371</v>
      </c>
      <c r="H989" s="1" t="s">
        <v>1371</v>
      </c>
      <c r="I989" s="1" t="s">
        <v>1054</v>
      </c>
      <c r="J989" s="2">
        <v>45730.82708333333</v>
      </c>
      <c r="K989" s="2">
        <v>45733.429861111108</v>
      </c>
      <c r="L989" s="1" t="s">
        <v>18</v>
      </c>
      <c r="M989" s="1" t="str">
        <f>_xlfn.XLOOKUP(I989,Parâmetros!A:A,Parâmetros!B:B,_xlfn.XLOOKUP(Q989,Parâmetros!F:F,Parâmetros!G:G,"NOVA MENSAGEM"))</f>
        <v>CÓD. CLIENTE DIVERGENTE</v>
      </c>
      <c r="N989" s="1" t="str">
        <f>_xlfn.XLOOKUP(M989,Parâmetros!K:K,Parâmetros!L:L,"")</f>
        <v>CÓDIGO DIFERENTE DO CADASTRADO NO BENNER (CLIENTE X GRUPO)</v>
      </c>
      <c r="O989" s="1" t="str">
        <f>_xlfn.XLOOKUP(M989,Parâmetros!B:B,Parâmetros!C:C,_xlfn.XLOOKUP(Base!M809,Parâmetros!G:G,Parâmetros!H:H))</f>
        <v>QUALIDADE DOS DADOS</v>
      </c>
      <c r="P989" s="1" t="str">
        <f>_xlfn.XLOOKUP(I989,Parâmetros!A:A,Parâmetros!D:D,_xlfn.XLOOKUP(Q989,Parâmetros!F:F,Parâmetros!I:I))</f>
        <v>SUPORTE OBT</v>
      </c>
      <c r="Q989" s="1">
        <f t="shared" si="31"/>
        <v>1</v>
      </c>
    </row>
    <row r="990" spans="1:17" x14ac:dyDescent="0.25">
      <c r="A990" s="1" t="str">
        <f>_xlfn.XLOOKUP(D990,'Novo relatório'!B:B,'Novo relatório'!C:C,"RESOLVIDO")</f>
        <v>SABRE</v>
      </c>
      <c r="C990" t="str">
        <f t="shared" si="30"/>
        <v>PENDENTE</v>
      </c>
      <c r="D990" s="1">
        <v>3302630</v>
      </c>
      <c r="E990" s="1" t="s">
        <v>26</v>
      </c>
      <c r="F990" s="2">
        <v>45730.745138888888</v>
      </c>
      <c r="G990" s="1" t="s">
        <v>1527</v>
      </c>
      <c r="H990" s="1" t="s">
        <v>1527</v>
      </c>
      <c r="I990" s="1" t="s">
        <v>83</v>
      </c>
      <c r="J990" s="2">
        <v>45730.835416666669</v>
      </c>
      <c r="L990" s="1" t="s">
        <v>18</v>
      </c>
      <c r="M990" s="1" t="str">
        <f>_xlfn.XLOOKUP(I990,Parâmetros!A:A,Parâmetros!B:B,_xlfn.XLOOKUP(Q990,Parâmetros!F:F,Parâmetros!G:G,"NOVA MENSAGEM"))</f>
        <v>CLIENTE NÃO IDENTIFICADO</v>
      </c>
      <c r="N990" s="1" t="str">
        <f>_xlfn.XLOOKUP(M990,Parâmetros!K:K,Parâmetros!L:L,"")</f>
        <v>DK DE CLIENTE NÃO PREENCIDO / CLIENTE NÃO CONFIGURADO NO OBT</v>
      </c>
      <c r="O990" s="1" t="str">
        <f>_xlfn.XLOOKUP(M990,Parâmetros!B:B,Parâmetros!C:C,_xlfn.XLOOKUP(Base!M932,Parâmetros!G:G,Parâmetros!H:H))</f>
        <v>INDEFINIDO</v>
      </c>
      <c r="P990" s="1" t="str">
        <f>_xlfn.XLOOKUP(I990,Parâmetros!A:A,Parâmetros!D:D,_xlfn.XLOOKUP(Q990,Parâmetros!F:F,Parâmetros!I:I))</f>
        <v>OPERAÇÕES / SUPORTE KCS</v>
      </c>
      <c r="Q990" s="1" t="str">
        <f t="shared" si="31"/>
        <v>COLUNA I</v>
      </c>
    </row>
    <row r="991" spans="1:17" x14ac:dyDescent="0.25">
      <c r="A991" s="1" t="str">
        <f>_xlfn.XLOOKUP(D991,'Novo relatório'!B:B,'Novo relatório'!C:C,"RESOLVIDO")</f>
        <v>SABRE</v>
      </c>
      <c r="C991" t="str">
        <f t="shared" si="30"/>
        <v>PENDENTE</v>
      </c>
      <c r="D991" s="1">
        <v>3302638</v>
      </c>
      <c r="E991" s="1" t="s">
        <v>26</v>
      </c>
      <c r="F991" s="2">
        <v>45730.745138888888</v>
      </c>
      <c r="G991" s="1" t="s">
        <v>1602</v>
      </c>
      <c r="H991" s="1" t="s">
        <v>1602</v>
      </c>
      <c r="I991" s="1" t="s">
        <v>169</v>
      </c>
      <c r="J991" s="2">
        <v>45730.836111111108</v>
      </c>
      <c r="L991" s="1" t="s">
        <v>18</v>
      </c>
      <c r="M991" s="1" t="str">
        <f>_xlfn.XLOOKUP(I991,Parâmetros!A:A,Parâmetros!B:B,_xlfn.XLOOKUP(Q991,Parâmetros!F:F,Parâmetros!G:G,"NOVA MENSAGEM"))</f>
        <v>CÓD. CLIENTE DIVERGENTE</v>
      </c>
      <c r="N991" s="1" t="str">
        <f>_xlfn.XLOOKUP(M991,Parâmetros!K:K,Parâmetros!L:L,"")</f>
        <v>CÓDIGO DIFERENTE DO CADASTRADO NO BENNER (CLIENTE X GRUPO)</v>
      </c>
      <c r="O991" s="1" t="str">
        <f>_xlfn.XLOOKUP(M991,Parâmetros!B:B,Parâmetros!C:C,_xlfn.XLOOKUP(Base!M991,Parâmetros!G:G,Parâmetros!H:H))</f>
        <v>QUALIDADE DOS DADOS</v>
      </c>
      <c r="P991" s="1" t="str">
        <f>_xlfn.XLOOKUP(I991,Parâmetros!A:A,Parâmetros!D:D,_xlfn.XLOOKUP(Q991,Parâmetros!F:F,Parâmetros!I:I))</f>
        <v>SUPORTE OBT</v>
      </c>
      <c r="Q991" s="1">
        <f t="shared" si="31"/>
        <v>1</v>
      </c>
    </row>
    <row r="992" spans="1:17" x14ac:dyDescent="0.25">
      <c r="A992" s="1" t="str">
        <f>_xlfn.XLOOKUP(D992,'Novo relatório'!B:B,'Novo relatório'!C:C,"RESOLVIDO")</f>
        <v>SABRE</v>
      </c>
      <c r="C992" t="str">
        <f t="shared" si="30"/>
        <v>PENDENTE</v>
      </c>
      <c r="D992" s="1">
        <v>3302645</v>
      </c>
      <c r="E992" s="1" t="s">
        <v>26</v>
      </c>
      <c r="F992" s="2">
        <v>45730.745138888888</v>
      </c>
      <c r="G992" s="1" t="s">
        <v>1448</v>
      </c>
      <c r="H992" s="1" t="s">
        <v>1448</v>
      </c>
      <c r="I992" s="1" t="s">
        <v>83</v>
      </c>
      <c r="J992" s="2">
        <v>45730.836805555555</v>
      </c>
      <c r="L992" s="1" t="s">
        <v>18</v>
      </c>
      <c r="M992" s="1" t="str">
        <f>_xlfn.XLOOKUP(I992,Parâmetros!A:A,Parâmetros!B:B,_xlfn.XLOOKUP(Q992,Parâmetros!F:F,Parâmetros!G:G,"NOVA MENSAGEM"))</f>
        <v>CLIENTE NÃO IDENTIFICADO</v>
      </c>
      <c r="N992" s="1" t="str">
        <f>_xlfn.XLOOKUP(M992,Parâmetros!K:K,Parâmetros!L:L,"")</f>
        <v>DK DE CLIENTE NÃO PREENCIDO / CLIENTE NÃO CONFIGURADO NO OBT</v>
      </c>
      <c r="O992" s="1" t="str">
        <f>_xlfn.XLOOKUP(M992,Parâmetros!B:B,Parâmetros!C:C,_xlfn.XLOOKUP(Base!M870,Parâmetros!G:G,Parâmetros!H:H))</f>
        <v>INDEFINIDO</v>
      </c>
      <c r="P992" s="1" t="str">
        <f>_xlfn.XLOOKUP(I992,Parâmetros!A:A,Parâmetros!D:D,_xlfn.XLOOKUP(Q992,Parâmetros!F:F,Parâmetros!I:I))</f>
        <v>OPERAÇÕES / SUPORTE KCS</v>
      </c>
      <c r="Q992" s="1" t="str">
        <f t="shared" si="31"/>
        <v>COLUNA I</v>
      </c>
    </row>
    <row r="993" spans="1:17" x14ac:dyDescent="0.25">
      <c r="A993" s="1" t="str">
        <f>_xlfn.XLOOKUP(D993,'Novo relatório'!B:B,'Novo relatório'!C:C,"RESOLVIDO")</f>
        <v>SABRE</v>
      </c>
      <c r="C993" t="str">
        <f t="shared" si="30"/>
        <v>PENDENTE</v>
      </c>
      <c r="D993" s="1">
        <v>3302648</v>
      </c>
      <c r="E993" s="1" t="s">
        <v>26</v>
      </c>
      <c r="F993" s="2">
        <v>45730.745138888888</v>
      </c>
      <c r="G993" s="1" t="s">
        <v>1557</v>
      </c>
      <c r="H993" s="1" t="s">
        <v>1557</v>
      </c>
      <c r="I993" s="1" t="s">
        <v>396</v>
      </c>
      <c r="J993" s="2">
        <v>45730.836805555555</v>
      </c>
      <c r="L993" s="1" t="s">
        <v>18</v>
      </c>
      <c r="M993" s="1" t="str">
        <f>_xlfn.XLOOKUP(I993,Parâmetros!A:A,Parâmetros!B:B,_xlfn.XLOOKUP(Q993,Parâmetros!F:F,Parâmetros!G:G,"NOVA MENSAGEM"))</f>
        <v>CÓD. CLIENTE DIVERGENTE</v>
      </c>
      <c r="N993" s="1" t="str">
        <f>_xlfn.XLOOKUP(M993,Parâmetros!K:K,Parâmetros!L:L,"")</f>
        <v>CÓDIGO DIFERENTE DO CADASTRADO NO BENNER (CLIENTE X GRUPO)</v>
      </c>
      <c r="O993" s="1" t="str">
        <f>_xlfn.XLOOKUP(M993,Parâmetros!B:B,Parâmetros!C:C,_xlfn.XLOOKUP(Base!M955,Parâmetros!G:G,Parâmetros!H:H))</f>
        <v>QUALIDADE DOS DADOS</v>
      </c>
      <c r="P993" s="1" t="str">
        <f>_xlfn.XLOOKUP(I993,Parâmetros!A:A,Parâmetros!D:D,_xlfn.XLOOKUP(Q993,Parâmetros!F:F,Parâmetros!I:I))</f>
        <v>SUPORTE OBT</v>
      </c>
      <c r="Q993" s="1">
        <f t="shared" si="31"/>
        <v>1</v>
      </c>
    </row>
    <row r="994" spans="1:17" x14ac:dyDescent="0.25">
      <c r="A994" s="1" t="str">
        <f>_xlfn.XLOOKUP(D994,'Novo relatório'!B:B,'Novo relatório'!C:C,"RESOLVIDO")</f>
        <v>SABRE</v>
      </c>
      <c r="C994" t="str">
        <f t="shared" si="30"/>
        <v>PENDENTE</v>
      </c>
      <c r="D994" s="1">
        <v>3302653</v>
      </c>
      <c r="E994" s="1" t="s">
        <v>26</v>
      </c>
      <c r="F994" s="2">
        <v>45730.745138888888</v>
      </c>
      <c r="G994" s="1" t="s">
        <v>1553</v>
      </c>
      <c r="H994" s="1" t="s">
        <v>1553</v>
      </c>
      <c r="I994" s="1" t="s">
        <v>396</v>
      </c>
      <c r="J994" s="2">
        <v>45730.838194444441</v>
      </c>
      <c r="L994" s="1" t="s">
        <v>18</v>
      </c>
      <c r="M994" s="1" t="str">
        <f>_xlfn.XLOOKUP(I994,Parâmetros!A:A,Parâmetros!B:B,_xlfn.XLOOKUP(Q994,Parâmetros!F:F,Parâmetros!G:G,"NOVA MENSAGEM"))</f>
        <v>CÓD. CLIENTE DIVERGENTE</v>
      </c>
      <c r="N994" s="1" t="str">
        <f>_xlfn.XLOOKUP(M994,Parâmetros!K:K,Parâmetros!L:L,"")</f>
        <v>CÓDIGO DIFERENTE DO CADASTRADO NO BENNER (CLIENTE X GRUPO)</v>
      </c>
      <c r="O994" s="1" t="str">
        <f>_xlfn.XLOOKUP(M994,Parâmetros!B:B,Parâmetros!C:C,_xlfn.XLOOKUP(Base!M952,Parâmetros!G:G,Parâmetros!H:H))</f>
        <v>QUALIDADE DOS DADOS</v>
      </c>
      <c r="P994" s="1" t="str">
        <f>_xlfn.XLOOKUP(I994,Parâmetros!A:A,Parâmetros!D:D,_xlfn.XLOOKUP(Q994,Parâmetros!F:F,Parâmetros!I:I))</f>
        <v>SUPORTE OBT</v>
      </c>
      <c r="Q994" s="1">
        <f t="shared" si="31"/>
        <v>1</v>
      </c>
    </row>
    <row r="995" spans="1:17" x14ac:dyDescent="0.25">
      <c r="A995" s="1" t="str">
        <f>_xlfn.XLOOKUP(D995,'Novo relatório'!B:B,'Novo relatório'!C:C,"RESOLVIDO")</f>
        <v>SABRE</v>
      </c>
      <c r="C995" t="str">
        <f t="shared" si="30"/>
        <v>PENDENTE</v>
      </c>
      <c r="D995" s="1">
        <v>3302654</v>
      </c>
      <c r="E995" s="1" t="s">
        <v>26</v>
      </c>
      <c r="F995" s="2">
        <v>45730.745138888888</v>
      </c>
      <c r="G995" s="1" t="s">
        <v>1604</v>
      </c>
      <c r="H995" s="1" t="s">
        <v>1604</v>
      </c>
      <c r="I995" s="1" t="s">
        <v>83</v>
      </c>
      <c r="J995" s="2">
        <v>45730.838194444441</v>
      </c>
      <c r="L995" s="1" t="s">
        <v>18</v>
      </c>
      <c r="M995" s="1" t="str">
        <f>_xlfn.XLOOKUP(I995,Parâmetros!A:A,Parâmetros!B:B,_xlfn.XLOOKUP(Q995,Parâmetros!F:F,Parâmetros!G:G,"NOVA MENSAGEM"))</f>
        <v>CLIENTE NÃO IDENTIFICADO</v>
      </c>
      <c r="N995" s="1" t="str">
        <f>_xlfn.XLOOKUP(M995,Parâmetros!K:K,Parâmetros!L:L,"")</f>
        <v>DK DE CLIENTE NÃO PREENCIDO / CLIENTE NÃO CONFIGURADO NO OBT</v>
      </c>
      <c r="O995" s="1" t="str">
        <f>_xlfn.XLOOKUP(M995,Parâmetros!B:B,Parâmetros!C:C,_xlfn.XLOOKUP(Base!M993,Parâmetros!G:G,Parâmetros!H:H))</f>
        <v>INDEFINIDO</v>
      </c>
      <c r="P995" s="1" t="str">
        <f>_xlfn.XLOOKUP(I995,Parâmetros!A:A,Parâmetros!D:D,_xlfn.XLOOKUP(Q995,Parâmetros!F:F,Parâmetros!I:I))</f>
        <v>OPERAÇÕES / SUPORTE KCS</v>
      </c>
      <c r="Q995" s="1" t="str">
        <f t="shared" si="31"/>
        <v>COLUNA I</v>
      </c>
    </row>
    <row r="996" spans="1:17" x14ac:dyDescent="0.25">
      <c r="A996" s="1" t="str">
        <f>_xlfn.XLOOKUP(D996,'Novo relatório'!B:B,'Novo relatório'!C:C,"RESOLVIDO")</f>
        <v>SABRE</v>
      </c>
      <c r="C996" t="str">
        <f t="shared" si="30"/>
        <v>PENDENTE</v>
      </c>
      <c r="D996" s="1">
        <v>3303589</v>
      </c>
      <c r="E996" s="1" t="s">
        <v>26</v>
      </c>
      <c r="F996" s="2">
        <v>45733.27847222222</v>
      </c>
      <c r="G996" s="1" t="s">
        <v>1605</v>
      </c>
      <c r="H996" s="1" t="s">
        <v>1606</v>
      </c>
      <c r="I996" s="1" t="s">
        <v>64</v>
      </c>
      <c r="J996" s="2">
        <v>45733.367361111108</v>
      </c>
      <c r="L996" s="1" t="s">
        <v>1244</v>
      </c>
      <c r="M996" s="1" t="str">
        <f>_xlfn.XLOOKUP(I996,Parâmetros!A:A,Parâmetros!B:B,_xlfn.XLOOKUP(Q996,Parâmetros!F:F,Parâmetros!G:G,"NOVA MENSAGEM"))</f>
        <v>FORMATO DE TEXTO</v>
      </c>
      <c r="N996" s="1" t="str">
        <f>_xlfn.XLOOKUP(M996,Parâmetros!K:K,Parâmetros!L:L,"")</f>
        <v>TEXTO FORA DO PADRÃO ACEITO NO CAMPO</v>
      </c>
      <c r="O996" s="1" t="str">
        <f>_xlfn.XLOOKUP(M996,Parâmetros!B:B,Parâmetros!C:C,_xlfn.XLOOKUP(Base!M994,Parâmetros!G:G,Parâmetros!H:H))</f>
        <v>INDEFINIDO</v>
      </c>
      <c r="P996" s="1" t="str">
        <f>_xlfn.XLOOKUP(I996,Parâmetros!A:A,Parâmetros!D:D,_xlfn.XLOOKUP(Q996,Parâmetros!F:F,Parâmetros!I:I))</f>
        <v>SUPORTE OBT</v>
      </c>
      <c r="Q996" s="1" t="str">
        <f t="shared" si="31"/>
        <v>COLUNA I</v>
      </c>
    </row>
    <row r="997" spans="1:17" x14ac:dyDescent="0.25">
      <c r="A997" s="1" t="str">
        <f>_xlfn.XLOOKUP(D997,'Novo relatório'!B:B,'Novo relatório'!C:C,"RESOLVIDO")</f>
        <v>SABRE</v>
      </c>
      <c r="C997" t="str">
        <f t="shared" si="30"/>
        <v>PENDENTE</v>
      </c>
      <c r="D997" s="1">
        <v>3303590</v>
      </c>
      <c r="E997" s="1" t="s">
        <v>26</v>
      </c>
      <c r="F997" s="2">
        <v>45733.27847222222</v>
      </c>
      <c r="G997" s="1" t="s">
        <v>1457</v>
      </c>
      <c r="H997" s="1" t="s">
        <v>1458</v>
      </c>
      <c r="I997" s="1" t="s">
        <v>64</v>
      </c>
      <c r="J997" s="2">
        <v>45733.367361111108</v>
      </c>
      <c r="L997" s="1" t="s">
        <v>1244</v>
      </c>
      <c r="M997" s="1" t="str">
        <f>_xlfn.XLOOKUP(I997,Parâmetros!A:A,Parâmetros!B:B,_xlfn.XLOOKUP(Q997,Parâmetros!F:F,Parâmetros!G:G,"NOVA MENSAGEM"))</f>
        <v>FORMATO DE TEXTO</v>
      </c>
      <c r="N997" s="1" t="str">
        <f>_xlfn.XLOOKUP(M997,Parâmetros!K:K,Parâmetros!L:L,"")</f>
        <v>TEXTO FORA DO PADRÃO ACEITO NO CAMPO</v>
      </c>
      <c r="O997" s="1" t="str">
        <f>_xlfn.XLOOKUP(M997,Parâmetros!B:B,Parâmetros!C:C,_xlfn.XLOOKUP(Base!M877,Parâmetros!G:G,Parâmetros!H:H))</f>
        <v>INDEFINIDO</v>
      </c>
      <c r="P997" s="1" t="str">
        <f>_xlfn.XLOOKUP(I997,Parâmetros!A:A,Parâmetros!D:D,_xlfn.XLOOKUP(Q997,Parâmetros!F:F,Parâmetros!I:I))</f>
        <v>SUPORTE OBT</v>
      </c>
      <c r="Q997" s="1" t="str">
        <f t="shared" si="31"/>
        <v>COLUNA I</v>
      </c>
    </row>
    <row r="998" spans="1:17" x14ac:dyDescent="0.25">
      <c r="A998" s="1" t="str">
        <f>_xlfn.XLOOKUP(D998,'Novo relatório'!B:B,'Novo relatório'!C:C,"RESOLVIDO")</f>
        <v>SABRE</v>
      </c>
      <c r="C998" t="str">
        <f t="shared" si="30"/>
        <v>PENDENTE</v>
      </c>
      <c r="D998" s="1">
        <v>3303591</v>
      </c>
      <c r="E998" s="1" t="s">
        <v>26</v>
      </c>
      <c r="F998" s="2">
        <v>45733.27847222222</v>
      </c>
      <c r="G998" s="1" t="s">
        <v>1468</v>
      </c>
      <c r="H998" s="1" t="s">
        <v>1469</v>
      </c>
      <c r="I998" s="1" t="s">
        <v>64</v>
      </c>
      <c r="J998" s="2">
        <v>45733.367361111108</v>
      </c>
      <c r="L998" s="1" t="s">
        <v>1244</v>
      </c>
      <c r="M998" s="1" t="str">
        <f>_xlfn.XLOOKUP(I998,Parâmetros!A:A,Parâmetros!B:B,_xlfn.XLOOKUP(Q998,Parâmetros!F:F,Parâmetros!G:G,"NOVA MENSAGEM"))</f>
        <v>FORMATO DE TEXTO</v>
      </c>
      <c r="N998" s="1" t="str">
        <f>_xlfn.XLOOKUP(M998,Parâmetros!K:K,Parâmetros!L:L,"")</f>
        <v>TEXTO FORA DO PADRÃO ACEITO NO CAMPO</v>
      </c>
      <c r="O998" s="1" t="str">
        <f>_xlfn.XLOOKUP(M998,Parâmetros!B:B,Parâmetros!C:C,_xlfn.XLOOKUP(Base!M884,Parâmetros!G:G,Parâmetros!H:H))</f>
        <v>INDEFINIDO</v>
      </c>
      <c r="P998" s="1" t="str">
        <f>_xlfn.XLOOKUP(I998,Parâmetros!A:A,Parâmetros!D:D,_xlfn.XLOOKUP(Q998,Parâmetros!F:F,Parâmetros!I:I))</f>
        <v>SUPORTE OBT</v>
      </c>
      <c r="Q998" s="1" t="str">
        <f t="shared" si="31"/>
        <v>COLUNA I</v>
      </c>
    </row>
    <row r="999" spans="1:17" x14ac:dyDescent="0.25">
      <c r="A999" s="1" t="str">
        <f>_xlfn.XLOOKUP(D999,'Novo relatório'!B:B,'Novo relatório'!C:C,"RESOLVIDO")</f>
        <v>SABRE</v>
      </c>
      <c r="C999" t="str">
        <f t="shared" si="30"/>
        <v>PENDENTE</v>
      </c>
      <c r="D999" s="1">
        <v>3304707</v>
      </c>
      <c r="E999" s="1" t="s">
        <v>26</v>
      </c>
      <c r="F999" s="2">
        <v>45733.554166666669</v>
      </c>
      <c r="G999" s="1" t="s">
        <v>1575</v>
      </c>
      <c r="H999" s="1" t="s">
        <v>1576</v>
      </c>
      <c r="I999" s="1" t="s">
        <v>574</v>
      </c>
      <c r="J999" s="2">
        <v>45733.638194444444</v>
      </c>
      <c r="L999" s="1" t="s">
        <v>19</v>
      </c>
      <c r="M999" s="1" t="str">
        <f>_xlfn.XLOOKUP(I999,Parâmetros!A:A,Parâmetros!B:B,_xlfn.XLOOKUP(Q999,Parâmetros!F:F,Parâmetros!G:G,"NOVA MENSAGEM"))</f>
        <v>CONTRATO FORNECEDOR</v>
      </c>
      <c r="N999" s="1" t="str">
        <f>_xlfn.XLOOKUP(M999,Parâmetros!K:K,Parâmetros!L:L,"")</f>
        <v>CONTRATO INATIVO OU DIVERGENTE</v>
      </c>
      <c r="O999" s="1" t="str">
        <f>_xlfn.XLOOKUP(M999,Parâmetros!B:B,Parâmetros!C:C,_xlfn.XLOOKUP(Base!M971,Parâmetros!G:G,Parâmetros!H:H))</f>
        <v>SISTEMA</v>
      </c>
      <c r="P999" s="1" t="str">
        <f>_xlfn.XLOOKUP(I999,Parâmetros!A:A,Parâmetros!D:D,_xlfn.XLOOKUP(Q999,Parâmetros!F:F,Parâmetros!I:I))</f>
        <v>OPERAÇÕES / SUPORTE KCS</v>
      </c>
      <c r="Q999" s="1">
        <f t="shared" si="31"/>
        <v>43</v>
      </c>
    </row>
    <row r="1000" spans="1:17" x14ac:dyDescent="0.25">
      <c r="A1000" s="1" t="str">
        <f>_xlfn.XLOOKUP(D1000,'Novo relatório'!B:B,'Novo relatório'!C:C,"RESOLVIDO")</f>
        <v>SABRE</v>
      </c>
      <c r="C1000" t="str">
        <f t="shared" si="30"/>
        <v>PENDENTE</v>
      </c>
      <c r="D1000" s="1">
        <v>3304747</v>
      </c>
      <c r="E1000" s="1" t="s">
        <v>26</v>
      </c>
      <c r="F1000" s="2">
        <v>45733.645833333336</v>
      </c>
      <c r="G1000" s="1" t="s">
        <v>1480</v>
      </c>
      <c r="H1000" s="1" t="s">
        <v>1480</v>
      </c>
      <c r="I1000" s="1" t="s">
        <v>396</v>
      </c>
      <c r="J1000" s="2">
        <v>45733.659722222219</v>
      </c>
      <c r="K1000" s="2">
        <v>45733.736805555556</v>
      </c>
      <c r="L1000" s="1" t="s">
        <v>18</v>
      </c>
      <c r="M1000" s="1" t="str">
        <f>_xlfn.XLOOKUP(I1000,Parâmetros!A:A,Parâmetros!B:B,_xlfn.XLOOKUP(Q1000,Parâmetros!F:F,Parâmetros!G:G,"NOVA MENSAGEM"))</f>
        <v>CÓD. CLIENTE DIVERGENTE</v>
      </c>
      <c r="N1000" s="1" t="str">
        <f>_xlfn.XLOOKUP(M1000,Parâmetros!K:K,Parâmetros!L:L,"")</f>
        <v>CÓDIGO DIFERENTE DO CADASTRADO NO BENNER (CLIENTE X GRUPO)</v>
      </c>
      <c r="O1000" s="1" t="str">
        <f>_xlfn.XLOOKUP(M1000,Parâmetros!B:B,Parâmetros!C:C,_xlfn.XLOOKUP(Base!M894,Parâmetros!G:G,Parâmetros!H:H))</f>
        <v>QUALIDADE DOS DADOS</v>
      </c>
      <c r="P1000" s="1" t="str">
        <f>_xlfn.XLOOKUP(I1000,Parâmetros!A:A,Parâmetros!D:D,_xlfn.XLOOKUP(Q1000,Parâmetros!F:F,Parâmetros!I:I))</f>
        <v>SUPORTE OBT</v>
      </c>
      <c r="Q1000" s="1">
        <f t="shared" si="31"/>
        <v>1</v>
      </c>
    </row>
    <row r="1001" spans="1:17" x14ac:dyDescent="0.25">
      <c r="A1001" s="1" t="str">
        <f>_xlfn.XLOOKUP(D1001,'Novo relatório'!B:B,'Novo relatório'!C:C,"RESOLVIDO")</f>
        <v>SABRE</v>
      </c>
      <c r="C1001" t="str">
        <f t="shared" si="30"/>
        <v>PENDENTE</v>
      </c>
      <c r="D1001" s="1">
        <v>3305162</v>
      </c>
      <c r="E1001" s="1" t="s">
        <v>26</v>
      </c>
      <c r="F1001" s="2">
        <v>45733.645833333336</v>
      </c>
      <c r="G1001" s="1" t="s">
        <v>1447</v>
      </c>
      <c r="H1001" s="1" t="s">
        <v>1447</v>
      </c>
      <c r="I1001" s="1" t="s">
        <v>1189</v>
      </c>
      <c r="J1001" s="2">
        <v>45733.73333333333</v>
      </c>
      <c r="L1001" s="1" t="s">
        <v>18</v>
      </c>
      <c r="M1001" s="1" t="str">
        <f>_xlfn.XLOOKUP(I1001,Parâmetros!A:A,Parâmetros!B:B,_xlfn.XLOOKUP(Q1001,Parâmetros!F:F,Parâmetros!G:G,"NOVA MENSAGEM"))</f>
        <v>CÓD. CLIENTE DIVERGENTE</v>
      </c>
      <c r="N1001" s="1" t="str">
        <f>_xlfn.XLOOKUP(M1001,Parâmetros!K:K,Parâmetros!L:L,"")</f>
        <v>CÓDIGO DIFERENTE DO CADASTRADO NO BENNER (CLIENTE X GRUPO)</v>
      </c>
      <c r="O1001" s="1" t="str">
        <f>_xlfn.XLOOKUP(M1001,Parâmetros!B:B,Parâmetros!C:C,_xlfn.XLOOKUP(Base!M869,Parâmetros!G:G,Parâmetros!H:H))</f>
        <v>QUALIDADE DOS DADOS</v>
      </c>
      <c r="P1001" s="1" t="str">
        <f>_xlfn.XLOOKUP(I1001,Parâmetros!A:A,Parâmetros!D:D,_xlfn.XLOOKUP(Q1001,Parâmetros!F:F,Parâmetros!I:I))</f>
        <v>SUPORTE OBT</v>
      </c>
      <c r="Q1001" s="1">
        <f t="shared" si="31"/>
        <v>1</v>
      </c>
    </row>
    <row r="1002" spans="1:17" x14ac:dyDescent="0.25">
      <c r="A1002" s="1" t="str">
        <f>_xlfn.XLOOKUP(D1002,'Novo relatório'!B:B,'Novo relatório'!C:C,"RESOLVIDO")</f>
        <v>SABRE</v>
      </c>
      <c r="C1002" t="str">
        <f t="shared" si="30"/>
        <v>PENDENTE</v>
      </c>
      <c r="D1002" s="1">
        <v>3305175</v>
      </c>
      <c r="E1002" s="1" t="s">
        <v>26</v>
      </c>
      <c r="F1002" s="2">
        <v>45733.645833333336</v>
      </c>
      <c r="G1002" s="1" t="s">
        <v>1590</v>
      </c>
      <c r="H1002" s="1" t="s">
        <v>1590</v>
      </c>
      <c r="I1002" s="1" t="s">
        <v>83</v>
      </c>
      <c r="J1002" s="2">
        <v>45733.734722222223</v>
      </c>
      <c r="L1002" s="1" t="s">
        <v>18</v>
      </c>
      <c r="M1002" s="1" t="str">
        <f>_xlfn.XLOOKUP(I1002,Parâmetros!A:A,Parâmetros!B:B,_xlfn.XLOOKUP(Q1002,Parâmetros!F:F,Parâmetros!G:G,"NOVA MENSAGEM"))</f>
        <v>CLIENTE NÃO IDENTIFICADO</v>
      </c>
      <c r="N1002" s="1" t="str">
        <f>_xlfn.XLOOKUP(M1002,Parâmetros!K:K,Parâmetros!L:L,"")</f>
        <v>DK DE CLIENTE NÃO PREENCIDO / CLIENTE NÃO CONFIGURADO NO OBT</v>
      </c>
      <c r="O1002" s="1" t="str">
        <f>_xlfn.XLOOKUP(M1002,Parâmetros!B:B,Parâmetros!C:C,_xlfn.XLOOKUP(Base!M981,Parâmetros!G:G,Parâmetros!H:H))</f>
        <v>INDEFINIDO</v>
      </c>
      <c r="P1002" s="1" t="str">
        <f>_xlfn.XLOOKUP(I1002,Parâmetros!A:A,Parâmetros!D:D,_xlfn.XLOOKUP(Q1002,Parâmetros!F:F,Parâmetros!I:I))</f>
        <v>OPERAÇÕES / SUPORTE KCS</v>
      </c>
      <c r="Q1002" s="1" t="str">
        <f t="shared" si="31"/>
        <v>COLUNA I</v>
      </c>
    </row>
    <row r="1003" spans="1:17" x14ac:dyDescent="0.25">
      <c r="A1003" s="1" t="str">
        <f>_xlfn.XLOOKUP(D1003,'Novo relatório'!B:B,'Novo relatório'!C:C,"RESOLVIDO")</f>
        <v>SABRE</v>
      </c>
      <c r="C1003" t="str">
        <f t="shared" si="30"/>
        <v>PENDENTE</v>
      </c>
      <c r="D1003" s="1">
        <v>3305211</v>
      </c>
      <c r="E1003" s="1" t="s">
        <v>26</v>
      </c>
      <c r="F1003" s="2">
        <v>45733.645833333336</v>
      </c>
      <c r="G1003" s="1" t="s">
        <v>1526</v>
      </c>
      <c r="H1003" s="1" t="s">
        <v>1526</v>
      </c>
      <c r="I1003" s="1" t="s">
        <v>83</v>
      </c>
      <c r="J1003" s="2">
        <v>45733.73541666667</v>
      </c>
      <c r="L1003" s="1" t="s">
        <v>18</v>
      </c>
      <c r="M1003" s="1" t="str">
        <f>_xlfn.XLOOKUP(I1003,Parâmetros!A:A,Parâmetros!B:B,_xlfn.XLOOKUP(Q1003,Parâmetros!F:F,Parâmetros!G:G,"NOVA MENSAGEM"))</f>
        <v>CLIENTE NÃO IDENTIFICADO</v>
      </c>
      <c r="N1003" s="1" t="str">
        <f>_xlfn.XLOOKUP(M1003,Parâmetros!K:K,Parâmetros!L:L,"")</f>
        <v>DK DE CLIENTE NÃO PREENCIDO / CLIENTE NÃO CONFIGURADO NO OBT</v>
      </c>
      <c r="O1003" s="1" t="str">
        <f>_xlfn.XLOOKUP(M1003,Parâmetros!B:B,Parâmetros!C:C,_xlfn.XLOOKUP(Base!M931,Parâmetros!G:G,Parâmetros!H:H))</f>
        <v>INDEFINIDO</v>
      </c>
      <c r="P1003" s="1" t="str">
        <f>_xlfn.XLOOKUP(I1003,Parâmetros!A:A,Parâmetros!D:D,_xlfn.XLOOKUP(Q1003,Parâmetros!F:F,Parâmetros!I:I))</f>
        <v>OPERAÇÕES / SUPORTE KCS</v>
      </c>
      <c r="Q1003" s="1" t="str">
        <f t="shared" si="31"/>
        <v>COLUNA I</v>
      </c>
    </row>
    <row r="1004" spans="1:17" x14ac:dyDescent="0.25">
      <c r="A1004" s="1" t="str">
        <f>_xlfn.XLOOKUP(D1004,'Novo relatório'!B:B,'Novo relatório'!C:C,"RESOLVIDO")</f>
        <v>SABRE</v>
      </c>
      <c r="C1004" t="str">
        <f t="shared" si="30"/>
        <v>PENDENTE</v>
      </c>
      <c r="D1004" s="1">
        <v>3305218</v>
      </c>
      <c r="E1004" s="1" t="s">
        <v>26</v>
      </c>
      <c r="F1004" s="2">
        <v>45733.645833333336</v>
      </c>
      <c r="G1004" s="1" t="s">
        <v>1392</v>
      </c>
      <c r="H1004" s="1" t="s">
        <v>1392</v>
      </c>
      <c r="I1004" s="1" t="s">
        <v>83</v>
      </c>
      <c r="J1004" s="2">
        <v>45733.736111111109</v>
      </c>
      <c r="L1004" s="1" t="s">
        <v>18</v>
      </c>
      <c r="M1004" s="1" t="str">
        <f>_xlfn.XLOOKUP(I1004,Parâmetros!A:A,Parâmetros!B:B,_xlfn.XLOOKUP(Q1004,Parâmetros!F:F,Parâmetros!G:G,"NOVA MENSAGEM"))</f>
        <v>CLIENTE NÃO IDENTIFICADO</v>
      </c>
      <c r="N1004" s="1" t="str">
        <f>_xlfn.XLOOKUP(M1004,Parâmetros!K:K,Parâmetros!L:L,"")</f>
        <v>DK DE CLIENTE NÃO PREENCIDO / CLIENTE NÃO CONFIGURADO NO OBT</v>
      </c>
      <c r="O1004" s="1" t="str">
        <f>_xlfn.XLOOKUP(M1004,Parâmetros!B:B,Parâmetros!C:C,_xlfn.XLOOKUP(Base!M825,Parâmetros!G:G,Parâmetros!H:H))</f>
        <v>INDEFINIDO</v>
      </c>
      <c r="P1004" s="1" t="str">
        <f>_xlfn.XLOOKUP(I1004,Parâmetros!A:A,Parâmetros!D:D,_xlfn.XLOOKUP(Q1004,Parâmetros!F:F,Parâmetros!I:I))</f>
        <v>OPERAÇÕES / SUPORTE KCS</v>
      </c>
      <c r="Q1004" s="1" t="str">
        <f t="shared" si="31"/>
        <v>COLUNA I</v>
      </c>
    </row>
    <row r="1005" spans="1:17" x14ac:dyDescent="0.25">
      <c r="A1005" s="1" t="str">
        <f>_xlfn.XLOOKUP(D1005,'Novo relatório'!B:B,'Novo relatório'!C:C,"RESOLVIDO")</f>
        <v>SABRE</v>
      </c>
      <c r="C1005" t="str">
        <f t="shared" si="30"/>
        <v>PENDENTE</v>
      </c>
      <c r="D1005" s="1">
        <v>3305236</v>
      </c>
      <c r="E1005" s="1" t="s">
        <v>26</v>
      </c>
      <c r="F1005" s="2">
        <v>45733.645833333336</v>
      </c>
      <c r="G1005" s="1" t="s">
        <v>1525</v>
      </c>
      <c r="H1005" s="1" t="s">
        <v>1525</v>
      </c>
      <c r="I1005" s="1" t="s">
        <v>1054</v>
      </c>
      <c r="J1005" s="2">
        <v>45733.736805555556</v>
      </c>
      <c r="L1005" s="1" t="s">
        <v>18</v>
      </c>
      <c r="M1005" s="1" t="str">
        <f>_xlfn.XLOOKUP(I1005,Parâmetros!A:A,Parâmetros!B:B,_xlfn.XLOOKUP(Q1005,Parâmetros!F:F,Parâmetros!G:G,"NOVA MENSAGEM"))</f>
        <v>CÓD. CLIENTE DIVERGENTE</v>
      </c>
      <c r="N1005" s="1" t="str">
        <f>_xlfn.XLOOKUP(M1005,Parâmetros!K:K,Parâmetros!L:L,"")</f>
        <v>CÓDIGO DIFERENTE DO CADASTRADO NO BENNER (CLIENTE X GRUPO)</v>
      </c>
      <c r="O1005" s="1" t="str">
        <f>_xlfn.XLOOKUP(M1005,Parâmetros!B:B,Parâmetros!C:C,_xlfn.XLOOKUP(Base!M930,Parâmetros!G:G,Parâmetros!H:H))</f>
        <v>QUALIDADE DOS DADOS</v>
      </c>
      <c r="P1005" s="1" t="str">
        <f>_xlfn.XLOOKUP(I1005,Parâmetros!A:A,Parâmetros!D:D,_xlfn.XLOOKUP(Q1005,Parâmetros!F:F,Parâmetros!I:I))</f>
        <v>SUPORTE OBT</v>
      </c>
      <c r="Q1005" s="1">
        <f t="shared" si="31"/>
        <v>1</v>
      </c>
    </row>
    <row r="1006" spans="1:17" x14ac:dyDescent="0.25">
      <c r="A1006" s="1" t="str">
        <f>_xlfn.XLOOKUP(D1006,'Novo relatório'!B:B,'Novo relatório'!C:C,"RESOLVIDO")</f>
        <v>SABRE</v>
      </c>
      <c r="C1006" t="str">
        <f t="shared" si="30"/>
        <v>PENDENTE</v>
      </c>
      <c r="D1006" s="1">
        <v>3305237</v>
      </c>
      <c r="E1006" s="1" t="s">
        <v>26</v>
      </c>
      <c r="F1006" s="2">
        <v>45733.645833333336</v>
      </c>
      <c r="G1006" s="1" t="s">
        <v>1477</v>
      </c>
      <c r="H1006" s="1" t="s">
        <v>1477</v>
      </c>
      <c r="I1006" s="1" t="s">
        <v>410</v>
      </c>
      <c r="J1006" s="2">
        <v>45733.737500000003</v>
      </c>
      <c r="L1006" s="1" t="s">
        <v>18</v>
      </c>
      <c r="M1006" s="1" t="str">
        <f>_xlfn.XLOOKUP(I1006,Parâmetros!A:A,Parâmetros!B:B,_xlfn.XLOOKUP(Q1006,Parâmetros!F:F,Parâmetros!G:G,"NOVA MENSAGEM"))</f>
        <v>CÓD. CLIENTE DIVERGENTE</v>
      </c>
      <c r="N1006" s="1" t="str">
        <f>_xlfn.XLOOKUP(M1006,Parâmetros!K:K,Parâmetros!L:L,"")</f>
        <v>CÓDIGO DIFERENTE DO CADASTRADO NO BENNER (CLIENTE X GRUPO)</v>
      </c>
      <c r="O1006" s="1" t="str">
        <f>_xlfn.XLOOKUP(M1006,Parâmetros!B:B,Parâmetros!C:C,_xlfn.XLOOKUP(Base!M891,Parâmetros!G:G,Parâmetros!H:H))</f>
        <v>QUALIDADE DOS DADOS</v>
      </c>
      <c r="P1006" s="1" t="str">
        <f>_xlfn.XLOOKUP(I1006,Parâmetros!A:A,Parâmetros!D:D,_xlfn.XLOOKUP(Q1006,Parâmetros!F:F,Parâmetros!I:I))</f>
        <v>SUPORTE OBT</v>
      </c>
      <c r="Q1006" s="1">
        <f t="shared" si="31"/>
        <v>1</v>
      </c>
    </row>
    <row r="1007" spans="1:17" x14ac:dyDescent="0.25">
      <c r="A1007" s="1" t="str">
        <f>_xlfn.XLOOKUP(D1007,'Novo relatório'!B:B,'Novo relatório'!C:C,"RESOLVIDO")</f>
        <v>SABRE</v>
      </c>
      <c r="C1007" t="str">
        <f t="shared" si="30"/>
        <v>PENDENTE</v>
      </c>
      <c r="D1007" s="1">
        <v>3305243</v>
      </c>
      <c r="E1007" s="1" t="s">
        <v>26</v>
      </c>
      <c r="F1007" s="2">
        <v>45733.645833333336</v>
      </c>
      <c r="G1007" s="1" t="s">
        <v>1504</v>
      </c>
      <c r="H1007" s="1" t="s">
        <v>1504</v>
      </c>
      <c r="I1007" s="1" t="s">
        <v>396</v>
      </c>
      <c r="J1007" s="2">
        <v>45733.738194444442</v>
      </c>
      <c r="L1007" s="1" t="s">
        <v>18</v>
      </c>
      <c r="M1007" s="1" t="str">
        <f>_xlfn.XLOOKUP(I1007,Parâmetros!A:A,Parâmetros!B:B,_xlfn.XLOOKUP(Q1007,Parâmetros!F:F,Parâmetros!G:G,"NOVA MENSAGEM"))</f>
        <v>CÓD. CLIENTE DIVERGENTE</v>
      </c>
      <c r="N1007" s="1" t="str">
        <f>_xlfn.XLOOKUP(M1007,Parâmetros!K:K,Parâmetros!L:L,"")</f>
        <v>CÓDIGO DIFERENTE DO CADASTRADO NO BENNER (CLIENTE X GRUPO)</v>
      </c>
      <c r="O1007" s="1" t="str">
        <f>_xlfn.XLOOKUP(M1007,Parâmetros!B:B,Parâmetros!C:C,_xlfn.XLOOKUP(Base!M914,Parâmetros!G:G,Parâmetros!H:H))</f>
        <v>QUALIDADE DOS DADOS</v>
      </c>
      <c r="P1007" s="1" t="str">
        <f>_xlfn.XLOOKUP(I1007,Parâmetros!A:A,Parâmetros!D:D,_xlfn.XLOOKUP(Q1007,Parâmetros!F:F,Parâmetros!I:I))</f>
        <v>SUPORTE OBT</v>
      </c>
      <c r="Q1007" s="1">
        <f t="shared" si="31"/>
        <v>1</v>
      </c>
    </row>
    <row r="1008" spans="1:17" x14ac:dyDescent="0.25">
      <c r="A1008" s="1" t="str">
        <f>_xlfn.XLOOKUP(D1008,'Novo relatório'!B:B,'Novo relatório'!C:C,"RESOLVIDO")</f>
        <v>SABRE</v>
      </c>
      <c r="C1008" t="str">
        <f t="shared" si="30"/>
        <v>PENDENTE</v>
      </c>
      <c r="D1008" s="1">
        <v>3305245</v>
      </c>
      <c r="E1008" s="1" t="s">
        <v>26</v>
      </c>
      <c r="F1008" s="2">
        <v>45733.645833333336</v>
      </c>
      <c r="G1008" s="1" t="s">
        <v>1528</v>
      </c>
      <c r="H1008" s="1" t="s">
        <v>1528</v>
      </c>
      <c r="I1008" s="1" t="s">
        <v>1060</v>
      </c>
      <c r="J1008" s="2">
        <v>45733.738194444442</v>
      </c>
      <c r="L1008" s="1" t="s">
        <v>18</v>
      </c>
      <c r="M1008" s="1" t="str">
        <f>_xlfn.XLOOKUP(I1008,Parâmetros!A:A,Parâmetros!B:B,_xlfn.XLOOKUP(Q1008,Parâmetros!F:F,Parâmetros!G:G,"NOVA MENSAGEM"))</f>
        <v>CÓD. CLIENTE DIVERGENTE</v>
      </c>
      <c r="N1008" s="1" t="str">
        <f>_xlfn.XLOOKUP(M1008,Parâmetros!K:K,Parâmetros!L:L,"")</f>
        <v>CÓDIGO DIFERENTE DO CADASTRADO NO BENNER (CLIENTE X GRUPO)</v>
      </c>
      <c r="O1008" s="1" t="str">
        <f>_xlfn.XLOOKUP(M1008,Parâmetros!B:B,Parâmetros!C:C,_xlfn.XLOOKUP(Base!M933,Parâmetros!G:G,Parâmetros!H:H))</f>
        <v>QUALIDADE DOS DADOS</v>
      </c>
      <c r="P1008" s="1" t="str">
        <f>_xlfn.XLOOKUP(I1008,Parâmetros!A:A,Parâmetros!D:D,_xlfn.XLOOKUP(Q1008,Parâmetros!F:F,Parâmetros!I:I))</f>
        <v>SUPORTE OBT</v>
      </c>
      <c r="Q1008" s="1">
        <f t="shared" si="31"/>
        <v>1</v>
      </c>
    </row>
    <row r="1009" spans="1:17" x14ac:dyDescent="0.25">
      <c r="A1009" s="1" t="str">
        <f>_xlfn.XLOOKUP(D1009,'Novo relatório'!B:B,'Novo relatório'!C:C,"RESOLVIDO")</f>
        <v>SABRE</v>
      </c>
      <c r="C1009" t="str">
        <f t="shared" si="30"/>
        <v>PENDENTE</v>
      </c>
      <c r="D1009" s="1">
        <v>3305493</v>
      </c>
      <c r="E1009" s="1" t="s">
        <v>26</v>
      </c>
      <c r="F1009" s="2">
        <v>45733.665972222225</v>
      </c>
      <c r="G1009" s="1" t="s">
        <v>1462</v>
      </c>
      <c r="H1009" s="1" t="s">
        <v>1463</v>
      </c>
      <c r="I1009" s="1" t="s">
        <v>64</v>
      </c>
      <c r="J1009" s="2">
        <v>45733.754166666666</v>
      </c>
      <c r="L1009" s="1" t="s">
        <v>1244</v>
      </c>
      <c r="M1009" s="1" t="str">
        <f>_xlfn.XLOOKUP(I1009,Parâmetros!A:A,Parâmetros!B:B,_xlfn.XLOOKUP(Q1009,Parâmetros!F:F,Parâmetros!G:G,"NOVA MENSAGEM"))</f>
        <v>FORMATO DE TEXTO</v>
      </c>
      <c r="N1009" s="1" t="str">
        <f>_xlfn.XLOOKUP(M1009,Parâmetros!K:K,Parâmetros!L:L,"")</f>
        <v>TEXTO FORA DO PADRÃO ACEITO NO CAMPO</v>
      </c>
      <c r="O1009" s="1" t="str">
        <f>_xlfn.XLOOKUP(M1009,Parâmetros!B:B,Parâmetros!C:C,_xlfn.XLOOKUP(Base!M880,Parâmetros!G:G,Parâmetros!H:H))</f>
        <v>INDEFINIDO</v>
      </c>
      <c r="P1009" s="1" t="str">
        <f>_xlfn.XLOOKUP(I1009,Parâmetros!A:A,Parâmetros!D:D,_xlfn.XLOOKUP(Q1009,Parâmetros!F:F,Parâmetros!I:I))</f>
        <v>SUPORTE OBT</v>
      </c>
      <c r="Q1009" s="1" t="str">
        <f t="shared" si="31"/>
        <v>COLUNA I</v>
      </c>
    </row>
    <row r="1010" spans="1:17" x14ac:dyDescent="0.25">
      <c r="A1010" s="1" t="str">
        <f>_xlfn.XLOOKUP(D1010,'Novo relatório'!B:B,'Novo relatório'!C:C,"RESOLVIDO")</f>
        <v>SABRE</v>
      </c>
      <c r="C1010" t="str">
        <f t="shared" si="30"/>
        <v>PENDENTE</v>
      </c>
      <c r="D1010" s="1">
        <v>3305494</v>
      </c>
      <c r="E1010" s="1" t="s">
        <v>26</v>
      </c>
      <c r="F1010" s="2">
        <v>45733.666666666664</v>
      </c>
      <c r="G1010" s="1" t="s">
        <v>1459</v>
      </c>
      <c r="H1010" s="1" t="s">
        <v>1460</v>
      </c>
      <c r="I1010" s="1" t="s">
        <v>64</v>
      </c>
      <c r="J1010" s="2">
        <v>45733.754166666666</v>
      </c>
      <c r="L1010" s="1" t="s">
        <v>1244</v>
      </c>
      <c r="M1010" s="1" t="str">
        <f>_xlfn.XLOOKUP(I1010,Parâmetros!A:A,Parâmetros!B:B,_xlfn.XLOOKUP(Q1010,Parâmetros!F:F,Parâmetros!G:G,"NOVA MENSAGEM"))</f>
        <v>FORMATO DE TEXTO</v>
      </c>
      <c r="N1010" s="1" t="str">
        <f>_xlfn.XLOOKUP(M1010,Parâmetros!K:K,Parâmetros!L:L,"")</f>
        <v>TEXTO FORA DO PADRÃO ACEITO NO CAMPO</v>
      </c>
      <c r="O1010" s="1" t="str">
        <f>_xlfn.XLOOKUP(M1010,Parâmetros!B:B,Parâmetros!C:C,_xlfn.XLOOKUP(Base!M878,Parâmetros!G:G,Parâmetros!H:H))</f>
        <v>INDEFINIDO</v>
      </c>
      <c r="P1010" s="1" t="str">
        <f>_xlfn.XLOOKUP(I1010,Parâmetros!A:A,Parâmetros!D:D,_xlfn.XLOOKUP(Q1010,Parâmetros!F:F,Parâmetros!I:I))</f>
        <v>SUPORTE OBT</v>
      </c>
      <c r="Q1010" s="1" t="str">
        <f t="shared" si="31"/>
        <v>COLUNA I</v>
      </c>
    </row>
    <row r="1011" spans="1:17" x14ac:dyDescent="0.25">
      <c r="A1011" s="1" t="str">
        <f>_xlfn.XLOOKUP(D1011,'Novo relatório'!B:B,'Novo relatório'!C:C,"RESOLVIDO")</f>
        <v>SABRE</v>
      </c>
      <c r="C1011" t="str">
        <f t="shared" si="30"/>
        <v>PENDENTE</v>
      </c>
      <c r="D1011" s="1">
        <v>3305495</v>
      </c>
      <c r="E1011" s="1" t="s">
        <v>26</v>
      </c>
      <c r="F1011" s="2">
        <v>45733.666666666664</v>
      </c>
      <c r="G1011" s="1" t="s">
        <v>1555</v>
      </c>
      <c r="H1011" s="1" t="s">
        <v>1556</v>
      </c>
      <c r="I1011" s="1" t="s">
        <v>64</v>
      </c>
      <c r="J1011" s="2">
        <v>45733.754166666666</v>
      </c>
      <c r="L1011" s="1" t="s">
        <v>1244</v>
      </c>
      <c r="M1011" s="1" t="str">
        <f>_xlfn.XLOOKUP(I1011,Parâmetros!A:A,Parâmetros!B:B,_xlfn.XLOOKUP(Q1011,Parâmetros!F:F,Parâmetros!G:G,"NOVA MENSAGEM"))</f>
        <v>FORMATO DE TEXTO</v>
      </c>
      <c r="N1011" s="1" t="str">
        <f>_xlfn.XLOOKUP(M1011,Parâmetros!K:K,Parâmetros!L:L,"")</f>
        <v>TEXTO FORA DO PADRÃO ACEITO NO CAMPO</v>
      </c>
      <c r="O1011" s="1" t="str">
        <f>_xlfn.XLOOKUP(M1011,Parâmetros!B:B,Parâmetros!C:C,_xlfn.XLOOKUP(Base!M954,Parâmetros!G:G,Parâmetros!H:H))</f>
        <v>INDEFINIDO</v>
      </c>
      <c r="P1011" s="1" t="str">
        <f>_xlfn.XLOOKUP(I1011,Parâmetros!A:A,Parâmetros!D:D,_xlfn.XLOOKUP(Q1011,Parâmetros!F:F,Parâmetros!I:I))</f>
        <v>SUPORTE OBT</v>
      </c>
      <c r="Q1011" s="1" t="str">
        <f t="shared" si="31"/>
        <v>COLUNA I</v>
      </c>
    </row>
    <row r="1012" spans="1:17" x14ac:dyDescent="0.25">
      <c r="A1012" s="1" t="str">
        <f>_xlfn.XLOOKUP(D1012,'Novo relatório'!B:B,'Novo relatório'!C:C,"RESOLVIDO")</f>
        <v>SABRE</v>
      </c>
      <c r="C1012" t="str">
        <f t="shared" si="30"/>
        <v>PENDENTE</v>
      </c>
      <c r="D1012" s="1">
        <v>3305496</v>
      </c>
      <c r="E1012" s="1" t="s">
        <v>26</v>
      </c>
      <c r="F1012" s="2">
        <v>45733.666666666664</v>
      </c>
      <c r="G1012" s="1" t="s">
        <v>1519</v>
      </c>
      <c r="H1012" s="1" t="s">
        <v>1520</v>
      </c>
      <c r="I1012" s="1" t="s">
        <v>64</v>
      </c>
      <c r="J1012" s="2">
        <v>45733.754166666666</v>
      </c>
      <c r="L1012" s="1" t="s">
        <v>1244</v>
      </c>
      <c r="M1012" s="1" t="str">
        <f>_xlfn.XLOOKUP(I1012,Parâmetros!A:A,Parâmetros!B:B,_xlfn.XLOOKUP(Q1012,Parâmetros!F:F,Parâmetros!G:G,"NOVA MENSAGEM"))</f>
        <v>FORMATO DE TEXTO</v>
      </c>
      <c r="N1012" s="1" t="str">
        <f>_xlfn.XLOOKUP(M1012,Parâmetros!K:K,Parâmetros!L:L,"")</f>
        <v>TEXTO FORA DO PADRÃO ACEITO NO CAMPO</v>
      </c>
      <c r="O1012" s="1" t="str">
        <f>_xlfn.XLOOKUP(M1012,Parâmetros!B:B,Parâmetros!C:C,_xlfn.XLOOKUP(Base!M927,Parâmetros!G:G,Parâmetros!H:H))</f>
        <v>INDEFINIDO</v>
      </c>
      <c r="P1012" s="1" t="str">
        <f>_xlfn.XLOOKUP(I1012,Parâmetros!A:A,Parâmetros!D:D,_xlfn.XLOOKUP(Q1012,Parâmetros!F:F,Parâmetros!I:I))</f>
        <v>SUPORTE OBT</v>
      </c>
      <c r="Q1012" s="1" t="str">
        <f t="shared" si="31"/>
        <v>COLUNA I</v>
      </c>
    </row>
    <row r="1013" spans="1:17" x14ac:dyDescent="0.25">
      <c r="A1013" s="1" t="str">
        <f>_xlfn.XLOOKUP(D1013,'Novo relatório'!B:B,'Novo relatório'!C:C,"RESOLVIDO")</f>
        <v>SABRE</v>
      </c>
      <c r="C1013" t="str">
        <f t="shared" si="30"/>
        <v>PENDENTE</v>
      </c>
      <c r="D1013" s="1">
        <v>3305499</v>
      </c>
      <c r="E1013" s="1" t="s">
        <v>26</v>
      </c>
      <c r="F1013" s="2">
        <v>45733.669444444444</v>
      </c>
      <c r="G1013" s="1" t="s">
        <v>1393</v>
      </c>
      <c r="H1013" s="1" t="s">
        <v>1394</v>
      </c>
      <c r="I1013" s="1" t="s">
        <v>64</v>
      </c>
      <c r="J1013" s="2">
        <v>45733.754166666666</v>
      </c>
      <c r="L1013" s="1" t="s">
        <v>1244</v>
      </c>
      <c r="M1013" s="1" t="str">
        <f>_xlfn.XLOOKUP(I1013,Parâmetros!A:A,Parâmetros!B:B,_xlfn.XLOOKUP(Q1013,Parâmetros!F:F,Parâmetros!G:G,"NOVA MENSAGEM"))</f>
        <v>FORMATO DE TEXTO</v>
      </c>
      <c r="N1013" s="1" t="str">
        <f>_xlfn.XLOOKUP(M1013,Parâmetros!K:K,Parâmetros!L:L,"")</f>
        <v>TEXTO FORA DO PADRÃO ACEITO NO CAMPO</v>
      </c>
      <c r="O1013" s="1" t="str">
        <f>_xlfn.XLOOKUP(M1013,Parâmetros!B:B,Parâmetros!C:C,_xlfn.XLOOKUP(Base!M826,Parâmetros!G:G,Parâmetros!H:H))</f>
        <v>INDEFINIDO</v>
      </c>
      <c r="P1013" s="1" t="str">
        <f>_xlfn.XLOOKUP(I1013,Parâmetros!A:A,Parâmetros!D:D,_xlfn.XLOOKUP(Q1013,Parâmetros!F:F,Parâmetros!I:I))</f>
        <v>SUPORTE OBT</v>
      </c>
      <c r="Q1013" s="1" t="str">
        <f t="shared" si="31"/>
        <v>COLUNA I</v>
      </c>
    </row>
    <row r="1014" spans="1:17" x14ac:dyDescent="0.25">
      <c r="A1014" s="1" t="str">
        <f>_xlfn.XLOOKUP(D1014,'Novo relatório'!B:B,'Novo relatório'!C:C,"RESOLVIDO")</f>
        <v>SABRE</v>
      </c>
      <c r="C1014" t="str">
        <f t="shared" si="30"/>
        <v>PENDENTE</v>
      </c>
      <c r="D1014" s="1">
        <v>3305920</v>
      </c>
      <c r="E1014" s="1" t="s">
        <v>26</v>
      </c>
      <c r="F1014" s="2">
        <v>45733.729861111111</v>
      </c>
      <c r="G1014" s="1" t="s">
        <v>1424</v>
      </c>
      <c r="H1014" s="1" t="s">
        <v>1424</v>
      </c>
      <c r="I1014" s="1" t="s">
        <v>83</v>
      </c>
      <c r="J1014" s="2">
        <v>45733.816666666666</v>
      </c>
      <c r="L1014" s="1" t="s">
        <v>18</v>
      </c>
      <c r="M1014" s="1" t="str">
        <f>_xlfn.XLOOKUP(I1014,Parâmetros!A:A,Parâmetros!B:B,_xlfn.XLOOKUP(Q1014,Parâmetros!F:F,Parâmetros!G:G,"NOVA MENSAGEM"))</f>
        <v>CLIENTE NÃO IDENTIFICADO</v>
      </c>
      <c r="N1014" s="1" t="str">
        <f>_xlfn.XLOOKUP(M1014,Parâmetros!K:K,Parâmetros!L:L,"")</f>
        <v>DK DE CLIENTE NÃO PREENCIDO / CLIENTE NÃO CONFIGURADO NO OBT</v>
      </c>
      <c r="O1014" s="1" t="str">
        <f>_xlfn.XLOOKUP(M1014,Parâmetros!B:B,Parâmetros!C:C,_xlfn.XLOOKUP(Base!M849,Parâmetros!G:G,Parâmetros!H:H))</f>
        <v>INDEFINIDO</v>
      </c>
      <c r="P1014" s="1" t="str">
        <f>_xlfn.XLOOKUP(I1014,Parâmetros!A:A,Parâmetros!D:D,_xlfn.XLOOKUP(Q1014,Parâmetros!F:F,Parâmetros!I:I))</f>
        <v>OPERAÇÕES / SUPORTE KCS</v>
      </c>
      <c r="Q1014" s="1" t="str">
        <f t="shared" si="31"/>
        <v>COLUNA I</v>
      </c>
    </row>
    <row r="1015" spans="1:17" x14ac:dyDescent="0.25">
      <c r="A1015" s="1" t="str">
        <f>_xlfn.XLOOKUP(D1015,'Novo relatório'!B:B,'Novo relatório'!C:C,"RESOLVIDO")</f>
        <v>SABRE</v>
      </c>
      <c r="C1015" t="str">
        <f t="shared" si="30"/>
        <v>PENDENTE</v>
      </c>
      <c r="D1015" s="1">
        <v>3305939</v>
      </c>
      <c r="E1015" s="1" t="s">
        <v>26</v>
      </c>
      <c r="F1015" s="2">
        <v>45733.729861111111</v>
      </c>
      <c r="G1015" s="1" t="s">
        <v>1508</v>
      </c>
      <c r="H1015" s="1" t="s">
        <v>1508</v>
      </c>
      <c r="I1015" s="1" t="s">
        <v>83</v>
      </c>
      <c r="J1015" s="2">
        <v>45733.817361111112</v>
      </c>
      <c r="L1015" s="1" t="s">
        <v>18</v>
      </c>
      <c r="M1015" s="1" t="str">
        <f>_xlfn.XLOOKUP(I1015,Parâmetros!A:A,Parâmetros!B:B,_xlfn.XLOOKUP(Q1015,Parâmetros!F:F,Parâmetros!G:G,"NOVA MENSAGEM"))</f>
        <v>CLIENTE NÃO IDENTIFICADO</v>
      </c>
      <c r="N1015" s="1" t="str">
        <f>_xlfn.XLOOKUP(M1015,Parâmetros!K:K,Parâmetros!L:L,"")</f>
        <v>DK DE CLIENTE NÃO PREENCIDO / CLIENTE NÃO CONFIGURADO NO OBT</v>
      </c>
      <c r="O1015" s="1" t="str">
        <f>_xlfn.XLOOKUP(M1015,Parâmetros!B:B,Parâmetros!C:C,_xlfn.XLOOKUP(Base!M917,Parâmetros!G:G,Parâmetros!H:H))</f>
        <v>INDEFINIDO</v>
      </c>
      <c r="P1015" s="1" t="str">
        <f>_xlfn.XLOOKUP(I1015,Parâmetros!A:A,Parâmetros!D:D,_xlfn.XLOOKUP(Q1015,Parâmetros!F:F,Parâmetros!I:I))</f>
        <v>OPERAÇÕES / SUPORTE KCS</v>
      </c>
      <c r="Q1015" s="1" t="str">
        <f t="shared" si="31"/>
        <v>COLUNA I</v>
      </c>
    </row>
    <row r="1016" spans="1:17" x14ac:dyDescent="0.25">
      <c r="A1016" s="1" t="str">
        <f>_xlfn.XLOOKUP(D1016,'Novo relatório'!B:B,'Novo relatório'!C:C,"RESOLVIDO")</f>
        <v>TMS</v>
      </c>
      <c r="C1016" t="str">
        <f t="shared" si="30"/>
        <v>PENDENTE</v>
      </c>
      <c r="D1016" s="1">
        <v>3305948</v>
      </c>
      <c r="E1016" s="1" t="s">
        <v>12</v>
      </c>
      <c r="F1016" s="2">
        <v>45733.582638888889</v>
      </c>
      <c r="G1016" s="1">
        <v>1375</v>
      </c>
      <c r="H1016" s="1">
        <v>1375</v>
      </c>
      <c r="I1016" s="1" t="s">
        <v>16</v>
      </c>
      <c r="J1016" s="2">
        <v>45733.818055555559</v>
      </c>
      <c r="K1016" s="2">
        <v>45734.253472222219</v>
      </c>
      <c r="L1016" s="1" t="s">
        <v>14</v>
      </c>
      <c r="M1016" s="1" t="str">
        <f>_xlfn.XLOOKUP(I1016,Parâmetros!A:A,Parâmetros!B:B,_xlfn.XLOOKUP(Q1016,Parâmetros!F:F,Parâmetros!G:G,"NOVA MENSAGEM"))</f>
        <v>ASSENTO / BAGAGEM</v>
      </c>
      <c r="N1016" s="1" t="str">
        <f>_xlfn.XLOOKUP(M1016,Parâmetros!K:K,Parâmetros!L:L,"")</f>
        <v>CAMPO OBSERVAÇÃO PREENCHIDO INCORRETAMENTE</v>
      </c>
      <c r="O1016" s="1" t="str">
        <f>_xlfn.XLOOKUP(M1016,Parâmetros!B:B,Parâmetros!C:C,_xlfn.XLOOKUP(Base!M996,Parâmetros!G:G,Parâmetros!H:H))</f>
        <v>QUALIDADE DOS DADOS</v>
      </c>
      <c r="P1016" s="1" t="str">
        <f>_xlfn.XLOOKUP(I1016,Parâmetros!A:A,Parâmetros!D:D,_xlfn.XLOOKUP(Q1016,Parâmetros!F:F,Parâmetros!I:I))</f>
        <v>OPERAÇÕES / SUPORTE KCS</v>
      </c>
      <c r="Q1016" s="1">
        <f t="shared" si="31"/>
        <v>118</v>
      </c>
    </row>
    <row r="1017" spans="1:17" x14ac:dyDescent="0.25">
      <c r="A1017" s="1" t="str">
        <f>_xlfn.XLOOKUP(D1017,'Novo relatório'!B:B,'Novo relatório'!C:C,"RESOLVIDO")</f>
        <v>GOVER</v>
      </c>
      <c r="C1017" t="str">
        <f t="shared" si="30"/>
        <v>PENDENTE</v>
      </c>
      <c r="D1017" s="1">
        <v>3307282</v>
      </c>
      <c r="E1017" s="1" t="s">
        <v>24</v>
      </c>
      <c r="F1017" s="2">
        <v>45490.397916666669</v>
      </c>
      <c r="G1017" s="1">
        <v>381463</v>
      </c>
      <c r="H1017" s="1" t="s">
        <v>189</v>
      </c>
      <c r="I1017" s="1" t="s">
        <v>1023</v>
      </c>
      <c r="J1017" s="2">
        <v>45734.466666666667</v>
      </c>
      <c r="K1017" s="2">
        <v>45734.633333333331</v>
      </c>
      <c r="L1017" s="1" t="s">
        <v>1244</v>
      </c>
      <c r="M1017" s="1" t="str">
        <f>_xlfn.XLOOKUP(I1017,Parâmetros!A:A,Parâmetros!B:B,_xlfn.XLOOKUP(Q1017,Parâmetros!F:F,Parâmetros!G:G,"NOVA MENSAGEM"))</f>
        <v>DADOS DO CARTÃO</v>
      </c>
      <c r="N1017" s="1" t="str">
        <f>_xlfn.XLOOKUP(M1017,Parâmetros!K:K,Parâmetros!L:L,"")</f>
        <v>TAG &lt;CARTAOVALIDADE&gt; NÃO ENVIADA</v>
      </c>
      <c r="O1017" s="1" t="str">
        <f>_xlfn.XLOOKUP(M1017,Parâmetros!B:B,Parâmetros!C:C,_xlfn.XLOOKUP(Base!M1026,Parâmetros!G:G,Parâmetros!H:H))</f>
        <v>SISTEMA</v>
      </c>
      <c r="P1017" s="1" t="str">
        <f>_xlfn.XLOOKUP(I1017,Parâmetros!A:A,Parâmetros!D:D,_xlfn.XLOOKUP(Q1017,Parâmetros!F:F,Parâmetros!I:I))</f>
        <v>SUPORTE OBT</v>
      </c>
      <c r="Q1017" s="1">
        <f t="shared" si="31"/>
        <v>40</v>
      </c>
    </row>
    <row r="1018" spans="1:17" x14ac:dyDescent="0.25">
      <c r="A1018" s="1" t="str">
        <f>_xlfn.XLOOKUP(D1018,'Novo relatório'!B:B,'Novo relatório'!C:C,"RESOLVIDO")</f>
        <v>GOVER</v>
      </c>
      <c r="C1018" t="str">
        <f t="shared" si="30"/>
        <v>PENDENTE</v>
      </c>
      <c r="D1018" s="1">
        <v>3307283</v>
      </c>
      <c r="E1018" s="1" t="s">
        <v>24</v>
      </c>
      <c r="F1018" s="2">
        <v>45490.613888888889</v>
      </c>
      <c r="G1018" s="1">
        <v>381492</v>
      </c>
      <c r="H1018" s="1" t="s">
        <v>191</v>
      </c>
      <c r="I1018" s="1" t="s">
        <v>1024</v>
      </c>
      <c r="J1018" s="2">
        <v>45734.466666666667</v>
      </c>
      <c r="K1018" s="2">
        <v>45734.633333333331</v>
      </c>
      <c r="L1018" s="1" t="s">
        <v>1244</v>
      </c>
      <c r="M1018" s="1" t="str">
        <f>_xlfn.XLOOKUP(I1018,Parâmetros!A:A,Parâmetros!B:B,_xlfn.XLOOKUP(Q1018,Parâmetros!F:F,Parâmetros!G:G,"NOVA MENSAGEM"))</f>
        <v>DADOS DO CARTÃO</v>
      </c>
      <c r="N1018" s="1" t="str">
        <f>_xlfn.XLOOKUP(M1018,Parâmetros!K:K,Parâmetros!L:L,"")</f>
        <v>TAG &lt;CARTAOVALIDADE&gt; NÃO ENVIADA</v>
      </c>
      <c r="O1018" s="1" t="str">
        <f>_xlfn.XLOOKUP(M1018,Parâmetros!B:B,Parâmetros!C:C,_xlfn.XLOOKUP(Base!M1027,Parâmetros!G:G,Parâmetros!H:H))</f>
        <v>SISTEMA</v>
      </c>
      <c r="P1018" s="1" t="str">
        <f>_xlfn.XLOOKUP(I1018,Parâmetros!A:A,Parâmetros!D:D,_xlfn.XLOOKUP(Q1018,Parâmetros!F:F,Parâmetros!I:I))</f>
        <v>SUPORTE OBT</v>
      </c>
      <c r="Q1018" s="1">
        <f t="shared" si="31"/>
        <v>40</v>
      </c>
    </row>
    <row r="1019" spans="1:17" x14ac:dyDescent="0.25">
      <c r="A1019" s="1" t="str">
        <f>_xlfn.XLOOKUP(D1019,'Novo relatório'!B:B,'Novo relatório'!C:C,"RESOLVIDO")</f>
        <v>GOVER</v>
      </c>
      <c r="C1019" t="str">
        <f t="shared" si="30"/>
        <v>PENDENTE</v>
      </c>
      <c r="D1019" s="1">
        <v>3307284</v>
      </c>
      <c r="E1019" s="1" t="s">
        <v>24</v>
      </c>
      <c r="F1019" s="2">
        <v>45490.626388888886</v>
      </c>
      <c r="G1019" s="1">
        <v>381493</v>
      </c>
      <c r="H1019" s="1" t="s">
        <v>192</v>
      </c>
      <c r="I1019" s="1" t="s">
        <v>1025</v>
      </c>
      <c r="J1019" s="2">
        <v>45734.466666666667</v>
      </c>
      <c r="K1019" s="2">
        <v>45734.633333333331</v>
      </c>
      <c r="L1019" s="1" t="s">
        <v>1244</v>
      </c>
      <c r="M1019" s="1" t="str">
        <f>_xlfn.XLOOKUP(I1019,Parâmetros!A:A,Parâmetros!B:B,_xlfn.XLOOKUP(Q1019,Parâmetros!F:F,Parâmetros!G:G,"NOVA MENSAGEM"))</f>
        <v>DADOS DO CARTÃO</v>
      </c>
      <c r="N1019" s="1" t="str">
        <f>_xlfn.XLOOKUP(M1019,Parâmetros!K:K,Parâmetros!L:L,"")</f>
        <v>TAG &lt;CARTAOVALIDADE&gt; NÃO ENVIADA</v>
      </c>
      <c r="O1019" s="1" t="str">
        <f>_xlfn.XLOOKUP(M1019,Parâmetros!B:B,Parâmetros!C:C,_xlfn.XLOOKUP(Base!M1028,Parâmetros!G:G,Parâmetros!H:H))</f>
        <v>SISTEMA</v>
      </c>
      <c r="P1019" s="1" t="str">
        <f>_xlfn.XLOOKUP(I1019,Parâmetros!A:A,Parâmetros!D:D,_xlfn.XLOOKUP(Q1019,Parâmetros!F:F,Parâmetros!I:I))</f>
        <v>SUPORTE OBT</v>
      </c>
      <c r="Q1019" s="1">
        <f t="shared" si="31"/>
        <v>40</v>
      </c>
    </row>
    <row r="1020" spans="1:17" x14ac:dyDescent="0.25">
      <c r="A1020" s="1" t="str">
        <f>_xlfn.XLOOKUP(D1020,'Novo relatório'!B:B,'Novo relatório'!C:C,"RESOLVIDO")</f>
        <v>GOVER</v>
      </c>
      <c r="C1020" t="str">
        <f t="shared" si="30"/>
        <v>PENDENTE</v>
      </c>
      <c r="D1020" s="1">
        <v>3307285</v>
      </c>
      <c r="E1020" s="1" t="s">
        <v>24</v>
      </c>
      <c r="F1020" s="2">
        <v>45490.62777777778</v>
      </c>
      <c r="G1020" s="1">
        <v>381495</v>
      </c>
      <c r="H1020" s="1" t="s">
        <v>193</v>
      </c>
      <c r="I1020" s="1" t="s">
        <v>1026</v>
      </c>
      <c r="J1020" s="2">
        <v>45734.466666666667</v>
      </c>
      <c r="K1020" s="2">
        <v>45734.633333333331</v>
      </c>
      <c r="L1020" s="1" t="s">
        <v>1244</v>
      </c>
      <c r="M1020" s="1" t="str">
        <f>_xlfn.XLOOKUP(I1020,Parâmetros!A:A,Parâmetros!B:B,_xlfn.XLOOKUP(Q1020,Parâmetros!F:F,Parâmetros!G:G,"NOVA MENSAGEM"))</f>
        <v>DADOS DO CARTÃO</v>
      </c>
      <c r="N1020" s="1" t="str">
        <f>_xlfn.XLOOKUP(M1020,Parâmetros!K:K,Parâmetros!L:L,"")</f>
        <v>TAG &lt;CARTAOVALIDADE&gt; NÃO ENVIADA</v>
      </c>
      <c r="O1020" s="1" t="str">
        <f>_xlfn.XLOOKUP(M1020,Parâmetros!B:B,Parâmetros!C:C,_xlfn.XLOOKUP(Base!M1029,Parâmetros!G:G,Parâmetros!H:H))</f>
        <v>SISTEMA</v>
      </c>
      <c r="P1020" s="1" t="str">
        <f>_xlfn.XLOOKUP(I1020,Parâmetros!A:A,Parâmetros!D:D,_xlfn.XLOOKUP(Q1020,Parâmetros!F:F,Parâmetros!I:I))</f>
        <v>SUPORTE OBT</v>
      </c>
      <c r="Q1020" s="1">
        <f t="shared" si="31"/>
        <v>40</v>
      </c>
    </row>
    <row r="1021" spans="1:17" x14ac:dyDescent="0.25">
      <c r="A1021" s="1" t="str">
        <f>_xlfn.XLOOKUP(D1021,'Novo relatório'!B:B,'Novo relatório'!C:C,"RESOLVIDO")</f>
        <v>GOVER</v>
      </c>
      <c r="C1021" t="str">
        <f t="shared" si="30"/>
        <v>PENDENTE</v>
      </c>
      <c r="D1021" s="1">
        <v>3307286</v>
      </c>
      <c r="E1021" s="1" t="s">
        <v>24</v>
      </c>
      <c r="F1021" s="2">
        <v>45490.682638888888</v>
      </c>
      <c r="G1021" s="1">
        <v>381516</v>
      </c>
      <c r="H1021" s="1" t="s">
        <v>194</v>
      </c>
      <c r="I1021" s="1" t="s">
        <v>1027</v>
      </c>
      <c r="J1021" s="2">
        <v>45734.466666666667</v>
      </c>
      <c r="K1021" s="2">
        <v>45734.633333333331</v>
      </c>
      <c r="L1021" s="1" t="s">
        <v>1244</v>
      </c>
      <c r="M1021" s="1" t="str">
        <f>_xlfn.XLOOKUP(I1021,Parâmetros!A:A,Parâmetros!B:B,_xlfn.XLOOKUP(Q1021,Parâmetros!F:F,Parâmetros!G:G,"NOVA MENSAGEM"))</f>
        <v>DADOS DO CARTÃO</v>
      </c>
      <c r="N1021" s="1" t="str">
        <f>_xlfn.XLOOKUP(M1021,Parâmetros!K:K,Parâmetros!L:L,"")</f>
        <v>TAG &lt;CARTAOVALIDADE&gt; NÃO ENVIADA</v>
      </c>
      <c r="O1021" s="1" t="str">
        <f>_xlfn.XLOOKUP(M1021,Parâmetros!B:B,Parâmetros!C:C,_xlfn.XLOOKUP(Base!M1030,Parâmetros!G:G,Parâmetros!H:H))</f>
        <v>SISTEMA</v>
      </c>
      <c r="P1021" s="1" t="str">
        <f>_xlfn.XLOOKUP(I1021,Parâmetros!A:A,Parâmetros!D:D,_xlfn.XLOOKUP(Q1021,Parâmetros!F:F,Parâmetros!I:I))</f>
        <v>SUPORTE OBT</v>
      </c>
      <c r="Q1021" s="1">
        <f t="shared" si="31"/>
        <v>40</v>
      </c>
    </row>
    <row r="1022" spans="1:17" x14ac:dyDescent="0.25">
      <c r="A1022" s="1" t="str">
        <f>_xlfn.XLOOKUP(D1022,'Novo relatório'!B:B,'Novo relatório'!C:C,"RESOLVIDO")</f>
        <v>GOVER</v>
      </c>
      <c r="C1022" t="str">
        <f t="shared" si="30"/>
        <v>PENDENTE</v>
      </c>
      <c r="D1022" s="1">
        <v>3307287</v>
      </c>
      <c r="E1022" s="1" t="s">
        <v>24</v>
      </c>
      <c r="F1022" s="2">
        <v>45090.704861111109</v>
      </c>
      <c r="G1022" s="1">
        <v>4110674</v>
      </c>
      <c r="H1022" s="1" t="s">
        <v>239</v>
      </c>
      <c r="I1022" s="1" t="s">
        <v>240</v>
      </c>
      <c r="J1022" s="2">
        <v>45734.468055555553</v>
      </c>
      <c r="K1022" s="2">
        <v>45734.634722222225</v>
      </c>
      <c r="L1022" s="1" t="s">
        <v>14</v>
      </c>
      <c r="M1022" s="1" t="str">
        <f>_xlfn.XLOOKUP(I1022,Parâmetros!A:A,Parâmetros!B:B,_xlfn.XLOOKUP(Q1022,Parâmetros!F:F,Parâmetros!G:G,"NOVA MENSAGEM"))</f>
        <v>CENTRO DE CUSTO</v>
      </c>
      <c r="N1022" s="1" t="str">
        <f>_xlfn.XLOOKUP(M1022,Parâmetros!K:K,Parâmetros!L:L,"")</f>
        <v>CENTRO DE CUSTO NÃO INFORMADO NA RESERVA</v>
      </c>
      <c r="O1022" s="1" t="str">
        <f>_xlfn.XLOOKUP(M1022,Parâmetros!B:B,Parâmetros!C:C,_xlfn.XLOOKUP(Base!M1031,Parâmetros!G:G,Parâmetros!H:H))</f>
        <v>QUALIDADE DOS DADOS</v>
      </c>
      <c r="P1022" s="1" t="str">
        <f>_xlfn.XLOOKUP(I1022,Parâmetros!A:A,Parâmetros!D:D,_xlfn.XLOOKUP(Q1022,Parâmetros!F:F,Parâmetros!I:I))</f>
        <v>SUPORTE OBT</v>
      </c>
      <c r="Q1022" s="1" t="str">
        <f t="shared" si="31"/>
        <v>COLUNA I</v>
      </c>
    </row>
    <row r="1023" spans="1:17" x14ac:dyDescent="0.25">
      <c r="A1023" s="1" t="str">
        <f>_xlfn.XLOOKUP(D1023,'Novo relatório'!B:B,'Novo relatório'!C:C,"RESOLVIDO")</f>
        <v>GOVER</v>
      </c>
      <c r="C1023" t="str">
        <f t="shared" si="30"/>
        <v>PENDENTE</v>
      </c>
      <c r="D1023" s="1">
        <v>3307288</v>
      </c>
      <c r="E1023" s="1" t="s">
        <v>24</v>
      </c>
      <c r="F1023" s="2">
        <v>45096.785416666666</v>
      </c>
      <c r="G1023" s="1">
        <v>4115143</v>
      </c>
      <c r="H1023" s="1" t="s">
        <v>241</v>
      </c>
      <c r="I1023" s="1" t="s">
        <v>240</v>
      </c>
      <c r="J1023" s="2">
        <v>45734.468055555553</v>
      </c>
      <c r="K1023" s="2">
        <v>45734.634722222225</v>
      </c>
      <c r="L1023" s="1" t="s">
        <v>14</v>
      </c>
      <c r="M1023" s="1" t="str">
        <f>_xlfn.XLOOKUP(I1023,Parâmetros!A:A,Parâmetros!B:B,_xlfn.XLOOKUP(Q1023,Parâmetros!F:F,Parâmetros!G:G,"NOVA MENSAGEM"))</f>
        <v>CENTRO DE CUSTO</v>
      </c>
      <c r="N1023" s="1" t="str">
        <f>_xlfn.XLOOKUP(M1023,Parâmetros!K:K,Parâmetros!L:L,"")</f>
        <v>CENTRO DE CUSTO NÃO INFORMADO NA RESERVA</v>
      </c>
      <c r="O1023" s="1" t="str">
        <f>_xlfn.XLOOKUP(M1023,Parâmetros!B:B,Parâmetros!C:C,_xlfn.XLOOKUP(Base!M1032,Parâmetros!G:G,Parâmetros!H:H))</f>
        <v>QUALIDADE DOS DADOS</v>
      </c>
      <c r="P1023" s="1" t="str">
        <f>_xlfn.XLOOKUP(I1023,Parâmetros!A:A,Parâmetros!D:D,_xlfn.XLOOKUP(Q1023,Parâmetros!F:F,Parâmetros!I:I))</f>
        <v>SUPORTE OBT</v>
      </c>
      <c r="Q1023" s="1" t="str">
        <f t="shared" si="31"/>
        <v>COLUNA I</v>
      </c>
    </row>
    <row r="1024" spans="1:17" x14ac:dyDescent="0.25">
      <c r="A1024" s="1" t="str">
        <f>_xlfn.XLOOKUP(D1024,'Novo relatório'!B:B,'Novo relatório'!C:C,"RESOLVIDO")</f>
        <v>GOVER</v>
      </c>
      <c r="C1024" t="str">
        <f t="shared" si="30"/>
        <v>PENDENTE</v>
      </c>
      <c r="D1024" s="1">
        <v>3307289</v>
      </c>
      <c r="E1024" s="1" t="s">
        <v>24</v>
      </c>
      <c r="F1024" s="2">
        <v>45097.762499999997</v>
      </c>
      <c r="G1024" s="1">
        <v>4116134</v>
      </c>
      <c r="H1024" s="1" t="s">
        <v>241</v>
      </c>
      <c r="I1024" s="1" t="s">
        <v>240</v>
      </c>
      <c r="J1024" s="2">
        <v>45734.468055555553</v>
      </c>
      <c r="K1024" s="2">
        <v>45734.634722222225</v>
      </c>
      <c r="L1024" s="1" t="s">
        <v>14</v>
      </c>
      <c r="M1024" s="1" t="str">
        <f>_xlfn.XLOOKUP(I1024,Parâmetros!A:A,Parâmetros!B:B,_xlfn.XLOOKUP(Q1024,Parâmetros!F:F,Parâmetros!G:G,"NOVA MENSAGEM"))</f>
        <v>CENTRO DE CUSTO</v>
      </c>
      <c r="N1024" s="1" t="str">
        <f>_xlfn.XLOOKUP(M1024,Parâmetros!K:K,Parâmetros!L:L,"")</f>
        <v>CENTRO DE CUSTO NÃO INFORMADO NA RESERVA</v>
      </c>
      <c r="O1024" s="1" t="str">
        <f>_xlfn.XLOOKUP(M1024,Parâmetros!B:B,Parâmetros!C:C,_xlfn.XLOOKUP(Base!M1033,Parâmetros!G:G,Parâmetros!H:H))</f>
        <v>QUALIDADE DOS DADOS</v>
      </c>
      <c r="P1024" s="1" t="str">
        <f>_xlfn.XLOOKUP(I1024,Parâmetros!A:A,Parâmetros!D:D,_xlfn.XLOOKUP(Q1024,Parâmetros!F:F,Parâmetros!I:I))</f>
        <v>SUPORTE OBT</v>
      </c>
      <c r="Q1024" s="1" t="str">
        <f t="shared" si="31"/>
        <v>COLUNA I</v>
      </c>
    </row>
    <row r="1025" spans="1:17" x14ac:dyDescent="0.25">
      <c r="A1025" s="1" t="str">
        <f>_xlfn.XLOOKUP(D1025,'Novo relatório'!B:B,'Novo relatório'!C:C,"RESOLVIDO")</f>
        <v>GOVER</v>
      </c>
      <c r="C1025" t="str">
        <f t="shared" si="30"/>
        <v>PENDENTE</v>
      </c>
      <c r="D1025" s="1">
        <v>3307290</v>
      </c>
      <c r="E1025" s="1" t="s">
        <v>24</v>
      </c>
      <c r="F1025" s="2">
        <v>45483.729861111111</v>
      </c>
      <c r="G1025" s="1">
        <v>4368840</v>
      </c>
      <c r="H1025" s="1" t="s">
        <v>180</v>
      </c>
      <c r="I1025" s="1" t="s">
        <v>181</v>
      </c>
      <c r="M1025" s="1" t="str">
        <f>_xlfn.XLOOKUP(I1025,Parâmetros!A:A,Parâmetros!B:B,_xlfn.XLOOKUP(Q1025,Parâmetros!F:F,Parâmetros!G:G,"NOVA MENSAGEM"))</f>
        <v>Nº DE CARACTERES EXCEDIDO</v>
      </c>
      <c r="N1025" s="1" t="str">
        <f>_xlfn.XLOOKUP(M1025,Parâmetros!K:K,Parâmetros!L:L,"")</f>
        <v>EXCEDEU O Nº DE CARACTERES NO CAMPO FINALIDADE (60)</v>
      </c>
      <c r="O1025" s="1" t="str">
        <f>_xlfn.XLOOKUP(M1025,Parâmetros!B:B,Parâmetros!C:C,_xlfn.XLOOKUP(Base!M1034,Parâmetros!G:G,Parâmetros!H:H))</f>
        <v>QUALIDADE DOS DADOS</v>
      </c>
      <c r="P1025" s="1" t="str">
        <f>_xlfn.XLOOKUP(I1025,Parâmetros!A:A,Parâmetros!D:D,_xlfn.XLOOKUP(Q1025,Parâmetros!F:F,Parâmetros!I:I))</f>
        <v>SUPORTE OBT</v>
      </c>
      <c r="Q1025" s="1" t="str">
        <f t="shared" si="31"/>
        <v>COLUNA I</v>
      </c>
    </row>
    <row r="1026" spans="1:17" x14ac:dyDescent="0.25">
      <c r="A1026" s="1" t="str">
        <f>_xlfn.XLOOKUP(D1026,'Novo relatório'!B:B,'Novo relatório'!C:C,"RESOLVIDO")</f>
        <v>GOVER</v>
      </c>
      <c r="C1026" t="str">
        <f t="shared" ref="C1026:C1089" si="32">IF(A1026="RESOLVIDO","RESOLVIDO",IF(B1026="","PENDENTE",IF(LEFT(B1026,7)="CHAMADO","AGUARDANDO FORNECEDOR",IF(B1026="CONTABILIZAR","CONTABILIZAR NO PORTAL"))))</f>
        <v>PENDENTE</v>
      </c>
      <c r="D1026" s="1">
        <v>3307291</v>
      </c>
      <c r="E1026" s="1" t="s">
        <v>24</v>
      </c>
      <c r="F1026" s="2">
        <v>45484.804166666669</v>
      </c>
      <c r="G1026" s="1">
        <v>4369880</v>
      </c>
      <c r="H1026" s="1">
        <v>14784627</v>
      </c>
      <c r="I1026" s="1" t="s">
        <v>181</v>
      </c>
      <c r="M1026" s="1" t="str">
        <f>_xlfn.XLOOKUP(I1026,Parâmetros!A:A,Parâmetros!B:B,_xlfn.XLOOKUP(Q1026,Parâmetros!F:F,Parâmetros!G:G,"NOVA MENSAGEM"))</f>
        <v>Nº DE CARACTERES EXCEDIDO</v>
      </c>
      <c r="N1026" s="1" t="str">
        <f>_xlfn.XLOOKUP(M1026,Parâmetros!K:K,Parâmetros!L:L,"")</f>
        <v>EXCEDEU O Nº DE CARACTERES NO CAMPO FINALIDADE (60)</v>
      </c>
      <c r="O1026" s="1" t="str">
        <f>_xlfn.XLOOKUP(M1026,Parâmetros!B:B,Parâmetros!C:C,_xlfn.XLOOKUP(Base!M1035,Parâmetros!G:G,Parâmetros!H:H))</f>
        <v>QUALIDADE DOS DADOS</v>
      </c>
      <c r="P1026" s="1" t="str">
        <f>_xlfn.XLOOKUP(I1026,Parâmetros!A:A,Parâmetros!D:D,_xlfn.XLOOKUP(Q1026,Parâmetros!F:F,Parâmetros!I:I))</f>
        <v>SUPORTE OBT</v>
      </c>
      <c r="Q1026" s="1" t="str">
        <f t="shared" ref="Q1026:Q1089" si="33">IFERROR(FIND("Não foi possível localizar o contrato do fornecedor",I1026),IFERROR(FIND("veículo",I1026),IFERROR(FIND("agagem",I1026),IFERROR(FIND("error in XML document",I1026),IFERROR(FIND("Não localizado cliente código",I1026),IFERROR(FIND("lemontech",I1026),IFERROR(FIND("&gt;Fornecedor com o",I1026),IFERROR(FIND("INSERT",I1026),IFERROR(FIND("com CNPJ",I1026),IFERROR(FIND("Consultando Agente-&gt; O agente",I1026),IFERROR(FIND("Não foi possível determinar a validade do cartão, favor verificar os dados do cartão",I1026),"COLUNA I")))))))))))</f>
        <v>COLUNA I</v>
      </c>
    </row>
    <row r="1027" spans="1:17" x14ac:dyDescent="0.25">
      <c r="A1027" s="1" t="str">
        <f>_xlfn.XLOOKUP(D1027,'Novo relatório'!B:B,'Novo relatório'!C:C,"RESOLVIDO")</f>
        <v>GOVER</v>
      </c>
      <c r="C1027" t="str">
        <f t="shared" si="32"/>
        <v>PENDENTE</v>
      </c>
      <c r="D1027" s="1">
        <v>3307292</v>
      </c>
      <c r="E1027" s="1" t="s">
        <v>24</v>
      </c>
      <c r="F1027" s="2">
        <v>45485.470833333333</v>
      </c>
      <c r="G1027" s="1">
        <v>4370166</v>
      </c>
      <c r="H1027" s="1" t="s">
        <v>418</v>
      </c>
      <c r="I1027" s="1" t="s">
        <v>181</v>
      </c>
      <c r="M1027" s="1" t="str">
        <f>_xlfn.XLOOKUP(I1027,Parâmetros!A:A,Parâmetros!B:B,_xlfn.XLOOKUP(Q1027,Parâmetros!F:F,Parâmetros!G:G,"NOVA MENSAGEM"))</f>
        <v>Nº DE CARACTERES EXCEDIDO</v>
      </c>
      <c r="N1027" s="1" t="str">
        <f>_xlfn.XLOOKUP(M1027,Parâmetros!K:K,Parâmetros!L:L,"")</f>
        <v>EXCEDEU O Nº DE CARACTERES NO CAMPO FINALIDADE (60)</v>
      </c>
      <c r="O1027" s="1" t="str">
        <f>_xlfn.XLOOKUP(M1027,Parâmetros!B:B,Parâmetros!C:C,_xlfn.XLOOKUP(Base!M1036,Parâmetros!G:G,Parâmetros!H:H))</f>
        <v>QUALIDADE DOS DADOS</v>
      </c>
      <c r="P1027" s="1" t="str">
        <f>_xlfn.XLOOKUP(I1027,Parâmetros!A:A,Parâmetros!D:D,_xlfn.XLOOKUP(Q1027,Parâmetros!F:F,Parâmetros!I:I))</f>
        <v>SUPORTE OBT</v>
      </c>
      <c r="Q1027" s="1" t="str">
        <f t="shared" si="33"/>
        <v>COLUNA I</v>
      </c>
    </row>
    <row r="1028" spans="1:17" x14ac:dyDescent="0.25">
      <c r="A1028" s="1" t="str">
        <f>_xlfn.XLOOKUP(D1028,'Novo relatório'!B:B,'Novo relatório'!C:C,"RESOLVIDO")</f>
        <v>GOVER</v>
      </c>
      <c r="C1028" t="str">
        <f t="shared" si="32"/>
        <v>PENDENTE</v>
      </c>
      <c r="D1028" s="1">
        <v>3307293</v>
      </c>
      <c r="E1028" s="1" t="s">
        <v>24</v>
      </c>
      <c r="F1028" s="2">
        <v>45485.470833333333</v>
      </c>
      <c r="G1028" s="1">
        <v>4370166</v>
      </c>
      <c r="H1028" s="1" t="s">
        <v>182</v>
      </c>
      <c r="I1028" s="1" t="s">
        <v>181</v>
      </c>
      <c r="M1028" s="1" t="str">
        <f>_xlfn.XLOOKUP(I1028,Parâmetros!A:A,Parâmetros!B:B,_xlfn.XLOOKUP(Q1028,Parâmetros!F:F,Parâmetros!G:G,"NOVA MENSAGEM"))</f>
        <v>Nº DE CARACTERES EXCEDIDO</v>
      </c>
      <c r="N1028" s="1" t="str">
        <f>_xlfn.XLOOKUP(M1028,Parâmetros!K:K,Parâmetros!L:L,"")</f>
        <v>EXCEDEU O Nº DE CARACTERES NO CAMPO FINALIDADE (60)</v>
      </c>
      <c r="O1028" s="1" t="str">
        <f>_xlfn.XLOOKUP(M1028,Parâmetros!B:B,Parâmetros!C:C,_xlfn.XLOOKUP(Base!M1037,Parâmetros!G:G,Parâmetros!H:H))</f>
        <v>QUALIDADE DOS DADOS</v>
      </c>
      <c r="P1028" s="1" t="str">
        <f>_xlfn.XLOOKUP(I1028,Parâmetros!A:A,Parâmetros!D:D,_xlfn.XLOOKUP(Q1028,Parâmetros!F:F,Parâmetros!I:I))</f>
        <v>SUPORTE OBT</v>
      </c>
      <c r="Q1028" s="1" t="str">
        <f t="shared" si="33"/>
        <v>COLUNA I</v>
      </c>
    </row>
    <row r="1029" spans="1:17" x14ac:dyDescent="0.25">
      <c r="A1029" s="1" t="str">
        <f>_xlfn.XLOOKUP(D1029,'Novo relatório'!B:B,'Novo relatório'!C:C,"RESOLVIDO")</f>
        <v>GOVER</v>
      </c>
      <c r="C1029" t="str">
        <f t="shared" si="32"/>
        <v>PENDENTE</v>
      </c>
      <c r="D1029" s="1">
        <v>3307294</v>
      </c>
      <c r="E1029" s="1" t="s">
        <v>24</v>
      </c>
      <c r="F1029" s="2">
        <v>45485.474999999999</v>
      </c>
      <c r="G1029" s="1">
        <v>4370183</v>
      </c>
      <c r="H1029" s="1">
        <v>14789776</v>
      </c>
      <c r="I1029" s="1" t="s">
        <v>181</v>
      </c>
      <c r="M1029" s="1" t="str">
        <f>_xlfn.XLOOKUP(I1029,Parâmetros!A:A,Parâmetros!B:B,_xlfn.XLOOKUP(Q1029,Parâmetros!F:F,Parâmetros!G:G,"NOVA MENSAGEM"))</f>
        <v>Nº DE CARACTERES EXCEDIDO</v>
      </c>
      <c r="N1029" s="1" t="str">
        <f>_xlfn.XLOOKUP(M1029,Parâmetros!K:K,Parâmetros!L:L,"")</f>
        <v>EXCEDEU O Nº DE CARACTERES NO CAMPO FINALIDADE (60)</v>
      </c>
      <c r="O1029" s="1" t="str">
        <f>_xlfn.XLOOKUP(M1029,Parâmetros!B:B,Parâmetros!C:C,_xlfn.XLOOKUP(Base!M1038,Parâmetros!G:G,Parâmetros!H:H))</f>
        <v>QUALIDADE DOS DADOS</v>
      </c>
      <c r="P1029" s="1" t="str">
        <f>_xlfn.XLOOKUP(I1029,Parâmetros!A:A,Parâmetros!D:D,_xlfn.XLOOKUP(Q1029,Parâmetros!F:F,Parâmetros!I:I))</f>
        <v>SUPORTE OBT</v>
      </c>
      <c r="Q1029" s="1" t="str">
        <f t="shared" si="33"/>
        <v>COLUNA I</v>
      </c>
    </row>
    <row r="1030" spans="1:17" x14ac:dyDescent="0.25">
      <c r="A1030" s="1" t="str">
        <f>_xlfn.XLOOKUP(D1030,'Novo relatório'!B:B,'Novo relatório'!C:C,"RESOLVIDO")</f>
        <v>GOVER</v>
      </c>
      <c r="C1030" t="str">
        <f t="shared" si="32"/>
        <v>PENDENTE</v>
      </c>
      <c r="D1030" s="1">
        <v>3307295</v>
      </c>
      <c r="E1030" s="1" t="s">
        <v>24</v>
      </c>
      <c r="F1030" s="2">
        <v>45492.633333333331</v>
      </c>
      <c r="G1030" s="1">
        <v>4374675</v>
      </c>
      <c r="H1030" s="1" t="s">
        <v>195</v>
      </c>
      <c r="I1030" s="1" t="s">
        <v>419</v>
      </c>
      <c r="J1030" s="2">
        <v>45734.46875</v>
      </c>
      <c r="K1030" s="2">
        <v>45734.635416666664</v>
      </c>
      <c r="L1030" s="1" t="s">
        <v>14</v>
      </c>
      <c r="M1030" s="1" t="str">
        <f>_xlfn.XLOOKUP(I1030,Parâmetros!A:A,Parâmetros!B:B,_xlfn.XLOOKUP(Q1030,Parâmetros!F:F,Parâmetros!G:G,"NOVA MENSAGEM"))</f>
        <v>NOVA MENSAGEM</v>
      </c>
      <c r="N1030" s="1" t="str">
        <f>_xlfn.XLOOKUP(M1030,Parâmetros!K:K,Parâmetros!L:L,"")</f>
        <v/>
      </c>
      <c r="O1030" s="1" t="e">
        <f>_xlfn.XLOOKUP(M1030,Parâmetros!B:B,Parâmetros!C:C,_xlfn.XLOOKUP(Base!M1039,Parâmetros!G:G,Parâmetros!H:H))</f>
        <v>#N/A</v>
      </c>
      <c r="P1030" s="1" t="e">
        <f>_xlfn.XLOOKUP(I1030,Parâmetros!A:A,Parâmetros!D:D,_xlfn.XLOOKUP(Q1030,Parâmetros!F:F,Parâmetros!I:I))</f>
        <v>#N/A</v>
      </c>
      <c r="Q1030" s="1" t="str">
        <f t="shared" si="33"/>
        <v>COLUNA I</v>
      </c>
    </row>
    <row r="1031" spans="1:17" x14ac:dyDescent="0.25">
      <c r="A1031" s="1" t="str">
        <f>_xlfn.XLOOKUP(D1031,'Novo relatório'!B:B,'Novo relatório'!C:C,"RESOLVIDO")</f>
        <v>SABRE</v>
      </c>
      <c r="C1031" t="str">
        <f t="shared" si="32"/>
        <v>PENDENTE</v>
      </c>
      <c r="D1031" s="1">
        <v>3307349</v>
      </c>
      <c r="E1031" s="1" t="s">
        <v>26</v>
      </c>
      <c r="F1031" s="2">
        <v>45734.413888888892</v>
      </c>
      <c r="G1031" s="1" t="s">
        <v>1633</v>
      </c>
      <c r="H1031" s="1" t="s">
        <v>1633</v>
      </c>
      <c r="I1031" s="1" t="s">
        <v>1060</v>
      </c>
      <c r="J1031" s="2">
        <v>45734.48333333333</v>
      </c>
      <c r="K1031" s="2">
        <v>45734.505555555559</v>
      </c>
      <c r="L1031" s="1" t="s">
        <v>18</v>
      </c>
      <c r="M1031" s="1" t="str">
        <f>_xlfn.XLOOKUP(I1031,Parâmetros!A:A,Parâmetros!B:B,_xlfn.XLOOKUP(Q1031,Parâmetros!F:F,Parâmetros!G:G,"NOVA MENSAGEM"))</f>
        <v>CÓD. CLIENTE DIVERGENTE</v>
      </c>
      <c r="N1031" s="1" t="str">
        <f>_xlfn.XLOOKUP(M1031,Parâmetros!K:K,Parâmetros!L:L,"")</f>
        <v>CÓDIGO DIFERENTE DO CADASTRADO NO BENNER (CLIENTE X GRUPO)</v>
      </c>
      <c r="O1031" s="1" t="str">
        <f>_xlfn.XLOOKUP(M1031,Parâmetros!B:B,Parâmetros!C:C,_xlfn.XLOOKUP(Base!M1016,Parâmetros!G:G,Parâmetros!H:H))</f>
        <v>QUALIDADE DOS DADOS</v>
      </c>
      <c r="P1031" s="1" t="str">
        <f>_xlfn.XLOOKUP(I1031,Parâmetros!A:A,Parâmetros!D:D,_xlfn.XLOOKUP(Q1031,Parâmetros!F:F,Parâmetros!I:I))</f>
        <v>SUPORTE OBT</v>
      </c>
      <c r="Q1031" s="1">
        <f t="shared" si="33"/>
        <v>1</v>
      </c>
    </row>
    <row r="1032" spans="1:17" x14ac:dyDescent="0.25">
      <c r="A1032" s="1" t="str">
        <f>_xlfn.XLOOKUP(D1032,'Novo relatório'!B:B,'Novo relatório'!C:C,"RESOLVIDO")</f>
        <v>SABRE</v>
      </c>
      <c r="C1032" t="str">
        <f t="shared" si="32"/>
        <v>PENDENTE</v>
      </c>
      <c r="D1032" s="1">
        <v>3307351</v>
      </c>
      <c r="E1032" s="1" t="s">
        <v>26</v>
      </c>
      <c r="F1032" s="2">
        <v>45734.398611111108</v>
      </c>
      <c r="G1032" s="1" t="s">
        <v>1631</v>
      </c>
      <c r="H1032" s="1" t="s">
        <v>1632</v>
      </c>
      <c r="I1032" s="1" t="s">
        <v>64</v>
      </c>
      <c r="J1032" s="2">
        <v>45734.48333333333</v>
      </c>
      <c r="L1032" s="1" t="s">
        <v>1244</v>
      </c>
      <c r="M1032" s="1" t="str">
        <f>_xlfn.XLOOKUP(I1032,Parâmetros!A:A,Parâmetros!B:B,_xlfn.XLOOKUP(Q1032,Parâmetros!F:F,Parâmetros!G:G,"NOVA MENSAGEM"))</f>
        <v>FORMATO DE TEXTO</v>
      </c>
      <c r="N1032" s="1" t="str">
        <f>_xlfn.XLOOKUP(M1032,Parâmetros!K:K,Parâmetros!L:L,"")</f>
        <v>TEXTO FORA DO PADRÃO ACEITO NO CAMPO</v>
      </c>
      <c r="O1032" s="1" t="str">
        <f>_xlfn.XLOOKUP(M1032,Parâmetros!B:B,Parâmetros!C:C,_xlfn.XLOOKUP(Base!M1015,Parâmetros!G:G,Parâmetros!H:H))</f>
        <v>INDEFINIDO</v>
      </c>
      <c r="P1032" s="1" t="str">
        <f>_xlfn.XLOOKUP(I1032,Parâmetros!A:A,Parâmetros!D:D,_xlfn.XLOOKUP(Q1032,Parâmetros!F:F,Parâmetros!I:I))</f>
        <v>SUPORTE OBT</v>
      </c>
      <c r="Q1032" s="1" t="str">
        <f t="shared" si="33"/>
        <v>COLUNA I</v>
      </c>
    </row>
    <row r="1033" spans="1:17" x14ac:dyDescent="0.25">
      <c r="A1033" s="1" t="str">
        <f>_xlfn.XLOOKUP(D1033,'Novo relatório'!B:B,'Novo relatório'!C:C,"RESOLVIDO")</f>
        <v>SABRE</v>
      </c>
      <c r="C1033" t="str">
        <f t="shared" si="32"/>
        <v>PENDENTE</v>
      </c>
      <c r="D1033" s="1">
        <v>3307352</v>
      </c>
      <c r="E1033" s="1" t="s">
        <v>26</v>
      </c>
      <c r="F1033" s="2">
        <v>45734.398611111108</v>
      </c>
      <c r="G1033" s="1" t="s">
        <v>1629</v>
      </c>
      <c r="H1033" s="1" t="s">
        <v>1630</v>
      </c>
      <c r="I1033" s="1" t="s">
        <v>64</v>
      </c>
      <c r="J1033" s="2">
        <v>45734.484027777777</v>
      </c>
      <c r="L1033" s="1" t="s">
        <v>1244</v>
      </c>
      <c r="M1033" s="1" t="str">
        <f>_xlfn.XLOOKUP(I1033,Parâmetros!A:A,Parâmetros!B:B,_xlfn.XLOOKUP(Q1033,Parâmetros!F:F,Parâmetros!G:G,"NOVA MENSAGEM"))</f>
        <v>FORMATO DE TEXTO</v>
      </c>
      <c r="N1033" s="1" t="str">
        <f>_xlfn.XLOOKUP(M1033,Parâmetros!K:K,Parâmetros!L:L,"")</f>
        <v>TEXTO FORA DO PADRÃO ACEITO NO CAMPO</v>
      </c>
      <c r="O1033" s="1" t="str">
        <f>_xlfn.XLOOKUP(M1033,Parâmetros!B:B,Parâmetros!C:C,_xlfn.XLOOKUP(Base!M1014,Parâmetros!G:G,Parâmetros!H:H))</f>
        <v>INDEFINIDO</v>
      </c>
      <c r="P1033" s="1" t="str">
        <f>_xlfn.XLOOKUP(I1033,Parâmetros!A:A,Parâmetros!D:D,_xlfn.XLOOKUP(Q1033,Parâmetros!F:F,Parâmetros!I:I))</f>
        <v>SUPORTE OBT</v>
      </c>
      <c r="Q1033" s="1" t="str">
        <f t="shared" si="33"/>
        <v>COLUNA I</v>
      </c>
    </row>
    <row r="1034" spans="1:17" x14ac:dyDescent="0.25">
      <c r="A1034" s="1" t="str">
        <f>_xlfn.XLOOKUP(D1034,'Novo relatório'!B:B,'Novo relatório'!C:C,"RESOLVIDO")</f>
        <v>SABRE</v>
      </c>
      <c r="C1034" t="str">
        <f t="shared" si="32"/>
        <v>PENDENTE</v>
      </c>
      <c r="D1034" s="1">
        <v>3307428</v>
      </c>
      <c r="E1034" s="1" t="s">
        <v>26</v>
      </c>
      <c r="F1034" s="2">
        <v>45734.413888888892</v>
      </c>
      <c r="G1034" s="1" t="s">
        <v>1635</v>
      </c>
      <c r="H1034" s="1" t="s">
        <v>1635</v>
      </c>
      <c r="I1034" s="1" t="s">
        <v>1060</v>
      </c>
      <c r="J1034" s="2">
        <v>45734.504166666666</v>
      </c>
      <c r="L1034" s="1" t="s">
        <v>18</v>
      </c>
      <c r="M1034" s="1" t="str">
        <f>_xlfn.XLOOKUP(I1034,Parâmetros!A:A,Parâmetros!B:B,_xlfn.XLOOKUP(Q1034,Parâmetros!F:F,Parâmetros!G:G,"NOVA MENSAGEM"))</f>
        <v>CÓD. CLIENTE DIVERGENTE</v>
      </c>
      <c r="N1034" s="1" t="str">
        <f>_xlfn.XLOOKUP(M1034,Parâmetros!K:K,Parâmetros!L:L,"")</f>
        <v>CÓDIGO DIFERENTE DO CADASTRADO NO BENNER (CLIENTE X GRUPO)</v>
      </c>
      <c r="O1034" s="1" t="str">
        <f>_xlfn.XLOOKUP(M1034,Parâmetros!B:B,Parâmetros!C:C,_xlfn.XLOOKUP(Base!M1013,Parâmetros!G:G,Parâmetros!H:H))</f>
        <v>QUALIDADE DOS DADOS</v>
      </c>
      <c r="P1034" s="1" t="str">
        <f>_xlfn.XLOOKUP(I1034,Parâmetros!A:A,Parâmetros!D:D,_xlfn.XLOOKUP(Q1034,Parâmetros!F:F,Parâmetros!I:I))</f>
        <v>SUPORTE OBT</v>
      </c>
      <c r="Q1034" s="1">
        <f t="shared" si="33"/>
        <v>1</v>
      </c>
    </row>
    <row r="1035" spans="1:17" x14ac:dyDescent="0.25">
      <c r="A1035" s="1" t="str">
        <f>_xlfn.XLOOKUP(D1035,'Novo relatório'!B:B,'Novo relatório'!C:C,"RESOLVIDO")</f>
        <v>GOVER</v>
      </c>
      <c r="C1035" t="str">
        <f t="shared" si="32"/>
        <v>PENDENTE</v>
      </c>
      <c r="D1035" s="1">
        <v>3307431</v>
      </c>
      <c r="E1035" s="1" t="s">
        <v>24</v>
      </c>
      <c r="F1035" s="2">
        <v>45203.685416666667</v>
      </c>
      <c r="G1035" s="1">
        <v>4198763</v>
      </c>
      <c r="H1035" s="1">
        <v>4198763</v>
      </c>
      <c r="I1035" s="1" t="s">
        <v>77</v>
      </c>
      <c r="J1035" s="2">
        <v>45734.504861111112</v>
      </c>
      <c r="K1035" s="2">
        <v>45756.615277777775</v>
      </c>
      <c r="L1035" s="1" t="s">
        <v>14</v>
      </c>
      <c r="M1035" s="1" t="str">
        <f>_xlfn.XLOOKUP(I1035,Parâmetros!A:A,Parâmetros!B:B,_xlfn.XLOOKUP(Q1035,Parâmetros!F:F,Parâmetros!G:G,"NOVA MENSAGEM"))</f>
        <v>RLOC NÃO INFORMADO</v>
      </c>
      <c r="N1035" s="1" t="str">
        <f>_xlfn.XLOOKUP(M1035,Parâmetros!K:K,Parâmetros!L:L,"")</f>
        <v>RLOC NÃO PREENCHIDO NA RESERVA</v>
      </c>
      <c r="O1035" s="1" t="str">
        <f>_xlfn.XLOOKUP(M1035,Parâmetros!B:B,Parâmetros!C:C,_xlfn.XLOOKUP(Base!M1042,Parâmetros!G:G,Parâmetros!H:H))</f>
        <v>QUALIDADE DOS DADOS</v>
      </c>
      <c r="P1035" s="1" t="str">
        <f>_xlfn.XLOOKUP(I1035,Parâmetros!A:A,Parâmetros!D:D,_xlfn.XLOOKUP(Q1035,Parâmetros!F:F,Parâmetros!I:I))</f>
        <v>SUPORTE OBT</v>
      </c>
      <c r="Q1035" s="1" t="str">
        <f t="shared" si="33"/>
        <v>COLUNA I</v>
      </c>
    </row>
    <row r="1036" spans="1:17" x14ac:dyDescent="0.25">
      <c r="A1036" s="1" t="str">
        <f>_xlfn.XLOOKUP(D1036,'Novo relatório'!B:B,'Novo relatório'!C:C,"RESOLVIDO")</f>
        <v>GOVER</v>
      </c>
      <c r="C1036" t="str">
        <f t="shared" si="32"/>
        <v>PENDENTE</v>
      </c>
      <c r="D1036" s="1">
        <v>3307432</v>
      </c>
      <c r="E1036" s="1" t="s">
        <v>24</v>
      </c>
      <c r="F1036" s="2">
        <v>45209.629861111112</v>
      </c>
      <c r="G1036" s="1">
        <v>4202742</v>
      </c>
      <c r="H1036" s="1">
        <v>4202742</v>
      </c>
      <c r="I1036" s="1" t="s">
        <v>77</v>
      </c>
      <c r="J1036" s="2">
        <v>45734.504861111112</v>
      </c>
      <c r="K1036" s="2">
        <v>45756.615277777775</v>
      </c>
      <c r="L1036" s="1" t="s">
        <v>14</v>
      </c>
      <c r="M1036" s="1" t="str">
        <f>_xlfn.XLOOKUP(I1036,Parâmetros!A:A,Parâmetros!B:B,_xlfn.XLOOKUP(Q1036,Parâmetros!F:F,Parâmetros!G:G,"NOVA MENSAGEM"))</f>
        <v>RLOC NÃO INFORMADO</v>
      </c>
      <c r="N1036" s="1" t="str">
        <f>_xlfn.XLOOKUP(M1036,Parâmetros!K:K,Parâmetros!L:L,"")</f>
        <v>RLOC NÃO PREENCHIDO NA RESERVA</v>
      </c>
      <c r="O1036" s="1" t="str">
        <f>_xlfn.XLOOKUP(M1036,Parâmetros!B:B,Parâmetros!C:C,_xlfn.XLOOKUP(Base!M1043,Parâmetros!G:G,Parâmetros!H:H))</f>
        <v>QUALIDADE DOS DADOS</v>
      </c>
      <c r="P1036" s="1" t="str">
        <f>_xlfn.XLOOKUP(I1036,Parâmetros!A:A,Parâmetros!D:D,_xlfn.XLOOKUP(Q1036,Parâmetros!F:F,Parâmetros!I:I))</f>
        <v>SUPORTE OBT</v>
      </c>
      <c r="Q1036" s="1" t="str">
        <f t="shared" si="33"/>
        <v>COLUNA I</v>
      </c>
    </row>
    <row r="1037" spans="1:17" x14ac:dyDescent="0.25">
      <c r="A1037" s="1" t="str">
        <f>_xlfn.XLOOKUP(D1037,'Novo relatório'!B:B,'Novo relatório'!C:C,"RESOLVIDO")</f>
        <v>GOVER</v>
      </c>
      <c r="C1037" t="str">
        <f t="shared" si="32"/>
        <v>PENDENTE</v>
      </c>
      <c r="D1037" s="1">
        <v>3307433</v>
      </c>
      <c r="E1037" s="1" t="s">
        <v>24</v>
      </c>
      <c r="F1037" s="2">
        <v>45209.79583333333</v>
      </c>
      <c r="G1037" s="1">
        <v>4203062</v>
      </c>
      <c r="H1037" s="1">
        <v>4203062</v>
      </c>
      <c r="I1037" s="1" t="s">
        <v>77</v>
      </c>
      <c r="J1037" s="2">
        <v>45734.504861111112</v>
      </c>
      <c r="K1037" s="2">
        <v>45756.615277777775</v>
      </c>
      <c r="L1037" s="1" t="s">
        <v>14</v>
      </c>
      <c r="M1037" s="1" t="str">
        <f>_xlfn.XLOOKUP(I1037,Parâmetros!A:A,Parâmetros!B:B,_xlfn.XLOOKUP(Q1037,Parâmetros!F:F,Parâmetros!G:G,"NOVA MENSAGEM"))</f>
        <v>RLOC NÃO INFORMADO</v>
      </c>
      <c r="N1037" s="1" t="str">
        <f>_xlfn.XLOOKUP(M1037,Parâmetros!K:K,Parâmetros!L:L,"")</f>
        <v>RLOC NÃO PREENCHIDO NA RESERVA</v>
      </c>
      <c r="O1037" s="1" t="str">
        <f>_xlfn.XLOOKUP(M1037,Parâmetros!B:B,Parâmetros!C:C,_xlfn.XLOOKUP(Base!M1044,Parâmetros!G:G,Parâmetros!H:H))</f>
        <v>QUALIDADE DOS DADOS</v>
      </c>
      <c r="P1037" s="1" t="str">
        <f>_xlfn.XLOOKUP(I1037,Parâmetros!A:A,Parâmetros!D:D,_xlfn.XLOOKUP(Q1037,Parâmetros!F:F,Parâmetros!I:I))</f>
        <v>SUPORTE OBT</v>
      </c>
      <c r="Q1037" s="1" t="str">
        <f t="shared" si="33"/>
        <v>COLUNA I</v>
      </c>
    </row>
    <row r="1038" spans="1:17" x14ac:dyDescent="0.25">
      <c r="A1038" s="1" t="str">
        <f>_xlfn.XLOOKUP(D1038,'Novo relatório'!B:B,'Novo relatório'!C:C,"RESOLVIDO")</f>
        <v>GOVER</v>
      </c>
      <c r="C1038" t="str">
        <f t="shared" si="32"/>
        <v>PENDENTE</v>
      </c>
      <c r="D1038" s="1">
        <v>3307434</v>
      </c>
      <c r="E1038" s="1" t="s">
        <v>24</v>
      </c>
      <c r="F1038" s="2">
        <v>45210.647222222222</v>
      </c>
      <c r="G1038" s="1">
        <v>4203809</v>
      </c>
      <c r="H1038" s="1">
        <v>4203809</v>
      </c>
      <c r="I1038" s="1" t="s">
        <v>77</v>
      </c>
      <c r="J1038" s="2">
        <v>45734.504861111112</v>
      </c>
      <c r="K1038" s="2">
        <v>45756.615277777775</v>
      </c>
      <c r="L1038" s="1" t="s">
        <v>14</v>
      </c>
      <c r="M1038" s="1" t="str">
        <f>_xlfn.XLOOKUP(I1038,Parâmetros!A:A,Parâmetros!B:B,_xlfn.XLOOKUP(Q1038,Parâmetros!F:F,Parâmetros!G:G,"NOVA MENSAGEM"))</f>
        <v>RLOC NÃO INFORMADO</v>
      </c>
      <c r="N1038" s="1" t="str">
        <f>_xlfn.XLOOKUP(M1038,Parâmetros!K:K,Parâmetros!L:L,"")</f>
        <v>RLOC NÃO PREENCHIDO NA RESERVA</v>
      </c>
      <c r="O1038" s="1" t="str">
        <f>_xlfn.XLOOKUP(M1038,Parâmetros!B:B,Parâmetros!C:C,_xlfn.XLOOKUP(Base!M1045,Parâmetros!G:G,Parâmetros!H:H))</f>
        <v>QUALIDADE DOS DADOS</v>
      </c>
      <c r="P1038" s="1" t="str">
        <f>_xlfn.XLOOKUP(I1038,Parâmetros!A:A,Parâmetros!D:D,_xlfn.XLOOKUP(Q1038,Parâmetros!F:F,Parâmetros!I:I))</f>
        <v>SUPORTE OBT</v>
      </c>
      <c r="Q1038" s="1" t="str">
        <f t="shared" si="33"/>
        <v>COLUNA I</v>
      </c>
    </row>
    <row r="1039" spans="1:17" x14ac:dyDescent="0.25">
      <c r="A1039" s="1" t="str">
        <f>_xlfn.XLOOKUP(D1039,'Novo relatório'!B:B,'Novo relatório'!C:C,"RESOLVIDO")</f>
        <v>GOVER</v>
      </c>
      <c r="C1039" t="str">
        <f t="shared" si="32"/>
        <v>PENDENTE</v>
      </c>
      <c r="D1039" s="1">
        <v>3307435</v>
      </c>
      <c r="E1039" s="1" t="s">
        <v>24</v>
      </c>
      <c r="F1039" s="2">
        <v>45216.380555555559</v>
      </c>
      <c r="G1039" s="1">
        <v>4206418</v>
      </c>
      <c r="H1039" s="1">
        <v>4206418</v>
      </c>
      <c r="I1039" s="1" t="s">
        <v>77</v>
      </c>
      <c r="J1039" s="2">
        <v>45734.504861111112</v>
      </c>
      <c r="K1039" s="2">
        <v>45756.615277777775</v>
      </c>
      <c r="L1039" s="1" t="s">
        <v>14</v>
      </c>
      <c r="M1039" s="1" t="str">
        <f>_xlfn.XLOOKUP(I1039,Parâmetros!A:A,Parâmetros!B:B,_xlfn.XLOOKUP(Q1039,Parâmetros!F:F,Parâmetros!G:G,"NOVA MENSAGEM"))</f>
        <v>RLOC NÃO INFORMADO</v>
      </c>
      <c r="N1039" s="1" t="str">
        <f>_xlfn.XLOOKUP(M1039,Parâmetros!K:K,Parâmetros!L:L,"")</f>
        <v>RLOC NÃO PREENCHIDO NA RESERVA</v>
      </c>
      <c r="O1039" s="1" t="str">
        <f>_xlfn.XLOOKUP(M1039,Parâmetros!B:B,Parâmetros!C:C,_xlfn.XLOOKUP(Base!M1046,Parâmetros!G:G,Parâmetros!H:H))</f>
        <v>QUALIDADE DOS DADOS</v>
      </c>
      <c r="P1039" s="1" t="str">
        <f>_xlfn.XLOOKUP(I1039,Parâmetros!A:A,Parâmetros!D:D,_xlfn.XLOOKUP(Q1039,Parâmetros!F:F,Parâmetros!I:I))</f>
        <v>SUPORTE OBT</v>
      </c>
      <c r="Q1039" s="1" t="str">
        <f t="shared" si="33"/>
        <v>COLUNA I</v>
      </c>
    </row>
    <row r="1040" spans="1:17" x14ac:dyDescent="0.25">
      <c r="A1040" s="1" t="str">
        <f>_xlfn.XLOOKUP(D1040,'Novo relatório'!B:B,'Novo relatório'!C:C,"RESOLVIDO")</f>
        <v>GOVER</v>
      </c>
      <c r="C1040" t="str">
        <f t="shared" si="32"/>
        <v>PENDENTE</v>
      </c>
      <c r="D1040" s="1">
        <v>3307436</v>
      </c>
      <c r="E1040" s="1" t="s">
        <v>24</v>
      </c>
      <c r="F1040" s="2">
        <v>45217.677777777775</v>
      </c>
      <c r="G1040" s="1">
        <v>4208156</v>
      </c>
      <c r="H1040" s="1">
        <v>4208156</v>
      </c>
      <c r="I1040" s="1" t="s">
        <v>77</v>
      </c>
      <c r="J1040" s="2">
        <v>45734.504861111112</v>
      </c>
      <c r="K1040" s="2">
        <v>45756.615277777775</v>
      </c>
      <c r="L1040" s="1" t="s">
        <v>14</v>
      </c>
      <c r="M1040" s="1" t="str">
        <f>_xlfn.XLOOKUP(I1040,Parâmetros!A:A,Parâmetros!B:B,_xlfn.XLOOKUP(Q1040,Parâmetros!F:F,Parâmetros!G:G,"NOVA MENSAGEM"))</f>
        <v>RLOC NÃO INFORMADO</v>
      </c>
      <c r="N1040" s="1" t="str">
        <f>_xlfn.XLOOKUP(M1040,Parâmetros!K:K,Parâmetros!L:L,"")</f>
        <v>RLOC NÃO PREENCHIDO NA RESERVA</v>
      </c>
      <c r="O1040" s="1" t="str">
        <f>_xlfn.XLOOKUP(M1040,Parâmetros!B:B,Parâmetros!C:C,_xlfn.XLOOKUP(Base!M1047,Parâmetros!G:G,Parâmetros!H:H))</f>
        <v>QUALIDADE DOS DADOS</v>
      </c>
      <c r="P1040" s="1" t="str">
        <f>_xlfn.XLOOKUP(I1040,Parâmetros!A:A,Parâmetros!D:D,_xlfn.XLOOKUP(Q1040,Parâmetros!F:F,Parâmetros!I:I))</f>
        <v>SUPORTE OBT</v>
      </c>
      <c r="Q1040" s="1" t="str">
        <f t="shared" si="33"/>
        <v>COLUNA I</v>
      </c>
    </row>
    <row r="1041" spans="1:17" x14ac:dyDescent="0.25">
      <c r="A1041" s="1" t="str">
        <f>_xlfn.XLOOKUP(D1041,'Novo relatório'!B:B,'Novo relatório'!C:C,"RESOLVIDO")</f>
        <v>GOVER</v>
      </c>
      <c r="C1041" t="str">
        <f t="shared" si="32"/>
        <v>PENDENTE</v>
      </c>
      <c r="D1041" s="1">
        <v>3307437</v>
      </c>
      <c r="E1041" s="1" t="s">
        <v>24</v>
      </c>
      <c r="F1041" s="2">
        <v>45224.712500000001</v>
      </c>
      <c r="G1041" s="1">
        <v>4213269</v>
      </c>
      <c r="H1041" s="1">
        <v>4213269</v>
      </c>
      <c r="I1041" s="1" t="s">
        <v>77</v>
      </c>
      <c r="J1041" s="2">
        <v>45734.504861111112</v>
      </c>
      <c r="K1041" s="2">
        <v>45756.615277777775</v>
      </c>
      <c r="L1041" s="1" t="s">
        <v>14</v>
      </c>
      <c r="M1041" s="1" t="str">
        <f>_xlfn.XLOOKUP(I1041,Parâmetros!A:A,Parâmetros!B:B,_xlfn.XLOOKUP(Q1041,Parâmetros!F:F,Parâmetros!G:G,"NOVA MENSAGEM"))</f>
        <v>RLOC NÃO INFORMADO</v>
      </c>
      <c r="N1041" s="1" t="str">
        <f>_xlfn.XLOOKUP(M1041,Parâmetros!K:K,Parâmetros!L:L,"")</f>
        <v>RLOC NÃO PREENCHIDO NA RESERVA</v>
      </c>
      <c r="O1041" s="1" t="str">
        <f>_xlfn.XLOOKUP(M1041,Parâmetros!B:B,Parâmetros!C:C,_xlfn.XLOOKUP(Base!M1048,Parâmetros!G:G,Parâmetros!H:H))</f>
        <v>QUALIDADE DOS DADOS</v>
      </c>
      <c r="P1041" s="1" t="str">
        <f>_xlfn.XLOOKUP(I1041,Parâmetros!A:A,Parâmetros!D:D,_xlfn.XLOOKUP(Q1041,Parâmetros!F:F,Parâmetros!I:I))</f>
        <v>SUPORTE OBT</v>
      </c>
      <c r="Q1041" s="1" t="str">
        <f t="shared" si="33"/>
        <v>COLUNA I</v>
      </c>
    </row>
    <row r="1042" spans="1:17" x14ac:dyDescent="0.25">
      <c r="A1042" s="1" t="str">
        <f>_xlfn.XLOOKUP(D1042,'Novo relatório'!B:B,'Novo relatório'!C:C,"RESOLVIDO")</f>
        <v>GOVER</v>
      </c>
      <c r="C1042" t="str">
        <f t="shared" si="32"/>
        <v>PENDENTE</v>
      </c>
      <c r="D1042" s="1">
        <v>3307438</v>
      </c>
      <c r="E1042" s="1" t="s">
        <v>24</v>
      </c>
      <c r="F1042" s="2">
        <v>45225.818055555559</v>
      </c>
      <c r="G1042" s="1">
        <v>4214260</v>
      </c>
      <c r="H1042" s="1">
        <v>4214260</v>
      </c>
      <c r="I1042" s="1" t="s">
        <v>77</v>
      </c>
      <c r="J1042" s="2">
        <v>45734.504861111112</v>
      </c>
      <c r="K1042" s="2">
        <v>45756.615277777775</v>
      </c>
      <c r="L1042" s="1" t="s">
        <v>14</v>
      </c>
      <c r="M1042" s="1" t="str">
        <f>_xlfn.XLOOKUP(I1042,Parâmetros!A:A,Parâmetros!B:B,_xlfn.XLOOKUP(Q1042,Parâmetros!F:F,Parâmetros!G:G,"NOVA MENSAGEM"))</f>
        <v>RLOC NÃO INFORMADO</v>
      </c>
      <c r="N1042" s="1" t="str">
        <f>_xlfn.XLOOKUP(M1042,Parâmetros!K:K,Parâmetros!L:L,"")</f>
        <v>RLOC NÃO PREENCHIDO NA RESERVA</v>
      </c>
      <c r="O1042" s="1" t="str">
        <f>_xlfn.XLOOKUP(M1042,Parâmetros!B:B,Parâmetros!C:C,_xlfn.XLOOKUP(Base!M1049,Parâmetros!G:G,Parâmetros!H:H))</f>
        <v>QUALIDADE DOS DADOS</v>
      </c>
      <c r="P1042" s="1" t="str">
        <f>_xlfn.XLOOKUP(I1042,Parâmetros!A:A,Parâmetros!D:D,_xlfn.XLOOKUP(Q1042,Parâmetros!F:F,Parâmetros!I:I))</f>
        <v>SUPORTE OBT</v>
      </c>
      <c r="Q1042" s="1" t="str">
        <f t="shared" si="33"/>
        <v>COLUNA I</v>
      </c>
    </row>
    <row r="1043" spans="1:17" x14ac:dyDescent="0.25">
      <c r="A1043" s="1" t="str">
        <f>_xlfn.XLOOKUP(D1043,'Novo relatório'!B:B,'Novo relatório'!C:C,"RESOLVIDO")</f>
        <v>GOVER</v>
      </c>
      <c r="C1043" t="str">
        <f t="shared" si="32"/>
        <v>PENDENTE</v>
      </c>
      <c r="D1043" s="1">
        <v>3307439</v>
      </c>
      <c r="E1043" s="1" t="s">
        <v>24</v>
      </c>
      <c r="F1043" s="2">
        <v>45225.822916666664</v>
      </c>
      <c r="G1043" s="1">
        <v>4214263</v>
      </c>
      <c r="H1043" s="1">
        <v>4214263</v>
      </c>
      <c r="I1043" s="1" t="s">
        <v>77</v>
      </c>
      <c r="J1043" s="2">
        <v>45734.504861111112</v>
      </c>
      <c r="K1043" s="2">
        <v>45756.615277777775</v>
      </c>
      <c r="L1043" s="1" t="s">
        <v>14</v>
      </c>
      <c r="M1043" s="1" t="str">
        <f>_xlfn.XLOOKUP(I1043,Parâmetros!A:A,Parâmetros!B:B,_xlfn.XLOOKUP(Q1043,Parâmetros!F:F,Parâmetros!G:G,"NOVA MENSAGEM"))</f>
        <v>RLOC NÃO INFORMADO</v>
      </c>
      <c r="N1043" s="1" t="str">
        <f>_xlfn.XLOOKUP(M1043,Parâmetros!K:K,Parâmetros!L:L,"")</f>
        <v>RLOC NÃO PREENCHIDO NA RESERVA</v>
      </c>
      <c r="O1043" s="1" t="str">
        <f>_xlfn.XLOOKUP(M1043,Parâmetros!B:B,Parâmetros!C:C,_xlfn.XLOOKUP(Base!M1050,Parâmetros!G:G,Parâmetros!H:H))</f>
        <v>QUALIDADE DOS DADOS</v>
      </c>
      <c r="P1043" s="1" t="str">
        <f>_xlfn.XLOOKUP(I1043,Parâmetros!A:A,Parâmetros!D:D,_xlfn.XLOOKUP(Q1043,Parâmetros!F:F,Parâmetros!I:I))</f>
        <v>SUPORTE OBT</v>
      </c>
      <c r="Q1043" s="1" t="str">
        <f t="shared" si="33"/>
        <v>COLUNA I</v>
      </c>
    </row>
    <row r="1044" spans="1:17" x14ac:dyDescent="0.25">
      <c r="A1044" s="1" t="str">
        <f>_xlfn.XLOOKUP(D1044,'Novo relatório'!B:B,'Novo relatório'!C:C,"RESOLVIDO")</f>
        <v>GOVER</v>
      </c>
      <c r="C1044" t="str">
        <f t="shared" si="32"/>
        <v>PENDENTE</v>
      </c>
      <c r="D1044" s="1">
        <v>3307440</v>
      </c>
      <c r="E1044" s="1" t="s">
        <v>24</v>
      </c>
      <c r="F1044" s="2">
        <v>45236.393750000003</v>
      </c>
      <c r="G1044" s="1">
        <v>4219627</v>
      </c>
      <c r="H1044" s="1">
        <v>4219627</v>
      </c>
      <c r="I1044" s="1" t="s">
        <v>77</v>
      </c>
      <c r="J1044" s="2">
        <v>45734.504861111112</v>
      </c>
      <c r="K1044" s="2">
        <v>45756.615277777775</v>
      </c>
      <c r="L1044" s="1" t="s">
        <v>14</v>
      </c>
      <c r="M1044" s="1" t="str">
        <f>_xlfn.XLOOKUP(I1044,Parâmetros!A:A,Parâmetros!B:B,_xlfn.XLOOKUP(Q1044,Parâmetros!F:F,Parâmetros!G:G,"NOVA MENSAGEM"))</f>
        <v>RLOC NÃO INFORMADO</v>
      </c>
      <c r="N1044" s="1" t="str">
        <f>_xlfn.XLOOKUP(M1044,Parâmetros!K:K,Parâmetros!L:L,"")</f>
        <v>RLOC NÃO PREENCHIDO NA RESERVA</v>
      </c>
      <c r="O1044" s="1" t="str">
        <f>_xlfn.XLOOKUP(M1044,Parâmetros!B:B,Parâmetros!C:C,_xlfn.XLOOKUP(Base!M1051,Parâmetros!G:G,Parâmetros!H:H))</f>
        <v>QUALIDADE DOS DADOS</v>
      </c>
      <c r="P1044" s="1" t="str">
        <f>_xlfn.XLOOKUP(I1044,Parâmetros!A:A,Parâmetros!D:D,_xlfn.XLOOKUP(Q1044,Parâmetros!F:F,Parâmetros!I:I))</f>
        <v>SUPORTE OBT</v>
      </c>
      <c r="Q1044" s="1" t="str">
        <f t="shared" si="33"/>
        <v>COLUNA I</v>
      </c>
    </row>
    <row r="1045" spans="1:17" x14ac:dyDescent="0.25">
      <c r="A1045" s="1" t="str">
        <f>_xlfn.XLOOKUP(D1045,'Novo relatório'!B:B,'Novo relatório'!C:C,"RESOLVIDO")</f>
        <v>GOVER</v>
      </c>
      <c r="C1045" t="str">
        <f t="shared" si="32"/>
        <v>PENDENTE</v>
      </c>
      <c r="D1045" s="1">
        <v>3307442</v>
      </c>
      <c r="E1045" s="1" t="s">
        <v>24</v>
      </c>
      <c r="F1045" s="2">
        <v>45244.434027777781</v>
      </c>
      <c r="G1045" s="1">
        <v>4226249</v>
      </c>
      <c r="H1045" s="1">
        <v>4226249</v>
      </c>
      <c r="I1045" s="1" t="s">
        <v>77</v>
      </c>
      <c r="J1045" s="2">
        <v>45734.504861111112</v>
      </c>
      <c r="K1045" s="2">
        <v>45756.615277777775</v>
      </c>
      <c r="L1045" s="1" t="s">
        <v>14</v>
      </c>
      <c r="M1045" s="1" t="str">
        <f>_xlfn.XLOOKUP(I1045,Parâmetros!A:A,Parâmetros!B:B,_xlfn.XLOOKUP(Q1045,Parâmetros!F:F,Parâmetros!G:G,"NOVA MENSAGEM"))</f>
        <v>RLOC NÃO INFORMADO</v>
      </c>
      <c r="N1045" s="1" t="str">
        <f>_xlfn.XLOOKUP(M1045,Parâmetros!K:K,Parâmetros!L:L,"")</f>
        <v>RLOC NÃO PREENCHIDO NA RESERVA</v>
      </c>
      <c r="O1045" s="1" t="str">
        <f>_xlfn.XLOOKUP(M1045,Parâmetros!B:B,Parâmetros!C:C,_xlfn.XLOOKUP(Base!M1052,Parâmetros!G:G,Parâmetros!H:H))</f>
        <v>QUALIDADE DOS DADOS</v>
      </c>
      <c r="P1045" s="1" t="str">
        <f>_xlfn.XLOOKUP(I1045,Parâmetros!A:A,Parâmetros!D:D,_xlfn.XLOOKUP(Q1045,Parâmetros!F:F,Parâmetros!I:I))</f>
        <v>SUPORTE OBT</v>
      </c>
      <c r="Q1045" s="1" t="str">
        <f t="shared" si="33"/>
        <v>COLUNA I</v>
      </c>
    </row>
    <row r="1046" spans="1:17" x14ac:dyDescent="0.25">
      <c r="A1046" s="1" t="str">
        <f>_xlfn.XLOOKUP(D1046,'Novo relatório'!B:B,'Novo relatório'!C:C,"RESOLVIDO")</f>
        <v>GOVER</v>
      </c>
      <c r="C1046" t="str">
        <f t="shared" si="32"/>
        <v>PENDENTE</v>
      </c>
      <c r="D1046" s="1">
        <v>3307443</v>
      </c>
      <c r="E1046" s="1" t="s">
        <v>24</v>
      </c>
      <c r="F1046" s="2">
        <v>45244.556250000001</v>
      </c>
      <c r="G1046" s="1">
        <v>4226516</v>
      </c>
      <c r="H1046" s="1">
        <v>4226516</v>
      </c>
      <c r="I1046" s="1" t="s">
        <v>77</v>
      </c>
      <c r="J1046" s="2">
        <v>45734.504861111112</v>
      </c>
      <c r="K1046" s="2">
        <v>45756.615277777775</v>
      </c>
      <c r="L1046" s="1" t="s">
        <v>14</v>
      </c>
      <c r="M1046" s="1" t="str">
        <f>_xlfn.XLOOKUP(I1046,Parâmetros!A:A,Parâmetros!B:B,_xlfn.XLOOKUP(Q1046,Parâmetros!F:F,Parâmetros!G:G,"NOVA MENSAGEM"))</f>
        <v>RLOC NÃO INFORMADO</v>
      </c>
      <c r="N1046" s="1" t="str">
        <f>_xlfn.XLOOKUP(M1046,Parâmetros!K:K,Parâmetros!L:L,"")</f>
        <v>RLOC NÃO PREENCHIDO NA RESERVA</v>
      </c>
      <c r="O1046" s="1" t="str">
        <f>_xlfn.XLOOKUP(M1046,Parâmetros!B:B,Parâmetros!C:C,_xlfn.XLOOKUP(Base!M1053,Parâmetros!G:G,Parâmetros!H:H))</f>
        <v>QUALIDADE DOS DADOS</v>
      </c>
      <c r="P1046" s="1" t="str">
        <f>_xlfn.XLOOKUP(I1046,Parâmetros!A:A,Parâmetros!D:D,_xlfn.XLOOKUP(Q1046,Parâmetros!F:F,Parâmetros!I:I))</f>
        <v>SUPORTE OBT</v>
      </c>
      <c r="Q1046" s="1" t="str">
        <f t="shared" si="33"/>
        <v>COLUNA I</v>
      </c>
    </row>
    <row r="1047" spans="1:17" x14ac:dyDescent="0.25">
      <c r="A1047" s="1" t="str">
        <f>_xlfn.XLOOKUP(D1047,'Novo relatório'!B:B,'Novo relatório'!C:C,"RESOLVIDO")</f>
        <v>GOVER</v>
      </c>
      <c r="C1047" t="str">
        <f t="shared" si="32"/>
        <v>PENDENTE</v>
      </c>
      <c r="D1047" s="1">
        <v>3307444</v>
      </c>
      <c r="E1047" s="1" t="s">
        <v>24</v>
      </c>
      <c r="F1047" s="2">
        <v>45246.699305555558</v>
      </c>
      <c r="G1047" s="1">
        <v>4228343</v>
      </c>
      <c r="H1047" s="1">
        <v>4228343</v>
      </c>
      <c r="I1047" s="1" t="s">
        <v>77</v>
      </c>
      <c r="J1047" s="2">
        <v>45734.504861111112</v>
      </c>
      <c r="K1047" s="2">
        <v>45756.615277777775</v>
      </c>
      <c r="L1047" s="1" t="s">
        <v>14</v>
      </c>
      <c r="M1047" s="1" t="str">
        <f>_xlfn.XLOOKUP(I1047,Parâmetros!A:A,Parâmetros!B:B,_xlfn.XLOOKUP(Q1047,Parâmetros!F:F,Parâmetros!G:G,"NOVA MENSAGEM"))</f>
        <v>RLOC NÃO INFORMADO</v>
      </c>
      <c r="N1047" s="1" t="str">
        <f>_xlfn.XLOOKUP(M1047,Parâmetros!K:K,Parâmetros!L:L,"")</f>
        <v>RLOC NÃO PREENCHIDO NA RESERVA</v>
      </c>
      <c r="O1047" s="1" t="str">
        <f>_xlfn.XLOOKUP(M1047,Parâmetros!B:B,Parâmetros!C:C,_xlfn.XLOOKUP(Base!M1054,Parâmetros!G:G,Parâmetros!H:H))</f>
        <v>QUALIDADE DOS DADOS</v>
      </c>
      <c r="P1047" s="1" t="str">
        <f>_xlfn.XLOOKUP(I1047,Parâmetros!A:A,Parâmetros!D:D,_xlfn.XLOOKUP(Q1047,Parâmetros!F:F,Parâmetros!I:I))</f>
        <v>SUPORTE OBT</v>
      </c>
      <c r="Q1047" s="1" t="str">
        <f t="shared" si="33"/>
        <v>COLUNA I</v>
      </c>
    </row>
    <row r="1048" spans="1:17" x14ac:dyDescent="0.25">
      <c r="A1048" s="1" t="str">
        <f>_xlfn.XLOOKUP(D1048,'Novo relatório'!B:B,'Novo relatório'!C:C,"RESOLVIDO")</f>
        <v>GOVER</v>
      </c>
      <c r="C1048" t="str">
        <f t="shared" si="32"/>
        <v>PENDENTE</v>
      </c>
      <c r="D1048" s="1">
        <v>3307445</v>
      </c>
      <c r="E1048" s="1" t="s">
        <v>24</v>
      </c>
      <c r="F1048" s="2">
        <v>45246.813194444447</v>
      </c>
      <c r="G1048" s="1">
        <v>4228594</v>
      </c>
      <c r="H1048" s="1">
        <v>4228594</v>
      </c>
      <c r="I1048" s="1" t="s">
        <v>77</v>
      </c>
      <c r="J1048" s="2">
        <v>45734.504861111112</v>
      </c>
      <c r="K1048" s="2">
        <v>45756.615277777775</v>
      </c>
      <c r="L1048" s="1" t="s">
        <v>14</v>
      </c>
      <c r="M1048" s="1" t="str">
        <f>_xlfn.XLOOKUP(I1048,Parâmetros!A:A,Parâmetros!B:B,_xlfn.XLOOKUP(Q1048,Parâmetros!F:F,Parâmetros!G:G,"NOVA MENSAGEM"))</f>
        <v>RLOC NÃO INFORMADO</v>
      </c>
      <c r="N1048" s="1" t="str">
        <f>_xlfn.XLOOKUP(M1048,Parâmetros!K:K,Parâmetros!L:L,"")</f>
        <v>RLOC NÃO PREENCHIDO NA RESERVA</v>
      </c>
      <c r="O1048" s="1" t="str">
        <f>_xlfn.XLOOKUP(M1048,Parâmetros!B:B,Parâmetros!C:C,_xlfn.XLOOKUP(Base!M1055,Parâmetros!G:G,Parâmetros!H:H))</f>
        <v>QUALIDADE DOS DADOS</v>
      </c>
      <c r="P1048" s="1" t="str">
        <f>_xlfn.XLOOKUP(I1048,Parâmetros!A:A,Parâmetros!D:D,_xlfn.XLOOKUP(Q1048,Parâmetros!F:F,Parâmetros!I:I))</f>
        <v>SUPORTE OBT</v>
      </c>
      <c r="Q1048" s="1" t="str">
        <f t="shared" si="33"/>
        <v>COLUNA I</v>
      </c>
    </row>
    <row r="1049" spans="1:17" x14ac:dyDescent="0.25">
      <c r="A1049" s="1" t="str">
        <f>_xlfn.XLOOKUP(D1049,'Novo relatório'!B:B,'Novo relatório'!C:C,"RESOLVIDO")</f>
        <v>GOVER</v>
      </c>
      <c r="C1049" t="str">
        <f t="shared" si="32"/>
        <v>PENDENTE</v>
      </c>
      <c r="D1049" s="1">
        <v>3307446</v>
      </c>
      <c r="E1049" s="1" t="s">
        <v>24</v>
      </c>
      <c r="F1049" s="2">
        <v>45247.630555555559</v>
      </c>
      <c r="G1049" s="1">
        <v>4229281</v>
      </c>
      <c r="H1049" s="1">
        <v>4229281</v>
      </c>
      <c r="I1049" s="1" t="s">
        <v>77</v>
      </c>
      <c r="J1049" s="2">
        <v>45734.504861111112</v>
      </c>
      <c r="K1049" s="2">
        <v>45756.615277777775</v>
      </c>
      <c r="L1049" s="1" t="s">
        <v>14</v>
      </c>
      <c r="M1049" s="1" t="str">
        <f>_xlfn.XLOOKUP(I1049,Parâmetros!A:A,Parâmetros!B:B,_xlfn.XLOOKUP(Q1049,Parâmetros!F:F,Parâmetros!G:G,"NOVA MENSAGEM"))</f>
        <v>RLOC NÃO INFORMADO</v>
      </c>
      <c r="N1049" s="1" t="str">
        <f>_xlfn.XLOOKUP(M1049,Parâmetros!K:K,Parâmetros!L:L,"")</f>
        <v>RLOC NÃO PREENCHIDO NA RESERVA</v>
      </c>
      <c r="O1049" s="1" t="str">
        <f>_xlfn.XLOOKUP(M1049,Parâmetros!B:B,Parâmetros!C:C,_xlfn.XLOOKUP(Base!M1056,Parâmetros!G:G,Parâmetros!H:H))</f>
        <v>QUALIDADE DOS DADOS</v>
      </c>
      <c r="P1049" s="1" t="str">
        <f>_xlfn.XLOOKUP(I1049,Parâmetros!A:A,Parâmetros!D:D,_xlfn.XLOOKUP(Q1049,Parâmetros!F:F,Parâmetros!I:I))</f>
        <v>SUPORTE OBT</v>
      </c>
      <c r="Q1049" s="1" t="str">
        <f t="shared" si="33"/>
        <v>COLUNA I</v>
      </c>
    </row>
    <row r="1050" spans="1:17" x14ac:dyDescent="0.25">
      <c r="A1050" s="1" t="str">
        <f>_xlfn.XLOOKUP(D1050,'Novo relatório'!B:B,'Novo relatório'!C:C,"RESOLVIDO")</f>
        <v>GOVER</v>
      </c>
      <c r="C1050" t="str">
        <f t="shared" si="32"/>
        <v>PENDENTE</v>
      </c>
      <c r="D1050" s="1">
        <v>3307447</v>
      </c>
      <c r="E1050" s="1" t="s">
        <v>24</v>
      </c>
      <c r="F1050" s="2">
        <v>45257.40902777778</v>
      </c>
      <c r="G1050" s="1">
        <v>4234613</v>
      </c>
      <c r="H1050" s="1">
        <v>4234613</v>
      </c>
      <c r="I1050" s="1" t="s">
        <v>77</v>
      </c>
      <c r="J1050" s="2">
        <v>45734.504861111112</v>
      </c>
      <c r="K1050" s="2">
        <v>45756.615277777775</v>
      </c>
      <c r="L1050" s="1" t="s">
        <v>14</v>
      </c>
      <c r="M1050" s="1" t="str">
        <f>_xlfn.XLOOKUP(I1050,Parâmetros!A:A,Parâmetros!B:B,_xlfn.XLOOKUP(Q1050,Parâmetros!F:F,Parâmetros!G:G,"NOVA MENSAGEM"))</f>
        <v>RLOC NÃO INFORMADO</v>
      </c>
      <c r="N1050" s="1" t="str">
        <f>_xlfn.XLOOKUP(M1050,Parâmetros!K:K,Parâmetros!L:L,"")</f>
        <v>RLOC NÃO PREENCHIDO NA RESERVA</v>
      </c>
      <c r="O1050" s="1" t="str">
        <f>_xlfn.XLOOKUP(M1050,Parâmetros!B:B,Parâmetros!C:C,_xlfn.XLOOKUP(Base!M1057,Parâmetros!G:G,Parâmetros!H:H))</f>
        <v>QUALIDADE DOS DADOS</v>
      </c>
      <c r="P1050" s="1" t="str">
        <f>_xlfn.XLOOKUP(I1050,Parâmetros!A:A,Parâmetros!D:D,_xlfn.XLOOKUP(Q1050,Parâmetros!F:F,Parâmetros!I:I))</f>
        <v>SUPORTE OBT</v>
      </c>
      <c r="Q1050" s="1" t="str">
        <f t="shared" si="33"/>
        <v>COLUNA I</v>
      </c>
    </row>
    <row r="1051" spans="1:17" x14ac:dyDescent="0.25">
      <c r="A1051" s="1" t="str">
        <f>_xlfn.XLOOKUP(D1051,'Novo relatório'!B:B,'Novo relatório'!C:C,"RESOLVIDO")</f>
        <v>GOVER</v>
      </c>
      <c r="C1051" t="str">
        <f t="shared" si="32"/>
        <v>PENDENTE</v>
      </c>
      <c r="D1051" s="1">
        <v>3307448</v>
      </c>
      <c r="E1051" s="1" t="s">
        <v>24</v>
      </c>
      <c r="F1051" s="2">
        <v>45261.47152777778</v>
      </c>
      <c r="G1051" s="1">
        <v>4238444</v>
      </c>
      <c r="H1051" s="1">
        <v>4238444</v>
      </c>
      <c r="I1051" s="1" t="s">
        <v>77</v>
      </c>
      <c r="J1051" s="2">
        <v>45734.504861111112</v>
      </c>
      <c r="K1051" s="2">
        <v>45756.615277777775</v>
      </c>
      <c r="L1051" s="1" t="s">
        <v>14</v>
      </c>
      <c r="M1051" s="1" t="str">
        <f>_xlfn.XLOOKUP(I1051,Parâmetros!A:A,Parâmetros!B:B,_xlfn.XLOOKUP(Q1051,Parâmetros!F:F,Parâmetros!G:G,"NOVA MENSAGEM"))</f>
        <v>RLOC NÃO INFORMADO</v>
      </c>
      <c r="N1051" s="1" t="str">
        <f>_xlfn.XLOOKUP(M1051,Parâmetros!K:K,Parâmetros!L:L,"")</f>
        <v>RLOC NÃO PREENCHIDO NA RESERVA</v>
      </c>
      <c r="O1051" s="1" t="str">
        <f>_xlfn.XLOOKUP(M1051,Parâmetros!B:B,Parâmetros!C:C,_xlfn.XLOOKUP(Base!M1058,Parâmetros!G:G,Parâmetros!H:H))</f>
        <v>QUALIDADE DOS DADOS</v>
      </c>
      <c r="P1051" s="1" t="str">
        <f>_xlfn.XLOOKUP(I1051,Parâmetros!A:A,Parâmetros!D:D,_xlfn.XLOOKUP(Q1051,Parâmetros!F:F,Parâmetros!I:I))</f>
        <v>SUPORTE OBT</v>
      </c>
      <c r="Q1051" s="1" t="str">
        <f t="shared" si="33"/>
        <v>COLUNA I</v>
      </c>
    </row>
    <row r="1052" spans="1:17" x14ac:dyDescent="0.25">
      <c r="A1052" s="1" t="str">
        <f>_xlfn.XLOOKUP(D1052,'Novo relatório'!B:B,'Novo relatório'!C:C,"RESOLVIDO")</f>
        <v>GOVER</v>
      </c>
      <c r="C1052" t="str">
        <f t="shared" si="32"/>
        <v>PENDENTE</v>
      </c>
      <c r="D1052" s="1">
        <v>3307450</v>
      </c>
      <c r="E1052" s="1" t="s">
        <v>24</v>
      </c>
      <c r="F1052" s="2">
        <v>45280.479861111111</v>
      </c>
      <c r="G1052" s="1">
        <v>4247796</v>
      </c>
      <c r="H1052" s="1">
        <v>4247796</v>
      </c>
      <c r="I1052" s="1" t="s">
        <v>77</v>
      </c>
      <c r="J1052" s="2">
        <v>45734.504861111112</v>
      </c>
      <c r="K1052" s="2">
        <v>45756.615277777775</v>
      </c>
      <c r="L1052" s="1" t="s">
        <v>14</v>
      </c>
      <c r="M1052" s="1" t="str">
        <f>_xlfn.XLOOKUP(I1052,Parâmetros!A:A,Parâmetros!B:B,_xlfn.XLOOKUP(Q1052,Parâmetros!F:F,Parâmetros!G:G,"NOVA MENSAGEM"))</f>
        <v>RLOC NÃO INFORMADO</v>
      </c>
      <c r="N1052" s="1" t="str">
        <f>_xlfn.XLOOKUP(M1052,Parâmetros!K:K,Parâmetros!L:L,"")</f>
        <v>RLOC NÃO PREENCHIDO NA RESERVA</v>
      </c>
      <c r="O1052" s="1" t="str">
        <f>_xlfn.XLOOKUP(M1052,Parâmetros!B:B,Parâmetros!C:C,_xlfn.XLOOKUP(Base!M1059,Parâmetros!G:G,Parâmetros!H:H))</f>
        <v>QUALIDADE DOS DADOS</v>
      </c>
      <c r="P1052" s="1" t="str">
        <f>_xlfn.XLOOKUP(I1052,Parâmetros!A:A,Parâmetros!D:D,_xlfn.XLOOKUP(Q1052,Parâmetros!F:F,Parâmetros!I:I))</f>
        <v>SUPORTE OBT</v>
      </c>
      <c r="Q1052" s="1" t="str">
        <f t="shared" si="33"/>
        <v>COLUNA I</v>
      </c>
    </row>
    <row r="1053" spans="1:17" x14ac:dyDescent="0.25">
      <c r="A1053" s="1" t="str">
        <f>_xlfn.XLOOKUP(D1053,'Novo relatório'!B:B,'Novo relatório'!C:C,"RESOLVIDO")</f>
        <v>GOVER</v>
      </c>
      <c r="C1053" t="str">
        <f t="shared" si="32"/>
        <v>PENDENTE</v>
      </c>
      <c r="D1053" s="1">
        <v>3307451</v>
      </c>
      <c r="E1053" s="1" t="s">
        <v>24</v>
      </c>
      <c r="F1053" s="2">
        <v>45286.572916666664</v>
      </c>
      <c r="G1053" s="1">
        <v>4249483</v>
      </c>
      <c r="H1053" s="1">
        <v>4249483</v>
      </c>
      <c r="I1053" s="1" t="s">
        <v>77</v>
      </c>
      <c r="J1053" s="2">
        <v>45734.504861111112</v>
      </c>
      <c r="K1053" s="2">
        <v>45756.615277777775</v>
      </c>
      <c r="L1053" s="1" t="s">
        <v>14</v>
      </c>
      <c r="M1053" s="1" t="str">
        <f>_xlfn.XLOOKUP(I1053,Parâmetros!A:A,Parâmetros!B:B,_xlfn.XLOOKUP(Q1053,Parâmetros!F:F,Parâmetros!G:G,"NOVA MENSAGEM"))</f>
        <v>RLOC NÃO INFORMADO</v>
      </c>
      <c r="N1053" s="1" t="str">
        <f>_xlfn.XLOOKUP(M1053,Parâmetros!K:K,Parâmetros!L:L,"")</f>
        <v>RLOC NÃO PREENCHIDO NA RESERVA</v>
      </c>
      <c r="O1053" s="1" t="str">
        <f>_xlfn.XLOOKUP(M1053,Parâmetros!B:B,Parâmetros!C:C,_xlfn.XLOOKUP(Base!M1060,Parâmetros!G:G,Parâmetros!H:H))</f>
        <v>QUALIDADE DOS DADOS</v>
      </c>
      <c r="P1053" s="1" t="str">
        <f>_xlfn.XLOOKUP(I1053,Parâmetros!A:A,Parâmetros!D:D,_xlfn.XLOOKUP(Q1053,Parâmetros!F:F,Parâmetros!I:I))</f>
        <v>SUPORTE OBT</v>
      </c>
      <c r="Q1053" s="1" t="str">
        <f t="shared" si="33"/>
        <v>COLUNA I</v>
      </c>
    </row>
    <row r="1054" spans="1:17" x14ac:dyDescent="0.25">
      <c r="A1054" s="1" t="str">
        <f>_xlfn.XLOOKUP(D1054,'Novo relatório'!B:B,'Novo relatório'!C:C,"RESOLVIDO")</f>
        <v>GOVER</v>
      </c>
      <c r="C1054" t="str">
        <f t="shared" si="32"/>
        <v>PENDENTE</v>
      </c>
      <c r="D1054" s="1">
        <v>3307452</v>
      </c>
      <c r="E1054" s="1" t="s">
        <v>24</v>
      </c>
      <c r="F1054" s="2">
        <v>45287.631249999999</v>
      </c>
      <c r="G1054" s="1">
        <v>4249982</v>
      </c>
      <c r="H1054" s="1">
        <v>4249982</v>
      </c>
      <c r="I1054" s="1" t="s">
        <v>77</v>
      </c>
      <c r="J1054" s="2">
        <v>45734.504861111112</v>
      </c>
      <c r="K1054" s="2">
        <v>45756.615277777775</v>
      </c>
      <c r="L1054" s="1" t="s">
        <v>14</v>
      </c>
      <c r="M1054" s="1" t="str">
        <f>_xlfn.XLOOKUP(I1054,Parâmetros!A:A,Parâmetros!B:B,_xlfn.XLOOKUP(Q1054,Parâmetros!F:F,Parâmetros!G:G,"NOVA MENSAGEM"))</f>
        <v>RLOC NÃO INFORMADO</v>
      </c>
      <c r="N1054" s="1" t="str">
        <f>_xlfn.XLOOKUP(M1054,Parâmetros!K:K,Parâmetros!L:L,"")</f>
        <v>RLOC NÃO PREENCHIDO NA RESERVA</v>
      </c>
      <c r="O1054" s="1" t="str">
        <f>_xlfn.XLOOKUP(M1054,Parâmetros!B:B,Parâmetros!C:C,_xlfn.XLOOKUP(Base!M1061,Parâmetros!G:G,Parâmetros!H:H))</f>
        <v>QUALIDADE DOS DADOS</v>
      </c>
      <c r="P1054" s="1" t="str">
        <f>_xlfn.XLOOKUP(I1054,Parâmetros!A:A,Parâmetros!D:D,_xlfn.XLOOKUP(Q1054,Parâmetros!F:F,Parâmetros!I:I))</f>
        <v>SUPORTE OBT</v>
      </c>
      <c r="Q1054" s="1" t="str">
        <f t="shared" si="33"/>
        <v>COLUNA I</v>
      </c>
    </row>
    <row r="1055" spans="1:17" x14ac:dyDescent="0.25">
      <c r="A1055" s="1" t="str">
        <f>_xlfn.XLOOKUP(D1055,'Novo relatório'!B:B,'Novo relatório'!C:C,"RESOLVIDO")</f>
        <v>GOVER</v>
      </c>
      <c r="C1055" t="str">
        <f t="shared" si="32"/>
        <v>PENDENTE</v>
      </c>
      <c r="D1055" s="1">
        <v>3307457</v>
      </c>
      <c r="E1055" s="1" t="s">
        <v>24</v>
      </c>
      <c r="F1055" s="2">
        <v>45440.477777777778</v>
      </c>
      <c r="G1055" s="1">
        <v>4341981</v>
      </c>
      <c r="H1055" s="1" t="s">
        <v>286</v>
      </c>
      <c r="I1055" s="1" t="s">
        <v>287</v>
      </c>
      <c r="J1055" s="2">
        <v>45734.505555555559</v>
      </c>
      <c r="K1055" s="2">
        <v>45756.615277777775</v>
      </c>
      <c r="L1055" s="1" t="s">
        <v>14</v>
      </c>
      <c r="M1055" s="1" t="str">
        <f>_xlfn.XLOOKUP(I1055,Parâmetros!A:A,Parâmetros!B:B,_xlfn.XLOOKUP(Q1055,Parâmetros!F:F,Parâmetros!G:G,"NOVA MENSAGEM"))</f>
        <v>Nº DO VOO</v>
      </c>
      <c r="N1055" s="1" t="str">
        <f>_xlfn.XLOOKUP(M1055,Parâmetros!K:K,Parâmetros!L:L,"")</f>
        <v>Nº DO VOO NÃO PREENCHIDO OU INCORRETO NA RESERVA</v>
      </c>
      <c r="O1055" s="1" t="str">
        <f>_xlfn.XLOOKUP(M1055,Parâmetros!B:B,Parâmetros!C:C,_xlfn.XLOOKUP(Base!M1062,Parâmetros!G:G,Parâmetros!H:H))</f>
        <v>QUALIDADE DOS DADOS</v>
      </c>
      <c r="P1055" s="1" t="str">
        <f>_xlfn.XLOOKUP(I1055,Parâmetros!A:A,Parâmetros!D:D,_xlfn.XLOOKUP(Q1055,Parâmetros!F:F,Parâmetros!I:I))</f>
        <v>SUPORTE OBT</v>
      </c>
      <c r="Q1055" s="1" t="str">
        <f t="shared" si="33"/>
        <v>COLUNA I</v>
      </c>
    </row>
    <row r="1056" spans="1:17" x14ac:dyDescent="0.25">
      <c r="A1056" s="1" t="str">
        <f>_xlfn.XLOOKUP(D1056,'Novo relatório'!B:B,'Novo relatório'!C:C,"RESOLVIDO")</f>
        <v>GOVER</v>
      </c>
      <c r="C1056" t="str">
        <f t="shared" si="32"/>
        <v>PENDENTE</v>
      </c>
      <c r="D1056" s="1">
        <v>3307461</v>
      </c>
      <c r="E1056" s="1" t="s">
        <v>24</v>
      </c>
      <c r="F1056" s="2">
        <v>45524.702777777777</v>
      </c>
      <c r="G1056" s="1">
        <v>4393087</v>
      </c>
      <c r="H1056" s="1">
        <v>4393087</v>
      </c>
      <c r="I1056" s="1" t="s">
        <v>77</v>
      </c>
      <c r="J1056" s="2">
        <v>45734.505555555559</v>
      </c>
      <c r="K1056" s="2">
        <v>45756.615277777775</v>
      </c>
      <c r="L1056" s="1" t="s">
        <v>14</v>
      </c>
      <c r="M1056" s="1" t="str">
        <f>_xlfn.XLOOKUP(I1056,Parâmetros!A:A,Parâmetros!B:B,_xlfn.XLOOKUP(Q1056,Parâmetros!F:F,Parâmetros!G:G,"NOVA MENSAGEM"))</f>
        <v>RLOC NÃO INFORMADO</v>
      </c>
      <c r="N1056" s="1" t="str">
        <f>_xlfn.XLOOKUP(M1056,Parâmetros!K:K,Parâmetros!L:L,"")</f>
        <v>RLOC NÃO PREENCHIDO NA RESERVA</v>
      </c>
      <c r="O1056" s="1" t="str">
        <f>_xlfn.XLOOKUP(M1056,Parâmetros!B:B,Parâmetros!C:C,_xlfn.XLOOKUP(Base!M1063,Parâmetros!G:G,Parâmetros!H:H))</f>
        <v>QUALIDADE DOS DADOS</v>
      </c>
      <c r="P1056" s="1" t="str">
        <f>_xlfn.XLOOKUP(I1056,Parâmetros!A:A,Parâmetros!D:D,_xlfn.XLOOKUP(Q1056,Parâmetros!F:F,Parâmetros!I:I))</f>
        <v>SUPORTE OBT</v>
      </c>
      <c r="Q1056" s="1" t="str">
        <f t="shared" si="33"/>
        <v>COLUNA I</v>
      </c>
    </row>
    <row r="1057" spans="1:17" x14ac:dyDescent="0.25">
      <c r="A1057" s="1" t="str">
        <f>_xlfn.XLOOKUP(D1057,'Novo relatório'!B:B,'Novo relatório'!C:C,"RESOLVIDO")</f>
        <v>GOVER</v>
      </c>
      <c r="C1057" t="str">
        <f t="shared" si="32"/>
        <v>PENDENTE</v>
      </c>
      <c r="D1057" s="1">
        <v>3307462</v>
      </c>
      <c r="E1057" s="1" t="s">
        <v>24</v>
      </c>
      <c r="F1057" s="2">
        <v>45526.943749999999</v>
      </c>
      <c r="G1057" s="1">
        <v>4394675</v>
      </c>
      <c r="H1057" s="1">
        <v>4394675</v>
      </c>
      <c r="I1057" s="1" t="s">
        <v>77</v>
      </c>
      <c r="J1057" s="2">
        <v>45734.505555555559</v>
      </c>
      <c r="K1057" s="2">
        <v>45756.615277777775</v>
      </c>
      <c r="L1057" s="1" t="s">
        <v>14</v>
      </c>
      <c r="M1057" s="1" t="str">
        <f>_xlfn.XLOOKUP(I1057,Parâmetros!A:A,Parâmetros!B:B,_xlfn.XLOOKUP(Q1057,Parâmetros!F:F,Parâmetros!G:G,"NOVA MENSAGEM"))</f>
        <v>RLOC NÃO INFORMADO</v>
      </c>
      <c r="N1057" s="1" t="str">
        <f>_xlfn.XLOOKUP(M1057,Parâmetros!K:K,Parâmetros!L:L,"")</f>
        <v>RLOC NÃO PREENCHIDO NA RESERVA</v>
      </c>
      <c r="O1057" s="1" t="str">
        <f>_xlfn.XLOOKUP(M1057,Parâmetros!B:B,Parâmetros!C:C,_xlfn.XLOOKUP(Base!M1064,Parâmetros!G:G,Parâmetros!H:H))</f>
        <v>QUALIDADE DOS DADOS</v>
      </c>
      <c r="P1057" s="1" t="str">
        <f>_xlfn.XLOOKUP(I1057,Parâmetros!A:A,Parâmetros!D:D,_xlfn.XLOOKUP(Q1057,Parâmetros!F:F,Parâmetros!I:I))</f>
        <v>SUPORTE OBT</v>
      </c>
      <c r="Q1057" s="1" t="str">
        <f t="shared" si="33"/>
        <v>COLUNA I</v>
      </c>
    </row>
    <row r="1058" spans="1:17" x14ac:dyDescent="0.25">
      <c r="A1058" s="1" t="str">
        <f>_xlfn.XLOOKUP(D1058,'Novo relatório'!B:B,'Novo relatório'!C:C,"RESOLVIDO")</f>
        <v>GOVER</v>
      </c>
      <c r="C1058" t="str">
        <f t="shared" si="32"/>
        <v>PENDENTE</v>
      </c>
      <c r="D1058" s="1">
        <v>3307465</v>
      </c>
      <c r="E1058" s="1" t="s">
        <v>24</v>
      </c>
      <c r="F1058" s="2">
        <v>45530.650694444441</v>
      </c>
      <c r="G1058" s="1">
        <v>4396109</v>
      </c>
      <c r="H1058" s="1">
        <v>4396109</v>
      </c>
      <c r="I1058" s="1" t="s">
        <v>77</v>
      </c>
      <c r="J1058" s="2">
        <v>45734.505555555559</v>
      </c>
      <c r="K1058" s="2">
        <v>45756.615277777775</v>
      </c>
      <c r="L1058" s="1" t="s">
        <v>14</v>
      </c>
      <c r="M1058" s="1" t="str">
        <f>_xlfn.XLOOKUP(I1058,Parâmetros!A:A,Parâmetros!B:B,_xlfn.XLOOKUP(Q1058,Parâmetros!F:F,Parâmetros!G:G,"NOVA MENSAGEM"))</f>
        <v>RLOC NÃO INFORMADO</v>
      </c>
      <c r="N1058" s="1" t="str">
        <f>_xlfn.XLOOKUP(M1058,Parâmetros!K:K,Parâmetros!L:L,"")</f>
        <v>RLOC NÃO PREENCHIDO NA RESERVA</v>
      </c>
      <c r="O1058" s="1" t="str">
        <f>_xlfn.XLOOKUP(M1058,Parâmetros!B:B,Parâmetros!C:C,_xlfn.XLOOKUP(Base!M1065,Parâmetros!G:G,Parâmetros!H:H))</f>
        <v>QUALIDADE DOS DADOS</v>
      </c>
      <c r="P1058" s="1" t="str">
        <f>_xlfn.XLOOKUP(I1058,Parâmetros!A:A,Parâmetros!D:D,_xlfn.XLOOKUP(Q1058,Parâmetros!F:F,Parâmetros!I:I))</f>
        <v>SUPORTE OBT</v>
      </c>
      <c r="Q1058" s="1" t="str">
        <f t="shared" si="33"/>
        <v>COLUNA I</v>
      </c>
    </row>
    <row r="1059" spans="1:17" x14ac:dyDescent="0.25">
      <c r="A1059" s="1" t="str">
        <f>_xlfn.XLOOKUP(D1059,'Novo relatório'!B:B,'Novo relatório'!C:C,"RESOLVIDO")</f>
        <v>GOVER</v>
      </c>
      <c r="C1059" t="str">
        <f t="shared" si="32"/>
        <v>PENDENTE</v>
      </c>
      <c r="D1059" s="1">
        <v>3307467</v>
      </c>
      <c r="E1059" s="1" t="s">
        <v>24</v>
      </c>
      <c r="F1059" s="2">
        <v>45540.697222222225</v>
      </c>
      <c r="G1059" s="1">
        <v>4402692</v>
      </c>
      <c r="H1059" s="1">
        <v>4402692</v>
      </c>
      <c r="I1059" s="1" t="s">
        <v>77</v>
      </c>
      <c r="J1059" s="2">
        <v>45734.506249999999</v>
      </c>
      <c r="K1059" s="2">
        <v>45756.615277777775</v>
      </c>
      <c r="L1059" s="1" t="s">
        <v>14</v>
      </c>
      <c r="M1059" s="1" t="str">
        <f>_xlfn.XLOOKUP(I1059,Parâmetros!A:A,Parâmetros!B:B,_xlfn.XLOOKUP(Q1059,Parâmetros!F:F,Parâmetros!G:G,"NOVA MENSAGEM"))</f>
        <v>RLOC NÃO INFORMADO</v>
      </c>
      <c r="N1059" s="1" t="str">
        <f>_xlfn.XLOOKUP(M1059,Parâmetros!K:K,Parâmetros!L:L,"")</f>
        <v>RLOC NÃO PREENCHIDO NA RESERVA</v>
      </c>
      <c r="O1059" s="1" t="str">
        <f>_xlfn.XLOOKUP(M1059,Parâmetros!B:B,Parâmetros!C:C,_xlfn.XLOOKUP(Base!M1066,Parâmetros!G:G,Parâmetros!H:H))</f>
        <v>QUALIDADE DOS DADOS</v>
      </c>
      <c r="P1059" s="1" t="str">
        <f>_xlfn.XLOOKUP(I1059,Parâmetros!A:A,Parâmetros!D:D,_xlfn.XLOOKUP(Q1059,Parâmetros!F:F,Parâmetros!I:I))</f>
        <v>SUPORTE OBT</v>
      </c>
      <c r="Q1059" s="1" t="str">
        <f t="shared" si="33"/>
        <v>COLUNA I</v>
      </c>
    </row>
    <row r="1060" spans="1:17" x14ac:dyDescent="0.25">
      <c r="A1060" s="1" t="str">
        <f>_xlfn.XLOOKUP(D1060,'Novo relatório'!B:B,'Novo relatório'!C:C,"RESOLVIDO")</f>
        <v>GOVER</v>
      </c>
      <c r="C1060" t="str">
        <f t="shared" si="32"/>
        <v>PENDENTE</v>
      </c>
      <c r="D1060" s="1">
        <v>3307470</v>
      </c>
      <c r="E1060" s="1" t="s">
        <v>24</v>
      </c>
      <c r="F1060" s="2">
        <v>45559.5</v>
      </c>
      <c r="G1060" s="1">
        <v>4412818</v>
      </c>
      <c r="H1060" s="1">
        <v>4412818</v>
      </c>
      <c r="I1060" s="1" t="s">
        <v>77</v>
      </c>
      <c r="J1060" s="2">
        <v>45734.506249999999</v>
      </c>
      <c r="K1060" s="2">
        <v>45756.615277777775</v>
      </c>
      <c r="L1060" s="1" t="s">
        <v>14</v>
      </c>
      <c r="M1060" s="1" t="str">
        <f>_xlfn.XLOOKUP(I1060,Parâmetros!A:A,Parâmetros!B:B,_xlfn.XLOOKUP(Q1060,Parâmetros!F:F,Parâmetros!G:G,"NOVA MENSAGEM"))</f>
        <v>RLOC NÃO INFORMADO</v>
      </c>
      <c r="N1060" s="1" t="str">
        <f>_xlfn.XLOOKUP(M1060,Parâmetros!K:K,Parâmetros!L:L,"")</f>
        <v>RLOC NÃO PREENCHIDO NA RESERVA</v>
      </c>
      <c r="O1060" s="1" t="str">
        <f>_xlfn.XLOOKUP(M1060,Parâmetros!B:B,Parâmetros!C:C,_xlfn.XLOOKUP(Base!M1067,Parâmetros!G:G,Parâmetros!H:H))</f>
        <v>QUALIDADE DOS DADOS</v>
      </c>
      <c r="P1060" s="1" t="str">
        <f>_xlfn.XLOOKUP(I1060,Parâmetros!A:A,Parâmetros!D:D,_xlfn.XLOOKUP(Q1060,Parâmetros!F:F,Parâmetros!I:I))</f>
        <v>SUPORTE OBT</v>
      </c>
      <c r="Q1060" s="1" t="str">
        <f t="shared" si="33"/>
        <v>COLUNA I</v>
      </c>
    </row>
    <row r="1061" spans="1:17" x14ac:dyDescent="0.25">
      <c r="A1061" s="1" t="str">
        <f>_xlfn.XLOOKUP(D1061,'Novo relatório'!B:B,'Novo relatório'!C:C,"RESOLVIDO")</f>
        <v>GOVER</v>
      </c>
      <c r="C1061" t="str">
        <f t="shared" si="32"/>
        <v>PENDENTE</v>
      </c>
      <c r="D1061" s="1">
        <v>3307472</v>
      </c>
      <c r="E1061" s="1" t="s">
        <v>24</v>
      </c>
      <c r="F1061" s="2">
        <v>45568.555555555555</v>
      </c>
      <c r="G1061" s="1">
        <v>4418900</v>
      </c>
      <c r="H1061" s="1">
        <v>4418900</v>
      </c>
      <c r="I1061" s="1" t="s">
        <v>77</v>
      </c>
      <c r="J1061" s="2">
        <v>45734.506249999999</v>
      </c>
      <c r="K1061" s="2">
        <v>45756.615277777775</v>
      </c>
      <c r="L1061" s="1" t="s">
        <v>14</v>
      </c>
      <c r="M1061" s="1" t="str">
        <f>_xlfn.XLOOKUP(I1061,Parâmetros!A:A,Parâmetros!B:B,_xlfn.XLOOKUP(Q1061,Parâmetros!F:F,Parâmetros!G:G,"NOVA MENSAGEM"))</f>
        <v>RLOC NÃO INFORMADO</v>
      </c>
      <c r="N1061" s="1" t="str">
        <f>_xlfn.XLOOKUP(M1061,Parâmetros!K:K,Parâmetros!L:L,"")</f>
        <v>RLOC NÃO PREENCHIDO NA RESERVA</v>
      </c>
      <c r="O1061" s="1" t="str">
        <f>_xlfn.XLOOKUP(M1061,Parâmetros!B:B,Parâmetros!C:C,_xlfn.XLOOKUP(Base!M1068,Parâmetros!G:G,Parâmetros!H:H))</f>
        <v>QUALIDADE DOS DADOS</v>
      </c>
      <c r="P1061" s="1" t="str">
        <f>_xlfn.XLOOKUP(I1061,Parâmetros!A:A,Parâmetros!D:D,_xlfn.XLOOKUP(Q1061,Parâmetros!F:F,Parâmetros!I:I))</f>
        <v>SUPORTE OBT</v>
      </c>
      <c r="Q1061" s="1" t="str">
        <f t="shared" si="33"/>
        <v>COLUNA I</v>
      </c>
    </row>
    <row r="1062" spans="1:17" x14ac:dyDescent="0.25">
      <c r="A1062" s="1" t="str">
        <f>_xlfn.XLOOKUP(D1062,'Novo relatório'!B:B,'Novo relatório'!C:C,"RESOLVIDO")</f>
        <v>GOVER</v>
      </c>
      <c r="C1062" t="str">
        <f t="shared" si="32"/>
        <v>PENDENTE</v>
      </c>
      <c r="D1062" s="1">
        <v>3307473</v>
      </c>
      <c r="E1062" s="1" t="s">
        <v>24</v>
      </c>
      <c r="F1062" s="2">
        <v>45573.681250000001</v>
      </c>
      <c r="G1062" s="1">
        <v>4422136</v>
      </c>
      <c r="H1062" s="1">
        <v>4422136</v>
      </c>
      <c r="I1062" s="1" t="s">
        <v>77</v>
      </c>
      <c r="J1062" s="2">
        <v>45734.506249999999</v>
      </c>
      <c r="K1062" s="2">
        <v>45756.615277777775</v>
      </c>
      <c r="L1062" s="1" t="s">
        <v>14</v>
      </c>
      <c r="M1062" s="1" t="str">
        <f>_xlfn.XLOOKUP(I1062,Parâmetros!A:A,Parâmetros!B:B,_xlfn.XLOOKUP(Q1062,Parâmetros!F:F,Parâmetros!G:G,"NOVA MENSAGEM"))</f>
        <v>RLOC NÃO INFORMADO</v>
      </c>
      <c r="N1062" s="1" t="str">
        <f>_xlfn.XLOOKUP(M1062,Parâmetros!K:K,Parâmetros!L:L,"")</f>
        <v>RLOC NÃO PREENCHIDO NA RESERVA</v>
      </c>
      <c r="O1062" s="1" t="str">
        <f>_xlfn.XLOOKUP(M1062,Parâmetros!B:B,Parâmetros!C:C,_xlfn.XLOOKUP(Base!M1069,Parâmetros!G:G,Parâmetros!H:H))</f>
        <v>QUALIDADE DOS DADOS</v>
      </c>
      <c r="P1062" s="1" t="str">
        <f>_xlfn.XLOOKUP(I1062,Parâmetros!A:A,Parâmetros!D:D,_xlfn.XLOOKUP(Q1062,Parâmetros!F:F,Parâmetros!I:I))</f>
        <v>SUPORTE OBT</v>
      </c>
      <c r="Q1062" s="1" t="str">
        <f t="shared" si="33"/>
        <v>COLUNA I</v>
      </c>
    </row>
    <row r="1063" spans="1:17" x14ac:dyDescent="0.25">
      <c r="A1063" s="1" t="str">
        <f>_xlfn.XLOOKUP(D1063,'Novo relatório'!B:B,'Novo relatório'!C:C,"RESOLVIDO")</f>
        <v>GOVER</v>
      </c>
      <c r="C1063" t="str">
        <f t="shared" si="32"/>
        <v>PENDENTE</v>
      </c>
      <c r="D1063" s="1">
        <v>3307474</v>
      </c>
      <c r="E1063" s="1" t="s">
        <v>24</v>
      </c>
      <c r="F1063" s="2">
        <v>45587.383333333331</v>
      </c>
      <c r="G1063" s="1">
        <v>4430661</v>
      </c>
      <c r="H1063" s="1">
        <v>4430661</v>
      </c>
      <c r="I1063" s="1" t="s">
        <v>77</v>
      </c>
      <c r="J1063" s="2">
        <v>45734.506249999999</v>
      </c>
      <c r="K1063" s="2">
        <v>45756.615277777775</v>
      </c>
      <c r="L1063" s="1" t="s">
        <v>14</v>
      </c>
      <c r="M1063" s="1" t="str">
        <f>_xlfn.XLOOKUP(I1063,Parâmetros!A:A,Parâmetros!B:B,_xlfn.XLOOKUP(Q1063,Parâmetros!F:F,Parâmetros!G:G,"NOVA MENSAGEM"))</f>
        <v>RLOC NÃO INFORMADO</v>
      </c>
      <c r="N1063" s="1" t="str">
        <f>_xlfn.XLOOKUP(M1063,Parâmetros!K:K,Parâmetros!L:L,"")</f>
        <v>RLOC NÃO PREENCHIDO NA RESERVA</v>
      </c>
      <c r="O1063" s="1" t="str">
        <f>_xlfn.XLOOKUP(M1063,Parâmetros!B:B,Parâmetros!C:C,_xlfn.XLOOKUP(Base!M1070,Parâmetros!G:G,Parâmetros!H:H))</f>
        <v>QUALIDADE DOS DADOS</v>
      </c>
      <c r="P1063" s="1" t="str">
        <f>_xlfn.XLOOKUP(I1063,Parâmetros!A:A,Parâmetros!D:D,_xlfn.XLOOKUP(Q1063,Parâmetros!F:F,Parâmetros!I:I))</f>
        <v>SUPORTE OBT</v>
      </c>
      <c r="Q1063" s="1" t="str">
        <f t="shared" si="33"/>
        <v>COLUNA I</v>
      </c>
    </row>
    <row r="1064" spans="1:17" x14ac:dyDescent="0.25">
      <c r="A1064" s="1" t="str">
        <f>_xlfn.XLOOKUP(D1064,'Novo relatório'!B:B,'Novo relatório'!C:C,"RESOLVIDO")</f>
        <v>GOVER</v>
      </c>
      <c r="C1064" t="str">
        <f t="shared" si="32"/>
        <v>PENDENTE</v>
      </c>
      <c r="D1064" s="1">
        <v>3307475</v>
      </c>
      <c r="E1064" s="1" t="s">
        <v>24</v>
      </c>
      <c r="F1064" s="2">
        <v>45588.809027777781</v>
      </c>
      <c r="G1064" s="1">
        <v>4433239</v>
      </c>
      <c r="H1064" s="1">
        <v>4433239</v>
      </c>
      <c r="I1064" s="1" t="s">
        <v>77</v>
      </c>
      <c r="J1064" s="2">
        <v>45734.506249999999</v>
      </c>
      <c r="K1064" s="2">
        <v>45756.615972222222</v>
      </c>
      <c r="L1064" s="1" t="s">
        <v>14</v>
      </c>
      <c r="M1064" s="1" t="str">
        <f>_xlfn.XLOOKUP(I1064,Parâmetros!A:A,Parâmetros!B:B,_xlfn.XLOOKUP(Q1064,Parâmetros!F:F,Parâmetros!G:G,"NOVA MENSAGEM"))</f>
        <v>RLOC NÃO INFORMADO</v>
      </c>
      <c r="N1064" s="1" t="str">
        <f>_xlfn.XLOOKUP(M1064,Parâmetros!K:K,Parâmetros!L:L,"")</f>
        <v>RLOC NÃO PREENCHIDO NA RESERVA</v>
      </c>
      <c r="O1064" s="1" t="str">
        <f>_xlfn.XLOOKUP(M1064,Parâmetros!B:B,Parâmetros!C:C,_xlfn.XLOOKUP(Base!M1071,Parâmetros!G:G,Parâmetros!H:H))</f>
        <v>QUALIDADE DOS DADOS</v>
      </c>
      <c r="P1064" s="1" t="str">
        <f>_xlfn.XLOOKUP(I1064,Parâmetros!A:A,Parâmetros!D:D,_xlfn.XLOOKUP(Q1064,Parâmetros!F:F,Parâmetros!I:I))</f>
        <v>SUPORTE OBT</v>
      </c>
      <c r="Q1064" s="1" t="str">
        <f t="shared" si="33"/>
        <v>COLUNA I</v>
      </c>
    </row>
    <row r="1065" spans="1:17" x14ac:dyDescent="0.25">
      <c r="A1065" s="1" t="str">
        <f>_xlfn.XLOOKUP(D1065,'Novo relatório'!B:B,'Novo relatório'!C:C,"RESOLVIDO")</f>
        <v>GOVER</v>
      </c>
      <c r="C1065" t="str">
        <f t="shared" si="32"/>
        <v>PENDENTE</v>
      </c>
      <c r="D1065" s="1">
        <v>3307476</v>
      </c>
      <c r="E1065" s="1" t="s">
        <v>24</v>
      </c>
      <c r="F1065" s="2">
        <v>45589.447222222225</v>
      </c>
      <c r="G1065" s="1">
        <v>4433489</v>
      </c>
      <c r="H1065" s="1">
        <v>4433489</v>
      </c>
      <c r="I1065" s="1" t="s">
        <v>77</v>
      </c>
      <c r="J1065" s="2">
        <v>45734.506249999999</v>
      </c>
      <c r="K1065" s="2">
        <v>45756.615972222222</v>
      </c>
      <c r="L1065" s="1" t="s">
        <v>14</v>
      </c>
      <c r="M1065" s="1" t="str">
        <f>_xlfn.XLOOKUP(I1065,Parâmetros!A:A,Parâmetros!B:B,_xlfn.XLOOKUP(Q1065,Parâmetros!F:F,Parâmetros!G:G,"NOVA MENSAGEM"))</f>
        <v>RLOC NÃO INFORMADO</v>
      </c>
      <c r="N1065" s="1" t="str">
        <f>_xlfn.XLOOKUP(M1065,Parâmetros!K:K,Parâmetros!L:L,"")</f>
        <v>RLOC NÃO PREENCHIDO NA RESERVA</v>
      </c>
      <c r="O1065" s="1" t="str">
        <f>_xlfn.XLOOKUP(M1065,Parâmetros!B:B,Parâmetros!C:C,_xlfn.XLOOKUP(Base!M1072,Parâmetros!G:G,Parâmetros!H:H))</f>
        <v>QUALIDADE DOS DADOS</v>
      </c>
      <c r="P1065" s="1" t="str">
        <f>_xlfn.XLOOKUP(I1065,Parâmetros!A:A,Parâmetros!D:D,_xlfn.XLOOKUP(Q1065,Parâmetros!F:F,Parâmetros!I:I))</f>
        <v>SUPORTE OBT</v>
      </c>
      <c r="Q1065" s="1" t="str">
        <f t="shared" si="33"/>
        <v>COLUNA I</v>
      </c>
    </row>
    <row r="1066" spans="1:17" x14ac:dyDescent="0.25">
      <c r="A1066" s="1" t="str">
        <f>_xlfn.XLOOKUP(D1066,'Novo relatório'!B:B,'Novo relatório'!C:C,"RESOLVIDO")</f>
        <v>GOVER</v>
      </c>
      <c r="C1066" t="str">
        <f t="shared" si="32"/>
        <v>PENDENTE</v>
      </c>
      <c r="D1066" s="1">
        <v>3307478</v>
      </c>
      <c r="E1066" s="1" t="s">
        <v>24</v>
      </c>
      <c r="F1066" s="2">
        <v>45594.701388888891</v>
      </c>
      <c r="G1066" s="1">
        <v>4437048</v>
      </c>
      <c r="H1066" s="1">
        <v>4437048</v>
      </c>
      <c r="I1066" s="1" t="s">
        <v>77</v>
      </c>
      <c r="J1066" s="2">
        <v>45734.506249999999</v>
      </c>
      <c r="K1066" s="2">
        <v>45756.615972222222</v>
      </c>
      <c r="L1066" s="1" t="s">
        <v>14</v>
      </c>
      <c r="M1066" s="1" t="str">
        <f>_xlfn.XLOOKUP(I1066,Parâmetros!A:A,Parâmetros!B:B,_xlfn.XLOOKUP(Q1066,Parâmetros!F:F,Parâmetros!G:G,"NOVA MENSAGEM"))</f>
        <v>RLOC NÃO INFORMADO</v>
      </c>
      <c r="N1066" s="1" t="str">
        <f>_xlfn.XLOOKUP(M1066,Parâmetros!K:K,Parâmetros!L:L,"")</f>
        <v>RLOC NÃO PREENCHIDO NA RESERVA</v>
      </c>
      <c r="O1066" s="1" t="str">
        <f>_xlfn.XLOOKUP(M1066,Parâmetros!B:B,Parâmetros!C:C,_xlfn.XLOOKUP(Base!M1073,Parâmetros!G:G,Parâmetros!H:H))</f>
        <v>QUALIDADE DOS DADOS</v>
      </c>
      <c r="P1066" s="1" t="str">
        <f>_xlfn.XLOOKUP(I1066,Parâmetros!A:A,Parâmetros!D:D,_xlfn.XLOOKUP(Q1066,Parâmetros!F:F,Parâmetros!I:I))</f>
        <v>SUPORTE OBT</v>
      </c>
      <c r="Q1066" s="1" t="str">
        <f t="shared" si="33"/>
        <v>COLUNA I</v>
      </c>
    </row>
    <row r="1067" spans="1:17" x14ac:dyDescent="0.25">
      <c r="A1067" s="1" t="str">
        <f>_xlfn.XLOOKUP(D1067,'Novo relatório'!B:B,'Novo relatório'!C:C,"RESOLVIDO")</f>
        <v>GOVER</v>
      </c>
      <c r="C1067" t="str">
        <f t="shared" si="32"/>
        <v>PENDENTE</v>
      </c>
      <c r="D1067" s="1">
        <v>3307481</v>
      </c>
      <c r="E1067" s="1" t="s">
        <v>24</v>
      </c>
      <c r="F1067" s="2">
        <v>45629.644444444442</v>
      </c>
      <c r="G1067" s="1">
        <v>4458190</v>
      </c>
      <c r="H1067" s="1" t="s">
        <v>610</v>
      </c>
      <c r="I1067" s="1" t="s">
        <v>611</v>
      </c>
      <c r="J1067" s="2">
        <v>45734.506249999999</v>
      </c>
      <c r="K1067" s="2">
        <v>45756.615972222222</v>
      </c>
      <c r="L1067" s="1" t="s">
        <v>14</v>
      </c>
      <c r="M1067" s="1" t="str">
        <f>_xlfn.XLOOKUP(I1067,Parâmetros!A:A,Parâmetros!B:B,_xlfn.XLOOKUP(Q1067,Parâmetros!F:F,Parâmetros!G:G,"NOVA MENSAGEM"))</f>
        <v>Nº DO VOO</v>
      </c>
      <c r="N1067" s="1" t="str">
        <f>_xlfn.XLOOKUP(M1067,Parâmetros!K:K,Parâmetros!L:L,"")</f>
        <v>Nº DO VOO NÃO PREENCHIDO OU INCORRETO NA RESERVA</v>
      </c>
      <c r="O1067" s="1" t="str">
        <f>_xlfn.XLOOKUP(M1067,Parâmetros!B:B,Parâmetros!C:C,_xlfn.XLOOKUP(Base!M1074,Parâmetros!G:G,Parâmetros!H:H))</f>
        <v>QUALIDADE DOS DADOS</v>
      </c>
      <c r="P1067" s="1" t="str">
        <f>_xlfn.XLOOKUP(I1067,Parâmetros!A:A,Parâmetros!D:D,_xlfn.XLOOKUP(Q1067,Parâmetros!F:F,Parâmetros!I:I))</f>
        <v>SUPORTE OBT</v>
      </c>
      <c r="Q1067" s="1" t="str">
        <f t="shared" si="33"/>
        <v>COLUNA I</v>
      </c>
    </row>
    <row r="1068" spans="1:17" x14ac:dyDescent="0.25">
      <c r="A1068" s="1" t="str">
        <f>_xlfn.XLOOKUP(D1068,'Novo relatório'!B:B,'Novo relatório'!C:C,"RESOLVIDO")</f>
        <v>GOVER</v>
      </c>
      <c r="C1068" t="str">
        <f t="shared" si="32"/>
        <v>PENDENTE</v>
      </c>
      <c r="D1068" s="1">
        <v>3307554</v>
      </c>
      <c r="E1068" s="1" t="s">
        <v>24</v>
      </c>
      <c r="F1068" s="2">
        <v>45441.617361111108</v>
      </c>
      <c r="G1068" s="1">
        <v>379121</v>
      </c>
      <c r="H1068" s="1" t="s">
        <v>170</v>
      </c>
      <c r="I1068" s="1" t="s">
        <v>171</v>
      </c>
      <c r="J1068" s="2">
        <v>45734.515277777777</v>
      </c>
      <c r="K1068" s="2">
        <v>45756.612500000003</v>
      </c>
      <c r="L1068" s="1" t="s">
        <v>14</v>
      </c>
      <c r="M1068" s="1" t="str">
        <f>_xlfn.XLOOKUP(I1068,Parâmetros!A:A,Parâmetros!B:B,_xlfn.XLOOKUP(Q1068,Parâmetros!F:F,Parâmetros!G:G,"NOVA MENSAGEM"))</f>
        <v>Nº DO VOO</v>
      </c>
      <c r="N1068" s="1" t="str">
        <f>_xlfn.XLOOKUP(M1068,Parâmetros!K:K,Parâmetros!L:L,"")</f>
        <v>Nº DO VOO NÃO PREENCHIDO OU INCORRETO NA RESERVA</v>
      </c>
      <c r="O1068" s="1" t="str">
        <f>_xlfn.XLOOKUP(M1068,Parâmetros!B:B,Parâmetros!C:C,_xlfn.XLOOKUP(Base!M1075,Parâmetros!G:G,Parâmetros!H:H))</f>
        <v>QUALIDADE DOS DADOS</v>
      </c>
      <c r="P1068" s="1" t="str">
        <f>_xlfn.XLOOKUP(I1068,Parâmetros!A:A,Parâmetros!D:D,_xlfn.XLOOKUP(Q1068,Parâmetros!F:F,Parâmetros!I:I))</f>
        <v>SUPORTE OBT</v>
      </c>
      <c r="Q1068" s="1" t="str">
        <f t="shared" si="33"/>
        <v>COLUNA I</v>
      </c>
    </row>
    <row r="1069" spans="1:17" x14ac:dyDescent="0.25">
      <c r="A1069" s="1" t="str">
        <f>_xlfn.XLOOKUP(D1069,'Novo relatório'!B:B,'Novo relatório'!C:C,"RESOLVIDO")</f>
        <v>GOVER</v>
      </c>
      <c r="C1069" t="str">
        <f t="shared" si="32"/>
        <v>PENDENTE</v>
      </c>
      <c r="D1069" s="1">
        <v>3307564</v>
      </c>
      <c r="E1069" s="1" t="s">
        <v>24</v>
      </c>
      <c r="F1069" s="2">
        <v>45044.533333333333</v>
      </c>
      <c r="G1069" s="1">
        <v>4077196</v>
      </c>
      <c r="H1069" s="1" t="s">
        <v>280</v>
      </c>
      <c r="I1069" s="1" t="s">
        <v>281</v>
      </c>
      <c r="J1069" s="2">
        <v>45734.517361111109</v>
      </c>
      <c r="K1069" s="2">
        <v>45756.614583333336</v>
      </c>
      <c r="L1069" s="1" t="s">
        <v>14</v>
      </c>
      <c r="M1069" s="1" t="str">
        <f>_xlfn.XLOOKUP(I1069,Parâmetros!A:A,Parâmetros!B:B,_xlfn.XLOOKUP(Q1069,Parâmetros!F:F,Parâmetros!G:G,"NOVA MENSAGEM"))</f>
        <v>Nº DO VOO</v>
      </c>
      <c r="N1069" s="1" t="str">
        <f>_xlfn.XLOOKUP(M1069,Parâmetros!K:K,Parâmetros!L:L,"")</f>
        <v>Nº DO VOO NÃO PREENCHIDO OU INCORRETO NA RESERVA</v>
      </c>
      <c r="O1069" s="1" t="str">
        <f>_xlfn.XLOOKUP(M1069,Parâmetros!B:B,Parâmetros!C:C,_xlfn.XLOOKUP(Base!M1076,Parâmetros!G:G,Parâmetros!H:H))</f>
        <v>QUALIDADE DOS DADOS</v>
      </c>
      <c r="P1069" s="1" t="str">
        <f>_xlfn.XLOOKUP(I1069,Parâmetros!A:A,Parâmetros!D:D,_xlfn.XLOOKUP(Q1069,Parâmetros!F:F,Parâmetros!I:I))</f>
        <v>SUPORTE OBT</v>
      </c>
      <c r="Q1069" s="1" t="str">
        <f t="shared" si="33"/>
        <v>COLUNA I</v>
      </c>
    </row>
    <row r="1070" spans="1:17" x14ac:dyDescent="0.25">
      <c r="A1070" s="1" t="str">
        <f>_xlfn.XLOOKUP(D1070,'Novo relatório'!B:B,'Novo relatório'!C:C,"RESOLVIDO")</f>
        <v>GOVER</v>
      </c>
      <c r="C1070" t="str">
        <f t="shared" si="32"/>
        <v>PENDENTE</v>
      </c>
      <c r="D1070" s="1">
        <v>3307565</v>
      </c>
      <c r="E1070" s="1" t="s">
        <v>24</v>
      </c>
      <c r="F1070" s="2">
        <v>45049.477777777778</v>
      </c>
      <c r="G1070" s="1">
        <v>4080080</v>
      </c>
      <c r="H1070" s="1" t="s">
        <v>282</v>
      </c>
      <c r="I1070" s="1" t="s">
        <v>283</v>
      </c>
      <c r="J1070" s="2">
        <v>45734.517361111109</v>
      </c>
      <c r="K1070" s="2">
        <v>45756.614583333336</v>
      </c>
      <c r="L1070" s="1" t="s">
        <v>14</v>
      </c>
      <c r="M1070" s="1" t="str">
        <f>_xlfn.XLOOKUP(I1070,Parâmetros!A:A,Parâmetros!B:B,_xlfn.XLOOKUP(Q1070,Parâmetros!F:F,Parâmetros!G:G,"NOVA MENSAGEM"))</f>
        <v>Nº DO VOO</v>
      </c>
      <c r="N1070" s="1" t="str">
        <f>_xlfn.XLOOKUP(M1070,Parâmetros!K:K,Parâmetros!L:L,"")</f>
        <v>Nº DO VOO NÃO PREENCHIDO OU INCORRETO NA RESERVA</v>
      </c>
      <c r="O1070" s="1" t="str">
        <f>_xlfn.XLOOKUP(M1070,Parâmetros!B:B,Parâmetros!C:C,_xlfn.XLOOKUP(Base!M1077,Parâmetros!G:G,Parâmetros!H:H))</f>
        <v>QUALIDADE DOS DADOS</v>
      </c>
      <c r="P1070" s="1" t="str">
        <f>_xlfn.XLOOKUP(I1070,Parâmetros!A:A,Parâmetros!D:D,_xlfn.XLOOKUP(Q1070,Parâmetros!F:F,Parâmetros!I:I))</f>
        <v>SUPORTE OBT</v>
      </c>
      <c r="Q1070" s="1" t="str">
        <f t="shared" si="33"/>
        <v>COLUNA I</v>
      </c>
    </row>
    <row r="1071" spans="1:17" x14ac:dyDescent="0.25">
      <c r="A1071" s="1" t="str">
        <f>_xlfn.XLOOKUP(D1071,'Novo relatório'!B:B,'Novo relatório'!C:C,"RESOLVIDO")</f>
        <v>GOVER</v>
      </c>
      <c r="C1071" t="str">
        <f t="shared" si="32"/>
        <v>PENDENTE</v>
      </c>
      <c r="D1071" s="1">
        <v>3307567</v>
      </c>
      <c r="E1071" s="1" t="s">
        <v>24</v>
      </c>
      <c r="F1071" s="2">
        <v>45204.43472222222</v>
      </c>
      <c r="G1071" s="1">
        <v>4199219</v>
      </c>
      <c r="H1071" s="1" t="s">
        <v>243</v>
      </c>
      <c r="I1071" s="1" t="s">
        <v>244</v>
      </c>
      <c r="J1071" s="2">
        <v>45734.517361111109</v>
      </c>
      <c r="K1071" s="2">
        <v>45756.615277777775</v>
      </c>
      <c r="L1071" s="1" t="s">
        <v>14</v>
      </c>
      <c r="M1071" s="1" t="str">
        <f>_xlfn.XLOOKUP(I1071,Parâmetros!A:A,Parâmetros!B:B,_xlfn.XLOOKUP(Q1071,Parâmetros!F:F,Parâmetros!G:G,"NOVA MENSAGEM"))</f>
        <v>BANDEIRA DO CARTÃO</v>
      </c>
      <c r="N1071" s="1" t="str">
        <f>_xlfn.XLOOKUP(M1071,Parâmetros!K:K,Parâmetros!L:L,"")</f>
        <v>ERRO NO OBT, TAG OU PRRENCHIMENTO DO CARTÃO</v>
      </c>
      <c r="O1071" s="1" t="str">
        <f>_xlfn.XLOOKUP(M1071,Parâmetros!B:B,Parâmetros!C:C,_xlfn.XLOOKUP(Base!M1078,Parâmetros!G:G,Parâmetros!H:H))</f>
        <v>SISTEMA</v>
      </c>
      <c r="P1071" s="1" t="str">
        <f>_xlfn.XLOOKUP(I1071,Parâmetros!A:A,Parâmetros!D:D,_xlfn.XLOOKUP(Q1071,Parâmetros!F:F,Parâmetros!I:I))</f>
        <v>SUPORTE OBT</v>
      </c>
      <c r="Q1071" s="1" t="str">
        <f t="shared" si="33"/>
        <v>COLUNA I</v>
      </c>
    </row>
    <row r="1072" spans="1:17" x14ac:dyDescent="0.25">
      <c r="A1072" s="1" t="str">
        <f>_xlfn.XLOOKUP(D1072,'Novo relatório'!B:B,'Novo relatório'!C:C,"RESOLVIDO")</f>
        <v>GOVER</v>
      </c>
      <c r="C1072" t="str">
        <f t="shared" si="32"/>
        <v>PENDENTE</v>
      </c>
      <c r="D1072" s="1">
        <v>3307570</v>
      </c>
      <c r="E1072" s="1" t="s">
        <v>24</v>
      </c>
      <c r="F1072" s="2">
        <v>45371.925694444442</v>
      </c>
      <c r="G1072" s="1">
        <v>4299956</v>
      </c>
      <c r="H1072" s="1" t="s">
        <v>284</v>
      </c>
      <c r="I1072" s="1" t="s">
        <v>285</v>
      </c>
      <c r="J1072" s="2">
        <v>45734.517361111109</v>
      </c>
      <c r="K1072" s="2">
        <v>45756.615277777775</v>
      </c>
      <c r="L1072" s="1" t="s">
        <v>14</v>
      </c>
      <c r="M1072" s="1" t="str">
        <f>_xlfn.XLOOKUP(I1072,Parâmetros!A:A,Parâmetros!B:B,_xlfn.XLOOKUP(Q1072,Parâmetros!F:F,Parâmetros!G:G,"NOVA MENSAGEM"))</f>
        <v>Nº DO VOO</v>
      </c>
      <c r="N1072" s="1" t="str">
        <f>_xlfn.XLOOKUP(M1072,Parâmetros!K:K,Parâmetros!L:L,"")</f>
        <v>Nº DO VOO NÃO PREENCHIDO OU INCORRETO NA RESERVA</v>
      </c>
      <c r="O1072" s="1" t="str">
        <f>_xlfn.XLOOKUP(M1072,Parâmetros!B:B,Parâmetros!C:C,_xlfn.XLOOKUP(Base!M1079,Parâmetros!G:G,Parâmetros!H:H))</f>
        <v>QUALIDADE DOS DADOS</v>
      </c>
      <c r="P1072" s="1" t="str">
        <f>_xlfn.XLOOKUP(I1072,Parâmetros!A:A,Parâmetros!D:D,_xlfn.XLOOKUP(Q1072,Parâmetros!F:F,Parâmetros!I:I))</f>
        <v>SUPORTE OBT</v>
      </c>
      <c r="Q1072" s="1" t="str">
        <f t="shared" si="33"/>
        <v>COLUNA I</v>
      </c>
    </row>
    <row r="1073" spans="1:17" x14ac:dyDescent="0.25">
      <c r="A1073" s="1" t="str">
        <f>_xlfn.XLOOKUP(D1073,'Novo relatório'!B:B,'Novo relatório'!C:C,"RESOLVIDO")</f>
        <v>SABRE</v>
      </c>
      <c r="C1073" t="str">
        <f t="shared" si="32"/>
        <v>PENDENTE</v>
      </c>
      <c r="D1073" s="1">
        <v>3307677</v>
      </c>
      <c r="E1073" s="1" t="s">
        <v>26</v>
      </c>
      <c r="F1073" s="2">
        <v>45734.443055555559</v>
      </c>
      <c r="G1073" s="1" t="s">
        <v>1638</v>
      </c>
      <c r="H1073" s="1" t="s">
        <v>1638</v>
      </c>
      <c r="I1073" s="1" t="s">
        <v>408</v>
      </c>
      <c r="J1073" s="2">
        <v>45734.53402777778</v>
      </c>
      <c r="L1073" s="1" t="s">
        <v>18</v>
      </c>
      <c r="M1073" s="1" t="str">
        <f>_xlfn.XLOOKUP(I1073,Parâmetros!A:A,Parâmetros!B:B,_xlfn.XLOOKUP(Q1073,Parâmetros!F:F,Parâmetros!G:G,"NOVA MENSAGEM"))</f>
        <v>CÓD. CLIENTE DIVERGENTE</v>
      </c>
      <c r="N1073" s="1" t="str">
        <f>_xlfn.XLOOKUP(M1073,Parâmetros!K:K,Parâmetros!L:L,"")</f>
        <v>CÓDIGO DIFERENTE DO CADASTRADO NO BENNER (CLIENTE X GRUPO)</v>
      </c>
      <c r="O1073" s="1" t="str">
        <f>_xlfn.XLOOKUP(M1073,Parâmetros!B:B,Parâmetros!C:C,_xlfn.XLOOKUP(Base!M1019,Parâmetros!G:G,Parâmetros!H:H))</f>
        <v>QUALIDADE DOS DADOS</v>
      </c>
      <c r="P1073" s="1" t="str">
        <f>_xlfn.XLOOKUP(I1073,Parâmetros!A:A,Parâmetros!D:D,_xlfn.XLOOKUP(Q1073,Parâmetros!F:F,Parâmetros!I:I))</f>
        <v>SUPORTE OBT</v>
      </c>
      <c r="Q1073" s="1">
        <f t="shared" si="33"/>
        <v>1</v>
      </c>
    </row>
    <row r="1074" spans="1:17" x14ac:dyDescent="0.25">
      <c r="A1074" s="1" t="str">
        <f>_xlfn.XLOOKUP(D1074,'Novo relatório'!B:B,'Novo relatório'!C:C,"RESOLVIDO")</f>
        <v>SABRE</v>
      </c>
      <c r="C1074" t="str">
        <f t="shared" si="32"/>
        <v>PENDENTE</v>
      </c>
      <c r="D1074" s="1">
        <v>3307681</v>
      </c>
      <c r="E1074" s="1" t="s">
        <v>26</v>
      </c>
      <c r="F1074" s="2">
        <v>45734.443055555559</v>
      </c>
      <c r="G1074" s="1" t="s">
        <v>1640</v>
      </c>
      <c r="H1074" s="1" t="s">
        <v>1638</v>
      </c>
      <c r="I1074" s="1" t="s">
        <v>1202</v>
      </c>
      <c r="J1074" s="2">
        <v>45734.53402777778</v>
      </c>
      <c r="L1074" s="1" t="s">
        <v>18</v>
      </c>
      <c r="M1074" s="1" t="str">
        <f>_xlfn.XLOOKUP(I1074,Parâmetros!A:A,Parâmetros!B:B,_xlfn.XLOOKUP(Q1074,Parâmetros!F:F,Parâmetros!G:G,"NOVA MENSAGEM"))</f>
        <v>CÓD. CLIENTE DIVERGENTE</v>
      </c>
      <c r="N1074" s="1" t="str">
        <f>_xlfn.XLOOKUP(M1074,Parâmetros!K:K,Parâmetros!L:L,"")</f>
        <v>CÓDIGO DIFERENTE DO CADASTRADO NO BENNER (CLIENTE X GRUPO)</v>
      </c>
      <c r="O1074" s="1" t="str">
        <f>_xlfn.XLOOKUP(M1074,Parâmetros!B:B,Parâmetros!C:C,_xlfn.XLOOKUP(Base!M1021,Parâmetros!G:G,Parâmetros!H:H))</f>
        <v>QUALIDADE DOS DADOS</v>
      </c>
      <c r="P1074" s="1" t="str">
        <f>_xlfn.XLOOKUP(I1074,Parâmetros!A:A,Parâmetros!D:D,_xlfn.XLOOKUP(Q1074,Parâmetros!F:F,Parâmetros!I:I))</f>
        <v>SUPORTE OBT</v>
      </c>
      <c r="Q1074" s="1">
        <f t="shared" si="33"/>
        <v>1</v>
      </c>
    </row>
    <row r="1075" spans="1:17" x14ac:dyDescent="0.25">
      <c r="A1075" s="1" t="str">
        <f>_xlfn.XLOOKUP(D1075,'Novo relatório'!B:B,'Novo relatório'!C:C,"RESOLVIDO")</f>
        <v>SABRE</v>
      </c>
      <c r="C1075" t="str">
        <f t="shared" si="32"/>
        <v>PENDENTE</v>
      </c>
      <c r="D1075" s="1">
        <v>3307682</v>
      </c>
      <c r="E1075" s="1" t="s">
        <v>26</v>
      </c>
      <c r="F1075" s="2">
        <v>45734.443055555559</v>
      </c>
      <c r="G1075" s="1" t="s">
        <v>1639</v>
      </c>
      <c r="H1075" s="1" t="s">
        <v>1638</v>
      </c>
      <c r="I1075" s="1" t="s">
        <v>1423</v>
      </c>
      <c r="J1075" s="2">
        <v>45734.53402777778</v>
      </c>
      <c r="L1075" s="1" t="s">
        <v>18</v>
      </c>
      <c r="M1075" s="1" t="str">
        <f>_xlfn.XLOOKUP(I1075,Parâmetros!A:A,Parâmetros!B:B,_xlfn.XLOOKUP(Q1075,Parâmetros!F:F,Parâmetros!G:G,"NOVA MENSAGEM"))</f>
        <v>CÓD. CLIENTE DIVERGENTE</v>
      </c>
      <c r="N1075" s="1" t="str">
        <f>_xlfn.XLOOKUP(M1075,Parâmetros!K:K,Parâmetros!L:L,"")</f>
        <v>CÓDIGO DIFERENTE DO CADASTRADO NO BENNER (CLIENTE X GRUPO)</v>
      </c>
      <c r="O1075" s="1" t="str">
        <f>_xlfn.XLOOKUP(M1075,Parâmetros!B:B,Parâmetros!C:C,_xlfn.XLOOKUP(Base!M1020,Parâmetros!G:G,Parâmetros!H:H))</f>
        <v>QUALIDADE DOS DADOS</v>
      </c>
      <c r="P1075" s="1" t="str">
        <f>_xlfn.XLOOKUP(I1075,Parâmetros!A:A,Parâmetros!D:D,_xlfn.XLOOKUP(Q1075,Parâmetros!F:F,Parâmetros!I:I))</f>
        <v>SUPORTE OBT</v>
      </c>
      <c r="Q1075" s="1">
        <f t="shared" si="33"/>
        <v>1</v>
      </c>
    </row>
    <row r="1076" spans="1:17" x14ac:dyDescent="0.25">
      <c r="A1076" s="1" t="str">
        <f>_xlfn.XLOOKUP(D1076,'Novo relatório'!B:B,'Novo relatório'!C:C,"RESOLVIDO")</f>
        <v>SABRE</v>
      </c>
      <c r="C1076" t="str">
        <f t="shared" si="32"/>
        <v>PENDENTE</v>
      </c>
      <c r="D1076" s="1">
        <v>3307683</v>
      </c>
      <c r="E1076" s="1" t="s">
        <v>26</v>
      </c>
      <c r="F1076" s="2">
        <v>45734.443055555559</v>
      </c>
      <c r="G1076" s="1" t="s">
        <v>1636</v>
      </c>
      <c r="H1076" s="1" t="s">
        <v>1636</v>
      </c>
      <c r="I1076" s="1" t="s">
        <v>408</v>
      </c>
      <c r="J1076" s="2">
        <v>45734.53402777778</v>
      </c>
      <c r="L1076" s="1" t="s">
        <v>18</v>
      </c>
      <c r="M1076" s="1" t="str">
        <f>_xlfn.XLOOKUP(I1076,Parâmetros!A:A,Parâmetros!B:B,_xlfn.XLOOKUP(Q1076,Parâmetros!F:F,Parâmetros!G:G,"NOVA MENSAGEM"))</f>
        <v>CÓD. CLIENTE DIVERGENTE</v>
      </c>
      <c r="N1076" s="1" t="str">
        <f>_xlfn.XLOOKUP(M1076,Parâmetros!K:K,Parâmetros!L:L,"")</f>
        <v>CÓDIGO DIFERENTE DO CADASTRADO NO BENNER (CLIENTE X GRUPO)</v>
      </c>
      <c r="O1076" s="1" t="str">
        <f>_xlfn.XLOOKUP(M1076,Parâmetros!B:B,Parâmetros!C:C,_xlfn.XLOOKUP(Base!M1017,Parâmetros!G:G,Parâmetros!H:H))</f>
        <v>QUALIDADE DOS DADOS</v>
      </c>
      <c r="P1076" s="1" t="str">
        <f>_xlfn.XLOOKUP(I1076,Parâmetros!A:A,Parâmetros!D:D,_xlfn.XLOOKUP(Q1076,Parâmetros!F:F,Parâmetros!I:I))</f>
        <v>SUPORTE OBT</v>
      </c>
      <c r="Q1076" s="1">
        <f t="shared" si="33"/>
        <v>1</v>
      </c>
    </row>
    <row r="1077" spans="1:17" x14ac:dyDescent="0.25">
      <c r="A1077" s="1" t="str">
        <f>_xlfn.XLOOKUP(D1077,'Novo relatório'!B:B,'Novo relatório'!C:C,"RESOLVIDO")</f>
        <v>SABRE</v>
      </c>
      <c r="C1077" t="str">
        <f t="shared" si="32"/>
        <v>PENDENTE</v>
      </c>
      <c r="D1077" s="1">
        <v>3307684</v>
      </c>
      <c r="E1077" s="1" t="s">
        <v>26</v>
      </c>
      <c r="F1077" s="2">
        <v>45734.443055555559</v>
      </c>
      <c r="G1077" s="1" t="s">
        <v>1637</v>
      </c>
      <c r="H1077" s="1" t="s">
        <v>1636</v>
      </c>
      <c r="I1077" s="1" t="s">
        <v>1202</v>
      </c>
      <c r="J1077" s="2">
        <v>45734.53402777778</v>
      </c>
      <c r="L1077" s="1" t="s">
        <v>18</v>
      </c>
      <c r="M1077" s="1" t="str">
        <f>_xlfn.XLOOKUP(I1077,Parâmetros!A:A,Parâmetros!B:B,_xlfn.XLOOKUP(Q1077,Parâmetros!F:F,Parâmetros!G:G,"NOVA MENSAGEM"))</f>
        <v>CÓD. CLIENTE DIVERGENTE</v>
      </c>
      <c r="N1077" s="1" t="str">
        <f>_xlfn.XLOOKUP(M1077,Parâmetros!K:K,Parâmetros!L:L,"")</f>
        <v>CÓDIGO DIFERENTE DO CADASTRADO NO BENNER (CLIENTE X GRUPO)</v>
      </c>
      <c r="O1077" s="1" t="str">
        <f>_xlfn.XLOOKUP(M1077,Parâmetros!B:B,Parâmetros!C:C,_xlfn.XLOOKUP(Base!M1018,Parâmetros!G:G,Parâmetros!H:H))</f>
        <v>QUALIDADE DOS DADOS</v>
      </c>
      <c r="P1077" s="1" t="str">
        <f>_xlfn.XLOOKUP(I1077,Parâmetros!A:A,Parâmetros!D:D,_xlfn.XLOOKUP(Q1077,Parâmetros!F:F,Parâmetros!I:I))</f>
        <v>SUPORTE OBT</v>
      </c>
      <c r="Q1077" s="1">
        <f t="shared" si="33"/>
        <v>1</v>
      </c>
    </row>
    <row r="1078" spans="1:17" x14ac:dyDescent="0.25">
      <c r="A1078" s="1" t="str">
        <f>_xlfn.XLOOKUP(D1078,'Novo relatório'!B:B,'Novo relatório'!C:C,"RESOLVIDO")</f>
        <v>SABRE</v>
      </c>
      <c r="C1078" t="str">
        <f t="shared" si="32"/>
        <v>PENDENTE</v>
      </c>
      <c r="D1078" s="1">
        <v>3307688</v>
      </c>
      <c r="E1078" s="1" t="s">
        <v>26</v>
      </c>
      <c r="F1078" s="2">
        <v>45734.44027777778</v>
      </c>
      <c r="G1078" s="1" t="s">
        <v>1643</v>
      </c>
      <c r="H1078" s="1" t="s">
        <v>1644</v>
      </c>
      <c r="I1078" s="1" t="s">
        <v>64</v>
      </c>
      <c r="J1078" s="2">
        <v>45734.53402777778</v>
      </c>
      <c r="L1078" s="1" t="s">
        <v>1244</v>
      </c>
      <c r="M1078" s="1" t="str">
        <f>_xlfn.XLOOKUP(I1078,Parâmetros!A:A,Parâmetros!B:B,_xlfn.XLOOKUP(Q1078,Parâmetros!F:F,Parâmetros!G:G,"NOVA MENSAGEM"))</f>
        <v>FORMATO DE TEXTO</v>
      </c>
      <c r="N1078" s="1" t="str">
        <f>_xlfn.XLOOKUP(M1078,Parâmetros!K:K,Parâmetros!L:L,"")</f>
        <v>TEXTO FORA DO PADRÃO ACEITO NO CAMPO</v>
      </c>
      <c r="O1078" s="1" t="str">
        <f>_xlfn.XLOOKUP(M1078,Parâmetros!B:B,Parâmetros!C:C,_xlfn.XLOOKUP(Base!M1023,Parâmetros!G:G,Parâmetros!H:H))</f>
        <v>INDEFINIDO</v>
      </c>
      <c r="P1078" s="1" t="str">
        <f>_xlfn.XLOOKUP(I1078,Parâmetros!A:A,Parâmetros!D:D,_xlfn.XLOOKUP(Q1078,Parâmetros!F:F,Parâmetros!I:I))</f>
        <v>SUPORTE OBT</v>
      </c>
      <c r="Q1078" s="1" t="str">
        <f t="shared" si="33"/>
        <v>COLUNA I</v>
      </c>
    </row>
    <row r="1079" spans="1:17" x14ac:dyDescent="0.25">
      <c r="A1079" s="1" t="str">
        <f>_xlfn.XLOOKUP(D1079,'Novo relatório'!B:B,'Novo relatório'!C:C,"RESOLVIDO")</f>
        <v>TMS</v>
      </c>
      <c r="C1079" t="str">
        <f t="shared" si="32"/>
        <v>PENDENTE</v>
      </c>
      <c r="D1079" s="1">
        <v>3307849</v>
      </c>
      <c r="E1079" s="1" t="s">
        <v>12</v>
      </c>
      <c r="F1079" s="2">
        <v>45734.460416666669</v>
      </c>
      <c r="G1079" s="1">
        <v>55510</v>
      </c>
      <c r="H1079" s="1">
        <v>55510</v>
      </c>
      <c r="I1079" s="1" t="s">
        <v>16</v>
      </c>
      <c r="J1079" s="2">
        <v>45734.553472222222</v>
      </c>
      <c r="L1079" s="1" t="s">
        <v>14</v>
      </c>
      <c r="M1079" s="1" t="str">
        <f>_xlfn.XLOOKUP(I1079,Parâmetros!A:A,Parâmetros!B:B,_xlfn.XLOOKUP(Q1079,Parâmetros!F:F,Parâmetros!G:G,"NOVA MENSAGEM"))</f>
        <v>ASSENTO / BAGAGEM</v>
      </c>
      <c r="N1079" s="1" t="str">
        <f>_xlfn.XLOOKUP(M1079,Parâmetros!K:K,Parâmetros!L:L,"")</f>
        <v>CAMPO OBSERVAÇÃO PREENCHIDO INCORRETAMENTE</v>
      </c>
      <c r="O1079" s="1" t="str">
        <f>_xlfn.XLOOKUP(M1079,Parâmetros!B:B,Parâmetros!C:C,_xlfn.XLOOKUP(Base!M1025,Parâmetros!G:G,Parâmetros!H:H))</f>
        <v>QUALIDADE DOS DADOS</v>
      </c>
      <c r="P1079" s="1" t="str">
        <f>_xlfn.XLOOKUP(I1079,Parâmetros!A:A,Parâmetros!D:D,_xlfn.XLOOKUP(Q1079,Parâmetros!F:F,Parâmetros!I:I))</f>
        <v>OPERAÇÕES / SUPORTE KCS</v>
      </c>
      <c r="Q1079" s="1">
        <f t="shared" si="33"/>
        <v>118</v>
      </c>
    </row>
    <row r="1080" spans="1:17" x14ac:dyDescent="0.25">
      <c r="A1080" s="1" t="str">
        <f>_xlfn.XLOOKUP(D1080,'Novo relatório'!B:B,'Novo relatório'!C:C,"RESOLVIDO")</f>
        <v>GOVER</v>
      </c>
      <c r="C1080" t="str">
        <f t="shared" si="32"/>
        <v>PENDENTE</v>
      </c>
      <c r="D1080" s="1">
        <v>3308027</v>
      </c>
      <c r="E1080" s="1" t="s">
        <v>24</v>
      </c>
      <c r="F1080" s="2">
        <v>45531.396527777775</v>
      </c>
      <c r="G1080" s="1">
        <v>4396472</v>
      </c>
      <c r="H1080" s="1">
        <v>15350093</v>
      </c>
      <c r="I1080" s="1" t="s">
        <v>196</v>
      </c>
      <c r="J1080" s="2">
        <v>45734.586805555555</v>
      </c>
      <c r="K1080" s="2">
        <v>45756.615277777775</v>
      </c>
      <c r="L1080" s="1" t="s">
        <v>18</v>
      </c>
      <c r="M1080" s="1" t="str">
        <f>_xlfn.XLOOKUP(I1080,Parâmetros!A:A,Parâmetros!B:B,_xlfn.XLOOKUP(Q1080,Parâmetros!F:F,Parâmetros!G:G,"NOVA MENSAGEM"))</f>
        <v>CLIENTE NÃO IDENTIFICADO</v>
      </c>
      <c r="N1080" s="1" t="str">
        <f>_xlfn.XLOOKUP(M1080,Parâmetros!K:K,Parâmetros!L:L,"")</f>
        <v>DK DE CLIENTE NÃO PREENCIDO / CLIENTE NÃO CONFIGURADO NO OBT</v>
      </c>
      <c r="O1080" s="1" t="str">
        <f>_xlfn.XLOOKUP(M1080,Parâmetros!B:B,Parâmetros!C:C,_xlfn.XLOOKUP(Base!M1080,Parâmetros!G:G,Parâmetros!H:H))</f>
        <v>INDEFINIDO</v>
      </c>
      <c r="P1080" s="1" t="str">
        <f>_xlfn.XLOOKUP(I1080,Parâmetros!A:A,Parâmetros!D:D,_xlfn.XLOOKUP(Q1080,Parâmetros!F:F,Parâmetros!I:I))</f>
        <v>OPERAÇÕES / SUPORTE KCS</v>
      </c>
      <c r="Q1080" s="1" t="str">
        <f t="shared" si="33"/>
        <v>COLUNA I</v>
      </c>
    </row>
    <row r="1081" spans="1:17" x14ac:dyDescent="0.25">
      <c r="A1081" s="1" t="str">
        <f>_xlfn.XLOOKUP(D1081,'Novo relatório'!B:B,'Novo relatório'!C:C,"RESOLVIDO")</f>
        <v>GOVER</v>
      </c>
      <c r="C1081" t="str">
        <f t="shared" si="32"/>
        <v>PENDENTE</v>
      </c>
      <c r="D1081" s="1">
        <v>3308028</v>
      </c>
      <c r="E1081" s="1" t="s">
        <v>24</v>
      </c>
      <c r="F1081" s="2">
        <v>45532.384027777778</v>
      </c>
      <c r="G1081" s="1">
        <v>4397177</v>
      </c>
      <c r="H1081" s="1" t="s">
        <v>312</v>
      </c>
      <c r="I1081" s="1" t="s">
        <v>196</v>
      </c>
      <c r="J1081" s="2">
        <v>45734.586805555555</v>
      </c>
      <c r="K1081" s="2">
        <v>45756.615277777775</v>
      </c>
      <c r="L1081" s="1" t="s">
        <v>18</v>
      </c>
      <c r="M1081" s="1" t="str">
        <f>_xlfn.XLOOKUP(I1081,Parâmetros!A:A,Parâmetros!B:B,_xlfn.XLOOKUP(Q1081,Parâmetros!F:F,Parâmetros!G:G,"NOVA MENSAGEM"))</f>
        <v>CLIENTE NÃO IDENTIFICADO</v>
      </c>
      <c r="N1081" s="1" t="str">
        <f>_xlfn.XLOOKUP(M1081,Parâmetros!K:K,Parâmetros!L:L,"")</f>
        <v>DK DE CLIENTE NÃO PREENCIDO / CLIENTE NÃO CONFIGURADO NO OBT</v>
      </c>
      <c r="O1081" s="1" t="str">
        <f>_xlfn.XLOOKUP(M1081,Parâmetros!B:B,Parâmetros!C:C,_xlfn.XLOOKUP(Base!M1081,Parâmetros!G:G,Parâmetros!H:H))</f>
        <v>INDEFINIDO</v>
      </c>
      <c r="P1081" s="1" t="str">
        <f>_xlfn.XLOOKUP(I1081,Parâmetros!A:A,Parâmetros!D:D,_xlfn.XLOOKUP(Q1081,Parâmetros!F:F,Parâmetros!I:I))</f>
        <v>OPERAÇÕES / SUPORTE KCS</v>
      </c>
      <c r="Q1081" s="1" t="str">
        <f t="shared" si="33"/>
        <v>COLUNA I</v>
      </c>
    </row>
    <row r="1082" spans="1:17" x14ac:dyDescent="0.25">
      <c r="A1082" s="1" t="str">
        <f>_xlfn.XLOOKUP(D1082,'Novo relatório'!B:B,'Novo relatório'!C:C,"RESOLVIDO")</f>
        <v>GOVER</v>
      </c>
      <c r="C1082" t="str">
        <f t="shared" si="32"/>
        <v>PENDENTE</v>
      </c>
      <c r="D1082" s="1">
        <v>3308029</v>
      </c>
      <c r="E1082" s="1" t="s">
        <v>24</v>
      </c>
      <c r="F1082" s="2">
        <v>45532.440972222219</v>
      </c>
      <c r="G1082" s="1">
        <v>4397290</v>
      </c>
      <c r="H1082" s="1" t="s">
        <v>313</v>
      </c>
      <c r="I1082" s="1" t="s">
        <v>196</v>
      </c>
      <c r="J1082" s="2">
        <v>45734.586805555555</v>
      </c>
      <c r="K1082" s="2">
        <v>45756.615277777775</v>
      </c>
      <c r="L1082" s="1" t="s">
        <v>18</v>
      </c>
      <c r="M1082" s="1" t="str">
        <f>_xlfn.XLOOKUP(I1082,Parâmetros!A:A,Parâmetros!B:B,_xlfn.XLOOKUP(Q1082,Parâmetros!F:F,Parâmetros!G:G,"NOVA MENSAGEM"))</f>
        <v>CLIENTE NÃO IDENTIFICADO</v>
      </c>
      <c r="N1082" s="1" t="str">
        <f>_xlfn.XLOOKUP(M1082,Parâmetros!K:K,Parâmetros!L:L,"")</f>
        <v>DK DE CLIENTE NÃO PREENCIDO / CLIENTE NÃO CONFIGURADO NO OBT</v>
      </c>
      <c r="O1082" s="1" t="str">
        <f>_xlfn.XLOOKUP(M1082,Parâmetros!B:B,Parâmetros!C:C,_xlfn.XLOOKUP(Base!M1082,Parâmetros!G:G,Parâmetros!H:H))</f>
        <v>INDEFINIDO</v>
      </c>
      <c r="P1082" s="1" t="str">
        <f>_xlfn.XLOOKUP(I1082,Parâmetros!A:A,Parâmetros!D:D,_xlfn.XLOOKUP(Q1082,Parâmetros!F:F,Parâmetros!I:I))</f>
        <v>OPERAÇÕES / SUPORTE KCS</v>
      </c>
      <c r="Q1082" s="1" t="str">
        <f t="shared" si="33"/>
        <v>COLUNA I</v>
      </c>
    </row>
    <row r="1083" spans="1:17" x14ac:dyDescent="0.25">
      <c r="A1083" s="1" t="str">
        <f>_xlfn.XLOOKUP(D1083,'Novo relatório'!B:B,'Novo relatório'!C:C,"RESOLVIDO")</f>
        <v>GOVER</v>
      </c>
      <c r="C1083" t="str">
        <f t="shared" si="32"/>
        <v>PENDENTE</v>
      </c>
      <c r="D1083" s="1">
        <v>3308030</v>
      </c>
      <c r="E1083" s="1" t="s">
        <v>24</v>
      </c>
      <c r="F1083" s="2">
        <v>45533.384722222225</v>
      </c>
      <c r="G1083" s="1">
        <v>4397878</v>
      </c>
      <c r="H1083" s="1">
        <v>15380977</v>
      </c>
      <c r="I1083" s="1" t="s">
        <v>196</v>
      </c>
      <c r="J1083" s="2">
        <v>45734.586805555555</v>
      </c>
      <c r="K1083" s="2">
        <v>45756.615277777775</v>
      </c>
      <c r="L1083" s="1" t="s">
        <v>18</v>
      </c>
      <c r="M1083" s="1" t="str">
        <f>_xlfn.XLOOKUP(I1083,Parâmetros!A:A,Parâmetros!B:B,_xlfn.XLOOKUP(Q1083,Parâmetros!F:F,Parâmetros!G:G,"NOVA MENSAGEM"))</f>
        <v>CLIENTE NÃO IDENTIFICADO</v>
      </c>
      <c r="N1083" s="1" t="str">
        <f>_xlfn.XLOOKUP(M1083,Parâmetros!K:K,Parâmetros!L:L,"")</f>
        <v>DK DE CLIENTE NÃO PREENCIDO / CLIENTE NÃO CONFIGURADO NO OBT</v>
      </c>
      <c r="O1083" s="1" t="str">
        <f>_xlfn.XLOOKUP(M1083,Parâmetros!B:B,Parâmetros!C:C,_xlfn.XLOOKUP(Base!M1083,Parâmetros!G:G,Parâmetros!H:H))</f>
        <v>INDEFINIDO</v>
      </c>
      <c r="P1083" s="1" t="str">
        <f>_xlfn.XLOOKUP(I1083,Parâmetros!A:A,Parâmetros!D:D,_xlfn.XLOOKUP(Q1083,Parâmetros!F:F,Parâmetros!I:I))</f>
        <v>OPERAÇÕES / SUPORTE KCS</v>
      </c>
      <c r="Q1083" s="1" t="str">
        <f t="shared" si="33"/>
        <v>COLUNA I</v>
      </c>
    </row>
    <row r="1084" spans="1:17" x14ac:dyDescent="0.25">
      <c r="A1084" s="1" t="str">
        <f>_xlfn.XLOOKUP(D1084,'Novo relatório'!B:B,'Novo relatório'!C:C,"RESOLVIDO")</f>
        <v>GOVER</v>
      </c>
      <c r="C1084" t="str">
        <f t="shared" si="32"/>
        <v>PENDENTE</v>
      </c>
      <c r="D1084" s="1">
        <v>3308031</v>
      </c>
      <c r="E1084" s="1" t="s">
        <v>24</v>
      </c>
      <c r="F1084" s="2">
        <v>45534.505555555559</v>
      </c>
      <c r="G1084" s="1">
        <v>4398776</v>
      </c>
      <c r="H1084" s="1" t="s">
        <v>320</v>
      </c>
      <c r="I1084" s="1" t="s">
        <v>196</v>
      </c>
      <c r="J1084" s="2">
        <v>45734.586805555555</v>
      </c>
      <c r="K1084" s="2">
        <v>45756.615277777775</v>
      </c>
      <c r="L1084" s="1" t="s">
        <v>18</v>
      </c>
      <c r="M1084" s="1" t="str">
        <f>_xlfn.XLOOKUP(I1084,Parâmetros!A:A,Parâmetros!B:B,_xlfn.XLOOKUP(Q1084,Parâmetros!F:F,Parâmetros!G:G,"NOVA MENSAGEM"))</f>
        <v>CLIENTE NÃO IDENTIFICADO</v>
      </c>
      <c r="N1084" s="1" t="str">
        <f>_xlfn.XLOOKUP(M1084,Parâmetros!K:K,Parâmetros!L:L,"")</f>
        <v>DK DE CLIENTE NÃO PREENCIDO / CLIENTE NÃO CONFIGURADO NO OBT</v>
      </c>
      <c r="O1084" s="1" t="str">
        <f>_xlfn.XLOOKUP(M1084,Parâmetros!B:B,Parâmetros!C:C,_xlfn.XLOOKUP(Base!M1084,Parâmetros!G:G,Parâmetros!H:H))</f>
        <v>INDEFINIDO</v>
      </c>
      <c r="P1084" s="1" t="str">
        <f>_xlfn.XLOOKUP(I1084,Parâmetros!A:A,Parâmetros!D:D,_xlfn.XLOOKUP(Q1084,Parâmetros!F:F,Parâmetros!I:I))</f>
        <v>OPERAÇÕES / SUPORTE KCS</v>
      </c>
      <c r="Q1084" s="1" t="str">
        <f t="shared" si="33"/>
        <v>COLUNA I</v>
      </c>
    </row>
    <row r="1085" spans="1:17" x14ac:dyDescent="0.25">
      <c r="A1085" s="1" t="str">
        <f>_xlfn.XLOOKUP(D1085,'Novo relatório'!B:B,'Novo relatório'!C:C,"RESOLVIDO")</f>
        <v>GOVER</v>
      </c>
      <c r="C1085" t="str">
        <f t="shared" si="32"/>
        <v>PENDENTE</v>
      </c>
      <c r="D1085" s="1">
        <v>3308032</v>
      </c>
      <c r="E1085" s="1" t="s">
        <v>24</v>
      </c>
      <c r="F1085" s="2">
        <v>45534.64166666667</v>
      </c>
      <c r="G1085" s="1">
        <v>4398952</v>
      </c>
      <c r="H1085" s="1" t="s">
        <v>358</v>
      </c>
      <c r="I1085" s="1" t="s">
        <v>196</v>
      </c>
      <c r="J1085" s="2">
        <v>45734.586805555555</v>
      </c>
      <c r="K1085" s="2">
        <v>45756.615277777775</v>
      </c>
      <c r="L1085" s="1" t="s">
        <v>18</v>
      </c>
      <c r="M1085" s="1" t="str">
        <f>_xlfn.XLOOKUP(I1085,Parâmetros!A:A,Parâmetros!B:B,_xlfn.XLOOKUP(Q1085,Parâmetros!F:F,Parâmetros!G:G,"NOVA MENSAGEM"))</f>
        <v>CLIENTE NÃO IDENTIFICADO</v>
      </c>
      <c r="N1085" s="1" t="str">
        <f>_xlfn.XLOOKUP(M1085,Parâmetros!K:K,Parâmetros!L:L,"")</f>
        <v>DK DE CLIENTE NÃO PREENCIDO / CLIENTE NÃO CONFIGURADO NO OBT</v>
      </c>
      <c r="O1085" s="1" t="str">
        <f>_xlfn.XLOOKUP(M1085,Parâmetros!B:B,Parâmetros!C:C,_xlfn.XLOOKUP(Base!M1085,Parâmetros!G:G,Parâmetros!H:H))</f>
        <v>INDEFINIDO</v>
      </c>
      <c r="P1085" s="1" t="str">
        <f>_xlfn.XLOOKUP(I1085,Parâmetros!A:A,Parâmetros!D:D,_xlfn.XLOOKUP(Q1085,Parâmetros!F:F,Parâmetros!I:I))</f>
        <v>OPERAÇÕES / SUPORTE KCS</v>
      </c>
      <c r="Q1085" s="1" t="str">
        <f t="shared" si="33"/>
        <v>COLUNA I</v>
      </c>
    </row>
    <row r="1086" spans="1:17" x14ac:dyDescent="0.25">
      <c r="A1086" s="1" t="str">
        <f>_xlfn.XLOOKUP(D1086,'Novo relatório'!B:B,'Novo relatório'!C:C,"RESOLVIDO")</f>
        <v>GOVER</v>
      </c>
      <c r="C1086" t="str">
        <f t="shared" si="32"/>
        <v>PENDENTE</v>
      </c>
      <c r="D1086" s="1">
        <v>3308033</v>
      </c>
      <c r="E1086" s="1" t="s">
        <v>24</v>
      </c>
      <c r="F1086" s="2">
        <v>45534.64166666667</v>
      </c>
      <c r="G1086" s="1">
        <v>4398952</v>
      </c>
      <c r="H1086" s="1" t="s">
        <v>359</v>
      </c>
      <c r="I1086" s="1" t="s">
        <v>196</v>
      </c>
      <c r="J1086" s="2">
        <v>45734.586805555555</v>
      </c>
      <c r="K1086" s="2">
        <v>45756.615277777775</v>
      </c>
      <c r="L1086" s="1" t="s">
        <v>18</v>
      </c>
      <c r="M1086" s="1" t="str">
        <f>_xlfn.XLOOKUP(I1086,Parâmetros!A:A,Parâmetros!B:B,_xlfn.XLOOKUP(Q1086,Parâmetros!F:F,Parâmetros!G:G,"NOVA MENSAGEM"))</f>
        <v>CLIENTE NÃO IDENTIFICADO</v>
      </c>
      <c r="N1086" s="1" t="str">
        <f>_xlfn.XLOOKUP(M1086,Parâmetros!K:K,Parâmetros!L:L,"")</f>
        <v>DK DE CLIENTE NÃO PREENCIDO / CLIENTE NÃO CONFIGURADO NO OBT</v>
      </c>
      <c r="O1086" s="1" t="str">
        <f>_xlfn.XLOOKUP(M1086,Parâmetros!B:B,Parâmetros!C:C,_xlfn.XLOOKUP(Base!M1086,Parâmetros!G:G,Parâmetros!H:H))</f>
        <v>INDEFINIDO</v>
      </c>
      <c r="P1086" s="1" t="str">
        <f>_xlfn.XLOOKUP(I1086,Parâmetros!A:A,Parâmetros!D:D,_xlfn.XLOOKUP(Q1086,Parâmetros!F:F,Parâmetros!I:I))</f>
        <v>OPERAÇÕES / SUPORTE KCS</v>
      </c>
      <c r="Q1086" s="1" t="str">
        <f t="shared" si="33"/>
        <v>COLUNA I</v>
      </c>
    </row>
    <row r="1087" spans="1:17" x14ac:dyDescent="0.25">
      <c r="A1087" s="1" t="str">
        <f>_xlfn.XLOOKUP(D1087,'Novo relatório'!B:B,'Novo relatório'!C:C,"RESOLVIDO")</f>
        <v>GOVER</v>
      </c>
      <c r="C1087" t="str">
        <f t="shared" si="32"/>
        <v>PENDENTE</v>
      </c>
      <c r="D1087" s="1">
        <v>3308034</v>
      </c>
      <c r="E1087" s="1" t="s">
        <v>24</v>
      </c>
      <c r="F1087" s="2">
        <v>45534.644444444442</v>
      </c>
      <c r="G1087" s="1">
        <v>4398961</v>
      </c>
      <c r="H1087" s="1" t="s">
        <v>321</v>
      </c>
      <c r="I1087" s="1" t="s">
        <v>196</v>
      </c>
      <c r="J1087" s="2">
        <v>45734.586805555555</v>
      </c>
      <c r="K1087" s="2">
        <v>45756.615277777775</v>
      </c>
      <c r="L1087" s="1" t="s">
        <v>18</v>
      </c>
      <c r="M1087" s="1" t="str">
        <f>_xlfn.XLOOKUP(I1087,Parâmetros!A:A,Parâmetros!B:B,_xlfn.XLOOKUP(Q1087,Parâmetros!F:F,Parâmetros!G:G,"NOVA MENSAGEM"))</f>
        <v>CLIENTE NÃO IDENTIFICADO</v>
      </c>
      <c r="N1087" s="1" t="str">
        <f>_xlfn.XLOOKUP(M1087,Parâmetros!K:K,Parâmetros!L:L,"")</f>
        <v>DK DE CLIENTE NÃO PREENCIDO / CLIENTE NÃO CONFIGURADO NO OBT</v>
      </c>
      <c r="O1087" s="1" t="str">
        <f>_xlfn.XLOOKUP(M1087,Parâmetros!B:B,Parâmetros!C:C,_xlfn.XLOOKUP(Base!M1087,Parâmetros!G:G,Parâmetros!H:H))</f>
        <v>INDEFINIDO</v>
      </c>
      <c r="P1087" s="1" t="str">
        <f>_xlfn.XLOOKUP(I1087,Parâmetros!A:A,Parâmetros!D:D,_xlfn.XLOOKUP(Q1087,Parâmetros!F:F,Parâmetros!I:I))</f>
        <v>OPERAÇÕES / SUPORTE KCS</v>
      </c>
      <c r="Q1087" s="1" t="str">
        <f t="shared" si="33"/>
        <v>COLUNA I</v>
      </c>
    </row>
    <row r="1088" spans="1:17" x14ac:dyDescent="0.25">
      <c r="A1088" s="1" t="str">
        <f>_xlfn.XLOOKUP(D1088,'Novo relatório'!B:B,'Novo relatório'!C:C,"RESOLVIDO")</f>
        <v>GOVER</v>
      </c>
      <c r="C1088" t="str">
        <f t="shared" si="32"/>
        <v>PENDENTE</v>
      </c>
      <c r="D1088" s="1">
        <v>3308035</v>
      </c>
      <c r="E1088" s="1" t="s">
        <v>24</v>
      </c>
      <c r="F1088" s="2">
        <v>45534.644444444442</v>
      </c>
      <c r="G1088" s="1">
        <v>4398961</v>
      </c>
      <c r="H1088" s="1" t="s">
        <v>322</v>
      </c>
      <c r="I1088" s="1" t="s">
        <v>196</v>
      </c>
      <c r="J1088" s="2">
        <v>45734.586805555555</v>
      </c>
      <c r="K1088" s="2">
        <v>45756.615277777775</v>
      </c>
      <c r="L1088" s="1" t="s">
        <v>18</v>
      </c>
      <c r="M1088" s="1" t="str">
        <f>_xlfn.XLOOKUP(I1088,Parâmetros!A:A,Parâmetros!B:B,_xlfn.XLOOKUP(Q1088,Parâmetros!F:F,Parâmetros!G:G,"NOVA MENSAGEM"))</f>
        <v>CLIENTE NÃO IDENTIFICADO</v>
      </c>
      <c r="N1088" s="1" t="str">
        <f>_xlfn.XLOOKUP(M1088,Parâmetros!K:K,Parâmetros!L:L,"")</f>
        <v>DK DE CLIENTE NÃO PREENCIDO / CLIENTE NÃO CONFIGURADO NO OBT</v>
      </c>
      <c r="O1088" s="1" t="str">
        <f>_xlfn.XLOOKUP(M1088,Parâmetros!B:B,Parâmetros!C:C,_xlfn.XLOOKUP(Base!M1088,Parâmetros!G:G,Parâmetros!H:H))</f>
        <v>INDEFINIDO</v>
      </c>
      <c r="P1088" s="1" t="str">
        <f>_xlfn.XLOOKUP(I1088,Parâmetros!A:A,Parâmetros!D:D,_xlfn.XLOOKUP(Q1088,Parâmetros!F:F,Parâmetros!I:I))</f>
        <v>OPERAÇÕES / SUPORTE KCS</v>
      </c>
      <c r="Q1088" s="1" t="str">
        <f t="shared" si="33"/>
        <v>COLUNA I</v>
      </c>
    </row>
    <row r="1089" spans="1:17" x14ac:dyDescent="0.25">
      <c r="A1089" s="1" t="str">
        <f>_xlfn.XLOOKUP(D1089,'Novo relatório'!B:B,'Novo relatório'!C:C,"RESOLVIDO")</f>
        <v>GOVER</v>
      </c>
      <c r="C1089" t="str">
        <f t="shared" si="32"/>
        <v>PENDENTE</v>
      </c>
      <c r="D1089" s="1">
        <v>3308036</v>
      </c>
      <c r="E1089" s="1" t="s">
        <v>24</v>
      </c>
      <c r="F1089" s="2">
        <v>45610.731249999997</v>
      </c>
      <c r="G1089" s="1">
        <v>4448746</v>
      </c>
      <c r="H1089" s="1" t="s">
        <v>598</v>
      </c>
      <c r="I1089" s="1" t="s">
        <v>196</v>
      </c>
      <c r="J1089" s="2">
        <v>45734.586805555555</v>
      </c>
      <c r="K1089" s="2">
        <v>45756.615972222222</v>
      </c>
      <c r="L1089" s="1" t="s">
        <v>18</v>
      </c>
      <c r="M1089" s="1" t="str">
        <f>_xlfn.XLOOKUP(I1089,Parâmetros!A:A,Parâmetros!B:B,_xlfn.XLOOKUP(Q1089,Parâmetros!F:F,Parâmetros!G:G,"NOVA MENSAGEM"))</f>
        <v>CLIENTE NÃO IDENTIFICADO</v>
      </c>
      <c r="N1089" s="1" t="str">
        <f>_xlfn.XLOOKUP(M1089,Parâmetros!K:K,Parâmetros!L:L,"")</f>
        <v>DK DE CLIENTE NÃO PREENCIDO / CLIENTE NÃO CONFIGURADO NO OBT</v>
      </c>
      <c r="O1089" s="1" t="str">
        <f>_xlfn.XLOOKUP(M1089,Parâmetros!B:B,Parâmetros!C:C,_xlfn.XLOOKUP(Base!M1089,Parâmetros!G:G,Parâmetros!H:H))</f>
        <v>INDEFINIDO</v>
      </c>
      <c r="P1089" s="1" t="str">
        <f>_xlfn.XLOOKUP(I1089,Parâmetros!A:A,Parâmetros!D:D,_xlfn.XLOOKUP(Q1089,Parâmetros!F:F,Parâmetros!I:I))</f>
        <v>OPERAÇÕES / SUPORTE KCS</v>
      </c>
      <c r="Q1089" s="1" t="str">
        <f t="shared" si="33"/>
        <v>COLUNA I</v>
      </c>
    </row>
    <row r="1090" spans="1:17" x14ac:dyDescent="0.25">
      <c r="A1090" s="1" t="str">
        <f>_xlfn.XLOOKUP(D1090,'Novo relatório'!B:B,'Novo relatório'!C:C,"RESOLVIDO")</f>
        <v>GOVER</v>
      </c>
      <c r="C1090" t="str">
        <f t="shared" ref="C1090:C1153" si="34">IF(A1090="RESOLVIDO","RESOLVIDO",IF(B1090="","PENDENTE",IF(LEFT(B1090,7)="CHAMADO","AGUARDANDO FORNECEDOR",IF(B1090="CONTABILIZAR","CONTABILIZAR NO PORTAL"))))</f>
        <v>PENDENTE</v>
      </c>
      <c r="D1090" s="1">
        <v>3308037</v>
      </c>
      <c r="E1090" s="1" t="s">
        <v>24</v>
      </c>
      <c r="F1090" s="2">
        <v>45610.731249999997</v>
      </c>
      <c r="G1090" s="1">
        <v>4448746</v>
      </c>
      <c r="H1090" s="1" t="s">
        <v>599</v>
      </c>
      <c r="I1090" s="1" t="s">
        <v>196</v>
      </c>
      <c r="J1090" s="2">
        <v>45734.586805555555</v>
      </c>
      <c r="K1090" s="2">
        <v>45756.615972222222</v>
      </c>
      <c r="L1090" s="1" t="s">
        <v>18</v>
      </c>
      <c r="M1090" s="1" t="str">
        <f>_xlfn.XLOOKUP(I1090,Parâmetros!A:A,Parâmetros!B:B,_xlfn.XLOOKUP(Q1090,Parâmetros!F:F,Parâmetros!G:G,"NOVA MENSAGEM"))</f>
        <v>CLIENTE NÃO IDENTIFICADO</v>
      </c>
      <c r="N1090" s="1" t="str">
        <f>_xlfn.XLOOKUP(M1090,Parâmetros!K:K,Parâmetros!L:L,"")</f>
        <v>DK DE CLIENTE NÃO PREENCIDO / CLIENTE NÃO CONFIGURADO NO OBT</v>
      </c>
      <c r="O1090" s="1" t="str">
        <f>_xlfn.XLOOKUP(M1090,Parâmetros!B:B,Parâmetros!C:C,_xlfn.XLOOKUP(Base!M1090,Parâmetros!G:G,Parâmetros!H:H))</f>
        <v>INDEFINIDO</v>
      </c>
      <c r="P1090" s="1" t="str">
        <f>_xlfn.XLOOKUP(I1090,Parâmetros!A:A,Parâmetros!D:D,_xlfn.XLOOKUP(Q1090,Parâmetros!F:F,Parâmetros!I:I))</f>
        <v>OPERAÇÕES / SUPORTE KCS</v>
      </c>
      <c r="Q1090" s="1" t="str">
        <f t="shared" ref="Q1090:Q1153" si="35">IFERROR(FIND("Não foi possível localizar o contrato do fornecedor",I1090),IFERROR(FIND("veículo",I1090),IFERROR(FIND("agagem",I1090),IFERROR(FIND("error in XML document",I1090),IFERROR(FIND("Não localizado cliente código",I1090),IFERROR(FIND("lemontech",I1090),IFERROR(FIND("&gt;Fornecedor com o",I1090),IFERROR(FIND("INSERT",I1090),IFERROR(FIND("com CNPJ",I1090),IFERROR(FIND("Consultando Agente-&gt; O agente",I1090),IFERROR(FIND("Não foi possível determinar a validade do cartão, favor verificar os dados do cartão",I1090),"COLUNA I")))))))))))</f>
        <v>COLUNA I</v>
      </c>
    </row>
    <row r="1091" spans="1:17" x14ac:dyDescent="0.25">
      <c r="A1091" s="1" t="str">
        <f>_xlfn.XLOOKUP(D1091,'Novo relatório'!B:B,'Novo relatório'!C:C,"RESOLVIDO")</f>
        <v>GOVER</v>
      </c>
      <c r="C1091" t="str">
        <f t="shared" si="34"/>
        <v>PENDENTE</v>
      </c>
      <c r="D1091" s="1">
        <v>3308038</v>
      </c>
      <c r="E1091" s="1" t="s">
        <v>24</v>
      </c>
      <c r="F1091" s="2">
        <v>45610.742361111108</v>
      </c>
      <c r="G1091" s="1">
        <v>4448762</v>
      </c>
      <c r="H1091" s="1">
        <v>16402111</v>
      </c>
      <c r="I1091" s="1" t="s">
        <v>196</v>
      </c>
      <c r="J1091" s="2">
        <v>45734.586805555555</v>
      </c>
      <c r="K1091" s="2">
        <v>45756.615972222222</v>
      </c>
      <c r="L1091" s="1" t="s">
        <v>18</v>
      </c>
      <c r="M1091" s="1" t="str">
        <f>_xlfn.XLOOKUP(I1091,Parâmetros!A:A,Parâmetros!B:B,_xlfn.XLOOKUP(Q1091,Parâmetros!F:F,Parâmetros!G:G,"NOVA MENSAGEM"))</f>
        <v>CLIENTE NÃO IDENTIFICADO</v>
      </c>
      <c r="N1091" s="1" t="str">
        <f>_xlfn.XLOOKUP(M1091,Parâmetros!K:K,Parâmetros!L:L,"")</f>
        <v>DK DE CLIENTE NÃO PREENCIDO / CLIENTE NÃO CONFIGURADO NO OBT</v>
      </c>
      <c r="O1091" s="1" t="str">
        <f>_xlfn.XLOOKUP(M1091,Parâmetros!B:B,Parâmetros!C:C,_xlfn.XLOOKUP(Base!M1091,Parâmetros!G:G,Parâmetros!H:H))</f>
        <v>INDEFINIDO</v>
      </c>
      <c r="P1091" s="1" t="str">
        <f>_xlfn.XLOOKUP(I1091,Parâmetros!A:A,Parâmetros!D:D,_xlfn.XLOOKUP(Q1091,Parâmetros!F:F,Parâmetros!I:I))</f>
        <v>OPERAÇÕES / SUPORTE KCS</v>
      </c>
      <c r="Q1091" s="1" t="str">
        <f t="shared" si="35"/>
        <v>COLUNA I</v>
      </c>
    </row>
    <row r="1092" spans="1:17" x14ac:dyDescent="0.25">
      <c r="A1092" s="1" t="str">
        <f>_xlfn.XLOOKUP(D1092,'Novo relatório'!B:B,'Novo relatório'!C:C,"RESOLVIDO")</f>
        <v>GOVER</v>
      </c>
      <c r="C1092" t="str">
        <f t="shared" si="34"/>
        <v>PENDENTE</v>
      </c>
      <c r="D1092" s="1">
        <v>3308039</v>
      </c>
      <c r="E1092" s="1" t="s">
        <v>24</v>
      </c>
      <c r="F1092" s="2">
        <v>45624.621527777781</v>
      </c>
      <c r="G1092" s="1">
        <v>4455913</v>
      </c>
      <c r="H1092" s="1" t="s">
        <v>606</v>
      </c>
      <c r="I1092" s="1" t="s">
        <v>196</v>
      </c>
      <c r="J1092" s="2">
        <v>45734.586805555555</v>
      </c>
      <c r="K1092" s="2">
        <v>45756.615972222222</v>
      </c>
      <c r="L1092" s="1" t="s">
        <v>18</v>
      </c>
      <c r="M1092" s="1" t="str">
        <f>_xlfn.XLOOKUP(I1092,Parâmetros!A:A,Parâmetros!B:B,_xlfn.XLOOKUP(Q1092,Parâmetros!F:F,Parâmetros!G:G,"NOVA MENSAGEM"))</f>
        <v>CLIENTE NÃO IDENTIFICADO</v>
      </c>
      <c r="N1092" s="1" t="str">
        <f>_xlfn.XLOOKUP(M1092,Parâmetros!K:K,Parâmetros!L:L,"")</f>
        <v>DK DE CLIENTE NÃO PREENCIDO / CLIENTE NÃO CONFIGURADO NO OBT</v>
      </c>
      <c r="O1092" s="1" t="str">
        <f>_xlfn.XLOOKUP(M1092,Parâmetros!B:B,Parâmetros!C:C,_xlfn.XLOOKUP(Base!M1092,Parâmetros!G:G,Parâmetros!H:H))</f>
        <v>INDEFINIDO</v>
      </c>
      <c r="P1092" s="1" t="str">
        <f>_xlfn.XLOOKUP(I1092,Parâmetros!A:A,Parâmetros!D:D,_xlfn.XLOOKUP(Q1092,Parâmetros!F:F,Parâmetros!I:I))</f>
        <v>OPERAÇÕES / SUPORTE KCS</v>
      </c>
      <c r="Q1092" s="1" t="str">
        <f t="shared" si="35"/>
        <v>COLUNA I</v>
      </c>
    </row>
    <row r="1093" spans="1:17" x14ac:dyDescent="0.25">
      <c r="A1093" s="1" t="str">
        <f>_xlfn.XLOOKUP(D1093,'Novo relatório'!B:B,'Novo relatório'!C:C,"RESOLVIDO")</f>
        <v>GOVER</v>
      </c>
      <c r="C1093" t="str">
        <f t="shared" si="34"/>
        <v>PENDENTE</v>
      </c>
      <c r="D1093" s="1">
        <v>3308040</v>
      </c>
      <c r="E1093" s="1" t="s">
        <v>24</v>
      </c>
      <c r="F1093" s="2">
        <v>45637.565972222219</v>
      </c>
      <c r="G1093" s="1">
        <v>4461541</v>
      </c>
      <c r="H1093" s="1" t="s">
        <v>626</v>
      </c>
      <c r="I1093" s="1" t="s">
        <v>196</v>
      </c>
      <c r="J1093" s="2">
        <v>45734.586805555555</v>
      </c>
      <c r="K1093" s="2">
        <v>45756.615972222222</v>
      </c>
      <c r="L1093" s="1" t="s">
        <v>18</v>
      </c>
      <c r="M1093" s="1" t="str">
        <f>_xlfn.XLOOKUP(I1093,Parâmetros!A:A,Parâmetros!B:B,_xlfn.XLOOKUP(Q1093,Parâmetros!F:F,Parâmetros!G:G,"NOVA MENSAGEM"))</f>
        <v>CLIENTE NÃO IDENTIFICADO</v>
      </c>
      <c r="N1093" s="1" t="str">
        <f>_xlfn.XLOOKUP(M1093,Parâmetros!K:K,Parâmetros!L:L,"")</f>
        <v>DK DE CLIENTE NÃO PREENCIDO / CLIENTE NÃO CONFIGURADO NO OBT</v>
      </c>
      <c r="O1093" s="1" t="str">
        <f>_xlfn.XLOOKUP(M1093,Parâmetros!B:B,Parâmetros!C:C,_xlfn.XLOOKUP(Base!M1093,Parâmetros!G:G,Parâmetros!H:H))</f>
        <v>INDEFINIDO</v>
      </c>
      <c r="P1093" s="1" t="str">
        <f>_xlfn.XLOOKUP(I1093,Parâmetros!A:A,Parâmetros!D:D,_xlfn.XLOOKUP(Q1093,Parâmetros!F:F,Parâmetros!I:I))</f>
        <v>OPERAÇÕES / SUPORTE KCS</v>
      </c>
      <c r="Q1093" s="1" t="str">
        <f t="shared" si="35"/>
        <v>COLUNA I</v>
      </c>
    </row>
    <row r="1094" spans="1:17" x14ac:dyDescent="0.25">
      <c r="A1094" s="1" t="str">
        <f>_xlfn.XLOOKUP(D1094,'Novo relatório'!B:B,'Novo relatório'!C:C,"RESOLVIDO")</f>
        <v>GOVER</v>
      </c>
      <c r="C1094" t="str">
        <f t="shared" si="34"/>
        <v>PENDENTE</v>
      </c>
      <c r="D1094" s="1">
        <v>3308041</v>
      </c>
      <c r="E1094" s="1" t="s">
        <v>24</v>
      </c>
      <c r="F1094" s="2">
        <v>45639.361111111109</v>
      </c>
      <c r="G1094" s="1">
        <v>4462388</v>
      </c>
      <c r="H1094" s="1">
        <v>16701695</v>
      </c>
      <c r="I1094" s="1" t="s">
        <v>196</v>
      </c>
      <c r="J1094" s="2">
        <v>45734.586805555555</v>
      </c>
      <c r="K1094" s="2">
        <v>45756.615972222222</v>
      </c>
      <c r="L1094" s="1" t="s">
        <v>18</v>
      </c>
      <c r="M1094" s="1" t="str">
        <f>_xlfn.XLOOKUP(I1094,Parâmetros!A:A,Parâmetros!B:B,_xlfn.XLOOKUP(Q1094,Parâmetros!F:F,Parâmetros!G:G,"NOVA MENSAGEM"))</f>
        <v>CLIENTE NÃO IDENTIFICADO</v>
      </c>
      <c r="N1094" s="1" t="str">
        <f>_xlfn.XLOOKUP(M1094,Parâmetros!K:K,Parâmetros!L:L,"")</f>
        <v>DK DE CLIENTE NÃO PREENCIDO / CLIENTE NÃO CONFIGURADO NO OBT</v>
      </c>
      <c r="O1094" s="1" t="str">
        <f>_xlfn.XLOOKUP(M1094,Parâmetros!B:B,Parâmetros!C:C,_xlfn.XLOOKUP(Base!M1094,Parâmetros!G:G,Parâmetros!H:H))</f>
        <v>INDEFINIDO</v>
      </c>
      <c r="P1094" s="1" t="str">
        <f>_xlfn.XLOOKUP(I1094,Parâmetros!A:A,Parâmetros!D:D,_xlfn.XLOOKUP(Q1094,Parâmetros!F:F,Parâmetros!I:I))</f>
        <v>OPERAÇÕES / SUPORTE KCS</v>
      </c>
      <c r="Q1094" s="1" t="str">
        <f t="shared" si="35"/>
        <v>COLUNA I</v>
      </c>
    </row>
    <row r="1095" spans="1:17" x14ac:dyDescent="0.25">
      <c r="A1095" s="1" t="str">
        <f>_xlfn.XLOOKUP(D1095,'Novo relatório'!B:B,'Novo relatório'!C:C,"RESOLVIDO")</f>
        <v>GOVER</v>
      </c>
      <c r="C1095" t="str">
        <f t="shared" si="34"/>
        <v>PENDENTE</v>
      </c>
      <c r="D1095" s="1">
        <v>3308042</v>
      </c>
      <c r="E1095" s="1" t="s">
        <v>24</v>
      </c>
      <c r="F1095" s="2">
        <v>45639.362500000003</v>
      </c>
      <c r="G1095" s="1">
        <v>4462390</v>
      </c>
      <c r="H1095" s="1">
        <v>16701678</v>
      </c>
      <c r="I1095" s="1" t="s">
        <v>196</v>
      </c>
      <c r="J1095" s="2">
        <v>45734.586805555555</v>
      </c>
      <c r="K1095" s="2">
        <v>45756.615972222222</v>
      </c>
      <c r="L1095" s="1" t="s">
        <v>18</v>
      </c>
      <c r="M1095" s="1" t="str">
        <f>_xlfn.XLOOKUP(I1095,Parâmetros!A:A,Parâmetros!B:B,_xlfn.XLOOKUP(Q1095,Parâmetros!F:F,Parâmetros!G:G,"NOVA MENSAGEM"))</f>
        <v>CLIENTE NÃO IDENTIFICADO</v>
      </c>
      <c r="N1095" s="1" t="str">
        <f>_xlfn.XLOOKUP(M1095,Parâmetros!K:K,Parâmetros!L:L,"")</f>
        <v>DK DE CLIENTE NÃO PREENCIDO / CLIENTE NÃO CONFIGURADO NO OBT</v>
      </c>
      <c r="O1095" s="1" t="str">
        <f>_xlfn.XLOOKUP(M1095,Parâmetros!B:B,Parâmetros!C:C,_xlfn.XLOOKUP(Base!M1095,Parâmetros!G:G,Parâmetros!H:H))</f>
        <v>INDEFINIDO</v>
      </c>
      <c r="P1095" s="1" t="str">
        <f>_xlfn.XLOOKUP(I1095,Parâmetros!A:A,Parâmetros!D:D,_xlfn.XLOOKUP(Q1095,Parâmetros!F:F,Parâmetros!I:I))</f>
        <v>OPERAÇÕES / SUPORTE KCS</v>
      </c>
      <c r="Q1095" s="1" t="str">
        <f t="shared" si="35"/>
        <v>COLUNA I</v>
      </c>
    </row>
    <row r="1096" spans="1:17" x14ac:dyDescent="0.25">
      <c r="A1096" s="1" t="str">
        <f>_xlfn.XLOOKUP(D1096,'Novo relatório'!B:B,'Novo relatório'!C:C,"RESOLVIDO")</f>
        <v>GOVER</v>
      </c>
      <c r="C1096" t="str">
        <f t="shared" si="34"/>
        <v>PENDENTE</v>
      </c>
      <c r="D1096" s="1">
        <v>3308043</v>
      </c>
      <c r="E1096" s="1" t="s">
        <v>24</v>
      </c>
      <c r="F1096" s="2">
        <v>45643.646527777775</v>
      </c>
      <c r="G1096" s="1">
        <v>4464021</v>
      </c>
      <c r="H1096" s="1" t="s">
        <v>633</v>
      </c>
      <c r="I1096" s="1" t="s">
        <v>196</v>
      </c>
      <c r="J1096" s="2">
        <v>45734.586805555555</v>
      </c>
      <c r="K1096" s="2">
        <v>45756.615972222222</v>
      </c>
      <c r="L1096" s="1" t="s">
        <v>18</v>
      </c>
      <c r="M1096" s="1" t="str">
        <f>_xlfn.XLOOKUP(I1096,Parâmetros!A:A,Parâmetros!B:B,_xlfn.XLOOKUP(Q1096,Parâmetros!F:F,Parâmetros!G:G,"NOVA MENSAGEM"))</f>
        <v>CLIENTE NÃO IDENTIFICADO</v>
      </c>
      <c r="N1096" s="1" t="str">
        <f>_xlfn.XLOOKUP(M1096,Parâmetros!K:K,Parâmetros!L:L,"")</f>
        <v>DK DE CLIENTE NÃO PREENCIDO / CLIENTE NÃO CONFIGURADO NO OBT</v>
      </c>
      <c r="O1096" s="1" t="str">
        <f>_xlfn.XLOOKUP(M1096,Parâmetros!B:B,Parâmetros!C:C,_xlfn.XLOOKUP(Base!M1096,Parâmetros!G:G,Parâmetros!H:H))</f>
        <v>INDEFINIDO</v>
      </c>
      <c r="P1096" s="1" t="str">
        <f>_xlfn.XLOOKUP(I1096,Parâmetros!A:A,Parâmetros!D:D,_xlfn.XLOOKUP(Q1096,Parâmetros!F:F,Parâmetros!I:I))</f>
        <v>OPERAÇÕES / SUPORTE KCS</v>
      </c>
      <c r="Q1096" s="1" t="str">
        <f t="shared" si="35"/>
        <v>COLUNA I</v>
      </c>
    </row>
    <row r="1097" spans="1:17" x14ac:dyDescent="0.25">
      <c r="A1097" s="1" t="str">
        <f>_xlfn.XLOOKUP(D1097,'Novo relatório'!B:B,'Novo relatório'!C:C,"RESOLVIDO")</f>
        <v>GOVER</v>
      </c>
      <c r="C1097" t="str">
        <f t="shared" si="34"/>
        <v>PENDENTE</v>
      </c>
      <c r="D1097" s="1">
        <v>3308180</v>
      </c>
      <c r="E1097" s="1" t="s">
        <v>24</v>
      </c>
      <c r="F1097" s="2">
        <v>45244.556944444441</v>
      </c>
      <c r="G1097" s="1">
        <v>4226517</v>
      </c>
      <c r="H1097" s="1" t="s">
        <v>250</v>
      </c>
      <c r="I1097" s="1" t="s">
        <v>251</v>
      </c>
      <c r="J1097" s="2">
        <v>45734.635416666664</v>
      </c>
      <c r="K1097" s="2">
        <v>45756.615277777775</v>
      </c>
      <c r="L1097" s="1" t="s">
        <v>19</v>
      </c>
      <c r="M1097" s="1" t="str">
        <f>_xlfn.XLOOKUP(I1097,Parâmetros!A:A,Parâmetros!B:B,_xlfn.XLOOKUP(Q1097,Parâmetros!F:F,Parâmetros!G:G,"NOVA MENSAGEM"))</f>
        <v>CONTRATO FORNECEDOR</v>
      </c>
      <c r="N1097" s="1" t="str">
        <f>_xlfn.XLOOKUP(M1097,Parâmetros!K:K,Parâmetros!L:L,"")</f>
        <v>CONTRATO INATIVO OU DIVERGENTE</v>
      </c>
      <c r="O1097" s="1" t="str">
        <f>_xlfn.XLOOKUP(M1097,Parâmetros!B:B,Parâmetros!C:C,_xlfn.XLOOKUP(Base!M1097,Parâmetros!G:G,Parâmetros!H:H))</f>
        <v>SISTEMA</v>
      </c>
      <c r="P1097" s="1" t="str">
        <f>_xlfn.XLOOKUP(I1097,Parâmetros!A:A,Parâmetros!D:D,_xlfn.XLOOKUP(Q1097,Parâmetros!F:F,Parâmetros!I:I))</f>
        <v>OPERAÇÕES / SUPORTE KCS</v>
      </c>
      <c r="Q1097" s="1">
        <f t="shared" si="35"/>
        <v>55</v>
      </c>
    </row>
    <row r="1098" spans="1:17" x14ac:dyDescent="0.25">
      <c r="A1098" s="1" t="str">
        <f>_xlfn.XLOOKUP(D1098,'Novo relatório'!B:B,'Novo relatório'!C:C,"RESOLVIDO")</f>
        <v>GOVER</v>
      </c>
      <c r="C1098" t="str">
        <f t="shared" si="34"/>
        <v>PENDENTE</v>
      </c>
      <c r="D1098" s="1">
        <v>3308181</v>
      </c>
      <c r="E1098" s="1" t="s">
        <v>24</v>
      </c>
      <c r="F1098" s="2">
        <v>45299.667361111111</v>
      </c>
      <c r="G1098" s="1">
        <v>4254472</v>
      </c>
      <c r="H1098" s="1" t="s">
        <v>204</v>
      </c>
      <c r="I1098" s="1" t="s">
        <v>205</v>
      </c>
      <c r="J1098" s="2">
        <v>45734.635416666664</v>
      </c>
      <c r="K1098" s="2">
        <v>45756.615277777775</v>
      </c>
      <c r="L1098" s="1" t="s">
        <v>19</v>
      </c>
      <c r="M1098" s="1" t="str">
        <f>_xlfn.XLOOKUP(I1098,Parâmetros!A:A,Parâmetros!B:B,_xlfn.XLOOKUP(Q1098,Parâmetros!F:F,Parâmetros!G:G,"NOVA MENSAGEM"))</f>
        <v>CONTRATO FORNECEDOR</v>
      </c>
      <c r="N1098" s="1" t="str">
        <f>_xlfn.XLOOKUP(M1098,Parâmetros!K:K,Parâmetros!L:L,"")</f>
        <v>CONTRATO INATIVO OU DIVERGENTE</v>
      </c>
      <c r="O1098" s="1" t="str">
        <f>_xlfn.XLOOKUP(M1098,Parâmetros!B:B,Parâmetros!C:C,_xlfn.XLOOKUP(Base!M1098,Parâmetros!G:G,Parâmetros!H:H))</f>
        <v>SISTEMA</v>
      </c>
      <c r="P1098" s="1" t="str">
        <f>_xlfn.XLOOKUP(I1098,Parâmetros!A:A,Parâmetros!D:D,_xlfn.XLOOKUP(Q1098,Parâmetros!F:F,Parâmetros!I:I))</f>
        <v>OPERAÇÕES / SUPORTE KCS</v>
      </c>
      <c r="Q1098" s="1">
        <f t="shared" si="35"/>
        <v>43</v>
      </c>
    </row>
    <row r="1099" spans="1:17" x14ac:dyDescent="0.25">
      <c r="A1099" s="1" t="str">
        <f>_xlfn.XLOOKUP(D1099,'Novo relatório'!B:B,'Novo relatório'!C:C,"RESOLVIDO")</f>
        <v>GOVER</v>
      </c>
      <c r="C1099" t="str">
        <f t="shared" si="34"/>
        <v>PENDENTE</v>
      </c>
      <c r="D1099" s="1">
        <v>3308182</v>
      </c>
      <c r="E1099" s="1" t="s">
        <v>24</v>
      </c>
      <c r="F1099" s="2">
        <v>45320.618055555555</v>
      </c>
      <c r="G1099" s="1">
        <v>4267291</v>
      </c>
      <c r="H1099" s="1" t="s">
        <v>206</v>
      </c>
      <c r="I1099" s="1" t="s">
        <v>207</v>
      </c>
      <c r="J1099" s="2">
        <v>45734.635416666664</v>
      </c>
      <c r="K1099" s="2">
        <v>45756.615277777775</v>
      </c>
      <c r="L1099" s="1" t="s">
        <v>19</v>
      </c>
      <c r="M1099" s="1" t="str">
        <f>_xlfn.XLOOKUP(I1099,Parâmetros!A:A,Parâmetros!B:B,_xlfn.XLOOKUP(Q1099,Parâmetros!F:F,Parâmetros!G:G,"NOVA MENSAGEM"))</f>
        <v>CONTRATO FORNECEDOR</v>
      </c>
      <c r="N1099" s="1" t="str">
        <f>_xlfn.XLOOKUP(M1099,Parâmetros!K:K,Parâmetros!L:L,"")</f>
        <v>CONTRATO INATIVO OU DIVERGENTE</v>
      </c>
      <c r="O1099" s="1" t="str">
        <f>_xlfn.XLOOKUP(M1099,Parâmetros!B:B,Parâmetros!C:C,_xlfn.XLOOKUP(Base!M1099,Parâmetros!G:G,Parâmetros!H:H))</f>
        <v>SISTEMA</v>
      </c>
      <c r="P1099" s="1" t="str">
        <f>_xlfn.XLOOKUP(I1099,Parâmetros!A:A,Parâmetros!D:D,_xlfn.XLOOKUP(Q1099,Parâmetros!F:F,Parâmetros!I:I))</f>
        <v>OPERAÇÕES / SUPORTE KCS</v>
      </c>
      <c r="Q1099" s="1">
        <f t="shared" si="35"/>
        <v>55</v>
      </c>
    </row>
    <row r="1100" spans="1:17" x14ac:dyDescent="0.25">
      <c r="A1100" s="1" t="str">
        <f>_xlfn.XLOOKUP(D1100,'Novo relatório'!B:B,'Novo relatório'!C:C,"RESOLVIDO")</f>
        <v>GOVER</v>
      </c>
      <c r="C1100" t="str">
        <f t="shared" si="34"/>
        <v>PENDENTE</v>
      </c>
      <c r="D1100" s="1">
        <v>3308183</v>
      </c>
      <c r="E1100" s="1" t="s">
        <v>24</v>
      </c>
      <c r="F1100" s="2">
        <v>45450.418749999997</v>
      </c>
      <c r="G1100" s="1">
        <v>4347873</v>
      </c>
      <c r="H1100" s="1" t="s">
        <v>208</v>
      </c>
      <c r="I1100" s="1" t="s">
        <v>209</v>
      </c>
      <c r="J1100" s="2">
        <v>45734.635416666664</v>
      </c>
      <c r="K1100" s="2">
        <v>45756.615277777775</v>
      </c>
      <c r="L1100" s="1" t="s">
        <v>19</v>
      </c>
      <c r="M1100" s="1" t="str">
        <f>_xlfn.XLOOKUP(I1100,Parâmetros!A:A,Parâmetros!B:B,_xlfn.XLOOKUP(Q1100,Parâmetros!F:F,Parâmetros!G:G,"NOVA MENSAGEM"))</f>
        <v>CONTRATO FORNECEDOR</v>
      </c>
      <c r="N1100" s="1" t="str">
        <f>_xlfn.XLOOKUP(M1100,Parâmetros!K:K,Parâmetros!L:L,"")</f>
        <v>CONTRATO INATIVO OU DIVERGENTE</v>
      </c>
      <c r="O1100" s="1" t="str">
        <f>_xlfn.XLOOKUP(M1100,Parâmetros!B:B,Parâmetros!C:C,_xlfn.XLOOKUP(Base!M1100,Parâmetros!G:G,Parâmetros!H:H))</f>
        <v>SISTEMA</v>
      </c>
      <c r="P1100" s="1" t="str">
        <f>_xlfn.XLOOKUP(I1100,Parâmetros!A:A,Parâmetros!D:D,_xlfn.XLOOKUP(Q1100,Parâmetros!F:F,Parâmetros!I:I))</f>
        <v>OPERAÇÕES / SUPORTE KCS</v>
      </c>
      <c r="Q1100" s="1">
        <f t="shared" si="35"/>
        <v>43</v>
      </c>
    </row>
    <row r="1101" spans="1:17" x14ac:dyDescent="0.25">
      <c r="A1101" s="1" t="str">
        <f>_xlfn.XLOOKUP(D1101,'Novo relatório'!B:B,'Novo relatório'!C:C,"RESOLVIDO")</f>
        <v>GOVER</v>
      </c>
      <c r="C1101" t="str">
        <f t="shared" si="34"/>
        <v>PENDENTE</v>
      </c>
      <c r="D1101" s="1">
        <v>3308184</v>
      </c>
      <c r="E1101" s="1" t="s">
        <v>24</v>
      </c>
      <c r="F1101" s="2">
        <v>45471.393750000003</v>
      </c>
      <c r="G1101" s="1">
        <v>4361254</v>
      </c>
      <c r="H1101" s="1" t="s">
        <v>210</v>
      </c>
      <c r="I1101" s="1" t="s">
        <v>211</v>
      </c>
      <c r="J1101" s="2">
        <v>45734.635416666664</v>
      </c>
      <c r="K1101" s="2">
        <v>45756.615277777775</v>
      </c>
      <c r="L1101" s="1" t="s">
        <v>19</v>
      </c>
      <c r="M1101" s="1" t="str">
        <f>_xlfn.XLOOKUP(I1101,Parâmetros!A:A,Parâmetros!B:B,_xlfn.XLOOKUP(Q1101,Parâmetros!F:F,Parâmetros!G:G,"NOVA MENSAGEM"))</f>
        <v>CONTRATO FORNECEDOR</v>
      </c>
      <c r="N1101" s="1" t="str">
        <f>_xlfn.XLOOKUP(M1101,Parâmetros!K:K,Parâmetros!L:L,"")</f>
        <v>CONTRATO INATIVO OU DIVERGENTE</v>
      </c>
      <c r="O1101" s="1" t="str">
        <f>_xlfn.XLOOKUP(M1101,Parâmetros!B:B,Parâmetros!C:C,_xlfn.XLOOKUP(Base!M1101,Parâmetros!G:G,Parâmetros!H:H))</f>
        <v>SISTEMA</v>
      </c>
      <c r="P1101" s="1" t="str">
        <f>_xlfn.XLOOKUP(I1101,Parâmetros!A:A,Parâmetros!D:D,_xlfn.XLOOKUP(Q1101,Parâmetros!F:F,Parâmetros!I:I))</f>
        <v>OPERAÇÕES / SUPORTE KCS</v>
      </c>
      <c r="Q1101" s="1">
        <f t="shared" si="35"/>
        <v>43</v>
      </c>
    </row>
    <row r="1102" spans="1:17" x14ac:dyDescent="0.25">
      <c r="A1102" s="1" t="str">
        <f>_xlfn.XLOOKUP(D1102,'Novo relatório'!B:B,'Novo relatório'!C:C,"RESOLVIDO")</f>
        <v>GOVER</v>
      </c>
      <c r="C1102" t="str">
        <f t="shared" si="34"/>
        <v>PENDENTE</v>
      </c>
      <c r="D1102" s="1">
        <v>3308185</v>
      </c>
      <c r="E1102" s="1" t="s">
        <v>24</v>
      </c>
      <c r="F1102" s="2">
        <v>45499.677083333336</v>
      </c>
      <c r="G1102" s="1">
        <v>4378785</v>
      </c>
      <c r="H1102" s="1" t="s">
        <v>202</v>
      </c>
      <c r="I1102" s="1" t="s">
        <v>203</v>
      </c>
      <c r="J1102" s="2">
        <v>45734.635416666664</v>
      </c>
      <c r="K1102" s="2">
        <v>45756.615277777775</v>
      </c>
      <c r="L1102" s="1" t="s">
        <v>19</v>
      </c>
      <c r="M1102" s="1" t="str">
        <f>_xlfn.XLOOKUP(I1102,Parâmetros!A:A,Parâmetros!B:B,_xlfn.XLOOKUP(Q1102,Parâmetros!F:F,Parâmetros!G:G,"NOVA MENSAGEM"))</f>
        <v>CONTRATO FORNECEDOR</v>
      </c>
      <c r="N1102" s="1" t="str">
        <f>_xlfn.XLOOKUP(M1102,Parâmetros!K:K,Parâmetros!L:L,"")</f>
        <v>CONTRATO INATIVO OU DIVERGENTE</v>
      </c>
      <c r="O1102" s="1" t="str">
        <f>_xlfn.XLOOKUP(M1102,Parâmetros!B:B,Parâmetros!C:C,_xlfn.XLOOKUP(Base!M1102,Parâmetros!G:G,Parâmetros!H:H))</f>
        <v>SISTEMA</v>
      </c>
      <c r="P1102" s="1" t="str">
        <f>_xlfn.XLOOKUP(I1102,Parâmetros!A:A,Parâmetros!D:D,_xlfn.XLOOKUP(Q1102,Parâmetros!F:F,Parâmetros!I:I))</f>
        <v>OPERAÇÕES / SUPORTE KCS</v>
      </c>
      <c r="Q1102" s="1">
        <f t="shared" si="35"/>
        <v>43</v>
      </c>
    </row>
    <row r="1103" spans="1:17" x14ac:dyDescent="0.25">
      <c r="A1103" s="1" t="str">
        <f>_xlfn.XLOOKUP(D1103,'Novo relatório'!B:B,'Novo relatório'!C:C,"RESOLVIDO")</f>
        <v>GOVER</v>
      </c>
      <c r="C1103" t="str">
        <f t="shared" si="34"/>
        <v>PENDENTE</v>
      </c>
      <c r="D1103" s="1">
        <v>3308186</v>
      </c>
      <c r="E1103" s="1" t="s">
        <v>24</v>
      </c>
      <c r="F1103" s="2">
        <v>45562.526388888888</v>
      </c>
      <c r="G1103" s="1">
        <v>4415010</v>
      </c>
      <c r="H1103" s="1" t="s">
        <v>366</v>
      </c>
      <c r="I1103" s="1" t="s">
        <v>367</v>
      </c>
      <c r="J1103" s="2">
        <v>45734.635416666664</v>
      </c>
      <c r="K1103" s="2">
        <v>45756.615277777775</v>
      </c>
      <c r="L1103" s="1" t="s">
        <v>19</v>
      </c>
      <c r="M1103" s="1" t="str">
        <f>_xlfn.XLOOKUP(I1103,Parâmetros!A:A,Parâmetros!B:B,_xlfn.XLOOKUP(Q1103,Parâmetros!F:F,Parâmetros!G:G,"NOVA MENSAGEM"))</f>
        <v>CONTRATO FORNECEDOR</v>
      </c>
      <c r="N1103" s="1" t="str">
        <f>_xlfn.XLOOKUP(M1103,Parâmetros!K:K,Parâmetros!L:L,"")</f>
        <v>CONTRATO INATIVO OU DIVERGENTE</v>
      </c>
      <c r="O1103" s="1" t="str">
        <f>_xlfn.XLOOKUP(M1103,Parâmetros!B:B,Parâmetros!C:C,_xlfn.XLOOKUP(Base!M1103,Parâmetros!G:G,Parâmetros!H:H))</f>
        <v>SISTEMA</v>
      </c>
      <c r="P1103" s="1" t="str">
        <f>_xlfn.XLOOKUP(I1103,Parâmetros!A:A,Parâmetros!D:D,_xlfn.XLOOKUP(Q1103,Parâmetros!F:F,Parâmetros!I:I))</f>
        <v>OPERAÇÕES / SUPORTE KCS</v>
      </c>
      <c r="Q1103" s="1">
        <f t="shared" si="35"/>
        <v>55</v>
      </c>
    </row>
    <row r="1104" spans="1:17" x14ac:dyDescent="0.25">
      <c r="A1104" s="1" t="str">
        <f>_xlfn.XLOOKUP(D1104,'Novo relatório'!B:B,'Novo relatório'!C:C,"RESOLVIDO")</f>
        <v>GOVER</v>
      </c>
      <c r="C1104" t="str">
        <f t="shared" si="34"/>
        <v>PENDENTE</v>
      </c>
      <c r="D1104" s="1">
        <v>3308187</v>
      </c>
      <c r="E1104" s="1" t="s">
        <v>24</v>
      </c>
      <c r="F1104" s="2">
        <v>45625.376388888886</v>
      </c>
      <c r="G1104" s="1">
        <v>4456180</v>
      </c>
      <c r="H1104" s="1" t="s">
        <v>607</v>
      </c>
      <c r="I1104" s="1" t="s">
        <v>1922</v>
      </c>
      <c r="J1104" s="2">
        <v>45734.635416666664</v>
      </c>
      <c r="K1104" s="2">
        <v>45756.615972222222</v>
      </c>
      <c r="L1104" s="1" t="s">
        <v>19</v>
      </c>
      <c r="M1104" s="1" t="str">
        <f>_xlfn.XLOOKUP(I1104,Parâmetros!A:A,Parâmetros!B:B,_xlfn.XLOOKUP(Q1104,Parâmetros!F:F,Parâmetros!G:G,"NOVA MENSAGEM"))</f>
        <v>CONTRATO FORNECEDOR</v>
      </c>
      <c r="N1104" s="1" t="str">
        <f>_xlfn.XLOOKUP(M1104,Parâmetros!K:K,Parâmetros!L:L,"")</f>
        <v>CONTRATO INATIVO OU DIVERGENTE</v>
      </c>
      <c r="O1104" s="1" t="str">
        <f>_xlfn.XLOOKUP(M1104,Parâmetros!B:B,Parâmetros!C:C,_xlfn.XLOOKUP(Base!M1104,Parâmetros!G:G,Parâmetros!H:H))</f>
        <v>SISTEMA</v>
      </c>
      <c r="P1104" s="1" t="str">
        <f>_xlfn.XLOOKUP(I1104,Parâmetros!A:A,Parâmetros!D:D,_xlfn.XLOOKUP(Q1104,Parâmetros!F:F,Parâmetros!I:I))</f>
        <v>OPERAÇÕES / SUPORTE KCS</v>
      </c>
      <c r="Q1104" s="1">
        <f t="shared" si="35"/>
        <v>55</v>
      </c>
    </row>
    <row r="1105" spans="1:17" x14ac:dyDescent="0.25">
      <c r="A1105" s="1" t="str">
        <f>_xlfn.XLOOKUP(D1105,'Novo relatório'!B:B,'Novo relatório'!C:C,"RESOLVIDO")</f>
        <v>SABRE</v>
      </c>
      <c r="C1105" t="str">
        <f t="shared" si="34"/>
        <v>PENDENTE</v>
      </c>
      <c r="D1105" s="1">
        <v>3308203</v>
      </c>
      <c r="E1105" s="1" t="s">
        <v>26</v>
      </c>
      <c r="F1105" s="2">
        <v>45734.554166666669</v>
      </c>
      <c r="G1105" s="1" t="s">
        <v>1641</v>
      </c>
      <c r="H1105" s="1" t="s">
        <v>1641</v>
      </c>
      <c r="I1105" s="1" t="s">
        <v>1642</v>
      </c>
      <c r="J1105" s="2">
        <v>45734.638194444444</v>
      </c>
      <c r="L1105" s="1" t="s">
        <v>19</v>
      </c>
      <c r="M1105" s="1" t="str">
        <f>_xlfn.XLOOKUP(I1105,Parâmetros!A:A,Parâmetros!B:B,_xlfn.XLOOKUP(Q1105,Parâmetros!F:F,Parâmetros!G:G,"NOVA MENSAGEM"))</f>
        <v>CONTRATO FORNECEDOR</v>
      </c>
      <c r="N1105" s="1" t="str">
        <f>_xlfn.XLOOKUP(M1105,Parâmetros!K:K,Parâmetros!L:L,"")</f>
        <v>CONTRATO INATIVO OU DIVERGENTE</v>
      </c>
      <c r="O1105" s="1" t="str">
        <f>_xlfn.XLOOKUP(M1105,Parâmetros!B:B,Parâmetros!C:C,_xlfn.XLOOKUP(Base!M1022,Parâmetros!G:G,Parâmetros!H:H))</f>
        <v>SISTEMA</v>
      </c>
      <c r="P1105" s="1" t="str">
        <f>_xlfn.XLOOKUP(I1105,Parâmetros!A:A,Parâmetros!D:D,_xlfn.XLOOKUP(Q1105,Parâmetros!F:F,Parâmetros!I:I))</f>
        <v>OPERAÇÕES / SUPORTE KCS</v>
      </c>
      <c r="Q1105" s="1">
        <f t="shared" si="35"/>
        <v>43</v>
      </c>
    </row>
    <row r="1106" spans="1:17" x14ac:dyDescent="0.25">
      <c r="A1106" s="1" t="str">
        <f>_xlfn.XLOOKUP(D1106,'Novo relatório'!B:B,'Novo relatório'!C:C,"RESOLVIDO")</f>
        <v>GOVER</v>
      </c>
      <c r="C1106" t="str">
        <f t="shared" si="34"/>
        <v>PENDENTE</v>
      </c>
      <c r="D1106" s="1">
        <v>3308205</v>
      </c>
      <c r="E1106" s="1" t="s">
        <v>24</v>
      </c>
      <c r="F1106" s="2">
        <v>45342.459722222222</v>
      </c>
      <c r="G1106" s="1">
        <v>373277</v>
      </c>
      <c r="H1106" s="1" t="s">
        <v>1917</v>
      </c>
      <c r="I1106" s="1" t="s">
        <v>96</v>
      </c>
      <c r="J1106" s="2">
        <v>45734.640277777777</v>
      </c>
      <c r="K1106" s="2">
        <v>45756.612500000003</v>
      </c>
      <c r="L1106" s="1" t="s">
        <v>19</v>
      </c>
      <c r="M1106" s="1" t="str">
        <f>_xlfn.XLOOKUP(I1106,Parâmetros!A:A,Parâmetros!B:B,_xlfn.XLOOKUP(Q1106,Parâmetros!F:F,Parâmetros!G:G,"NOVA MENSAGEM"))</f>
        <v>CONTRATO FORNECEDOR</v>
      </c>
      <c r="N1106" s="1" t="str">
        <f>_xlfn.XLOOKUP(M1106,Parâmetros!K:K,Parâmetros!L:L,"")</f>
        <v>CONTRATO INATIVO OU DIVERGENTE</v>
      </c>
      <c r="O1106" s="1" t="str">
        <f>_xlfn.XLOOKUP(M1106,Parâmetros!B:B,Parâmetros!C:C,_xlfn.XLOOKUP(Base!M1105,Parâmetros!G:G,Parâmetros!H:H))</f>
        <v>SISTEMA</v>
      </c>
      <c r="P1106" s="1" t="str">
        <f>_xlfn.XLOOKUP(I1106,Parâmetros!A:A,Parâmetros!D:D,_xlfn.XLOOKUP(Q1106,Parâmetros!F:F,Parâmetros!I:I))</f>
        <v>OPERAÇÕES / SUPORTE KCS</v>
      </c>
      <c r="Q1106" s="1">
        <f t="shared" si="35"/>
        <v>43</v>
      </c>
    </row>
    <row r="1107" spans="1:17" x14ac:dyDescent="0.25">
      <c r="A1107" s="1" t="str">
        <f>_xlfn.XLOOKUP(D1107,'Novo relatório'!B:B,'Novo relatório'!C:C,"RESOLVIDO")</f>
        <v>GOVER</v>
      </c>
      <c r="C1107" t="str">
        <f t="shared" si="34"/>
        <v>PENDENTE</v>
      </c>
      <c r="D1107" s="1">
        <v>3308207</v>
      </c>
      <c r="E1107" s="1" t="s">
        <v>24</v>
      </c>
      <c r="F1107" s="2">
        <v>45406.436805555553</v>
      </c>
      <c r="G1107" s="1">
        <v>377032</v>
      </c>
      <c r="H1107" s="1" t="s">
        <v>1918</v>
      </c>
      <c r="I1107" s="1" t="s">
        <v>212</v>
      </c>
      <c r="J1107" s="2">
        <v>45734.640277777777</v>
      </c>
      <c r="K1107" s="2">
        <v>45756.612500000003</v>
      </c>
      <c r="L1107" s="1" t="s">
        <v>19</v>
      </c>
      <c r="M1107" s="1" t="str">
        <f>_xlfn.XLOOKUP(I1107,Parâmetros!A:A,Parâmetros!B:B,_xlfn.XLOOKUP(Q1107,Parâmetros!F:F,Parâmetros!G:G,"NOVA MENSAGEM"))</f>
        <v>CONTRATO FORNECEDOR</v>
      </c>
      <c r="N1107" s="1" t="str">
        <f>_xlfn.XLOOKUP(M1107,Parâmetros!K:K,Parâmetros!L:L,"")</f>
        <v>CONTRATO INATIVO OU DIVERGENTE</v>
      </c>
      <c r="O1107" s="1" t="str">
        <f>_xlfn.XLOOKUP(M1107,Parâmetros!B:B,Parâmetros!C:C,_xlfn.XLOOKUP(Base!M1106,Parâmetros!G:G,Parâmetros!H:H))</f>
        <v>SISTEMA</v>
      </c>
      <c r="P1107" s="1" t="str">
        <f>_xlfn.XLOOKUP(I1107,Parâmetros!A:A,Parâmetros!D:D,_xlfn.XLOOKUP(Q1107,Parâmetros!F:F,Parâmetros!I:I))</f>
        <v>OPERAÇÕES / SUPORTE KCS</v>
      </c>
      <c r="Q1107" s="1">
        <f t="shared" si="35"/>
        <v>43</v>
      </c>
    </row>
    <row r="1108" spans="1:17" x14ac:dyDescent="0.25">
      <c r="A1108" s="1" t="str">
        <f>_xlfn.XLOOKUP(D1108,'Novo relatório'!B:B,'Novo relatório'!C:C,"RESOLVIDO")</f>
        <v>GOVER</v>
      </c>
      <c r="C1108" t="str">
        <f t="shared" si="34"/>
        <v>PENDENTE</v>
      </c>
      <c r="D1108" s="1">
        <v>3308208</v>
      </c>
      <c r="E1108" s="1" t="s">
        <v>24</v>
      </c>
      <c r="F1108" s="2">
        <v>45441.552777777775</v>
      </c>
      <c r="G1108" s="1">
        <v>379099</v>
      </c>
      <c r="H1108" s="1" t="s">
        <v>1919</v>
      </c>
      <c r="I1108" s="1" t="s">
        <v>213</v>
      </c>
      <c r="J1108" s="2">
        <v>45734.640277777777</v>
      </c>
      <c r="K1108" s="2">
        <v>45756.612500000003</v>
      </c>
      <c r="L1108" s="1" t="s">
        <v>19</v>
      </c>
      <c r="M1108" s="1" t="str">
        <f>_xlfn.XLOOKUP(I1108,Parâmetros!A:A,Parâmetros!B:B,_xlfn.XLOOKUP(Q1108,Parâmetros!F:F,Parâmetros!G:G,"NOVA MENSAGEM"))</f>
        <v>CONTRATO FORNECEDOR</v>
      </c>
      <c r="N1108" s="1" t="str">
        <f>_xlfn.XLOOKUP(M1108,Parâmetros!K:K,Parâmetros!L:L,"")</f>
        <v>CONTRATO INATIVO OU DIVERGENTE</v>
      </c>
      <c r="O1108" s="1" t="str">
        <f>_xlfn.XLOOKUP(M1108,Parâmetros!B:B,Parâmetros!C:C,_xlfn.XLOOKUP(Base!M1107,Parâmetros!G:G,Parâmetros!H:H))</f>
        <v>SISTEMA</v>
      </c>
      <c r="P1108" s="1" t="str">
        <f>_xlfn.XLOOKUP(I1108,Parâmetros!A:A,Parâmetros!D:D,_xlfn.XLOOKUP(Q1108,Parâmetros!F:F,Parâmetros!I:I))</f>
        <v>OPERAÇÕES / SUPORTE KCS</v>
      </c>
      <c r="Q1108" s="1">
        <f t="shared" si="35"/>
        <v>55</v>
      </c>
    </row>
    <row r="1109" spans="1:17" x14ac:dyDescent="0.25">
      <c r="A1109" s="1" t="str">
        <f>_xlfn.XLOOKUP(D1109,'Novo relatório'!B:B,'Novo relatório'!C:C,"RESOLVIDO")</f>
        <v>GOVER</v>
      </c>
      <c r="C1109" t="str">
        <f t="shared" si="34"/>
        <v>PENDENTE</v>
      </c>
      <c r="D1109" s="1">
        <v>3308209</v>
      </c>
      <c r="E1109" s="1" t="s">
        <v>24</v>
      </c>
      <c r="F1109" s="2">
        <v>45103.459722222222</v>
      </c>
      <c r="G1109" s="1">
        <v>4119701</v>
      </c>
      <c r="H1109" s="1" t="s">
        <v>1920</v>
      </c>
      <c r="I1109" s="1" t="s">
        <v>242</v>
      </c>
      <c r="J1109" s="2">
        <v>45734.64166666667</v>
      </c>
      <c r="K1109" s="2">
        <v>45756.614583333336</v>
      </c>
      <c r="L1109" s="1" t="s">
        <v>19</v>
      </c>
      <c r="M1109" s="1" t="str">
        <f>_xlfn.XLOOKUP(I1109,Parâmetros!A:A,Parâmetros!B:B,_xlfn.XLOOKUP(Q1109,Parâmetros!F:F,Parâmetros!G:G,"NOVA MENSAGEM"))</f>
        <v>CONTRATO FORNECEDOR</v>
      </c>
      <c r="N1109" s="1" t="str">
        <f>_xlfn.XLOOKUP(M1109,Parâmetros!K:K,Parâmetros!L:L,"")</f>
        <v>CONTRATO INATIVO OU DIVERGENTE</v>
      </c>
      <c r="O1109" s="1" t="str">
        <f>_xlfn.XLOOKUP(M1109,Parâmetros!B:B,Parâmetros!C:C,_xlfn.XLOOKUP(Base!M1108,Parâmetros!G:G,Parâmetros!H:H))</f>
        <v>SISTEMA</v>
      </c>
      <c r="P1109" s="1" t="str">
        <f>_xlfn.XLOOKUP(I1109,Parâmetros!A:A,Parâmetros!D:D,_xlfn.XLOOKUP(Q1109,Parâmetros!F:F,Parâmetros!I:I))</f>
        <v>OPERAÇÕES / SUPORTE KCS</v>
      </c>
      <c r="Q1109" s="1">
        <f t="shared" si="35"/>
        <v>43</v>
      </c>
    </row>
    <row r="1110" spans="1:17" x14ac:dyDescent="0.25">
      <c r="A1110" s="1" t="str">
        <f>_xlfn.XLOOKUP(D1110,'Novo relatório'!B:B,'Novo relatório'!C:C,"RESOLVIDO")</f>
        <v>GOVER</v>
      </c>
      <c r="C1110" t="str">
        <f t="shared" si="34"/>
        <v>PENDENTE</v>
      </c>
      <c r="D1110" s="1">
        <v>3308210</v>
      </c>
      <c r="E1110" s="1" t="s">
        <v>24</v>
      </c>
      <c r="F1110" s="2">
        <v>45215.436111111114</v>
      </c>
      <c r="G1110" s="1">
        <v>4205297</v>
      </c>
      <c r="H1110" s="1" t="s">
        <v>1921</v>
      </c>
      <c r="I1110" s="1" t="s">
        <v>247</v>
      </c>
      <c r="J1110" s="2">
        <v>45734.64166666667</v>
      </c>
      <c r="K1110" s="2">
        <v>45756.615277777775</v>
      </c>
      <c r="L1110" s="1" t="s">
        <v>19</v>
      </c>
      <c r="M1110" s="1" t="str">
        <f>_xlfn.XLOOKUP(I1110,Parâmetros!A:A,Parâmetros!B:B,_xlfn.XLOOKUP(Q1110,Parâmetros!F:F,Parâmetros!G:G,"NOVA MENSAGEM"))</f>
        <v>CONTRATO FORNECEDOR</v>
      </c>
      <c r="N1110" s="1" t="str">
        <f>_xlfn.XLOOKUP(M1110,Parâmetros!K:K,Parâmetros!L:L,"")</f>
        <v>CONTRATO INATIVO OU DIVERGENTE</v>
      </c>
      <c r="O1110" s="1" t="str">
        <f>_xlfn.XLOOKUP(M1110,Parâmetros!B:B,Parâmetros!C:C,_xlfn.XLOOKUP(Base!M1109,Parâmetros!G:G,Parâmetros!H:H))</f>
        <v>SISTEMA</v>
      </c>
      <c r="P1110" s="1" t="str">
        <f>_xlfn.XLOOKUP(I1110,Parâmetros!A:A,Parâmetros!D:D,_xlfn.XLOOKUP(Q1110,Parâmetros!F:F,Parâmetros!I:I))</f>
        <v>OPERAÇÕES / SUPORTE KCS</v>
      </c>
      <c r="Q1110" s="1">
        <f t="shared" si="35"/>
        <v>55</v>
      </c>
    </row>
    <row r="1111" spans="1:17" x14ac:dyDescent="0.25">
      <c r="A1111" s="1" t="str">
        <f>_xlfn.XLOOKUP(D1111,'Novo relatório'!B:B,'Novo relatório'!C:C,"RESOLVIDO")</f>
        <v>GOVER</v>
      </c>
      <c r="C1111" t="str">
        <f t="shared" si="34"/>
        <v>PENDENTE</v>
      </c>
      <c r="D1111" s="1">
        <v>3308211</v>
      </c>
      <c r="E1111" s="1" t="s">
        <v>24</v>
      </c>
      <c r="F1111" s="2">
        <v>45533.37777777778</v>
      </c>
      <c r="G1111" s="1">
        <v>4397871</v>
      </c>
      <c r="H1111" s="1">
        <v>15377664</v>
      </c>
      <c r="I1111" s="1" t="s">
        <v>317</v>
      </c>
      <c r="J1111" s="2">
        <v>45734.642361111109</v>
      </c>
      <c r="K1111" s="2">
        <v>45756.615277777775</v>
      </c>
      <c r="L1111" s="1" t="s">
        <v>14</v>
      </c>
      <c r="M1111" s="1" t="str">
        <f>_xlfn.XLOOKUP(I1111,Parâmetros!A:A,Parâmetros!B:B,_xlfn.XLOOKUP(Q1111,Parâmetros!F:F,Parâmetros!G:G,"NOVA MENSAGEM"))</f>
        <v>CANAL DE VENDA NÃO IDENTIFICADO</v>
      </c>
      <c r="N1111" s="1" t="str">
        <f>_xlfn.XLOOKUP(M1111,Parâmetros!K:K,Parâmetros!L:L,"")</f>
        <v/>
      </c>
      <c r="O1111" s="1" t="str">
        <f>_xlfn.XLOOKUP(M1111,Parâmetros!B:B,Parâmetros!C:C,_xlfn.XLOOKUP(Base!M1110,Parâmetros!G:G,Parâmetros!H:H))</f>
        <v>INDEFINIDO</v>
      </c>
      <c r="P1111" s="1" t="str">
        <f>_xlfn.XLOOKUP(I1111,Parâmetros!A:A,Parâmetros!D:D,_xlfn.XLOOKUP(Q1111,Parâmetros!F:F,Parâmetros!I:I))</f>
        <v>OPERAÇÕES / SUPORTE KCS</v>
      </c>
      <c r="Q1111" s="1" t="str">
        <f t="shared" si="35"/>
        <v>COLUNA I</v>
      </c>
    </row>
    <row r="1112" spans="1:17" x14ac:dyDescent="0.25">
      <c r="A1112" s="1" t="str">
        <f>_xlfn.XLOOKUP(D1112,'Novo relatório'!B:B,'Novo relatório'!C:C,"RESOLVIDO")</f>
        <v>GOVER</v>
      </c>
      <c r="C1112" t="str">
        <f t="shared" si="34"/>
        <v>PENDENTE</v>
      </c>
      <c r="D1112" s="1">
        <v>3308212</v>
      </c>
      <c r="E1112" s="1" t="s">
        <v>24</v>
      </c>
      <c r="F1112" s="2">
        <v>45534.643750000003</v>
      </c>
      <c r="G1112" s="1">
        <v>4398960</v>
      </c>
      <c r="H1112" s="1">
        <v>15403154</v>
      </c>
      <c r="I1112" s="1" t="s">
        <v>317</v>
      </c>
      <c r="J1112" s="2">
        <v>45734.642361111109</v>
      </c>
      <c r="K1112" s="2">
        <v>45756.615277777775</v>
      </c>
      <c r="L1112" s="1" t="s">
        <v>14</v>
      </c>
      <c r="M1112" s="1" t="str">
        <f>_xlfn.XLOOKUP(I1112,Parâmetros!A:A,Parâmetros!B:B,_xlfn.XLOOKUP(Q1112,Parâmetros!F:F,Parâmetros!G:G,"NOVA MENSAGEM"))</f>
        <v>CANAL DE VENDA NÃO IDENTIFICADO</v>
      </c>
      <c r="N1112" s="1" t="str">
        <f>_xlfn.XLOOKUP(M1112,Parâmetros!K:K,Parâmetros!L:L,"")</f>
        <v/>
      </c>
      <c r="O1112" s="1" t="str">
        <f>_xlfn.XLOOKUP(M1112,Parâmetros!B:B,Parâmetros!C:C,_xlfn.XLOOKUP(Base!M1111,Parâmetros!G:G,Parâmetros!H:H))</f>
        <v>INDEFINIDO</v>
      </c>
      <c r="P1112" s="1" t="str">
        <f>_xlfn.XLOOKUP(I1112,Parâmetros!A:A,Parâmetros!D:D,_xlfn.XLOOKUP(Q1112,Parâmetros!F:F,Parâmetros!I:I))</f>
        <v>OPERAÇÕES / SUPORTE KCS</v>
      </c>
      <c r="Q1112" s="1" t="str">
        <f t="shared" si="35"/>
        <v>COLUNA I</v>
      </c>
    </row>
    <row r="1113" spans="1:17" x14ac:dyDescent="0.25">
      <c r="A1113" s="1" t="str">
        <f>_xlfn.XLOOKUP(D1113,'Novo relatório'!B:B,'Novo relatório'!C:C,"RESOLVIDO")</f>
        <v>GOVER</v>
      </c>
      <c r="C1113" t="str">
        <f t="shared" si="34"/>
        <v>PENDENTE</v>
      </c>
      <c r="D1113" s="1">
        <v>3308213</v>
      </c>
      <c r="E1113" s="1" t="s">
        <v>24</v>
      </c>
      <c r="F1113" s="2">
        <v>45534.70416666667</v>
      </c>
      <c r="G1113" s="1">
        <v>4399068</v>
      </c>
      <c r="H1113" s="1">
        <v>15405832</v>
      </c>
      <c r="I1113" s="1" t="s">
        <v>317</v>
      </c>
      <c r="J1113" s="2">
        <v>45734.642361111109</v>
      </c>
      <c r="K1113" s="2">
        <v>45756.615277777775</v>
      </c>
      <c r="L1113" s="1" t="s">
        <v>14</v>
      </c>
      <c r="M1113" s="1" t="str">
        <f>_xlfn.XLOOKUP(I1113,Parâmetros!A:A,Parâmetros!B:B,_xlfn.XLOOKUP(Q1113,Parâmetros!F:F,Parâmetros!G:G,"NOVA MENSAGEM"))</f>
        <v>CANAL DE VENDA NÃO IDENTIFICADO</v>
      </c>
      <c r="N1113" s="1" t="str">
        <f>_xlfn.XLOOKUP(M1113,Parâmetros!K:K,Parâmetros!L:L,"")</f>
        <v/>
      </c>
      <c r="O1113" s="1" t="str">
        <f>_xlfn.XLOOKUP(M1113,Parâmetros!B:B,Parâmetros!C:C,_xlfn.XLOOKUP(Base!M1112,Parâmetros!G:G,Parâmetros!H:H))</f>
        <v>INDEFINIDO</v>
      </c>
      <c r="P1113" s="1" t="str">
        <f>_xlfn.XLOOKUP(I1113,Parâmetros!A:A,Parâmetros!D:D,_xlfn.XLOOKUP(Q1113,Parâmetros!F:F,Parâmetros!I:I))</f>
        <v>OPERAÇÕES / SUPORTE KCS</v>
      </c>
      <c r="Q1113" s="1" t="str">
        <f t="shared" si="35"/>
        <v>COLUNA I</v>
      </c>
    </row>
    <row r="1114" spans="1:17" x14ac:dyDescent="0.25">
      <c r="A1114" s="1" t="str">
        <f>_xlfn.XLOOKUP(D1114,'Novo relatório'!B:B,'Novo relatório'!C:C,"RESOLVIDO")</f>
        <v>GOVER</v>
      </c>
      <c r="C1114" t="str">
        <f t="shared" si="34"/>
        <v>PENDENTE</v>
      </c>
      <c r="D1114" s="1">
        <v>3308214</v>
      </c>
      <c r="E1114" s="1" t="s">
        <v>24</v>
      </c>
      <c r="F1114" s="2">
        <v>45541.534722222219</v>
      </c>
      <c r="G1114" s="1">
        <v>4403232</v>
      </c>
      <c r="H1114" s="1">
        <v>15495281</v>
      </c>
      <c r="I1114" s="1" t="s">
        <v>317</v>
      </c>
      <c r="J1114" s="2">
        <v>45734.642361111109</v>
      </c>
      <c r="K1114" s="2">
        <v>45756.615277777775</v>
      </c>
      <c r="L1114" s="1" t="s">
        <v>14</v>
      </c>
      <c r="M1114" s="1" t="str">
        <f>_xlfn.XLOOKUP(I1114,Parâmetros!A:A,Parâmetros!B:B,_xlfn.XLOOKUP(Q1114,Parâmetros!F:F,Parâmetros!G:G,"NOVA MENSAGEM"))</f>
        <v>CANAL DE VENDA NÃO IDENTIFICADO</v>
      </c>
      <c r="N1114" s="1" t="str">
        <f>_xlfn.XLOOKUP(M1114,Parâmetros!K:K,Parâmetros!L:L,"")</f>
        <v/>
      </c>
      <c r="O1114" s="1" t="str">
        <f>_xlfn.XLOOKUP(M1114,Parâmetros!B:B,Parâmetros!C:C,_xlfn.XLOOKUP(Base!M1113,Parâmetros!G:G,Parâmetros!H:H))</f>
        <v>INDEFINIDO</v>
      </c>
      <c r="P1114" s="1" t="str">
        <f>_xlfn.XLOOKUP(I1114,Parâmetros!A:A,Parâmetros!D:D,_xlfn.XLOOKUP(Q1114,Parâmetros!F:F,Parâmetros!I:I))</f>
        <v>OPERAÇÕES / SUPORTE KCS</v>
      </c>
      <c r="Q1114" s="1" t="str">
        <f t="shared" si="35"/>
        <v>COLUNA I</v>
      </c>
    </row>
    <row r="1115" spans="1:17" x14ac:dyDescent="0.25">
      <c r="A1115" s="1" t="str">
        <f>_xlfn.XLOOKUP(D1115,'Novo relatório'!B:B,'Novo relatório'!C:C,"RESOLVIDO")</f>
        <v>SABRE</v>
      </c>
      <c r="C1115" t="str">
        <f t="shared" si="34"/>
        <v>PENDENTE</v>
      </c>
      <c r="D1115" s="1">
        <v>3308383</v>
      </c>
      <c r="E1115" s="1" t="s">
        <v>26</v>
      </c>
      <c r="F1115" s="2">
        <v>45734.590277777781</v>
      </c>
      <c r="G1115" s="1" t="s">
        <v>1851</v>
      </c>
      <c r="H1115" s="1" t="s">
        <v>1852</v>
      </c>
      <c r="I1115" s="1" t="s">
        <v>64</v>
      </c>
      <c r="J1115" s="2">
        <v>45734.681250000001</v>
      </c>
      <c r="L1115" s="1" t="s">
        <v>1244</v>
      </c>
      <c r="M1115" s="1" t="str">
        <f>_xlfn.XLOOKUP(I1115,Parâmetros!A:A,Parâmetros!B:B,_xlfn.XLOOKUP(Q1115,Parâmetros!F:F,Parâmetros!G:G,"NOVA MENSAGEM"))</f>
        <v>FORMATO DE TEXTO</v>
      </c>
      <c r="N1115" s="1" t="str">
        <f>_xlfn.XLOOKUP(M1115,Parâmetros!K:K,Parâmetros!L:L,"")</f>
        <v>TEXTO FORA DO PADRÃO ACEITO NO CAMPO</v>
      </c>
      <c r="O1115" s="1" t="str">
        <f>_xlfn.XLOOKUP(M1115,Parâmetros!B:B,Parâmetros!C:C,_xlfn.XLOOKUP(Base!M1114,Parâmetros!G:G,Parâmetros!H:H))</f>
        <v>INDEFINIDO</v>
      </c>
      <c r="P1115" s="1" t="str">
        <f>_xlfn.XLOOKUP(I1115,Parâmetros!A:A,Parâmetros!D:D,_xlfn.XLOOKUP(Q1115,Parâmetros!F:F,Parâmetros!I:I))</f>
        <v>SUPORTE OBT</v>
      </c>
      <c r="Q1115" s="1" t="str">
        <f t="shared" si="35"/>
        <v>COLUNA I</v>
      </c>
    </row>
    <row r="1116" spans="1:17" x14ac:dyDescent="0.25">
      <c r="A1116" s="1" t="str">
        <f>_xlfn.XLOOKUP(D1116,'Novo relatório'!B:B,'Novo relatório'!C:C,"RESOLVIDO")</f>
        <v>SABRE</v>
      </c>
      <c r="C1116" t="str">
        <f t="shared" si="34"/>
        <v>PENDENTE</v>
      </c>
      <c r="D1116" s="1">
        <v>3309001</v>
      </c>
      <c r="E1116" s="1" t="s">
        <v>26</v>
      </c>
      <c r="F1116" s="2">
        <v>45735.489583333336</v>
      </c>
      <c r="G1116" s="1" t="s">
        <v>1756</v>
      </c>
      <c r="H1116" s="1" t="s">
        <v>1756</v>
      </c>
      <c r="I1116" s="1" t="s">
        <v>1060</v>
      </c>
      <c r="J1116" s="2">
        <v>45734.78402777778</v>
      </c>
      <c r="K1116" s="2">
        <v>45735.575694444444</v>
      </c>
      <c r="L1116" s="1" t="s">
        <v>18</v>
      </c>
      <c r="M1116" s="1" t="str">
        <f>_xlfn.XLOOKUP(I1116,Parâmetros!A:A,Parâmetros!B:B,_xlfn.XLOOKUP(Q1116,Parâmetros!F:F,Parâmetros!G:G,"NOVA MENSAGEM"))</f>
        <v>CÓD. CLIENTE DIVERGENTE</v>
      </c>
      <c r="N1116" s="1" t="str">
        <f>_xlfn.XLOOKUP(M1116,Parâmetros!K:K,Parâmetros!L:L,"")</f>
        <v>CÓDIGO DIFERENTE DO CADASTRADO NO BENNER (CLIENTE X GRUPO)</v>
      </c>
      <c r="O1116" s="1" t="str">
        <f>_xlfn.XLOOKUP(M1116,Parâmetros!B:B,Parâmetros!C:C,_xlfn.XLOOKUP(Base!M1115,Parâmetros!G:G,Parâmetros!H:H))</f>
        <v>QUALIDADE DOS DADOS</v>
      </c>
      <c r="P1116" s="1" t="str">
        <f>_xlfn.XLOOKUP(I1116,Parâmetros!A:A,Parâmetros!D:D,_xlfn.XLOOKUP(Q1116,Parâmetros!F:F,Parâmetros!I:I))</f>
        <v>SUPORTE OBT</v>
      </c>
      <c r="Q1116" s="1">
        <f t="shared" si="35"/>
        <v>1</v>
      </c>
    </row>
    <row r="1117" spans="1:17" x14ac:dyDescent="0.25">
      <c r="A1117" s="1" t="str">
        <f>_xlfn.XLOOKUP(D1117,'Novo relatório'!B:B,'Novo relatório'!C:C,"RESOLVIDO")</f>
        <v>SABRE</v>
      </c>
      <c r="C1117" t="str">
        <f t="shared" si="34"/>
        <v>PENDENTE</v>
      </c>
      <c r="D1117" s="1">
        <v>3309006</v>
      </c>
      <c r="E1117" s="1" t="s">
        <v>26</v>
      </c>
      <c r="F1117" s="2">
        <v>45735.489583333336</v>
      </c>
      <c r="G1117" s="1" t="s">
        <v>1714</v>
      </c>
      <c r="H1117" s="1" t="s">
        <v>1714</v>
      </c>
      <c r="I1117" s="1" t="s">
        <v>1054</v>
      </c>
      <c r="J1117" s="2">
        <v>45734.784722222219</v>
      </c>
      <c r="K1117" s="2">
        <v>45735.575694444444</v>
      </c>
      <c r="L1117" s="1" t="s">
        <v>18</v>
      </c>
      <c r="M1117" s="1" t="str">
        <f>_xlfn.XLOOKUP(I1117,Parâmetros!A:A,Parâmetros!B:B,_xlfn.XLOOKUP(Q1117,Parâmetros!F:F,Parâmetros!G:G,"NOVA MENSAGEM"))</f>
        <v>CÓD. CLIENTE DIVERGENTE</v>
      </c>
      <c r="N1117" s="1" t="str">
        <f>_xlfn.XLOOKUP(M1117,Parâmetros!K:K,Parâmetros!L:L,"")</f>
        <v>CÓDIGO DIFERENTE DO CADASTRADO NO BENNER (CLIENTE X GRUPO)</v>
      </c>
      <c r="O1117" s="1" t="str">
        <f>_xlfn.XLOOKUP(M1117,Parâmetros!B:B,Parâmetros!C:C,_xlfn.XLOOKUP(Base!M1116,Parâmetros!G:G,Parâmetros!H:H))</f>
        <v>QUALIDADE DOS DADOS</v>
      </c>
      <c r="P1117" s="1" t="str">
        <f>_xlfn.XLOOKUP(I1117,Parâmetros!A:A,Parâmetros!D:D,_xlfn.XLOOKUP(Q1117,Parâmetros!F:F,Parâmetros!I:I))</f>
        <v>SUPORTE OBT</v>
      </c>
      <c r="Q1117" s="1">
        <f t="shared" si="35"/>
        <v>1</v>
      </c>
    </row>
    <row r="1118" spans="1:17" x14ac:dyDescent="0.25">
      <c r="A1118" s="1" t="str">
        <f>_xlfn.XLOOKUP(D1118,'Novo relatório'!B:B,'Novo relatório'!C:C,"RESOLVIDO")</f>
        <v>SABRE</v>
      </c>
      <c r="C1118" t="str">
        <f t="shared" si="34"/>
        <v>PENDENTE</v>
      </c>
      <c r="D1118" s="1">
        <v>3309022</v>
      </c>
      <c r="E1118" s="1" t="s">
        <v>26</v>
      </c>
      <c r="F1118" s="2">
        <v>45734.696527777778</v>
      </c>
      <c r="G1118" s="1" t="s">
        <v>1692</v>
      </c>
      <c r="H1118" s="1" t="s">
        <v>1692</v>
      </c>
      <c r="I1118" s="1" t="s">
        <v>83</v>
      </c>
      <c r="J1118" s="2">
        <v>45734.786805555559</v>
      </c>
      <c r="L1118" s="1" t="s">
        <v>18</v>
      </c>
      <c r="M1118" s="1" t="str">
        <f>_xlfn.XLOOKUP(I1118,Parâmetros!A:A,Parâmetros!B:B,_xlfn.XLOOKUP(Q1118,Parâmetros!F:F,Parâmetros!G:G,"NOVA MENSAGEM"))</f>
        <v>CLIENTE NÃO IDENTIFICADO</v>
      </c>
      <c r="N1118" s="1" t="str">
        <f>_xlfn.XLOOKUP(M1118,Parâmetros!K:K,Parâmetros!L:L,"")</f>
        <v>DK DE CLIENTE NÃO PREENCIDO / CLIENTE NÃO CONFIGURADO NO OBT</v>
      </c>
      <c r="O1118" s="1" t="str">
        <f>_xlfn.XLOOKUP(M1118,Parâmetros!B:B,Parâmetros!C:C,_xlfn.XLOOKUP(Base!M1117,Parâmetros!G:G,Parâmetros!H:H))</f>
        <v>INDEFINIDO</v>
      </c>
      <c r="P1118" s="1" t="str">
        <f>_xlfn.XLOOKUP(I1118,Parâmetros!A:A,Parâmetros!D:D,_xlfn.XLOOKUP(Q1118,Parâmetros!F:F,Parâmetros!I:I))</f>
        <v>OPERAÇÕES / SUPORTE KCS</v>
      </c>
      <c r="Q1118" s="1" t="str">
        <f t="shared" si="35"/>
        <v>COLUNA I</v>
      </c>
    </row>
    <row r="1119" spans="1:17" x14ac:dyDescent="0.25">
      <c r="A1119" s="1" t="str">
        <f>_xlfn.XLOOKUP(D1119,'Novo relatório'!B:B,'Novo relatório'!C:C,"RESOLVIDO")</f>
        <v>SABRE</v>
      </c>
      <c r="C1119" t="str">
        <f t="shared" si="34"/>
        <v>PENDENTE</v>
      </c>
      <c r="D1119" s="1">
        <v>3309026</v>
      </c>
      <c r="E1119" s="1" t="s">
        <v>26</v>
      </c>
      <c r="F1119" s="2">
        <v>45735.489583333336</v>
      </c>
      <c r="G1119" s="1" t="s">
        <v>1806</v>
      </c>
      <c r="H1119" s="1" t="s">
        <v>1806</v>
      </c>
      <c r="I1119" s="1" t="s">
        <v>1054</v>
      </c>
      <c r="J1119" s="2">
        <v>45734.786805555559</v>
      </c>
      <c r="K1119" s="2">
        <v>45735.575694444444</v>
      </c>
      <c r="L1119" s="1" t="s">
        <v>18</v>
      </c>
      <c r="M1119" s="1" t="str">
        <f>_xlfn.XLOOKUP(I1119,Parâmetros!A:A,Parâmetros!B:B,_xlfn.XLOOKUP(Q1119,Parâmetros!F:F,Parâmetros!G:G,"NOVA MENSAGEM"))</f>
        <v>CÓD. CLIENTE DIVERGENTE</v>
      </c>
      <c r="N1119" s="1" t="str">
        <f>_xlfn.XLOOKUP(M1119,Parâmetros!K:K,Parâmetros!L:L,"")</f>
        <v>CÓDIGO DIFERENTE DO CADASTRADO NO BENNER (CLIENTE X GRUPO)</v>
      </c>
      <c r="O1119" s="1" t="str">
        <f>_xlfn.XLOOKUP(M1119,Parâmetros!B:B,Parâmetros!C:C,_xlfn.XLOOKUP(Base!M1118,Parâmetros!G:G,Parâmetros!H:H))</f>
        <v>QUALIDADE DOS DADOS</v>
      </c>
      <c r="P1119" s="1" t="str">
        <f>_xlfn.XLOOKUP(I1119,Parâmetros!A:A,Parâmetros!D:D,_xlfn.XLOOKUP(Q1119,Parâmetros!F:F,Parâmetros!I:I))</f>
        <v>SUPORTE OBT</v>
      </c>
      <c r="Q1119" s="1">
        <f t="shared" si="35"/>
        <v>1</v>
      </c>
    </row>
    <row r="1120" spans="1:17" x14ac:dyDescent="0.25">
      <c r="A1120" s="1" t="str">
        <f>_xlfn.XLOOKUP(D1120,'Novo relatório'!B:B,'Novo relatório'!C:C,"RESOLVIDO")</f>
        <v>SABRE</v>
      </c>
      <c r="C1120" t="str">
        <f t="shared" si="34"/>
        <v>PENDENTE</v>
      </c>
      <c r="D1120" s="1">
        <v>3309035</v>
      </c>
      <c r="E1120" s="1" t="s">
        <v>26</v>
      </c>
      <c r="F1120" s="2">
        <v>45735.494444444441</v>
      </c>
      <c r="G1120" s="1" t="s">
        <v>1845</v>
      </c>
      <c r="H1120" s="1" t="s">
        <v>1845</v>
      </c>
      <c r="I1120" s="1" t="s">
        <v>1060</v>
      </c>
      <c r="J1120" s="2">
        <v>45734.787499999999</v>
      </c>
      <c r="K1120" s="2">
        <v>45735.586111111108</v>
      </c>
      <c r="L1120" s="1" t="s">
        <v>18</v>
      </c>
      <c r="M1120" s="1" t="str">
        <f>_xlfn.XLOOKUP(I1120,Parâmetros!A:A,Parâmetros!B:B,_xlfn.XLOOKUP(Q1120,Parâmetros!F:F,Parâmetros!G:G,"NOVA MENSAGEM"))</f>
        <v>CÓD. CLIENTE DIVERGENTE</v>
      </c>
      <c r="N1120" s="1" t="str">
        <f>_xlfn.XLOOKUP(M1120,Parâmetros!K:K,Parâmetros!L:L,"")</f>
        <v>CÓDIGO DIFERENTE DO CADASTRADO NO BENNER (CLIENTE X GRUPO)</v>
      </c>
      <c r="O1120" s="1" t="str">
        <f>_xlfn.XLOOKUP(M1120,Parâmetros!B:B,Parâmetros!C:C,_xlfn.XLOOKUP(Base!M1119,Parâmetros!G:G,Parâmetros!H:H))</f>
        <v>QUALIDADE DOS DADOS</v>
      </c>
      <c r="P1120" s="1" t="str">
        <f>_xlfn.XLOOKUP(I1120,Parâmetros!A:A,Parâmetros!D:D,_xlfn.XLOOKUP(Q1120,Parâmetros!F:F,Parâmetros!I:I))</f>
        <v>SUPORTE OBT</v>
      </c>
      <c r="Q1120" s="1">
        <f t="shared" si="35"/>
        <v>1</v>
      </c>
    </row>
    <row r="1121" spans="1:17" x14ac:dyDescent="0.25">
      <c r="A1121" s="1" t="str">
        <f>_xlfn.XLOOKUP(D1121,'Novo relatório'!B:B,'Novo relatório'!C:C,"RESOLVIDO")</f>
        <v>SABRE</v>
      </c>
      <c r="C1121" t="str">
        <f t="shared" si="34"/>
        <v>PENDENTE</v>
      </c>
      <c r="D1121" s="1">
        <v>3309036</v>
      </c>
      <c r="E1121" s="1" t="s">
        <v>26</v>
      </c>
      <c r="F1121" s="2">
        <v>45735.494444444441</v>
      </c>
      <c r="G1121" s="1" t="s">
        <v>1853</v>
      </c>
      <c r="H1121" s="1" t="s">
        <v>1853</v>
      </c>
      <c r="I1121" s="1" t="s">
        <v>1060</v>
      </c>
      <c r="J1121" s="2">
        <v>45734.788194444445</v>
      </c>
      <c r="K1121" s="2">
        <v>45735.586111111108</v>
      </c>
      <c r="L1121" s="1" t="s">
        <v>18</v>
      </c>
      <c r="M1121" s="1" t="str">
        <f>_xlfn.XLOOKUP(I1121,Parâmetros!A:A,Parâmetros!B:B,_xlfn.XLOOKUP(Q1121,Parâmetros!F:F,Parâmetros!G:G,"NOVA MENSAGEM"))</f>
        <v>CÓD. CLIENTE DIVERGENTE</v>
      </c>
      <c r="N1121" s="1" t="str">
        <f>_xlfn.XLOOKUP(M1121,Parâmetros!K:K,Parâmetros!L:L,"")</f>
        <v>CÓDIGO DIFERENTE DO CADASTRADO NO BENNER (CLIENTE X GRUPO)</v>
      </c>
      <c r="O1121" s="1" t="str">
        <f>_xlfn.XLOOKUP(M1121,Parâmetros!B:B,Parâmetros!C:C,_xlfn.XLOOKUP(Base!M1120,Parâmetros!G:G,Parâmetros!H:H))</f>
        <v>QUALIDADE DOS DADOS</v>
      </c>
      <c r="P1121" s="1" t="str">
        <f>_xlfn.XLOOKUP(I1121,Parâmetros!A:A,Parâmetros!D:D,_xlfn.XLOOKUP(Q1121,Parâmetros!F:F,Parâmetros!I:I))</f>
        <v>SUPORTE OBT</v>
      </c>
      <c r="Q1121" s="1">
        <f t="shared" si="35"/>
        <v>1</v>
      </c>
    </row>
    <row r="1122" spans="1:17" x14ac:dyDescent="0.25">
      <c r="A1122" s="1" t="str">
        <f>_xlfn.XLOOKUP(D1122,'Novo relatório'!B:B,'Novo relatório'!C:C,"RESOLVIDO")</f>
        <v>SABRE</v>
      </c>
      <c r="C1122" t="str">
        <f t="shared" si="34"/>
        <v>PENDENTE</v>
      </c>
      <c r="D1122" s="1">
        <v>3309043</v>
      </c>
      <c r="E1122" s="1" t="s">
        <v>26</v>
      </c>
      <c r="F1122" s="2">
        <v>45735.549305555556</v>
      </c>
      <c r="G1122" s="1" t="s">
        <v>1799</v>
      </c>
      <c r="H1122" s="1" t="s">
        <v>1799</v>
      </c>
      <c r="I1122" s="1" t="s">
        <v>1054</v>
      </c>
      <c r="J1122" s="2">
        <v>45734.788194444445</v>
      </c>
      <c r="K1122" s="2">
        <v>45735.638194444444</v>
      </c>
      <c r="L1122" s="1" t="s">
        <v>18</v>
      </c>
      <c r="M1122" s="1" t="str">
        <f>_xlfn.XLOOKUP(I1122,Parâmetros!A:A,Parâmetros!B:B,_xlfn.XLOOKUP(Q1122,Parâmetros!F:F,Parâmetros!G:G,"NOVA MENSAGEM"))</f>
        <v>CÓD. CLIENTE DIVERGENTE</v>
      </c>
      <c r="N1122" s="1" t="str">
        <f>_xlfn.XLOOKUP(M1122,Parâmetros!K:K,Parâmetros!L:L,"")</f>
        <v>CÓDIGO DIFERENTE DO CADASTRADO NO BENNER (CLIENTE X GRUPO)</v>
      </c>
      <c r="O1122" s="1" t="str">
        <f>_xlfn.XLOOKUP(M1122,Parâmetros!B:B,Parâmetros!C:C,_xlfn.XLOOKUP(Base!M1121,Parâmetros!G:G,Parâmetros!H:H))</f>
        <v>QUALIDADE DOS DADOS</v>
      </c>
      <c r="P1122" s="1" t="str">
        <f>_xlfn.XLOOKUP(I1122,Parâmetros!A:A,Parâmetros!D:D,_xlfn.XLOOKUP(Q1122,Parâmetros!F:F,Parâmetros!I:I))</f>
        <v>SUPORTE OBT</v>
      </c>
      <c r="Q1122" s="1">
        <f t="shared" si="35"/>
        <v>1</v>
      </c>
    </row>
    <row r="1123" spans="1:17" x14ac:dyDescent="0.25">
      <c r="A1123" s="1" t="str">
        <f>_xlfn.XLOOKUP(D1123,'Novo relatório'!B:B,'Novo relatório'!C:C,"RESOLVIDO")</f>
        <v>SABRE</v>
      </c>
      <c r="C1123" t="str">
        <f t="shared" si="34"/>
        <v>PENDENTE</v>
      </c>
      <c r="D1123" s="1">
        <v>3309046</v>
      </c>
      <c r="E1123" s="1" t="s">
        <v>26</v>
      </c>
      <c r="F1123" s="2">
        <v>45735.55</v>
      </c>
      <c r="G1123" s="1" t="s">
        <v>1715</v>
      </c>
      <c r="H1123" s="1" t="s">
        <v>1715</v>
      </c>
      <c r="I1123" s="1" t="s">
        <v>1054</v>
      </c>
      <c r="J1123" s="2">
        <v>45734.788888888892</v>
      </c>
      <c r="K1123" s="2">
        <v>45735.638194444444</v>
      </c>
      <c r="L1123" s="1" t="s">
        <v>18</v>
      </c>
      <c r="M1123" s="1" t="str">
        <f>_xlfn.XLOOKUP(I1123,Parâmetros!A:A,Parâmetros!B:B,_xlfn.XLOOKUP(Q1123,Parâmetros!F:F,Parâmetros!G:G,"NOVA MENSAGEM"))</f>
        <v>CÓD. CLIENTE DIVERGENTE</v>
      </c>
      <c r="N1123" s="1" t="str">
        <f>_xlfn.XLOOKUP(M1123,Parâmetros!K:K,Parâmetros!L:L,"")</f>
        <v>CÓDIGO DIFERENTE DO CADASTRADO NO BENNER (CLIENTE X GRUPO)</v>
      </c>
      <c r="O1123" s="1" t="str">
        <f>_xlfn.XLOOKUP(M1123,Parâmetros!B:B,Parâmetros!C:C,_xlfn.XLOOKUP(Base!M1124,Parâmetros!G:G,Parâmetros!H:H))</f>
        <v>QUALIDADE DOS DADOS</v>
      </c>
      <c r="P1123" s="1" t="str">
        <f>_xlfn.XLOOKUP(I1123,Parâmetros!A:A,Parâmetros!D:D,_xlfn.XLOOKUP(Q1123,Parâmetros!F:F,Parâmetros!I:I))</f>
        <v>SUPORTE OBT</v>
      </c>
      <c r="Q1123" s="1">
        <f t="shared" si="35"/>
        <v>1</v>
      </c>
    </row>
    <row r="1124" spans="1:17" x14ac:dyDescent="0.25">
      <c r="A1124" s="1" t="str">
        <f>_xlfn.XLOOKUP(D1124,'Novo relatório'!B:B,'Novo relatório'!C:C,"RESOLVIDO")</f>
        <v>SABRE</v>
      </c>
      <c r="C1124" t="str">
        <f t="shared" si="34"/>
        <v>PENDENTE</v>
      </c>
      <c r="D1124" s="1">
        <v>3309052</v>
      </c>
      <c r="E1124" s="1" t="s">
        <v>26</v>
      </c>
      <c r="F1124" s="2">
        <v>45735.381249999999</v>
      </c>
      <c r="G1124" s="1" t="s">
        <v>1744</v>
      </c>
      <c r="H1124" s="1" t="s">
        <v>1744</v>
      </c>
      <c r="I1124" s="1" t="s">
        <v>408</v>
      </c>
      <c r="J1124" s="2">
        <v>45734.788888888892</v>
      </c>
      <c r="K1124" s="2">
        <v>45735.47152777778</v>
      </c>
      <c r="L1124" s="1" t="s">
        <v>18</v>
      </c>
      <c r="M1124" s="1" t="str">
        <f>_xlfn.XLOOKUP(I1124,Parâmetros!A:A,Parâmetros!B:B,_xlfn.XLOOKUP(Q1124,Parâmetros!F:F,Parâmetros!G:G,"NOVA MENSAGEM"))</f>
        <v>CÓD. CLIENTE DIVERGENTE</v>
      </c>
      <c r="N1124" s="1" t="str">
        <f>_xlfn.XLOOKUP(M1124,Parâmetros!K:K,Parâmetros!L:L,"")</f>
        <v>CÓDIGO DIFERENTE DO CADASTRADO NO BENNER (CLIENTE X GRUPO)</v>
      </c>
      <c r="O1124" s="1" t="str">
        <f>_xlfn.XLOOKUP(M1124,Parâmetros!B:B,Parâmetros!C:C,_xlfn.XLOOKUP(Base!M1123,Parâmetros!G:G,Parâmetros!H:H))</f>
        <v>QUALIDADE DOS DADOS</v>
      </c>
      <c r="P1124" s="1" t="str">
        <f>_xlfn.XLOOKUP(I1124,Parâmetros!A:A,Parâmetros!D:D,_xlfn.XLOOKUP(Q1124,Parâmetros!F:F,Parâmetros!I:I))</f>
        <v>SUPORTE OBT</v>
      </c>
      <c r="Q1124" s="1">
        <f t="shared" si="35"/>
        <v>1</v>
      </c>
    </row>
    <row r="1125" spans="1:17" x14ac:dyDescent="0.25">
      <c r="A1125" s="1" t="str">
        <f>_xlfn.XLOOKUP(D1125,'Novo relatório'!B:B,'Novo relatório'!C:C,"RESOLVIDO")</f>
        <v>SABRE</v>
      </c>
      <c r="C1125" t="str">
        <f t="shared" si="34"/>
        <v>PENDENTE</v>
      </c>
      <c r="D1125" s="1">
        <v>3309053</v>
      </c>
      <c r="E1125" s="1" t="s">
        <v>26</v>
      </c>
      <c r="F1125" s="2">
        <v>45735.55</v>
      </c>
      <c r="G1125" s="1" t="s">
        <v>1817</v>
      </c>
      <c r="H1125" s="1" t="s">
        <v>1817</v>
      </c>
      <c r="I1125" s="1" t="s">
        <v>1060</v>
      </c>
      <c r="J1125" s="2">
        <v>45734.788888888892</v>
      </c>
      <c r="K1125" s="2">
        <v>45735.638194444444</v>
      </c>
      <c r="L1125" s="1" t="s">
        <v>18</v>
      </c>
      <c r="M1125" s="1" t="str">
        <f>_xlfn.XLOOKUP(I1125,Parâmetros!A:A,Parâmetros!B:B,_xlfn.XLOOKUP(Q1125,Parâmetros!F:F,Parâmetros!G:G,"NOVA MENSAGEM"))</f>
        <v>CÓD. CLIENTE DIVERGENTE</v>
      </c>
      <c r="N1125" s="1" t="str">
        <f>_xlfn.XLOOKUP(M1125,Parâmetros!K:K,Parâmetros!L:L,"")</f>
        <v>CÓDIGO DIFERENTE DO CADASTRADO NO BENNER (CLIENTE X GRUPO)</v>
      </c>
      <c r="O1125" s="1" t="str">
        <f>_xlfn.XLOOKUP(M1125,Parâmetros!B:B,Parâmetros!C:C,_xlfn.XLOOKUP(Base!M1125,Parâmetros!G:G,Parâmetros!H:H))</f>
        <v>QUALIDADE DOS DADOS</v>
      </c>
      <c r="P1125" s="1" t="str">
        <f>_xlfn.XLOOKUP(I1125,Parâmetros!A:A,Parâmetros!D:D,_xlfn.XLOOKUP(Q1125,Parâmetros!F:F,Parâmetros!I:I))</f>
        <v>SUPORTE OBT</v>
      </c>
      <c r="Q1125" s="1">
        <f t="shared" si="35"/>
        <v>1</v>
      </c>
    </row>
    <row r="1126" spans="1:17" x14ac:dyDescent="0.25">
      <c r="A1126" s="1" t="str">
        <f>_xlfn.XLOOKUP(D1126,'Novo relatório'!B:B,'Novo relatório'!C:C,"RESOLVIDO")</f>
        <v>SABRE</v>
      </c>
      <c r="C1126" t="str">
        <f t="shared" si="34"/>
        <v>PENDENTE</v>
      </c>
      <c r="D1126" s="1">
        <v>3309054</v>
      </c>
      <c r="E1126" s="1" t="s">
        <v>26</v>
      </c>
      <c r="F1126" s="2">
        <v>45734.696527777778</v>
      </c>
      <c r="G1126" s="1" t="s">
        <v>1871</v>
      </c>
      <c r="H1126" s="1" t="s">
        <v>1871</v>
      </c>
      <c r="I1126" s="1" t="s">
        <v>83</v>
      </c>
      <c r="J1126" s="2">
        <v>45734.788888888892</v>
      </c>
      <c r="L1126" s="1" t="s">
        <v>18</v>
      </c>
      <c r="M1126" s="1" t="str">
        <f>_xlfn.XLOOKUP(I1126,Parâmetros!A:A,Parâmetros!B:B,_xlfn.XLOOKUP(Q1126,Parâmetros!F:F,Parâmetros!G:G,"NOVA MENSAGEM"))</f>
        <v>CLIENTE NÃO IDENTIFICADO</v>
      </c>
      <c r="N1126" s="1" t="str">
        <f>_xlfn.XLOOKUP(M1126,Parâmetros!K:K,Parâmetros!L:L,"")</f>
        <v>DK DE CLIENTE NÃO PREENCIDO / CLIENTE NÃO CONFIGURADO NO OBT</v>
      </c>
      <c r="O1126" s="1" t="str">
        <f>_xlfn.XLOOKUP(M1126,Parâmetros!B:B,Parâmetros!C:C,_xlfn.XLOOKUP(Base!M1122,Parâmetros!G:G,Parâmetros!H:H))</f>
        <v>INDEFINIDO</v>
      </c>
      <c r="P1126" s="1" t="str">
        <f>_xlfn.XLOOKUP(I1126,Parâmetros!A:A,Parâmetros!D:D,_xlfn.XLOOKUP(Q1126,Parâmetros!F:F,Parâmetros!I:I))</f>
        <v>OPERAÇÕES / SUPORTE KCS</v>
      </c>
      <c r="Q1126" s="1" t="str">
        <f t="shared" si="35"/>
        <v>COLUNA I</v>
      </c>
    </row>
    <row r="1127" spans="1:17" x14ac:dyDescent="0.25">
      <c r="A1127" s="1" t="str">
        <f>_xlfn.XLOOKUP(D1127,'Novo relatório'!B:B,'Novo relatório'!C:C,"RESOLVIDO")</f>
        <v>SABRE</v>
      </c>
      <c r="C1127" t="str">
        <f t="shared" si="34"/>
        <v>PENDENTE</v>
      </c>
      <c r="D1127" s="1">
        <v>3309057</v>
      </c>
      <c r="E1127" s="1" t="s">
        <v>26</v>
      </c>
      <c r="F1127" s="2">
        <v>45735.550694444442</v>
      </c>
      <c r="G1127" s="1" t="s">
        <v>1805</v>
      </c>
      <c r="H1127" s="1" t="s">
        <v>1805</v>
      </c>
      <c r="I1127" s="1" t="s">
        <v>1054</v>
      </c>
      <c r="J1127" s="2">
        <v>45734.789583333331</v>
      </c>
      <c r="K1127" s="2">
        <v>45735.638194444444</v>
      </c>
      <c r="L1127" s="1" t="s">
        <v>18</v>
      </c>
      <c r="M1127" s="1" t="str">
        <f>_xlfn.XLOOKUP(I1127,Parâmetros!A:A,Parâmetros!B:B,_xlfn.XLOOKUP(Q1127,Parâmetros!F:F,Parâmetros!G:G,"NOVA MENSAGEM"))</f>
        <v>CÓD. CLIENTE DIVERGENTE</v>
      </c>
      <c r="N1127" s="1" t="str">
        <f>_xlfn.XLOOKUP(M1127,Parâmetros!K:K,Parâmetros!L:L,"")</f>
        <v>CÓDIGO DIFERENTE DO CADASTRADO NO BENNER (CLIENTE X GRUPO)</v>
      </c>
      <c r="O1127" s="1" t="str">
        <f>_xlfn.XLOOKUP(M1127,Parâmetros!B:B,Parâmetros!C:C,_xlfn.XLOOKUP(Base!M1126,Parâmetros!G:G,Parâmetros!H:H))</f>
        <v>QUALIDADE DOS DADOS</v>
      </c>
      <c r="P1127" s="1" t="str">
        <f>_xlfn.XLOOKUP(I1127,Parâmetros!A:A,Parâmetros!D:D,_xlfn.XLOOKUP(Q1127,Parâmetros!F:F,Parâmetros!I:I))</f>
        <v>SUPORTE OBT</v>
      </c>
      <c r="Q1127" s="1">
        <f t="shared" si="35"/>
        <v>1</v>
      </c>
    </row>
    <row r="1128" spans="1:17" x14ac:dyDescent="0.25">
      <c r="A1128" s="1" t="str">
        <f>_xlfn.XLOOKUP(D1128,'Novo relatório'!B:B,'Novo relatório'!C:C,"RESOLVIDO")</f>
        <v>SABRE</v>
      </c>
      <c r="C1128" t="str">
        <f t="shared" si="34"/>
        <v>PENDENTE</v>
      </c>
      <c r="D1128" s="1">
        <v>3309060</v>
      </c>
      <c r="E1128" s="1" t="s">
        <v>26</v>
      </c>
      <c r="F1128" s="2">
        <v>45735.551388888889</v>
      </c>
      <c r="G1128" s="1" t="s">
        <v>1704</v>
      </c>
      <c r="H1128" s="1" t="s">
        <v>1704</v>
      </c>
      <c r="I1128" s="1" t="s">
        <v>1189</v>
      </c>
      <c r="J1128" s="2">
        <v>45734.789583333331</v>
      </c>
      <c r="K1128" s="2">
        <v>45735.638194444444</v>
      </c>
      <c r="L1128" s="1" t="s">
        <v>18</v>
      </c>
      <c r="M1128" s="1" t="str">
        <f>_xlfn.XLOOKUP(I1128,Parâmetros!A:A,Parâmetros!B:B,_xlfn.XLOOKUP(Q1128,Parâmetros!F:F,Parâmetros!G:G,"NOVA MENSAGEM"))</f>
        <v>CÓD. CLIENTE DIVERGENTE</v>
      </c>
      <c r="N1128" s="1" t="str">
        <f>_xlfn.XLOOKUP(M1128,Parâmetros!K:K,Parâmetros!L:L,"")</f>
        <v>CÓDIGO DIFERENTE DO CADASTRADO NO BENNER (CLIENTE X GRUPO)</v>
      </c>
      <c r="O1128" s="1" t="str">
        <f>_xlfn.XLOOKUP(M1128,Parâmetros!B:B,Parâmetros!C:C,_xlfn.XLOOKUP(Base!M1127,Parâmetros!G:G,Parâmetros!H:H))</f>
        <v>QUALIDADE DOS DADOS</v>
      </c>
      <c r="P1128" s="1" t="str">
        <f>_xlfn.XLOOKUP(I1128,Parâmetros!A:A,Parâmetros!D:D,_xlfn.XLOOKUP(Q1128,Parâmetros!F:F,Parâmetros!I:I))</f>
        <v>SUPORTE OBT</v>
      </c>
      <c r="Q1128" s="1">
        <f t="shared" si="35"/>
        <v>1</v>
      </c>
    </row>
    <row r="1129" spans="1:17" x14ac:dyDescent="0.25">
      <c r="A1129" s="1" t="str">
        <f>_xlfn.XLOOKUP(D1129,'Novo relatório'!B:B,'Novo relatório'!C:C,"RESOLVIDO")</f>
        <v>SABRE</v>
      </c>
      <c r="C1129" t="str">
        <f t="shared" si="34"/>
        <v>PENDENTE</v>
      </c>
      <c r="D1129" s="1">
        <v>3309393</v>
      </c>
      <c r="E1129" s="1" t="s">
        <v>26</v>
      </c>
      <c r="F1129" s="2">
        <v>45734.734027777777</v>
      </c>
      <c r="G1129" s="1" t="s">
        <v>1673</v>
      </c>
      <c r="H1129" s="1" t="s">
        <v>1674</v>
      </c>
      <c r="I1129" s="1" t="s">
        <v>64</v>
      </c>
      <c r="J1129" s="2">
        <v>45734.825694444444</v>
      </c>
      <c r="L1129" s="1" t="s">
        <v>1244</v>
      </c>
      <c r="M1129" s="1" t="str">
        <f>_xlfn.XLOOKUP(I1129,Parâmetros!A:A,Parâmetros!B:B,_xlfn.XLOOKUP(Q1129,Parâmetros!F:F,Parâmetros!G:G,"NOVA MENSAGEM"))</f>
        <v>FORMATO DE TEXTO</v>
      </c>
      <c r="N1129" s="1" t="str">
        <f>_xlfn.XLOOKUP(M1129,Parâmetros!K:K,Parâmetros!L:L,"")</f>
        <v>TEXTO FORA DO PADRÃO ACEITO NO CAMPO</v>
      </c>
      <c r="O1129" s="1" t="str">
        <f>_xlfn.XLOOKUP(M1129,Parâmetros!B:B,Parâmetros!C:C,_xlfn.XLOOKUP(Base!M1128,Parâmetros!G:G,Parâmetros!H:H))</f>
        <v>INDEFINIDO</v>
      </c>
      <c r="P1129" s="1" t="str">
        <f>_xlfn.XLOOKUP(I1129,Parâmetros!A:A,Parâmetros!D:D,_xlfn.XLOOKUP(Q1129,Parâmetros!F:F,Parâmetros!I:I))</f>
        <v>SUPORTE OBT</v>
      </c>
      <c r="Q1129" s="1" t="str">
        <f t="shared" si="35"/>
        <v>COLUNA I</v>
      </c>
    </row>
    <row r="1130" spans="1:17" x14ac:dyDescent="0.25">
      <c r="A1130" s="1" t="str">
        <f>_xlfn.XLOOKUP(D1130,'Novo relatório'!B:B,'Novo relatório'!C:C,"RESOLVIDO")</f>
        <v>SABRE</v>
      </c>
      <c r="C1130" t="str">
        <f t="shared" si="34"/>
        <v>PENDENTE</v>
      </c>
      <c r="D1130" s="1">
        <v>3309558</v>
      </c>
      <c r="E1130" s="1" t="s">
        <v>26</v>
      </c>
      <c r="F1130" s="2">
        <v>45734.760416666664</v>
      </c>
      <c r="G1130" s="1" t="s">
        <v>1846</v>
      </c>
      <c r="H1130" s="1" t="s">
        <v>1846</v>
      </c>
      <c r="I1130" s="1" t="s">
        <v>83</v>
      </c>
      <c r="J1130" s="2">
        <v>45734.845833333333</v>
      </c>
      <c r="L1130" s="1" t="s">
        <v>18</v>
      </c>
      <c r="M1130" s="1" t="str">
        <f>_xlfn.XLOOKUP(I1130,Parâmetros!A:A,Parâmetros!B:B,_xlfn.XLOOKUP(Q1130,Parâmetros!F:F,Parâmetros!G:G,"NOVA MENSAGEM"))</f>
        <v>CLIENTE NÃO IDENTIFICADO</v>
      </c>
      <c r="N1130" s="1" t="str">
        <f>_xlfn.XLOOKUP(M1130,Parâmetros!K:K,Parâmetros!L:L,"")</f>
        <v>DK DE CLIENTE NÃO PREENCIDO / CLIENTE NÃO CONFIGURADO NO OBT</v>
      </c>
      <c r="O1130" s="1" t="str">
        <f>_xlfn.XLOOKUP(M1130,Parâmetros!B:B,Parâmetros!C:C,_xlfn.XLOOKUP(Base!M1129,Parâmetros!G:G,Parâmetros!H:H))</f>
        <v>INDEFINIDO</v>
      </c>
      <c r="P1130" s="1" t="str">
        <f>_xlfn.XLOOKUP(I1130,Parâmetros!A:A,Parâmetros!D:D,_xlfn.XLOOKUP(Q1130,Parâmetros!F:F,Parâmetros!I:I))</f>
        <v>OPERAÇÕES / SUPORTE KCS</v>
      </c>
      <c r="Q1130" s="1" t="str">
        <f t="shared" si="35"/>
        <v>COLUNA I</v>
      </c>
    </row>
    <row r="1131" spans="1:17" x14ac:dyDescent="0.25">
      <c r="A1131" s="1" t="str">
        <f>_xlfn.XLOOKUP(D1131,'Novo relatório'!B:B,'Novo relatório'!C:C,"RESOLVIDO")</f>
        <v>SABRE</v>
      </c>
      <c r="C1131" t="str">
        <f t="shared" si="34"/>
        <v>PENDENTE</v>
      </c>
      <c r="D1131" s="1">
        <v>3309560</v>
      </c>
      <c r="E1131" s="1" t="s">
        <v>26</v>
      </c>
      <c r="F1131" s="2">
        <v>45734.760416666664</v>
      </c>
      <c r="G1131" s="1" t="s">
        <v>1699</v>
      </c>
      <c r="H1131" s="1" t="s">
        <v>1699</v>
      </c>
      <c r="I1131" s="1" t="s">
        <v>83</v>
      </c>
      <c r="J1131" s="2">
        <v>45734.84652777778</v>
      </c>
      <c r="L1131" s="1" t="s">
        <v>18</v>
      </c>
      <c r="M1131" s="1" t="str">
        <f>_xlfn.XLOOKUP(I1131,Parâmetros!A:A,Parâmetros!B:B,_xlfn.XLOOKUP(Q1131,Parâmetros!F:F,Parâmetros!G:G,"NOVA MENSAGEM"))</f>
        <v>CLIENTE NÃO IDENTIFICADO</v>
      </c>
      <c r="N1131" s="1" t="str">
        <f>_xlfn.XLOOKUP(M1131,Parâmetros!K:K,Parâmetros!L:L,"")</f>
        <v>DK DE CLIENTE NÃO PREENCIDO / CLIENTE NÃO CONFIGURADO NO OBT</v>
      </c>
      <c r="O1131" s="1" t="str">
        <f>_xlfn.XLOOKUP(M1131,Parâmetros!B:B,Parâmetros!C:C,_xlfn.XLOOKUP(Base!M1130,Parâmetros!G:G,Parâmetros!H:H))</f>
        <v>INDEFINIDO</v>
      </c>
      <c r="P1131" s="1" t="str">
        <f>_xlfn.XLOOKUP(I1131,Parâmetros!A:A,Parâmetros!D:D,_xlfn.XLOOKUP(Q1131,Parâmetros!F:F,Parâmetros!I:I))</f>
        <v>OPERAÇÕES / SUPORTE KCS</v>
      </c>
      <c r="Q1131" s="1" t="str">
        <f t="shared" si="35"/>
        <v>COLUNA I</v>
      </c>
    </row>
    <row r="1132" spans="1:17" x14ac:dyDescent="0.25">
      <c r="A1132" s="1" t="str">
        <f>_xlfn.XLOOKUP(D1132,'Novo relatório'!B:B,'Novo relatório'!C:C,"RESOLVIDO")</f>
        <v>SABRE</v>
      </c>
      <c r="C1132" t="str">
        <f t="shared" si="34"/>
        <v>PENDENTE</v>
      </c>
      <c r="D1132" s="1">
        <v>3309563</v>
      </c>
      <c r="E1132" s="1" t="s">
        <v>26</v>
      </c>
      <c r="F1132" s="2">
        <v>45735.551388888889</v>
      </c>
      <c r="G1132" s="1" t="s">
        <v>1800</v>
      </c>
      <c r="H1132" s="1" t="s">
        <v>1800</v>
      </c>
      <c r="I1132" s="1" t="s">
        <v>1054</v>
      </c>
      <c r="J1132" s="2">
        <v>45734.84652777778</v>
      </c>
      <c r="K1132" s="2">
        <v>45735.638888888891</v>
      </c>
      <c r="L1132" s="1" t="s">
        <v>18</v>
      </c>
      <c r="M1132" s="1" t="str">
        <f>_xlfn.XLOOKUP(I1132,Parâmetros!A:A,Parâmetros!B:B,_xlfn.XLOOKUP(Q1132,Parâmetros!F:F,Parâmetros!G:G,"NOVA MENSAGEM"))</f>
        <v>CÓD. CLIENTE DIVERGENTE</v>
      </c>
      <c r="N1132" s="1" t="str">
        <f>_xlfn.XLOOKUP(M1132,Parâmetros!K:K,Parâmetros!L:L,"")</f>
        <v>CÓDIGO DIFERENTE DO CADASTRADO NO BENNER (CLIENTE X GRUPO)</v>
      </c>
      <c r="O1132" s="1" t="str">
        <f>_xlfn.XLOOKUP(M1132,Parâmetros!B:B,Parâmetros!C:C,_xlfn.XLOOKUP(Base!M1131,Parâmetros!G:G,Parâmetros!H:H))</f>
        <v>QUALIDADE DOS DADOS</v>
      </c>
      <c r="P1132" s="1" t="str">
        <f>_xlfn.XLOOKUP(I1132,Parâmetros!A:A,Parâmetros!D:D,_xlfn.XLOOKUP(Q1132,Parâmetros!F:F,Parâmetros!I:I))</f>
        <v>SUPORTE OBT</v>
      </c>
      <c r="Q1132" s="1">
        <f t="shared" si="35"/>
        <v>1</v>
      </c>
    </row>
    <row r="1133" spans="1:17" x14ac:dyDescent="0.25">
      <c r="A1133" s="1" t="str">
        <f>_xlfn.XLOOKUP(D1133,'Novo relatório'!B:B,'Novo relatório'!C:C,"RESOLVIDO")</f>
        <v>SABRE</v>
      </c>
      <c r="C1133" t="str">
        <f t="shared" si="34"/>
        <v>PENDENTE</v>
      </c>
      <c r="D1133" s="1">
        <v>3309565</v>
      </c>
      <c r="E1133" s="1" t="s">
        <v>26</v>
      </c>
      <c r="F1133" s="2">
        <v>45735.569444444445</v>
      </c>
      <c r="G1133" s="1" t="s">
        <v>1895</v>
      </c>
      <c r="H1133" s="1" t="s">
        <v>1895</v>
      </c>
      <c r="I1133" s="1" t="s">
        <v>83</v>
      </c>
      <c r="J1133" s="2">
        <v>45734.84652777778</v>
      </c>
      <c r="K1133" s="2">
        <v>45735.65902777778</v>
      </c>
      <c r="L1133" s="1" t="s">
        <v>18</v>
      </c>
      <c r="M1133" s="1" t="str">
        <f>_xlfn.XLOOKUP(I1133,Parâmetros!A:A,Parâmetros!B:B,_xlfn.XLOOKUP(Q1133,Parâmetros!F:F,Parâmetros!G:G,"NOVA MENSAGEM"))</f>
        <v>CLIENTE NÃO IDENTIFICADO</v>
      </c>
      <c r="N1133" s="1" t="str">
        <f>_xlfn.XLOOKUP(M1133,Parâmetros!K:K,Parâmetros!L:L,"")</f>
        <v>DK DE CLIENTE NÃO PREENCIDO / CLIENTE NÃO CONFIGURADO NO OBT</v>
      </c>
      <c r="O1133" s="1" t="str">
        <f>_xlfn.XLOOKUP(M1133,Parâmetros!B:B,Parâmetros!C:C,_xlfn.XLOOKUP(Base!M1132,Parâmetros!G:G,Parâmetros!H:H))</f>
        <v>INDEFINIDO</v>
      </c>
      <c r="P1133" s="1" t="str">
        <f>_xlfn.XLOOKUP(I1133,Parâmetros!A:A,Parâmetros!D:D,_xlfn.XLOOKUP(Q1133,Parâmetros!F:F,Parâmetros!I:I))</f>
        <v>OPERAÇÕES / SUPORTE KCS</v>
      </c>
      <c r="Q1133" s="1" t="str">
        <f t="shared" si="35"/>
        <v>COLUNA I</v>
      </c>
    </row>
    <row r="1134" spans="1:17" x14ac:dyDescent="0.25">
      <c r="A1134" s="1" t="str">
        <f>_xlfn.XLOOKUP(D1134,'Novo relatório'!B:B,'Novo relatório'!C:C,"RESOLVIDO")</f>
        <v>SABRE</v>
      </c>
      <c r="C1134" t="str">
        <f t="shared" si="34"/>
        <v>PENDENTE</v>
      </c>
      <c r="D1134" s="1">
        <v>3309574</v>
      </c>
      <c r="E1134" s="1" t="s">
        <v>26</v>
      </c>
      <c r="F1134" s="2">
        <v>45734.760416666664</v>
      </c>
      <c r="G1134" s="1" t="s">
        <v>1841</v>
      </c>
      <c r="H1134" s="1" t="s">
        <v>1841</v>
      </c>
      <c r="I1134" s="1" t="s">
        <v>83</v>
      </c>
      <c r="J1134" s="2">
        <v>45734.847222222219</v>
      </c>
      <c r="L1134" s="1" t="s">
        <v>18</v>
      </c>
      <c r="M1134" s="1" t="str">
        <f>_xlfn.XLOOKUP(I1134,Parâmetros!A:A,Parâmetros!B:B,_xlfn.XLOOKUP(Q1134,Parâmetros!F:F,Parâmetros!G:G,"NOVA MENSAGEM"))</f>
        <v>CLIENTE NÃO IDENTIFICADO</v>
      </c>
      <c r="N1134" s="1" t="str">
        <f>_xlfn.XLOOKUP(M1134,Parâmetros!K:K,Parâmetros!L:L,"")</f>
        <v>DK DE CLIENTE NÃO PREENCIDO / CLIENTE NÃO CONFIGURADO NO OBT</v>
      </c>
      <c r="O1134" s="1" t="str">
        <f>_xlfn.XLOOKUP(M1134,Parâmetros!B:B,Parâmetros!C:C,_xlfn.XLOOKUP(Base!M1133,Parâmetros!G:G,Parâmetros!H:H))</f>
        <v>INDEFINIDO</v>
      </c>
      <c r="P1134" s="1" t="str">
        <f>_xlfn.XLOOKUP(I1134,Parâmetros!A:A,Parâmetros!D:D,_xlfn.XLOOKUP(Q1134,Parâmetros!F:F,Parâmetros!I:I))</f>
        <v>OPERAÇÕES / SUPORTE KCS</v>
      </c>
      <c r="Q1134" s="1" t="str">
        <f t="shared" si="35"/>
        <v>COLUNA I</v>
      </c>
    </row>
    <row r="1135" spans="1:17" x14ac:dyDescent="0.25">
      <c r="A1135" s="1" t="str">
        <f>_xlfn.XLOOKUP(D1135,'Novo relatório'!B:B,'Novo relatório'!C:C,"RESOLVIDO")</f>
        <v>SABRE</v>
      </c>
      <c r="C1135" t="str">
        <f t="shared" si="34"/>
        <v>PENDENTE</v>
      </c>
      <c r="D1135" s="1">
        <v>3310656</v>
      </c>
      <c r="E1135" s="1" t="s">
        <v>26</v>
      </c>
      <c r="F1135" s="2">
        <v>45735.45</v>
      </c>
      <c r="G1135" s="1" t="s">
        <v>1856</v>
      </c>
      <c r="H1135" s="1" t="s">
        <v>1856</v>
      </c>
      <c r="I1135" s="1" t="s">
        <v>1857</v>
      </c>
      <c r="J1135" s="2">
        <v>45735.53402777778</v>
      </c>
      <c r="L1135" s="1" t="s">
        <v>18</v>
      </c>
      <c r="M1135" s="1" t="str">
        <f>_xlfn.XLOOKUP(I1135,Parâmetros!A:A,Parâmetros!B:B,_xlfn.XLOOKUP(Q1135,Parâmetros!F:F,Parâmetros!G:G,"NOVA MENSAGEM"))</f>
        <v>CÓD. CLIENTE DIVERGENTE</v>
      </c>
      <c r="N1135" s="1" t="str">
        <f>_xlfn.XLOOKUP(M1135,Parâmetros!K:K,Parâmetros!L:L,"")</f>
        <v>CÓDIGO DIFERENTE DO CADASTRADO NO BENNER (CLIENTE X GRUPO)</v>
      </c>
      <c r="O1135" s="1" t="str">
        <f>_xlfn.XLOOKUP(M1135,Parâmetros!B:B,Parâmetros!C:C,_xlfn.XLOOKUP(Base!M1134,Parâmetros!G:G,Parâmetros!H:H))</f>
        <v>QUALIDADE DOS DADOS</v>
      </c>
      <c r="P1135" s="1" t="str">
        <f>_xlfn.XLOOKUP(I1135,Parâmetros!A:A,Parâmetros!D:D,_xlfn.XLOOKUP(Q1135,Parâmetros!F:F,Parâmetros!I:I))</f>
        <v>SUPORTE OBT</v>
      </c>
      <c r="Q1135" s="1">
        <f t="shared" si="35"/>
        <v>1</v>
      </c>
    </row>
    <row r="1136" spans="1:17" x14ac:dyDescent="0.25">
      <c r="A1136" s="1" t="str">
        <f>_xlfn.XLOOKUP(D1136,'Novo relatório'!B:B,'Novo relatório'!C:C,"RESOLVIDO")</f>
        <v>RESOLVIDO</v>
      </c>
      <c r="C1136" t="str">
        <f t="shared" si="34"/>
        <v>RESOLVIDO</v>
      </c>
      <c r="D1136" s="1">
        <v>3310891</v>
      </c>
      <c r="E1136" s="1" t="s">
        <v>26</v>
      </c>
      <c r="F1136" s="2">
        <v>45735.756944444445</v>
      </c>
      <c r="G1136" s="1" t="s">
        <v>1689</v>
      </c>
      <c r="H1136" s="1" t="s">
        <v>1689</v>
      </c>
      <c r="I1136" s="1" t="s">
        <v>588</v>
      </c>
      <c r="J1136" s="2">
        <v>45735.555555555555</v>
      </c>
      <c r="K1136" s="2">
        <v>45735.84652777778</v>
      </c>
      <c r="L1136" s="1" t="s">
        <v>14</v>
      </c>
      <c r="M1136" s="1" t="str">
        <f>_xlfn.XLOOKUP(I1136,Parâmetros!A:A,Parâmetros!B:B,_xlfn.XLOOKUP(Q1136,Parâmetros!F:F,Parâmetros!G:G,"NOVA MENSAGEM"))</f>
        <v>ERRO NO XML</v>
      </c>
      <c r="N1136" s="1" t="str">
        <f>_xlfn.XLOOKUP(M1136,Parâmetros!K:K,Parâmetros!L:L,"")</f>
        <v/>
      </c>
      <c r="O1136" s="1" t="str">
        <f>_xlfn.XLOOKUP(M1136,Parâmetros!B:B,Parâmetros!C:C,_xlfn.XLOOKUP(Base!M1135,Parâmetros!G:G,Parâmetros!H:H))</f>
        <v>SISTEMA</v>
      </c>
      <c r="P1136" s="1" t="str">
        <f>_xlfn.XLOOKUP(I1136,Parâmetros!A:A,Parâmetros!D:D,_xlfn.XLOOKUP(Q1136,Parâmetros!F:F,Parâmetros!I:I))</f>
        <v>SUPORTE OBT</v>
      </c>
      <c r="Q1136" s="1" t="str">
        <f t="shared" si="35"/>
        <v>COLUNA I</v>
      </c>
    </row>
    <row r="1137" spans="1:17" x14ac:dyDescent="0.25">
      <c r="A1137" s="1" t="str">
        <f>_xlfn.XLOOKUP(D1137,'Novo relatório'!B:B,'Novo relatório'!C:C,"RESOLVIDO")</f>
        <v>TMS</v>
      </c>
      <c r="C1137" t="str">
        <f t="shared" si="34"/>
        <v>PENDENTE</v>
      </c>
      <c r="D1137" s="1">
        <v>3310899</v>
      </c>
      <c r="E1137" s="1" t="s">
        <v>12</v>
      </c>
      <c r="F1137" s="2">
        <v>45735.390972222223</v>
      </c>
      <c r="G1137" s="1">
        <v>19456</v>
      </c>
      <c r="H1137" s="1">
        <v>19456</v>
      </c>
      <c r="I1137" s="1" t="s">
        <v>1906</v>
      </c>
      <c r="J1137" s="2">
        <v>45735.556944444441</v>
      </c>
      <c r="K1137" s="2">
        <v>45738.810416666667</v>
      </c>
      <c r="L1137" s="1" t="s">
        <v>14</v>
      </c>
      <c r="M1137" s="1" t="str">
        <f>_xlfn.XLOOKUP(I1137,Parâmetros!A:A,Parâmetros!B:B,_xlfn.XLOOKUP(Q1137,Parâmetros!F:F,Parâmetros!G:G,"NOVA MENSAGEM"))</f>
        <v>ASSENTO / BAGAGEM</v>
      </c>
      <c r="N1137" s="1" t="str">
        <f>_xlfn.XLOOKUP(M1137,Parâmetros!K:K,Parâmetros!L:L,"")</f>
        <v>CAMPO OBSERVAÇÃO PREENCHIDO INCORRETAMENTE</v>
      </c>
      <c r="O1137" s="1" t="str">
        <f>_xlfn.XLOOKUP(M1137,Parâmetros!B:B,Parâmetros!C:C,_xlfn.XLOOKUP(Base!M1136,Parâmetros!G:G,Parâmetros!H:H))</f>
        <v>QUALIDADE DOS DADOS</v>
      </c>
      <c r="P1137" s="1" t="str">
        <f>_xlfn.XLOOKUP(I1137,Parâmetros!A:A,Parâmetros!D:D,_xlfn.XLOOKUP(Q1137,Parâmetros!F:F,Parâmetros!I:I))</f>
        <v>OPERAÇÕES / SUPORTE KCS</v>
      </c>
      <c r="Q1137" s="1">
        <f t="shared" si="35"/>
        <v>127</v>
      </c>
    </row>
    <row r="1138" spans="1:17" x14ac:dyDescent="0.25">
      <c r="A1138" s="1" t="str">
        <f>_xlfn.XLOOKUP(D1138,'Novo relatório'!B:B,'Novo relatório'!C:C,"RESOLVIDO")</f>
        <v>TMS</v>
      </c>
      <c r="C1138" t="str">
        <f t="shared" si="34"/>
        <v>PENDENTE</v>
      </c>
      <c r="D1138" s="1">
        <v>3311050</v>
      </c>
      <c r="E1138" s="1" t="s">
        <v>12</v>
      </c>
      <c r="F1138" s="2">
        <v>45735.493055555555</v>
      </c>
      <c r="G1138" s="1">
        <v>14637</v>
      </c>
      <c r="H1138" s="1">
        <v>14637</v>
      </c>
      <c r="I1138" s="1" t="s">
        <v>16</v>
      </c>
      <c r="J1138" s="2">
        <v>45735.57708333333</v>
      </c>
      <c r="K1138" s="2">
        <v>45738.811111111114</v>
      </c>
      <c r="L1138" s="1" t="s">
        <v>14</v>
      </c>
      <c r="M1138" s="1" t="str">
        <f>_xlfn.XLOOKUP(I1138,Parâmetros!A:A,Parâmetros!B:B,_xlfn.XLOOKUP(Q1138,Parâmetros!F:F,Parâmetros!G:G,"NOVA MENSAGEM"))</f>
        <v>ASSENTO / BAGAGEM</v>
      </c>
      <c r="N1138" s="1" t="str">
        <f>_xlfn.XLOOKUP(M1138,Parâmetros!K:K,Parâmetros!L:L,"")</f>
        <v>CAMPO OBSERVAÇÃO PREENCHIDO INCORRETAMENTE</v>
      </c>
      <c r="O1138" s="1" t="str">
        <f>_xlfn.XLOOKUP(M1138,Parâmetros!B:B,Parâmetros!C:C,_xlfn.XLOOKUP(Base!M1137,Parâmetros!G:G,Parâmetros!H:H))</f>
        <v>QUALIDADE DOS DADOS</v>
      </c>
      <c r="P1138" s="1" t="str">
        <f>_xlfn.XLOOKUP(I1138,Parâmetros!A:A,Parâmetros!D:D,_xlfn.XLOOKUP(Q1138,Parâmetros!F:F,Parâmetros!I:I))</f>
        <v>OPERAÇÕES / SUPORTE KCS</v>
      </c>
      <c r="Q1138" s="1">
        <f t="shared" si="35"/>
        <v>118</v>
      </c>
    </row>
    <row r="1139" spans="1:17" x14ac:dyDescent="0.25">
      <c r="A1139" s="1" t="str">
        <f>_xlfn.XLOOKUP(D1139,'Novo relatório'!B:B,'Novo relatório'!C:C,"RESOLVIDO")</f>
        <v>TMS</v>
      </c>
      <c r="C1139" t="str">
        <f t="shared" si="34"/>
        <v>PENDENTE</v>
      </c>
      <c r="D1139" s="1">
        <v>3311051</v>
      </c>
      <c r="E1139" s="1" t="s">
        <v>12</v>
      </c>
      <c r="F1139" s="2">
        <v>45735.493750000001</v>
      </c>
      <c r="G1139" s="1">
        <v>14636</v>
      </c>
      <c r="H1139" s="1">
        <v>14636</v>
      </c>
      <c r="I1139" s="1" t="s">
        <v>16</v>
      </c>
      <c r="J1139" s="2">
        <v>45735.57708333333</v>
      </c>
      <c r="K1139" s="2">
        <v>45738.811111111114</v>
      </c>
      <c r="L1139" s="1" t="s">
        <v>14</v>
      </c>
      <c r="M1139" s="1" t="str">
        <f>_xlfn.XLOOKUP(I1139,Parâmetros!A:A,Parâmetros!B:B,_xlfn.XLOOKUP(Q1139,Parâmetros!F:F,Parâmetros!G:G,"NOVA MENSAGEM"))</f>
        <v>ASSENTO / BAGAGEM</v>
      </c>
      <c r="N1139" s="1" t="str">
        <f>_xlfn.XLOOKUP(M1139,Parâmetros!K:K,Parâmetros!L:L,"")</f>
        <v>CAMPO OBSERVAÇÃO PREENCHIDO INCORRETAMENTE</v>
      </c>
      <c r="O1139" s="1" t="str">
        <f>_xlfn.XLOOKUP(M1139,Parâmetros!B:B,Parâmetros!C:C,_xlfn.XLOOKUP(Base!M1138,Parâmetros!G:G,Parâmetros!H:H))</f>
        <v>QUALIDADE DOS DADOS</v>
      </c>
      <c r="P1139" s="1" t="str">
        <f>_xlfn.XLOOKUP(I1139,Parâmetros!A:A,Parâmetros!D:D,_xlfn.XLOOKUP(Q1139,Parâmetros!F:F,Parâmetros!I:I))</f>
        <v>OPERAÇÕES / SUPORTE KCS</v>
      </c>
      <c r="Q1139" s="1">
        <f t="shared" si="35"/>
        <v>118</v>
      </c>
    </row>
    <row r="1140" spans="1:17" x14ac:dyDescent="0.25">
      <c r="A1140" s="1" t="str">
        <f>_xlfn.XLOOKUP(D1140,'Novo relatório'!B:B,'Novo relatório'!C:C,"RESOLVIDO")</f>
        <v>SABRE</v>
      </c>
      <c r="C1140" t="str">
        <f t="shared" si="34"/>
        <v>PENDENTE</v>
      </c>
      <c r="D1140" s="1">
        <v>3311342</v>
      </c>
      <c r="E1140" s="1" t="s">
        <v>26</v>
      </c>
      <c r="F1140" s="2">
        <v>45735.560416666667</v>
      </c>
      <c r="G1140" s="1" t="s">
        <v>1868</v>
      </c>
      <c r="H1140" s="1" t="s">
        <v>1869</v>
      </c>
      <c r="I1140" s="1" t="s">
        <v>64</v>
      </c>
      <c r="J1140" s="2">
        <v>45735.648611111108</v>
      </c>
      <c r="L1140" s="1" t="s">
        <v>1244</v>
      </c>
      <c r="M1140" s="1" t="str">
        <f>_xlfn.XLOOKUP(I1140,Parâmetros!A:A,Parâmetros!B:B,_xlfn.XLOOKUP(Q1140,Parâmetros!F:F,Parâmetros!G:G,"NOVA MENSAGEM"))</f>
        <v>FORMATO DE TEXTO</v>
      </c>
      <c r="N1140" s="1" t="str">
        <f>_xlfn.XLOOKUP(M1140,Parâmetros!K:K,Parâmetros!L:L,"")</f>
        <v>TEXTO FORA DO PADRÃO ACEITO NO CAMPO</v>
      </c>
      <c r="O1140" s="1" t="str">
        <f>_xlfn.XLOOKUP(M1140,Parâmetros!B:B,Parâmetros!C:C,_xlfn.XLOOKUP(Base!M1140,Parâmetros!G:G,Parâmetros!H:H))</f>
        <v>INDEFINIDO</v>
      </c>
      <c r="P1140" s="1" t="str">
        <f>_xlfn.XLOOKUP(I1140,Parâmetros!A:A,Parâmetros!D:D,_xlfn.XLOOKUP(Q1140,Parâmetros!F:F,Parâmetros!I:I))</f>
        <v>SUPORTE OBT</v>
      </c>
      <c r="Q1140" s="1" t="str">
        <f t="shared" si="35"/>
        <v>COLUNA I</v>
      </c>
    </row>
    <row r="1141" spans="1:17" x14ac:dyDescent="0.25">
      <c r="A1141" s="1" t="str">
        <f>_xlfn.XLOOKUP(D1141,'Novo relatório'!B:B,'Novo relatório'!C:C,"RESOLVIDO")</f>
        <v>SABRE</v>
      </c>
      <c r="C1141" t="str">
        <f t="shared" si="34"/>
        <v>PENDENTE</v>
      </c>
      <c r="D1141" s="1">
        <v>3311343</v>
      </c>
      <c r="E1141" s="1" t="s">
        <v>26</v>
      </c>
      <c r="F1141" s="2">
        <v>45735.560416666667</v>
      </c>
      <c r="G1141" s="1" t="s">
        <v>1786</v>
      </c>
      <c r="H1141" s="1" t="s">
        <v>1787</v>
      </c>
      <c r="I1141" s="1" t="s">
        <v>64</v>
      </c>
      <c r="J1141" s="2">
        <v>45735.648611111108</v>
      </c>
      <c r="L1141" s="1" t="s">
        <v>1244</v>
      </c>
      <c r="M1141" s="1" t="str">
        <f>_xlfn.XLOOKUP(I1141,Parâmetros!A:A,Parâmetros!B:B,_xlfn.XLOOKUP(Q1141,Parâmetros!F:F,Parâmetros!G:G,"NOVA MENSAGEM"))</f>
        <v>FORMATO DE TEXTO</v>
      </c>
      <c r="N1141" s="1" t="str">
        <f>_xlfn.XLOOKUP(M1141,Parâmetros!K:K,Parâmetros!L:L,"")</f>
        <v>TEXTO FORA DO PADRÃO ACEITO NO CAMPO</v>
      </c>
      <c r="O1141" s="1" t="str">
        <f>_xlfn.XLOOKUP(M1141,Parâmetros!B:B,Parâmetros!C:C,_xlfn.XLOOKUP(Base!M1139,Parâmetros!G:G,Parâmetros!H:H))</f>
        <v>INDEFINIDO</v>
      </c>
      <c r="P1141" s="1" t="str">
        <f>_xlfn.XLOOKUP(I1141,Parâmetros!A:A,Parâmetros!D:D,_xlfn.XLOOKUP(Q1141,Parâmetros!F:F,Parâmetros!I:I))</f>
        <v>SUPORTE OBT</v>
      </c>
      <c r="Q1141" s="1" t="str">
        <f t="shared" si="35"/>
        <v>COLUNA I</v>
      </c>
    </row>
    <row r="1142" spans="1:17" x14ac:dyDescent="0.25">
      <c r="A1142" s="1" t="str">
        <f>_xlfn.XLOOKUP(D1142,'Novo relatório'!B:B,'Novo relatório'!C:C,"RESOLVIDO")</f>
        <v>SABRE</v>
      </c>
      <c r="C1142" t="str">
        <f t="shared" si="34"/>
        <v>PENDENTE</v>
      </c>
      <c r="D1142" s="1">
        <v>3311344</v>
      </c>
      <c r="E1142" s="1" t="s">
        <v>26</v>
      </c>
      <c r="F1142" s="2">
        <v>45735.560416666667</v>
      </c>
      <c r="G1142" s="1" t="s">
        <v>1880</v>
      </c>
      <c r="H1142" s="1" t="s">
        <v>1881</v>
      </c>
      <c r="I1142" s="1" t="s">
        <v>64</v>
      </c>
      <c r="J1142" s="2">
        <v>45735.649305555555</v>
      </c>
      <c r="L1142" s="1" t="s">
        <v>1244</v>
      </c>
      <c r="M1142" s="1" t="str">
        <f>_xlfn.XLOOKUP(I1142,Parâmetros!A:A,Parâmetros!B:B,_xlfn.XLOOKUP(Q1142,Parâmetros!F:F,Parâmetros!G:G,"NOVA MENSAGEM"))</f>
        <v>FORMATO DE TEXTO</v>
      </c>
      <c r="N1142" s="1" t="str">
        <f>_xlfn.XLOOKUP(M1142,Parâmetros!K:K,Parâmetros!L:L,"")</f>
        <v>TEXTO FORA DO PADRÃO ACEITO NO CAMPO</v>
      </c>
      <c r="O1142" s="1" t="str">
        <f>_xlfn.XLOOKUP(M1142,Parâmetros!B:B,Parâmetros!C:C,_xlfn.XLOOKUP(Base!M1142,Parâmetros!G:G,Parâmetros!H:H))</f>
        <v>INDEFINIDO</v>
      </c>
      <c r="P1142" s="1" t="str">
        <f>_xlfn.XLOOKUP(I1142,Parâmetros!A:A,Parâmetros!D:D,_xlfn.XLOOKUP(Q1142,Parâmetros!F:F,Parâmetros!I:I))</f>
        <v>SUPORTE OBT</v>
      </c>
      <c r="Q1142" s="1" t="str">
        <f t="shared" si="35"/>
        <v>COLUNA I</v>
      </c>
    </row>
    <row r="1143" spans="1:17" x14ac:dyDescent="0.25">
      <c r="A1143" s="1" t="str">
        <f>_xlfn.XLOOKUP(D1143,'Novo relatório'!B:B,'Novo relatório'!C:C,"RESOLVIDO")</f>
        <v>SABRE</v>
      </c>
      <c r="C1143" t="str">
        <f t="shared" si="34"/>
        <v>PENDENTE</v>
      </c>
      <c r="D1143" s="1">
        <v>3311345</v>
      </c>
      <c r="E1143" s="1" t="s">
        <v>26</v>
      </c>
      <c r="F1143" s="2">
        <v>45735.560416666667</v>
      </c>
      <c r="G1143" s="1" t="s">
        <v>1653</v>
      </c>
      <c r="H1143" s="1" t="s">
        <v>1654</v>
      </c>
      <c r="I1143" s="1" t="s">
        <v>64</v>
      </c>
      <c r="J1143" s="2">
        <v>45735.649305555555</v>
      </c>
      <c r="L1143" s="1" t="s">
        <v>1244</v>
      </c>
      <c r="M1143" s="1" t="str">
        <f>_xlfn.XLOOKUP(I1143,Parâmetros!A:A,Parâmetros!B:B,_xlfn.XLOOKUP(Q1143,Parâmetros!F:F,Parâmetros!G:G,"NOVA MENSAGEM"))</f>
        <v>FORMATO DE TEXTO</v>
      </c>
      <c r="N1143" s="1" t="str">
        <f>_xlfn.XLOOKUP(M1143,Parâmetros!K:K,Parâmetros!L:L,"")</f>
        <v>TEXTO FORA DO PADRÃO ACEITO NO CAMPO</v>
      </c>
      <c r="O1143" s="1" t="str">
        <f>_xlfn.XLOOKUP(M1143,Parâmetros!B:B,Parâmetros!C:C,_xlfn.XLOOKUP(Base!M1141,Parâmetros!G:G,Parâmetros!H:H))</f>
        <v>INDEFINIDO</v>
      </c>
      <c r="P1143" s="1" t="str">
        <f>_xlfn.XLOOKUP(I1143,Parâmetros!A:A,Parâmetros!D:D,_xlfn.XLOOKUP(Q1143,Parâmetros!F:F,Parâmetros!I:I))</f>
        <v>SUPORTE OBT</v>
      </c>
      <c r="Q1143" s="1" t="str">
        <f t="shared" si="35"/>
        <v>COLUNA I</v>
      </c>
    </row>
    <row r="1144" spans="1:17" x14ac:dyDescent="0.25">
      <c r="A1144" s="1" t="str">
        <f>_xlfn.XLOOKUP(D1144,'Novo relatório'!B:B,'Novo relatório'!C:C,"RESOLVIDO")</f>
        <v>SABRE</v>
      </c>
      <c r="C1144" t="str">
        <f t="shared" si="34"/>
        <v>PENDENTE</v>
      </c>
      <c r="D1144" s="1">
        <v>3311372</v>
      </c>
      <c r="E1144" s="1" t="s">
        <v>26</v>
      </c>
      <c r="F1144" s="2">
        <v>45735.569444444445</v>
      </c>
      <c r="G1144" s="1" t="s">
        <v>1678</v>
      </c>
      <c r="H1144" s="1" t="s">
        <v>1679</v>
      </c>
      <c r="I1144" s="1" t="s">
        <v>64</v>
      </c>
      <c r="J1144" s="2">
        <v>45735.65902777778</v>
      </c>
      <c r="L1144" s="1" t="s">
        <v>1244</v>
      </c>
      <c r="M1144" s="1" t="str">
        <f>_xlfn.XLOOKUP(I1144,Parâmetros!A:A,Parâmetros!B:B,_xlfn.XLOOKUP(Q1144,Parâmetros!F:F,Parâmetros!G:G,"NOVA MENSAGEM"))</f>
        <v>FORMATO DE TEXTO</v>
      </c>
      <c r="N1144" s="1" t="str">
        <f>_xlfn.XLOOKUP(M1144,Parâmetros!K:K,Parâmetros!L:L,"")</f>
        <v>TEXTO FORA DO PADRÃO ACEITO NO CAMPO</v>
      </c>
      <c r="O1144" s="1" t="str">
        <f>_xlfn.XLOOKUP(M1144,Parâmetros!B:B,Parâmetros!C:C,_xlfn.XLOOKUP(Base!M1143,Parâmetros!G:G,Parâmetros!H:H))</f>
        <v>INDEFINIDO</v>
      </c>
      <c r="P1144" s="1" t="str">
        <f>_xlfn.XLOOKUP(I1144,Parâmetros!A:A,Parâmetros!D:D,_xlfn.XLOOKUP(Q1144,Parâmetros!F:F,Parâmetros!I:I))</f>
        <v>SUPORTE OBT</v>
      </c>
      <c r="Q1144" s="1" t="str">
        <f t="shared" si="35"/>
        <v>COLUNA I</v>
      </c>
    </row>
    <row r="1145" spans="1:17" x14ac:dyDescent="0.25">
      <c r="A1145" s="1" t="str">
        <f>_xlfn.XLOOKUP(D1145,'Novo relatório'!B:B,'Novo relatório'!C:C,"RESOLVIDO")</f>
        <v>SABRE</v>
      </c>
      <c r="C1145" t="str">
        <f t="shared" si="34"/>
        <v>PENDENTE</v>
      </c>
      <c r="D1145" s="1">
        <v>3311433</v>
      </c>
      <c r="E1145" s="1" t="s">
        <v>26</v>
      </c>
      <c r="F1145" s="2">
        <v>45736.424305555556</v>
      </c>
      <c r="G1145" s="1" t="s">
        <v>1879</v>
      </c>
      <c r="H1145" s="1" t="s">
        <v>1879</v>
      </c>
      <c r="I1145" s="1" t="s">
        <v>1060</v>
      </c>
      <c r="J1145" s="2">
        <v>45735.67291666667</v>
      </c>
      <c r="K1145" s="2">
        <v>45736.513194444444</v>
      </c>
      <c r="L1145" s="1" t="s">
        <v>18</v>
      </c>
      <c r="M1145" s="1" t="str">
        <f>_xlfn.XLOOKUP(I1145,Parâmetros!A:A,Parâmetros!B:B,_xlfn.XLOOKUP(Q1145,Parâmetros!F:F,Parâmetros!G:G,"NOVA MENSAGEM"))</f>
        <v>CÓD. CLIENTE DIVERGENTE</v>
      </c>
      <c r="N1145" s="1" t="str">
        <f>_xlfn.XLOOKUP(M1145,Parâmetros!K:K,Parâmetros!L:L,"")</f>
        <v>CÓDIGO DIFERENTE DO CADASTRADO NO BENNER (CLIENTE X GRUPO)</v>
      </c>
      <c r="O1145" s="1" t="str">
        <f>_xlfn.XLOOKUP(M1145,Parâmetros!B:B,Parâmetros!C:C,_xlfn.XLOOKUP(Base!M1144,Parâmetros!G:G,Parâmetros!H:H))</f>
        <v>QUALIDADE DOS DADOS</v>
      </c>
      <c r="P1145" s="1" t="str">
        <f>_xlfn.XLOOKUP(I1145,Parâmetros!A:A,Parâmetros!D:D,_xlfn.XLOOKUP(Q1145,Parâmetros!F:F,Parâmetros!I:I))</f>
        <v>SUPORTE OBT</v>
      </c>
      <c r="Q1145" s="1">
        <f t="shared" si="35"/>
        <v>1</v>
      </c>
    </row>
    <row r="1146" spans="1:17" x14ac:dyDescent="0.25">
      <c r="A1146" s="1" t="str">
        <f>_xlfn.XLOOKUP(D1146,'Novo relatório'!B:B,'Novo relatório'!C:C,"RESOLVIDO")</f>
        <v>TMS</v>
      </c>
      <c r="C1146" t="str">
        <f t="shared" si="34"/>
        <v>PENDENTE</v>
      </c>
      <c r="D1146" s="1">
        <v>3312325</v>
      </c>
      <c r="E1146" s="1" t="s">
        <v>12</v>
      </c>
      <c r="F1146" s="2">
        <v>45735.75</v>
      </c>
      <c r="G1146" s="1">
        <v>3183</v>
      </c>
      <c r="H1146" s="1">
        <v>3183</v>
      </c>
      <c r="I1146" s="1" t="s">
        <v>158</v>
      </c>
      <c r="J1146" s="2">
        <v>45735.808333333334</v>
      </c>
      <c r="K1146" s="2">
        <v>45738.810416666667</v>
      </c>
      <c r="L1146" s="1" t="s">
        <v>14</v>
      </c>
      <c r="M1146" s="1" t="str">
        <f>_xlfn.XLOOKUP(I1146,Parâmetros!A:A,Parâmetros!B:B,_xlfn.XLOOKUP(Q1146,Parâmetros!F:F,Parâmetros!G:G,"NOVA MENSAGEM"))</f>
        <v>COTAÇÃO</v>
      </c>
      <c r="N1146" s="1" t="str">
        <f>_xlfn.XLOOKUP(M1146,Parâmetros!K:K,Parâmetros!L:L,"")</f>
        <v>INDEFINIDO</v>
      </c>
      <c r="O1146" s="1" t="str">
        <f>_xlfn.XLOOKUP(M1146,Parâmetros!B:B,Parâmetros!C:C,_xlfn.XLOOKUP(Base!M1145,Parâmetros!G:G,Parâmetros!H:H))</f>
        <v>INDEFINIDO</v>
      </c>
      <c r="P1146" s="1" t="str">
        <f>_xlfn.XLOOKUP(I1146,Parâmetros!A:A,Parâmetros!D:D,_xlfn.XLOOKUP(Q1146,Parâmetros!F:F,Parâmetros!I:I))</f>
        <v>SUPORTE OBT</v>
      </c>
      <c r="Q1146" s="1" t="str">
        <f t="shared" si="35"/>
        <v>COLUNA I</v>
      </c>
    </row>
    <row r="1147" spans="1:17" x14ac:dyDescent="0.25">
      <c r="A1147" s="1" t="str">
        <f>_xlfn.XLOOKUP(D1147,'Novo relatório'!B:B,'Novo relatório'!C:C,"RESOLVIDO")</f>
        <v>SABRE</v>
      </c>
      <c r="C1147" t="str">
        <f t="shared" si="34"/>
        <v>PENDENTE</v>
      </c>
      <c r="D1147" s="1">
        <v>3312491</v>
      </c>
      <c r="E1147" s="1" t="s">
        <v>26</v>
      </c>
      <c r="F1147" s="2">
        <v>45735.738194444442</v>
      </c>
      <c r="G1147" s="1" t="s">
        <v>1885</v>
      </c>
      <c r="H1147" s="1" t="s">
        <v>1885</v>
      </c>
      <c r="I1147" s="1" t="s">
        <v>273</v>
      </c>
      <c r="J1147" s="2">
        <v>45735.824305555558</v>
      </c>
      <c r="L1147" s="1" t="s">
        <v>1245</v>
      </c>
      <c r="M1147" s="1" t="str">
        <f>_xlfn.XLOOKUP(I1147,Parâmetros!A:A,Parâmetros!B:B,_xlfn.XLOOKUP(Q1147,Parâmetros!F:F,Parâmetros!G:G,"NOVA MENSAGEM"))</f>
        <v>VENDA CANCELADA</v>
      </c>
      <c r="N1147" s="1" t="str">
        <f>_xlfn.XLOOKUP(M1147,Parâmetros!K:K,Parâmetros!L:L,"")</f>
        <v>RESERVA CANCELADA NO OBT</v>
      </c>
      <c r="O1147" s="1" t="str">
        <f>_xlfn.XLOOKUP(M1147,Parâmetros!B:B,Parâmetros!C:C,_xlfn.XLOOKUP(Base!M1146,Parâmetros!G:G,Parâmetros!H:H))</f>
        <v>SISTEMA</v>
      </c>
      <c r="P1147" s="1" t="str">
        <f>_xlfn.XLOOKUP(I1147,Parâmetros!A:A,Parâmetros!D:D,_xlfn.XLOOKUP(Q1147,Parâmetros!F:F,Parâmetros!I:I))</f>
        <v>SUPORTE OBT</v>
      </c>
      <c r="Q1147" s="1" t="str">
        <f t="shared" si="35"/>
        <v>COLUNA I</v>
      </c>
    </row>
    <row r="1148" spans="1:17" x14ac:dyDescent="0.25">
      <c r="A1148" s="1" t="str">
        <f>_xlfn.XLOOKUP(D1148,'Novo relatório'!B:B,'Novo relatório'!C:C,"RESOLVIDO")</f>
        <v>TMS</v>
      </c>
      <c r="C1148" t="str">
        <f t="shared" si="34"/>
        <v>PENDENTE</v>
      </c>
      <c r="D1148" s="1">
        <v>3312626</v>
      </c>
      <c r="E1148" s="1" t="s">
        <v>12</v>
      </c>
      <c r="F1148" s="2">
        <v>45735.644444444442</v>
      </c>
      <c r="G1148" s="1">
        <v>15525</v>
      </c>
      <c r="H1148" s="1">
        <v>15525</v>
      </c>
      <c r="I1148" s="1" t="s">
        <v>16</v>
      </c>
      <c r="J1148" s="2">
        <v>45735.836805555555</v>
      </c>
      <c r="K1148" s="2">
        <v>45738.811111111114</v>
      </c>
      <c r="L1148" s="1" t="s">
        <v>14</v>
      </c>
      <c r="M1148" s="1" t="str">
        <f>_xlfn.XLOOKUP(I1148,Parâmetros!A:A,Parâmetros!B:B,_xlfn.XLOOKUP(Q1148,Parâmetros!F:F,Parâmetros!G:G,"NOVA MENSAGEM"))</f>
        <v>ASSENTO / BAGAGEM</v>
      </c>
      <c r="N1148" s="1" t="str">
        <f>_xlfn.XLOOKUP(M1148,Parâmetros!K:K,Parâmetros!L:L,"")</f>
        <v>CAMPO OBSERVAÇÃO PREENCHIDO INCORRETAMENTE</v>
      </c>
      <c r="O1148" s="1" t="str">
        <f>_xlfn.XLOOKUP(M1148,Parâmetros!B:B,Parâmetros!C:C,_xlfn.XLOOKUP(Base!M1147,Parâmetros!G:G,Parâmetros!H:H))</f>
        <v>QUALIDADE DOS DADOS</v>
      </c>
      <c r="P1148" s="1" t="str">
        <f>_xlfn.XLOOKUP(I1148,Parâmetros!A:A,Parâmetros!D:D,_xlfn.XLOOKUP(Q1148,Parâmetros!F:F,Parâmetros!I:I))</f>
        <v>OPERAÇÕES / SUPORTE KCS</v>
      </c>
      <c r="Q1148" s="1">
        <f t="shared" si="35"/>
        <v>118</v>
      </c>
    </row>
    <row r="1149" spans="1:17" x14ac:dyDescent="0.25">
      <c r="A1149" s="1" t="str">
        <f>_xlfn.XLOOKUP(D1149,'Novo relatório'!B:B,'Novo relatório'!C:C,"RESOLVIDO")</f>
        <v>RESOLVIDO</v>
      </c>
      <c r="C1149" t="str">
        <f t="shared" si="34"/>
        <v>RESOLVIDO</v>
      </c>
      <c r="D1149" s="1">
        <v>3312665</v>
      </c>
      <c r="E1149" s="1" t="s">
        <v>26</v>
      </c>
      <c r="F1149" s="2">
        <v>45736.570138888892</v>
      </c>
      <c r="G1149" s="1" t="s">
        <v>1894</v>
      </c>
      <c r="H1149" s="1" t="s">
        <v>1894</v>
      </c>
      <c r="I1149" s="1" t="s">
        <v>588</v>
      </c>
      <c r="J1149" s="2">
        <v>45735.847222222219</v>
      </c>
      <c r="K1149" s="2">
        <v>45736.664583333331</v>
      </c>
      <c r="L1149" s="1" t="s">
        <v>14</v>
      </c>
      <c r="M1149" s="1" t="str">
        <f>_xlfn.XLOOKUP(I1149,Parâmetros!A:A,Parâmetros!B:B,_xlfn.XLOOKUP(Q1149,Parâmetros!F:F,Parâmetros!G:G,"NOVA MENSAGEM"))</f>
        <v>ERRO NO XML</v>
      </c>
      <c r="N1149" s="1" t="str">
        <f>_xlfn.XLOOKUP(M1149,Parâmetros!K:K,Parâmetros!L:L,"")</f>
        <v/>
      </c>
      <c r="O1149" s="1" t="str">
        <f>_xlfn.XLOOKUP(M1149,Parâmetros!B:B,Parâmetros!C:C,_xlfn.XLOOKUP(Base!M1148,Parâmetros!G:G,Parâmetros!H:H))</f>
        <v>SISTEMA</v>
      </c>
      <c r="P1149" s="1" t="str">
        <f>_xlfn.XLOOKUP(I1149,Parâmetros!A:A,Parâmetros!D:D,_xlfn.XLOOKUP(Q1149,Parâmetros!F:F,Parâmetros!I:I))</f>
        <v>SUPORTE OBT</v>
      </c>
      <c r="Q1149" s="1" t="str">
        <f t="shared" si="35"/>
        <v>COLUNA I</v>
      </c>
    </row>
    <row r="1150" spans="1:17" x14ac:dyDescent="0.25">
      <c r="A1150" s="1" t="str">
        <f>_xlfn.XLOOKUP(D1150,'Novo relatório'!B:B,'Novo relatório'!C:C,"RESOLVIDO")</f>
        <v>SABRE</v>
      </c>
      <c r="C1150" t="str">
        <f t="shared" si="34"/>
        <v>PENDENTE</v>
      </c>
      <c r="D1150" s="1">
        <v>3312670</v>
      </c>
      <c r="E1150" s="1" t="s">
        <v>26</v>
      </c>
      <c r="F1150" s="2">
        <v>45736.440972222219</v>
      </c>
      <c r="G1150" s="1" t="s">
        <v>1745</v>
      </c>
      <c r="H1150" s="1" t="s">
        <v>1745</v>
      </c>
      <c r="I1150" s="1" t="s">
        <v>1060</v>
      </c>
      <c r="J1150" s="2">
        <v>45735.848611111112</v>
      </c>
      <c r="K1150" s="2">
        <v>45736.53402777778</v>
      </c>
      <c r="L1150" s="1" t="s">
        <v>18</v>
      </c>
      <c r="M1150" s="1" t="str">
        <f>_xlfn.XLOOKUP(I1150,Parâmetros!A:A,Parâmetros!B:B,_xlfn.XLOOKUP(Q1150,Parâmetros!F:F,Parâmetros!G:G,"NOVA MENSAGEM"))</f>
        <v>CÓD. CLIENTE DIVERGENTE</v>
      </c>
      <c r="N1150" s="1" t="str">
        <f>_xlfn.XLOOKUP(M1150,Parâmetros!K:K,Parâmetros!L:L,"")</f>
        <v>CÓDIGO DIFERENTE DO CADASTRADO NO BENNER (CLIENTE X GRUPO)</v>
      </c>
      <c r="O1150" s="1" t="str">
        <f>_xlfn.XLOOKUP(M1150,Parâmetros!B:B,Parâmetros!C:C,_xlfn.XLOOKUP(Base!M1151,Parâmetros!G:G,Parâmetros!H:H))</f>
        <v>QUALIDADE DOS DADOS</v>
      </c>
      <c r="P1150" s="1" t="str">
        <f>_xlfn.XLOOKUP(I1150,Parâmetros!A:A,Parâmetros!D:D,_xlfn.XLOOKUP(Q1150,Parâmetros!F:F,Parâmetros!I:I))</f>
        <v>SUPORTE OBT</v>
      </c>
      <c r="Q1150" s="1">
        <f t="shared" si="35"/>
        <v>1</v>
      </c>
    </row>
    <row r="1151" spans="1:17" x14ac:dyDescent="0.25">
      <c r="A1151" s="1" t="str">
        <f>_xlfn.XLOOKUP(D1151,'Novo relatório'!B:B,'Novo relatório'!C:C,"RESOLVIDO")</f>
        <v>SABRE</v>
      </c>
      <c r="C1151" t="str">
        <f t="shared" si="34"/>
        <v>PENDENTE</v>
      </c>
      <c r="D1151" s="1">
        <v>3312671</v>
      </c>
      <c r="E1151" s="1" t="s">
        <v>26</v>
      </c>
      <c r="F1151" s="2">
        <v>45756.469444444447</v>
      </c>
      <c r="G1151" s="1" t="s">
        <v>1754</v>
      </c>
      <c r="H1151" s="1" t="s">
        <v>1754</v>
      </c>
      <c r="I1151" s="1" t="s">
        <v>410</v>
      </c>
      <c r="J1151" s="2">
        <v>45735.848611111112</v>
      </c>
      <c r="K1151" s="2">
        <v>45756.553472222222</v>
      </c>
      <c r="L1151" s="1" t="s">
        <v>18</v>
      </c>
      <c r="M1151" s="1" t="str">
        <f>_xlfn.XLOOKUP(I1151,Parâmetros!A:A,Parâmetros!B:B,_xlfn.XLOOKUP(Q1151,Parâmetros!F:F,Parâmetros!G:G,"NOVA MENSAGEM"))</f>
        <v>CÓD. CLIENTE DIVERGENTE</v>
      </c>
      <c r="N1151" s="1" t="str">
        <f>_xlfn.XLOOKUP(M1151,Parâmetros!K:K,Parâmetros!L:L,"")</f>
        <v>CÓDIGO DIFERENTE DO CADASTRADO NO BENNER (CLIENTE X GRUPO)</v>
      </c>
      <c r="O1151" s="1" t="str">
        <f>_xlfn.XLOOKUP(M1151,Parâmetros!B:B,Parâmetros!C:C,_xlfn.XLOOKUP(Base!M1152,Parâmetros!G:G,Parâmetros!H:H))</f>
        <v>QUALIDADE DOS DADOS</v>
      </c>
      <c r="P1151" s="1" t="str">
        <f>_xlfn.XLOOKUP(I1151,Parâmetros!A:A,Parâmetros!D:D,_xlfn.XLOOKUP(Q1151,Parâmetros!F:F,Parâmetros!I:I))</f>
        <v>SUPORTE OBT</v>
      </c>
      <c r="Q1151" s="1">
        <f t="shared" si="35"/>
        <v>1</v>
      </c>
    </row>
    <row r="1152" spans="1:17" x14ac:dyDescent="0.25">
      <c r="A1152" s="1" t="str">
        <f>_xlfn.XLOOKUP(D1152,'Novo relatório'!B:B,'Novo relatório'!C:C,"RESOLVIDO")</f>
        <v>SABRE</v>
      </c>
      <c r="C1152" t="str">
        <f t="shared" si="34"/>
        <v>PENDENTE</v>
      </c>
      <c r="D1152" s="1">
        <v>3312672</v>
      </c>
      <c r="E1152" s="1" t="s">
        <v>26</v>
      </c>
      <c r="F1152" s="2">
        <v>45735.756944444445</v>
      </c>
      <c r="G1152" s="1" t="s">
        <v>1788</v>
      </c>
      <c r="H1152" s="1" t="s">
        <v>1788</v>
      </c>
      <c r="I1152" s="1" t="s">
        <v>620</v>
      </c>
      <c r="J1152" s="2">
        <v>45735.848611111112</v>
      </c>
      <c r="L1152" s="1" t="s">
        <v>18</v>
      </c>
      <c r="M1152" s="1" t="str">
        <f>_xlfn.XLOOKUP(I1152,Parâmetros!A:A,Parâmetros!B:B,_xlfn.XLOOKUP(Q1152,Parâmetros!F:F,Parâmetros!G:G,"NOVA MENSAGEM"))</f>
        <v>CÓD. CLIENTE DIVERGENTE</v>
      </c>
      <c r="N1152" s="1" t="str">
        <f>_xlfn.XLOOKUP(M1152,Parâmetros!K:K,Parâmetros!L:L,"")</f>
        <v>CÓDIGO DIFERENTE DO CADASTRADO NO BENNER (CLIENTE X GRUPO)</v>
      </c>
      <c r="O1152" s="1" t="str">
        <f>_xlfn.XLOOKUP(M1152,Parâmetros!B:B,Parâmetros!C:C,_xlfn.XLOOKUP(Base!M1149,Parâmetros!G:G,Parâmetros!H:H))</f>
        <v>QUALIDADE DOS DADOS</v>
      </c>
      <c r="P1152" s="1" t="str">
        <f>_xlfn.XLOOKUP(I1152,Parâmetros!A:A,Parâmetros!D:D,_xlfn.XLOOKUP(Q1152,Parâmetros!F:F,Parâmetros!I:I))</f>
        <v>SUPORTE OBT</v>
      </c>
      <c r="Q1152" s="1">
        <f t="shared" si="35"/>
        <v>1</v>
      </c>
    </row>
    <row r="1153" spans="1:17" x14ac:dyDescent="0.25">
      <c r="A1153" s="1" t="str">
        <f>_xlfn.XLOOKUP(D1153,'Novo relatório'!B:B,'Novo relatório'!C:C,"RESOLVIDO")</f>
        <v>RESOLVIDO</v>
      </c>
      <c r="C1153" t="str">
        <f t="shared" si="34"/>
        <v>RESOLVIDO</v>
      </c>
      <c r="D1153" s="1">
        <v>3312673</v>
      </c>
      <c r="E1153" s="1" t="s">
        <v>26</v>
      </c>
      <c r="F1153" s="2">
        <v>45735.756944444445</v>
      </c>
      <c r="G1153" s="1" t="s">
        <v>1803</v>
      </c>
      <c r="H1153" s="1" t="s">
        <v>1803</v>
      </c>
      <c r="I1153" s="1" t="s">
        <v>588</v>
      </c>
      <c r="J1153" s="2">
        <v>45735.848611111112</v>
      </c>
      <c r="L1153" s="1" t="s">
        <v>14</v>
      </c>
      <c r="M1153" s="1" t="str">
        <f>_xlfn.XLOOKUP(I1153,Parâmetros!A:A,Parâmetros!B:B,_xlfn.XLOOKUP(Q1153,Parâmetros!F:F,Parâmetros!G:G,"NOVA MENSAGEM"))</f>
        <v>ERRO NO XML</v>
      </c>
      <c r="N1153" s="1" t="str">
        <f>_xlfn.XLOOKUP(M1153,Parâmetros!K:K,Parâmetros!L:L,"")</f>
        <v/>
      </c>
      <c r="O1153" s="1" t="str">
        <f>_xlfn.XLOOKUP(M1153,Parâmetros!B:B,Parâmetros!C:C,_xlfn.XLOOKUP(Base!M1150,Parâmetros!G:G,Parâmetros!H:H))</f>
        <v>SISTEMA</v>
      </c>
      <c r="P1153" s="1" t="str">
        <f>_xlfn.XLOOKUP(I1153,Parâmetros!A:A,Parâmetros!D:D,_xlfn.XLOOKUP(Q1153,Parâmetros!F:F,Parâmetros!I:I))</f>
        <v>SUPORTE OBT</v>
      </c>
      <c r="Q1153" s="1" t="str">
        <f t="shared" si="35"/>
        <v>COLUNA I</v>
      </c>
    </row>
    <row r="1154" spans="1:17" x14ac:dyDescent="0.25">
      <c r="A1154" s="1" t="str">
        <f>_xlfn.XLOOKUP(D1154,'Novo relatório'!B:B,'Novo relatório'!C:C,"RESOLVIDO")</f>
        <v>SABRE</v>
      </c>
      <c r="C1154" t="str">
        <f t="shared" ref="C1154:C1217" si="36">IF(A1154="RESOLVIDO","RESOLVIDO",IF(B1154="","PENDENTE",IF(LEFT(B1154,7)="CHAMADO","AGUARDANDO FORNECEDOR",IF(B1154="CONTABILIZAR","CONTABILIZAR NO PORTAL"))))</f>
        <v>PENDENTE</v>
      </c>
      <c r="D1154" s="1">
        <v>3312675</v>
      </c>
      <c r="E1154" s="1" t="s">
        <v>26</v>
      </c>
      <c r="F1154" s="2">
        <v>45736.440972222219</v>
      </c>
      <c r="G1154" s="1" t="s">
        <v>1891</v>
      </c>
      <c r="H1154" s="1" t="s">
        <v>1891</v>
      </c>
      <c r="I1154" s="1" t="s">
        <v>1189</v>
      </c>
      <c r="J1154" s="2">
        <v>45735.849305555559</v>
      </c>
      <c r="K1154" s="2">
        <v>45736.53402777778</v>
      </c>
      <c r="L1154" s="1" t="s">
        <v>18</v>
      </c>
      <c r="M1154" s="1" t="str">
        <f>_xlfn.XLOOKUP(I1154,Parâmetros!A:A,Parâmetros!B:B,_xlfn.XLOOKUP(Q1154,Parâmetros!F:F,Parâmetros!G:G,"NOVA MENSAGEM"))</f>
        <v>CÓD. CLIENTE DIVERGENTE</v>
      </c>
      <c r="N1154" s="1" t="str">
        <f>_xlfn.XLOOKUP(M1154,Parâmetros!K:K,Parâmetros!L:L,"")</f>
        <v>CÓDIGO DIFERENTE DO CADASTRADO NO BENNER (CLIENTE X GRUPO)</v>
      </c>
      <c r="O1154" s="1" t="str">
        <f>_xlfn.XLOOKUP(M1154,Parâmetros!B:B,Parâmetros!C:C,_xlfn.XLOOKUP(Base!M1153,Parâmetros!G:G,Parâmetros!H:H))</f>
        <v>QUALIDADE DOS DADOS</v>
      </c>
      <c r="P1154" s="1" t="str">
        <f>_xlfn.XLOOKUP(I1154,Parâmetros!A:A,Parâmetros!D:D,_xlfn.XLOOKUP(Q1154,Parâmetros!F:F,Parâmetros!I:I))</f>
        <v>SUPORTE OBT</v>
      </c>
      <c r="Q1154" s="1">
        <f t="shared" ref="Q1154:Q1217" si="37">IFERROR(FIND("Não foi possível localizar o contrato do fornecedor",I1154),IFERROR(FIND("veículo",I1154),IFERROR(FIND("agagem",I1154),IFERROR(FIND("error in XML document",I1154),IFERROR(FIND("Não localizado cliente código",I1154),IFERROR(FIND("lemontech",I1154),IFERROR(FIND("&gt;Fornecedor com o",I1154),IFERROR(FIND("INSERT",I1154),IFERROR(FIND("com CNPJ",I1154),IFERROR(FIND("Consultando Agente-&gt; O agente",I1154),IFERROR(FIND("Não foi possível determinar a validade do cartão, favor verificar os dados do cartão",I1154),"COLUNA I")))))))))))</f>
        <v>1</v>
      </c>
    </row>
    <row r="1155" spans="1:17" x14ac:dyDescent="0.25">
      <c r="A1155" s="1" t="str">
        <f>_xlfn.XLOOKUP(D1155,'Novo relatório'!B:B,'Novo relatório'!C:C,"RESOLVIDO")</f>
        <v>SABRE</v>
      </c>
      <c r="C1155" t="str">
        <f t="shared" si="36"/>
        <v>PENDENTE</v>
      </c>
      <c r="D1155" s="1">
        <v>3312690</v>
      </c>
      <c r="E1155" s="1" t="s">
        <v>26</v>
      </c>
      <c r="F1155" s="2">
        <v>45735.756944444445</v>
      </c>
      <c r="G1155" s="1" t="s">
        <v>1791</v>
      </c>
      <c r="H1155" s="1" t="s">
        <v>1791</v>
      </c>
      <c r="I1155" s="1" t="s">
        <v>83</v>
      </c>
      <c r="J1155" s="2">
        <v>45735.850694444445</v>
      </c>
      <c r="L1155" s="1" t="s">
        <v>18</v>
      </c>
      <c r="M1155" s="1" t="str">
        <f>_xlfn.XLOOKUP(I1155,Parâmetros!A:A,Parâmetros!B:B,_xlfn.XLOOKUP(Q1155,Parâmetros!F:F,Parâmetros!G:G,"NOVA MENSAGEM"))</f>
        <v>CLIENTE NÃO IDENTIFICADO</v>
      </c>
      <c r="N1155" s="1" t="str">
        <f>_xlfn.XLOOKUP(M1155,Parâmetros!K:K,Parâmetros!L:L,"")</f>
        <v>DK DE CLIENTE NÃO PREENCIDO / CLIENTE NÃO CONFIGURADO NO OBT</v>
      </c>
      <c r="O1155" s="1" t="str">
        <f>_xlfn.XLOOKUP(M1155,Parâmetros!B:B,Parâmetros!C:C,_xlfn.XLOOKUP(Base!M1155,Parâmetros!G:G,Parâmetros!H:H))</f>
        <v>INDEFINIDO</v>
      </c>
      <c r="P1155" s="1" t="str">
        <f>_xlfn.XLOOKUP(I1155,Parâmetros!A:A,Parâmetros!D:D,_xlfn.XLOOKUP(Q1155,Parâmetros!F:F,Parâmetros!I:I))</f>
        <v>OPERAÇÕES / SUPORTE KCS</v>
      </c>
      <c r="Q1155" s="1" t="str">
        <f t="shared" si="37"/>
        <v>COLUNA I</v>
      </c>
    </row>
    <row r="1156" spans="1:17" x14ac:dyDescent="0.25">
      <c r="A1156" s="1" t="str">
        <f>_xlfn.XLOOKUP(D1156,'Novo relatório'!B:B,'Novo relatório'!C:C,"RESOLVIDO")</f>
        <v>SABRE</v>
      </c>
      <c r="C1156" t="str">
        <f t="shared" si="36"/>
        <v>PENDENTE</v>
      </c>
      <c r="D1156" s="1">
        <v>3312691</v>
      </c>
      <c r="E1156" s="1" t="s">
        <v>26</v>
      </c>
      <c r="F1156" s="2">
        <v>45735.756944444445</v>
      </c>
      <c r="G1156" s="1" t="s">
        <v>1648</v>
      </c>
      <c r="H1156" s="1" t="s">
        <v>1648</v>
      </c>
      <c r="I1156" s="1" t="s">
        <v>83</v>
      </c>
      <c r="J1156" s="2">
        <v>45735.850694444445</v>
      </c>
      <c r="L1156" s="1" t="s">
        <v>18</v>
      </c>
      <c r="M1156" s="1" t="str">
        <f>_xlfn.XLOOKUP(I1156,Parâmetros!A:A,Parâmetros!B:B,_xlfn.XLOOKUP(Q1156,Parâmetros!F:F,Parâmetros!G:G,"NOVA MENSAGEM"))</f>
        <v>CLIENTE NÃO IDENTIFICADO</v>
      </c>
      <c r="N1156" s="1" t="str">
        <f>_xlfn.XLOOKUP(M1156,Parâmetros!K:K,Parâmetros!L:L,"")</f>
        <v>DK DE CLIENTE NÃO PREENCIDO / CLIENTE NÃO CONFIGURADO NO OBT</v>
      </c>
      <c r="O1156" s="1" t="str">
        <f>_xlfn.XLOOKUP(M1156,Parâmetros!B:B,Parâmetros!C:C,_xlfn.XLOOKUP(Base!M1154,Parâmetros!G:G,Parâmetros!H:H))</f>
        <v>INDEFINIDO</v>
      </c>
      <c r="P1156" s="1" t="str">
        <f>_xlfn.XLOOKUP(I1156,Parâmetros!A:A,Parâmetros!D:D,_xlfn.XLOOKUP(Q1156,Parâmetros!F:F,Parâmetros!I:I))</f>
        <v>OPERAÇÕES / SUPORTE KCS</v>
      </c>
      <c r="Q1156" s="1" t="str">
        <f t="shared" si="37"/>
        <v>COLUNA I</v>
      </c>
    </row>
    <row r="1157" spans="1:17" x14ac:dyDescent="0.25">
      <c r="A1157" s="1" t="str">
        <f>_xlfn.XLOOKUP(D1157,'Novo relatório'!B:B,'Novo relatório'!C:C,"RESOLVIDO")</f>
        <v>SABRE</v>
      </c>
      <c r="C1157" t="str">
        <f t="shared" si="36"/>
        <v>PENDENTE</v>
      </c>
      <c r="D1157" s="1">
        <v>3312693</v>
      </c>
      <c r="E1157" s="1" t="s">
        <v>26</v>
      </c>
      <c r="F1157" s="2">
        <v>45736.34375</v>
      </c>
      <c r="G1157" s="1" t="s">
        <v>1802</v>
      </c>
      <c r="H1157" s="1" t="s">
        <v>1802</v>
      </c>
      <c r="I1157" s="1" t="s">
        <v>83</v>
      </c>
      <c r="J1157" s="2">
        <v>45735.850694444445</v>
      </c>
      <c r="K1157" s="2">
        <v>45736.430555555555</v>
      </c>
      <c r="L1157" s="1" t="s">
        <v>18</v>
      </c>
      <c r="M1157" s="1" t="str">
        <f>_xlfn.XLOOKUP(I1157,Parâmetros!A:A,Parâmetros!B:B,_xlfn.XLOOKUP(Q1157,Parâmetros!F:F,Parâmetros!G:G,"NOVA MENSAGEM"))</f>
        <v>CLIENTE NÃO IDENTIFICADO</v>
      </c>
      <c r="N1157" s="1" t="str">
        <f>_xlfn.XLOOKUP(M1157,Parâmetros!K:K,Parâmetros!L:L,"")</f>
        <v>DK DE CLIENTE NÃO PREENCIDO / CLIENTE NÃO CONFIGURADO NO OBT</v>
      </c>
      <c r="O1157" s="1" t="str">
        <f>_xlfn.XLOOKUP(M1157,Parâmetros!B:B,Parâmetros!C:C,_xlfn.XLOOKUP(Base!M1157,Parâmetros!G:G,Parâmetros!H:H))</f>
        <v>INDEFINIDO</v>
      </c>
      <c r="P1157" s="1" t="str">
        <f>_xlfn.XLOOKUP(I1157,Parâmetros!A:A,Parâmetros!D:D,_xlfn.XLOOKUP(Q1157,Parâmetros!F:F,Parâmetros!I:I))</f>
        <v>OPERAÇÕES / SUPORTE KCS</v>
      </c>
      <c r="Q1157" s="1" t="str">
        <f t="shared" si="37"/>
        <v>COLUNA I</v>
      </c>
    </row>
    <row r="1158" spans="1:17" x14ac:dyDescent="0.25">
      <c r="A1158" s="1" t="str">
        <f>_xlfn.XLOOKUP(D1158,'Novo relatório'!B:B,'Novo relatório'!C:C,"RESOLVIDO")</f>
        <v>SABRE</v>
      </c>
      <c r="C1158" t="str">
        <f t="shared" si="36"/>
        <v>PENDENTE</v>
      </c>
      <c r="D1158" s="1">
        <v>3312694</v>
      </c>
      <c r="E1158" s="1" t="s">
        <v>26</v>
      </c>
      <c r="F1158" s="2">
        <v>45735.756944444445</v>
      </c>
      <c r="G1158" s="1" t="s">
        <v>1813</v>
      </c>
      <c r="H1158" s="1" t="s">
        <v>1813</v>
      </c>
      <c r="I1158" s="1" t="s">
        <v>83</v>
      </c>
      <c r="J1158" s="2">
        <v>45735.850694444445</v>
      </c>
      <c r="L1158" s="1" t="s">
        <v>18</v>
      </c>
      <c r="M1158" s="1" t="str">
        <f>_xlfn.XLOOKUP(I1158,Parâmetros!A:A,Parâmetros!B:B,_xlfn.XLOOKUP(Q1158,Parâmetros!F:F,Parâmetros!G:G,"NOVA MENSAGEM"))</f>
        <v>CLIENTE NÃO IDENTIFICADO</v>
      </c>
      <c r="N1158" s="1" t="str">
        <f>_xlfn.XLOOKUP(M1158,Parâmetros!K:K,Parâmetros!L:L,"")</f>
        <v>DK DE CLIENTE NÃO PREENCIDO / CLIENTE NÃO CONFIGURADO NO OBT</v>
      </c>
      <c r="O1158" s="1" t="str">
        <f>_xlfn.XLOOKUP(M1158,Parâmetros!B:B,Parâmetros!C:C,_xlfn.XLOOKUP(Base!M1156,Parâmetros!G:G,Parâmetros!H:H))</f>
        <v>INDEFINIDO</v>
      </c>
      <c r="P1158" s="1" t="str">
        <f>_xlfn.XLOOKUP(I1158,Parâmetros!A:A,Parâmetros!D:D,_xlfn.XLOOKUP(Q1158,Parâmetros!F:F,Parâmetros!I:I))</f>
        <v>OPERAÇÕES / SUPORTE KCS</v>
      </c>
      <c r="Q1158" s="1" t="str">
        <f t="shared" si="37"/>
        <v>COLUNA I</v>
      </c>
    </row>
    <row r="1159" spans="1:17" x14ac:dyDescent="0.25">
      <c r="A1159" s="1" t="str">
        <f>_xlfn.XLOOKUP(D1159,'Novo relatório'!B:B,'Novo relatório'!C:C,"RESOLVIDO")</f>
        <v>SABRE</v>
      </c>
      <c r="C1159" t="str">
        <f t="shared" si="36"/>
        <v>PENDENTE</v>
      </c>
      <c r="D1159" s="1">
        <v>3313043</v>
      </c>
      <c r="E1159" s="1" t="s">
        <v>26</v>
      </c>
      <c r="F1159" s="2">
        <v>45736.326388888891</v>
      </c>
      <c r="G1159" s="1" t="s">
        <v>1792</v>
      </c>
      <c r="H1159" s="1" t="s">
        <v>1793</v>
      </c>
      <c r="I1159" s="1" t="s">
        <v>64</v>
      </c>
      <c r="J1159" s="2">
        <v>45736.420138888891</v>
      </c>
      <c r="L1159" s="1" t="s">
        <v>1244</v>
      </c>
      <c r="M1159" s="1" t="str">
        <f>_xlfn.XLOOKUP(I1159,Parâmetros!A:A,Parâmetros!B:B,_xlfn.XLOOKUP(Q1159,Parâmetros!F:F,Parâmetros!G:G,"NOVA MENSAGEM"))</f>
        <v>FORMATO DE TEXTO</v>
      </c>
      <c r="N1159" s="1" t="str">
        <f>_xlfn.XLOOKUP(M1159,Parâmetros!K:K,Parâmetros!L:L,"")</f>
        <v>TEXTO FORA DO PADRÃO ACEITO NO CAMPO</v>
      </c>
      <c r="O1159" s="1" t="str">
        <f>_xlfn.XLOOKUP(M1159,Parâmetros!B:B,Parâmetros!C:C,_xlfn.XLOOKUP(Base!M1159,Parâmetros!G:G,Parâmetros!H:H))</f>
        <v>INDEFINIDO</v>
      </c>
      <c r="P1159" s="1" t="str">
        <f>_xlfn.XLOOKUP(I1159,Parâmetros!A:A,Parâmetros!D:D,_xlfn.XLOOKUP(Q1159,Parâmetros!F:F,Parâmetros!I:I))</f>
        <v>SUPORTE OBT</v>
      </c>
      <c r="Q1159" s="1" t="str">
        <f t="shared" si="37"/>
        <v>COLUNA I</v>
      </c>
    </row>
    <row r="1160" spans="1:17" x14ac:dyDescent="0.25">
      <c r="A1160" s="1" t="str">
        <f>_xlfn.XLOOKUP(D1160,'Novo relatório'!B:B,'Novo relatório'!C:C,"RESOLVIDO")</f>
        <v>SABRE</v>
      </c>
      <c r="C1160" t="str">
        <f t="shared" si="36"/>
        <v>PENDENTE</v>
      </c>
      <c r="D1160" s="1">
        <v>3313044</v>
      </c>
      <c r="E1160" s="1" t="s">
        <v>26</v>
      </c>
      <c r="F1160" s="2">
        <v>45736.326388888891</v>
      </c>
      <c r="G1160" s="1" t="s">
        <v>1739</v>
      </c>
      <c r="H1160" s="1" t="s">
        <v>1740</v>
      </c>
      <c r="I1160" s="1" t="s">
        <v>64</v>
      </c>
      <c r="J1160" s="2">
        <v>45736.420138888891</v>
      </c>
      <c r="L1160" s="1" t="s">
        <v>1244</v>
      </c>
      <c r="M1160" s="1" t="str">
        <f>_xlfn.XLOOKUP(I1160,Parâmetros!A:A,Parâmetros!B:B,_xlfn.XLOOKUP(Q1160,Parâmetros!F:F,Parâmetros!G:G,"NOVA MENSAGEM"))</f>
        <v>FORMATO DE TEXTO</v>
      </c>
      <c r="N1160" s="1" t="str">
        <f>_xlfn.XLOOKUP(M1160,Parâmetros!K:K,Parâmetros!L:L,"")</f>
        <v>TEXTO FORA DO PADRÃO ACEITO NO CAMPO</v>
      </c>
      <c r="O1160" s="1" t="str">
        <f>_xlfn.XLOOKUP(M1160,Parâmetros!B:B,Parâmetros!C:C,_xlfn.XLOOKUP(Base!M1158,Parâmetros!G:G,Parâmetros!H:H))</f>
        <v>INDEFINIDO</v>
      </c>
      <c r="P1160" s="1" t="str">
        <f>_xlfn.XLOOKUP(I1160,Parâmetros!A:A,Parâmetros!D:D,_xlfn.XLOOKUP(Q1160,Parâmetros!F:F,Parâmetros!I:I))</f>
        <v>SUPORTE OBT</v>
      </c>
      <c r="Q1160" s="1" t="str">
        <f t="shared" si="37"/>
        <v>COLUNA I</v>
      </c>
    </row>
    <row r="1161" spans="1:17" x14ac:dyDescent="0.25">
      <c r="A1161" s="1" t="str">
        <f>_xlfn.XLOOKUP(D1161,'Novo relatório'!B:B,'Novo relatório'!C:C,"RESOLVIDO")</f>
        <v>SABRE</v>
      </c>
      <c r="C1161" t="str">
        <f t="shared" si="36"/>
        <v>PENDENTE</v>
      </c>
      <c r="D1161" s="1">
        <v>3313045</v>
      </c>
      <c r="E1161" s="1" t="s">
        <v>26</v>
      </c>
      <c r="F1161" s="2">
        <v>45736.327777777777</v>
      </c>
      <c r="G1161" s="1" t="s">
        <v>1667</v>
      </c>
      <c r="H1161" s="1" t="s">
        <v>1668</v>
      </c>
      <c r="I1161" s="1" t="s">
        <v>64</v>
      </c>
      <c r="J1161" s="2">
        <v>45736.420138888891</v>
      </c>
      <c r="L1161" s="1" t="s">
        <v>1244</v>
      </c>
      <c r="M1161" s="1" t="str">
        <f>_xlfn.XLOOKUP(I1161,Parâmetros!A:A,Parâmetros!B:B,_xlfn.XLOOKUP(Q1161,Parâmetros!F:F,Parâmetros!G:G,"NOVA MENSAGEM"))</f>
        <v>FORMATO DE TEXTO</v>
      </c>
      <c r="N1161" s="1" t="str">
        <f>_xlfn.XLOOKUP(M1161,Parâmetros!K:K,Parâmetros!L:L,"")</f>
        <v>TEXTO FORA DO PADRÃO ACEITO NO CAMPO</v>
      </c>
      <c r="O1161" s="1" t="str">
        <f>_xlfn.XLOOKUP(M1161,Parâmetros!B:B,Parâmetros!C:C,_xlfn.XLOOKUP(Base!M1161,Parâmetros!G:G,Parâmetros!H:H))</f>
        <v>INDEFINIDO</v>
      </c>
      <c r="P1161" s="1" t="str">
        <f>_xlfn.XLOOKUP(I1161,Parâmetros!A:A,Parâmetros!D:D,_xlfn.XLOOKUP(Q1161,Parâmetros!F:F,Parâmetros!I:I))</f>
        <v>SUPORTE OBT</v>
      </c>
      <c r="Q1161" s="1" t="str">
        <f t="shared" si="37"/>
        <v>COLUNA I</v>
      </c>
    </row>
    <row r="1162" spans="1:17" x14ac:dyDescent="0.25">
      <c r="A1162" s="1" t="str">
        <f>_xlfn.XLOOKUP(D1162,'Novo relatório'!B:B,'Novo relatório'!C:C,"RESOLVIDO")</f>
        <v>SABRE</v>
      </c>
      <c r="C1162" t="str">
        <f t="shared" si="36"/>
        <v>PENDENTE</v>
      </c>
      <c r="D1162" s="1">
        <v>3313046</v>
      </c>
      <c r="E1162" s="1" t="s">
        <v>26</v>
      </c>
      <c r="F1162" s="2">
        <v>45736.327777777777</v>
      </c>
      <c r="G1162" s="1" t="s">
        <v>1649</v>
      </c>
      <c r="H1162" s="1" t="s">
        <v>1650</v>
      </c>
      <c r="I1162" s="1" t="s">
        <v>64</v>
      </c>
      <c r="J1162" s="2">
        <v>45736.420138888891</v>
      </c>
      <c r="L1162" s="1" t="s">
        <v>1244</v>
      </c>
      <c r="M1162" s="1" t="str">
        <f>_xlfn.XLOOKUP(I1162,Parâmetros!A:A,Parâmetros!B:B,_xlfn.XLOOKUP(Q1162,Parâmetros!F:F,Parâmetros!G:G,"NOVA MENSAGEM"))</f>
        <v>FORMATO DE TEXTO</v>
      </c>
      <c r="N1162" s="1" t="str">
        <f>_xlfn.XLOOKUP(M1162,Parâmetros!K:K,Parâmetros!L:L,"")</f>
        <v>TEXTO FORA DO PADRÃO ACEITO NO CAMPO</v>
      </c>
      <c r="O1162" s="1" t="str">
        <f>_xlfn.XLOOKUP(M1162,Parâmetros!B:B,Parâmetros!C:C,_xlfn.XLOOKUP(Base!M1160,Parâmetros!G:G,Parâmetros!H:H))</f>
        <v>INDEFINIDO</v>
      </c>
      <c r="P1162" s="1" t="str">
        <f>_xlfn.XLOOKUP(I1162,Parâmetros!A:A,Parâmetros!D:D,_xlfn.XLOOKUP(Q1162,Parâmetros!F:F,Parâmetros!I:I))</f>
        <v>SUPORTE OBT</v>
      </c>
      <c r="Q1162" s="1" t="str">
        <f t="shared" si="37"/>
        <v>COLUNA I</v>
      </c>
    </row>
    <row r="1163" spans="1:17" x14ac:dyDescent="0.25">
      <c r="A1163" s="1" t="str">
        <f>_xlfn.XLOOKUP(D1163,'Novo relatório'!B:B,'Novo relatório'!C:C,"RESOLVIDO")</f>
        <v>SABRE</v>
      </c>
      <c r="C1163" t="str">
        <f t="shared" si="36"/>
        <v>PENDENTE</v>
      </c>
      <c r="D1163" s="1">
        <v>3313047</v>
      </c>
      <c r="E1163" s="1" t="s">
        <v>26</v>
      </c>
      <c r="F1163" s="2">
        <v>45736.327777777777</v>
      </c>
      <c r="G1163" s="1" t="s">
        <v>1697</v>
      </c>
      <c r="H1163" s="1" t="s">
        <v>1698</v>
      </c>
      <c r="I1163" s="1" t="s">
        <v>64</v>
      </c>
      <c r="J1163" s="2">
        <v>45736.420138888891</v>
      </c>
      <c r="L1163" s="1" t="s">
        <v>1244</v>
      </c>
      <c r="M1163" s="1" t="str">
        <f>_xlfn.XLOOKUP(I1163,Parâmetros!A:A,Parâmetros!B:B,_xlfn.XLOOKUP(Q1163,Parâmetros!F:F,Parâmetros!G:G,"NOVA MENSAGEM"))</f>
        <v>FORMATO DE TEXTO</v>
      </c>
      <c r="N1163" s="1" t="str">
        <f>_xlfn.XLOOKUP(M1163,Parâmetros!K:K,Parâmetros!L:L,"")</f>
        <v>TEXTO FORA DO PADRÃO ACEITO NO CAMPO</v>
      </c>
      <c r="O1163" s="1" t="str">
        <f>_xlfn.XLOOKUP(M1163,Parâmetros!B:B,Parâmetros!C:C,_xlfn.XLOOKUP(Base!M1162,Parâmetros!G:G,Parâmetros!H:H))</f>
        <v>INDEFINIDO</v>
      </c>
      <c r="P1163" s="1" t="str">
        <f>_xlfn.XLOOKUP(I1163,Parâmetros!A:A,Parâmetros!D:D,_xlfn.XLOOKUP(Q1163,Parâmetros!F:F,Parâmetros!I:I))</f>
        <v>SUPORTE OBT</v>
      </c>
      <c r="Q1163" s="1" t="str">
        <f t="shared" si="37"/>
        <v>COLUNA I</v>
      </c>
    </row>
    <row r="1164" spans="1:17" x14ac:dyDescent="0.25">
      <c r="A1164" s="1" t="str">
        <f>_xlfn.XLOOKUP(D1164,'Novo relatório'!B:B,'Novo relatório'!C:C,"RESOLVIDO")</f>
        <v>SABRE</v>
      </c>
      <c r="C1164" t="str">
        <f t="shared" si="36"/>
        <v>PENDENTE</v>
      </c>
      <c r="D1164" s="1">
        <v>3313048</v>
      </c>
      <c r="E1164" s="1" t="s">
        <v>26</v>
      </c>
      <c r="F1164" s="2">
        <v>45736.327777777777</v>
      </c>
      <c r="G1164" s="1" t="s">
        <v>1757</v>
      </c>
      <c r="H1164" s="1" t="s">
        <v>1758</v>
      </c>
      <c r="I1164" s="1" t="s">
        <v>64</v>
      </c>
      <c r="J1164" s="2">
        <v>45736.42083333333</v>
      </c>
      <c r="L1164" s="1" t="s">
        <v>1244</v>
      </c>
      <c r="M1164" s="1" t="str">
        <f>_xlfn.XLOOKUP(I1164,Parâmetros!A:A,Parâmetros!B:B,_xlfn.XLOOKUP(Q1164,Parâmetros!F:F,Parâmetros!G:G,"NOVA MENSAGEM"))</f>
        <v>FORMATO DE TEXTO</v>
      </c>
      <c r="N1164" s="1" t="str">
        <f>_xlfn.XLOOKUP(M1164,Parâmetros!K:K,Parâmetros!L:L,"")</f>
        <v>TEXTO FORA DO PADRÃO ACEITO NO CAMPO</v>
      </c>
      <c r="O1164" s="1" t="str">
        <f>_xlfn.XLOOKUP(M1164,Parâmetros!B:B,Parâmetros!C:C,_xlfn.XLOOKUP(Base!M1163,Parâmetros!G:G,Parâmetros!H:H))</f>
        <v>INDEFINIDO</v>
      </c>
      <c r="P1164" s="1" t="str">
        <f>_xlfn.XLOOKUP(I1164,Parâmetros!A:A,Parâmetros!D:D,_xlfn.XLOOKUP(Q1164,Parâmetros!F:F,Parâmetros!I:I))</f>
        <v>SUPORTE OBT</v>
      </c>
      <c r="Q1164" s="1" t="str">
        <f t="shared" si="37"/>
        <v>COLUNA I</v>
      </c>
    </row>
    <row r="1165" spans="1:17" x14ac:dyDescent="0.25">
      <c r="A1165" s="1" t="str">
        <f>_xlfn.XLOOKUP(D1165,'Novo relatório'!B:B,'Novo relatório'!C:C,"RESOLVIDO")</f>
        <v>SABRE</v>
      </c>
      <c r="C1165" t="str">
        <f t="shared" si="36"/>
        <v>PENDENTE</v>
      </c>
      <c r="D1165" s="1">
        <v>3313107</v>
      </c>
      <c r="E1165" s="1" t="s">
        <v>26</v>
      </c>
      <c r="F1165" s="2">
        <v>45736.345138888886</v>
      </c>
      <c r="G1165" s="1" t="s">
        <v>1696</v>
      </c>
      <c r="H1165" s="1" t="s">
        <v>1696</v>
      </c>
      <c r="I1165" s="1" t="s">
        <v>1215</v>
      </c>
      <c r="J1165" s="2">
        <v>45736.431250000001</v>
      </c>
      <c r="L1165" s="1" t="s">
        <v>18</v>
      </c>
      <c r="M1165" s="1" t="str">
        <f>_xlfn.XLOOKUP(I1165,Parâmetros!A:A,Parâmetros!B:B,_xlfn.XLOOKUP(Q1165,Parâmetros!F:F,Parâmetros!G:G,"NOVA MENSAGEM"))</f>
        <v>CÓD. CLIENTE DIVERGENTE</v>
      </c>
      <c r="N1165" s="1" t="str">
        <f>_xlfn.XLOOKUP(M1165,Parâmetros!K:K,Parâmetros!L:L,"")</f>
        <v>CÓDIGO DIFERENTE DO CADASTRADO NO BENNER (CLIENTE X GRUPO)</v>
      </c>
      <c r="O1165" s="1" t="str">
        <f>_xlfn.XLOOKUP(M1165,Parâmetros!B:B,Parâmetros!C:C,_xlfn.XLOOKUP(Base!M1164,Parâmetros!G:G,Parâmetros!H:H))</f>
        <v>QUALIDADE DOS DADOS</v>
      </c>
      <c r="P1165" s="1" t="str">
        <f>_xlfn.XLOOKUP(I1165,Parâmetros!A:A,Parâmetros!D:D,_xlfn.XLOOKUP(Q1165,Parâmetros!F:F,Parâmetros!I:I))</f>
        <v>SUPORTE OBT</v>
      </c>
      <c r="Q1165" s="1">
        <f t="shared" si="37"/>
        <v>1</v>
      </c>
    </row>
    <row r="1166" spans="1:17" x14ac:dyDescent="0.25">
      <c r="A1166" s="1" t="str">
        <f>_xlfn.XLOOKUP(D1166,'Novo relatório'!B:B,'Novo relatório'!C:C,"RESOLVIDO")</f>
        <v>GOVER</v>
      </c>
      <c r="C1166" t="str">
        <f t="shared" si="36"/>
        <v>PENDENTE</v>
      </c>
      <c r="D1166" s="1">
        <v>3313135</v>
      </c>
      <c r="E1166" s="1" t="s">
        <v>24</v>
      </c>
      <c r="F1166" s="2">
        <v>45589.436805555553</v>
      </c>
      <c r="G1166" s="1">
        <v>4433467</v>
      </c>
      <c r="H1166" s="1">
        <v>4433467</v>
      </c>
      <c r="I1166" s="1" t="s">
        <v>77</v>
      </c>
      <c r="J1166" s="2">
        <v>45736.445138888892</v>
      </c>
      <c r="K1166" s="2">
        <v>45756.615972222222</v>
      </c>
      <c r="L1166" s="1" t="s">
        <v>14</v>
      </c>
      <c r="M1166" s="1" t="str">
        <f>_xlfn.XLOOKUP(I1166,Parâmetros!A:A,Parâmetros!B:B,_xlfn.XLOOKUP(Q1166,Parâmetros!F:F,Parâmetros!G:G,"NOVA MENSAGEM"))</f>
        <v>RLOC NÃO INFORMADO</v>
      </c>
      <c r="N1166" s="1" t="str">
        <f>_xlfn.XLOOKUP(M1166,Parâmetros!K:K,Parâmetros!L:L,"")</f>
        <v>RLOC NÃO PREENCHIDO NA RESERVA</v>
      </c>
      <c r="O1166" s="1" t="str">
        <f>_xlfn.XLOOKUP(M1166,Parâmetros!B:B,Parâmetros!C:C,_xlfn.XLOOKUP(Base!M1165,Parâmetros!G:G,Parâmetros!H:H))</f>
        <v>QUALIDADE DOS DADOS</v>
      </c>
      <c r="P1166" s="1" t="str">
        <f>_xlfn.XLOOKUP(I1166,Parâmetros!A:A,Parâmetros!D:D,_xlfn.XLOOKUP(Q1166,Parâmetros!F:F,Parâmetros!I:I))</f>
        <v>SUPORTE OBT</v>
      </c>
      <c r="Q1166" s="1" t="str">
        <f t="shared" si="37"/>
        <v>COLUNA I</v>
      </c>
    </row>
    <row r="1167" spans="1:17" x14ac:dyDescent="0.25">
      <c r="A1167" s="1" t="str">
        <f>_xlfn.XLOOKUP(D1167,'Novo relatório'!B:B,'Novo relatório'!C:C,"RESOLVIDO")</f>
        <v>GOVER</v>
      </c>
      <c r="C1167" t="str">
        <f t="shared" si="36"/>
        <v>PENDENTE</v>
      </c>
      <c r="D1167" s="1">
        <v>3313136</v>
      </c>
      <c r="E1167" s="1" t="s">
        <v>24</v>
      </c>
      <c r="F1167" s="2">
        <v>45589.439583333333</v>
      </c>
      <c r="G1167" s="1">
        <v>4433472</v>
      </c>
      <c r="H1167" s="1">
        <v>4433472</v>
      </c>
      <c r="I1167" s="1" t="s">
        <v>77</v>
      </c>
      <c r="J1167" s="2">
        <v>45736.445138888892</v>
      </c>
      <c r="K1167" s="2">
        <v>45756.615972222222</v>
      </c>
      <c r="L1167" s="1" t="s">
        <v>14</v>
      </c>
      <c r="M1167" s="1" t="str">
        <f>_xlfn.XLOOKUP(I1167,Parâmetros!A:A,Parâmetros!B:B,_xlfn.XLOOKUP(Q1167,Parâmetros!F:F,Parâmetros!G:G,"NOVA MENSAGEM"))</f>
        <v>RLOC NÃO INFORMADO</v>
      </c>
      <c r="N1167" s="1" t="str">
        <f>_xlfn.XLOOKUP(M1167,Parâmetros!K:K,Parâmetros!L:L,"")</f>
        <v>RLOC NÃO PREENCHIDO NA RESERVA</v>
      </c>
      <c r="O1167" s="1" t="str">
        <f>_xlfn.XLOOKUP(M1167,Parâmetros!B:B,Parâmetros!C:C,_xlfn.XLOOKUP(Base!M1166,Parâmetros!G:G,Parâmetros!H:H))</f>
        <v>QUALIDADE DOS DADOS</v>
      </c>
      <c r="P1167" s="1" t="str">
        <f>_xlfn.XLOOKUP(I1167,Parâmetros!A:A,Parâmetros!D:D,_xlfn.XLOOKUP(Q1167,Parâmetros!F:F,Parâmetros!I:I))</f>
        <v>SUPORTE OBT</v>
      </c>
      <c r="Q1167" s="1" t="str">
        <f t="shared" si="37"/>
        <v>COLUNA I</v>
      </c>
    </row>
    <row r="1168" spans="1:17" x14ac:dyDescent="0.25">
      <c r="A1168" s="1" t="str">
        <f>_xlfn.XLOOKUP(D1168,'Novo relatório'!B:B,'Novo relatório'!C:C,"RESOLVIDO")</f>
        <v>GOVER</v>
      </c>
      <c r="C1168" t="str">
        <f t="shared" si="36"/>
        <v>PENDENTE</v>
      </c>
      <c r="D1168" s="1">
        <v>3313137</v>
      </c>
      <c r="E1168" s="1" t="s">
        <v>24</v>
      </c>
      <c r="F1168" s="2">
        <v>45589.441666666666</v>
      </c>
      <c r="G1168" s="1">
        <v>4433481</v>
      </c>
      <c r="H1168" s="1">
        <v>4433481</v>
      </c>
      <c r="I1168" s="1" t="s">
        <v>77</v>
      </c>
      <c r="J1168" s="2">
        <v>45736.445138888892</v>
      </c>
      <c r="K1168" s="2">
        <v>45756.615972222222</v>
      </c>
      <c r="L1168" s="1" t="s">
        <v>14</v>
      </c>
      <c r="M1168" s="1" t="str">
        <f>_xlfn.XLOOKUP(I1168,Parâmetros!A:A,Parâmetros!B:B,_xlfn.XLOOKUP(Q1168,Parâmetros!F:F,Parâmetros!G:G,"NOVA MENSAGEM"))</f>
        <v>RLOC NÃO INFORMADO</v>
      </c>
      <c r="N1168" s="1" t="str">
        <f>_xlfn.XLOOKUP(M1168,Parâmetros!K:K,Parâmetros!L:L,"")</f>
        <v>RLOC NÃO PREENCHIDO NA RESERVA</v>
      </c>
      <c r="O1168" s="1" t="str">
        <f>_xlfn.XLOOKUP(M1168,Parâmetros!B:B,Parâmetros!C:C,_xlfn.XLOOKUP(Base!M1167,Parâmetros!G:G,Parâmetros!H:H))</f>
        <v>QUALIDADE DOS DADOS</v>
      </c>
      <c r="P1168" s="1" t="str">
        <f>_xlfn.XLOOKUP(I1168,Parâmetros!A:A,Parâmetros!D:D,_xlfn.XLOOKUP(Q1168,Parâmetros!F:F,Parâmetros!I:I))</f>
        <v>SUPORTE OBT</v>
      </c>
      <c r="Q1168" s="1" t="str">
        <f t="shared" si="37"/>
        <v>COLUNA I</v>
      </c>
    </row>
    <row r="1169" spans="1:17" x14ac:dyDescent="0.25">
      <c r="A1169" s="1" t="str">
        <f>_xlfn.XLOOKUP(D1169,'Novo relatório'!B:B,'Novo relatório'!C:C,"RESOLVIDO")</f>
        <v>GOVER</v>
      </c>
      <c r="C1169" t="str">
        <f t="shared" si="36"/>
        <v>PENDENTE</v>
      </c>
      <c r="D1169" s="1">
        <v>3313196</v>
      </c>
      <c r="E1169" s="1" t="s">
        <v>24</v>
      </c>
      <c r="F1169" s="2">
        <v>45692.787499999999</v>
      </c>
      <c r="G1169" s="1">
        <v>4486393</v>
      </c>
      <c r="H1169" s="1" t="s">
        <v>945</v>
      </c>
      <c r="I1169" s="1" t="s">
        <v>423</v>
      </c>
      <c r="J1169" s="2">
        <v>45736.462500000001</v>
      </c>
      <c r="K1169" s="2">
        <v>45776.363888888889</v>
      </c>
      <c r="L1169" s="1" t="s">
        <v>1244</v>
      </c>
      <c r="M1169" s="1" t="str">
        <f>_xlfn.XLOOKUP(I1169,Parâmetros!A:A,Parâmetros!B:B,_xlfn.XLOOKUP(Q1169,Parâmetros!F:F,Parâmetros!G:G,"NOVA MENSAGEM"))</f>
        <v>DADOS DO CARTÃO</v>
      </c>
      <c r="N1169" s="1" t="str">
        <f>_xlfn.XLOOKUP(M1169,Parâmetros!K:K,Parâmetros!L:L,"")</f>
        <v>TAG &lt;CARTAOVALIDADE&gt; NÃO ENVIADA</v>
      </c>
      <c r="O1169" s="1" t="str">
        <f>_xlfn.XLOOKUP(M1169,Parâmetros!B:B,Parâmetros!C:C,_xlfn.XLOOKUP(Base!M1598,Parâmetros!G:G,Parâmetros!H:H))</f>
        <v>SISTEMA</v>
      </c>
      <c r="P1169" s="1" t="str">
        <f>_xlfn.XLOOKUP(I1169,Parâmetros!A:A,Parâmetros!D:D,_xlfn.XLOOKUP(Q1169,Parâmetros!F:F,Parâmetros!I:I))</f>
        <v>SUPORTE OBT</v>
      </c>
      <c r="Q1169" s="1">
        <f t="shared" si="37"/>
        <v>107</v>
      </c>
    </row>
    <row r="1170" spans="1:17" x14ac:dyDescent="0.25">
      <c r="A1170" s="1" t="str">
        <f>_xlfn.XLOOKUP(D1170,'Novo relatório'!B:B,'Novo relatório'!C:C,"RESOLVIDO")</f>
        <v>SABRE</v>
      </c>
      <c r="C1170" t="str">
        <f t="shared" si="36"/>
        <v>PENDENTE</v>
      </c>
      <c r="D1170" s="1">
        <v>3313255</v>
      </c>
      <c r="E1170" s="1" t="s">
        <v>26</v>
      </c>
      <c r="F1170" s="2">
        <v>45736.390972222223</v>
      </c>
      <c r="G1170" s="1" t="s">
        <v>1780</v>
      </c>
      <c r="H1170" s="1" t="s">
        <v>1781</v>
      </c>
      <c r="I1170" s="1" t="s">
        <v>64</v>
      </c>
      <c r="J1170" s="2">
        <v>45736.484722222223</v>
      </c>
      <c r="L1170" s="1" t="s">
        <v>1244</v>
      </c>
      <c r="M1170" s="1" t="str">
        <f>_xlfn.XLOOKUP(I1170,Parâmetros!A:A,Parâmetros!B:B,_xlfn.XLOOKUP(Q1170,Parâmetros!F:F,Parâmetros!G:G,"NOVA MENSAGEM"))</f>
        <v>FORMATO DE TEXTO</v>
      </c>
      <c r="N1170" s="1" t="str">
        <f>_xlfn.XLOOKUP(M1170,Parâmetros!K:K,Parâmetros!L:L,"")</f>
        <v>TEXTO FORA DO PADRÃO ACEITO NO CAMPO</v>
      </c>
      <c r="O1170" s="1" t="str">
        <f>_xlfn.XLOOKUP(M1170,Parâmetros!B:B,Parâmetros!C:C,_xlfn.XLOOKUP(Base!M1168,Parâmetros!G:G,Parâmetros!H:H))</f>
        <v>INDEFINIDO</v>
      </c>
      <c r="P1170" s="1" t="str">
        <f>_xlfn.XLOOKUP(I1170,Parâmetros!A:A,Parâmetros!D:D,_xlfn.XLOOKUP(Q1170,Parâmetros!F:F,Parâmetros!I:I))</f>
        <v>SUPORTE OBT</v>
      </c>
      <c r="Q1170" s="1" t="str">
        <f t="shared" si="37"/>
        <v>COLUNA I</v>
      </c>
    </row>
    <row r="1171" spans="1:17" x14ac:dyDescent="0.25">
      <c r="A1171" s="1" t="str">
        <f>_xlfn.XLOOKUP(D1171,'Novo relatório'!B:B,'Novo relatório'!C:C,"RESOLVIDO")</f>
        <v>SABRE</v>
      </c>
      <c r="C1171" t="str">
        <f t="shared" si="36"/>
        <v>PENDENTE</v>
      </c>
      <c r="D1171" s="1">
        <v>3313257</v>
      </c>
      <c r="E1171" s="1" t="s">
        <v>26</v>
      </c>
      <c r="F1171" s="2">
        <v>45736.390972222223</v>
      </c>
      <c r="G1171" s="1" t="s">
        <v>1892</v>
      </c>
      <c r="H1171" s="1" t="s">
        <v>1893</v>
      </c>
      <c r="I1171" s="1" t="s">
        <v>64</v>
      </c>
      <c r="J1171" s="2">
        <v>45736.484722222223</v>
      </c>
      <c r="L1171" s="1" t="s">
        <v>1244</v>
      </c>
      <c r="M1171" s="1" t="str">
        <f>_xlfn.XLOOKUP(I1171,Parâmetros!A:A,Parâmetros!B:B,_xlfn.XLOOKUP(Q1171,Parâmetros!F:F,Parâmetros!G:G,"NOVA MENSAGEM"))</f>
        <v>FORMATO DE TEXTO</v>
      </c>
      <c r="N1171" s="1" t="str">
        <f>_xlfn.XLOOKUP(M1171,Parâmetros!K:K,Parâmetros!L:L,"")</f>
        <v>TEXTO FORA DO PADRÃO ACEITO NO CAMPO</v>
      </c>
      <c r="O1171" s="1" t="str">
        <f>_xlfn.XLOOKUP(M1171,Parâmetros!B:B,Parâmetros!C:C,_xlfn.XLOOKUP(Base!M1169,Parâmetros!G:G,Parâmetros!H:H))</f>
        <v>INDEFINIDO</v>
      </c>
      <c r="P1171" s="1" t="str">
        <f>_xlfn.XLOOKUP(I1171,Parâmetros!A:A,Parâmetros!D:D,_xlfn.XLOOKUP(Q1171,Parâmetros!F:F,Parâmetros!I:I))</f>
        <v>SUPORTE OBT</v>
      </c>
      <c r="Q1171" s="1" t="str">
        <f t="shared" si="37"/>
        <v>COLUNA I</v>
      </c>
    </row>
    <row r="1172" spans="1:17" x14ac:dyDescent="0.25">
      <c r="A1172" s="1" t="str">
        <f>_xlfn.XLOOKUP(D1172,'Novo relatório'!B:B,'Novo relatório'!C:C,"RESOLVIDO")</f>
        <v>TMS</v>
      </c>
      <c r="C1172" t="str">
        <f t="shared" si="36"/>
        <v>PENDENTE</v>
      </c>
      <c r="D1172" s="1">
        <v>3314071</v>
      </c>
      <c r="E1172" s="1" t="s">
        <v>12</v>
      </c>
      <c r="F1172" s="2">
        <v>45706.443055555559</v>
      </c>
      <c r="G1172" s="1">
        <v>18372</v>
      </c>
      <c r="H1172" s="1">
        <v>18372</v>
      </c>
      <c r="I1172" s="1" t="s">
        <v>1231</v>
      </c>
      <c r="J1172" s="2">
        <v>45736.661805555559</v>
      </c>
      <c r="L1172" s="1" t="s">
        <v>14</v>
      </c>
      <c r="M1172" s="1" t="str">
        <f>_xlfn.XLOOKUP(I1172,Parâmetros!A:A,Parâmetros!B:B,_xlfn.XLOOKUP(Q1172,Parâmetros!F:F,Parâmetros!G:G,"NOVA MENSAGEM"))</f>
        <v>ASSENTO / BAGAGEM</v>
      </c>
      <c r="N1172" s="1" t="str">
        <f>_xlfn.XLOOKUP(M1172,Parâmetros!K:K,Parâmetros!L:L,"")</f>
        <v>CAMPO OBSERVAÇÃO PREENCHIDO INCORRETAMENTE</v>
      </c>
      <c r="O1172" s="1" t="str">
        <f>_xlfn.XLOOKUP(M1172,Parâmetros!B:B,Parâmetros!C:C,_xlfn.XLOOKUP(Base!M1573,Parâmetros!G:G,Parâmetros!H:H))</f>
        <v>QUALIDADE DOS DADOS</v>
      </c>
      <c r="P1172" s="1" t="str">
        <f>_xlfn.XLOOKUP(I1172,Parâmetros!A:A,Parâmetros!D:D,_xlfn.XLOOKUP(Q1172,Parâmetros!F:F,Parâmetros!I:I))</f>
        <v>OPERAÇÕES / SUPORTE KCS</v>
      </c>
      <c r="Q1172" s="1">
        <f t="shared" si="37"/>
        <v>127</v>
      </c>
    </row>
    <row r="1173" spans="1:17" x14ac:dyDescent="0.25">
      <c r="A1173" s="1" t="str">
        <f>_xlfn.XLOOKUP(D1173,'Novo relatório'!B:B,'Novo relatório'!C:C,"RESOLVIDO")</f>
        <v>SABRE</v>
      </c>
      <c r="C1173" t="str">
        <f t="shared" si="36"/>
        <v>PENDENTE</v>
      </c>
      <c r="D1173" s="1">
        <v>3314072</v>
      </c>
      <c r="E1173" s="1" t="s">
        <v>26</v>
      </c>
      <c r="F1173" s="2">
        <v>45736.570138888892</v>
      </c>
      <c r="G1173" s="1" t="s">
        <v>1670</v>
      </c>
      <c r="H1173" s="1" t="s">
        <v>1670</v>
      </c>
      <c r="I1173" s="1" t="s">
        <v>83</v>
      </c>
      <c r="J1173" s="2">
        <v>45736.661805555559</v>
      </c>
      <c r="L1173" s="1" t="s">
        <v>18</v>
      </c>
      <c r="M1173" s="1" t="str">
        <f>_xlfn.XLOOKUP(I1173,Parâmetros!A:A,Parâmetros!B:B,_xlfn.XLOOKUP(Q1173,Parâmetros!F:F,Parâmetros!G:G,"NOVA MENSAGEM"))</f>
        <v>CLIENTE NÃO IDENTIFICADO</v>
      </c>
      <c r="N1173" s="1" t="str">
        <f>_xlfn.XLOOKUP(M1173,Parâmetros!K:K,Parâmetros!L:L,"")</f>
        <v>DK DE CLIENTE NÃO PREENCIDO / CLIENTE NÃO CONFIGURADO NO OBT</v>
      </c>
      <c r="O1173" s="1" t="str">
        <f>_xlfn.XLOOKUP(M1173,Parâmetros!B:B,Parâmetros!C:C,_xlfn.XLOOKUP(Base!M1170,Parâmetros!G:G,Parâmetros!H:H))</f>
        <v>INDEFINIDO</v>
      </c>
      <c r="P1173" s="1" t="str">
        <f>_xlfn.XLOOKUP(I1173,Parâmetros!A:A,Parâmetros!D:D,_xlfn.XLOOKUP(Q1173,Parâmetros!F:F,Parâmetros!I:I))</f>
        <v>OPERAÇÕES / SUPORTE KCS</v>
      </c>
      <c r="Q1173" s="1" t="str">
        <f t="shared" si="37"/>
        <v>COLUNA I</v>
      </c>
    </row>
    <row r="1174" spans="1:17" x14ac:dyDescent="0.25">
      <c r="A1174" s="1" t="str">
        <f>_xlfn.XLOOKUP(D1174,'Novo relatório'!B:B,'Novo relatório'!C:C,"RESOLVIDO")</f>
        <v>SABRE</v>
      </c>
      <c r="C1174" t="str">
        <f t="shared" si="36"/>
        <v>PENDENTE</v>
      </c>
      <c r="D1174" s="1">
        <v>3314078</v>
      </c>
      <c r="E1174" s="1" t="s">
        <v>26</v>
      </c>
      <c r="F1174" s="2">
        <v>45736.570138888892</v>
      </c>
      <c r="G1174" s="1" t="s">
        <v>1647</v>
      </c>
      <c r="H1174" s="1" t="s">
        <v>1647</v>
      </c>
      <c r="I1174" s="1" t="s">
        <v>410</v>
      </c>
      <c r="J1174" s="2">
        <v>45736.663194444445</v>
      </c>
      <c r="L1174" s="1" t="s">
        <v>18</v>
      </c>
      <c r="M1174" s="1" t="str">
        <f>_xlfn.XLOOKUP(I1174,Parâmetros!A:A,Parâmetros!B:B,_xlfn.XLOOKUP(Q1174,Parâmetros!F:F,Parâmetros!G:G,"NOVA MENSAGEM"))</f>
        <v>CÓD. CLIENTE DIVERGENTE</v>
      </c>
      <c r="N1174" s="1" t="str">
        <f>_xlfn.XLOOKUP(M1174,Parâmetros!K:K,Parâmetros!L:L,"")</f>
        <v>CÓDIGO DIFERENTE DO CADASTRADO NO BENNER (CLIENTE X GRUPO)</v>
      </c>
      <c r="O1174" s="1" t="str">
        <f>_xlfn.XLOOKUP(M1174,Parâmetros!B:B,Parâmetros!C:C,_xlfn.XLOOKUP(Base!M1171,Parâmetros!G:G,Parâmetros!H:H))</f>
        <v>QUALIDADE DOS DADOS</v>
      </c>
      <c r="P1174" s="1" t="str">
        <f>_xlfn.XLOOKUP(I1174,Parâmetros!A:A,Parâmetros!D:D,_xlfn.XLOOKUP(Q1174,Parâmetros!F:F,Parâmetros!I:I))</f>
        <v>SUPORTE OBT</v>
      </c>
      <c r="Q1174" s="1">
        <f t="shared" si="37"/>
        <v>1</v>
      </c>
    </row>
    <row r="1175" spans="1:17" x14ac:dyDescent="0.25">
      <c r="A1175" s="1" t="str">
        <f>_xlfn.XLOOKUP(D1175,'Novo relatório'!B:B,'Novo relatório'!C:C,"RESOLVIDO")</f>
        <v>SABRE</v>
      </c>
      <c r="C1175" t="str">
        <f t="shared" si="36"/>
        <v>PENDENTE</v>
      </c>
      <c r="D1175" s="1">
        <v>3314129</v>
      </c>
      <c r="E1175" s="1" t="s">
        <v>26</v>
      </c>
      <c r="F1175" s="2">
        <v>45736.570138888892</v>
      </c>
      <c r="G1175" s="1" t="s">
        <v>1734</v>
      </c>
      <c r="H1175" s="1" t="s">
        <v>1734</v>
      </c>
      <c r="I1175" s="1" t="s">
        <v>1054</v>
      </c>
      <c r="J1175" s="2">
        <v>45736.665972222225</v>
      </c>
      <c r="L1175" s="1" t="s">
        <v>18</v>
      </c>
      <c r="M1175" s="1" t="str">
        <f>_xlfn.XLOOKUP(I1175,Parâmetros!A:A,Parâmetros!B:B,_xlfn.XLOOKUP(Q1175,Parâmetros!F:F,Parâmetros!G:G,"NOVA MENSAGEM"))</f>
        <v>CÓD. CLIENTE DIVERGENTE</v>
      </c>
      <c r="N1175" s="1" t="str">
        <f>_xlfn.XLOOKUP(M1175,Parâmetros!K:K,Parâmetros!L:L,"")</f>
        <v>CÓDIGO DIFERENTE DO CADASTRADO NO BENNER (CLIENTE X GRUPO)</v>
      </c>
      <c r="O1175" s="1" t="str">
        <f>_xlfn.XLOOKUP(M1175,Parâmetros!B:B,Parâmetros!C:C,_xlfn.XLOOKUP(Base!M1172,Parâmetros!G:G,Parâmetros!H:H))</f>
        <v>QUALIDADE DOS DADOS</v>
      </c>
      <c r="P1175" s="1" t="str">
        <f>_xlfn.XLOOKUP(I1175,Parâmetros!A:A,Parâmetros!D:D,_xlfn.XLOOKUP(Q1175,Parâmetros!F:F,Parâmetros!I:I))</f>
        <v>SUPORTE OBT</v>
      </c>
      <c r="Q1175" s="1">
        <f t="shared" si="37"/>
        <v>1</v>
      </c>
    </row>
    <row r="1176" spans="1:17" x14ac:dyDescent="0.25">
      <c r="A1176" s="1" t="str">
        <f>_xlfn.XLOOKUP(D1176,'Novo relatório'!B:B,'Novo relatório'!C:C,"RESOLVIDO")</f>
        <v>SABRE</v>
      </c>
      <c r="C1176" t="str">
        <f t="shared" si="36"/>
        <v>PENDENTE</v>
      </c>
      <c r="D1176" s="1">
        <v>3314226</v>
      </c>
      <c r="E1176" s="1" t="s">
        <v>26</v>
      </c>
      <c r="F1176" s="2">
        <v>45736.57708333333</v>
      </c>
      <c r="G1176" s="1" t="s">
        <v>1903</v>
      </c>
      <c r="H1176" s="1" t="s">
        <v>1904</v>
      </c>
      <c r="I1176" s="1" t="s">
        <v>64</v>
      </c>
      <c r="J1176" s="2">
        <v>45736.670138888891</v>
      </c>
      <c r="L1176" s="1" t="s">
        <v>1244</v>
      </c>
      <c r="M1176" s="1" t="str">
        <f>_xlfn.XLOOKUP(I1176,Parâmetros!A:A,Parâmetros!B:B,_xlfn.XLOOKUP(Q1176,Parâmetros!F:F,Parâmetros!G:G,"NOVA MENSAGEM"))</f>
        <v>FORMATO DE TEXTO</v>
      </c>
      <c r="N1176" s="1" t="str">
        <f>_xlfn.XLOOKUP(M1176,Parâmetros!K:K,Parâmetros!L:L,"")</f>
        <v>TEXTO FORA DO PADRÃO ACEITO NO CAMPO</v>
      </c>
      <c r="O1176" s="1" t="str">
        <f>_xlfn.XLOOKUP(M1176,Parâmetros!B:B,Parâmetros!C:C,_xlfn.XLOOKUP(Base!M1173,Parâmetros!G:G,Parâmetros!H:H))</f>
        <v>INDEFINIDO</v>
      </c>
      <c r="P1176" s="1" t="str">
        <f>_xlfn.XLOOKUP(I1176,Parâmetros!A:A,Parâmetros!D:D,_xlfn.XLOOKUP(Q1176,Parâmetros!F:F,Parâmetros!I:I))</f>
        <v>SUPORTE OBT</v>
      </c>
      <c r="Q1176" s="1" t="str">
        <f t="shared" si="37"/>
        <v>COLUNA I</v>
      </c>
    </row>
    <row r="1177" spans="1:17" x14ac:dyDescent="0.25">
      <c r="A1177" s="1" t="str">
        <f>_xlfn.XLOOKUP(D1177,'Novo relatório'!B:B,'Novo relatório'!C:C,"RESOLVIDO")</f>
        <v>LEMONTECH</v>
      </c>
      <c r="C1177" t="str">
        <f t="shared" si="36"/>
        <v>PENDENTE</v>
      </c>
      <c r="D1177" s="1">
        <v>3314355</v>
      </c>
      <c r="E1177" s="1" t="s">
        <v>25</v>
      </c>
      <c r="F1177" s="2">
        <v>45733.900694444441</v>
      </c>
      <c r="G1177" s="1" t="s">
        <v>1914</v>
      </c>
      <c r="H1177" s="1">
        <v>16188715</v>
      </c>
      <c r="I1177" s="1" t="s">
        <v>386</v>
      </c>
      <c r="J1177" s="2">
        <v>45736.709722222222</v>
      </c>
      <c r="K1177" s="2">
        <v>45739.667361111111</v>
      </c>
      <c r="L1177" s="1" t="s">
        <v>1232</v>
      </c>
      <c r="M1177" s="1" t="str">
        <f>_xlfn.XLOOKUP(I1177,Parâmetros!A:A,Parâmetros!B:B,_xlfn.XLOOKUP(Q1177,Parâmetros!F:F,Parâmetros!G:G,"NOVA MENSAGEM"))</f>
        <v>EMISSOR DE CÓDIGO</v>
      </c>
      <c r="N1177" s="1" t="str">
        <f>_xlfn.XLOOKUP(M1177,Parâmetros!K:K,Parâmetros!L:L,"")</f>
        <v/>
      </c>
      <c r="O1177" s="1" t="str">
        <f>_xlfn.XLOOKUP(M1177,Parâmetros!B:B,Parâmetros!C:C,_xlfn.XLOOKUP(Base!M1174,Parâmetros!G:G,Parâmetros!H:H))</f>
        <v>INDEFINIDO</v>
      </c>
      <c r="P1177" s="1" t="str">
        <f>_xlfn.XLOOKUP(I1177,Parâmetros!A:A,Parâmetros!D:D,_xlfn.XLOOKUP(Q1177,Parâmetros!F:F,Parâmetros!I:I))</f>
        <v>SUPORTE BENNER</v>
      </c>
      <c r="Q1177" s="1" t="str">
        <f t="shared" si="37"/>
        <v>COLUNA I</v>
      </c>
    </row>
    <row r="1178" spans="1:17" x14ac:dyDescent="0.25">
      <c r="A1178" s="1" t="str">
        <f>_xlfn.XLOOKUP(D1178,'Novo relatório'!B:B,'Novo relatório'!C:C,"RESOLVIDO")</f>
        <v>SABRE</v>
      </c>
      <c r="C1178" t="str">
        <f t="shared" si="36"/>
        <v>PENDENTE</v>
      </c>
      <c r="D1178" s="1">
        <v>3314478</v>
      </c>
      <c r="E1178" s="1" t="s">
        <v>26</v>
      </c>
      <c r="F1178" s="2">
        <v>45736.651388888888</v>
      </c>
      <c r="G1178" s="1" t="s">
        <v>1901</v>
      </c>
      <c r="H1178" s="1" t="s">
        <v>1902</v>
      </c>
      <c r="I1178" s="1" t="s">
        <v>64</v>
      </c>
      <c r="J1178" s="2">
        <v>45736.742361111108</v>
      </c>
      <c r="L1178" s="1" t="s">
        <v>1244</v>
      </c>
      <c r="M1178" s="1" t="str">
        <f>_xlfn.XLOOKUP(I1178,Parâmetros!A:A,Parâmetros!B:B,_xlfn.XLOOKUP(Q1178,Parâmetros!F:F,Parâmetros!G:G,"NOVA MENSAGEM"))</f>
        <v>FORMATO DE TEXTO</v>
      </c>
      <c r="N1178" s="1" t="str">
        <f>_xlfn.XLOOKUP(M1178,Parâmetros!K:K,Parâmetros!L:L,"")</f>
        <v>TEXTO FORA DO PADRÃO ACEITO NO CAMPO</v>
      </c>
      <c r="O1178" s="1" t="str">
        <f>_xlfn.XLOOKUP(M1178,Parâmetros!B:B,Parâmetros!C:C,_xlfn.XLOOKUP(Base!M1175,Parâmetros!G:G,Parâmetros!H:H))</f>
        <v>INDEFINIDO</v>
      </c>
      <c r="P1178" s="1" t="str">
        <f>_xlfn.XLOOKUP(I1178,Parâmetros!A:A,Parâmetros!D:D,_xlfn.XLOOKUP(Q1178,Parâmetros!F:F,Parâmetros!I:I))</f>
        <v>SUPORTE OBT</v>
      </c>
      <c r="Q1178" s="1" t="str">
        <f t="shared" si="37"/>
        <v>COLUNA I</v>
      </c>
    </row>
    <row r="1179" spans="1:17" x14ac:dyDescent="0.25">
      <c r="A1179" s="1" t="str">
        <f>_xlfn.XLOOKUP(D1179,'Novo relatório'!B:B,'Novo relatório'!C:C,"RESOLVIDO")</f>
        <v>SABRE</v>
      </c>
      <c r="C1179" t="str">
        <f t="shared" si="36"/>
        <v>PENDENTE</v>
      </c>
      <c r="D1179" s="1">
        <v>3314832</v>
      </c>
      <c r="E1179" s="1" t="s">
        <v>26</v>
      </c>
      <c r="F1179" s="2">
        <v>45736.708333333336</v>
      </c>
      <c r="G1179" s="1" t="s">
        <v>1646</v>
      </c>
      <c r="H1179" s="1" t="s">
        <v>1646</v>
      </c>
      <c r="I1179" s="1" t="s">
        <v>652</v>
      </c>
      <c r="J1179" s="2">
        <v>45736.79583333333</v>
      </c>
      <c r="L1179" s="1" t="s">
        <v>18</v>
      </c>
      <c r="M1179" s="1" t="str">
        <f>_xlfn.XLOOKUP(I1179,Parâmetros!A:A,Parâmetros!B:B,_xlfn.XLOOKUP(Q1179,Parâmetros!F:F,Parâmetros!G:G,"NOVA MENSAGEM"))</f>
        <v>CÓD. CLIENTE DIVERGENTE</v>
      </c>
      <c r="N1179" s="1" t="str">
        <f>_xlfn.XLOOKUP(M1179,Parâmetros!K:K,Parâmetros!L:L,"")</f>
        <v>CÓDIGO DIFERENTE DO CADASTRADO NO BENNER (CLIENTE X GRUPO)</v>
      </c>
      <c r="O1179" s="1" t="str">
        <f>_xlfn.XLOOKUP(M1179,Parâmetros!B:B,Parâmetros!C:C,_xlfn.XLOOKUP(Base!M1176,Parâmetros!G:G,Parâmetros!H:H))</f>
        <v>QUALIDADE DOS DADOS</v>
      </c>
      <c r="P1179" s="1" t="str">
        <f>_xlfn.XLOOKUP(I1179,Parâmetros!A:A,Parâmetros!D:D,_xlfn.XLOOKUP(Q1179,Parâmetros!F:F,Parâmetros!I:I))</f>
        <v>SUPORTE OBT</v>
      </c>
      <c r="Q1179" s="1">
        <f t="shared" si="37"/>
        <v>1</v>
      </c>
    </row>
    <row r="1180" spans="1:17" x14ac:dyDescent="0.25">
      <c r="A1180" s="1" t="str">
        <f>_xlfn.XLOOKUP(D1180,'Novo relatório'!B:B,'Novo relatório'!C:C,"RESOLVIDO")</f>
        <v>SABRE</v>
      </c>
      <c r="C1180" t="str">
        <f t="shared" si="36"/>
        <v>PENDENTE</v>
      </c>
      <c r="D1180" s="1">
        <v>3314833</v>
      </c>
      <c r="E1180" s="1" t="s">
        <v>26</v>
      </c>
      <c r="F1180" s="2">
        <v>45736.708333333336</v>
      </c>
      <c r="G1180" s="1" t="s">
        <v>1887</v>
      </c>
      <c r="H1180" s="1" t="s">
        <v>1887</v>
      </c>
      <c r="I1180" s="1" t="s">
        <v>652</v>
      </c>
      <c r="J1180" s="2">
        <v>45736.796527777777</v>
      </c>
      <c r="L1180" s="1" t="s">
        <v>18</v>
      </c>
      <c r="M1180" s="1" t="str">
        <f>_xlfn.XLOOKUP(I1180,Parâmetros!A:A,Parâmetros!B:B,_xlfn.XLOOKUP(Q1180,Parâmetros!F:F,Parâmetros!G:G,"NOVA MENSAGEM"))</f>
        <v>CÓD. CLIENTE DIVERGENTE</v>
      </c>
      <c r="N1180" s="1" t="str">
        <f>_xlfn.XLOOKUP(M1180,Parâmetros!K:K,Parâmetros!L:L,"")</f>
        <v>CÓDIGO DIFERENTE DO CADASTRADO NO BENNER (CLIENTE X GRUPO)</v>
      </c>
      <c r="O1180" s="1" t="str">
        <f>_xlfn.XLOOKUP(M1180,Parâmetros!B:B,Parâmetros!C:C,_xlfn.XLOOKUP(Base!M1177,Parâmetros!G:G,Parâmetros!H:H))</f>
        <v>QUALIDADE DOS DADOS</v>
      </c>
      <c r="P1180" s="1" t="str">
        <f>_xlfn.XLOOKUP(I1180,Parâmetros!A:A,Parâmetros!D:D,_xlfn.XLOOKUP(Q1180,Parâmetros!F:F,Parâmetros!I:I))</f>
        <v>SUPORTE OBT</v>
      </c>
      <c r="Q1180" s="1">
        <f t="shared" si="37"/>
        <v>1</v>
      </c>
    </row>
    <row r="1181" spans="1:17" x14ac:dyDescent="0.25">
      <c r="A1181" s="1" t="str">
        <f>_xlfn.XLOOKUP(D1181,'Novo relatório'!B:B,'Novo relatório'!C:C,"RESOLVIDO")</f>
        <v>RESOLVIDO</v>
      </c>
      <c r="C1181" t="str">
        <f t="shared" si="36"/>
        <v>RESOLVIDO</v>
      </c>
      <c r="D1181" s="1">
        <v>3314835</v>
      </c>
      <c r="E1181" s="1" t="s">
        <v>26</v>
      </c>
      <c r="F1181" s="2">
        <v>45737.453472222223</v>
      </c>
      <c r="G1181" s="1" t="s">
        <v>1771</v>
      </c>
      <c r="H1181" s="1" t="s">
        <v>1771</v>
      </c>
      <c r="I1181" s="1" t="s">
        <v>588</v>
      </c>
      <c r="J1181" s="2">
        <v>45736.796527777777</v>
      </c>
      <c r="K1181" s="2">
        <v>45737.545138888891</v>
      </c>
      <c r="L1181" s="1" t="s">
        <v>14</v>
      </c>
      <c r="M1181" s="1" t="str">
        <f>_xlfn.XLOOKUP(I1181,Parâmetros!A:A,Parâmetros!B:B,_xlfn.XLOOKUP(Q1181,Parâmetros!F:F,Parâmetros!G:G,"NOVA MENSAGEM"))</f>
        <v>ERRO NO XML</v>
      </c>
      <c r="N1181" s="1" t="str">
        <f>_xlfn.XLOOKUP(M1181,Parâmetros!K:K,Parâmetros!L:L,"")</f>
        <v/>
      </c>
      <c r="O1181" s="1" t="str">
        <f>_xlfn.XLOOKUP(M1181,Parâmetros!B:B,Parâmetros!C:C,_xlfn.XLOOKUP(Base!M1178,Parâmetros!G:G,Parâmetros!H:H))</f>
        <v>SISTEMA</v>
      </c>
      <c r="P1181" s="1" t="str">
        <f>_xlfn.XLOOKUP(I1181,Parâmetros!A:A,Parâmetros!D:D,_xlfn.XLOOKUP(Q1181,Parâmetros!F:F,Parâmetros!I:I))</f>
        <v>SUPORTE OBT</v>
      </c>
      <c r="Q1181" s="1" t="str">
        <f t="shared" si="37"/>
        <v>COLUNA I</v>
      </c>
    </row>
    <row r="1182" spans="1:17" x14ac:dyDescent="0.25">
      <c r="A1182" s="1" t="str">
        <f>_xlfn.XLOOKUP(D1182,'Novo relatório'!B:B,'Novo relatório'!C:C,"RESOLVIDO")</f>
        <v>SABRE</v>
      </c>
      <c r="C1182" t="str">
        <f t="shared" si="36"/>
        <v>PENDENTE</v>
      </c>
      <c r="D1182" s="1">
        <v>3314854</v>
      </c>
      <c r="E1182" s="1" t="s">
        <v>26</v>
      </c>
      <c r="F1182" s="2">
        <v>45736.708333333336</v>
      </c>
      <c r="G1182" s="1" t="s">
        <v>1769</v>
      </c>
      <c r="H1182" s="1" t="s">
        <v>1769</v>
      </c>
      <c r="I1182" s="1" t="s">
        <v>707</v>
      </c>
      <c r="J1182" s="2">
        <v>45736.797222222223</v>
      </c>
      <c r="L1182" s="1" t="s">
        <v>18</v>
      </c>
      <c r="M1182" s="1" t="str">
        <f>_xlfn.XLOOKUP(I1182,Parâmetros!A:A,Parâmetros!B:B,_xlfn.XLOOKUP(Q1182,Parâmetros!F:F,Parâmetros!G:G,"NOVA MENSAGEM"))</f>
        <v>CÓD. CLIENTE DIVERGENTE</v>
      </c>
      <c r="N1182" s="1" t="str">
        <f>_xlfn.XLOOKUP(M1182,Parâmetros!K:K,Parâmetros!L:L,"")</f>
        <v>CÓDIGO DIFERENTE DO CADASTRADO NO BENNER (CLIENTE X GRUPO)</v>
      </c>
      <c r="O1182" s="1" t="str">
        <f>_xlfn.XLOOKUP(M1182,Parâmetros!B:B,Parâmetros!C:C,_xlfn.XLOOKUP(Base!M1179,Parâmetros!G:G,Parâmetros!H:H))</f>
        <v>QUALIDADE DOS DADOS</v>
      </c>
      <c r="P1182" s="1" t="str">
        <f>_xlfn.XLOOKUP(I1182,Parâmetros!A:A,Parâmetros!D:D,_xlfn.XLOOKUP(Q1182,Parâmetros!F:F,Parâmetros!I:I))</f>
        <v>SUPORTE OBT</v>
      </c>
      <c r="Q1182" s="1">
        <f t="shared" si="37"/>
        <v>1</v>
      </c>
    </row>
    <row r="1183" spans="1:17" x14ac:dyDescent="0.25">
      <c r="A1183" s="1" t="str">
        <f>_xlfn.XLOOKUP(D1183,'Novo relatório'!B:B,'Novo relatório'!C:C,"RESOLVIDO")</f>
        <v>SABRE</v>
      </c>
      <c r="C1183" t="str">
        <f t="shared" si="36"/>
        <v>PENDENTE</v>
      </c>
      <c r="D1183" s="1">
        <v>3314855</v>
      </c>
      <c r="E1183" s="1" t="s">
        <v>26</v>
      </c>
      <c r="F1183" s="2">
        <v>45736.708333333336</v>
      </c>
      <c r="G1183" s="1" t="s">
        <v>1828</v>
      </c>
      <c r="H1183" s="1" t="s">
        <v>1828</v>
      </c>
      <c r="I1183" s="1" t="s">
        <v>707</v>
      </c>
      <c r="J1183" s="2">
        <v>45736.79791666667</v>
      </c>
      <c r="L1183" s="1" t="s">
        <v>18</v>
      </c>
      <c r="M1183" s="1" t="str">
        <f>_xlfn.XLOOKUP(I1183,Parâmetros!A:A,Parâmetros!B:B,_xlfn.XLOOKUP(Q1183,Parâmetros!F:F,Parâmetros!G:G,"NOVA MENSAGEM"))</f>
        <v>CÓD. CLIENTE DIVERGENTE</v>
      </c>
      <c r="N1183" s="1" t="str">
        <f>_xlfn.XLOOKUP(M1183,Parâmetros!K:K,Parâmetros!L:L,"")</f>
        <v>CÓDIGO DIFERENTE DO CADASTRADO NO BENNER (CLIENTE X GRUPO)</v>
      </c>
      <c r="O1183" s="1" t="str">
        <f>_xlfn.XLOOKUP(M1183,Parâmetros!B:B,Parâmetros!C:C,_xlfn.XLOOKUP(Base!M1180,Parâmetros!G:G,Parâmetros!H:H))</f>
        <v>QUALIDADE DOS DADOS</v>
      </c>
      <c r="P1183" s="1" t="str">
        <f>_xlfn.XLOOKUP(I1183,Parâmetros!A:A,Parâmetros!D:D,_xlfn.XLOOKUP(Q1183,Parâmetros!F:F,Parâmetros!I:I))</f>
        <v>SUPORTE OBT</v>
      </c>
      <c r="Q1183" s="1">
        <f t="shared" si="37"/>
        <v>1</v>
      </c>
    </row>
    <row r="1184" spans="1:17" x14ac:dyDescent="0.25">
      <c r="A1184" s="1" t="str">
        <f>_xlfn.XLOOKUP(D1184,'Novo relatório'!B:B,'Novo relatório'!C:C,"RESOLVIDO")</f>
        <v>SABRE</v>
      </c>
      <c r="C1184" t="str">
        <f t="shared" si="36"/>
        <v>PENDENTE</v>
      </c>
      <c r="D1184" s="1">
        <v>3314860</v>
      </c>
      <c r="E1184" s="1" t="s">
        <v>26</v>
      </c>
      <c r="F1184" s="2">
        <v>45737.770138888889</v>
      </c>
      <c r="G1184" s="1" t="s">
        <v>1718</v>
      </c>
      <c r="H1184" s="1" t="s">
        <v>1718</v>
      </c>
      <c r="I1184" s="1" t="s">
        <v>1189</v>
      </c>
      <c r="J1184" s="2">
        <v>45736.79791666667</v>
      </c>
      <c r="K1184" s="2">
        <v>45737.85833333333</v>
      </c>
      <c r="L1184" s="1" t="s">
        <v>18</v>
      </c>
      <c r="M1184" s="1" t="str">
        <f>_xlfn.XLOOKUP(I1184,Parâmetros!A:A,Parâmetros!B:B,_xlfn.XLOOKUP(Q1184,Parâmetros!F:F,Parâmetros!G:G,"NOVA MENSAGEM"))</f>
        <v>CÓD. CLIENTE DIVERGENTE</v>
      </c>
      <c r="N1184" s="1" t="str">
        <f>_xlfn.XLOOKUP(M1184,Parâmetros!K:K,Parâmetros!L:L,"")</f>
        <v>CÓDIGO DIFERENTE DO CADASTRADO NO BENNER (CLIENTE X GRUPO)</v>
      </c>
      <c r="O1184" s="1" t="str">
        <f>_xlfn.XLOOKUP(M1184,Parâmetros!B:B,Parâmetros!C:C,_xlfn.XLOOKUP(Base!M1181,Parâmetros!G:G,Parâmetros!H:H))</f>
        <v>QUALIDADE DOS DADOS</v>
      </c>
      <c r="P1184" s="1" t="str">
        <f>_xlfn.XLOOKUP(I1184,Parâmetros!A:A,Parâmetros!D:D,_xlfn.XLOOKUP(Q1184,Parâmetros!F:F,Parâmetros!I:I))</f>
        <v>SUPORTE OBT</v>
      </c>
      <c r="Q1184" s="1">
        <f t="shared" si="37"/>
        <v>1</v>
      </c>
    </row>
    <row r="1185" spans="1:17" x14ac:dyDescent="0.25">
      <c r="A1185" s="1" t="str">
        <f>_xlfn.XLOOKUP(D1185,'Novo relatório'!B:B,'Novo relatório'!C:C,"RESOLVIDO")</f>
        <v>SABRE</v>
      </c>
      <c r="C1185" t="str">
        <f t="shared" si="36"/>
        <v>PENDENTE</v>
      </c>
      <c r="D1185" s="1">
        <v>3314867</v>
      </c>
      <c r="E1185" s="1" t="s">
        <v>26</v>
      </c>
      <c r="F1185" s="2">
        <v>45736.708333333336</v>
      </c>
      <c r="G1185" s="1" t="s">
        <v>1865</v>
      </c>
      <c r="H1185" s="1" t="s">
        <v>1865</v>
      </c>
      <c r="I1185" s="1" t="s">
        <v>83</v>
      </c>
      <c r="J1185" s="2">
        <v>45736.798611111109</v>
      </c>
      <c r="L1185" s="1" t="s">
        <v>18</v>
      </c>
      <c r="M1185" s="1" t="str">
        <f>_xlfn.XLOOKUP(I1185,Parâmetros!A:A,Parâmetros!B:B,_xlfn.XLOOKUP(Q1185,Parâmetros!F:F,Parâmetros!G:G,"NOVA MENSAGEM"))</f>
        <v>CLIENTE NÃO IDENTIFICADO</v>
      </c>
      <c r="N1185" s="1" t="str">
        <f>_xlfn.XLOOKUP(M1185,Parâmetros!K:K,Parâmetros!L:L,"")</f>
        <v>DK DE CLIENTE NÃO PREENCIDO / CLIENTE NÃO CONFIGURADO NO OBT</v>
      </c>
      <c r="O1185" s="1" t="str">
        <f>_xlfn.XLOOKUP(M1185,Parâmetros!B:B,Parâmetros!C:C,_xlfn.XLOOKUP(Base!M1182,Parâmetros!G:G,Parâmetros!H:H))</f>
        <v>INDEFINIDO</v>
      </c>
      <c r="P1185" s="1" t="str">
        <f>_xlfn.XLOOKUP(I1185,Parâmetros!A:A,Parâmetros!D:D,_xlfn.XLOOKUP(Q1185,Parâmetros!F:F,Parâmetros!I:I))</f>
        <v>OPERAÇÕES / SUPORTE KCS</v>
      </c>
      <c r="Q1185" s="1" t="str">
        <f t="shared" si="37"/>
        <v>COLUNA I</v>
      </c>
    </row>
    <row r="1186" spans="1:17" x14ac:dyDescent="0.25">
      <c r="A1186" s="1" t="str">
        <f>_xlfn.XLOOKUP(D1186,'Novo relatório'!B:B,'Novo relatório'!C:C,"RESOLVIDO")</f>
        <v>SABRE</v>
      </c>
      <c r="C1186" t="str">
        <f t="shared" si="36"/>
        <v>PENDENTE</v>
      </c>
      <c r="D1186" s="1">
        <v>3315383</v>
      </c>
      <c r="E1186" s="1" t="s">
        <v>26</v>
      </c>
      <c r="F1186" s="2">
        <v>45736.763888888891</v>
      </c>
      <c r="G1186" s="1" t="s">
        <v>1861</v>
      </c>
      <c r="H1186" s="1" t="s">
        <v>1861</v>
      </c>
      <c r="I1186" s="1" t="s">
        <v>83</v>
      </c>
      <c r="J1186" s="2">
        <v>45736.856249999997</v>
      </c>
      <c r="L1186" s="1" t="s">
        <v>18</v>
      </c>
      <c r="M1186" s="1" t="str">
        <f>_xlfn.XLOOKUP(I1186,Parâmetros!A:A,Parâmetros!B:B,_xlfn.XLOOKUP(Q1186,Parâmetros!F:F,Parâmetros!G:G,"NOVA MENSAGEM"))</f>
        <v>CLIENTE NÃO IDENTIFICADO</v>
      </c>
      <c r="N1186" s="1" t="str">
        <f>_xlfn.XLOOKUP(M1186,Parâmetros!K:K,Parâmetros!L:L,"")</f>
        <v>DK DE CLIENTE NÃO PREENCIDO / CLIENTE NÃO CONFIGURADO NO OBT</v>
      </c>
      <c r="O1186" s="1" t="str">
        <f>_xlfn.XLOOKUP(M1186,Parâmetros!B:B,Parâmetros!C:C,_xlfn.XLOOKUP(Base!M1183,Parâmetros!G:G,Parâmetros!H:H))</f>
        <v>INDEFINIDO</v>
      </c>
      <c r="P1186" s="1" t="str">
        <f>_xlfn.XLOOKUP(I1186,Parâmetros!A:A,Parâmetros!D:D,_xlfn.XLOOKUP(Q1186,Parâmetros!F:F,Parâmetros!I:I))</f>
        <v>OPERAÇÕES / SUPORTE KCS</v>
      </c>
      <c r="Q1186" s="1" t="str">
        <f t="shared" si="37"/>
        <v>COLUNA I</v>
      </c>
    </row>
    <row r="1187" spans="1:17" x14ac:dyDescent="0.25">
      <c r="A1187" s="1" t="str">
        <f>_xlfn.XLOOKUP(D1187,'Novo relatório'!B:B,'Novo relatório'!C:C,"RESOLVIDO")</f>
        <v>TMS</v>
      </c>
      <c r="C1187" t="str">
        <f t="shared" si="36"/>
        <v>PENDENTE</v>
      </c>
      <c r="D1187" s="1">
        <v>3315399</v>
      </c>
      <c r="E1187" s="1" t="s">
        <v>12</v>
      </c>
      <c r="F1187" s="2">
        <v>45736.638194444444</v>
      </c>
      <c r="G1187" s="1">
        <v>87</v>
      </c>
      <c r="H1187" s="1">
        <v>87</v>
      </c>
      <c r="I1187" s="1" t="s">
        <v>16</v>
      </c>
      <c r="J1187" s="2">
        <v>45736.857638888891</v>
      </c>
      <c r="K1187" s="2">
        <v>45739.824305555558</v>
      </c>
      <c r="L1187" s="1" t="s">
        <v>14</v>
      </c>
      <c r="M1187" s="1" t="str">
        <f>_xlfn.XLOOKUP(I1187,Parâmetros!A:A,Parâmetros!B:B,_xlfn.XLOOKUP(Q1187,Parâmetros!F:F,Parâmetros!G:G,"NOVA MENSAGEM"))</f>
        <v>ASSENTO / BAGAGEM</v>
      </c>
      <c r="N1187" s="1" t="str">
        <f>_xlfn.XLOOKUP(M1187,Parâmetros!K:K,Parâmetros!L:L,"")</f>
        <v>CAMPO OBSERVAÇÃO PREENCHIDO INCORRETAMENTE</v>
      </c>
      <c r="O1187" s="1" t="str">
        <f>_xlfn.XLOOKUP(M1187,Parâmetros!B:B,Parâmetros!C:C,_xlfn.XLOOKUP(Base!M1184,Parâmetros!G:G,Parâmetros!H:H))</f>
        <v>QUALIDADE DOS DADOS</v>
      </c>
      <c r="P1187" s="1" t="str">
        <f>_xlfn.XLOOKUP(I1187,Parâmetros!A:A,Parâmetros!D:D,_xlfn.XLOOKUP(Q1187,Parâmetros!F:F,Parâmetros!I:I))</f>
        <v>OPERAÇÕES / SUPORTE KCS</v>
      </c>
      <c r="Q1187" s="1">
        <f t="shared" si="37"/>
        <v>118</v>
      </c>
    </row>
    <row r="1188" spans="1:17" x14ac:dyDescent="0.25">
      <c r="A1188" s="1" t="str">
        <f>_xlfn.XLOOKUP(D1188,'Novo relatório'!B:B,'Novo relatório'!C:C,"RESOLVIDO")</f>
        <v>LEMONTECH</v>
      </c>
      <c r="C1188" t="str">
        <f t="shared" si="36"/>
        <v>PENDENTE</v>
      </c>
      <c r="D1188" s="1">
        <v>3315751</v>
      </c>
      <c r="E1188" s="1" t="s">
        <v>25</v>
      </c>
      <c r="F1188" s="2">
        <v>45735.675000000003</v>
      </c>
      <c r="G1188" s="1" t="s">
        <v>1915</v>
      </c>
      <c r="H1188" s="1">
        <v>16205902</v>
      </c>
      <c r="I1188" s="1" t="s">
        <v>386</v>
      </c>
      <c r="J1188" s="2">
        <v>45737.376388888886</v>
      </c>
      <c r="K1188" s="2">
        <v>45740.333333333336</v>
      </c>
      <c r="L1188" s="1" t="s">
        <v>1232</v>
      </c>
      <c r="M1188" s="1" t="str">
        <f>_xlfn.XLOOKUP(I1188,Parâmetros!A:A,Parâmetros!B:B,_xlfn.XLOOKUP(Q1188,Parâmetros!F:F,Parâmetros!G:G,"NOVA MENSAGEM"))</f>
        <v>EMISSOR DE CÓDIGO</v>
      </c>
      <c r="N1188" s="1" t="str">
        <f>_xlfn.XLOOKUP(M1188,Parâmetros!K:K,Parâmetros!L:L,"")</f>
        <v/>
      </c>
      <c r="O1188" s="1" t="str">
        <f>_xlfn.XLOOKUP(M1188,Parâmetros!B:B,Parâmetros!C:C,_xlfn.XLOOKUP(Base!M1185,Parâmetros!G:G,Parâmetros!H:H))</f>
        <v>INDEFINIDO</v>
      </c>
      <c r="P1188" s="1" t="str">
        <f>_xlfn.XLOOKUP(I1188,Parâmetros!A:A,Parâmetros!D:D,_xlfn.XLOOKUP(Q1188,Parâmetros!F:F,Parâmetros!I:I))</f>
        <v>SUPORTE BENNER</v>
      </c>
      <c r="Q1188" s="1" t="str">
        <f t="shared" si="37"/>
        <v>COLUNA I</v>
      </c>
    </row>
    <row r="1189" spans="1:17" x14ac:dyDescent="0.25">
      <c r="A1189" s="1" t="str">
        <f>_xlfn.XLOOKUP(D1189,'Novo relatório'!B:B,'Novo relatório'!C:C,"RESOLVIDO")</f>
        <v>LEMONTECH</v>
      </c>
      <c r="C1189" t="str">
        <f t="shared" si="36"/>
        <v>PENDENTE</v>
      </c>
      <c r="D1189" s="1">
        <v>3315753</v>
      </c>
      <c r="E1189" s="1" t="s">
        <v>25</v>
      </c>
      <c r="F1189" s="2">
        <v>45736.727777777778</v>
      </c>
      <c r="G1189" s="1" t="s">
        <v>1916</v>
      </c>
      <c r="H1189" s="1">
        <v>16216889</v>
      </c>
      <c r="I1189" s="1" t="s">
        <v>386</v>
      </c>
      <c r="J1189" s="2">
        <v>45737.377083333333</v>
      </c>
      <c r="K1189" s="2">
        <v>45740.334027777775</v>
      </c>
      <c r="L1189" s="1" t="s">
        <v>1232</v>
      </c>
      <c r="M1189" s="1" t="str">
        <f>_xlfn.XLOOKUP(I1189,Parâmetros!A:A,Parâmetros!B:B,_xlfn.XLOOKUP(Q1189,Parâmetros!F:F,Parâmetros!G:G,"NOVA MENSAGEM"))</f>
        <v>EMISSOR DE CÓDIGO</v>
      </c>
      <c r="N1189" s="1" t="str">
        <f>_xlfn.XLOOKUP(M1189,Parâmetros!K:K,Parâmetros!L:L,"")</f>
        <v/>
      </c>
      <c r="O1189" s="1" t="str">
        <f>_xlfn.XLOOKUP(M1189,Parâmetros!B:B,Parâmetros!C:C,_xlfn.XLOOKUP(Base!M1186,Parâmetros!G:G,Parâmetros!H:H))</f>
        <v>INDEFINIDO</v>
      </c>
      <c r="P1189" s="1" t="str">
        <f>_xlfn.XLOOKUP(I1189,Parâmetros!A:A,Parâmetros!D:D,_xlfn.XLOOKUP(Q1189,Parâmetros!F:F,Parâmetros!I:I))</f>
        <v>SUPORTE BENNER</v>
      </c>
      <c r="Q1189" s="1" t="str">
        <f t="shared" si="37"/>
        <v>COLUNA I</v>
      </c>
    </row>
    <row r="1190" spans="1:17" x14ac:dyDescent="0.25">
      <c r="A1190" s="1" t="str">
        <f>_xlfn.XLOOKUP(D1190,'Novo relatório'!B:B,'Novo relatório'!C:C,"RESOLVIDO")</f>
        <v>GOVER</v>
      </c>
      <c r="C1190" t="str">
        <f t="shared" si="36"/>
        <v>PENDENTE</v>
      </c>
      <c r="D1190" s="1">
        <v>3315899</v>
      </c>
      <c r="E1190" s="1" t="s">
        <v>24</v>
      </c>
      <c r="F1190" s="2">
        <v>45728.657638888886</v>
      </c>
      <c r="G1190" s="1">
        <v>4504794</v>
      </c>
      <c r="H1190" s="1" t="s">
        <v>1923</v>
      </c>
      <c r="I1190" s="1" t="s">
        <v>1924</v>
      </c>
      <c r="J1190" s="2">
        <v>45737.441666666666</v>
      </c>
      <c r="K1190" s="2">
        <v>45756.615972222222</v>
      </c>
      <c r="L1190" s="1" t="s">
        <v>14</v>
      </c>
      <c r="M1190" s="1" t="str">
        <f>_xlfn.XLOOKUP(I1190,Parâmetros!A:A,Parâmetros!B:B,_xlfn.XLOOKUP(Q1190,Parâmetros!F:F,Parâmetros!G:G,"NOVA MENSAGEM"))</f>
        <v>TAG - ITEM VEÍCULO</v>
      </c>
      <c r="N1190" s="1" t="str">
        <f>_xlfn.XLOOKUP(M1190,Parâmetros!K:K,Parâmetros!L:L,"")</f>
        <v>TAGS DE DETALHAMENTO DO SERVIÇO NÃO ENVIADO NO XML</v>
      </c>
      <c r="O1190" s="1" t="str">
        <f>_xlfn.XLOOKUP(M1190,Parâmetros!B:B,Parâmetros!C:C,_xlfn.XLOOKUP(Base!M1187,Parâmetros!G:G,Parâmetros!H:H))</f>
        <v>QUALIDADE DOS DADOS</v>
      </c>
      <c r="P1190" s="1" t="str">
        <f>_xlfn.XLOOKUP(I1190,Parâmetros!A:A,Parâmetros!D:D,_xlfn.XLOOKUP(Q1190,Parâmetros!F:F,Parâmetros!I:I))</f>
        <v>SUPORTE OBT</v>
      </c>
      <c r="Q1190" s="1">
        <f t="shared" si="37"/>
        <v>46</v>
      </c>
    </row>
    <row r="1191" spans="1:17" x14ac:dyDescent="0.25">
      <c r="A1191" s="1" t="str">
        <f>_xlfn.XLOOKUP(D1191,'Novo relatório'!B:B,'Novo relatório'!C:C,"RESOLVIDO")</f>
        <v>GOVER</v>
      </c>
      <c r="C1191" t="str">
        <f t="shared" si="36"/>
        <v>PENDENTE</v>
      </c>
      <c r="D1191" s="1">
        <v>3315948</v>
      </c>
      <c r="E1191" s="1" t="s">
        <v>24</v>
      </c>
      <c r="F1191" s="2">
        <v>45670.700694444444</v>
      </c>
      <c r="G1191" s="1">
        <v>4473445</v>
      </c>
      <c r="H1191" s="1">
        <v>16919861</v>
      </c>
      <c r="I1191" s="1" t="s">
        <v>1035</v>
      </c>
      <c r="J1191" s="2">
        <v>45737.473611111112</v>
      </c>
      <c r="K1191" s="2">
        <v>45776.363888888889</v>
      </c>
      <c r="L1191" s="1" t="s">
        <v>1244</v>
      </c>
      <c r="M1191" s="1" t="str">
        <f>_xlfn.XLOOKUP(I1191,Parâmetros!A:A,Parâmetros!B:B,_xlfn.XLOOKUP(Q1191,Parâmetros!F:F,Parâmetros!G:G,"NOVA MENSAGEM"))</f>
        <v>DADOS DO CARTÃO</v>
      </c>
      <c r="N1191" s="1" t="str">
        <f>_xlfn.XLOOKUP(M1191,Parâmetros!K:K,Parâmetros!L:L,"")</f>
        <v>TAG &lt;CARTAOVALIDADE&gt; NÃO ENVIADA</v>
      </c>
      <c r="O1191" s="1" t="str">
        <f>_xlfn.XLOOKUP(M1191,Parâmetros!B:B,Parâmetros!C:C,_xlfn.XLOOKUP(Base!M1597,Parâmetros!G:G,Parâmetros!H:H))</f>
        <v>SISTEMA</v>
      </c>
      <c r="P1191" s="1" t="str">
        <f>_xlfn.XLOOKUP(I1191,Parâmetros!A:A,Parâmetros!D:D,_xlfn.XLOOKUP(Q1191,Parâmetros!F:F,Parâmetros!I:I))</f>
        <v>SUPORTE OBT</v>
      </c>
      <c r="Q1191" s="1">
        <f t="shared" si="37"/>
        <v>40</v>
      </c>
    </row>
    <row r="1192" spans="1:17" x14ac:dyDescent="0.25">
      <c r="A1192" s="1" t="str">
        <f>_xlfn.XLOOKUP(D1192,'Novo relatório'!B:B,'Novo relatório'!C:C,"RESOLVIDO")</f>
        <v>TMS</v>
      </c>
      <c r="C1192" t="str">
        <f t="shared" si="36"/>
        <v>PENDENTE</v>
      </c>
      <c r="D1192" s="1">
        <v>3316707</v>
      </c>
      <c r="E1192" s="1" t="s">
        <v>12</v>
      </c>
      <c r="F1192" s="2">
        <v>45737.444444444445</v>
      </c>
      <c r="G1192" s="1">
        <v>14762</v>
      </c>
      <c r="H1192" s="1">
        <v>14762</v>
      </c>
      <c r="I1192" s="1" t="s">
        <v>1905</v>
      </c>
      <c r="J1192" s="2">
        <v>45737.604861111111</v>
      </c>
      <c r="K1192" s="2">
        <v>45740.887499999997</v>
      </c>
      <c r="L1192" s="1" t="s">
        <v>19</v>
      </c>
      <c r="M1192" s="1" t="str">
        <f>_xlfn.XLOOKUP(I1192,Parâmetros!A:A,Parâmetros!B:B,_xlfn.XLOOKUP(Q1192,Parâmetros!F:F,Parâmetros!G:G,"NOVA MENSAGEM"))</f>
        <v>CONTRATO FORNECEDOR</v>
      </c>
      <c r="N1192" s="1" t="str">
        <f>_xlfn.XLOOKUP(M1192,Parâmetros!K:K,Parâmetros!L:L,"")</f>
        <v>CONTRATO INATIVO OU DIVERGENTE</v>
      </c>
      <c r="O1192" s="1" t="str">
        <f>_xlfn.XLOOKUP(M1192,Parâmetros!B:B,Parâmetros!C:C,_xlfn.XLOOKUP(Base!M1188,Parâmetros!G:G,Parâmetros!H:H))</f>
        <v>SISTEMA</v>
      </c>
      <c r="P1192" s="1" t="str">
        <f>_xlfn.XLOOKUP(I1192,Parâmetros!A:A,Parâmetros!D:D,_xlfn.XLOOKUP(Q1192,Parâmetros!F:F,Parâmetros!I:I))</f>
        <v>OPERAÇÕES / SUPORTE KCS</v>
      </c>
      <c r="Q1192" s="1">
        <f t="shared" si="37"/>
        <v>69</v>
      </c>
    </row>
    <row r="1193" spans="1:17" x14ac:dyDescent="0.25">
      <c r="A1193" s="1" t="str">
        <f>_xlfn.XLOOKUP(D1193,'Novo relatório'!B:B,'Novo relatório'!C:C,"RESOLVIDO")</f>
        <v>SABRE</v>
      </c>
      <c r="C1193" t="str">
        <f t="shared" si="36"/>
        <v>PENDENTE</v>
      </c>
      <c r="D1193" s="1">
        <v>3316792</v>
      </c>
      <c r="E1193" s="1" t="s">
        <v>26</v>
      </c>
      <c r="F1193" s="2">
        <v>45737.52847222222</v>
      </c>
      <c r="G1193" s="1" t="s">
        <v>1839</v>
      </c>
      <c r="H1193" s="1" t="s">
        <v>1840</v>
      </c>
      <c r="I1193" s="1" t="s">
        <v>64</v>
      </c>
      <c r="J1193" s="2">
        <v>45737.618055555555</v>
      </c>
      <c r="L1193" s="1" t="s">
        <v>1244</v>
      </c>
      <c r="M1193" s="1" t="str">
        <f>_xlfn.XLOOKUP(I1193,Parâmetros!A:A,Parâmetros!B:B,_xlfn.XLOOKUP(Q1193,Parâmetros!F:F,Parâmetros!G:G,"NOVA MENSAGEM"))</f>
        <v>FORMATO DE TEXTO</v>
      </c>
      <c r="N1193" s="1" t="str">
        <f>_xlfn.XLOOKUP(M1193,Parâmetros!K:K,Parâmetros!L:L,"")</f>
        <v>TEXTO FORA DO PADRÃO ACEITO NO CAMPO</v>
      </c>
      <c r="O1193" s="1" t="str">
        <f>_xlfn.XLOOKUP(M1193,Parâmetros!B:B,Parâmetros!C:C,_xlfn.XLOOKUP(Base!M1191,Parâmetros!G:G,Parâmetros!H:H))</f>
        <v>INDEFINIDO</v>
      </c>
      <c r="P1193" s="1" t="str">
        <f>_xlfn.XLOOKUP(I1193,Parâmetros!A:A,Parâmetros!D:D,_xlfn.XLOOKUP(Q1193,Parâmetros!F:F,Parâmetros!I:I))</f>
        <v>SUPORTE OBT</v>
      </c>
      <c r="Q1193" s="1" t="str">
        <f t="shared" si="37"/>
        <v>COLUNA I</v>
      </c>
    </row>
    <row r="1194" spans="1:17" x14ac:dyDescent="0.25">
      <c r="A1194" s="1" t="str">
        <f>_xlfn.XLOOKUP(D1194,'Novo relatório'!B:B,'Novo relatório'!C:C,"RESOLVIDO")</f>
        <v>SABRE</v>
      </c>
      <c r="C1194" t="str">
        <f t="shared" si="36"/>
        <v>PENDENTE</v>
      </c>
      <c r="D1194" s="1">
        <v>3316795</v>
      </c>
      <c r="E1194" s="1" t="s">
        <v>26</v>
      </c>
      <c r="F1194" s="2">
        <v>45737.52847222222</v>
      </c>
      <c r="G1194" s="1" t="s">
        <v>1777</v>
      </c>
      <c r="H1194" s="1" t="s">
        <v>1778</v>
      </c>
      <c r="I1194" s="1" t="s">
        <v>64</v>
      </c>
      <c r="J1194" s="2">
        <v>45737.618055555555</v>
      </c>
      <c r="L1194" s="1" t="s">
        <v>1244</v>
      </c>
      <c r="M1194" s="1" t="str">
        <f>_xlfn.XLOOKUP(I1194,Parâmetros!A:A,Parâmetros!B:B,_xlfn.XLOOKUP(Q1194,Parâmetros!F:F,Parâmetros!G:G,"NOVA MENSAGEM"))</f>
        <v>FORMATO DE TEXTO</v>
      </c>
      <c r="N1194" s="1" t="str">
        <f>_xlfn.XLOOKUP(M1194,Parâmetros!K:K,Parâmetros!L:L,"")</f>
        <v>TEXTO FORA DO PADRÃO ACEITO NO CAMPO</v>
      </c>
      <c r="O1194" s="1" t="str">
        <f>_xlfn.XLOOKUP(M1194,Parâmetros!B:B,Parâmetros!C:C,_xlfn.XLOOKUP(Base!M1189,Parâmetros!G:G,Parâmetros!H:H))</f>
        <v>INDEFINIDO</v>
      </c>
      <c r="P1194" s="1" t="str">
        <f>_xlfn.XLOOKUP(I1194,Parâmetros!A:A,Parâmetros!D:D,_xlfn.XLOOKUP(Q1194,Parâmetros!F:F,Parâmetros!I:I))</f>
        <v>SUPORTE OBT</v>
      </c>
      <c r="Q1194" s="1" t="str">
        <f t="shared" si="37"/>
        <v>COLUNA I</v>
      </c>
    </row>
    <row r="1195" spans="1:17" x14ac:dyDescent="0.25">
      <c r="A1195" s="1" t="str">
        <f>_xlfn.XLOOKUP(D1195,'Novo relatório'!B:B,'Novo relatório'!C:C,"RESOLVIDO")</f>
        <v>SABRE</v>
      </c>
      <c r="C1195" t="str">
        <f t="shared" si="36"/>
        <v>PENDENTE</v>
      </c>
      <c r="D1195" s="1">
        <v>3316796</v>
      </c>
      <c r="E1195" s="1" t="s">
        <v>26</v>
      </c>
      <c r="F1195" s="2">
        <v>45737.52847222222</v>
      </c>
      <c r="G1195" s="1" t="s">
        <v>1782</v>
      </c>
      <c r="H1195" s="1" t="s">
        <v>1783</v>
      </c>
      <c r="I1195" s="1" t="s">
        <v>64</v>
      </c>
      <c r="J1195" s="2">
        <v>45737.618055555555</v>
      </c>
      <c r="L1195" s="1" t="s">
        <v>1244</v>
      </c>
      <c r="M1195" s="1" t="str">
        <f>_xlfn.XLOOKUP(I1195,Parâmetros!A:A,Parâmetros!B:B,_xlfn.XLOOKUP(Q1195,Parâmetros!F:F,Parâmetros!G:G,"NOVA MENSAGEM"))</f>
        <v>FORMATO DE TEXTO</v>
      </c>
      <c r="N1195" s="1" t="str">
        <f>_xlfn.XLOOKUP(M1195,Parâmetros!K:K,Parâmetros!L:L,"")</f>
        <v>TEXTO FORA DO PADRÃO ACEITO NO CAMPO</v>
      </c>
      <c r="O1195" s="1" t="str">
        <f>_xlfn.XLOOKUP(M1195,Parâmetros!B:B,Parâmetros!C:C,_xlfn.XLOOKUP(Base!M1190,Parâmetros!G:G,Parâmetros!H:H))</f>
        <v>INDEFINIDO</v>
      </c>
      <c r="P1195" s="1" t="str">
        <f>_xlfn.XLOOKUP(I1195,Parâmetros!A:A,Parâmetros!D:D,_xlfn.XLOOKUP(Q1195,Parâmetros!F:F,Parâmetros!I:I))</f>
        <v>SUPORTE OBT</v>
      </c>
      <c r="Q1195" s="1" t="str">
        <f t="shared" si="37"/>
        <v>COLUNA I</v>
      </c>
    </row>
    <row r="1196" spans="1:17" x14ac:dyDescent="0.25">
      <c r="A1196" s="1" t="str">
        <f>_xlfn.XLOOKUP(D1196,'Novo relatório'!B:B,'Novo relatório'!C:C,"RESOLVIDO")</f>
        <v>SABRE</v>
      </c>
      <c r="C1196" t="str">
        <f t="shared" si="36"/>
        <v>PENDENTE</v>
      </c>
      <c r="D1196" s="1">
        <v>3317358</v>
      </c>
      <c r="E1196" s="1" t="s">
        <v>26</v>
      </c>
      <c r="F1196" s="2">
        <v>45737.770138888889</v>
      </c>
      <c r="G1196" s="1" t="s">
        <v>1779</v>
      </c>
      <c r="H1196" s="1" t="s">
        <v>1779</v>
      </c>
      <c r="I1196" s="1" t="s">
        <v>1067</v>
      </c>
      <c r="J1196" s="2">
        <v>45737.742361111108</v>
      </c>
      <c r="K1196" s="2">
        <v>45737.859722222223</v>
      </c>
      <c r="L1196" s="1" t="s">
        <v>18</v>
      </c>
      <c r="M1196" s="1" t="str">
        <f>_xlfn.XLOOKUP(I1196,Parâmetros!A:A,Parâmetros!B:B,_xlfn.XLOOKUP(Q1196,Parâmetros!F:F,Parâmetros!G:G,"NOVA MENSAGEM"))</f>
        <v>CÓD. CLIENTE DIVERGENTE</v>
      </c>
      <c r="N1196" s="1" t="str">
        <f>_xlfn.XLOOKUP(M1196,Parâmetros!K:K,Parâmetros!L:L,"")</f>
        <v>CÓDIGO DIFERENTE DO CADASTRADO NO BENNER (CLIENTE X GRUPO)</v>
      </c>
      <c r="O1196" s="1" t="str">
        <f>_xlfn.XLOOKUP(M1196,Parâmetros!B:B,Parâmetros!C:C,_xlfn.XLOOKUP(Base!M1192,Parâmetros!G:G,Parâmetros!H:H))</f>
        <v>QUALIDADE DOS DADOS</v>
      </c>
      <c r="P1196" s="1" t="str">
        <f>_xlfn.XLOOKUP(I1196,Parâmetros!A:A,Parâmetros!D:D,_xlfn.XLOOKUP(Q1196,Parâmetros!F:F,Parâmetros!I:I))</f>
        <v>SUPORTE OBT</v>
      </c>
      <c r="Q1196" s="1">
        <f t="shared" si="37"/>
        <v>1</v>
      </c>
    </row>
    <row r="1197" spans="1:17" x14ac:dyDescent="0.25">
      <c r="A1197" s="1" t="str">
        <f>_xlfn.XLOOKUP(D1197,'Novo relatório'!B:B,'Novo relatório'!C:C,"RESOLVIDO")</f>
        <v>SABRE</v>
      </c>
      <c r="C1197" t="str">
        <f t="shared" si="36"/>
        <v>PENDENTE</v>
      </c>
      <c r="D1197" s="1">
        <v>3317359</v>
      </c>
      <c r="E1197" s="1" t="s">
        <v>26</v>
      </c>
      <c r="F1197" s="2">
        <v>45737.770138888889</v>
      </c>
      <c r="G1197" s="1" t="s">
        <v>1858</v>
      </c>
      <c r="H1197" s="1" t="s">
        <v>1858</v>
      </c>
      <c r="I1197" s="1" t="s">
        <v>1067</v>
      </c>
      <c r="J1197" s="2">
        <v>45737.742361111108</v>
      </c>
      <c r="K1197" s="2">
        <v>45737.859722222223</v>
      </c>
      <c r="L1197" s="1" t="s">
        <v>18</v>
      </c>
      <c r="M1197" s="1" t="str">
        <f>_xlfn.XLOOKUP(I1197,Parâmetros!A:A,Parâmetros!B:B,_xlfn.XLOOKUP(Q1197,Parâmetros!F:F,Parâmetros!G:G,"NOVA MENSAGEM"))</f>
        <v>CÓD. CLIENTE DIVERGENTE</v>
      </c>
      <c r="N1197" s="1" t="str">
        <f>_xlfn.XLOOKUP(M1197,Parâmetros!K:K,Parâmetros!L:L,"")</f>
        <v>CÓDIGO DIFERENTE DO CADASTRADO NO BENNER (CLIENTE X GRUPO)</v>
      </c>
      <c r="O1197" s="1" t="str">
        <f>_xlfn.XLOOKUP(M1197,Parâmetros!B:B,Parâmetros!C:C,_xlfn.XLOOKUP(Base!M1193,Parâmetros!G:G,Parâmetros!H:H))</f>
        <v>QUALIDADE DOS DADOS</v>
      </c>
      <c r="P1197" s="1" t="str">
        <f>_xlfn.XLOOKUP(I1197,Parâmetros!A:A,Parâmetros!D:D,_xlfn.XLOOKUP(Q1197,Parâmetros!F:F,Parâmetros!I:I))</f>
        <v>SUPORTE OBT</v>
      </c>
      <c r="Q1197" s="1">
        <f t="shared" si="37"/>
        <v>1</v>
      </c>
    </row>
    <row r="1198" spans="1:17" x14ac:dyDescent="0.25">
      <c r="A1198" s="1" t="str">
        <f>_xlfn.XLOOKUP(D1198,'Novo relatório'!B:B,'Novo relatório'!C:C,"RESOLVIDO")</f>
        <v>RESOLVIDO</v>
      </c>
      <c r="C1198" t="str">
        <f t="shared" si="36"/>
        <v>RESOLVIDO</v>
      </c>
      <c r="D1198" s="1">
        <v>3317996</v>
      </c>
      <c r="E1198" s="1" t="s">
        <v>12</v>
      </c>
      <c r="F1198" s="2">
        <v>45737.603472222225</v>
      </c>
      <c r="G1198" s="1">
        <v>102655</v>
      </c>
      <c r="H1198" s="1">
        <v>102655</v>
      </c>
      <c r="I1198" s="1" t="s">
        <v>927</v>
      </c>
      <c r="J1198" s="2">
        <v>45737.826388888891</v>
      </c>
      <c r="K1198" s="2">
        <v>45740.859027777777</v>
      </c>
      <c r="L1198" s="1" t="s">
        <v>19</v>
      </c>
      <c r="M1198" s="1" t="str">
        <f>_xlfn.XLOOKUP(I1198,Parâmetros!A:A,Parâmetros!B:B,_xlfn.XLOOKUP(Q1198,Parâmetros!F:F,Parâmetros!G:G,"NOVA MENSAGEM"))</f>
        <v>CONTRATO FORNECEDOR</v>
      </c>
      <c r="N1198" s="1" t="str">
        <f>_xlfn.XLOOKUP(M1198,Parâmetros!K:K,Parâmetros!L:L,"")</f>
        <v>CONTRATO INATIVO OU DIVERGENTE</v>
      </c>
      <c r="O1198" s="1" t="str">
        <f>_xlfn.XLOOKUP(M1198,Parâmetros!B:B,Parâmetros!C:C,_xlfn.XLOOKUP(Base!M1194,Parâmetros!G:G,Parâmetros!H:H))</f>
        <v>SISTEMA</v>
      </c>
      <c r="P1198" s="1" t="str">
        <f>_xlfn.XLOOKUP(I1198,Parâmetros!A:A,Parâmetros!D:D,_xlfn.XLOOKUP(Q1198,Parâmetros!F:F,Parâmetros!I:I))</f>
        <v>OPERAÇÕES / SUPORTE KCS</v>
      </c>
      <c r="Q1198" s="1">
        <f t="shared" si="37"/>
        <v>69</v>
      </c>
    </row>
    <row r="1199" spans="1:17" x14ac:dyDescent="0.25">
      <c r="A1199" s="1" t="str">
        <f>_xlfn.XLOOKUP(D1199,'Novo relatório'!B:B,'Novo relatório'!C:C,"RESOLVIDO")</f>
        <v>RESOLVIDO</v>
      </c>
      <c r="C1199" t="str">
        <f t="shared" si="36"/>
        <v>RESOLVIDO</v>
      </c>
      <c r="D1199" s="1">
        <v>3318077</v>
      </c>
      <c r="E1199" s="1" t="s">
        <v>12</v>
      </c>
      <c r="F1199" s="2">
        <v>45737.643055555556</v>
      </c>
      <c r="G1199" s="1">
        <v>3930</v>
      </c>
      <c r="H1199" s="1">
        <v>3930</v>
      </c>
      <c r="I1199" s="1" t="s">
        <v>927</v>
      </c>
      <c r="J1199" s="2">
        <v>45737.835416666669</v>
      </c>
      <c r="K1199" s="2">
        <v>45740.866666666669</v>
      </c>
      <c r="L1199" s="1" t="s">
        <v>19</v>
      </c>
      <c r="M1199" s="1" t="str">
        <f>_xlfn.XLOOKUP(I1199,Parâmetros!A:A,Parâmetros!B:B,_xlfn.XLOOKUP(Q1199,Parâmetros!F:F,Parâmetros!G:G,"NOVA MENSAGEM"))</f>
        <v>CONTRATO FORNECEDOR</v>
      </c>
      <c r="N1199" s="1" t="str">
        <f>_xlfn.XLOOKUP(M1199,Parâmetros!K:K,Parâmetros!L:L,"")</f>
        <v>CONTRATO INATIVO OU DIVERGENTE</v>
      </c>
      <c r="O1199" s="1" t="str">
        <f>_xlfn.XLOOKUP(M1199,Parâmetros!B:B,Parâmetros!C:C,_xlfn.XLOOKUP(Base!M1195,Parâmetros!G:G,Parâmetros!H:H))</f>
        <v>SISTEMA</v>
      </c>
      <c r="P1199" s="1" t="str">
        <f>_xlfn.XLOOKUP(I1199,Parâmetros!A:A,Parâmetros!D:D,_xlfn.XLOOKUP(Q1199,Parâmetros!F:F,Parâmetros!I:I))</f>
        <v>OPERAÇÕES / SUPORTE KCS</v>
      </c>
      <c r="Q1199" s="1">
        <f t="shared" si="37"/>
        <v>69</v>
      </c>
    </row>
    <row r="1200" spans="1:17" x14ac:dyDescent="0.25">
      <c r="A1200" s="1" t="str">
        <f>_xlfn.XLOOKUP(D1200,'Novo relatório'!B:B,'Novo relatório'!C:C,"RESOLVIDO")</f>
        <v>SABRE</v>
      </c>
      <c r="C1200" t="str">
        <f t="shared" si="36"/>
        <v>PENDENTE</v>
      </c>
      <c r="D1200" s="1">
        <v>3318300</v>
      </c>
      <c r="E1200" s="1" t="s">
        <v>26</v>
      </c>
      <c r="F1200" s="2">
        <v>45737.770138888889</v>
      </c>
      <c r="G1200" s="1" t="s">
        <v>1819</v>
      </c>
      <c r="H1200" s="1" t="s">
        <v>1819</v>
      </c>
      <c r="I1200" s="1" t="s">
        <v>83</v>
      </c>
      <c r="J1200" s="2">
        <v>45737.857638888891</v>
      </c>
      <c r="L1200" s="1" t="s">
        <v>18</v>
      </c>
      <c r="M1200" s="1" t="str">
        <f>_xlfn.XLOOKUP(I1200,Parâmetros!A:A,Parâmetros!B:B,_xlfn.XLOOKUP(Q1200,Parâmetros!F:F,Parâmetros!G:G,"NOVA MENSAGEM"))</f>
        <v>CLIENTE NÃO IDENTIFICADO</v>
      </c>
      <c r="N1200" s="1" t="str">
        <f>_xlfn.XLOOKUP(M1200,Parâmetros!K:K,Parâmetros!L:L,"")</f>
        <v>DK DE CLIENTE NÃO PREENCIDO / CLIENTE NÃO CONFIGURADO NO OBT</v>
      </c>
      <c r="O1200" s="1" t="str">
        <f>_xlfn.XLOOKUP(M1200,Parâmetros!B:B,Parâmetros!C:C,_xlfn.XLOOKUP(Base!M1196,Parâmetros!G:G,Parâmetros!H:H))</f>
        <v>INDEFINIDO</v>
      </c>
      <c r="P1200" s="1" t="str">
        <f>_xlfn.XLOOKUP(I1200,Parâmetros!A:A,Parâmetros!D:D,_xlfn.XLOOKUP(Q1200,Parâmetros!F:F,Parâmetros!I:I))</f>
        <v>OPERAÇÕES / SUPORTE KCS</v>
      </c>
      <c r="Q1200" s="1" t="str">
        <f t="shared" si="37"/>
        <v>COLUNA I</v>
      </c>
    </row>
    <row r="1201" spans="1:17" x14ac:dyDescent="0.25">
      <c r="A1201" s="1" t="str">
        <f>_xlfn.XLOOKUP(D1201,'Novo relatório'!B:B,'Novo relatório'!C:C,"RESOLVIDO")</f>
        <v>SABRE</v>
      </c>
      <c r="C1201" t="str">
        <f t="shared" si="36"/>
        <v>PENDENTE</v>
      </c>
      <c r="D1201" s="1">
        <v>3318307</v>
      </c>
      <c r="E1201" s="1" t="s">
        <v>26</v>
      </c>
      <c r="F1201" s="2">
        <v>45737.770138888889</v>
      </c>
      <c r="G1201" s="1" t="s">
        <v>1690</v>
      </c>
      <c r="H1201" s="1" t="s">
        <v>1690</v>
      </c>
      <c r="I1201" s="1" t="s">
        <v>83</v>
      </c>
      <c r="J1201" s="2">
        <v>45737.85833333333</v>
      </c>
      <c r="L1201" s="1" t="s">
        <v>18</v>
      </c>
      <c r="M1201" s="1" t="str">
        <f>_xlfn.XLOOKUP(I1201,Parâmetros!A:A,Parâmetros!B:B,_xlfn.XLOOKUP(Q1201,Parâmetros!F:F,Parâmetros!G:G,"NOVA MENSAGEM"))</f>
        <v>CLIENTE NÃO IDENTIFICADO</v>
      </c>
      <c r="N1201" s="1" t="str">
        <f>_xlfn.XLOOKUP(M1201,Parâmetros!K:K,Parâmetros!L:L,"")</f>
        <v>DK DE CLIENTE NÃO PREENCIDO / CLIENTE NÃO CONFIGURADO NO OBT</v>
      </c>
      <c r="O1201" s="1" t="str">
        <f>_xlfn.XLOOKUP(M1201,Parâmetros!B:B,Parâmetros!C:C,_xlfn.XLOOKUP(Base!M1197,Parâmetros!G:G,Parâmetros!H:H))</f>
        <v>INDEFINIDO</v>
      </c>
      <c r="P1201" s="1" t="str">
        <f>_xlfn.XLOOKUP(I1201,Parâmetros!A:A,Parâmetros!D:D,_xlfn.XLOOKUP(Q1201,Parâmetros!F:F,Parâmetros!I:I))</f>
        <v>OPERAÇÕES / SUPORTE KCS</v>
      </c>
      <c r="Q1201" s="1" t="str">
        <f t="shared" si="37"/>
        <v>COLUNA I</v>
      </c>
    </row>
    <row r="1202" spans="1:17" x14ac:dyDescent="0.25">
      <c r="A1202" s="1" t="str">
        <f>_xlfn.XLOOKUP(D1202,'Novo relatório'!B:B,'Novo relatório'!C:C,"RESOLVIDO")</f>
        <v>SABRE</v>
      </c>
      <c r="C1202" t="str">
        <f t="shared" si="36"/>
        <v>PENDENTE</v>
      </c>
      <c r="D1202" s="1">
        <v>3318327</v>
      </c>
      <c r="E1202" s="1" t="s">
        <v>26</v>
      </c>
      <c r="F1202" s="2">
        <v>45737.770138888889</v>
      </c>
      <c r="G1202" s="1" t="s">
        <v>1818</v>
      </c>
      <c r="H1202" s="1" t="s">
        <v>1818</v>
      </c>
      <c r="I1202" s="1" t="s">
        <v>620</v>
      </c>
      <c r="J1202" s="2">
        <v>45737.86041666667</v>
      </c>
      <c r="L1202" s="1" t="s">
        <v>18</v>
      </c>
      <c r="M1202" s="1" t="str">
        <f>_xlfn.XLOOKUP(I1202,Parâmetros!A:A,Parâmetros!B:B,_xlfn.XLOOKUP(Q1202,Parâmetros!F:F,Parâmetros!G:G,"NOVA MENSAGEM"))</f>
        <v>CÓD. CLIENTE DIVERGENTE</v>
      </c>
      <c r="N1202" s="1" t="str">
        <f>_xlfn.XLOOKUP(M1202,Parâmetros!K:K,Parâmetros!L:L,"")</f>
        <v>CÓDIGO DIFERENTE DO CADASTRADO NO BENNER (CLIENTE X GRUPO)</v>
      </c>
      <c r="O1202" s="1" t="str">
        <f>_xlfn.XLOOKUP(M1202,Parâmetros!B:B,Parâmetros!C:C,_xlfn.XLOOKUP(Base!M1199,Parâmetros!G:G,Parâmetros!H:H))</f>
        <v>QUALIDADE DOS DADOS</v>
      </c>
      <c r="P1202" s="1" t="str">
        <f>_xlfn.XLOOKUP(I1202,Parâmetros!A:A,Parâmetros!D:D,_xlfn.XLOOKUP(Q1202,Parâmetros!F:F,Parâmetros!I:I))</f>
        <v>SUPORTE OBT</v>
      </c>
      <c r="Q1202" s="1">
        <f t="shared" si="37"/>
        <v>1</v>
      </c>
    </row>
    <row r="1203" spans="1:17" x14ac:dyDescent="0.25">
      <c r="A1203" s="1" t="str">
        <f>_xlfn.XLOOKUP(D1203,'Novo relatório'!B:B,'Novo relatório'!C:C,"RESOLVIDO")</f>
        <v>SABRE</v>
      </c>
      <c r="C1203" t="str">
        <f t="shared" si="36"/>
        <v>PENDENTE</v>
      </c>
      <c r="D1203" s="1">
        <v>3318330</v>
      </c>
      <c r="E1203" s="1" t="s">
        <v>26</v>
      </c>
      <c r="F1203" s="2">
        <v>45737.770138888889</v>
      </c>
      <c r="G1203" s="1" t="s">
        <v>1720</v>
      </c>
      <c r="H1203" s="1" t="s">
        <v>1720</v>
      </c>
      <c r="I1203" s="1" t="s">
        <v>620</v>
      </c>
      <c r="J1203" s="2">
        <v>45737.86041666667</v>
      </c>
      <c r="L1203" s="1" t="s">
        <v>18</v>
      </c>
      <c r="M1203" s="1" t="str">
        <f>_xlfn.XLOOKUP(I1203,Parâmetros!A:A,Parâmetros!B:B,_xlfn.XLOOKUP(Q1203,Parâmetros!F:F,Parâmetros!G:G,"NOVA MENSAGEM"))</f>
        <v>CÓD. CLIENTE DIVERGENTE</v>
      </c>
      <c r="N1203" s="1" t="str">
        <f>_xlfn.XLOOKUP(M1203,Parâmetros!K:K,Parâmetros!L:L,"")</f>
        <v>CÓDIGO DIFERENTE DO CADASTRADO NO BENNER (CLIENTE X GRUPO)</v>
      </c>
      <c r="O1203" s="1" t="str">
        <f>_xlfn.XLOOKUP(M1203,Parâmetros!B:B,Parâmetros!C:C,_xlfn.XLOOKUP(Base!M1198,Parâmetros!G:G,Parâmetros!H:H))</f>
        <v>QUALIDADE DOS DADOS</v>
      </c>
      <c r="P1203" s="1" t="str">
        <f>_xlfn.XLOOKUP(I1203,Parâmetros!A:A,Parâmetros!D:D,_xlfn.XLOOKUP(Q1203,Parâmetros!F:F,Parâmetros!I:I))</f>
        <v>SUPORTE OBT</v>
      </c>
      <c r="Q1203" s="1">
        <f t="shared" si="37"/>
        <v>1</v>
      </c>
    </row>
    <row r="1204" spans="1:17" x14ac:dyDescent="0.25">
      <c r="A1204" s="1" t="str">
        <f>_xlfn.XLOOKUP(D1204,'Novo relatório'!B:B,'Novo relatório'!C:C,"RESOLVIDO")</f>
        <v>SABRE</v>
      </c>
      <c r="C1204" t="str">
        <f t="shared" si="36"/>
        <v>PENDENTE</v>
      </c>
      <c r="D1204" s="1">
        <v>3318332</v>
      </c>
      <c r="E1204" s="1" t="s">
        <v>26</v>
      </c>
      <c r="F1204" s="2">
        <v>45740.330555555556</v>
      </c>
      <c r="G1204" s="1" t="s">
        <v>1743</v>
      </c>
      <c r="H1204" s="1" t="s">
        <v>1743</v>
      </c>
      <c r="I1204" s="1" t="s">
        <v>83</v>
      </c>
      <c r="J1204" s="2">
        <v>45737.86041666667</v>
      </c>
      <c r="K1204" s="2">
        <v>45740.420138888891</v>
      </c>
      <c r="L1204" s="1" t="s">
        <v>18</v>
      </c>
      <c r="M1204" s="1" t="str">
        <f>_xlfn.XLOOKUP(I1204,Parâmetros!A:A,Parâmetros!B:B,_xlfn.XLOOKUP(Q1204,Parâmetros!F:F,Parâmetros!G:G,"NOVA MENSAGEM"))</f>
        <v>CLIENTE NÃO IDENTIFICADO</v>
      </c>
      <c r="N1204" s="1" t="str">
        <f>_xlfn.XLOOKUP(M1204,Parâmetros!K:K,Parâmetros!L:L,"")</f>
        <v>DK DE CLIENTE NÃO PREENCIDO / CLIENTE NÃO CONFIGURADO NO OBT</v>
      </c>
      <c r="O1204" s="1" t="str">
        <f>_xlfn.XLOOKUP(M1204,Parâmetros!B:B,Parâmetros!C:C,_xlfn.XLOOKUP(Base!M1200,Parâmetros!G:G,Parâmetros!H:H))</f>
        <v>INDEFINIDO</v>
      </c>
      <c r="P1204" s="1" t="str">
        <f>_xlfn.XLOOKUP(I1204,Parâmetros!A:A,Parâmetros!D:D,_xlfn.XLOOKUP(Q1204,Parâmetros!F:F,Parâmetros!I:I))</f>
        <v>OPERAÇÕES / SUPORTE KCS</v>
      </c>
      <c r="Q1204" s="1" t="str">
        <f t="shared" si="37"/>
        <v>COLUNA I</v>
      </c>
    </row>
    <row r="1205" spans="1:17" x14ac:dyDescent="0.25">
      <c r="A1205" s="1" t="str">
        <f>_xlfn.XLOOKUP(D1205,'Novo relatório'!B:B,'Novo relatório'!C:C,"RESOLVIDO")</f>
        <v>SABRE</v>
      </c>
      <c r="C1205" t="str">
        <f t="shared" si="36"/>
        <v>PENDENTE</v>
      </c>
      <c r="D1205" s="1">
        <v>3318340</v>
      </c>
      <c r="E1205" s="1" t="s">
        <v>26</v>
      </c>
      <c r="F1205" s="2">
        <v>45737.770138888889</v>
      </c>
      <c r="G1205" s="1" t="s">
        <v>1873</v>
      </c>
      <c r="H1205" s="1" t="s">
        <v>1873</v>
      </c>
      <c r="I1205" s="1" t="s">
        <v>620</v>
      </c>
      <c r="J1205" s="2">
        <v>45737.861111111109</v>
      </c>
      <c r="L1205" s="1" t="s">
        <v>18</v>
      </c>
      <c r="M1205" s="1" t="str">
        <f>_xlfn.XLOOKUP(I1205,Parâmetros!A:A,Parâmetros!B:B,_xlfn.XLOOKUP(Q1205,Parâmetros!F:F,Parâmetros!G:G,"NOVA MENSAGEM"))</f>
        <v>CÓD. CLIENTE DIVERGENTE</v>
      </c>
      <c r="N1205" s="1" t="str">
        <f>_xlfn.XLOOKUP(M1205,Parâmetros!K:K,Parâmetros!L:L,"")</f>
        <v>CÓDIGO DIFERENTE DO CADASTRADO NO BENNER (CLIENTE X GRUPO)</v>
      </c>
      <c r="O1205" s="1" t="str">
        <f>_xlfn.XLOOKUP(M1205,Parâmetros!B:B,Parâmetros!C:C,_xlfn.XLOOKUP(Base!M1203,Parâmetros!G:G,Parâmetros!H:H))</f>
        <v>QUALIDADE DOS DADOS</v>
      </c>
      <c r="P1205" s="1" t="str">
        <f>_xlfn.XLOOKUP(I1205,Parâmetros!A:A,Parâmetros!D:D,_xlfn.XLOOKUP(Q1205,Parâmetros!F:F,Parâmetros!I:I))</f>
        <v>SUPORTE OBT</v>
      </c>
      <c r="Q1205" s="1">
        <f t="shared" si="37"/>
        <v>1</v>
      </c>
    </row>
    <row r="1206" spans="1:17" x14ac:dyDescent="0.25">
      <c r="A1206" s="1" t="str">
        <f>_xlfn.XLOOKUP(D1206,'Novo relatório'!B:B,'Novo relatório'!C:C,"RESOLVIDO")</f>
        <v>SABRE</v>
      </c>
      <c r="C1206" t="str">
        <f t="shared" si="36"/>
        <v>PENDENTE</v>
      </c>
      <c r="D1206" s="1">
        <v>3318346</v>
      </c>
      <c r="E1206" s="1" t="s">
        <v>26</v>
      </c>
      <c r="F1206" s="2">
        <v>45737.770138888889</v>
      </c>
      <c r="G1206" s="1" t="s">
        <v>1746</v>
      </c>
      <c r="H1206" s="1" t="s">
        <v>1746</v>
      </c>
      <c r="I1206" s="1" t="s">
        <v>83</v>
      </c>
      <c r="J1206" s="2">
        <v>45737.861111111109</v>
      </c>
      <c r="L1206" s="1" t="s">
        <v>18</v>
      </c>
      <c r="M1206" s="1" t="str">
        <f>_xlfn.XLOOKUP(I1206,Parâmetros!A:A,Parâmetros!B:B,_xlfn.XLOOKUP(Q1206,Parâmetros!F:F,Parâmetros!G:G,"NOVA MENSAGEM"))</f>
        <v>CLIENTE NÃO IDENTIFICADO</v>
      </c>
      <c r="N1206" s="1" t="str">
        <f>_xlfn.XLOOKUP(M1206,Parâmetros!K:K,Parâmetros!L:L,"")</f>
        <v>DK DE CLIENTE NÃO PREENCIDO / CLIENTE NÃO CONFIGURADO NO OBT</v>
      </c>
      <c r="O1206" s="1" t="str">
        <f>_xlfn.XLOOKUP(M1206,Parâmetros!B:B,Parâmetros!C:C,_xlfn.XLOOKUP(Base!M1202,Parâmetros!G:G,Parâmetros!H:H))</f>
        <v>INDEFINIDO</v>
      </c>
      <c r="P1206" s="1" t="str">
        <f>_xlfn.XLOOKUP(I1206,Parâmetros!A:A,Parâmetros!D:D,_xlfn.XLOOKUP(Q1206,Parâmetros!F:F,Parâmetros!I:I))</f>
        <v>OPERAÇÕES / SUPORTE KCS</v>
      </c>
      <c r="Q1206" s="1" t="str">
        <f t="shared" si="37"/>
        <v>COLUNA I</v>
      </c>
    </row>
    <row r="1207" spans="1:17" x14ac:dyDescent="0.25">
      <c r="A1207" s="1" t="str">
        <f>_xlfn.XLOOKUP(D1207,'Novo relatório'!B:B,'Novo relatório'!C:C,"RESOLVIDO")</f>
        <v>SABRE</v>
      </c>
      <c r="C1207" t="str">
        <f t="shared" si="36"/>
        <v>PENDENTE</v>
      </c>
      <c r="D1207" s="1">
        <v>3318348</v>
      </c>
      <c r="E1207" s="1" t="s">
        <v>26</v>
      </c>
      <c r="F1207" s="2">
        <v>45737.770138888889</v>
      </c>
      <c r="G1207" s="1" t="s">
        <v>1664</v>
      </c>
      <c r="H1207" s="1" t="s">
        <v>1664</v>
      </c>
      <c r="I1207" s="1" t="s">
        <v>83</v>
      </c>
      <c r="J1207" s="2">
        <v>45737.861111111109</v>
      </c>
      <c r="L1207" s="1" t="s">
        <v>18</v>
      </c>
      <c r="M1207" s="1" t="str">
        <f>_xlfn.XLOOKUP(I1207,Parâmetros!A:A,Parâmetros!B:B,_xlfn.XLOOKUP(Q1207,Parâmetros!F:F,Parâmetros!G:G,"NOVA MENSAGEM"))</f>
        <v>CLIENTE NÃO IDENTIFICADO</v>
      </c>
      <c r="N1207" s="1" t="str">
        <f>_xlfn.XLOOKUP(M1207,Parâmetros!K:K,Parâmetros!L:L,"")</f>
        <v>DK DE CLIENTE NÃO PREENCIDO / CLIENTE NÃO CONFIGURADO NO OBT</v>
      </c>
      <c r="O1207" s="1" t="str">
        <f>_xlfn.XLOOKUP(M1207,Parâmetros!B:B,Parâmetros!C:C,_xlfn.XLOOKUP(Base!M1201,Parâmetros!G:G,Parâmetros!H:H))</f>
        <v>INDEFINIDO</v>
      </c>
      <c r="P1207" s="1" t="str">
        <f>_xlfn.XLOOKUP(I1207,Parâmetros!A:A,Parâmetros!D:D,_xlfn.XLOOKUP(Q1207,Parâmetros!F:F,Parâmetros!I:I))</f>
        <v>OPERAÇÕES / SUPORTE KCS</v>
      </c>
      <c r="Q1207" s="1" t="str">
        <f t="shared" si="37"/>
        <v>COLUNA I</v>
      </c>
    </row>
    <row r="1208" spans="1:17" x14ac:dyDescent="0.25">
      <c r="A1208" s="1" t="str">
        <f>_xlfn.XLOOKUP(D1208,'Novo relatório'!B:B,'Novo relatório'!C:C,"RESOLVIDO")</f>
        <v>SABRE</v>
      </c>
      <c r="C1208" t="str">
        <f t="shared" si="36"/>
        <v>PENDENTE</v>
      </c>
      <c r="D1208" s="1">
        <v>3318350</v>
      </c>
      <c r="E1208" s="1" t="s">
        <v>26</v>
      </c>
      <c r="F1208" s="2">
        <v>45737.770138888889</v>
      </c>
      <c r="G1208" s="1" t="s">
        <v>1834</v>
      </c>
      <c r="H1208" s="1" t="s">
        <v>1834</v>
      </c>
      <c r="I1208" s="1" t="s">
        <v>410</v>
      </c>
      <c r="J1208" s="2">
        <v>45737.861805555556</v>
      </c>
      <c r="L1208" s="1" t="s">
        <v>18</v>
      </c>
      <c r="M1208" s="1" t="str">
        <f>_xlfn.XLOOKUP(I1208,Parâmetros!A:A,Parâmetros!B:B,_xlfn.XLOOKUP(Q1208,Parâmetros!F:F,Parâmetros!G:G,"NOVA MENSAGEM"))</f>
        <v>CÓD. CLIENTE DIVERGENTE</v>
      </c>
      <c r="N1208" s="1" t="str">
        <f>_xlfn.XLOOKUP(M1208,Parâmetros!K:K,Parâmetros!L:L,"")</f>
        <v>CÓDIGO DIFERENTE DO CADASTRADO NO BENNER (CLIENTE X GRUPO)</v>
      </c>
      <c r="O1208" s="1" t="str">
        <f>_xlfn.XLOOKUP(M1208,Parâmetros!B:B,Parâmetros!C:C,_xlfn.XLOOKUP(Base!M1205,Parâmetros!G:G,Parâmetros!H:H))</f>
        <v>QUALIDADE DOS DADOS</v>
      </c>
      <c r="P1208" s="1" t="str">
        <f>_xlfn.XLOOKUP(I1208,Parâmetros!A:A,Parâmetros!D:D,_xlfn.XLOOKUP(Q1208,Parâmetros!F:F,Parâmetros!I:I))</f>
        <v>SUPORTE OBT</v>
      </c>
      <c r="Q1208" s="1">
        <f t="shared" si="37"/>
        <v>1</v>
      </c>
    </row>
    <row r="1209" spans="1:17" x14ac:dyDescent="0.25">
      <c r="A1209" s="1" t="str">
        <f>_xlfn.XLOOKUP(D1209,'Novo relatório'!B:B,'Novo relatório'!C:C,"RESOLVIDO")</f>
        <v>SABRE</v>
      </c>
      <c r="C1209" t="str">
        <f t="shared" si="36"/>
        <v>PENDENTE</v>
      </c>
      <c r="D1209" s="1">
        <v>3318352</v>
      </c>
      <c r="E1209" s="1" t="s">
        <v>26</v>
      </c>
      <c r="F1209" s="2">
        <v>45737.770138888889</v>
      </c>
      <c r="G1209" s="1" t="s">
        <v>1842</v>
      </c>
      <c r="H1209" s="1" t="s">
        <v>1842</v>
      </c>
      <c r="I1209" s="1" t="s">
        <v>671</v>
      </c>
      <c r="J1209" s="2">
        <v>45737.861805555556</v>
      </c>
      <c r="L1209" s="1" t="s">
        <v>18</v>
      </c>
      <c r="M1209" s="1" t="str">
        <f>_xlfn.XLOOKUP(I1209,Parâmetros!A:A,Parâmetros!B:B,_xlfn.XLOOKUP(Q1209,Parâmetros!F:F,Parâmetros!G:G,"NOVA MENSAGEM"))</f>
        <v>CÓD. CLIENTE DIVERGENTE</v>
      </c>
      <c r="N1209" s="1" t="str">
        <f>_xlfn.XLOOKUP(M1209,Parâmetros!K:K,Parâmetros!L:L,"")</f>
        <v>CÓDIGO DIFERENTE DO CADASTRADO NO BENNER (CLIENTE X GRUPO)</v>
      </c>
      <c r="O1209" s="1" t="str">
        <f>_xlfn.XLOOKUP(M1209,Parâmetros!B:B,Parâmetros!C:C,_xlfn.XLOOKUP(Base!M1206,Parâmetros!G:G,Parâmetros!H:H))</f>
        <v>QUALIDADE DOS DADOS</v>
      </c>
      <c r="P1209" s="1" t="str">
        <f>_xlfn.XLOOKUP(I1209,Parâmetros!A:A,Parâmetros!D:D,_xlfn.XLOOKUP(Q1209,Parâmetros!F:F,Parâmetros!I:I))</f>
        <v>SUPORTE OBT</v>
      </c>
      <c r="Q1209" s="1">
        <f t="shared" si="37"/>
        <v>1</v>
      </c>
    </row>
    <row r="1210" spans="1:17" x14ac:dyDescent="0.25">
      <c r="A1210" s="1" t="str">
        <f>_xlfn.XLOOKUP(D1210,'Novo relatório'!B:B,'Novo relatório'!C:C,"RESOLVIDO")</f>
        <v>SABRE</v>
      </c>
      <c r="C1210" t="str">
        <f t="shared" si="36"/>
        <v>PENDENTE</v>
      </c>
      <c r="D1210" s="1">
        <v>3318358</v>
      </c>
      <c r="E1210" s="1" t="s">
        <v>26</v>
      </c>
      <c r="F1210" s="2">
        <v>45737.770138888889</v>
      </c>
      <c r="G1210" s="1" t="s">
        <v>1826</v>
      </c>
      <c r="H1210" s="1" t="s">
        <v>1826</v>
      </c>
      <c r="I1210" s="1" t="s">
        <v>409</v>
      </c>
      <c r="J1210" s="2">
        <v>45737.861805555556</v>
      </c>
      <c r="L1210" s="1" t="s">
        <v>18</v>
      </c>
      <c r="M1210" s="1" t="str">
        <f>_xlfn.XLOOKUP(I1210,Parâmetros!A:A,Parâmetros!B:B,_xlfn.XLOOKUP(Q1210,Parâmetros!F:F,Parâmetros!G:G,"NOVA MENSAGEM"))</f>
        <v>CÓD. CLIENTE DIVERGENTE</v>
      </c>
      <c r="N1210" s="1" t="str">
        <f>_xlfn.XLOOKUP(M1210,Parâmetros!K:K,Parâmetros!L:L,"")</f>
        <v>CÓDIGO DIFERENTE DO CADASTRADO NO BENNER (CLIENTE X GRUPO)</v>
      </c>
      <c r="O1210" s="1" t="str">
        <f>_xlfn.XLOOKUP(M1210,Parâmetros!B:B,Parâmetros!C:C,_xlfn.XLOOKUP(Base!M1204,Parâmetros!G:G,Parâmetros!H:H))</f>
        <v>QUALIDADE DOS DADOS</v>
      </c>
      <c r="P1210" s="1" t="str">
        <f>_xlfn.XLOOKUP(I1210,Parâmetros!A:A,Parâmetros!D:D,_xlfn.XLOOKUP(Q1210,Parâmetros!F:F,Parâmetros!I:I))</f>
        <v>SUPORTE OBT</v>
      </c>
      <c r="Q1210" s="1">
        <f t="shared" si="37"/>
        <v>1</v>
      </c>
    </row>
    <row r="1211" spans="1:17" x14ac:dyDescent="0.25">
      <c r="A1211" s="1" t="str">
        <f>_xlfn.XLOOKUP(D1211,'Novo relatório'!B:B,'Novo relatório'!C:C,"RESOLVIDO")</f>
        <v>TMS</v>
      </c>
      <c r="C1211" t="str">
        <f t="shared" si="36"/>
        <v>PENDENTE</v>
      </c>
      <c r="D1211" s="1">
        <v>3318556</v>
      </c>
      <c r="E1211" s="1" t="s">
        <v>12</v>
      </c>
      <c r="F1211" s="2">
        <v>45737.814583333333</v>
      </c>
      <c r="G1211" s="1">
        <v>3295</v>
      </c>
      <c r="H1211" s="1">
        <v>3295</v>
      </c>
      <c r="I1211" s="1" t="s">
        <v>1907</v>
      </c>
      <c r="J1211" s="2">
        <v>45738.060416666667</v>
      </c>
      <c r="K1211" s="2">
        <v>45740.870833333334</v>
      </c>
      <c r="L1211" s="1" t="s">
        <v>14</v>
      </c>
      <c r="M1211" s="1" t="str">
        <f>_xlfn.XLOOKUP(I1211,Parâmetros!A:A,Parâmetros!B:B,_xlfn.XLOOKUP(Q1211,Parâmetros!F:F,Parâmetros!G:G,"NOVA MENSAGEM"))</f>
        <v>ASSENTO / BAGAGEM</v>
      </c>
      <c r="N1211" s="1" t="str">
        <f>_xlfn.XLOOKUP(M1211,Parâmetros!K:K,Parâmetros!L:L,"")</f>
        <v>CAMPO OBSERVAÇÃO PREENCHIDO INCORRETAMENTE</v>
      </c>
      <c r="O1211" s="1" t="str">
        <f>_xlfn.XLOOKUP(M1211,Parâmetros!B:B,Parâmetros!C:C,_xlfn.XLOOKUP(Base!M1207,Parâmetros!G:G,Parâmetros!H:H))</f>
        <v>QUALIDADE DOS DADOS</v>
      </c>
      <c r="P1211" s="1" t="str">
        <f>_xlfn.XLOOKUP(I1211,Parâmetros!A:A,Parâmetros!D:D,_xlfn.XLOOKUP(Q1211,Parâmetros!F:F,Parâmetros!I:I))</f>
        <v>OPERAÇÕES / SUPORTE KCS</v>
      </c>
      <c r="Q1211" s="1">
        <f t="shared" si="37"/>
        <v>127</v>
      </c>
    </row>
    <row r="1212" spans="1:17" x14ac:dyDescent="0.25">
      <c r="A1212" s="1" t="str">
        <f>_xlfn.XLOOKUP(D1212,'Novo relatório'!B:B,'Novo relatório'!C:C,"RESOLVIDO")</f>
        <v>SABRE</v>
      </c>
      <c r="C1212" t="str">
        <f t="shared" si="36"/>
        <v>PENDENTE</v>
      </c>
      <c r="D1212" s="1">
        <v>3318737</v>
      </c>
      <c r="E1212" s="1" t="s">
        <v>26</v>
      </c>
      <c r="F1212" s="2">
        <v>45559.665277777778</v>
      </c>
      <c r="G1212" s="1" t="s">
        <v>1665</v>
      </c>
      <c r="H1212" s="1" t="s">
        <v>1665</v>
      </c>
      <c r="I1212" s="1" t="s">
        <v>1666</v>
      </c>
      <c r="J1212" s="2">
        <v>45739.563194444447</v>
      </c>
      <c r="K1212" s="2">
        <v>45739.604861111111</v>
      </c>
      <c r="L1212" s="1" t="s">
        <v>18</v>
      </c>
      <c r="M1212" s="1" t="str">
        <f>_xlfn.XLOOKUP(I1212,Parâmetros!A:A,Parâmetros!B:B,_xlfn.XLOOKUP(Q1212,Parâmetros!F:F,Parâmetros!G:G,"NOVA MENSAGEM"))</f>
        <v>REMARK - CNPJ</v>
      </c>
      <c r="N1212" s="1" t="str">
        <f>_xlfn.XLOOKUP(M1212,Parâmetros!K:K,Parâmetros!L:L,"")</f>
        <v/>
      </c>
      <c r="O1212" s="1" t="str">
        <f>_xlfn.XLOOKUP(M1212,Parâmetros!B:B,Parâmetros!C:C,_xlfn.XLOOKUP(Base!M1208,Parâmetros!G:G,Parâmetros!H:H))</f>
        <v>QUALIDADE DOS DADOS</v>
      </c>
      <c r="P1212" s="1" t="str">
        <f>_xlfn.XLOOKUP(I1212,Parâmetros!A:A,Parâmetros!D:D,_xlfn.XLOOKUP(Q1212,Parâmetros!F:F,Parâmetros!I:I))</f>
        <v>OPERAÇÕES / SUPORTE KCS</v>
      </c>
      <c r="Q1212" s="1">
        <f t="shared" si="37"/>
        <v>24</v>
      </c>
    </row>
    <row r="1213" spans="1:17" x14ac:dyDescent="0.25">
      <c r="A1213" s="1" t="str">
        <f>_xlfn.XLOOKUP(D1213,'Novo relatório'!B:B,'Novo relatório'!C:C,"RESOLVIDO")</f>
        <v>SABRE</v>
      </c>
      <c r="C1213" t="str">
        <f t="shared" si="36"/>
        <v>PENDENTE</v>
      </c>
      <c r="D1213" s="1">
        <v>3319364</v>
      </c>
      <c r="E1213" s="1" t="s">
        <v>26</v>
      </c>
      <c r="F1213" s="2">
        <v>45740.448611111111</v>
      </c>
      <c r="G1213" s="1" t="s">
        <v>1831</v>
      </c>
      <c r="H1213" s="1" t="s">
        <v>1831</v>
      </c>
      <c r="I1213" s="1" t="s">
        <v>83</v>
      </c>
      <c r="J1213" s="2">
        <v>45740.536111111112</v>
      </c>
      <c r="L1213" s="1" t="s">
        <v>18</v>
      </c>
      <c r="M1213" s="1" t="str">
        <f>_xlfn.XLOOKUP(I1213,Parâmetros!A:A,Parâmetros!B:B,_xlfn.XLOOKUP(Q1213,Parâmetros!F:F,Parâmetros!G:G,"NOVA MENSAGEM"))</f>
        <v>CLIENTE NÃO IDENTIFICADO</v>
      </c>
      <c r="N1213" s="1" t="str">
        <f>_xlfn.XLOOKUP(M1213,Parâmetros!K:K,Parâmetros!L:L,"")</f>
        <v>DK DE CLIENTE NÃO PREENCIDO / CLIENTE NÃO CONFIGURADO NO OBT</v>
      </c>
      <c r="O1213" s="1" t="str">
        <f>_xlfn.XLOOKUP(M1213,Parâmetros!B:B,Parâmetros!C:C,_xlfn.XLOOKUP(Base!M1209,Parâmetros!G:G,Parâmetros!H:H))</f>
        <v>INDEFINIDO</v>
      </c>
      <c r="P1213" s="1" t="str">
        <f>_xlfn.XLOOKUP(I1213,Parâmetros!A:A,Parâmetros!D:D,_xlfn.XLOOKUP(Q1213,Parâmetros!F:F,Parâmetros!I:I))</f>
        <v>OPERAÇÕES / SUPORTE KCS</v>
      </c>
      <c r="Q1213" s="1" t="str">
        <f t="shared" si="37"/>
        <v>COLUNA I</v>
      </c>
    </row>
    <row r="1214" spans="1:17" x14ac:dyDescent="0.25">
      <c r="A1214" s="1" t="str">
        <f>_xlfn.XLOOKUP(D1214,'Novo relatório'!B:B,'Novo relatório'!C:C,"RESOLVIDO")</f>
        <v>SABRE</v>
      </c>
      <c r="C1214" t="str">
        <f t="shared" si="36"/>
        <v>PENDENTE</v>
      </c>
      <c r="D1214" s="1">
        <v>3319419</v>
      </c>
      <c r="E1214" s="1" t="s">
        <v>26</v>
      </c>
      <c r="F1214" s="2">
        <v>45740.455555555556</v>
      </c>
      <c r="G1214" s="1" t="s">
        <v>1899</v>
      </c>
      <c r="H1214" s="1" t="s">
        <v>1900</v>
      </c>
      <c r="I1214" s="1" t="s">
        <v>64</v>
      </c>
      <c r="J1214" s="2">
        <v>45740.54791666667</v>
      </c>
      <c r="L1214" s="1" t="s">
        <v>1244</v>
      </c>
      <c r="M1214" s="1" t="str">
        <f>_xlfn.XLOOKUP(I1214,Parâmetros!A:A,Parâmetros!B:B,_xlfn.XLOOKUP(Q1214,Parâmetros!F:F,Parâmetros!G:G,"NOVA MENSAGEM"))</f>
        <v>FORMATO DE TEXTO</v>
      </c>
      <c r="N1214" s="1" t="str">
        <f>_xlfn.XLOOKUP(M1214,Parâmetros!K:K,Parâmetros!L:L,"")</f>
        <v>TEXTO FORA DO PADRÃO ACEITO NO CAMPO</v>
      </c>
      <c r="O1214" s="1" t="str">
        <f>_xlfn.XLOOKUP(M1214,Parâmetros!B:B,Parâmetros!C:C,_xlfn.XLOOKUP(Base!M1210,Parâmetros!G:G,Parâmetros!H:H))</f>
        <v>INDEFINIDO</v>
      </c>
      <c r="P1214" s="1" t="str">
        <f>_xlfn.XLOOKUP(I1214,Parâmetros!A:A,Parâmetros!D:D,_xlfn.XLOOKUP(Q1214,Parâmetros!F:F,Parâmetros!I:I))</f>
        <v>SUPORTE OBT</v>
      </c>
      <c r="Q1214" s="1" t="str">
        <f t="shared" si="37"/>
        <v>COLUNA I</v>
      </c>
    </row>
    <row r="1215" spans="1:17" x14ac:dyDescent="0.25">
      <c r="A1215" s="1" t="str">
        <f>_xlfn.XLOOKUP(D1215,'Novo relatório'!B:B,'Novo relatório'!C:C,"RESOLVIDO")</f>
        <v>SABRE</v>
      </c>
      <c r="C1215" t="str">
        <f t="shared" si="36"/>
        <v>PENDENTE</v>
      </c>
      <c r="D1215" s="1">
        <v>3319421</v>
      </c>
      <c r="E1215" s="1" t="s">
        <v>26</v>
      </c>
      <c r="F1215" s="2">
        <v>45740.459027777775</v>
      </c>
      <c r="G1215" s="1" t="s">
        <v>1854</v>
      </c>
      <c r="H1215" s="1" t="s">
        <v>1855</v>
      </c>
      <c r="I1215" s="1" t="s">
        <v>64</v>
      </c>
      <c r="J1215" s="2">
        <v>45740.54791666667</v>
      </c>
      <c r="L1215" s="1" t="s">
        <v>1244</v>
      </c>
      <c r="M1215" s="1" t="str">
        <f>_xlfn.XLOOKUP(I1215,Parâmetros!A:A,Parâmetros!B:B,_xlfn.XLOOKUP(Q1215,Parâmetros!F:F,Parâmetros!G:G,"NOVA MENSAGEM"))</f>
        <v>FORMATO DE TEXTO</v>
      </c>
      <c r="N1215" s="1" t="str">
        <f>_xlfn.XLOOKUP(M1215,Parâmetros!K:K,Parâmetros!L:L,"")</f>
        <v>TEXTO FORA DO PADRÃO ACEITO NO CAMPO</v>
      </c>
      <c r="O1215" s="1" t="str">
        <f>_xlfn.XLOOKUP(M1215,Parâmetros!B:B,Parâmetros!C:C,_xlfn.XLOOKUP(Base!M1212,Parâmetros!G:G,Parâmetros!H:H))</f>
        <v>INDEFINIDO</v>
      </c>
      <c r="P1215" s="1" t="str">
        <f>_xlfn.XLOOKUP(I1215,Parâmetros!A:A,Parâmetros!D:D,_xlfn.XLOOKUP(Q1215,Parâmetros!F:F,Parâmetros!I:I))</f>
        <v>SUPORTE OBT</v>
      </c>
      <c r="Q1215" s="1" t="str">
        <f t="shared" si="37"/>
        <v>COLUNA I</v>
      </c>
    </row>
    <row r="1216" spans="1:17" x14ac:dyDescent="0.25">
      <c r="A1216" s="1" t="str">
        <f>_xlfn.XLOOKUP(D1216,'Novo relatório'!B:B,'Novo relatório'!C:C,"RESOLVIDO")</f>
        <v>SABRE</v>
      </c>
      <c r="C1216" t="str">
        <f t="shared" si="36"/>
        <v>PENDENTE</v>
      </c>
      <c r="D1216" s="1">
        <v>3319422</v>
      </c>
      <c r="E1216" s="1" t="s">
        <v>26</v>
      </c>
      <c r="F1216" s="2">
        <v>45740.459027777775</v>
      </c>
      <c r="G1216" s="1" t="s">
        <v>1796</v>
      </c>
      <c r="H1216" s="1" t="s">
        <v>1797</v>
      </c>
      <c r="I1216" s="1" t="s">
        <v>64</v>
      </c>
      <c r="J1216" s="2">
        <v>45740.54791666667</v>
      </c>
      <c r="L1216" s="1" t="s">
        <v>1244</v>
      </c>
      <c r="M1216" s="1" t="str">
        <f>_xlfn.XLOOKUP(I1216,Parâmetros!A:A,Parâmetros!B:B,_xlfn.XLOOKUP(Q1216,Parâmetros!F:F,Parâmetros!G:G,"NOVA MENSAGEM"))</f>
        <v>FORMATO DE TEXTO</v>
      </c>
      <c r="N1216" s="1" t="str">
        <f>_xlfn.XLOOKUP(M1216,Parâmetros!K:K,Parâmetros!L:L,"")</f>
        <v>TEXTO FORA DO PADRÃO ACEITO NO CAMPO</v>
      </c>
      <c r="O1216" s="1" t="str">
        <f>_xlfn.XLOOKUP(M1216,Parâmetros!B:B,Parâmetros!C:C,_xlfn.XLOOKUP(Base!M1211,Parâmetros!G:G,Parâmetros!H:H))</f>
        <v>INDEFINIDO</v>
      </c>
      <c r="P1216" s="1" t="str">
        <f>_xlfn.XLOOKUP(I1216,Parâmetros!A:A,Parâmetros!D:D,_xlfn.XLOOKUP(Q1216,Parâmetros!F:F,Parâmetros!I:I))</f>
        <v>SUPORTE OBT</v>
      </c>
      <c r="Q1216" s="1" t="str">
        <f t="shared" si="37"/>
        <v>COLUNA I</v>
      </c>
    </row>
    <row r="1217" spans="1:17" x14ac:dyDescent="0.25">
      <c r="A1217" s="1" t="str">
        <f>_xlfn.XLOOKUP(D1217,'Novo relatório'!B:B,'Novo relatório'!C:C,"RESOLVIDO")</f>
        <v>SABRE</v>
      </c>
      <c r="C1217" t="str">
        <f t="shared" si="36"/>
        <v>PENDENTE</v>
      </c>
      <c r="D1217" s="1">
        <v>3319423</v>
      </c>
      <c r="E1217" s="1" t="s">
        <v>26</v>
      </c>
      <c r="F1217" s="2">
        <v>45740.459722222222</v>
      </c>
      <c r="G1217" s="1" t="s">
        <v>1671</v>
      </c>
      <c r="H1217" s="1" t="s">
        <v>1672</v>
      </c>
      <c r="I1217" s="1" t="s">
        <v>64</v>
      </c>
      <c r="J1217" s="2">
        <v>45740.54791666667</v>
      </c>
      <c r="L1217" s="1" t="s">
        <v>1244</v>
      </c>
      <c r="M1217" s="1" t="str">
        <f>_xlfn.XLOOKUP(I1217,Parâmetros!A:A,Parâmetros!B:B,_xlfn.XLOOKUP(Q1217,Parâmetros!F:F,Parâmetros!G:G,"NOVA MENSAGEM"))</f>
        <v>FORMATO DE TEXTO</v>
      </c>
      <c r="N1217" s="1" t="str">
        <f>_xlfn.XLOOKUP(M1217,Parâmetros!K:K,Parâmetros!L:L,"")</f>
        <v>TEXTO FORA DO PADRÃO ACEITO NO CAMPO</v>
      </c>
      <c r="O1217" s="1" t="str">
        <f>_xlfn.XLOOKUP(M1217,Parâmetros!B:B,Parâmetros!C:C,_xlfn.XLOOKUP(Base!M1213,Parâmetros!G:G,Parâmetros!H:H))</f>
        <v>INDEFINIDO</v>
      </c>
      <c r="P1217" s="1" t="str">
        <f>_xlfn.XLOOKUP(I1217,Parâmetros!A:A,Parâmetros!D:D,_xlfn.XLOOKUP(Q1217,Parâmetros!F:F,Parâmetros!I:I))</f>
        <v>SUPORTE OBT</v>
      </c>
      <c r="Q1217" s="1" t="str">
        <f t="shared" si="37"/>
        <v>COLUNA I</v>
      </c>
    </row>
    <row r="1218" spans="1:17" x14ac:dyDescent="0.25">
      <c r="A1218" s="1" t="str">
        <f>_xlfn.XLOOKUP(D1218,'Novo relatório'!B:B,'Novo relatório'!C:C,"RESOLVIDO")</f>
        <v>SABRE</v>
      </c>
      <c r="C1218" t="str">
        <f t="shared" ref="C1218:C1281" si="38">IF(A1218="RESOLVIDO","RESOLVIDO",IF(B1218="","PENDENTE",IF(LEFT(B1218,7)="CHAMADO","AGUARDANDO FORNECEDOR",IF(B1218="CONTABILIZAR","CONTABILIZAR NO PORTAL"))))</f>
        <v>PENDENTE</v>
      </c>
      <c r="D1218" s="1">
        <v>3319424</v>
      </c>
      <c r="E1218" s="1" t="s">
        <v>26</v>
      </c>
      <c r="F1218" s="2">
        <v>45740.459722222222</v>
      </c>
      <c r="G1218" s="1" t="s">
        <v>1723</v>
      </c>
      <c r="H1218" s="1" t="s">
        <v>1724</v>
      </c>
      <c r="I1218" s="1" t="s">
        <v>64</v>
      </c>
      <c r="J1218" s="2">
        <v>45740.54791666667</v>
      </c>
      <c r="L1218" s="1" t="s">
        <v>1244</v>
      </c>
      <c r="M1218" s="1" t="str">
        <f>_xlfn.XLOOKUP(I1218,Parâmetros!A:A,Parâmetros!B:B,_xlfn.XLOOKUP(Q1218,Parâmetros!F:F,Parâmetros!G:G,"NOVA MENSAGEM"))</f>
        <v>FORMATO DE TEXTO</v>
      </c>
      <c r="N1218" s="1" t="str">
        <f>_xlfn.XLOOKUP(M1218,Parâmetros!K:K,Parâmetros!L:L,"")</f>
        <v>TEXTO FORA DO PADRÃO ACEITO NO CAMPO</v>
      </c>
      <c r="O1218" s="1" t="str">
        <f>_xlfn.XLOOKUP(M1218,Parâmetros!B:B,Parâmetros!C:C,_xlfn.XLOOKUP(Base!M1214,Parâmetros!G:G,Parâmetros!H:H))</f>
        <v>INDEFINIDO</v>
      </c>
      <c r="P1218" s="1" t="str">
        <f>_xlfn.XLOOKUP(I1218,Parâmetros!A:A,Parâmetros!D:D,_xlfn.XLOOKUP(Q1218,Parâmetros!F:F,Parâmetros!I:I))</f>
        <v>SUPORTE OBT</v>
      </c>
      <c r="Q1218" s="1" t="str">
        <f t="shared" ref="Q1218:Q1281" si="39">IFERROR(FIND("Não foi possível localizar o contrato do fornecedor",I1218),IFERROR(FIND("veículo",I1218),IFERROR(FIND("agagem",I1218),IFERROR(FIND("error in XML document",I1218),IFERROR(FIND("Não localizado cliente código",I1218),IFERROR(FIND("lemontech",I1218),IFERROR(FIND("&gt;Fornecedor com o",I1218),IFERROR(FIND("INSERT",I1218),IFERROR(FIND("com CNPJ",I1218),IFERROR(FIND("Consultando Agente-&gt; O agente",I1218),IFERROR(FIND("Não foi possível determinar a validade do cartão, favor verificar os dados do cartão",I1218),"COLUNA I")))))))))))</f>
        <v>COLUNA I</v>
      </c>
    </row>
    <row r="1219" spans="1:17" x14ac:dyDescent="0.25">
      <c r="A1219" s="1" t="str">
        <f>_xlfn.XLOOKUP(D1219,'Novo relatório'!B:B,'Novo relatório'!C:C,"RESOLVIDO")</f>
        <v>TMS</v>
      </c>
      <c r="C1219" t="str">
        <f t="shared" si="38"/>
        <v>PENDENTE</v>
      </c>
      <c r="D1219" s="1">
        <v>3320202</v>
      </c>
      <c r="E1219" s="1" t="s">
        <v>12</v>
      </c>
      <c r="F1219" s="2">
        <v>45740.465277777781</v>
      </c>
      <c r="G1219" s="1">
        <v>89</v>
      </c>
      <c r="H1219" s="1">
        <v>89</v>
      </c>
      <c r="I1219" s="1" t="s">
        <v>16</v>
      </c>
      <c r="J1219" s="2">
        <v>45740.636111111111</v>
      </c>
      <c r="K1219" s="2">
        <v>45743.709722222222</v>
      </c>
      <c r="L1219" s="1" t="s">
        <v>14</v>
      </c>
      <c r="M1219" s="1" t="str">
        <f>_xlfn.XLOOKUP(I1219,Parâmetros!A:A,Parâmetros!B:B,_xlfn.XLOOKUP(Q1219,Parâmetros!F:F,Parâmetros!G:G,"NOVA MENSAGEM"))</f>
        <v>ASSENTO / BAGAGEM</v>
      </c>
      <c r="N1219" s="1" t="str">
        <f>_xlfn.XLOOKUP(M1219,Parâmetros!K:K,Parâmetros!L:L,"")</f>
        <v>CAMPO OBSERVAÇÃO PREENCHIDO INCORRETAMENTE</v>
      </c>
      <c r="O1219" s="1" t="str">
        <f>_xlfn.XLOOKUP(M1219,Parâmetros!B:B,Parâmetros!C:C,_xlfn.XLOOKUP(Base!M1215,Parâmetros!G:G,Parâmetros!H:H))</f>
        <v>QUALIDADE DOS DADOS</v>
      </c>
      <c r="P1219" s="1" t="str">
        <f>_xlfn.XLOOKUP(I1219,Parâmetros!A:A,Parâmetros!D:D,_xlfn.XLOOKUP(Q1219,Parâmetros!F:F,Parâmetros!I:I))</f>
        <v>OPERAÇÕES / SUPORTE KCS</v>
      </c>
      <c r="Q1219" s="1">
        <f t="shared" si="39"/>
        <v>118</v>
      </c>
    </row>
    <row r="1220" spans="1:17" x14ac:dyDescent="0.25">
      <c r="A1220" s="1" t="str">
        <f>_xlfn.XLOOKUP(D1220,'Novo relatório'!B:B,'Novo relatório'!C:C,"RESOLVIDO")</f>
        <v>SABRE</v>
      </c>
      <c r="C1220" t="str">
        <f t="shared" si="38"/>
        <v>PENDENTE</v>
      </c>
      <c r="D1220" s="1">
        <v>3320224</v>
      </c>
      <c r="E1220" s="1" t="s">
        <v>26</v>
      </c>
      <c r="F1220" s="2">
        <v>45740.548611111109</v>
      </c>
      <c r="G1220" s="1" t="s">
        <v>1681</v>
      </c>
      <c r="H1220" s="1" t="s">
        <v>1682</v>
      </c>
      <c r="I1220" s="1" t="s">
        <v>64</v>
      </c>
      <c r="J1220" s="2">
        <v>45740.638888888891</v>
      </c>
      <c r="L1220" s="1" t="s">
        <v>1244</v>
      </c>
      <c r="M1220" s="1" t="str">
        <f>_xlfn.XLOOKUP(I1220,Parâmetros!A:A,Parâmetros!B:B,_xlfn.XLOOKUP(Q1220,Parâmetros!F:F,Parâmetros!G:G,"NOVA MENSAGEM"))</f>
        <v>FORMATO DE TEXTO</v>
      </c>
      <c r="N1220" s="1" t="str">
        <f>_xlfn.XLOOKUP(M1220,Parâmetros!K:K,Parâmetros!L:L,"")</f>
        <v>TEXTO FORA DO PADRÃO ACEITO NO CAMPO</v>
      </c>
      <c r="O1220" s="1" t="str">
        <f>_xlfn.XLOOKUP(M1220,Parâmetros!B:B,Parâmetros!C:C,_xlfn.XLOOKUP(Base!M1216,Parâmetros!G:G,Parâmetros!H:H))</f>
        <v>INDEFINIDO</v>
      </c>
      <c r="P1220" s="1" t="str">
        <f>_xlfn.XLOOKUP(I1220,Parâmetros!A:A,Parâmetros!D:D,_xlfn.XLOOKUP(Q1220,Parâmetros!F:F,Parâmetros!I:I))</f>
        <v>SUPORTE OBT</v>
      </c>
      <c r="Q1220" s="1" t="str">
        <f t="shared" si="39"/>
        <v>COLUNA I</v>
      </c>
    </row>
    <row r="1221" spans="1:17" x14ac:dyDescent="0.25">
      <c r="A1221" s="1" t="str">
        <f>_xlfn.XLOOKUP(D1221,'Novo relatório'!B:B,'Novo relatório'!C:C,"RESOLVIDO")</f>
        <v>SABRE</v>
      </c>
      <c r="C1221" t="str">
        <f t="shared" si="38"/>
        <v>PENDENTE</v>
      </c>
      <c r="D1221" s="1">
        <v>3320495</v>
      </c>
      <c r="E1221" s="1" t="s">
        <v>26</v>
      </c>
      <c r="F1221" s="2">
        <v>45740.590277777781</v>
      </c>
      <c r="G1221" s="1" t="s">
        <v>1844</v>
      </c>
      <c r="H1221" s="1" t="s">
        <v>1844</v>
      </c>
      <c r="I1221" s="1" t="s">
        <v>396</v>
      </c>
      <c r="J1221" s="2">
        <v>45740.681944444441</v>
      </c>
      <c r="L1221" s="1" t="s">
        <v>18</v>
      </c>
      <c r="M1221" s="1" t="str">
        <f>_xlfn.XLOOKUP(I1221,Parâmetros!A:A,Parâmetros!B:B,_xlfn.XLOOKUP(Q1221,Parâmetros!F:F,Parâmetros!G:G,"NOVA MENSAGEM"))</f>
        <v>CÓD. CLIENTE DIVERGENTE</v>
      </c>
      <c r="N1221" s="1" t="str">
        <f>_xlfn.XLOOKUP(M1221,Parâmetros!K:K,Parâmetros!L:L,"")</f>
        <v>CÓDIGO DIFERENTE DO CADASTRADO NO BENNER (CLIENTE X GRUPO)</v>
      </c>
      <c r="O1221" s="1" t="str">
        <f>_xlfn.XLOOKUP(M1221,Parâmetros!B:B,Parâmetros!C:C,_xlfn.XLOOKUP(Base!M1217,Parâmetros!G:G,Parâmetros!H:H))</f>
        <v>QUALIDADE DOS DADOS</v>
      </c>
      <c r="P1221" s="1" t="str">
        <f>_xlfn.XLOOKUP(I1221,Parâmetros!A:A,Parâmetros!D:D,_xlfn.XLOOKUP(Q1221,Parâmetros!F:F,Parâmetros!I:I))</f>
        <v>SUPORTE OBT</v>
      </c>
      <c r="Q1221" s="1">
        <f t="shared" si="39"/>
        <v>1</v>
      </c>
    </row>
    <row r="1222" spans="1:17" x14ac:dyDescent="0.25">
      <c r="A1222" s="1" t="str">
        <f>_xlfn.XLOOKUP(D1222,'Novo relatório'!B:B,'Novo relatório'!C:C,"RESOLVIDO")</f>
        <v>SABRE</v>
      </c>
      <c r="C1222" t="str">
        <f t="shared" si="38"/>
        <v>PENDENTE</v>
      </c>
      <c r="D1222" s="1">
        <v>3320544</v>
      </c>
      <c r="E1222" s="1" t="s">
        <v>26</v>
      </c>
      <c r="F1222" s="2">
        <v>45741.259722222225</v>
      </c>
      <c r="G1222" s="1" t="s">
        <v>1680</v>
      </c>
      <c r="H1222" s="1" t="s">
        <v>1680</v>
      </c>
      <c r="I1222" s="1" t="s">
        <v>273</v>
      </c>
      <c r="J1222" s="2">
        <v>45740.702777777777</v>
      </c>
      <c r="K1222" s="2">
        <v>45741.348611111112</v>
      </c>
      <c r="L1222" s="1" t="s">
        <v>1245</v>
      </c>
      <c r="M1222" s="1" t="str">
        <f>_xlfn.XLOOKUP(I1222,Parâmetros!A:A,Parâmetros!B:B,_xlfn.XLOOKUP(Q1222,Parâmetros!F:F,Parâmetros!G:G,"NOVA MENSAGEM"))</f>
        <v>VENDA CANCELADA</v>
      </c>
      <c r="N1222" s="1" t="str">
        <f>_xlfn.XLOOKUP(M1222,Parâmetros!K:K,Parâmetros!L:L,"")</f>
        <v>RESERVA CANCELADA NO OBT</v>
      </c>
      <c r="O1222" s="1" t="str">
        <f>_xlfn.XLOOKUP(M1222,Parâmetros!B:B,Parâmetros!C:C,_xlfn.XLOOKUP(Base!M1218,Parâmetros!G:G,Parâmetros!H:H))</f>
        <v>SISTEMA</v>
      </c>
      <c r="P1222" s="1" t="str">
        <f>_xlfn.XLOOKUP(I1222,Parâmetros!A:A,Parâmetros!D:D,_xlfn.XLOOKUP(Q1222,Parâmetros!F:F,Parâmetros!I:I))</f>
        <v>SUPORTE OBT</v>
      </c>
      <c r="Q1222" s="1" t="str">
        <f t="shared" si="39"/>
        <v>COLUNA I</v>
      </c>
    </row>
    <row r="1223" spans="1:17" x14ac:dyDescent="0.25">
      <c r="A1223" s="1" t="str">
        <f>_xlfn.XLOOKUP(D1223,'Novo relatório'!B:B,'Novo relatório'!C:C,"RESOLVIDO")</f>
        <v>SABRE</v>
      </c>
      <c r="C1223" t="str">
        <f t="shared" si="38"/>
        <v>PENDENTE</v>
      </c>
      <c r="D1223" s="1">
        <v>3321185</v>
      </c>
      <c r="E1223" s="1" t="s">
        <v>26</v>
      </c>
      <c r="F1223" s="2">
        <v>45740.754861111112</v>
      </c>
      <c r="G1223" s="1" t="s">
        <v>1691</v>
      </c>
      <c r="H1223" s="1" t="s">
        <v>1691</v>
      </c>
      <c r="I1223" s="1" t="s">
        <v>620</v>
      </c>
      <c r="J1223" s="2">
        <v>45740.845833333333</v>
      </c>
      <c r="L1223" s="1" t="s">
        <v>18</v>
      </c>
      <c r="M1223" s="1" t="str">
        <f>_xlfn.XLOOKUP(I1223,Parâmetros!A:A,Parâmetros!B:B,_xlfn.XLOOKUP(Q1223,Parâmetros!F:F,Parâmetros!G:G,"NOVA MENSAGEM"))</f>
        <v>CÓD. CLIENTE DIVERGENTE</v>
      </c>
      <c r="N1223" s="1" t="str">
        <f>_xlfn.XLOOKUP(M1223,Parâmetros!K:K,Parâmetros!L:L,"")</f>
        <v>CÓDIGO DIFERENTE DO CADASTRADO NO BENNER (CLIENTE X GRUPO)</v>
      </c>
      <c r="O1223" s="1" t="str">
        <f>_xlfn.XLOOKUP(M1223,Parâmetros!B:B,Parâmetros!C:C,_xlfn.XLOOKUP(Base!M1219,Parâmetros!G:G,Parâmetros!H:H))</f>
        <v>QUALIDADE DOS DADOS</v>
      </c>
      <c r="P1223" s="1" t="str">
        <f>_xlfn.XLOOKUP(I1223,Parâmetros!A:A,Parâmetros!D:D,_xlfn.XLOOKUP(Q1223,Parâmetros!F:F,Parâmetros!I:I))</f>
        <v>SUPORTE OBT</v>
      </c>
      <c r="Q1223" s="1">
        <f t="shared" si="39"/>
        <v>1</v>
      </c>
    </row>
    <row r="1224" spans="1:17" x14ac:dyDescent="0.25">
      <c r="A1224" s="1" t="str">
        <f>_xlfn.XLOOKUP(D1224,'Novo relatório'!B:B,'Novo relatório'!C:C,"RESOLVIDO")</f>
        <v>SABRE</v>
      </c>
      <c r="C1224" t="str">
        <f t="shared" si="38"/>
        <v>PENDENTE</v>
      </c>
      <c r="D1224" s="1">
        <v>3321198</v>
      </c>
      <c r="E1224" s="1" t="s">
        <v>26</v>
      </c>
      <c r="F1224" s="2">
        <v>45740.754861111112</v>
      </c>
      <c r="G1224" s="1" t="s">
        <v>1695</v>
      </c>
      <c r="H1224" s="1" t="s">
        <v>1695</v>
      </c>
      <c r="I1224" s="1" t="s">
        <v>652</v>
      </c>
      <c r="J1224" s="2">
        <v>45740.84652777778</v>
      </c>
      <c r="L1224" s="1" t="s">
        <v>18</v>
      </c>
      <c r="M1224" s="1" t="str">
        <f>_xlfn.XLOOKUP(I1224,Parâmetros!A:A,Parâmetros!B:B,_xlfn.XLOOKUP(Q1224,Parâmetros!F:F,Parâmetros!G:G,"NOVA MENSAGEM"))</f>
        <v>CÓD. CLIENTE DIVERGENTE</v>
      </c>
      <c r="N1224" s="1" t="str">
        <f>_xlfn.XLOOKUP(M1224,Parâmetros!K:K,Parâmetros!L:L,"")</f>
        <v>CÓDIGO DIFERENTE DO CADASTRADO NO BENNER (CLIENTE X GRUPO)</v>
      </c>
      <c r="O1224" s="1" t="str">
        <f>_xlfn.XLOOKUP(M1224,Parâmetros!B:B,Parâmetros!C:C,_xlfn.XLOOKUP(Base!M1220,Parâmetros!G:G,Parâmetros!H:H))</f>
        <v>QUALIDADE DOS DADOS</v>
      </c>
      <c r="P1224" s="1" t="str">
        <f>_xlfn.XLOOKUP(I1224,Parâmetros!A:A,Parâmetros!D:D,_xlfn.XLOOKUP(Q1224,Parâmetros!F:F,Parâmetros!I:I))</f>
        <v>SUPORTE OBT</v>
      </c>
      <c r="Q1224" s="1">
        <f t="shared" si="39"/>
        <v>1</v>
      </c>
    </row>
    <row r="1225" spans="1:17" x14ac:dyDescent="0.25">
      <c r="A1225" s="1" t="str">
        <f>_xlfn.XLOOKUP(D1225,'Novo relatório'!B:B,'Novo relatório'!C:C,"RESOLVIDO")</f>
        <v>SABRE</v>
      </c>
      <c r="C1225" t="str">
        <f t="shared" si="38"/>
        <v>PENDENTE</v>
      </c>
      <c r="D1225" s="1">
        <v>3321221</v>
      </c>
      <c r="E1225" s="1" t="s">
        <v>26</v>
      </c>
      <c r="F1225" s="2">
        <v>45740.754861111112</v>
      </c>
      <c r="G1225" s="1" t="s">
        <v>1843</v>
      </c>
      <c r="H1225" s="1" t="s">
        <v>1843</v>
      </c>
      <c r="I1225" s="1" t="s">
        <v>652</v>
      </c>
      <c r="J1225" s="2">
        <v>45740.847916666666</v>
      </c>
      <c r="L1225" s="1" t="s">
        <v>18</v>
      </c>
      <c r="M1225" s="1" t="str">
        <f>_xlfn.XLOOKUP(I1225,Parâmetros!A:A,Parâmetros!B:B,_xlfn.XLOOKUP(Q1225,Parâmetros!F:F,Parâmetros!G:G,"NOVA MENSAGEM"))</f>
        <v>CÓD. CLIENTE DIVERGENTE</v>
      </c>
      <c r="N1225" s="1" t="str">
        <f>_xlfn.XLOOKUP(M1225,Parâmetros!K:K,Parâmetros!L:L,"")</f>
        <v>CÓDIGO DIFERENTE DO CADASTRADO NO BENNER (CLIENTE X GRUPO)</v>
      </c>
      <c r="O1225" s="1" t="str">
        <f>_xlfn.XLOOKUP(M1225,Parâmetros!B:B,Parâmetros!C:C,_xlfn.XLOOKUP(Base!M1221,Parâmetros!G:G,Parâmetros!H:H))</f>
        <v>QUALIDADE DOS DADOS</v>
      </c>
      <c r="P1225" s="1" t="str">
        <f>_xlfn.XLOOKUP(I1225,Parâmetros!A:A,Parâmetros!D:D,_xlfn.XLOOKUP(Q1225,Parâmetros!F:F,Parâmetros!I:I))</f>
        <v>SUPORTE OBT</v>
      </c>
      <c r="Q1225" s="1">
        <f t="shared" si="39"/>
        <v>1</v>
      </c>
    </row>
    <row r="1226" spans="1:17" x14ac:dyDescent="0.25">
      <c r="A1226" s="1" t="str">
        <f>_xlfn.XLOOKUP(D1226,'Novo relatório'!B:B,'Novo relatório'!C:C,"RESOLVIDO")</f>
        <v>SABRE</v>
      </c>
      <c r="C1226" t="str">
        <f t="shared" si="38"/>
        <v>PENDENTE</v>
      </c>
      <c r="D1226" s="1">
        <v>3321256</v>
      </c>
      <c r="E1226" s="1" t="s">
        <v>26</v>
      </c>
      <c r="F1226" s="2">
        <v>45741.304166666669</v>
      </c>
      <c r="G1226" s="1" t="s">
        <v>1825</v>
      </c>
      <c r="H1226" s="1" t="s">
        <v>1825</v>
      </c>
      <c r="I1226" s="1" t="s">
        <v>83</v>
      </c>
      <c r="J1226" s="2">
        <v>45740.849305555559</v>
      </c>
      <c r="K1226" s="2">
        <v>45741.398611111108</v>
      </c>
      <c r="L1226" s="1" t="s">
        <v>18</v>
      </c>
      <c r="M1226" s="1" t="str">
        <f>_xlfn.XLOOKUP(I1226,Parâmetros!A:A,Parâmetros!B:B,_xlfn.XLOOKUP(Q1226,Parâmetros!F:F,Parâmetros!G:G,"NOVA MENSAGEM"))</f>
        <v>CLIENTE NÃO IDENTIFICADO</v>
      </c>
      <c r="N1226" s="1" t="str">
        <f>_xlfn.XLOOKUP(M1226,Parâmetros!K:K,Parâmetros!L:L,"")</f>
        <v>DK DE CLIENTE NÃO PREENCIDO / CLIENTE NÃO CONFIGURADO NO OBT</v>
      </c>
      <c r="O1226" s="1" t="str">
        <f>_xlfn.XLOOKUP(M1226,Parâmetros!B:B,Parâmetros!C:C,_xlfn.XLOOKUP(Base!M1222,Parâmetros!G:G,Parâmetros!H:H))</f>
        <v>INDEFINIDO</v>
      </c>
      <c r="P1226" s="1" t="str">
        <f>_xlfn.XLOOKUP(I1226,Parâmetros!A:A,Parâmetros!D:D,_xlfn.XLOOKUP(Q1226,Parâmetros!F:F,Parâmetros!I:I))</f>
        <v>OPERAÇÕES / SUPORTE KCS</v>
      </c>
      <c r="Q1226" s="1" t="str">
        <f t="shared" si="39"/>
        <v>COLUNA I</v>
      </c>
    </row>
    <row r="1227" spans="1:17" x14ac:dyDescent="0.25">
      <c r="A1227" s="1" t="str">
        <f>_xlfn.XLOOKUP(D1227,'Novo relatório'!B:B,'Novo relatório'!C:C,"RESOLVIDO")</f>
        <v>TMS</v>
      </c>
      <c r="C1227" t="str">
        <f t="shared" si="38"/>
        <v>PENDENTE</v>
      </c>
      <c r="D1227" s="1">
        <v>3321638</v>
      </c>
      <c r="E1227" s="1" t="s">
        <v>12</v>
      </c>
      <c r="F1227" s="2">
        <v>45740.67083333333</v>
      </c>
      <c r="G1227" s="1">
        <v>55010</v>
      </c>
      <c r="H1227" s="1">
        <v>55010</v>
      </c>
      <c r="I1227" s="1" t="s">
        <v>16</v>
      </c>
      <c r="J1227" s="2">
        <v>45740.881944444445</v>
      </c>
      <c r="K1227" s="2">
        <v>45743.706250000003</v>
      </c>
      <c r="L1227" s="1" t="s">
        <v>14</v>
      </c>
      <c r="M1227" s="1" t="str">
        <f>_xlfn.XLOOKUP(I1227,Parâmetros!A:A,Parâmetros!B:B,_xlfn.XLOOKUP(Q1227,Parâmetros!F:F,Parâmetros!G:G,"NOVA MENSAGEM"))</f>
        <v>ASSENTO / BAGAGEM</v>
      </c>
      <c r="N1227" s="1" t="str">
        <f>_xlfn.XLOOKUP(M1227,Parâmetros!K:K,Parâmetros!L:L,"")</f>
        <v>CAMPO OBSERVAÇÃO PREENCHIDO INCORRETAMENTE</v>
      </c>
      <c r="O1227" s="1" t="str">
        <f>_xlfn.XLOOKUP(M1227,Parâmetros!B:B,Parâmetros!C:C,_xlfn.XLOOKUP(Base!M1223,Parâmetros!G:G,Parâmetros!H:H))</f>
        <v>QUALIDADE DOS DADOS</v>
      </c>
      <c r="P1227" s="1" t="str">
        <f>_xlfn.XLOOKUP(I1227,Parâmetros!A:A,Parâmetros!D:D,_xlfn.XLOOKUP(Q1227,Parâmetros!F:F,Parâmetros!I:I))</f>
        <v>OPERAÇÕES / SUPORTE KCS</v>
      </c>
      <c r="Q1227" s="1">
        <f t="shared" si="39"/>
        <v>118</v>
      </c>
    </row>
    <row r="1228" spans="1:17" x14ac:dyDescent="0.25">
      <c r="A1228" s="1" t="str">
        <f>_xlfn.XLOOKUP(D1228,'Novo relatório'!B:B,'Novo relatório'!C:C,"RESOLVIDO")</f>
        <v>SABRE</v>
      </c>
      <c r="C1228" t="str">
        <f t="shared" si="38"/>
        <v>PENDENTE</v>
      </c>
      <c r="D1228" s="1">
        <v>3322021</v>
      </c>
      <c r="E1228" s="1" t="s">
        <v>26</v>
      </c>
      <c r="F1228" s="2">
        <v>45741.324999999997</v>
      </c>
      <c r="G1228" s="1" t="s">
        <v>1784</v>
      </c>
      <c r="H1228" s="1" t="s">
        <v>1785</v>
      </c>
      <c r="I1228" s="1" t="s">
        <v>64</v>
      </c>
      <c r="J1228" s="2">
        <v>45741.40902777778</v>
      </c>
      <c r="L1228" s="1" t="s">
        <v>1244</v>
      </c>
      <c r="M1228" s="1" t="str">
        <f>_xlfn.XLOOKUP(I1228,Parâmetros!A:A,Parâmetros!B:B,_xlfn.XLOOKUP(Q1228,Parâmetros!F:F,Parâmetros!G:G,"NOVA MENSAGEM"))</f>
        <v>FORMATO DE TEXTO</v>
      </c>
      <c r="N1228" s="1" t="str">
        <f>_xlfn.XLOOKUP(M1228,Parâmetros!K:K,Parâmetros!L:L,"")</f>
        <v>TEXTO FORA DO PADRÃO ACEITO NO CAMPO</v>
      </c>
      <c r="O1228" s="1" t="str">
        <f>_xlfn.XLOOKUP(M1228,Parâmetros!B:B,Parâmetros!C:C,_xlfn.XLOOKUP(Base!M1224,Parâmetros!G:G,Parâmetros!H:H))</f>
        <v>INDEFINIDO</v>
      </c>
      <c r="P1228" s="1" t="str">
        <f>_xlfn.XLOOKUP(I1228,Parâmetros!A:A,Parâmetros!D:D,_xlfn.XLOOKUP(Q1228,Parâmetros!F:F,Parâmetros!I:I))</f>
        <v>SUPORTE OBT</v>
      </c>
      <c r="Q1228" s="1" t="str">
        <f t="shared" si="39"/>
        <v>COLUNA I</v>
      </c>
    </row>
    <row r="1229" spans="1:17" x14ac:dyDescent="0.25">
      <c r="A1229" s="1" t="str">
        <f>_xlfn.XLOOKUP(D1229,'Novo relatório'!B:B,'Novo relatório'!C:C,"RESOLVIDO")</f>
        <v>SABRE</v>
      </c>
      <c r="C1229" t="str">
        <f t="shared" si="38"/>
        <v>PENDENTE</v>
      </c>
      <c r="D1229" s="1">
        <v>3322160</v>
      </c>
      <c r="E1229" s="1" t="s">
        <v>26</v>
      </c>
      <c r="F1229" s="2">
        <v>45741.395138888889</v>
      </c>
      <c r="G1229" s="1" t="s">
        <v>1835</v>
      </c>
      <c r="H1229" s="1" t="s">
        <v>1835</v>
      </c>
      <c r="I1229" s="1" t="s">
        <v>620</v>
      </c>
      <c r="J1229" s="2">
        <v>45741.482638888891</v>
      </c>
      <c r="L1229" s="1" t="s">
        <v>18</v>
      </c>
      <c r="M1229" s="1" t="str">
        <f>_xlfn.XLOOKUP(I1229,Parâmetros!A:A,Parâmetros!B:B,_xlfn.XLOOKUP(Q1229,Parâmetros!F:F,Parâmetros!G:G,"NOVA MENSAGEM"))</f>
        <v>CÓD. CLIENTE DIVERGENTE</v>
      </c>
      <c r="N1229" s="1" t="str">
        <f>_xlfn.XLOOKUP(M1229,Parâmetros!K:K,Parâmetros!L:L,"")</f>
        <v>CÓDIGO DIFERENTE DO CADASTRADO NO BENNER (CLIENTE X GRUPO)</v>
      </c>
      <c r="O1229" s="1" t="str">
        <f>_xlfn.XLOOKUP(M1229,Parâmetros!B:B,Parâmetros!C:C,_xlfn.XLOOKUP(Base!M1226,Parâmetros!G:G,Parâmetros!H:H))</f>
        <v>QUALIDADE DOS DADOS</v>
      </c>
      <c r="P1229" s="1" t="str">
        <f>_xlfn.XLOOKUP(I1229,Parâmetros!A:A,Parâmetros!D:D,_xlfn.XLOOKUP(Q1229,Parâmetros!F:F,Parâmetros!I:I))</f>
        <v>SUPORTE OBT</v>
      </c>
      <c r="Q1229" s="1">
        <f t="shared" si="39"/>
        <v>1</v>
      </c>
    </row>
    <row r="1230" spans="1:17" x14ac:dyDescent="0.25">
      <c r="A1230" s="1" t="str">
        <f>_xlfn.XLOOKUP(D1230,'Novo relatório'!B:B,'Novo relatório'!C:C,"RESOLVIDO")</f>
        <v>SABRE</v>
      </c>
      <c r="C1230" t="str">
        <f t="shared" si="38"/>
        <v>PENDENTE</v>
      </c>
      <c r="D1230" s="1">
        <v>3322162</v>
      </c>
      <c r="E1230" s="1" t="s">
        <v>26</v>
      </c>
      <c r="F1230" s="2">
        <v>45741.395138888889</v>
      </c>
      <c r="G1230" s="1" t="s">
        <v>1669</v>
      </c>
      <c r="H1230" s="1" t="s">
        <v>1669</v>
      </c>
      <c r="I1230" s="1" t="s">
        <v>83</v>
      </c>
      <c r="J1230" s="2">
        <v>45741.482638888891</v>
      </c>
      <c r="L1230" s="1" t="s">
        <v>18</v>
      </c>
      <c r="M1230" s="1" t="str">
        <f>_xlfn.XLOOKUP(I1230,Parâmetros!A:A,Parâmetros!B:B,_xlfn.XLOOKUP(Q1230,Parâmetros!F:F,Parâmetros!G:G,"NOVA MENSAGEM"))</f>
        <v>CLIENTE NÃO IDENTIFICADO</v>
      </c>
      <c r="N1230" s="1" t="str">
        <f>_xlfn.XLOOKUP(M1230,Parâmetros!K:K,Parâmetros!L:L,"")</f>
        <v>DK DE CLIENTE NÃO PREENCIDO / CLIENTE NÃO CONFIGURADO NO OBT</v>
      </c>
      <c r="O1230" s="1" t="str">
        <f>_xlfn.XLOOKUP(M1230,Parâmetros!B:B,Parâmetros!C:C,_xlfn.XLOOKUP(Base!M1225,Parâmetros!G:G,Parâmetros!H:H))</f>
        <v>INDEFINIDO</v>
      </c>
      <c r="P1230" s="1" t="str">
        <f>_xlfn.XLOOKUP(I1230,Parâmetros!A:A,Parâmetros!D:D,_xlfn.XLOOKUP(Q1230,Parâmetros!F:F,Parâmetros!I:I))</f>
        <v>OPERAÇÕES / SUPORTE KCS</v>
      </c>
      <c r="Q1230" s="1" t="str">
        <f t="shared" si="39"/>
        <v>COLUNA I</v>
      </c>
    </row>
    <row r="1231" spans="1:17" x14ac:dyDescent="0.25">
      <c r="A1231" s="1" t="str">
        <f>_xlfn.XLOOKUP(D1231,'Novo relatório'!B:B,'Novo relatório'!C:C,"RESOLVIDO")</f>
        <v>SABRE</v>
      </c>
      <c r="C1231" t="str">
        <f t="shared" si="38"/>
        <v>PENDENTE</v>
      </c>
      <c r="D1231" s="1">
        <v>3322168</v>
      </c>
      <c r="E1231" s="1" t="s">
        <v>26</v>
      </c>
      <c r="F1231" s="2">
        <v>45741.395138888889</v>
      </c>
      <c r="G1231" s="1" t="s">
        <v>1848</v>
      </c>
      <c r="H1231" s="1" t="s">
        <v>1848</v>
      </c>
      <c r="I1231" s="1" t="s">
        <v>620</v>
      </c>
      <c r="J1231" s="2">
        <v>45741.48333333333</v>
      </c>
      <c r="L1231" s="1" t="s">
        <v>18</v>
      </c>
      <c r="M1231" s="1" t="str">
        <f>_xlfn.XLOOKUP(I1231,Parâmetros!A:A,Parâmetros!B:B,_xlfn.XLOOKUP(Q1231,Parâmetros!F:F,Parâmetros!G:G,"NOVA MENSAGEM"))</f>
        <v>CÓD. CLIENTE DIVERGENTE</v>
      </c>
      <c r="N1231" s="1" t="str">
        <f>_xlfn.XLOOKUP(M1231,Parâmetros!K:K,Parâmetros!L:L,"")</f>
        <v>CÓDIGO DIFERENTE DO CADASTRADO NO BENNER (CLIENTE X GRUPO)</v>
      </c>
      <c r="O1231" s="1" t="str">
        <f>_xlfn.XLOOKUP(M1231,Parâmetros!B:B,Parâmetros!C:C,_xlfn.XLOOKUP(Base!M1229,Parâmetros!G:G,Parâmetros!H:H))</f>
        <v>QUALIDADE DOS DADOS</v>
      </c>
      <c r="P1231" s="1" t="str">
        <f>_xlfn.XLOOKUP(I1231,Parâmetros!A:A,Parâmetros!D:D,_xlfn.XLOOKUP(Q1231,Parâmetros!F:F,Parâmetros!I:I))</f>
        <v>SUPORTE OBT</v>
      </c>
      <c r="Q1231" s="1">
        <f t="shared" si="39"/>
        <v>1</v>
      </c>
    </row>
    <row r="1232" spans="1:17" x14ac:dyDescent="0.25">
      <c r="A1232" s="1" t="str">
        <f>_xlfn.XLOOKUP(D1232,'Novo relatório'!B:B,'Novo relatório'!C:C,"RESOLVIDO")</f>
        <v>SABRE</v>
      </c>
      <c r="C1232" t="str">
        <f t="shared" si="38"/>
        <v>PENDENTE</v>
      </c>
      <c r="D1232" s="1">
        <v>3322169</v>
      </c>
      <c r="E1232" s="1" t="s">
        <v>26</v>
      </c>
      <c r="F1232" s="2">
        <v>45741.395138888889</v>
      </c>
      <c r="G1232" s="1" t="s">
        <v>1693</v>
      </c>
      <c r="H1232" s="1" t="s">
        <v>1693</v>
      </c>
      <c r="I1232" s="1" t="s">
        <v>83</v>
      </c>
      <c r="J1232" s="2">
        <v>45741.48333333333</v>
      </c>
      <c r="L1232" s="1" t="s">
        <v>18</v>
      </c>
      <c r="M1232" s="1" t="str">
        <f>_xlfn.XLOOKUP(I1232,Parâmetros!A:A,Parâmetros!B:B,_xlfn.XLOOKUP(Q1232,Parâmetros!F:F,Parâmetros!G:G,"NOVA MENSAGEM"))</f>
        <v>CLIENTE NÃO IDENTIFICADO</v>
      </c>
      <c r="N1232" s="1" t="str">
        <f>_xlfn.XLOOKUP(M1232,Parâmetros!K:K,Parâmetros!L:L,"")</f>
        <v>DK DE CLIENTE NÃO PREENCIDO / CLIENTE NÃO CONFIGURADO NO OBT</v>
      </c>
      <c r="O1232" s="1" t="str">
        <f>_xlfn.XLOOKUP(M1232,Parâmetros!B:B,Parâmetros!C:C,_xlfn.XLOOKUP(Base!M1227,Parâmetros!G:G,Parâmetros!H:H))</f>
        <v>INDEFINIDO</v>
      </c>
      <c r="P1232" s="1" t="str">
        <f>_xlfn.XLOOKUP(I1232,Parâmetros!A:A,Parâmetros!D:D,_xlfn.XLOOKUP(Q1232,Parâmetros!F:F,Parâmetros!I:I))</f>
        <v>OPERAÇÕES / SUPORTE KCS</v>
      </c>
      <c r="Q1232" s="1" t="str">
        <f t="shared" si="39"/>
        <v>COLUNA I</v>
      </c>
    </row>
    <row r="1233" spans="1:17" x14ac:dyDescent="0.25">
      <c r="A1233" s="1" t="str">
        <f>_xlfn.XLOOKUP(D1233,'Novo relatório'!B:B,'Novo relatório'!C:C,"RESOLVIDO")</f>
        <v>SABRE</v>
      </c>
      <c r="C1233" t="str">
        <f t="shared" si="38"/>
        <v>PENDENTE</v>
      </c>
      <c r="D1233" s="1">
        <v>3322173</v>
      </c>
      <c r="E1233" s="1" t="s">
        <v>26</v>
      </c>
      <c r="F1233" s="2">
        <v>45741.395138888889</v>
      </c>
      <c r="G1233" s="1" t="s">
        <v>1716</v>
      </c>
      <c r="H1233" s="1" t="s">
        <v>1716</v>
      </c>
      <c r="I1233" s="1" t="s">
        <v>620</v>
      </c>
      <c r="J1233" s="2">
        <v>45741.48333333333</v>
      </c>
      <c r="L1233" s="1" t="s">
        <v>18</v>
      </c>
      <c r="M1233" s="1" t="str">
        <f>_xlfn.XLOOKUP(I1233,Parâmetros!A:A,Parâmetros!B:B,_xlfn.XLOOKUP(Q1233,Parâmetros!F:F,Parâmetros!G:G,"NOVA MENSAGEM"))</f>
        <v>CÓD. CLIENTE DIVERGENTE</v>
      </c>
      <c r="N1233" s="1" t="str">
        <f>_xlfn.XLOOKUP(M1233,Parâmetros!K:K,Parâmetros!L:L,"")</f>
        <v>CÓDIGO DIFERENTE DO CADASTRADO NO BENNER (CLIENTE X GRUPO)</v>
      </c>
      <c r="O1233" s="1" t="str">
        <f>_xlfn.XLOOKUP(M1233,Parâmetros!B:B,Parâmetros!C:C,_xlfn.XLOOKUP(Base!M1228,Parâmetros!G:G,Parâmetros!H:H))</f>
        <v>QUALIDADE DOS DADOS</v>
      </c>
      <c r="P1233" s="1" t="str">
        <f>_xlfn.XLOOKUP(I1233,Parâmetros!A:A,Parâmetros!D:D,_xlfn.XLOOKUP(Q1233,Parâmetros!F:F,Parâmetros!I:I))</f>
        <v>SUPORTE OBT</v>
      </c>
      <c r="Q1233" s="1">
        <f t="shared" si="39"/>
        <v>1</v>
      </c>
    </row>
    <row r="1234" spans="1:17" x14ac:dyDescent="0.25">
      <c r="A1234" s="1" t="str">
        <f>_xlfn.XLOOKUP(D1234,'Novo relatório'!B:B,'Novo relatório'!C:C,"RESOLVIDO")</f>
        <v>TMS</v>
      </c>
      <c r="C1234" t="str">
        <f t="shared" si="38"/>
        <v>PENDENTE</v>
      </c>
      <c r="D1234" s="1">
        <v>3322806</v>
      </c>
      <c r="E1234" s="1" t="s">
        <v>12</v>
      </c>
      <c r="F1234" s="2">
        <v>45741.401388888888</v>
      </c>
      <c r="G1234" s="1">
        <v>55921</v>
      </c>
      <c r="H1234" s="1">
        <v>55921</v>
      </c>
      <c r="I1234" s="1" t="s">
        <v>16</v>
      </c>
      <c r="J1234" s="2">
        <v>45741.63958333333</v>
      </c>
      <c r="K1234" s="2">
        <v>45744.926388888889</v>
      </c>
      <c r="L1234" s="1" t="s">
        <v>14</v>
      </c>
      <c r="M1234" s="1" t="str">
        <f>_xlfn.XLOOKUP(I1234,Parâmetros!A:A,Parâmetros!B:B,_xlfn.XLOOKUP(Q1234,Parâmetros!F:F,Parâmetros!G:G,"NOVA MENSAGEM"))</f>
        <v>ASSENTO / BAGAGEM</v>
      </c>
      <c r="N1234" s="1" t="str">
        <f>_xlfn.XLOOKUP(M1234,Parâmetros!K:K,Parâmetros!L:L,"")</f>
        <v>CAMPO OBSERVAÇÃO PREENCHIDO INCORRETAMENTE</v>
      </c>
      <c r="O1234" s="1" t="str">
        <f>_xlfn.XLOOKUP(M1234,Parâmetros!B:B,Parâmetros!C:C,_xlfn.XLOOKUP(Base!M1230,Parâmetros!G:G,Parâmetros!H:H))</f>
        <v>QUALIDADE DOS DADOS</v>
      </c>
      <c r="P1234" s="1" t="str">
        <f>_xlfn.XLOOKUP(I1234,Parâmetros!A:A,Parâmetros!D:D,_xlfn.XLOOKUP(Q1234,Parâmetros!F:F,Parâmetros!I:I))</f>
        <v>OPERAÇÕES / SUPORTE KCS</v>
      </c>
      <c r="Q1234" s="1">
        <f t="shared" si="39"/>
        <v>118</v>
      </c>
    </row>
    <row r="1235" spans="1:17" x14ac:dyDescent="0.25">
      <c r="A1235" s="1" t="str">
        <f>_xlfn.XLOOKUP(D1235,'Novo relatório'!B:B,'Novo relatório'!C:C,"RESOLVIDO")</f>
        <v>SABRE</v>
      </c>
      <c r="C1235" t="str">
        <f t="shared" si="38"/>
        <v>PENDENTE</v>
      </c>
      <c r="D1235" s="1">
        <v>3323109</v>
      </c>
      <c r="E1235" s="1" t="s">
        <v>26</v>
      </c>
      <c r="F1235" s="2">
        <v>45744.242361111108</v>
      </c>
      <c r="G1235" s="1" t="s">
        <v>1874</v>
      </c>
      <c r="H1235" s="1" t="s">
        <v>1874</v>
      </c>
      <c r="I1235" s="1" t="s">
        <v>408</v>
      </c>
      <c r="J1235" s="2">
        <v>45741.742361111108</v>
      </c>
      <c r="K1235" s="2">
        <v>45744.336111111108</v>
      </c>
      <c r="L1235" s="1" t="s">
        <v>18</v>
      </c>
      <c r="M1235" s="1" t="str">
        <f>_xlfn.XLOOKUP(I1235,Parâmetros!A:A,Parâmetros!B:B,_xlfn.XLOOKUP(Q1235,Parâmetros!F:F,Parâmetros!G:G,"NOVA MENSAGEM"))</f>
        <v>CÓD. CLIENTE DIVERGENTE</v>
      </c>
      <c r="N1235" s="1" t="str">
        <f>_xlfn.XLOOKUP(M1235,Parâmetros!K:K,Parâmetros!L:L,"")</f>
        <v>CÓDIGO DIFERENTE DO CADASTRADO NO BENNER (CLIENTE X GRUPO)</v>
      </c>
      <c r="O1235" s="1" t="str">
        <f>_xlfn.XLOOKUP(M1235,Parâmetros!B:B,Parâmetros!C:C,_xlfn.XLOOKUP(Base!M1231,Parâmetros!G:G,Parâmetros!H:H))</f>
        <v>QUALIDADE DOS DADOS</v>
      </c>
      <c r="P1235" s="1" t="str">
        <f>_xlfn.XLOOKUP(I1235,Parâmetros!A:A,Parâmetros!D:D,_xlfn.XLOOKUP(Q1235,Parâmetros!F:F,Parâmetros!I:I))</f>
        <v>SUPORTE OBT</v>
      </c>
      <c r="Q1235" s="1">
        <f t="shared" si="39"/>
        <v>1</v>
      </c>
    </row>
    <row r="1236" spans="1:17" x14ac:dyDescent="0.25">
      <c r="A1236" s="1" t="str">
        <f>_xlfn.XLOOKUP(D1236,'Novo relatório'!B:B,'Novo relatório'!C:C,"RESOLVIDO")</f>
        <v>SABRE</v>
      </c>
      <c r="C1236" t="str">
        <f t="shared" si="38"/>
        <v>PENDENTE</v>
      </c>
      <c r="D1236" s="1">
        <v>3323654</v>
      </c>
      <c r="E1236" s="1" t="s">
        <v>26</v>
      </c>
      <c r="F1236" s="2">
        <v>45741.678472222222</v>
      </c>
      <c r="G1236" s="1" t="s">
        <v>1766</v>
      </c>
      <c r="H1236" s="1" t="s">
        <v>1766</v>
      </c>
      <c r="I1236" s="1" t="s">
        <v>410</v>
      </c>
      <c r="J1236" s="2">
        <v>45741.775000000001</v>
      </c>
      <c r="L1236" s="1" t="s">
        <v>18</v>
      </c>
      <c r="M1236" s="1" t="str">
        <f>_xlfn.XLOOKUP(I1236,Parâmetros!A:A,Parâmetros!B:B,_xlfn.XLOOKUP(Q1236,Parâmetros!F:F,Parâmetros!G:G,"NOVA MENSAGEM"))</f>
        <v>CÓD. CLIENTE DIVERGENTE</v>
      </c>
      <c r="N1236" s="1" t="str">
        <f>_xlfn.XLOOKUP(M1236,Parâmetros!K:K,Parâmetros!L:L,"")</f>
        <v>CÓDIGO DIFERENTE DO CADASTRADO NO BENNER (CLIENTE X GRUPO)</v>
      </c>
      <c r="O1236" s="1" t="str">
        <f>_xlfn.XLOOKUP(M1236,Parâmetros!B:B,Parâmetros!C:C,_xlfn.XLOOKUP(Base!M1232,Parâmetros!G:G,Parâmetros!H:H))</f>
        <v>QUALIDADE DOS DADOS</v>
      </c>
      <c r="P1236" s="1" t="str">
        <f>_xlfn.XLOOKUP(I1236,Parâmetros!A:A,Parâmetros!D:D,_xlfn.XLOOKUP(Q1236,Parâmetros!F:F,Parâmetros!I:I))</f>
        <v>SUPORTE OBT</v>
      </c>
      <c r="Q1236" s="1">
        <f t="shared" si="39"/>
        <v>1</v>
      </c>
    </row>
    <row r="1237" spans="1:17" x14ac:dyDescent="0.25">
      <c r="A1237" s="1" t="str">
        <f>_xlfn.XLOOKUP(D1237,'Novo relatório'!B:B,'Novo relatório'!C:C,"RESOLVIDO")</f>
        <v>SABRE</v>
      </c>
      <c r="C1237" t="str">
        <f t="shared" si="38"/>
        <v>PENDENTE</v>
      </c>
      <c r="D1237" s="1">
        <v>3323892</v>
      </c>
      <c r="E1237" s="1" t="s">
        <v>26</v>
      </c>
      <c r="F1237" s="2">
        <v>45742.40347222222</v>
      </c>
      <c r="G1237" s="1" t="s">
        <v>1808</v>
      </c>
      <c r="H1237" s="1" t="s">
        <v>1808</v>
      </c>
      <c r="I1237" s="1" t="s">
        <v>410</v>
      </c>
      <c r="J1237" s="2">
        <v>45741.84652777778</v>
      </c>
      <c r="K1237" s="2">
        <v>45742.493750000001</v>
      </c>
      <c r="L1237" s="1" t="s">
        <v>18</v>
      </c>
      <c r="M1237" s="1" t="str">
        <f>_xlfn.XLOOKUP(I1237,Parâmetros!A:A,Parâmetros!B:B,_xlfn.XLOOKUP(Q1237,Parâmetros!F:F,Parâmetros!G:G,"NOVA MENSAGEM"))</f>
        <v>CÓD. CLIENTE DIVERGENTE</v>
      </c>
      <c r="N1237" s="1" t="str">
        <f>_xlfn.XLOOKUP(M1237,Parâmetros!K:K,Parâmetros!L:L,"")</f>
        <v>CÓDIGO DIFERENTE DO CADASTRADO NO BENNER (CLIENTE X GRUPO)</v>
      </c>
      <c r="O1237" s="1" t="str">
        <f>_xlfn.XLOOKUP(M1237,Parâmetros!B:B,Parâmetros!C:C,_xlfn.XLOOKUP(Base!M1234,Parâmetros!G:G,Parâmetros!H:H))</f>
        <v>QUALIDADE DOS DADOS</v>
      </c>
      <c r="P1237" s="1" t="str">
        <f>_xlfn.XLOOKUP(I1237,Parâmetros!A:A,Parâmetros!D:D,_xlfn.XLOOKUP(Q1237,Parâmetros!F:F,Parâmetros!I:I))</f>
        <v>SUPORTE OBT</v>
      </c>
      <c r="Q1237" s="1">
        <f t="shared" si="39"/>
        <v>1</v>
      </c>
    </row>
    <row r="1238" spans="1:17" x14ac:dyDescent="0.25">
      <c r="A1238" s="1" t="str">
        <f>_xlfn.XLOOKUP(D1238,'Novo relatório'!B:B,'Novo relatório'!C:C,"RESOLVIDO")</f>
        <v>SABRE</v>
      </c>
      <c r="C1238" t="str">
        <f t="shared" si="38"/>
        <v>PENDENTE</v>
      </c>
      <c r="D1238" s="1">
        <v>3323894</v>
      </c>
      <c r="E1238" s="1" t="s">
        <v>26</v>
      </c>
      <c r="F1238" s="2">
        <v>45741.755555555559</v>
      </c>
      <c r="G1238" s="1" t="s">
        <v>1728</v>
      </c>
      <c r="H1238" s="1" t="s">
        <v>1728</v>
      </c>
      <c r="I1238" s="1" t="s">
        <v>83</v>
      </c>
      <c r="J1238" s="2">
        <v>45741.84652777778</v>
      </c>
      <c r="L1238" s="1" t="s">
        <v>18</v>
      </c>
      <c r="M1238" s="1" t="str">
        <f>_xlfn.XLOOKUP(I1238,Parâmetros!A:A,Parâmetros!B:B,_xlfn.XLOOKUP(Q1238,Parâmetros!F:F,Parâmetros!G:G,"NOVA MENSAGEM"))</f>
        <v>CLIENTE NÃO IDENTIFICADO</v>
      </c>
      <c r="N1238" s="1" t="str">
        <f>_xlfn.XLOOKUP(M1238,Parâmetros!K:K,Parâmetros!L:L,"")</f>
        <v>DK DE CLIENTE NÃO PREENCIDO / CLIENTE NÃO CONFIGURADO NO OBT</v>
      </c>
      <c r="O1238" s="1" t="str">
        <f>_xlfn.XLOOKUP(M1238,Parâmetros!B:B,Parâmetros!C:C,_xlfn.XLOOKUP(Base!M1233,Parâmetros!G:G,Parâmetros!H:H))</f>
        <v>INDEFINIDO</v>
      </c>
      <c r="P1238" s="1" t="str">
        <f>_xlfn.XLOOKUP(I1238,Parâmetros!A:A,Parâmetros!D:D,_xlfn.XLOOKUP(Q1238,Parâmetros!F:F,Parâmetros!I:I))</f>
        <v>OPERAÇÕES / SUPORTE KCS</v>
      </c>
      <c r="Q1238" s="1" t="str">
        <f t="shared" si="39"/>
        <v>COLUNA I</v>
      </c>
    </row>
    <row r="1239" spans="1:17" x14ac:dyDescent="0.25">
      <c r="A1239" s="1" t="str">
        <f>_xlfn.XLOOKUP(D1239,'Novo relatório'!B:B,'Novo relatório'!C:C,"RESOLVIDO")</f>
        <v>TMS</v>
      </c>
      <c r="C1239" t="str">
        <f t="shared" si="38"/>
        <v>PENDENTE</v>
      </c>
      <c r="D1239" s="1">
        <v>3323909</v>
      </c>
      <c r="E1239" s="1" t="s">
        <v>12</v>
      </c>
      <c r="F1239" s="2">
        <v>45741.739583333336</v>
      </c>
      <c r="G1239" s="1">
        <v>5773</v>
      </c>
      <c r="H1239" s="1">
        <v>5773</v>
      </c>
      <c r="I1239" s="1" t="s">
        <v>16</v>
      </c>
      <c r="J1239" s="2">
        <v>45741.852083333331</v>
      </c>
      <c r="K1239" s="2">
        <v>45744.893750000003</v>
      </c>
      <c r="L1239" s="1" t="s">
        <v>14</v>
      </c>
      <c r="M1239" s="1" t="str">
        <f>_xlfn.XLOOKUP(I1239,Parâmetros!A:A,Parâmetros!B:B,_xlfn.XLOOKUP(Q1239,Parâmetros!F:F,Parâmetros!G:G,"NOVA MENSAGEM"))</f>
        <v>ASSENTO / BAGAGEM</v>
      </c>
      <c r="N1239" s="1" t="str">
        <f>_xlfn.XLOOKUP(M1239,Parâmetros!K:K,Parâmetros!L:L,"")</f>
        <v>CAMPO OBSERVAÇÃO PREENCHIDO INCORRETAMENTE</v>
      </c>
      <c r="O1239" s="1" t="str">
        <f>_xlfn.XLOOKUP(M1239,Parâmetros!B:B,Parâmetros!C:C,_xlfn.XLOOKUP(Base!M1235,Parâmetros!G:G,Parâmetros!H:H))</f>
        <v>QUALIDADE DOS DADOS</v>
      </c>
      <c r="P1239" s="1" t="str">
        <f>_xlfn.XLOOKUP(I1239,Parâmetros!A:A,Parâmetros!D:D,_xlfn.XLOOKUP(Q1239,Parâmetros!F:F,Parâmetros!I:I))</f>
        <v>OPERAÇÕES / SUPORTE KCS</v>
      </c>
      <c r="Q1239" s="1">
        <f t="shared" si="39"/>
        <v>118</v>
      </c>
    </row>
    <row r="1240" spans="1:17" x14ac:dyDescent="0.25">
      <c r="A1240" s="1" t="str">
        <f>_xlfn.XLOOKUP(D1240,'Novo relatório'!B:B,'Novo relatório'!C:C,"RESOLVIDO")</f>
        <v>SABRE</v>
      </c>
      <c r="C1240" t="str">
        <f t="shared" si="38"/>
        <v>PENDENTE</v>
      </c>
      <c r="D1240" s="1">
        <v>3323956</v>
      </c>
      <c r="E1240" s="1" t="s">
        <v>26</v>
      </c>
      <c r="F1240" s="2">
        <v>45715.265972222223</v>
      </c>
      <c r="G1240" s="1" t="s">
        <v>1658</v>
      </c>
      <c r="H1240" s="1" t="s">
        <v>1659</v>
      </c>
      <c r="I1240" s="1" t="s">
        <v>64</v>
      </c>
      <c r="J1240" s="2">
        <v>45741.949305555558</v>
      </c>
      <c r="L1240" s="1" t="s">
        <v>1244</v>
      </c>
      <c r="M1240" s="1" t="str">
        <f>_xlfn.XLOOKUP(I1240,Parâmetros!A:A,Parâmetros!B:B,_xlfn.XLOOKUP(Q1240,Parâmetros!F:F,Parâmetros!G:G,"NOVA MENSAGEM"))</f>
        <v>FORMATO DE TEXTO</v>
      </c>
      <c r="N1240" s="1" t="str">
        <f>_xlfn.XLOOKUP(M1240,Parâmetros!K:K,Parâmetros!L:L,"")</f>
        <v>TEXTO FORA DO PADRÃO ACEITO NO CAMPO</v>
      </c>
      <c r="O1240" s="1" t="str">
        <f>_xlfn.XLOOKUP(M1240,Parâmetros!B:B,Parâmetros!C:C,_xlfn.XLOOKUP(Base!M1236,Parâmetros!G:G,Parâmetros!H:H))</f>
        <v>INDEFINIDO</v>
      </c>
      <c r="P1240" s="1" t="str">
        <f>_xlfn.XLOOKUP(I1240,Parâmetros!A:A,Parâmetros!D:D,_xlfn.XLOOKUP(Q1240,Parâmetros!F:F,Parâmetros!I:I))</f>
        <v>SUPORTE OBT</v>
      </c>
      <c r="Q1240" s="1" t="str">
        <f t="shared" si="39"/>
        <v>COLUNA I</v>
      </c>
    </row>
    <row r="1241" spans="1:17" x14ac:dyDescent="0.25">
      <c r="A1241" s="1" t="str">
        <f>_xlfn.XLOOKUP(D1241,'Novo relatório'!B:B,'Novo relatório'!C:C,"RESOLVIDO")</f>
        <v>SABRE</v>
      </c>
      <c r="C1241" t="str">
        <f t="shared" si="38"/>
        <v>PENDENTE</v>
      </c>
      <c r="D1241" s="1">
        <v>3323957</v>
      </c>
      <c r="E1241" s="1" t="s">
        <v>26</v>
      </c>
      <c r="F1241" s="2">
        <v>45736.326388888891</v>
      </c>
      <c r="G1241" s="1" t="s">
        <v>1675</v>
      </c>
      <c r="H1241" s="1" t="s">
        <v>1676</v>
      </c>
      <c r="I1241" s="1" t="s">
        <v>64</v>
      </c>
      <c r="J1241" s="2">
        <v>45741.949305555558</v>
      </c>
      <c r="L1241" s="1" t="s">
        <v>1244</v>
      </c>
      <c r="M1241" s="1" t="str">
        <f>_xlfn.XLOOKUP(I1241,Parâmetros!A:A,Parâmetros!B:B,_xlfn.XLOOKUP(Q1241,Parâmetros!F:F,Parâmetros!G:G,"NOVA MENSAGEM"))</f>
        <v>FORMATO DE TEXTO</v>
      </c>
      <c r="N1241" s="1" t="str">
        <f>_xlfn.XLOOKUP(M1241,Parâmetros!K:K,Parâmetros!L:L,"")</f>
        <v>TEXTO FORA DO PADRÃO ACEITO NO CAMPO</v>
      </c>
      <c r="O1241" s="1" t="str">
        <f>_xlfn.XLOOKUP(M1241,Parâmetros!B:B,Parâmetros!C:C,_xlfn.XLOOKUP(Base!M1237,Parâmetros!G:G,Parâmetros!H:H))</f>
        <v>INDEFINIDO</v>
      </c>
      <c r="P1241" s="1" t="str">
        <f>_xlfn.XLOOKUP(I1241,Parâmetros!A:A,Parâmetros!D:D,_xlfn.XLOOKUP(Q1241,Parâmetros!F:F,Parâmetros!I:I))</f>
        <v>SUPORTE OBT</v>
      </c>
      <c r="Q1241" s="1" t="str">
        <f t="shared" si="39"/>
        <v>COLUNA I</v>
      </c>
    </row>
    <row r="1242" spans="1:17" x14ac:dyDescent="0.25">
      <c r="A1242" s="1" t="str">
        <f>_xlfn.XLOOKUP(D1242,'Novo relatório'!B:B,'Novo relatório'!C:C,"RESOLVIDO")</f>
        <v>RESOLVIDO</v>
      </c>
      <c r="C1242" t="str">
        <f t="shared" si="38"/>
        <v>RESOLVIDO</v>
      </c>
      <c r="D1242" s="1">
        <v>3324615</v>
      </c>
      <c r="E1242" s="1" t="s">
        <v>12</v>
      </c>
      <c r="F1242" s="2">
        <v>45741.779166666667</v>
      </c>
      <c r="G1242" s="1">
        <v>11424</v>
      </c>
      <c r="H1242" s="1">
        <v>11424</v>
      </c>
      <c r="I1242" s="1" t="s">
        <v>927</v>
      </c>
      <c r="J1242" s="2">
        <v>45742.186111111114</v>
      </c>
      <c r="K1242" s="2">
        <v>45744.927777777775</v>
      </c>
      <c r="L1242" s="1" t="s">
        <v>19</v>
      </c>
      <c r="M1242" s="1" t="str">
        <f>_xlfn.XLOOKUP(I1242,Parâmetros!A:A,Parâmetros!B:B,_xlfn.XLOOKUP(Q1242,Parâmetros!F:F,Parâmetros!G:G,"NOVA MENSAGEM"))</f>
        <v>CONTRATO FORNECEDOR</v>
      </c>
      <c r="N1242" s="1" t="str">
        <f>_xlfn.XLOOKUP(M1242,Parâmetros!K:K,Parâmetros!L:L,"")</f>
        <v>CONTRATO INATIVO OU DIVERGENTE</v>
      </c>
      <c r="O1242" s="1" t="str">
        <f>_xlfn.XLOOKUP(M1242,Parâmetros!B:B,Parâmetros!C:C,_xlfn.XLOOKUP(Base!M1238,Parâmetros!G:G,Parâmetros!H:H))</f>
        <v>SISTEMA</v>
      </c>
      <c r="P1242" s="1" t="str">
        <f>_xlfn.XLOOKUP(I1242,Parâmetros!A:A,Parâmetros!D:D,_xlfn.XLOOKUP(Q1242,Parâmetros!F:F,Parâmetros!I:I))</f>
        <v>OPERAÇÕES / SUPORTE KCS</v>
      </c>
      <c r="Q1242" s="1">
        <f t="shared" si="39"/>
        <v>69</v>
      </c>
    </row>
    <row r="1243" spans="1:17" x14ac:dyDescent="0.25">
      <c r="A1243" s="1" t="str">
        <f>_xlfn.XLOOKUP(D1243,'Novo relatório'!B:B,'Novo relatório'!C:C,"RESOLVIDO")</f>
        <v>SABRE</v>
      </c>
      <c r="C1243" t="str">
        <f t="shared" si="38"/>
        <v>PENDENTE</v>
      </c>
      <c r="D1243" s="1">
        <v>3324885</v>
      </c>
      <c r="E1243" s="1" t="s">
        <v>26</v>
      </c>
      <c r="F1243" s="2">
        <v>45742.404861111114</v>
      </c>
      <c r="G1243" s="1" t="s">
        <v>1878</v>
      </c>
      <c r="H1243" s="1" t="s">
        <v>1878</v>
      </c>
      <c r="I1243" s="1" t="s">
        <v>1711</v>
      </c>
      <c r="J1243" s="2">
        <v>45742.397222222222</v>
      </c>
      <c r="K1243" s="2">
        <v>45742.493750000001</v>
      </c>
      <c r="L1243" s="1" t="s">
        <v>18</v>
      </c>
      <c r="M1243" s="1" t="str">
        <f>_xlfn.XLOOKUP(I1243,Parâmetros!A:A,Parâmetros!B:B,_xlfn.XLOOKUP(Q1243,Parâmetros!F:F,Parâmetros!G:G,"NOVA MENSAGEM"))</f>
        <v>CÓD. CLIENTE DIVERGENTE</v>
      </c>
      <c r="N1243" s="1" t="str">
        <f>_xlfn.XLOOKUP(M1243,Parâmetros!K:K,Parâmetros!L:L,"")</f>
        <v>CÓDIGO DIFERENTE DO CADASTRADO NO BENNER (CLIENTE X GRUPO)</v>
      </c>
      <c r="O1243" s="1" t="str">
        <f>_xlfn.XLOOKUP(M1243,Parâmetros!B:B,Parâmetros!C:C,_xlfn.XLOOKUP(Base!M1239,Parâmetros!G:G,Parâmetros!H:H))</f>
        <v>QUALIDADE DOS DADOS</v>
      </c>
      <c r="P1243" s="1" t="str">
        <f>_xlfn.XLOOKUP(I1243,Parâmetros!A:A,Parâmetros!D:D,_xlfn.XLOOKUP(Q1243,Parâmetros!F:F,Parâmetros!I:I))</f>
        <v>SUPORTE OBT</v>
      </c>
      <c r="Q1243" s="1">
        <f t="shared" si="39"/>
        <v>1</v>
      </c>
    </row>
    <row r="1244" spans="1:17" x14ac:dyDescent="0.25">
      <c r="A1244" s="1" t="str">
        <f>_xlfn.XLOOKUP(D1244,'Novo relatório'!B:B,'Novo relatório'!C:C,"RESOLVIDO")</f>
        <v>SABRE</v>
      </c>
      <c r="C1244" t="str">
        <f t="shared" si="38"/>
        <v>PENDENTE</v>
      </c>
      <c r="D1244" s="1">
        <v>3324894</v>
      </c>
      <c r="E1244" s="1" t="s">
        <v>26</v>
      </c>
      <c r="F1244" s="2">
        <v>45742.313194444447</v>
      </c>
      <c r="G1244" s="1" t="s">
        <v>1656</v>
      </c>
      <c r="H1244" s="1" t="s">
        <v>1656</v>
      </c>
      <c r="I1244" s="1" t="s">
        <v>273</v>
      </c>
      <c r="J1244" s="2">
        <v>45742.406944444447</v>
      </c>
      <c r="L1244" s="1" t="s">
        <v>1245</v>
      </c>
      <c r="M1244" s="1" t="str">
        <f>_xlfn.XLOOKUP(I1244,Parâmetros!A:A,Parâmetros!B:B,_xlfn.XLOOKUP(Q1244,Parâmetros!F:F,Parâmetros!G:G,"NOVA MENSAGEM"))</f>
        <v>VENDA CANCELADA</v>
      </c>
      <c r="N1244" s="1" t="str">
        <f>_xlfn.XLOOKUP(M1244,Parâmetros!K:K,Parâmetros!L:L,"")</f>
        <v>RESERVA CANCELADA NO OBT</v>
      </c>
      <c r="O1244" s="1" t="str">
        <f>_xlfn.XLOOKUP(M1244,Parâmetros!B:B,Parâmetros!C:C,_xlfn.XLOOKUP(Base!M1240,Parâmetros!G:G,Parâmetros!H:H))</f>
        <v>SISTEMA</v>
      </c>
      <c r="P1244" s="1" t="str">
        <f>_xlfn.XLOOKUP(I1244,Parâmetros!A:A,Parâmetros!D:D,_xlfn.XLOOKUP(Q1244,Parâmetros!F:F,Parâmetros!I:I))</f>
        <v>SUPORTE OBT</v>
      </c>
      <c r="Q1244" s="1" t="str">
        <f t="shared" si="39"/>
        <v>COLUNA I</v>
      </c>
    </row>
    <row r="1245" spans="1:17" x14ac:dyDescent="0.25">
      <c r="A1245" s="1" t="str">
        <f>_xlfn.XLOOKUP(D1245,'Novo relatório'!B:B,'Novo relatório'!C:C,"RESOLVIDO")</f>
        <v>SABRE</v>
      </c>
      <c r="C1245" t="str">
        <f t="shared" si="38"/>
        <v>PENDENTE</v>
      </c>
      <c r="D1245" s="1">
        <v>3324901</v>
      </c>
      <c r="E1245" s="1" t="s">
        <v>26</v>
      </c>
      <c r="F1245" s="2">
        <v>45742.322916666664</v>
      </c>
      <c r="G1245" s="1" t="s">
        <v>1809</v>
      </c>
      <c r="H1245" s="1" t="s">
        <v>1810</v>
      </c>
      <c r="I1245" s="1" t="s">
        <v>64</v>
      </c>
      <c r="J1245" s="2">
        <v>45742.407638888886</v>
      </c>
      <c r="L1245" s="1" t="s">
        <v>1244</v>
      </c>
      <c r="M1245" s="1" t="str">
        <f>_xlfn.XLOOKUP(I1245,Parâmetros!A:A,Parâmetros!B:B,_xlfn.XLOOKUP(Q1245,Parâmetros!F:F,Parâmetros!G:G,"NOVA MENSAGEM"))</f>
        <v>FORMATO DE TEXTO</v>
      </c>
      <c r="N1245" s="1" t="str">
        <f>_xlfn.XLOOKUP(M1245,Parâmetros!K:K,Parâmetros!L:L,"")</f>
        <v>TEXTO FORA DO PADRÃO ACEITO NO CAMPO</v>
      </c>
      <c r="O1245" s="1" t="str">
        <f>_xlfn.XLOOKUP(M1245,Parâmetros!B:B,Parâmetros!C:C,_xlfn.XLOOKUP(Base!M1241,Parâmetros!G:G,Parâmetros!H:H))</f>
        <v>INDEFINIDO</v>
      </c>
      <c r="P1245" s="1" t="str">
        <f>_xlfn.XLOOKUP(I1245,Parâmetros!A:A,Parâmetros!D:D,_xlfn.XLOOKUP(Q1245,Parâmetros!F:F,Parâmetros!I:I))</f>
        <v>SUPORTE OBT</v>
      </c>
      <c r="Q1245" s="1" t="str">
        <f t="shared" si="39"/>
        <v>COLUNA I</v>
      </c>
    </row>
    <row r="1246" spans="1:17" x14ac:dyDescent="0.25">
      <c r="A1246" s="1" t="str">
        <f>_xlfn.XLOOKUP(D1246,'Novo relatório'!B:B,'Novo relatório'!C:C,"RESOLVIDO")</f>
        <v>SABRE</v>
      </c>
      <c r="C1246" t="str">
        <f t="shared" si="38"/>
        <v>PENDENTE</v>
      </c>
      <c r="D1246" s="1">
        <v>3324931</v>
      </c>
      <c r="E1246" s="1" t="s">
        <v>26</v>
      </c>
      <c r="F1246" s="2">
        <v>45742.326388888891</v>
      </c>
      <c r="G1246" s="1" t="s">
        <v>1741</v>
      </c>
      <c r="H1246" s="1" t="s">
        <v>1742</v>
      </c>
      <c r="I1246" s="1" t="s">
        <v>64</v>
      </c>
      <c r="J1246" s="2">
        <v>45742.418749999997</v>
      </c>
      <c r="L1246" s="1" t="s">
        <v>1244</v>
      </c>
      <c r="M1246" s="1" t="str">
        <f>_xlfn.XLOOKUP(I1246,Parâmetros!A:A,Parâmetros!B:B,_xlfn.XLOOKUP(Q1246,Parâmetros!F:F,Parâmetros!G:G,"NOVA MENSAGEM"))</f>
        <v>FORMATO DE TEXTO</v>
      </c>
      <c r="N1246" s="1" t="str">
        <f>_xlfn.XLOOKUP(M1246,Parâmetros!K:K,Parâmetros!L:L,"")</f>
        <v>TEXTO FORA DO PADRÃO ACEITO NO CAMPO</v>
      </c>
      <c r="O1246" s="1" t="str">
        <f>_xlfn.XLOOKUP(M1246,Parâmetros!B:B,Parâmetros!C:C,_xlfn.XLOOKUP(Base!M1242,Parâmetros!G:G,Parâmetros!H:H))</f>
        <v>INDEFINIDO</v>
      </c>
      <c r="P1246" s="1" t="str">
        <f>_xlfn.XLOOKUP(I1246,Parâmetros!A:A,Parâmetros!D:D,_xlfn.XLOOKUP(Q1246,Parâmetros!F:F,Parâmetros!I:I))</f>
        <v>SUPORTE OBT</v>
      </c>
      <c r="Q1246" s="1" t="str">
        <f t="shared" si="39"/>
        <v>COLUNA I</v>
      </c>
    </row>
    <row r="1247" spans="1:17" x14ac:dyDescent="0.25">
      <c r="A1247" s="1" t="str">
        <f>_xlfn.XLOOKUP(D1247,'Novo relatório'!B:B,'Novo relatório'!C:C,"RESOLVIDO")</f>
        <v>SABRE</v>
      </c>
      <c r="C1247" t="str">
        <f t="shared" si="38"/>
        <v>PENDENTE</v>
      </c>
      <c r="D1247" s="1">
        <v>3325087</v>
      </c>
      <c r="E1247" s="1" t="s">
        <v>26</v>
      </c>
      <c r="F1247" s="2">
        <v>45744.242361111108</v>
      </c>
      <c r="G1247" s="1" t="s">
        <v>1725</v>
      </c>
      <c r="H1247" s="1" t="s">
        <v>1725</v>
      </c>
      <c r="I1247" s="1" t="s">
        <v>1215</v>
      </c>
      <c r="J1247" s="2">
        <v>45742.481249999997</v>
      </c>
      <c r="K1247" s="2">
        <v>45744.336805555555</v>
      </c>
      <c r="L1247" s="1" t="s">
        <v>18</v>
      </c>
      <c r="M1247" s="1" t="str">
        <f>_xlfn.XLOOKUP(I1247,Parâmetros!A:A,Parâmetros!B:B,_xlfn.XLOOKUP(Q1247,Parâmetros!F:F,Parâmetros!G:G,"NOVA MENSAGEM"))</f>
        <v>CÓD. CLIENTE DIVERGENTE</v>
      </c>
      <c r="N1247" s="1" t="str">
        <f>_xlfn.XLOOKUP(M1247,Parâmetros!K:K,Parâmetros!L:L,"")</f>
        <v>CÓDIGO DIFERENTE DO CADASTRADO NO BENNER (CLIENTE X GRUPO)</v>
      </c>
      <c r="O1247" s="1" t="str">
        <f>_xlfn.XLOOKUP(M1247,Parâmetros!B:B,Parâmetros!C:C,_xlfn.XLOOKUP(Base!M1243,Parâmetros!G:G,Parâmetros!H:H))</f>
        <v>QUALIDADE DOS DADOS</v>
      </c>
      <c r="P1247" s="1" t="str">
        <f>_xlfn.XLOOKUP(I1247,Parâmetros!A:A,Parâmetros!D:D,_xlfn.XLOOKUP(Q1247,Parâmetros!F:F,Parâmetros!I:I))</f>
        <v>SUPORTE OBT</v>
      </c>
      <c r="Q1247" s="1">
        <f t="shared" si="39"/>
        <v>1</v>
      </c>
    </row>
    <row r="1248" spans="1:17" x14ac:dyDescent="0.25">
      <c r="A1248" s="1" t="str">
        <f>_xlfn.XLOOKUP(D1248,'Novo relatório'!B:B,'Novo relatório'!C:C,"RESOLVIDO")</f>
        <v>SABRE</v>
      </c>
      <c r="C1248" t="str">
        <f t="shared" si="38"/>
        <v>PENDENTE</v>
      </c>
      <c r="D1248" s="1">
        <v>3325110</v>
      </c>
      <c r="E1248" s="1" t="s">
        <v>26</v>
      </c>
      <c r="F1248" s="2">
        <v>45742.397916666669</v>
      </c>
      <c r="G1248" s="1" t="s">
        <v>1738</v>
      </c>
      <c r="H1248" s="1" t="s">
        <v>1738</v>
      </c>
      <c r="I1248" s="1" t="s">
        <v>671</v>
      </c>
      <c r="J1248" s="2">
        <v>45742.491666666669</v>
      </c>
      <c r="L1248" s="1" t="s">
        <v>18</v>
      </c>
      <c r="M1248" s="1" t="str">
        <f>_xlfn.XLOOKUP(I1248,Parâmetros!A:A,Parâmetros!B:B,_xlfn.XLOOKUP(Q1248,Parâmetros!F:F,Parâmetros!G:G,"NOVA MENSAGEM"))</f>
        <v>CÓD. CLIENTE DIVERGENTE</v>
      </c>
      <c r="N1248" s="1" t="str">
        <f>_xlfn.XLOOKUP(M1248,Parâmetros!K:K,Parâmetros!L:L,"")</f>
        <v>CÓDIGO DIFERENTE DO CADASTRADO NO BENNER (CLIENTE X GRUPO)</v>
      </c>
      <c r="O1248" s="1" t="str">
        <f>_xlfn.XLOOKUP(M1248,Parâmetros!B:B,Parâmetros!C:C,_xlfn.XLOOKUP(Base!M1244,Parâmetros!G:G,Parâmetros!H:H))</f>
        <v>QUALIDADE DOS DADOS</v>
      </c>
      <c r="P1248" s="1" t="str">
        <f>_xlfn.XLOOKUP(I1248,Parâmetros!A:A,Parâmetros!D:D,_xlfn.XLOOKUP(Q1248,Parâmetros!F:F,Parâmetros!I:I))</f>
        <v>SUPORTE OBT</v>
      </c>
      <c r="Q1248" s="1">
        <f t="shared" si="39"/>
        <v>1</v>
      </c>
    </row>
    <row r="1249" spans="1:17" x14ac:dyDescent="0.25">
      <c r="A1249" s="1" t="str">
        <f>_xlfn.XLOOKUP(D1249,'Novo relatório'!B:B,'Novo relatório'!C:C,"RESOLVIDO")</f>
        <v>SABRE</v>
      </c>
      <c r="C1249" t="str">
        <f t="shared" si="38"/>
        <v>PENDENTE</v>
      </c>
      <c r="D1249" s="1">
        <v>3325112</v>
      </c>
      <c r="E1249" s="1" t="s">
        <v>26</v>
      </c>
      <c r="F1249" s="2">
        <v>45742.397916666669</v>
      </c>
      <c r="G1249" s="1" t="s">
        <v>1876</v>
      </c>
      <c r="H1249" s="1" t="s">
        <v>1876</v>
      </c>
      <c r="I1249" s="1" t="s">
        <v>404</v>
      </c>
      <c r="J1249" s="2">
        <v>45742.492361111108</v>
      </c>
      <c r="L1249" s="1" t="s">
        <v>18</v>
      </c>
      <c r="M1249" s="1" t="str">
        <f>_xlfn.XLOOKUP(I1249,Parâmetros!A:A,Parâmetros!B:B,_xlfn.XLOOKUP(Q1249,Parâmetros!F:F,Parâmetros!G:G,"NOVA MENSAGEM"))</f>
        <v>CÓD. CLIENTE DIVERGENTE</v>
      </c>
      <c r="N1249" s="1" t="str">
        <f>_xlfn.XLOOKUP(M1249,Parâmetros!K:K,Parâmetros!L:L,"")</f>
        <v>CÓDIGO DIFERENTE DO CADASTRADO NO BENNER (CLIENTE X GRUPO)</v>
      </c>
      <c r="O1249" s="1" t="str">
        <f>_xlfn.XLOOKUP(M1249,Parâmetros!B:B,Parâmetros!C:C,_xlfn.XLOOKUP(Base!M1246,Parâmetros!G:G,Parâmetros!H:H))</f>
        <v>QUALIDADE DOS DADOS</v>
      </c>
      <c r="P1249" s="1" t="str">
        <f>_xlfn.XLOOKUP(I1249,Parâmetros!A:A,Parâmetros!D:D,_xlfn.XLOOKUP(Q1249,Parâmetros!F:F,Parâmetros!I:I))</f>
        <v>SUPORTE OBT</v>
      </c>
      <c r="Q1249" s="1">
        <f t="shared" si="39"/>
        <v>1</v>
      </c>
    </row>
    <row r="1250" spans="1:17" x14ac:dyDescent="0.25">
      <c r="A1250" s="1" t="str">
        <f>_xlfn.XLOOKUP(D1250,'Novo relatório'!B:B,'Novo relatório'!C:C,"RESOLVIDO")</f>
        <v>SABRE</v>
      </c>
      <c r="C1250" t="str">
        <f t="shared" si="38"/>
        <v>PENDENTE</v>
      </c>
      <c r="D1250" s="1">
        <v>3325118</v>
      </c>
      <c r="E1250" s="1" t="s">
        <v>26</v>
      </c>
      <c r="F1250" s="2">
        <v>45742.397916666669</v>
      </c>
      <c r="G1250" s="1" t="s">
        <v>1804</v>
      </c>
      <c r="H1250" s="1" t="s">
        <v>1804</v>
      </c>
      <c r="I1250" s="1" t="s">
        <v>83</v>
      </c>
      <c r="J1250" s="2">
        <v>45742.492361111108</v>
      </c>
      <c r="L1250" s="1" t="s">
        <v>18</v>
      </c>
      <c r="M1250" s="1" t="str">
        <f>_xlfn.XLOOKUP(I1250,Parâmetros!A:A,Parâmetros!B:B,_xlfn.XLOOKUP(Q1250,Parâmetros!F:F,Parâmetros!G:G,"NOVA MENSAGEM"))</f>
        <v>CLIENTE NÃO IDENTIFICADO</v>
      </c>
      <c r="N1250" s="1" t="str">
        <f>_xlfn.XLOOKUP(M1250,Parâmetros!K:K,Parâmetros!L:L,"")</f>
        <v>DK DE CLIENTE NÃO PREENCIDO / CLIENTE NÃO CONFIGURADO NO OBT</v>
      </c>
      <c r="O1250" s="1" t="str">
        <f>_xlfn.XLOOKUP(M1250,Parâmetros!B:B,Parâmetros!C:C,_xlfn.XLOOKUP(Base!M1245,Parâmetros!G:G,Parâmetros!H:H))</f>
        <v>INDEFINIDO</v>
      </c>
      <c r="P1250" s="1" t="str">
        <f>_xlfn.XLOOKUP(I1250,Parâmetros!A:A,Parâmetros!D:D,_xlfn.XLOOKUP(Q1250,Parâmetros!F:F,Parâmetros!I:I))</f>
        <v>OPERAÇÕES / SUPORTE KCS</v>
      </c>
      <c r="Q1250" s="1" t="str">
        <f t="shared" si="39"/>
        <v>COLUNA I</v>
      </c>
    </row>
    <row r="1251" spans="1:17" x14ac:dyDescent="0.25">
      <c r="A1251" s="1" t="str">
        <f>_xlfn.XLOOKUP(D1251,'Novo relatório'!B:B,'Novo relatório'!C:C,"RESOLVIDO")</f>
        <v>SABRE</v>
      </c>
      <c r="C1251" t="str">
        <f t="shared" si="38"/>
        <v>PENDENTE</v>
      </c>
      <c r="D1251" s="1">
        <v>3325179</v>
      </c>
      <c r="E1251" s="1" t="s">
        <v>26</v>
      </c>
      <c r="F1251" s="2">
        <v>45742.431944444441</v>
      </c>
      <c r="G1251" s="1" t="s">
        <v>1882</v>
      </c>
      <c r="H1251" s="1" t="s">
        <v>1882</v>
      </c>
      <c r="I1251" s="1" t="s">
        <v>83</v>
      </c>
      <c r="J1251" s="2">
        <v>45742.522916666669</v>
      </c>
      <c r="L1251" s="1" t="s">
        <v>18</v>
      </c>
      <c r="M1251" s="1" t="str">
        <f>_xlfn.XLOOKUP(I1251,Parâmetros!A:A,Parâmetros!B:B,_xlfn.XLOOKUP(Q1251,Parâmetros!F:F,Parâmetros!G:G,"NOVA MENSAGEM"))</f>
        <v>CLIENTE NÃO IDENTIFICADO</v>
      </c>
      <c r="N1251" s="1" t="str">
        <f>_xlfn.XLOOKUP(M1251,Parâmetros!K:K,Parâmetros!L:L,"")</f>
        <v>DK DE CLIENTE NÃO PREENCIDO / CLIENTE NÃO CONFIGURADO NO OBT</v>
      </c>
      <c r="O1251" s="1" t="str">
        <f>_xlfn.XLOOKUP(M1251,Parâmetros!B:B,Parâmetros!C:C,_xlfn.XLOOKUP(Base!M1248,Parâmetros!G:G,Parâmetros!H:H))</f>
        <v>INDEFINIDO</v>
      </c>
      <c r="P1251" s="1" t="str">
        <f>_xlfn.XLOOKUP(I1251,Parâmetros!A:A,Parâmetros!D:D,_xlfn.XLOOKUP(Q1251,Parâmetros!F:F,Parâmetros!I:I))</f>
        <v>OPERAÇÕES / SUPORTE KCS</v>
      </c>
      <c r="Q1251" s="1" t="str">
        <f t="shared" si="39"/>
        <v>COLUNA I</v>
      </c>
    </row>
    <row r="1252" spans="1:17" x14ac:dyDescent="0.25">
      <c r="A1252" s="1" t="str">
        <f>_xlfn.XLOOKUP(D1252,'Novo relatório'!B:B,'Novo relatório'!C:C,"RESOLVIDO")</f>
        <v>SABRE</v>
      </c>
      <c r="C1252" t="str">
        <f t="shared" si="38"/>
        <v>PENDENTE</v>
      </c>
      <c r="D1252" s="1">
        <v>3325180</v>
      </c>
      <c r="E1252" s="1" t="s">
        <v>26</v>
      </c>
      <c r="F1252" s="2">
        <v>45742.431944444441</v>
      </c>
      <c r="G1252" s="1" t="s">
        <v>1713</v>
      </c>
      <c r="H1252" s="1" t="s">
        <v>1713</v>
      </c>
      <c r="I1252" s="1" t="s">
        <v>83</v>
      </c>
      <c r="J1252" s="2">
        <v>45742.522916666669</v>
      </c>
      <c r="L1252" s="1" t="s">
        <v>18</v>
      </c>
      <c r="M1252" s="1" t="str">
        <f>_xlfn.XLOOKUP(I1252,Parâmetros!A:A,Parâmetros!B:B,_xlfn.XLOOKUP(Q1252,Parâmetros!F:F,Parâmetros!G:G,"NOVA MENSAGEM"))</f>
        <v>CLIENTE NÃO IDENTIFICADO</v>
      </c>
      <c r="N1252" s="1" t="str">
        <f>_xlfn.XLOOKUP(M1252,Parâmetros!K:K,Parâmetros!L:L,"")</f>
        <v>DK DE CLIENTE NÃO PREENCIDO / CLIENTE NÃO CONFIGURADO NO OBT</v>
      </c>
      <c r="O1252" s="1" t="str">
        <f>_xlfn.XLOOKUP(M1252,Parâmetros!B:B,Parâmetros!C:C,_xlfn.XLOOKUP(Base!M1247,Parâmetros!G:G,Parâmetros!H:H))</f>
        <v>INDEFINIDO</v>
      </c>
      <c r="P1252" s="1" t="str">
        <f>_xlfn.XLOOKUP(I1252,Parâmetros!A:A,Parâmetros!D:D,_xlfn.XLOOKUP(Q1252,Parâmetros!F:F,Parâmetros!I:I))</f>
        <v>OPERAÇÕES / SUPORTE KCS</v>
      </c>
      <c r="Q1252" s="1" t="str">
        <f t="shared" si="39"/>
        <v>COLUNA I</v>
      </c>
    </row>
    <row r="1253" spans="1:17" x14ac:dyDescent="0.25">
      <c r="A1253" s="1" t="str">
        <f>_xlfn.XLOOKUP(D1253,'Novo relatório'!B:B,'Novo relatório'!C:C,"RESOLVIDO")</f>
        <v>SABRE</v>
      </c>
      <c r="C1253" t="str">
        <f t="shared" si="38"/>
        <v>PENDENTE</v>
      </c>
      <c r="D1253" s="1">
        <v>3325224</v>
      </c>
      <c r="E1253" s="1" t="s">
        <v>26</v>
      </c>
      <c r="F1253" s="2">
        <v>45742.45416666667</v>
      </c>
      <c r="G1253" s="1" t="s">
        <v>1863</v>
      </c>
      <c r="H1253" s="1" t="s">
        <v>1864</v>
      </c>
      <c r="I1253" s="1" t="s">
        <v>64</v>
      </c>
      <c r="J1253" s="2">
        <v>45742.543055555558</v>
      </c>
      <c r="L1253" s="1" t="s">
        <v>1244</v>
      </c>
      <c r="M1253" s="1" t="str">
        <f>_xlfn.XLOOKUP(I1253,Parâmetros!A:A,Parâmetros!B:B,_xlfn.XLOOKUP(Q1253,Parâmetros!F:F,Parâmetros!G:G,"NOVA MENSAGEM"))</f>
        <v>FORMATO DE TEXTO</v>
      </c>
      <c r="N1253" s="1" t="str">
        <f>_xlfn.XLOOKUP(M1253,Parâmetros!K:K,Parâmetros!L:L,"")</f>
        <v>TEXTO FORA DO PADRÃO ACEITO NO CAMPO</v>
      </c>
      <c r="O1253" s="1" t="str">
        <f>_xlfn.XLOOKUP(M1253,Parâmetros!B:B,Parâmetros!C:C,_xlfn.XLOOKUP(Base!M1249,Parâmetros!G:G,Parâmetros!H:H))</f>
        <v>INDEFINIDO</v>
      </c>
      <c r="P1253" s="1" t="str">
        <f>_xlfn.XLOOKUP(I1253,Parâmetros!A:A,Parâmetros!D:D,_xlfn.XLOOKUP(Q1253,Parâmetros!F:F,Parâmetros!I:I))</f>
        <v>SUPORTE OBT</v>
      </c>
      <c r="Q1253" s="1" t="str">
        <f t="shared" si="39"/>
        <v>COLUNA I</v>
      </c>
    </row>
    <row r="1254" spans="1:17" x14ac:dyDescent="0.25">
      <c r="A1254" s="1" t="str">
        <f>_xlfn.XLOOKUP(D1254,'Novo relatório'!B:B,'Novo relatório'!C:C,"RESOLVIDO")</f>
        <v>SABRE</v>
      </c>
      <c r="C1254" t="str">
        <f t="shared" si="38"/>
        <v>PENDENTE</v>
      </c>
      <c r="D1254" s="1">
        <v>3326508</v>
      </c>
      <c r="E1254" s="1" t="s">
        <v>26</v>
      </c>
      <c r="F1254" s="2">
        <v>45742.662499999999</v>
      </c>
      <c r="G1254" s="1" t="s">
        <v>1816</v>
      </c>
      <c r="H1254" s="1" t="s">
        <v>1816</v>
      </c>
      <c r="I1254" s="1" t="s">
        <v>620</v>
      </c>
      <c r="J1254" s="2">
        <v>45742.754861111112</v>
      </c>
      <c r="L1254" s="1" t="s">
        <v>18</v>
      </c>
      <c r="M1254" s="1" t="str">
        <f>_xlfn.XLOOKUP(I1254,Parâmetros!A:A,Parâmetros!B:B,_xlfn.XLOOKUP(Q1254,Parâmetros!F:F,Parâmetros!G:G,"NOVA MENSAGEM"))</f>
        <v>CÓD. CLIENTE DIVERGENTE</v>
      </c>
      <c r="N1254" s="1" t="str">
        <f>_xlfn.XLOOKUP(M1254,Parâmetros!K:K,Parâmetros!L:L,"")</f>
        <v>CÓDIGO DIFERENTE DO CADASTRADO NO BENNER (CLIENTE X GRUPO)</v>
      </c>
      <c r="O1254" s="1" t="str">
        <f>_xlfn.XLOOKUP(M1254,Parâmetros!B:B,Parâmetros!C:C,_xlfn.XLOOKUP(Base!M1250,Parâmetros!G:G,Parâmetros!H:H))</f>
        <v>QUALIDADE DOS DADOS</v>
      </c>
      <c r="P1254" s="1" t="str">
        <f>_xlfn.XLOOKUP(I1254,Parâmetros!A:A,Parâmetros!D:D,_xlfn.XLOOKUP(Q1254,Parâmetros!F:F,Parâmetros!I:I))</f>
        <v>SUPORTE OBT</v>
      </c>
      <c r="Q1254" s="1">
        <f t="shared" si="39"/>
        <v>1</v>
      </c>
    </row>
    <row r="1255" spans="1:17" x14ac:dyDescent="0.25">
      <c r="A1255" s="1" t="str">
        <f>_xlfn.XLOOKUP(D1255,'Novo relatório'!B:B,'Novo relatório'!C:C,"RESOLVIDO")</f>
        <v>SABRE</v>
      </c>
      <c r="C1255" t="str">
        <f t="shared" si="38"/>
        <v>PENDENTE</v>
      </c>
      <c r="D1255" s="1">
        <v>3326514</v>
      </c>
      <c r="E1255" s="1" t="s">
        <v>26</v>
      </c>
      <c r="F1255" s="2">
        <v>45742.662499999999</v>
      </c>
      <c r="G1255" s="1" t="s">
        <v>1875</v>
      </c>
      <c r="H1255" s="1" t="s">
        <v>1875</v>
      </c>
      <c r="I1255" s="1" t="s">
        <v>620</v>
      </c>
      <c r="J1255" s="2">
        <v>45742.755555555559</v>
      </c>
      <c r="L1255" s="1" t="s">
        <v>18</v>
      </c>
      <c r="M1255" s="1" t="str">
        <f>_xlfn.XLOOKUP(I1255,Parâmetros!A:A,Parâmetros!B:B,_xlfn.XLOOKUP(Q1255,Parâmetros!F:F,Parâmetros!G:G,"NOVA MENSAGEM"))</f>
        <v>CÓD. CLIENTE DIVERGENTE</v>
      </c>
      <c r="N1255" s="1" t="str">
        <f>_xlfn.XLOOKUP(M1255,Parâmetros!K:K,Parâmetros!L:L,"")</f>
        <v>CÓDIGO DIFERENTE DO CADASTRADO NO BENNER (CLIENTE X GRUPO)</v>
      </c>
      <c r="O1255" s="1" t="str">
        <f>_xlfn.XLOOKUP(M1255,Parâmetros!B:B,Parâmetros!C:C,_xlfn.XLOOKUP(Base!M1251,Parâmetros!G:G,Parâmetros!H:H))</f>
        <v>QUALIDADE DOS DADOS</v>
      </c>
      <c r="P1255" s="1" t="str">
        <f>_xlfn.XLOOKUP(I1255,Parâmetros!A:A,Parâmetros!D:D,_xlfn.XLOOKUP(Q1255,Parâmetros!F:F,Parâmetros!I:I))</f>
        <v>SUPORTE OBT</v>
      </c>
      <c r="Q1255" s="1">
        <f t="shared" si="39"/>
        <v>1</v>
      </c>
    </row>
    <row r="1256" spans="1:17" x14ac:dyDescent="0.25">
      <c r="A1256" s="1" t="str">
        <f>_xlfn.XLOOKUP(D1256,'Novo relatório'!B:B,'Novo relatório'!C:C,"RESOLVIDO")</f>
        <v>SABRE</v>
      </c>
      <c r="C1256" t="str">
        <f t="shared" si="38"/>
        <v>PENDENTE</v>
      </c>
      <c r="D1256" s="1">
        <v>3326520</v>
      </c>
      <c r="E1256" s="1" t="s">
        <v>26</v>
      </c>
      <c r="F1256" s="2">
        <v>45742.662499999999</v>
      </c>
      <c r="G1256" s="1" t="s">
        <v>1688</v>
      </c>
      <c r="H1256" s="1" t="s">
        <v>1688</v>
      </c>
      <c r="I1256" s="1" t="s">
        <v>620</v>
      </c>
      <c r="J1256" s="2">
        <v>45742.756249999999</v>
      </c>
      <c r="L1256" s="1" t="s">
        <v>18</v>
      </c>
      <c r="M1256" s="1" t="str">
        <f>_xlfn.XLOOKUP(I1256,Parâmetros!A:A,Parâmetros!B:B,_xlfn.XLOOKUP(Q1256,Parâmetros!F:F,Parâmetros!G:G,"NOVA MENSAGEM"))</f>
        <v>CÓD. CLIENTE DIVERGENTE</v>
      </c>
      <c r="N1256" s="1" t="str">
        <f>_xlfn.XLOOKUP(M1256,Parâmetros!K:K,Parâmetros!L:L,"")</f>
        <v>CÓDIGO DIFERENTE DO CADASTRADO NO BENNER (CLIENTE X GRUPO)</v>
      </c>
      <c r="O1256" s="1" t="str">
        <f>_xlfn.XLOOKUP(M1256,Parâmetros!B:B,Parâmetros!C:C,_xlfn.XLOOKUP(Base!M1252,Parâmetros!G:G,Parâmetros!H:H))</f>
        <v>QUALIDADE DOS DADOS</v>
      </c>
      <c r="P1256" s="1" t="str">
        <f>_xlfn.XLOOKUP(I1256,Parâmetros!A:A,Parâmetros!D:D,_xlfn.XLOOKUP(Q1256,Parâmetros!F:F,Parâmetros!I:I))</f>
        <v>SUPORTE OBT</v>
      </c>
      <c r="Q1256" s="1">
        <f t="shared" si="39"/>
        <v>1</v>
      </c>
    </row>
    <row r="1257" spans="1:17" x14ac:dyDescent="0.25">
      <c r="A1257" s="1" t="str">
        <f>_xlfn.XLOOKUP(D1257,'Novo relatório'!B:B,'Novo relatório'!C:C,"RESOLVIDO")</f>
        <v>SABRE</v>
      </c>
      <c r="C1257" t="str">
        <f t="shared" si="38"/>
        <v>PENDENTE</v>
      </c>
      <c r="D1257" s="1">
        <v>3326549</v>
      </c>
      <c r="E1257" s="1" t="s">
        <v>26</v>
      </c>
      <c r="F1257" s="2">
        <v>45744.441666666666</v>
      </c>
      <c r="G1257" s="1" t="s">
        <v>1706</v>
      </c>
      <c r="H1257" s="1" t="s">
        <v>1706</v>
      </c>
      <c r="I1257" s="1" t="s">
        <v>83</v>
      </c>
      <c r="J1257" s="2">
        <v>45742.757638888892</v>
      </c>
      <c r="K1257" s="2">
        <v>45744.531944444447</v>
      </c>
      <c r="L1257" s="1" t="s">
        <v>18</v>
      </c>
      <c r="M1257" s="1" t="str">
        <f>_xlfn.XLOOKUP(I1257,Parâmetros!A:A,Parâmetros!B:B,_xlfn.XLOOKUP(Q1257,Parâmetros!F:F,Parâmetros!G:G,"NOVA MENSAGEM"))</f>
        <v>CLIENTE NÃO IDENTIFICADO</v>
      </c>
      <c r="N1257" s="1" t="str">
        <f>_xlfn.XLOOKUP(M1257,Parâmetros!K:K,Parâmetros!L:L,"")</f>
        <v>DK DE CLIENTE NÃO PREENCIDO / CLIENTE NÃO CONFIGURADO NO OBT</v>
      </c>
      <c r="O1257" s="1" t="str">
        <f>_xlfn.XLOOKUP(M1257,Parâmetros!B:B,Parâmetros!C:C,_xlfn.XLOOKUP(Base!M1253,Parâmetros!G:G,Parâmetros!H:H))</f>
        <v>INDEFINIDO</v>
      </c>
      <c r="P1257" s="1" t="str">
        <f>_xlfn.XLOOKUP(I1257,Parâmetros!A:A,Parâmetros!D:D,_xlfn.XLOOKUP(Q1257,Parâmetros!F:F,Parâmetros!I:I))</f>
        <v>OPERAÇÕES / SUPORTE KCS</v>
      </c>
      <c r="Q1257" s="1" t="str">
        <f t="shared" si="39"/>
        <v>COLUNA I</v>
      </c>
    </row>
    <row r="1258" spans="1:17" x14ac:dyDescent="0.25">
      <c r="A1258" s="1" t="str">
        <f>_xlfn.XLOOKUP(D1258,'Novo relatório'!B:B,'Novo relatório'!C:C,"RESOLVIDO")</f>
        <v>SABRE</v>
      </c>
      <c r="C1258" t="str">
        <f t="shared" si="38"/>
        <v>PENDENTE</v>
      </c>
      <c r="D1258" s="1">
        <v>3326652</v>
      </c>
      <c r="E1258" s="1" t="s">
        <v>26</v>
      </c>
      <c r="F1258" s="2">
        <v>45742.662499999999</v>
      </c>
      <c r="G1258" s="1" t="s">
        <v>1703</v>
      </c>
      <c r="H1258" s="1" t="s">
        <v>1703</v>
      </c>
      <c r="I1258" s="1" t="s">
        <v>652</v>
      </c>
      <c r="J1258" s="2">
        <v>45742.760416666664</v>
      </c>
      <c r="L1258" s="1" t="s">
        <v>18</v>
      </c>
      <c r="M1258" s="1" t="str">
        <f>_xlfn.XLOOKUP(I1258,Parâmetros!A:A,Parâmetros!B:B,_xlfn.XLOOKUP(Q1258,Parâmetros!F:F,Parâmetros!G:G,"NOVA MENSAGEM"))</f>
        <v>CÓD. CLIENTE DIVERGENTE</v>
      </c>
      <c r="N1258" s="1" t="str">
        <f>_xlfn.XLOOKUP(M1258,Parâmetros!K:K,Parâmetros!L:L,"")</f>
        <v>CÓDIGO DIFERENTE DO CADASTRADO NO BENNER (CLIENTE X GRUPO)</v>
      </c>
      <c r="O1258" s="1" t="str">
        <f>_xlfn.XLOOKUP(M1258,Parâmetros!B:B,Parâmetros!C:C,_xlfn.XLOOKUP(Base!M1254,Parâmetros!G:G,Parâmetros!H:H))</f>
        <v>QUALIDADE DOS DADOS</v>
      </c>
      <c r="P1258" s="1" t="str">
        <f>_xlfn.XLOOKUP(I1258,Parâmetros!A:A,Parâmetros!D:D,_xlfn.XLOOKUP(Q1258,Parâmetros!F:F,Parâmetros!I:I))</f>
        <v>SUPORTE OBT</v>
      </c>
      <c r="Q1258" s="1">
        <f t="shared" si="39"/>
        <v>1</v>
      </c>
    </row>
    <row r="1259" spans="1:17" x14ac:dyDescent="0.25">
      <c r="A1259" s="1" t="str">
        <f>_xlfn.XLOOKUP(D1259,'Novo relatório'!B:B,'Novo relatório'!C:C,"RESOLVIDO")</f>
        <v>TMS</v>
      </c>
      <c r="C1259" t="str">
        <f t="shared" si="38"/>
        <v>PENDENTE</v>
      </c>
      <c r="D1259" s="1">
        <v>3327361</v>
      </c>
      <c r="E1259" s="1" t="s">
        <v>12</v>
      </c>
      <c r="F1259" s="2">
        <v>45742.63958333333</v>
      </c>
      <c r="G1259" s="1">
        <v>11473</v>
      </c>
      <c r="H1259" s="1">
        <v>11473</v>
      </c>
      <c r="I1259" s="1" t="s">
        <v>16</v>
      </c>
      <c r="J1259" s="2">
        <v>45742.905555555553</v>
      </c>
      <c r="K1259" s="2">
        <v>45745.912499999999</v>
      </c>
      <c r="L1259" s="1" t="s">
        <v>14</v>
      </c>
      <c r="M1259" s="1" t="str">
        <f>_xlfn.XLOOKUP(I1259,Parâmetros!A:A,Parâmetros!B:B,_xlfn.XLOOKUP(Q1259,Parâmetros!F:F,Parâmetros!G:G,"NOVA MENSAGEM"))</f>
        <v>ASSENTO / BAGAGEM</v>
      </c>
      <c r="N1259" s="1" t="str">
        <f>_xlfn.XLOOKUP(M1259,Parâmetros!K:K,Parâmetros!L:L,"")</f>
        <v>CAMPO OBSERVAÇÃO PREENCHIDO INCORRETAMENTE</v>
      </c>
      <c r="O1259" s="1" t="str">
        <f>_xlfn.XLOOKUP(M1259,Parâmetros!B:B,Parâmetros!C:C,_xlfn.XLOOKUP(Base!M1255,Parâmetros!G:G,Parâmetros!H:H))</f>
        <v>QUALIDADE DOS DADOS</v>
      </c>
      <c r="P1259" s="1" t="str">
        <f>_xlfn.XLOOKUP(I1259,Parâmetros!A:A,Parâmetros!D:D,_xlfn.XLOOKUP(Q1259,Parâmetros!F:F,Parâmetros!I:I))</f>
        <v>OPERAÇÕES / SUPORTE KCS</v>
      </c>
      <c r="Q1259" s="1">
        <f t="shared" si="39"/>
        <v>118</v>
      </c>
    </row>
    <row r="1260" spans="1:17" x14ac:dyDescent="0.25">
      <c r="A1260" s="1" t="str">
        <f>_xlfn.XLOOKUP(D1260,'Novo relatório'!B:B,'Novo relatório'!C:C,"RESOLVIDO")</f>
        <v>RESOLVIDO</v>
      </c>
      <c r="C1260" t="str">
        <f t="shared" si="38"/>
        <v>RESOLVIDO</v>
      </c>
      <c r="D1260" s="1">
        <v>3328206</v>
      </c>
      <c r="E1260" s="1" t="s">
        <v>12</v>
      </c>
      <c r="F1260" s="2">
        <v>45743.548611111109</v>
      </c>
      <c r="G1260" s="1">
        <v>5592</v>
      </c>
      <c r="H1260" s="1">
        <v>5592</v>
      </c>
      <c r="I1260" s="1" t="s">
        <v>1909</v>
      </c>
      <c r="J1260" s="2">
        <v>45743.631249999999</v>
      </c>
      <c r="K1260" s="2">
        <v>45746.92083333333</v>
      </c>
      <c r="L1260" s="1" t="s">
        <v>19</v>
      </c>
      <c r="M1260" s="1" t="str">
        <f>_xlfn.XLOOKUP(I1260,Parâmetros!A:A,Parâmetros!B:B,_xlfn.XLOOKUP(Q1260,Parâmetros!F:F,Parâmetros!G:G,"NOVA MENSAGEM"))</f>
        <v>CONTRATO FORNECEDOR</v>
      </c>
      <c r="N1260" s="1" t="str">
        <f>_xlfn.XLOOKUP(M1260,Parâmetros!K:K,Parâmetros!L:L,"")</f>
        <v>CONTRATO INATIVO OU DIVERGENTE</v>
      </c>
      <c r="O1260" s="1" t="str">
        <f>_xlfn.XLOOKUP(M1260,Parâmetros!B:B,Parâmetros!C:C,_xlfn.XLOOKUP(Base!M1256,Parâmetros!G:G,Parâmetros!H:H))</f>
        <v>SISTEMA</v>
      </c>
      <c r="P1260" s="1" t="str">
        <f>_xlfn.XLOOKUP(I1260,Parâmetros!A:A,Parâmetros!D:D,_xlfn.XLOOKUP(Q1260,Parâmetros!F:F,Parâmetros!I:I))</f>
        <v>OPERAÇÕES / SUPORTE KCS</v>
      </c>
      <c r="Q1260" s="1">
        <f t="shared" si="39"/>
        <v>43</v>
      </c>
    </row>
    <row r="1261" spans="1:17" x14ac:dyDescent="0.25">
      <c r="A1261" s="1" t="str">
        <f>_xlfn.XLOOKUP(D1261,'Novo relatório'!B:B,'Novo relatório'!C:C,"RESOLVIDO")</f>
        <v>TMS</v>
      </c>
      <c r="C1261" t="str">
        <f t="shared" si="38"/>
        <v>PENDENTE</v>
      </c>
      <c r="D1261" s="1">
        <v>3328823</v>
      </c>
      <c r="E1261" s="1" t="s">
        <v>12</v>
      </c>
      <c r="F1261" s="2">
        <v>45743.594444444447</v>
      </c>
      <c r="G1261" s="1">
        <v>56820</v>
      </c>
      <c r="H1261" s="1">
        <v>56820</v>
      </c>
      <c r="I1261" s="1" t="s">
        <v>16</v>
      </c>
      <c r="J1261" s="2">
        <v>45743.700694444444</v>
      </c>
      <c r="K1261" s="2">
        <v>45746.92291666667</v>
      </c>
      <c r="L1261" s="1" t="s">
        <v>14</v>
      </c>
      <c r="M1261" s="1" t="str">
        <f>_xlfn.XLOOKUP(I1261,Parâmetros!A:A,Parâmetros!B:B,_xlfn.XLOOKUP(Q1261,Parâmetros!F:F,Parâmetros!G:G,"NOVA MENSAGEM"))</f>
        <v>ASSENTO / BAGAGEM</v>
      </c>
      <c r="N1261" s="1" t="str">
        <f>_xlfn.XLOOKUP(M1261,Parâmetros!K:K,Parâmetros!L:L,"")</f>
        <v>CAMPO OBSERVAÇÃO PREENCHIDO INCORRETAMENTE</v>
      </c>
      <c r="O1261" s="1" t="str">
        <f>_xlfn.XLOOKUP(M1261,Parâmetros!B:B,Parâmetros!C:C,_xlfn.XLOOKUP(Base!M1258,Parâmetros!G:G,Parâmetros!H:H))</f>
        <v>QUALIDADE DOS DADOS</v>
      </c>
      <c r="P1261" s="1" t="str">
        <f>_xlfn.XLOOKUP(I1261,Parâmetros!A:A,Parâmetros!D:D,_xlfn.XLOOKUP(Q1261,Parâmetros!F:F,Parâmetros!I:I))</f>
        <v>OPERAÇÕES / SUPORTE KCS</v>
      </c>
      <c r="Q1261" s="1">
        <f t="shared" si="39"/>
        <v>118</v>
      </c>
    </row>
    <row r="1262" spans="1:17" x14ac:dyDescent="0.25">
      <c r="A1262" s="1" t="str">
        <f>_xlfn.XLOOKUP(D1262,'Novo relatório'!B:B,'Novo relatório'!C:C,"RESOLVIDO")</f>
        <v>TMS</v>
      </c>
      <c r="C1262" t="str">
        <f t="shared" si="38"/>
        <v>PENDENTE</v>
      </c>
      <c r="D1262" s="1">
        <v>3328829</v>
      </c>
      <c r="E1262" s="1" t="s">
        <v>12</v>
      </c>
      <c r="F1262" s="2">
        <v>45743.593055555553</v>
      </c>
      <c r="G1262" s="1">
        <v>56799</v>
      </c>
      <c r="H1262" s="1">
        <v>56799</v>
      </c>
      <c r="I1262" s="1" t="s">
        <v>16</v>
      </c>
      <c r="J1262" s="2">
        <v>45743.700694444444</v>
      </c>
      <c r="K1262" s="2">
        <v>45746.92291666667</v>
      </c>
      <c r="L1262" s="1" t="s">
        <v>14</v>
      </c>
      <c r="M1262" s="1" t="str">
        <f>_xlfn.XLOOKUP(I1262,Parâmetros!A:A,Parâmetros!B:B,_xlfn.XLOOKUP(Q1262,Parâmetros!F:F,Parâmetros!G:G,"NOVA MENSAGEM"))</f>
        <v>ASSENTO / BAGAGEM</v>
      </c>
      <c r="N1262" s="1" t="str">
        <f>_xlfn.XLOOKUP(M1262,Parâmetros!K:K,Parâmetros!L:L,"")</f>
        <v>CAMPO OBSERVAÇÃO PREENCHIDO INCORRETAMENTE</v>
      </c>
      <c r="O1262" s="1" t="str">
        <f>_xlfn.XLOOKUP(M1262,Parâmetros!B:B,Parâmetros!C:C,_xlfn.XLOOKUP(Base!M1257,Parâmetros!G:G,Parâmetros!H:H))</f>
        <v>QUALIDADE DOS DADOS</v>
      </c>
      <c r="P1262" s="1" t="str">
        <f>_xlfn.XLOOKUP(I1262,Parâmetros!A:A,Parâmetros!D:D,_xlfn.XLOOKUP(Q1262,Parâmetros!F:F,Parâmetros!I:I))</f>
        <v>OPERAÇÕES / SUPORTE KCS</v>
      </c>
      <c r="Q1262" s="1">
        <f t="shared" si="39"/>
        <v>118</v>
      </c>
    </row>
    <row r="1263" spans="1:17" x14ac:dyDescent="0.25">
      <c r="A1263" s="1" t="str">
        <f>_xlfn.XLOOKUP(D1263,'Novo relatório'!B:B,'Novo relatório'!C:C,"RESOLVIDO")</f>
        <v>SABRE</v>
      </c>
      <c r="C1263" t="str">
        <f t="shared" si="38"/>
        <v>PENDENTE</v>
      </c>
      <c r="D1263" s="1">
        <v>3328866</v>
      </c>
      <c r="E1263" s="1" t="s">
        <v>26</v>
      </c>
      <c r="F1263" s="2">
        <v>45743.359722222223</v>
      </c>
      <c r="G1263" s="1" t="s">
        <v>1722</v>
      </c>
      <c r="H1263" s="1" t="s">
        <v>1722</v>
      </c>
      <c r="I1263" s="1" t="s">
        <v>408</v>
      </c>
      <c r="J1263" s="2">
        <v>45743.703472222223</v>
      </c>
      <c r="L1263" s="1" t="s">
        <v>18</v>
      </c>
      <c r="M1263" s="1" t="str">
        <f>_xlfn.XLOOKUP(I1263,Parâmetros!A:A,Parâmetros!B:B,_xlfn.XLOOKUP(Q1263,Parâmetros!F:F,Parâmetros!G:G,"NOVA MENSAGEM"))</f>
        <v>CÓD. CLIENTE DIVERGENTE</v>
      </c>
      <c r="N1263" s="1" t="str">
        <f>_xlfn.XLOOKUP(M1263,Parâmetros!K:K,Parâmetros!L:L,"")</f>
        <v>CÓDIGO DIFERENTE DO CADASTRADO NO BENNER (CLIENTE X GRUPO)</v>
      </c>
      <c r="O1263" s="1" t="str">
        <f>_xlfn.XLOOKUP(M1263,Parâmetros!B:B,Parâmetros!C:C,_xlfn.XLOOKUP(Base!M1259,Parâmetros!G:G,Parâmetros!H:H))</f>
        <v>QUALIDADE DOS DADOS</v>
      </c>
      <c r="P1263" s="1" t="str">
        <f>_xlfn.XLOOKUP(I1263,Parâmetros!A:A,Parâmetros!D:D,_xlfn.XLOOKUP(Q1263,Parâmetros!F:F,Parâmetros!I:I))</f>
        <v>SUPORTE OBT</v>
      </c>
      <c r="Q1263" s="1">
        <f t="shared" si="39"/>
        <v>1</v>
      </c>
    </row>
    <row r="1264" spans="1:17" x14ac:dyDescent="0.25">
      <c r="A1264" s="1" t="str">
        <f>_xlfn.XLOOKUP(D1264,'Novo relatório'!B:B,'Novo relatório'!C:C,"RESOLVIDO")</f>
        <v>SABRE</v>
      </c>
      <c r="C1264" t="str">
        <f t="shared" si="38"/>
        <v>PENDENTE</v>
      </c>
      <c r="D1264" s="1">
        <v>3328867</v>
      </c>
      <c r="E1264" s="1" t="s">
        <v>26</v>
      </c>
      <c r="F1264" s="2">
        <v>45754.260416666664</v>
      </c>
      <c r="G1264" s="1" t="s">
        <v>1772</v>
      </c>
      <c r="H1264" s="1" t="s">
        <v>1772</v>
      </c>
      <c r="I1264" s="1" t="s">
        <v>1215</v>
      </c>
      <c r="J1264" s="2">
        <v>45743.703472222223</v>
      </c>
      <c r="K1264" s="2">
        <v>45754.347916666666</v>
      </c>
      <c r="L1264" s="1" t="s">
        <v>18</v>
      </c>
      <c r="M1264" s="1" t="str">
        <f>_xlfn.XLOOKUP(I1264,Parâmetros!A:A,Parâmetros!B:B,_xlfn.XLOOKUP(Q1264,Parâmetros!F:F,Parâmetros!G:G,"NOVA MENSAGEM"))</f>
        <v>CÓD. CLIENTE DIVERGENTE</v>
      </c>
      <c r="N1264" s="1" t="str">
        <f>_xlfn.XLOOKUP(M1264,Parâmetros!K:K,Parâmetros!L:L,"")</f>
        <v>CÓDIGO DIFERENTE DO CADASTRADO NO BENNER (CLIENTE X GRUPO)</v>
      </c>
      <c r="O1264" s="1" t="str">
        <f>_xlfn.XLOOKUP(M1264,Parâmetros!B:B,Parâmetros!C:C,_xlfn.XLOOKUP(Base!M1261,Parâmetros!G:G,Parâmetros!H:H))</f>
        <v>QUALIDADE DOS DADOS</v>
      </c>
      <c r="P1264" s="1" t="str">
        <f>_xlfn.XLOOKUP(I1264,Parâmetros!A:A,Parâmetros!D:D,_xlfn.XLOOKUP(Q1264,Parâmetros!F:F,Parâmetros!I:I))</f>
        <v>SUPORTE OBT</v>
      </c>
      <c r="Q1264" s="1">
        <f t="shared" si="39"/>
        <v>1</v>
      </c>
    </row>
    <row r="1265" spans="1:17" x14ac:dyDescent="0.25">
      <c r="A1265" s="1" t="str">
        <f>_xlfn.XLOOKUP(D1265,'Novo relatório'!B:B,'Novo relatório'!C:C,"RESOLVIDO")</f>
        <v>SABRE</v>
      </c>
      <c r="C1265" t="str">
        <f t="shared" si="38"/>
        <v>PENDENTE</v>
      </c>
      <c r="D1265" s="1">
        <v>3328873</v>
      </c>
      <c r="E1265" s="1" t="s">
        <v>26</v>
      </c>
      <c r="F1265" s="2">
        <v>45743.377083333333</v>
      </c>
      <c r="G1265" s="1" t="s">
        <v>1775</v>
      </c>
      <c r="H1265" s="1" t="s">
        <v>1775</v>
      </c>
      <c r="I1265" s="1" t="s">
        <v>1067</v>
      </c>
      <c r="J1265" s="2">
        <v>45743.703472222223</v>
      </c>
      <c r="L1265" s="1" t="s">
        <v>18</v>
      </c>
      <c r="M1265" s="1" t="str">
        <f>_xlfn.XLOOKUP(I1265,Parâmetros!A:A,Parâmetros!B:B,_xlfn.XLOOKUP(Q1265,Parâmetros!F:F,Parâmetros!G:G,"NOVA MENSAGEM"))</f>
        <v>CÓD. CLIENTE DIVERGENTE</v>
      </c>
      <c r="N1265" s="1" t="str">
        <f>_xlfn.XLOOKUP(M1265,Parâmetros!K:K,Parâmetros!L:L,"")</f>
        <v>CÓDIGO DIFERENTE DO CADASTRADO NO BENNER (CLIENTE X GRUPO)</v>
      </c>
      <c r="O1265" s="1" t="str">
        <f>_xlfn.XLOOKUP(M1265,Parâmetros!B:B,Parâmetros!C:C,_xlfn.XLOOKUP(Base!M1260,Parâmetros!G:G,Parâmetros!H:H))</f>
        <v>QUALIDADE DOS DADOS</v>
      </c>
      <c r="P1265" s="1" t="str">
        <f>_xlfn.XLOOKUP(I1265,Parâmetros!A:A,Parâmetros!D:D,_xlfn.XLOOKUP(Q1265,Parâmetros!F:F,Parâmetros!I:I))</f>
        <v>SUPORTE OBT</v>
      </c>
      <c r="Q1265" s="1">
        <f t="shared" si="39"/>
        <v>1</v>
      </c>
    </row>
    <row r="1266" spans="1:17" x14ac:dyDescent="0.25">
      <c r="A1266" s="1" t="str">
        <f>_xlfn.XLOOKUP(D1266,'Novo relatório'!B:B,'Novo relatório'!C:C,"RESOLVIDO")</f>
        <v>SABRE</v>
      </c>
      <c r="C1266" t="str">
        <f t="shared" si="38"/>
        <v>PENDENTE</v>
      </c>
      <c r="D1266" s="1">
        <v>3329049</v>
      </c>
      <c r="E1266" s="1" t="s">
        <v>26</v>
      </c>
      <c r="F1266" s="2">
        <v>45743.474305555559</v>
      </c>
      <c r="G1266" s="1" t="s">
        <v>1866</v>
      </c>
      <c r="H1266" s="1" t="s">
        <v>1867</v>
      </c>
      <c r="I1266" s="1" t="s">
        <v>64</v>
      </c>
      <c r="J1266" s="2">
        <v>45743.712500000001</v>
      </c>
      <c r="L1266" s="1" t="s">
        <v>1244</v>
      </c>
      <c r="M1266" s="1" t="str">
        <f>_xlfn.XLOOKUP(I1266,Parâmetros!A:A,Parâmetros!B:B,_xlfn.XLOOKUP(Q1266,Parâmetros!F:F,Parâmetros!G:G,"NOVA MENSAGEM"))</f>
        <v>FORMATO DE TEXTO</v>
      </c>
      <c r="N1266" s="1" t="str">
        <f>_xlfn.XLOOKUP(M1266,Parâmetros!K:K,Parâmetros!L:L,"")</f>
        <v>TEXTO FORA DO PADRÃO ACEITO NO CAMPO</v>
      </c>
      <c r="O1266" s="1" t="str">
        <f>_xlfn.XLOOKUP(M1266,Parâmetros!B:B,Parâmetros!C:C,_xlfn.XLOOKUP(Base!M1262,Parâmetros!G:G,Parâmetros!H:H))</f>
        <v>INDEFINIDO</v>
      </c>
      <c r="P1266" s="1" t="str">
        <f>_xlfn.XLOOKUP(I1266,Parâmetros!A:A,Parâmetros!D:D,_xlfn.XLOOKUP(Q1266,Parâmetros!F:F,Parâmetros!I:I))</f>
        <v>SUPORTE OBT</v>
      </c>
      <c r="Q1266" s="1" t="str">
        <f t="shared" si="39"/>
        <v>COLUNA I</v>
      </c>
    </row>
    <row r="1267" spans="1:17" x14ac:dyDescent="0.25">
      <c r="A1267" s="1" t="str">
        <f>_xlfn.XLOOKUP(D1267,'Novo relatório'!B:B,'Novo relatório'!C:C,"RESOLVIDO")</f>
        <v>SABRE</v>
      </c>
      <c r="C1267" t="str">
        <f t="shared" si="38"/>
        <v>PENDENTE</v>
      </c>
      <c r="D1267" s="1">
        <v>3329547</v>
      </c>
      <c r="E1267" s="1" t="s">
        <v>26</v>
      </c>
      <c r="F1267" s="2">
        <v>45744.410416666666</v>
      </c>
      <c r="G1267" s="1" t="s">
        <v>1687</v>
      </c>
      <c r="H1267" s="1" t="s">
        <v>1687</v>
      </c>
      <c r="I1267" s="1" t="s">
        <v>83</v>
      </c>
      <c r="J1267" s="2">
        <v>45743.845138888886</v>
      </c>
      <c r="K1267" s="2">
        <v>45744.501388888886</v>
      </c>
      <c r="L1267" s="1" t="s">
        <v>18</v>
      </c>
      <c r="M1267" s="1" t="str">
        <f>_xlfn.XLOOKUP(I1267,Parâmetros!A:A,Parâmetros!B:B,_xlfn.XLOOKUP(Q1267,Parâmetros!F:F,Parâmetros!G:G,"NOVA MENSAGEM"))</f>
        <v>CLIENTE NÃO IDENTIFICADO</v>
      </c>
      <c r="N1267" s="1" t="str">
        <f>_xlfn.XLOOKUP(M1267,Parâmetros!K:K,Parâmetros!L:L,"")</f>
        <v>DK DE CLIENTE NÃO PREENCIDO / CLIENTE NÃO CONFIGURADO NO OBT</v>
      </c>
      <c r="O1267" s="1" t="str">
        <f>_xlfn.XLOOKUP(M1267,Parâmetros!B:B,Parâmetros!C:C,_xlfn.XLOOKUP(Base!M1263,Parâmetros!G:G,Parâmetros!H:H))</f>
        <v>INDEFINIDO</v>
      </c>
      <c r="P1267" s="1" t="str">
        <f>_xlfn.XLOOKUP(I1267,Parâmetros!A:A,Parâmetros!D:D,_xlfn.XLOOKUP(Q1267,Parâmetros!F:F,Parâmetros!I:I))</f>
        <v>OPERAÇÕES / SUPORTE KCS</v>
      </c>
      <c r="Q1267" s="1" t="str">
        <f t="shared" si="39"/>
        <v>COLUNA I</v>
      </c>
    </row>
    <row r="1268" spans="1:17" x14ac:dyDescent="0.25">
      <c r="A1268" s="1" t="str">
        <f>_xlfn.XLOOKUP(D1268,'Novo relatório'!B:B,'Novo relatório'!C:C,"RESOLVIDO")</f>
        <v>SABRE</v>
      </c>
      <c r="C1268" t="str">
        <f t="shared" si="38"/>
        <v>PENDENTE</v>
      </c>
      <c r="D1268" s="1">
        <v>3329549</v>
      </c>
      <c r="E1268" s="1" t="s">
        <v>26</v>
      </c>
      <c r="F1268" s="2">
        <v>45744.617361111108</v>
      </c>
      <c r="G1268" s="1" t="s">
        <v>1708</v>
      </c>
      <c r="H1268" s="1" t="s">
        <v>1708</v>
      </c>
      <c r="I1268" s="1" t="s">
        <v>83</v>
      </c>
      <c r="J1268" s="2">
        <v>45743.845833333333</v>
      </c>
      <c r="K1268" s="2">
        <v>45744.711111111108</v>
      </c>
      <c r="L1268" s="1" t="s">
        <v>18</v>
      </c>
      <c r="M1268" s="1" t="str">
        <f>_xlfn.XLOOKUP(I1268,Parâmetros!A:A,Parâmetros!B:B,_xlfn.XLOOKUP(Q1268,Parâmetros!F:F,Parâmetros!G:G,"NOVA MENSAGEM"))</f>
        <v>CLIENTE NÃO IDENTIFICADO</v>
      </c>
      <c r="N1268" s="1" t="str">
        <f>_xlfn.XLOOKUP(M1268,Parâmetros!K:K,Parâmetros!L:L,"")</f>
        <v>DK DE CLIENTE NÃO PREENCIDO / CLIENTE NÃO CONFIGURADO NO OBT</v>
      </c>
      <c r="O1268" s="1" t="str">
        <f>_xlfn.XLOOKUP(M1268,Parâmetros!B:B,Parâmetros!C:C,_xlfn.XLOOKUP(Base!M1264,Parâmetros!G:G,Parâmetros!H:H))</f>
        <v>INDEFINIDO</v>
      </c>
      <c r="P1268" s="1" t="str">
        <f>_xlfn.XLOOKUP(I1268,Parâmetros!A:A,Parâmetros!D:D,_xlfn.XLOOKUP(Q1268,Parâmetros!F:F,Parâmetros!I:I))</f>
        <v>OPERAÇÕES / SUPORTE KCS</v>
      </c>
      <c r="Q1268" s="1" t="str">
        <f t="shared" si="39"/>
        <v>COLUNA I</v>
      </c>
    </row>
    <row r="1269" spans="1:17" x14ac:dyDescent="0.25">
      <c r="A1269" s="1" t="str">
        <f>_xlfn.XLOOKUP(D1269,'Novo relatório'!B:B,'Novo relatório'!C:C,"RESOLVIDO")</f>
        <v>SABRE</v>
      </c>
      <c r="C1269" t="str">
        <f t="shared" si="38"/>
        <v>PENDENTE</v>
      </c>
      <c r="D1269" s="1">
        <v>3329551</v>
      </c>
      <c r="E1269" s="1" t="s">
        <v>26</v>
      </c>
      <c r="F1269" s="2">
        <v>45744.618055555555</v>
      </c>
      <c r="G1269" s="1" t="s">
        <v>1686</v>
      </c>
      <c r="H1269" s="1" t="s">
        <v>1686</v>
      </c>
      <c r="I1269" s="1" t="s">
        <v>83</v>
      </c>
      <c r="J1269" s="2">
        <v>45743.845833333333</v>
      </c>
      <c r="K1269" s="2">
        <v>45744.711111111108</v>
      </c>
      <c r="L1269" s="1" t="s">
        <v>18</v>
      </c>
      <c r="M1269" s="1" t="str">
        <f>_xlfn.XLOOKUP(I1269,Parâmetros!A:A,Parâmetros!B:B,_xlfn.XLOOKUP(Q1269,Parâmetros!F:F,Parâmetros!G:G,"NOVA MENSAGEM"))</f>
        <v>CLIENTE NÃO IDENTIFICADO</v>
      </c>
      <c r="N1269" s="1" t="str">
        <f>_xlfn.XLOOKUP(M1269,Parâmetros!K:K,Parâmetros!L:L,"")</f>
        <v>DK DE CLIENTE NÃO PREENCIDO / CLIENTE NÃO CONFIGURADO NO OBT</v>
      </c>
      <c r="O1269" s="1" t="str">
        <f>_xlfn.XLOOKUP(M1269,Parâmetros!B:B,Parâmetros!C:C,_xlfn.XLOOKUP(Base!M1265,Parâmetros!G:G,Parâmetros!H:H))</f>
        <v>INDEFINIDO</v>
      </c>
      <c r="P1269" s="1" t="str">
        <f>_xlfn.XLOOKUP(I1269,Parâmetros!A:A,Parâmetros!D:D,_xlfn.XLOOKUP(Q1269,Parâmetros!F:F,Parâmetros!I:I))</f>
        <v>OPERAÇÕES / SUPORTE KCS</v>
      </c>
      <c r="Q1269" s="1" t="str">
        <f t="shared" si="39"/>
        <v>COLUNA I</v>
      </c>
    </row>
    <row r="1270" spans="1:17" x14ac:dyDescent="0.25">
      <c r="A1270" s="1" t="str">
        <f>_xlfn.XLOOKUP(D1270,'Novo relatório'!B:B,'Novo relatório'!C:C,"RESOLVIDO")</f>
        <v>SABRE</v>
      </c>
      <c r="C1270" t="str">
        <f t="shared" si="38"/>
        <v>PENDENTE</v>
      </c>
      <c r="D1270" s="1">
        <v>3329555</v>
      </c>
      <c r="E1270" s="1" t="s">
        <v>26</v>
      </c>
      <c r="F1270" s="2">
        <v>45743.756249999999</v>
      </c>
      <c r="G1270" s="1" t="s">
        <v>1847</v>
      </c>
      <c r="H1270" s="1" t="s">
        <v>1847</v>
      </c>
      <c r="I1270" s="1" t="s">
        <v>83</v>
      </c>
      <c r="J1270" s="2">
        <v>45743.847222222219</v>
      </c>
      <c r="L1270" s="1" t="s">
        <v>18</v>
      </c>
      <c r="M1270" s="1" t="str">
        <f>_xlfn.XLOOKUP(I1270,Parâmetros!A:A,Parâmetros!B:B,_xlfn.XLOOKUP(Q1270,Parâmetros!F:F,Parâmetros!G:G,"NOVA MENSAGEM"))</f>
        <v>CLIENTE NÃO IDENTIFICADO</v>
      </c>
      <c r="N1270" s="1" t="str">
        <f>_xlfn.XLOOKUP(M1270,Parâmetros!K:K,Parâmetros!L:L,"")</f>
        <v>DK DE CLIENTE NÃO PREENCIDO / CLIENTE NÃO CONFIGURADO NO OBT</v>
      </c>
      <c r="O1270" s="1" t="str">
        <f>_xlfn.XLOOKUP(M1270,Parâmetros!B:B,Parâmetros!C:C,_xlfn.XLOOKUP(Base!M1266,Parâmetros!G:G,Parâmetros!H:H))</f>
        <v>INDEFINIDO</v>
      </c>
      <c r="P1270" s="1" t="str">
        <f>_xlfn.XLOOKUP(I1270,Parâmetros!A:A,Parâmetros!D:D,_xlfn.XLOOKUP(Q1270,Parâmetros!F:F,Parâmetros!I:I))</f>
        <v>OPERAÇÕES / SUPORTE KCS</v>
      </c>
      <c r="Q1270" s="1" t="str">
        <f t="shared" si="39"/>
        <v>COLUNA I</v>
      </c>
    </row>
    <row r="1271" spans="1:17" x14ac:dyDescent="0.25">
      <c r="A1271" s="1" t="str">
        <f>_xlfn.XLOOKUP(D1271,'Novo relatório'!B:B,'Novo relatório'!C:C,"RESOLVIDO")</f>
        <v>SABRE</v>
      </c>
      <c r="C1271" t="str">
        <f t="shared" si="38"/>
        <v>PENDENTE</v>
      </c>
      <c r="D1271" s="1">
        <v>3329566</v>
      </c>
      <c r="E1271" s="1" t="s">
        <v>26</v>
      </c>
      <c r="F1271" s="2">
        <v>45744.738194444442</v>
      </c>
      <c r="G1271" s="1" t="s">
        <v>1776</v>
      </c>
      <c r="H1271" s="1" t="s">
        <v>1776</v>
      </c>
      <c r="I1271" s="1" t="s">
        <v>840</v>
      </c>
      <c r="J1271" s="2">
        <v>45743.848611111112</v>
      </c>
      <c r="K1271" s="2">
        <v>45744.823611111111</v>
      </c>
      <c r="L1271" s="1" t="s">
        <v>18</v>
      </c>
      <c r="M1271" s="1" t="str">
        <f>_xlfn.XLOOKUP(I1271,Parâmetros!A:A,Parâmetros!B:B,_xlfn.XLOOKUP(Q1271,Parâmetros!F:F,Parâmetros!G:G,"NOVA MENSAGEM"))</f>
        <v>REMARK - CNPJ</v>
      </c>
      <c r="N1271" s="1" t="str">
        <f>_xlfn.XLOOKUP(M1271,Parâmetros!K:K,Parâmetros!L:L,"")</f>
        <v/>
      </c>
      <c r="O1271" s="1" t="e">
        <f>_xlfn.XLOOKUP(M1271,Parâmetros!B:B,Parâmetros!C:C,_xlfn.XLOOKUP(Base!M1267,Parâmetros!G:G,Parâmetros!H:H))</f>
        <v>#N/A</v>
      </c>
      <c r="P1271" s="1" t="str">
        <f>_xlfn.XLOOKUP(I1271,Parâmetros!A:A,Parâmetros!D:D,_xlfn.XLOOKUP(Q1271,Parâmetros!F:F,Parâmetros!I:I))</f>
        <v>OPERAÇÕES / SUPORTE KCS</v>
      </c>
      <c r="Q1271" s="1">
        <f t="shared" si="39"/>
        <v>24</v>
      </c>
    </row>
    <row r="1272" spans="1:17" x14ac:dyDescent="0.25">
      <c r="A1272" s="1" t="str">
        <f>_xlfn.XLOOKUP(D1272,'Novo relatório'!B:B,'Novo relatório'!C:C,"RESOLVIDO")</f>
        <v>SABRE</v>
      </c>
      <c r="C1272" t="str">
        <f t="shared" si="38"/>
        <v>PENDENTE</v>
      </c>
      <c r="D1272" s="1">
        <v>3330246</v>
      </c>
      <c r="E1272" s="1" t="s">
        <v>26</v>
      </c>
      <c r="F1272" s="2">
        <v>45744.242361111108</v>
      </c>
      <c r="G1272" s="1" t="s">
        <v>1889</v>
      </c>
      <c r="H1272" s="1" t="s">
        <v>1889</v>
      </c>
      <c r="I1272" s="1" t="s">
        <v>83</v>
      </c>
      <c r="J1272" s="2">
        <v>45744.336111111108</v>
      </c>
      <c r="L1272" s="1" t="s">
        <v>18</v>
      </c>
      <c r="M1272" s="1" t="str">
        <f>_xlfn.XLOOKUP(I1272,Parâmetros!A:A,Parâmetros!B:B,_xlfn.XLOOKUP(Q1272,Parâmetros!F:F,Parâmetros!G:G,"NOVA MENSAGEM"))</f>
        <v>CLIENTE NÃO IDENTIFICADO</v>
      </c>
      <c r="N1272" s="1" t="str">
        <f>_xlfn.XLOOKUP(M1272,Parâmetros!K:K,Parâmetros!L:L,"")</f>
        <v>DK DE CLIENTE NÃO PREENCIDO / CLIENTE NÃO CONFIGURADO NO OBT</v>
      </c>
      <c r="O1272" s="1" t="str">
        <f>_xlfn.XLOOKUP(M1272,Parâmetros!B:B,Parâmetros!C:C,_xlfn.XLOOKUP(Base!M1271,Parâmetros!G:G,Parâmetros!H:H))</f>
        <v>INDEFINIDO</v>
      </c>
      <c r="P1272" s="1" t="str">
        <f>_xlfn.XLOOKUP(I1272,Parâmetros!A:A,Parâmetros!D:D,_xlfn.XLOOKUP(Q1272,Parâmetros!F:F,Parâmetros!I:I))</f>
        <v>OPERAÇÕES / SUPORTE KCS</v>
      </c>
      <c r="Q1272" s="1" t="str">
        <f t="shared" si="39"/>
        <v>COLUNA I</v>
      </c>
    </row>
    <row r="1273" spans="1:17" x14ac:dyDescent="0.25">
      <c r="A1273" s="1" t="str">
        <f>_xlfn.XLOOKUP(D1273,'Novo relatório'!B:B,'Novo relatório'!C:C,"RESOLVIDO")</f>
        <v>SABRE</v>
      </c>
      <c r="C1273" t="str">
        <f t="shared" si="38"/>
        <v>PENDENTE</v>
      </c>
      <c r="D1273" s="1">
        <v>3330247</v>
      </c>
      <c r="E1273" s="1" t="s">
        <v>26</v>
      </c>
      <c r="F1273" s="2">
        <v>45744.242361111108</v>
      </c>
      <c r="G1273" s="1" t="s">
        <v>1836</v>
      </c>
      <c r="H1273" s="1" t="s">
        <v>1836</v>
      </c>
      <c r="I1273" s="1" t="s">
        <v>620</v>
      </c>
      <c r="J1273" s="2">
        <v>45744.336111111108</v>
      </c>
      <c r="L1273" s="1" t="s">
        <v>18</v>
      </c>
      <c r="M1273" s="1" t="str">
        <f>_xlfn.XLOOKUP(I1273,Parâmetros!A:A,Parâmetros!B:B,_xlfn.XLOOKUP(Q1273,Parâmetros!F:F,Parâmetros!G:G,"NOVA MENSAGEM"))</f>
        <v>CÓD. CLIENTE DIVERGENTE</v>
      </c>
      <c r="N1273" s="1" t="str">
        <f>_xlfn.XLOOKUP(M1273,Parâmetros!K:K,Parâmetros!L:L,"")</f>
        <v>CÓDIGO DIFERENTE DO CADASTRADO NO BENNER (CLIENTE X GRUPO)</v>
      </c>
      <c r="O1273" s="1" t="str">
        <f>_xlfn.XLOOKUP(M1273,Parâmetros!B:B,Parâmetros!C:C,_xlfn.XLOOKUP(Base!M1270,Parâmetros!G:G,Parâmetros!H:H))</f>
        <v>QUALIDADE DOS DADOS</v>
      </c>
      <c r="P1273" s="1" t="str">
        <f>_xlfn.XLOOKUP(I1273,Parâmetros!A:A,Parâmetros!D:D,_xlfn.XLOOKUP(Q1273,Parâmetros!F:F,Parâmetros!I:I))</f>
        <v>SUPORTE OBT</v>
      </c>
      <c r="Q1273" s="1">
        <f t="shared" si="39"/>
        <v>1</v>
      </c>
    </row>
    <row r="1274" spans="1:17" x14ac:dyDescent="0.25">
      <c r="A1274" s="1" t="str">
        <f>_xlfn.XLOOKUP(D1274,'Novo relatório'!B:B,'Novo relatório'!C:C,"RESOLVIDO")</f>
        <v>SABRE</v>
      </c>
      <c r="C1274" t="str">
        <f t="shared" si="38"/>
        <v>PENDENTE</v>
      </c>
      <c r="D1274" s="1">
        <v>3330248</v>
      </c>
      <c r="E1274" s="1" t="s">
        <v>26</v>
      </c>
      <c r="F1274" s="2">
        <v>45744.242361111108</v>
      </c>
      <c r="G1274" s="1" t="s">
        <v>1719</v>
      </c>
      <c r="H1274" s="1" t="s">
        <v>1719</v>
      </c>
      <c r="I1274" s="1" t="s">
        <v>620</v>
      </c>
      <c r="J1274" s="2">
        <v>45744.336111111108</v>
      </c>
      <c r="L1274" s="1" t="s">
        <v>18</v>
      </c>
      <c r="M1274" s="1" t="str">
        <f>_xlfn.XLOOKUP(I1274,Parâmetros!A:A,Parâmetros!B:B,_xlfn.XLOOKUP(Q1274,Parâmetros!F:F,Parâmetros!G:G,"NOVA MENSAGEM"))</f>
        <v>CÓD. CLIENTE DIVERGENTE</v>
      </c>
      <c r="N1274" s="1" t="str">
        <f>_xlfn.XLOOKUP(M1274,Parâmetros!K:K,Parâmetros!L:L,"")</f>
        <v>CÓDIGO DIFERENTE DO CADASTRADO NO BENNER (CLIENTE X GRUPO)</v>
      </c>
      <c r="O1274" s="1" t="str">
        <f>_xlfn.XLOOKUP(M1274,Parâmetros!B:B,Parâmetros!C:C,_xlfn.XLOOKUP(Base!M1268,Parâmetros!G:G,Parâmetros!H:H))</f>
        <v>QUALIDADE DOS DADOS</v>
      </c>
      <c r="P1274" s="1" t="str">
        <f>_xlfn.XLOOKUP(I1274,Parâmetros!A:A,Parâmetros!D:D,_xlfn.XLOOKUP(Q1274,Parâmetros!F:F,Parâmetros!I:I))</f>
        <v>SUPORTE OBT</v>
      </c>
      <c r="Q1274" s="1">
        <f t="shared" si="39"/>
        <v>1</v>
      </c>
    </row>
    <row r="1275" spans="1:17" x14ac:dyDescent="0.25">
      <c r="A1275" s="1" t="str">
        <f>_xlfn.XLOOKUP(D1275,'Novo relatório'!B:B,'Novo relatório'!C:C,"RESOLVIDO")</f>
        <v>SABRE</v>
      </c>
      <c r="C1275" t="str">
        <f t="shared" si="38"/>
        <v>PENDENTE</v>
      </c>
      <c r="D1275" s="1">
        <v>3330249</v>
      </c>
      <c r="E1275" s="1" t="s">
        <v>26</v>
      </c>
      <c r="F1275" s="2">
        <v>45744.242361111108</v>
      </c>
      <c r="G1275" s="1" t="s">
        <v>1832</v>
      </c>
      <c r="H1275" s="1" t="s">
        <v>1832</v>
      </c>
      <c r="I1275" s="1" t="s">
        <v>620</v>
      </c>
      <c r="J1275" s="2">
        <v>45744.336111111108</v>
      </c>
      <c r="L1275" s="1" t="s">
        <v>18</v>
      </c>
      <c r="M1275" s="1" t="str">
        <f>_xlfn.XLOOKUP(I1275,Parâmetros!A:A,Parâmetros!B:B,_xlfn.XLOOKUP(Q1275,Parâmetros!F:F,Parâmetros!G:G,"NOVA MENSAGEM"))</f>
        <v>CÓD. CLIENTE DIVERGENTE</v>
      </c>
      <c r="N1275" s="1" t="str">
        <f>_xlfn.XLOOKUP(M1275,Parâmetros!K:K,Parâmetros!L:L,"")</f>
        <v>CÓDIGO DIFERENTE DO CADASTRADO NO BENNER (CLIENTE X GRUPO)</v>
      </c>
      <c r="O1275" s="1" t="str">
        <f>_xlfn.XLOOKUP(M1275,Parâmetros!B:B,Parâmetros!C:C,_xlfn.XLOOKUP(Base!M1269,Parâmetros!G:G,Parâmetros!H:H))</f>
        <v>QUALIDADE DOS DADOS</v>
      </c>
      <c r="P1275" s="1" t="str">
        <f>_xlfn.XLOOKUP(I1275,Parâmetros!A:A,Parâmetros!D:D,_xlfn.XLOOKUP(Q1275,Parâmetros!F:F,Parâmetros!I:I))</f>
        <v>SUPORTE OBT</v>
      </c>
      <c r="Q1275" s="1">
        <f t="shared" si="39"/>
        <v>1</v>
      </c>
    </row>
    <row r="1276" spans="1:17" x14ac:dyDescent="0.25">
      <c r="A1276" s="1" t="str">
        <f>_xlfn.XLOOKUP(D1276,'Novo relatório'!B:B,'Novo relatório'!C:C,"RESOLVIDO")</f>
        <v>SABRE</v>
      </c>
      <c r="C1276" t="str">
        <f t="shared" si="38"/>
        <v>PENDENTE</v>
      </c>
      <c r="D1276" s="1">
        <v>3330250</v>
      </c>
      <c r="E1276" s="1" t="s">
        <v>26</v>
      </c>
      <c r="F1276" s="2">
        <v>45744.242361111108</v>
      </c>
      <c r="G1276" s="1" t="s">
        <v>1751</v>
      </c>
      <c r="H1276" s="1" t="s">
        <v>1751</v>
      </c>
      <c r="I1276" s="1" t="s">
        <v>169</v>
      </c>
      <c r="J1276" s="2">
        <v>45744.336805555555</v>
      </c>
      <c r="L1276" s="1" t="s">
        <v>18</v>
      </c>
      <c r="M1276" s="1" t="str">
        <f>_xlfn.XLOOKUP(I1276,Parâmetros!A:A,Parâmetros!B:B,_xlfn.XLOOKUP(Q1276,Parâmetros!F:F,Parâmetros!G:G,"NOVA MENSAGEM"))</f>
        <v>CÓD. CLIENTE DIVERGENTE</v>
      </c>
      <c r="N1276" s="1" t="str">
        <f>_xlfn.XLOOKUP(M1276,Parâmetros!K:K,Parâmetros!L:L,"")</f>
        <v>CÓDIGO DIFERENTE DO CADASTRADO NO BENNER (CLIENTE X GRUPO)</v>
      </c>
      <c r="O1276" s="1" t="str">
        <f>_xlfn.XLOOKUP(M1276,Parâmetros!B:B,Parâmetros!C:C,_xlfn.XLOOKUP(Base!M1272,Parâmetros!G:G,Parâmetros!H:H))</f>
        <v>QUALIDADE DOS DADOS</v>
      </c>
      <c r="P1276" s="1" t="str">
        <f>_xlfn.XLOOKUP(I1276,Parâmetros!A:A,Parâmetros!D:D,_xlfn.XLOOKUP(Q1276,Parâmetros!F:F,Parâmetros!I:I))</f>
        <v>SUPORTE OBT</v>
      </c>
      <c r="Q1276" s="1">
        <f t="shared" si="39"/>
        <v>1</v>
      </c>
    </row>
    <row r="1277" spans="1:17" x14ac:dyDescent="0.25">
      <c r="A1277" s="1" t="str">
        <f>_xlfn.XLOOKUP(D1277,'Novo relatório'!B:B,'Novo relatório'!C:C,"RESOLVIDO")</f>
        <v>SABRE</v>
      </c>
      <c r="C1277" t="str">
        <f t="shared" si="38"/>
        <v>PENDENTE</v>
      </c>
      <c r="D1277" s="1">
        <v>3330251</v>
      </c>
      <c r="E1277" s="1" t="s">
        <v>26</v>
      </c>
      <c r="F1277" s="2">
        <v>45744.242361111108</v>
      </c>
      <c r="G1277" s="1" t="s">
        <v>1859</v>
      </c>
      <c r="H1277" s="1" t="s">
        <v>1859</v>
      </c>
      <c r="I1277" s="1" t="s">
        <v>1860</v>
      </c>
      <c r="J1277" s="2">
        <v>45744.337500000001</v>
      </c>
      <c r="L1277" s="1" t="s">
        <v>18</v>
      </c>
      <c r="M1277" s="1" t="str">
        <f>_xlfn.XLOOKUP(I1277,Parâmetros!A:A,Parâmetros!B:B,_xlfn.XLOOKUP(Q1277,Parâmetros!F:F,Parâmetros!G:G,"NOVA MENSAGEM"))</f>
        <v>REMARK - CNPJ</v>
      </c>
      <c r="N1277" s="1" t="str">
        <f>_xlfn.XLOOKUP(M1277,Parâmetros!K:K,Parâmetros!L:L,"")</f>
        <v/>
      </c>
      <c r="O1277" s="1" t="str">
        <f>_xlfn.XLOOKUP(M1277,Parâmetros!B:B,Parâmetros!C:C,_xlfn.XLOOKUP(Base!M1273,Parâmetros!G:G,Parâmetros!H:H))</f>
        <v>QUALIDADE DOS DADOS</v>
      </c>
      <c r="P1277" s="1" t="str">
        <f>_xlfn.XLOOKUP(I1277,Parâmetros!A:A,Parâmetros!D:D,_xlfn.XLOOKUP(Q1277,Parâmetros!F:F,Parâmetros!I:I))</f>
        <v>OPERAÇÕES / SUPORTE KCS</v>
      </c>
      <c r="Q1277" s="1">
        <f t="shared" si="39"/>
        <v>24</v>
      </c>
    </row>
    <row r="1278" spans="1:17" x14ac:dyDescent="0.25">
      <c r="A1278" s="1" t="str">
        <f>_xlfn.XLOOKUP(D1278,'Novo relatório'!B:B,'Novo relatório'!C:C,"RESOLVIDO")</f>
        <v>SABRE</v>
      </c>
      <c r="C1278" t="str">
        <f t="shared" si="38"/>
        <v>PENDENTE</v>
      </c>
      <c r="D1278" s="1">
        <v>3330384</v>
      </c>
      <c r="E1278" s="1" t="s">
        <v>26</v>
      </c>
      <c r="F1278" s="2">
        <v>45744.306250000001</v>
      </c>
      <c r="G1278" s="1" t="s">
        <v>1685</v>
      </c>
      <c r="H1278" s="1" t="s">
        <v>1685</v>
      </c>
      <c r="I1278" s="1" t="s">
        <v>273</v>
      </c>
      <c r="J1278" s="2">
        <v>45744.396527777775</v>
      </c>
      <c r="L1278" s="1" t="s">
        <v>1245</v>
      </c>
      <c r="M1278" s="1" t="str">
        <f>_xlfn.XLOOKUP(I1278,Parâmetros!A:A,Parâmetros!B:B,_xlfn.XLOOKUP(Q1278,Parâmetros!F:F,Parâmetros!G:G,"NOVA MENSAGEM"))</f>
        <v>VENDA CANCELADA</v>
      </c>
      <c r="N1278" s="1" t="str">
        <f>_xlfn.XLOOKUP(M1278,Parâmetros!K:K,Parâmetros!L:L,"")</f>
        <v>RESERVA CANCELADA NO OBT</v>
      </c>
      <c r="O1278" s="1" t="str">
        <f>_xlfn.XLOOKUP(M1278,Parâmetros!B:B,Parâmetros!C:C,_xlfn.XLOOKUP(Base!M1274,Parâmetros!G:G,Parâmetros!H:H))</f>
        <v>SISTEMA</v>
      </c>
      <c r="P1278" s="1" t="str">
        <f>_xlfn.XLOOKUP(I1278,Parâmetros!A:A,Parâmetros!D:D,_xlfn.XLOOKUP(Q1278,Parâmetros!F:F,Parâmetros!I:I))</f>
        <v>SUPORTE OBT</v>
      </c>
      <c r="Q1278" s="1" t="str">
        <f t="shared" si="39"/>
        <v>COLUNA I</v>
      </c>
    </row>
    <row r="1279" spans="1:17" x14ac:dyDescent="0.25">
      <c r="A1279" s="1" t="str">
        <f>_xlfn.XLOOKUP(D1279,'Novo relatório'!B:B,'Novo relatório'!C:C,"RESOLVIDO")</f>
        <v>TMS</v>
      </c>
      <c r="C1279" t="str">
        <f t="shared" si="38"/>
        <v>PENDENTE</v>
      </c>
      <c r="D1279" s="1">
        <v>3330461</v>
      </c>
      <c r="E1279" s="1" t="s">
        <v>12</v>
      </c>
      <c r="F1279" s="2">
        <v>45744.4</v>
      </c>
      <c r="G1279" s="1">
        <v>195771</v>
      </c>
      <c r="H1279" s="1">
        <v>195771</v>
      </c>
      <c r="I1279" s="1" t="s">
        <v>16</v>
      </c>
      <c r="J1279" s="2">
        <v>45744.40902777778</v>
      </c>
      <c r="K1279" s="2">
        <v>45756.55972222222</v>
      </c>
      <c r="L1279" s="1" t="s">
        <v>14</v>
      </c>
      <c r="M1279" s="1" t="str">
        <f>_xlfn.XLOOKUP(I1279,Parâmetros!A:A,Parâmetros!B:B,_xlfn.XLOOKUP(Q1279,Parâmetros!F:F,Parâmetros!G:G,"NOVA MENSAGEM"))</f>
        <v>ASSENTO / BAGAGEM</v>
      </c>
      <c r="N1279" s="1" t="str">
        <f>_xlfn.XLOOKUP(M1279,Parâmetros!K:K,Parâmetros!L:L,"")</f>
        <v>CAMPO OBSERVAÇÃO PREENCHIDO INCORRETAMENTE</v>
      </c>
      <c r="O1279" s="1" t="str">
        <f>_xlfn.XLOOKUP(M1279,Parâmetros!B:B,Parâmetros!C:C,_xlfn.XLOOKUP(Base!M1275,Parâmetros!G:G,Parâmetros!H:H))</f>
        <v>QUALIDADE DOS DADOS</v>
      </c>
      <c r="P1279" s="1" t="str">
        <f>_xlfn.XLOOKUP(I1279,Parâmetros!A:A,Parâmetros!D:D,_xlfn.XLOOKUP(Q1279,Parâmetros!F:F,Parâmetros!I:I))</f>
        <v>OPERAÇÕES / SUPORTE KCS</v>
      </c>
      <c r="Q1279" s="1">
        <f t="shared" si="39"/>
        <v>118</v>
      </c>
    </row>
    <row r="1280" spans="1:17" x14ac:dyDescent="0.25">
      <c r="A1280" s="1" t="str">
        <f>_xlfn.XLOOKUP(D1280,'Novo relatório'!B:B,'Novo relatório'!C:C,"RESOLVIDO")</f>
        <v>SABRE</v>
      </c>
      <c r="C1280" t="str">
        <f t="shared" si="38"/>
        <v>PENDENTE</v>
      </c>
      <c r="D1280" s="1">
        <v>3330635</v>
      </c>
      <c r="E1280" s="1" t="s">
        <v>26</v>
      </c>
      <c r="F1280" s="2">
        <v>45744.392361111109</v>
      </c>
      <c r="G1280" s="1" t="s">
        <v>1829</v>
      </c>
      <c r="H1280" s="1" t="s">
        <v>1830</v>
      </c>
      <c r="I1280" s="1" t="s">
        <v>64</v>
      </c>
      <c r="J1280" s="2">
        <v>45744.480555555558</v>
      </c>
      <c r="L1280" s="1" t="s">
        <v>1244</v>
      </c>
      <c r="M1280" s="1" t="str">
        <f>_xlfn.XLOOKUP(I1280,Parâmetros!A:A,Parâmetros!B:B,_xlfn.XLOOKUP(Q1280,Parâmetros!F:F,Parâmetros!G:G,"NOVA MENSAGEM"))</f>
        <v>FORMATO DE TEXTO</v>
      </c>
      <c r="N1280" s="1" t="str">
        <f>_xlfn.XLOOKUP(M1280,Parâmetros!K:K,Parâmetros!L:L,"")</f>
        <v>TEXTO FORA DO PADRÃO ACEITO NO CAMPO</v>
      </c>
      <c r="O1280" s="1" t="str">
        <f>_xlfn.XLOOKUP(M1280,Parâmetros!B:B,Parâmetros!C:C,_xlfn.XLOOKUP(Base!M1277,Parâmetros!G:G,Parâmetros!H:H))</f>
        <v>INDEFINIDO</v>
      </c>
      <c r="P1280" s="1" t="str">
        <f>_xlfn.XLOOKUP(I1280,Parâmetros!A:A,Parâmetros!D:D,_xlfn.XLOOKUP(Q1280,Parâmetros!F:F,Parâmetros!I:I))</f>
        <v>SUPORTE OBT</v>
      </c>
      <c r="Q1280" s="1" t="str">
        <f t="shared" si="39"/>
        <v>COLUNA I</v>
      </c>
    </row>
    <row r="1281" spans="1:17" x14ac:dyDescent="0.25">
      <c r="A1281" s="1" t="str">
        <f>_xlfn.XLOOKUP(D1281,'Novo relatório'!B:B,'Novo relatório'!C:C,"RESOLVIDO")</f>
        <v>SABRE</v>
      </c>
      <c r="C1281" t="str">
        <f t="shared" si="38"/>
        <v>PENDENTE</v>
      </c>
      <c r="D1281" s="1">
        <v>3330637</v>
      </c>
      <c r="E1281" s="1" t="s">
        <v>26</v>
      </c>
      <c r="F1281" s="2">
        <v>45744.392361111109</v>
      </c>
      <c r="G1281" s="1" t="s">
        <v>1789</v>
      </c>
      <c r="H1281" s="1" t="s">
        <v>1790</v>
      </c>
      <c r="I1281" s="1" t="s">
        <v>64</v>
      </c>
      <c r="J1281" s="2">
        <v>45744.480555555558</v>
      </c>
      <c r="L1281" s="1" t="s">
        <v>1244</v>
      </c>
      <c r="M1281" s="1" t="str">
        <f>_xlfn.XLOOKUP(I1281,Parâmetros!A:A,Parâmetros!B:B,_xlfn.XLOOKUP(Q1281,Parâmetros!F:F,Parâmetros!G:G,"NOVA MENSAGEM"))</f>
        <v>FORMATO DE TEXTO</v>
      </c>
      <c r="N1281" s="1" t="str">
        <f>_xlfn.XLOOKUP(M1281,Parâmetros!K:K,Parâmetros!L:L,"")</f>
        <v>TEXTO FORA DO PADRÃO ACEITO NO CAMPO</v>
      </c>
      <c r="O1281" s="1" t="str">
        <f>_xlfn.XLOOKUP(M1281,Parâmetros!B:B,Parâmetros!C:C,_xlfn.XLOOKUP(Base!M1276,Parâmetros!G:G,Parâmetros!H:H))</f>
        <v>INDEFINIDO</v>
      </c>
      <c r="P1281" s="1" t="str">
        <f>_xlfn.XLOOKUP(I1281,Parâmetros!A:A,Parâmetros!D:D,_xlfn.XLOOKUP(Q1281,Parâmetros!F:F,Parâmetros!I:I))</f>
        <v>SUPORTE OBT</v>
      </c>
      <c r="Q1281" s="1" t="str">
        <f t="shared" si="39"/>
        <v>COLUNA I</v>
      </c>
    </row>
    <row r="1282" spans="1:17" x14ac:dyDescent="0.25">
      <c r="A1282" s="1" t="str">
        <f>_xlfn.XLOOKUP(D1282,'Novo relatório'!B:B,'Novo relatório'!C:C,"RESOLVIDO")</f>
        <v>SABRE</v>
      </c>
      <c r="C1282" t="str">
        <f t="shared" ref="C1282:C1345" si="40">IF(A1282="RESOLVIDO","RESOLVIDO",IF(B1282="","PENDENTE",IF(LEFT(B1282,7)="CHAMADO","AGUARDANDO FORNECEDOR",IF(B1282="CONTABILIZAR","CONTABILIZAR NO PORTAL"))))</f>
        <v>PENDENTE</v>
      </c>
      <c r="D1282" s="1">
        <v>3330690</v>
      </c>
      <c r="E1282" s="1" t="s">
        <v>26</v>
      </c>
      <c r="F1282" s="2">
        <v>45744.429861111108</v>
      </c>
      <c r="G1282" s="1" t="s">
        <v>1822</v>
      </c>
      <c r="H1282" s="1" t="s">
        <v>1823</v>
      </c>
      <c r="I1282" s="1" t="s">
        <v>64</v>
      </c>
      <c r="J1282" s="2">
        <v>45744.521527777775</v>
      </c>
      <c r="L1282" s="1" t="s">
        <v>1244</v>
      </c>
      <c r="M1282" s="1" t="str">
        <f>_xlfn.XLOOKUP(I1282,Parâmetros!A:A,Parâmetros!B:B,_xlfn.XLOOKUP(Q1282,Parâmetros!F:F,Parâmetros!G:G,"NOVA MENSAGEM"))</f>
        <v>FORMATO DE TEXTO</v>
      </c>
      <c r="N1282" s="1" t="str">
        <f>_xlfn.XLOOKUP(M1282,Parâmetros!K:K,Parâmetros!L:L,"")</f>
        <v>TEXTO FORA DO PADRÃO ACEITO NO CAMPO</v>
      </c>
      <c r="O1282" s="1" t="str">
        <f>_xlfn.XLOOKUP(M1282,Parâmetros!B:B,Parâmetros!C:C,_xlfn.XLOOKUP(Base!M1278,Parâmetros!G:G,Parâmetros!H:H))</f>
        <v>INDEFINIDO</v>
      </c>
      <c r="P1282" s="1" t="str">
        <f>_xlfn.XLOOKUP(I1282,Parâmetros!A:A,Parâmetros!D:D,_xlfn.XLOOKUP(Q1282,Parâmetros!F:F,Parâmetros!I:I))</f>
        <v>SUPORTE OBT</v>
      </c>
      <c r="Q1282" s="1" t="str">
        <f t="shared" ref="Q1282:Q1345" si="41">IFERROR(FIND("Não foi possível localizar o contrato do fornecedor",I1282),IFERROR(FIND("veículo",I1282),IFERROR(FIND("agagem",I1282),IFERROR(FIND("error in XML document",I1282),IFERROR(FIND("Não localizado cliente código",I1282),IFERROR(FIND("lemontech",I1282),IFERROR(FIND("&gt;Fornecedor com o",I1282),IFERROR(FIND("INSERT",I1282),IFERROR(FIND("com CNPJ",I1282),IFERROR(FIND("Consultando Agente-&gt; O agente",I1282),IFERROR(FIND("Não foi possível determinar a validade do cartão, favor verificar os dados do cartão",I1282),"COLUNA I")))))))))))</f>
        <v>COLUNA I</v>
      </c>
    </row>
    <row r="1283" spans="1:17" x14ac:dyDescent="0.25">
      <c r="A1283" s="1" t="str">
        <f>_xlfn.XLOOKUP(D1283,'Novo relatório'!B:B,'Novo relatório'!C:C,"RESOLVIDO")</f>
        <v>SABRE</v>
      </c>
      <c r="C1283" t="str">
        <f t="shared" si="40"/>
        <v>PENDENTE</v>
      </c>
      <c r="D1283" s="1">
        <v>3330819</v>
      </c>
      <c r="E1283" s="1" t="s">
        <v>26</v>
      </c>
      <c r="F1283" s="2">
        <v>45744.477777777778</v>
      </c>
      <c r="G1283" s="1" t="s">
        <v>1798</v>
      </c>
      <c r="H1283" s="1" t="s">
        <v>1798</v>
      </c>
      <c r="I1283" s="1" t="s">
        <v>83</v>
      </c>
      <c r="J1283" s="2">
        <v>45744.563194444447</v>
      </c>
      <c r="L1283" s="1" t="s">
        <v>18</v>
      </c>
      <c r="M1283" s="1" t="str">
        <f>_xlfn.XLOOKUP(I1283,Parâmetros!A:A,Parâmetros!B:B,_xlfn.XLOOKUP(Q1283,Parâmetros!F:F,Parâmetros!G:G,"NOVA MENSAGEM"))</f>
        <v>CLIENTE NÃO IDENTIFICADO</v>
      </c>
      <c r="N1283" s="1" t="str">
        <f>_xlfn.XLOOKUP(M1283,Parâmetros!K:K,Parâmetros!L:L,"")</f>
        <v>DK DE CLIENTE NÃO PREENCIDO / CLIENTE NÃO CONFIGURADO NO OBT</v>
      </c>
      <c r="O1283" s="1" t="str">
        <f>_xlfn.XLOOKUP(M1283,Parâmetros!B:B,Parâmetros!C:C,_xlfn.XLOOKUP(Base!M1279,Parâmetros!G:G,Parâmetros!H:H))</f>
        <v>INDEFINIDO</v>
      </c>
      <c r="P1283" s="1" t="str">
        <f>_xlfn.XLOOKUP(I1283,Parâmetros!A:A,Parâmetros!D:D,_xlfn.XLOOKUP(Q1283,Parâmetros!F:F,Parâmetros!I:I))</f>
        <v>OPERAÇÕES / SUPORTE KCS</v>
      </c>
      <c r="Q1283" s="1" t="str">
        <f t="shared" si="41"/>
        <v>COLUNA I</v>
      </c>
    </row>
    <row r="1284" spans="1:17" x14ac:dyDescent="0.25">
      <c r="A1284" s="1" t="str">
        <f>_xlfn.XLOOKUP(D1284,'Novo relatório'!B:B,'Novo relatório'!C:C,"RESOLVIDO")</f>
        <v>TMS</v>
      </c>
      <c r="C1284" t="str">
        <f t="shared" si="40"/>
        <v>PENDENTE</v>
      </c>
      <c r="D1284" s="1">
        <v>3331011</v>
      </c>
      <c r="E1284" s="1" t="s">
        <v>12</v>
      </c>
      <c r="F1284" s="2">
        <v>45744.554166666669</v>
      </c>
      <c r="G1284" s="1">
        <v>196122</v>
      </c>
      <c r="H1284" s="1">
        <v>196122</v>
      </c>
      <c r="I1284" s="1" t="s">
        <v>158</v>
      </c>
      <c r="J1284" s="2">
        <v>45744.640972222223</v>
      </c>
      <c r="K1284" s="2">
        <v>45756.55972222222</v>
      </c>
      <c r="L1284" s="1" t="s">
        <v>14</v>
      </c>
      <c r="M1284" s="1" t="str">
        <f>_xlfn.XLOOKUP(I1284,Parâmetros!A:A,Parâmetros!B:B,_xlfn.XLOOKUP(Q1284,Parâmetros!F:F,Parâmetros!G:G,"NOVA MENSAGEM"))</f>
        <v>COTAÇÃO</v>
      </c>
      <c r="N1284" s="1" t="str">
        <f>_xlfn.XLOOKUP(M1284,Parâmetros!K:K,Parâmetros!L:L,"")</f>
        <v>INDEFINIDO</v>
      </c>
      <c r="O1284" s="1" t="str">
        <f>_xlfn.XLOOKUP(M1284,Parâmetros!B:B,Parâmetros!C:C,_xlfn.XLOOKUP(Base!M1280,Parâmetros!G:G,Parâmetros!H:H))</f>
        <v>INDEFINIDO</v>
      </c>
      <c r="P1284" s="1" t="str">
        <f>_xlfn.XLOOKUP(I1284,Parâmetros!A:A,Parâmetros!D:D,_xlfn.XLOOKUP(Q1284,Parâmetros!F:F,Parâmetros!I:I))</f>
        <v>SUPORTE OBT</v>
      </c>
      <c r="Q1284" s="1" t="str">
        <f t="shared" si="41"/>
        <v>COLUNA I</v>
      </c>
    </row>
    <row r="1285" spans="1:17" x14ac:dyDescent="0.25">
      <c r="A1285" s="1" t="str">
        <f>_xlfn.XLOOKUP(D1285,'Novo relatório'!B:B,'Novo relatório'!C:C,"RESOLVIDO")</f>
        <v>RESOLVIDO</v>
      </c>
      <c r="C1285" t="str">
        <f t="shared" si="40"/>
        <v>RESOLVIDO</v>
      </c>
      <c r="D1285" s="1">
        <v>3331552</v>
      </c>
      <c r="E1285" s="1" t="s">
        <v>12</v>
      </c>
      <c r="F1285" s="2">
        <v>45744.632638888892</v>
      </c>
      <c r="G1285" s="1">
        <v>56590</v>
      </c>
      <c r="H1285" s="1">
        <v>56590</v>
      </c>
      <c r="I1285" s="1" t="s">
        <v>16</v>
      </c>
      <c r="J1285" s="2">
        <v>45744.686111111114</v>
      </c>
      <c r="K1285" s="2">
        <v>45747.965277777781</v>
      </c>
      <c r="L1285" s="1" t="s">
        <v>14</v>
      </c>
      <c r="M1285" s="1" t="str">
        <f>_xlfn.XLOOKUP(I1285,Parâmetros!A:A,Parâmetros!B:B,_xlfn.XLOOKUP(Q1285,Parâmetros!F:F,Parâmetros!G:G,"NOVA MENSAGEM"))</f>
        <v>ASSENTO / BAGAGEM</v>
      </c>
      <c r="N1285" s="1" t="str">
        <f>_xlfn.XLOOKUP(M1285,Parâmetros!K:K,Parâmetros!L:L,"")</f>
        <v>CAMPO OBSERVAÇÃO PREENCHIDO INCORRETAMENTE</v>
      </c>
      <c r="O1285" s="1" t="str">
        <f>_xlfn.XLOOKUP(M1285,Parâmetros!B:B,Parâmetros!C:C,_xlfn.XLOOKUP(Base!M1281,Parâmetros!G:G,Parâmetros!H:H))</f>
        <v>QUALIDADE DOS DADOS</v>
      </c>
      <c r="P1285" s="1" t="str">
        <f>_xlfn.XLOOKUP(I1285,Parâmetros!A:A,Parâmetros!D:D,_xlfn.XLOOKUP(Q1285,Parâmetros!F:F,Parâmetros!I:I))</f>
        <v>OPERAÇÕES / SUPORTE KCS</v>
      </c>
      <c r="Q1285" s="1">
        <f t="shared" si="41"/>
        <v>118</v>
      </c>
    </row>
    <row r="1286" spans="1:17" x14ac:dyDescent="0.25">
      <c r="A1286" s="1" t="str">
        <f>_xlfn.XLOOKUP(D1286,'Novo relatório'!B:B,'Novo relatório'!C:C,"RESOLVIDO")</f>
        <v>RESOLVIDO</v>
      </c>
      <c r="C1286" t="str">
        <f t="shared" si="40"/>
        <v>RESOLVIDO</v>
      </c>
      <c r="D1286" s="1">
        <v>3331553</v>
      </c>
      <c r="E1286" s="1" t="s">
        <v>12</v>
      </c>
      <c r="F1286" s="2">
        <v>45744.631249999999</v>
      </c>
      <c r="G1286" s="1">
        <v>56441</v>
      </c>
      <c r="H1286" s="1">
        <v>56441</v>
      </c>
      <c r="I1286" s="1" t="s">
        <v>16</v>
      </c>
      <c r="J1286" s="2">
        <v>45744.686805555553</v>
      </c>
      <c r="K1286" s="2">
        <v>45747.965277777781</v>
      </c>
      <c r="L1286" s="1" t="s">
        <v>14</v>
      </c>
      <c r="M1286" s="1" t="str">
        <f>_xlfn.XLOOKUP(I1286,Parâmetros!A:A,Parâmetros!B:B,_xlfn.XLOOKUP(Q1286,Parâmetros!F:F,Parâmetros!G:G,"NOVA MENSAGEM"))</f>
        <v>ASSENTO / BAGAGEM</v>
      </c>
      <c r="N1286" s="1" t="str">
        <f>_xlfn.XLOOKUP(M1286,Parâmetros!K:K,Parâmetros!L:L,"")</f>
        <v>CAMPO OBSERVAÇÃO PREENCHIDO INCORRETAMENTE</v>
      </c>
      <c r="O1286" s="1" t="str">
        <f>_xlfn.XLOOKUP(M1286,Parâmetros!B:B,Parâmetros!C:C,_xlfn.XLOOKUP(Base!M1282,Parâmetros!G:G,Parâmetros!H:H))</f>
        <v>QUALIDADE DOS DADOS</v>
      </c>
      <c r="P1286" s="1" t="str">
        <f>_xlfn.XLOOKUP(I1286,Parâmetros!A:A,Parâmetros!D:D,_xlfn.XLOOKUP(Q1286,Parâmetros!F:F,Parâmetros!I:I))</f>
        <v>OPERAÇÕES / SUPORTE KCS</v>
      </c>
      <c r="Q1286" s="1">
        <f t="shared" si="41"/>
        <v>118</v>
      </c>
    </row>
    <row r="1287" spans="1:17" x14ac:dyDescent="0.25">
      <c r="A1287" s="1" t="str">
        <f>_xlfn.XLOOKUP(D1287,'Novo relatório'!B:B,'Novo relatório'!C:C,"RESOLVIDO")</f>
        <v>SABRE</v>
      </c>
      <c r="C1287" t="str">
        <f t="shared" si="40"/>
        <v>PENDENTE</v>
      </c>
      <c r="D1287" s="1">
        <v>3332247</v>
      </c>
      <c r="E1287" s="1" t="s">
        <v>26</v>
      </c>
      <c r="F1287" s="2">
        <v>45744.763194444444</v>
      </c>
      <c r="G1287" s="1" t="s">
        <v>1767</v>
      </c>
      <c r="H1287" s="1" t="s">
        <v>1767</v>
      </c>
      <c r="I1287" s="1" t="s">
        <v>410</v>
      </c>
      <c r="J1287" s="2">
        <v>45744.857638888891</v>
      </c>
      <c r="L1287" s="1" t="s">
        <v>18</v>
      </c>
      <c r="M1287" s="1" t="str">
        <f>_xlfn.XLOOKUP(I1287,Parâmetros!A:A,Parâmetros!B:B,_xlfn.XLOOKUP(Q1287,Parâmetros!F:F,Parâmetros!G:G,"NOVA MENSAGEM"))</f>
        <v>CÓD. CLIENTE DIVERGENTE</v>
      </c>
      <c r="N1287" s="1" t="str">
        <f>_xlfn.XLOOKUP(M1287,Parâmetros!K:K,Parâmetros!L:L,"")</f>
        <v>CÓDIGO DIFERENTE DO CADASTRADO NO BENNER (CLIENTE X GRUPO)</v>
      </c>
      <c r="O1287" s="1" t="str">
        <f>_xlfn.XLOOKUP(M1287,Parâmetros!B:B,Parâmetros!C:C,_xlfn.XLOOKUP(Base!M1283,Parâmetros!G:G,Parâmetros!H:H))</f>
        <v>QUALIDADE DOS DADOS</v>
      </c>
      <c r="P1287" s="1" t="str">
        <f>_xlfn.XLOOKUP(I1287,Parâmetros!A:A,Parâmetros!D:D,_xlfn.XLOOKUP(Q1287,Parâmetros!F:F,Parâmetros!I:I))</f>
        <v>SUPORTE OBT</v>
      </c>
      <c r="Q1287" s="1">
        <f t="shared" si="41"/>
        <v>1</v>
      </c>
    </row>
    <row r="1288" spans="1:17" x14ac:dyDescent="0.25">
      <c r="A1288" s="1" t="str">
        <f>_xlfn.XLOOKUP(D1288,'Novo relatório'!B:B,'Novo relatório'!C:C,"RESOLVIDO")</f>
        <v>SABRE</v>
      </c>
      <c r="C1288" t="str">
        <f t="shared" si="40"/>
        <v>PENDENTE</v>
      </c>
      <c r="D1288" s="1">
        <v>3332251</v>
      </c>
      <c r="E1288" s="1" t="s">
        <v>26</v>
      </c>
      <c r="F1288" s="2">
        <v>45747.413194444445</v>
      </c>
      <c r="G1288" s="1" t="s">
        <v>1657</v>
      </c>
      <c r="H1288" s="1" t="s">
        <v>1657</v>
      </c>
      <c r="I1288" s="1" t="s">
        <v>83</v>
      </c>
      <c r="J1288" s="2">
        <v>45744.85833333333</v>
      </c>
      <c r="K1288" s="2">
        <v>45747.502083333333</v>
      </c>
      <c r="L1288" s="1" t="s">
        <v>18</v>
      </c>
      <c r="M1288" s="1" t="str">
        <f>_xlfn.XLOOKUP(I1288,Parâmetros!A:A,Parâmetros!B:B,_xlfn.XLOOKUP(Q1288,Parâmetros!F:F,Parâmetros!G:G,"NOVA MENSAGEM"))</f>
        <v>CLIENTE NÃO IDENTIFICADO</v>
      </c>
      <c r="N1288" s="1" t="str">
        <f>_xlfn.XLOOKUP(M1288,Parâmetros!K:K,Parâmetros!L:L,"")</f>
        <v>DK DE CLIENTE NÃO PREENCIDO / CLIENTE NÃO CONFIGURADO NO OBT</v>
      </c>
      <c r="O1288" s="1" t="str">
        <f>_xlfn.XLOOKUP(M1288,Parâmetros!B:B,Parâmetros!C:C,_xlfn.XLOOKUP(Base!M1284,Parâmetros!G:G,Parâmetros!H:H))</f>
        <v>INDEFINIDO</v>
      </c>
      <c r="P1288" s="1" t="str">
        <f>_xlfn.XLOOKUP(I1288,Parâmetros!A:A,Parâmetros!D:D,_xlfn.XLOOKUP(Q1288,Parâmetros!F:F,Parâmetros!I:I))</f>
        <v>OPERAÇÕES / SUPORTE KCS</v>
      </c>
      <c r="Q1288" s="1" t="str">
        <f t="shared" si="41"/>
        <v>COLUNA I</v>
      </c>
    </row>
    <row r="1289" spans="1:17" x14ac:dyDescent="0.25">
      <c r="A1289" s="1" t="str">
        <f>_xlfn.XLOOKUP(D1289,'Novo relatório'!B:B,'Novo relatório'!C:C,"RESOLVIDO")</f>
        <v>SABRE</v>
      </c>
      <c r="C1289" t="str">
        <f t="shared" si="40"/>
        <v>PENDENTE</v>
      </c>
      <c r="D1289" s="1">
        <v>3332254</v>
      </c>
      <c r="E1289" s="1" t="s">
        <v>26</v>
      </c>
      <c r="F1289" s="2">
        <v>45747.455555555556</v>
      </c>
      <c r="G1289" s="1" t="s">
        <v>1747</v>
      </c>
      <c r="H1289" s="1" t="s">
        <v>1747</v>
      </c>
      <c r="I1289" s="1" t="s">
        <v>83</v>
      </c>
      <c r="J1289" s="2">
        <v>45744.85833333333</v>
      </c>
      <c r="K1289" s="2">
        <v>45747.543749999997</v>
      </c>
      <c r="L1289" s="1" t="s">
        <v>18</v>
      </c>
      <c r="M1289" s="1" t="str">
        <f>_xlfn.XLOOKUP(I1289,Parâmetros!A:A,Parâmetros!B:B,_xlfn.XLOOKUP(Q1289,Parâmetros!F:F,Parâmetros!G:G,"NOVA MENSAGEM"))</f>
        <v>CLIENTE NÃO IDENTIFICADO</v>
      </c>
      <c r="N1289" s="1" t="str">
        <f>_xlfn.XLOOKUP(M1289,Parâmetros!K:K,Parâmetros!L:L,"")</f>
        <v>DK DE CLIENTE NÃO PREENCIDO / CLIENTE NÃO CONFIGURADO NO OBT</v>
      </c>
      <c r="O1289" s="1" t="str">
        <f>_xlfn.XLOOKUP(M1289,Parâmetros!B:B,Parâmetros!C:C,_xlfn.XLOOKUP(Base!M1285,Parâmetros!G:G,Parâmetros!H:H))</f>
        <v>INDEFINIDO</v>
      </c>
      <c r="P1289" s="1" t="str">
        <f>_xlfn.XLOOKUP(I1289,Parâmetros!A:A,Parâmetros!D:D,_xlfn.XLOOKUP(Q1289,Parâmetros!F:F,Parâmetros!I:I))</f>
        <v>OPERAÇÕES / SUPORTE KCS</v>
      </c>
      <c r="Q1289" s="1" t="str">
        <f t="shared" si="41"/>
        <v>COLUNA I</v>
      </c>
    </row>
    <row r="1290" spans="1:17" x14ac:dyDescent="0.25">
      <c r="A1290" s="1" t="str">
        <f>_xlfn.XLOOKUP(D1290,'Novo relatório'!B:B,'Novo relatório'!C:C,"RESOLVIDO")</f>
        <v>SABRE</v>
      </c>
      <c r="C1290" t="str">
        <f t="shared" si="40"/>
        <v>PENDENTE</v>
      </c>
      <c r="D1290" s="1">
        <v>3332269</v>
      </c>
      <c r="E1290" s="1" t="s">
        <v>26</v>
      </c>
      <c r="F1290" s="2">
        <v>45747.604166666664</v>
      </c>
      <c r="G1290" s="1" t="s">
        <v>1760</v>
      </c>
      <c r="H1290" s="1" t="s">
        <v>1760</v>
      </c>
      <c r="I1290" s="1" t="s">
        <v>1761</v>
      </c>
      <c r="J1290" s="2">
        <v>45744.86041666667</v>
      </c>
      <c r="K1290" s="2">
        <v>45747.692361111112</v>
      </c>
      <c r="L1290" s="1" t="s">
        <v>18</v>
      </c>
      <c r="M1290" s="1" t="str">
        <f>_xlfn.XLOOKUP(I1290,Parâmetros!A:A,Parâmetros!B:B,_xlfn.XLOOKUP(Q1290,Parâmetros!F:F,Parâmetros!G:G,"NOVA MENSAGEM"))</f>
        <v>CÓD. CLIENTE DIVERGENTE</v>
      </c>
      <c r="N1290" s="1" t="str">
        <f>_xlfn.XLOOKUP(M1290,Parâmetros!K:K,Parâmetros!L:L,"")</f>
        <v>CÓDIGO DIFERENTE DO CADASTRADO NO BENNER (CLIENTE X GRUPO)</v>
      </c>
      <c r="O1290" s="1" t="str">
        <f>_xlfn.XLOOKUP(M1290,Parâmetros!B:B,Parâmetros!C:C,_xlfn.XLOOKUP(Base!M1287,Parâmetros!G:G,Parâmetros!H:H))</f>
        <v>QUALIDADE DOS DADOS</v>
      </c>
      <c r="P1290" s="1" t="str">
        <f>_xlfn.XLOOKUP(I1290,Parâmetros!A:A,Parâmetros!D:D,_xlfn.XLOOKUP(Q1290,Parâmetros!F:F,Parâmetros!I:I))</f>
        <v>SUPORTE OBT</v>
      </c>
      <c r="Q1290" s="1">
        <f t="shared" si="41"/>
        <v>1</v>
      </c>
    </row>
    <row r="1291" spans="1:17" x14ac:dyDescent="0.25">
      <c r="A1291" s="1" t="str">
        <f>_xlfn.XLOOKUP(D1291,'Novo relatório'!B:B,'Novo relatório'!C:C,"RESOLVIDO")</f>
        <v>SABRE</v>
      </c>
      <c r="C1291" t="str">
        <f t="shared" si="40"/>
        <v>PENDENTE</v>
      </c>
      <c r="D1291" s="1">
        <v>3332270</v>
      </c>
      <c r="E1291" s="1" t="s">
        <v>26</v>
      </c>
      <c r="F1291" s="2">
        <v>45744.763194444444</v>
      </c>
      <c r="G1291" s="1" t="s">
        <v>1877</v>
      </c>
      <c r="H1291" s="1" t="s">
        <v>1877</v>
      </c>
      <c r="I1291" s="1" t="s">
        <v>1711</v>
      </c>
      <c r="J1291" s="2">
        <v>45744.86041666667</v>
      </c>
      <c r="L1291" s="1" t="s">
        <v>18</v>
      </c>
      <c r="M1291" s="1" t="str">
        <f>_xlfn.XLOOKUP(I1291,Parâmetros!A:A,Parâmetros!B:B,_xlfn.XLOOKUP(Q1291,Parâmetros!F:F,Parâmetros!G:G,"NOVA MENSAGEM"))</f>
        <v>CÓD. CLIENTE DIVERGENTE</v>
      </c>
      <c r="N1291" s="1" t="str">
        <f>_xlfn.XLOOKUP(M1291,Parâmetros!K:K,Parâmetros!L:L,"")</f>
        <v>CÓDIGO DIFERENTE DO CADASTRADO NO BENNER (CLIENTE X GRUPO)</v>
      </c>
      <c r="O1291" s="1" t="str">
        <f>_xlfn.XLOOKUP(M1291,Parâmetros!B:B,Parâmetros!C:C,_xlfn.XLOOKUP(Base!M1286,Parâmetros!G:G,Parâmetros!H:H))</f>
        <v>QUALIDADE DOS DADOS</v>
      </c>
      <c r="P1291" s="1" t="str">
        <f>_xlfn.XLOOKUP(I1291,Parâmetros!A:A,Parâmetros!D:D,_xlfn.XLOOKUP(Q1291,Parâmetros!F:F,Parâmetros!I:I))</f>
        <v>SUPORTE OBT</v>
      </c>
      <c r="Q1291" s="1">
        <f t="shared" si="41"/>
        <v>1</v>
      </c>
    </row>
    <row r="1292" spans="1:17" x14ac:dyDescent="0.25">
      <c r="A1292" s="1" t="str">
        <f>_xlfn.XLOOKUP(D1292,'Novo relatório'!B:B,'Novo relatório'!C:C,"RESOLVIDO")</f>
        <v>TMS</v>
      </c>
      <c r="C1292" t="str">
        <f t="shared" si="40"/>
        <v>PENDENTE</v>
      </c>
      <c r="D1292" s="1">
        <v>3332957</v>
      </c>
      <c r="E1292" s="1" t="s">
        <v>12</v>
      </c>
      <c r="F1292" s="2">
        <v>45744.776388888888</v>
      </c>
      <c r="G1292" s="1">
        <v>15980</v>
      </c>
      <c r="H1292" s="1">
        <v>15980</v>
      </c>
      <c r="I1292" s="1" t="s">
        <v>16</v>
      </c>
      <c r="J1292" s="2">
        <v>45744.947916666664</v>
      </c>
      <c r="K1292" s="2">
        <v>45747.979166666664</v>
      </c>
      <c r="L1292" s="1" t="s">
        <v>14</v>
      </c>
      <c r="M1292" s="1" t="str">
        <f>_xlfn.XLOOKUP(I1292,Parâmetros!A:A,Parâmetros!B:B,_xlfn.XLOOKUP(Q1292,Parâmetros!F:F,Parâmetros!G:G,"NOVA MENSAGEM"))</f>
        <v>ASSENTO / BAGAGEM</v>
      </c>
      <c r="N1292" s="1" t="str">
        <f>_xlfn.XLOOKUP(M1292,Parâmetros!K:K,Parâmetros!L:L,"")</f>
        <v>CAMPO OBSERVAÇÃO PREENCHIDO INCORRETAMENTE</v>
      </c>
      <c r="O1292" s="1" t="str">
        <f>_xlfn.XLOOKUP(M1292,Parâmetros!B:B,Parâmetros!C:C,_xlfn.XLOOKUP(Base!M1288,Parâmetros!G:G,Parâmetros!H:H))</f>
        <v>QUALIDADE DOS DADOS</v>
      </c>
      <c r="P1292" s="1" t="str">
        <f>_xlfn.XLOOKUP(I1292,Parâmetros!A:A,Parâmetros!D:D,_xlfn.XLOOKUP(Q1292,Parâmetros!F:F,Parâmetros!I:I))</f>
        <v>OPERAÇÕES / SUPORTE KCS</v>
      </c>
      <c r="Q1292" s="1">
        <f t="shared" si="41"/>
        <v>118</v>
      </c>
    </row>
    <row r="1293" spans="1:17" x14ac:dyDescent="0.25">
      <c r="A1293" s="1" t="str">
        <f>_xlfn.XLOOKUP(D1293,'Novo relatório'!B:B,'Novo relatório'!C:C,"RESOLVIDO")</f>
        <v>RESOLVIDO</v>
      </c>
      <c r="C1293" t="str">
        <f t="shared" si="40"/>
        <v>RESOLVIDO</v>
      </c>
      <c r="D1293" s="1">
        <v>3333590</v>
      </c>
      <c r="E1293" s="1" t="s">
        <v>12</v>
      </c>
      <c r="F1293" s="2">
        <v>45747.306944444441</v>
      </c>
      <c r="G1293" s="1">
        <v>5784</v>
      </c>
      <c r="H1293" s="1">
        <v>5784</v>
      </c>
      <c r="I1293" s="1" t="s">
        <v>16</v>
      </c>
      <c r="J1293" s="2">
        <v>45747.440972222219</v>
      </c>
      <c r="K1293" s="2">
        <v>45750.988888888889</v>
      </c>
      <c r="L1293" s="1" t="s">
        <v>14</v>
      </c>
      <c r="M1293" s="1" t="str">
        <f>_xlfn.XLOOKUP(I1293,Parâmetros!A:A,Parâmetros!B:B,_xlfn.XLOOKUP(Q1293,Parâmetros!F:F,Parâmetros!G:G,"NOVA MENSAGEM"))</f>
        <v>ASSENTO / BAGAGEM</v>
      </c>
      <c r="N1293" s="1" t="str">
        <f>_xlfn.XLOOKUP(M1293,Parâmetros!K:K,Parâmetros!L:L,"")</f>
        <v>CAMPO OBSERVAÇÃO PREENCHIDO INCORRETAMENTE</v>
      </c>
      <c r="O1293" s="1" t="str">
        <f>_xlfn.XLOOKUP(M1293,Parâmetros!B:B,Parâmetros!C:C,_xlfn.XLOOKUP(Base!M1289,Parâmetros!G:G,Parâmetros!H:H))</f>
        <v>QUALIDADE DOS DADOS</v>
      </c>
      <c r="P1293" s="1" t="str">
        <f>_xlfn.XLOOKUP(I1293,Parâmetros!A:A,Parâmetros!D:D,_xlfn.XLOOKUP(Q1293,Parâmetros!F:F,Parâmetros!I:I))</f>
        <v>OPERAÇÕES / SUPORTE KCS</v>
      </c>
      <c r="Q1293" s="1">
        <f t="shared" si="41"/>
        <v>118</v>
      </c>
    </row>
    <row r="1294" spans="1:17" x14ac:dyDescent="0.25">
      <c r="A1294" s="1" t="str">
        <f>_xlfn.XLOOKUP(D1294,'Novo relatório'!B:B,'Novo relatório'!C:C,"RESOLVIDO")</f>
        <v>RESOLVIDO</v>
      </c>
      <c r="C1294" t="str">
        <f t="shared" si="40"/>
        <v>RESOLVIDO</v>
      </c>
      <c r="D1294" s="1">
        <v>3333591</v>
      </c>
      <c r="E1294" s="1" t="s">
        <v>12</v>
      </c>
      <c r="F1294" s="2">
        <v>45747.308333333334</v>
      </c>
      <c r="G1294" s="1">
        <v>5783</v>
      </c>
      <c r="H1294" s="1">
        <v>5783</v>
      </c>
      <c r="I1294" s="1" t="s">
        <v>16</v>
      </c>
      <c r="J1294" s="2">
        <v>45747.440972222219</v>
      </c>
      <c r="K1294" s="2">
        <v>45750.988888888889</v>
      </c>
      <c r="L1294" s="1" t="s">
        <v>14</v>
      </c>
      <c r="M1294" s="1" t="str">
        <f>_xlfn.XLOOKUP(I1294,Parâmetros!A:A,Parâmetros!B:B,_xlfn.XLOOKUP(Q1294,Parâmetros!F:F,Parâmetros!G:G,"NOVA MENSAGEM"))</f>
        <v>ASSENTO / BAGAGEM</v>
      </c>
      <c r="N1294" s="1" t="str">
        <f>_xlfn.XLOOKUP(M1294,Parâmetros!K:K,Parâmetros!L:L,"")</f>
        <v>CAMPO OBSERVAÇÃO PREENCHIDO INCORRETAMENTE</v>
      </c>
      <c r="O1294" s="1" t="str">
        <f>_xlfn.XLOOKUP(M1294,Parâmetros!B:B,Parâmetros!C:C,_xlfn.XLOOKUP(Base!M1290,Parâmetros!G:G,Parâmetros!H:H))</f>
        <v>QUALIDADE DOS DADOS</v>
      </c>
      <c r="P1294" s="1" t="str">
        <f>_xlfn.XLOOKUP(I1294,Parâmetros!A:A,Parâmetros!D:D,_xlfn.XLOOKUP(Q1294,Parâmetros!F:F,Parâmetros!I:I))</f>
        <v>OPERAÇÕES / SUPORTE KCS</v>
      </c>
      <c r="Q1294" s="1">
        <f t="shared" si="41"/>
        <v>118</v>
      </c>
    </row>
    <row r="1295" spans="1:17" x14ac:dyDescent="0.25">
      <c r="A1295" s="1" t="str">
        <f>_xlfn.XLOOKUP(D1295,'Novo relatório'!B:B,'Novo relatório'!C:C,"RESOLVIDO")</f>
        <v>RESOLVIDO</v>
      </c>
      <c r="C1295" t="str">
        <f t="shared" si="40"/>
        <v>RESOLVIDO</v>
      </c>
      <c r="D1295" s="1">
        <v>3333593</v>
      </c>
      <c r="E1295" s="1" t="s">
        <v>12</v>
      </c>
      <c r="F1295" s="2">
        <v>45747.307638888888</v>
      </c>
      <c r="G1295" s="1">
        <v>5782</v>
      </c>
      <c r="H1295" s="1">
        <v>5782</v>
      </c>
      <c r="I1295" s="1" t="s">
        <v>16</v>
      </c>
      <c r="J1295" s="2">
        <v>45747.441666666666</v>
      </c>
      <c r="K1295" s="2">
        <v>45750.988888888889</v>
      </c>
      <c r="L1295" s="1" t="s">
        <v>14</v>
      </c>
      <c r="M1295" s="1" t="str">
        <f>_xlfn.XLOOKUP(I1295,Parâmetros!A:A,Parâmetros!B:B,_xlfn.XLOOKUP(Q1295,Parâmetros!F:F,Parâmetros!G:G,"NOVA MENSAGEM"))</f>
        <v>ASSENTO / BAGAGEM</v>
      </c>
      <c r="N1295" s="1" t="str">
        <f>_xlfn.XLOOKUP(M1295,Parâmetros!K:K,Parâmetros!L:L,"")</f>
        <v>CAMPO OBSERVAÇÃO PREENCHIDO INCORRETAMENTE</v>
      </c>
      <c r="O1295" s="1" t="str">
        <f>_xlfn.XLOOKUP(M1295,Parâmetros!B:B,Parâmetros!C:C,_xlfn.XLOOKUP(Base!M1292,Parâmetros!G:G,Parâmetros!H:H))</f>
        <v>QUALIDADE DOS DADOS</v>
      </c>
      <c r="P1295" s="1" t="str">
        <f>_xlfn.XLOOKUP(I1295,Parâmetros!A:A,Parâmetros!D:D,_xlfn.XLOOKUP(Q1295,Parâmetros!F:F,Parâmetros!I:I))</f>
        <v>OPERAÇÕES / SUPORTE KCS</v>
      </c>
      <c r="Q1295" s="1">
        <f t="shared" si="41"/>
        <v>118</v>
      </c>
    </row>
    <row r="1296" spans="1:17" x14ac:dyDescent="0.25">
      <c r="A1296" s="1" t="str">
        <f>_xlfn.XLOOKUP(D1296,'Novo relatório'!B:B,'Novo relatório'!C:C,"RESOLVIDO")</f>
        <v>TMS</v>
      </c>
      <c r="C1296" t="str">
        <f t="shared" si="40"/>
        <v>PENDENTE</v>
      </c>
      <c r="D1296" s="1">
        <v>3333594</v>
      </c>
      <c r="E1296" s="1" t="s">
        <v>12</v>
      </c>
      <c r="F1296" s="2">
        <v>45747.305555555555</v>
      </c>
      <c r="G1296" s="1">
        <v>5781</v>
      </c>
      <c r="H1296" s="1">
        <v>5781</v>
      </c>
      <c r="I1296" s="1" t="s">
        <v>16</v>
      </c>
      <c r="J1296" s="2">
        <v>45747.441666666666</v>
      </c>
      <c r="K1296" s="2">
        <v>45750.989583333336</v>
      </c>
      <c r="L1296" s="1" t="s">
        <v>14</v>
      </c>
      <c r="M1296" s="1" t="str">
        <f>_xlfn.XLOOKUP(I1296,Parâmetros!A:A,Parâmetros!B:B,_xlfn.XLOOKUP(Q1296,Parâmetros!F:F,Parâmetros!G:G,"NOVA MENSAGEM"))</f>
        <v>ASSENTO / BAGAGEM</v>
      </c>
      <c r="N1296" s="1" t="str">
        <f>_xlfn.XLOOKUP(M1296,Parâmetros!K:K,Parâmetros!L:L,"")</f>
        <v>CAMPO OBSERVAÇÃO PREENCHIDO INCORRETAMENTE</v>
      </c>
      <c r="O1296" s="1" t="str">
        <f>_xlfn.XLOOKUP(M1296,Parâmetros!B:B,Parâmetros!C:C,_xlfn.XLOOKUP(Base!M1291,Parâmetros!G:G,Parâmetros!H:H))</f>
        <v>QUALIDADE DOS DADOS</v>
      </c>
      <c r="P1296" s="1" t="str">
        <f>_xlfn.XLOOKUP(I1296,Parâmetros!A:A,Parâmetros!D:D,_xlfn.XLOOKUP(Q1296,Parâmetros!F:F,Parâmetros!I:I))</f>
        <v>OPERAÇÕES / SUPORTE KCS</v>
      </c>
      <c r="Q1296" s="1">
        <f t="shared" si="41"/>
        <v>118</v>
      </c>
    </row>
    <row r="1297" spans="1:17" x14ac:dyDescent="0.25">
      <c r="A1297" s="1" t="str">
        <f>_xlfn.XLOOKUP(D1297,'Novo relatório'!B:B,'Novo relatório'!C:C,"RESOLVIDO")</f>
        <v>SABRE</v>
      </c>
      <c r="C1297" t="str">
        <f t="shared" si="40"/>
        <v>PENDENTE</v>
      </c>
      <c r="D1297" s="1">
        <v>3333717</v>
      </c>
      <c r="E1297" s="1" t="s">
        <v>26</v>
      </c>
      <c r="F1297" s="2">
        <v>45747.395138888889</v>
      </c>
      <c r="G1297" s="1" t="s">
        <v>1759</v>
      </c>
      <c r="H1297" s="1" t="s">
        <v>1759</v>
      </c>
      <c r="I1297" s="1" t="s">
        <v>273</v>
      </c>
      <c r="J1297" s="2">
        <v>45747.479861111111</v>
      </c>
      <c r="L1297" s="1" t="s">
        <v>1245</v>
      </c>
      <c r="M1297" s="1" t="str">
        <f>_xlfn.XLOOKUP(I1297,Parâmetros!A:A,Parâmetros!B:B,_xlfn.XLOOKUP(Q1297,Parâmetros!F:F,Parâmetros!G:G,"NOVA MENSAGEM"))</f>
        <v>VENDA CANCELADA</v>
      </c>
      <c r="N1297" s="1" t="str">
        <f>_xlfn.XLOOKUP(M1297,Parâmetros!K:K,Parâmetros!L:L,"")</f>
        <v>RESERVA CANCELADA NO OBT</v>
      </c>
      <c r="O1297" s="1" t="str">
        <f>_xlfn.XLOOKUP(M1297,Parâmetros!B:B,Parâmetros!C:C,_xlfn.XLOOKUP(Base!M1293,Parâmetros!G:G,Parâmetros!H:H))</f>
        <v>SISTEMA</v>
      </c>
      <c r="P1297" s="1" t="str">
        <f>_xlfn.XLOOKUP(I1297,Parâmetros!A:A,Parâmetros!D:D,_xlfn.XLOOKUP(Q1297,Parâmetros!F:F,Parâmetros!I:I))</f>
        <v>SUPORTE OBT</v>
      </c>
      <c r="Q1297" s="1" t="str">
        <f t="shared" si="41"/>
        <v>COLUNA I</v>
      </c>
    </row>
    <row r="1298" spans="1:17" x14ac:dyDescent="0.25">
      <c r="A1298" s="1" t="str">
        <f>_xlfn.XLOOKUP(D1298,'Novo relatório'!B:B,'Novo relatório'!C:C,"RESOLVIDO")</f>
        <v>SABRE</v>
      </c>
      <c r="C1298" t="str">
        <f t="shared" si="40"/>
        <v>PENDENTE</v>
      </c>
      <c r="D1298" s="1">
        <v>3333730</v>
      </c>
      <c r="E1298" s="1" t="s">
        <v>26</v>
      </c>
      <c r="F1298" s="2">
        <v>45747.395138888889</v>
      </c>
      <c r="G1298" s="1" t="s">
        <v>1838</v>
      </c>
      <c r="H1298" s="1" t="s">
        <v>1838</v>
      </c>
      <c r="I1298" s="1" t="s">
        <v>83</v>
      </c>
      <c r="J1298" s="2">
        <v>45747.482638888891</v>
      </c>
      <c r="L1298" s="1" t="s">
        <v>18</v>
      </c>
      <c r="M1298" s="1" t="str">
        <f>_xlfn.XLOOKUP(I1298,Parâmetros!A:A,Parâmetros!B:B,_xlfn.XLOOKUP(Q1298,Parâmetros!F:F,Parâmetros!G:G,"NOVA MENSAGEM"))</f>
        <v>CLIENTE NÃO IDENTIFICADO</v>
      </c>
      <c r="N1298" s="1" t="str">
        <f>_xlfn.XLOOKUP(M1298,Parâmetros!K:K,Parâmetros!L:L,"")</f>
        <v>DK DE CLIENTE NÃO PREENCIDO / CLIENTE NÃO CONFIGURADO NO OBT</v>
      </c>
      <c r="O1298" s="1" t="str">
        <f>_xlfn.XLOOKUP(M1298,Parâmetros!B:B,Parâmetros!C:C,_xlfn.XLOOKUP(Base!M1294,Parâmetros!G:G,Parâmetros!H:H))</f>
        <v>INDEFINIDO</v>
      </c>
      <c r="P1298" s="1" t="str">
        <f>_xlfn.XLOOKUP(I1298,Parâmetros!A:A,Parâmetros!D:D,_xlfn.XLOOKUP(Q1298,Parâmetros!F:F,Parâmetros!I:I))</f>
        <v>OPERAÇÕES / SUPORTE KCS</v>
      </c>
      <c r="Q1298" s="1" t="str">
        <f t="shared" si="41"/>
        <v>COLUNA I</v>
      </c>
    </row>
    <row r="1299" spans="1:17" x14ac:dyDescent="0.25">
      <c r="A1299" s="1" t="str">
        <f>_xlfn.XLOOKUP(D1299,'Novo relatório'!B:B,'Novo relatório'!C:C,"RESOLVIDO")</f>
        <v>SABRE</v>
      </c>
      <c r="C1299" t="str">
        <f t="shared" si="40"/>
        <v>PENDENTE</v>
      </c>
      <c r="D1299" s="1">
        <v>3333733</v>
      </c>
      <c r="E1299" s="1" t="s">
        <v>26</v>
      </c>
      <c r="F1299" s="2">
        <v>45747.398611111108</v>
      </c>
      <c r="G1299" s="1" t="s">
        <v>1651</v>
      </c>
      <c r="H1299" s="1" t="s">
        <v>1652</v>
      </c>
      <c r="I1299" s="1" t="s">
        <v>64</v>
      </c>
      <c r="J1299" s="2">
        <v>45747.482638888891</v>
      </c>
      <c r="L1299" s="1" t="s">
        <v>1244</v>
      </c>
      <c r="M1299" s="1" t="str">
        <f>_xlfn.XLOOKUP(I1299,Parâmetros!A:A,Parâmetros!B:B,_xlfn.XLOOKUP(Q1299,Parâmetros!F:F,Parâmetros!G:G,"NOVA MENSAGEM"))</f>
        <v>FORMATO DE TEXTO</v>
      </c>
      <c r="N1299" s="1" t="str">
        <f>_xlfn.XLOOKUP(M1299,Parâmetros!K:K,Parâmetros!L:L,"")</f>
        <v>TEXTO FORA DO PADRÃO ACEITO NO CAMPO</v>
      </c>
      <c r="O1299" s="1" t="str">
        <f>_xlfn.XLOOKUP(M1299,Parâmetros!B:B,Parâmetros!C:C,_xlfn.XLOOKUP(Base!M1295,Parâmetros!G:G,Parâmetros!H:H))</f>
        <v>INDEFINIDO</v>
      </c>
      <c r="P1299" s="1" t="str">
        <f>_xlfn.XLOOKUP(I1299,Parâmetros!A:A,Parâmetros!D:D,_xlfn.XLOOKUP(Q1299,Parâmetros!F:F,Parâmetros!I:I))</f>
        <v>SUPORTE OBT</v>
      </c>
      <c r="Q1299" s="1" t="str">
        <f t="shared" si="41"/>
        <v>COLUNA I</v>
      </c>
    </row>
    <row r="1300" spans="1:17" x14ac:dyDescent="0.25">
      <c r="A1300" s="1" t="str">
        <f>_xlfn.XLOOKUP(D1300,'Novo relatório'!B:B,'Novo relatório'!C:C,"RESOLVIDO")</f>
        <v>SABRE</v>
      </c>
      <c r="C1300" t="str">
        <f t="shared" si="40"/>
        <v>PENDENTE</v>
      </c>
      <c r="D1300" s="1">
        <v>3333753</v>
      </c>
      <c r="E1300" s="1" t="s">
        <v>26</v>
      </c>
      <c r="F1300" s="2">
        <v>45747.398611111108</v>
      </c>
      <c r="G1300" s="1" t="s">
        <v>1702</v>
      </c>
      <c r="H1300" s="1" t="s">
        <v>1702</v>
      </c>
      <c r="I1300" s="1" t="s">
        <v>273</v>
      </c>
      <c r="J1300" s="2">
        <v>45747.490277777775</v>
      </c>
      <c r="L1300" s="1" t="s">
        <v>1245</v>
      </c>
      <c r="M1300" s="1" t="str">
        <f>_xlfn.XLOOKUP(I1300,Parâmetros!A:A,Parâmetros!B:B,_xlfn.XLOOKUP(Q1300,Parâmetros!F:F,Parâmetros!G:G,"NOVA MENSAGEM"))</f>
        <v>VENDA CANCELADA</v>
      </c>
      <c r="N1300" s="1" t="str">
        <f>_xlfn.XLOOKUP(M1300,Parâmetros!K:K,Parâmetros!L:L,"")</f>
        <v>RESERVA CANCELADA NO OBT</v>
      </c>
      <c r="O1300" s="1" t="str">
        <f>_xlfn.XLOOKUP(M1300,Parâmetros!B:B,Parâmetros!C:C,_xlfn.XLOOKUP(Base!M1296,Parâmetros!G:G,Parâmetros!H:H))</f>
        <v>SISTEMA</v>
      </c>
      <c r="P1300" s="1" t="str">
        <f>_xlfn.XLOOKUP(I1300,Parâmetros!A:A,Parâmetros!D:D,_xlfn.XLOOKUP(Q1300,Parâmetros!F:F,Parâmetros!I:I))</f>
        <v>SUPORTE OBT</v>
      </c>
      <c r="Q1300" s="1" t="str">
        <f t="shared" si="41"/>
        <v>COLUNA I</v>
      </c>
    </row>
    <row r="1301" spans="1:17" x14ac:dyDescent="0.25">
      <c r="A1301" s="1" t="str">
        <f>_xlfn.XLOOKUP(D1301,'Novo relatório'!B:B,'Novo relatório'!C:C,"RESOLVIDO")</f>
        <v>SABRE</v>
      </c>
      <c r="C1301" t="str">
        <f t="shared" si="40"/>
        <v>PENDENTE</v>
      </c>
      <c r="D1301" s="1">
        <v>3334035</v>
      </c>
      <c r="E1301" s="1" t="s">
        <v>26</v>
      </c>
      <c r="F1301" s="2">
        <v>45747.52847222222</v>
      </c>
      <c r="G1301" s="1" t="s">
        <v>1736</v>
      </c>
      <c r="H1301" s="1" t="s">
        <v>1736</v>
      </c>
      <c r="I1301" s="1" t="s">
        <v>396</v>
      </c>
      <c r="J1301" s="2">
        <v>45747.615972222222</v>
      </c>
      <c r="L1301" s="1" t="s">
        <v>18</v>
      </c>
      <c r="M1301" s="1" t="str">
        <f>_xlfn.XLOOKUP(I1301,Parâmetros!A:A,Parâmetros!B:B,_xlfn.XLOOKUP(Q1301,Parâmetros!F:F,Parâmetros!G:G,"NOVA MENSAGEM"))</f>
        <v>CÓD. CLIENTE DIVERGENTE</v>
      </c>
      <c r="N1301" s="1" t="str">
        <f>_xlfn.XLOOKUP(M1301,Parâmetros!K:K,Parâmetros!L:L,"")</f>
        <v>CÓDIGO DIFERENTE DO CADASTRADO NO BENNER (CLIENTE X GRUPO)</v>
      </c>
      <c r="O1301" s="1" t="str">
        <f>_xlfn.XLOOKUP(M1301,Parâmetros!B:B,Parâmetros!C:C,_xlfn.XLOOKUP(Base!M1297,Parâmetros!G:G,Parâmetros!H:H))</f>
        <v>QUALIDADE DOS DADOS</v>
      </c>
      <c r="P1301" s="1" t="str">
        <f>_xlfn.XLOOKUP(I1301,Parâmetros!A:A,Parâmetros!D:D,_xlfn.XLOOKUP(Q1301,Parâmetros!F:F,Parâmetros!I:I))</f>
        <v>SUPORTE OBT</v>
      </c>
      <c r="Q1301" s="1">
        <f t="shared" si="41"/>
        <v>1</v>
      </c>
    </row>
    <row r="1302" spans="1:17" x14ac:dyDescent="0.25">
      <c r="A1302" s="1" t="str">
        <f>_xlfn.XLOOKUP(D1302,'Novo relatório'!B:B,'Novo relatório'!C:C,"RESOLVIDO")</f>
        <v>SABRE</v>
      </c>
      <c r="C1302" t="str">
        <f t="shared" si="40"/>
        <v>PENDENTE</v>
      </c>
      <c r="D1302" s="1">
        <v>3334036</v>
      </c>
      <c r="E1302" s="1" t="s">
        <v>26</v>
      </c>
      <c r="F1302" s="2">
        <v>45747.52847222222</v>
      </c>
      <c r="G1302" s="1" t="s">
        <v>1850</v>
      </c>
      <c r="H1302" s="1" t="s">
        <v>1850</v>
      </c>
      <c r="I1302" s="1" t="s">
        <v>396</v>
      </c>
      <c r="J1302" s="2">
        <v>45747.616666666669</v>
      </c>
      <c r="L1302" s="1" t="s">
        <v>18</v>
      </c>
      <c r="M1302" s="1" t="str">
        <f>_xlfn.XLOOKUP(I1302,Parâmetros!A:A,Parâmetros!B:B,_xlfn.XLOOKUP(Q1302,Parâmetros!F:F,Parâmetros!G:G,"NOVA MENSAGEM"))</f>
        <v>CÓD. CLIENTE DIVERGENTE</v>
      </c>
      <c r="N1302" s="1" t="str">
        <f>_xlfn.XLOOKUP(M1302,Parâmetros!K:K,Parâmetros!L:L,"")</f>
        <v>CÓDIGO DIFERENTE DO CADASTRADO NO BENNER (CLIENTE X GRUPO)</v>
      </c>
      <c r="O1302" s="1" t="str">
        <f>_xlfn.XLOOKUP(M1302,Parâmetros!B:B,Parâmetros!C:C,_xlfn.XLOOKUP(Base!M1298,Parâmetros!G:G,Parâmetros!H:H))</f>
        <v>QUALIDADE DOS DADOS</v>
      </c>
      <c r="P1302" s="1" t="str">
        <f>_xlfn.XLOOKUP(I1302,Parâmetros!A:A,Parâmetros!D:D,_xlfn.XLOOKUP(Q1302,Parâmetros!F:F,Parâmetros!I:I))</f>
        <v>SUPORTE OBT</v>
      </c>
      <c r="Q1302" s="1">
        <f t="shared" si="41"/>
        <v>1</v>
      </c>
    </row>
    <row r="1303" spans="1:17" x14ac:dyDescent="0.25">
      <c r="A1303" s="1" t="str">
        <f>_xlfn.XLOOKUP(D1303,'Novo relatório'!B:B,'Novo relatório'!C:C,"RESOLVIDO")</f>
        <v>SABRE</v>
      </c>
      <c r="C1303" t="str">
        <f t="shared" si="40"/>
        <v>PENDENTE</v>
      </c>
      <c r="D1303" s="1">
        <v>3334037</v>
      </c>
      <c r="E1303" s="1" t="s">
        <v>26</v>
      </c>
      <c r="F1303" s="2">
        <v>45747.52847222222</v>
      </c>
      <c r="G1303" s="1" t="s">
        <v>1870</v>
      </c>
      <c r="H1303" s="1" t="s">
        <v>1870</v>
      </c>
      <c r="I1303" s="1" t="s">
        <v>83</v>
      </c>
      <c r="J1303" s="2">
        <v>45747.616666666669</v>
      </c>
      <c r="L1303" s="1" t="s">
        <v>18</v>
      </c>
      <c r="M1303" s="1" t="str">
        <f>_xlfn.XLOOKUP(I1303,Parâmetros!A:A,Parâmetros!B:B,_xlfn.XLOOKUP(Q1303,Parâmetros!F:F,Parâmetros!G:G,"NOVA MENSAGEM"))</f>
        <v>CLIENTE NÃO IDENTIFICADO</v>
      </c>
      <c r="N1303" s="1" t="str">
        <f>_xlfn.XLOOKUP(M1303,Parâmetros!K:K,Parâmetros!L:L,"")</f>
        <v>DK DE CLIENTE NÃO PREENCIDO / CLIENTE NÃO CONFIGURADO NO OBT</v>
      </c>
      <c r="O1303" s="1" t="str">
        <f>_xlfn.XLOOKUP(M1303,Parâmetros!B:B,Parâmetros!C:C,_xlfn.XLOOKUP(Base!M1299,Parâmetros!G:G,Parâmetros!H:H))</f>
        <v>INDEFINIDO</v>
      </c>
      <c r="P1303" s="1" t="str">
        <f>_xlfn.XLOOKUP(I1303,Parâmetros!A:A,Parâmetros!D:D,_xlfn.XLOOKUP(Q1303,Parâmetros!F:F,Parâmetros!I:I))</f>
        <v>OPERAÇÕES / SUPORTE KCS</v>
      </c>
      <c r="Q1303" s="1" t="str">
        <f t="shared" si="41"/>
        <v>COLUNA I</v>
      </c>
    </row>
    <row r="1304" spans="1:17" x14ac:dyDescent="0.25">
      <c r="A1304" s="1" t="str">
        <f>_xlfn.XLOOKUP(D1304,'Novo relatório'!B:B,'Novo relatório'!C:C,"RESOLVIDO")</f>
        <v>SABRE</v>
      </c>
      <c r="C1304" t="str">
        <f t="shared" si="40"/>
        <v>PENDENTE</v>
      </c>
      <c r="D1304" s="1">
        <v>3334041</v>
      </c>
      <c r="E1304" s="1" t="s">
        <v>26</v>
      </c>
      <c r="F1304" s="2">
        <v>45747.52847222222</v>
      </c>
      <c r="G1304" s="1" t="s">
        <v>1837</v>
      </c>
      <c r="H1304" s="1" t="s">
        <v>1837</v>
      </c>
      <c r="I1304" s="1" t="s">
        <v>396</v>
      </c>
      <c r="J1304" s="2">
        <v>45747.617361111108</v>
      </c>
      <c r="L1304" s="1" t="s">
        <v>18</v>
      </c>
      <c r="M1304" s="1" t="str">
        <f>_xlfn.XLOOKUP(I1304,Parâmetros!A:A,Parâmetros!B:B,_xlfn.XLOOKUP(Q1304,Parâmetros!F:F,Parâmetros!G:G,"NOVA MENSAGEM"))</f>
        <v>CÓD. CLIENTE DIVERGENTE</v>
      </c>
      <c r="N1304" s="1" t="str">
        <f>_xlfn.XLOOKUP(M1304,Parâmetros!K:K,Parâmetros!L:L,"")</f>
        <v>CÓDIGO DIFERENTE DO CADASTRADO NO BENNER (CLIENTE X GRUPO)</v>
      </c>
      <c r="O1304" s="1" t="str">
        <f>_xlfn.XLOOKUP(M1304,Parâmetros!B:B,Parâmetros!C:C,_xlfn.XLOOKUP(Base!M1300,Parâmetros!G:G,Parâmetros!H:H))</f>
        <v>QUALIDADE DOS DADOS</v>
      </c>
      <c r="P1304" s="1" t="str">
        <f>_xlfn.XLOOKUP(I1304,Parâmetros!A:A,Parâmetros!D:D,_xlfn.XLOOKUP(Q1304,Parâmetros!F:F,Parâmetros!I:I))</f>
        <v>SUPORTE OBT</v>
      </c>
      <c r="Q1304" s="1">
        <f t="shared" si="41"/>
        <v>1</v>
      </c>
    </row>
    <row r="1305" spans="1:17" x14ac:dyDescent="0.25">
      <c r="A1305" s="1" t="str">
        <f>_xlfn.XLOOKUP(D1305,'Novo relatório'!B:B,'Novo relatório'!C:C,"RESOLVIDO")</f>
        <v>SABRE</v>
      </c>
      <c r="C1305" t="str">
        <f t="shared" si="40"/>
        <v>PENDENTE</v>
      </c>
      <c r="D1305" s="1">
        <v>3334043</v>
      </c>
      <c r="E1305" s="1" t="s">
        <v>26</v>
      </c>
      <c r="F1305" s="2">
        <v>45747.52847222222</v>
      </c>
      <c r="G1305" s="1" t="s">
        <v>1872</v>
      </c>
      <c r="H1305" s="1" t="s">
        <v>1872</v>
      </c>
      <c r="I1305" s="1" t="s">
        <v>396</v>
      </c>
      <c r="J1305" s="2">
        <v>45747.617361111108</v>
      </c>
      <c r="L1305" s="1" t="s">
        <v>18</v>
      </c>
      <c r="M1305" s="1" t="str">
        <f>_xlfn.XLOOKUP(I1305,Parâmetros!A:A,Parâmetros!B:B,_xlfn.XLOOKUP(Q1305,Parâmetros!F:F,Parâmetros!G:G,"NOVA MENSAGEM"))</f>
        <v>CÓD. CLIENTE DIVERGENTE</v>
      </c>
      <c r="N1305" s="1" t="str">
        <f>_xlfn.XLOOKUP(M1305,Parâmetros!K:K,Parâmetros!L:L,"")</f>
        <v>CÓDIGO DIFERENTE DO CADASTRADO NO BENNER (CLIENTE X GRUPO)</v>
      </c>
      <c r="O1305" s="1" t="str">
        <f>_xlfn.XLOOKUP(M1305,Parâmetros!B:B,Parâmetros!C:C,_xlfn.XLOOKUP(Base!M1301,Parâmetros!G:G,Parâmetros!H:H))</f>
        <v>QUALIDADE DOS DADOS</v>
      </c>
      <c r="P1305" s="1" t="str">
        <f>_xlfn.XLOOKUP(I1305,Parâmetros!A:A,Parâmetros!D:D,_xlfn.XLOOKUP(Q1305,Parâmetros!F:F,Parâmetros!I:I))</f>
        <v>SUPORTE OBT</v>
      </c>
      <c r="Q1305" s="1">
        <f t="shared" si="41"/>
        <v>1</v>
      </c>
    </row>
    <row r="1306" spans="1:17" x14ac:dyDescent="0.25">
      <c r="A1306" s="1" t="str">
        <f>_xlfn.XLOOKUP(D1306,'Novo relatório'!B:B,'Novo relatório'!C:C,"RESOLVIDO")</f>
        <v>TMS</v>
      </c>
      <c r="C1306" t="str">
        <f t="shared" si="40"/>
        <v>PENDENTE</v>
      </c>
      <c r="D1306" s="1">
        <v>3335167</v>
      </c>
      <c r="E1306" s="1" t="s">
        <v>12</v>
      </c>
      <c r="F1306" s="2">
        <v>45747.571527777778</v>
      </c>
      <c r="G1306" s="1">
        <v>57257</v>
      </c>
      <c r="H1306" s="1">
        <v>57257</v>
      </c>
      <c r="I1306" s="1" t="s">
        <v>1910</v>
      </c>
      <c r="J1306" s="2">
        <v>45747.754166666666</v>
      </c>
      <c r="K1306" s="2">
        <v>45750.999305555553</v>
      </c>
      <c r="L1306" s="1" t="s">
        <v>14</v>
      </c>
      <c r="M1306" s="1" t="str">
        <f>_xlfn.XLOOKUP(I1306,Parâmetros!A:A,Parâmetros!B:B,_xlfn.XLOOKUP(Q1306,Parâmetros!F:F,Parâmetros!G:G,"NOVA MENSAGEM"))</f>
        <v>ASSENTO / BAGAGEM</v>
      </c>
      <c r="N1306" s="1" t="str">
        <f>_xlfn.XLOOKUP(M1306,Parâmetros!K:K,Parâmetros!L:L,"")</f>
        <v>CAMPO OBSERVAÇÃO PREENCHIDO INCORRETAMENTE</v>
      </c>
      <c r="O1306" s="1" t="str">
        <f>_xlfn.XLOOKUP(M1306,Parâmetros!B:B,Parâmetros!C:C,_xlfn.XLOOKUP(Base!M1302,Parâmetros!G:G,Parâmetros!H:H))</f>
        <v>QUALIDADE DOS DADOS</v>
      </c>
      <c r="P1306" s="1" t="str">
        <f>_xlfn.XLOOKUP(I1306,Parâmetros!A:A,Parâmetros!D:D,_xlfn.XLOOKUP(Q1306,Parâmetros!F:F,Parâmetros!I:I))</f>
        <v>OPERAÇÕES / SUPORTE KCS</v>
      </c>
      <c r="Q1306" s="1">
        <f t="shared" si="41"/>
        <v>127</v>
      </c>
    </row>
    <row r="1307" spans="1:17" x14ac:dyDescent="0.25">
      <c r="A1307" s="1" t="str">
        <f>_xlfn.XLOOKUP(D1307,'Novo relatório'!B:B,'Novo relatório'!C:C,"RESOLVIDO")</f>
        <v>TMS</v>
      </c>
      <c r="C1307" t="str">
        <f t="shared" si="40"/>
        <v>PENDENTE</v>
      </c>
      <c r="D1307" s="1">
        <v>3335199</v>
      </c>
      <c r="E1307" s="1" t="s">
        <v>12</v>
      </c>
      <c r="F1307" s="2">
        <v>45747.59652777778</v>
      </c>
      <c r="G1307" s="1">
        <v>55415</v>
      </c>
      <c r="H1307" s="1">
        <v>55415</v>
      </c>
      <c r="I1307" s="1" t="s">
        <v>16</v>
      </c>
      <c r="J1307" s="2">
        <v>45747.756944444445</v>
      </c>
      <c r="K1307" s="2">
        <v>45750.999305555553</v>
      </c>
      <c r="L1307" s="1" t="s">
        <v>14</v>
      </c>
      <c r="M1307" s="1" t="str">
        <f>_xlfn.XLOOKUP(I1307,Parâmetros!A:A,Parâmetros!B:B,_xlfn.XLOOKUP(Q1307,Parâmetros!F:F,Parâmetros!G:G,"NOVA MENSAGEM"))</f>
        <v>ASSENTO / BAGAGEM</v>
      </c>
      <c r="N1307" s="1" t="str">
        <f>_xlfn.XLOOKUP(M1307,Parâmetros!K:K,Parâmetros!L:L,"")</f>
        <v>CAMPO OBSERVAÇÃO PREENCHIDO INCORRETAMENTE</v>
      </c>
      <c r="O1307" s="1" t="str">
        <f>_xlfn.XLOOKUP(M1307,Parâmetros!B:B,Parâmetros!C:C,_xlfn.XLOOKUP(Base!M1303,Parâmetros!G:G,Parâmetros!H:H))</f>
        <v>QUALIDADE DOS DADOS</v>
      </c>
      <c r="P1307" s="1" t="str">
        <f>_xlfn.XLOOKUP(I1307,Parâmetros!A:A,Parâmetros!D:D,_xlfn.XLOOKUP(Q1307,Parâmetros!F:F,Parâmetros!I:I))</f>
        <v>OPERAÇÕES / SUPORTE KCS</v>
      </c>
      <c r="Q1307" s="1">
        <f t="shared" si="41"/>
        <v>118</v>
      </c>
    </row>
    <row r="1308" spans="1:17" x14ac:dyDescent="0.25">
      <c r="A1308" s="1" t="str">
        <f>_xlfn.XLOOKUP(D1308,'Novo relatório'!B:B,'Novo relatório'!C:C,"RESOLVIDO")</f>
        <v>TMS</v>
      </c>
      <c r="C1308" t="str">
        <f t="shared" si="40"/>
        <v>PENDENTE</v>
      </c>
      <c r="D1308" s="1">
        <v>3335200</v>
      </c>
      <c r="E1308" s="1" t="s">
        <v>12</v>
      </c>
      <c r="F1308" s="2">
        <v>45747.677083333336</v>
      </c>
      <c r="G1308" s="1">
        <v>55414</v>
      </c>
      <c r="H1308" s="1">
        <v>55414</v>
      </c>
      <c r="I1308" s="1" t="s">
        <v>455</v>
      </c>
      <c r="J1308" s="2">
        <v>45747.757638888892</v>
      </c>
      <c r="K1308" s="2">
        <v>45750.999305555553</v>
      </c>
      <c r="L1308" s="1" t="s">
        <v>14</v>
      </c>
      <c r="M1308" s="1" t="str">
        <f>_xlfn.XLOOKUP(I1308,Parâmetros!A:A,Parâmetros!B:B,_xlfn.XLOOKUP(Q1308,Parâmetros!F:F,Parâmetros!G:G,"NOVA MENSAGEM"))</f>
        <v>ASSENTO / BAGAGEM</v>
      </c>
      <c r="N1308" s="1" t="str">
        <f>_xlfn.XLOOKUP(M1308,Parâmetros!K:K,Parâmetros!L:L,"")</f>
        <v>CAMPO OBSERVAÇÃO PREENCHIDO INCORRETAMENTE</v>
      </c>
      <c r="O1308" s="1" t="str">
        <f>_xlfn.XLOOKUP(M1308,Parâmetros!B:B,Parâmetros!C:C,_xlfn.XLOOKUP(Base!M1304,Parâmetros!G:G,Parâmetros!H:H))</f>
        <v>QUALIDADE DOS DADOS</v>
      </c>
      <c r="P1308" s="1" t="str">
        <f>_xlfn.XLOOKUP(I1308,Parâmetros!A:A,Parâmetros!D:D,_xlfn.XLOOKUP(Q1308,Parâmetros!F:F,Parâmetros!I:I))</f>
        <v>OPERAÇÕES / SUPORTE KCS</v>
      </c>
      <c r="Q1308" s="1">
        <f t="shared" si="41"/>
        <v>127</v>
      </c>
    </row>
    <row r="1309" spans="1:17" x14ac:dyDescent="0.25">
      <c r="A1309" s="1" t="str">
        <f>_xlfn.XLOOKUP(D1309,'Novo relatório'!B:B,'Novo relatório'!C:C,"RESOLVIDO")</f>
        <v>SABRE</v>
      </c>
      <c r="C1309" t="str">
        <f t="shared" si="40"/>
        <v>PENDENTE</v>
      </c>
      <c r="D1309" s="1">
        <v>3335266</v>
      </c>
      <c r="E1309" s="1" t="s">
        <v>26</v>
      </c>
      <c r="F1309" s="2">
        <v>45747.671527777777</v>
      </c>
      <c r="G1309" s="1" t="s">
        <v>1827</v>
      </c>
      <c r="H1309" s="1" t="s">
        <v>1827</v>
      </c>
      <c r="I1309" s="1" t="s">
        <v>410</v>
      </c>
      <c r="J1309" s="2">
        <v>45747.763194444444</v>
      </c>
      <c r="L1309" s="1" t="s">
        <v>18</v>
      </c>
      <c r="M1309" s="1" t="str">
        <f>_xlfn.XLOOKUP(I1309,Parâmetros!A:A,Parâmetros!B:B,_xlfn.XLOOKUP(Q1309,Parâmetros!F:F,Parâmetros!G:G,"NOVA MENSAGEM"))</f>
        <v>CÓD. CLIENTE DIVERGENTE</v>
      </c>
      <c r="N1309" s="1" t="str">
        <f>_xlfn.XLOOKUP(M1309,Parâmetros!K:K,Parâmetros!L:L,"")</f>
        <v>CÓDIGO DIFERENTE DO CADASTRADO NO BENNER (CLIENTE X GRUPO)</v>
      </c>
      <c r="O1309" s="1" t="str">
        <f>_xlfn.XLOOKUP(M1309,Parâmetros!B:B,Parâmetros!C:C,_xlfn.XLOOKUP(Base!M1305,Parâmetros!G:G,Parâmetros!H:H))</f>
        <v>QUALIDADE DOS DADOS</v>
      </c>
      <c r="P1309" s="1" t="str">
        <f>_xlfn.XLOOKUP(I1309,Parâmetros!A:A,Parâmetros!D:D,_xlfn.XLOOKUP(Q1309,Parâmetros!F:F,Parâmetros!I:I))</f>
        <v>SUPORTE OBT</v>
      </c>
      <c r="Q1309" s="1">
        <f t="shared" si="41"/>
        <v>1</v>
      </c>
    </row>
    <row r="1310" spans="1:17" x14ac:dyDescent="0.25">
      <c r="A1310" s="1" t="str">
        <f>_xlfn.XLOOKUP(D1310,'Novo relatório'!B:B,'Novo relatório'!C:C,"RESOLVIDO")</f>
        <v>SABRE</v>
      </c>
      <c r="C1310" t="str">
        <f t="shared" si="40"/>
        <v>PENDENTE</v>
      </c>
      <c r="D1310" s="1">
        <v>3335698</v>
      </c>
      <c r="E1310" s="1" t="s">
        <v>26</v>
      </c>
      <c r="F1310" s="2">
        <v>45747.761805555558</v>
      </c>
      <c r="G1310" s="1" t="s">
        <v>1795</v>
      </c>
      <c r="H1310" s="1" t="s">
        <v>1795</v>
      </c>
      <c r="I1310" s="1" t="s">
        <v>1711</v>
      </c>
      <c r="J1310" s="2">
        <v>45747.856249999997</v>
      </c>
      <c r="L1310" s="1" t="s">
        <v>18</v>
      </c>
      <c r="M1310" s="1" t="str">
        <f>_xlfn.XLOOKUP(I1310,Parâmetros!A:A,Parâmetros!B:B,_xlfn.XLOOKUP(Q1310,Parâmetros!F:F,Parâmetros!G:G,"NOVA MENSAGEM"))</f>
        <v>CÓD. CLIENTE DIVERGENTE</v>
      </c>
      <c r="N1310" s="1" t="str">
        <f>_xlfn.XLOOKUP(M1310,Parâmetros!K:K,Parâmetros!L:L,"")</f>
        <v>CÓDIGO DIFERENTE DO CADASTRADO NO BENNER (CLIENTE X GRUPO)</v>
      </c>
      <c r="O1310" s="1" t="str">
        <f>_xlfn.XLOOKUP(M1310,Parâmetros!B:B,Parâmetros!C:C,_xlfn.XLOOKUP(Base!M1306,Parâmetros!G:G,Parâmetros!H:H))</f>
        <v>QUALIDADE DOS DADOS</v>
      </c>
      <c r="P1310" s="1" t="str">
        <f>_xlfn.XLOOKUP(I1310,Parâmetros!A:A,Parâmetros!D:D,_xlfn.XLOOKUP(Q1310,Parâmetros!F:F,Parâmetros!I:I))</f>
        <v>SUPORTE OBT</v>
      </c>
      <c r="Q1310" s="1">
        <f t="shared" si="41"/>
        <v>1</v>
      </c>
    </row>
    <row r="1311" spans="1:17" x14ac:dyDescent="0.25">
      <c r="A1311" s="1" t="str">
        <f>_xlfn.XLOOKUP(D1311,'Novo relatório'!B:B,'Novo relatório'!C:C,"RESOLVIDO")</f>
        <v>SABRE</v>
      </c>
      <c r="C1311" t="str">
        <f t="shared" si="40"/>
        <v>PENDENTE</v>
      </c>
      <c r="D1311" s="1">
        <v>3336867</v>
      </c>
      <c r="E1311" s="1" t="s">
        <v>26</v>
      </c>
      <c r="F1311" s="2">
        <v>45748.425000000003</v>
      </c>
      <c r="G1311" s="1" t="s">
        <v>1660</v>
      </c>
      <c r="H1311" s="1" t="s">
        <v>1660</v>
      </c>
      <c r="I1311" s="1" t="s">
        <v>408</v>
      </c>
      <c r="J1311" s="2">
        <v>45748.511805555558</v>
      </c>
      <c r="L1311" s="1" t="s">
        <v>18</v>
      </c>
      <c r="M1311" s="1" t="str">
        <f>_xlfn.XLOOKUP(I1311,Parâmetros!A:A,Parâmetros!B:B,_xlfn.XLOOKUP(Q1311,Parâmetros!F:F,Parâmetros!G:G,"NOVA MENSAGEM"))</f>
        <v>CÓD. CLIENTE DIVERGENTE</v>
      </c>
      <c r="N1311" s="1" t="str">
        <f>_xlfn.XLOOKUP(M1311,Parâmetros!K:K,Parâmetros!L:L,"")</f>
        <v>CÓDIGO DIFERENTE DO CADASTRADO NO BENNER (CLIENTE X GRUPO)</v>
      </c>
      <c r="O1311" s="1" t="str">
        <f>_xlfn.XLOOKUP(M1311,Parâmetros!B:B,Parâmetros!C:C,_xlfn.XLOOKUP(Base!M1307,Parâmetros!G:G,Parâmetros!H:H))</f>
        <v>QUALIDADE DOS DADOS</v>
      </c>
      <c r="P1311" s="1" t="str">
        <f>_xlfn.XLOOKUP(I1311,Parâmetros!A:A,Parâmetros!D:D,_xlfn.XLOOKUP(Q1311,Parâmetros!F:F,Parâmetros!I:I))</f>
        <v>SUPORTE OBT</v>
      </c>
      <c r="Q1311" s="1">
        <f t="shared" si="41"/>
        <v>1</v>
      </c>
    </row>
    <row r="1312" spans="1:17" x14ac:dyDescent="0.25">
      <c r="A1312" s="1" t="str">
        <f>_xlfn.XLOOKUP(D1312,'Novo relatório'!B:B,'Novo relatório'!C:C,"RESOLVIDO")</f>
        <v>SABRE</v>
      </c>
      <c r="C1312" t="str">
        <f t="shared" si="40"/>
        <v>PENDENTE</v>
      </c>
      <c r="D1312" s="1">
        <v>3336868</v>
      </c>
      <c r="E1312" s="1" t="s">
        <v>26</v>
      </c>
      <c r="F1312" s="2">
        <v>45748.425000000003</v>
      </c>
      <c r="G1312" s="1" t="s">
        <v>1662</v>
      </c>
      <c r="H1312" s="1" t="s">
        <v>1660</v>
      </c>
      <c r="I1312" s="1" t="s">
        <v>1202</v>
      </c>
      <c r="J1312" s="2">
        <v>45748.511805555558</v>
      </c>
      <c r="L1312" s="1" t="s">
        <v>18</v>
      </c>
      <c r="M1312" s="1" t="str">
        <f>_xlfn.XLOOKUP(I1312,Parâmetros!A:A,Parâmetros!B:B,_xlfn.XLOOKUP(Q1312,Parâmetros!F:F,Parâmetros!G:G,"NOVA MENSAGEM"))</f>
        <v>CÓD. CLIENTE DIVERGENTE</v>
      </c>
      <c r="N1312" s="1" t="str">
        <f>_xlfn.XLOOKUP(M1312,Parâmetros!K:K,Parâmetros!L:L,"")</f>
        <v>CÓDIGO DIFERENTE DO CADASTRADO NO BENNER (CLIENTE X GRUPO)</v>
      </c>
      <c r="O1312" s="1" t="str">
        <f>_xlfn.XLOOKUP(M1312,Parâmetros!B:B,Parâmetros!C:C,_xlfn.XLOOKUP(Base!M1309,Parâmetros!G:G,Parâmetros!H:H))</f>
        <v>QUALIDADE DOS DADOS</v>
      </c>
      <c r="P1312" s="1" t="str">
        <f>_xlfn.XLOOKUP(I1312,Parâmetros!A:A,Parâmetros!D:D,_xlfn.XLOOKUP(Q1312,Parâmetros!F:F,Parâmetros!I:I))</f>
        <v>SUPORTE OBT</v>
      </c>
      <c r="Q1312" s="1">
        <f t="shared" si="41"/>
        <v>1</v>
      </c>
    </row>
    <row r="1313" spans="1:17" x14ac:dyDescent="0.25">
      <c r="A1313" s="1" t="str">
        <f>_xlfn.XLOOKUP(D1313,'Novo relatório'!B:B,'Novo relatório'!C:C,"RESOLVIDO")</f>
        <v>SABRE</v>
      </c>
      <c r="C1313" t="str">
        <f t="shared" si="40"/>
        <v>PENDENTE</v>
      </c>
      <c r="D1313" s="1">
        <v>3336869</v>
      </c>
      <c r="E1313" s="1" t="s">
        <v>26</v>
      </c>
      <c r="F1313" s="2">
        <v>45748.425000000003</v>
      </c>
      <c r="G1313" s="1" t="s">
        <v>1661</v>
      </c>
      <c r="H1313" s="1" t="s">
        <v>1660</v>
      </c>
      <c r="I1313" s="1" t="s">
        <v>1423</v>
      </c>
      <c r="J1313" s="2">
        <v>45748.511805555558</v>
      </c>
      <c r="L1313" s="1" t="s">
        <v>18</v>
      </c>
      <c r="M1313" s="1" t="str">
        <f>_xlfn.XLOOKUP(I1313,Parâmetros!A:A,Parâmetros!B:B,_xlfn.XLOOKUP(Q1313,Parâmetros!F:F,Parâmetros!G:G,"NOVA MENSAGEM"))</f>
        <v>CÓD. CLIENTE DIVERGENTE</v>
      </c>
      <c r="N1313" s="1" t="str">
        <f>_xlfn.XLOOKUP(M1313,Parâmetros!K:K,Parâmetros!L:L,"")</f>
        <v>CÓDIGO DIFERENTE DO CADASTRADO NO BENNER (CLIENTE X GRUPO)</v>
      </c>
      <c r="O1313" s="1" t="str">
        <f>_xlfn.XLOOKUP(M1313,Parâmetros!B:B,Parâmetros!C:C,_xlfn.XLOOKUP(Base!M1308,Parâmetros!G:G,Parâmetros!H:H))</f>
        <v>QUALIDADE DOS DADOS</v>
      </c>
      <c r="P1313" s="1" t="str">
        <f>_xlfn.XLOOKUP(I1313,Parâmetros!A:A,Parâmetros!D:D,_xlfn.XLOOKUP(Q1313,Parâmetros!F:F,Parâmetros!I:I))</f>
        <v>SUPORTE OBT</v>
      </c>
      <c r="Q1313" s="1">
        <f t="shared" si="41"/>
        <v>1</v>
      </c>
    </row>
    <row r="1314" spans="1:17" x14ac:dyDescent="0.25">
      <c r="A1314" s="1" t="str">
        <f>_xlfn.XLOOKUP(D1314,'Novo relatório'!B:B,'Novo relatório'!C:C,"RESOLVIDO")</f>
        <v>SABRE</v>
      </c>
      <c r="C1314" t="str">
        <f t="shared" si="40"/>
        <v>PENDENTE</v>
      </c>
      <c r="D1314" s="1">
        <v>3336919</v>
      </c>
      <c r="E1314" s="1" t="s">
        <v>26</v>
      </c>
      <c r="F1314" s="2">
        <v>45749.654166666667</v>
      </c>
      <c r="G1314" s="1" t="s">
        <v>1883</v>
      </c>
      <c r="H1314" s="1" t="s">
        <v>1883</v>
      </c>
      <c r="I1314" s="1" t="s">
        <v>83</v>
      </c>
      <c r="J1314" s="2">
        <v>45748.542361111111</v>
      </c>
      <c r="K1314" s="2">
        <v>45749.740277777775</v>
      </c>
      <c r="L1314" s="1" t="s">
        <v>18</v>
      </c>
      <c r="M1314" s="1" t="str">
        <f>_xlfn.XLOOKUP(I1314,Parâmetros!A:A,Parâmetros!B:B,_xlfn.XLOOKUP(Q1314,Parâmetros!F:F,Parâmetros!G:G,"NOVA MENSAGEM"))</f>
        <v>CLIENTE NÃO IDENTIFICADO</v>
      </c>
      <c r="N1314" s="1" t="str">
        <f>_xlfn.XLOOKUP(M1314,Parâmetros!K:K,Parâmetros!L:L,"")</f>
        <v>DK DE CLIENTE NÃO PREENCIDO / CLIENTE NÃO CONFIGURADO NO OBT</v>
      </c>
      <c r="O1314" s="1" t="str">
        <f>_xlfn.XLOOKUP(M1314,Parâmetros!B:B,Parâmetros!C:C,_xlfn.XLOOKUP(Base!M1311,Parâmetros!G:G,Parâmetros!H:H))</f>
        <v>INDEFINIDO</v>
      </c>
      <c r="P1314" s="1" t="str">
        <f>_xlfn.XLOOKUP(I1314,Parâmetros!A:A,Parâmetros!D:D,_xlfn.XLOOKUP(Q1314,Parâmetros!F:F,Parâmetros!I:I))</f>
        <v>OPERAÇÕES / SUPORTE KCS</v>
      </c>
      <c r="Q1314" s="1" t="str">
        <f t="shared" si="41"/>
        <v>COLUNA I</v>
      </c>
    </row>
    <row r="1315" spans="1:17" x14ac:dyDescent="0.25">
      <c r="A1315" s="1" t="str">
        <f>_xlfn.XLOOKUP(D1315,'Novo relatório'!B:B,'Novo relatório'!C:C,"RESOLVIDO")</f>
        <v>SABRE</v>
      </c>
      <c r="C1315" t="str">
        <f t="shared" si="40"/>
        <v>PENDENTE</v>
      </c>
      <c r="D1315" s="1">
        <v>3336921</v>
      </c>
      <c r="E1315" s="1" t="s">
        <v>26</v>
      </c>
      <c r="F1315" s="2">
        <v>45749.654166666667</v>
      </c>
      <c r="G1315" s="1" t="s">
        <v>1717</v>
      </c>
      <c r="H1315" s="1" t="s">
        <v>1717</v>
      </c>
      <c r="I1315" s="1" t="s">
        <v>83</v>
      </c>
      <c r="J1315" s="2">
        <v>45748.542361111111</v>
      </c>
      <c r="K1315" s="2">
        <v>45749.740277777775</v>
      </c>
      <c r="L1315" s="1" t="s">
        <v>18</v>
      </c>
      <c r="M1315" s="1" t="str">
        <f>_xlfn.XLOOKUP(I1315,Parâmetros!A:A,Parâmetros!B:B,_xlfn.XLOOKUP(Q1315,Parâmetros!F:F,Parâmetros!G:G,"NOVA MENSAGEM"))</f>
        <v>CLIENTE NÃO IDENTIFICADO</v>
      </c>
      <c r="N1315" s="1" t="str">
        <f>_xlfn.XLOOKUP(M1315,Parâmetros!K:K,Parâmetros!L:L,"")</f>
        <v>DK DE CLIENTE NÃO PREENCIDO / CLIENTE NÃO CONFIGURADO NO OBT</v>
      </c>
      <c r="O1315" s="1" t="str">
        <f>_xlfn.XLOOKUP(M1315,Parâmetros!B:B,Parâmetros!C:C,_xlfn.XLOOKUP(Base!M1310,Parâmetros!G:G,Parâmetros!H:H))</f>
        <v>INDEFINIDO</v>
      </c>
      <c r="P1315" s="1" t="str">
        <f>_xlfn.XLOOKUP(I1315,Parâmetros!A:A,Parâmetros!D:D,_xlfn.XLOOKUP(Q1315,Parâmetros!F:F,Parâmetros!I:I))</f>
        <v>OPERAÇÕES / SUPORTE KCS</v>
      </c>
      <c r="Q1315" s="1" t="str">
        <f t="shared" si="41"/>
        <v>COLUNA I</v>
      </c>
    </row>
    <row r="1316" spans="1:17" x14ac:dyDescent="0.25">
      <c r="A1316" s="1" t="str">
        <f>_xlfn.XLOOKUP(D1316,'Novo relatório'!B:B,'Novo relatório'!C:C,"RESOLVIDO")</f>
        <v>SABRE</v>
      </c>
      <c r="C1316" t="str">
        <f t="shared" si="40"/>
        <v>PENDENTE</v>
      </c>
      <c r="D1316" s="1">
        <v>3337079</v>
      </c>
      <c r="E1316" s="1" t="s">
        <v>26</v>
      </c>
      <c r="F1316" s="2">
        <v>45748.661805555559</v>
      </c>
      <c r="G1316" s="1" t="s">
        <v>1884</v>
      </c>
      <c r="H1316" s="1" t="s">
        <v>1884</v>
      </c>
      <c r="I1316" s="1" t="s">
        <v>83</v>
      </c>
      <c r="J1316" s="2">
        <v>45748.617361111108</v>
      </c>
      <c r="K1316" s="2">
        <v>45748.752083333333</v>
      </c>
      <c r="L1316" s="1" t="s">
        <v>18</v>
      </c>
      <c r="M1316" s="1" t="str">
        <f>_xlfn.XLOOKUP(I1316,Parâmetros!A:A,Parâmetros!B:B,_xlfn.XLOOKUP(Q1316,Parâmetros!F:F,Parâmetros!G:G,"NOVA MENSAGEM"))</f>
        <v>CLIENTE NÃO IDENTIFICADO</v>
      </c>
      <c r="N1316" s="1" t="str">
        <f>_xlfn.XLOOKUP(M1316,Parâmetros!K:K,Parâmetros!L:L,"")</f>
        <v>DK DE CLIENTE NÃO PREENCIDO / CLIENTE NÃO CONFIGURADO NO OBT</v>
      </c>
      <c r="O1316" s="1" t="str">
        <f>_xlfn.XLOOKUP(M1316,Parâmetros!B:B,Parâmetros!C:C,_xlfn.XLOOKUP(Base!M1312,Parâmetros!G:G,Parâmetros!H:H))</f>
        <v>INDEFINIDO</v>
      </c>
      <c r="P1316" s="1" t="str">
        <f>_xlfn.XLOOKUP(I1316,Parâmetros!A:A,Parâmetros!D:D,_xlfn.XLOOKUP(Q1316,Parâmetros!F:F,Parâmetros!I:I))</f>
        <v>OPERAÇÕES / SUPORTE KCS</v>
      </c>
      <c r="Q1316" s="1" t="str">
        <f t="shared" si="41"/>
        <v>COLUNA I</v>
      </c>
    </row>
    <row r="1317" spans="1:17" x14ac:dyDescent="0.25">
      <c r="A1317" s="1" t="str">
        <f>_xlfn.XLOOKUP(D1317,'Novo relatório'!B:B,'Novo relatório'!C:C,"RESOLVIDO")</f>
        <v>SABRE</v>
      </c>
      <c r="C1317" t="str">
        <f t="shared" si="40"/>
        <v>PENDENTE</v>
      </c>
      <c r="D1317" s="1">
        <v>3337093</v>
      </c>
      <c r="E1317" s="1" t="s">
        <v>26</v>
      </c>
      <c r="F1317" s="2">
        <v>45748.530555555553</v>
      </c>
      <c r="G1317" s="1" t="s">
        <v>1735</v>
      </c>
      <c r="H1317" s="1" t="s">
        <v>1735</v>
      </c>
      <c r="I1317" s="1" t="s">
        <v>83</v>
      </c>
      <c r="J1317" s="2">
        <v>45748.618055555555</v>
      </c>
      <c r="L1317" s="1" t="s">
        <v>18</v>
      </c>
      <c r="M1317" s="1" t="str">
        <f>_xlfn.XLOOKUP(I1317,Parâmetros!A:A,Parâmetros!B:B,_xlfn.XLOOKUP(Q1317,Parâmetros!F:F,Parâmetros!G:G,"NOVA MENSAGEM"))</f>
        <v>CLIENTE NÃO IDENTIFICADO</v>
      </c>
      <c r="N1317" s="1" t="str">
        <f>_xlfn.XLOOKUP(M1317,Parâmetros!K:K,Parâmetros!L:L,"")</f>
        <v>DK DE CLIENTE NÃO PREENCIDO / CLIENTE NÃO CONFIGURADO NO OBT</v>
      </c>
      <c r="O1317" s="1" t="str">
        <f>_xlfn.XLOOKUP(M1317,Parâmetros!B:B,Parâmetros!C:C,_xlfn.XLOOKUP(Base!M1313,Parâmetros!G:G,Parâmetros!H:H))</f>
        <v>INDEFINIDO</v>
      </c>
      <c r="P1317" s="1" t="str">
        <f>_xlfn.XLOOKUP(I1317,Parâmetros!A:A,Parâmetros!D:D,_xlfn.XLOOKUP(Q1317,Parâmetros!F:F,Parâmetros!I:I))</f>
        <v>OPERAÇÕES / SUPORTE KCS</v>
      </c>
      <c r="Q1317" s="1" t="str">
        <f t="shared" si="41"/>
        <v>COLUNA I</v>
      </c>
    </row>
    <row r="1318" spans="1:17" x14ac:dyDescent="0.25">
      <c r="A1318" s="1" t="str">
        <f>_xlfn.XLOOKUP(D1318,'Novo relatório'!B:B,'Novo relatório'!C:C,"RESOLVIDO")</f>
        <v>SABRE</v>
      </c>
      <c r="C1318" t="str">
        <f t="shared" si="40"/>
        <v>PENDENTE</v>
      </c>
      <c r="D1318" s="1">
        <v>3337543</v>
      </c>
      <c r="E1318" s="1" t="s">
        <v>26</v>
      </c>
      <c r="F1318" s="2">
        <v>45748.631249999999</v>
      </c>
      <c r="G1318" s="1" t="s">
        <v>1730</v>
      </c>
      <c r="H1318" s="1" t="s">
        <v>1730</v>
      </c>
      <c r="I1318" s="1" t="s">
        <v>1215</v>
      </c>
      <c r="J1318" s="2">
        <v>45748.725694444445</v>
      </c>
      <c r="L1318" s="1" t="s">
        <v>18</v>
      </c>
      <c r="M1318" s="1" t="str">
        <f>_xlfn.XLOOKUP(I1318,Parâmetros!A:A,Parâmetros!B:B,_xlfn.XLOOKUP(Q1318,Parâmetros!F:F,Parâmetros!G:G,"NOVA MENSAGEM"))</f>
        <v>CÓD. CLIENTE DIVERGENTE</v>
      </c>
      <c r="N1318" s="1" t="str">
        <f>_xlfn.XLOOKUP(M1318,Parâmetros!K:K,Parâmetros!L:L,"")</f>
        <v>CÓDIGO DIFERENTE DO CADASTRADO NO BENNER (CLIENTE X GRUPO)</v>
      </c>
      <c r="O1318" s="1" t="str">
        <f>_xlfn.XLOOKUP(M1318,Parâmetros!B:B,Parâmetros!C:C,_xlfn.XLOOKUP(Base!M1314,Parâmetros!G:G,Parâmetros!H:H))</f>
        <v>QUALIDADE DOS DADOS</v>
      </c>
      <c r="P1318" s="1" t="str">
        <f>_xlfn.XLOOKUP(I1318,Parâmetros!A:A,Parâmetros!D:D,_xlfn.XLOOKUP(Q1318,Parâmetros!F:F,Parâmetros!I:I))</f>
        <v>SUPORTE OBT</v>
      </c>
      <c r="Q1318" s="1">
        <f t="shared" si="41"/>
        <v>1</v>
      </c>
    </row>
    <row r="1319" spans="1:17" x14ac:dyDescent="0.25">
      <c r="A1319" s="1" t="str">
        <f>_xlfn.XLOOKUP(D1319,'Novo relatório'!B:B,'Novo relatório'!C:C,"RESOLVIDO")</f>
        <v>SABRE</v>
      </c>
      <c r="C1319" t="str">
        <f t="shared" si="40"/>
        <v>PENDENTE</v>
      </c>
      <c r="D1319" s="1">
        <v>3337544</v>
      </c>
      <c r="E1319" s="1" t="s">
        <v>26</v>
      </c>
      <c r="F1319" s="2">
        <v>45748.631249999999</v>
      </c>
      <c r="G1319" s="1" t="s">
        <v>1731</v>
      </c>
      <c r="H1319" s="1" t="s">
        <v>1730</v>
      </c>
      <c r="I1319" s="1" t="s">
        <v>1216</v>
      </c>
      <c r="J1319" s="2">
        <v>45748.725694444445</v>
      </c>
      <c r="L1319" s="1" t="s">
        <v>18</v>
      </c>
      <c r="M1319" s="1" t="str">
        <f>_xlfn.XLOOKUP(I1319,Parâmetros!A:A,Parâmetros!B:B,_xlfn.XLOOKUP(Q1319,Parâmetros!F:F,Parâmetros!G:G,"NOVA MENSAGEM"))</f>
        <v>CÓD. CLIENTE DIVERGENTE</v>
      </c>
      <c r="N1319" s="1" t="str">
        <f>_xlfn.XLOOKUP(M1319,Parâmetros!K:K,Parâmetros!L:L,"")</f>
        <v>CÓDIGO DIFERENTE DO CADASTRADO NO BENNER (CLIENTE X GRUPO)</v>
      </c>
      <c r="O1319" s="1" t="str">
        <f>_xlfn.XLOOKUP(M1319,Parâmetros!B:B,Parâmetros!C:C,_xlfn.XLOOKUP(Base!M1315,Parâmetros!G:G,Parâmetros!H:H))</f>
        <v>QUALIDADE DOS DADOS</v>
      </c>
      <c r="P1319" s="1" t="str">
        <f>_xlfn.XLOOKUP(I1319,Parâmetros!A:A,Parâmetros!D:D,_xlfn.XLOOKUP(Q1319,Parâmetros!F:F,Parâmetros!I:I))</f>
        <v>SUPORTE OBT</v>
      </c>
      <c r="Q1319" s="1">
        <f t="shared" si="41"/>
        <v>1</v>
      </c>
    </row>
    <row r="1320" spans="1:17" x14ac:dyDescent="0.25">
      <c r="A1320" s="1" t="str">
        <f>_xlfn.XLOOKUP(D1320,'Novo relatório'!B:B,'Novo relatório'!C:C,"RESOLVIDO")</f>
        <v>GOVER</v>
      </c>
      <c r="C1320" t="str">
        <f t="shared" si="40"/>
        <v>PENDENTE</v>
      </c>
      <c r="D1320" s="1">
        <v>3337785</v>
      </c>
      <c r="E1320" s="1" t="s">
        <v>24</v>
      </c>
      <c r="F1320" s="2">
        <v>45747.438194444447</v>
      </c>
      <c r="G1320" s="1">
        <v>4514729</v>
      </c>
      <c r="H1320" s="1">
        <v>4514729</v>
      </c>
      <c r="I1320" s="1" t="s">
        <v>77</v>
      </c>
      <c r="J1320" s="2">
        <v>45748.756249999999</v>
      </c>
      <c r="K1320" s="2">
        <v>45756.615972222222</v>
      </c>
      <c r="L1320" s="1" t="s">
        <v>14</v>
      </c>
      <c r="M1320" s="1" t="str">
        <f>_xlfn.XLOOKUP(I1320,Parâmetros!A:A,Parâmetros!B:B,_xlfn.XLOOKUP(Q1320,Parâmetros!F:F,Parâmetros!G:G,"NOVA MENSAGEM"))</f>
        <v>RLOC NÃO INFORMADO</v>
      </c>
      <c r="N1320" s="1" t="str">
        <f>_xlfn.XLOOKUP(M1320,Parâmetros!K:K,Parâmetros!L:L,"")</f>
        <v>RLOC NÃO PREENCHIDO NA RESERVA</v>
      </c>
      <c r="O1320" s="1" t="str">
        <f>_xlfn.XLOOKUP(M1320,Parâmetros!B:B,Parâmetros!C:C,_xlfn.XLOOKUP(Base!M1316,Parâmetros!G:G,Parâmetros!H:H))</f>
        <v>QUALIDADE DOS DADOS</v>
      </c>
      <c r="P1320" s="1" t="str">
        <f>_xlfn.XLOOKUP(I1320,Parâmetros!A:A,Parâmetros!D:D,_xlfn.XLOOKUP(Q1320,Parâmetros!F:F,Parâmetros!I:I))</f>
        <v>SUPORTE OBT</v>
      </c>
      <c r="Q1320" s="1" t="str">
        <f t="shared" si="41"/>
        <v>COLUNA I</v>
      </c>
    </row>
    <row r="1321" spans="1:17" x14ac:dyDescent="0.25">
      <c r="A1321" s="1" t="str">
        <f>_xlfn.XLOOKUP(D1321,'Novo relatório'!B:B,'Novo relatório'!C:C,"RESOLVIDO")</f>
        <v>SABRE</v>
      </c>
      <c r="C1321" t="str">
        <f t="shared" si="40"/>
        <v>PENDENTE</v>
      </c>
      <c r="D1321" s="1">
        <v>3338341</v>
      </c>
      <c r="E1321" s="1" t="s">
        <v>26</v>
      </c>
      <c r="F1321" s="2">
        <v>45748.759722222225</v>
      </c>
      <c r="G1321" s="1" t="s">
        <v>1663</v>
      </c>
      <c r="H1321" s="1" t="s">
        <v>1663</v>
      </c>
      <c r="I1321" s="1" t="s">
        <v>652</v>
      </c>
      <c r="J1321" s="2">
        <v>45748.845138888886</v>
      </c>
      <c r="L1321" s="1" t="s">
        <v>18</v>
      </c>
      <c r="M1321" s="1" t="str">
        <f>_xlfn.XLOOKUP(I1321,Parâmetros!A:A,Parâmetros!B:B,_xlfn.XLOOKUP(Q1321,Parâmetros!F:F,Parâmetros!G:G,"NOVA MENSAGEM"))</f>
        <v>CÓD. CLIENTE DIVERGENTE</v>
      </c>
      <c r="N1321" s="1" t="str">
        <f>_xlfn.XLOOKUP(M1321,Parâmetros!K:K,Parâmetros!L:L,"")</f>
        <v>CÓDIGO DIFERENTE DO CADASTRADO NO BENNER (CLIENTE X GRUPO)</v>
      </c>
      <c r="O1321" s="1" t="str">
        <f>_xlfn.XLOOKUP(M1321,Parâmetros!B:B,Parâmetros!C:C,_xlfn.XLOOKUP(Base!M1317,Parâmetros!G:G,Parâmetros!H:H))</f>
        <v>QUALIDADE DOS DADOS</v>
      </c>
      <c r="P1321" s="1" t="str">
        <f>_xlfn.XLOOKUP(I1321,Parâmetros!A:A,Parâmetros!D:D,_xlfn.XLOOKUP(Q1321,Parâmetros!F:F,Parâmetros!I:I))</f>
        <v>SUPORTE OBT</v>
      </c>
      <c r="Q1321" s="1">
        <f t="shared" si="41"/>
        <v>1</v>
      </c>
    </row>
    <row r="1322" spans="1:17" x14ac:dyDescent="0.25">
      <c r="A1322" s="1" t="str">
        <f>_xlfn.XLOOKUP(D1322,'Novo relatório'!B:B,'Novo relatório'!C:C,"RESOLVIDO")</f>
        <v>SABRE</v>
      </c>
      <c r="C1322" t="str">
        <f t="shared" si="40"/>
        <v>PENDENTE</v>
      </c>
      <c r="D1322" s="1">
        <v>3338351</v>
      </c>
      <c r="E1322" s="1" t="s">
        <v>26</v>
      </c>
      <c r="F1322" s="2">
        <v>45748.759722222225</v>
      </c>
      <c r="G1322" s="1" t="s">
        <v>1729</v>
      </c>
      <c r="H1322" s="1" t="s">
        <v>1729</v>
      </c>
      <c r="I1322" s="1" t="s">
        <v>83</v>
      </c>
      <c r="J1322" s="2">
        <v>45748.84652777778</v>
      </c>
      <c r="L1322" s="1" t="s">
        <v>18</v>
      </c>
      <c r="M1322" s="1" t="str">
        <f>_xlfn.XLOOKUP(I1322,Parâmetros!A:A,Parâmetros!B:B,_xlfn.XLOOKUP(Q1322,Parâmetros!F:F,Parâmetros!G:G,"NOVA MENSAGEM"))</f>
        <v>CLIENTE NÃO IDENTIFICADO</v>
      </c>
      <c r="N1322" s="1" t="str">
        <f>_xlfn.XLOOKUP(M1322,Parâmetros!K:K,Parâmetros!L:L,"")</f>
        <v>DK DE CLIENTE NÃO PREENCIDO / CLIENTE NÃO CONFIGURADO NO OBT</v>
      </c>
      <c r="O1322" s="1" t="str">
        <f>_xlfn.XLOOKUP(M1322,Parâmetros!B:B,Parâmetros!C:C,_xlfn.XLOOKUP(Base!M1319,Parâmetros!G:G,Parâmetros!H:H))</f>
        <v>INDEFINIDO</v>
      </c>
      <c r="P1322" s="1" t="str">
        <f>_xlfn.XLOOKUP(I1322,Parâmetros!A:A,Parâmetros!D:D,_xlfn.XLOOKUP(Q1322,Parâmetros!F:F,Parâmetros!I:I))</f>
        <v>OPERAÇÕES / SUPORTE KCS</v>
      </c>
      <c r="Q1322" s="1" t="str">
        <f t="shared" si="41"/>
        <v>COLUNA I</v>
      </c>
    </row>
    <row r="1323" spans="1:17" x14ac:dyDescent="0.25">
      <c r="A1323" s="1" t="str">
        <f>_xlfn.XLOOKUP(D1323,'Novo relatório'!B:B,'Novo relatório'!C:C,"RESOLVIDO")</f>
        <v>SABRE</v>
      </c>
      <c r="C1323" t="str">
        <f t="shared" si="40"/>
        <v>PENDENTE</v>
      </c>
      <c r="D1323" s="1">
        <v>3338353</v>
      </c>
      <c r="E1323" s="1" t="s">
        <v>26</v>
      </c>
      <c r="F1323" s="2">
        <v>45749.599999999999</v>
      </c>
      <c r="G1323" s="1" t="s">
        <v>1801</v>
      </c>
      <c r="H1323" s="1" t="s">
        <v>1801</v>
      </c>
      <c r="I1323" s="1" t="s">
        <v>83</v>
      </c>
      <c r="J1323" s="2">
        <v>45748.84652777778</v>
      </c>
      <c r="K1323" s="2">
        <v>45749.689583333333</v>
      </c>
      <c r="L1323" s="1" t="s">
        <v>18</v>
      </c>
      <c r="M1323" s="1" t="str">
        <f>_xlfn.XLOOKUP(I1323,Parâmetros!A:A,Parâmetros!B:B,_xlfn.XLOOKUP(Q1323,Parâmetros!F:F,Parâmetros!G:G,"NOVA MENSAGEM"))</f>
        <v>CLIENTE NÃO IDENTIFICADO</v>
      </c>
      <c r="N1323" s="1" t="str">
        <f>_xlfn.XLOOKUP(M1323,Parâmetros!K:K,Parâmetros!L:L,"")</f>
        <v>DK DE CLIENTE NÃO PREENCIDO / CLIENTE NÃO CONFIGURADO NO OBT</v>
      </c>
      <c r="O1323" s="1" t="str">
        <f>_xlfn.XLOOKUP(M1323,Parâmetros!B:B,Parâmetros!C:C,_xlfn.XLOOKUP(Base!M1321,Parâmetros!G:G,Parâmetros!H:H))</f>
        <v>INDEFINIDO</v>
      </c>
      <c r="P1323" s="1" t="str">
        <f>_xlfn.XLOOKUP(I1323,Parâmetros!A:A,Parâmetros!D:D,_xlfn.XLOOKUP(Q1323,Parâmetros!F:F,Parâmetros!I:I))</f>
        <v>OPERAÇÕES / SUPORTE KCS</v>
      </c>
      <c r="Q1323" s="1" t="str">
        <f t="shared" si="41"/>
        <v>COLUNA I</v>
      </c>
    </row>
    <row r="1324" spans="1:17" x14ac:dyDescent="0.25">
      <c r="A1324" s="1" t="str">
        <f>_xlfn.XLOOKUP(D1324,'Novo relatório'!B:B,'Novo relatório'!C:C,"RESOLVIDO")</f>
        <v>SABRE</v>
      </c>
      <c r="C1324" t="str">
        <f t="shared" si="40"/>
        <v>PENDENTE</v>
      </c>
      <c r="D1324" s="1">
        <v>3338355</v>
      </c>
      <c r="E1324" s="1" t="s">
        <v>26</v>
      </c>
      <c r="F1324" s="2">
        <v>45748.759722222225</v>
      </c>
      <c r="G1324" s="1" t="s">
        <v>1849</v>
      </c>
      <c r="H1324" s="1" t="s">
        <v>1849</v>
      </c>
      <c r="I1324" s="1" t="s">
        <v>83</v>
      </c>
      <c r="J1324" s="2">
        <v>45748.84652777778</v>
      </c>
      <c r="L1324" s="1" t="s">
        <v>18</v>
      </c>
      <c r="M1324" s="1" t="str">
        <f>_xlfn.XLOOKUP(I1324,Parâmetros!A:A,Parâmetros!B:B,_xlfn.XLOOKUP(Q1324,Parâmetros!F:F,Parâmetros!G:G,"NOVA MENSAGEM"))</f>
        <v>CLIENTE NÃO IDENTIFICADO</v>
      </c>
      <c r="N1324" s="1" t="str">
        <f>_xlfn.XLOOKUP(M1324,Parâmetros!K:K,Parâmetros!L:L,"")</f>
        <v>DK DE CLIENTE NÃO PREENCIDO / CLIENTE NÃO CONFIGURADO NO OBT</v>
      </c>
      <c r="O1324" s="1" t="str">
        <f>_xlfn.XLOOKUP(M1324,Parâmetros!B:B,Parâmetros!C:C,_xlfn.XLOOKUP(Base!M1320,Parâmetros!G:G,Parâmetros!H:H))</f>
        <v>INDEFINIDO</v>
      </c>
      <c r="P1324" s="1" t="str">
        <f>_xlfn.XLOOKUP(I1324,Parâmetros!A:A,Parâmetros!D:D,_xlfn.XLOOKUP(Q1324,Parâmetros!F:F,Parâmetros!I:I))</f>
        <v>OPERAÇÕES / SUPORTE KCS</v>
      </c>
      <c r="Q1324" s="1" t="str">
        <f t="shared" si="41"/>
        <v>COLUNA I</v>
      </c>
    </row>
    <row r="1325" spans="1:17" x14ac:dyDescent="0.25">
      <c r="A1325" s="1" t="str">
        <f>_xlfn.XLOOKUP(D1325,'Novo relatório'!B:B,'Novo relatório'!C:C,"RESOLVIDO")</f>
        <v>SABRE</v>
      </c>
      <c r="C1325" t="str">
        <f t="shared" si="40"/>
        <v>PENDENTE</v>
      </c>
      <c r="D1325" s="1">
        <v>3338357</v>
      </c>
      <c r="E1325" s="1" t="s">
        <v>26</v>
      </c>
      <c r="F1325" s="2">
        <v>45748.759722222225</v>
      </c>
      <c r="G1325" s="1" t="s">
        <v>1710</v>
      </c>
      <c r="H1325" s="1" t="s">
        <v>1710</v>
      </c>
      <c r="I1325" s="1" t="s">
        <v>1711</v>
      </c>
      <c r="J1325" s="2">
        <v>45748.84652777778</v>
      </c>
      <c r="L1325" s="1" t="s">
        <v>18</v>
      </c>
      <c r="M1325" s="1" t="str">
        <f>_xlfn.XLOOKUP(I1325,Parâmetros!A:A,Parâmetros!B:B,_xlfn.XLOOKUP(Q1325,Parâmetros!F:F,Parâmetros!G:G,"NOVA MENSAGEM"))</f>
        <v>CÓD. CLIENTE DIVERGENTE</v>
      </c>
      <c r="N1325" s="1" t="str">
        <f>_xlfn.XLOOKUP(M1325,Parâmetros!K:K,Parâmetros!L:L,"")</f>
        <v>CÓDIGO DIFERENTE DO CADASTRADO NO BENNER (CLIENTE X GRUPO)</v>
      </c>
      <c r="O1325" s="1" t="str">
        <f>_xlfn.XLOOKUP(M1325,Parâmetros!B:B,Parâmetros!C:C,_xlfn.XLOOKUP(Base!M1318,Parâmetros!G:G,Parâmetros!H:H))</f>
        <v>QUALIDADE DOS DADOS</v>
      </c>
      <c r="P1325" s="1" t="str">
        <f>_xlfn.XLOOKUP(I1325,Parâmetros!A:A,Parâmetros!D:D,_xlfn.XLOOKUP(Q1325,Parâmetros!F:F,Parâmetros!I:I))</f>
        <v>SUPORTE OBT</v>
      </c>
      <c r="Q1325" s="1">
        <f t="shared" si="41"/>
        <v>1</v>
      </c>
    </row>
    <row r="1326" spans="1:17" x14ac:dyDescent="0.25">
      <c r="A1326" s="1" t="str">
        <f>_xlfn.XLOOKUP(D1326,'Novo relatório'!B:B,'Novo relatório'!C:C,"RESOLVIDO")</f>
        <v>SABRE</v>
      </c>
      <c r="C1326" t="str">
        <f t="shared" si="40"/>
        <v>PENDENTE</v>
      </c>
      <c r="D1326" s="1">
        <v>3341528</v>
      </c>
      <c r="E1326" s="1" t="s">
        <v>26</v>
      </c>
      <c r="F1326" s="2">
        <v>45749.5</v>
      </c>
      <c r="G1326" s="1" t="s">
        <v>1721</v>
      </c>
      <c r="H1326" s="1" t="s">
        <v>1721</v>
      </c>
      <c r="I1326" s="1" t="s">
        <v>707</v>
      </c>
      <c r="J1326" s="2">
        <v>45749.587500000001</v>
      </c>
      <c r="L1326" s="1" t="s">
        <v>18</v>
      </c>
      <c r="M1326" s="1" t="str">
        <f>_xlfn.XLOOKUP(I1326,Parâmetros!A:A,Parâmetros!B:B,_xlfn.XLOOKUP(Q1326,Parâmetros!F:F,Parâmetros!G:G,"NOVA MENSAGEM"))</f>
        <v>CÓD. CLIENTE DIVERGENTE</v>
      </c>
      <c r="N1326" s="1" t="str">
        <f>_xlfn.XLOOKUP(M1326,Parâmetros!K:K,Parâmetros!L:L,"")</f>
        <v>CÓDIGO DIFERENTE DO CADASTRADO NO BENNER (CLIENTE X GRUPO)</v>
      </c>
      <c r="O1326" s="1" t="str">
        <f>_xlfn.XLOOKUP(M1326,Parâmetros!B:B,Parâmetros!C:C,_xlfn.XLOOKUP(Base!M1322,Parâmetros!G:G,Parâmetros!H:H))</f>
        <v>QUALIDADE DOS DADOS</v>
      </c>
      <c r="P1326" s="1" t="str">
        <f>_xlfn.XLOOKUP(I1326,Parâmetros!A:A,Parâmetros!D:D,_xlfn.XLOOKUP(Q1326,Parâmetros!F:F,Parâmetros!I:I))</f>
        <v>SUPORTE OBT</v>
      </c>
      <c r="Q1326" s="1">
        <f t="shared" si="41"/>
        <v>1</v>
      </c>
    </row>
    <row r="1327" spans="1:17" x14ac:dyDescent="0.25">
      <c r="A1327" s="1" t="str">
        <f>_xlfn.XLOOKUP(D1327,'Novo relatório'!B:B,'Novo relatório'!C:C,"RESOLVIDO")</f>
        <v>SABRE</v>
      </c>
      <c r="C1327" t="str">
        <f t="shared" si="40"/>
        <v>PENDENTE</v>
      </c>
      <c r="D1327" s="1">
        <v>3341542</v>
      </c>
      <c r="E1327" s="1" t="s">
        <v>26</v>
      </c>
      <c r="F1327" s="2">
        <v>45749.5</v>
      </c>
      <c r="G1327" s="1" t="s">
        <v>1814</v>
      </c>
      <c r="H1327" s="1" t="s">
        <v>1814</v>
      </c>
      <c r="I1327" s="1" t="s">
        <v>707</v>
      </c>
      <c r="J1327" s="2">
        <v>45749.588888888888</v>
      </c>
      <c r="L1327" s="1" t="s">
        <v>18</v>
      </c>
      <c r="M1327" s="1" t="str">
        <f>_xlfn.XLOOKUP(I1327,Parâmetros!A:A,Parâmetros!B:B,_xlfn.XLOOKUP(Q1327,Parâmetros!F:F,Parâmetros!G:G,"NOVA MENSAGEM"))</f>
        <v>CÓD. CLIENTE DIVERGENTE</v>
      </c>
      <c r="N1327" s="1" t="str">
        <f>_xlfn.XLOOKUP(M1327,Parâmetros!K:K,Parâmetros!L:L,"")</f>
        <v>CÓDIGO DIFERENTE DO CADASTRADO NO BENNER (CLIENTE X GRUPO)</v>
      </c>
      <c r="O1327" s="1" t="str">
        <f>_xlfn.XLOOKUP(M1327,Parâmetros!B:B,Parâmetros!C:C,_xlfn.XLOOKUP(Base!M1324,Parâmetros!G:G,Parâmetros!H:H))</f>
        <v>QUALIDADE DOS DADOS</v>
      </c>
      <c r="P1327" s="1" t="str">
        <f>_xlfn.XLOOKUP(I1327,Parâmetros!A:A,Parâmetros!D:D,_xlfn.XLOOKUP(Q1327,Parâmetros!F:F,Parâmetros!I:I))</f>
        <v>SUPORTE OBT</v>
      </c>
      <c r="Q1327" s="1">
        <f t="shared" si="41"/>
        <v>1</v>
      </c>
    </row>
    <row r="1328" spans="1:17" x14ac:dyDescent="0.25">
      <c r="A1328" s="1" t="str">
        <f>_xlfn.XLOOKUP(D1328,'Novo relatório'!B:B,'Novo relatório'!C:C,"RESOLVIDO")</f>
        <v>SABRE</v>
      </c>
      <c r="C1328" t="str">
        <f t="shared" si="40"/>
        <v>PENDENTE</v>
      </c>
      <c r="D1328" s="1">
        <v>3341543</v>
      </c>
      <c r="E1328" s="1" t="s">
        <v>26</v>
      </c>
      <c r="F1328" s="2">
        <v>45749.5</v>
      </c>
      <c r="G1328" s="1" t="s">
        <v>1726</v>
      </c>
      <c r="H1328" s="1" t="s">
        <v>1726</v>
      </c>
      <c r="I1328" s="1" t="s">
        <v>707</v>
      </c>
      <c r="J1328" s="2">
        <v>45749.588888888888</v>
      </c>
      <c r="L1328" s="1" t="s">
        <v>18</v>
      </c>
      <c r="M1328" s="1" t="str">
        <f>_xlfn.XLOOKUP(I1328,Parâmetros!A:A,Parâmetros!B:B,_xlfn.XLOOKUP(Q1328,Parâmetros!F:F,Parâmetros!G:G,"NOVA MENSAGEM"))</f>
        <v>CÓD. CLIENTE DIVERGENTE</v>
      </c>
      <c r="N1328" s="1" t="str">
        <f>_xlfn.XLOOKUP(M1328,Parâmetros!K:K,Parâmetros!L:L,"")</f>
        <v>CÓDIGO DIFERENTE DO CADASTRADO NO BENNER (CLIENTE X GRUPO)</v>
      </c>
      <c r="O1328" s="1" t="str">
        <f>_xlfn.XLOOKUP(M1328,Parâmetros!B:B,Parâmetros!C:C,_xlfn.XLOOKUP(Base!M1323,Parâmetros!G:G,Parâmetros!H:H))</f>
        <v>QUALIDADE DOS DADOS</v>
      </c>
      <c r="P1328" s="1" t="str">
        <f>_xlfn.XLOOKUP(I1328,Parâmetros!A:A,Parâmetros!D:D,_xlfn.XLOOKUP(Q1328,Parâmetros!F:F,Parâmetros!I:I))</f>
        <v>SUPORTE OBT</v>
      </c>
      <c r="Q1328" s="1">
        <f t="shared" si="41"/>
        <v>1</v>
      </c>
    </row>
    <row r="1329" spans="1:17" x14ac:dyDescent="0.25">
      <c r="A1329" s="1" t="str">
        <f>_xlfn.XLOOKUP(D1329,'Novo relatório'!B:B,'Novo relatório'!C:C,"RESOLVIDO")</f>
        <v>TMS</v>
      </c>
      <c r="C1329" t="str">
        <f t="shared" si="40"/>
        <v>PENDENTE</v>
      </c>
      <c r="D1329" s="1">
        <v>3342577</v>
      </c>
      <c r="E1329" s="1" t="s">
        <v>12</v>
      </c>
      <c r="F1329" s="2">
        <v>45749.68472222222</v>
      </c>
      <c r="G1329" s="1">
        <v>3425</v>
      </c>
      <c r="H1329" s="1">
        <v>3425</v>
      </c>
      <c r="I1329" s="1" t="s">
        <v>1908</v>
      </c>
      <c r="J1329" s="2">
        <v>45749.759722222225</v>
      </c>
      <c r="K1329" s="2">
        <v>45752.753472222219</v>
      </c>
      <c r="L1329" s="1" t="s">
        <v>14</v>
      </c>
      <c r="M1329" s="1" t="str">
        <f>_xlfn.XLOOKUP(I1329,Parâmetros!A:A,Parâmetros!B:B,_xlfn.XLOOKUP(Q1329,Parâmetros!F:F,Parâmetros!G:G,"NOVA MENSAGEM"))</f>
        <v>NOVA MENSAGEM</v>
      </c>
      <c r="N1329" s="1" t="str">
        <f>_xlfn.XLOOKUP(M1329,Parâmetros!K:K,Parâmetros!L:L,"")</f>
        <v/>
      </c>
      <c r="O1329" s="1" t="str">
        <f>_xlfn.XLOOKUP(M1329,Parâmetros!B:B,Parâmetros!C:C,_xlfn.XLOOKUP(Base!M1325,Parâmetros!G:G,Parâmetros!H:H))</f>
        <v>QUALIDADE DOS DADOS</v>
      </c>
      <c r="P1329" s="1" t="e">
        <f>_xlfn.XLOOKUP(I1329,Parâmetros!A:A,Parâmetros!D:D,_xlfn.XLOOKUP(Q1329,Parâmetros!F:F,Parâmetros!I:I))</f>
        <v>#N/A</v>
      </c>
      <c r="Q1329" s="1">
        <f t="shared" si="41"/>
        <v>123</v>
      </c>
    </row>
    <row r="1330" spans="1:17" x14ac:dyDescent="0.25">
      <c r="A1330" s="1" t="str">
        <f>_xlfn.XLOOKUP(D1330,'Novo relatório'!B:B,'Novo relatório'!C:C,"RESOLVIDO")</f>
        <v>SABRE</v>
      </c>
      <c r="C1330" t="str">
        <f t="shared" si="40"/>
        <v>PENDENTE</v>
      </c>
      <c r="D1330" s="1">
        <v>3343061</v>
      </c>
      <c r="E1330" s="1" t="s">
        <v>26</v>
      </c>
      <c r="F1330" s="2">
        <v>45749.73333333333</v>
      </c>
      <c r="G1330" s="1" t="s">
        <v>1645</v>
      </c>
      <c r="H1330" s="1" t="s">
        <v>1645</v>
      </c>
      <c r="I1330" s="1" t="s">
        <v>396</v>
      </c>
      <c r="J1330" s="2">
        <v>45749.824999999997</v>
      </c>
      <c r="L1330" s="1" t="s">
        <v>18</v>
      </c>
      <c r="M1330" s="1" t="str">
        <f>_xlfn.XLOOKUP(I1330,Parâmetros!A:A,Parâmetros!B:B,_xlfn.XLOOKUP(Q1330,Parâmetros!F:F,Parâmetros!G:G,"NOVA MENSAGEM"))</f>
        <v>CÓD. CLIENTE DIVERGENTE</v>
      </c>
      <c r="N1330" s="1" t="str">
        <f>_xlfn.XLOOKUP(M1330,Parâmetros!K:K,Parâmetros!L:L,"")</f>
        <v>CÓDIGO DIFERENTE DO CADASTRADO NO BENNER (CLIENTE X GRUPO)</v>
      </c>
      <c r="O1330" s="1" t="str">
        <f>_xlfn.XLOOKUP(M1330,Parâmetros!B:B,Parâmetros!C:C,_xlfn.XLOOKUP(Base!M1326,Parâmetros!G:G,Parâmetros!H:H))</f>
        <v>QUALIDADE DOS DADOS</v>
      </c>
      <c r="P1330" s="1" t="str">
        <f>_xlfn.XLOOKUP(I1330,Parâmetros!A:A,Parâmetros!D:D,_xlfn.XLOOKUP(Q1330,Parâmetros!F:F,Parâmetros!I:I))</f>
        <v>SUPORTE OBT</v>
      </c>
      <c r="Q1330" s="1">
        <f t="shared" si="41"/>
        <v>1</v>
      </c>
    </row>
    <row r="1331" spans="1:17" x14ac:dyDescent="0.25">
      <c r="A1331" s="1" t="str">
        <f>_xlfn.XLOOKUP(D1331,'Novo relatório'!B:B,'Novo relatório'!C:C,"RESOLVIDO")</f>
        <v>GOVER</v>
      </c>
      <c r="C1331" t="str">
        <f t="shared" si="40"/>
        <v>PENDENTE</v>
      </c>
      <c r="D1331" s="1">
        <v>3343655</v>
      </c>
      <c r="E1331" s="1" t="s">
        <v>24</v>
      </c>
      <c r="F1331" s="2">
        <v>45748.55</v>
      </c>
      <c r="G1331" s="1">
        <v>4515692</v>
      </c>
      <c r="H1331" s="1">
        <v>4515692</v>
      </c>
      <c r="I1331" s="1" t="s">
        <v>77</v>
      </c>
      <c r="J1331" s="2">
        <v>45750.412499999999</v>
      </c>
      <c r="K1331" s="2">
        <v>45756.615972222222</v>
      </c>
      <c r="L1331" s="1" t="s">
        <v>14</v>
      </c>
      <c r="M1331" s="1" t="str">
        <f>_xlfn.XLOOKUP(I1331,Parâmetros!A:A,Parâmetros!B:B,_xlfn.XLOOKUP(Q1331,Parâmetros!F:F,Parâmetros!G:G,"NOVA MENSAGEM"))</f>
        <v>RLOC NÃO INFORMADO</v>
      </c>
      <c r="N1331" s="1" t="str">
        <f>_xlfn.XLOOKUP(M1331,Parâmetros!K:K,Parâmetros!L:L,"")</f>
        <v>RLOC NÃO PREENCHIDO NA RESERVA</v>
      </c>
      <c r="O1331" s="1" t="str">
        <f>_xlfn.XLOOKUP(M1331,Parâmetros!B:B,Parâmetros!C:C,_xlfn.XLOOKUP(Base!M1327,Parâmetros!G:G,Parâmetros!H:H))</f>
        <v>QUALIDADE DOS DADOS</v>
      </c>
      <c r="P1331" s="1" t="str">
        <f>_xlfn.XLOOKUP(I1331,Parâmetros!A:A,Parâmetros!D:D,_xlfn.XLOOKUP(Q1331,Parâmetros!F:F,Parâmetros!I:I))</f>
        <v>SUPORTE OBT</v>
      </c>
      <c r="Q1331" s="1" t="str">
        <f t="shared" si="41"/>
        <v>COLUNA I</v>
      </c>
    </row>
    <row r="1332" spans="1:17" x14ac:dyDescent="0.25">
      <c r="A1332" s="1" t="str">
        <f>_xlfn.XLOOKUP(D1332,'Novo relatório'!B:B,'Novo relatório'!C:C,"RESOLVIDO")</f>
        <v>GOVER</v>
      </c>
      <c r="C1332" t="str">
        <f t="shared" si="40"/>
        <v>PENDENTE</v>
      </c>
      <c r="D1332" s="1">
        <v>3343656</v>
      </c>
      <c r="E1332" s="1" t="s">
        <v>24</v>
      </c>
      <c r="F1332" s="2">
        <v>45748.654861111114</v>
      </c>
      <c r="G1332" s="1">
        <v>4515952</v>
      </c>
      <c r="H1332" s="1">
        <v>4515952</v>
      </c>
      <c r="I1332" s="1" t="s">
        <v>77</v>
      </c>
      <c r="J1332" s="2">
        <v>45750.412499999999</v>
      </c>
      <c r="K1332" s="2">
        <v>45756.615972222222</v>
      </c>
      <c r="L1332" s="1" t="s">
        <v>14</v>
      </c>
      <c r="M1332" s="1" t="str">
        <f>_xlfn.XLOOKUP(I1332,Parâmetros!A:A,Parâmetros!B:B,_xlfn.XLOOKUP(Q1332,Parâmetros!F:F,Parâmetros!G:G,"NOVA MENSAGEM"))</f>
        <v>RLOC NÃO INFORMADO</v>
      </c>
      <c r="N1332" s="1" t="str">
        <f>_xlfn.XLOOKUP(M1332,Parâmetros!K:K,Parâmetros!L:L,"")</f>
        <v>RLOC NÃO PREENCHIDO NA RESERVA</v>
      </c>
      <c r="O1332" s="1" t="str">
        <f>_xlfn.XLOOKUP(M1332,Parâmetros!B:B,Parâmetros!C:C,_xlfn.XLOOKUP(Base!M1328,Parâmetros!G:G,Parâmetros!H:H))</f>
        <v>QUALIDADE DOS DADOS</v>
      </c>
      <c r="P1332" s="1" t="str">
        <f>_xlfn.XLOOKUP(I1332,Parâmetros!A:A,Parâmetros!D:D,_xlfn.XLOOKUP(Q1332,Parâmetros!F:F,Parâmetros!I:I))</f>
        <v>SUPORTE OBT</v>
      </c>
      <c r="Q1332" s="1" t="str">
        <f t="shared" si="41"/>
        <v>COLUNA I</v>
      </c>
    </row>
    <row r="1333" spans="1:17" x14ac:dyDescent="0.25">
      <c r="A1333" s="1" t="str">
        <f>_xlfn.XLOOKUP(D1333,'Novo relatório'!B:B,'Novo relatório'!C:C,"RESOLVIDO")</f>
        <v>GOVER</v>
      </c>
      <c r="C1333" t="str">
        <f t="shared" si="40"/>
        <v>PENDENTE</v>
      </c>
      <c r="D1333" s="1">
        <v>3343799</v>
      </c>
      <c r="E1333" s="1" t="s">
        <v>24</v>
      </c>
      <c r="F1333" s="2">
        <v>45750.438194444447</v>
      </c>
      <c r="G1333" s="1">
        <v>4517446</v>
      </c>
      <c r="H1333" s="1">
        <v>4517446</v>
      </c>
      <c r="I1333" s="1" t="s">
        <v>77</v>
      </c>
      <c r="J1333" s="2">
        <v>45750.470138888886</v>
      </c>
      <c r="K1333" s="2">
        <v>45756.615972222222</v>
      </c>
      <c r="L1333" s="1" t="s">
        <v>14</v>
      </c>
      <c r="M1333" s="1" t="str">
        <f>_xlfn.XLOOKUP(I1333,Parâmetros!A:A,Parâmetros!B:B,_xlfn.XLOOKUP(Q1333,Parâmetros!F:F,Parâmetros!G:G,"NOVA MENSAGEM"))</f>
        <v>RLOC NÃO INFORMADO</v>
      </c>
      <c r="N1333" s="1" t="str">
        <f>_xlfn.XLOOKUP(M1333,Parâmetros!K:K,Parâmetros!L:L,"")</f>
        <v>RLOC NÃO PREENCHIDO NA RESERVA</v>
      </c>
      <c r="O1333" s="1" t="str">
        <f>_xlfn.XLOOKUP(M1333,Parâmetros!B:B,Parâmetros!C:C,_xlfn.XLOOKUP(Base!M1330,Parâmetros!G:G,Parâmetros!H:H))</f>
        <v>QUALIDADE DOS DADOS</v>
      </c>
      <c r="P1333" s="1" t="str">
        <f>_xlfn.XLOOKUP(I1333,Parâmetros!A:A,Parâmetros!D:D,_xlfn.XLOOKUP(Q1333,Parâmetros!F:F,Parâmetros!I:I))</f>
        <v>SUPORTE OBT</v>
      </c>
      <c r="Q1333" s="1" t="str">
        <f t="shared" si="41"/>
        <v>COLUNA I</v>
      </c>
    </row>
    <row r="1334" spans="1:17" x14ac:dyDescent="0.25">
      <c r="A1334" s="1" t="str">
        <f>_xlfn.XLOOKUP(D1334,'Novo relatório'!B:B,'Novo relatório'!C:C,"RESOLVIDO")</f>
        <v>SABRE</v>
      </c>
      <c r="C1334" t="str">
        <f t="shared" si="40"/>
        <v>PENDENTE</v>
      </c>
      <c r="D1334" s="1">
        <v>3343804</v>
      </c>
      <c r="E1334" s="1" t="s">
        <v>26</v>
      </c>
      <c r="F1334" s="2">
        <v>45750.379166666666</v>
      </c>
      <c r="G1334" s="1" t="s">
        <v>1709</v>
      </c>
      <c r="H1334" s="1" t="s">
        <v>1709</v>
      </c>
      <c r="I1334" s="1" t="s">
        <v>396</v>
      </c>
      <c r="J1334" s="2">
        <v>45750.470138888886</v>
      </c>
      <c r="L1334" s="1" t="s">
        <v>18</v>
      </c>
      <c r="M1334" s="1" t="str">
        <f>_xlfn.XLOOKUP(I1334,Parâmetros!A:A,Parâmetros!B:B,_xlfn.XLOOKUP(Q1334,Parâmetros!F:F,Parâmetros!G:G,"NOVA MENSAGEM"))</f>
        <v>CÓD. CLIENTE DIVERGENTE</v>
      </c>
      <c r="N1334" s="1" t="str">
        <f>_xlfn.XLOOKUP(M1334,Parâmetros!K:K,Parâmetros!L:L,"")</f>
        <v>CÓDIGO DIFERENTE DO CADASTRADO NO BENNER (CLIENTE X GRUPO)</v>
      </c>
      <c r="O1334" s="1" t="str">
        <f>_xlfn.XLOOKUP(M1334,Parâmetros!B:B,Parâmetros!C:C,_xlfn.XLOOKUP(Base!M1329,Parâmetros!G:G,Parâmetros!H:H))</f>
        <v>QUALIDADE DOS DADOS</v>
      </c>
      <c r="P1334" s="1" t="str">
        <f>_xlfn.XLOOKUP(I1334,Parâmetros!A:A,Parâmetros!D:D,_xlfn.XLOOKUP(Q1334,Parâmetros!F:F,Parâmetros!I:I))</f>
        <v>SUPORTE OBT</v>
      </c>
      <c r="Q1334" s="1">
        <f t="shared" si="41"/>
        <v>1</v>
      </c>
    </row>
    <row r="1335" spans="1:17" x14ac:dyDescent="0.25">
      <c r="A1335" s="1" t="str">
        <f>_xlfn.XLOOKUP(D1335,'Novo relatório'!B:B,'Novo relatório'!C:C,"RESOLVIDO")</f>
        <v>SABRE</v>
      </c>
      <c r="C1335" t="str">
        <f t="shared" si="40"/>
        <v>PENDENTE</v>
      </c>
      <c r="D1335" s="1">
        <v>3343809</v>
      </c>
      <c r="E1335" s="1" t="s">
        <v>26</v>
      </c>
      <c r="F1335" s="2">
        <v>45750.379166666666</v>
      </c>
      <c r="G1335" s="1" t="s">
        <v>1694</v>
      </c>
      <c r="H1335" s="1" t="s">
        <v>1694</v>
      </c>
      <c r="I1335" s="1" t="s">
        <v>409</v>
      </c>
      <c r="J1335" s="2">
        <v>45750.470833333333</v>
      </c>
      <c r="L1335" s="1" t="s">
        <v>18</v>
      </c>
      <c r="M1335" s="1" t="str">
        <f>_xlfn.XLOOKUP(I1335,Parâmetros!A:A,Parâmetros!B:B,_xlfn.XLOOKUP(Q1335,Parâmetros!F:F,Parâmetros!G:G,"NOVA MENSAGEM"))</f>
        <v>CÓD. CLIENTE DIVERGENTE</v>
      </c>
      <c r="N1335" s="1" t="str">
        <f>_xlfn.XLOOKUP(M1335,Parâmetros!K:K,Parâmetros!L:L,"")</f>
        <v>CÓDIGO DIFERENTE DO CADASTRADO NO BENNER (CLIENTE X GRUPO)</v>
      </c>
      <c r="O1335" s="1" t="str">
        <f>_xlfn.XLOOKUP(M1335,Parâmetros!B:B,Parâmetros!C:C,_xlfn.XLOOKUP(Base!M1331,Parâmetros!G:G,Parâmetros!H:H))</f>
        <v>QUALIDADE DOS DADOS</v>
      </c>
      <c r="P1335" s="1" t="str">
        <f>_xlfn.XLOOKUP(I1335,Parâmetros!A:A,Parâmetros!D:D,_xlfn.XLOOKUP(Q1335,Parâmetros!F:F,Parâmetros!I:I))</f>
        <v>SUPORTE OBT</v>
      </c>
      <c r="Q1335" s="1">
        <f t="shared" si="41"/>
        <v>1</v>
      </c>
    </row>
    <row r="1336" spans="1:17" x14ac:dyDescent="0.25">
      <c r="A1336" s="1" t="str">
        <f>_xlfn.XLOOKUP(D1336,'Novo relatório'!B:B,'Novo relatório'!C:C,"RESOLVIDO")</f>
        <v>SABRE</v>
      </c>
      <c r="C1336" t="str">
        <f t="shared" si="40"/>
        <v>PENDENTE</v>
      </c>
      <c r="D1336" s="1">
        <v>3343810</v>
      </c>
      <c r="E1336" s="1" t="s">
        <v>26</v>
      </c>
      <c r="F1336" s="2">
        <v>45750.379166666666</v>
      </c>
      <c r="G1336" s="1" t="s">
        <v>1765</v>
      </c>
      <c r="H1336" s="1" t="s">
        <v>1765</v>
      </c>
      <c r="I1336" s="1" t="s">
        <v>409</v>
      </c>
      <c r="J1336" s="2">
        <v>45750.470833333333</v>
      </c>
      <c r="L1336" s="1" t="s">
        <v>18</v>
      </c>
      <c r="M1336" s="1" t="str">
        <f>_xlfn.XLOOKUP(I1336,Parâmetros!A:A,Parâmetros!B:B,_xlfn.XLOOKUP(Q1336,Parâmetros!F:F,Parâmetros!G:G,"NOVA MENSAGEM"))</f>
        <v>CÓD. CLIENTE DIVERGENTE</v>
      </c>
      <c r="N1336" s="1" t="str">
        <f>_xlfn.XLOOKUP(M1336,Parâmetros!K:K,Parâmetros!L:L,"")</f>
        <v>CÓDIGO DIFERENTE DO CADASTRADO NO BENNER (CLIENTE X GRUPO)</v>
      </c>
      <c r="O1336" s="1" t="str">
        <f>_xlfn.XLOOKUP(M1336,Parâmetros!B:B,Parâmetros!C:C,_xlfn.XLOOKUP(Base!M1332,Parâmetros!G:G,Parâmetros!H:H))</f>
        <v>QUALIDADE DOS DADOS</v>
      </c>
      <c r="P1336" s="1" t="str">
        <f>_xlfn.XLOOKUP(I1336,Parâmetros!A:A,Parâmetros!D:D,_xlfn.XLOOKUP(Q1336,Parâmetros!F:F,Parâmetros!I:I))</f>
        <v>SUPORTE OBT</v>
      </c>
      <c r="Q1336" s="1">
        <f t="shared" si="41"/>
        <v>1</v>
      </c>
    </row>
    <row r="1337" spans="1:17" x14ac:dyDescent="0.25">
      <c r="A1337" s="1" t="str">
        <f>_xlfn.XLOOKUP(D1337,'Novo relatório'!B:B,'Novo relatório'!C:C,"RESOLVIDO")</f>
        <v>SABRE</v>
      </c>
      <c r="C1337" t="str">
        <f t="shared" si="40"/>
        <v>PENDENTE</v>
      </c>
      <c r="D1337" s="1">
        <v>3343814</v>
      </c>
      <c r="E1337" s="1" t="s">
        <v>26</v>
      </c>
      <c r="F1337" s="2">
        <v>45751.334027777775</v>
      </c>
      <c r="G1337" s="1" t="s">
        <v>1824</v>
      </c>
      <c r="H1337" s="1" t="s">
        <v>1824</v>
      </c>
      <c r="I1337" s="1" t="s">
        <v>83</v>
      </c>
      <c r="J1337" s="2">
        <v>45750.470833333333</v>
      </c>
      <c r="K1337" s="2">
        <v>45751.418055555558</v>
      </c>
      <c r="L1337" s="1" t="s">
        <v>18</v>
      </c>
      <c r="M1337" s="1" t="str">
        <f>_xlfn.XLOOKUP(I1337,Parâmetros!A:A,Parâmetros!B:B,_xlfn.XLOOKUP(Q1337,Parâmetros!F:F,Parâmetros!G:G,"NOVA MENSAGEM"))</f>
        <v>CLIENTE NÃO IDENTIFICADO</v>
      </c>
      <c r="N1337" s="1" t="str">
        <f>_xlfn.XLOOKUP(M1337,Parâmetros!K:K,Parâmetros!L:L,"")</f>
        <v>DK DE CLIENTE NÃO PREENCIDO / CLIENTE NÃO CONFIGURADO NO OBT</v>
      </c>
      <c r="O1337" s="1" t="str">
        <f>_xlfn.XLOOKUP(M1337,Parâmetros!B:B,Parâmetros!C:C,_xlfn.XLOOKUP(Base!M1333,Parâmetros!G:G,Parâmetros!H:H))</f>
        <v>INDEFINIDO</v>
      </c>
      <c r="P1337" s="1" t="str">
        <f>_xlfn.XLOOKUP(I1337,Parâmetros!A:A,Parâmetros!D:D,_xlfn.XLOOKUP(Q1337,Parâmetros!F:F,Parâmetros!I:I))</f>
        <v>OPERAÇÕES / SUPORTE KCS</v>
      </c>
      <c r="Q1337" s="1" t="str">
        <f t="shared" si="41"/>
        <v>COLUNA I</v>
      </c>
    </row>
    <row r="1338" spans="1:17" x14ac:dyDescent="0.25">
      <c r="A1338" s="1" t="str">
        <f>_xlfn.XLOOKUP(D1338,'Novo relatório'!B:B,'Novo relatório'!C:C,"RESOLVIDO")</f>
        <v>SABRE</v>
      </c>
      <c r="C1338" t="str">
        <f t="shared" si="40"/>
        <v>PENDENTE</v>
      </c>
      <c r="D1338" s="1">
        <v>3343979</v>
      </c>
      <c r="E1338" s="1" t="s">
        <v>26</v>
      </c>
      <c r="F1338" s="2">
        <v>45750.400000000001</v>
      </c>
      <c r="G1338" s="1" t="s">
        <v>1762</v>
      </c>
      <c r="H1338" s="1" t="s">
        <v>1762</v>
      </c>
      <c r="I1338" s="1" t="s">
        <v>408</v>
      </c>
      <c r="J1338" s="2">
        <v>45750.490972222222</v>
      </c>
      <c r="L1338" s="1" t="s">
        <v>18</v>
      </c>
      <c r="M1338" s="1" t="str">
        <f>_xlfn.XLOOKUP(I1338,Parâmetros!A:A,Parâmetros!B:B,_xlfn.XLOOKUP(Q1338,Parâmetros!F:F,Parâmetros!G:G,"NOVA MENSAGEM"))</f>
        <v>CÓD. CLIENTE DIVERGENTE</v>
      </c>
      <c r="N1338" s="1" t="str">
        <f>_xlfn.XLOOKUP(M1338,Parâmetros!K:K,Parâmetros!L:L,"")</f>
        <v>CÓDIGO DIFERENTE DO CADASTRADO NO BENNER (CLIENTE X GRUPO)</v>
      </c>
      <c r="O1338" s="1" t="str">
        <f>_xlfn.XLOOKUP(M1338,Parâmetros!B:B,Parâmetros!C:C,_xlfn.XLOOKUP(Base!M1334,Parâmetros!G:G,Parâmetros!H:H))</f>
        <v>QUALIDADE DOS DADOS</v>
      </c>
      <c r="P1338" s="1" t="str">
        <f>_xlfn.XLOOKUP(I1338,Parâmetros!A:A,Parâmetros!D:D,_xlfn.XLOOKUP(Q1338,Parâmetros!F:F,Parâmetros!I:I))</f>
        <v>SUPORTE OBT</v>
      </c>
      <c r="Q1338" s="1">
        <f t="shared" si="41"/>
        <v>1</v>
      </c>
    </row>
    <row r="1339" spans="1:17" x14ac:dyDescent="0.25">
      <c r="A1339" s="1" t="str">
        <f>_xlfn.XLOOKUP(D1339,'Novo relatório'!B:B,'Novo relatório'!C:C,"RESOLVIDO")</f>
        <v>SABRE</v>
      </c>
      <c r="C1339" t="str">
        <f t="shared" si="40"/>
        <v>PENDENTE</v>
      </c>
      <c r="D1339" s="1">
        <v>3343980</v>
      </c>
      <c r="E1339" s="1" t="s">
        <v>26</v>
      </c>
      <c r="F1339" s="2">
        <v>45750.400000000001</v>
      </c>
      <c r="G1339" s="1" t="s">
        <v>1764</v>
      </c>
      <c r="H1339" s="1" t="s">
        <v>1762</v>
      </c>
      <c r="I1339" s="1" t="s">
        <v>1202</v>
      </c>
      <c r="J1339" s="2">
        <v>45750.490972222222</v>
      </c>
      <c r="L1339" s="1" t="s">
        <v>18</v>
      </c>
      <c r="M1339" s="1" t="str">
        <f>_xlfn.XLOOKUP(I1339,Parâmetros!A:A,Parâmetros!B:B,_xlfn.XLOOKUP(Q1339,Parâmetros!F:F,Parâmetros!G:G,"NOVA MENSAGEM"))</f>
        <v>CÓD. CLIENTE DIVERGENTE</v>
      </c>
      <c r="N1339" s="1" t="str">
        <f>_xlfn.XLOOKUP(M1339,Parâmetros!K:K,Parâmetros!L:L,"")</f>
        <v>CÓDIGO DIFERENTE DO CADASTRADO NO BENNER (CLIENTE X GRUPO)</v>
      </c>
      <c r="O1339" s="1" t="str">
        <f>_xlfn.XLOOKUP(M1339,Parâmetros!B:B,Parâmetros!C:C,_xlfn.XLOOKUP(Base!M1336,Parâmetros!G:G,Parâmetros!H:H))</f>
        <v>QUALIDADE DOS DADOS</v>
      </c>
      <c r="P1339" s="1" t="str">
        <f>_xlfn.XLOOKUP(I1339,Parâmetros!A:A,Parâmetros!D:D,_xlfn.XLOOKUP(Q1339,Parâmetros!F:F,Parâmetros!I:I))</f>
        <v>SUPORTE OBT</v>
      </c>
      <c r="Q1339" s="1">
        <f t="shared" si="41"/>
        <v>1</v>
      </c>
    </row>
    <row r="1340" spans="1:17" x14ac:dyDescent="0.25">
      <c r="A1340" s="1" t="str">
        <f>_xlfn.XLOOKUP(D1340,'Novo relatório'!B:B,'Novo relatório'!C:C,"RESOLVIDO")</f>
        <v>SABRE</v>
      </c>
      <c r="C1340" t="str">
        <f t="shared" si="40"/>
        <v>PENDENTE</v>
      </c>
      <c r="D1340" s="1">
        <v>3343981</v>
      </c>
      <c r="E1340" s="1" t="s">
        <v>26</v>
      </c>
      <c r="F1340" s="2">
        <v>45750.400000000001</v>
      </c>
      <c r="G1340" s="1" t="s">
        <v>1763</v>
      </c>
      <c r="H1340" s="1" t="s">
        <v>1762</v>
      </c>
      <c r="I1340" s="1" t="s">
        <v>1423</v>
      </c>
      <c r="J1340" s="2">
        <v>45750.490972222222</v>
      </c>
      <c r="L1340" s="1" t="s">
        <v>18</v>
      </c>
      <c r="M1340" s="1" t="str">
        <f>_xlfn.XLOOKUP(I1340,Parâmetros!A:A,Parâmetros!B:B,_xlfn.XLOOKUP(Q1340,Parâmetros!F:F,Parâmetros!G:G,"NOVA MENSAGEM"))</f>
        <v>CÓD. CLIENTE DIVERGENTE</v>
      </c>
      <c r="N1340" s="1" t="str">
        <f>_xlfn.XLOOKUP(M1340,Parâmetros!K:K,Parâmetros!L:L,"")</f>
        <v>CÓDIGO DIFERENTE DO CADASTRADO NO BENNER (CLIENTE X GRUPO)</v>
      </c>
      <c r="O1340" s="1" t="str">
        <f>_xlfn.XLOOKUP(M1340,Parâmetros!B:B,Parâmetros!C:C,_xlfn.XLOOKUP(Base!M1335,Parâmetros!G:G,Parâmetros!H:H))</f>
        <v>QUALIDADE DOS DADOS</v>
      </c>
      <c r="P1340" s="1" t="str">
        <f>_xlfn.XLOOKUP(I1340,Parâmetros!A:A,Parâmetros!D:D,_xlfn.XLOOKUP(Q1340,Parâmetros!F:F,Parâmetros!I:I))</f>
        <v>SUPORTE OBT</v>
      </c>
      <c r="Q1340" s="1">
        <f t="shared" si="41"/>
        <v>1</v>
      </c>
    </row>
    <row r="1341" spans="1:17" x14ac:dyDescent="0.25">
      <c r="A1341" s="1" t="str">
        <f>_xlfn.XLOOKUP(D1341,'Novo relatório'!B:B,'Novo relatório'!C:C,"RESOLVIDO")</f>
        <v>SABRE</v>
      </c>
      <c r="C1341" t="str">
        <f t="shared" si="40"/>
        <v>PENDENTE</v>
      </c>
      <c r="D1341" s="1">
        <v>3344463</v>
      </c>
      <c r="E1341" s="1" t="s">
        <v>26</v>
      </c>
      <c r="F1341" s="2">
        <v>45750.512499999997</v>
      </c>
      <c r="G1341" s="1" t="s">
        <v>1886</v>
      </c>
      <c r="H1341" s="1" t="s">
        <v>1886</v>
      </c>
      <c r="I1341" s="1" t="s">
        <v>410</v>
      </c>
      <c r="J1341" s="2">
        <v>45750.606249999997</v>
      </c>
      <c r="L1341" s="1" t="s">
        <v>18</v>
      </c>
      <c r="M1341" s="1" t="str">
        <f>_xlfn.XLOOKUP(I1341,Parâmetros!A:A,Parâmetros!B:B,_xlfn.XLOOKUP(Q1341,Parâmetros!F:F,Parâmetros!G:G,"NOVA MENSAGEM"))</f>
        <v>CÓD. CLIENTE DIVERGENTE</v>
      </c>
      <c r="N1341" s="1" t="str">
        <f>_xlfn.XLOOKUP(M1341,Parâmetros!K:K,Parâmetros!L:L,"")</f>
        <v>CÓDIGO DIFERENTE DO CADASTRADO NO BENNER (CLIENTE X GRUPO)</v>
      </c>
      <c r="O1341" s="1" t="str">
        <f>_xlfn.XLOOKUP(M1341,Parâmetros!B:B,Parâmetros!C:C,_xlfn.XLOOKUP(Base!M1338,Parâmetros!G:G,Parâmetros!H:H))</f>
        <v>QUALIDADE DOS DADOS</v>
      </c>
      <c r="P1341" s="1" t="str">
        <f>_xlfn.XLOOKUP(I1341,Parâmetros!A:A,Parâmetros!D:D,_xlfn.XLOOKUP(Q1341,Parâmetros!F:F,Parâmetros!I:I))</f>
        <v>SUPORTE OBT</v>
      </c>
      <c r="Q1341" s="1">
        <f t="shared" si="41"/>
        <v>1</v>
      </c>
    </row>
    <row r="1342" spans="1:17" x14ac:dyDescent="0.25">
      <c r="A1342" s="1" t="str">
        <f>_xlfn.XLOOKUP(D1342,'Novo relatório'!B:B,'Novo relatório'!C:C,"RESOLVIDO")</f>
        <v>SABRE</v>
      </c>
      <c r="C1342" t="str">
        <f t="shared" si="40"/>
        <v>PENDENTE</v>
      </c>
      <c r="D1342" s="1">
        <v>3344466</v>
      </c>
      <c r="E1342" s="1" t="s">
        <v>26</v>
      </c>
      <c r="F1342" s="2">
        <v>45750.512499999997</v>
      </c>
      <c r="G1342" s="1" t="s">
        <v>1750</v>
      </c>
      <c r="H1342" s="1" t="s">
        <v>1750</v>
      </c>
      <c r="I1342" s="1" t="s">
        <v>396</v>
      </c>
      <c r="J1342" s="2">
        <v>45750.606249999997</v>
      </c>
      <c r="L1342" s="1" t="s">
        <v>18</v>
      </c>
      <c r="M1342" s="1" t="str">
        <f>_xlfn.XLOOKUP(I1342,Parâmetros!A:A,Parâmetros!B:B,_xlfn.XLOOKUP(Q1342,Parâmetros!F:F,Parâmetros!G:G,"NOVA MENSAGEM"))</f>
        <v>CÓD. CLIENTE DIVERGENTE</v>
      </c>
      <c r="N1342" s="1" t="str">
        <f>_xlfn.XLOOKUP(M1342,Parâmetros!K:K,Parâmetros!L:L,"")</f>
        <v>CÓDIGO DIFERENTE DO CADASTRADO NO BENNER (CLIENTE X GRUPO)</v>
      </c>
      <c r="O1342" s="1" t="str">
        <f>_xlfn.XLOOKUP(M1342,Parâmetros!B:B,Parâmetros!C:C,_xlfn.XLOOKUP(Base!M1337,Parâmetros!G:G,Parâmetros!H:H))</f>
        <v>QUALIDADE DOS DADOS</v>
      </c>
      <c r="P1342" s="1" t="str">
        <f>_xlfn.XLOOKUP(I1342,Parâmetros!A:A,Parâmetros!D:D,_xlfn.XLOOKUP(Q1342,Parâmetros!F:F,Parâmetros!I:I))</f>
        <v>SUPORTE OBT</v>
      </c>
      <c r="Q1342" s="1">
        <f t="shared" si="41"/>
        <v>1</v>
      </c>
    </row>
    <row r="1343" spans="1:17" x14ac:dyDescent="0.25">
      <c r="A1343" s="1" t="str">
        <f>_xlfn.XLOOKUP(D1343,'Novo relatório'!B:B,'Novo relatório'!C:C,"RESOLVIDO")</f>
        <v>SABRE</v>
      </c>
      <c r="C1343" t="str">
        <f t="shared" si="40"/>
        <v>PENDENTE</v>
      </c>
      <c r="D1343" s="1">
        <v>3344690</v>
      </c>
      <c r="E1343" s="1" t="s">
        <v>26</v>
      </c>
      <c r="F1343" s="2">
        <v>45750.592361111114</v>
      </c>
      <c r="G1343" s="1" t="s">
        <v>1705</v>
      </c>
      <c r="H1343" s="1" t="s">
        <v>1705</v>
      </c>
      <c r="I1343" s="1" t="s">
        <v>1060</v>
      </c>
      <c r="J1343" s="2">
        <v>45750.681944444441</v>
      </c>
      <c r="L1343" s="1" t="s">
        <v>18</v>
      </c>
      <c r="M1343" s="1" t="str">
        <f>_xlfn.XLOOKUP(I1343,Parâmetros!A:A,Parâmetros!B:B,_xlfn.XLOOKUP(Q1343,Parâmetros!F:F,Parâmetros!G:G,"NOVA MENSAGEM"))</f>
        <v>CÓD. CLIENTE DIVERGENTE</v>
      </c>
      <c r="N1343" s="1" t="str">
        <f>_xlfn.XLOOKUP(M1343,Parâmetros!K:K,Parâmetros!L:L,"")</f>
        <v>CÓDIGO DIFERENTE DO CADASTRADO NO BENNER (CLIENTE X GRUPO)</v>
      </c>
      <c r="O1343" s="1" t="str">
        <f>_xlfn.XLOOKUP(M1343,Parâmetros!B:B,Parâmetros!C:C,_xlfn.XLOOKUP(Base!M1339,Parâmetros!G:G,Parâmetros!H:H))</f>
        <v>QUALIDADE DOS DADOS</v>
      </c>
      <c r="P1343" s="1" t="str">
        <f>_xlfn.XLOOKUP(I1343,Parâmetros!A:A,Parâmetros!D:D,_xlfn.XLOOKUP(Q1343,Parâmetros!F:F,Parâmetros!I:I))</f>
        <v>SUPORTE OBT</v>
      </c>
      <c r="Q1343" s="1">
        <f t="shared" si="41"/>
        <v>1</v>
      </c>
    </row>
    <row r="1344" spans="1:17" x14ac:dyDescent="0.25">
      <c r="A1344" s="1" t="str">
        <f>_xlfn.XLOOKUP(D1344,'Novo relatório'!B:B,'Novo relatório'!C:C,"RESOLVIDO")</f>
        <v>SABRE</v>
      </c>
      <c r="C1344" t="str">
        <f t="shared" si="40"/>
        <v>PENDENTE</v>
      </c>
      <c r="D1344" s="1">
        <v>3345288</v>
      </c>
      <c r="E1344" s="1" t="s">
        <v>26</v>
      </c>
      <c r="F1344" s="2">
        <v>45750.651388888888</v>
      </c>
      <c r="G1344" s="1" t="s">
        <v>1768</v>
      </c>
      <c r="H1344" s="1" t="s">
        <v>1768</v>
      </c>
      <c r="I1344" s="1" t="s">
        <v>410</v>
      </c>
      <c r="J1344" s="2">
        <v>45750.740972222222</v>
      </c>
      <c r="L1344" s="1" t="s">
        <v>18</v>
      </c>
      <c r="M1344" s="1" t="str">
        <f>_xlfn.XLOOKUP(I1344,Parâmetros!A:A,Parâmetros!B:B,_xlfn.XLOOKUP(Q1344,Parâmetros!F:F,Parâmetros!G:G,"NOVA MENSAGEM"))</f>
        <v>CÓD. CLIENTE DIVERGENTE</v>
      </c>
      <c r="N1344" s="1" t="str">
        <f>_xlfn.XLOOKUP(M1344,Parâmetros!K:K,Parâmetros!L:L,"")</f>
        <v>CÓDIGO DIFERENTE DO CADASTRADO NO BENNER (CLIENTE X GRUPO)</v>
      </c>
      <c r="O1344" s="1" t="str">
        <f>_xlfn.XLOOKUP(M1344,Parâmetros!B:B,Parâmetros!C:C,_xlfn.XLOOKUP(Base!M1340,Parâmetros!G:G,Parâmetros!H:H))</f>
        <v>QUALIDADE DOS DADOS</v>
      </c>
      <c r="P1344" s="1" t="str">
        <f>_xlfn.XLOOKUP(I1344,Parâmetros!A:A,Parâmetros!D:D,_xlfn.XLOOKUP(Q1344,Parâmetros!F:F,Parâmetros!I:I))</f>
        <v>SUPORTE OBT</v>
      </c>
      <c r="Q1344" s="1">
        <f t="shared" si="41"/>
        <v>1</v>
      </c>
    </row>
    <row r="1345" spans="1:17" x14ac:dyDescent="0.25">
      <c r="A1345" s="1" t="str">
        <f>_xlfn.XLOOKUP(D1345,'Novo relatório'!B:B,'Novo relatório'!C:C,"RESOLVIDO")</f>
        <v>SABRE</v>
      </c>
      <c r="C1345" t="str">
        <f t="shared" si="40"/>
        <v>PENDENTE</v>
      </c>
      <c r="D1345" s="1">
        <v>3345296</v>
      </c>
      <c r="E1345" s="1" t="s">
        <v>26</v>
      </c>
      <c r="F1345" s="2">
        <v>45750.651388888888</v>
      </c>
      <c r="G1345" s="1" t="s">
        <v>1707</v>
      </c>
      <c r="H1345" s="1" t="s">
        <v>1707</v>
      </c>
      <c r="I1345" s="1" t="s">
        <v>410</v>
      </c>
      <c r="J1345" s="2">
        <v>45750.741666666669</v>
      </c>
      <c r="L1345" s="1" t="s">
        <v>18</v>
      </c>
      <c r="M1345" s="1" t="str">
        <f>_xlfn.XLOOKUP(I1345,Parâmetros!A:A,Parâmetros!B:B,_xlfn.XLOOKUP(Q1345,Parâmetros!F:F,Parâmetros!G:G,"NOVA MENSAGEM"))</f>
        <v>CÓD. CLIENTE DIVERGENTE</v>
      </c>
      <c r="N1345" s="1" t="str">
        <f>_xlfn.XLOOKUP(M1345,Parâmetros!K:K,Parâmetros!L:L,"")</f>
        <v>CÓDIGO DIFERENTE DO CADASTRADO NO BENNER (CLIENTE X GRUPO)</v>
      </c>
      <c r="O1345" s="1" t="str">
        <f>_xlfn.XLOOKUP(M1345,Parâmetros!B:B,Parâmetros!C:C,_xlfn.XLOOKUP(Base!M1341,Parâmetros!G:G,Parâmetros!H:H))</f>
        <v>QUALIDADE DOS DADOS</v>
      </c>
      <c r="P1345" s="1" t="str">
        <f>_xlfn.XLOOKUP(I1345,Parâmetros!A:A,Parâmetros!D:D,_xlfn.XLOOKUP(Q1345,Parâmetros!F:F,Parâmetros!I:I))</f>
        <v>SUPORTE OBT</v>
      </c>
      <c r="Q1345" s="1">
        <f t="shared" si="41"/>
        <v>1</v>
      </c>
    </row>
    <row r="1346" spans="1:17" x14ac:dyDescent="0.25">
      <c r="A1346" s="1" t="str">
        <f>_xlfn.XLOOKUP(D1346,'Novo relatório'!B:B,'Novo relatório'!C:C,"RESOLVIDO")</f>
        <v>TMS</v>
      </c>
      <c r="C1346" t="str">
        <f t="shared" ref="C1346:C1409" si="42">IF(A1346="RESOLVIDO","RESOLVIDO",IF(B1346="","PENDENTE",IF(LEFT(B1346,7)="CHAMADO","AGUARDANDO FORNECEDOR",IF(B1346="CONTABILIZAR","CONTABILIZAR NO PORTAL"))))</f>
        <v>PENDENTE</v>
      </c>
      <c r="D1346" s="1">
        <v>3345696</v>
      </c>
      <c r="E1346" s="1" t="s">
        <v>12</v>
      </c>
      <c r="F1346" s="2">
        <v>45750.638194444444</v>
      </c>
      <c r="G1346" s="1">
        <v>1637</v>
      </c>
      <c r="H1346" s="1">
        <v>1637</v>
      </c>
      <c r="I1346" s="1" t="s">
        <v>16</v>
      </c>
      <c r="J1346" s="2">
        <v>45750.782638888886</v>
      </c>
      <c r="K1346" s="2">
        <v>45753.767361111109</v>
      </c>
      <c r="L1346" s="1" t="s">
        <v>14</v>
      </c>
      <c r="M1346" s="1" t="str">
        <f>_xlfn.XLOOKUP(I1346,Parâmetros!A:A,Parâmetros!B:B,_xlfn.XLOOKUP(Q1346,Parâmetros!F:F,Parâmetros!G:G,"NOVA MENSAGEM"))</f>
        <v>ASSENTO / BAGAGEM</v>
      </c>
      <c r="N1346" s="1" t="str">
        <f>_xlfn.XLOOKUP(M1346,Parâmetros!K:K,Parâmetros!L:L,"")</f>
        <v>CAMPO OBSERVAÇÃO PREENCHIDO INCORRETAMENTE</v>
      </c>
      <c r="O1346" s="1" t="str">
        <f>_xlfn.XLOOKUP(M1346,Parâmetros!B:B,Parâmetros!C:C,_xlfn.XLOOKUP(Base!M1342,Parâmetros!G:G,Parâmetros!H:H))</f>
        <v>QUALIDADE DOS DADOS</v>
      </c>
      <c r="P1346" s="1" t="str">
        <f>_xlfn.XLOOKUP(I1346,Parâmetros!A:A,Parâmetros!D:D,_xlfn.XLOOKUP(Q1346,Parâmetros!F:F,Parâmetros!I:I))</f>
        <v>OPERAÇÕES / SUPORTE KCS</v>
      </c>
      <c r="Q1346" s="1">
        <f t="shared" ref="Q1346:Q1409" si="43">IFERROR(FIND("Não foi possível localizar o contrato do fornecedor",I1346),IFERROR(FIND("veículo",I1346),IFERROR(FIND("agagem",I1346),IFERROR(FIND("error in XML document",I1346),IFERROR(FIND("Não localizado cliente código",I1346),IFERROR(FIND("lemontech",I1346),IFERROR(FIND("&gt;Fornecedor com o",I1346),IFERROR(FIND("INSERT",I1346),IFERROR(FIND("com CNPJ",I1346),IFERROR(FIND("Consultando Agente-&gt; O agente",I1346),IFERROR(FIND("Não foi possível determinar a validade do cartão, favor verificar os dados do cartão",I1346),"COLUNA I")))))))))))</f>
        <v>118</v>
      </c>
    </row>
    <row r="1347" spans="1:17" x14ac:dyDescent="0.25">
      <c r="A1347" s="1" t="str">
        <f>_xlfn.XLOOKUP(D1347,'Novo relatório'!B:B,'Novo relatório'!C:C,"RESOLVIDO")</f>
        <v>GOVER</v>
      </c>
      <c r="C1347" t="str">
        <f t="shared" si="42"/>
        <v>PENDENTE</v>
      </c>
      <c r="D1347" s="1">
        <v>3345755</v>
      </c>
      <c r="E1347" s="1" t="s">
        <v>24</v>
      </c>
      <c r="F1347" s="2">
        <v>45750.456250000003</v>
      </c>
      <c r="G1347" s="1">
        <v>4517490</v>
      </c>
      <c r="H1347" s="1" t="s">
        <v>1927</v>
      </c>
      <c r="I1347" s="1" t="s">
        <v>196</v>
      </c>
      <c r="J1347" s="2">
        <v>45750.787499999999</v>
      </c>
      <c r="K1347" s="2">
        <v>45756.615972222222</v>
      </c>
      <c r="L1347" s="1" t="s">
        <v>18</v>
      </c>
      <c r="M1347" s="1" t="str">
        <f>_xlfn.XLOOKUP(I1347,Parâmetros!A:A,Parâmetros!B:B,_xlfn.XLOOKUP(Q1347,Parâmetros!F:F,Parâmetros!G:G,"NOVA MENSAGEM"))</f>
        <v>CLIENTE NÃO IDENTIFICADO</v>
      </c>
      <c r="N1347" s="1" t="str">
        <f>_xlfn.XLOOKUP(M1347,Parâmetros!K:K,Parâmetros!L:L,"")</f>
        <v>DK DE CLIENTE NÃO PREENCIDO / CLIENTE NÃO CONFIGURADO NO OBT</v>
      </c>
      <c r="O1347" s="1" t="str">
        <f>_xlfn.XLOOKUP(M1347,Parâmetros!B:B,Parâmetros!C:C,_xlfn.XLOOKUP(Base!M1343,Parâmetros!G:G,Parâmetros!H:H))</f>
        <v>INDEFINIDO</v>
      </c>
      <c r="P1347" s="1" t="str">
        <f>_xlfn.XLOOKUP(I1347,Parâmetros!A:A,Parâmetros!D:D,_xlfn.XLOOKUP(Q1347,Parâmetros!F:F,Parâmetros!I:I))</f>
        <v>OPERAÇÕES / SUPORTE KCS</v>
      </c>
      <c r="Q1347" s="1" t="str">
        <f t="shared" si="43"/>
        <v>COLUNA I</v>
      </c>
    </row>
    <row r="1348" spans="1:17" x14ac:dyDescent="0.25">
      <c r="A1348" s="1" t="str">
        <f>_xlfn.XLOOKUP(D1348,'Novo relatório'!B:B,'Novo relatório'!C:C,"RESOLVIDO")</f>
        <v>GOVER</v>
      </c>
      <c r="C1348" t="str">
        <f t="shared" si="42"/>
        <v>PENDENTE</v>
      </c>
      <c r="D1348" s="1">
        <v>3345756</v>
      </c>
      <c r="E1348" s="1" t="s">
        <v>24</v>
      </c>
      <c r="F1348" s="2">
        <v>45750.456250000003</v>
      </c>
      <c r="G1348" s="1">
        <v>4517490</v>
      </c>
      <c r="H1348" s="1" t="s">
        <v>1928</v>
      </c>
      <c r="I1348" s="1" t="s">
        <v>196</v>
      </c>
      <c r="J1348" s="2">
        <v>45750.787499999999</v>
      </c>
      <c r="K1348" s="2">
        <v>45756.615972222222</v>
      </c>
      <c r="L1348" s="1" t="s">
        <v>18</v>
      </c>
      <c r="M1348" s="1" t="str">
        <f>_xlfn.XLOOKUP(I1348,Parâmetros!A:A,Parâmetros!B:B,_xlfn.XLOOKUP(Q1348,Parâmetros!F:F,Parâmetros!G:G,"NOVA MENSAGEM"))</f>
        <v>CLIENTE NÃO IDENTIFICADO</v>
      </c>
      <c r="N1348" s="1" t="str">
        <f>_xlfn.XLOOKUP(M1348,Parâmetros!K:K,Parâmetros!L:L,"")</f>
        <v>DK DE CLIENTE NÃO PREENCIDO / CLIENTE NÃO CONFIGURADO NO OBT</v>
      </c>
      <c r="O1348" s="1" t="str">
        <f>_xlfn.XLOOKUP(M1348,Parâmetros!B:B,Parâmetros!C:C,_xlfn.XLOOKUP(Base!M1344,Parâmetros!G:G,Parâmetros!H:H))</f>
        <v>INDEFINIDO</v>
      </c>
      <c r="P1348" s="1" t="str">
        <f>_xlfn.XLOOKUP(I1348,Parâmetros!A:A,Parâmetros!D:D,_xlfn.XLOOKUP(Q1348,Parâmetros!F:F,Parâmetros!I:I))</f>
        <v>OPERAÇÕES / SUPORTE KCS</v>
      </c>
      <c r="Q1348" s="1" t="str">
        <f t="shared" si="43"/>
        <v>COLUNA I</v>
      </c>
    </row>
    <row r="1349" spans="1:17" x14ac:dyDescent="0.25">
      <c r="A1349" s="1" t="str">
        <f>_xlfn.XLOOKUP(D1349,'Novo relatório'!B:B,'Novo relatório'!C:C,"RESOLVIDO")</f>
        <v>TMS</v>
      </c>
      <c r="C1349" t="str">
        <f t="shared" si="42"/>
        <v>PENDENTE</v>
      </c>
      <c r="D1349" s="1">
        <v>3345817</v>
      </c>
      <c r="E1349" s="1" t="s">
        <v>12</v>
      </c>
      <c r="F1349" s="2">
        <v>45750.711111111108</v>
      </c>
      <c r="G1349" s="1">
        <v>58004</v>
      </c>
      <c r="H1349" s="1">
        <v>58004</v>
      </c>
      <c r="I1349" s="1" t="s">
        <v>16</v>
      </c>
      <c r="J1349" s="2">
        <v>45750.793055555558</v>
      </c>
      <c r="K1349" s="2">
        <v>45753.768750000003</v>
      </c>
      <c r="L1349" s="1" t="s">
        <v>14</v>
      </c>
      <c r="M1349" s="1" t="str">
        <f>_xlfn.XLOOKUP(I1349,Parâmetros!A:A,Parâmetros!B:B,_xlfn.XLOOKUP(Q1349,Parâmetros!F:F,Parâmetros!G:G,"NOVA MENSAGEM"))</f>
        <v>ASSENTO / BAGAGEM</v>
      </c>
      <c r="N1349" s="1" t="str">
        <f>_xlfn.XLOOKUP(M1349,Parâmetros!K:K,Parâmetros!L:L,"")</f>
        <v>CAMPO OBSERVAÇÃO PREENCHIDO INCORRETAMENTE</v>
      </c>
      <c r="O1349" s="1" t="str">
        <f>_xlfn.XLOOKUP(M1349,Parâmetros!B:B,Parâmetros!C:C,_xlfn.XLOOKUP(Base!M1345,Parâmetros!G:G,Parâmetros!H:H))</f>
        <v>QUALIDADE DOS DADOS</v>
      </c>
      <c r="P1349" s="1" t="str">
        <f>_xlfn.XLOOKUP(I1349,Parâmetros!A:A,Parâmetros!D:D,_xlfn.XLOOKUP(Q1349,Parâmetros!F:F,Parâmetros!I:I))</f>
        <v>OPERAÇÕES / SUPORTE KCS</v>
      </c>
      <c r="Q1349" s="1">
        <f t="shared" si="43"/>
        <v>118</v>
      </c>
    </row>
    <row r="1350" spans="1:17" x14ac:dyDescent="0.25">
      <c r="A1350" s="1" t="str">
        <f>_xlfn.XLOOKUP(D1350,'Novo relatório'!B:B,'Novo relatório'!C:C,"RESOLVIDO")</f>
        <v>SABRE</v>
      </c>
      <c r="C1350" t="str">
        <f t="shared" si="42"/>
        <v>PENDENTE</v>
      </c>
      <c r="D1350" s="1">
        <v>3346220</v>
      </c>
      <c r="E1350" s="1" t="s">
        <v>26</v>
      </c>
      <c r="F1350" s="2">
        <v>45750.75277777778</v>
      </c>
      <c r="G1350" s="1" t="s">
        <v>1807</v>
      </c>
      <c r="H1350" s="1" t="s">
        <v>1807</v>
      </c>
      <c r="I1350" s="1" t="s">
        <v>707</v>
      </c>
      <c r="J1350" s="2">
        <v>45750.845138888886</v>
      </c>
      <c r="L1350" s="1" t="s">
        <v>18</v>
      </c>
      <c r="M1350" s="1" t="str">
        <f>_xlfn.XLOOKUP(I1350,Parâmetros!A:A,Parâmetros!B:B,_xlfn.XLOOKUP(Q1350,Parâmetros!F:F,Parâmetros!G:G,"NOVA MENSAGEM"))</f>
        <v>CÓD. CLIENTE DIVERGENTE</v>
      </c>
      <c r="N1350" s="1" t="str">
        <f>_xlfn.XLOOKUP(M1350,Parâmetros!K:K,Parâmetros!L:L,"")</f>
        <v>CÓDIGO DIFERENTE DO CADASTRADO NO BENNER (CLIENTE X GRUPO)</v>
      </c>
      <c r="O1350" s="1" t="str">
        <f>_xlfn.XLOOKUP(M1350,Parâmetros!B:B,Parâmetros!C:C,_xlfn.XLOOKUP(Base!M1347,Parâmetros!G:G,Parâmetros!H:H))</f>
        <v>QUALIDADE DOS DADOS</v>
      </c>
      <c r="P1350" s="1" t="str">
        <f>_xlfn.XLOOKUP(I1350,Parâmetros!A:A,Parâmetros!D:D,_xlfn.XLOOKUP(Q1350,Parâmetros!F:F,Parâmetros!I:I))</f>
        <v>SUPORTE OBT</v>
      </c>
      <c r="Q1350" s="1">
        <f t="shared" si="43"/>
        <v>1</v>
      </c>
    </row>
    <row r="1351" spans="1:17" x14ac:dyDescent="0.25">
      <c r="A1351" s="1" t="str">
        <f>_xlfn.XLOOKUP(D1351,'Novo relatório'!B:B,'Novo relatório'!C:C,"RESOLVIDO")</f>
        <v>SABRE</v>
      </c>
      <c r="C1351" t="str">
        <f t="shared" si="42"/>
        <v>PENDENTE</v>
      </c>
      <c r="D1351" s="1">
        <v>3346221</v>
      </c>
      <c r="E1351" s="1" t="s">
        <v>26</v>
      </c>
      <c r="F1351" s="2">
        <v>45756.469444444447</v>
      </c>
      <c r="G1351" s="1" t="s">
        <v>1701</v>
      </c>
      <c r="H1351" s="1" t="s">
        <v>1701</v>
      </c>
      <c r="I1351" s="1" t="s">
        <v>652</v>
      </c>
      <c r="J1351" s="2">
        <v>45750.845138888886</v>
      </c>
      <c r="K1351" s="2">
        <v>45756.554166666669</v>
      </c>
      <c r="L1351" s="1" t="s">
        <v>18</v>
      </c>
      <c r="M1351" s="1" t="str">
        <f>_xlfn.XLOOKUP(I1351,Parâmetros!A:A,Parâmetros!B:B,_xlfn.XLOOKUP(Q1351,Parâmetros!F:F,Parâmetros!G:G,"NOVA MENSAGEM"))</f>
        <v>CÓD. CLIENTE DIVERGENTE</v>
      </c>
      <c r="N1351" s="1" t="str">
        <f>_xlfn.XLOOKUP(M1351,Parâmetros!K:K,Parâmetros!L:L,"")</f>
        <v>CÓDIGO DIFERENTE DO CADASTRADO NO BENNER (CLIENTE X GRUPO)</v>
      </c>
      <c r="O1351" s="1" t="str">
        <f>_xlfn.XLOOKUP(M1351,Parâmetros!B:B,Parâmetros!C:C,_xlfn.XLOOKUP(Base!M1348,Parâmetros!G:G,Parâmetros!H:H))</f>
        <v>QUALIDADE DOS DADOS</v>
      </c>
      <c r="P1351" s="1" t="str">
        <f>_xlfn.XLOOKUP(I1351,Parâmetros!A:A,Parâmetros!D:D,_xlfn.XLOOKUP(Q1351,Parâmetros!F:F,Parâmetros!I:I))</f>
        <v>SUPORTE OBT</v>
      </c>
      <c r="Q1351" s="1">
        <f t="shared" si="43"/>
        <v>1</v>
      </c>
    </row>
    <row r="1352" spans="1:17" x14ac:dyDescent="0.25">
      <c r="A1352" s="1" t="str">
        <f>_xlfn.XLOOKUP(D1352,'Novo relatório'!B:B,'Novo relatório'!C:C,"RESOLVIDO")</f>
        <v>SABRE</v>
      </c>
      <c r="C1352" t="str">
        <f t="shared" si="42"/>
        <v>PENDENTE</v>
      </c>
      <c r="D1352" s="1">
        <v>3346222</v>
      </c>
      <c r="E1352" s="1" t="s">
        <v>26</v>
      </c>
      <c r="F1352" s="2">
        <v>45750.75277777778</v>
      </c>
      <c r="G1352" s="1" t="s">
        <v>1727</v>
      </c>
      <c r="H1352" s="1" t="s">
        <v>1727</v>
      </c>
      <c r="I1352" s="1" t="s">
        <v>83</v>
      </c>
      <c r="J1352" s="2">
        <v>45750.845138888886</v>
      </c>
      <c r="L1352" s="1" t="s">
        <v>18</v>
      </c>
      <c r="M1352" s="1" t="str">
        <f>_xlfn.XLOOKUP(I1352,Parâmetros!A:A,Parâmetros!B:B,_xlfn.XLOOKUP(Q1352,Parâmetros!F:F,Parâmetros!G:G,"NOVA MENSAGEM"))</f>
        <v>CLIENTE NÃO IDENTIFICADO</v>
      </c>
      <c r="N1352" s="1" t="str">
        <f>_xlfn.XLOOKUP(M1352,Parâmetros!K:K,Parâmetros!L:L,"")</f>
        <v>DK DE CLIENTE NÃO PREENCIDO / CLIENTE NÃO CONFIGURADO NO OBT</v>
      </c>
      <c r="O1352" s="1" t="str">
        <f>_xlfn.XLOOKUP(M1352,Parâmetros!B:B,Parâmetros!C:C,_xlfn.XLOOKUP(Base!M1346,Parâmetros!G:G,Parâmetros!H:H))</f>
        <v>INDEFINIDO</v>
      </c>
      <c r="P1352" s="1" t="str">
        <f>_xlfn.XLOOKUP(I1352,Parâmetros!A:A,Parâmetros!D:D,_xlfn.XLOOKUP(Q1352,Parâmetros!F:F,Parâmetros!I:I))</f>
        <v>OPERAÇÕES / SUPORTE KCS</v>
      </c>
      <c r="Q1352" s="1" t="str">
        <f t="shared" si="43"/>
        <v>COLUNA I</v>
      </c>
    </row>
    <row r="1353" spans="1:17" x14ac:dyDescent="0.25">
      <c r="A1353" s="1" t="str">
        <f>_xlfn.XLOOKUP(D1353,'Novo relatório'!B:B,'Novo relatório'!C:C,"RESOLVIDO")</f>
        <v>RESOLVIDO</v>
      </c>
      <c r="C1353" t="str">
        <f t="shared" si="42"/>
        <v>RESOLVIDO</v>
      </c>
      <c r="D1353" s="1">
        <v>3346458</v>
      </c>
      <c r="E1353" s="1" t="s">
        <v>12</v>
      </c>
      <c r="F1353" s="2">
        <v>45750.777777777781</v>
      </c>
      <c r="G1353" s="1">
        <v>58079</v>
      </c>
      <c r="H1353" s="1">
        <v>58079</v>
      </c>
      <c r="I1353" s="1" t="s">
        <v>455</v>
      </c>
      <c r="J1353" s="2">
        <v>45750.995833333334</v>
      </c>
      <c r="K1353" s="2">
        <v>45753.768750000003</v>
      </c>
      <c r="L1353" s="1" t="s">
        <v>14</v>
      </c>
      <c r="M1353" s="1" t="str">
        <f>_xlfn.XLOOKUP(I1353,Parâmetros!A:A,Parâmetros!B:B,_xlfn.XLOOKUP(Q1353,Parâmetros!F:F,Parâmetros!G:G,"NOVA MENSAGEM"))</f>
        <v>ASSENTO / BAGAGEM</v>
      </c>
      <c r="N1353" s="1" t="str">
        <f>_xlfn.XLOOKUP(M1353,Parâmetros!K:K,Parâmetros!L:L,"")</f>
        <v>CAMPO OBSERVAÇÃO PREENCHIDO INCORRETAMENTE</v>
      </c>
      <c r="O1353" s="1" t="str">
        <f>_xlfn.XLOOKUP(M1353,Parâmetros!B:B,Parâmetros!C:C,_xlfn.XLOOKUP(Base!M1349,Parâmetros!G:G,Parâmetros!H:H))</f>
        <v>QUALIDADE DOS DADOS</v>
      </c>
      <c r="P1353" s="1" t="str">
        <f>_xlfn.XLOOKUP(I1353,Parâmetros!A:A,Parâmetros!D:D,_xlfn.XLOOKUP(Q1353,Parâmetros!F:F,Parâmetros!I:I))</f>
        <v>OPERAÇÕES / SUPORTE KCS</v>
      </c>
      <c r="Q1353" s="1">
        <f t="shared" si="43"/>
        <v>127</v>
      </c>
    </row>
    <row r="1354" spans="1:17" x14ac:dyDescent="0.25">
      <c r="A1354" s="1" t="str">
        <f>_xlfn.XLOOKUP(D1354,'Novo relatório'!B:B,'Novo relatório'!C:C,"RESOLVIDO")</f>
        <v>TMS</v>
      </c>
      <c r="C1354" t="str">
        <f t="shared" si="42"/>
        <v>PENDENTE</v>
      </c>
      <c r="D1354" s="1">
        <v>3346490</v>
      </c>
      <c r="E1354" s="1" t="s">
        <v>12</v>
      </c>
      <c r="F1354" s="2">
        <v>45750.723611111112</v>
      </c>
      <c r="G1354" s="1">
        <v>57997</v>
      </c>
      <c r="H1354" s="1">
        <v>57997</v>
      </c>
      <c r="I1354" s="1" t="s">
        <v>16</v>
      </c>
      <c r="J1354" s="2">
        <v>45750.998611111114</v>
      </c>
      <c r="K1354" s="2">
        <v>45753.769444444442</v>
      </c>
      <c r="L1354" s="1" t="s">
        <v>14</v>
      </c>
      <c r="M1354" s="1" t="str">
        <f>_xlfn.XLOOKUP(I1354,Parâmetros!A:A,Parâmetros!B:B,_xlfn.XLOOKUP(Q1354,Parâmetros!F:F,Parâmetros!G:G,"NOVA MENSAGEM"))</f>
        <v>ASSENTO / BAGAGEM</v>
      </c>
      <c r="N1354" s="1" t="str">
        <f>_xlfn.XLOOKUP(M1354,Parâmetros!K:K,Parâmetros!L:L,"")</f>
        <v>CAMPO OBSERVAÇÃO PREENCHIDO INCORRETAMENTE</v>
      </c>
      <c r="O1354" s="1" t="str">
        <f>_xlfn.XLOOKUP(M1354,Parâmetros!B:B,Parâmetros!C:C,_xlfn.XLOOKUP(Base!M1350,Parâmetros!G:G,Parâmetros!H:H))</f>
        <v>QUALIDADE DOS DADOS</v>
      </c>
      <c r="P1354" s="1" t="str">
        <f>_xlfn.XLOOKUP(I1354,Parâmetros!A:A,Parâmetros!D:D,_xlfn.XLOOKUP(Q1354,Parâmetros!F:F,Parâmetros!I:I))</f>
        <v>OPERAÇÕES / SUPORTE KCS</v>
      </c>
      <c r="Q1354" s="1">
        <f t="shared" si="43"/>
        <v>118</v>
      </c>
    </row>
    <row r="1355" spans="1:17" x14ac:dyDescent="0.25">
      <c r="A1355" s="1" t="str">
        <f>_xlfn.XLOOKUP(D1355,'Novo relatório'!B:B,'Novo relatório'!C:C,"RESOLVIDO")</f>
        <v>SABRE</v>
      </c>
      <c r="C1355" t="str">
        <f t="shared" si="42"/>
        <v>PENDENTE</v>
      </c>
      <c r="D1355" s="1">
        <v>3347680</v>
      </c>
      <c r="E1355" s="1" t="s">
        <v>26</v>
      </c>
      <c r="F1355" s="2">
        <v>45751.612500000003</v>
      </c>
      <c r="G1355" s="1" t="s">
        <v>1896</v>
      </c>
      <c r="H1355" s="1" t="s">
        <v>1897</v>
      </c>
      <c r="I1355" s="1" t="s">
        <v>1898</v>
      </c>
      <c r="J1355" s="2">
        <v>45751.7</v>
      </c>
      <c r="L1355" s="1" t="s">
        <v>19</v>
      </c>
      <c r="M1355" s="1" t="str">
        <f>_xlfn.XLOOKUP(I1355,Parâmetros!A:A,Parâmetros!B:B,_xlfn.XLOOKUP(Q1355,Parâmetros!F:F,Parâmetros!G:G,"NOVA MENSAGEM"))</f>
        <v>CONTRATO FORNECEDOR</v>
      </c>
      <c r="N1355" s="1" t="str">
        <f>_xlfn.XLOOKUP(M1355,Parâmetros!K:K,Parâmetros!L:L,"")</f>
        <v>CONTRATO INATIVO OU DIVERGENTE</v>
      </c>
      <c r="O1355" s="1" t="str">
        <f>_xlfn.XLOOKUP(M1355,Parâmetros!B:B,Parâmetros!C:C,_xlfn.XLOOKUP(Base!M1351,Parâmetros!G:G,Parâmetros!H:H))</f>
        <v>SISTEMA</v>
      </c>
      <c r="P1355" s="1" t="str">
        <f>_xlfn.XLOOKUP(I1355,Parâmetros!A:A,Parâmetros!D:D,_xlfn.XLOOKUP(Q1355,Parâmetros!F:F,Parâmetros!I:I))</f>
        <v>OPERAÇÕES / SUPORTE KCS</v>
      </c>
      <c r="Q1355" s="1">
        <f t="shared" si="43"/>
        <v>43</v>
      </c>
    </row>
    <row r="1356" spans="1:17" x14ac:dyDescent="0.25">
      <c r="A1356" s="1" t="str">
        <f>_xlfn.XLOOKUP(D1356,'Novo relatório'!B:B,'Novo relatório'!C:C,"RESOLVIDO")</f>
        <v>GOVER</v>
      </c>
      <c r="C1356" t="str">
        <f t="shared" si="42"/>
        <v>PENDENTE</v>
      </c>
      <c r="D1356" s="1">
        <v>3347752</v>
      </c>
      <c r="E1356" s="1" t="s">
        <v>24</v>
      </c>
      <c r="F1356" s="2">
        <v>45747.450694444444</v>
      </c>
      <c r="G1356" s="1">
        <v>4514760</v>
      </c>
      <c r="H1356" s="1" t="s">
        <v>1925</v>
      </c>
      <c r="I1356" s="1" t="s">
        <v>1926</v>
      </c>
      <c r="J1356" s="2">
        <v>45751.711805555555</v>
      </c>
      <c r="K1356" s="2">
        <v>45756.615972222222</v>
      </c>
      <c r="L1356" s="1" t="s">
        <v>14</v>
      </c>
      <c r="M1356" s="1" t="str">
        <f>_xlfn.XLOOKUP(I1356,Parâmetros!A:A,Parâmetros!B:B,_xlfn.XLOOKUP(Q1356,Parâmetros!F:F,Parâmetros!G:G,"NOVA MENSAGEM"))</f>
        <v>TAG - ITEM VEÍCULO</v>
      </c>
      <c r="N1356" s="1" t="str">
        <f>_xlfn.XLOOKUP(M1356,Parâmetros!K:K,Parâmetros!L:L,"")</f>
        <v>TAGS DE DETALHAMENTO DO SERVIÇO NÃO ENVIADO NO XML</v>
      </c>
      <c r="O1356" s="1" t="e">
        <f>_xlfn.XLOOKUP(M1356,Parâmetros!B:B,Parâmetros!C:C,_xlfn.XLOOKUP(Base!M1352,Parâmetros!G:G,Parâmetros!H:H))</f>
        <v>#N/A</v>
      </c>
      <c r="P1356" s="1" t="str">
        <f>_xlfn.XLOOKUP(I1356,Parâmetros!A:A,Parâmetros!D:D,_xlfn.XLOOKUP(Q1356,Parâmetros!F:F,Parâmetros!I:I))</f>
        <v>SUPORTE OBT</v>
      </c>
      <c r="Q1356" s="1">
        <f t="shared" si="43"/>
        <v>46</v>
      </c>
    </row>
    <row r="1357" spans="1:17" x14ac:dyDescent="0.25">
      <c r="A1357" s="1" t="str">
        <f>_xlfn.XLOOKUP(D1357,'Novo relatório'!B:B,'Novo relatório'!C:C,"RESOLVIDO")</f>
        <v>SABRE</v>
      </c>
      <c r="C1357" t="str">
        <f t="shared" si="42"/>
        <v>PENDENTE</v>
      </c>
      <c r="D1357" s="1">
        <v>3348258</v>
      </c>
      <c r="E1357" s="1" t="s">
        <v>26</v>
      </c>
      <c r="F1357" s="2">
        <v>45751.675694444442</v>
      </c>
      <c r="G1357" s="1" t="s">
        <v>1812</v>
      </c>
      <c r="H1357" s="1" t="s">
        <v>1812</v>
      </c>
      <c r="I1357" s="1" t="s">
        <v>83</v>
      </c>
      <c r="J1357" s="2">
        <v>45751.762499999997</v>
      </c>
      <c r="L1357" s="1" t="s">
        <v>18</v>
      </c>
      <c r="M1357" s="1" t="str">
        <f>_xlfn.XLOOKUP(I1357,Parâmetros!A:A,Parâmetros!B:B,_xlfn.XLOOKUP(Q1357,Parâmetros!F:F,Parâmetros!G:G,"NOVA MENSAGEM"))</f>
        <v>CLIENTE NÃO IDENTIFICADO</v>
      </c>
      <c r="N1357" s="1" t="str">
        <f>_xlfn.XLOOKUP(M1357,Parâmetros!K:K,Parâmetros!L:L,"")</f>
        <v>DK DE CLIENTE NÃO PREENCIDO / CLIENTE NÃO CONFIGURADO NO OBT</v>
      </c>
      <c r="O1357" s="1" t="str">
        <f>_xlfn.XLOOKUP(M1357,Parâmetros!B:B,Parâmetros!C:C,_xlfn.XLOOKUP(Base!M1353,Parâmetros!G:G,Parâmetros!H:H))</f>
        <v>INDEFINIDO</v>
      </c>
      <c r="P1357" s="1" t="str">
        <f>_xlfn.XLOOKUP(I1357,Parâmetros!A:A,Parâmetros!D:D,_xlfn.XLOOKUP(Q1357,Parâmetros!F:F,Parâmetros!I:I))</f>
        <v>OPERAÇÕES / SUPORTE KCS</v>
      </c>
      <c r="Q1357" s="1" t="str">
        <f t="shared" si="43"/>
        <v>COLUNA I</v>
      </c>
    </row>
    <row r="1358" spans="1:17" x14ac:dyDescent="0.25">
      <c r="A1358" s="1" t="str">
        <f>_xlfn.XLOOKUP(D1358,'Novo relatório'!B:B,'Novo relatório'!C:C,"RESOLVIDO")</f>
        <v>TMS</v>
      </c>
      <c r="C1358" t="str">
        <f t="shared" si="42"/>
        <v>PENDENTE</v>
      </c>
      <c r="D1358" s="1">
        <v>3348758</v>
      </c>
      <c r="E1358" s="1" t="s">
        <v>12</v>
      </c>
      <c r="F1358" s="2">
        <v>45751.578472222223</v>
      </c>
      <c r="G1358" s="1">
        <v>62285</v>
      </c>
      <c r="H1358" s="1">
        <v>62285</v>
      </c>
      <c r="I1358" s="1" t="s">
        <v>1913</v>
      </c>
      <c r="J1358" s="2">
        <v>45751.805555555555</v>
      </c>
      <c r="K1358" s="2">
        <v>45754.829861111109</v>
      </c>
      <c r="L1358" s="1" t="s">
        <v>19</v>
      </c>
      <c r="M1358" s="1" t="str">
        <f>_xlfn.XLOOKUP(I1358,Parâmetros!A:A,Parâmetros!B:B,_xlfn.XLOOKUP(Q1358,Parâmetros!F:F,Parâmetros!G:G,"NOVA MENSAGEM"))</f>
        <v>CONTRATO FORNECEDOR</v>
      </c>
      <c r="N1358" s="1" t="str">
        <f>_xlfn.XLOOKUP(M1358,Parâmetros!K:K,Parâmetros!L:L,"")</f>
        <v>CONTRATO INATIVO OU DIVERGENTE</v>
      </c>
      <c r="O1358" s="1" t="str">
        <f>_xlfn.XLOOKUP(M1358,Parâmetros!B:B,Parâmetros!C:C,_xlfn.XLOOKUP(Base!M1354,Parâmetros!G:G,Parâmetros!H:H))</f>
        <v>SISTEMA</v>
      </c>
      <c r="P1358" s="1" t="str">
        <f>_xlfn.XLOOKUP(I1358,Parâmetros!A:A,Parâmetros!D:D,_xlfn.XLOOKUP(Q1358,Parâmetros!F:F,Parâmetros!I:I))</f>
        <v>OPERAÇÕES / SUPORTE KCS</v>
      </c>
      <c r="Q1358" s="1">
        <f t="shared" si="43"/>
        <v>69</v>
      </c>
    </row>
    <row r="1359" spans="1:17" x14ac:dyDescent="0.25">
      <c r="A1359" s="1" t="str">
        <f>_xlfn.XLOOKUP(D1359,'Novo relatório'!B:B,'Novo relatório'!C:C,"RESOLVIDO")</f>
        <v>SABRE</v>
      </c>
      <c r="C1359" t="str">
        <f t="shared" si="42"/>
        <v>PENDENTE</v>
      </c>
      <c r="D1359" s="1">
        <v>3349551</v>
      </c>
      <c r="E1359" s="1" t="s">
        <v>26</v>
      </c>
      <c r="F1359" s="2">
        <v>45754.260416666664</v>
      </c>
      <c r="G1359" s="1" t="s">
        <v>1773</v>
      </c>
      <c r="H1359" s="1" t="s">
        <v>1772</v>
      </c>
      <c r="I1359" s="1" t="s">
        <v>1216</v>
      </c>
      <c r="J1359" s="2">
        <v>45754.347916666666</v>
      </c>
      <c r="L1359" s="1" t="s">
        <v>18</v>
      </c>
      <c r="M1359" s="1" t="str">
        <f>_xlfn.XLOOKUP(I1359,Parâmetros!A:A,Parâmetros!B:B,_xlfn.XLOOKUP(Q1359,Parâmetros!F:F,Parâmetros!G:G,"NOVA MENSAGEM"))</f>
        <v>CÓD. CLIENTE DIVERGENTE</v>
      </c>
      <c r="N1359" s="1" t="str">
        <f>_xlfn.XLOOKUP(M1359,Parâmetros!K:K,Parâmetros!L:L,"")</f>
        <v>CÓDIGO DIFERENTE DO CADASTRADO NO BENNER (CLIENTE X GRUPO)</v>
      </c>
      <c r="O1359" s="1" t="str">
        <f>_xlfn.XLOOKUP(M1359,Parâmetros!B:B,Parâmetros!C:C,_xlfn.XLOOKUP(Base!M1355,Parâmetros!G:G,Parâmetros!H:H))</f>
        <v>QUALIDADE DOS DADOS</v>
      </c>
      <c r="P1359" s="1" t="str">
        <f>_xlfn.XLOOKUP(I1359,Parâmetros!A:A,Parâmetros!D:D,_xlfn.XLOOKUP(Q1359,Parâmetros!F:F,Parâmetros!I:I))</f>
        <v>SUPORTE OBT</v>
      </c>
      <c r="Q1359" s="1">
        <f t="shared" si="43"/>
        <v>1</v>
      </c>
    </row>
    <row r="1360" spans="1:17" x14ac:dyDescent="0.25">
      <c r="A1360" s="1" t="str">
        <f>_xlfn.XLOOKUP(D1360,'Novo relatório'!B:B,'Novo relatório'!C:C,"RESOLVIDO")</f>
        <v>RESOLVIDO</v>
      </c>
      <c r="C1360" t="str">
        <f t="shared" si="42"/>
        <v>RESOLVIDO</v>
      </c>
      <c r="D1360" s="1">
        <v>3350034</v>
      </c>
      <c r="E1360" s="1" t="s">
        <v>12</v>
      </c>
      <c r="F1360" s="2">
        <v>45754.511805555558</v>
      </c>
      <c r="G1360" s="1">
        <v>61123</v>
      </c>
      <c r="H1360" s="1">
        <v>61123</v>
      </c>
      <c r="I1360" s="1" t="s">
        <v>16</v>
      </c>
      <c r="J1360" s="2">
        <v>45754.527777777781</v>
      </c>
      <c r="K1360" s="2">
        <v>45756.557638888888</v>
      </c>
      <c r="L1360" s="1" t="s">
        <v>14</v>
      </c>
      <c r="M1360" s="1" t="str">
        <f>_xlfn.XLOOKUP(I1360,Parâmetros!A:A,Parâmetros!B:B,_xlfn.XLOOKUP(Q1360,Parâmetros!F:F,Parâmetros!G:G,"NOVA MENSAGEM"))</f>
        <v>ASSENTO / BAGAGEM</v>
      </c>
      <c r="N1360" s="1" t="str">
        <f>_xlfn.XLOOKUP(M1360,Parâmetros!K:K,Parâmetros!L:L,"")</f>
        <v>CAMPO OBSERVAÇÃO PREENCHIDO INCORRETAMENTE</v>
      </c>
      <c r="O1360" s="1" t="str">
        <f>_xlfn.XLOOKUP(M1360,Parâmetros!B:B,Parâmetros!C:C,_xlfn.XLOOKUP(Base!M1356,Parâmetros!G:G,Parâmetros!H:H))</f>
        <v>QUALIDADE DOS DADOS</v>
      </c>
      <c r="P1360" s="1" t="str">
        <f>_xlfn.XLOOKUP(I1360,Parâmetros!A:A,Parâmetros!D:D,_xlfn.XLOOKUP(Q1360,Parâmetros!F:F,Parâmetros!I:I))</f>
        <v>OPERAÇÕES / SUPORTE KCS</v>
      </c>
      <c r="Q1360" s="1">
        <f t="shared" si="43"/>
        <v>118</v>
      </c>
    </row>
    <row r="1361" spans="1:17" x14ac:dyDescent="0.25">
      <c r="A1361" s="1" t="str">
        <f>_xlfn.XLOOKUP(D1361,'Novo relatório'!B:B,'Novo relatório'!C:C,"RESOLVIDO")</f>
        <v>SABRE</v>
      </c>
      <c r="C1361" t="str">
        <f t="shared" si="42"/>
        <v>PENDENTE</v>
      </c>
      <c r="D1361" s="1">
        <v>3350398</v>
      </c>
      <c r="E1361" s="1" t="s">
        <v>26</v>
      </c>
      <c r="F1361" s="2">
        <v>45754.461805555555</v>
      </c>
      <c r="G1361" s="1" t="s">
        <v>1755</v>
      </c>
      <c r="H1361" s="1" t="s">
        <v>1755</v>
      </c>
      <c r="I1361" s="1" t="s">
        <v>1131</v>
      </c>
      <c r="J1361" s="2">
        <v>45754.554861111108</v>
      </c>
      <c r="L1361" s="1" t="s">
        <v>18</v>
      </c>
      <c r="M1361" s="1" t="str">
        <f>_xlfn.XLOOKUP(I1361,Parâmetros!A:A,Parâmetros!B:B,_xlfn.XLOOKUP(Q1361,Parâmetros!F:F,Parâmetros!G:G,"NOVA MENSAGEM"))</f>
        <v>REMARK - CNPJ</v>
      </c>
      <c r="N1361" s="1" t="str">
        <f>_xlfn.XLOOKUP(M1361,Parâmetros!K:K,Parâmetros!L:L,"")</f>
        <v/>
      </c>
      <c r="O1361" s="1" t="e">
        <f>_xlfn.XLOOKUP(M1361,Parâmetros!B:B,Parâmetros!C:C,_xlfn.XLOOKUP(Base!M1357,Parâmetros!G:G,Parâmetros!H:H))</f>
        <v>#N/A</v>
      </c>
      <c r="P1361" s="1" t="str">
        <f>_xlfn.XLOOKUP(I1361,Parâmetros!A:A,Parâmetros!D:D,_xlfn.XLOOKUP(Q1361,Parâmetros!F:F,Parâmetros!I:I))</f>
        <v>OPERAÇÕES / SUPORTE KCS</v>
      </c>
      <c r="Q1361" s="1">
        <f t="shared" si="43"/>
        <v>24</v>
      </c>
    </row>
    <row r="1362" spans="1:17" x14ac:dyDescent="0.25">
      <c r="A1362" s="1" t="str">
        <f>_xlfn.XLOOKUP(D1362,'Novo relatório'!B:B,'Novo relatório'!C:C,"RESOLVIDO")</f>
        <v>SABRE</v>
      </c>
      <c r="C1362" t="str">
        <f t="shared" si="42"/>
        <v>PENDENTE</v>
      </c>
      <c r="D1362" s="1">
        <v>3350678</v>
      </c>
      <c r="E1362" s="1" t="s">
        <v>26</v>
      </c>
      <c r="F1362" s="2">
        <v>45754.542361111111</v>
      </c>
      <c r="G1362" s="1" t="s">
        <v>1890</v>
      </c>
      <c r="H1362" s="1" t="s">
        <v>1890</v>
      </c>
      <c r="I1362" s="1" t="s">
        <v>707</v>
      </c>
      <c r="J1362" s="2">
        <v>45754.626388888886</v>
      </c>
      <c r="L1362" s="1" t="s">
        <v>18</v>
      </c>
      <c r="M1362" s="1" t="str">
        <f>_xlfn.XLOOKUP(I1362,Parâmetros!A:A,Parâmetros!B:B,_xlfn.XLOOKUP(Q1362,Parâmetros!F:F,Parâmetros!G:G,"NOVA MENSAGEM"))</f>
        <v>CÓD. CLIENTE DIVERGENTE</v>
      </c>
      <c r="N1362" s="1" t="str">
        <f>_xlfn.XLOOKUP(M1362,Parâmetros!K:K,Parâmetros!L:L,"")</f>
        <v>CÓDIGO DIFERENTE DO CADASTRADO NO BENNER (CLIENTE X GRUPO)</v>
      </c>
      <c r="O1362" s="1" t="str">
        <f>_xlfn.XLOOKUP(M1362,Parâmetros!B:B,Parâmetros!C:C,_xlfn.XLOOKUP(Base!M1358,Parâmetros!G:G,Parâmetros!H:H))</f>
        <v>QUALIDADE DOS DADOS</v>
      </c>
      <c r="P1362" s="1" t="str">
        <f>_xlfn.XLOOKUP(I1362,Parâmetros!A:A,Parâmetros!D:D,_xlfn.XLOOKUP(Q1362,Parâmetros!F:F,Parâmetros!I:I))</f>
        <v>SUPORTE OBT</v>
      </c>
      <c r="Q1362" s="1">
        <f t="shared" si="43"/>
        <v>1</v>
      </c>
    </row>
    <row r="1363" spans="1:17" x14ac:dyDescent="0.25">
      <c r="A1363" s="1" t="str">
        <f>_xlfn.XLOOKUP(D1363,'Novo relatório'!B:B,'Novo relatório'!C:C,"RESOLVIDO")</f>
        <v>SABRE</v>
      </c>
      <c r="C1363" t="str">
        <f t="shared" si="42"/>
        <v>PENDENTE</v>
      </c>
      <c r="D1363" s="1">
        <v>3350988</v>
      </c>
      <c r="E1363" s="1" t="s">
        <v>26</v>
      </c>
      <c r="F1363" s="2">
        <v>45754.629861111112</v>
      </c>
      <c r="G1363" s="1" t="s">
        <v>1820</v>
      </c>
      <c r="H1363" s="1" t="s">
        <v>1821</v>
      </c>
      <c r="I1363" s="1" t="s">
        <v>64</v>
      </c>
      <c r="J1363" s="2">
        <v>45754.720138888886</v>
      </c>
      <c r="L1363" s="1" t="s">
        <v>1244</v>
      </c>
      <c r="M1363" s="1" t="str">
        <f>_xlfn.XLOOKUP(I1363,Parâmetros!A:A,Parâmetros!B:B,_xlfn.XLOOKUP(Q1363,Parâmetros!F:F,Parâmetros!G:G,"NOVA MENSAGEM"))</f>
        <v>FORMATO DE TEXTO</v>
      </c>
      <c r="N1363" s="1" t="str">
        <f>_xlfn.XLOOKUP(M1363,Parâmetros!K:K,Parâmetros!L:L,"")</f>
        <v>TEXTO FORA DO PADRÃO ACEITO NO CAMPO</v>
      </c>
      <c r="O1363" s="1" t="str">
        <f>_xlfn.XLOOKUP(M1363,Parâmetros!B:B,Parâmetros!C:C,_xlfn.XLOOKUP(Base!M1359,Parâmetros!G:G,Parâmetros!H:H))</f>
        <v>INDEFINIDO</v>
      </c>
      <c r="P1363" s="1" t="str">
        <f>_xlfn.XLOOKUP(I1363,Parâmetros!A:A,Parâmetros!D:D,_xlfn.XLOOKUP(Q1363,Parâmetros!F:F,Parâmetros!I:I))</f>
        <v>SUPORTE OBT</v>
      </c>
      <c r="Q1363" s="1" t="str">
        <f t="shared" si="43"/>
        <v>COLUNA I</v>
      </c>
    </row>
    <row r="1364" spans="1:17" x14ac:dyDescent="0.25">
      <c r="A1364" s="1" t="str">
        <f>_xlfn.XLOOKUP(D1364,'Novo relatório'!B:B,'Novo relatório'!C:C,"RESOLVIDO")</f>
        <v>RESOLVIDO</v>
      </c>
      <c r="C1364" t="str">
        <f t="shared" si="42"/>
        <v>RESOLVIDO</v>
      </c>
      <c r="D1364" s="1">
        <v>3351209</v>
      </c>
      <c r="E1364" s="1" t="s">
        <v>12</v>
      </c>
      <c r="F1364" s="2">
        <v>45754.649305555555</v>
      </c>
      <c r="G1364" s="1">
        <v>61228</v>
      </c>
      <c r="H1364" s="1">
        <v>61228</v>
      </c>
      <c r="I1364" s="1" t="s">
        <v>1912</v>
      </c>
      <c r="J1364" s="2">
        <v>45754.779861111114</v>
      </c>
      <c r="K1364" s="2">
        <v>45756.557638888888</v>
      </c>
      <c r="L1364" s="1" t="s">
        <v>14</v>
      </c>
      <c r="M1364" s="1" t="str">
        <f>_xlfn.XLOOKUP(I1364,Parâmetros!A:A,Parâmetros!B:B,_xlfn.XLOOKUP(Q1364,Parâmetros!F:F,Parâmetros!G:G,"NOVA MENSAGEM"))</f>
        <v>ASSENTO / BAGAGEM</v>
      </c>
      <c r="N1364" s="1" t="str">
        <f>_xlfn.XLOOKUP(M1364,Parâmetros!K:K,Parâmetros!L:L,"")</f>
        <v>CAMPO OBSERVAÇÃO PREENCHIDO INCORRETAMENTE</v>
      </c>
      <c r="O1364" s="1" t="str">
        <f>_xlfn.XLOOKUP(M1364,Parâmetros!B:B,Parâmetros!C:C,_xlfn.XLOOKUP(Base!M1360,Parâmetros!G:G,Parâmetros!H:H))</f>
        <v>QUALIDADE DOS DADOS</v>
      </c>
      <c r="P1364" s="1" t="str">
        <f>_xlfn.XLOOKUP(I1364,Parâmetros!A:A,Parâmetros!D:D,_xlfn.XLOOKUP(Q1364,Parâmetros!F:F,Parâmetros!I:I))</f>
        <v>OPERAÇÕES / SUPORTE KCS</v>
      </c>
      <c r="Q1364" s="1">
        <f t="shared" si="43"/>
        <v>127</v>
      </c>
    </row>
    <row r="1365" spans="1:17" x14ac:dyDescent="0.25">
      <c r="A1365" s="1" t="str">
        <f>_xlfn.XLOOKUP(D1365,'Novo relatório'!B:B,'Novo relatório'!C:C,"RESOLVIDO")</f>
        <v>TMS</v>
      </c>
      <c r="C1365" t="str">
        <f t="shared" si="42"/>
        <v>PENDENTE</v>
      </c>
      <c r="D1365" s="1">
        <v>3351230</v>
      </c>
      <c r="E1365" s="1" t="s">
        <v>12</v>
      </c>
      <c r="F1365" s="2">
        <v>45754.640972222223</v>
      </c>
      <c r="G1365" s="1">
        <v>61151</v>
      </c>
      <c r="H1365" s="1">
        <v>61151</v>
      </c>
      <c r="I1365" s="1" t="s">
        <v>16</v>
      </c>
      <c r="J1365" s="2">
        <v>45754.780555555553</v>
      </c>
      <c r="K1365" s="2">
        <v>45756.557638888888</v>
      </c>
      <c r="L1365" s="1" t="s">
        <v>14</v>
      </c>
      <c r="M1365" s="1" t="str">
        <f>_xlfn.XLOOKUP(I1365,Parâmetros!A:A,Parâmetros!B:B,_xlfn.XLOOKUP(Q1365,Parâmetros!F:F,Parâmetros!G:G,"NOVA MENSAGEM"))</f>
        <v>ASSENTO / BAGAGEM</v>
      </c>
      <c r="N1365" s="1" t="str">
        <f>_xlfn.XLOOKUP(M1365,Parâmetros!K:K,Parâmetros!L:L,"")</f>
        <v>CAMPO OBSERVAÇÃO PREENCHIDO INCORRETAMENTE</v>
      </c>
      <c r="O1365" s="1" t="str">
        <f>_xlfn.XLOOKUP(M1365,Parâmetros!B:B,Parâmetros!C:C,_xlfn.XLOOKUP(Base!M1361,Parâmetros!G:G,Parâmetros!H:H))</f>
        <v>QUALIDADE DOS DADOS</v>
      </c>
      <c r="P1365" s="1" t="str">
        <f>_xlfn.XLOOKUP(I1365,Parâmetros!A:A,Parâmetros!D:D,_xlfn.XLOOKUP(Q1365,Parâmetros!F:F,Parâmetros!I:I))</f>
        <v>OPERAÇÕES / SUPORTE KCS</v>
      </c>
      <c r="Q1365" s="1">
        <f t="shared" si="43"/>
        <v>118</v>
      </c>
    </row>
    <row r="1366" spans="1:17" x14ac:dyDescent="0.25">
      <c r="A1366" s="1" t="str">
        <f>_xlfn.XLOOKUP(D1366,'Novo relatório'!B:B,'Novo relatório'!C:C,"RESOLVIDO")</f>
        <v>RESOLVIDO</v>
      </c>
      <c r="C1366" t="str">
        <f t="shared" si="42"/>
        <v>RESOLVIDO</v>
      </c>
      <c r="D1366" s="1">
        <v>3351242</v>
      </c>
      <c r="E1366" s="1" t="s">
        <v>12</v>
      </c>
      <c r="F1366" s="2">
        <v>45754.658333333333</v>
      </c>
      <c r="G1366" s="1">
        <v>61143</v>
      </c>
      <c r="H1366" s="1">
        <v>61143</v>
      </c>
      <c r="I1366" s="1" t="s">
        <v>1911</v>
      </c>
      <c r="J1366" s="2">
        <v>45754.78125</v>
      </c>
      <c r="K1366" s="2">
        <v>45756.557638888888</v>
      </c>
      <c r="L1366" s="1" t="s">
        <v>14</v>
      </c>
      <c r="M1366" s="1" t="str">
        <f>_xlfn.XLOOKUP(I1366,Parâmetros!A:A,Parâmetros!B:B,_xlfn.XLOOKUP(Q1366,Parâmetros!F:F,Parâmetros!G:G,"NOVA MENSAGEM"))</f>
        <v>ASSENTO / BAGAGEM</v>
      </c>
      <c r="N1366" s="1" t="str">
        <f>_xlfn.XLOOKUP(M1366,Parâmetros!K:K,Parâmetros!L:L,"")</f>
        <v>CAMPO OBSERVAÇÃO PREENCHIDO INCORRETAMENTE</v>
      </c>
      <c r="O1366" s="1" t="str">
        <f>_xlfn.XLOOKUP(M1366,Parâmetros!B:B,Parâmetros!C:C,_xlfn.XLOOKUP(Base!M1362,Parâmetros!G:G,Parâmetros!H:H))</f>
        <v>QUALIDADE DOS DADOS</v>
      </c>
      <c r="P1366" s="1" t="str">
        <f>_xlfn.XLOOKUP(I1366,Parâmetros!A:A,Parâmetros!D:D,_xlfn.XLOOKUP(Q1366,Parâmetros!F:F,Parâmetros!I:I))</f>
        <v>OPERAÇÕES / SUPORTE KCS</v>
      </c>
      <c r="Q1366" s="1">
        <f t="shared" si="43"/>
        <v>127</v>
      </c>
    </row>
    <row r="1367" spans="1:17" x14ac:dyDescent="0.25">
      <c r="A1367" s="1" t="str">
        <f>_xlfn.XLOOKUP(D1367,'Novo relatório'!B:B,'Novo relatório'!C:C,"RESOLVIDO")</f>
        <v>RESOLVIDO</v>
      </c>
      <c r="C1367" t="str">
        <f t="shared" si="42"/>
        <v>RESOLVIDO</v>
      </c>
      <c r="D1367" s="1">
        <v>3351245</v>
      </c>
      <c r="E1367" s="1" t="s">
        <v>12</v>
      </c>
      <c r="F1367" s="2">
        <v>45754.668055555558</v>
      </c>
      <c r="G1367" s="1">
        <v>61140</v>
      </c>
      <c r="H1367" s="1">
        <v>61140</v>
      </c>
      <c r="I1367" s="1" t="s">
        <v>1911</v>
      </c>
      <c r="J1367" s="2">
        <v>45754.78125</v>
      </c>
      <c r="K1367" s="2">
        <v>45756.557638888888</v>
      </c>
      <c r="L1367" s="1" t="s">
        <v>14</v>
      </c>
      <c r="M1367" s="1" t="str">
        <f>_xlfn.XLOOKUP(I1367,Parâmetros!A:A,Parâmetros!B:B,_xlfn.XLOOKUP(Q1367,Parâmetros!F:F,Parâmetros!G:G,"NOVA MENSAGEM"))</f>
        <v>ASSENTO / BAGAGEM</v>
      </c>
      <c r="N1367" s="1" t="str">
        <f>_xlfn.XLOOKUP(M1367,Parâmetros!K:K,Parâmetros!L:L,"")</f>
        <v>CAMPO OBSERVAÇÃO PREENCHIDO INCORRETAMENTE</v>
      </c>
      <c r="O1367" s="1" t="str">
        <f>_xlfn.XLOOKUP(M1367,Parâmetros!B:B,Parâmetros!C:C,_xlfn.XLOOKUP(Base!M1363,Parâmetros!G:G,Parâmetros!H:H))</f>
        <v>QUALIDADE DOS DADOS</v>
      </c>
      <c r="P1367" s="1" t="str">
        <f>_xlfn.XLOOKUP(I1367,Parâmetros!A:A,Parâmetros!D:D,_xlfn.XLOOKUP(Q1367,Parâmetros!F:F,Parâmetros!I:I))</f>
        <v>OPERAÇÕES / SUPORTE KCS</v>
      </c>
      <c r="Q1367" s="1">
        <f t="shared" si="43"/>
        <v>127</v>
      </c>
    </row>
    <row r="1368" spans="1:17" x14ac:dyDescent="0.25">
      <c r="A1368" s="1" t="str">
        <f>_xlfn.XLOOKUP(D1368,'Novo relatório'!B:B,'Novo relatório'!C:C,"RESOLVIDO")</f>
        <v>SABRE</v>
      </c>
      <c r="C1368" t="str">
        <f t="shared" si="42"/>
        <v>PENDENTE</v>
      </c>
      <c r="D1368" s="1">
        <v>3351313</v>
      </c>
      <c r="E1368" s="1" t="s">
        <v>26</v>
      </c>
      <c r="F1368" s="2">
        <v>45754.696527777778</v>
      </c>
      <c r="G1368" s="1" t="s">
        <v>1683</v>
      </c>
      <c r="H1368" s="1" t="s">
        <v>1683</v>
      </c>
      <c r="I1368" s="1" t="s">
        <v>409</v>
      </c>
      <c r="J1368" s="2">
        <v>45754.78402777778</v>
      </c>
      <c r="L1368" s="1" t="s">
        <v>18</v>
      </c>
      <c r="M1368" s="1" t="str">
        <f>_xlfn.XLOOKUP(I1368,Parâmetros!A:A,Parâmetros!B:B,_xlfn.XLOOKUP(Q1368,Parâmetros!F:F,Parâmetros!G:G,"NOVA MENSAGEM"))</f>
        <v>CÓD. CLIENTE DIVERGENTE</v>
      </c>
      <c r="N1368" s="1" t="str">
        <f>_xlfn.XLOOKUP(M1368,Parâmetros!K:K,Parâmetros!L:L,"")</f>
        <v>CÓDIGO DIFERENTE DO CADASTRADO NO BENNER (CLIENTE X GRUPO)</v>
      </c>
      <c r="O1368" s="1" t="str">
        <f>_xlfn.XLOOKUP(M1368,Parâmetros!B:B,Parâmetros!C:C,_xlfn.XLOOKUP(Base!M1364,Parâmetros!G:G,Parâmetros!H:H))</f>
        <v>QUALIDADE DOS DADOS</v>
      </c>
      <c r="P1368" s="1" t="str">
        <f>_xlfn.XLOOKUP(I1368,Parâmetros!A:A,Parâmetros!D:D,_xlfn.XLOOKUP(Q1368,Parâmetros!F:F,Parâmetros!I:I))</f>
        <v>SUPORTE OBT</v>
      </c>
      <c r="Q1368" s="1">
        <f t="shared" si="43"/>
        <v>1</v>
      </c>
    </row>
    <row r="1369" spans="1:17" x14ac:dyDescent="0.25">
      <c r="A1369" s="1" t="str">
        <f>_xlfn.XLOOKUP(D1369,'Novo relatório'!B:B,'Novo relatório'!C:C,"RESOLVIDO")</f>
        <v>SABRE</v>
      </c>
      <c r="C1369" t="str">
        <f t="shared" si="42"/>
        <v>PENDENTE</v>
      </c>
      <c r="D1369" s="1">
        <v>3351334</v>
      </c>
      <c r="E1369" s="1" t="s">
        <v>26</v>
      </c>
      <c r="F1369" s="2">
        <v>45754.696527777778</v>
      </c>
      <c r="G1369" s="1" t="s">
        <v>1749</v>
      </c>
      <c r="H1369" s="1" t="s">
        <v>1749</v>
      </c>
      <c r="I1369" s="1" t="s">
        <v>707</v>
      </c>
      <c r="J1369" s="2">
        <v>45754.78402777778</v>
      </c>
      <c r="L1369" s="1" t="s">
        <v>18</v>
      </c>
      <c r="M1369" s="1" t="str">
        <f>_xlfn.XLOOKUP(I1369,Parâmetros!A:A,Parâmetros!B:B,_xlfn.XLOOKUP(Q1369,Parâmetros!F:F,Parâmetros!G:G,"NOVA MENSAGEM"))</f>
        <v>CÓD. CLIENTE DIVERGENTE</v>
      </c>
      <c r="N1369" s="1" t="str">
        <f>_xlfn.XLOOKUP(M1369,Parâmetros!K:K,Parâmetros!L:L,"")</f>
        <v>CÓDIGO DIFERENTE DO CADASTRADO NO BENNER (CLIENTE X GRUPO)</v>
      </c>
      <c r="O1369" s="1" t="str">
        <f>_xlfn.XLOOKUP(M1369,Parâmetros!B:B,Parâmetros!C:C,_xlfn.XLOOKUP(Base!M1365,Parâmetros!G:G,Parâmetros!H:H))</f>
        <v>QUALIDADE DOS DADOS</v>
      </c>
      <c r="P1369" s="1" t="str">
        <f>_xlfn.XLOOKUP(I1369,Parâmetros!A:A,Parâmetros!D:D,_xlfn.XLOOKUP(Q1369,Parâmetros!F:F,Parâmetros!I:I))</f>
        <v>SUPORTE OBT</v>
      </c>
      <c r="Q1369" s="1">
        <f t="shared" si="43"/>
        <v>1</v>
      </c>
    </row>
    <row r="1370" spans="1:17" x14ac:dyDescent="0.25">
      <c r="A1370" s="1" t="str">
        <f>_xlfn.XLOOKUP(D1370,'Novo relatório'!B:B,'Novo relatório'!C:C,"RESOLVIDO")</f>
        <v>SABRE</v>
      </c>
      <c r="C1370" t="str">
        <f t="shared" si="42"/>
        <v>PENDENTE</v>
      </c>
      <c r="D1370" s="1">
        <v>3351339</v>
      </c>
      <c r="E1370" s="1" t="s">
        <v>26</v>
      </c>
      <c r="F1370" s="2">
        <v>45754.696527777778</v>
      </c>
      <c r="G1370" s="1" t="s">
        <v>1732</v>
      </c>
      <c r="H1370" s="1" t="s">
        <v>1732</v>
      </c>
      <c r="I1370" s="1" t="s">
        <v>83</v>
      </c>
      <c r="J1370" s="2">
        <v>45754.784722222219</v>
      </c>
      <c r="L1370" s="1" t="s">
        <v>18</v>
      </c>
      <c r="M1370" s="1" t="str">
        <f>_xlfn.XLOOKUP(I1370,Parâmetros!A:A,Parâmetros!B:B,_xlfn.XLOOKUP(Q1370,Parâmetros!F:F,Parâmetros!G:G,"NOVA MENSAGEM"))</f>
        <v>CLIENTE NÃO IDENTIFICADO</v>
      </c>
      <c r="N1370" s="1" t="str">
        <f>_xlfn.XLOOKUP(M1370,Parâmetros!K:K,Parâmetros!L:L,"")</f>
        <v>DK DE CLIENTE NÃO PREENCIDO / CLIENTE NÃO CONFIGURADO NO OBT</v>
      </c>
      <c r="O1370" s="1" t="str">
        <f>_xlfn.XLOOKUP(M1370,Parâmetros!B:B,Parâmetros!C:C,_xlfn.XLOOKUP(Base!M1367,Parâmetros!G:G,Parâmetros!H:H))</f>
        <v>INDEFINIDO</v>
      </c>
      <c r="P1370" s="1" t="str">
        <f>_xlfn.XLOOKUP(I1370,Parâmetros!A:A,Parâmetros!D:D,_xlfn.XLOOKUP(Q1370,Parâmetros!F:F,Parâmetros!I:I))</f>
        <v>OPERAÇÕES / SUPORTE KCS</v>
      </c>
      <c r="Q1370" s="1" t="str">
        <f t="shared" si="43"/>
        <v>COLUNA I</v>
      </c>
    </row>
    <row r="1371" spans="1:17" x14ac:dyDescent="0.25">
      <c r="A1371" s="1" t="str">
        <f>_xlfn.XLOOKUP(D1371,'Novo relatório'!B:B,'Novo relatório'!C:C,"RESOLVIDO")</f>
        <v>SABRE</v>
      </c>
      <c r="C1371" t="str">
        <f t="shared" si="42"/>
        <v>PENDENTE</v>
      </c>
      <c r="D1371" s="1">
        <v>3351342</v>
      </c>
      <c r="E1371" s="1" t="s">
        <v>26</v>
      </c>
      <c r="F1371" s="2">
        <v>45754.696527777778</v>
      </c>
      <c r="G1371" s="1" t="s">
        <v>1733</v>
      </c>
      <c r="H1371" s="1" t="s">
        <v>1733</v>
      </c>
      <c r="I1371" s="1" t="s">
        <v>83</v>
      </c>
      <c r="J1371" s="2">
        <v>45754.784722222219</v>
      </c>
      <c r="L1371" s="1" t="s">
        <v>18</v>
      </c>
      <c r="M1371" s="1" t="str">
        <f>_xlfn.XLOOKUP(I1371,Parâmetros!A:A,Parâmetros!B:B,_xlfn.XLOOKUP(Q1371,Parâmetros!F:F,Parâmetros!G:G,"NOVA MENSAGEM"))</f>
        <v>CLIENTE NÃO IDENTIFICADO</v>
      </c>
      <c r="N1371" s="1" t="str">
        <f>_xlfn.XLOOKUP(M1371,Parâmetros!K:K,Parâmetros!L:L,"")</f>
        <v>DK DE CLIENTE NÃO PREENCIDO / CLIENTE NÃO CONFIGURADO NO OBT</v>
      </c>
      <c r="O1371" s="1" t="str">
        <f>_xlfn.XLOOKUP(M1371,Parâmetros!B:B,Parâmetros!C:C,_xlfn.XLOOKUP(Base!M1368,Parâmetros!G:G,Parâmetros!H:H))</f>
        <v>INDEFINIDO</v>
      </c>
      <c r="P1371" s="1" t="str">
        <f>_xlfn.XLOOKUP(I1371,Parâmetros!A:A,Parâmetros!D:D,_xlfn.XLOOKUP(Q1371,Parâmetros!F:F,Parâmetros!I:I))</f>
        <v>OPERAÇÕES / SUPORTE KCS</v>
      </c>
      <c r="Q1371" s="1" t="str">
        <f t="shared" si="43"/>
        <v>COLUNA I</v>
      </c>
    </row>
    <row r="1372" spans="1:17" x14ac:dyDescent="0.25">
      <c r="A1372" s="1" t="str">
        <f>_xlfn.XLOOKUP(D1372,'Novo relatório'!B:B,'Novo relatório'!C:C,"RESOLVIDO")</f>
        <v>SABRE</v>
      </c>
      <c r="C1372" t="str">
        <f t="shared" si="42"/>
        <v>PENDENTE</v>
      </c>
      <c r="D1372" s="1">
        <v>3351345</v>
      </c>
      <c r="E1372" s="1" t="s">
        <v>26</v>
      </c>
      <c r="F1372" s="2">
        <v>45754.696527777778</v>
      </c>
      <c r="G1372" s="1" t="s">
        <v>1815</v>
      </c>
      <c r="H1372" s="1" t="s">
        <v>1815</v>
      </c>
      <c r="I1372" s="1" t="s">
        <v>394</v>
      </c>
      <c r="J1372" s="2">
        <v>45754.784722222219</v>
      </c>
      <c r="L1372" s="1" t="s">
        <v>18</v>
      </c>
      <c r="M1372" s="1" t="str">
        <f>_xlfn.XLOOKUP(I1372,Parâmetros!A:A,Parâmetros!B:B,_xlfn.XLOOKUP(Q1372,Parâmetros!F:F,Parâmetros!G:G,"NOVA MENSAGEM"))</f>
        <v>REMARK - CNPJ</v>
      </c>
      <c r="N1372" s="1" t="str">
        <f>_xlfn.XLOOKUP(M1372,Parâmetros!K:K,Parâmetros!L:L,"")</f>
        <v/>
      </c>
      <c r="O1372" s="1" t="e">
        <f>_xlfn.XLOOKUP(M1372,Parâmetros!B:B,Parâmetros!C:C,_xlfn.XLOOKUP(Base!M1370,Parâmetros!G:G,Parâmetros!H:H))</f>
        <v>#N/A</v>
      </c>
      <c r="P1372" s="1" t="str">
        <f>_xlfn.XLOOKUP(I1372,Parâmetros!A:A,Parâmetros!D:D,_xlfn.XLOOKUP(Q1372,Parâmetros!F:F,Parâmetros!I:I))</f>
        <v>OPERAÇÕES / SUPORTE KCS</v>
      </c>
      <c r="Q1372" s="1">
        <f t="shared" si="43"/>
        <v>24</v>
      </c>
    </row>
    <row r="1373" spans="1:17" x14ac:dyDescent="0.25">
      <c r="A1373" s="1" t="str">
        <f>_xlfn.XLOOKUP(D1373,'Novo relatório'!B:B,'Novo relatório'!C:C,"RESOLVIDO")</f>
        <v>SABRE</v>
      </c>
      <c r="C1373" t="str">
        <f t="shared" si="42"/>
        <v>PENDENTE</v>
      </c>
      <c r="D1373" s="1">
        <v>3351354</v>
      </c>
      <c r="E1373" s="1" t="s">
        <v>26</v>
      </c>
      <c r="F1373" s="2">
        <v>45754.696527777778</v>
      </c>
      <c r="G1373" s="1" t="s">
        <v>1748</v>
      </c>
      <c r="H1373" s="1" t="s">
        <v>1748</v>
      </c>
      <c r="I1373" s="1" t="s">
        <v>652</v>
      </c>
      <c r="J1373" s="2">
        <v>45754.784722222219</v>
      </c>
      <c r="L1373" s="1" t="s">
        <v>18</v>
      </c>
      <c r="M1373" s="1" t="str">
        <f>_xlfn.XLOOKUP(I1373,Parâmetros!A:A,Parâmetros!B:B,_xlfn.XLOOKUP(Q1373,Parâmetros!F:F,Parâmetros!G:G,"NOVA MENSAGEM"))</f>
        <v>CÓD. CLIENTE DIVERGENTE</v>
      </c>
      <c r="N1373" s="1" t="str">
        <f>_xlfn.XLOOKUP(M1373,Parâmetros!K:K,Parâmetros!L:L,"")</f>
        <v>CÓDIGO DIFERENTE DO CADASTRADO NO BENNER (CLIENTE X GRUPO)</v>
      </c>
      <c r="O1373" s="1" t="str">
        <f>_xlfn.XLOOKUP(M1373,Parâmetros!B:B,Parâmetros!C:C,_xlfn.XLOOKUP(Base!M1369,Parâmetros!G:G,Parâmetros!H:H))</f>
        <v>QUALIDADE DOS DADOS</v>
      </c>
      <c r="P1373" s="1" t="str">
        <f>_xlfn.XLOOKUP(I1373,Parâmetros!A:A,Parâmetros!D:D,_xlfn.XLOOKUP(Q1373,Parâmetros!F:F,Parâmetros!I:I))</f>
        <v>SUPORTE OBT</v>
      </c>
      <c r="Q1373" s="1">
        <f t="shared" si="43"/>
        <v>1</v>
      </c>
    </row>
    <row r="1374" spans="1:17" x14ac:dyDescent="0.25">
      <c r="A1374" s="1" t="str">
        <f>_xlfn.XLOOKUP(D1374,'Novo relatório'!B:B,'Novo relatório'!C:C,"RESOLVIDO")</f>
        <v>TMS</v>
      </c>
      <c r="C1374" t="str">
        <f t="shared" si="42"/>
        <v>PENDENTE</v>
      </c>
      <c r="D1374" s="1">
        <v>3351355</v>
      </c>
      <c r="E1374" s="1" t="s">
        <v>12</v>
      </c>
      <c r="F1374" s="2">
        <v>45754.574999999997</v>
      </c>
      <c r="G1374" s="1">
        <v>59653</v>
      </c>
      <c r="H1374" s="1">
        <v>59653</v>
      </c>
      <c r="I1374" s="1" t="s">
        <v>158</v>
      </c>
      <c r="J1374" s="2">
        <v>45754.784722222219</v>
      </c>
      <c r="K1374" s="2">
        <v>45756.559027777781</v>
      </c>
      <c r="L1374" s="1" t="s">
        <v>14</v>
      </c>
      <c r="M1374" s="1" t="str">
        <f>_xlfn.XLOOKUP(I1374,Parâmetros!A:A,Parâmetros!B:B,_xlfn.XLOOKUP(Q1374,Parâmetros!F:F,Parâmetros!G:G,"NOVA MENSAGEM"))</f>
        <v>COTAÇÃO</v>
      </c>
      <c r="N1374" s="1" t="str">
        <f>_xlfn.XLOOKUP(M1374,Parâmetros!K:K,Parâmetros!L:L,"")</f>
        <v>INDEFINIDO</v>
      </c>
      <c r="O1374" s="1" t="str">
        <f>_xlfn.XLOOKUP(M1374,Parâmetros!B:B,Parâmetros!C:C,_xlfn.XLOOKUP(Base!M1366,Parâmetros!G:G,Parâmetros!H:H))</f>
        <v>INDEFINIDO</v>
      </c>
      <c r="P1374" s="1" t="str">
        <f>_xlfn.XLOOKUP(I1374,Parâmetros!A:A,Parâmetros!D:D,_xlfn.XLOOKUP(Q1374,Parâmetros!F:F,Parâmetros!I:I))</f>
        <v>SUPORTE OBT</v>
      </c>
      <c r="Q1374" s="1" t="str">
        <f t="shared" si="43"/>
        <v>COLUNA I</v>
      </c>
    </row>
    <row r="1375" spans="1:17" x14ac:dyDescent="0.25">
      <c r="A1375" s="1" t="str">
        <f>_xlfn.XLOOKUP(D1375,'Novo relatório'!B:B,'Novo relatório'!C:C,"RESOLVIDO")</f>
        <v>SABRE</v>
      </c>
      <c r="C1375" t="str">
        <f t="shared" si="42"/>
        <v>PENDENTE</v>
      </c>
      <c r="D1375" s="1">
        <v>3351376</v>
      </c>
      <c r="E1375" s="1" t="s">
        <v>26</v>
      </c>
      <c r="F1375" s="2">
        <v>45754.696527777778</v>
      </c>
      <c r="G1375" s="1" t="s">
        <v>1811</v>
      </c>
      <c r="H1375" s="1" t="s">
        <v>1811</v>
      </c>
      <c r="I1375" s="1" t="s">
        <v>396</v>
      </c>
      <c r="J1375" s="2">
        <v>45754.786111111112</v>
      </c>
      <c r="L1375" s="1" t="s">
        <v>18</v>
      </c>
      <c r="M1375" s="1" t="str">
        <f>_xlfn.XLOOKUP(I1375,Parâmetros!A:A,Parâmetros!B:B,_xlfn.XLOOKUP(Q1375,Parâmetros!F:F,Parâmetros!G:G,"NOVA MENSAGEM"))</f>
        <v>CÓD. CLIENTE DIVERGENTE</v>
      </c>
      <c r="N1375" s="1" t="str">
        <f>_xlfn.XLOOKUP(M1375,Parâmetros!K:K,Parâmetros!L:L,"")</f>
        <v>CÓDIGO DIFERENTE DO CADASTRADO NO BENNER (CLIENTE X GRUPO)</v>
      </c>
      <c r="O1375" s="1" t="str">
        <f>_xlfn.XLOOKUP(M1375,Parâmetros!B:B,Parâmetros!C:C,_xlfn.XLOOKUP(Base!M1371,Parâmetros!G:G,Parâmetros!H:H))</f>
        <v>QUALIDADE DOS DADOS</v>
      </c>
      <c r="P1375" s="1" t="str">
        <f>_xlfn.XLOOKUP(I1375,Parâmetros!A:A,Parâmetros!D:D,_xlfn.XLOOKUP(Q1375,Parâmetros!F:F,Parâmetros!I:I))</f>
        <v>SUPORTE OBT</v>
      </c>
      <c r="Q1375" s="1">
        <f t="shared" si="43"/>
        <v>1</v>
      </c>
    </row>
    <row r="1376" spans="1:17" x14ac:dyDescent="0.25">
      <c r="A1376" s="1" t="str">
        <f>_xlfn.XLOOKUP(D1376,'Novo relatório'!B:B,'Novo relatório'!C:C,"RESOLVIDO")</f>
        <v>RESOLVIDO</v>
      </c>
      <c r="C1376" t="str">
        <f t="shared" si="42"/>
        <v>RESOLVIDO</v>
      </c>
      <c r="D1376" s="1">
        <v>3351810</v>
      </c>
      <c r="E1376" s="1" t="s">
        <v>12</v>
      </c>
      <c r="F1376" s="2">
        <v>45754.636111111111</v>
      </c>
      <c r="G1376" s="1">
        <v>58347</v>
      </c>
      <c r="H1376" s="1">
        <v>58347</v>
      </c>
      <c r="I1376" s="1" t="s">
        <v>16</v>
      </c>
      <c r="J1376" s="2">
        <v>45754.814583333333</v>
      </c>
      <c r="K1376" s="2">
        <v>45756.591666666667</v>
      </c>
      <c r="L1376" s="1" t="s">
        <v>14</v>
      </c>
      <c r="M1376" s="1" t="str">
        <f>_xlfn.XLOOKUP(I1376,Parâmetros!A:A,Parâmetros!B:B,_xlfn.XLOOKUP(Q1376,Parâmetros!F:F,Parâmetros!G:G,"NOVA MENSAGEM"))</f>
        <v>ASSENTO / BAGAGEM</v>
      </c>
      <c r="N1376" s="1" t="str">
        <f>_xlfn.XLOOKUP(M1376,Parâmetros!K:K,Parâmetros!L:L,"")</f>
        <v>CAMPO OBSERVAÇÃO PREENCHIDO INCORRETAMENTE</v>
      </c>
      <c r="O1376" s="1" t="str">
        <f>_xlfn.XLOOKUP(M1376,Parâmetros!B:B,Parâmetros!C:C,_xlfn.XLOOKUP(Base!M1372,Parâmetros!G:G,Parâmetros!H:H))</f>
        <v>QUALIDADE DOS DADOS</v>
      </c>
      <c r="P1376" s="1" t="str">
        <f>_xlfn.XLOOKUP(I1376,Parâmetros!A:A,Parâmetros!D:D,_xlfn.XLOOKUP(Q1376,Parâmetros!F:F,Parâmetros!I:I))</f>
        <v>OPERAÇÕES / SUPORTE KCS</v>
      </c>
      <c r="Q1376" s="1">
        <f t="shared" si="43"/>
        <v>118</v>
      </c>
    </row>
    <row r="1377" spans="1:17" x14ac:dyDescent="0.25">
      <c r="A1377" s="1" t="str">
        <f>_xlfn.XLOOKUP(D1377,'Novo relatório'!B:B,'Novo relatório'!C:C,"RESOLVIDO")</f>
        <v>RESOLVIDO</v>
      </c>
      <c r="C1377" t="str">
        <f t="shared" si="42"/>
        <v>RESOLVIDO</v>
      </c>
      <c r="D1377" s="1">
        <v>3351811</v>
      </c>
      <c r="E1377" s="1" t="s">
        <v>12</v>
      </c>
      <c r="F1377" s="2">
        <v>45754.637499999997</v>
      </c>
      <c r="G1377" s="1">
        <v>58346</v>
      </c>
      <c r="H1377" s="1">
        <v>58346</v>
      </c>
      <c r="I1377" s="1" t="s">
        <v>16</v>
      </c>
      <c r="J1377" s="2">
        <v>45754.814583333333</v>
      </c>
      <c r="K1377" s="2">
        <v>45756.591666666667</v>
      </c>
      <c r="L1377" s="1" t="s">
        <v>14</v>
      </c>
      <c r="M1377" s="1" t="str">
        <f>_xlfn.XLOOKUP(I1377,Parâmetros!A:A,Parâmetros!B:B,_xlfn.XLOOKUP(Q1377,Parâmetros!F:F,Parâmetros!G:G,"NOVA MENSAGEM"))</f>
        <v>ASSENTO / BAGAGEM</v>
      </c>
      <c r="N1377" s="1" t="str">
        <f>_xlfn.XLOOKUP(M1377,Parâmetros!K:K,Parâmetros!L:L,"")</f>
        <v>CAMPO OBSERVAÇÃO PREENCHIDO INCORRETAMENTE</v>
      </c>
      <c r="O1377" s="1" t="str">
        <f>_xlfn.XLOOKUP(M1377,Parâmetros!B:B,Parâmetros!C:C,_xlfn.XLOOKUP(Base!M1373,Parâmetros!G:G,Parâmetros!H:H))</f>
        <v>QUALIDADE DOS DADOS</v>
      </c>
      <c r="P1377" s="1" t="str">
        <f>_xlfn.XLOOKUP(I1377,Parâmetros!A:A,Parâmetros!D:D,_xlfn.XLOOKUP(Q1377,Parâmetros!F:F,Parâmetros!I:I))</f>
        <v>OPERAÇÕES / SUPORTE KCS</v>
      </c>
      <c r="Q1377" s="1">
        <f t="shared" si="43"/>
        <v>118</v>
      </c>
    </row>
    <row r="1378" spans="1:17" x14ac:dyDescent="0.25">
      <c r="A1378" s="1" t="str">
        <f>_xlfn.XLOOKUP(D1378,'Novo relatório'!B:B,'Novo relatório'!C:C,"RESOLVIDO")</f>
        <v>TMS</v>
      </c>
      <c r="C1378" t="str">
        <f t="shared" si="42"/>
        <v>PENDENTE</v>
      </c>
      <c r="D1378" s="1">
        <v>3351832</v>
      </c>
      <c r="E1378" s="1" t="s">
        <v>12</v>
      </c>
      <c r="F1378" s="2">
        <v>45754.588888888888</v>
      </c>
      <c r="G1378" s="1">
        <v>58222</v>
      </c>
      <c r="H1378" s="1">
        <v>58222</v>
      </c>
      <c r="I1378" s="1" t="s">
        <v>16</v>
      </c>
      <c r="J1378" s="2">
        <v>45754.816666666666</v>
      </c>
      <c r="K1378" s="2">
        <v>45756.592361111114</v>
      </c>
      <c r="L1378" s="1" t="s">
        <v>14</v>
      </c>
      <c r="M1378" s="1" t="str">
        <f>_xlfn.XLOOKUP(I1378,Parâmetros!A:A,Parâmetros!B:B,_xlfn.XLOOKUP(Q1378,Parâmetros!F:F,Parâmetros!G:G,"NOVA MENSAGEM"))</f>
        <v>ASSENTO / BAGAGEM</v>
      </c>
      <c r="N1378" s="1" t="str">
        <f>_xlfn.XLOOKUP(M1378,Parâmetros!K:K,Parâmetros!L:L,"")</f>
        <v>CAMPO OBSERVAÇÃO PREENCHIDO INCORRETAMENTE</v>
      </c>
      <c r="O1378" s="1" t="str">
        <f>_xlfn.XLOOKUP(M1378,Parâmetros!B:B,Parâmetros!C:C,_xlfn.XLOOKUP(Base!M1375,Parâmetros!G:G,Parâmetros!H:H))</f>
        <v>QUALIDADE DOS DADOS</v>
      </c>
      <c r="P1378" s="1" t="str">
        <f>_xlfn.XLOOKUP(I1378,Parâmetros!A:A,Parâmetros!D:D,_xlfn.XLOOKUP(Q1378,Parâmetros!F:F,Parâmetros!I:I))</f>
        <v>OPERAÇÕES / SUPORTE KCS</v>
      </c>
      <c r="Q1378" s="1">
        <f t="shared" si="43"/>
        <v>118</v>
      </c>
    </row>
    <row r="1379" spans="1:17" x14ac:dyDescent="0.25">
      <c r="A1379" s="1" t="str">
        <f>_xlfn.XLOOKUP(D1379,'Novo relatório'!B:B,'Novo relatório'!C:C,"RESOLVIDO")</f>
        <v>TMS</v>
      </c>
      <c r="C1379" t="str">
        <f t="shared" si="42"/>
        <v>PENDENTE</v>
      </c>
      <c r="D1379" s="1">
        <v>3351833</v>
      </c>
      <c r="E1379" s="1" t="s">
        <v>12</v>
      </c>
      <c r="F1379" s="2">
        <v>45754.587500000001</v>
      </c>
      <c r="G1379" s="1">
        <v>58217</v>
      </c>
      <c r="H1379" s="1">
        <v>58217</v>
      </c>
      <c r="I1379" s="1" t="s">
        <v>16</v>
      </c>
      <c r="J1379" s="2">
        <v>45754.816666666666</v>
      </c>
      <c r="K1379" s="2">
        <v>45756.592361111114</v>
      </c>
      <c r="L1379" s="1" t="s">
        <v>14</v>
      </c>
      <c r="M1379" s="1" t="str">
        <f>_xlfn.XLOOKUP(I1379,Parâmetros!A:A,Parâmetros!B:B,_xlfn.XLOOKUP(Q1379,Parâmetros!F:F,Parâmetros!G:G,"NOVA MENSAGEM"))</f>
        <v>ASSENTO / BAGAGEM</v>
      </c>
      <c r="N1379" s="1" t="str">
        <f>_xlfn.XLOOKUP(M1379,Parâmetros!K:K,Parâmetros!L:L,"")</f>
        <v>CAMPO OBSERVAÇÃO PREENCHIDO INCORRETAMENTE</v>
      </c>
      <c r="O1379" s="1" t="str">
        <f>_xlfn.XLOOKUP(M1379,Parâmetros!B:B,Parâmetros!C:C,_xlfn.XLOOKUP(Base!M1374,Parâmetros!G:G,Parâmetros!H:H))</f>
        <v>QUALIDADE DOS DADOS</v>
      </c>
      <c r="P1379" s="1" t="str">
        <f>_xlfn.XLOOKUP(I1379,Parâmetros!A:A,Parâmetros!D:D,_xlfn.XLOOKUP(Q1379,Parâmetros!F:F,Parâmetros!I:I))</f>
        <v>OPERAÇÕES / SUPORTE KCS</v>
      </c>
      <c r="Q1379" s="1">
        <f t="shared" si="43"/>
        <v>118</v>
      </c>
    </row>
    <row r="1380" spans="1:17" x14ac:dyDescent="0.25">
      <c r="A1380" s="1" t="str">
        <f>_xlfn.XLOOKUP(D1380,'Novo relatório'!B:B,'Novo relatório'!C:C,"RESOLVIDO")</f>
        <v>SABRE</v>
      </c>
      <c r="C1380" t="str">
        <f t="shared" si="42"/>
        <v>PENDENTE</v>
      </c>
      <c r="D1380" s="1">
        <v>3352055</v>
      </c>
      <c r="E1380" s="1" t="s">
        <v>26</v>
      </c>
      <c r="F1380" s="2">
        <v>45754.746527777781</v>
      </c>
      <c r="G1380" s="1" t="s">
        <v>1794</v>
      </c>
      <c r="H1380" s="1" t="s">
        <v>1794</v>
      </c>
      <c r="I1380" s="1" t="s">
        <v>83</v>
      </c>
      <c r="J1380" s="2">
        <v>45754.834722222222</v>
      </c>
      <c r="L1380" s="1" t="s">
        <v>18</v>
      </c>
      <c r="M1380" s="1" t="str">
        <f>_xlfn.XLOOKUP(I1380,Parâmetros!A:A,Parâmetros!B:B,_xlfn.XLOOKUP(Q1380,Parâmetros!F:F,Parâmetros!G:G,"NOVA MENSAGEM"))</f>
        <v>CLIENTE NÃO IDENTIFICADO</v>
      </c>
      <c r="N1380" s="1" t="str">
        <f>_xlfn.XLOOKUP(M1380,Parâmetros!K:K,Parâmetros!L:L,"")</f>
        <v>DK DE CLIENTE NÃO PREENCIDO / CLIENTE NÃO CONFIGURADO NO OBT</v>
      </c>
      <c r="O1380" s="1" t="str">
        <f>_xlfn.XLOOKUP(M1380,Parâmetros!B:B,Parâmetros!C:C,_xlfn.XLOOKUP(Base!M1377,Parâmetros!G:G,Parâmetros!H:H))</f>
        <v>INDEFINIDO</v>
      </c>
      <c r="P1380" s="1" t="str">
        <f>_xlfn.XLOOKUP(I1380,Parâmetros!A:A,Parâmetros!D:D,_xlfn.XLOOKUP(Q1380,Parâmetros!F:F,Parâmetros!I:I))</f>
        <v>OPERAÇÕES / SUPORTE KCS</v>
      </c>
      <c r="Q1380" s="1" t="str">
        <f t="shared" si="43"/>
        <v>COLUNA I</v>
      </c>
    </row>
    <row r="1381" spans="1:17" x14ac:dyDescent="0.25">
      <c r="A1381" s="1" t="str">
        <f>_xlfn.XLOOKUP(D1381,'Novo relatório'!B:B,'Novo relatório'!C:C,"RESOLVIDO")</f>
        <v>SABRE</v>
      </c>
      <c r="C1381" t="str">
        <f t="shared" si="42"/>
        <v>PENDENTE</v>
      </c>
      <c r="D1381" s="1">
        <v>3352057</v>
      </c>
      <c r="E1381" s="1" t="s">
        <v>26</v>
      </c>
      <c r="F1381" s="2">
        <v>45754.746527777781</v>
      </c>
      <c r="G1381" s="1" t="s">
        <v>1712</v>
      </c>
      <c r="H1381" s="1" t="s">
        <v>1712</v>
      </c>
      <c r="I1381" s="1" t="s">
        <v>409</v>
      </c>
      <c r="J1381" s="2">
        <v>45754.834722222222</v>
      </c>
      <c r="L1381" s="1" t="s">
        <v>18</v>
      </c>
      <c r="M1381" s="1" t="str">
        <f>_xlfn.XLOOKUP(I1381,Parâmetros!A:A,Parâmetros!B:B,_xlfn.XLOOKUP(Q1381,Parâmetros!F:F,Parâmetros!G:G,"NOVA MENSAGEM"))</f>
        <v>CÓD. CLIENTE DIVERGENTE</v>
      </c>
      <c r="N1381" s="1" t="str">
        <f>_xlfn.XLOOKUP(M1381,Parâmetros!K:K,Parâmetros!L:L,"")</f>
        <v>CÓDIGO DIFERENTE DO CADASTRADO NO BENNER (CLIENTE X GRUPO)</v>
      </c>
      <c r="O1381" s="1" t="str">
        <f>_xlfn.XLOOKUP(M1381,Parâmetros!B:B,Parâmetros!C:C,_xlfn.XLOOKUP(Base!M1376,Parâmetros!G:G,Parâmetros!H:H))</f>
        <v>QUALIDADE DOS DADOS</v>
      </c>
      <c r="P1381" s="1" t="str">
        <f>_xlfn.XLOOKUP(I1381,Parâmetros!A:A,Parâmetros!D:D,_xlfn.XLOOKUP(Q1381,Parâmetros!F:F,Parâmetros!I:I))</f>
        <v>SUPORTE OBT</v>
      </c>
      <c r="Q1381" s="1">
        <f t="shared" si="43"/>
        <v>1</v>
      </c>
    </row>
    <row r="1382" spans="1:17" x14ac:dyDescent="0.25">
      <c r="A1382" s="1" t="str">
        <f>_xlfn.XLOOKUP(D1382,'Novo relatório'!B:B,'Novo relatório'!C:C,"RESOLVIDO")</f>
        <v>SABRE</v>
      </c>
      <c r="C1382" t="str">
        <f t="shared" si="42"/>
        <v>PENDENTE</v>
      </c>
      <c r="D1382" s="1">
        <v>3352073</v>
      </c>
      <c r="E1382" s="1" t="s">
        <v>26</v>
      </c>
      <c r="F1382" s="2">
        <v>45754.756944444445</v>
      </c>
      <c r="G1382" s="1" t="s">
        <v>1862</v>
      </c>
      <c r="H1382" s="1" t="s">
        <v>1862</v>
      </c>
      <c r="I1382" s="1" t="s">
        <v>409</v>
      </c>
      <c r="J1382" s="2">
        <v>45754.845138888886</v>
      </c>
      <c r="L1382" s="1" t="s">
        <v>18</v>
      </c>
      <c r="M1382" s="1" t="str">
        <f>_xlfn.XLOOKUP(I1382,Parâmetros!A:A,Parâmetros!B:B,_xlfn.XLOOKUP(Q1382,Parâmetros!F:F,Parâmetros!G:G,"NOVA MENSAGEM"))</f>
        <v>CÓD. CLIENTE DIVERGENTE</v>
      </c>
      <c r="N1382" s="1" t="str">
        <f>_xlfn.XLOOKUP(M1382,Parâmetros!K:K,Parâmetros!L:L,"")</f>
        <v>CÓDIGO DIFERENTE DO CADASTRADO NO BENNER (CLIENTE X GRUPO)</v>
      </c>
      <c r="O1382" s="1" t="str">
        <f>_xlfn.XLOOKUP(M1382,Parâmetros!B:B,Parâmetros!C:C,_xlfn.XLOOKUP(Base!M1378,Parâmetros!G:G,Parâmetros!H:H))</f>
        <v>QUALIDADE DOS DADOS</v>
      </c>
      <c r="P1382" s="1" t="str">
        <f>_xlfn.XLOOKUP(I1382,Parâmetros!A:A,Parâmetros!D:D,_xlfn.XLOOKUP(Q1382,Parâmetros!F:F,Parâmetros!I:I))</f>
        <v>SUPORTE OBT</v>
      </c>
      <c r="Q1382" s="1">
        <f t="shared" si="43"/>
        <v>1</v>
      </c>
    </row>
    <row r="1383" spans="1:17" x14ac:dyDescent="0.25">
      <c r="A1383" s="1" t="str">
        <f>_xlfn.XLOOKUP(D1383,'Novo relatório'!B:B,'Novo relatório'!C:C,"RESOLVIDO")</f>
        <v>SABRE</v>
      </c>
      <c r="C1383" t="str">
        <f t="shared" si="42"/>
        <v>PENDENTE</v>
      </c>
      <c r="D1383" s="1">
        <v>3353698</v>
      </c>
      <c r="E1383" s="1" t="s">
        <v>26</v>
      </c>
      <c r="F1383" s="2">
        <v>45755.634027777778</v>
      </c>
      <c r="G1383" s="1" t="s">
        <v>1655</v>
      </c>
      <c r="H1383" s="1" t="s">
        <v>1655</v>
      </c>
      <c r="I1383" s="1" t="s">
        <v>396</v>
      </c>
      <c r="J1383" s="2">
        <v>45755.722916666666</v>
      </c>
      <c r="L1383" s="1" t="s">
        <v>18</v>
      </c>
      <c r="M1383" s="1" t="str">
        <f>_xlfn.XLOOKUP(I1383,Parâmetros!A:A,Parâmetros!B:B,_xlfn.XLOOKUP(Q1383,Parâmetros!F:F,Parâmetros!G:G,"NOVA MENSAGEM"))</f>
        <v>CÓD. CLIENTE DIVERGENTE</v>
      </c>
      <c r="N1383" s="1" t="str">
        <f>_xlfn.XLOOKUP(M1383,Parâmetros!K:K,Parâmetros!L:L,"")</f>
        <v>CÓDIGO DIFERENTE DO CADASTRADO NO BENNER (CLIENTE X GRUPO)</v>
      </c>
      <c r="O1383" s="1" t="str">
        <f>_xlfn.XLOOKUP(M1383,Parâmetros!B:B,Parâmetros!C:C,_xlfn.XLOOKUP(Base!M1379,Parâmetros!G:G,Parâmetros!H:H))</f>
        <v>QUALIDADE DOS DADOS</v>
      </c>
      <c r="P1383" s="1" t="str">
        <f>_xlfn.XLOOKUP(I1383,Parâmetros!A:A,Parâmetros!D:D,_xlfn.XLOOKUP(Q1383,Parâmetros!F:F,Parâmetros!I:I))</f>
        <v>SUPORTE OBT</v>
      </c>
      <c r="Q1383" s="1">
        <f t="shared" si="43"/>
        <v>1</v>
      </c>
    </row>
    <row r="1384" spans="1:17" x14ac:dyDescent="0.25">
      <c r="A1384" s="1" t="str">
        <f>_xlfn.XLOOKUP(D1384,'Novo relatório'!B:B,'Novo relatório'!C:C,"RESOLVIDO")</f>
        <v>SABRE</v>
      </c>
      <c r="C1384" t="str">
        <f t="shared" si="42"/>
        <v>PENDENTE</v>
      </c>
      <c r="D1384" s="1">
        <v>3353712</v>
      </c>
      <c r="E1384" s="1" t="s">
        <v>26</v>
      </c>
      <c r="F1384" s="2">
        <v>45756.487500000003</v>
      </c>
      <c r="G1384" s="1" t="s">
        <v>1684</v>
      </c>
      <c r="H1384" s="1" t="s">
        <v>1684</v>
      </c>
      <c r="I1384" s="1" t="s">
        <v>410</v>
      </c>
      <c r="J1384" s="2">
        <v>45755.724305555559</v>
      </c>
      <c r="K1384" s="2">
        <v>45756.573611111111</v>
      </c>
      <c r="L1384" s="1" t="s">
        <v>18</v>
      </c>
      <c r="M1384" s="1" t="str">
        <f>_xlfn.XLOOKUP(I1384,Parâmetros!A:A,Parâmetros!B:B,_xlfn.XLOOKUP(Q1384,Parâmetros!F:F,Parâmetros!G:G,"NOVA MENSAGEM"))</f>
        <v>CÓD. CLIENTE DIVERGENTE</v>
      </c>
      <c r="N1384" s="1" t="str">
        <f>_xlfn.XLOOKUP(M1384,Parâmetros!K:K,Parâmetros!L:L,"")</f>
        <v>CÓDIGO DIFERENTE DO CADASTRADO NO BENNER (CLIENTE X GRUPO)</v>
      </c>
      <c r="O1384" s="1" t="str">
        <f>_xlfn.XLOOKUP(M1384,Parâmetros!B:B,Parâmetros!C:C,_xlfn.XLOOKUP(Base!M1381,Parâmetros!G:G,Parâmetros!H:H))</f>
        <v>QUALIDADE DOS DADOS</v>
      </c>
      <c r="P1384" s="1" t="str">
        <f>_xlfn.XLOOKUP(I1384,Parâmetros!A:A,Parâmetros!D:D,_xlfn.XLOOKUP(Q1384,Parâmetros!F:F,Parâmetros!I:I))</f>
        <v>SUPORTE OBT</v>
      </c>
      <c r="Q1384" s="1">
        <f t="shared" si="43"/>
        <v>1</v>
      </c>
    </row>
    <row r="1385" spans="1:17" x14ac:dyDescent="0.25">
      <c r="A1385" s="1" t="str">
        <f>_xlfn.XLOOKUP(D1385,'Novo relatório'!B:B,'Novo relatório'!C:C,"RESOLVIDO")</f>
        <v>SABRE</v>
      </c>
      <c r="C1385" t="str">
        <f t="shared" si="42"/>
        <v>PENDENTE</v>
      </c>
      <c r="D1385" s="1">
        <v>3353715</v>
      </c>
      <c r="E1385" s="1" t="s">
        <v>26</v>
      </c>
      <c r="F1385" s="2">
        <v>45756.425000000003</v>
      </c>
      <c r="G1385" s="1" t="s">
        <v>1752</v>
      </c>
      <c r="H1385" s="1" t="s">
        <v>1752</v>
      </c>
      <c r="I1385" s="1" t="s">
        <v>410</v>
      </c>
      <c r="J1385" s="2">
        <v>45755.724305555559</v>
      </c>
      <c r="K1385" s="2">
        <v>45756.511805555558</v>
      </c>
      <c r="L1385" s="1" t="s">
        <v>18</v>
      </c>
      <c r="M1385" s="1" t="str">
        <f>_xlfn.XLOOKUP(I1385,Parâmetros!A:A,Parâmetros!B:B,_xlfn.XLOOKUP(Q1385,Parâmetros!F:F,Parâmetros!G:G,"NOVA MENSAGEM"))</f>
        <v>CÓD. CLIENTE DIVERGENTE</v>
      </c>
      <c r="N1385" s="1" t="str">
        <f>_xlfn.XLOOKUP(M1385,Parâmetros!K:K,Parâmetros!L:L,"")</f>
        <v>CÓDIGO DIFERENTE DO CADASTRADO NO BENNER (CLIENTE X GRUPO)</v>
      </c>
      <c r="O1385" s="1" t="str">
        <f>_xlfn.XLOOKUP(M1385,Parâmetros!B:B,Parâmetros!C:C,_xlfn.XLOOKUP(Base!M1380,Parâmetros!G:G,Parâmetros!H:H))</f>
        <v>QUALIDADE DOS DADOS</v>
      </c>
      <c r="P1385" s="1" t="str">
        <f>_xlfn.XLOOKUP(I1385,Parâmetros!A:A,Parâmetros!D:D,_xlfn.XLOOKUP(Q1385,Parâmetros!F:F,Parâmetros!I:I))</f>
        <v>SUPORTE OBT</v>
      </c>
      <c r="Q1385" s="1">
        <f t="shared" si="43"/>
        <v>1</v>
      </c>
    </row>
    <row r="1386" spans="1:17" x14ac:dyDescent="0.25">
      <c r="A1386" s="1" t="str">
        <f>_xlfn.XLOOKUP(D1386,'Novo relatório'!B:B,'Novo relatório'!C:C,"RESOLVIDO")</f>
        <v>SABRE</v>
      </c>
      <c r="C1386" t="str">
        <f t="shared" si="42"/>
        <v>PENDENTE</v>
      </c>
      <c r="D1386" s="1">
        <v>3353887</v>
      </c>
      <c r="E1386" s="1" t="s">
        <v>26</v>
      </c>
      <c r="F1386" s="2">
        <v>45755.672222222223</v>
      </c>
      <c r="G1386" s="1" t="s">
        <v>1737</v>
      </c>
      <c r="H1386" s="1" t="s">
        <v>1737</v>
      </c>
      <c r="I1386" s="1" t="s">
        <v>396</v>
      </c>
      <c r="J1386" s="2">
        <v>45755.762499999997</v>
      </c>
      <c r="L1386" s="1" t="s">
        <v>18</v>
      </c>
      <c r="M1386" s="1" t="str">
        <f>_xlfn.XLOOKUP(I1386,Parâmetros!A:A,Parâmetros!B:B,_xlfn.XLOOKUP(Q1386,Parâmetros!F:F,Parâmetros!G:G,"NOVA MENSAGEM"))</f>
        <v>CÓD. CLIENTE DIVERGENTE</v>
      </c>
      <c r="N1386" s="1" t="str">
        <f>_xlfn.XLOOKUP(M1386,Parâmetros!K:K,Parâmetros!L:L,"")</f>
        <v>CÓDIGO DIFERENTE DO CADASTRADO NO BENNER (CLIENTE X GRUPO)</v>
      </c>
      <c r="O1386" s="1" t="str">
        <f>_xlfn.XLOOKUP(M1386,Parâmetros!B:B,Parâmetros!C:C,_xlfn.XLOOKUP(Base!M1382,Parâmetros!G:G,Parâmetros!H:H))</f>
        <v>QUALIDADE DOS DADOS</v>
      </c>
      <c r="P1386" s="1" t="str">
        <f>_xlfn.XLOOKUP(I1386,Parâmetros!A:A,Parâmetros!D:D,_xlfn.XLOOKUP(Q1386,Parâmetros!F:F,Parâmetros!I:I))</f>
        <v>SUPORTE OBT</v>
      </c>
      <c r="Q1386" s="1">
        <f t="shared" si="43"/>
        <v>1</v>
      </c>
    </row>
    <row r="1387" spans="1:17" x14ac:dyDescent="0.25">
      <c r="A1387" s="1" t="str">
        <f>_xlfn.XLOOKUP(D1387,'Novo relatório'!B:B,'Novo relatório'!C:C,"RESOLVIDO")</f>
        <v>SABRE</v>
      </c>
      <c r="C1387" t="str">
        <f t="shared" si="42"/>
        <v>PENDENTE</v>
      </c>
      <c r="D1387" s="1">
        <v>3353891</v>
      </c>
      <c r="E1387" s="1" t="s">
        <v>26</v>
      </c>
      <c r="F1387" s="2">
        <v>45756.390277777777</v>
      </c>
      <c r="G1387" s="1" t="s">
        <v>1833</v>
      </c>
      <c r="H1387" s="1" t="s">
        <v>1833</v>
      </c>
      <c r="I1387" s="1" t="s">
        <v>1761</v>
      </c>
      <c r="J1387" s="2">
        <v>45755.762499999997</v>
      </c>
      <c r="K1387" s="2">
        <v>45756.480555555558</v>
      </c>
      <c r="L1387" s="1" t="s">
        <v>18</v>
      </c>
      <c r="M1387" s="1" t="str">
        <f>_xlfn.XLOOKUP(I1387,Parâmetros!A:A,Parâmetros!B:B,_xlfn.XLOOKUP(Q1387,Parâmetros!F:F,Parâmetros!G:G,"NOVA MENSAGEM"))</f>
        <v>CÓD. CLIENTE DIVERGENTE</v>
      </c>
      <c r="N1387" s="1" t="str">
        <f>_xlfn.XLOOKUP(M1387,Parâmetros!K:K,Parâmetros!L:L,"")</f>
        <v>CÓDIGO DIFERENTE DO CADASTRADO NO BENNER (CLIENTE X GRUPO)</v>
      </c>
      <c r="O1387" s="1" t="str">
        <f>_xlfn.XLOOKUP(M1387,Parâmetros!B:B,Parâmetros!C:C,_xlfn.XLOOKUP(Base!M1383,Parâmetros!G:G,Parâmetros!H:H))</f>
        <v>QUALIDADE DOS DADOS</v>
      </c>
      <c r="P1387" s="1" t="str">
        <f>_xlfn.XLOOKUP(I1387,Parâmetros!A:A,Parâmetros!D:D,_xlfn.XLOOKUP(Q1387,Parâmetros!F:F,Parâmetros!I:I))</f>
        <v>SUPORTE OBT</v>
      </c>
      <c r="Q1387" s="1">
        <f t="shared" si="43"/>
        <v>1</v>
      </c>
    </row>
    <row r="1388" spans="1:17" x14ac:dyDescent="0.25">
      <c r="A1388" s="1" t="str">
        <f>_xlfn.XLOOKUP(D1388,'Novo relatório'!B:B,'Novo relatório'!C:C,"RESOLVIDO")</f>
        <v>SABRE</v>
      </c>
      <c r="C1388" t="str">
        <f t="shared" si="42"/>
        <v>PENDENTE</v>
      </c>
      <c r="D1388" s="1">
        <v>3353895</v>
      </c>
      <c r="E1388" s="1" t="s">
        <v>26</v>
      </c>
      <c r="F1388" s="2">
        <v>45756.508333333331</v>
      </c>
      <c r="G1388" s="1" t="s">
        <v>1770</v>
      </c>
      <c r="H1388" s="1" t="s">
        <v>1770</v>
      </c>
      <c r="I1388" s="1" t="s">
        <v>83</v>
      </c>
      <c r="J1388" s="2">
        <v>45755.765277777777</v>
      </c>
      <c r="K1388" s="2">
        <v>45756.595138888886</v>
      </c>
      <c r="L1388" s="1" t="s">
        <v>18</v>
      </c>
      <c r="M1388" s="1" t="str">
        <f>_xlfn.XLOOKUP(I1388,Parâmetros!A:A,Parâmetros!B:B,_xlfn.XLOOKUP(Q1388,Parâmetros!F:F,Parâmetros!G:G,"NOVA MENSAGEM"))</f>
        <v>CLIENTE NÃO IDENTIFICADO</v>
      </c>
      <c r="N1388" s="1" t="str">
        <f>_xlfn.XLOOKUP(M1388,Parâmetros!K:K,Parâmetros!L:L,"")</f>
        <v>DK DE CLIENTE NÃO PREENCIDO / CLIENTE NÃO CONFIGURADO NO OBT</v>
      </c>
      <c r="O1388" s="1" t="str">
        <f>_xlfn.XLOOKUP(M1388,Parâmetros!B:B,Parâmetros!C:C,_xlfn.XLOOKUP(Base!M1384,Parâmetros!G:G,Parâmetros!H:H))</f>
        <v>INDEFINIDO</v>
      </c>
      <c r="P1388" s="1" t="str">
        <f>_xlfn.XLOOKUP(I1388,Parâmetros!A:A,Parâmetros!D:D,_xlfn.XLOOKUP(Q1388,Parâmetros!F:F,Parâmetros!I:I))</f>
        <v>OPERAÇÕES / SUPORTE KCS</v>
      </c>
      <c r="Q1388" s="1" t="str">
        <f t="shared" si="43"/>
        <v>COLUNA I</v>
      </c>
    </row>
    <row r="1389" spans="1:17" x14ac:dyDescent="0.25">
      <c r="A1389" s="1" t="str">
        <f>_xlfn.XLOOKUP(D1389,'Novo relatório'!B:B,'Novo relatório'!C:C,"RESOLVIDO")</f>
        <v>SABRE</v>
      </c>
      <c r="C1389" t="str">
        <f t="shared" si="42"/>
        <v>PENDENTE</v>
      </c>
      <c r="D1389" s="1">
        <v>3353904</v>
      </c>
      <c r="E1389" s="1" t="s">
        <v>26</v>
      </c>
      <c r="F1389" s="2">
        <v>45756.507638888892</v>
      </c>
      <c r="G1389" s="1" t="s">
        <v>1753</v>
      </c>
      <c r="H1389" s="1" t="s">
        <v>1753</v>
      </c>
      <c r="I1389" s="1" t="s">
        <v>83</v>
      </c>
      <c r="J1389" s="2">
        <v>45755.774305555555</v>
      </c>
      <c r="K1389" s="2">
        <v>45756.595138888886</v>
      </c>
      <c r="L1389" s="1" t="s">
        <v>18</v>
      </c>
      <c r="M1389" s="1" t="str">
        <f>_xlfn.XLOOKUP(I1389,Parâmetros!A:A,Parâmetros!B:B,_xlfn.XLOOKUP(Q1389,Parâmetros!F:F,Parâmetros!G:G,"NOVA MENSAGEM"))</f>
        <v>CLIENTE NÃO IDENTIFICADO</v>
      </c>
      <c r="N1389" s="1" t="str">
        <f>_xlfn.XLOOKUP(M1389,Parâmetros!K:K,Parâmetros!L:L,"")</f>
        <v>DK DE CLIENTE NÃO PREENCIDO / CLIENTE NÃO CONFIGURADO NO OBT</v>
      </c>
      <c r="O1389" s="1" t="str">
        <f>_xlfn.XLOOKUP(M1389,Parâmetros!B:B,Parâmetros!C:C,_xlfn.XLOOKUP(Base!M1385,Parâmetros!G:G,Parâmetros!H:H))</f>
        <v>INDEFINIDO</v>
      </c>
      <c r="P1389" s="1" t="str">
        <f>_xlfn.XLOOKUP(I1389,Parâmetros!A:A,Parâmetros!D:D,_xlfn.XLOOKUP(Q1389,Parâmetros!F:F,Parâmetros!I:I))</f>
        <v>OPERAÇÕES / SUPORTE KCS</v>
      </c>
      <c r="Q1389" s="1" t="str">
        <f t="shared" si="43"/>
        <v>COLUNA I</v>
      </c>
    </row>
    <row r="1390" spans="1:17" x14ac:dyDescent="0.25">
      <c r="A1390" s="1" t="str">
        <f>_xlfn.XLOOKUP(D1390,'Novo relatório'!B:B,'Novo relatório'!C:C,"RESOLVIDO")</f>
        <v>TMS</v>
      </c>
      <c r="C1390" t="str">
        <f t="shared" si="42"/>
        <v>PENDENTE</v>
      </c>
      <c r="D1390" s="1">
        <v>3354509</v>
      </c>
      <c r="E1390" s="1" t="s">
        <v>12</v>
      </c>
      <c r="F1390" s="2">
        <v>45755.646527777775</v>
      </c>
      <c r="G1390" s="1">
        <v>101</v>
      </c>
      <c r="H1390" s="1">
        <v>101</v>
      </c>
      <c r="I1390" s="1" t="s">
        <v>16</v>
      </c>
      <c r="J1390" s="2">
        <v>45755.831250000003</v>
      </c>
      <c r="K1390" s="2">
        <v>45756.597222222219</v>
      </c>
      <c r="L1390" s="1" t="s">
        <v>14</v>
      </c>
      <c r="M1390" s="1" t="str">
        <f>_xlfn.XLOOKUP(I1390,Parâmetros!A:A,Parâmetros!B:B,_xlfn.XLOOKUP(Q1390,Parâmetros!F:F,Parâmetros!G:G,"NOVA MENSAGEM"))</f>
        <v>ASSENTO / BAGAGEM</v>
      </c>
      <c r="N1390" s="1" t="str">
        <f>_xlfn.XLOOKUP(M1390,Parâmetros!K:K,Parâmetros!L:L,"")</f>
        <v>CAMPO OBSERVAÇÃO PREENCHIDO INCORRETAMENTE</v>
      </c>
      <c r="O1390" s="1" t="str">
        <f>_xlfn.XLOOKUP(M1390,Parâmetros!B:B,Parâmetros!C:C,_xlfn.XLOOKUP(Base!M1386,Parâmetros!G:G,Parâmetros!H:H))</f>
        <v>QUALIDADE DOS DADOS</v>
      </c>
      <c r="P1390" s="1" t="str">
        <f>_xlfn.XLOOKUP(I1390,Parâmetros!A:A,Parâmetros!D:D,_xlfn.XLOOKUP(Q1390,Parâmetros!F:F,Parâmetros!I:I))</f>
        <v>OPERAÇÕES / SUPORTE KCS</v>
      </c>
      <c r="Q1390" s="1">
        <f t="shared" si="43"/>
        <v>118</v>
      </c>
    </row>
    <row r="1391" spans="1:17" x14ac:dyDescent="0.25">
      <c r="A1391" s="1" t="str">
        <f>_xlfn.XLOOKUP(D1391,'Novo relatório'!B:B,'Novo relatório'!C:C,"RESOLVIDO")</f>
        <v>SABRE</v>
      </c>
      <c r="C1391" t="str">
        <f t="shared" si="42"/>
        <v>PENDENTE</v>
      </c>
      <c r="D1391" s="1">
        <v>3354575</v>
      </c>
      <c r="E1391" s="1" t="s">
        <v>26</v>
      </c>
      <c r="F1391" s="2">
        <v>45756.488194444442</v>
      </c>
      <c r="G1391" s="1" t="s">
        <v>1888</v>
      </c>
      <c r="H1391" s="1" t="s">
        <v>1888</v>
      </c>
      <c r="I1391" s="1" t="s">
        <v>652</v>
      </c>
      <c r="J1391" s="2">
        <v>45755.835416666669</v>
      </c>
      <c r="K1391" s="2">
        <v>45756.574305555558</v>
      </c>
      <c r="L1391" s="1" t="s">
        <v>18</v>
      </c>
      <c r="M1391" s="1" t="str">
        <f>_xlfn.XLOOKUP(I1391,Parâmetros!A:A,Parâmetros!B:B,_xlfn.XLOOKUP(Q1391,Parâmetros!F:F,Parâmetros!G:G,"NOVA MENSAGEM"))</f>
        <v>CÓD. CLIENTE DIVERGENTE</v>
      </c>
      <c r="N1391" s="1" t="str">
        <f>_xlfn.XLOOKUP(M1391,Parâmetros!K:K,Parâmetros!L:L,"")</f>
        <v>CÓDIGO DIFERENTE DO CADASTRADO NO BENNER (CLIENTE X GRUPO)</v>
      </c>
      <c r="O1391" s="1" t="str">
        <f>_xlfn.XLOOKUP(M1391,Parâmetros!B:B,Parâmetros!C:C,_xlfn.XLOOKUP(Base!M1387,Parâmetros!G:G,Parâmetros!H:H))</f>
        <v>QUALIDADE DOS DADOS</v>
      </c>
      <c r="P1391" s="1" t="str">
        <f>_xlfn.XLOOKUP(I1391,Parâmetros!A:A,Parâmetros!D:D,_xlfn.XLOOKUP(Q1391,Parâmetros!F:F,Parâmetros!I:I))</f>
        <v>SUPORTE OBT</v>
      </c>
      <c r="Q1391" s="1">
        <f t="shared" si="43"/>
        <v>1</v>
      </c>
    </row>
    <row r="1392" spans="1:17" x14ac:dyDescent="0.25">
      <c r="A1392" s="1" t="str">
        <f>_xlfn.XLOOKUP(D1392,'Novo relatório'!B:B,'Novo relatório'!C:C,"RESOLVIDO")</f>
        <v>SABRE</v>
      </c>
      <c r="C1392" t="str">
        <f t="shared" si="42"/>
        <v>PENDENTE</v>
      </c>
      <c r="D1392" s="1">
        <v>3354583</v>
      </c>
      <c r="E1392" s="1" t="s">
        <v>26</v>
      </c>
      <c r="F1392" s="2">
        <v>45755.75</v>
      </c>
      <c r="G1392" s="1" t="s">
        <v>1774</v>
      </c>
      <c r="H1392" s="1" t="s">
        <v>1774</v>
      </c>
      <c r="I1392" s="1" t="s">
        <v>620</v>
      </c>
      <c r="J1392" s="2">
        <v>45755.836111111108</v>
      </c>
      <c r="L1392" s="1" t="s">
        <v>18</v>
      </c>
      <c r="M1392" s="1" t="str">
        <f>_xlfn.XLOOKUP(I1392,Parâmetros!A:A,Parâmetros!B:B,_xlfn.XLOOKUP(Q1392,Parâmetros!F:F,Parâmetros!G:G,"NOVA MENSAGEM"))</f>
        <v>CÓD. CLIENTE DIVERGENTE</v>
      </c>
      <c r="N1392" s="1" t="str">
        <f>_xlfn.XLOOKUP(M1392,Parâmetros!K:K,Parâmetros!L:L,"")</f>
        <v>CÓDIGO DIFERENTE DO CADASTRADO NO BENNER (CLIENTE X GRUPO)</v>
      </c>
      <c r="O1392" s="1" t="str">
        <f>_xlfn.XLOOKUP(M1392,Parâmetros!B:B,Parâmetros!C:C,_xlfn.XLOOKUP(Base!M1388,Parâmetros!G:G,Parâmetros!H:H))</f>
        <v>QUALIDADE DOS DADOS</v>
      </c>
      <c r="P1392" s="1" t="str">
        <f>_xlfn.XLOOKUP(I1392,Parâmetros!A:A,Parâmetros!D:D,_xlfn.XLOOKUP(Q1392,Parâmetros!F:F,Parâmetros!I:I))</f>
        <v>SUPORTE OBT</v>
      </c>
      <c r="Q1392" s="1">
        <f t="shared" si="43"/>
        <v>1</v>
      </c>
    </row>
    <row r="1393" spans="1:17" x14ac:dyDescent="0.25">
      <c r="A1393" s="1" t="str">
        <f>_xlfn.XLOOKUP(D1393,'Novo relatório'!B:B,'Novo relatório'!C:C,"RESOLVIDO")</f>
        <v>SABRE</v>
      </c>
      <c r="C1393" t="str">
        <f t="shared" si="42"/>
        <v>PENDENTE</v>
      </c>
      <c r="D1393" s="1">
        <v>3356276</v>
      </c>
      <c r="E1393" s="1" t="s">
        <v>26</v>
      </c>
      <c r="F1393" s="2">
        <v>45756.784722222219</v>
      </c>
      <c r="G1393" s="1" t="s">
        <v>2062</v>
      </c>
      <c r="H1393" s="1" t="s">
        <v>2062</v>
      </c>
      <c r="I1393" s="1" t="s">
        <v>1215</v>
      </c>
      <c r="J1393" s="2">
        <v>45756.730555555558</v>
      </c>
      <c r="K1393" s="2">
        <v>45756.87777777778</v>
      </c>
      <c r="L1393" s="1" t="s">
        <v>18</v>
      </c>
      <c r="M1393" s="1" t="str">
        <f>_xlfn.XLOOKUP(I1393,Parâmetros!A:A,Parâmetros!B:B,_xlfn.XLOOKUP(Q1393,Parâmetros!F:F,Parâmetros!G:G,"NOVA MENSAGEM"))</f>
        <v>CÓD. CLIENTE DIVERGENTE</v>
      </c>
      <c r="N1393" s="1" t="str">
        <f>_xlfn.XLOOKUP(M1393,Parâmetros!K:K,Parâmetros!L:L,"")</f>
        <v>CÓDIGO DIFERENTE DO CADASTRADO NO BENNER (CLIENTE X GRUPO)</v>
      </c>
      <c r="O1393" s="1" t="str">
        <f>_xlfn.XLOOKUP(M1393,Parâmetros!B:B,Parâmetros!C:C,_xlfn.XLOOKUP(Base!M1506,Parâmetros!G:G,Parâmetros!H:H))</f>
        <v>QUALIDADE DOS DADOS</v>
      </c>
      <c r="P1393" s="1" t="str">
        <f>_xlfn.XLOOKUP(I1393,Parâmetros!A:A,Parâmetros!D:D,_xlfn.XLOOKUP(Q1393,Parâmetros!F:F,Parâmetros!I:I))</f>
        <v>SUPORTE OBT</v>
      </c>
      <c r="Q1393" s="1">
        <f t="shared" si="43"/>
        <v>1</v>
      </c>
    </row>
    <row r="1394" spans="1:17" x14ac:dyDescent="0.25">
      <c r="A1394" s="1" t="str">
        <f>_xlfn.XLOOKUP(D1394,'Novo relatório'!B:B,'Novo relatório'!C:C,"RESOLVIDO")</f>
        <v>SABRE</v>
      </c>
      <c r="C1394" t="str">
        <f t="shared" si="42"/>
        <v>PENDENTE</v>
      </c>
      <c r="D1394" s="1">
        <v>3356315</v>
      </c>
      <c r="E1394" s="1" t="s">
        <v>26</v>
      </c>
      <c r="F1394" s="2">
        <v>45756.654861111114</v>
      </c>
      <c r="G1394" s="1" t="s">
        <v>2036</v>
      </c>
      <c r="H1394" s="1" t="s">
        <v>2037</v>
      </c>
      <c r="I1394" s="1" t="s">
        <v>64</v>
      </c>
      <c r="J1394" s="2">
        <v>45756.742361111108</v>
      </c>
      <c r="L1394" s="1" t="s">
        <v>1244</v>
      </c>
      <c r="M1394" s="1" t="str">
        <f>_xlfn.XLOOKUP(I1394,Parâmetros!A:A,Parâmetros!B:B,_xlfn.XLOOKUP(Q1394,Parâmetros!F:F,Parâmetros!G:G,"NOVA MENSAGEM"))</f>
        <v>FORMATO DE TEXTO</v>
      </c>
      <c r="N1394" s="1" t="str">
        <f>_xlfn.XLOOKUP(M1394,Parâmetros!K:K,Parâmetros!L:L,"")</f>
        <v>TEXTO FORA DO PADRÃO ACEITO NO CAMPO</v>
      </c>
      <c r="O1394" s="1" t="str">
        <f>_xlfn.XLOOKUP(M1394,Parâmetros!B:B,Parâmetros!C:C,_xlfn.XLOOKUP(Base!M1486,Parâmetros!G:G,Parâmetros!H:H))</f>
        <v>INDEFINIDO</v>
      </c>
      <c r="P1394" s="1" t="str">
        <f>_xlfn.XLOOKUP(I1394,Parâmetros!A:A,Parâmetros!D:D,_xlfn.XLOOKUP(Q1394,Parâmetros!F:F,Parâmetros!I:I))</f>
        <v>SUPORTE OBT</v>
      </c>
      <c r="Q1394" s="1" t="str">
        <f t="shared" si="43"/>
        <v>COLUNA I</v>
      </c>
    </row>
    <row r="1395" spans="1:17" x14ac:dyDescent="0.25">
      <c r="A1395" s="1" t="str">
        <f>_xlfn.XLOOKUP(D1395,'Novo relatório'!B:B,'Novo relatório'!C:C,"RESOLVIDO")</f>
        <v>SABRE</v>
      </c>
      <c r="C1395" t="str">
        <f t="shared" si="42"/>
        <v>PENDENTE</v>
      </c>
      <c r="D1395" s="1">
        <v>3356460</v>
      </c>
      <c r="E1395" s="1" t="s">
        <v>26</v>
      </c>
      <c r="F1395" s="2">
        <v>45756.70416666667</v>
      </c>
      <c r="G1395" s="1" t="s">
        <v>1944</v>
      </c>
      <c r="H1395" s="1" t="s">
        <v>1944</v>
      </c>
      <c r="I1395" s="1" t="s">
        <v>396</v>
      </c>
      <c r="J1395" s="2">
        <v>45756.793749999997</v>
      </c>
      <c r="L1395" s="1" t="s">
        <v>18</v>
      </c>
      <c r="M1395" s="1" t="str">
        <f>_xlfn.XLOOKUP(I1395,Parâmetros!A:A,Parâmetros!B:B,_xlfn.XLOOKUP(Q1395,Parâmetros!F:F,Parâmetros!G:G,"NOVA MENSAGEM"))</f>
        <v>CÓD. CLIENTE DIVERGENTE</v>
      </c>
      <c r="N1395" s="1" t="str">
        <f>_xlfn.XLOOKUP(M1395,Parâmetros!K:K,Parâmetros!L:L,"")</f>
        <v>CÓDIGO DIFERENTE DO CADASTRADO NO BENNER (CLIENTE X GRUPO)</v>
      </c>
      <c r="O1395" s="1" t="str">
        <f>_xlfn.XLOOKUP(M1395,Parâmetros!B:B,Parâmetros!C:C,_xlfn.XLOOKUP(Base!M1402,Parâmetros!G:G,Parâmetros!H:H))</f>
        <v>QUALIDADE DOS DADOS</v>
      </c>
      <c r="P1395" s="1" t="str">
        <f>_xlfn.XLOOKUP(I1395,Parâmetros!A:A,Parâmetros!D:D,_xlfn.XLOOKUP(Q1395,Parâmetros!F:F,Parâmetros!I:I))</f>
        <v>SUPORTE OBT</v>
      </c>
      <c r="Q1395" s="1">
        <f t="shared" si="43"/>
        <v>1</v>
      </c>
    </row>
    <row r="1396" spans="1:17" x14ac:dyDescent="0.25">
      <c r="A1396" s="1" t="str">
        <f>_xlfn.XLOOKUP(D1396,'Novo relatório'!B:B,'Novo relatório'!C:C,"RESOLVIDO")</f>
        <v>SABRE</v>
      </c>
      <c r="C1396" t="str">
        <f t="shared" si="42"/>
        <v>PENDENTE</v>
      </c>
      <c r="D1396" s="1">
        <v>3356462</v>
      </c>
      <c r="E1396" s="1" t="s">
        <v>26</v>
      </c>
      <c r="F1396" s="2">
        <v>45756.70416666667</v>
      </c>
      <c r="G1396" s="1" t="s">
        <v>2005</v>
      </c>
      <c r="H1396" s="1" t="s">
        <v>2005</v>
      </c>
      <c r="I1396" s="1" t="s">
        <v>396</v>
      </c>
      <c r="J1396" s="2">
        <v>45756.793749999997</v>
      </c>
      <c r="L1396" s="1" t="s">
        <v>18</v>
      </c>
      <c r="M1396" s="1" t="str">
        <f>_xlfn.XLOOKUP(I1396,Parâmetros!A:A,Parâmetros!B:B,_xlfn.XLOOKUP(Q1396,Parâmetros!F:F,Parâmetros!G:G,"NOVA MENSAGEM"))</f>
        <v>CÓD. CLIENTE DIVERGENTE</v>
      </c>
      <c r="N1396" s="1" t="str">
        <f>_xlfn.XLOOKUP(M1396,Parâmetros!K:K,Parâmetros!L:L,"")</f>
        <v>CÓDIGO DIFERENTE DO CADASTRADO NO BENNER (CLIENTE X GRUPO)</v>
      </c>
      <c r="O1396" s="1" t="str">
        <f>_xlfn.XLOOKUP(M1396,Parâmetros!B:B,Parâmetros!C:C,_xlfn.XLOOKUP(Base!M1458,Parâmetros!G:G,Parâmetros!H:H))</f>
        <v>QUALIDADE DOS DADOS</v>
      </c>
      <c r="P1396" s="1" t="str">
        <f>_xlfn.XLOOKUP(I1396,Parâmetros!A:A,Parâmetros!D:D,_xlfn.XLOOKUP(Q1396,Parâmetros!F:F,Parâmetros!I:I))</f>
        <v>SUPORTE OBT</v>
      </c>
      <c r="Q1396" s="1">
        <f t="shared" si="43"/>
        <v>1</v>
      </c>
    </row>
    <row r="1397" spans="1:17" x14ac:dyDescent="0.25">
      <c r="A1397" s="1" t="str">
        <f>_xlfn.XLOOKUP(D1397,'Novo relatório'!B:B,'Novo relatório'!C:C,"RESOLVIDO")</f>
        <v>SABRE</v>
      </c>
      <c r="C1397" t="str">
        <f t="shared" si="42"/>
        <v>PENDENTE</v>
      </c>
      <c r="D1397" s="1">
        <v>3356469</v>
      </c>
      <c r="E1397" s="1" t="s">
        <v>26</v>
      </c>
      <c r="F1397" s="2">
        <v>45756.70416666667</v>
      </c>
      <c r="G1397" s="1" t="s">
        <v>1947</v>
      </c>
      <c r="H1397" s="1" t="s">
        <v>1947</v>
      </c>
      <c r="I1397" s="1" t="s">
        <v>83</v>
      </c>
      <c r="J1397" s="2">
        <v>45756.794444444444</v>
      </c>
      <c r="L1397" s="1" t="s">
        <v>18</v>
      </c>
      <c r="M1397" s="1" t="str">
        <f>_xlfn.XLOOKUP(I1397,Parâmetros!A:A,Parâmetros!B:B,_xlfn.XLOOKUP(Q1397,Parâmetros!F:F,Parâmetros!G:G,"NOVA MENSAGEM"))</f>
        <v>CLIENTE NÃO IDENTIFICADO</v>
      </c>
      <c r="N1397" s="1" t="str">
        <f>_xlfn.XLOOKUP(M1397,Parâmetros!K:K,Parâmetros!L:L,"")</f>
        <v>DK DE CLIENTE NÃO PREENCIDO / CLIENTE NÃO CONFIGURADO NO OBT</v>
      </c>
      <c r="O1397" s="1" t="str">
        <f>_xlfn.XLOOKUP(M1397,Parâmetros!B:B,Parâmetros!C:C,_xlfn.XLOOKUP(Base!M1405,Parâmetros!G:G,Parâmetros!H:H))</f>
        <v>INDEFINIDO</v>
      </c>
      <c r="P1397" s="1" t="str">
        <f>_xlfn.XLOOKUP(I1397,Parâmetros!A:A,Parâmetros!D:D,_xlfn.XLOOKUP(Q1397,Parâmetros!F:F,Parâmetros!I:I))</f>
        <v>OPERAÇÕES / SUPORTE KCS</v>
      </c>
      <c r="Q1397" s="1" t="str">
        <f t="shared" si="43"/>
        <v>COLUNA I</v>
      </c>
    </row>
    <row r="1398" spans="1:17" x14ac:dyDescent="0.25">
      <c r="A1398" s="1" t="str">
        <f>_xlfn.XLOOKUP(D1398,'Novo relatório'!B:B,'Novo relatório'!C:C,"RESOLVIDO")</f>
        <v>SABRE</v>
      </c>
      <c r="C1398" t="str">
        <f t="shared" si="42"/>
        <v>PENDENTE</v>
      </c>
      <c r="D1398" s="1">
        <v>3356484</v>
      </c>
      <c r="E1398" s="1" t="s">
        <v>26</v>
      </c>
      <c r="F1398" s="2">
        <v>45756.70416666667</v>
      </c>
      <c r="G1398" s="1" t="s">
        <v>2094</v>
      </c>
      <c r="H1398" s="1" t="s">
        <v>2094</v>
      </c>
      <c r="I1398" s="1" t="s">
        <v>620</v>
      </c>
      <c r="J1398" s="2">
        <v>45756.795138888891</v>
      </c>
      <c r="L1398" s="1" t="s">
        <v>18</v>
      </c>
      <c r="M1398" s="1" t="str">
        <f>_xlfn.XLOOKUP(I1398,Parâmetros!A:A,Parâmetros!B:B,_xlfn.XLOOKUP(Q1398,Parâmetros!F:F,Parâmetros!G:G,"NOVA MENSAGEM"))</f>
        <v>CÓD. CLIENTE DIVERGENTE</v>
      </c>
      <c r="N1398" s="1" t="str">
        <f>_xlfn.XLOOKUP(M1398,Parâmetros!K:K,Parâmetros!L:L,"")</f>
        <v>CÓDIGO DIFERENTE DO CADASTRADO NO BENNER (CLIENTE X GRUPO)</v>
      </c>
      <c r="O1398" s="1" t="str">
        <f>_xlfn.XLOOKUP(M1398,Parâmetros!B:B,Parâmetros!C:C,_xlfn.XLOOKUP(Base!M1529,Parâmetros!G:G,Parâmetros!H:H))</f>
        <v>QUALIDADE DOS DADOS</v>
      </c>
      <c r="P1398" s="1" t="str">
        <f>_xlfn.XLOOKUP(I1398,Parâmetros!A:A,Parâmetros!D:D,_xlfn.XLOOKUP(Q1398,Parâmetros!F:F,Parâmetros!I:I))</f>
        <v>SUPORTE OBT</v>
      </c>
      <c r="Q1398" s="1">
        <f t="shared" si="43"/>
        <v>1</v>
      </c>
    </row>
    <row r="1399" spans="1:17" x14ac:dyDescent="0.25">
      <c r="A1399" s="1" t="str">
        <f>_xlfn.XLOOKUP(D1399,'Novo relatório'!B:B,'Novo relatório'!C:C,"RESOLVIDO")</f>
        <v>SABRE</v>
      </c>
      <c r="C1399" t="str">
        <f t="shared" si="42"/>
        <v>PENDENTE</v>
      </c>
      <c r="D1399" s="1">
        <v>3356491</v>
      </c>
      <c r="E1399" s="1" t="s">
        <v>26</v>
      </c>
      <c r="F1399" s="2">
        <v>45756.70416666667</v>
      </c>
      <c r="G1399" s="1" t="s">
        <v>2111</v>
      </c>
      <c r="H1399" s="1" t="s">
        <v>2111</v>
      </c>
      <c r="I1399" s="1" t="s">
        <v>83</v>
      </c>
      <c r="J1399" s="2">
        <v>45756.795138888891</v>
      </c>
      <c r="L1399" s="1" t="s">
        <v>18</v>
      </c>
      <c r="M1399" s="1" t="str">
        <f>_xlfn.XLOOKUP(I1399,Parâmetros!A:A,Parâmetros!B:B,_xlfn.XLOOKUP(Q1399,Parâmetros!F:F,Parâmetros!G:G,"NOVA MENSAGEM"))</f>
        <v>CLIENTE NÃO IDENTIFICADO</v>
      </c>
      <c r="N1399" s="1" t="str">
        <f>_xlfn.XLOOKUP(M1399,Parâmetros!K:K,Parâmetros!L:L,"")</f>
        <v>DK DE CLIENTE NÃO PREENCIDO / CLIENTE NÃO CONFIGURADO NO OBT</v>
      </c>
      <c r="O1399" s="1" t="str">
        <f>_xlfn.XLOOKUP(M1399,Parâmetros!B:B,Parâmetros!C:C,_xlfn.XLOOKUP(Base!M1543,Parâmetros!G:G,Parâmetros!H:H))</f>
        <v>INDEFINIDO</v>
      </c>
      <c r="P1399" s="1" t="str">
        <f>_xlfn.XLOOKUP(I1399,Parâmetros!A:A,Parâmetros!D:D,_xlfn.XLOOKUP(Q1399,Parâmetros!F:F,Parâmetros!I:I))</f>
        <v>OPERAÇÕES / SUPORTE KCS</v>
      </c>
      <c r="Q1399" s="1" t="str">
        <f t="shared" si="43"/>
        <v>COLUNA I</v>
      </c>
    </row>
    <row r="1400" spans="1:17" x14ac:dyDescent="0.25">
      <c r="A1400" s="1" t="str">
        <f>_xlfn.XLOOKUP(D1400,'Novo relatório'!B:B,'Novo relatório'!C:C,"RESOLVIDO")</f>
        <v>SABRE</v>
      </c>
      <c r="C1400" t="str">
        <f t="shared" si="42"/>
        <v>PENDENTE</v>
      </c>
      <c r="D1400" s="1">
        <v>3357288</v>
      </c>
      <c r="E1400" s="1" t="s">
        <v>26</v>
      </c>
      <c r="F1400" s="2">
        <v>45756.78125</v>
      </c>
      <c r="G1400" s="1" t="s">
        <v>2064</v>
      </c>
      <c r="H1400" s="1" t="s">
        <v>2064</v>
      </c>
      <c r="I1400" s="1" t="s">
        <v>83</v>
      </c>
      <c r="J1400" s="2">
        <v>45756.865277777775</v>
      </c>
      <c r="L1400" s="1" t="s">
        <v>18</v>
      </c>
      <c r="M1400" s="1" t="str">
        <f>_xlfn.XLOOKUP(I1400,Parâmetros!A:A,Parâmetros!B:B,_xlfn.XLOOKUP(Q1400,Parâmetros!F:F,Parâmetros!G:G,"NOVA MENSAGEM"))</f>
        <v>CLIENTE NÃO IDENTIFICADO</v>
      </c>
      <c r="N1400" s="1" t="str">
        <f>_xlfn.XLOOKUP(M1400,Parâmetros!K:K,Parâmetros!L:L,"")</f>
        <v>DK DE CLIENTE NÃO PREENCIDO / CLIENTE NÃO CONFIGURADO NO OBT</v>
      </c>
      <c r="O1400" s="1" t="str">
        <f>_xlfn.XLOOKUP(M1400,Parâmetros!B:B,Parâmetros!C:C,_xlfn.XLOOKUP(Base!M1508,Parâmetros!G:G,Parâmetros!H:H))</f>
        <v>INDEFINIDO</v>
      </c>
      <c r="P1400" s="1" t="str">
        <f>_xlfn.XLOOKUP(I1400,Parâmetros!A:A,Parâmetros!D:D,_xlfn.XLOOKUP(Q1400,Parâmetros!F:F,Parâmetros!I:I))</f>
        <v>OPERAÇÕES / SUPORTE KCS</v>
      </c>
      <c r="Q1400" s="1" t="str">
        <f t="shared" si="43"/>
        <v>COLUNA I</v>
      </c>
    </row>
    <row r="1401" spans="1:17" x14ac:dyDescent="0.25">
      <c r="A1401" s="1" t="str">
        <f>_xlfn.XLOOKUP(D1401,'Novo relatório'!B:B,'Novo relatório'!C:C,"RESOLVIDO")</f>
        <v>SABRE</v>
      </c>
      <c r="C1401" t="str">
        <f t="shared" si="42"/>
        <v>PENDENTE</v>
      </c>
      <c r="D1401" s="1">
        <v>3357293</v>
      </c>
      <c r="E1401" s="1" t="s">
        <v>26</v>
      </c>
      <c r="F1401" s="2">
        <v>45756.78125</v>
      </c>
      <c r="G1401" s="1" t="s">
        <v>2020</v>
      </c>
      <c r="H1401" s="1" t="s">
        <v>2020</v>
      </c>
      <c r="I1401" s="1" t="s">
        <v>396</v>
      </c>
      <c r="J1401" s="2">
        <v>45756.865972222222</v>
      </c>
      <c r="L1401" s="1" t="s">
        <v>18</v>
      </c>
      <c r="M1401" s="1" t="str">
        <f>_xlfn.XLOOKUP(I1401,Parâmetros!A:A,Parâmetros!B:B,_xlfn.XLOOKUP(Q1401,Parâmetros!F:F,Parâmetros!G:G,"NOVA MENSAGEM"))</f>
        <v>CÓD. CLIENTE DIVERGENTE</v>
      </c>
      <c r="N1401" s="1" t="str">
        <f>_xlfn.XLOOKUP(M1401,Parâmetros!K:K,Parâmetros!L:L,"")</f>
        <v>CÓDIGO DIFERENTE DO CADASTRADO NO BENNER (CLIENTE X GRUPO)</v>
      </c>
      <c r="O1401" s="1" t="str">
        <f>_xlfn.XLOOKUP(M1401,Parâmetros!B:B,Parâmetros!C:C,_xlfn.XLOOKUP(Base!M1471,Parâmetros!G:G,Parâmetros!H:H))</f>
        <v>QUALIDADE DOS DADOS</v>
      </c>
      <c r="P1401" s="1" t="str">
        <f>_xlfn.XLOOKUP(I1401,Parâmetros!A:A,Parâmetros!D:D,_xlfn.XLOOKUP(Q1401,Parâmetros!F:F,Parâmetros!I:I))</f>
        <v>SUPORTE OBT</v>
      </c>
      <c r="Q1401" s="1">
        <f t="shared" si="43"/>
        <v>1</v>
      </c>
    </row>
    <row r="1402" spans="1:17" x14ac:dyDescent="0.25">
      <c r="A1402" s="1" t="str">
        <f>_xlfn.XLOOKUP(D1402,'Novo relatório'!B:B,'Novo relatório'!C:C,"RESOLVIDO")</f>
        <v>TMS</v>
      </c>
      <c r="C1402" t="str">
        <f t="shared" si="42"/>
        <v>PENDENTE</v>
      </c>
      <c r="D1402" s="1">
        <v>3357336</v>
      </c>
      <c r="E1402" s="1" t="s">
        <v>12</v>
      </c>
      <c r="F1402" s="2">
        <v>45756.729166666664</v>
      </c>
      <c r="G1402" s="1">
        <v>17202</v>
      </c>
      <c r="H1402" s="1">
        <v>17202</v>
      </c>
      <c r="I1402" s="1" t="s">
        <v>16</v>
      </c>
      <c r="J1402" s="2">
        <v>45756.870138888888</v>
      </c>
      <c r="K1402" s="2">
        <v>45759.849305555559</v>
      </c>
      <c r="L1402" s="1" t="s">
        <v>14</v>
      </c>
      <c r="M1402" s="1" t="str">
        <f>_xlfn.XLOOKUP(I1402,Parâmetros!A:A,Parâmetros!B:B,_xlfn.XLOOKUP(Q1402,Parâmetros!F:F,Parâmetros!G:G,"NOVA MENSAGEM"))</f>
        <v>ASSENTO / BAGAGEM</v>
      </c>
      <c r="N1402" s="1" t="str">
        <f>_xlfn.XLOOKUP(M1402,Parâmetros!K:K,Parâmetros!L:L,"")</f>
        <v>CAMPO OBSERVAÇÃO PREENCHIDO INCORRETAMENTE</v>
      </c>
      <c r="O1402" s="1" t="str">
        <f>_xlfn.XLOOKUP(M1402,Parâmetros!B:B,Parâmetros!C:C,_xlfn.XLOOKUP(Base!M1571,Parâmetros!G:G,Parâmetros!H:H))</f>
        <v>QUALIDADE DOS DADOS</v>
      </c>
      <c r="P1402" s="1" t="str">
        <f>_xlfn.XLOOKUP(I1402,Parâmetros!A:A,Parâmetros!D:D,_xlfn.XLOOKUP(Q1402,Parâmetros!F:F,Parâmetros!I:I))</f>
        <v>OPERAÇÕES / SUPORTE KCS</v>
      </c>
      <c r="Q1402" s="1">
        <f t="shared" si="43"/>
        <v>118</v>
      </c>
    </row>
    <row r="1403" spans="1:17" x14ac:dyDescent="0.25">
      <c r="A1403" s="1" t="str">
        <f>_xlfn.XLOOKUP(D1403,'Novo relatório'!B:B,'Novo relatório'!C:C,"RESOLVIDO")</f>
        <v>SABRE</v>
      </c>
      <c r="C1403" t="str">
        <f t="shared" si="42"/>
        <v>PENDENTE</v>
      </c>
      <c r="D1403" s="1">
        <v>3357365</v>
      </c>
      <c r="E1403" s="1" t="s">
        <v>26</v>
      </c>
      <c r="F1403" s="2">
        <v>45756.784722222219</v>
      </c>
      <c r="G1403" s="1" t="s">
        <v>1937</v>
      </c>
      <c r="H1403" s="1" t="s">
        <v>1937</v>
      </c>
      <c r="I1403" s="1" t="s">
        <v>620</v>
      </c>
      <c r="J1403" s="2">
        <v>45756.876388888886</v>
      </c>
      <c r="L1403" s="1" t="s">
        <v>18</v>
      </c>
      <c r="M1403" s="1" t="str">
        <f>_xlfn.XLOOKUP(I1403,Parâmetros!A:A,Parâmetros!B:B,_xlfn.XLOOKUP(Q1403,Parâmetros!F:F,Parâmetros!G:G,"NOVA MENSAGEM"))</f>
        <v>CÓD. CLIENTE DIVERGENTE</v>
      </c>
      <c r="N1403" s="1" t="str">
        <f>_xlfn.XLOOKUP(M1403,Parâmetros!K:K,Parâmetros!L:L,"")</f>
        <v>CÓDIGO DIFERENTE DO CADASTRADO NO BENNER (CLIENTE X GRUPO)</v>
      </c>
      <c r="O1403" s="1" t="str">
        <f>_xlfn.XLOOKUP(M1403,Parâmetros!B:B,Parâmetros!C:C,_xlfn.XLOOKUP(Base!M1396,Parâmetros!G:G,Parâmetros!H:H))</f>
        <v>QUALIDADE DOS DADOS</v>
      </c>
      <c r="P1403" s="1" t="str">
        <f>_xlfn.XLOOKUP(I1403,Parâmetros!A:A,Parâmetros!D:D,_xlfn.XLOOKUP(Q1403,Parâmetros!F:F,Parâmetros!I:I))</f>
        <v>SUPORTE OBT</v>
      </c>
      <c r="Q1403" s="1">
        <f t="shared" si="43"/>
        <v>1</v>
      </c>
    </row>
    <row r="1404" spans="1:17" x14ac:dyDescent="0.25">
      <c r="A1404" s="1" t="str">
        <f>_xlfn.XLOOKUP(D1404,'Novo relatório'!B:B,'Novo relatório'!C:C,"RESOLVIDO")</f>
        <v>SABRE</v>
      </c>
      <c r="C1404" t="str">
        <f t="shared" si="42"/>
        <v>PENDENTE</v>
      </c>
      <c r="D1404" s="1">
        <v>3357366</v>
      </c>
      <c r="E1404" s="1" t="s">
        <v>26</v>
      </c>
      <c r="F1404" s="2">
        <v>45756.784722222219</v>
      </c>
      <c r="G1404" s="1" t="s">
        <v>2060</v>
      </c>
      <c r="H1404" s="1" t="s">
        <v>2060</v>
      </c>
      <c r="I1404" s="1" t="s">
        <v>83</v>
      </c>
      <c r="J1404" s="2">
        <v>45756.87777777778</v>
      </c>
      <c r="L1404" s="1" t="s">
        <v>18</v>
      </c>
      <c r="M1404" s="1" t="str">
        <f>_xlfn.XLOOKUP(I1404,Parâmetros!A:A,Parâmetros!B:B,_xlfn.XLOOKUP(Q1404,Parâmetros!F:F,Parâmetros!G:G,"NOVA MENSAGEM"))</f>
        <v>CLIENTE NÃO IDENTIFICADO</v>
      </c>
      <c r="N1404" s="1" t="str">
        <f>_xlfn.XLOOKUP(M1404,Parâmetros!K:K,Parâmetros!L:L,"")</f>
        <v>DK DE CLIENTE NÃO PREENCIDO / CLIENTE NÃO CONFIGURADO NO OBT</v>
      </c>
      <c r="O1404" s="1" t="str">
        <f>_xlfn.XLOOKUP(M1404,Parâmetros!B:B,Parâmetros!C:C,_xlfn.XLOOKUP(Base!M1504,Parâmetros!G:G,Parâmetros!H:H))</f>
        <v>INDEFINIDO</v>
      </c>
      <c r="P1404" s="1" t="str">
        <f>_xlfn.XLOOKUP(I1404,Parâmetros!A:A,Parâmetros!D:D,_xlfn.XLOOKUP(Q1404,Parâmetros!F:F,Parâmetros!I:I))</f>
        <v>OPERAÇÕES / SUPORTE KCS</v>
      </c>
      <c r="Q1404" s="1" t="str">
        <f t="shared" si="43"/>
        <v>COLUNA I</v>
      </c>
    </row>
    <row r="1405" spans="1:17" x14ac:dyDescent="0.25">
      <c r="A1405" s="1" t="str">
        <f>_xlfn.XLOOKUP(D1405,'Novo relatório'!B:B,'Novo relatório'!C:C,"RESOLVIDO")</f>
        <v>SABRE</v>
      </c>
      <c r="C1405" t="str">
        <f t="shared" si="42"/>
        <v>PENDENTE</v>
      </c>
      <c r="D1405" s="1">
        <v>3357367</v>
      </c>
      <c r="E1405" s="1" t="s">
        <v>26</v>
      </c>
      <c r="F1405" s="2">
        <v>45756.784722222219</v>
      </c>
      <c r="G1405" s="1" t="s">
        <v>2081</v>
      </c>
      <c r="H1405" s="1" t="s">
        <v>2081</v>
      </c>
      <c r="I1405" s="1" t="s">
        <v>83</v>
      </c>
      <c r="J1405" s="2">
        <v>45756.87777777778</v>
      </c>
      <c r="L1405" s="1" t="s">
        <v>18</v>
      </c>
      <c r="M1405" s="1" t="str">
        <f>_xlfn.XLOOKUP(I1405,Parâmetros!A:A,Parâmetros!B:B,_xlfn.XLOOKUP(Q1405,Parâmetros!F:F,Parâmetros!G:G,"NOVA MENSAGEM"))</f>
        <v>CLIENTE NÃO IDENTIFICADO</v>
      </c>
      <c r="N1405" s="1" t="str">
        <f>_xlfn.XLOOKUP(M1405,Parâmetros!K:K,Parâmetros!L:L,"")</f>
        <v>DK DE CLIENTE NÃO PREENCIDO / CLIENTE NÃO CONFIGURADO NO OBT</v>
      </c>
      <c r="O1405" s="1" t="str">
        <f>_xlfn.XLOOKUP(M1405,Parâmetros!B:B,Parâmetros!C:C,_xlfn.XLOOKUP(Base!M1519,Parâmetros!G:G,Parâmetros!H:H))</f>
        <v>INDEFINIDO</v>
      </c>
      <c r="P1405" s="1" t="str">
        <f>_xlfn.XLOOKUP(I1405,Parâmetros!A:A,Parâmetros!D:D,_xlfn.XLOOKUP(Q1405,Parâmetros!F:F,Parâmetros!I:I))</f>
        <v>OPERAÇÕES / SUPORTE KCS</v>
      </c>
      <c r="Q1405" s="1" t="str">
        <f t="shared" si="43"/>
        <v>COLUNA I</v>
      </c>
    </row>
    <row r="1406" spans="1:17" x14ac:dyDescent="0.25">
      <c r="A1406" s="1" t="str">
        <f>_xlfn.XLOOKUP(D1406,'Novo relatório'!B:B,'Novo relatório'!C:C,"RESOLVIDO")</f>
        <v>SABRE</v>
      </c>
      <c r="C1406" t="str">
        <f t="shared" si="42"/>
        <v>PENDENTE</v>
      </c>
      <c r="D1406" s="1">
        <v>3357584</v>
      </c>
      <c r="E1406" s="1" t="s">
        <v>26</v>
      </c>
      <c r="F1406" s="2">
        <v>45757.306250000001</v>
      </c>
      <c r="G1406" s="1" t="s">
        <v>1960</v>
      </c>
      <c r="H1406" s="1" t="s">
        <v>1961</v>
      </c>
      <c r="I1406" s="1" t="s">
        <v>393</v>
      </c>
      <c r="J1406" s="2">
        <v>45757.396527777775</v>
      </c>
      <c r="L1406" s="1" t="s">
        <v>19</v>
      </c>
      <c r="M1406" s="1" t="str">
        <f>_xlfn.XLOOKUP(I1406,Parâmetros!A:A,Parâmetros!B:B,_xlfn.XLOOKUP(Q1406,Parâmetros!F:F,Parâmetros!G:G,"NOVA MENSAGEM"))</f>
        <v>CONTRATO FORNECEDOR</v>
      </c>
      <c r="N1406" s="1" t="str">
        <f>_xlfn.XLOOKUP(M1406,Parâmetros!K:K,Parâmetros!L:L,"")</f>
        <v>CONTRATO INATIVO OU DIVERGENTE</v>
      </c>
      <c r="O1406" s="1" t="str">
        <f>_xlfn.XLOOKUP(M1406,Parâmetros!B:B,Parâmetros!C:C,_xlfn.XLOOKUP(Base!M1418,Parâmetros!G:G,Parâmetros!H:H))</f>
        <v>SISTEMA</v>
      </c>
      <c r="P1406" s="1" t="str">
        <f>_xlfn.XLOOKUP(I1406,Parâmetros!A:A,Parâmetros!D:D,_xlfn.XLOOKUP(Q1406,Parâmetros!F:F,Parâmetros!I:I))</f>
        <v>OPERAÇÕES / SUPORTE KCS</v>
      </c>
      <c r="Q1406" s="1">
        <f t="shared" si="43"/>
        <v>43</v>
      </c>
    </row>
    <row r="1407" spans="1:17" x14ac:dyDescent="0.25">
      <c r="A1407" s="1" t="str">
        <f>_xlfn.XLOOKUP(D1407,'Novo relatório'!B:B,'Novo relatório'!C:C,"RESOLVIDO")</f>
        <v>SABRE</v>
      </c>
      <c r="C1407" t="str">
        <f t="shared" si="42"/>
        <v>PENDENTE</v>
      </c>
      <c r="D1407" s="1">
        <v>3357858</v>
      </c>
      <c r="E1407" s="1" t="s">
        <v>26</v>
      </c>
      <c r="F1407" s="2">
        <v>45757.441666666666</v>
      </c>
      <c r="G1407" s="1" t="s">
        <v>2091</v>
      </c>
      <c r="H1407" s="1" t="s">
        <v>2092</v>
      </c>
      <c r="I1407" s="1" t="s">
        <v>393</v>
      </c>
      <c r="J1407" s="2">
        <v>45757.531944444447</v>
      </c>
      <c r="L1407" s="1" t="s">
        <v>19</v>
      </c>
      <c r="M1407" s="1" t="str">
        <f>_xlfn.XLOOKUP(I1407,Parâmetros!A:A,Parâmetros!B:B,_xlfn.XLOOKUP(Q1407,Parâmetros!F:F,Parâmetros!G:G,"NOVA MENSAGEM"))</f>
        <v>CONTRATO FORNECEDOR</v>
      </c>
      <c r="N1407" s="1" t="str">
        <f>_xlfn.XLOOKUP(M1407,Parâmetros!K:K,Parâmetros!L:L,"")</f>
        <v>CONTRATO INATIVO OU DIVERGENTE</v>
      </c>
      <c r="O1407" s="1" t="str">
        <f>_xlfn.XLOOKUP(M1407,Parâmetros!B:B,Parâmetros!C:C,_xlfn.XLOOKUP(Base!M1527,Parâmetros!G:G,Parâmetros!H:H))</f>
        <v>SISTEMA</v>
      </c>
      <c r="P1407" s="1" t="str">
        <f>_xlfn.XLOOKUP(I1407,Parâmetros!A:A,Parâmetros!D:D,_xlfn.XLOOKUP(Q1407,Parâmetros!F:F,Parâmetros!I:I))</f>
        <v>OPERAÇÕES / SUPORTE KCS</v>
      </c>
      <c r="Q1407" s="1">
        <f t="shared" si="43"/>
        <v>43</v>
      </c>
    </row>
    <row r="1408" spans="1:17" x14ac:dyDescent="0.25">
      <c r="A1408" s="1" t="str">
        <f>_xlfn.XLOOKUP(D1408,'Novo relatório'!B:B,'Novo relatório'!C:C,"RESOLVIDO")</f>
        <v>SABRE</v>
      </c>
      <c r="C1408" t="str">
        <f t="shared" si="42"/>
        <v>PENDENTE</v>
      </c>
      <c r="D1408" s="1">
        <v>3357887</v>
      </c>
      <c r="E1408" s="1" t="s">
        <v>26</v>
      </c>
      <c r="F1408" s="2">
        <v>45758.694444444445</v>
      </c>
      <c r="G1408" s="1" t="s">
        <v>1965</v>
      </c>
      <c r="H1408" s="1" t="s">
        <v>1965</v>
      </c>
      <c r="I1408" s="1" t="s">
        <v>83</v>
      </c>
      <c r="J1408" s="2">
        <v>45757.543749999997</v>
      </c>
      <c r="K1408" s="2">
        <v>45758.781944444447</v>
      </c>
      <c r="L1408" s="1" t="s">
        <v>18</v>
      </c>
      <c r="M1408" s="1" t="str">
        <f>_xlfn.XLOOKUP(I1408,Parâmetros!A:A,Parâmetros!B:B,_xlfn.XLOOKUP(Q1408,Parâmetros!F:F,Parâmetros!G:G,"NOVA MENSAGEM"))</f>
        <v>CLIENTE NÃO IDENTIFICADO</v>
      </c>
      <c r="N1408" s="1" t="str">
        <f>_xlfn.XLOOKUP(M1408,Parâmetros!K:K,Parâmetros!L:L,"")</f>
        <v>DK DE CLIENTE NÃO PREENCIDO / CLIENTE NÃO CONFIGURADO NO OBT</v>
      </c>
      <c r="O1408" s="1" t="str">
        <f>_xlfn.XLOOKUP(M1408,Parâmetros!B:B,Parâmetros!C:C,_xlfn.XLOOKUP(Base!M1422,Parâmetros!G:G,Parâmetros!H:H))</f>
        <v>INDEFINIDO</v>
      </c>
      <c r="P1408" s="1" t="str">
        <f>_xlfn.XLOOKUP(I1408,Parâmetros!A:A,Parâmetros!D:D,_xlfn.XLOOKUP(Q1408,Parâmetros!F:F,Parâmetros!I:I))</f>
        <v>OPERAÇÕES / SUPORTE KCS</v>
      </c>
      <c r="Q1408" s="1" t="str">
        <f t="shared" si="43"/>
        <v>COLUNA I</v>
      </c>
    </row>
    <row r="1409" spans="1:17" x14ac:dyDescent="0.25">
      <c r="A1409" s="1" t="str">
        <f>_xlfn.XLOOKUP(D1409,'Novo relatório'!B:B,'Novo relatório'!C:C,"RESOLVIDO")</f>
        <v>SABRE</v>
      </c>
      <c r="C1409" t="str">
        <f t="shared" si="42"/>
        <v>PENDENTE</v>
      </c>
      <c r="D1409" s="1">
        <v>3357913</v>
      </c>
      <c r="E1409" s="1" t="s">
        <v>26</v>
      </c>
      <c r="F1409" s="2">
        <v>45757.460416666669</v>
      </c>
      <c r="G1409" s="1" t="s">
        <v>2030</v>
      </c>
      <c r="H1409" s="1" t="s">
        <v>2030</v>
      </c>
      <c r="I1409" s="1" t="s">
        <v>273</v>
      </c>
      <c r="J1409" s="2">
        <v>45757.553472222222</v>
      </c>
      <c r="L1409" s="1" t="s">
        <v>1245</v>
      </c>
      <c r="M1409" s="1" t="str">
        <f>_xlfn.XLOOKUP(I1409,Parâmetros!A:A,Parâmetros!B:B,_xlfn.XLOOKUP(Q1409,Parâmetros!F:F,Parâmetros!G:G,"NOVA MENSAGEM"))</f>
        <v>VENDA CANCELADA</v>
      </c>
      <c r="N1409" s="1" t="str">
        <f>_xlfn.XLOOKUP(M1409,Parâmetros!K:K,Parâmetros!L:L,"")</f>
        <v>RESERVA CANCELADA NO OBT</v>
      </c>
      <c r="O1409" s="1" t="str">
        <f>_xlfn.XLOOKUP(M1409,Parâmetros!B:B,Parâmetros!C:C,_xlfn.XLOOKUP(Base!M1480,Parâmetros!G:G,Parâmetros!H:H))</f>
        <v>SISTEMA</v>
      </c>
      <c r="P1409" s="1" t="str">
        <f>_xlfn.XLOOKUP(I1409,Parâmetros!A:A,Parâmetros!D:D,_xlfn.XLOOKUP(Q1409,Parâmetros!F:F,Parâmetros!I:I))</f>
        <v>SUPORTE OBT</v>
      </c>
      <c r="Q1409" s="1" t="str">
        <f t="shared" si="43"/>
        <v>COLUNA I</v>
      </c>
    </row>
    <row r="1410" spans="1:17" x14ac:dyDescent="0.25">
      <c r="A1410" s="1" t="str">
        <f>_xlfn.XLOOKUP(D1410,'Novo relatório'!B:B,'Novo relatório'!C:C,"RESOLVIDO")</f>
        <v>SABRE</v>
      </c>
      <c r="C1410" t="str">
        <f t="shared" ref="C1410:C1473" si="44">IF(A1410="RESOLVIDO","RESOLVIDO",IF(B1410="","PENDENTE",IF(LEFT(B1410,7)="CHAMADO","AGUARDANDO FORNECEDOR",IF(B1410="CONTABILIZAR","CONTABILIZAR NO PORTAL"))))</f>
        <v>PENDENTE</v>
      </c>
      <c r="D1410" s="1">
        <v>3357933</v>
      </c>
      <c r="E1410" s="1" t="s">
        <v>26</v>
      </c>
      <c r="F1410" s="2">
        <v>45757.465277777781</v>
      </c>
      <c r="G1410" s="1" t="s">
        <v>2032</v>
      </c>
      <c r="H1410" s="1" t="s">
        <v>2032</v>
      </c>
      <c r="I1410" s="1" t="s">
        <v>754</v>
      </c>
      <c r="J1410" s="2">
        <v>45757.557638888888</v>
      </c>
      <c r="L1410" s="1" t="s">
        <v>18</v>
      </c>
      <c r="M1410" s="1" t="str">
        <f>_xlfn.XLOOKUP(I1410,Parâmetros!A:A,Parâmetros!B:B,_xlfn.XLOOKUP(Q1410,Parâmetros!F:F,Parâmetros!G:G,"NOVA MENSAGEM"))</f>
        <v>CÓD. CLIENTE DIVERGENTE</v>
      </c>
      <c r="N1410" s="1" t="str">
        <f>_xlfn.XLOOKUP(M1410,Parâmetros!K:K,Parâmetros!L:L,"")</f>
        <v>CÓDIGO DIFERENTE DO CADASTRADO NO BENNER (CLIENTE X GRUPO)</v>
      </c>
      <c r="O1410" s="1" t="str">
        <f>_xlfn.XLOOKUP(M1410,Parâmetros!B:B,Parâmetros!C:C,_xlfn.XLOOKUP(Base!M1482,Parâmetros!G:G,Parâmetros!H:H))</f>
        <v>QUALIDADE DOS DADOS</v>
      </c>
      <c r="P1410" s="1" t="str">
        <f>_xlfn.XLOOKUP(I1410,Parâmetros!A:A,Parâmetros!D:D,_xlfn.XLOOKUP(Q1410,Parâmetros!F:F,Parâmetros!I:I))</f>
        <v>SUPORTE OBT</v>
      </c>
      <c r="Q1410" s="1">
        <f t="shared" ref="Q1410:Q1473" si="45">IFERROR(FIND("Não foi possível localizar o contrato do fornecedor",I1410),IFERROR(FIND("veículo",I1410),IFERROR(FIND("agagem",I1410),IFERROR(FIND("error in XML document",I1410),IFERROR(FIND("Não localizado cliente código",I1410),IFERROR(FIND("lemontech",I1410),IFERROR(FIND("&gt;Fornecedor com o",I1410),IFERROR(FIND("INSERT",I1410),IFERROR(FIND("com CNPJ",I1410),IFERROR(FIND("Consultando Agente-&gt; O agente",I1410),IFERROR(FIND("Não foi possível determinar a validade do cartão, favor verificar os dados do cartão",I1410),"COLUNA I")))))))))))</f>
        <v>1</v>
      </c>
    </row>
    <row r="1411" spans="1:17" x14ac:dyDescent="0.25">
      <c r="A1411" s="1" t="str">
        <f>_xlfn.XLOOKUP(D1411,'Novo relatório'!B:B,'Novo relatório'!C:C,"RESOLVIDO")</f>
        <v>SABRE</v>
      </c>
      <c r="C1411" t="str">
        <f t="shared" si="44"/>
        <v>PENDENTE</v>
      </c>
      <c r="D1411" s="1">
        <v>3357934</v>
      </c>
      <c r="E1411" s="1" t="s">
        <v>26</v>
      </c>
      <c r="F1411" s="2">
        <v>45757.465277777781</v>
      </c>
      <c r="G1411" s="1" t="s">
        <v>2131</v>
      </c>
      <c r="H1411" s="1" t="s">
        <v>2131</v>
      </c>
      <c r="I1411" s="1" t="s">
        <v>754</v>
      </c>
      <c r="J1411" s="2">
        <v>45757.557638888888</v>
      </c>
      <c r="L1411" s="1" t="s">
        <v>18</v>
      </c>
      <c r="M1411" s="1" t="str">
        <f>_xlfn.XLOOKUP(I1411,Parâmetros!A:A,Parâmetros!B:B,_xlfn.XLOOKUP(Q1411,Parâmetros!F:F,Parâmetros!G:G,"NOVA MENSAGEM"))</f>
        <v>CÓD. CLIENTE DIVERGENTE</v>
      </c>
      <c r="N1411" s="1" t="str">
        <f>_xlfn.XLOOKUP(M1411,Parâmetros!K:K,Parâmetros!L:L,"")</f>
        <v>CÓDIGO DIFERENTE DO CADASTRADO NO BENNER (CLIENTE X GRUPO)</v>
      </c>
      <c r="O1411" s="1" t="str">
        <f>_xlfn.XLOOKUP(M1411,Parâmetros!B:B,Parâmetros!C:C,_xlfn.XLOOKUP(Base!M1561,Parâmetros!G:G,Parâmetros!H:H))</f>
        <v>QUALIDADE DOS DADOS</v>
      </c>
      <c r="P1411" s="1" t="str">
        <f>_xlfn.XLOOKUP(I1411,Parâmetros!A:A,Parâmetros!D:D,_xlfn.XLOOKUP(Q1411,Parâmetros!F:F,Parâmetros!I:I))</f>
        <v>SUPORTE OBT</v>
      </c>
      <c r="Q1411" s="1">
        <f t="shared" si="45"/>
        <v>1</v>
      </c>
    </row>
    <row r="1412" spans="1:17" x14ac:dyDescent="0.25">
      <c r="A1412" s="1" t="str">
        <f>_xlfn.XLOOKUP(D1412,'Novo relatório'!B:B,'Novo relatório'!C:C,"RESOLVIDO")</f>
        <v>SABRE</v>
      </c>
      <c r="C1412" t="str">
        <f t="shared" si="44"/>
        <v>PENDENTE</v>
      </c>
      <c r="D1412" s="1">
        <v>3358225</v>
      </c>
      <c r="E1412" s="1" t="s">
        <v>26</v>
      </c>
      <c r="F1412" s="2">
        <v>45757.520138888889</v>
      </c>
      <c r="G1412" s="1" t="s">
        <v>1938</v>
      </c>
      <c r="H1412" s="1" t="s">
        <v>1938</v>
      </c>
      <c r="I1412" s="1" t="s">
        <v>83</v>
      </c>
      <c r="J1412" s="2">
        <v>45757.607638888891</v>
      </c>
      <c r="L1412" s="1" t="s">
        <v>18</v>
      </c>
      <c r="M1412" s="1" t="str">
        <f>_xlfn.XLOOKUP(I1412,Parâmetros!A:A,Parâmetros!B:B,_xlfn.XLOOKUP(Q1412,Parâmetros!F:F,Parâmetros!G:G,"NOVA MENSAGEM"))</f>
        <v>CLIENTE NÃO IDENTIFICADO</v>
      </c>
      <c r="N1412" s="1" t="str">
        <f>_xlfn.XLOOKUP(M1412,Parâmetros!K:K,Parâmetros!L:L,"")</f>
        <v>DK DE CLIENTE NÃO PREENCIDO / CLIENTE NÃO CONFIGURADO NO OBT</v>
      </c>
      <c r="O1412" s="1" t="str">
        <f>_xlfn.XLOOKUP(M1412,Parâmetros!B:B,Parâmetros!C:C,_xlfn.XLOOKUP(Base!M1397,Parâmetros!G:G,Parâmetros!H:H))</f>
        <v>INDEFINIDO</v>
      </c>
      <c r="P1412" s="1" t="str">
        <f>_xlfn.XLOOKUP(I1412,Parâmetros!A:A,Parâmetros!D:D,_xlfn.XLOOKUP(Q1412,Parâmetros!F:F,Parâmetros!I:I))</f>
        <v>OPERAÇÕES / SUPORTE KCS</v>
      </c>
      <c r="Q1412" s="1" t="str">
        <f t="shared" si="45"/>
        <v>COLUNA I</v>
      </c>
    </row>
    <row r="1413" spans="1:17" x14ac:dyDescent="0.25">
      <c r="A1413" s="1" t="str">
        <f>_xlfn.XLOOKUP(D1413,'Novo relatório'!B:B,'Novo relatório'!C:C,"RESOLVIDO")</f>
        <v>SABRE</v>
      </c>
      <c r="C1413" t="str">
        <f t="shared" si="44"/>
        <v>PENDENTE</v>
      </c>
      <c r="D1413" s="1">
        <v>3358715</v>
      </c>
      <c r="E1413" s="1" t="s">
        <v>26</v>
      </c>
      <c r="F1413" s="2">
        <v>45757.588194444441</v>
      </c>
      <c r="G1413" s="1" t="s">
        <v>2017</v>
      </c>
      <c r="H1413" s="1" t="s">
        <v>2017</v>
      </c>
      <c r="I1413" s="1" t="s">
        <v>396</v>
      </c>
      <c r="J1413" s="2">
        <v>45757.679166666669</v>
      </c>
      <c r="L1413" s="1" t="s">
        <v>18</v>
      </c>
      <c r="M1413" s="1" t="str">
        <f>_xlfn.XLOOKUP(I1413,Parâmetros!A:A,Parâmetros!B:B,_xlfn.XLOOKUP(Q1413,Parâmetros!F:F,Parâmetros!G:G,"NOVA MENSAGEM"))</f>
        <v>CÓD. CLIENTE DIVERGENTE</v>
      </c>
      <c r="N1413" s="1" t="str">
        <f>_xlfn.XLOOKUP(M1413,Parâmetros!K:K,Parâmetros!L:L,"")</f>
        <v>CÓDIGO DIFERENTE DO CADASTRADO NO BENNER (CLIENTE X GRUPO)</v>
      </c>
      <c r="O1413" s="1" t="str">
        <f>_xlfn.XLOOKUP(M1413,Parâmetros!B:B,Parâmetros!C:C,_xlfn.XLOOKUP(Base!M1468,Parâmetros!G:G,Parâmetros!H:H))</f>
        <v>QUALIDADE DOS DADOS</v>
      </c>
      <c r="P1413" s="1" t="str">
        <f>_xlfn.XLOOKUP(I1413,Parâmetros!A:A,Parâmetros!D:D,_xlfn.XLOOKUP(Q1413,Parâmetros!F:F,Parâmetros!I:I))</f>
        <v>SUPORTE OBT</v>
      </c>
      <c r="Q1413" s="1">
        <f t="shared" si="45"/>
        <v>1</v>
      </c>
    </row>
    <row r="1414" spans="1:17" x14ac:dyDescent="0.25">
      <c r="A1414" s="1" t="str">
        <f>_xlfn.XLOOKUP(D1414,'Novo relatório'!B:B,'Novo relatório'!C:C,"RESOLVIDO")</f>
        <v>SABRE</v>
      </c>
      <c r="C1414" t="str">
        <f t="shared" si="44"/>
        <v>PENDENTE</v>
      </c>
      <c r="D1414" s="1">
        <v>3358719</v>
      </c>
      <c r="E1414" s="1" t="s">
        <v>26</v>
      </c>
      <c r="F1414" s="2">
        <v>45757.588194444441</v>
      </c>
      <c r="G1414" s="1" t="s">
        <v>1981</v>
      </c>
      <c r="H1414" s="1" t="s">
        <v>1981</v>
      </c>
      <c r="I1414" s="1" t="s">
        <v>83</v>
      </c>
      <c r="J1414" s="2">
        <v>45757.679861111108</v>
      </c>
      <c r="L1414" s="1" t="s">
        <v>18</v>
      </c>
      <c r="M1414" s="1" t="str">
        <f>_xlfn.XLOOKUP(I1414,Parâmetros!A:A,Parâmetros!B:B,_xlfn.XLOOKUP(Q1414,Parâmetros!F:F,Parâmetros!G:G,"NOVA MENSAGEM"))</f>
        <v>CLIENTE NÃO IDENTIFICADO</v>
      </c>
      <c r="N1414" s="1" t="str">
        <f>_xlfn.XLOOKUP(M1414,Parâmetros!K:K,Parâmetros!L:L,"")</f>
        <v>DK DE CLIENTE NÃO PREENCIDO / CLIENTE NÃO CONFIGURADO NO OBT</v>
      </c>
      <c r="O1414" s="1" t="str">
        <f>_xlfn.XLOOKUP(M1414,Parâmetros!B:B,Parâmetros!C:C,_xlfn.XLOOKUP(Base!M1437,Parâmetros!G:G,Parâmetros!H:H))</f>
        <v>INDEFINIDO</v>
      </c>
      <c r="P1414" s="1" t="str">
        <f>_xlfn.XLOOKUP(I1414,Parâmetros!A:A,Parâmetros!D:D,_xlfn.XLOOKUP(Q1414,Parâmetros!F:F,Parâmetros!I:I))</f>
        <v>OPERAÇÕES / SUPORTE KCS</v>
      </c>
      <c r="Q1414" s="1" t="str">
        <f t="shared" si="45"/>
        <v>COLUNA I</v>
      </c>
    </row>
    <row r="1415" spans="1:17" x14ac:dyDescent="0.25">
      <c r="A1415" s="1" t="str">
        <f>_xlfn.XLOOKUP(D1415,'Novo relatório'!B:B,'Novo relatório'!C:C,"RESOLVIDO")</f>
        <v>SABRE</v>
      </c>
      <c r="C1415" t="str">
        <f t="shared" si="44"/>
        <v>PENDENTE</v>
      </c>
      <c r="D1415" s="1">
        <v>3359015</v>
      </c>
      <c r="E1415" s="1" t="s">
        <v>26</v>
      </c>
      <c r="F1415" s="2">
        <v>45757.686111111114</v>
      </c>
      <c r="G1415" s="1" t="s">
        <v>2035</v>
      </c>
      <c r="H1415" s="1" t="s">
        <v>2035</v>
      </c>
      <c r="I1415" s="1" t="s">
        <v>620</v>
      </c>
      <c r="J1415" s="2">
        <v>45757.773611111108</v>
      </c>
      <c r="L1415" s="1" t="s">
        <v>18</v>
      </c>
      <c r="M1415" s="1" t="str">
        <f>_xlfn.XLOOKUP(I1415,Parâmetros!A:A,Parâmetros!B:B,_xlfn.XLOOKUP(Q1415,Parâmetros!F:F,Parâmetros!G:G,"NOVA MENSAGEM"))</f>
        <v>CÓD. CLIENTE DIVERGENTE</v>
      </c>
      <c r="N1415" s="1" t="str">
        <f>_xlfn.XLOOKUP(M1415,Parâmetros!K:K,Parâmetros!L:L,"")</f>
        <v>CÓDIGO DIFERENTE DO CADASTRADO NO BENNER (CLIENTE X GRUPO)</v>
      </c>
      <c r="O1415" s="1" t="str">
        <f>_xlfn.XLOOKUP(M1415,Parâmetros!B:B,Parâmetros!C:C,_xlfn.XLOOKUP(Base!M1485,Parâmetros!G:G,Parâmetros!H:H))</f>
        <v>QUALIDADE DOS DADOS</v>
      </c>
      <c r="P1415" s="1" t="str">
        <f>_xlfn.XLOOKUP(I1415,Parâmetros!A:A,Parâmetros!D:D,_xlfn.XLOOKUP(Q1415,Parâmetros!F:F,Parâmetros!I:I))</f>
        <v>SUPORTE OBT</v>
      </c>
      <c r="Q1415" s="1">
        <f t="shared" si="45"/>
        <v>1</v>
      </c>
    </row>
    <row r="1416" spans="1:17" x14ac:dyDescent="0.25">
      <c r="A1416" s="1" t="str">
        <f>_xlfn.XLOOKUP(D1416,'Novo relatório'!B:B,'Novo relatório'!C:C,"RESOLVIDO")</f>
        <v>SABRE</v>
      </c>
      <c r="C1416" t="str">
        <f t="shared" si="44"/>
        <v>PENDENTE</v>
      </c>
      <c r="D1416" s="1">
        <v>3359018</v>
      </c>
      <c r="E1416" s="1" t="s">
        <v>26</v>
      </c>
      <c r="F1416" s="2">
        <v>45758.561805555553</v>
      </c>
      <c r="G1416" s="1" t="s">
        <v>1998</v>
      </c>
      <c r="H1416" s="1" t="s">
        <v>1998</v>
      </c>
      <c r="I1416" s="1" t="s">
        <v>1131</v>
      </c>
      <c r="J1416" s="2">
        <v>45757.775694444441</v>
      </c>
      <c r="K1416" s="2">
        <v>45758.647222222222</v>
      </c>
      <c r="L1416" s="1" t="s">
        <v>18</v>
      </c>
      <c r="M1416" s="1" t="str">
        <f>_xlfn.XLOOKUP(I1416,Parâmetros!A:A,Parâmetros!B:B,_xlfn.XLOOKUP(Q1416,Parâmetros!F:F,Parâmetros!G:G,"NOVA MENSAGEM"))</f>
        <v>REMARK - CNPJ</v>
      </c>
      <c r="N1416" s="1" t="str">
        <f>_xlfn.XLOOKUP(M1416,Parâmetros!K:K,Parâmetros!L:L,"")</f>
        <v/>
      </c>
      <c r="O1416" s="1" t="str">
        <f>_xlfn.XLOOKUP(M1416,Parâmetros!B:B,Parâmetros!C:C,_xlfn.XLOOKUP(Base!M1452,Parâmetros!G:G,Parâmetros!H:H))</f>
        <v>QUALIDADE DOS DADOS</v>
      </c>
      <c r="P1416" s="1" t="str">
        <f>_xlfn.XLOOKUP(I1416,Parâmetros!A:A,Parâmetros!D:D,_xlfn.XLOOKUP(Q1416,Parâmetros!F:F,Parâmetros!I:I))</f>
        <v>OPERAÇÕES / SUPORTE KCS</v>
      </c>
      <c r="Q1416" s="1">
        <f t="shared" si="45"/>
        <v>24</v>
      </c>
    </row>
    <row r="1417" spans="1:17" x14ac:dyDescent="0.25">
      <c r="A1417" s="1" t="str">
        <f>_xlfn.XLOOKUP(D1417,'Novo relatório'!B:B,'Novo relatório'!C:C,"RESOLVIDO")</f>
        <v>SABRE</v>
      </c>
      <c r="C1417" t="str">
        <f t="shared" si="44"/>
        <v>PENDENTE</v>
      </c>
      <c r="D1417" s="1">
        <v>3359377</v>
      </c>
      <c r="E1417" s="1" t="s">
        <v>26</v>
      </c>
      <c r="F1417" s="2">
        <v>45758.536111111112</v>
      </c>
      <c r="G1417" s="1" t="s">
        <v>1982</v>
      </c>
      <c r="H1417" s="1" t="s">
        <v>1982</v>
      </c>
      <c r="I1417" s="1" t="s">
        <v>1131</v>
      </c>
      <c r="J1417" s="2">
        <v>45757.845138888886</v>
      </c>
      <c r="K1417" s="2">
        <v>45758.626388888886</v>
      </c>
      <c r="L1417" s="1" t="s">
        <v>18</v>
      </c>
      <c r="M1417" s="1" t="str">
        <f>_xlfn.XLOOKUP(I1417,Parâmetros!A:A,Parâmetros!B:B,_xlfn.XLOOKUP(Q1417,Parâmetros!F:F,Parâmetros!G:G,"NOVA MENSAGEM"))</f>
        <v>REMARK - CNPJ</v>
      </c>
      <c r="N1417" s="1" t="str">
        <f>_xlfn.XLOOKUP(M1417,Parâmetros!K:K,Parâmetros!L:L,"")</f>
        <v/>
      </c>
      <c r="O1417" s="1" t="str">
        <f>_xlfn.XLOOKUP(M1417,Parâmetros!B:B,Parâmetros!C:C,_xlfn.XLOOKUP(Base!M1438,Parâmetros!G:G,Parâmetros!H:H))</f>
        <v>QUALIDADE DOS DADOS</v>
      </c>
      <c r="P1417" s="1" t="str">
        <f>_xlfn.XLOOKUP(I1417,Parâmetros!A:A,Parâmetros!D:D,_xlfn.XLOOKUP(Q1417,Parâmetros!F:F,Parâmetros!I:I))</f>
        <v>OPERAÇÕES / SUPORTE KCS</v>
      </c>
      <c r="Q1417" s="1">
        <f t="shared" si="45"/>
        <v>24</v>
      </c>
    </row>
    <row r="1418" spans="1:17" x14ac:dyDescent="0.25">
      <c r="A1418" s="1" t="str">
        <f>_xlfn.XLOOKUP(D1418,'Novo relatório'!B:B,'Novo relatório'!C:C,"RESOLVIDO")</f>
        <v>SABRE</v>
      </c>
      <c r="C1418" t="str">
        <f t="shared" si="44"/>
        <v>PENDENTE</v>
      </c>
      <c r="D1418" s="1">
        <v>3359391</v>
      </c>
      <c r="E1418" s="1" t="s">
        <v>26</v>
      </c>
      <c r="F1418" s="2">
        <v>45757.752083333333</v>
      </c>
      <c r="G1418" s="1" t="s">
        <v>2007</v>
      </c>
      <c r="H1418" s="1" t="s">
        <v>2007</v>
      </c>
      <c r="I1418" s="1" t="s">
        <v>671</v>
      </c>
      <c r="J1418" s="2">
        <v>45757.845833333333</v>
      </c>
      <c r="L1418" s="1" t="s">
        <v>18</v>
      </c>
      <c r="M1418" s="1" t="str">
        <f>_xlfn.XLOOKUP(I1418,Parâmetros!A:A,Parâmetros!B:B,_xlfn.XLOOKUP(Q1418,Parâmetros!F:F,Parâmetros!G:G,"NOVA MENSAGEM"))</f>
        <v>CÓD. CLIENTE DIVERGENTE</v>
      </c>
      <c r="N1418" s="1" t="str">
        <f>_xlfn.XLOOKUP(M1418,Parâmetros!K:K,Parâmetros!L:L,"")</f>
        <v>CÓDIGO DIFERENTE DO CADASTRADO NO BENNER (CLIENTE X GRUPO)</v>
      </c>
      <c r="O1418" s="1" t="str">
        <f>_xlfn.XLOOKUP(M1418,Parâmetros!B:B,Parâmetros!C:C,_xlfn.XLOOKUP(Base!M1460,Parâmetros!G:G,Parâmetros!H:H))</f>
        <v>QUALIDADE DOS DADOS</v>
      </c>
      <c r="P1418" s="1" t="str">
        <f>_xlfn.XLOOKUP(I1418,Parâmetros!A:A,Parâmetros!D:D,_xlfn.XLOOKUP(Q1418,Parâmetros!F:F,Parâmetros!I:I))</f>
        <v>SUPORTE OBT</v>
      </c>
      <c r="Q1418" s="1">
        <f t="shared" si="45"/>
        <v>1</v>
      </c>
    </row>
    <row r="1419" spans="1:17" x14ac:dyDescent="0.25">
      <c r="A1419" s="1" t="str">
        <f>_xlfn.XLOOKUP(D1419,'Novo relatório'!B:B,'Novo relatório'!C:C,"RESOLVIDO")</f>
        <v>SABRE</v>
      </c>
      <c r="C1419" t="str">
        <f t="shared" si="44"/>
        <v>PENDENTE</v>
      </c>
      <c r="D1419" s="1">
        <v>3359399</v>
      </c>
      <c r="E1419" s="1" t="s">
        <v>26</v>
      </c>
      <c r="F1419" s="2">
        <v>45757.752083333333</v>
      </c>
      <c r="G1419" s="1" t="s">
        <v>2129</v>
      </c>
      <c r="H1419" s="1" t="s">
        <v>2129</v>
      </c>
      <c r="I1419" s="1" t="s">
        <v>1974</v>
      </c>
      <c r="J1419" s="2">
        <v>45757.845833333333</v>
      </c>
      <c r="L1419" s="1" t="s">
        <v>18</v>
      </c>
      <c r="M1419" s="1" t="str">
        <f>_xlfn.XLOOKUP(I1419,Parâmetros!A:A,Parâmetros!B:B,_xlfn.XLOOKUP(Q1419,Parâmetros!F:F,Parâmetros!G:G,"NOVA MENSAGEM"))</f>
        <v>CÓD. CLIENTE DIVERGENTE</v>
      </c>
      <c r="N1419" s="1" t="str">
        <f>_xlfn.XLOOKUP(M1419,Parâmetros!K:K,Parâmetros!L:L,"")</f>
        <v>CÓDIGO DIFERENTE DO CADASTRADO NO BENNER (CLIENTE X GRUPO)</v>
      </c>
      <c r="O1419" s="1" t="str">
        <f>_xlfn.XLOOKUP(M1419,Parâmetros!B:B,Parâmetros!C:C,_xlfn.XLOOKUP(Base!M1559,Parâmetros!G:G,Parâmetros!H:H))</f>
        <v>QUALIDADE DOS DADOS</v>
      </c>
      <c r="P1419" s="1" t="str">
        <f>_xlfn.XLOOKUP(I1419,Parâmetros!A:A,Parâmetros!D:D,_xlfn.XLOOKUP(Q1419,Parâmetros!F:F,Parâmetros!I:I))</f>
        <v>SUPORTE OBT</v>
      </c>
      <c r="Q1419" s="1">
        <f t="shared" si="45"/>
        <v>1</v>
      </c>
    </row>
    <row r="1420" spans="1:17" x14ac:dyDescent="0.25">
      <c r="A1420" s="1" t="str">
        <f>_xlfn.XLOOKUP(D1420,'Novo relatório'!B:B,'Novo relatório'!C:C,"RESOLVIDO")</f>
        <v>SABRE</v>
      </c>
      <c r="C1420" t="str">
        <f t="shared" si="44"/>
        <v>PENDENTE</v>
      </c>
      <c r="D1420" s="1">
        <v>3359402</v>
      </c>
      <c r="E1420" s="1" t="s">
        <v>26</v>
      </c>
      <c r="F1420" s="2">
        <v>45757.752083333333</v>
      </c>
      <c r="G1420" s="1" t="s">
        <v>2101</v>
      </c>
      <c r="H1420" s="1" t="s">
        <v>2101</v>
      </c>
      <c r="I1420" s="1" t="s">
        <v>396</v>
      </c>
      <c r="J1420" s="2">
        <v>45757.845833333333</v>
      </c>
      <c r="L1420" s="1" t="s">
        <v>18</v>
      </c>
      <c r="M1420" s="1" t="str">
        <f>_xlfn.XLOOKUP(I1420,Parâmetros!A:A,Parâmetros!B:B,_xlfn.XLOOKUP(Q1420,Parâmetros!F:F,Parâmetros!G:G,"NOVA MENSAGEM"))</f>
        <v>CÓD. CLIENTE DIVERGENTE</v>
      </c>
      <c r="N1420" s="1" t="str">
        <f>_xlfn.XLOOKUP(M1420,Parâmetros!K:K,Parâmetros!L:L,"")</f>
        <v>CÓDIGO DIFERENTE DO CADASTRADO NO BENNER (CLIENTE X GRUPO)</v>
      </c>
      <c r="O1420" s="1" t="str">
        <f>_xlfn.XLOOKUP(M1420,Parâmetros!B:B,Parâmetros!C:C,_xlfn.XLOOKUP(Base!M1534,Parâmetros!G:G,Parâmetros!H:H))</f>
        <v>QUALIDADE DOS DADOS</v>
      </c>
      <c r="P1420" s="1" t="str">
        <f>_xlfn.XLOOKUP(I1420,Parâmetros!A:A,Parâmetros!D:D,_xlfn.XLOOKUP(Q1420,Parâmetros!F:F,Parâmetros!I:I))</f>
        <v>SUPORTE OBT</v>
      </c>
      <c r="Q1420" s="1">
        <f t="shared" si="45"/>
        <v>1</v>
      </c>
    </row>
    <row r="1421" spans="1:17" x14ac:dyDescent="0.25">
      <c r="A1421" s="1" t="str">
        <f>_xlfn.XLOOKUP(D1421,'Novo relatório'!B:B,'Novo relatório'!C:C,"RESOLVIDO")</f>
        <v>SABRE</v>
      </c>
      <c r="C1421" t="str">
        <f t="shared" si="44"/>
        <v>PENDENTE</v>
      </c>
      <c r="D1421" s="1">
        <v>3359403</v>
      </c>
      <c r="E1421" s="1" t="s">
        <v>26</v>
      </c>
      <c r="F1421" s="2">
        <v>45757.752083333333</v>
      </c>
      <c r="G1421" s="1" t="s">
        <v>2031</v>
      </c>
      <c r="H1421" s="1" t="s">
        <v>2031</v>
      </c>
      <c r="I1421" s="1" t="s">
        <v>83</v>
      </c>
      <c r="J1421" s="2">
        <v>45757.845833333333</v>
      </c>
      <c r="L1421" s="1" t="s">
        <v>18</v>
      </c>
      <c r="M1421" s="1" t="str">
        <f>_xlfn.XLOOKUP(I1421,Parâmetros!A:A,Parâmetros!B:B,_xlfn.XLOOKUP(Q1421,Parâmetros!F:F,Parâmetros!G:G,"NOVA MENSAGEM"))</f>
        <v>CLIENTE NÃO IDENTIFICADO</v>
      </c>
      <c r="N1421" s="1" t="str">
        <f>_xlfn.XLOOKUP(M1421,Parâmetros!K:K,Parâmetros!L:L,"")</f>
        <v>DK DE CLIENTE NÃO PREENCIDO / CLIENTE NÃO CONFIGURADO NO OBT</v>
      </c>
      <c r="O1421" s="1" t="str">
        <f>_xlfn.XLOOKUP(M1421,Parâmetros!B:B,Parâmetros!C:C,_xlfn.XLOOKUP(Base!M1481,Parâmetros!G:G,Parâmetros!H:H))</f>
        <v>INDEFINIDO</v>
      </c>
      <c r="P1421" s="1" t="str">
        <f>_xlfn.XLOOKUP(I1421,Parâmetros!A:A,Parâmetros!D:D,_xlfn.XLOOKUP(Q1421,Parâmetros!F:F,Parâmetros!I:I))</f>
        <v>OPERAÇÕES / SUPORTE KCS</v>
      </c>
      <c r="Q1421" s="1" t="str">
        <f t="shared" si="45"/>
        <v>COLUNA I</v>
      </c>
    </row>
    <row r="1422" spans="1:17" x14ac:dyDescent="0.25">
      <c r="A1422" s="1" t="str">
        <f>_xlfn.XLOOKUP(D1422,'Novo relatório'!B:B,'Novo relatório'!C:C,"RESOLVIDO")</f>
        <v>SABRE</v>
      </c>
      <c r="C1422" t="str">
        <f t="shared" si="44"/>
        <v>PENDENTE</v>
      </c>
      <c r="D1422" s="1">
        <v>3359775</v>
      </c>
      <c r="E1422" s="1" t="s">
        <v>26</v>
      </c>
      <c r="F1422" s="2">
        <v>45757.811805555553</v>
      </c>
      <c r="G1422" s="1" t="s">
        <v>2001</v>
      </c>
      <c r="H1422" s="1" t="s">
        <v>2001</v>
      </c>
      <c r="I1422" s="1" t="s">
        <v>410</v>
      </c>
      <c r="J1422" s="2">
        <v>45757.896527777775</v>
      </c>
      <c r="L1422" s="1" t="s">
        <v>18</v>
      </c>
      <c r="M1422" s="1" t="str">
        <f>_xlfn.XLOOKUP(I1422,Parâmetros!A:A,Parâmetros!B:B,_xlfn.XLOOKUP(Q1422,Parâmetros!F:F,Parâmetros!G:G,"NOVA MENSAGEM"))</f>
        <v>CÓD. CLIENTE DIVERGENTE</v>
      </c>
      <c r="N1422" s="1" t="str">
        <f>_xlfn.XLOOKUP(M1422,Parâmetros!K:K,Parâmetros!L:L,"")</f>
        <v>CÓDIGO DIFERENTE DO CADASTRADO NO BENNER (CLIENTE X GRUPO)</v>
      </c>
      <c r="O1422" s="1" t="str">
        <f>_xlfn.XLOOKUP(M1422,Parâmetros!B:B,Parâmetros!C:C,_xlfn.XLOOKUP(Base!M1454,Parâmetros!G:G,Parâmetros!H:H))</f>
        <v>QUALIDADE DOS DADOS</v>
      </c>
      <c r="P1422" s="1" t="str">
        <f>_xlfn.XLOOKUP(I1422,Parâmetros!A:A,Parâmetros!D:D,_xlfn.XLOOKUP(Q1422,Parâmetros!F:F,Parâmetros!I:I))</f>
        <v>SUPORTE OBT</v>
      </c>
      <c r="Q1422" s="1">
        <f t="shared" si="45"/>
        <v>1</v>
      </c>
    </row>
    <row r="1423" spans="1:17" x14ac:dyDescent="0.25">
      <c r="A1423" s="1" t="str">
        <f>_xlfn.XLOOKUP(D1423,'Novo relatório'!B:B,'Novo relatório'!C:C,"RESOLVIDO")</f>
        <v>SABRE</v>
      </c>
      <c r="C1423" t="str">
        <f t="shared" si="44"/>
        <v>PENDENTE</v>
      </c>
      <c r="D1423" s="1">
        <v>3360301</v>
      </c>
      <c r="E1423" s="1" t="s">
        <v>26</v>
      </c>
      <c r="F1423" s="2">
        <v>45758.461111111108</v>
      </c>
      <c r="G1423" s="1" t="s">
        <v>2006</v>
      </c>
      <c r="H1423" s="1" t="s">
        <v>2006</v>
      </c>
      <c r="I1423" s="1" t="s">
        <v>754</v>
      </c>
      <c r="J1423" s="2">
        <v>45758.547222222223</v>
      </c>
      <c r="L1423" s="1" t="s">
        <v>18</v>
      </c>
      <c r="M1423" s="1" t="str">
        <f>_xlfn.XLOOKUP(I1423,Parâmetros!A:A,Parâmetros!B:B,_xlfn.XLOOKUP(Q1423,Parâmetros!F:F,Parâmetros!G:G,"NOVA MENSAGEM"))</f>
        <v>CÓD. CLIENTE DIVERGENTE</v>
      </c>
      <c r="N1423" s="1" t="str">
        <f>_xlfn.XLOOKUP(M1423,Parâmetros!K:K,Parâmetros!L:L,"")</f>
        <v>CÓDIGO DIFERENTE DO CADASTRADO NO BENNER (CLIENTE X GRUPO)</v>
      </c>
      <c r="O1423" s="1" t="str">
        <f>_xlfn.XLOOKUP(M1423,Parâmetros!B:B,Parâmetros!C:C,_xlfn.XLOOKUP(Base!M1459,Parâmetros!G:G,Parâmetros!H:H))</f>
        <v>QUALIDADE DOS DADOS</v>
      </c>
      <c r="P1423" s="1" t="str">
        <f>_xlfn.XLOOKUP(I1423,Parâmetros!A:A,Parâmetros!D:D,_xlfn.XLOOKUP(Q1423,Parâmetros!F:F,Parâmetros!I:I))</f>
        <v>SUPORTE OBT</v>
      </c>
      <c r="Q1423" s="1">
        <f t="shared" si="45"/>
        <v>1</v>
      </c>
    </row>
    <row r="1424" spans="1:17" x14ac:dyDescent="0.25">
      <c r="A1424" s="1" t="str">
        <f>_xlfn.XLOOKUP(D1424,'Novo relatório'!B:B,'Novo relatório'!C:C,"RESOLVIDO")</f>
        <v>SABRE</v>
      </c>
      <c r="C1424" t="str">
        <f t="shared" si="44"/>
        <v>PENDENTE</v>
      </c>
      <c r="D1424" s="1">
        <v>3360302</v>
      </c>
      <c r="E1424" s="1" t="s">
        <v>26</v>
      </c>
      <c r="F1424" s="2">
        <v>45758.461805555555</v>
      </c>
      <c r="G1424" s="1" t="s">
        <v>2023</v>
      </c>
      <c r="H1424" s="1" t="s">
        <v>2023</v>
      </c>
      <c r="I1424" s="1" t="s">
        <v>754</v>
      </c>
      <c r="J1424" s="2">
        <v>45758.547222222223</v>
      </c>
      <c r="L1424" s="1" t="s">
        <v>18</v>
      </c>
      <c r="M1424" s="1" t="str">
        <f>_xlfn.XLOOKUP(I1424,Parâmetros!A:A,Parâmetros!B:B,_xlfn.XLOOKUP(Q1424,Parâmetros!F:F,Parâmetros!G:G,"NOVA MENSAGEM"))</f>
        <v>CÓD. CLIENTE DIVERGENTE</v>
      </c>
      <c r="N1424" s="1" t="str">
        <f>_xlfn.XLOOKUP(M1424,Parâmetros!K:K,Parâmetros!L:L,"")</f>
        <v>CÓDIGO DIFERENTE DO CADASTRADO NO BENNER (CLIENTE X GRUPO)</v>
      </c>
      <c r="O1424" s="1" t="str">
        <f>_xlfn.XLOOKUP(M1424,Parâmetros!B:B,Parâmetros!C:C,_xlfn.XLOOKUP(Base!M1473,Parâmetros!G:G,Parâmetros!H:H))</f>
        <v>QUALIDADE DOS DADOS</v>
      </c>
      <c r="P1424" s="1" t="str">
        <f>_xlfn.XLOOKUP(I1424,Parâmetros!A:A,Parâmetros!D:D,_xlfn.XLOOKUP(Q1424,Parâmetros!F:F,Parâmetros!I:I))</f>
        <v>SUPORTE OBT</v>
      </c>
      <c r="Q1424" s="1">
        <f t="shared" si="45"/>
        <v>1</v>
      </c>
    </row>
    <row r="1425" spans="1:17" x14ac:dyDescent="0.25">
      <c r="A1425" s="1" t="str">
        <f>_xlfn.XLOOKUP(D1425,'Novo relatório'!B:B,'Novo relatório'!C:C,"RESOLVIDO")</f>
        <v>TMS</v>
      </c>
      <c r="C1425" t="str">
        <f t="shared" si="44"/>
        <v>PENDENTE</v>
      </c>
      <c r="D1425" s="1">
        <v>3360381</v>
      </c>
      <c r="E1425" s="1" t="s">
        <v>12</v>
      </c>
      <c r="F1425" s="2">
        <v>45758.535416666666</v>
      </c>
      <c r="G1425" s="1">
        <v>61989</v>
      </c>
      <c r="H1425" s="1">
        <v>61989</v>
      </c>
      <c r="I1425" s="1" t="s">
        <v>82</v>
      </c>
      <c r="J1425" s="2">
        <v>45758.581944444442</v>
      </c>
      <c r="K1425" s="2">
        <v>45761.880555555559</v>
      </c>
      <c r="L1425" s="1" t="s">
        <v>14</v>
      </c>
      <c r="M1425" s="1" t="str">
        <f>_xlfn.XLOOKUP(I1425,Parâmetros!A:A,Parâmetros!B:B,_xlfn.XLOOKUP(Q1425,Parâmetros!F:F,Parâmetros!G:G,"NOVA MENSAGEM"))</f>
        <v>COTAÇÃO</v>
      </c>
      <c r="N1425" s="1" t="str">
        <f>_xlfn.XLOOKUP(M1425,Parâmetros!K:K,Parâmetros!L:L,"")</f>
        <v>INDEFINIDO</v>
      </c>
      <c r="O1425" s="1" t="str">
        <f>_xlfn.XLOOKUP(M1425,Parâmetros!B:B,Parâmetros!C:C,_xlfn.XLOOKUP(Base!M1594,Parâmetros!G:G,Parâmetros!H:H))</f>
        <v>INDEFINIDO</v>
      </c>
      <c r="P1425" s="1" t="str">
        <f>_xlfn.XLOOKUP(I1425,Parâmetros!A:A,Parâmetros!D:D,_xlfn.XLOOKUP(Q1425,Parâmetros!F:F,Parâmetros!I:I))</f>
        <v>SUPORTE OBT</v>
      </c>
      <c r="Q1425" s="1" t="str">
        <f t="shared" si="45"/>
        <v>COLUNA I</v>
      </c>
    </row>
    <row r="1426" spans="1:17" x14ac:dyDescent="0.25">
      <c r="A1426" s="1" t="str">
        <f>_xlfn.XLOOKUP(D1426,'Novo relatório'!B:B,'Novo relatório'!C:C,"RESOLVIDO")</f>
        <v>SABRE</v>
      </c>
      <c r="C1426" t="str">
        <f t="shared" si="44"/>
        <v>PENDENTE</v>
      </c>
      <c r="D1426" s="1">
        <v>3361498</v>
      </c>
      <c r="E1426" s="1" t="s">
        <v>26</v>
      </c>
      <c r="F1426" s="2">
        <v>45758.661111111112</v>
      </c>
      <c r="G1426" s="1" t="s">
        <v>2107</v>
      </c>
      <c r="H1426" s="1" t="s">
        <v>2107</v>
      </c>
      <c r="I1426" s="1" t="s">
        <v>622</v>
      </c>
      <c r="J1426" s="2">
        <v>45758.753472222219</v>
      </c>
      <c r="L1426" s="1" t="s">
        <v>14</v>
      </c>
      <c r="M1426" s="1" t="str">
        <f>_xlfn.XLOOKUP(I1426,Parâmetros!A:A,Parâmetros!B:B,_xlfn.XLOOKUP(Q1426,Parâmetros!F:F,Parâmetros!G:G,"NOVA MENSAGEM"))</f>
        <v>ERRO DE SQL</v>
      </c>
      <c r="N1426" s="1" t="str">
        <f>_xlfn.XLOOKUP(M1426,Parâmetros!K:K,Parâmetros!L:L,"")</f>
        <v>ERRO NA IMPORTAÇÃO/MODIFICAÇÃO DAS INFOMAÇÕES</v>
      </c>
      <c r="O1426" s="1" t="str">
        <f>_xlfn.XLOOKUP(M1426,Parâmetros!B:B,Parâmetros!C:C,_xlfn.XLOOKUP(Base!M1539,Parâmetros!G:G,Parâmetros!H:H))</f>
        <v>SISTEMA</v>
      </c>
      <c r="P1426" s="1" t="str">
        <f>_xlfn.XLOOKUP(I1426,Parâmetros!A:A,Parâmetros!D:D,_xlfn.XLOOKUP(Q1426,Parâmetros!F:F,Parâmetros!I:I))</f>
        <v>SUPORTE BENNER</v>
      </c>
      <c r="Q1426" s="1" t="str">
        <f t="shared" si="45"/>
        <v>COLUNA I</v>
      </c>
    </row>
    <row r="1427" spans="1:17" x14ac:dyDescent="0.25">
      <c r="A1427" s="1" t="str">
        <f>_xlfn.XLOOKUP(D1427,'Novo relatório'!B:B,'Novo relatório'!C:C,"RESOLVIDO")</f>
        <v>GOVER</v>
      </c>
      <c r="C1427" t="str">
        <f t="shared" si="44"/>
        <v>PENDENTE</v>
      </c>
      <c r="D1427" s="1">
        <v>3361603</v>
      </c>
      <c r="E1427" s="1" t="s">
        <v>24</v>
      </c>
      <c r="F1427" s="2">
        <v>45754.369444444441</v>
      </c>
      <c r="G1427" s="1">
        <v>4518928</v>
      </c>
      <c r="H1427" s="1">
        <v>4518928</v>
      </c>
      <c r="I1427" s="1" t="s">
        <v>77</v>
      </c>
      <c r="J1427" s="2">
        <v>45758.795138888891</v>
      </c>
      <c r="K1427" s="2">
        <v>45776.363888888889</v>
      </c>
      <c r="L1427" s="1" t="s">
        <v>14</v>
      </c>
      <c r="M1427" s="1" t="str">
        <f>_xlfn.XLOOKUP(I1427,Parâmetros!A:A,Parâmetros!B:B,_xlfn.XLOOKUP(Q1427,Parâmetros!F:F,Parâmetros!G:G,"NOVA MENSAGEM"))</f>
        <v>RLOC NÃO INFORMADO</v>
      </c>
      <c r="N1427" s="1" t="str">
        <f>_xlfn.XLOOKUP(M1427,Parâmetros!K:K,Parâmetros!L:L,"")</f>
        <v>RLOC NÃO PREENCHIDO NA RESERVA</v>
      </c>
      <c r="O1427" s="1" t="str">
        <f>_xlfn.XLOOKUP(M1427,Parâmetros!B:B,Parâmetros!C:C,_xlfn.XLOOKUP(Base!M1600,Parâmetros!G:G,Parâmetros!H:H))</f>
        <v>QUALIDADE DOS DADOS</v>
      </c>
      <c r="P1427" s="1" t="str">
        <f>_xlfn.XLOOKUP(I1427,Parâmetros!A:A,Parâmetros!D:D,_xlfn.XLOOKUP(Q1427,Parâmetros!F:F,Parâmetros!I:I))</f>
        <v>SUPORTE OBT</v>
      </c>
      <c r="Q1427" s="1" t="str">
        <f t="shared" si="45"/>
        <v>COLUNA I</v>
      </c>
    </row>
    <row r="1428" spans="1:17" x14ac:dyDescent="0.25">
      <c r="A1428" s="1" t="str">
        <f>_xlfn.XLOOKUP(D1428,'Novo relatório'!B:B,'Novo relatório'!C:C,"RESOLVIDO")</f>
        <v>SABRE</v>
      </c>
      <c r="C1428" t="str">
        <f t="shared" si="44"/>
        <v>PENDENTE</v>
      </c>
      <c r="D1428" s="1">
        <v>3361614</v>
      </c>
      <c r="E1428" s="1" t="s">
        <v>26</v>
      </c>
      <c r="F1428" s="2">
        <v>45761.42291666667</v>
      </c>
      <c r="G1428" s="1" t="s">
        <v>2046</v>
      </c>
      <c r="H1428" s="1" t="s">
        <v>2046</v>
      </c>
      <c r="I1428" s="1" t="s">
        <v>411</v>
      </c>
      <c r="J1428" s="2">
        <v>45758.813194444447</v>
      </c>
      <c r="K1428" s="2">
        <v>45761.511805555558</v>
      </c>
      <c r="L1428" s="1" t="s">
        <v>18</v>
      </c>
      <c r="M1428" s="1" t="str">
        <f>_xlfn.XLOOKUP(I1428,Parâmetros!A:A,Parâmetros!B:B,_xlfn.XLOOKUP(Q1428,Parâmetros!F:F,Parâmetros!G:G,"NOVA MENSAGEM"))</f>
        <v>REMARK - CNPJ</v>
      </c>
      <c r="N1428" s="1" t="str">
        <f>_xlfn.XLOOKUP(M1428,Parâmetros!K:K,Parâmetros!L:L,"")</f>
        <v/>
      </c>
      <c r="O1428" s="1" t="str">
        <f>_xlfn.XLOOKUP(M1428,Parâmetros!B:B,Parâmetros!C:C,_xlfn.XLOOKUP(Base!M1493,Parâmetros!G:G,Parâmetros!H:H))</f>
        <v>QUALIDADE DOS DADOS</v>
      </c>
      <c r="P1428" s="1" t="str">
        <f>_xlfn.XLOOKUP(I1428,Parâmetros!A:A,Parâmetros!D:D,_xlfn.XLOOKUP(Q1428,Parâmetros!F:F,Parâmetros!I:I))</f>
        <v>OPERAÇÕES / SUPORTE KCS</v>
      </c>
      <c r="Q1428" s="1">
        <f t="shared" si="45"/>
        <v>24</v>
      </c>
    </row>
    <row r="1429" spans="1:17" x14ac:dyDescent="0.25">
      <c r="A1429" s="1" t="str">
        <f>_xlfn.XLOOKUP(D1429,'Novo relatório'!B:B,'Novo relatório'!C:C,"RESOLVIDO")</f>
        <v>SABRE</v>
      </c>
      <c r="C1429" t="str">
        <f t="shared" si="44"/>
        <v>PENDENTE</v>
      </c>
      <c r="D1429" s="1">
        <v>3361622</v>
      </c>
      <c r="E1429" s="1" t="s">
        <v>26</v>
      </c>
      <c r="F1429" s="2">
        <v>45758.724999999999</v>
      </c>
      <c r="G1429" s="1" t="s">
        <v>2121</v>
      </c>
      <c r="H1429" s="1" t="s">
        <v>2121</v>
      </c>
      <c r="I1429" s="1" t="s">
        <v>396</v>
      </c>
      <c r="J1429" s="2">
        <v>45758.813888888886</v>
      </c>
      <c r="L1429" s="1" t="s">
        <v>18</v>
      </c>
      <c r="M1429" s="1" t="str">
        <f>_xlfn.XLOOKUP(I1429,Parâmetros!A:A,Parâmetros!B:B,_xlfn.XLOOKUP(Q1429,Parâmetros!F:F,Parâmetros!G:G,"NOVA MENSAGEM"))</f>
        <v>CÓD. CLIENTE DIVERGENTE</v>
      </c>
      <c r="N1429" s="1" t="str">
        <f>_xlfn.XLOOKUP(M1429,Parâmetros!K:K,Parâmetros!L:L,"")</f>
        <v>CÓDIGO DIFERENTE DO CADASTRADO NO BENNER (CLIENTE X GRUPO)</v>
      </c>
      <c r="O1429" s="1" t="str">
        <f>_xlfn.XLOOKUP(M1429,Parâmetros!B:B,Parâmetros!C:C,_xlfn.XLOOKUP(Base!M1551,Parâmetros!G:G,Parâmetros!H:H))</f>
        <v>QUALIDADE DOS DADOS</v>
      </c>
      <c r="P1429" s="1" t="str">
        <f>_xlfn.XLOOKUP(I1429,Parâmetros!A:A,Parâmetros!D:D,_xlfn.XLOOKUP(Q1429,Parâmetros!F:F,Parâmetros!I:I))</f>
        <v>SUPORTE OBT</v>
      </c>
      <c r="Q1429" s="1">
        <f t="shared" si="45"/>
        <v>1</v>
      </c>
    </row>
    <row r="1430" spans="1:17" x14ac:dyDescent="0.25">
      <c r="A1430" s="1" t="str">
        <f>_xlfn.XLOOKUP(D1430,'Novo relatório'!B:B,'Novo relatório'!C:C,"RESOLVIDO")</f>
        <v>RESOLVIDO</v>
      </c>
      <c r="C1430" t="str">
        <f t="shared" si="44"/>
        <v>RESOLVIDO</v>
      </c>
      <c r="D1430" s="1">
        <v>3361899</v>
      </c>
      <c r="E1430" s="1" t="s">
        <v>12</v>
      </c>
      <c r="F1430" s="2">
        <v>45758.597916666666</v>
      </c>
      <c r="G1430" s="1">
        <v>29415</v>
      </c>
      <c r="H1430" s="1">
        <v>29415</v>
      </c>
      <c r="I1430" s="1" t="s">
        <v>2137</v>
      </c>
      <c r="J1430" s="2">
        <v>45758.847916666666</v>
      </c>
      <c r="K1430" s="2">
        <v>45761.887499999997</v>
      </c>
      <c r="L1430" s="1" t="s">
        <v>14</v>
      </c>
      <c r="M1430" s="1" t="str">
        <f>_xlfn.XLOOKUP(I1430,Parâmetros!A:A,Parâmetros!B:B,_xlfn.XLOOKUP(Q1430,Parâmetros!F:F,Parâmetros!G:G,"NOVA MENSAGEM"))</f>
        <v>NOVA MENSAGEM</v>
      </c>
      <c r="N1430" s="1" t="str">
        <f>_xlfn.XLOOKUP(M1430,Parâmetros!K:K,Parâmetros!L:L,"")</f>
        <v/>
      </c>
      <c r="O1430" s="1" t="e">
        <f>_xlfn.XLOOKUP(M1430,Parâmetros!B:B,Parâmetros!C:C,_xlfn.XLOOKUP(Base!M1581,Parâmetros!G:G,Parâmetros!H:H))</f>
        <v>#N/A</v>
      </c>
      <c r="P1430" s="1" t="e">
        <f>_xlfn.XLOOKUP(I1430,Parâmetros!A:A,Parâmetros!D:D,_xlfn.XLOOKUP(Q1430,Parâmetros!F:F,Parâmetros!I:I))</f>
        <v>#N/A</v>
      </c>
      <c r="Q1430" s="1">
        <f t="shared" si="45"/>
        <v>126</v>
      </c>
    </row>
    <row r="1431" spans="1:17" x14ac:dyDescent="0.25">
      <c r="A1431" s="1" t="str">
        <f>_xlfn.XLOOKUP(D1431,'Novo relatório'!B:B,'Novo relatório'!C:C,"RESOLVIDO")</f>
        <v>RESOLVIDO</v>
      </c>
      <c r="C1431" t="str">
        <f t="shared" si="44"/>
        <v>RESOLVIDO</v>
      </c>
      <c r="D1431" s="1">
        <v>3361904</v>
      </c>
      <c r="E1431" s="1" t="s">
        <v>12</v>
      </c>
      <c r="F1431" s="2">
        <v>45758.601388888892</v>
      </c>
      <c r="G1431" s="1">
        <v>29328</v>
      </c>
      <c r="H1431" s="1">
        <v>29328</v>
      </c>
      <c r="I1431" s="1" t="s">
        <v>2136</v>
      </c>
      <c r="J1431" s="2">
        <v>45758.848611111112</v>
      </c>
      <c r="K1431" s="2">
        <v>45761.887499999997</v>
      </c>
      <c r="L1431" s="1" t="s">
        <v>14</v>
      </c>
      <c r="M1431" s="1" t="str">
        <f>_xlfn.XLOOKUP(I1431,Parâmetros!A:A,Parâmetros!B:B,_xlfn.XLOOKUP(Q1431,Parâmetros!F:F,Parâmetros!G:G,"NOVA MENSAGEM"))</f>
        <v>NOVA MENSAGEM</v>
      </c>
      <c r="N1431" s="1" t="str">
        <f>_xlfn.XLOOKUP(M1431,Parâmetros!K:K,Parâmetros!L:L,"")</f>
        <v/>
      </c>
      <c r="O1431" s="1" t="e">
        <f>_xlfn.XLOOKUP(M1431,Parâmetros!B:B,Parâmetros!C:C,_xlfn.XLOOKUP(Base!M1580,Parâmetros!G:G,Parâmetros!H:H))</f>
        <v>#N/A</v>
      </c>
      <c r="P1431" s="1" t="e">
        <f>_xlfn.XLOOKUP(I1431,Parâmetros!A:A,Parâmetros!D:D,_xlfn.XLOOKUP(Q1431,Parâmetros!F:F,Parâmetros!I:I))</f>
        <v>#N/A</v>
      </c>
      <c r="Q1431" s="1">
        <f t="shared" si="45"/>
        <v>126</v>
      </c>
    </row>
    <row r="1432" spans="1:17" x14ac:dyDescent="0.25">
      <c r="A1432" s="1" t="str">
        <f>_xlfn.XLOOKUP(D1432,'Novo relatório'!B:B,'Novo relatório'!C:C,"RESOLVIDO")</f>
        <v>SABRE</v>
      </c>
      <c r="C1432" t="str">
        <f t="shared" si="44"/>
        <v>PENDENTE</v>
      </c>
      <c r="D1432" s="1">
        <v>3361960</v>
      </c>
      <c r="E1432" s="1" t="s">
        <v>26</v>
      </c>
      <c r="F1432" s="2">
        <v>45758.761111111111</v>
      </c>
      <c r="G1432" s="1" t="s">
        <v>2016</v>
      </c>
      <c r="H1432" s="1" t="s">
        <v>2016</v>
      </c>
      <c r="I1432" s="1" t="s">
        <v>83</v>
      </c>
      <c r="J1432" s="2">
        <v>45758.854861111111</v>
      </c>
      <c r="L1432" s="1" t="s">
        <v>18</v>
      </c>
      <c r="M1432" s="1" t="str">
        <f>_xlfn.XLOOKUP(I1432,Parâmetros!A:A,Parâmetros!B:B,_xlfn.XLOOKUP(Q1432,Parâmetros!F:F,Parâmetros!G:G,"NOVA MENSAGEM"))</f>
        <v>CLIENTE NÃO IDENTIFICADO</v>
      </c>
      <c r="N1432" s="1" t="str">
        <f>_xlfn.XLOOKUP(M1432,Parâmetros!K:K,Parâmetros!L:L,"")</f>
        <v>DK DE CLIENTE NÃO PREENCIDO / CLIENTE NÃO CONFIGURADO NO OBT</v>
      </c>
      <c r="O1432" s="1" t="str">
        <f>_xlfn.XLOOKUP(M1432,Parâmetros!B:B,Parâmetros!C:C,_xlfn.XLOOKUP(Base!M1467,Parâmetros!G:G,Parâmetros!H:H))</f>
        <v>INDEFINIDO</v>
      </c>
      <c r="P1432" s="1" t="str">
        <f>_xlfn.XLOOKUP(I1432,Parâmetros!A:A,Parâmetros!D:D,_xlfn.XLOOKUP(Q1432,Parâmetros!F:F,Parâmetros!I:I))</f>
        <v>OPERAÇÕES / SUPORTE KCS</v>
      </c>
      <c r="Q1432" s="1" t="str">
        <f t="shared" si="45"/>
        <v>COLUNA I</v>
      </c>
    </row>
    <row r="1433" spans="1:17" x14ac:dyDescent="0.25">
      <c r="A1433" s="1" t="str">
        <f>_xlfn.XLOOKUP(D1433,'Novo relatório'!B:B,'Novo relatório'!C:C,"RESOLVIDO")</f>
        <v>SABRE</v>
      </c>
      <c r="C1433" t="str">
        <f t="shared" si="44"/>
        <v>PENDENTE</v>
      </c>
      <c r="D1433" s="1">
        <v>3361962</v>
      </c>
      <c r="E1433" s="1" t="s">
        <v>26</v>
      </c>
      <c r="F1433" s="2">
        <v>45758.761111111111</v>
      </c>
      <c r="G1433" s="1" t="s">
        <v>2012</v>
      </c>
      <c r="H1433" s="1" t="s">
        <v>2012</v>
      </c>
      <c r="I1433" s="1" t="s">
        <v>409</v>
      </c>
      <c r="J1433" s="2">
        <v>45758.854861111111</v>
      </c>
      <c r="L1433" s="1" t="s">
        <v>18</v>
      </c>
      <c r="M1433" s="1" t="str">
        <f>_xlfn.XLOOKUP(I1433,Parâmetros!A:A,Parâmetros!B:B,_xlfn.XLOOKUP(Q1433,Parâmetros!F:F,Parâmetros!G:G,"NOVA MENSAGEM"))</f>
        <v>CÓD. CLIENTE DIVERGENTE</v>
      </c>
      <c r="N1433" s="1" t="str">
        <f>_xlfn.XLOOKUP(M1433,Parâmetros!K:K,Parâmetros!L:L,"")</f>
        <v>CÓDIGO DIFERENTE DO CADASTRADO NO BENNER (CLIENTE X GRUPO)</v>
      </c>
      <c r="O1433" s="1" t="str">
        <f>_xlfn.XLOOKUP(M1433,Parâmetros!B:B,Parâmetros!C:C,_xlfn.XLOOKUP(Base!M1464,Parâmetros!G:G,Parâmetros!H:H))</f>
        <v>QUALIDADE DOS DADOS</v>
      </c>
      <c r="P1433" s="1" t="str">
        <f>_xlfn.XLOOKUP(I1433,Parâmetros!A:A,Parâmetros!D:D,_xlfn.XLOOKUP(Q1433,Parâmetros!F:F,Parâmetros!I:I))</f>
        <v>SUPORTE OBT</v>
      </c>
      <c r="Q1433" s="1">
        <f t="shared" si="45"/>
        <v>1</v>
      </c>
    </row>
    <row r="1434" spans="1:17" x14ac:dyDescent="0.25">
      <c r="A1434" s="1" t="str">
        <f>_xlfn.XLOOKUP(D1434,'Novo relatório'!B:B,'Novo relatório'!C:C,"RESOLVIDO")</f>
        <v>RESOLVIDO</v>
      </c>
      <c r="C1434" t="str">
        <f t="shared" si="44"/>
        <v>RESOLVIDO</v>
      </c>
      <c r="D1434" s="1">
        <v>3362105</v>
      </c>
      <c r="E1434" s="1" t="s">
        <v>12</v>
      </c>
      <c r="F1434" s="2">
        <v>45758.79791666667</v>
      </c>
      <c r="G1434" s="1">
        <v>20553</v>
      </c>
      <c r="H1434" s="1">
        <v>20553</v>
      </c>
      <c r="I1434" s="1" t="s">
        <v>452</v>
      </c>
      <c r="J1434" s="2">
        <v>45758.866666666669</v>
      </c>
      <c r="K1434" s="2">
        <v>45761.897222222222</v>
      </c>
      <c r="L1434" s="1" t="s">
        <v>14</v>
      </c>
      <c r="M1434" s="1" t="str">
        <f>_xlfn.XLOOKUP(I1434,Parâmetros!A:A,Parâmetros!B:B,_xlfn.XLOOKUP(Q1434,Parâmetros!F:F,Parâmetros!G:G,"NOVA MENSAGEM"))</f>
        <v>ASSENTO / BAGAGEM</v>
      </c>
      <c r="N1434" s="1" t="str">
        <f>_xlfn.XLOOKUP(M1434,Parâmetros!K:K,Parâmetros!L:L,"")</f>
        <v>CAMPO OBSERVAÇÃO PREENCHIDO INCORRETAMENTE</v>
      </c>
      <c r="O1434" s="1" t="str">
        <f>_xlfn.XLOOKUP(M1434,Parâmetros!B:B,Parâmetros!C:C,_xlfn.XLOOKUP(Base!M1574,Parâmetros!G:G,Parâmetros!H:H))</f>
        <v>QUALIDADE DOS DADOS</v>
      </c>
      <c r="P1434" s="1" t="str">
        <f>_xlfn.XLOOKUP(I1434,Parâmetros!A:A,Parâmetros!D:D,_xlfn.XLOOKUP(Q1434,Parâmetros!F:F,Parâmetros!I:I))</f>
        <v>OPERAÇÕES / SUPORTE KCS</v>
      </c>
      <c r="Q1434" s="1">
        <f t="shared" si="45"/>
        <v>127</v>
      </c>
    </row>
    <row r="1435" spans="1:17" x14ac:dyDescent="0.25">
      <c r="A1435" s="1" t="str">
        <f>_xlfn.XLOOKUP(D1435,'Novo relatório'!B:B,'Novo relatório'!C:C,"RESOLVIDO")</f>
        <v>TMS</v>
      </c>
      <c r="C1435" t="str">
        <f t="shared" si="44"/>
        <v>PENDENTE</v>
      </c>
      <c r="D1435" s="1">
        <v>3362271</v>
      </c>
      <c r="E1435" s="1" t="s">
        <v>12</v>
      </c>
      <c r="F1435" s="2">
        <v>45758.74722222222</v>
      </c>
      <c r="G1435" s="1">
        <v>11715</v>
      </c>
      <c r="H1435" s="1">
        <v>11715</v>
      </c>
      <c r="I1435" s="1" t="s">
        <v>16</v>
      </c>
      <c r="J1435" s="2">
        <v>45758.878472222219</v>
      </c>
      <c r="K1435" s="2">
        <v>45761.90625</v>
      </c>
      <c r="L1435" s="1" t="s">
        <v>14</v>
      </c>
      <c r="M1435" s="1" t="str">
        <f>_xlfn.XLOOKUP(I1435,Parâmetros!A:A,Parâmetros!B:B,_xlfn.XLOOKUP(Q1435,Parâmetros!F:F,Parâmetros!G:G,"NOVA MENSAGEM"))</f>
        <v>ASSENTO / BAGAGEM</v>
      </c>
      <c r="N1435" s="1" t="str">
        <f>_xlfn.XLOOKUP(M1435,Parâmetros!K:K,Parâmetros!L:L,"")</f>
        <v>CAMPO OBSERVAÇÃO PREENCHIDO INCORRETAMENTE</v>
      </c>
      <c r="O1435" s="1" t="str">
        <f>_xlfn.XLOOKUP(M1435,Parâmetros!B:B,Parâmetros!C:C,_xlfn.XLOOKUP(Base!M1565,Parâmetros!G:G,Parâmetros!H:H))</f>
        <v>QUALIDADE DOS DADOS</v>
      </c>
      <c r="P1435" s="1" t="str">
        <f>_xlfn.XLOOKUP(I1435,Parâmetros!A:A,Parâmetros!D:D,_xlfn.XLOOKUP(Q1435,Parâmetros!F:F,Parâmetros!I:I))</f>
        <v>OPERAÇÕES / SUPORTE KCS</v>
      </c>
      <c r="Q1435" s="1">
        <f t="shared" si="45"/>
        <v>118</v>
      </c>
    </row>
    <row r="1436" spans="1:17" x14ac:dyDescent="0.25">
      <c r="A1436" s="1" t="str">
        <f>_xlfn.XLOOKUP(D1436,'Novo relatório'!B:B,'Novo relatório'!C:C,"RESOLVIDO")</f>
        <v>SABRE</v>
      </c>
      <c r="C1436" t="str">
        <f t="shared" si="44"/>
        <v>PENDENTE</v>
      </c>
      <c r="D1436" s="1">
        <v>3362735</v>
      </c>
      <c r="E1436" s="1" t="s">
        <v>26</v>
      </c>
      <c r="F1436" s="2">
        <v>45760.638194444444</v>
      </c>
      <c r="G1436" s="1" t="s">
        <v>1995</v>
      </c>
      <c r="H1436" s="1" t="s">
        <v>1995</v>
      </c>
      <c r="I1436" s="1" t="s">
        <v>83</v>
      </c>
      <c r="J1436" s="2">
        <v>45760.730555555558</v>
      </c>
      <c r="L1436" s="1" t="s">
        <v>18</v>
      </c>
      <c r="M1436" s="1" t="str">
        <f>_xlfn.XLOOKUP(I1436,Parâmetros!A:A,Parâmetros!B:B,_xlfn.XLOOKUP(Q1436,Parâmetros!F:F,Parâmetros!G:G,"NOVA MENSAGEM"))</f>
        <v>CLIENTE NÃO IDENTIFICADO</v>
      </c>
      <c r="N1436" s="1" t="str">
        <f>_xlfn.XLOOKUP(M1436,Parâmetros!K:K,Parâmetros!L:L,"")</f>
        <v>DK DE CLIENTE NÃO PREENCIDO / CLIENTE NÃO CONFIGURADO NO OBT</v>
      </c>
      <c r="O1436" s="1" t="str">
        <f>_xlfn.XLOOKUP(M1436,Parâmetros!B:B,Parâmetros!C:C,_xlfn.XLOOKUP(Base!M1449,Parâmetros!G:G,Parâmetros!H:H))</f>
        <v>INDEFINIDO</v>
      </c>
      <c r="P1436" s="1" t="str">
        <f>_xlfn.XLOOKUP(I1436,Parâmetros!A:A,Parâmetros!D:D,_xlfn.XLOOKUP(Q1436,Parâmetros!F:F,Parâmetros!I:I))</f>
        <v>OPERAÇÕES / SUPORTE KCS</v>
      </c>
      <c r="Q1436" s="1" t="str">
        <f t="shared" si="45"/>
        <v>COLUNA I</v>
      </c>
    </row>
    <row r="1437" spans="1:17" x14ac:dyDescent="0.25">
      <c r="A1437" s="1" t="str">
        <f>_xlfn.XLOOKUP(D1437,'Novo relatório'!B:B,'Novo relatório'!C:C,"RESOLVIDO")</f>
        <v>SABRE</v>
      </c>
      <c r="C1437" t="str">
        <f t="shared" si="44"/>
        <v>PENDENTE</v>
      </c>
      <c r="D1437" s="1">
        <v>3362737</v>
      </c>
      <c r="E1437" s="1" t="s">
        <v>26</v>
      </c>
      <c r="F1437" s="2">
        <v>45760.638194444444</v>
      </c>
      <c r="G1437" s="1" t="s">
        <v>1957</v>
      </c>
      <c r="H1437" s="1" t="s">
        <v>1957</v>
      </c>
      <c r="I1437" s="1" t="s">
        <v>707</v>
      </c>
      <c r="J1437" s="2">
        <v>45760.731249999997</v>
      </c>
      <c r="L1437" s="1" t="s">
        <v>18</v>
      </c>
      <c r="M1437" s="1" t="str">
        <f>_xlfn.XLOOKUP(I1437,Parâmetros!A:A,Parâmetros!B:B,_xlfn.XLOOKUP(Q1437,Parâmetros!F:F,Parâmetros!G:G,"NOVA MENSAGEM"))</f>
        <v>CÓD. CLIENTE DIVERGENTE</v>
      </c>
      <c r="N1437" s="1" t="str">
        <f>_xlfn.XLOOKUP(M1437,Parâmetros!K:K,Parâmetros!L:L,"")</f>
        <v>CÓDIGO DIFERENTE DO CADASTRADO NO BENNER (CLIENTE X GRUPO)</v>
      </c>
      <c r="O1437" s="1" t="str">
        <f>_xlfn.XLOOKUP(M1437,Parâmetros!B:B,Parâmetros!C:C,_xlfn.XLOOKUP(Base!M1415,Parâmetros!G:G,Parâmetros!H:H))</f>
        <v>QUALIDADE DOS DADOS</v>
      </c>
      <c r="P1437" s="1" t="str">
        <f>_xlfn.XLOOKUP(I1437,Parâmetros!A:A,Parâmetros!D:D,_xlfn.XLOOKUP(Q1437,Parâmetros!F:F,Parâmetros!I:I))</f>
        <v>SUPORTE OBT</v>
      </c>
      <c r="Q1437" s="1">
        <f t="shared" si="45"/>
        <v>1</v>
      </c>
    </row>
    <row r="1438" spans="1:17" x14ac:dyDescent="0.25">
      <c r="A1438" s="1" t="str">
        <f>_xlfn.XLOOKUP(D1438,'Novo relatório'!B:B,'Novo relatório'!C:C,"RESOLVIDO")</f>
        <v>SABRE</v>
      </c>
      <c r="C1438" t="str">
        <f t="shared" si="44"/>
        <v>PENDENTE</v>
      </c>
      <c r="D1438" s="1">
        <v>3362738</v>
      </c>
      <c r="E1438" s="1" t="s">
        <v>26</v>
      </c>
      <c r="F1438" s="2">
        <v>45760.638194444444</v>
      </c>
      <c r="G1438" s="1" t="s">
        <v>2073</v>
      </c>
      <c r="H1438" s="1" t="s">
        <v>2073</v>
      </c>
      <c r="I1438" s="1" t="s">
        <v>410</v>
      </c>
      <c r="J1438" s="2">
        <v>45760.731249999997</v>
      </c>
      <c r="L1438" s="1" t="s">
        <v>18</v>
      </c>
      <c r="M1438" s="1" t="str">
        <f>_xlfn.XLOOKUP(I1438,Parâmetros!A:A,Parâmetros!B:B,_xlfn.XLOOKUP(Q1438,Parâmetros!F:F,Parâmetros!G:G,"NOVA MENSAGEM"))</f>
        <v>CÓD. CLIENTE DIVERGENTE</v>
      </c>
      <c r="N1438" s="1" t="str">
        <f>_xlfn.XLOOKUP(M1438,Parâmetros!K:K,Parâmetros!L:L,"")</f>
        <v>CÓDIGO DIFERENTE DO CADASTRADO NO BENNER (CLIENTE X GRUPO)</v>
      </c>
      <c r="O1438" s="1" t="str">
        <f>_xlfn.XLOOKUP(M1438,Parâmetros!B:B,Parâmetros!C:C,_xlfn.XLOOKUP(Base!M1514,Parâmetros!G:G,Parâmetros!H:H))</f>
        <v>QUALIDADE DOS DADOS</v>
      </c>
      <c r="P1438" s="1" t="str">
        <f>_xlfn.XLOOKUP(I1438,Parâmetros!A:A,Parâmetros!D:D,_xlfn.XLOOKUP(Q1438,Parâmetros!F:F,Parâmetros!I:I))</f>
        <v>SUPORTE OBT</v>
      </c>
      <c r="Q1438" s="1">
        <f t="shared" si="45"/>
        <v>1</v>
      </c>
    </row>
    <row r="1439" spans="1:17" x14ac:dyDescent="0.25">
      <c r="A1439" s="1" t="str">
        <f>_xlfn.XLOOKUP(D1439,'Novo relatório'!B:B,'Novo relatório'!C:C,"RESOLVIDO")</f>
        <v>SABRE</v>
      </c>
      <c r="C1439" t="str">
        <f t="shared" si="44"/>
        <v>PENDENTE</v>
      </c>
      <c r="D1439" s="1">
        <v>3362741</v>
      </c>
      <c r="E1439" s="1" t="s">
        <v>26</v>
      </c>
      <c r="F1439" s="2">
        <v>45760.638194444444</v>
      </c>
      <c r="G1439" s="1" t="s">
        <v>2009</v>
      </c>
      <c r="H1439" s="1" t="s">
        <v>2009</v>
      </c>
      <c r="I1439" s="1" t="s">
        <v>396</v>
      </c>
      <c r="J1439" s="2">
        <v>45760.731249999997</v>
      </c>
      <c r="L1439" s="1" t="s">
        <v>18</v>
      </c>
      <c r="M1439" s="1" t="str">
        <f>_xlfn.XLOOKUP(I1439,Parâmetros!A:A,Parâmetros!B:B,_xlfn.XLOOKUP(Q1439,Parâmetros!F:F,Parâmetros!G:G,"NOVA MENSAGEM"))</f>
        <v>CÓD. CLIENTE DIVERGENTE</v>
      </c>
      <c r="N1439" s="1" t="str">
        <f>_xlfn.XLOOKUP(M1439,Parâmetros!K:K,Parâmetros!L:L,"")</f>
        <v>CÓDIGO DIFERENTE DO CADASTRADO NO BENNER (CLIENTE X GRUPO)</v>
      </c>
      <c r="O1439" s="1" t="str">
        <f>_xlfn.XLOOKUP(M1439,Parâmetros!B:B,Parâmetros!C:C,_xlfn.XLOOKUP(Base!M1462,Parâmetros!G:G,Parâmetros!H:H))</f>
        <v>QUALIDADE DOS DADOS</v>
      </c>
      <c r="P1439" s="1" t="str">
        <f>_xlfn.XLOOKUP(I1439,Parâmetros!A:A,Parâmetros!D:D,_xlfn.XLOOKUP(Q1439,Parâmetros!F:F,Parâmetros!I:I))</f>
        <v>SUPORTE OBT</v>
      </c>
      <c r="Q1439" s="1">
        <f t="shared" si="45"/>
        <v>1</v>
      </c>
    </row>
    <row r="1440" spans="1:17" x14ac:dyDescent="0.25">
      <c r="A1440" s="1" t="str">
        <f>_xlfn.XLOOKUP(D1440,'Novo relatório'!B:B,'Novo relatório'!C:C,"RESOLVIDO")</f>
        <v>SABRE</v>
      </c>
      <c r="C1440" t="str">
        <f t="shared" si="44"/>
        <v>PENDENTE</v>
      </c>
      <c r="D1440" s="1">
        <v>3362743</v>
      </c>
      <c r="E1440" s="1" t="s">
        <v>26</v>
      </c>
      <c r="F1440" s="2">
        <v>45760.638194444444</v>
      </c>
      <c r="G1440" s="1" t="s">
        <v>2128</v>
      </c>
      <c r="H1440" s="1" t="s">
        <v>2128</v>
      </c>
      <c r="I1440" s="1" t="s">
        <v>83</v>
      </c>
      <c r="J1440" s="2">
        <v>45760.731944444444</v>
      </c>
      <c r="L1440" s="1" t="s">
        <v>18</v>
      </c>
      <c r="M1440" s="1" t="str">
        <f>_xlfn.XLOOKUP(I1440,Parâmetros!A:A,Parâmetros!B:B,_xlfn.XLOOKUP(Q1440,Parâmetros!F:F,Parâmetros!G:G,"NOVA MENSAGEM"))</f>
        <v>CLIENTE NÃO IDENTIFICADO</v>
      </c>
      <c r="N1440" s="1" t="str">
        <f>_xlfn.XLOOKUP(M1440,Parâmetros!K:K,Parâmetros!L:L,"")</f>
        <v>DK DE CLIENTE NÃO PREENCIDO / CLIENTE NÃO CONFIGURADO NO OBT</v>
      </c>
      <c r="O1440" s="1" t="str">
        <f>_xlfn.XLOOKUP(M1440,Parâmetros!B:B,Parâmetros!C:C,_xlfn.XLOOKUP(Base!M1558,Parâmetros!G:G,Parâmetros!H:H))</f>
        <v>INDEFINIDO</v>
      </c>
      <c r="P1440" s="1" t="str">
        <f>_xlfn.XLOOKUP(I1440,Parâmetros!A:A,Parâmetros!D:D,_xlfn.XLOOKUP(Q1440,Parâmetros!F:F,Parâmetros!I:I))</f>
        <v>OPERAÇÕES / SUPORTE KCS</v>
      </c>
      <c r="Q1440" s="1" t="str">
        <f t="shared" si="45"/>
        <v>COLUNA I</v>
      </c>
    </row>
    <row r="1441" spans="1:17" x14ac:dyDescent="0.25">
      <c r="A1441" s="1" t="str">
        <f>_xlfn.XLOOKUP(D1441,'Novo relatório'!B:B,'Novo relatório'!C:C,"RESOLVIDO")</f>
        <v>SABRE</v>
      </c>
      <c r="C1441" t="str">
        <f t="shared" si="44"/>
        <v>PENDENTE</v>
      </c>
      <c r="D1441" s="1">
        <v>3362746</v>
      </c>
      <c r="E1441" s="1" t="s">
        <v>26</v>
      </c>
      <c r="F1441" s="2">
        <v>45760.638194444444</v>
      </c>
      <c r="G1441" s="1" t="s">
        <v>1930</v>
      </c>
      <c r="H1441" s="1" t="s">
        <v>1930</v>
      </c>
      <c r="I1441" s="1" t="s">
        <v>83</v>
      </c>
      <c r="J1441" s="2">
        <v>45760.731944444444</v>
      </c>
      <c r="L1441" s="1" t="s">
        <v>18</v>
      </c>
      <c r="M1441" s="1" t="str">
        <f>_xlfn.XLOOKUP(I1441,Parâmetros!A:A,Parâmetros!B:B,_xlfn.XLOOKUP(Q1441,Parâmetros!F:F,Parâmetros!G:G,"NOVA MENSAGEM"))</f>
        <v>CLIENTE NÃO IDENTIFICADO</v>
      </c>
      <c r="N1441" s="1" t="str">
        <f>_xlfn.XLOOKUP(M1441,Parâmetros!K:K,Parâmetros!L:L,"")</f>
        <v>DK DE CLIENTE NÃO PREENCIDO / CLIENTE NÃO CONFIGURADO NO OBT</v>
      </c>
      <c r="O1441" s="1" t="str">
        <f>_xlfn.XLOOKUP(M1441,Parâmetros!B:B,Parâmetros!C:C,_xlfn.XLOOKUP(Base!M1390,Parâmetros!G:G,Parâmetros!H:H))</f>
        <v>INDEFINIDO</v>
      </c>
      <c r="P1441" s="1" t="str">
        <f>_xlfn.XLOOKUP(I1441,Parâmetros!A:A,Parâmetros!D:D,_xlfn.XLOOKUP(Q1441,Parâmetros!F:F,Parâmetros!I:I))</f>
        <v>OPERAÇÕES / SUPORTE KCS</v>
      </c>
      <c r="Q1441" s="1" t="str">
        <f t="shared" si="45"/>
        <v>COLUNA I</v>
      </c>
    </row>
    <row r="1442" spans="1:17" x14ac:dyDescent="0.25">
      <c r="A1442" s="1" t="str">
        <f>_xlfn.XLOOKUP(D1442,'Novo relatório'!B:B,'Novo relatório'!C:C,"RESOLVIDO")</f>
        <v>SABRE</v>
      </c>
      <c r="C1442" t="str">
        <f t="shared" si="44"/>
        <v>PENDENTE</v>
      </c>
      <c r="D1442" s="1">
        <v>3362747</v>
      </c>
      <c r="E1442" s="1" t="s">
        <v>26</v>
      </c>
      <c r="F1442" s="2">
        <v>45760.638194444444</v>
      </c>
      <c r="G1442" s="1" t="s">
        <v>2080</v>
      </c>
      <c r="H1442" s="1" t="s">
        <v>2080</v>
      </c>
      <c r="I1442" s="1" t="s">
        <v>396</v>
      </c>
      <c r="J1442" s="2">
        <v>45760.731944444444</v>
      </c>
      <c r="L1442" s="1" t="s">
        <v>18</v>
      </c>
      <c r="M1442" s="1" t="str">
        <f>_xlfn.XLOOKUP(I1442,Parâmetros!A:A,Parâmetros!B:B,_xlfn.XLOOKUP(Q1442,Parâmetros!F:F,Parâmetros!G:G,"NOVA MENSAGEM"))</f>
        <v>CÓD. CLIENTE DIVERGENTE</v>
      </c>
      <c r="N1442" s="1" t="str">
        <f>_xlfn.XLOOKUP(M1442,Parâmetros!K:K,Parâmetros!L:L,"")</f>
        <v>CÓDIGO DIFERENTE DO CADASTRADO NO BENNER (CLIENTE X GRUPO)</v>
      </c>
      <c r="O1442" s="1" t="str">
        <f>_xlfn.XLOOKUP(M1442,Parâmetros!B:B,Parâmetros!C:C,_xlfn.XLOOKUP(Base!M1518,Parâmetros!G:G,Parâmetros!H:H))</f>
        <v>QUALIDADE DOS DADOS</v>
      </c>
      <c r="P1442" s="1" t="str">
        <f>_xlfn.XLOOKUP(I1442,Parâmetros!A:A,Parâmetros!D:D,_xlfn.XLOOKUP(Q1442,Parâmetros!F:F,Parâmetros!I:I))</f>
        <v>SUPORTE OBT</v>
      </c>
      <c r="Q1442" s="1">
        <f t="shared" si="45"/>
        <v>1</v>
      </c>
    </row>
    <row r="1443" spans="1:17" x14ac:dyDescent="0.25">
      <c r="A1443" s="1" t="str">
        <f>_xlfn.XLOOKUP(D1443,'Novo relatório'!B:B,'Novo relatório'!C:C,"RESOLVIDO")</f>
        <v>SABRE</v>
      </c>
      <c r="C1443" t="str">
        <f t="shared" si="44"/>
        <v>PENDENTE</v>
      </c>
      <c r="D1443" s="1">
        <v>3362748</v>
      </c>
      <c r="E1443" s="1" t="s">
        <v>26</v>
      </c>
      <c r="F1443" s="2">
        <v>45760.638194444444</v>
      </c>
      <c r="G1443" s="1" t="s">
        <v>2124</v>
      </c>
      <c r="H1443" s="1" t="s">
        <v>2124</v>
      </c>
      <c r="I1443" s="1" t="s">
        <v>1174</v>
      </c>
      <c r="J1443" s="2">
        <v>45760.731944444444</v>
      </c>
      <c r="L1443" s="1" t="s">
        <v>18</v>
      </c>
      <c r="M1443" s="1" t="str">
        <f>_xlfn.XLOOKUP(I1443,Parâmetros!A:A,Parâmetros!B:B,_xlfn.XLOOKUP(Q1443,Parâmetros!F:F,Parâmetros!G:G,"NOVA MENSAGEM"))</f>
        <v>REMARK - CNPJ</v>
      </c>
      <c r="N1443" s="1" t="str">
        <f>_xlfn.XLOOKUP(M1443,Parâmetros!K:K,Parâmetros!L:L,"")</f>
        <v/>
      </c>
      <c r="O1443" s="1" t="str">
        <f>_xlfn.XLOOKUP(M1443,Parâmetros!B:B,Parâmetros!C:C,_xlfn.XLOOKUP(Base!M1554,Parâmetros!G:G,Parâmetros!H:H))</f>
        <v>QUALIDADE DOS DADOS</v>
      </c>
      <c r="P1443" s="1" t="str">
        <f>_xlfn.XLOOKUP(I1443,Parâmetros!A:A,Parâmetros!D:D,_xlfn.XLOOKUP(Q1443,Parâmetros!F:F,Parâmetros!I:I))</f>
        <v>OPERAÇÕES / SUPORTE KCS</v>
      </c>
      <c r="Q1443" s="1">
        <f t="shared" si="45"/>
        <v>24</v>
      </c>
    </row>
    <row r="1444" spans="1:17" x14ac:dyDescent="0.25">
      <c r="A1444" s="1" t="str">
        <f>_xlfn.XLOOKUP(D1444,'Novo relatório'!B:B,'Novo relatório'!C:C,"RESOLVIDO")</f>
        <v>SABRE</v>
      </c>
      <c r="C1444" t="str">
        <f t="shared" si="44"/>
        <v>PENDENTE</v>
      </c>
      <c r="D1444" s="1">
        <v>3362751</v>
      </c>
      <c r="E1444" s="1" t="s">
        <v>26</v>
      </c>
      <c r="F1444" s="2">
        <v>45760.638194444444</v>
      </c>
      <c r="G1444" s="1" t="s">
        <v>2087</v>
      </c>
      <c r="H1444" s="1" t="s">
        <v>2087</v>
      </c>
      <c r="I1444" s="1" t="s">
        <v>169</v>
      </c>
      <c r="J1444" s="2">
        <v>45760.73333333333</v>
      </c>
      <c r="L1444" s="1" t="s">
        <v>18</v>
      </c>
      <c r="M1444" s="1" t="str">
        <f>_xlfn.XLOOKUP(I1444,Parâmetros!A:A,Parâmetros!B:B,_xlfn.XLOOKUP(Q1444,Parâmetros!F:F,Parâmetros!G:G,"NOVA MENSAGEM"))</f>
        <v>CÓD. CLIENTE DIVERGENTE</v>
      </c>
      <c r="N1444" s="1" t="str">
        <f>_xlfn.XLOOKUP(M1444,Parâmetros!K:K,Parâmetros!L:L,"")</f>
        <v>CÓDIGO DIFERENTE DO CADASTRADO NO BENNER (CLIENTE X GRUPO)</v>
      </c>
      <c r="O1444" s="1" t="str">
        <f>_xlfn.XLOOKUP(M1444,Parâmetros!B:B,Parâmetros!C:C,_xlfn.XLOOKUP(Base!M1524,Parâmetros!G:G,Parâmetros!H:H))</f>
        <v>QUALIDADE DOS DADOS</v>
      </c>
      <c r="P1444" s="1" t="str">
        <f>_xlfn.XLOOKUP(I1444,Parâmetros!A:A,Parâmetros!D:D,_xlfn.XLOOKUP(Q1444,Parâmetros!F:F,Parâmetros!I:I))</f>
        <v>SUPORTE OBT</v>
      </c>
      <c r="Q1444" s="1">
        <f t="shared" si="45"/>
        <v>1</v>
      </c>
    </row>
    <row r="1445" spans="1:17" x14ac:dyDescent="0.25">
      <c r="A1445" s="1" t="str">
        <f>_xlfn.XLOOKUP(D1445,'Novo relatório'!B:B,'Novo relatório'!C:C,"RESOLVIDO")</f>
        <v>SABRE</v>
      </c>
      <c r="C1445" t="str">
        <f t="shared" si="44"/>
        <v>PENDENTE</v>
      </c>
      <c r="D1445" s="1">
        <v>3362755</v>
      </c>
      <c r="E1445" s="1" t="s">
        <v>26</v>
      </c>
      <c r="F1445" s="2">
        <v>45760.638194444444</v>
      </c>
      <c r="G1445" s="1" t="s">
        <v>1929</v>
      </c>
      <c r="H1445" s="1" t="s">
        <v>1929</v>
      </c>
      <c r="I1445" s="1" t="s">
        <v>83</v>
      </c>
      <c r="J1445" s="2">
        <v>45760.734027777777</v>
      </c>
      <c r="L1445" s="1" t="s">
        <v>18</v>
      </c>
      <c r="M1445" s="1" t="str">
        <f>_xlfn.XLOOKUP(I1445,Parâmetros!A:A,Parâmetros!B:B,_xlfn.XLOOKUP(Q1445,Parâmetros!F:F,Parâmetros!G:G,"NOVA MENSAGEM"))</f>
        <v>CLIENTE NÃO IDENTIFICADO</v>
      </c>
      <c r="N1445" s="1" t="str">
        <f>_xlfn.XLOOKUP(M1445,Parâmetros!K:K,Parâmetros!L:L,"")</f>
        <v>DK DE CLIENTE NÃO PREENCIDO / CLIENTE NÃO CONFIGURADO NO OBT</v>
      </c>
      <c r="O1445" s="1" t="str">
        <f>_xlfn.XLOOKUP(M1445,Parâmetros!B:B,Parâmetros!C:C,_xlfn.XLOOKUP(Base!M1389,Parâmetros!G:G,Parâmetros!H:H))</f>
        <v>INDEFINIDO</v>
      </c>
      <c r="P1445" s="1" t="str">
        <f>_xlfn.XLOOKUP(I1445,Parâmetros!A:A,Parâmetros!D:D,_xlfn.XLOOKUP(Q1445,Parâmetros!F:F,Parâmetros!I:I))</f>
        <v>OPERAÇÕES / SUPORTE KCS</v>
      </c>
      <c r="Q1445" s="1" t="str">
        <f t="shared" si="45"/>
        <v>COLUNA I</v>
      </c>
    </row>
    <row r="1446" spans="1:17" x14ac:dyDescent="0.25">
      <c r="A1446" s="1" t="str">
        <f>_xlfn.XLOOKUP(D1446,'Novo relatório'!B:B,'Novo relatório'!C:C,"RESOLVIDO")</f>
        <v>SABRE</v>
      </c>
      <c r="C1446" t="str">
        <f t="shared" si="44"/>
        <v>PENDENTE</v>
      </c>
      <c r="D1446" s="1">
        <v>3362757</v>
      </c>
      <c r="E1446" s="1" t="s">
        <v>26</v>
      </c>
      <c r="F1446" s="2">
        <v>45760.638194444444</v>
      </c>
      <c r="G1446" s="1" t="s">
        <v>1978</v>
      </c>
      <c r="H1446" s="1" t="s">
        <v>1978</v>
      </c>
      <c r="I1446" s="1" t="s">
        <v>83</v>
      </c>
      <c r="J1446" s="2">
        <v>45760.734027777777</v>
      </c>
      <c r="L1446" s="1" t="s">
        <v>18</v>
      </c>
      <c r="M1446" s="1" t="str">
        <f>_xlfn.XLOOKUP(I1446,Parâmetros!A:A,Parâmetros!B:B,_xlfn.XLOOKUP(Q1446,Parâmetros!F:F,Parâmetros!G:G,"NOVA MENSAGEM"))</f>
        <v>CLIENTE NÃO IDENTIFICADO</v>
      </c>
      <c r="N1446" s="1" t="str">
        <f>_xlfn.XLOOKUP(M1446,Parâmetros!K:K,Parâmetros!L:L,"")</f>
        <v>DK DE CLIENTE NÃO PREENCIDO / CLIENTE NÃO CONFIGURADO NO OBT</v>
      </c>
      <c r="O1446" s="1" t="str">
        <f>_xlfn.XLOOKUP(M1446,Parâmetros!B:B,Parâmetros!C:C,_xlfn.XLOOKUP(Base!M1434,Parâmetros!G:G,Parâmetros!H:H))</f>
        <v>INDEFINIDO</v>
      </c>
      <c r="P1446" s="1" t="str">
        <f>_xlfn.XLOOKUP(I1446,Parâmetros!A:A,Parâmetros!D:D,_xlfn.XLOOKUP(Q1446,Parâmetros!F:F,Parâmetros!I:I))</f>
        <v>OPERAÇÕES / SUPORTE KCS</v>
      </c>
      <c r="Q1446" s="1" t="str">
        <f t="shared" si="45"/>
        <v>COLUNA I</v>
      </c>
    </row>
    <row r="1447" spans="1:17" x14ac:dyDescent="0.25">
      <c r="A1447" s="1" t="str">
        <f>_xlfn.XLOOKUP(D1447,'Novo relatório'!B:B,'Novo relatório'!C:C,"RESOLVIDO")</f>
        <v>SABRE</v>
      </c>
      <c r="C1447" t="str">
        <f t="shared" si="44"/>
        <v>PENDENTE</v>
      </c>
      <c r="D1447" s="1">
        <v>3362758</v>
      </c>
      <c r="E1447" s="1" t="s">
        <v>26</v>
      </c>
      <c r="F1447" s="2">
        <v>45760.638194444444</v>
      </c>
      <c r="G1447" s="1" t="s">
        <v>2028</v>
      </c>
      <c r="H1447" s="1" t="s">
        <v>2028</v>
      </c>
      <c r="I1447" s="1" t="s">
        <v>83</v>
      </c>
      <c r="J1447" s="2">
        <v>45760.734027777777</v>
      </c>
      <c r="L1447" s="1" t="s">
        <v>18</v>
      </c>
      <c r="M1447" s="1" t="str">
        <f>_xlfn.XLOOKUP(I1447,Parâmetros!A:A,Parâmetros!B:B,_xlfn.XLOOKUP(Q1447,Parâmetros!F:F,Parâmetros!G:G,"NOVA MENSAGEM"))</f>
        <v>CLIENTE NÃO IDENTIFICADO</v>
      </c>
      <c r="N1447" s="1" t="str">
        <f>_xlfn.XLOOKUP(M1447,Parâmetros!K:K,Parâmetros!L:L,"")</f>
        <v>DK DE CLIENTE NÃO PREENCIDO / CLIENTE NÃO CONFIGURADO NO OBT</v>
      </c>
      <c r="O1447" s="1" t="str">
        <f>_xlfn.XLOOKUP(M1447,Parâmetros!B:B,Parâmetros!C:C,_xlfn.XLOOKUP(Base!M1478,Parâmetros!G:G,Parâmetros!H:H))</f>
        <v>INDEFINIDO</v>
      </c>
      <c r="P1447" s="1" t="str">
        <f>_xlfn.XLOOKUP(I1447,Parâmetros!A:A,Parâmetros!D:D,_xlfn.XLOOKUP(Q1447,Parâmetros!F:F,Parâmetros!I:I))</f>
        <v>OPERAÇÕES / SUPORTE KCS</v>
      </c>
      <c r="Q1447" s="1" t="str">
        <f t="shared" si="45"/>
        <v>COLUNA I</v>
      </c>
    </row>
    <row r="1448" spans="1:17" x14ac:dyDescent="0.25">
      <c r="A1448" s="1" t="str">
        <f>_xlfn.XLOOKUP(D1448,'Novo relatório'!B:B,'Novo relatório'!C:C,"RESOLVIDO")</f>
        <v>SABRE</v>
      </c>
      <c r="C1448" t="str">
        <f t="shared" si="44"/>
        <v>PENDENTE</v>
      </c>
      <c r="D1448" s="1">
        <v>3362760</v>
      </c>
      <c r="E1448" s="1" t="s">
        <v>26</v>
      </c>
      <c r="F1448" s="2">
        <v>45760.638194444444</v>
      </c>
      <c r="G1448" s="1" t="s">
        <v>2019</v>
      </c>
      <c r="H1448" s="1" t="s">
        <v>2019</v>
      </c>
      <c r="I1448" s="1" t="s">
        <v>83</v>
      </c>
      <c r="J1448" s="2">
        <v>45760.734027777777</v>
      </c>
      <c r="L1448" s="1" t="s">
        <v>18</v>
      </c>
      <c r="M1448" s="1" t="str">
        <f>_xlfn.XLOOKUP(I1448,Parâmetros!A:A,Parâmetros!B:B,_xlfn.XLOOKUP(Q1448,Parâmetros!F:F,Parâmetros!G:G,"NOVA MENSAGEM"))</f>
        <v>CLIENTE NÃO IDENTIFICADO</v>
      </c>
      <c r="N1448" s="1" t="str">
        <f>_xlfn.XLOOKUP(M1448,Parâmetros!K:K,Parâmetros!L:L,"")</f>
        <v>DK DE CLIENTE NÃO PREENCIDO / CLIENTE NÃO CONFIGURADO NO OBT</v>
      </c>
      <c r="O1448" s="1" t="str">
        <f>_xlfn.XLOOKUP(M1448,Parâmetros!B:B,Parâmetros!C:C,_xlfn.XLOOKUP(Base!M1470,Parâmetros!G:G,Parâmetros!H:H))</f>
        <v>INDEFINIDO</v>
      </c>
      <c r="P1448" s="1" t="str">
        <f>_xlfn.XLOOKUP(I1448,Parâmetros!A:A,Parâmetros!D:D,_xlfn.XLOOKUP(Q1448,Parâmetros!F:F,Parâmetros!I:I))</f>
        <v>OPERAÇÕES / SUPORTE KCS</v>
      </c>
      <c r="Q1448" s="1" t="str">
        <f t="shared" si="45"/>
        <v>COLUNA I</v>
      </c>
    </row>
    <row r="1449" spans="1:17" x14ac:dyDescent="0.25">
      <c r="A1449" s="1" t="str">
        <f>_xlfn.XLOOKUP(D1449,'Novo relatório'!B:B,'Novo relatório'!C:C,"RESOLVIDO")</f>
        <v>SABRE</v>
      </c>
      <c r="C1449" t="str">
        <f t="shared" si="44"/>
        <v>PENDENTE</v>
      </c>
      <c r="D1449" s="1">
        <v>3362763</v>
      </c>
      <c r="E1449" s="1" t="s">
        <v>26</v>
      </c>
      <c r="F1449" s="2">
        <v>45760.638194444444</v>
      </c>
      <c r="G1449" s="1" t="s">
        <v>1949</v>
      </c>
      <c r="H1449" s="1" t="s">
        <v>1949</v>
      </c>
      <c r="I1449" s="1" t="s">
        <v>83</v>
      </c>
      <c r="J1449" s="2">
        <v>45760.734722222223</v>
      </c>
      <c r="L1449" s="1" t="s">
        <v>18</v>
      </c>
      <c r="M1449" s="1" t="str">
        <f>_xlfn.XLOOKUP(I1449,Parâmetros!A:A,Parâmetros!B:B,_xlfn.XLOOKUP(Q1449,Parâmetros!F:F,Parâmetros!G:G,"NOVA MENSAGEM"))</f>
        <v>CLIENTE NÃO IDENTIFICADO</v>
      </c>
      <c r="N1449" s="1" t="str">
        <f>_xlfn.XLOOKUP(M1449,Parâmetros!K:K,Parâmetros!L:L,"")</f>
        <v>DK DE CLIENTE NÃO PREENCIDO / CLIENTE NÃO CONFIGURADO NO OBT</v>
      </c>
      <c r="O1449" s="1" t="str">
        <f>_xlfn.XLOOKUP(M1449,Parâmetros!B:B,Parâmetros!C:C,_xlfn.XLOOKUP(Base!M1407,Parâmetros!G:G,Parâmetros!H:H))</f>
        <v>INDEFINIDO</v>
      </c>
      <c r="P1449" s="1" t="str">
        <f>_xlfn.XLOOKUP(I1449,Parâmetros!A:A,Parâmetros!D:D,_xlfn.XLOOKUP(Q1449,Parâmetros!F:F,Parâmetros!I:I))</f>
        <v>OPERAÇÕES / SUPORTE KCS</v>
      </c>
      <c r="Q1449" s="1" t="str">
        <f t="shared" si="45"/>
        <v>COLUNA I</v>
      </c>
    </row>
    <row r="1450" spans="1:17" x14ac:dyDescent="0.25">
      <c r="A1450" s="1" t="str">
        <f>_xlfn.XLOOKUP(D1450,'Novo relatório'!B:B,'Novo relatório'!C:C,"RESOLVIDO")</f>
        <v>SABRE</v>
      </c>
      <c r="C1450" t="str">
        <f t="shared" si="44"/>
        <v>PENDENTE</v>
      </c>
      <c r="D1450" s="1">
        <v>3362764</v>
      </c>
      <c r="E1450" s="1" t="s">
        <v>26</v>
      </c>
      <c r="F1450" s="2">
        <v>45760.638194444444</v>
      </c>
      <c r="G1450" s="1" t="s">
        <v>2122</v>
      </c>
      <c r="H1450" s="1" t="s">
        <v>2122</v>
      </c>
      <c r="I1450" s="1" t="s">
        <v>83</v>
      </c>
      <c r="J1450" s="2">
        <v>45760.734722222223</v>
      </c>
      <c r="L1450" s="1" t="s">
        <v>18</v>
      </c>
      <c r="M1450" s="1" t="str">
        <f>_xlfn.XLOOKUP(I1450,Parâmetros!A:A,Parâmetros!B:B,_xlfn.XLOOKUP(Q1450,Parâmetros!F:F,Parâmetros!G:G,"NOVA MENSAGEM"))</f>
        <v>CLIENTE NÃO IDENTIFICADO</v>
      </c>
      <c r="N1450" s="1" t="str">
        <f>_xlfn.XLOOKUP(M1450,Parâmetros!K:K,Parâmetros!L:L,"")</f>
        <v>DK DE CLIENTE NÃO PREENCIDO / CLIENTE NÃO CONFIGURADO NO OBT</v>
      </c>
      <c r="O1450" s="1" t="str">
        <f>_xlfn.XLOOKUP(M1450,Parâmetros!B:B,Parâmetros!C:C,_xlfn.XLOOKUP(Base!M1552,Parâmetros!G:G,Parâmetros!H:H))</f>
        <v>INDEFINIDO</v>
      </c>
      <c r="P1450" s="1" t="str">
        <f>_xlfn.XLOOKUP(I1450,Parâmetros!A:A,Parâmetros!D:D,_xlfn.XLOOKUP(Q1450,Parâmetros!F:F,Parâmetros!I:I))</f>
        <v>OPERAÇÕES / SUPORTE KCS</v>
      </c>
      <c r="Q1450" s="1" t="str">
        <f t="shared" si="45"/>
        <v>COLUNA I</v>
      </c>
    </row>
    <row r="1451" spans="1:17" x14ac:dyDescent="0.25">
      <c r="A1451" s="1" t="str">
        <f>_xlfn.XLOOKUP(D1451,'Novo relatório'!B:B,'Novo relatório'!C:C,"RESOLVIDO")</f>
        <v>SABRE</v>
      </c>
      <c r="C1451" t="str">
        <f t="shared" si="44"/>
        <v>PENDENTE</v>
      </c>
      <c r="D1451" s="1">
        <v>3362766</v>
      </c>
      <c r="E1451" s="1" t="s">
        <v>26</v>
      </c>
      <c r="F1451" s="2">
        <v>45760.638194444444</v>
      </c>
      <c r="G1451" s="1" t="s">
        <v>1931</v>
      </c>
      <c r="H1451" s="1" t="s">
        <v>1931</v>
      </c>
      <c r="I1451" s="1" t="s">
        <v>83</v>
      </c>
      <c r="J1451" s="2">
        <v>45760.734722222223</v>
      </c>
      <c r="L1451" s="1" t="s">
        <v>18</v>
      </c>
      <c r="M1451" s="1" t="str">
        <f>_xlfn.XLOOKUP(I1451,Parâmetros!A:A,Parâmetros!B:B,_xlfn.XLOOKUP(Q1451,Parâmetros!F:F,Parâmetros!G:G,"NOVA MENSAGEM"))</f>
        <v>CLIENTE NÃO IDENTIFICADO</v>
      </c>
      <c r="N1451" s="1" t="str">
        <f>_xlfn.XLOOKUP(M1451,Parâmetros!K:K,Parâmetros!L:L,"")</f>
        <v>DK DE CLIENTE NÃO PREENCIDO / CLIENTE NÃO CONFIGURADO NO OBT</v>
      </c>
      <c r="O1451" s="1" t="str">
        <f>_xlfn.XLOOKUP(M1451,Parâmetros!B:B,Parâmetros!C:C,_xlfn.XLOOKUP(Base!M1391,Parâmetros!G:G,Parâmetros!H:H))</f>
        <v>INDEFINIDO</v>
      </c>
      <c r="P1451" s="1" t="str">
        <f>_xlfn.XLOOKUP(I1451,Parâmetros!A:A,Parâmetros!D:D,_xlfn.XLOOKUP(Q1451,Parâmetros!F:F,Parâmetros!I:I))</f>
        <v>OPERAÇÕES / SUPORTE KCS</v>
      </c>
      <c r="Q1451" s="1" t="str">
        <f t="shared" si="45"/>
        <v>COLUNA I</v>
      </c>
    </row>
    <row r="1452" spans="1:17" x14ac:dyDescent="0.25">
      <c r="A1452" s="1" t="str">
        <f>_xlfn.XLOOKUP(D1452,'Novo relatório'!B:B,'Novo relatório'!C:C,"RESOLVIDO")</f>
        <v>SABRE</v>
      </c>
      <c r="C1452" t="str">
        <f t="shared" si="44"/>
        <v>PENDENTE</v>
      </c>
      <c r="D1452" s="1">
        <v>3363262</v>
      </c>
      <c r="E1452" s="1" t="s">
        <v>26</v>
      </c>
      <c r="F1452" s="2">
        <v>45761.427083333336</v>
      </c>
      <c r="G1452" s="1" t="s">
        <v>2110</v>
      </c>
      <c r="H1452" s="1" t="s">
        <v>2110</v>
      </c>
      <c r="I1452" s="1" t="s">
        <v>707</v>
      </c>
      <c r="J1452" s="2">
        <v>45761.513194444444</v>
      </c>
      <c r="L1452" s="1" t="s">
        <v>18</v>
      </c>
      <c r="M1452" s="1" t="str">
        <f>_xlfn.XLOOKUP(I1452,Parâmetros!A:A,Parâmetros!B:B,_xlfn.XLOOKUP(Q1452,Parâmetros!F:F,Parâmetros!G:G,"NOVA MENSAGEM"))</f>
        <v>CÓD. CLIENTE DIVERGENTE</v>
      </c>
      <c r="N1452" s="1" t="str">
        <f>_xlfn.XLOOKUP(M1452,Parâmetros!K:K,Parâmetros!L:L,"")</f>
        <v>CÓDIGO DIFERENTE DO CADASTRADO NO BENNER (CLIENTE X GRUPO)</v>
      </c>
      <c r="O1452" s="1" t="str">
        <f>_xlfn.XLOOKUP(M1452,Parâmetros!B:B,Parâmetros!C:C,_xlfn.XLOOKUP(Base!M1542,Parâmetros!G:G,Parâmetros!H:H))</f>
        <v>QUALIDADE DOS DADOS</v>
      </c>
      <c r="P1452" s="1" t="str">
        <f>_xlfn.XLOOKUP(I1452,Parâmetros!A:A,Parâmetros!D:D,_xlfn.XLOOKUP(Q1452,Parâmetros!F:F,Parâmetros!I:I))</f>
        <v>SUPORTE OBT</v>
      </c>
      <c r="Q1452" s="1">
        <f t="shared" si="45"/>
        <v>1</v>
      </c>
    </row>
    <row r="1453" spans="1:17" x14ac:dyDescent="0.25">
      <c r="A1453" s="1" t="str">
        <f>_xlfn.XLOOKUP(D1453,'Novo relatório'!B:B,'Novo relatório'!C:C,"RESOLVIDO")</f>
        <v>RESOLVIDO</v>
      </c>
      <c r="C1453" t="str">
        <f t="shared" si="44"/>
        <v>RESOLVIDO</v>
      </c>
      <c r="D1453" s="1">
        <v>3363911</v>
      </c>
      <c r="E1453" s="1" t="s">
        <v>12</v>
      </c>
      <c r="F1453" s="2">
        <v>45761.398611111108</v>
      </c>
      <c r="G1453" s="1">
        <v>6523</v>
      </c>
      <c r="H1453" s="1">
        <v>6523</v>
      </c>
      <c r="I1453" s="1" t="s">
        <v>353</v>
      </c>
      <c r="J1453" s="2">
        <v>45761.643750000003</v>
      </c>
      <c r="K1453" s="2">
        <v>45764.946527777778</v>
      </c>
      <c r="L1453" s="1" t="s">
        <v>14</v>
      </c>
      <c r="M1453" s="1" t="str">
        <f>_xlfn.XLOOKUP(I1453,Parâmetros!A:A,Parâmetros!B:B,_xlfn.XLOOKUP(Q1453,Parâmetros!F:F,Parâmetros!G:G,"NOVA MENSAGEM"))</f>
        <v>FORMATO DE TEXTO</v>
      </c>
      <c r="N1453" s="1" t="str">
        <f>_xlfn.XLOOKUP(M1453,Parâmetros!K:K,Parâmetros!L:L,"")</f>
        <v>TEXTO FORA DO PADRÃO ACEITO NO CAMPO</v>
      </c>
      <c r="O1453" s="1" t="str">
        <f>_xlfn.XLOOKUP(M1453,Parâmetros!B:B,Parâmetros!C:C,_xlfn.XLOOKUP(Base!M1596,Parâmetros!G:G,Parâmetros!H:H))</f>
        <v>INDEFINIDO</v>
      </c>
      <c r="P1453" s="1" t="str">
        <f>_xlfn.XLOOKUP(I1453,Parâmetros!A:A,Parâmetros!D:D,_xlfn.XLOOKUP(Q1453,Parâmetros!F:F,Parâmetros!I:I))</f>
        <v>SUPORTE OBT</v>
      </c>
      <c r="Q1453" s="1" t="str">
        <f t="shared" si="45"/>
        <v>COLUNA I</v>
      </c>
    </row>
    <row r="1454" spans="1:17" x14ac:dyDescent="0.25">
      <c r="A1454" s="1" t="str">
        <f>_xlfn.XLOOKUP(D1454,'Novo relatório'!B:B,'Novo relatório'!C:C,"RESOLVIDO")</f>
        <v>TMS</v>
      </c>
      <c r="C1454" t="str">
        <f t="shared" si="44"/>
        <v>PENDENTE</v>
      </c>
      <c r="D1454" s="1">
        <v>3364210</v>
      </c>
      <c r="E1454" s="1" t="s">
        <v>12</v>
      </c>
      <c r="F1454" s="2">
        <v>45761.4375</v>
      </c>
      <c r="G1454" s="1">
        <v>15630</v>
      </c>
      <c r="H1454" s="1">
        <v>15630</v>
      </c>
      <c r="I1454" s="1" t="s">
        <v>16</v>
      </c>
      <c r="J1454" s="2">
        <v>45761.671527777777</v>
      </c>
      <c r="K1454" s="2">
        <v>45764.972222222219</v>
      </c>
      <c r="L1454" s="1" t="s">
        <v>14</v>
      </c>
      <c r="M1454" s="1" t="str">
        <f>_xlfn.XLOOKUP(I1454,Parâmetros!A:A,Parâmetros!B:B,_xlfn.XLOOKUP(Q1454,Parâmetros!F:F,Parâmetros!G:G,"NOVA MENSAGEM"))</f>
        <v>ASSENTO / BAGAGEM</v>
      </c>
      <c r="N1454" s="1" t="str">
        <f>_xlfn.XLOOKUP(M1454,Parâmetros!K:K,Parâmetros!L:L,"")</f>
        <v>CAMPO OBSERVAÇÃO PREENCHIDO INCORRETAMENTE</v>
      </c>
      <c r="O1454" s="1" t="str">
        <f>_xlfn.XLOOKUP(M1454,Parâmetros!B:B,Parâmetros!C:C,_xlfn.XLOOKUP(Base!M1569,Parâmetros!G:G,Parâmetros!H:H))</f>
        <v>QUALIDADE DOS DADOS</v>
      </c>
      <c r="P1454" s="1" t="str">
        <f>_xlfn.XLOOKUP(I1454,Parâmetros!A:A,Parâmetros!D:D,_xlfn.XLOOKUP(Q1454,Parâmetros!F:F,Parâmetros!I:I))</f>
        <v>OPERAÇÕES / SUPORTE KCS</v>
      </c>
      <c r="Q1454" s="1">
        <f t="shared" si="45"/>
        <v>118</v>
      </c>
    </row>
    <row r="1455" spans="1:17" x14ac:dyDescent="0.25">
      <c r="A1455" s="1" t="str">
        <f>_xlfn.XLOOKUP(D1455,'Novo relatório'!B:B,'Novo relatório'!C:C,"RESOLVIDO")</f>
        <v>SABRE</v>
      </c>
      <c r="C1455" t="str">
        <f t="shared" si="44"/>
        <v>PENDENTE</v>
      </c>
      <c r="D1455" s="1">
        <v>3364374</v>
      </c>
      <c r="E1455" s="1" t="s">
        <v>26</v>
      </c>
      <c r="F1455" s="2">
        <v>45761.615277777775</v>
      </c>
      <c r="G1455" s="1" t="s">
        <v>2125</v>
      </c>
      <c r="H1455" s="1" t="s">
        <v>2125</v>
      </c>
      <c r="I1455" s="1" t="s">
        <v>620</v>
      </c>
      <c r="J1455" s="2">
        <v>45761.699305555558</v>
      </c>
      <c r="L1455" s="1" t="s">
        <v>18</v>
      </c>
      <c r="M1455" s="1" t="str">
        <f>_xlfn.XLOOKUP(I1455,Parâmetros!A:A,Parâmetros!B:B,_xlfn.XLOOKUP(Q1455,Parâmetros!F:F,Parâmetros!G:G,"NOVA MENSAGEM"))</f>
        <v>CÓD. CLIENTE DIVERGENTE</v>
      </c>
      <c r="N1455" s="1" t="str">
        <f>_xlfn.XLOOKUP(M1455,Parâmetros!K:K,Parâmetros!L:L,"")</f>
        <v>CÓDIGO DIFERENTE DO CADASTRADO NO BENNER (CLIENTE X GRUPO)</v>
      </c>
      <c r="O1455" s="1" t="str">
        <f>_xlfn.XLOOKUP(M1455,Parâmetros!B:B,Parâmetros!C:C,_xlfn.XLOOKUP(Base!M1555,Parâmetros!G:G,Parâmetros!H:H))</f>
        <v>QUALIDADE DOS DADOS</v>
      </c>
      <c r="P1455" s="1" t="str">
        <f>_xlfn.XLOOKUP(I1455,Parâmetros!A:A,Parâmetros!D:D,_xlfn.XLOOKUP(Q1455,Parâmetros!F:F,Parâmetros!I:I))</f>
        <v>SUPORTE OBT</v>
      </c>
      <c r="Q1455" s="1">
        <f t="shared" si="45"/>
        <v>1</v>
      </c>
    </row>
    <row r="1456" spans="1:17" x14ac:dyDescent="0.25">
      <c r="A1456" s="1" t="str">
        <f>_xlfn.XLOOKUP(D1456,'Novo relatório'!B:B,'Novo relatório'!C:C,"RESOLVIDO")</f>
        <v>SABRE</v>
      </c>
      <c r="C1456" t="str">
        <f t="shared" si="44"/>
        <v>PENDENTE</v>
      </c>
      <c r="D1456" s="1">
        <v>3364376</v>
      </c>
      <c r="E1456" s="1" t="s">
        <v>26</v>
      </c>
      <c r="F1456" s="2">
        <v>45761.615277777775</v>
      </c>
      <c r="G1456" s="1" t="s">
        <v>1994</v>
      </c>
      <c r="H1456" s="1" t="s">
        <v>1994</v>
      </c>
      <c r="I1456" s="1" t="s">
        <v>396</v>
      </c>
      <c r="J1456" s="2">
        <v>45761.7</v>
      </c>
      <c r="L1456" s="1" t="s">
        <v>18</v>
      </c>
      <c r="M1456" s="1" t="str">
        <f>_xlfn.XLOOKUP(I1456,Parâmetros!A:A,Parâmetros!B:B,_xlfn.XLOOKUP(Q1456,Parâmetros!F:F,Parâmetros!G:G,"NOVA MENSAGEM"))</f>
        <v>CÓD. CLIENTE DIVERGENTE</v>
      </c>
      <c r="N1456" s="1" t="str">
        <f>_xlfn.XLOOKUP(M1456,Parâmetros!K:K,Parâmetros!L:L,"")</f>
        <v>CÓDIGO DIFERENTE DO CADASTRADO NO BENNER (CLIENTE X GRUPO)</v>
      </c>
      <c r="O1456" s="1" t="str">
        <f>_xlfn.XLOOKUP(M1456,Parâmetros!B:B,Parâmetros!C:C,_xlfn.XLOOKUP(Base!M1448,Parâmetros!G:G,Parâmetros!H:H))</f>
        <v>QUALIDADE DOS DADOS</v>
      </c>
      <c r="P1456" s="1" t="str">
        <f>_xlfn.XLOOKUP(I1456,Parâmetros!A:A,Parâmetros!D:D,_xlfn.XLOOKUP(Q1456,Parâmetros!F:F,Parâmetros!I:I))</f>
        <v>SUPORTE OBT</v>
      </c>
      <c r="Q1456" s="1">
        <f t="shared" si="45"/>
        <v>1</v>
      </c>
    </row>
    <row r="1457" spans="1:17" x14ac:dyDescent="0.25">
      <c r="A1457" s="1" t="str">
        <f>_xlfn.XLOOKUP(D1457,'Novo relatório'!B:B,'Novo relatório'!C:C,"RESOLVIDO")</f>
        <v>SABRE</v>
      </c>
      <c r="C1457" t="str">
        <f t="shared" si="44"/>
        <v>PENDENTE</v>
      </c>
      <c r="D1457" s="1">
        <v>3364391</v>
      </c>
      <c r="E1457" s="1" t="s">
        <v>26</v>
      </c>
      <c r="F1457" s="2">
        <v>45761.615277777775</v>
      </c>
      <c r="G1457" s="1" t="s">
        <v>1936</v>
      </c>
      <c r="H1457" s="1" t="s">
        <v>1936</v>
      </c>
      <c r="I1457" s="1" t="s">
        <v>410</v>
      </c>
      <c r="J1457" s="2">
        <v>45761.701388888891</v>
      </c>
      <c r="L1457" s="1" t="s">
        <v>18</v>
      </c>
      <c r="M1457" s="1" t="str">
        <f>_xlfn.XLOOKUP(I1457,Parâmetros!A:A,Parâmetros!B:B,_xlfn.XLOOKUP(Q1457,Parâmetros!F:F,Parâmetros!G:G,"NOVA MENSAGEM"))</f>
        <v>CÓD. CLIENTE DIVERGENTE</v>
      </c>
      <c r="N1457" s="1" t="str">
        <f>_xlfn.XLOOKUP(M1457,Parâmetros!K:K,Parâmetros!L:L,"")</f>
        <v>CÓDIGO DIFERENTE DO CADASTRADO NO BENNER (CLIENTE X GRUPO)</v>
      </c>
      <c r="O1457" s="1" t="str">
        <f>_xlfn.XLOOKUP(M1457,Parâmetros!B:B,Parâmetros!C:C,_xlfn.XLOOKUP(Base!M1395,Parâmetros!G:G,Parâmetros!H:H))</f>
        <v>QUALIDADE DOS DADOS</v>
      </c>
      <c r="P1457" s="1" t="str">
        <f>_xlfn.XLOOKUP(I1457,Parâmetros!A:A,Parâmetros!D:D,_xlfn.XLOOKUP(Q1457,Parâmetros!F:F,Parâmetros!I:I))</f>
        <v>SUPORTE OBT</v>
      </c>
      <c r="Q1457" s="1">
        <f t="shared" si="45"/>
        <v>1</v>
      </c>
    </row>
    <row r="1458" spans="1:17" x14ac:dyDescent="0.25">
      <c r="A1458" s="1" t="str">
        <f>_xlfn.XLOOKUP(D1458,'Novo relatório'!B:B,'Novo relatório'!C:C,"RESOLVIDO")</f>
        <v>SABRE</v>
      </c>
      <c r="C1458" t="str">
        <f t="shared" si="44"/>
        <v>PENDENTE</v>
      </c>
      <c r="D1458" s="1">
        <v>3364398</v>
      </c>
      <c r="E1458" s="1" t="s">
        <v>26</v>
      </c>
      <c r="F1458" s="2">
        <v>45761.615277777775</v>
      </c>
      <c r="G1458" s="1" t="s">
        <v>2115</v>
      </c>
      <c r="H1458" s="1" t="s">
        <v>2115</v>
      </c>
      <c r="I1458" s="1" t="s">
        <v>409</v>
      </c>
      <c r="J1458" s="2">
        <v>45761.70208333333</v>
      </c>
      <c r="L1458" s="1" t="s">
        <v>18</v>
      </c>
      <c r="M1458" s="1" t="str">
        <f>_xlfn.XLOOKUP(I1458,Parâmetros!A:A,Parâmetros!B:B,_xlfn.XLOOKUP(Q1458,Parâmetros!F:F,Parâmetros!G:G,"NOVA MENSAGEM"))</f>
        <v>CÓD. CLIENTE DIVERGENTE</v>
      </c>
      <c r="N1458" s="1" t="str">
        <f>_xlfn.XLOOKUP(M1458,Parâmetros!K:K,Parâmetros!L:L,"")</f>
        <v>CÓDIGO DIFERENTE DO CADASTRADO NO BENNER (CLIENTE X GRUPO)</v>
      </c>
      <c r="O1458" s="1" t="str">
        <f>_xlfn.XLOOKUP(M1458,Parâmetros!B:B,Parâmetros!C:C,_xlfn.XLOOKUP(Base!M1547,Parâmetros!G:G,Parâmetros!H:H))</f>
        <v>QUALIDADE DOS DADOS</v>
      </c>
      <c r="P1458" s="1" t="str">
        <f>_xlfn.XLOOKUP(I1458,Parâmetros!A:A,Parâmetros!D:D,_xlfn.XLOOKUP(Q1458,Parâmetros!F:F,Parâmetros!I:I))</f>
        <v>SUPORTE OBT</v>
      </c>
      <c r="Q1458" s="1">
        <f t="shared" si="45"/>
        <v>1</v>
      </c>
    </row>
    <row r="1459" spans="1:17" x14ac:dyDescent="0.25">
      <c r="A1459" s="1" t="str">
        <f>_xlfn.XLOOKUP(D1459,'Novo relatório'!B:B,'Novo relatório'!C:C,"RESOLVIDO")</f>
        <v>SABRE</v>
      </c>
      <c r="C1459" t="str">
        <f t="shared" si="44"/>
        <v>PENDENTE</v>
      </c>
      <c r="D1459" s="1">
        <v>3364621</v>
      </c>
      <c r="E1459" s="1" t="s">
        <v>26</v>
      </c>
      <c r="F1459" s="2">
        <v>45761.668749999997</v>
      </c>
      <c r="G1459" s="1" t="s">
        <v>2066</v>
      </c>
      <c r="H1459" s="1" t="s">
        <v>2067</v>
      </c>
      <c r="I1459" s="1" t="s">
        <v>85</v>
      </c>
      <c r="J1459" s="2">
        <v>45761.761111111111</v>
      </c>
      <c r="L1459" s="1" t="s">
        <v>18</v>
      </c>
      <c r="M1459" s="1" t="str">
        <f>_xlfn.XLOOKUP(I1459,Parâmetros!A:A,Parâmetros!B:B,_xlfn.XLOOKUP(Q1459,Parâmetros!F:F,Parâmetros!G:G,"NOVA MENSAGEM"))</f>
        <v>CLIENTE NÃO IDENTIFICADO</v>
      </c>
      <c r="N1459" s="1" t="str">
        <f>_xlfn.XLOOKUP(M1459,Parâmetros!K:K,Parâmetros!L:L,"")</f>
        <v>DK DE CLIENTE NÃO PREENCIDO / CLIENTE NÃO CONFIGURADO NO OBT</v>
      </c>
      <c r="O1459" s="1" t="str">
        <f>_xlfn.XLOOKUP(M1459,Parâmetros!B:B,Parâmetros!C:C,_xlfn.XLOOKUP(Base!M1510,Parâmetros!G:G,Parâmetros!H:H))</f>
        <v>INDEFINIDO</v>
      </c>
      <c r="P1459" s="1" t="str">
        <f>_xlfn.XLOOKUP(I1459,Parâmetros!A:A,Parâmetros!D:D,_xlfn.XLOOKUP(Q1459,Parâmetros!F:F,Parâmetros!I:I))</f>
        <v>OPERAÇÕES / SUPORTE KCS</v>
      </c>
      <c r="Q1459" s="1" t="str">
        <f t="shared" si="45"/>
        <v>COLUNA I</v>
      </c>
    </row>
    <row r="1460" spans="1:17" x14ac:dyDescent="0.25">
      <c r="A1460" s="1" t="str">
        <f>_xlfn.XLOOKUP(D1460,'Novo relatório'!B:B,'Novo relatório'!C:C,"RESOLVIDO")</f>
        <v>SABRE</v>
      </c>
      <c r="C1460" t="str">
        <f t="shared" si="44"/>
        <v>PENDENTE</v>
      </c>
      <c r="D1460" s="1">
        <v>3364744</v>
      </c>
      <c r="E1460" s="1" t="s">
        <v>26</v>
      </c>
      <c r="F1460" s="2">
        <v>45761.734722222223</v>
      </c>
      <c r="G1460" s="1" t="s">
        <v>1980</v>
      </c>
      <c r="H1460" s="1" t="s">
        <v>1980</v>
      </c>
      <c r="I1460" s="1" t="s">
        <v>409</v>
      </c>
      <c r="J1460" s="2">
        <v>45761.824305555558</v>
      </c>
      <c r="L1460" s="1" t="s">
        <v>18</v>
      </c>
      <c r="M1460" s="1" t="str">
        <f>_xlfn.XLOOKUP(I1460,Parâmetros!A:A,Parâmetros!B:B,_xlfn.XLOOKUP(Q1460,Parâmetros!F:F,Parâmetros!G:G,"NOVA MENSAGEM"))</f>
        <v>CÓD. CLIENTE DIVERGENTE</v>
      </c>
      <c r="N1460" s="1" t="str">
        <f>_xlfn.XLOOKUP(M1460,Parâmetros!K:K,Parâmetros!L:L,"")</f>
        <v>CÓDIGO DIFERENTE DO CADASTRADO NO BENNER (CLIENTE X GRUPO)</v>
      </c>
      <c r="O1460" s="1" t="str">
        <f>_xlfn.XLOOKUP(M1460,Parâmetros!B:B,Parâmetros!C:C,_xlfn.XLOOKUP(Base!M1436,Parâmetros!G:G,Parâmetros!H:H))</f>
        <v>QUALIDADE DOS DADOS</v>
      </c>
      <c r="P1460" s="1" t="str">
        <f>_xlfn.XLOOKUP(I1460,Parâmetros!A:A,Parâmetros!D:D,_xlfn.XLOOKUP(Q1460,Parâmetros!F:F,Parâmetros!I:I))</f>
        <v>SUPORTE OBT</v>
      </c>
      <c r="Q1460" s="1">
        <f t="shared" si="45"/>
        <v>1</v>
      </c>
    </row>
    <row r="1461" spans="1:17" x14ac:dyDescent="0.25">
      <c r="A1461" s="1" t="str">
        <f>_xlfn.XLOOKUP(D1461,'Novo relatório'!B:B,'Novo relatório'!C:C,"RESOLVIDO")</f>
        <v>SABRE</v>
      </c>
      <c r="C1461" t="str">
        <f t="shared" si="44"/>
        <v>PENDENTE</v>
      </c>
      <c r="D1461" s="1">
        <v>3364761</v>
      </c>
      <c r="E1461" s="1" t="s">
        <v>26</v>
      </c>
      <c r="F1461" s="2">
        <v>45761.734722222223</v>
      </c>
      <c r="G1461" s="1" t="s">
        <v>2034</v>
      </c>
      <c r="H1461" s="1" t="s">
        <v>2034</v>
      </c>
      <c r="I1461" s="1" t="s">
        <v>410</v>
      </c>
      <c r="J1461" s="2">
        <v>45761.825694444444</v>
      </c>
      <c r="L1461" s="1" t="s">
        <v>18</v>
      </c>
      <c r="M1461" s="1" t="str">
        <f>_xlfn.XLOOKUP(I1461,Parâmetros!A:A,Parâmetros!B:B,_xlfn.XLOOKUP(Q1461,Parâmetros!F:F,Parâmetros!G:G,"NOVA MENSAGEM"))</f>
        <v>CÓD. CLIENTE DIVERGENTE</v>
      </c>
      <c r="N1461" s="1" t="str">
        <f>_xlfn.XLOOKUP(M1461,Parâmetros!K:K,Parâmetros!L:L,"")</f>
        <v>CÓDIGO DIFERENTE DO CADASTRADO NO BENNER (CLIENTE X GRUPO)</v>
      </c>
      <c r="O1461" s="1" t="str">
        <f>_xlfn.XLOOKUP(M1461,Parâmetros!B:B,Parâmetros!C:C,_xlfn.XLOOKUP(Base!M1484,Parâmetros!G:G,Parâmetros!H:H))</f>
        <v>QUALIDADE DOS DADOS</v>
      </c>
      <c r="P1461" s="1" t="str">
        <f>_xlfn.XLOOKUP(I1461,Parâmetros!A:A,Parâmetros!D:D,_xlfn.XLOOKUP(Q1461,Parâmetros!F:F,Parâmetros!I:I))</f>
        <v>SUPORTE OBT</v>
      </c>
      <c r="Q1461" s="1">
        <f t="shared" si="45"/>
        <v>1</v>
      </c>
    </row>
    <row r="1462" spans="1:17" x14ac:dyDescent="0.25">
      <c r="A1462" s="1" t="str">
        <f>_xlfn.XLOOKUP(D1462,'Novo relatório'!B:B,'Novo relatório'!C:C,"RESOLVIDO")</f>
        <v>SABRE</v>
      </c>
      <c r="C1462" t="str">
        <f t="shared" si="44"/>
        <v>PENDENTE</v>
      </c>
      <c r="D1462" s="1">
        <v>3364771</v>
      </c>
      <c r="E1462" s="1" t="s">
        <v>26</v>
      </c>
      <c r="F1462" s="2">
        <v>45761.760416666664</v>
      </c>
      <c r="G1462" s="1" t="s">
        <v>2108</v>
      </c>
      <c r="H1462" s="1" t="s">
        <v>2108</v>
      </c>
      <c r="I1462" s="1" t="s">
        <v>83</v>
      </c>
      <c r="J1462" s="2">
        <v>45761.845138888886</v>
      </c>
      <c r="L1462" s="1" t="s">
        <v>18</v>
      </c>
      <c r="M1462" s="1" t="str">
        <f>_xlfn.XLOOKUP(I1462,Parâmetros!A:A,Parâmetros!B:B,_xlfn.XLOOKUP(Q1462,Parâmetros!F:F,Parâmetros!G:G,"NOVA MENSAGEM"))</f>
        <v>CLIENTE NÃO IDENTIFICADO</v>
      </c>
      <c r="N1462" s="1" t="str">
        <f>_xlfn.XLOOKUP(M1462,Parâmetros!K:K,Parâmetros!L:L,"")</f>
        <v>DK DE CLIENTE NÃO PREENCIDO / CLIENTE NÃO CONFIGURADO NO OBT</v>
      </c>
      <c r="O1462" s="1" t="str">
        <f>_xlfn.XLOOKUP(M1462,Parâmetros!B:B,Parâmetros!C:C,_xlfn.XLOOKUP(Base!M1540,Parâmetros!G:G,Parâmetros!H:H))</f>
        <v>INDEFINIDO</v>
      </c>
      <c r="P1462" s="1" t="str">
        <f>_xlfn.XLOOKUP(I1462,Parâmetros!A:A,Parâmetros!D:D,_xlfn.XLOOKUP(Q1462,Parâmetros!F:F,Parâmetros!I:I))</f>
        <v>OPERAÇÕES / SUPORTE KCS</v>
      </c>
      <c r="Q1462" s="1" t="str">
        <f t="shared" si="45"/>
        <v>COLUNA I</v>
      </c>
    </row>
    <row r="1463" spans="1:17" x14ac:dyDescent="0.25">
      <c r="A1463" s="1" t="str">
        <f>_xlfn.XLOOKUP(D1463,'Novo relatório'!B:B,'Novo relatório'!C:C,"RESOLVIDO")</f>
        <v>SABRE</v>
      </c>
      <c r="C1463" t="str">
        <f t="shared" si="44"/>
        <v>PENDENTE</v>
      </c>
      <c r="D1463" s="1">
        <v>3364773</v>
      </c>
      <c r="E1463" s="1" t="s">
        <v>26</v>
      </c>
      <c r="F1463" s="2">
        <v>45761.760416666664</v>
      </c>
      <c r="G1463" s="1" t="s">
        <v>1942</v>
      </c>
      <c r="H1463" s="1" t="s">
        <v>1942</v>
      </c>
      <c r="I1463" s="1" t="s">
        <v>411</v>
      </c>
      <c r="J1463" s="2">
        <v>45761.845138888886</v>
      </c>
      <c r="L1463" s="1" t="s">
        <v>18</v>
      </c>
      <c r="M1463" s="1" t="str">
        <f>_xlfn.XLOOKUP(I1463,Parâmetros!A:A,Parâmetros!B:B,_xlfn.XLOOKUP(Q1463,Parâmetros!F:F,Parâmetros!G:G,"NOVA MENSAGEM"))</f>
        <v>REMARK - CNPJ</v>
      </c>
      <c r="N1463" s="1" t="str">
        <f>_xlfn.XLOOKUP(M1463,Parâmetros!K:K,Parâmetros!L:L,"")</f>
        <v/>
      </c>
      <c r="O1463" s="1" t="e">
        <f>_xlfn.XLOOKUP(M1463,Parâmetros!B:B,Parâmetros!C:C,_xlfn.XLOOKUP(Base!M1400,Parâmetros!G:G,Parâmetros!H:H))</f>
        <v>#N/A</v>
      </c>
      <c r="P1463" s="1" t="str">
        <f>_xlfn.XLOOKUP(I1463,Parâmetros!A:A,Parâmetros!D:D,_xlfn.XLOOKUP(Q1463,Parâmetros!F:F,Parâmetros!I:I))</f>
        <v>OPERAÇÕES / SUPORTE KCS</v>
      </c>
      <c r="Q1463" s="1">
        <f t="shared" si="45"/>
        <v>24</v>
      </c>
    </row>
    <row r="1464" spans="1:17" x14ac:dyDescent="0.25">
      <c r="A1464" s="1" t="str">
        <f>_xlfn.XLOOKUP(D1464,'Novo relatório'!B:B,'Novo relatório'!C:C,"RESOLVIDO")</f>
        <v>SABRE</v>
      </c>
      <c r="C1464" t="str">
        <f t="shared" si="44"/>
        <v>PENDENTE</v>
      </c>
      <c r="D1464" s="1">
        <v>3364777</v>
      </c>
      <c r="E1464" s="1" t="s">
        <v>26</v>
      </c>
      <c r="F1464" s="2">
        <v>45761.760416666664</v>
      </c>
      <c r="G1464" s="1" t="s">
        <v>2033</v>
      </c>
      <c r="H1464" s="1" t="s">
        <v>2033</v>
      </c>
      <c r="I1464" s="1" t="s">
        <v>410</v>
      </c>
      <c r="J1464" s="2">
        <v>45761.845833333333</v>
      </c>
      <c r="L1464" s="1" t="s">
        <v>18</v>
      </c>
      <c r="M1464" s="1" t="str">
        <f>_xlfn.XLOOKUP(I1464,Parâmetros!A:A,Parâmetros!B:B,_xlfn.XLOOKUP(Q1464,Parâmetros!F:F,Parâmetros!G:G,"NOVA MENSAGEM"))</f>
        <v>CÓD. CLIENTE DIVERGENTE</v>
      </c>
      <c r="N1464" s="1" t="str">
        <f>_xlfn.XLOOKUP(M1464,Parâmetros!K:K,Parâmetros!L:L,"")</f>
        <v>CÓDIGO DIFERENTE DO CADASTRADO NO BENNER (CLIENTE X GRUPO)</v>
      </c>
      <c r="O1464" s="1" t="str">
        <f>_xlfn.XLOOKUP(M1464,Parâmetros!B:B,Parâmetros!C:C,_xlfn.XLOOKUP(Base!M1483,Parâmetros!G:G,Parâmetros!H:H))</f>
        <v>QUALIDADE DOS DADOS</v>
      </c>
      <c r="P1464" s="1" t="str">
        <f>_xlfn.XLOOKUP(I1464,Parâmetros!A:A,Parâmetros!D:D,_xlfn.XLOOKUP(Q1464,Parâmetros!F:F,Parâmetros!I:I))</f>
        <v>SUPORTE OBT</v>
      </c>
      <c r="Q1464" s="1">
        <f t="shared" si="45"/>
        <v>1</v>
      </c>
    </row>
    <row r="1465" spans="1:17" x14ac:dyDescent="0.25">
      <c r="A1465" s="1" t="str">
        <f>_xlfn.XLOOKUP(D1465,'Novo relatório'!B:B,'Novo relatório'!C:C,"RESOLVIDO")</f>
        <v>SABRE</v>
      </c>
      <c r="C1465" t="str">
        <f t="shared" si="44"/>
        <v>PENDENTE</v>
      </c>
      <c r="D1465" s="1">
        <v>3365996</v>
      </c>
      <c r="E1465" s="1" t="s">
        <v>26</v>
      </c>
      <c r="F1465" s="2">
        <v>45762.415972222225</v>
      </c>
      <c r="G1465" s="1" t="s">
        <v>1979</v>
      </c>
      <c r="H1465" s="1" t="s">
        <v>1979</v>
      </c>
      <c r="I1465" s="1" t="s">
        <v>1857</v>
      </c>
      <c r="J1465" s="2">
        <v>45762.502083333333</v>
      </c>
      <c r="L1465" s="1" t="s">
        <v>18</v>
      </c>
      <c r="M1465" s="1" t="str">
        <f>_xlfn.XLOOKUP(I1465,Parâmetros!A:A,Parâmetros!B:B,_xlfn.XLOOKUP(Q1465,Parâmetros!F:F,Parâmetros!G:G,"NOVA MENSAGEM"))</f>
        <v>CÓD. CLIENTE DIVERGENTE</v>
      </c>
      <c r="N1465" s="1" t="str">
        <f>_xlfn.XLOOKUP(M1465,Parâmetros!K:K,Parâmetros!L:L,"")</f>
        <v>CÓDIGO DIFERENTE DO CADASTRADO NO BENNER (CLIENTE X GRUPO)</v>
      </c>
      <c r="O1465" s="1" t="str">
        <f>_xlfn.XLOOKUP(M1465,Parâmetros!B:B,Parâmetros!C:C,_xlfn.XLOOKUP(Base!M1435,Parâmetros!G:G,Parâmetros!H:H))</f>
        <v>QUALIDADE DOS DADOS</v>
      </c>
      <c r="P1465" s="1" t="str">
        <f>_xlfn.XLOOKUP(I1465,Parâmetros!A:A,Parâmetros!D:D,_xlfn.XLOOKUP(Q1465,Parâmetros!F:F,Parâmetros!I:I))</f>
        <v>SUPORTE OBT</v>
      </c>
      <c r="Q1465" s="1">
        <f t="shared" si="45"/>
        <v>1</v>
      </c>
    </row>
    <row r="1466" spans="1:17" x14ac:dyDescent="0.25">
      <c r="A1466" s="1" t="str">
        <f>_xlfn.XLOOKUP(D1466,'Novo relatório'!B:B,'Novo relatório'!C:C,"RESOLVIDO")</f>
        <v>RESOLVIDO</v>
      </c>
      <c r="C1466" t="str">
        <f t="shared" si="44"/>
        <v>RESOLVIDO</v>
      </c>
      <c r="D1466" s="1">
        <v>3366910</v>
      </c>
      <c r="E1466" s="1" t="s">
        <v>12</v>
      </c>
      <c r="F1466" s="2">
        <v>45762.613888888889</v>
      </c>
      <c r="G1466" s="1">
        <v>11753</v>
      </c>
      <c r="H1466" s="1">
        <v>11753</v>
      </c>
      <c r="I1466" s="1" t="s">
        <v>927</v>
      </c>
      <c r="J1466" s="2">
        <v>45762.68472222222</v>
      </c>
      <c r="K1466" s="2">
        <v>45765.932638888888</v>
      </c>
      <c r="L1466" s="1" t="s">
        <v>19</v>
      </c>
      <c r="M1466" s="1" t="str">
        <f>_xlfn.XLOOKUP(I1466,Parâmetros!A:A,Parâmetros!B:B,_xlfn.XLOOKUP(Q1466,Parâmetros!F:F,Parâmetros!G:G,"NOVA MENSAGEM"))</f>
        <v>CONTRATO FORNECEDOR</v>
      </c>
      <c r="N1466" s="1" t="str">
        <f>_xlfn.XLOOKUP(M1466,Parâmetros!K:K,Parâmetros!L:L,"")</f>
        <v>CONTRATO INATIVO OU DIVERGENTE</v>
      </c>
      <c r="O1466" s="1" t="str">
        <f>_xlfn.XLOOKUP(M1466,Parâmetros!B:B,Parâmetros!C:C,_xlfn.XLOOKUP(Base!M1566,Parâmetros!G:G,Parâmetros!H:H))</f>
        <v>SISTEMA</v>
      </c>
      <c r="P1466" s="1" t="str">
        <f>_xlfn.XLOOKUP(I1466,Parâmetros!A:A,Parâmetros!D:D,_xlfn.XLOOKUP(Q1466,Parâmetros!F:F,Parâmetros!I:I))</f>
        <v>OPERAÇÕES / SUPORTE KCS</v>
      </c>
      <c r="Q1466" s="1">
        <f t="shared" si="45"/>
        <v>69</v>
      </c>
    </row>
    <row r="1467" spans="1:17" x14ac:dyDescent="0.25">
      <c r="A1467" s="1" t="str">
        <f>_xlfn.XLOOKUP(D1467,'Novo relatório'!B:B,'Novo relatório'!C:C,"RESOLVIDO")</f>
        <v>SABRE</v>
      </c>
      <c r="C1467" t="str">
        <f t="shared" si="44"/>
        <v>PENDENTE</v>
      </c>
      <c r="D1467" s="1">
        <v>3367149</v>
      </c>
      <c r="E1467" s="1" t="s">
        <v>26</v>
      </c>
      <c r="F1467" s="2">
        <v>45763.375694444447</v>
      </c>
      <c r="G1467" s="1" t="s">
        <v>2041</v>
      </c>
      <c r="H1467" s="1" t="s">
        <v>2041</v>
      </c>
      <c r="I1467" s="1" t="s">
        <v>1761</v>
      </c>
      <c r="J1467" s="2">
        <v>45762.712500000001</v>
      </c>
      <c r="K1467" s="2">
        <v>45763.461805555555</v>
      </c>
      <c r="L1467" s="1" t="s">
        <v>18</v>
      </c>
      <c r="M1467" s="1" t="str">
        <f>_xlfn.XLOOKUP(I1467,Parâmetros!A:A,Parâmetros!B:B,_xlfn.XLOOKUP(Q1467,Parâmetros!F:F,Parâmetros!G:G,"NOVA MENSAGEM"))</f>
        <v>CÓD. CLIENTE DIVERGENTE</v>
      </c>
      <c r="N1467" s="1" t="str">
        <f>_xlfn.XLOOKUP(M1467,Parâmetros!K:K,Parâmetros!L:L,"")</f>
        <v>CÓDIGO DIFERENTE DO CADASTRADO NO BENNER (CLIENTE X GRUPO)</v>
      </c>
      <c r="O1467" s="1" t="str">
        <f>_xlfn.XLOOKUP(M1467,Parâmetros!B:B,Parâmetros!C:C,_xlfn.XLOOKUP(Base!M1488,Parâmetros!G:G,Parâmetros!H:H))</f>
        <v>QUALIDADE DOS DADOS</v>
      </c>
      <c r="P1467" s="1" t="str">
        <f>_xlfn.XLOOKUP(I1467,Parâmetros!A:A,Parâmetros!D:D,_xlfn.XLOOKUP(Q1467,Parâmetros!F:F,Parâmetros!I:I))</f>
        <v>SUPORTE OBT</v>
      </c>
      <c r="Q1467" s="1">
        <f t="shared" si="45"/>
        <v>1</v>
      </c>
    </row>
    <row r="1468" spans="1:17" x14ac:dyDescent="0.25">
      <c r="A1468" s="1" t="str">
        <f>_xlfn.XLOOKUP(D1468,'Novo relatório'!B:B,'Novo relatório'!C:C,"RESOLVIDO")</f>
        <v>SABRE</v>
      </c>
      <c r="C1468" t="str">
        <f t="shared" si="44"/>
        <v>PENDENTE</v>
      </c>
      <c r="D1468" s="1">
        <v>3367338</v>
      </c>
      <c r="E1468" s="1" t="s">
        <v>26</v>
      </c>
      <c r="F1468" s="2">
        <v>45763.600694444445</v>
      </c>
      <c r="G1468" s="1" t="s">
        <v>2105</v>
      </c>
      <c r="H1468" s="1" t="s">
        <v>2105</v>
      </c>
      <c r="I1468" s="1" t="s">
        <v>83</v>
      </c>
      <c r="J1468" s="2">
        <v>45762.772222222222</v>
      </c>
      <c r="K1468" s="2">
        <v>45763.688888888886</v>
      </c>
      <c r="L1468" s="1" t="s">
        <v>18</v>
      </c>
      <c r="M1468" s="1" t="str">
        <f>_xlfn.XLOOKUP(I1468,Parâmetros!A:A,Parâmetros!B:B,_xlfn.XLOOKUP(Q1468,Parâmetros!F:F,Parâmetros!G:G,"NOVA MENSAGEM"))</f>
        <v>CLIENTE NÃO IDENTIFICADO</v>
      </c>
      <c r="N1468" s="1" t="str">
        <f>_xlfn.XLOOKUP(M1468,Parâmetros!K:K,Parâmetros!L:L,"")</f>
        <v>DK DE CLIENTE NÃO PREENCIDO / CLIENTE NÃO CONFIGURADO NO OBT</v>
      </c>
      <c r="O1468" s="1" t="str">
        <f>_xlfn.XLOOKUP(M1468,Parâmetros!B:B,Parâmetros!C:C,_xlfn.XLOOKUP(Base!M1537,Parâmetros!G:G,Parâmetros!H:H))</f>
        <v>INDEFINIDO</v>
      </c>
      <c r="P1468" s="1" t="str">
        <f>_xlfn.XLOOKUP(I1468,Parâmetros!A:A,Parâmetros!D:D,_xlfn.XLOOKUP(Q1468,Parâmetros!F:F,Parâmetros!I:I))</f>
        <v>OPERAÇÕES / SUPORTE KCS</v>
      </c>
      <c r="Q1468" s="1" t="str">
        <f t="shared" si="45"/>
        <v>COLUNA I</v>
      </c>
    </row>
    <row r="1469" spans="1:17" x14ac:dyDescent="0.25">
      <c r="A1469" s="1" t="str">
        <f>_xlfn.XLOOKUP(D1469,'Novo relatório'!B:B,'Novo relatório'!C:C,"RESOLVIDO")</f>
        <v>SABRE</v>
      </c>
      <c r="C1469" t="str">
        <f t="shared" si="44"/>
        <v>PENDENTE</v>
      </c>
      <c r="D1469" s="1">
        <v>3367487</v>
      </c>
      <c r="E1469" s="1" t="s">
        <v>26</v>
      </c>
      <c r="F1469" s="2">
        <v>45762.784722222219</v>
      </c>
      <c r="G1469" s="1" t="s">
        <v>2029</v>
      </c>
      <c r="H1469" s="1" t="s">
        <v>2029</v>
      </c>
      <c r="I1469" s="1" t="s">
        <v>83</v>
      </c>
      <c r="J1469" s="2">
        <v>45762.876388888886</v>
      </c>
      <c r="L1469" s="1" t="s">
        <v>18</v>
      </c>
      <c r="M1469" s="1" t="str">
        <f>_xlfn.XLOOKUP(I1469,Parâmetros!A:A,Parâmetros!B:B,_xlfn.XLOOKUP(Q1469,Parâmetros!F:F,Parâmetros!G:G,"NOVA MENSAGEM"))</f>
        <v>CLIENTE NÃO IDENTIFICADO</v>
      </c>
      <c r="N1469" s="1" t="str">
        <f>_xlfn.XLOOKUP(M1469,Parâmetros!K:K,Parâmetros!L:L,"")</f>
        <v>DK DE CLIENTE NÃO PREENCIDO / CLIENTE NÃO CONFIGURADO NO OBT</v>
      </c>
      <c r="O1469" s="1" t="str">
        <f>_xlfn.XLOOKUP(M1469,Parâmetros!B:B,Parâmetros!C:C,_xlfn.XLOOKUP(Base!M1479,Parâmetros!G:G,Parâmetros!H:H))</f>
        <v>INDEFINIDO</v>
      </c>
      <c r="P1469" s="1" t="str">
        <f>_xlfn.XLOOKUP(I1469,Parâmetros!A:A,Parâmetros!D:D,_xlfn.XLOOKUP(Q1469,Parâmetros!F:F,Parâmetros!I:I))</f>
        <v>OPERAÇÕES / SUPORTE KCS</v>
      </c>
      <c r="Q1469" s="1" t="str">
        <f t="shared" si="45"/>
        <v>COLUNA I</v>
      </c>
    </row>
    <row r="1470" spans="1:17" x14ac:dyDescent="0.25">
      <c r="A1470" s="1" t="str">
        <f>_xlfn.XLOOKUP(D1470,'Novo relatório'!B:B,'Novo relatório'!C:C,"RESOLVIDO")</f>
        <v>SABRE</v>
      </c>
      <c r="C1470" t="str">
        <f t="shared" si="44"/>
        <v>PENDENTE</v>
      </c>
      <c r="D1470" s="1">
        <v>3367488</v>
      </c>
      <c r="E1470" s="1" t="s">
        <v>26</v>
      </c>
      <c r="F1470" s="2">
        <v>45762.784722222219</v>
      </c>
      <c r="G1470" s="1" t="s">
        <v>2061</v>
      </c>
      <c r="H1470" s="1" t="s">
        <v>2061</v>
      </c>
      <c r="I1470" s="1" t="s">
        <v>83</v>
      </c>
      <c r="J1470" s="2">
        <v>45762.876388888886</v>
      </c>
      <c r="L1470" s="1" t="s">
        <v>18</v>
      </c>
      <c r="M1470" s="1" t="str">
        <f>_xlfn.XLOOKUP(I1470,Parâmetros!A:A,Parâmetros!B:B,_xlfn.XLOOKUP(Q1470,Parâmetros!F:F,Parâmetros!G:G,"NOVA MENSAGEM"))</f>
        <v>CLIENTE NÃO IDENTIFICADO</v>
      </c>
      <c r="N1470" s="1" t="str">
        <f>_xlfn.XLOOKUP(M1470,Parâmetros!K:K,Parâmetros!L:L,"")</f>
        <v>DK DE CLIENTE NÃO PREENCIDO / CLIENTE NÃO CONFIGURADO NO OBT</v>
      </c>
      <c r="O1470" s="1" t="str">
        <f>_xlfn.XLOOKUP(M1470,Parâmetros!B:B,Parâmetros!C:C,_xlfn.XLOOKUP(Base!M1505,Parâmetros!G:G,Parâmetros!H:H))</f>
        <v>INDEFINIDO</v>
      </c>
      <c r="P1470" s="1" t="str">
        <f>_xlfn.XLOOKUP(I1470,Parâmetros!A:A,Parâmetros!D:D,_xlfn.XLOOKUP(Q1470,Parâmetros!F:F,Parâmetros!I:I))</f>
        <v>OPERAÇÕES / SUPORTE KCS</v>
      </c>
      <c r="Q1470" s="1" t="str">
        <f t="shared" si="45"/>
        <v>COLUNA I</v>
      </c>
    </row>
    <row r="1471" spans="1:17" x14ac:dyDescent="0.25">
      <c r="A1471" s="1" t="str">
        <f>_xlfn.XLOOKUP(D1471,'Novo relatório'!B:B,'Novo relatório'!C:C,"RESOLVIDO")</f>
        <v>SABRE</v>
      </c>
      <c r="C1471" t="str">
        <f t="shared" si="44"/>
        <v>PENDENTE</v>
      </c>
      <c r="D1471" s="1">
        <v>3367490</v>
      </c>
      <c r="E1471" s="1" t="s">
        <v>26</v>
      </c>
      <c r="F1471" s="2">
        <v>45762.784722222219</v>
      </c>
      <c r="G1471" s="1" t="s">
        <v>2027</v>
      </c>
      <c r="H1471" s="1" t="s">
        <v>2027</v>
      </c>
      <c r="I1471" s="1" t="s">
        <v>83</v>
      </c>
      <c r="J1471" s="2">
        <v>45762.876388888886</v>
      </c>
      <c r="L1471" s="1" t="s">
        <v>18</v>
      </c>
      <c r="M1471" s="1" t="str">
        <f>_xlfn.XLOOKUP(I1471,Parâmetros!A:A,Parâmetros!B:B,_xlfn.XLOOKUP(Q1471,Parâmetros!F:F,Parâmetros!G:G,"NOVA MENSAGEM"))</f>
        <v>CLIENTE NÃO IDENTIFICADO</v>
      </c>
      <c r="N1471" s="1" t="str">
        <f>_xlfn.XLOOKUP(M1471,Parâmetros!K:K,Parâmetros!L:L,"")</f>
        <v>DK DE CLIENTE NÃO PREENCIDO / CLIENTE NÃO CONFIGURADO NO OBT</v>
      </c>
      <c r="O1471" s="1" t="str">
        <f>_xlfn.XLOOKUP(M1471,Parâmetros!B:B,Parâmetros!C:C,_xlfn.XLOOKUP(Base!M1477,Parâmetros!G:G,Parâmetros!H:H))</f>
        <v>INDEFINIDO</v>
      </c>
      <c r="P1471" s="1" t="str">
        <f>_xlfn.XLOOKUP(I1471,Parâmetros!A:A,Parâmetros!D:D,_xlfn.XLOOKUP(Q1471,Parâmetros!F:F,Parâmetros!I:I))</f>
        <v>OPERAÇÕES / SUPORTE KCS</v>
      </c>
      <c r="Q1471" s="1" t="str">
        <f t="shared" si="45"/>
        <v>COLUNA I</v>
      </c>
    </row>
    <row r="1472" spans="1:17" x14ac:dyDescent="0.25">
      <c r="A1472" s="1" t="str">
        <f>_xlfn.XLOOKUP(D1472,'Novo relatório'!B:B,'Novo relatório'!C:C,"RESOLVIDO")</f>
        <v>SABRE</v>
      </c>
      <c r="C1472" t="str">
        <f t="shared" si="44"/>
        <v>PENDENTE</v>
      </c>
      <c r="D1472" s="1">
        <v>3367491</v>
      </c>
      <c r="E1472" s="1" t="s">
        <v>26</v>
      </c>
      <c r="F1472" s="2">
        <v>45762.784722222219</v>
      </c>
      <c r="G1472" s="1" t="s">
        <v>2004</v>
      </c>
      <c r="H1472" s="1" t="s">
        <v>2004</v>
      </c>
      <c r="I1472" s="1" t="s">
        <v>396</v>
      </c>
      <c r="J1472" s="2">
        <v>45762.876388888886</v>
      </c>
      <c r="L1472" s="1" t="s">
        <v>18</v>
      </c>
      <c r="M1472" s="1" t="str">
        <f>_xlfn.XLOOKUP(I1472,Parâmetros!A:A,Parâmetros!B:B,_xlfn.XLOOKUP(Q1472,Parâmetros!F:F,Parâmetros!G:G,"NOVA MENSAGEM"))</f>
        <v>CÓD. CLIENTE DIVERGENTE</v>
      </c>
      <c r="N1472" s="1" t="str">
        <f>_xlfn.XLOOKUP(M1472,Parâmetros!K:K,Parâmetros!L:L,"")</f>
        <v>CÓDIGO DIFERENTE DO CADASTRADO NO BENNER (CLIENTE X GRUPO)</v>
      </c>
      <c r="O1472" s="1" t="str">
        <f>_xlfn.XLOOKUP(M1472,Parâmetros!B:B,Parâmetros!C:C,_xlfn.XLOOKUP(Base!M1457,Parâmetros!G:G,Parâmetros!H:H))</f>
        <v>QUALIDADE DOS DADOS</v>
      </c>
      <c r="P1472" s="1" t="str">
        <f>_xlfn.XLOOKUP(I1472,Parâmetros!A:A,Parâmetros!D:D,_xlfn.XLOOKUP(Q1472,Parâmetros!F:F,Parâmetros!I:I))</f>
        <v>SUPORTE OBT</v>
      </c>
      <c r="Q1472" s="1">
        <f t="shared" si="45"/>
        <v>1</v>
      </c>
    </row>
    <row r="1473" spans="1:17" x14ac:dyDescent="0.25">
      <c r="A1473" s="1" t="str">
        <f>_xlfn.XLOOKUP(D1473,'Novo relatório'!B:B,'Novo relatório'!C:C,"RESOLVIDO")</f>
        <v>RESOLVIDO</v>
      </c>
      <c r="C1473" t="str">
        <f t="shared" si="44"/>
        <v>RESOLVIDO</v>
      </c>
      <c r="D1473" s="1">
        <v>3367696</v>
      </c>
      <c r="E1473" s="1" t="s">
        <v>12</v>
      </c>
      <c r="F1473" s="2">
        <v>45762.797222222223</v>
      </c>
      <c r="G1473" s="1">
        <v>30046</v>
      </c>
      <c r="H1473" s="1">
        <v>30046</v>
      </c>
      <c r="I1473" s="1" t="s">
        <v>2138</v>
      </c>
      <c r="J1473" s="2">
        <v>45762.901388888888</v>
      </c>
      <c r="K1473" s="2">
        <v>45765.931250000001</v>
      </c>
      <c r="L1473" s="1" t="s">
        <v>14</v>
      </c>
      <c r="M1473" s="1" t="str">
        <f>_xlfn.XLOOKUP(I1473,Parâmetros!A:A,Parâmetros!B:B,_xlfn.XLOOKUP(Q1473,Parâmetros!F:F,Parâmetros!G:G,"NOVA MENSAGEM"))</f>
        <v>NOVA MENSAGEM</v>
      </c>
      <c r="N1473" s="1" t="str">
        <f>_xlfn.XLOOKUP(M1473,Parâmetros!K:K,Parâmetros!L:L,"")</f>
        <v/>
      </c>
      <c r="O1473" s="1" t="e">
        <f>_xlfn.XLOOKUP(M1473,Parâmetros!B:B,Parâmetros!C:C,_xlfn.XLOOKUP(Base!M1582,Parâmetros!G:G,Parâmetros!H:H))</f>
        <v>#N/A</v>
      </c>
      <c r="P1473" s="1" t="e">
        <f>_xlfn.XLOOKUP(I1473,Parâmetros!A:A,Parâmetros!D:D,_xlfn.XLOOKUP(Q1473,Parâmetros!F:F,Parâmetros!I:I))</f>
        <v>#N/A</v>
      </c>
      <c r="Q1473" s="1">
        <f t="shared" si="45"/>
        <v>126</v>
      </c>
    </row>
    <row r="1474" spans="1:17" x14ac:dyDescent="0.25">
      <c r="A1474" s="1" t="str">
        <f>_xlfn.XLOOKUP(D1474,'Novo relatório'!B:B,'Novo relatório'!C:C,"RESOLVIDO")</f>
        <v>RESOLVIDO</v>
      </c>
      <c r="C1474" t="str">
        <f t="shared" ref="C1474:C1537" si="46">IF(A1474="RESOLVIDO","RESOLVIDO",IF(B1474="","PENDENTE",IF(LEFT(B1474,7)="CHAMADO","AGUARDANDO FORNECEDOR",IF(B1474="CONTABILIZAR","CONTABILIZAR NO PORTAL"))))</f>
        <v>RESOLVIDO</v>
      </c>
      <c r="D1474" s="1">
        <v>3367908</v>
      </c>
      <c r="E1474" s="1" t="s">
        <v>12</v>
      </c>
      <c r="F1474" s="2">
        <v>45762.727083333331</v>
      </c>
      <c r="G1474" s="1">
        <v>20662</v>
      </c>
      <c r="H1474" s="1">
        <v>20662</v>
      </c>
      <c r="I1474" s="1" t="s">
        <v>927</v>
      </c>
      <c r="J1474" s="2">
        <v>45762.920138888891</v>
      </c>
      <c r="K1474" s="2">
        <v>45765.932638888888</v>
      </c>
      <c r="L1474" s="1" t="s">
        <v>19</v>
      </c>
      <c r="M1474" s="1" t="str">
        <f>_xlfn.XLOOKUP(I1474,Parâmetros!A:A,Parâmetros!B:B,_xlfn.XLOOKUP(Q1474,Parâmetros!F:F,Parâmetros!G:G,"NOVA MENSAGEM"))</f>
        <v>CONTRATO FORNECEDOR</v>
      </c>
      <c r="N1474" s="1" t="str">
        <f>_xlfn.XLOOKUP(M1474,Parâmetros!K:K,Parâmetros!L:L,"")</f>
        <v>CONTRATO INATIVO OU DIVERGENTE</v>
      </c>
      <c r="O1474" s="1" t="str">
        <f>_xlfn.XLOOKUP(M1474,Parâmetros!B:B,Parâmetros!C:C,_xlfn.XLOOKUP(Base!M1575,Parâmetros!G:G,Parâmetros!H:H))</f>
        <v>SISTEMA</v>
      </c>
      <c r="P1474" s="1" t="str">
        <f>_xlfn.XLOOKUP(I1474,Parâmetros!A:A,Parâmetros!D:D,_xlfn.XLOOKUP(Q1474,Parâmetros!F:F,Parâmetros!I:I))</f>
        <v>OPERAÇÕES / SUPORTE KCS</v>
      </c>
      <c r="Q1474" s="1">
        <f t="shared" ref="Q1474:Q1537" si="47">IFERROR(FIND("Não foi possível localizar o contrato do fornecedor",I1474),IFERROR(FIND("veículo",I1474),IFERROR(FIND("agagem",I1474),IFERROR(FIND("error in XML document",I1474),IFERROR(FIND("Não localizado cliente código",I1474),IFERROR(FIND("lemontech",I1474),IFERROR(FIND("&gt;Fornecedor com o",I1474),IFERROR(FIND("INSERT",I1474),IFERROR(FIND("com CNPJ",I1474),IFERROR(FIND("Consultando Agente-&gt; O agente",I1474),IFERROR(FIND("Não foi possível determinar a validade do cartão, favor verificar os dados do cartão",I1474),"COLUNA I")))))))))))</f>
        <v>69</v>
      </c>
    </row>
    <row r="1475" spans="1:17" x14ac:dyDescent="0.25">
      <c r="A1475" s="1" t="str">
        <f>_xlfn.XLOOKUP(D1475,'Novo relatório'!B:B,'Novo relatório'!C:C,"RESOLVIDO")</f>
        <v>TMS</v>
      </c>
      <c r="C1475" t="str">
        <f t="shared" si="46"/>
        <v>PENDENTE</v>
      </c>
      <c r="D1475" s="1">
        <v>3368365</v>
      </c>
      <c r="E1475" s="1" t="s">
        <v>12</v>
      </c>
      <c r="F1475" s="2">
        <v>45763.379861111112</v>
      </c>
      <c r="G1475" s="1">
        <v>5171</v>
      </c>
      <c r="H1475" s="1">
        <v>5171</v>
      </c>
      <c r="I1475" s="1" t="s">
        <v>2134</v>
      </c>
      <c r="J1475" s="2">
        <v>45763.382638888892</v>
      </c>
      <c r="K1475" s="2">
        <v>45768.584722222222</v>
      </c>
      <c r="L1475" s="1" t="s">
        <v>14</v>
      </c>
      <c r="M1475" s="1" t="str">
        <f>_xlfn.XLOOKUP(I1475,Parâmetros!A:A,Parâmetros!B:B,_xlfn.XLOOKUP(Q1475,Parâmetros!F:F,Parâmetros!G:G,"NOVA MENSAGEM"))</f>
        <v>NOVA MENSAGEM</v>
      </c>
      <c r="N1475" s="1" t="str">
        <f>_xlfn.XLOOKUP(M1475,Parâmetros!K:K,Parâmetros!L:L,"")</f>
        <v/>
      </c>
      <c r="O1475" s="1" t="str">
        <f>_xlfn.XLOOKUP(M1475,Parâmetros!B:B,Parâmetros!C:C,_xlfn.XLOOKUP(Base!M1588,Parâmetros!G:G,Parâmetros!H:H))</f>
        <v>SISTEMA</v>
      </c>
      <c r="P1475" s="1" t="e">
        <f>_xlfn.XLOOKUP(I1475,Parâmetros!A:A,Parâmetros!D:D,_xlfn.XLOOKUP(Q1475,Parâmetros!F:F,Parâmetros!I:I))</f>
        <v>#N/A</v>
      </c>
      <c r="Q1475" s="1" t="str">
        <f t="shared" si="47"/>
        <v>COLUNA I</v>
      </c>
    </row>
    <row r="1476" spans="1:17" x14ac:dyDescent="0.25">
      <c r="A1476" s="1" t="str">
        <f>_xlfn.XLOOKUP(D1476,'Novo relatório'!B:B,'Novo relatório'!C:C,"RESOLVIDO")</f>
        <v>GOVER</v>
      </c>
      <c r="C1476" t="str">
        <f t="shared" si="46"/>
        <v>PENDENTE</v>
      </c>
      <c r="D1476" s="1">
        <v>3368368</v>
      </c>
      <c r="E1476" s="1" t="s">
        <v>24</v>
      </c>
      <c r="F1476" s="2">
        <v>45740.472916666666</v>
      </c>
      <c r="G1476" s="1">
        <v>4510978</v>
      </c>
      <c r="H1476" s="1">
        <v>4510978</v>
      </c>
      <c r="I1476" s="1" t="s">
        <v>77</v>
      </c>
      <c r="J1476" s="2">
        <v>45763.384722222225</v>
      </c>
      <c r="K1476" s="2">
        <v>45776.363888888889</v>
      </c>
      <c r="L1476" s="1" t="s">
        <v>14</v>
      </c>
      <c r="M1476" s="1" t="str">
        <f>_xlfn.XLOOKUP(I1476,Parâmetros!A:A,Parâmetros!B:B,_xlfn.XLOOKUP(Q1476,Parâmetros!F:F,Parâmetros!G:G,"NOVA MENSAGEM"))</f>
        <v>RLOC NÃO INFORMADO</v>
      </c>
      <c r="N1476" s="1" t="str">
        <f>_xlfn.XLOOKUP(M1476,Parâmetros!K:K,Parâmetros!L:L,"")</f>
        <v>RLOC NÃO PREENCHIDO NA RESERVA</v>
      </c>
      <c r="O1476" s="1" t="str">
        <f>_xlfn.XLOOKUP(M1476,Parâmetros!B:B,Parâmetros!C:C,_xlfn.XLOOKUP(Base!M1599,Parâmetros!G:G,Parâmetros!H:H))</f>
        <v>QUALIDADE DOS DADOS</v>
      </c>
      <c r="P1476" s="1" t="str">
        <f>_xlfn.XLOOKUP(I1476,Parâmetros!A:A,Parâmetros!D:D,_xlfn.XLOOKUP(Q1476,Parâmetros!F:F,Parâmetros!I:I))</f>
        <v>SUPORTE OBT</v>
      </c>
      <c r="Q1476" s="1" t="str">
        <f t="shared" si="47"/>
        <v>COLUNA I</v>
      </c>
    </row>
    <row r="1477" spans="1:17" x14ac:dyDescent="0.25">
      <c r="A1477" s="1" t="str">
        <f>_xlfn.XLOOKUP(D1477,'Novo relatório'!B:B,'Novo relatório'!C:C,"RESOLVIDO")</f>
        <v>SABRE</v>
      </c>
      <c r="C1477" t="str">
        <f t="shared" si="46"/>
        <v>PENDENTE</v>
      </c>
      <c r="D1477" s="1">
        <v>3368736</v>
      </c>
      <c r="E1477" s="1" t="s">
        <v>26</v>
      </c>
      <c r="F1477" s="2">
        <v>45763.405555555553</v>
      </c>
      <c r="G1477" s="1" t="s">
        <v>1940</v>
      </c>
      <c r="H1477" s="1" t="s">
        <v>1941</v>
      </c>
      <c r="I1477" s="1" t="s">
        <v>393</v>
      </c>
      <c r="J1477" s="2">
        <v>45763.490277777775</v>
      </c>
      <c r="L1477" s="1" t="s">
        <v>19</v>
      </c>
      <c r="M1477" s="1" t="str">
        <f>_xlfn.XLOOKUP(I1477,Parâmetros!A:A,Parâmetros!B:B,_xlfn.XLOOKUP(Q1477,Parâmetros!F:F,Parâmetros!G:G,"NOVA MENSAGEM"))</f>
        <v>CONTRATO FORNECEDOR</v>
      </c>
      <c r="N1477" s="1" t="str">
        <f>_xlfn.XLOOKUP(M1477,Parâmetros!K:K,Parâmetros!L:L,"")</f>
        <v>CONTRATO INATIVO OU DIVERGENTE</v>
      </c>
      <c r="O1477" s="1" t="str">
        <f>_xlfn.XLOOKUP(M1477,Parâmetros!B:B,Parâmetros!C:C,_xlfn.XLOOKUP(Base!M1399,Parâmetros!G:G,Parâmetros!H:H))</f>
        <v>SISTEMA</v>
      </c>
      <c r="P1477" s="1" t="str">
        <f>_xlfn.XLOOKUP(I1477,Parâmetros!A:A,Parâmetros!D:D,_xlfn.XLOOKUP(Q1477,Parâmetros!F:F,Parâmetros!I:I))</f>
        <v>OPERAÇÕES / SUPORTE KCS</v>
      </c>
      <c r="Q1477" s="1">
        <f t="shared" si="47"/>
        <v>43</v>
      </c>
    </row>
    <row r="1478" spans="1:17" x14ac:dyDescent="0.25">
      <c r="A1478" s="1" t="str">
        <f>_xlfn.XLOOKUP(D1478,'Novo relatório'!B:B,'Novo relatório'!C:C,"RESOLVIDO")</f>
        <v>GOVER</v>
      </c>
      <c r="C1478" t="str">
        <f t="shared" si="46"/>
        <v>PENDENTE</v>
      </c>
      <c r="D1478" s="1">
        <v>3368857</v>
      </c>
      <c r="E1478" s="1" t="s">
        <v>24</v>
      </c>
      <c r="F1478" s="2">
        <v>45762.478472222225</v>
      </c>
      <c r="G1478" s="1">
        <v>4523332</v>
      </c>
      <c r="H1478" s="1">
        <v>4523332</v>
      </c>
      <c r="I1478" s="1" t="s">
        <v>77</v>
      </c>
      <c r="J1478" s="2">
        <v>45763.544444444444</v>
      </c>
      <c r="K1478" s="2">
        <v>45776.363888888889</v>
      </c>
      <c r="L1478" s="1" t="s">
        <v>14</v>
      </c>
      <c r="M1478" s="1" t="str">
        <f>_xlfn.XLOOKUP(I1478,Parâmetros!A:A,Parâmetros!B:B,_xlfn.XLOOKUP(Q1478,Parâmetros!F:F,Parâmetros!G:G,"NOVA MENSAGEM"))</f>
        <v>RLOC NÃO INFORMADO</v>
      </c>
      <c r="N1478" s="1" t="str">
        <f>_xlfn.XLOOKUP(M1478,Parâmetros!K:K,Parâmetros!L:L,"")</f>
        <v>RLOC NÃO PREENCHIDO NA RESERVA</v>
      </c>
      <c r="O1478" s="1" t="str">
        <f>_xlfn.XLOOKUP(M1478,Parâmetros!B:B,Parâmetros!C:C,_xlfn.XLOOKUP(Base!M1601,Parâmetros!G:G,Parâmetros!H:H))</f>
        <v>QUALIDADE DOS DADOS</v>
      </c>
      <c r="P1478" s="1" t="str">
        <f>_xlfn.XLOOKUP(I1478,Parâmetros!A:A,Parâmetros!D:D,_xlfn.XLOOKUP(Q1478,Parâmetros!F:F,Parâmetros!I:I))</f>
        <v>SUPORTE OBT</v>
      </c>
      <c r="Q1478" s="1" t="str">
        <f t="shared" si="47"/>
        <v>COLUNA I</v>
      </c>
    </row>
    <row r="1479" spans="1:17" x14ac:dyDescent="0.25">
      <c r="A1479" s="1" t="str">
        <f>_xlfn.XLOOKUP(D1479,'Novo relatório'!B:B,'Novo relatório'!C:C,"RESOLVIDO")</f>
        <v>SABRE</v>
      </c>
      <c r="C1479" t="str">
        <f t="shared" si="46"/>
        <v>PENDENTE</v>
      </c>
      <c r="D1479" s="1">
        <v>3368957</v>
      </c>
      <c r="E1479" s="1" t="s">
        <v>26</v>
      </c>
      <c r="F1479" s="2">
        <v>45764.456250000003</v>
      </c>
      <c r="G1479" s="1" t="s">
        <v>2102</v>
      </c>
      <c r="H1479" s="1" t="s">
        <v>2102</v>
      </c>
      <c r="I1479" s="1" t="s">
        <v>829</v>
      </c>
      <c r="J1479" s="2">
        <v>45763.574999999997</v>
      </c>
      <c r="K1479" s="2">
        <v>45764.543749999997</v>
      </c>
      <c r="L1479" s="1" t="s">
        <v>18</v>
      </c>
      <c r="M1479" s="1" t="str">
        <f>_xlfn.XLOOKUP(I1479,Parâmetros!A:A,Parâmetros!B:B,_xlfn.XLOOKUP(Q1479,Parâmetros!F:F,Parâmetros!G:G,"NOVA MENSAGEM"))</f>
        <v>REMARK - CNPJ</v>
      </c>
      <c r="N1479" s="1" t="str">
        <f>_xlfn.XLOOKUP(M1479,Parâmetros!K:K,Parâmetros!L:L,"")</f>
        <v/>
      </c>
      <c r="O1479" s="1" t="str">
        <f>_xlfn.XLOOKUP(M1479,Parâmetros!B:B,Parâmetros!C:C,_xlfn.XLOOKUP(Base!M1535,Parâmetros!G:G,Parâmetros!H:H))</f>
        <v>SISTEMA</v>
      </c>
      <c r="P1479" s="1" t="str">
        <f>_xlfn.XLOOKUP(I1479,Parâmetros!A:A,Parâmetros!D:D,_xlfn.XLOOKUP(Q1479,Parâmetros!F:F,Parâmetros!I:I))</f>
        <v>OPERAÇÕES / SUPORTE KCS</v>
      </c>
      <c r="Q1479" s="1">
        <f t="shared" si="47"/>
        <v>24</v>
      </c>
    </row>
    <row r="1480" spans="1:17" x14ac:dyDescent="0.25">
      <c r="A1480" s="1" t="str">
        <f>_xlfn.XLOOKUP(D1480,'Novo relatório'!B:B,'Novo relatório'!C:C,"RESOLVIDO")</f>
        <v>SABRE</v>
      </c>
      <c r="C1480" t="str">
        <f t="shared" si="46"/>
        <v>PENDENTE</v>
      </c>
      <c r="D1480" s="1">
        <v>3368963</v>
      </c>
      <c r="E1480" s="1" t="s">
        <v>26</v>
      </c>
      <c r="F1480" s="2">
        <v>45763.481944444444</v>
      </c>
      <c r="G1480" s="1" t="s">
        <v>2057</v>
      </c>
      <c r="H1480" s="1" t="s">
        <v>2057</v>
      </c>
      <c r="I1480" s="1" t="s">
        <v>83</v>
      </c>
      <c r="J1480" s="2">
        <v>45763.574999999997</v>
      </c>
      <c r="L1480" s="1" t="s">
        <v>18</v>
      </c>
      <c r="M1480" s="1" t="str">
        <f>_xlfn.XLOOKUP(I1480,Parâmetros!A:A,Parâmetros!B:B,_xlfn.XLOOKUP(Q1480,Parâmetros!F:F,Parâmetros!G:G,"NOVA MENSAGEM"))</f>
        <v>CLIENTE NÃO IDENTIFICADO</v>
      </c>
      <c r="N1480" s="1" t="str">
        <f>_xlfn.XLOOKUP(M1480,Parâmetros!K:K,Parâmetros!L:L,"")</f>
        <v>DK DE CLIENTE NÃO PREENCIDO / CLIENTE NÃO CONFIGURADO NO OBT</v>
      </c>
      <c r="O1480" s="1" t="str">
        <f>_xlfn.XLOOKUP(M1480,Parâmetros!B:B,Parâmetros!C:C,_xlfn.XLOOKUP(Base!M1501,Parâmetros!G:G,Parâmetros!H:H))</f>
        <v>INDEFINIDO</v>
      </c>
      <c r="P1480" s="1" t="str">
        <f>_xlfn.XLOOKUP(I1480,Parâmetros!A:A,Parâmetros!D:D,_xlfn.XLOOKUP(Q1480,Parâmetros!F:F,Parâmetros!I:I))</f>
        <v>OPERAÇÕES / SUPORTE KCS</v>
      </c>
      <c r="Q1480" s="1" t="str">
        <f t="shared" si="47"/>
        <v>COLUNA I</v>
      </c>
    </row>
    <row r="1481" spans="1:17" x14ac:dyDescent="0.25">
      <c r="A1481" s="1" t="str">
        <f>_xlfn.XLOOKUP(D1481,'Novo relatório'!B:B,'Novo relatório'!C:C,"RESOLVIDO")</f>
        <v>SABRE</v>
      </c>
      <c r="C1481" t="str">
        <f t="shared" si="46"/>
        <v>PENDENTE</v>
      </c>
      <c r="D1481" s="1">
        <v>3368968</v>
      </c>
      <c r="E1481" s="1" t="s">
        <v>26</v>
      </c>
      <c r="F1481" s="2">
        <v>45763.481944444444</v>
      </c>
      <c r="G1481" s="1" t="s">
        <v>1939</v>
      </c>
      <c r="H1481" s="1" t="s">
        <v>1939</v>
      </c>
      <c r="I1481" s="1" t="s">
        <v>83</v>
      </c>
      <c r="J1481" s="2">
        <v>45763.575694444444</v>
      </c>
      <c r="L1481" s="1" t="s">
        <v>18</v>
      </c>
      <c r="M1481" s="1" t="str">
        <f>_xlfn.XLOOKUP(I1481,Parâmetros!A:A,Parâmetros!B:B,_xlfn.XLOOKUP(Q1481,Parâmetros!F:F,Parâmetros!G:G,"NOVA MENSAGEM"))</f>
        <v>CLIENTE NÃO IDENTIFICADO</v>
      </c>
      <c r="N1481" s="1" t="str">
        <f>_xlfn.XLOOKUP(M1481,Parâmetros!K:K,Parâmetros!L:L,"")</f>
        <v>DK DE CLIENTE NÃO PREENCIDO / CLIENTE NÃO CONFIGURADO NO OBT</v>
      </c>
      <c r="O1481" s="1" t="str">
        <f>_xlfn.XLOOKUP(M1481,Parâmetros!B:B,Parâmetros!C:C,_xlfn.XLOOKUP(Base!M1398,Parâmetros!G:G,Parâmetros!H:H))</f>
        <v>INDEFINIDO</v>
      </c>
      <c r="P1481" s="1" t="str">
        <f>_xlfn.XLOOKUP(I1481,Parâmetros!A:A,Parâmetros!D:D,_xlfn.XLOOKUP(Q1481,Parâmetros!F:F,Parâmetros!I:I))</f>
        <v>OPERAÇÕES / SUPORTE KCS</v>
      </c>
      <c r="Q1481" s="1" t="str">
        <f t="shared" si="47"/>
        <v>COLUNA I</v>
      </c>
    </row>
    <row r="1482" spans="1:17" x14ac:dyDescent="0.25">
      <c r="A1482" s="1" t="str">
        <f>_xlfn.XLOOKUP(D1482,'Novo relatório'!B:B,'Novo relatório'!C:C,"RESOLVIDO")</f>
        <v>SABRE</v>
      </c>
      <c r="C1482" t="str">
        <f t="shared" si="46"/>
        <v>PENDENTE</v>
      </c>
      <c r="D1482" s="1">
        <v>3368969</v>
      </c>
      <c r="E1482" s="1" t="s">
        <v>26</v>
      </c>
      <c r="F1482" s="2">
        <v>45763.481944444444</v>
      </c>
      <c r="G1482" s="1" t="s">
        <v>2003</v>
      </c>
      <c r="H1482" s="1" t="s">
        <v>2003</v>
      </c>
      <c r="I1482" s="1" t="s">
        <v>410</v>
      </c>
      <c r="J1482" s="2">
        <v>45763.575694444444</v>
      </c>
      <c r="L1482" s="1" t="s">
        <v>18</v>
      </c>
      <c r="M1482" s="1" t="str">
        <f>_xlfn.XLOOKUP(I1482,Parâmetros!A:A,Parâmetros!B:B,_xlfn.XLOOKUP(Q1482,Parâmetros!F:F,Parâmetros!G:G,"NOVA MENSAGEM"))</f>
        <v>CÓD. CLIENTE DIVERGENTE</v>
      </c>
      <c r="N1482" s="1" t="str">
        <f>_xlfn.XLOOKUP(M1482,Parâmetros!K:K,Parâmetros!L:L,"")</f>
        <v>CÓDIGO DIFERENTE DO CADASTRADO NO BENNER (CLIENTE X GRUPO)</v>
      </c>
      <c r="O1482" s="1" t="str">
        <f>_xlfn.XLOOKUP(M1482,Parâmetros!B:B,Parâmetros!C:C,_xlfn.XLOOKUP(Base!M1456,Parâmetros!G:G,Parâmetros!H:H))</f>
        <v>QUALIDADE DOS DADOS</v>
      </c>
      <c r="P1482" s="1" t="str">
        <f>_xlfn.XLOOKUP(I1482,Parâmetros!A:A,Parâmetros!D:D,_xlfn.XLOOKUP(Q1482,Parâmetros!F:F,Parâmetros!I:I))</f>
        <v>SUPORTE OBT</v>
      </c>
      <c r="Q1482" s="1">
        <f t="shared" si="47"/>
        <v>1</v>
      </c>
    </row>
    <row r="1483" spans="1:17" x14ac:dyDescent="0.25">
      <c r="A1483" s="1" t="str">
        <f>_xlfn.XLOOKUP(D1483,'Novo relatório'!B:B,'Novo relatório'!C:C,"RESOLVIDO")</f>
        <v>SABRE</v>
      </c>
      <c r="C1483" t="str">
        <f t="shared" si="46"/>
        <v>PENDENTE</v>
      </c>
      <c r="D1483" s="1">
        <v>3368970</v>
      </c>
      <c r="E1483" s="1" t="s">
        <v>26</v>
      </c>
      <c r="F1483" s="2">
        <v>45763.481944444444</v>
      </c>
      <c r="G1483" s="1" t="s">
        <v>2015</v>
      </c>
      <c r="H1483" s="1" t="s">
        <v>2015</v>
      </c>
      <c r="I1483" s="1" t="s">
        <v>410</v>
      </c>
      <c r="J1483" s="2">
        <v>45763.575694444444</v>
      </c>
      <c r="L1483" s="1" t="s">
        <v>18</v>
      </c>
      <c r="M1483" s="1" t="str">
        <f>_xlfn.XLOOKUP(I1483,Parâmetros!A:A,Parâmetros!B:B,_xlfn.XLOOKUP(Q1483,Parâmetros!F:F,Parâmetros!G:G,"NOVA MENSAGEM"))</f>
        <v>CÓD. CLIENTE DIVERGENTE</v>
      </c>
      <c r="N1483" s="1" t="str">
        <f>_xlfn.XLOOKUP(M1483,Parâmetros!K:K,Parâmetros!L:L,"")</f>
        <v>CÓDIGO DIFERENTE DO CADASTRADO NO BENNER (CLIENTE X GRUPO)</v>
      </c>
      <c r="O1483" s="1" t="str">
        <f>_xlfn.XLOOKUP(M1483,Parâmetros!B:B,Parâmetros!C:C,_xlfn.XLOOKUP(Base!M1466,Parâmetros!G:G,Parâmetros!H:H))</f>
        <v>QUALIDADE DOS DADOS</v>
      </c>
      <c r="P1483" s="1" t="str">
        <f>_xlfn.XLOOKUP(I1483,Parâmetros!A:A,Parâmetros!D:D,_xlfn.XLOOKUP(Q1483,Parâmetros!F:F,Parâmetros!I:I))</f>
        <v>SUPORTE OBT</v>
      </c>
      <c r="Q1483" s="1">
        <f t="shared" si="47"/>
        <v>1</v>
      </c>
    </row>
    <row r="1484" spans="1:17" x14ac:dyDescent="0.25">
      <c r="A1484" s="1" t="str">
        <f>_xlfn.XLOOKUP(D1484,'Novo relatório'!B:B,'Novo relatório'!C:C,"RESOLVIDO")</f>
        <v>SABRE</v>
      </c>
      <c r="C1484" t="str">
        <f t="shared" si="46"/>
        <v>PENDENTE</v>
      </c>
      <c r="D1484" s="1">
        <v>3369034</v>
      </c>
      <c r="E1484" s="1" t="s">
        <v>26</v>
      </c>
      <c r="F1484" s="2">
        <v>45763.526388888888</v>
      </c>
      <c r="G1484" s="1" t="s">
        <v>2013</v>
      </c>
      <c r="H1484" s="1" t="s">
        <v>2014</v>
      </c>
      <c r="I1484" s="1" t="s">
        <v>393</v>
      </c>
      <c r="J1484" s="2">
        <v>45763.615277777775</v>
      </c>
      <c r="L1484" s="1" t="s">
        <v>19</v>
      </c>
      <c r="M1484" s="1" t="str">
        <f>_xlfn.XLOOKUP(I1484,Parâmetros!A:A,Parâmetros!B:B,_xlfn.XLOOKUP(Q1484,Parâmetros!F:F,Parâmetros!G:G,"NOVA MENSAGEM"))</f>
        <v>CONTRATO FORNECEDOR</v>
      </c>
      <c r="N1484" s="1" t="str">
        <f>_xlfn.XLOOKUP(M1484,Parâmetros!K:K,Parâmetros!L:L,"")</f>
        <v>CONTRATO INATIVO OU DIVERGENTE</v>
      </c>
      <c r="O1484" s="1" t="str">
        <f>_xlfn.XLOOKUP(M1484,Parâmetros!B:B,Parâmetros!C:C,_xlfn.XLOOKUP(Base!M1465,Parâmetros!G:G,Parâmetros!H:H))</f>
        <v>SISTEMA</v>
      </c>
      <c r="P1484" s="1" t="str">
        <f>_xlfn.XLOOKUP(I1484,Parâmetros!A:A,Parâmetros!D:D,_xlfn.XLOOKUP(Q1484,Parâmetros!F:F,Parâmetros!I:I))</f>
        <v>OPERAÇÕES / SUPORTE KCS</v>
      </c>
      <c r="Q1484" s="1">
        <f t="shared" si="47"/>
        <v>43</v>
      </c>
    </row>
    <row r="1485" spans="1:17" x14ac:dyDescent="0.25">
      <c r="A1485" s="1" t="str">
        <f>_xlfn.XLOOKUP(D1485,'Novo relatório'!B:B,'Novo relatório'!C:C,"RESOLVIDO")</f>
        <v>SABRE</v>
      </c>
      <c r="C1485" t="str">
        <f t="shared" si="46"/>
        <v>PENDENTE</v>
      </c>
      <c r="D1485" s="1">
        <v>3369039</v>
      </c>
      <c r="E1485" s="1" t="s">
        <v>26</v>
      </c>
      <c r="F1485" s="2">
        <v>45763.529166666667</v>
      </c>
      <c r="G1485" s="1" t="s">
        <v>1968</v>
      </c>
      <c r="H1485" s="1" t="s">
        <v>1968</v>
      </c>
      <c r="I1485" s="1" t="s">
        <v>396</v>
      </c>
      <c r="J1485" s="2">
        <v>45763.615972222222</v>
      </c>
      <c r="L1485" s="1" t="s">
        <v>18</v>
      </c>
      <c r="M1485" s="1" t="str">
        <f>_xlfn.XLOOKUP(I1485,Parâmetros!A:A,Parâmetros!B:B,_xlfn.XLOOKUP(Q1485,Parâmetros!F:F,Parâmetros!G:G,"NOVA MENSAGEM"))</f>
        <v>CÓD. CLIENTE DIVERGENTE</v>
      </c>
      <c r="N1485" s="1" t="str">
        <f>_xlfn.XLOOKUP(M1485,Parâmetros!K:K,Parâmetros!L:L,"")</f>
        <v>CÓDIGO DIFERENTE DO CADASTRADO NO BENNER (CLIENTE X GRUPO)</v>
      </c>
      <c r="O1485" s="1" t="str">
        <f>_xlfn.XLOOKUP(M1485,Parâmetros!B:B,Parâmetros!C:C,_xlfn.XLOOKUP(Base!M1425,Parâmetros!G:G,Parâmetros!H:H))</f>
        <v>QUALIDADE DOS DADOS</v>
      </c>
      <c r="P1485" s="1" t="str">
        <f>_xlfn.XLOOKUP(I1485,Parâmetros!A:A,Parâmetros!D:D,_xlfn.XLOOKUP(Q1485,Parâmetros!F:F,Parâmetros!I:I))</f>
        <v>SUPORTE OBT</v>
      </c>
      <c r="Q1485" s="1">
        <f t="shared" si="47"/>
        <v>1</v>
      </c>
    </row>
    <row r="1486" spans="1:17" x14ac:dyDescent="0.25">
      <c r="A1486" s="1" t="str">
        <f>_xlfn.XLOOKUP(D1486,'Novo relatório'!B:B,'Novo relatório'!C:C,"RESOLVIDO")</f>
        <v>TMS</v>
      </c>
      <c r="C1486" t="str">
        <f t="shared" si="46"/>
        <v>PENDENTE</v>
      </c>
      <c r="D1486" s="1">
        <v>3369873</v>
      </c>
      <c r="E1486" s="1" t="s">
        <v>12</v>
      </c>
      <c r="F1486" s="2">
        <v>45763.461111111108</v>
      </c>
      <c r="G1486" s="1">
        <v>105</v>
      </c>
      <c r="H1486" s="1">
        <v>105</v>
      </c>
      <c r="I1486" s="1" t="s">
        <v>16</v>
      </c>
      <c r="J1486" s="2">
        <v>45763.705555555556</v>
      </c>
      <c r="K1486" s="2">
        <v>45766.947916666664</v>
      </c>
      <c r="L1486" s="1" t="s">
        <v>14</v>
      </c>
      <c r="M1486" s="1" t="str">
        <f>_xlfn.XLOOKUP(I1486,Parâmetros!A:A,Parâmetros!B:B,_xlfn.XLOOKUP(Q1486,Parâmetros!F:F,Parâmetros!G:G,"NOVA MENSAGEM"))</f>
        <v>ASSENTO / BAGAGEM</v>
      </c>
      <c r="N1486" s="1" t="str">
        <f>_xlfn.XLOOKUP(M1486,Parâmetros!K:K,Parâmetros!L:L,"")</f>
        <v>CAMPO OBSERVAÇÃO PREENCHIDO INCORRETAMENTE</v>
      </c>
      <c r="O1486" s="1" t="str">
        <f>_xlfn.XLOOKUP(M1486,Parâmetros!B:B,Parâmetros!C:C,_xlfn.XLOOKUP(Base!M1562,Parâmetros!G:G,Parâmetros!H:H))</f>
        <v>QUALIDADE DOS DADOS</v>
      </c>
      <c r="P1486" s="1" t="str">
        <f>_xlfn.XLOOKUP(I1486,Parâmetros!A:A,Parâmetros!D:D,_xlfn.XLOOKUP(Q1486,Parâmetros!F:F,Parâmetros!I:I))</f>
        <v>OPERAÇÕES / SUPORTE KCS</v>
      </c>
      <c r="Q1486" s="1">
        <f t="shared" si="47"/>
        <v>118</v>
      </c>
    </row>
    <row r="1487" spans="1:17" x14ac:dyDescent="0.25">
      <c r="A1487" s="1" t="str">
        <f>_xlfn.XLOOKUP(D1487,'Novo relatório'!B:B,'Novo relatório'!C:C,"RESOLVIDO")</f>
        <v>SABRE</v>
      </c>
      <c r="C1487" t="str">
        <f t="shared" si="46"/>
        <v>PENDENTE</v>
      </c>
      <c r="D1487" s="1">
        <v>3370391</v>
      </c>
      <c r="E1487" s="1" t="s">
        <v>26</v>
      </c>
      <c r="F1487" s="2">
        <v>45763.762499999997</v>
      </c>
      <c r="G1487" s="1" t="s">
        <v>2084</v>
      </c>
      <c r="H1487" s="1" t="s">
        <v>2084</v>
      </c>
      <c r="I1487" s="1" t="s">
        <v>83</v>
      </c>
      <c r="J1487" s="2">
        <v>45763.855555555558</v>
      </c>
      <c r="L1487" s="1" t="s">
        <v>18</v>
      </c>
      <c r="M1487" s="1" t="str">
        <f>_xlfn.XLOOKUP(I1487,Parâmetros!A:A,Parâmetros!B:B,_xlfn.XLOOKUP(Q1487,Parâmetros!F:F,Parâmetros!G:G,"NOVA MENSAGEM"))</f>
        <v>CLIENTE NÃO IDENTIFICADO</v>
      </c>
      <c r="N1487" s="1" t="str">
        <f>_xlfn.XLOOKUP(M1487,Parâmetros!K:K,Parâmetros!L:L,"")</f>
        <v>DK DE CLIENTE NÃO PREENCIDO / CLIENTE NÃO CONFIGURADO NO OBT</v>
      </c>
      <c r="O1487" s="1" t="str">
        <f>_xlfn.XLOOKUP(M1487,Parâmetros!B:B,Parâmetros!C:C,_xlfn.XLOOKUP(Base!M1522,Parâmetros!G:G,Parâmetros!H:H))</f>
        <v>INDEFINIDO</v>
      </c>
      <c r="P1487" s="1" t="str">
        <f>_xlfn.XLOOKUP(I1487,Parâmetros!A:A,Parâmetros!D:D,_xlfn.XLOOKUP(Q1487,Parâmetros!F:F,Parâmetros!I:I))</f>
        <v>OPERAÇÕES / SUPORTE KCS</v>
      </c>
      <c r="Q1487" s="1" t="str">
        <f t="shared" si="47"/>
        <v>COLUNA I</v>
      </c>
    </row>
    <row r="1488" spans="1:17" x14ac:dyDescent="0.25">
      <c r="A1488" s="1" t="str">
        <f>_xlfn.XLOOKUP(D1488,'Novo relatório'!B:B,'Novo relatório'!C:C,"RESOLVIDO")</f>
        <v>SABRE</v>
      </c>
      <c r="C1488" t="str">
        <f t="shared" si="46"/>
        <v>PENDENTE</v>
      </c>
      <c r="D1488" s="1">
        <v>3370392</v>
      </c>
      <c r="E1488" s="1" t="s">
        <v>26</v>
      </c>
      <c r="F1488" s="2">
        <v>45763.762499999997</v>
      </c>
      <c r="G1488" s="1" t="s">
        <v>1977</v>
      </c>
      <c r="H1488" s="1" t="s">
        <v>1977</v>
      </c>
      <c r="I1488" s="1" t="s">
        <v>169</v>
      </c>
      <c r="J1488" s="2">
        <v>45763.855555555558</v>
      </c>
      <c r="L1488" s="1" t="s">
        <v>18</v>
      </c>
      <c r="M1488" s="1" t="str">
        <f>_xlfn.XLOOKUP(I1488,Parâmetros!A:A,Parâmetros!B:B,_xlfn.XLOOKUP(Q1488,Parâmetros!F:F,Parâmetros!G:G,"NOVA MENSAGEM"))</f>
        <v>CÓD. CLIENTE DIVERGENTE</v>
      </c>
      <c r="N1488" s="1" t="str">
        <f>_xlfn.XLOOKUP(M1488,Parâmetros!K:K,Parâmetros!L:L,"")</f>
        <v>CÓDIGO DIFERENTE DO CADASTRADO NO BENNER (CLIENTE X GRUPO)</v>
      </c>
      <c r="O1488" s="1" t="str">
        <f>_xlfn.XLOOKUP(M1488,Parâmetros!B:B,Parâmetros!C:C,_xlfn.XLOOKUP(Base!M1433,Parâmetros!G:G,Parâmetros!H:H))</f>
        <v>QUALIDADE DOS DADOS</v>
      </c>
      <c r="P1488" s="1" t="str">
        <f>_xlfn.XLOOKUP(I1488,Parâmetros!A:A,Parâmetros!D:D,_xlfn.XLOOKUP(Q1488,Parâmetros!F:F,Parâmetros!I:I))</f>
        <v>SUPORTE OBT</v>
      </c>
      <c r="Q1488" s="1">
        <f t="shared" si="47"/>
        <v>1</v>
      </c>
    </row>
    <row r="1489" spans="1:17" x14ac:dyDescent="0.25">
      <c r="A1489" s="1" t="str">
        <f>_xlfn.XLOOKUP(D1489,'Novo relatório'!B:B,'Novo relatório'!C:C,"RESOLVIDO")</f>
        <v>SABRE</v>
      </c>
      <c r="C1489" t="str">
        <f t="shared" si="46"/>
        <v>PENDENTE</v>
      </c>
      <c r="D1489" s="1">
        <v>3370396</v>
      </c>
      <c r="E1489" s="1" t="s">
        <v>26</v>
      </c>
      <c r="F1489" s="2">
        <v>45763.762499999997</v>
      </c>
      <c r="G1489" s="1" t="s">
        <v>2130</v>
      </c>
      <c r="H1489" s="1" t="s">
        <v>2130</v>
      </c>
      <c r="I1489" s="1" t="s">
        <v>410</v>
      </c>
      <c r="J1489" s="2">
        <v>45763.856944444444</v>
      </c>
      <c r="L1489" s="1" t="s">
        <v>18</v>
      </c>
      <c r="M1489" s="1" t="str">
        <f>_xlfn.XLOOKUP(I1489,Parâmetros!A:A,Parâmetros!B:B,_xlfn.XLOOKUP(Q1489,Parâmetros!F:F,Parâmetros!G:G,"NOVA MENSAGEM"))</f>
        <v>CÓD. CLIENTE DIVERGENTE</v>
      </c>
      <c r="N1489" s="1" t="str">
        <f>_xlfn.XLOOKUP(M1489,Parâmetros!K:K,Parâmetros!L:L,"")</f>
        <v>CÓDIGO DIFERENTE DO CADASTRADO NO BENNER (CLIENTE X GRUPO)</v>
      </c>
      <c r="O1489" s="1" t="str">
        <f>_xlfn.XLOOKUP(M1489,Parâmetros!B:B,Parâmetros!C:C,_xlfn.XLOOKUP(Base!M1560,Parâmetros!G:G,Parâmetros!H:H))</f>
        <v>QUALIDADE DOS DADOS</v>
      </c>
      <c r="P1489" s="1" t="str">
        <f>_xlfn.XLOOKUP(I1489,Parâmetros!A:A,Parâmetros!D:D,_xlfn.XLOOKUP(Q1489,Parâmetros!F:F,Parâmetros!I:I))</f>
        <v>SUPORTE OBT</v>
      </c>
      <c r="Q1489" s="1">
        <f t="shared" si="47"/>
        <v>1</v>
      </c>
    </row>
    <row r="1490" spans="1:17" x14ac:dyDescent="0.25">
      <c r="A1490" s="1" t="str">
        <f>_xlfn.XLOOKUP(D1490,'Novo relatório'!B:B,'Novo relatório'!C:C,"RESOLVIDO")</f>
        <v>SABRE</v>
      </c>
      <c r="C1490" t="str">
        <f t="shared" si="46"/>
        <v>PENDENTE</v>
      </c>
      <c r="D1490" s="1">
        <v>3370408</v>
      </c>
      <c r="E1490" s="1" t="s">
        <v>26</v>
      </c>
      <c r="F1490" s="2">
        <v>45763.762499999997</v>
      </c>
      <c r="G1490" s="1" t="s">
        <v>2008</v>
      </c>
      <c r="H1490" s="1" t="s">
        <v>2008</v>
      </c>
      <c r="I1490" s="1" t="s">
        <v>83</v>
      </c>
      <c r="J1490" s="2">
        <v>45763.857638888891</v>
      </c>
      <c r="L1490" s="1" t="s">
        <v>18</v>
      </c>
      <c r="M1490" s="1" t="str">
        <f>_xlfn.XLOOKUP(I1490,Parâmetros!A:A,Parâmetros!B:B,_xlfn.XLOOKUP(Q1490,Parâmetros!F:F,Parâmetros!G:G,"NOVA MENSAGEM"))</f>
        <v>CLIENTE NÃO IDENTIFICADO</v>
      </c>
      <c r="N1490" s="1" t="str">
        <f>_xlfn.XLOOKUP(M1490,Parâmetros!K:K,Parâmetros!L:L,"")</f>
        <v>DK DE CLIENTE NÃO PREENCIDO / CLIENTE NÃO CONFIGURADO NO OBT</v>
      </c>
      <c r="O1490" s="1" t="str">
        <f>_xlfn.XLOOKUP(M1490,Parâmetros!B:B,Parâmetros!C:C,_xlfn.XLOOKUP(Base!M1461,Parâmetros!G:G,Parâmetros!H:H))</f>
        <v>INDEFINIDO</v>
      </c>
      <c r="P1490" s="1" t="str">
        <f>_xlfn.XLOOKUP(I1490,Parâmetros!A:A,Parâmetros!D:D,_xlfn.XLOOKUP(Q1490,Parâmetros!F:F,Parâmetros!I:I))</f>
        <v>OPERAÇÕES / SUPORTE KCS</v>
      </c>
      <c r="Q1490" s="1" t="str">
        <f t="shared" si="47"/>
        <v>COLUNA I</v>
      </c>
    </row>
    <row r="1491" spans="1:17" x14ac:dyDescent="0.25">
      <c r="A1491" s="1" t="str">
        <f>_xlfn.XLOOKUP(D1491,'Novo relatório'!B:B,'Novo relatório'!C:C,"RESOLVIDO")</f>
        <v>SABRE</v>
      </c>
      <c r="C1491" t="str">
        <f t="shared" si="46"/>
        <v>PENDENTE</v>
      </c>
      <c r="D1491" s="1">
        <v>3370409</v>
      </c>
      <c r="E1491" s="1" t="s">
        <v>26</v>
      </c>
      <c r="F1491" s="2">
        <v>45763.762499999997</v>
      </c>
      <c r="G1491" s="1" t="s">
        <v>1983</v>
      </c>
      <c r="H1491" s="1" t="s">
        <v>1983</v>
      </c>
      <c r="I1491" s="1" t="s">
        <v>83</v>
      </c>
      <c r="J1491" s="2">
        <v>45763.857638888891</v>
      </c>
      <c r="L1491" s="1" t="s">
        <v>18</v>
      </c>
      <c r="M1491" s="1" t="str">
        <f>_xlfn.XLOOKUP(I1491,Parâmetros!A:A,Parâmetros!B:B,_xlfn.XLOOKUP(Q1491,Parâmetros!F:F,Parâmetros!G:G,"NOVA MENSAGEM"))</f>
        <v>CLIENTE NÃO IDENTIFICADO</v>
      </c>
      <c r="N1491" s="1" t="str">
        <f>_xlfn.XLOOKUP(M1491,Parâmetros!K:K,Parâmetros!L:L,"")</f>
        <v>DK DE CLIENTE NÃO PREENCIDO / CLIENTE NÃO CONFIGURADO NO OBT</v>
      </c>
      <c r="O1491" s="1" t="str">
        <f>_xlfn.XLOOKUP(M1491,Parâmetros!B:B,Parâmetros!C:C,_xlfn.XLOOKUP(Base!M1439,Parâmetros!G:G,Parâmetros!H:H))</f>
        <v>INDEFINIDO</v>
      </c>
      <c r="P1491" s="1" t="str">
        <f>_xlfn.XLOOKUP(I1491,Parâmetros!A:A,Parâmetros!D:D,_xlfn.XLOOKUP(Q1491,Parâmetros!F:F,Parâmetros!I:I))</f>
        <v>OPERAÇÕES / SUPORTE KCS</v>
      </c>
      <c r="Q1491" s="1" t="str">
        <f t="shared" si="47"/>
        <v>COLUNA I</v>
      </c>
    </row>
    <row r="1492" spans="1:17" x14ac:dyDescent="0.25">
      <c r="A1492" s="1" t="str">
        <f>_xlfn.XLOOKUP(D1492,'Novo relatório'!B:B,'Novo relatório'!C:C,"RESOLVIDO")</f>
        <v>SABRE</v>
      </c>
      <c r="C1492" t="str">
        <f t="shared" si="46"/>
        <v>PENDENTE</v>
      </c>
      <c r="D1492" s="1">
        <v>3370410</v>
      </c>
      <c r="E1492" s="1" t="s">
        <v>26</v>
      </c>
      <c r="F1492" s="2">
        <v>45763.762499999997</v>
      </c>
      <c r="G1492" s="1" t="s">
        <v>1984</v>
      </c>
      <c r="H1492" s="1" t="s">
        <v>1984</v>
      </c>
      <c r="I1492" s="1" t="s">
        <v>396</v>
      </c>
      <c r="J1492" s="2">
        <v>45763.857638888891</v>
      </c>
      <c r="L1492" s="1" t="s">
        <v>18</v>
      </c>
      <c r="M1492" s="1" t="str">
        <f>_xlfn.XLOOKUP(I1492,Parâmetros!A:A,Parâmetros!B:B,_xlfn.XLOOKUP(Q1492,Parâmetros!F:F,Parâmetros!G:G,"NOVA MENSAGEM"))</f>
        <v>CÓD. CLIENTE DIVERGENTE</v>
      </c>
      <c r="N1492" s="1" t="str">
        <f>_xlfn.XLOOKUP(M1492,Parâmetros!K:K,Parâmetros!L:L,"")</f>
        <v>CÓDIGO DIFERENTE DO CADASTRADO NO BENNER (CLIENTE X GRUPO)</v>
      </c>
      <c r="O1492" s="1" t="str">
        <f>_xlfn.XLOOKUP(M1492,Parâmetros!B:B,Parâmetros!C:C,_xlfn.XLOOKUP(Base!M1440,Parâmetros!G:G,Parâmetros!H:H))</f>
        <v>QUALIDADE DOS DADOS</v>
      </c>
      <c r="P1492" s="1" t="str">
        <f>_xlfn.XLOOKUP(I1492,Parâmetros!A:A,Parâmetros!D:D,_xlfn.XLOOKUP(Q1492,Parâmetros!F:F,Parâmetros!I:I))</f>
        <v>SUPORTE OBT</v>
      </c>
      <c r="Q1492" s="1">
        <f t="shared" si="47"/>
        <v>1</v>
      </c>
    </row>
    <row r="1493" spans="1:17" x14ac:dyDescent="0.25">
      <c r="A1493" s="1" t="str">
        <f>_xlfn.XLOOKUP(D1493,'Novo relatório'!B:B,'Novo relatório'!C:C,"RESOLVIDO")</f>
        <v>SABRE</v>
      </c>
      <c r="C1493" t="str">
        <f t="shared" si="46"/>
        <v>PENDENTE</v>
      </c>
      <c r="D1493" s="1">
        <v>3370411</v>
      </c>
      <c r="E1493" s="1" t="s">
        <v>26</v>
      </c>
      <c r="F1493" s="2">
        <v>45763.762499999997</v>
      </c>
      <c r="G1493" s="1" t="s">
        <v>2076</v>
      </c>
      <c r="H1493" s="1" t="s">
        <v>2076</v>
      </c>
      <c r="I1493" s="1" t="s">
        <v>2077</v>
      </c>
      <c r="J1493" s="2">
        <v>45763.857638888891</v>
      </c>
      <c r="L1493" s="1" t="s">
        <v>18</v>
      </c>
      <c r="M1493" s="1" t="str">
        <f>_xlfn.XLOOKUP(I1493,Parâmetros!A:A,Parâmetros!B:B,_xlfn.XLOOKUP(Q1493,Parâmetros!F:F,Parâmetros!G:G,"NOVA MENSAGEM"))</f>
        <v>CÓD. CLIENTE DIVERGENTE</v>
      </c>
      <c r="N1493" s="1" t="str">
        <f>_xlfn.XLOOKUP(M1493,Parâmetros!K:K,Parâmetros!L:L,"")</f>
        <v>CÓDIGO DIFERENTE DO CADASTRADO NO BENNER (CLIENTE X GRUPO)</v>
      </c>
      <c r="O1493" s="1" t="str">
        <f>_xlfn.XLOOKUP(M1493,Parâmetros!B:B,Parâmetros!C:C,_xlfn.XLOOKUP(Base!M1516,Parâmetros!G:G,Parâmetros!H:H))</f>
        <v>QUALIDADE DOS DADOS</v>
      </c>
      <c r="P1493" s="1" t="str">
        <f>_xlfn.XLOOKUP(I1493,Parâmetros!A:A,Parâmetros!D:D,_xlfn.XLOOKUP(Q1493,Parâmetros!F:F,Parâmetros!I:I))</f>
        <v>SUPORTE OBT</v>
      </c>
      <c r="Q1493" s="1">
        <f t="shared" si="47"/>
        <v>1</v>
      </c>
    </row>
    <row r="1494" spans="1:17" x14ac:dyDescent="0.25">
      <c r="A1494" s="1" t="str">
        <f>_xlfn.XLOOKUP(D1494,'Novo relatório'!B:B,'Novo relatório'!C:C,"RESOLVIDO")</f>
        <v>RESOLVIDO</v>
      </c>
      <c r="C1494" t="str">
        <f t="shared" si="46"/>
        <v>RESOLVIDO</v>
      </c>
      <c r="D1494" s="1">
        <v>3370661</v>
      </c>
      <c r="E1494" s="1" t="s">
        <v>12</v>
      </c>
      <c r="F1494" s="2">
        <v>45763.761805555558</v>
      </c>
      <c r="G1494" s="1">
        <v>46206</v>
      </c>
      <c r="H1494" s="1">
        <v>46206</v>
      </c>
      <c r="I1494" s="1" t="s">
        <v>2134</v>
      </c>
      <c r="J1494" s="2">
        <v>45763.915277777778</v>
      </c>
      <c r="K1494" s="2">
        <v>45766.945138888892</v>
      </c>
      <c r="L1494" s="1" t="s">
        <v>14</v>
      </c>
      <c r="M1494" s="1" t="str">
        <f>_xlfn.XLOOKUP(I1494,Parâmetros!A:A,Parâmetros!B:B,_xlfn.XLOOKUP(Q1494,Parâmetros!F:F,Parâmetros!G:G,"NOVA MENSAGEM"))</f>
        <v>NOVA MENSAGEM</v>
      </c>
      <c r="N1494" s="1" t="str">
        <f>_xlfn.XLOOKUP(M1494,Parâmetros!K:K,Parâmetros!L:L,"")</f>
        <v/>
      </c>
      <c r="O1494" s="1" t="e">
        <f>_xlfn.XLOOKUP(M1494,Parâmetros!B:B,Parâmetros!C:C,_xlfn.XLOOKUP(Base!M1586,Parâmetros!G:G,Parâmetros!H:H))</f>
        <v>#N/A</v>
      </c>
      <c r="P1494" s="1" t="e">
        <f>_xlfn.XLOOKUP(I1494,Parâmetros!A:A,Parâmetros!D:D,_xlfn.XLOOKUP(Q1494,Parâmetros!F:F,Parâmetros!I:I))</f>
        <v>#N/A</v>
      </c>
      <c r="Q1494" s="1" t="str">
        <f t="shared" si="47"/>
        <v>COLUNA I</v>
      </c>
    </row>
    <row r="1495" spans="1:17" x14ac:dyDescent="0.25">
      <c r="A1495" s="1" t="str">
        <f>_xlfn.XLOOKUP(D1495,'Novo relatório'!B:B,'Novo relatório'!C:C,"RESOLVIDO")</f>
        <v>TMS</v>
      </c>
      <c r="C1495" t="str">
        <f t="shared" si="46"/>
        <v>PENDENTE</v>
      </c>
      <c r="D1495" s="1">
        <v>3371154</v>
      </c>
      <c r="E1495" s="1" t="s">
        <v>12</v>
      </c>
      <c r="F1495" s="2">
        <v>45763.702777777777</v>
      </c>
      <c r="G1495" s="1">
        <v>5228</v>
      </c>
      <c r="H1495" s="1">
        <v>5228</v>
      </c>
      <c r="I1495" s="1" t="s">
        <v>2134</v>
      </c>
      <c r="J1495" s="2">
        <v>45764.37777777778</v>
      </c>
      <c r="K1495" s="2">
        <v>45768.584722222222</v>
      </c>
      <c r="L1495" s="1" t="s">
        <v>14</v>
      </c>
      <c r="M1495" s="1" t="str">
        <f>_xlfn.XLOOKUP(I1495,Parâmetros!A:A,Parâmetros!B:B,_xlfn.XLOOKUP(Q1495,Parâmetros!F:F,Parâmetros!G:G,"NOVA MENSAGEM"))</f>
        <v>NOVA MENSAGEM</v>
      </c>
      <c r="N1495" s="1" t="str">
        <f>_xlfn.XLOOKUP(M1495,Parâmetros!K:K,Parâmetros!L:L,"")</f>
        <v/>
      </c>
      <c r="O1495" s="1" t="str">
        <f>_xlfn.XLOOKUP(M1495,Parâmetros!B:B,Parâmetros!C:C,_xlfn.XLOOKUP(Base!M1589,Parâmetros!G:G,Parâmetros!H:H))</f>
        <v>QUALIDADE DOS DADOS</v>
      </c>
      <c r="P1495" s="1" t="e">
        <f>_xlfn.XLOOKUP(I1495,Parâmetros!A:A,Parâmetros!D:D,_xlfn.XLOOKUP(Q1495,Parâmetros!F:F,Parâmetros!I:I))</f>
        <v>#N/A</v>
      </c>
      <c r="Q1495" s="1" t="str">
        <f t="shared" si="47"/>
        <v>COLUNA I</v>
      </c>
    </row>
    <row r="1496" spans="1:17" x14ac:dyDescent="0.25">
      <c r="A1496" s="1" t="str">
        <f>_xlfn.XLOOKUP(D1496,'Novo relatório'!B:B,'Novo relatório'!C:C,"RESOLVIDO")</f>
        <v>TMS</v>
      </c>
      <c r="C1496" t="str">
        <f t="shared" si="46"/>
        <v>PENDENTE</v>
      </c>
      <c r="D1496" s="1">
        <v>3372971</v>
      </c>
      <c r="E1496" s="1" t="s">
        <v>12</v>
      </c>
      <c r="F1496" s="2">
        <v>45764.540277777778</v>
      </c>
      <c r="G1496" s="1">
        <v>11796</v>
      </c>
      <c r="H1496" s="1">
        <v>11796</v>
      </c>
      <c r="I1496" s="1" t="s">
        <v>2132</v>
      </c>
      <c r="J1496" s="2">
        <v>45764.732638888891</v>
      </c>
      <c r="K1496" s="2">
        <v>45767.961111111108</v>
      </c>
      <c r="L1496" s="1" t="s">
        <v>19</v>
      </c>
      <c r="M1496" s="1" t="str">
        <f>_xlfn.XLOOKUP(I1496,Parâmetros!A:A,Parâmetros!B:B,_xlfn.XLOOKUP(Q1496,Parâmetros!F:F,Parâmetros!G:G,"NOVA MENSAGEM"))</f>
        <v>CONTRATO FORNECEDOR</v>
      </c>
      <c r="N1496" s="1" t="str">
        <f>_xlfn.XLOOKUP(M1496,Parâmetros!K:K,Parâmetros!L:L,"")</f>
        <v>CONTRATO INATIVO OU DIVERGENTE</v>
      </c>
      <c r="O1496" s="1" t="str">
        <f>_xlfn.XLOOKUP(M1496,Parâmetros!B:B,Parâmetros!C:C,_xlfn.XLOOKUP(Base!M1567,Parâmetros!G:G,Parâmetros!H:H))</f>
        <v>SISTEMA</v>
      </c>
      <c r="P1496" s="1" t="str">
        <f>_xlfn.XLOOKUP(I1496,Parâmetros!A:A,Parâmetros!D:D,_xlfn.XLOOKUP(Q1496,Parâmetros!F:F,Parâmetros!I:I))</f>
        <v>OPERAÇÕES / SUPORTE KCS</v>
      </c>
      <c r="Q1496" s="1">
        <f t="shared" si="47"/>
        <v>69</v>
      </c>
    </row>
    <row r="1497" spans="1:17" x14ac:dyDescent="0.25">
      <c r="A1497" s="1" t="str">
        <f>_xlfn.XLOOKUP(D1497,'Novo relatório'!B:B,'Novo relatório'!C:C,"RESOLVIDO")</f>
        <v>TMS</v>
      </c>
      <c r="C1497" t="str">
        <f t="shared" si="46"/>
        <v>PENDENTE</v>
      </c>
      <c r="D1497" s="1">
        <v>3373004</v>
      </c>
      <c r="E1497" s="1" t="s">
        <v>12</v>
      </c>
      <c r="F1497" s="2">
        <v>45764.65625</v>
      </c>
      <c r="G1497" s="1">
        <v>109</v>
      </c>
      <c r="H1497" s="1">
        <v>109</v>
      </c>
      <c r="I1497" s="1" t="s">
        <v>16</v>
      </c>
      <c r="J1497" s="2">
        <v>45764.736111111109</v>
      </c>
      <c r="K1497" s="2">
        <v>45767.961111111108</v>
      </c>
      <c r="L1497" s="1" t="s">
        <v>14</v>
      </c>
      <c r="M1497" s="1" t="str">
        <f>_xlfn.XLOOKUP(I1497,Parâmetros!A:A,Parâmetros!B:B,_xlfn.XLOOKUP(Q1497,Parâmetros!F:F,Parâmetros!G:G,"NOVA MENSAGEM"))</f>
        <v>ASSENTO / BAGAGEM</v>
      </c>
      <c r="N1497" s="1" t="str">
        <f>_xlfn.XLOOKUP(M1497,Parâmetros!K:K,Parâmetros!L:L,"")</f>
        <v>CAMPO OBSERVAÇÃO PREENCHIDO INCORRETAMENTE</v>
      </c>
      <c r="O1497" s="1" t="str">
        <f>_xlfn.XLOOKUP(M1497,Parâmetros!B:B,Parâmetros!C:C,_xlfn.XLOOKUP(Base!M1563,Parâmetros!G:G,Parâmetros!H:H))</f>
        <v>QUALIDADE DOS DADOS</v>
      </c>
      <c r="P1497" s="1" t="str">
        <f>_xlfn.XLOOKUP(I1497,Parâmetros!A:A,Parâmetros!D:D,_xlfn.XLOOKUP(Q1497,Parâmetros!F:F,Parâmetros!I:I))</f>
        <v>OPERAÇÕES / SUPORTE KCS</v>
      </c>
      <c r="Q1497" s="1">
        <f t="shared" si="47"/>
        <v>118</v>
      </c>
    </row>
    <row r="1498" spans="1:17" x14ac:dyDescent="0.25">
      <c r="A1498" s="1" t="str">
        <f>_xlfn.XLOOKUP(D1498,'Novo relatório'!B:B,'Novo relatório'!C:C,"RESOLVIDO")</f>
        <v>SABRE</v>
      </c>
      <c r="C1498" t="str">
        <f t="shared" si="46"/>
        <v>PENDENTE</v>
      </c>
      <c r="D1498" s="1">
        <v>3373071</v>
      </c>
      <c r="E1498" s="1" t="s">
        <v>26</v>
      </c>
      <c r="F1498" s="2">
        <v>45769.327777777777</v>
      </c>
      <c r="G1498" s="1" t="s">
        <v>2088</v>
      </c>
      <c r="H1498" s="1" t="s">
        <v>2089</v>
      </c>
      <c r="I1498" s="1" t="s">
        <v>101</v>
      </c>
      <c r="J1498" s="2">
        <v>45764.743750000001</v>
      </c>
      <c r="K1498" s="2">
        <v>45769.420138888891</v>
      </c>
      <c r="L1498" s="1" t="s">
        <v>1244</v>
      </c>
      <c r="M1498" s="1" t="str">
        <f>_xlfn.XLOOKUP(I1498,Parâmetros!A:A,Parâmetros!B:B,_xlfn.XLOOKUP(Q1498,Parâmetros!F:F,Parâmetros!G:G,"NOVA MENSAGEM"))</f>
        <v>REMARK - DATA INCORRETA</v>
      </c>
      <c r="N1498" s="1" t="str">
        <f>_xlfn.XLOOKUP(M1498,Parâmetros!K:K,Parâmetros!L:L,"")</f>
        <v>REMARK U*INFOPAG-CC/REC-CC PREENCHIDO INCORRETAMENTE</v>
      </c>
      <c r="O1498" s="1" t="str">
        <f>_xlfn.XLOOKUP(M1498,Parâmetros!B:B,Parâmetros!C:C,_xlfn.XLOOKUP(Base!M1525,Parâmetros!G:G,Parâmetros!H:H))</f>
        <v>QUALIDADE DOS DADOS</v>
      </c>
      <c r="P1498" s="1" t="str">
        <f>_xlfn.XLOOKUP(I1498,Parâmetros!A:A,Parâmetros!D:D,_xlfn.XLOOKUP(Q1498,Parâmetros!F:F,Parâmetros!I:I))</f>
        <v>OPERAÇÕES / SUPORTE KCS</v>
      </c>
      <c r="Q1498" s="1" t="str">
        <f t="shared" si="47"/>
        <v>COLUNA I</v>
      </c>
    </row>
    <row r="1499" spans="1:17" x14ac:dyDescent="0.25">
      <c r="A1499" s="1" t="str">
        <f>_xlfn.XLOOKUP(D1499,'Novo relatório'!B:B,'Novo relatório'!C:C,"RESOLVIDO")</f>
        <v>SABRE</v>
      </c>
      <c r="C1499" t="str">
        <f t="shared" si="46"/>
        <v>PENDENTE</v>
      </c>
      <c r="D1499" s="1">
        <v>3373073</v>
      </c>
      <c r="E1499" s="1" t="s">
        <v>26</v>
      </c>
      <c r="F1499" s="2">
        <v>45769.32916666667</v>
      </c>
      <c r="G1499" s="1" t="s">
        <v>2116</v>
      </c>
      <c r="H1499" s="1" t="s">
        <v>2117</v>
      </c>
      <c r="I1499" s="1" t="s">
        <v>101</v>
      </c>
      <c r="J1499" s="2">
        <v>45764.743750000001</v>
      </c>
      <c r="K1499" s="2">
        <v>45769.420138888891</v>
      </c>
      <c r="L1499" s="1" t="s">
        <v>1244</v>
      </c>
      <c r="M1499" s="1" t="str">
        <f>_xlfn.XLOOKUP(I1499,Parâmetros!A:A,Parâmetros!B:B,_xlfn.XLOOKUP(Q1499,Parâmetros!F:F,Parâmetros!G:G,"NOVA MENSAGEM"))</f>
        <v>REMARK - DATA INCORRETA</v>
      </c>
      <c r="N1499" s="1" t="str">
        <f>_xlfn.XLOOKUP(M1499,Parâmetros!K:K,Parâmetros!L:L,"")</f>
        <v>REMARK U*INFOPAG-CC/REC-CC PREENCHIDO INCORRETAMENTE</v>
      </c>
      <c r="O1499" s="1" t="str">
        <f>_xlfn.XLOOKUP(M1499,Parâmetros!B:B,Parâmetros!C:C,_xlfn.XLOOKUP(Base!M1548,Parâmetros!G:G,Parâmetros!H:H))</f>
        <v>QUALIDADE DOS DADOS</v>
      </c>
      <c r="P1499" s="1" t="str">
        <f>_xlfn.XLOOKUP(I1499,Parâmetros!A:A,Parâmetros!D:D,_xlfn.XLOOKUP(Q1499,Parâmetros!F:F,Parâmetros!I:I))</f>
        <v>OPERAÇÕES / SUPORTE KCS</v>
      </c>
      <c r="Q1499" s="1" t="str">
        <f t="shared" si="47"/>
        <v>COLUNA I</v>
      </c>
    </row>
    <row r="1500" spans="1:17" x14ac:dyDescent="0.25">
      <c r="A1500" s="1" t="str">
        <f>_xlfn.XLOOKUP(D1500,'Novo relatório'!B:B,'Novo relatório'!C:C,"RESOLVIDO")</f>
        <v>RESOLVIDO</v>
      </c>
      <c r="C1500" t="str">
        <f t="shared" si="46"/>
        <v>RESOLVIDO</v>
      </c>
      <c r="D1500" s="1">
        <v>3373280</v>
      </c>
      <c r="E1500" s="1" t="s">
        <v>12</v>
      </c>
      <c r="F1500" s="2">
        <v>45764.606249999997</v>
      </c>
      <c r="G1500" s="1">
        <v>17759</v>
      </c>
      <c r="H1500" s="1">
        <v>17759</v>
      </c>
      <c r="I1500" s="1" t="s">
        <v>2134</v>
      </c>
      <c r="J1500" s="2">
        <v>45764.761111111111</v>
      </c>
      <c r="K1500" s="2">
        <v>45767.961111111108</v>
      </c>
      <c r="L1500" s="1" t="s">
        <v>14</v>
      </c>
      <c r="M1500" s="1" t="str">
        <f>_xlfn.XLOOKUP(I1500,Parâmetros!A:A,Parâmetros!B:B,_xlfn.XLOOKUP(Q1500,Parâmetros!F:F,Parâmetros!G:G,"NOVA MENSAGEM"))</f>
        <v>NOVA MENSAGEM</v>
      </c>
      <c r="N1500" s="1" t="str">
        <f>_xlfn.XLOOKUP(M1500,Parâmetros!K:K,Parâmetros!L:L,"")</f>
        <v/>
      </c>
      <c r="O1500" s="1" t="e">
        <f>_xlfn.XLOOKUP(M1500,Parâmetros!B:B,Parâmetros!C:C,_xlfn.XLOOKUP(Base!M1572,Parâmetros!G:G,Parâmetros!H:H))</f>
        <v>#N/A</v>
      </c>
      <c r="P1500" s="1" t="e">
        <f>_xlfn.XLOOKUP(I1500,Parâmetros!A:A,Parâmetros!D:D,_xlfn.XLOOKUP(Q1500,Parâmetros!F:F,Parâmetros!I:I))</f>
        <v>#N/A</v>
      </c>
      <c r="Q1500" s="1" t="str">
        <f t="shared" si="47"/>
        <v>COLUNA I</v>
      </c>
    </row>
    <row r="1501" spans="1:17" x14ac:dyDescent="0.25">
      <c r="A1501" s="1" t="str">
        <f>_xlfn.XLOOKUP(D1501,'Novo relatório'!B:B,'Novo relatório'!C:C,"RESOLVIDO")</f>
        <v>SABRE</v>
      </c>
      <c r="C1501" t="str">
        <f t="shared" si="46"/>
        <v>PENDENTE</v>
      </c>
      <c r="D1501" s="1">
        <v>3373499</v>
      </c>
      <c r="E1501" s="1" t="s">
        <v>26</v>
      </c>
      <c r="F1501" s="2">
        <v>45764.701388888891</v>
      </c>
      <c r="G1501" s="1" t="s">
        <v>1945</v>
      </c>
      <c r="H1501" s="1" t="s">
        <v>1945</v>
      </c>
      <c r="I1501" s="1" t="s">
        <v>652</v>
      </c>
      <c r="J1501" s="2">
        <v>45764.797222222223</v>
      </c>
      <c r="L1501" s="1" t="s">
        <v>18</v>
      </c>
      <c r="M1501" s="1" t="str">
        <f>_xlfn.XLOOKUP(I1501,Parâmetros!A:A,Parâmetros!B:B,_xlfn.XLOOKUP(Q1501,Parâmetros!F:F,Parâmetros!G:G,"NOVA MENSAGEM"))</f>
        <v>CÓD. CLIENTE DIVERGENTE</v>
      </c>
      <c r="N1501" s="1" t="str">
        <f>_xlfn.XLOOKUP(M1501,Parâmetros!K:K,Parâmetros!L:L,"")</f>
        <v>CÓDIGO DIFERENTE DO CADASTRADO NO BENNER (CLIENTE X GRUPO)</v>
      </c>
      <c r="O1501" s="1" t="str">
        <f>_xlfn.XLOOKUP(M1501,Parâmetros!B:B,Parâmetros!C:C,_xlfn.XLOOKUP(Base!M1403,Parâmetros!G:G,Parâmetros!H:H))</f>
        <v>QUALIDADE DOS DADOS</v>
      </c>
      <c r="P1501" s="1" t="str">
        <f>_xlfn.XLOOKUP(I1501,Parâmetros!A:A,Parâmetros!D:D,_xlfn.XLOOKUP(Q1501,Parâmetros!F:F,Parâmetros!I:I))</f>
        <v>SUPORTE OBT</v>
      </c>
      <c r="Q1501" s="1">
        <f t="shared" si="47"/>
        <v>1</v>
      </c>
    </row>
    <row r="1502" spans="1:17" x14ac:dyDescent="0.25">
      <c r="A1502" s="1" t="str">
        <f>_xlfn.XLOOKUP(D1502,'Novo relatório'!B:B,'Novo relatório'!C:C,"RESOLVIDO")</f>
        <v>SABRE</v>
      </c>
      <c r="C1502" t="str">
        <f t="shared" si="46"/>
        <v>PENDENTE</v>
      </c>
      <c r="D1502" s="1">
        <v>3373501</v>
      </c>
      <c r="E1502" s="1" t="s">
        <v>26</v>
      </c>
      <c r="F1502" s="2">
        <v>45764.701388888891</v>
      </c>
      <c r="G1502" s="1" t="s">
        <v>1935</v>
      </c>
      <c r="H1502" s="1" t="s">
        <v>1935</v>
      </c>
      <c r="I1502" s="1" t="s">
        <v>83</v>
      </c>
      <c r="J1502" s="2">
        <v>45764.797222222223</v>
      </c>
      <c r="L1502" s="1" t="s">
        <v>18</v>
      </c>
      <c r="M1502" s="1" t="str">
        <f>_xlfn.XLOOKUP(I1502,Parâmetros!A:A,Parâmetros!B:B,_xlfn.XLOOKUP(Q1502,Parâmetros!F:F,Parâmetros!G:G,"NOVA MENSAGEM"))</f>
        <v>CLIENTE NÃO IDENTIFICADO</v>
      </c>
      <c r="N1502" s="1" t="str">
        <f>_xlfn.XLOOKUP(M1502,Parâmetros!K:K,Parâmetros!L:L,"")</f>
        <v>DK DE CLIENTE NÃO PREENCIDO / CLIENTE NÃO CONFIGURADO NO OBT</v>
      </c>
      <c r="O1502" s="1" t="str">
        <f>_xlfn.XLOOKUP(M1502,Parâmetros!B:B,Parâmetros!C:C,_xlfn.XLOOKUP(Base!M1394,Parâmetros!G:G,Parâmetros!H:H))</f>
        <v>INDEFINIDO</v>
      </c>
      <c r="P1502" s="1" t="str">
        <f>_xlfn.XLOOKUP(I1502,Parâmetros!A:A,Parâmetros!D:D,_xlfn.XLOOKUP(Q1502,Parâmetros!F:F,Parâmetros!I:I))</f>
        <v>OPERAÇÕES / SUPORTE KCS</v>
      </c>
      <c r="Q1502" s="1" t="str">
        <f t="shared" si="47"/>
        <v>COLUNA I</v>
      </c>
    </row>
    <row r="1503" spans="1:17" x14ac:dyDescent="0.25">
      <c r="A1503" s="1" t="str">
        <f>_xlfn.XLOOKUP(D1503,'Novo relatório'!B:B,'Novo relatório'!C:C,"RESOLVIDO")</f>
        <v>SABRE</v>
      </c>
      <c r="C1503" t="str">
        <f t="shared" si="46"/>
        <v>PENDENTE</v>
      </c>
      <c r="D1503" s="1">
        <v>3373506</v>
      </c>
      <c r="E1503" s="1" t="s">
        <v>26</v>
      </c>
      <c r="F1503" s="2">
        <v>45764.701388888891</v>
      </c>
      <c r="G1503" s="1" t="s">
        <v>2068</v>
      </c>
      <c r="H1503" s="1" t="s">
        <v>2068</v>
      </c>
      <c r="I1503" s="1" t="s">
        <v>829</v>
      </c>
      <c r="J1503" s="2">
        <v>45764.79791666667</v>
      </c>
      <c r="L1503" s="1" t="s">
        <v>18</v>
      </c>
      <c r="M1503" s="1" t="str">
        <f>_xlfn.XLOOKUP(I1503,Parâmetros!A:A,Parâmetros!B:B,_xlfn.XLOOKUP(Q1503,Parâmetros!F:F,Parâmetros!G:G,"NOVA MENSAGEM"))</f>
        <v>REMARK - CNPJ</v>
      </c>
      <c r="N1503" s="1" t="str">
        <f>_xlfn.XLOOKUP(M1503,Parâmetros!K:K,Parâmetros!L:L,"")</f>
        <v/>
      </c>
      <c r="O1503" s="1" t="str">
        <f>_xlfn.XLOOKUP(M1503,Parâmetros!B:B,Parâmetros!C:C,_xlfn.XLOOKUP(Base!M1511,Parâmetros!G:G,Parâmetros!H:H))</f>
        <v>QUALIDADE DOS DADOS</v>
      </c>
      <c r="P1503" s="1" t="str">
        <f>_xlfn.XLOOKUP(I1503,Parâmetros!A:A,Parâmetros!D:D,_xlfn.XLOOKUP(Q1503,Parâmetros!F:F,Parâmetros!I:I))</f>
        <v>OPERAÇÕES / SUPORTE KCS</v>
      </c>
      <c r="Q1503" s="1">
        <f t="shared" si="47"/>
        <v>24</v>
      </c>
    </row>
    <row r="1504" spans="1:17" x14ac:dyDescent="0.25">
      <c r="A1504" s="1" t="str">
        <f>_xlfn.XLOOKUP(D1504,'Novo relatório'!B:B,'Novo relatório'!C:C,"RESOLVIDO")</f>
        <v>SABRE</v>
      </c>
      <c r="C1504" t="str">
        <f t="shared" si="46"/>
        <v>PENDENTE</v>
      </c>
      <c r="D1504" s="1">
        <v>3373569</v>
      </c>
      <c r="E1504" s="1" t="s">
        <v>26</v>
      </c>
      <c r="F1504" s="2">
        <v>45764.768750000003</v>
      </c>
      <c r="G1504" s="1" t="s">
        <v>2120</v>
      </c>
      <c r="H1504" s="1" t="s">
        <v>2120</v>
      </c>
      <c r="I1504" s="1" t="s">
        <v>707</v>
      </c>
      <c r="J1504" s="2">
        <v>45764.856249999997</v>
      </c>
      <c r="L1504" s="1" t="s">
        <v>18</v>
      </c>
      <c r="M1504" s="1" t="str">
        <f>_xlfn.XLOOKUP(I1504,Parâmetros!A:A,Parâmetros!B:B,_xlfn.XLOOKUP(Q1504,Parâmetros!F:F,Parâmetros!G:G,"NOVA MENSAGEM"))</f>
        <v>CÓD. CLIENTE DIVERGENTE</v>
      </c>
      <c r="N1504" s="1" t="str">
        <f>_xlfn.XLOOKUP(M1504,Parâmetros!K:K,Parâmetros!L:L,"")</f>
        <v>CÓDIGO DIFERENTE DO CADASTRADO NO BENNER (CLIENTE X GRUPO)</v>
      </c>
      <c r="O1504" s="1" t="str">
        <f>_xlfn.XLOOKUP(M1504,Parâmetros!B:B,Parâmetros!C:C,_xlfn.XLOOKUP(Base!M1550,Parâmetros!G:G,Parâmetros!H:H))</f>
        <v>QUALIDADE DOS DADOS</v>
      </c>
      <c r="P1504" s="1" t="str">
        <f>_xlfn.XLOOKUP(I1504,Parâmetros!A:A,Parâmetros!D:D,_xlfn.XLOOKUP(Q1504,Parâmetros!F:F,Parâmetros!I:I))</f>
        <v>SUPORTE OBT</v>
      </c>
      <c r="Q1504" s="1">
        <f t="shared" si="47"/>
        <v>1</v>
      </c>
    </row>
    <row r="1505" spans="1:17" x14ac:dyDescent="0.25">
      <c r="A1505" s="1" t="str">
        <f>_xlfn.XLOOKUP(D1505,'Novo relatório'!B:B,'Novo relatório'!C:C,"RESOLVIDO")</f>
        <v>GOVER</v>
      </c>
      <c r="C1505" t="str">
        <f t="shared" si="46"/>
        <v>PENDENTE</v>
      </c>
      <c r="D1505" s="1">
        <v>3374621</v>
      </c>
      <c r="E1505" s="1" t="s">
        <v>24</v>
      </c>
      <c r="F1505" s="2">
        <v>45767.620833333334</v>
      </c>
      <c r="G1505" s="1">
        <v>4525379</v>
      </c>
      <c r="H1505" s="1">
        <v>4525379</v>
      </c>
      <c r="I1505" s="1" t="s">
        <v>77</v>
      </c>
      <c r="J1505" s="2">
        <v>45767.634027777778</v>
      </c>
      <c r="K1505" s="2">
        <v>45776.363888888889</v>
      </c>
      <c r="L1505" s="1" t="s">
        <v>14</v>
      </c>
      <c r="M1505" s="1" t="str">
        <f>_xlfn.XLOOKUP(I1505,Parâmetros!A:A,Parâmetros!B:B,_xlfn.XLOOKUP(Q1505,Parâmetros!F:F,Parâmetros!G:G,"NOVA MENSAGEM"))</f>
        <v>RLOC NÃO INFORMADO</v>
      </c>
      <c r="N1505" s="1" t="str">
        <f>_xlfn.XLOOKUP(M1505,Parâmetros!K:K,Parâmetros!L:L,"")</f>
        <v>RLOC NÃO PREENCHIDO NA RESERVA</v>
      </c>
      <c r="O1505" s="1" t="str">
        <f>_xlfn.XLOOKUP(M1505,Parâmetros!B:B,Parâmetros!C:C,_xlfn.XLOOKUP(Base!M1602,Parâmetros!G:G,Parâmetros!H:H))</f>
        <v>QUALIDADE DOS DADOS</v>
      </c>
      <c r="P1505" s="1" t="str">
        <f>_xlfn.XLOOKUP(I1505,Parâmetros!A:A,Parâmetros!D:D,_xlfn.XLOOKUP(Q1505,Parâmetros!F:F,Parâmetros!I:I))</f>
        <v>SUPORTE OBT</v>
      </c>
      <c r="Q1505" s="1" t="str">
        <f t="shared" si="47"/>
        <v>COLUNA I</v>
      </c>
    </row>
    <row r="1506" spans="1:17" x14ac:dyDescent="0.25">
      <c r="A1506" s="1" t="str">
        <f>_xlfn.XLOOKUP(D1506,'Novo relatório'!B:B,'Novo relatório'!C:C,"RESOLVIDO")</f>
        <v>SABRE</v>
      </c>
      <c r="C1506" t="str">
        <f t="shared" si="46"/>
        <v>PENDENTE</v>
      </c>
      <c r="D1506" s="1">
        <v>3374833</v>
      </c>
      <c r="E1506" s="1" t="s">
        <v>26</v>
      </c>
      <c r="F1506" s="2">
        <v>45769.244444444441</v>
      </c>
      <c r="G1506" s="1" t="s">
        <v>2050</v>
      </c>
      <c r="H1506" s="1" t="s">
        <v>2050</v>
      </c>
      <c r="I1506" s="1" t="s">
        <v>1761</v>
      </c>
      <c r="J1506" s="2">
        <v>45769.336805555555</v>
      </c>
      <c r="L1506" s="1" t="s">
        <v>18</v>
      </c>
      <c r="M1506" s="1" t="str">
        <f>_xlfn.XLOOKUP(I1506,Parâmetros!A:A,Parâmetros!B:B,_xlfn.XLOOKUP(Q1506,Parâmetros!F:F,Parâmetros!G:G,"NOVA MENSAGEM"))</f>
        <v>CÓD. CLIENTE DIVERGENTE</v>
      </c>
      <c r="N1506" s="1" t="str">
        <f>_xlfn.XLOOKUP(M1506,Parâmetros!K:K,Parâmetros!L:L,"")</f>
        <v>CÓDIGO DIFERENTE DO CADASTRADO NO BENNER (CLIENTE X GRUPO)</v>
      </c>
      <c r="O1506" s="1" t="str">
        <f>_xlfn.XLOOKUP(M1506,Parâmetros!B:B,Parâmetros!C:C,_xlfn.XLOOKUP(Base!M1496,Parâmetros!G:G,Parâmetros!H:H))</f>
        <v>QUALIDADE DOS DADOS</v>
      </c>
      <c r="P1506" s="1" t="str">
        <f>_xlfn.XLOOKUP(I1506,Parâmetros!A:A,Parâmetros!D:D,_xlfn.XLOOKUP(Q1506,Parâmetros!F:F,Parâmetros!I:I))</f>
        <v>SUPORTE OBT</v>
      </c>
      <c r="Q1506" s="1">
        <f t="shared" si="47"/>
        <v>1</v>
      </c>
    </row>
    <row r="1507" spans="1:17" x14ac:dyDescent="0.25">
      <c r="A1507" s="1" t="str">
        <f>_xlfn.XLOOKUP(D1507,'Novo relatório'!B:B,'Novo relatório'!C:C,"RESOLVIDO")</f>
        <v>SABRE</v>
      </c>
      <c r="C1507" t="str">
        <f t="shared" si="46"/>
        <v>PENDENTE</v>
      </c>
      <c r="D1507" s="1">
        <v>3374834</v>
      </c>
      <c r="E1507" s="1" t="s">
        <v>26</v>
      </c>
      <c r="F1507" s="2">
        <v>45769.244444444441</v>
      </c>
      <c r="G1507" s="1" t="s">
        <v>2051</v>
      </c>
      <c r="H1507" s="1" t="s">
        <v>2050</v>
      </c>
      <c r="I1507" s="1" t="s">
        <v>2052</v>
      </c>
      <c r="J1507" s="2">
        <v>45769.336805555555</v>
      </c>
      <c r="L1507" s="1" t="s">
        <v>18</v>
      </c>
      <c r="M1507" s="1" t="str">
        <f>_xlfn.XLOOKUP(I1507,Parâmetros!A:A,Parâmetros!B:B,_xlfn.XLOOKUP(Q1507,Parâmetros!F:F,Parâmetros!G:G,"NOVA MENSAGEM"))</f>
        <v>CÓD. CLIENTE DIVERGENTE</v>
      </c>
      <c r="N1507" s="1" t="str">
        <f>_xlfn.XLOOKUP(M1507,Parâmetros!K:K,Parâmetros!L:L,"")</f>
        <v>CÓDIGO DIFERENTE DO CADASTRADO NO BENNER (CLIENTE X GRUPO)</v>
      </c>
      <c r="O1507" s="1" t="str">
        <f>_xlfn.XLOOKUP(M1507,Parâmetros!B:B,Parâmetros!C:C,_xlfn.XLOOKUP(Base!M1497,Parâmetros!G:G,Parâmetros!H:H))</f>
        <v>QUALIDADE DOS DADOS</v>
      </c>
      <c r="P1507" s="1" t="str">
        <f>_xlfn.XLOOKUP(I1507,Parâmetros!A:A,Parâmetros!D:D,_xlfn.XLOOKUP(Q1507,Parâmetros!F:F,Parâmetros!I:I))</f>
        <v>SUPORTE OBT</v>
      </c>
      <c r="Q1507" s="1">
        <f t="shared" si="47"/>
        <v>1</v>
      </c>
    </row>
    <row r="1508" spans="1:17" x14ac:dyDescent="0.25">
      <c r="A1508" s="1" t="str">
        <f>_xlfn.XLOOKUP(D1508,'Novo relatório'!B:B,'Novo relatório'!C:C,"RESOLVIDO")</f>
        <v>SABRE</v>
      </c>
      <c r="C1508" t="str">
        <f t="shared" si="46"/>
        <v>PENDENTE</v>
      </c>
      <c r="D1508" s="1">
        <v>3374900</v>
      </c>
      <c r="E1508" s="1" t="s">
        <v>26</v>
      </c>
      <c r="F1508" s="2">
        <v>45769.284722222219</v>
      </c>
      <c r="G1508" s="1" t="s">
        <v>2118</v>
      </c>
      <c r="H1508" s="1" t="s">
        <v>2119</v>
      </c>
      <c r="I1508" s="1" t="s">
        <v>519</v>
      </c>
      <c r="J1508" s="2">
        <v>45769.376388888886</v>
      </c>
      <c r="L1508" s="1" t="s">
        <v>19</v>
      </c>
      <c r="M1508" s="1" t="str">
        <f>_xlfn.XLOOKUP(I1508,Parâmetros!A:A,Parâmetros!B:B,_xlfn.XLOOKUP(Q1508,Parâmetros!F:F,Parâmetros!G:G,"NOVA MENSAGEM"))</f>
        <v>CONTRATO FORNECEDOR</v>
      </c>
      <c r="N1508" s="1" t="str">
        <f>_xlfn.XLOOKUP(M1508,Parâmetros!K:K,Parâmetros!L:L,"")</f>
        <v>CONTRATO INATIVO OU DIVERGENTE</v>
      </c>
      <c r="O1508" s="1" t="str">
        <f>_xlfn.XLOOKUP(M1508,Parâmetros!B:B,Parâmetros!C:C,_xlfn.XLOOKUP(Base!M1549,Parâmetros!G:G,Parâmetros!H:H))</f>
        <v>SISTEMA</v>
      </c>
      <c r="P1508" s="1" t="str">
        <f>_xlfn.XLOOKUP(I1508,Parâmetros!A:A,Parâmetros!D:D,_xlfn.XLOOKUP(Q1508,Parâmetros!F:F,Parâmetros!I:I))</f>
        <v>OPERAÇÕES / SUPORTE KCS</v>
      </c>
      <c r="Q1508" s="1">
        <f t="shared" si="47"/>
        <v>43</v>
      </c>
    </row>
    <row r="1509" spans="1:17" x14ac:dyDescent="0.25">
      <c r="A1509" s="1" t="str">
        <f>_xlfn.XLOOKUP(D1509,'Novo relatório'!B:B,'Novo relatório'!C:C,"RESOLVIDO")</f>
        <v>SABRE</v>
      </c>
      <c r="C1509" t="str">
        <f t="shared" si="46"/>
        <v>PENDENTE</v>
      </c>
      <c r="D1509" s="1">
        <v>3374901</v>
      </c>
      <c r="E1509" s="1" t="s">
        <v>26</v>
      </c>
      <c r="F1509" s="2">
        <v>45769.65</v>
      </c>
      <c r="G1509" s="1" t="s">
        <v>2010</v>
      </c>
      <c r="H1509" s="1" t="s">
        <v>2011</v>
      </c>
      <c r="I1509" s="1" t="s">
        <v>519</v>
      </c>
      <c r="J1509" s="2">
        <v>45769.376388888886</v>
      </c>
      <c r="K1509" s="2">
        <v>45769.740277777775</v>
      </c>
      <c r="L1509" s="1" t="s">
        <v>19</v>
      </c>
      <c r="M1509" s="1" t="str">
        <f>_xlfn.XLOOKUP(I1509,Parâmetros!A:A,Parâmetros!B:B,_xlfn.XLOOKUP(Q1509,Parâmetros!F:F,Parâmetros!G:G,"NOVA MENSAGEM"))</f>
        <v>CONTRATO FORNECEDOR</v>
      </c>
      <c r="N1509" s="1" t="str">
        <f>_xlfn.XLOOKUP(M1509,Parâmetros!K:K,Parâmetros!L:L,"")</f>
        <v>CONTRATO INATIVO OU DIVERGENTE</v>
      </c>
      <c r="O1509" s="1" t="str">
        <f>_xlfn.XLOOKUP(M1509,Parâmetros!B:B,Parâmetros!C:C,_xlfn.XLOOKUP(Base!M1463,Parâmetros!G:G,Parâmetros!H:H))</f>
        <v>SISTEMA</v>
      </c>
      <c r="P1509" s="1" t="str">
        <f>_xlfn.XLOOKUP(I1509,Parâmetros!A:A,Parâmetros!D:D,_xlfn.XLOOKUP(Q1509,Parâmetros!F:F,Parâmetros!I:I))</f>
        <v>OPERAÇÕES / SUPORTE KCS</v>
      </c>
      <c r="Q1509" s="1">
        <f t="shared" si="47"/>
        <v>43</v>
      </c>
    </row>
    <row r="1510" spans="1:17" x14ac:dyDescent="0.25">
      <c r="A1510" s="1" t="str">
        <f>_xlfn.XLOOKUP(D1510,'Novo relatório'!B:B,'Novo relatório'!C:C,"RESOLVIDO")</f>
        <v>SABRE</v>
      </c>
      <c r="C1510" t="str">
        <f t="shared" si="46"/>
        <v>PENDENTE</v>
      </c>
      <c r="D1510" s="1">
        <v>3374902</v>
      </c>
      <c r="E1510" s="1" t="s">
        <v>26</v>
      </c>
      <c r="F1510" s="2">
        <v>45769.649305555555</v>
      </c>
      <c r="G1510" s="1" t="s">
        <v>2021</v>
      </c>
      <c r="H1510" s="1" t="s">
        <v>2022</v>
      </c>
      <c r="I1510" s="1" t="s">
        <v>519</v>
      </c>
      <c r="J1510" s="2">
        <v>45769.376388888886</v>
      </c>
      <c r="K1510" s="2">
        <v>45769.740277777775</v>
      </c>
      <c r="L1510" s="1" t="s">
        <v>19</v>
      </c>
      <c r="M1510" s="1" t="str">
        <f>_xlfn.XLOOKUP(I1510,Parâmetros!A:A,Parâmetros!B:B,_xlfn.XLOOKUP(Q1510,Parâmetros!F:F,Parâmetros!G:G,"NOVA MENSAGEM"))</f>
        <v>CONTRATO FORNECEDOR</v>
      </c>
      <c r="N1510" s="1" t="str">
        <f>_xlfn.XLOOKUP(M1510,Parâmetros!K:K,Parâmetros!L:L,"")</f>
        <v>CONTRATO INATIVO OU DIVERGENTE</v>
      </c>
      <c r="O1510" s="1" t="str">
        <f>_xlfn.XLOOKUP(M1510,Parâmetros!B:B,Parâmetros!C:C,_xlfn.XLOOKUP(Base!M1472,Parâmetros!G:G,Parâmetros!H:H))</f>
        <v>SISTEMA</v>
      </c>
      <c r="P1510" s="1" t="str">
        <f>_xlfn.XLOOKUP(I1510,Parâmetros!A:A,Parâmetros!D:D,_xlfn.XLOOKUP(Q1510,Parâmetros!F:F,Parâmetros!I:I))</f>
        <v>OPERAÇÕES / SUPORTE KCS</v>
      </c>
      <c r="Q1510" s="1">
        <f t="shared" si="47"/>
        <v>43</v>
      </c>
    </row>
    <row r="1511" spans="1:17" x14ac:dyDescent="0.25">
      <c r="A1511" s="1" t="str">
        <f>_xlfn.XLOOKUP(D1511,'Novo relatório'!B:B,'Novo relatório'!C:C,"RESOLVIDO")</f>
        <v>SABRE</v>
      </c>
      <c r="C1511" t="str">
        <f t="shared" si="46"/>
        <v>PENDENTE</v>
      </c>
      <c r="D1511" s="1">
        <v>3375058</v>
      </c>
      <c r="E1511" s="1" t="s">
        <v>26</v>
      </c>
      <c r="F1511" s="2">
        <v>45769.651388888888</v>
      </c>
      <c r="G1511" s="1" t="s">
        <v>2123</v>
      </c>
      <c r="H1511" s="1" t="s">
        <v>2123</v>
      </c>
      <c r="I1511" s="1" t="s">
        <v>1761</v>
      </c>
      <c r="J1511" s="2">
        <v>45769.452777777777</v>
      </c>
      <c r="K1511" s="2">
        <v>45769.744444444441</v>
      </c>
      <c r="L1511" s="1" t="s">
        <v>18</v>
      </c>
      <c r="M1511" s="1" t="str">
        <f>_xlfn.XLOOKUP(I1511,Parâmetros!A:A,Parâmetros!B:B,_xlfn.XLOOKUP(Q1511,Parâmetros!F:F,Parâmetros!G:G,"NOVA MENSAGEM"))</f>
        <v>CÓD. CLIENTE DIVERGENTE</v>
      </c>
      <c r="N1511" s="1" t="str">
        <f>_xlfn.XLOOKUP(M1511,Parâmetros!K:K,Parâmetros!L:L,"")</f>
        <v>CÓDIGO DIFERENTE DO CADASTRADO NO BENNER (CLIENTE X GRUPO)</v>
      </c>
      <c r="O1511" s="1" t="str">
        <f>_xlfn.XLOOKUP(M1511,Parâmetros!B:B,Parâmetros!C:C,_xlfn.XLOOKUP(Base!M1553,Parâmetros!G:G,Parâmetros!H:H))</f>
        <v>QUALIDADE DOS DADOS</v>
      </c>
      <c r="P1511" s="1" t="str">
        <f>_xlfn.XLOOKUP(I1511,Parâmetros!A:A,Parâmetros!D:D,_xlfn.XLOOKUP(Q1511,Parâmetros!F:F,Parâmetros!I:I))</f>
        <v>SUPORTE OBT</v>
      </c>
      <c r="Q1511" s="1">
        <f t="shared" si="47"/>
        <v>1</v>
      </c>
    </row>
    <row r="1512" spans="1:17" x14ac:dyDescent="0.25">
      <c r="A1512" s="1" t="str">
        <f>_xlfn.XLOOKUP(D1512,'Novo relatório'!B:B,'Novo relatório'!C:C,"RESOLVIDO")</f>
        <v>SABRE</v>
      </c>
      <c r="C1512" t="str">
        <f t="shared" si="46"/>
        <v>PENDENTE</v>
      </c>
      <c r="D1512" s="1">
        <v>3375363</v>
      </c>
      <c r="E1512" s="1" t="s">
        <v>26</v>
      </c>
      <c r="F1512" s="2">
        <v>45769.407638888886</v>
      </c>
      <c r="G1512" s="1" t="s">
        <v>2065</v>
      </c>
      <c r="H1512" s="1" t="s">
        <v>2065</v>
      </c>
      <c r="I1512" s="1" t="s">
        <v>1974</v>
      </c>
      <c r="J1512" s="2">
        <v>45769.502083333333</v>
      </c>
      <c r="L1512" s="1" t="s">
        <v>18</v>
      </c>
      <c r="M1512" s="1" t="str">
        <f>_xlfn.XLOOKUP(I1512,Parâmetros!A:A,Parâmetros!B:B,_xlfn.XLOOKUP(Q1512,Parâmetros!F:F,Parâmetros!G:G,"NOVA MENSAGEM"))</f>
        <v>CÓD. CLIENTE DIVERGENTE</v>
      </c>
      <c r="N1512" s="1" t="str">
        <f>_xlfn.XLOOKUP(M1512,Parâmetros!K:K,Parâmetros!L:L,"")</f>
        <v>CÓDIGO DIFERENTE DO CADASTRADO NO BENNER (CLIENTE X GRUPO)</v>
      </c>
      <c r="O1512" s="1" t="str">
        <f>_xlfn.XLOOKUP(M1512,Parâmetros!B:B,Parâmetros!C:C,_xlfn.XLOOKUP(Base!M1509,Parâmetros!G:G,Parâmetros!H:H))</f>
        <v>QUALIDADE DOS DADOS</v>
      </c>
      <c r="P1512" s="1" t="str">
        <f>_xlfn.XLOOKUP(I1512,Parâmetros!A:A,Parâmetros!D:D,_xlfn.XLOOKUP(Q1512,Parâmetros!F:F,Parâmetros!I:I))</f>
        <v>SUPORTE OBT</v>
      </c>
      <c r="Q1512" s="1">
        <f t="shared" si="47"/>
        <v>1</v>
      </c>
    </row>
    <row r="1513" spans="1:17" x14ac:dyDescent="0.25">
      <c r="A1513" s="1" t="str">
        <f>_xlfn.XLOOKUP(D1513,'Novo relatório'!B:B,'Novo relatório'!C:C,"RESOLVIDO")</f>
        <v>RESOLVIDO</v>
      </c>
      <c r="C1513" t="str">
        <f t="shared" si="46"/>
        <v>RESOLVIDO</v>
      </c>
      <c r="D1513" s="1">
        <v>3375500</v>
      </c>
      <c r="E1513" s="1" t="s">
        <v>12</v>
      </c>
      <c r="F1513" s="2">
        <v>45769.476388888892</v>
      </c>
      <c r="G1513" s="1">
        <v>59725</v>
      </c>
      <c r="H1513" s="1">
        <v>59725</v>
      </c>
      <c r="I1513" s="1" t="s">
        <v>16</v>
      </c>
      <c r="J1513" s="2">
        <v>45769.518750000003</v>
      </c>
      <c r="K1513" s="2">
        <v>45772.829861111109</v>
      </c>
      <c r="L1513" s="1" t="s">
        <v>14</v>
      </c>
      <c r="M1513" s="1" t="str">
        <f>_xlfn.XLOOKUP(I1513,Parâmetros!A:A,Parâmetros!B:B,_xlfn.XLOOKUP(Q1513,Parâmetros!F:F,Parâmetros!G:G,"NOVA MENSAGEM"))</f>
        <v>ASSENTO / BAGAGEM</v>
      </c>
      <c r="N1513" s="1" t="str">
        <f>_xlfn.XLOOKUP(M1513,Parâmetros!K:K,Parâmetros!L:L,"")</f>
        <v>CAMPO OBSERVAÇÃO PREENCHIDO INCORRETAMENTE</v>
      </c>
      <c r="O1513" s="1" t="str">
        <f>_xlfn.XLOOKUP(M1513,Parâmetros!B:B,Parâmetros!C:C,_xlfn.XLOOKUP(Base!M1591,Parâmetros!G:G,Parâmetros!H:H))</f>
        <v>QUALIDADE DOS DADOS</v>
      </c>
      <c r="P1513" s="1" t="str">
        <f>_xlfn.XLOOKUP(I1513,Parâmetros!A:A,Parâmetros!D:D,_xlfn.XLOOKUP(Q1513,Parâmetros!F:F,Parâmetros!I:I))</f>
        <v>OPERAÇÕES / SUPORTE KCS</v>
      </c>
      <c r="Q1513" s="1">
        <f t="shared" si="47"/>
        <v>118</v>
      </c>
    </row>
    <row r="1514" spans="1:17" x14ac:dyDescent="0.25">
      <c r="A1514" s="1" t="str">
        <f>_xlfn.XLOOKUP(D1514,'Novo relatório'!B:B,'Novo relatório'!C:C,"RESOLVIDO")</f>
        <v>SABRE</v>
      </c>
      <c r="C1514" t="str">
        <f t="shared" si="46"/>
        <v>PENDENTE</v>
      </c>
      <c r="D1514" s="1">
        <v>3375886</v>
      </c>
      <c r="E1514" s="1" t="s">
        <v>26</v>
      </c>
      <c r="F1514" s="2">
        <v>45770.279861111114</v>
      </c>
      <c r="G1514" s="1" t="s">
        <v>2026</v>
      </c>
      <c r="H1514" s="1" t="s">
        <v>2026</v>
      </c>
      <c r="I1514" s="1" t="s">
        <v>408</v>
      </c>
      <c r="J1514" s="2">
        <v>45769.627083333333</v>
      </c>
      <c r="K1514" s="2">
        <v>45770.366666666669</v>
      </c>
      <c r="L1514" s="1" t="s">
        <v>18</v>
      </c>
      <c r="M1514" s="1" t="str">
        <f>_xlfn.XLOOKUP(I1514,Parâmetros!A:A,Parâmetros!B:B,_xlfn.XLOOKUP(Q1514,Parâmetros!F:F,Parâmetros!G:G,"NOVA MENSAGEM"))</f>
        <v>CÓD. CLIENTE DIVERGENTE</v>
      </c>
      <c r="N1514" s="1" t="str">
        <f>_xlfn.XLOOKUP(M1514,Parâmetros!K:K,Parâmetros!L:L,"")</f>
        <v>CÓDIGO DIFERENTE DO CADASTRADO NO BENNER (CLIENTE X GRUPO)</v>
      </c>
      <c r="O1514" s="1" t="str">
        <f>_xlfn.XLOOKUP(M1514,Parâmetros!B:B,Parâmetros!C:C,_xlfn.XLOOKUP(Base!M1476,Parâmetros!G:G,Parâmetros!H:H))</f>
        <v>QUALIDADE DOS DADOS</v>
      </c>
      <c r="P1514" s="1" t="str">
        <f>_xlfn.XLOOKUP(I1514,Parâmetros!A:A,Parâmetros!D:D,_xlfn.XLOOKUP(Q1514,Parâmetros!F:F,Parâmetros!I:I))</f>
        <v>SUPORTE OBT</v>
      </c>
      <c r="Q1514" s="1">
        <f t="shared" si="47"/>
        <v>1</v>
      </c>
    </row>
    <row r="1515" spans="1:17" x14ac:dyDescent="0.25">
      <c r="A1515" s="1" t="str">
        <f>_xlfn.XLOOKUP(D1515,'Novo relatório'!B:B,'Novo relatório'!C:C,"RESOLVIDO")</f>
        <v>SABRE</v>
      </c>
      <c r="C1515" t="str">
        <f t="shared" si="46"/>
        <v>PENDENTE</v>
      </c>
      <c r="D1515" s="1">
        <v>3376164</v>
      </c>
      <c r="E1515" s="1" t="s">
        <v>26</v>
      </c>
      <c r="F1515" s="2">
        <v>45769.745138888888</v>
      </c>
      <c r="G1515" s="1" t="s">
        <v>2025</v>
      </c>
      <c r="H1515" s="1" t="s">
        <v>2025</v>
      </c>
      <c r="I1515" s="1" t="s">
        <v>1857</v>
      </c>
      <c r="J1515" s="2">
        <v>45769.72152777778</v>
      </c>
      <c r="K1515" s="2">
        <v>45769.836805555555</v>
      </c>
      <c r="L1515" s="1" t="s">
        <v>18</v>
      </c>
      <c r="M1515" s="1" t="str">
        <f>_xlfn.XLOOKUP(I1515,Parâmetros!A:A,Parâmetros!B:B,_xlfn.XLOOKUP(Q1515,Parâmetros!F:F,Parâmetros!G:G,"NOVA MENSAGEM"))</f>
        <v>CÓD. CLIENTE DIVERGENTE</v>
      </c>
      <c r="N1515" s="1" t="str">
        <f>_xlfn.XLOOKUP(M1515,Parâmetros!K:K,Parâmetros!L:L,"")</f>
        <v>CÓDIGO DIFERENTE DO CADASTRADO NO BENNER (CLIENTE X GRUPO)</v>
      </c>
      <c r="O1515" s="1" t="str">
        <f>_xlfn.XLOOKUP(M1515,Parâmetros!B:B,Parâmetros!C:C,_xlfn.XLOOKUP(Base!M1475,Parâmetros!G:G,Parâmetros!H:H))</f>
        <v>QUALIDADE DOS DADOS</v>
      </c>
      <c r="P1515" s="1" t="str">
        <f>_xlfn.XLOOKUP(I1515,Parâmetros!A:A,Parâmetros!D:D,_xlfn.XLOOKUP(Q1515,Parâmetros!F:F,Parâmetros!I:I))</f>
        <v>SUPORTE OBT</v>
      </c>
      <c r="Q1515" s="1">
        <f t="shared" si="47"/>
        <v>1</v>
      </c>
    </row>
    <row r="1516" spans="1:17" x14ac:dyDescent="0.25">
      <c r="A1516" s="1" t="str">
        <f>_xlfn.XLOOKUP(D1516,'Novo relatório'!B:B,'Novo relatório'!C:C,"RESOLVIDO")</f>
        <v>SABRE</v>
      </c>
      <c r="C1516" t="str">
        <f t="shared" si="46"/>
        <v>PENDENTE</v>
      </c>
      <c r="D1516" s="1">
        <v>3376168</v>
      </c>
      <c r="E1516" s="1" t="s">
        <v>26</v>
      </c>
      <c r="F1516" s="2">
        <v>45769.745138888888</v>
      </c>
      <c r="G1516" s="1" t="s">
        <v>1969</v>
      </c>
      <c r="H1516" s="1" t="s">
        <v>1969</v>
      </c>
      <c r="I1516" s="1" t="s">
        <v>408</v>
      </c>
      <c r="J1516" s="2">
        <v>45769.722222222219</v>
      </c>
      <c r="K1516" s="2">
        <v>45769.836805555555</v>
      </c>
      <c r="L1516" s="1" t="s">
        <v>18</v>
      </c>
      <c r="M1516" s="1" t="str">
        <f>_xlfn.XLOOKUP(I1516,Parâmetros!A:A,Parâmetros!B:B,_xlfn.XLOOKUP(Q1516,Parâmetros!F:F,Parâmetros!G:G,"NOVA MENSAGEM"))</f>
        <v>CÓD. CLIENTE DIVERGENTE</v>
      </c>
      <c r="N1516" s="1" t="str">
        <f>_xlfn.XLOOKUP(M1516,Parâmetros!K:K,Parâmetros!L:L,"")</f>
        <v>CÓDIGO DIFERENTE DO CADASTRADO NO BENNER (CLIENTE X GRUPO)</v>
      </c>
      <c r="O1516" s="1" t="str">
        <f>_xlfn.XLOOKUP(M1516,Parâmetros!B:B,Parâmetros!C:C,_xlfn.XLOOKUP(Base!M1426,Parâmetros!G:G,Parâmetros!H:H))</f>
        <v>QUALIDADE DOS DADOS</v>
      </c>
      <c r="P1516" s="1" t="str">
        <f>_xlfn.XLOOKUP(I1516,Parâmetros!A:A,Parâmetros!D:D,_xlfn.XLOOKUP(Q1516,Parâmetros!F:F,Parâmetros!I:I))</f>
        <v>SUPORTE OBT</v>
      </c>
      <c r="Q1516" s="1">
        <f t="shared" si="47"/>
        <v>1</v>
      </c>
    </row>
    <row r="1517" spans="1:17" x14ac:dyDescent="0.25">
      <c r="A1517" s="1" t="str">
        <f>_xlfn.XLOOKUP(D1517,'Novo relatório'!B:B,'Novo relatório'!C:C,"RESOLVIDO")</f>
        <v>SABRE</v>
      </c>
      <c r="C1517" t="str">
        <f t="shared" si="46"/>
        <v>PENDENTE</v>
      </c>
      <c r="D1517" s="1">
        <v>3376180</v>
      </c>
      <c r="E1517" s="1" t="s">
        <v>26</v>
      </c>
      <c r="F1517" s="2">
        <v>45769.745138888888</v>
      </c>
      <c r="G1517" s="1" t="s">
        <v>1967</v>
      </c>
      <c r="H1517" s="1" t="s">
        <v>1967</v>
      </c>
      <c r="I1517" s="1" t="s">
        <v>408</v>
      </c>
      <c r="J1517" s="2">
        <v>45769.730555555558</v>
      </c>
      <c r="K1517" s="2">
        <v>45769.836805555555</v>
      </c>
      <c r="L1517" s="1" t="s">
        <v>18</v>
      </c>
      <c r="M1517" s="1" t="str">
        <f>_xlfn.XLOOKUP(I1517,Parâmetros!A:A,Parâmetros!B:B,_xlfn.XLOOKUP(Q1517,Parâmetros!F:F,Parâmetros!G:G,"NOVA MENSAGEM"))</f>
        <v>CÓD. CLIENTE DIVERGENTE</v>
      </c>
      <c r="N1517" s="1" t="str">
        <f>_xlfn.XLOOKUP(M1517,Parâmetros!K:K,Parâmetros!L:L,"")</f>
        <v>CÓDIGO DIFERENTE DO CADASTRADO NO BENNER (CLIENTE X GRUPO)</v>
      </c>
      <c r="O1517" s="1" t="str">
        <f>_xlfn.XLOOKUP(M1517,Parâmetros!B:B,Parâmetros!C:C,_xlfn.XLOOKUP(Base!M1424,Parâmetros!G:G,Parâmetros!H:H))</f>
        <v>QUALIDADE DOS DADOS</v>
      </c>
      <c r="P1517" s="1" t="str">
        <f>_xlfn.XLOOKUP(I1517,Parâmetros!A:A,Parâmetros!D:D,_xlfn.XLOOKUP(Q1517,Parâmetros!F:F,Parâmetros!I:I))</f>
        <v>SUPORTE OBT</v>
      </c>
      <c r="Q1517" s="1">
        <f t="shared" si="47"/>
        <v>1</v>
      </c>
    </row>
    <row r="1518" spans="1:17" x14ac:dyDescent="0.25">
      <c r="A1518" s="1" t="str">
        <f>_xlfn.XLOOKUP(D1518,'Novo relatório'!B:B,'Novo relatório'!C:C,"RESOLVIDO")</f>
        <v>SABRE</v>
      </c>
      <c r="C1518" t="str">
        <f t="shared" si="46"/>
        <v>PENDENTE</v>
      </c>
      <c r="D1518" s="1">
        <v>3376182</v>
      </c>
      <c r="E1518" s="1" t="s">
        <v>26</v>
      </c>
      <c r="F1518" s="2">
        <v>45770.276388888888</v>
      </c>
      <c r="G1518" s="1" t="s">
        <v>2059</v>
      </c>
      <c r="H1518" s="1" t="s">
        <v>2059</v>
      </c>
      <c r="I1518" s="1" t="s">
        <v>408</v>
      </c>
      <c r="J1518" s="2">
        <v>45769.731249999997</v>
      </c>
      <c r="K1518" s="2">
        <v>45770.366666666669</v>
      </c>
      <c r="L1518" s="1" t="s">
        <v>18</v>
      </c>
      <c r="M1518" s="1" t="str">
        <f>_xlfn.XLOOKUP(I1518,Parâmetros!A:A,Parâmetros!B:B,_xlfn.XLOOKUP(Q1518,Parâmetros!F:F,Parâmetros!G:G,"NOVA MENSAGEM"))</f>
        <v>CÓD. CLIENTE DIVERGENTE</v>
      </c>
      <c r="N1518" s="1" t="str">
        <f>_xlfn.XLOOKUP(M1518,Parâmetros!K:K,Parâmetros!L:L,"")</f>
        <v>CÓDIGO DIFERENTE DO CADASTRADO NO BENNER (CLIENTE X GRUPO)</v>
      </c>
      <c r="O1518" s="1" t="str">
        <f>_xlfn.XLOOKUP(M1518,Parâmetros!B:B,Parâmetros!C:C,_xlfn.XLOOKUP(Base!M1503,Parâmetros!G:G,Parâmetros!H:H))</f>
        <v>QUALIDADE DOS DADOS</v>
      </c>
      <c r="P1518" s="1" t="str">
        <f>_xlfn.XLOOKUP(I1518,Parâmetros!A:A,Parâmetros!D:D,_xlfn.XLOOKUP(Q1518,Parâmetros!F:F,Parâmetros!I:I))</f>
        <v>SUPORTE OBT</v>
      </c>
      <c r="Q1518" s="1">
        <f t="shared" si="47"/>
        <v>1</v>
      </c>
    </row>
    <row r="1519" spans="1:17" x14ac:dyDescent="0.25">
      <c r="A1519" s="1" t="str">
        <f>_xlfn.XLOOKUP(D1519,'Novo relatório'!B:B,'Novo relatório'!C:C,"RESOLVIDO")</f>
        <v>SABRE</v>
      </c>
      <c r="C1519" t="str">
        <f t="shared" si="46"/>
        <v>PENDENTE</v>
      </c>
      <c r="D1519" s="1">
        <v>3376188</v>
      </c>
      <c r="E1519" s="1" t="s">
        <v>26</v>
      </c>
      <c r="F1519" s="2">
        <v>45770.277083333334</v>
      </c>
      <c r="G1519" s="1" t="s">
        <v>2127</v>
      </c>
      <c r="H1519" s="1" t="s">
        <v>2127</v>
      </c>
      <c r="I1519" s="1" t="s">
        <v>1406</v>
      </c>
      <c r="J1519" s="2">
        <v>45769.731249999997</v>
      </c>
      <c r="K1519" s="2">
        <v>45770.366666666669</v>
      </c>
      <c r="L1519" s="1" t="s">
        <v>18</v>
      </c>
      <c r="M1519" s="1" t="str">
        <f>_xlfn.XLOOKUP(I1519,Parâmetros!A:A,Parâmetros!B:B,_xlfn.XLOOKUP(Q1519,Parâmetros!F:F,Parâmetros!G:G,"NOVA MENSAGEM"))</f>
        <v>CÓD. CLIENTE DIVERGENTE</v>
      </c>
      <c r="N1519" s="1" t="str">
        <f>_xlfn.XLOOKUP(M1519,Parâmetros!K:K,Parâmetros!L:L,"")</f>
        <v>CÓDIGO DIFERENTE DO CADASTRADO NO BENNER (CLIENTE X GRUPO)</v>
      </c>
      <c r="O1519" s="1" t="str">
        <f>_xlfn.XLOOKUP(M1519,Parâmetros!B:B,Parâmetros!C:C,_xlfn.XLOOKUP(Base!M1557,Parâmetros!G:G,Parâmetros!H:H))</f>
        <v>QUALIDADE DOS DADOS</v>
      </c>
      <c r="P1519" s="1" t="str">
        <f>_xlfn.XLOOKUP(I1519,Parâmetros!A:A,Parâmetros!D:D,_xlfn.XLOOKUP(Q1519,Parâmetros!F:F,Parâmetros!I:I))</f>
        <v>SUPORTE OBT</v>
      </c>
      <c r="Q1519" s="1">
        <f t="shared" si="47"/>
        <v>1</v>
      </c>
    </row>
    <row r="1520" spans="1:17" x14ac:dyDescent="0.25">
      <c r="A1520" s="1" t="str">
        <f>_xlfn.XLOOKUP(D1520,'Novo relatório'!B:B,'Novo relatório'!C:C,"RESOLVIDO")</f>
        <v>TMS</v>
      </c>
      <c r="C1520" t="str">
        <f t="shared" si="46"/>
        <v>PENDENTE</v>
      </c>
      <c r="D1520" s="1">
        <v>3376468</v>
      </c>
      <c r="E1520" s="1" t="s">
        <v>12</v>
      </c>
      <c r="F1520" s="2">
        <v>45769.633333333331</v>
      </c>
      <c r="G1520" s="1">
        <v>44795</v>
      </c>
      <c r="H1520" s="1">
        <v>44795</v>
      </c>
      <c r="I1520" s="1" t="s">
        <v>158</v>
      </c>
      <c r="J1520" s="2">
        <v>45769.752083333333</v>
      </c>
      <c r="K1520" s="2">
        <v>45772.802777777775</v>
      </c>
      <c r="L1520" s="1" t="s">
        <v>14</v>
      </c>
      <c r="M1520" s="1" t="str">
        <f>_xlfn.XLOOKUP(I1520,Parâmetros!A:A,Parâmetros!B:B,_xlfn.XLOOKUP(Q1520,Parâmetros!F:F,Parâmetros!G:G,"NOVA MENSAGEM"))</f>
        <v>COTAÇÃO</v>
      </c>
      <c r="N1520" s="1" t="str">
        <f>_xlfn.XLOOKUP(M1520,Parâmetros!K:K,Parâmetros!L:L,"")</f>
        <v>INDEFINIDO</v>
      </c>
      <c r="O1520" s="1" t="str">
        <f>_xlfn.XLOOKUP(M1520,Parâmetros!B:B,Parâmetros!C:C,_xlfn.XLOOKUP(Base!M1585,Parâmetros!G:G,Parâmetros!H:H))</f>
        <v>INDEFINIDO</v>
      </c>
      <c r="P1520" s="1" t="str">
        <f>_xlfn.XLOOKUP(I1520,Parâmetros!A:A,Parâmetros!D:D,_xlfn.XLOOKUP(Q1520,Parâmetros!F:F,Parâmetros!I:I))</f>
        <v>SUPORTE OBT</v>
      </c>
      <c r="Q1520" s="1" t="str">
        <f t="shared" si="47"/>
        <v>COLUNA I</v>
      </c>
    </row>
    <row r="1521" spans="1:17" x14ac:dyDescent="0.25">
      <c r="A1521" s="1" t="str">
        <f>_xlfn.XLOOKUP(D1521,'Novo relatório'!B:B,'Novo relatório'!C:C,"RESOLVIDO")</f>
        <v>SABRE</v>
      </c>
      <c r="C1521" t="str">
        <f t="shared" si="46"/>
        <v>PENDENTE</v>
      </c>
      <c r="D1521" s="1">
        <v>3376605</v>
      </c>
      <c r="E1521" s="1" t="s">
        <v>26</v>
      </c>
      <c r="F1521" s="2">
        <v>45769.670138888891</v>
      </c>
      <c r="G1521" s="1" t="s">
        <v>1993</v>
      </c>
      <c r="H1521" s="1" t="s">
        <v>1993</v>
      </c>
      <c r="I1521" s="1" t="s">
        <v>652</v>
      </c>
      <c r="J1521" s="2">
        <v>45769.762499999997</v>
      </c>
      <c r="L1521" s="1" t="s">
        <v>18</v>
      </c>
      <c r="M1521" s="1" t="str">
        <f>_xlfn.XLOOKUP(I1521,Parâmetros!A:A,Parâmetros!B:B,_xlfn.XLOOKUP(Q1521,Parâmetros!F:F,Parâmetros!G:G,"NOVA MENSAGEM"))</f>
        <v>CÓD. CLIENTE DIVERGENTE</v>
      </c>
      <c r="N1521" s="1" t="str">
        <f>_xlfn.XLOOKUP(M1521,Parâmetros!K:K,Parâmetros!L:L,"")</f>
        <v>CÓDIGO DIFERENTE DO CADASTRADO NO BENNER (CLIENTE X GRUPO)</v>
      </c>
      <c r="O1521" s="1" t="str">
        <f>_xlfn.XLOOKUP(M1521,Parâmetros!B:B,Parâmetros!C:C,_xlfn.XLOOKUP(Base!M1447,Parâmetros!G:G,Parâmetros!H:H))</f>
        <v>QUALIDADE DOS DADOS</v>
      </c>
      <c r="P1521" s="1" t="str">
        <f>_xlfn.XLOOKUP(I1521,Parâmetros!A:A,Parâmetros!D:D,_xlfn.XLOOKUP(Q1521,Parâmetros!F:F,Parâmetros!I:I))</f>
        <v>SUPORTE OBT</v>
      </c>
      <c r="Q1521" s="1">
        <f t="shared" si="47"/>
        <v>1</v>
      </c>
    </row>
    <row r="1522" spans="1:17" x14ac:dyDescent="0.25">
      <c r="A1522" s="1" t="str">
        <f>_xlfn.XLOOKUP(D1522,'Novo relatório'!B:B,'Novo relatório'!C:C,"RESOLVIDO")</f>
        <v>SABRE</v>
      </c>
      <c r="C1522" t="str">
        <f t="shared" si="46"/>
        <v>PENDENTE</v>
      </c>
      <c r="D1522" s="1">
        <v>3376609</v>
      </c>
      <c r="E1522" s="1" t="s">
        <v>26</v>
      </c>
      <c r="F1522" s="2">
        <v>45770.57916666667</v>
      </c>
      <c r="G1522" s="1" t="s">
        <v>1970</v>
      </c>
      <c r="H1522" s="1" t="s">
        <v>1970</v>
      </c>
      <c r="I1522" s="1" t="s">
        <v>829</v>
      </c>
      <c r="J1522" s="2">
        <v>45769.762499999997</v>
      </c>
      <c r="K1522" s="2">
        <v>45770.669444444444</v>
      </c>
      <c r="L1522" s="1" t="s">
        <v>18</v>
      </c>
      <c r="M1522" s="1" t="str">
        <f>_xlfn.XLOOKUP(I1522,Parâmetros!A:A,Parâmetros!B:B,_xlfn.XLOOKUP(Q1522,Parâmetros!F:F,Parâmetros!G:G,"NOVA MENSAGEM"))</f>
        <v>REMARK - CNPJ</v>
      </c>
      <c r="N1522" s="1" t="str">
        <f>_xlfn.XLOOKUP(M1522,Parâmetros!K:K,Parâmetros!L:L,"")</f>
        <v/>
      </c>
      <c r="O1522" s="1" t="e">
        <f>_xlfn.XLOOKUP(M1522,Parâmetros!B:B,Parâmetros!C:C,_xlfn.XLOOKUP(Base!M1427,Parâmetros!G:G,Parâmetros!H:H))</f>
        <v>#N/A</v>
      </c>
      <c r="P1522" s="1" t="str">
        <f>_xlfn.XLOOKUP(I1522,Parâmetros!A:A,Parâmetros!D:D,_xlfn.XLOOKUP(Q1522,Parâmetros!F:F,Parâmetros!I:I))</f>
        <v>OPERAÇÕES / SUPORTE KCS</v>
      </c>
      <c r="Q1522" s="1">
        <f t="shared" si="47"/>
        <v>24</v>
      </c>
    </row>
    <row r="1523" spans="1:17" x14ac:dyDescent="0.25">
      <c r="A1523" s="1" t="str">
        <f>_xlfn.XLOOKUP(D1523,'Novo relatório'!B:B,'Novo relatório'!C:C,"RESOLVIDO")</f>
        <v>RESOLVIDO</v>
      </c>
      <c r="C1523" t="str">
        <f t="shared" si="46"/>
        <v>RESOLVIDO</v>
      </c>
      <c r="D1523" s="1">
        <v>3376684</v>
      </c>
      <c r="E1523" s="1" t="s">
        <v>12</v>
      </c>
      <c r="F1523" s="2">
        <v>45769.637499999997</v>
      </c>
      <c r="G1523" s="1">
        <v>3580</v>
      </c>
      <c r="H1523" s="1">
        <v>3580</v>
      </c>
      <c r="I1523" s="1" t="s">
        <v>16</v>
      </c>
      <c r="J1523" s="2">
        <v>45769.768055555556</v>
      </c>
      <c r="K1523" s="2">
        <v>45772.820833333331</v>
      </c>
      <c r="L1523" s="1" t="s">
        <v>14</v>
      </c>
      <c r="M1523" s="1" t="str">
        <f>_xlfn.XLOOKUP(I1523,Parâmetros!A:A,Parâmetros!B:B,_xlfn.XLOOKUP(Q1523,Parâmetros!F:F,Parâmetros!G:G,"NOVA MENSAGEM"))</f>
        <v>ASSENTO / BAGAGEM</v>
      </c>
      <c r="N1523" s="1" t="str">
        <f>_xlfn.XLOOKUP(M1523,Parâmetros!K:K,Parâmetros!L:L,"")</f>
        <v>CAMPO OBSERVAÇÃO PREENCHIDO INCORRETAMENTE</v>
      </c>
      <c r="O1523" s="1" t="str">
        <f>_xlfn.XLOOKUP(M1523,Parâmetros!B:B,Parâmetros!C:C,_xlfn.XLOOKUP(Base!M1583,Parâmetros!G:G,Parâmetros!H:H))</f>
        <v>QUALIDADE DOS DADOS</v>
      </c>
      <c r="P1523" s="1" t="str">
        <f>_xlfn.XLOOKUP(I1523,Parâmetros!A:A,Parâmetros!D:D,_xlfn.XLOOKUP(Q1523,Parâmetros!F:F,Parâmetros!I:I))</f>
        <v>OPERAÇÕES / SUPORTE KCS</v>
      </c>
      <c r="Q1523" s="1">
        <f t="shared" si="47"/>
        <v>118</v>
      </c>
    </row>
    <row r="1524" spans="1:17" x14ac:dyDescent="0.25">
      <c r="A1524" s="1" t="str">
        <f>_xlfn.XLOOKUP(D1524,'Novo relatório'!B:B,'Novo relatório'!C:C,"RESOLVIDO")</f>
        <v>RESOLVIDO</v>
      </c>
      <c r="C1524" t="str">
        <f t="shared" si="46"/>
        <v>RESOLVIDO</v>
      </c>
      <c r="D1524" s="1">
        <v>3376788</v>
      </c>
      <c r="E1524" s="1" t="s">
        <v>12</v>
      </c>
      <c r="F1524" s="2">
        <v>45769.617361111108</v>
      </c>
      <c r="G1524" s="1">
        <v>59843</v>
      </c>
      <c r="H1524" s="1">
        <v>59843</v>
      </c>
      <c r="I1524" s="1" t="s">
        <v>16</v>
      </c>
      <c r="J1524" s="2">
        <v>45769.775694444441</v>
      </c>
      <c r="K1524" s="2">
        <v>45772.829861111109</v>
      </c>
      <c r="L1524" s="1" t="s">
        <v>14</v>
      </c>
      <c r="M1524" s="1" t="str">
        <f>_xlfn.XLOOKUP(I1524,Parâmetros!A:A,Parâmetros!B:B,_xlfn.XLOOKUP(Q1524,Parâmetros!F:F,Parâmetros!G:G,"NOVA MENSAGEM"))</f>
        <v>ASSENTO / BAGAGEM</v>
      </c>
      <c r="N1524" s="1" t="str">
        <f>_xlfn.XLOOKUP(M1524,Parâmetros!K:K,Parâmetros!L:L,"")</f>
        <v>CAMPO OBSERVAÇÃO PREENCHIDO INCORRETAMENTE</v>
      </c>
      <c r="O1524" s="1" t="str">
        <f>_xlfn.XLOOKUP(M1524,Parâmetros!B:B,Parâmetros!C:C,_xlfn.XLOOKUP(Base!M1592,Parâmetros!G:G,Parâmetros!H:H))</f>
        <v>QUALIDADE DOS DADOS</v>
      </c>
      <c r="P1524" s="1" t="str">
        <f>_xlfn.XLOOKUP(I1524,Parâmetros!A:A,Parâmetros!D:D,_xlfn.XLOOKUP(Q1524,Parâmetros!F:F,Parâmetros!I:I))</f>
        <v>OPERAÇÕES / SUPORTE KCS</v>
      </c>
      <c r="Q1524" s="1">
        <f t="shared" si="47"/>
        <v>118</v>
      </c>
    </row>
    <row r="1525" spans="1:17" x14ac:dyDescent="0.25">
      <c r="A1525" s="1" t="str">
        <f>_xlfn.XLOOKUP(D1525,'Novo relatório'!B:B,'Novo relatório'!C:C,"RESOLVIDO")</f>
        <v>TMS</v>
      </c>
      <c r="C1525" t="str">
        <f t="shared" si="46"/>
        <v>PENDENTE</v>
      </c>
      <c r="D1525" s="1">
        <v>3377121</v>
      </c>
      <c r="E1525" s="1" t="s">
        <v>12</v>
      </c>
      <c r="F1525" s="2">
        <v>45769.623611111114</v>
      </c>
      <c r="G1525" s="1">
        <v>5350</v>
      </c>
      <c r="H1525" s="1">
        <v>5350</v>
      </c>
      <c r="I1525" s="1" t="s">
        <v>2134</v>
      </c>
      <c r="J1525" s="2">
        <v>45769.806944444441</v>
      </c>
      <c r="K1525" s="2">
        <v>45772.856944444444</v>
      </c>
      <c r="L1525" s="1" t="s">
        <v>14</v>
      </c>
      <c r="M1525" s="1" t="str">
        <f>_xlfn.XLOOKUP(I1525,Parâmetros!A:A,Parâmetros!B:B,_xlfn.XLOOKUP(Q1525,Parâmetros!F:F,Parâmetros!G:G,"NOVA MENSAGEM"))</f>
        <v>NOVA MENSAGEM</v>
      </c>
      <c r="N1525" s="1" t="str">
        <f>_xlfn.XLOOKUP(M1525,Parâmetros!K:K,Parâmetros!L:L,"")</f>
        <v/>
      </c>
      <c r="O1525" s="1" t="e">
        <f>_xlfn.XLOOKUP(M1525,Parâmetros!B:B,Parâmetros!C:C,_xlfn.XLOOKUP(Base!M1590,Parâmetros!G:G,Parâmetros!H:H))</f>
        <v>#N/A</v>
      </c>
      <c r="P1525" s="1" t="e">
        <f>_xlfn.XLOOKUP(I1525,Parâmetros!A:A,Parâmetros!D:D,_xlfn.XLOOKUP(Q1525,Parâmetros!F:F,Parâmetros!I:I))</f>
        <v>#N/A</v>
      </c>
      <c r="Q1525" s="1" t="str">
        <f t="shared" si="47"/>
        <v>COLUNA I</v>
      </c>
    </row>
    <row r="1526" spans="1:17" x14ac:dyDescent="0.25">
      <c r="A1526" s="1" t="str">
        <f>_xlfn.XLOOKUP(D1526,'Novo relatório'!B:B,'Novo relatório'!C:C,"RESOLVIDO")</f>
        <v>SABRE</v>
      </c>
      <c r="C1526" t="str">
        <f t="shared" si="46"/>
        <v>PENDENTE</v>
      </c>
      <c r="D1526" s="1">
        <v>3377167</v>
      </c>
      <c r="E1526" s="1" t="s">
        <v>26</v>
      </c>
      <c r="F1526" s="2">
        <v>45769.744444444441</v>
      </c>
      <c r="G1526" s="1" t="s">
        <v>1959</v>
      </c>
      <c r="H1526" s="1" t="s">
        <v>1959</v>
      </c>
      <c r="I1526" s="1" t="s">
        <v>83</v>
      </c>
      <c r="J1526" s="2">
        <v>45769.834722222222</v>
      </c>
      <c r="L1526" s="1" t="s">
        <v>18</v>
      </c>
      <c r="M1526" s="1" t="str">
        <f>_xlfn.XLOOKUP(I1526,Parâmetros!A:A,Parâmetros!B:B,_xlfn.XLOOKUP(Q1526,Parâmetros!F:F,Parâmetros!G:G,"NOVA MENSAGEM"))</f>
        <v>CLIENTE NÃO IDENTIFICADO</v>
      </c>
      <c r="N1526" s="1" t="str">
        <f>_xlfn.XLOOKUP(M1526,Parâmetros!K:K,Parâmetros!L:L,"")</f>
        <v>DK DE CLIENTE NÃO PREENCIDO / CLIENTE NÃO CONFIGURADO NO OBT</v>
      </c>
      <c r="O1526" s="1" t="str">
        <f>_xlfn.XLOOKUP(M1526,Parâmetros!B:B,Parâmetros!C:C,_xlfn.XLOOKUP(Base!M1417,Parâmetros!G:G,Parâmetros!H:H))</f>
        <v>INDEFINIDO</v>
      </c>
      <c r="P1526" s="1" t="str">
        <f>_xlfn.XLOOKUP(I1526,Parâmetros!A:A,Parâmetros!D:D,_xlfn.XLOOKUP(Q1526,Parâmetros!F:F,Parâmetros!I:I))</f>
        <v>OPERAÇÕES / SUPORTE KCS</v>
      </c>
      <c r="Q1526" s="1" t="str">
        <f t="shared" si="47"/>
        <v>COLUNA I</v>
      </c>
    </row>
    <row r="1527" spans="1:17" x14ac:dyDescent="0.25">
      <c r="A1527" s="1" t="str">
        <f>_xlfn.XLOOKUP(D1527,'Novo relatório'!B:B,'Novo relatório'!C:C,"RESOLVIDO")</f>
        <v>SABRE</v>
      </c>
      <c r="C1527" t="str">
        <f t="shared" si="46"/>
        <v>PENDENTE</v>
      </c>
      <c r="D1527" s="1">
        <v>3377168</v>
      </c>
      <c r="E1527" s="1" t="s">
        <v>26</v>
      </c>
      <c r="F1527" s="2">
        <v>45769.744444444441</v>
      </c>
      <c r="G1527" s="1" t="s">
        <v>1971</v>
      </c>
      <c r="H1527" s="1" t="s">
        <v>1971</v>
      </c>
      <c r="I1527" s="1" t="s">
        <v>746</v>
      </c>
      <c r="J1527" s="2">
        <v>45769.835416666669</v>
      </c>
      <c r="L1527" s="1" t="s">
        <v>18</v>
      </c>
      <c r="M1527" s="1" t="str">
        <f>_xlfn.XLOOKUP(I1527,Parâmetros!A:A,Parâmetros!B:B,_xlfn.XLOOKUP(Q1527,Parâmetros!F:F,Parâmetros!G:G,"NOVA MENSAGEM"))</f>
        <v>CÓD. CLIENTE DIVERGENTE</v>
      </c>
      <c r="N1527" s="1" t="str">
        <f>_xlfn.XLOOKUP(M1527,Parâmetros!K:K,Parâmetros!L:L,"")</f>
        <v>CÓDIGO DIFERENTE DO CADASTRADO NO BENNER (CLIENTE X GRUPO)</v>
      </c>
      <c r="O1527" s="1" t="str">
        <f>_xlfn.XLOOKUP(M1527,Parâmetros!B:B,Parâmetros!C:C,_xlfn.XLOOKUP(Base!M1428,Parâmetros!G:G,Parâmetros!H:H))</f>
        <v>QUALIDADE DOS DADOS</v>
      </c>
      <c r="P1527" s="1" t="str">
        <f>_xlfn.XLOOKUP(I1527,Parâmetros!A:A,Parâmetros!D:D,_xlfn.XLOOKUP(Q1527,Parâmetros!F:F,Parâmetros!I:I))</f>
        <v>SUPORTE OBT</v>
      </c>
      <c r="Q1527" s="1">
        <f t="shared" si="47"/>
        <v>1</v>
      </c>
    </row>
    <row r="1528" spans="1:17" x14ac:dyDescent="0.25">
      <c r="A1528" s="1" t="str">
        <f>_xlfn.XLOOKUP(D1528,'Novo relatório'!B:B,'Novo relatório'!C:C,"RESOLVIDO")</f>
        <v>SABRE</v>
      </c>
      <c r="C1528" t="str">
        <f t="shared" si="46"/>
        <v>PENDENTE</v>
      </c>
      <c r="D1528" s="1">
        <v>3377169</v>
      </c>
      <c r="E1528" s="1" t="s">
        <v>26</v>
      </c>
      <c r="F1528" s="2">
        <v>45771.7</v>
      </c>
      <c r="G1528" s="1" t="s">
        <v>2044</v>
      </c>
      <c r="H1528" s="1" t="s">
        <v>2044</v>
      </c>
      <c r="I1528" s="1" t="s">
        <v>1280</v>
      </c>
      <c r="J1528" s="2">
        <v>45769.835416666669</v>
      </c>
      <c r="K1528" s="2">
        <v>45771.8</v>
      </c>
      <c r="L1528" s="1" t="s">
        <v>18</v>
      </c>
      <c r="M1528" s="1" t="str">
        <f>_xlfn.XLOOKUP(I1528,Parâmetros!A:A,Parâmetros!B:B,_xlfn.XLOOKUP(Q1528,Parâmetros!F:F,Parâmetros!G:G,"NOVA MENSAGEM"))</f>
        <v>CÓD. CLIENTE DIVERGENTE</v>
      </c>
      <c r="N1528" s="1" t="str">
        <f>_xlfn.XLOOKUP(M1528,Parâmetros!K:K,Parâmetros!L:L,"")</f>
        <v>CÓDIGO DIFERENTE DO CADASTRADO NO BENNER (CLIENTE X GRUPO)</v>
      </c>
      <c r="O1528" s="1" t="str">
        <f>_xlfn.XLOOKUP(M1528,Parâmetros!B:B,Parâmetros!C:C,_xlfn.XLOOKUP(Base!M1491,Parâmetros!G:G,Parâmetros!H:H))</f>
        <v>QUALIDADE DOS DADOS</v>
      </c>
      <c r="P1528" s="1" t="str">
        <f>_xlfn.XLOOKUP(I1528,Parâmetros!A:A,Parâmetros!D:D,_xlfn.XLOOKUP(Q1528,Parâmetros!F:F,Parâmetros!I:I))</f>
        <v>SUPORTE OBT</v>
      </c>
      <c r="Q1528" s="1">
        <f t="shared" si="47"/>
        <v>1</v>
      </c>
    </row>
    <row r="1529" spans="1:17" x14ac:dyDescent="0.25">
      <c r="A1529" s="1" t="str">
        <f>_xlfn.XLOOKUP(D1529,'Novo relatório'!B:B,'Novo relatório'!C:C,"RESOLVIDO")</f>
        <v>SABRE</v>
      </c>
      <c r="C1529" t="str">
        <f t="shared" si="46"/>
        <v>PENDENTE</v>
      </c>
      <c r="D1529" s="1">
        <v>3377170</v>
      </c>
      <c r="E1529" s="1" t="s">
        <v>26</v>
      </c>
      <c r="F1529" s="2">
        <v>45769.744444444441</v>
      </c>
      <c r="G1529" s="1" t="s">
        <v>1952</v>
      </c>
      <c r="H1529" s="1" t="s">
        <v>1952</v>
      </c>
      <c r="I1529" s="1" t="s">
        <v>169</v>
      </c>
      <c r="J1529" s="2">
        <v>45769.835416666669</v>
      </c>
      <c r="L1529" s="1" t="s">
        <v>18</v>
      </c>
      <c r="M1529" s="1" t="str">
        <f>_xlfn.XLOOKUP(I1529,Parâmetros!A:A,Parâmetros!B:B,_xlfn.XLOOKUP(Q1529,Parâmetros!F:F,Parâmetros!G:G,"NOVA MENSAGEM"))</f>
        <v>CÓD. CLIENTE DIVERGENTE</v>
      </c>
      <c r="N1529" s="1" t="str">
        <f>_xlfn.XLOOKUP(M1529,Parâmetros!K:K,Parâmetros!L:L,"")</f>
        <v>CÓDIGO DIFERENTE DO CADASTRADO NO BENNER (CLIENTE X GRUPO)</v>
      </c>
      <c r="O1529" s="1" t="str">
        <f>_xlfn.XLOOKUP(M1529,Parâmetros!B:B,Parâmetros!C:C,_xlfn.XLOOKUP(Base!M1410,Parâmetros!G:G,Parâmetros!H:H))</f>
        <v>QUALIDADE DOS DADOS</v>
      </c>
      <c r="P1529" s="1" t="str">
        <f>_xlfn.XLOOKUP(I1529,Parâmetros!A:A,Parâmetros!D:D,_xlfn.XLOOKUP(Q1529,Parâmetros!F:F,Parâmetros!I:I))</f>
        <v>SUPORTE OBT</v>
      </c>
      <c r="Q1529" s="1">
        <f t="shared" si="47"/>
        <v>1</v>
      </c>
    </row>
    <row r="1530" spans="1:17" x14ac:dyDescent="0.25">
      <c r="A1530" s="1" t="str">
        <f>_xlfn.XLOOKUP(D1530,'Novo relatório'!B:B,'Novo relatório'!C:C,"RESOLVIDO")</f>
        <v>GOVER</v>
      </c>
      <c r="C1530" t="str">
        <f t="shared" si="46"/>
        <v>PENDENTE</v>
      </c>
      <c r="D1530" s="1">
        <v>3377643</v>
      </c>
      <c r="E1530" s="1" t="s">
        <v>24</v>
      </c>
      <c r="F1530" s="2">
        <v>45770.003472222219</v>
      </c>
      <c r="G1530" s="1">
        <v>4526239</v>
      </c>
      <c r="H1530" s="1">
        <v>4526239</v>
      </c>
      <c r="I1530" s="1" t="s">
        <v>77</v>
      </c>
      <c r="J1530" s="2">
        <v>45770.023611111108</v>
      </c>
      <c r="K1530" s="2">
        <v>45776.363888888889</v>
      </c>
      <c r="L1530" s="1" t="s">
        <v>14</v>
      </c>
      <c r="M1530" s="1" t="str">
        <f>_xlfn.XLOOKUP(I1530,Parâmetros!A:A,Parâmetros!B:B,_xlfn.XLOOKUP(Q1530,Parâmetros!F:F,Parâmetros!G:G,"NOVA MENSAGEM"))</f>
        <v>RLOC NÃO INFORMADO</v>
      </c>
      <c r="N1530" s="1" t="str">
        <f>_xlfn.XLOOKUP(M1530,Parâmetros!K:K,Parâmetros!L:L,"")</f>
        <v>RLOC NÃO PREENCHIDO NA RESERVA</v>
      </c>
      <c r="O1530" s="1" t="str">
        <f>_xlfn.XLOOKUP(M1530,Parâmetros!B:B,Parâmetros!C:C,_xlfn.XLOOKUP(Base!M1604,Parâmetros!G:G,Parâmetros!H:H))</f>
        <v>QUALIDADE DOS DADOS</v>
      </c>
      <c r="P1530" s="1" t="str">
        <f>_xlfn.XLOOKUP(I1530,Parâmetros!A:A,Parâmetros!D:D,_xlfn.XLOOKUP(Q1530,Parâmetros!F:F,Parâmetros!I:I))</f>
        <v>SUPORTE OBT</v>
      </c>
      <c r="Q1530" s="1" t="str">
        <f t="shared" si="47"/>
        <v>COLUNA I</v>
      </c>
    </row>
    <row r="1531" spans="1:17" x14ac:dyDescent="0.25">
      <c r="A1531" s="1" t="str">
        <f>_xlfn.XLOOKUP(D1531,'Novo relatório'!B:B,'Novo relatório'!C:C,"RESOLVIDO")</f>
        <v>SABRE</v>
      </c>
      <c r="C1531" t="str">
        <f t="shared" si="46"/>
        <v>PENDENTE</v>
      </c>
      <c r="D1531" s="1">
        <v>3377705</v>
      </c>
      <c r="E1531" s="1" t="s">
        <v>26</v>
      </c>
      <c r="F1531" s="2">
        <v>45770.270138888889</v>
      </c>
      <c r="G1531" s="1" t="s">
        <v>2113</v>
      </c>
      <c r="H1531" s="1" t="s">
        <v>2113</v>
      </c>
      <c r="I1531" s="1" t="s">
        <v>273</v>
      </c>
      <c r="J1531" s="2">
        <v>45770.354861111111</v>
      </c>
      <c r="L1531" s="1" t="s">
        <v>1245</v>
      </c>
      <c r="M1531" s="1" t="str">
        <f>_xlfn.XLOOKUP(I1531,Parâmetros!A:A,Parâmetros!B:B,_xlfn.XLOOKUP(Q1531,Parâmetros!F:F,Parâmetros!G:G,"NOVA MENSAGEM"))</f>
        <v>VENDA CANCELADA</v>
      </c>
      <c r="N1531" s="1" t="str">
        <f>_xlfn.XLOOKUP(M1531,Parâmetros!K:K,Parâmetros!L:L,"")</f>
        <v>RESERVA CANCELADA NO OBT</v>
      </c>
      <c r="O1531" s="1" t="str">
        <f>_xlfn.XLOOKUP(M1531,Parâmetros!B:B,Parâmetros!C:C,_xlfn.XLOOKUP(Base!M1545,Parâmetros!G:G,Parâmetros!H:H))</f>
        <v>SISTEMA</v>
      </c>
      <c r="P1531" s="1" t="str">
        <f>_xlfn.XLOOKUP(I1531,Parâmetros!A:A,Parâmetros!D:D,_xlfn.XLOOKUP(Q1531,Parâmetros!F:F,Parâmetros!I:I))</f>
        <v>SUPORTE OBT</v>
      </c>
      <c r="Q1531" s="1" t="str">
        <f t="shared" si="47"/>
        <v>COLUNA I</v>
      </c>
    </row>
    <row r="1532" spans="1:17" x14ac:dyDescent="0.25">
      <c r="A1532" s="1" t="str">
        <f>_xlfn.XLOOKUP(D1532,'Novo relatório'!B:B,'Novo relatório'!C:C,"RESOLVIDO")</f>
        <v>SABRE</v>
      </c>
      <c r="C1532" t="str">
        <f t="shared" si="46"/>
        <v>PENDENTE</v>
      </c>
      <c r="D1532" s="1">
        <v>3377870</v>
      </c>
      <c r="E1532" s="1" t="s">
        <v>26</v>
      </c>
      <c r="F1532" s="2">
        <v>45770.349305555559</v>
      </c>
      <c r="G1532" s="1" t="s">
        <v>2043</v>
      </c>
      <c r="H1532" s="1" t="s">
        <v>2043</v>
      </c>
      <c r="I1532" s="1" t="s">
        <v>83</v>
      </c>
      <c r="J1532" s="2">
        <v>45770.44027777778</v>
      </c>
      <c r="L1532" s="1" t="s">
        <v>18</v>
      </c>
      <c r="M1532" s="1" t="str">
        <f>_xlfn.XLOOKUP(I1532,Parâmetros!A:A,Parâmetros!B:B,_xlfn.XLOOKUP(Q1532,Parâmetros!F:F,Parâmetros!G:G,"NOVA MENSAGEM"))</f>
        <v>CLIENTE NÃO IDENTIFICADO</v>
      </c>
      <c r="N1532" s="1" t="str">
        <f>_xlfn.XLOOKUP(M1532,Parâmetros!K:K,Parâmetros!L:L,"")</f>
        <v>DK DE CLIENTE NÃO PREENCIDO / CLIENTE NÃO CONFIGURADO NO OBT</v>
      </c>
      <c r="O1532" s="1" t="str">
        <f>_xlfn.XLOOKUP(M1532,Parâmetros!B:B,Parâmetros!C:C,_xlfn.XLOOKUP(Base!M1490,Parâmetros!G:G,Parâmetros!H:H))</f>
        <v>INDEFINIDO</v>
      </c>
      <c r="P1532" s="1" t="str">
        <f>_xlfn.XLOOKUP(I1532,Parâmetros!A:A,Parâmetros!D:D,_xlfn.XLOOKUP(Q1532,Parâmetros!F:F,Parâmetros!I:I))</f>
        <v>OPERAÇÕES / SUPORTE KCS</v>
      </c>
      <c r="Q1532" s="1" t="str">
        <f t="shared" si="47"/>
        <v>COLUNA I</v>
      </c>
    </row>
    <row r="1533" spans="1:17" x14ac:dyDescent="0.25">
      <c r="A1533" s="1" t="str">
        <f>_xlfn.XLOOKUP(D1533,'Novo relatório'!B:B,'Novo relatório'!C:C,"RESOLVIDO")</f>
        <v>SABRE</v>
      </c>
      <c r="C1533" t="str">
        <f t="shared" si="46"/>
        <v>PENDENTE</v>
      </c>
      <c r="D1533" s="1">
        <v>3378173</v>
      </c>
      <c r="E1533" s="1" t="s">
        <v>26</v>
      </c>
      <c r="F1533" s="2">
        <v>45770.425694444442</v>
      </c>
      <c r="G1533" s="1" t="s">
        <v>2096</v>
      </c>
      <c r="H1533" s="1" t="s">
        <v>2096</v>
      </c>
      <c r="I1533" s="1" t="s">
        <v>83</v>
      </c>
      <c r="J1533" s="2">
        <v>45770.512499999997</v>
      </c>
      <c r="L1533" s="1" t="s">
        <v>18</v>
      </c>
      <c r="M1533" s="1" t="str">
        <f>_xlfn.XLOOKUP(I1533,Parâmetros!A:A,Parâmetros!B:B,_xlfn.XLOOKUP(Q1533,Parâmetros!F:F,Parâmetros!G:G,"NOVA MENSAGEM"))</f>
        <v>CLIENTE NÃO IDENTIFICADO</v>
      </c>
      <c r="N1533" s="1" t="str">
        <f>_xlfn.XLOOKUP(M1533,Parâmetros!K:K,Parâmetros!L:L,"")</f>
        <v>DK DE CLIENTE NÃO PREENCIDO / CLIENTE NÃO CONFIGURADO NO OBT</v>
      </c>
      <c r="O1533" s="1" t="str">
        <f>_xlfn.XLOOKUP(M1533,Parâmetros!B:B,Parâmetros!C:C,_xlfn.XLOOKUP(Base!M1531,Parâmetros!G:G,Parâmetros!H:H))</f>
        <v>INDEFINIDO</v>
      </c>
      <c r="P1533" s="1" t="str">
        <f>_xlfn.XLOOKUP(I1533,Parâmetros!A:A,Parâmetros!D:D,_xlfn.XLOOKUP(Q1533,Parâmetros!F:F,Parâmetros!I:I))</f>
        <v>OPERAÇÕES / SUPORTE KCS</v>
      </c>
      <c r="Q1533" s="1" t="str">
        <f t="shared" si="47"/>
        <v>COLUNA I</v>
      </c>
    </row>
    <row r="1534" spans="1:17" x14ac:dyDescent="0.25">
      <c r="A1534" s="1" t="str">
        <f>_xlfn.XLOOKUP(D1534,'Novo relatório'!B:B,'Novo relatório'!C:C,"RESOLVIDO")</f>
        <v>RESOLVIDO</v>
      </c>
      <c r="C1534" t="str">
        <f t="shared" si="46"/>
        <v>RESOLVIDO</v>
      </c>
      <c r="D1534" s="1">
        <v>3378240</v>
      </c>
      <c r="E1534" s="1" t="s">
        <v>12</v>
      </c>
      <c r="F1534" s="2">
        <v>45770.474305555559</v>
      </c>
      <c r="G1534" s="1">
        <v>4721</v>
      </c>
      <c r="H1534" s="1">
        <v>4721</v>
      </c>
      <c r="I1534" s="1" t="s">
        <v>927</v>
      </c>
      <c r="J1534" s="2">
        <v>45770.518055555556</v>
      </c>
      <c r="K1534" s="2">
        <v>45773.789583333331</v>
      </c>
      <c r="L1534" s="1" t="s">
        <v>19</v>
      </c>
      <c r="M1534" s="1" t="str">
        <f>_xlfn.XLOOKUP(I1534,Parâmetros!A:A,Parâmetros!B:B,_xlfn.XLOOKUP(Q1534,Parâmetros!F:F,Parâmetros!G:G,"NOVA MENSAGEM"))</f>
        <v>CONTRATO FORNECEDOR</v>
      </c>
      <c r="N1534" s="1" t="str">
        <f>_xlfn.XLOOKUP(M1534,Parâmetros!K:K,Parâmetros!L:L,"")</f>
        <v>CONTRATO INATIVO OU DIVERGENTE</v>
      </c>
      <c r="O1534" s="1" t="str">
        <f>_xlfn.XLOOKUP(M1534,Parâmetros!B:B,Parâmetros!C:C,_xlfn.XLOOKUP(Base!M1587,Parâmetros!G:G,Parâmetros!H:H))</f>
        <v>SISTEMA</v>
      </c>
      <c r="P1534" s="1" t="str">
        <f>_xlfn.XLOOKUP(I1534,Parâmetros!A:A,Parâmetros!D:D,_xlfn.XLOOKUP(Q1534,Parâmetros!F:F,Parâmetros!I:I))</f>
        <v>OPERAÇÕES / SUPORTE KCS</v>
      </c>
      <c r="Q1534" s="1">
        <f t="shared" si="47"/>
        <v>69</v>
      </c>
    </row>
    <row r="1535" spans="1:17" x14ac:dyDescent="0.25">
      <c r="A1535" s="1" t="str">
        <f>_xlfn.XLOOKUP(D1535,'Novo relatório'!B:B,'Novo relatório'!C:C,"RESOLVIDO")</f>
        <v>GOVER</v>
      </c>
      <c r="C1535" t="str">
        <f t="shared" si="46"/>
        <v>PENDENTE</v>
      </c>
      <c r="D1535" s="1">
        <v>3378774</v>
      </c>
      <c r="E1535" s="1" t="s">
        <v>24</v>
      </c>
      <c r="F1535" s="2">
        <v>45769.366666666669</v>
      </c>
      <c r="G1535" s="1">
        <v>4525508</v>
      </c>
      <c r="H1535" s="1">
        <v>18094072</v>
      </c>
      <c r="I1535" s="1" t="s">
        <v>2140</v>
      </c>
      <c r="J1535" s="2">
        <v>45770.677083333336</v>
      </c>
      <c r="L1535" s="1" t="s">
        <v>1244</v>
      </c>
      <c r="M1535" s="1" t="str">
        <f>_xlfn.XLOOKUP(I1535,Parâmetros!A:A,Parâmetros!B:B,_xlfn.XLOOKUP(Q1535,Parâmetros!F:F,Parâmetros!G:G,"NOVA MENSAGEM"))</f>
        <v>DADOS DO CARTÃO</v>
      </c>
      <c r="N1535" s="1" t="str">
        <f>_xlfn.XLOOKUP(M1535,Parâmetros!K:K,Parâmetros!L:L,"")</f>
        <v>TAG &lt;CARTAOVALIDADE&gt; NÃO ENVIADA</v>
      </c>
      <c r="O1535" s="1" t="str">
        <f>_xlfn.XLOOKUP(M1535,Parâmetros!B:B,Parâmetros!C:C,_xlfn.XLOOKUP(Base!M1603,Parâmetros!G:G,Parâmetros!H:H))</f>
        <v>SISTEMA</v>
      </c>
      <c r="P1535" s="1" t="str">
        <f>_xlfn.XLOOKUP(I1535,Parâmetros!A:A,Parâmetros!D:D,_xlfn.XLOOKUP(Q1535,Parâmetros!F:F,Parâmetros!I:I))</f>
        <v>SUPORTE OBT</v>
      </c>
      <c r="Q1535" s="1">
        <f t="shared" si="47"/>
        <v>40</v>
      </c>
    </row>
    <row r="1536" spans="1:17" x14ac:dyDescent="0.25">
      <c r="A1536" s="1" t="str">
        <f>_xlfn.XLOOKUP(D1536,'Novo relatório'!B:B,'Novo relatório'!C:C,"RESOLVIDO")</f>
        <v>SABRE</v>
      </c>
      <c r="C1536" t="str">
        <f t="shared" si="46"/>
        <v>PENDENTE</v>
      </c>
      <c r="D1536" s="1">
        <v>3378806</v>
      </c>
      <c r="E1536" s="1" t="s">
        <v>26</v>
      </c>
      <c r="F1536" s="2">
        <v>45770.6</v>
      </c>
      <c r="G1536" s="1" t="s">
        <v>1973</v>
      </c>
      <c r="H1536" s="1" t="s">
        <v>1973</v>
      </c>
      <c r="I1536" s="1" t="s">
        <v>1974</v>
      </c>
      <c r="J1536" s="2">
        <v>45770.690972222219</v>
      </c>
      <c r="L1536" s="1" t="s">
        <v>18</v>
      </c>
      <c r="M1536" s="1" t="str">
        <f>_xlfn.XLOOKUP(I1536,Parâmetros!A:A,Parâmetros!B:B,_xlfn.XLOOKUP(Q1536,Parâmetros!F:F,Parâmetros!G:G,"NOVA MENSAGEM"))</f>
        <v>CÓD. CLIENTE DIVERGENTE</v>
      </c>
      <c r="N1536" s="1" t="str">
        <f>_xlfn.XLOOKUP(M1536,Parâmetros!K:K,Parâmetros!L:L,"")</f>
        <v>CÓDIGO DIFERENTE DO CADASTRADO NO BENNER (CLIENTE X GRUPO)</v>
      </c>
      <c r="O1536" s="1" t="str">
        <f>_xlfn.XLOOKUP(M1536,Parâmetros!B:B,Parâmetros!C:C,_xlfn.XLOOKUP(Base!M1430,Parâmetros!G:G,Parâmetros!H:H))</f>
        <v>QUALIDADE DOS DADOS</v>
      </c>
      <c r="P1536" s="1" t="str">
        <f>_xlfn.XLOOKUP(I1536,Parâmetros!A:A,Parâmetros!D:D,_xlfn.XLOOKUP(Q1536,Parâmetros!F:F,Parâmetros!I:I))</f>
        <v>SUPORTE OBT</v>
      </c>
      <c r="Q1536" s="1">
        <f t="shared" si="47"/>
        <v>1</v>
      </c>
    </row>
    <row r="1537" spans="1:17" x14ac:dyDescent="0.25">
      <c r="A1537" s="1" t="str">
        <f>_xlfn.XLOOKUP(D1537,'Novo relatório'!B:B,'Novo relatório'!C:C,"RESOLVIDO")</f>
        <v>SABRE</v>
      </c>
      <c r="C1537" t="str">
        <f t="shared" si="46"/>
        <v>PENDENTE</v>
      </c>
      <c r="D1537" s="1">
        <v>3378807</v>
      </c>
      <c r="E1537" s="1" t="s">
        <v>26</v>
      </c>
      <c r="F1537" s="2">
        <v>45770.6</v>
      </c>
      <c r="G1537" s="1" t="s">
        <v>2090</v>
      </c>
      <c r="H1537" s="1" t="s">
        <v>2090</v>
      </c>
      <c r="I1537" s="1" t="s">
        <v>1974</v>
      </c>
      <c r="J1537" s="2">
        <v>45770.690972222219</v>
      </c>
      <c r="L1537" s="1" t="s">
        <v>18</v>
      </c>
      <c r="M1537" s="1" t="str">
        <f>_xlfn.XLOOKUP(I1537,Parâmetros!A:A,Parâmetros!B:B,_xlfn.XLOOKUP(Q1537,Parâmetros!F:F,Parâmetros!G:G,"NOVA MENSAGEM"))</f>
        <v>CÓD. CLIENTE DIVERGENTE</v>
      </c>
      <c r="N1537" s="1" t="str">
        <f>_xlfn.XLOOKUP(M1537,Parâmetros!K:K,Parâmetros!L:L,"")</f>
        <v>CÓDIGO DIFERENTE DO CADASTRADO NO BENNER (CLIENTE X GRUPO)</v>
      </c>
      <c r="O1537" s="1" t="str">
        <f>_xlfn.XLOOKUP(M1537,Parâmetros!B:B,Parâmetros!C:C,_xlfn.XLOOKUP(Base!M1526,Parâmetros!G:G,Parâmetros!H:H))</f>
        <v>QUALIDADE DOS DADOS</v>
      </c>
      <c r="P1537" s="1" t="str">
        <f>_xlfn.XLOOKUP(I1537,Parâmetros!A:A,Parâmetros!D:D,_xlfn.XLOOKUP(Q1537,Parâmetros!F:F,Parâmetros!I:I))</f>
        <v>SUPORTE OBT</v>
      </c>
      <c r="Q1537" s="1">
        <f t="shared" si="47"/>
        <v>1</v>
      </c>
    </row>
    <row r="1538" spans="1:17" x14ac:dyDescent="0.25">
      <c r="A1538" s="1" t="str">
        <f>_xlfn.XLOOKUP(D1538,'Novo relatório'!B:B,'Novo relatório'!C:C,"RESOLVIDO")</f>
        <v>SABRE</v>
      </c>
      <c r="C1538" t="str">
        <f t="shared" ref="C1538:C1601" si="48">IF(A1538="RESOLVIDO","RESOLVIDO",IF(B1538="","PENDENTE",IF(LEFT(B1538,7)="CHAMADO","AGUARDANDO FORNECEDOR",IF(B1538="CONTABILIZAR","CONTABILIZAR NO PORTAL"))))</f>
        <v>PENDENTE</v>
      </c>
      <c r="D1538" s="1">
        <v>3378812</v>
      </c>
      <c r="E1538" s="1" t="s">
        <v>26</v>
      </c>
      <c r="F1538" s="2">
        <v>45770.6</v>
      </c>
      <c r="G1538" s="1" t="s">
        <v>1972</v>
      </c>
      <c r="H1538" s="1" t="s">
        <v>1972</v>
      </c>
      <c r="I1538" s="1" t="s">
        <v>83</v>
      </c>
      <c r="J1538" s="2">
        <v>45770.691666666666</v>
      </c>
      <c r="L1538" s="1" t="s">
        <v>18</v>
      </c>
      <c r="M1538" s="1" t="str">
        <f>_xlfn.XLOOKUP(I1538,Parâmetros!A:A,Parâmetros!B:B,_xlfn.XLOOKUP(Q1538,Parâmetros!F:F,Parâmetros!G:G,"NOVA MENSAGEM"))</f>
        <v>CLIENTE NÃO IDENTIFICADO</v>
      </c>
      <c r="N1538" s="1" t="str">
        <f>_xlfn.XLOOKUP(M1538,Parâmetros!K:K,Parâmetros!L:L,"")</f>
        <v>DK DE CLIENTE NÃO PREENCIDO / CLIENTE NÃO CONFIGURADO NO OBT</v>
      </c>
      <c r="O1538" s="1" t="str">
        <f>_xlfn.XLOOKUP(M1538,Parâmetros!B:B,Parâmetros!C:C,_xlfn.XLOOKUP(Base!M1429,Parâmetros!G:G,Parâmetros!H:H))</f>
        <v>INDEFINIDO</v>
      </c>
      <c r="P1538" s="1" t="str">
        <f>_xlfn.XLOOKUP(I1538,Parâmetros!A:A,Parâmetros!D:D,_xlfn.XLOOKUP(Q1538,Parâmetros!F:F,Parâmetros!I:I))</f>
        <v>OPERAÇÕES / SUPORTE KCS</v>
      </c>
      <c r="Q1538" s="1" t="str">
        <f t="shared" ref="Q1538:Q1601" si="49">IFERROR(FIND("Não foi possível localizar o contrato do fornecedor",I1538),IFERROR(FIND("veículo",I1538),IFERROR(FIND("agagem",I1538),IFERROR(FIND("error in XML document",I1538),IFERROR(FIND("Não localizado cliente código",I1538),IFERROR(FIND("lemontech",I1538),IFERROR(FIND("&gt;Fornecedor com o",I1538),IFERROR(FIND("INSERT",I1538),IFERROR(FIND("com CNPJ",I1538),IFERROR(FIND("Consultando Agente-&gt; O agente",I1538),IFERROR(FIND("Não foi possível determinar a validade do cartão, favor verificar os dados do cartão",I1538),"COLUNA I")))))))))))</f>
        <v>COLUNA I</v>
      </c>
    </row>
    <row r="1539" spans="1:17" x14ac:dyDescent="0.25">
      <c r="A1539" s="1" t="str">
        <f>_xlfn.XLOOKUP(D1539,'Novo relatório'!B:B,'Novo relatório'!C:C,"RESOLVIDO")</f>
        <v>SABRE</v>
      </c>
      <c r="C1539" t="str">
        <f t="shared" si="48"/>
        <v>PENDENTE</v>
      </c>
      <c r="D1539" s="1">
        <v>3378829</v>
      </c>
      <c r="E1539" s="1" t="s">
        <v>26</v>
      </c>
      <c r="F1539" s="2">
        <v>45770.613888888889</v>
      </c>
      <c r="G1539" s="1" t="s">
        <v>2085</v>
      </c>
      <c r="H1539" s="1" t="s">
        <v>2086</v>
      </c>
      <c r="I1539" s="1" t="s">
        <v>393</v>
      </c>
      <c r="J1539" s="2">
        <v>45770.698611111111</v>
      </c>
      <c r="L1539" s="1" t="s">
        <v>19</v>
      </c>
      <c r="M1539" s="1" t="str">
        <f>_xlfn.XLOOKUP(I1539,Parâmetros!A:A,Parâmetros!B:B,_xlfn.XLOOKUP(Q1539,Parâmetros!F:F,Parâmetros!G:G,"NOVA MENSAGEM"))</f>
        <v>CONTRATO FORNECEDOR</v>
      </c>
      <c r="N1539" s="1" t="str">
        <f>_xlfn.XLOOKUP(M1539,Parâmetros!K:K,Parâmetros!L:L,"")</f>
        <v>CONTRATO INATIVO OU DIVERGENTE</v>
      </c>
      <c r="O1539" s="1" t="str">
        <f>_xlfn.XLOOKUP(M1539,Parâmetros!B:B,Parâmetros!C:C,_xlfn.XLOOKUP(Base!M1523,Parâmetros!G:G,Parâmetros!H:H))</f>
        <v>SISTEMA</v>
      </c>
      <c r="P1539" s="1" t="str">
        <f>_xlfn.XLOOKUP(I1539,Parâmetros!A:A,Parâmetros!D:D,_xlfn.XLOOKUP(Q1539,Parâmetros!F:F,Parâmetros!I:I))</f>
        <v>OPERAÇÕES / SUPORTE KCS</v>
      </c>
      <c r="Q1539" s="1">
        <f t="shared" si="49"/>
        <v>43</v>
      </c>
    </row>
    <row r="1540" spans="1:17" x14ac:dyDescent="0.25">
      <c r="A1540" s="1" t="str">
        <f>_xlfn.XLOOKUP(D1540,'Novo relatório'!B:B,'Novo relatório'!C:C,"RESOLVIDO")</f>
        <v>RESOLVIDO</v>
      </c>
      <c r="C1540" t="str">
        <f t="shared" si="48"/>
        <v>RESOLVIDO</v>
      </c>
      <c r="D1540" s="1">
        <v>3379060</v>
      </c>
      <c r="E1540" s="1" t="s">
        <v>12</v>
      </c>
      <c r="F1540" s="2">
        <v>45770.701388888891</v>
      </c>
      <c r="G1540" s="1">
        <v>6313</v>
      </c>
      <c r="H1540" s="1">
        <v>6313</v>
      </c>
      <c r="I1540" s="1" t="s">
        <v>16</v>
      </c>
      <c r="J1540" s="2">
        <v>45770.748611111114</v>
      </c>
      <c r="K1540" s="2">
        <v>45773.788888888892</v>
      </c>
      <c r="L1540" s="1" t="s">
        <v>14</v>
      </c>
      <c r="M1540" s="1" t="str">
        <f>_xlfn.XLOOKUP(I1540,Parâmetros!A:A,Parâmetros!B:B,_xlfn.XLOOKUP(Q1540,Parâmetros!F:F,Parâmetros!G:G,"NOVA MENSAGEM"))</f>
        <v>ASSENTO / BAGAGEM</v>
      </c>
      <c r="N1540" s="1" t="str">
        <f>_xlfn.XLOOKUP(M1540,Parâmetros!K:K,Parâmetros!L:L,"")</f>
        <v>CAMPO OBSERVAÇÃO PREENCHIDO INCORRETAMENTE</v>
      </c>
      <c r="O1540" s="1" t="str">
        <f>_xlfn.XLOOKUP(M1540,Parâmetros!B:B,Parâmetros!C:C,_xlfn.XLOOKUP(Base!M1595,Parâmetros!G:G,Parâmetros!H:H))</f>
        <v>QUALIDADE DOS DADOS</v>
      </c>
      <c r="P1540" s="1" t="str">
        <f>_xlfn.XLOOKUP(I1540,Parâmetros!A:A,Parâmetros!D:D,_xlfn.XLOOKUP(Q1540,Parâmetros!F:F,Parâmetros!I:I))</f>
        <v>OPERAÇÕES / SUPORTE KCS</v>
      </c>
      <c r="Q1540" s="1">
        <f t="shared" si="49"/>
        <v>118</v>
      </c>
    </row>
    <row r="1541" spans="1:17" x14ac:dyDescent="0.25">
      <c r="A1541" s="1" t="str">
        <f>_xlfn.XLOOKUP(D1541,'Novo relatório'!B:B,'Novo relatório'!C:C,"RESOLVIDO")</f>
        <v>TMS</v>
      </c>
      <c r="C1541" t="str">
        <f t="shared" si="48"/>
        <v>PENDENTE</v>
      </c>
      <c r="D1541" s="1">
        <v>3379527</v>
      </c>
      <c r="E1541" s="1" t="s">
        <v>12</v>
      </c>
      <c r="F1541" s="2">
        <v>45770.780555555553</v>
      </c>
      <c r="G1541" s="1">
        <v>17</v>
      </c>
      <c r="H1541" s="1">
        <v>17</v>
      </c>
      <c r="I1541" s="1" t="s">
        <v>2133</v>
      </c>
      <c r="J1541" s="2">
        <v>45770.781944444447</v>
      </c>
      <c r="K1541" s="2">
        <v>45773.789583333331</v>
      </c>
      <c r="L1541" s="1" t="s">
        <v>14</v>
      </c>
      <c r="M1541" s="1" t="str">
        <f>_xlfn.XLOOKUP(I1541,Parâmetros!A:A,Parâmetros!B:B,_xlfn.XLOOKUP(Q1541,Parâmetros!F:F,Parâmetros!G:G,"NOVA MENSAGEM"))</f>
        <v>ASSENTO / BAGAGEM</v>
      </c>
      <c r="N1541" s="1" t="str">
        <f>_xlfn.XLOOKUP(M1541,Parâmetros!K:K,Parâmetros!L:L,"")</f>
        <v>CAMPO OBSERVAÇÃO PREENCHIDO INCORRETAMENTE</v>
      </c>
      <c r="O1541" s="1" t="str">
        <f>_xlfn.XLOOKUP(M1541,Parâmetros!B:B,Parâmetros!C:C,_xlfn.XLOOKUP(Base!M1570,Parâmetros!G:G,Parâmetros!H:H))</f>
        <v>QUALIDADE DOS DADOS</v>
      </c>
      <c r="P1541" s="1" t="str">
        <f>_xlfn.XLOOKUP(I1541,Parâmetros!A:A,Parâmetros!D:D,_xlfn.XLOOKUP(Q1541,Parâmetros!F:F,Parâmetros!I:I))</f>
        <v>OPERAÇÕES / SUPORTE KCS</v>
      </c>
      <c r="Q1541" s="1">
        <f t="shared" si="49"/>
        <v>127</v>
      </c>
    </row>
    <row r="1542" spans="1:17" x14ac:dyDescent="0.25">
      <c r="A1542" s="1" t="str">
        <f>_xlfn.XLOOKUP(D1542,'Novo relatório'!B:B,'Novo relatório'!C:C,"RESOLVIDO")</f>
        <v>SABRE</v>
      </c>
      <c r="C1542" t="str">
        <f t="shared" si="48"/>
        <v>PENDENTE</v>
      </c>
      <c r="D1542" s="1">
        <v>3379973</v>
      </c>
      <c r="E1542" s="1" t="s">
        <v>26</v>
      </c>
      <c r="F1542" s="2">
        <v>45770.730555555558</v>
      </c>
      <c r="G1542" s="1" t="s">
        <v>1996</v>
      </c>
      <c r="H1542" s="1" t="s">
        <v>1996</v>
      </c>
      <c r="I1542" s="1" t="s">
        <v>410</v>
      </c>
      <c r="J1542" s="2">
        <v>45770.824999999997</v>
      </c>
      <c r="L1542" s="1" t="s">
        <v>18</v>
      </c>
      <c r="M1542" s="1" t="str">
        <f>_xlfn.XLOOKUP(I1542,Parâmetros!A:A,Parâmetros!B:B,_xlfn.XLOOKUP(Q1542,Parâmetros!F:F,Parâmetros!G:G,"NOVA MENSAGEM"))</f>
        <v>CÓD. CLIENTE DIVERGENTE</v>
      </c>
      <c r="N1542" s="1" t="str">
        <f>_xlfn.XLOOKUP(M1542,Parâmetros!K:K,Parâmetros!L:L,"")</f>
        <v>CÓDIGO DIFERENTE DO CADASTRADO NO BENNER (CLIENTE X GRUPO)</v>
      </c>
      <c r="O1542" s="1" t="str">
        <f>_xlfn.XLOOKUP(M1542,Parâmetros!B:B,Parâmetros!C:C,_xlfn.XLOOKUP(Base!M1450,Parâmetros!G:G,Parâmetros!H:H))</f>
        <v>QUALIDADE DOS DADOS</v>
      </c>
      <c r="P1542" s="1" t="str">
        <f>_xlfn.XLOOKUP(I1542,Parâmetros!A:A,Parâmetros!D:D,_xlfn.XLOOKUP(Q1542,Parâmetros!F:F,Parâmetros!I:I))</f>
        <v>SUPORTE OBT</v>
      </c>
      <c r="Q1542" s="1">
        <f t="shared" si="49"/>
        <v>1</v>
      </c>
    </row>
    <row r="1543" spans="1:17" x14ac:dyDescent="0.25">
      <c r="A1543" s="1" t="str">
        <f>_xlfn.XLOOKUP(D1543,'Novo relatório'!B:B,'Novo relatório'!C:C,"RESOLVIDO")</f>
        <v>SABRE</v>
      </c>
      <c r="C1543" t="str">
        <f t="shared" si="48"/>
        <v>PENDENTE</v>
      </c>
      <c r="D1543" s="1">
        <v>3380033</v>
      </c>
      <c r="E1543" s="1" t="s">
        <v>26</v>
      </c>
      <c r="F1543" s="2">
        <v>45770.770138888889</v>
      </c>
      <c r="G1543" s="1" t="s">
        <v>1956</v>
      </c>
      <c r="H1543" s="1" t="s">
        <v>1956</v>
      </c>
      <c r="I1543" s="1" t="s">
        <v>396</v>
      </c>
      <c r="J1543" s="2">
        <v>45770.856249999997</v>
      </c>
      <c r="L1543" s="1" t="s">
        <v>18</v>
      </c>
      <c r="M1543" s="1" t="str">
        <f>_xlfn.XLOOKUP(I1543,Parâmetros!A:A,Parâmetros!B:B,_xlfn.XLOOKUP(Q1543,Parâmetros!F:F,Parâmetros!G:G,"NOVA MENSAGEM"))</f>
        <v>CÓD. CLIENTE DIVERGENTE</v>
      </c>
      <c r="N1543" s="1" t="str">
        <f>_xlfn.XLOOKUP(M1543,Parâmetros!K:K,Parâmetros!L:L,"")</f>
        <v>CÓDIGO DIFERENTE DO CADASTRADO NO BENNER (CLIENTE X GRUPO)</v>
      </c>
      <c r="O1543" s="1" t="str">
        <f>_xlfn.XLOOKUP(M1543,Parâmetros!B:B,Parâmetros!C:C,_xlfn.XLOOKUP(Base!M1414,Parâmetros!G:G,Parâmetros!H:H))</f>
        <v>QUALIDADE DOS DADOS</v>
      </c>
      <c r="P1543" s="1" t="str">
        <f>_xlfn.XLOOKUP(I1543,Parâmetros!A:A,Parâmetros!D:D,_xlfn.XLOOKUP(Q1543,Parâmetros!F:F,Parâmetros!I:I))</f>
        <v>SUPORTE OBT</v>
      </c>
      <c r="Q1543" s="1">
        <f t="shared" si="49"/>
        <v>1</v>
      </c>
    </row>
    <row r="1544" spans="1:17" x14ac:dyDescent="0.25">
      <c r="A1544" s="1" t="str">
        <f>_xlfn.XLOOKUP(D1544,'Novo relatório'!B:B,'Novo relatório'!C:C,"RESOLVIDO")</f>
        <v>TMS</v>
      </c>
      <c r="C1544" t="str">
        <f t="shared" si="48"/>
        <v>PENDENTE</v>
      </c>
      <c r="D1544" s="1">
        <v>3380274</v>
      </c>
      <c r="E1544" s="1" t="s">
        <v>12</v>
      </c>
      <c r="F1544" s="2">
        <v>45771.015277777777</v>
      </c>
      <c r="G1544" s="1">
        <v>3604</v>
      </c>
      <c r="H1544" s="1">
        <v>3604</v>
      </c>
      <c r="I1544" s="1" t="s">
        <v>16</v>
      </c>
      <c r="J1544" s="2">
        <v>45771.261111111111</v>
      </c>
      <c r="K1544" s="2">
        <v>45774.803472222222</v>
      </c>
      <c r="L1544" s="1" t="s">
        <v>14</v>
      </c>
      <c r="M1544" s="1" t="str">
        <f>_xlfn.XLOOKUP(I1544,Parâmetros!A:A,Parâmetros!B:B,_xlfn.XLOOKUP(Q1544,Parâmetros!F:F,Parâmetros!G:G,"NOVA MENSAGEM"))</f>
        <v>ASSENTO / BAGAGEM</v>
      </c>
      <c r="N1544" s="1" t="str">
        <f>_xlfn.XLOOKUP(M1544,Parâmetros!K:K,Parâmetros!L:L,"")</f>
        <v>CAMPO OBSERVAÇÃO PREENCHIDO INCORRETAMENTE</v>
      </c>
      <c r="O1544" s="1" t="str">
        <f>_xlfn.XLOOKUP(M1544,Parâmetros!B:B,Parâmetros!C:C,_xlfn.XLOOKUP(Base!M1584,Parâmetros!G:G,Parâmetros!H:H))</f>
        <v>QUALIDADE DOS DADOS</v>
      </c>
      <c r="P1544" s="1" t="str">
        <f>_xlfn.XLOOKUP(I1544,Parâmetros!A:A,Parâmetros!D:D,_xlfn.XLOOKUP(Q1544,Parâmetros!F:F,Parâmetros!I:I))</f>
        <v>OPERAÇÕES / SUPORTE KCS</v>
      </c>
      <c r="Q1544" s="1">
        <f t="shared" si="49"/>
        <v>118</v>
      </c>
    </row>
    <row r="1545" spans="1:17" x14ac:dyDescent="0.25">
      <c r="A1545" s="1" t="str">
        <f>_xlfn.XLOOKUP(D1545,'Novo relatório'!B:B,'Novo relatório'!C:C,"RESOLVIDO")</f>
        <v>SABRE</v>
      </c>
      <c r="C1545" t="str">
        <f t="shared" si="48"/>
        <v>PENDENTE</v>
      </c>
      <c r="D1545" s="1">
        <v>3381646</v>
      </c>
      <c r="E1545" s="1" t="s">
        <v>26</v>
      </c>
      <c r="F1545" s="2">
        <v>45771.647222222222</v>
      </c>
      <c r="G1545" s="1" t="s">
        <v>1933</v>
      </c>
      <c r="H1545" s="1" t="s">
        <v>1934</v>
      </c>
      <c r="I1545" s="1" t="s">
        <v>64</v>
      </c>
      <c r="J1545" s="2">
        <v>45771.732638888891</v>
      </c>
      <c r="L1545" s="1" t="s">
        <v>1244</v>
      </c>
      <c r="M1545" s="1" t="str">
        <f>_xlfn.XLOOKUP(I1545,Parâmetros!A:A,Parâmetros!B:B,_xlfn.XLOOKUP(Q1545,Parâmetros!F:F,Parâmetros!G:G,"NOVA MENSAGEM"))</f>
        <v>FORMATO DE TEXTO</v>
      </c>
      <c r="N1545" s="1" t="str">
        <f>_xlfn.XLOOKUP(M1545,Parâmetros!K:K,Parâmetros!L:L,"")</f>
        <v>TEXTO FORA DO PADRÃO ACEITO NO CAMPO</v>
      </c>
      <c r="O1545" s="1" t="str">
        <f>_xlfn.XLOOKUP(M1545,Parâmetros!B:B,Parâmetros!C:C,_xlfn.XLOOKUP(Base!M1393,Parâmetros!G:G,Parâmetros!H:H))</f>
        <v>INDEFINIDO</v>
      </c>
      <c r="P1545" s="1" t="str">
        <f>_xlfn.XLOOKUP(I1545,Parâmetros!A:A,Parâmetros!D:D,_xlfn.XLOOKUP(Q1545,Parâmetros!F:F,Parâmetros!I:I))</f>
        <v>SUPORTE OBT</v>
      </c>
      <c r="Q1545" s="1" t="str">
        <f t="shared" si="49"/>
        <v>COLUNA I</v>
      </c>
    </row>
    <row r="1546" spans="1:17" x14ac:dyDescent="0.25">
      <c r="A1546" s="1" t="str">
        <f>_xlfn.XLOOKUP(D1546,'Novo relatório'!B:B,'Novo relatório'!C:C,"RESOLVIDO")</f>
        <v>SABRE</v>
      </c>
      <c r="C1546" t="str">
        <f t="shared" si="48"/>
        <v>PENDENTE</v>
      </c>
      <c r="D1546" s="1">
        <v>3381923</v>
      </c>
      <c r="E1546" s="1" t="s">
        <v>26</v>
      </c>
      <c r="F1546" s="2">
        <v>45772.286805555559</v>
      </c>
      <c r="G1546" s="1" t="s">
        <v>1986</v>
      </c>
      <c r="H1546" s="1" t="s">
        <v>1986</v>
      </c>
      <c r="I1546" s="1" t="s">
        <v>83</v>
      </c>
      <c r="J1546" s="2">
        <v>45771.772222222222</v>
      </c>
      <c r="K1546" s="2">
        <v>45772.375694444447</v>
      </c>
      <c r="L1546" s="1" t="s">
        <v>18</v>
      </c>
      <c r="M1546" s="1" t="str">
        <f>_xlfn.XLOOKUP(I1546,Parâmetros!A:A,Parâmetros!B:B,_xlfn.XLOOKUP(Q1546,Parâmetros!F:F,Parâmetros!G:G,"NOVA MENSAGEM"))</f>
        <v>CLIENTE NÃO IDENTIFICADO</v>
      </c>
      <c r="N1546" s="1" t="str">
        <f>_xlfn.XLOOKUP(M1546,Parâmetros!K:K,Parâmetros!L:L,"")</f>
        <v>DK DE CLIENTE NÃO PREENCIDO / CLIENTE NÃO CONFIGURADO NO OBT</v>
      </c>
      <c r="O1546" s="1" t="str">
        <f>_xlfn.XLOOKUP(M1546,Parâmetros!B:B,Parâmetros!C:C,_xlfn.XLOOKUP(Base!M1442,Parâmetros!G:G,Parâmetros!H:H))</f>
        <v>INDEFINIDO</v>
      </c>
      <c r="P1546" s="1" t="str">
        <f>_xlfn.XLOOKUP(I1546,Parâmetros!A:A,Parâmetros!D:D,_xlfn.XLOOKUP(Q1546,Parâmetros!F:F,Parâmetros!I:I))</f>
        <v>OPERAÇÕES / SUPORTE KCS</v>
      </c>
      <c r="Q1546" s="1" t="str">
        <f t="shared" si="49"/>
        <v>COLUNA I</v>
      </c>
    </row>
    <row r="1547" spans="1:17" x14ac:dyDescent="0.25">
      <c r="A1547" s="1" t="str">
        <f>_xlfn.XLOOKUP(D1547,'Novo relatório'!B:B,'Novo relatório'!C:C,"RESOLVIDO")</f>
        <v>RESOLVIDO</v>
      </c>
      <c r="C1547" t="str">
        <f t="shared" si="48"/>
        <v>RESOLVIDO</v>
      </c>
      <c r="D1547" s="1">
        <v>3382223</v>
      </c>
      <c r="E1547" s="1" t="s">
        <v>12</v>
      </c>
      <c r="F1547" s="2">
        <v>45771.694444444445</v>
      </c>
      <c r="G1547" s="1">
        <v>20888</v>
      </c>
      <c r="H1547" s="1">
        <v>20888</v>
      </c>
      <c r="I1547" s="1" t="s">
        <v>927</v>
      </c>
      <c r="J1547" s="2">
        <v>45771.793749999997</v>
      </c>
      <c r="K1547" s="2">
        <v>45774.803472222222</v>
      </c>
      <c r="L1547" s="1" t="s">
        <v>19</v>
      </c>
      <c r="M1547" s="1" t="str">
        <f>_xlfn.XLOOKUP(I1547,Parâmetros!A:A,Parâmetros!B:B,_xlfn.XLOOKUP(Q1547,Parâmetros!F:F,Parâmetros!G:G,"NOVA MENSAGEM"))</f>
        <v>CONTRATO FORNECEDOR</v>
      </c>
      <c r="N1547" s="1" t="str">
        <f>_xlfn.XLOOKUP(M1547,Parâmetros!K:K,Parâmetros!L:L,"")</f>
        <v>CONTRATO INATIVO OU DIVERGENTE</v>
      </c>
      <c r="O1547" s="1" t="str">
        <f>_xlfn.XLOOKUP(M1547,Parâmetros!B:B,Parâmetros!C:C,_xlfn.XLOOKUP(Base!M1576,Parâmetros!G:G,Parâmetros!H:H))</f>
        <v>SISTEMA</v>
      </c>
      <c r="P1547" s="1" t="str">
        <f>_xlfn.XLOOKUP(I1547,Parâmetros!A:A,Parâmetros!D:D,_xlfn.XLOOKUP(Q1547,Parâmetros!F:F,Parâmetros!I:I))</f>
        <v>OPERAÇÕES / SUPORTE KCS</v>
      </c>
      <c r="Q1547" s="1">
        <f t="shared" si="49"/>
        <v>69</v>
      </c>
    </row>
    <row r="1548" spans="1:17" x14ac:dyDescent="0.25">
      <c r="A1548" s="1" t="str">
        <f>_xlfn.XLOOKUP(D1548,'Novo relatório'!B:B,'Novo relatório'!C:C,"RESOLVIDO")</f>
        <v>SABRE</v>
      </c>
      <c r="C1548" t="str">
        <f t="shared" si="48"/>
        <v>PENDENTE</v>
      </c>
      <c r="D1548" s="1">
        <v>3382261</v>
      </c>
      <c r="E1548" s="1" t="s">
        <v>26</v>
      </c>
      <c r="F1548" s="2">
        <v>45771.7</v>
      </c>
      <c r="G1548" s="1" t="s">
        <v>2042</v>
      </c>
      <c r="H1548" s="1" t="s">
        <v>2042</v>
      </c>
      <c r="I1548" s="1" t="s">
        <v>652</v>
      </c>
      <c r="J1548" s="2">
        <v>45771.796527777777</v>
      </c>
      <c r="L1548" s="1" t="s">
        <v>18</v>
      </c>
      <c r="M1548" s="1" t="str">
        <f>_xlfn.XLOOKUP(I1548,Parâmetros!A:A,Parâmetros!B:B,_xlfn.XLOOKUP(Q1548,Parâmetros!F:F,Parâmetros!G:G,"NOVA MENSAGEM"))</f>
        <v>CÓD. CLIENTE DIVERGENTE</v>
      </c>
      <c r="N1548" s="1" t="str">
        <f>_xlfn.XLOOKUP(M1548,Parâmetros!K:K,Parâmetros!L:L,"")</f>
        <v>CÓDIGO DIFERENTE DO CADASTRADO NO BENNER (CLIENTE X GRUPO)</v>
      </c>
      <c r="O1548" s="1" t="str">
        <f>_xlfn.XLOOKUP(M1548,Parâmetros!B:B,Parâmetros!C:C,_xlfn.XLOOKUP(Base!M1489,Parâmetros!G:G,Parâmetros!H:H))</f>
        <v>QUALIDADE DOS DADOS</v>
      </c>
      <c r="P1548" s="1" t="str">
        <f>_xlfn.XLOOKUP(I1548,Parâmetros!A:A,Parâmetros!D:D,_xlfn.XLOOKUP(Q1548,Parâmetros!F:F,Parâmetros!I:I))</f>
        <v>SUPORTE OBT</v>
      </c>
      <c r="Q1548" s="1">
        <f t="shared" si="49"/>
        <v>1</v>
      </c>
    </row>
    <row r="1549" spans="1:17" x14ac:dyDescent="0.25">
      <c r="A1549" s="1" t="str">
        <f>_xlfn.XLOOKUP(D1549,'Novo relatório'!B:B,'Novo relatório'!C:C,"RESOLVIDO")</f>
        <v>SABRE</v>
      </c>
      <c r="C1549" t="str">
        <f t="shared" si="48"/>
        <v>PENDENTE</v>
      </c>
      <c r="D1549" s="1">
        <v>3382264</v>
      </c>
      <c r="E1549" s="1" t="s">
        <v>26</v>
      </c>
      <c r="F1549" s="2">
        <v>45771.7</v>
      </c>
      <c r="G1549" s="1" t="s">
        <v>1988</v>
      </c>
      <c r="H1549" s="1" t="s">
        <v>1988</v>
      </c>
      <c r="I1549" s="1" t="s">
        <v>652</v>
      </c>
      <c r="J1549" s="2">
        <v>45771.796527777777</v>
      </c>
      <c r="L1549" s="1" t="s">
        <v>18</v>
      </c>
      <c r="M1549" s="1" t="str">
        <f>_xlfn.XLOOKUP(I1549,Parâmetros!A:A,Parâmetros!B:B,_xlfn.XLOOKUP(Q1549,Parâmetros!F:F,Parâmetros!G:G,"NOVA MENSAGEM"))</f>
        <v>CÓD. CLIENTE DIVERGENTE</v>
      </c>
      <c r="N1549" s="1" t="str">
        <f>_xlfn.XLOOKUP(M1549,Parâmetros!K:K,Parâmetros!L:L,"")</f>
        <v>CÓDIGO DIFERENTE DO CADASTRADO NO BENNER (CLIENTE X GRUPO)</v>
      </c>
      <c r="O1549" s="1" t="str">
        <f>_xlfn.XLOOKUP(M1549,Parâmetros!B:B,Parâmetros!C:C,_xlfn.XLOOKUP(Base!M1444,Parâmetros!G:G,Parâmetros!H:H))</f>
        <v>QUALIDADE DOS DADOS</v>
      </c>
      <c r="P1549" s="1" t="str">
        <f>_xlfn.XLOOKUP(I1549,Parâmetros!A:A,Parâmetros!D:D,_xlfn.XLOOKUP(Q1549,Parâmetros!F:F,Parâmetros!I:I))</f>
        <v>SUPORTE OBT</v>
      </c>
      <c r="Q1549" s="1">
        <f t="shared" si="49"/>
        <v>1</v>
      </c>
    </row>
    <row r="1550" spans="1:17" x14ac:dyDescent="0.25">
      <c r="A1550" s="1" t="str">
        <f>_xlfn.XLOOKUP(D1550,'Novo relatório'!B:B,'Novo relatório'!C:C,"RESOLVIDO")</f>
        <v>SABRE</v>
      </c>
      <c r="C1550" t="str">
        <f t="shared" si="48"/>
        <v>PENDENTE</v>
      </c>
      <c r="D1550" s="1">
        <v>3382280</v>
      </c>
      <c r="E1550" s="1" t="s">
        <v>26</v>
      </c>
      <c r="F1550" s="2">
        <v>45771.7</v>
      </c>
      <c r="G1550" s="1" t="s">
        <v>1943</v>
      </c>
      <c r="H1550" s="1" t="s">
        <v>1943</v>
      </c>
      <c r="I1550" s="1" t="s">
        <v>746</v>
      </c>
      <c r="J1550" s="2">
        <v>45771.79791666667</v>
      </c>
      <c r="L1550" s="1" t="s">
        <v>18</v>
      </c>
      <c r="M1550" s="1" t="str">
        <f>_xlfn.XLOOKUP(I1550,Parâmetros!A:A,Parâmetros!B:B,_xlfn.XLOOKUP(Q1550,Parâmetros!F:F,Parâmetros!G:G,"NOVA MENSAGEM"))</f>
        <v>CÓD. CLIENTE DIVERGENTE</v>
      </c>
      <c r="N1550" s="1" t="str">
        <f>_xlfn.XLOOKUP(M1550,Parâmetros!K:K,Parâmetros!L:L,"")</f>
        <v>CÓDIGO DIFERENTE DO CADASTRADO NO BENNER (CLIENTE X GRUPO)</v>
      </c>
      <c r="O1550" s="1" t="str">
        <f>_xlfn.XLOOKUP(M1550,Parâmetros!B:B,Parâmetros!C:C,_xlfn.XLOOKUP(Base!M1401,Parâmetros!G:G,Parâmetros!H:H))</f>
        <v>QUALIDADE DOS DADOS</v>
      </c>
      <c r="P1550" s="1" t="str">
        <f>_xlfn.XLOOKUP(I1550,Parâmetros!A:A,Parâmetros!D:D,_xlfn.XLOOKUP(Q1550,Parâmetros!F:F,Parâmetros!I:I))</f>
        <v>SUPORTE OBT</v>
      </c>
      <c r="Q1550" s="1">
        <f t="shared" si="49"/>
        <v>1</v>
      </c>
    </row>
    <row r="1551" spans="1:17" x14ac:dyDescent="0.25">
      <c r="A1551" s="1" t="str">
        <f>_xlfn.XLOOKUP(D1551,'Novo relatório'!B:B,'Novo relatório'!C:C,"RESOLVIDO")</f>
        <v>SABRE</v>
      </c>
      <c r="C1551" t="str">
        <f t="shared" si="48"/>
        <v>PENDENTE</v>
      </c>
      <c r="D1551" s="1">
        <v>3382290</v>
      </c>
      <c r="E1551" s="1" t="s">
        <v>26</v>
      </c>
      <c r="F1551" s="2">
        <v>45771.7</v>
      </c>
      <c r="G1551" s="1" t="s">
        <v>2083</v>
      </c>
      <c r="H1551" s="1" t="s">
        <v>2083</v>
      </c>
      <c r="I1551" s="1" t="s">
        <v>396</v>
      </c>
      <c r="J1551" s="2">
        <v>45771.798611111109</v>
      </c>
      <c r="L1551" s="1" t="s">
        <v>18</v>
      </c>
      <c r="M1551" s="1" t="str">
        <f>_xlfn.XLOOKUP(I1551,Parâmetros!A:A,Parâmetros!B:B,_xlfn.XLOOKUP(Q1551,Parâmetros!F:F,Parâmetros!G:G,"NOVA MENSAGEM"))</f>
        <v>CÓD. CLIENTE DIVERGENTE</v>
      </c>
      <c r="N1551" s="1" t="str">
        <f>_xlfn.XLOOKUP(M1551,Parâmetros!K:K,Parâmetros!L:L,"")</f>
        <v>CÓDIGO DIFERENTE DO CADASTRADO NO BENNER (CLIENTE X GRUPO)</v>
      </c>
      <c r="O1551" s="1" t="str">
        <f>_xlfn.XLOOKUP(M1551,Parâmetros!B:B,Parâmetros!C:C,_xlfn.XLOOKUP(Base!M1521,Parâmetros!G:G,Parâmetros!H:H))</f>
        <v>QUALIDADE DOS DADOS</v>
      </c>
      <c r="P1551" s="1" t="str">
        <f>_xlfn.XLOOKUP(I1551,Parâmetros!A:A,Parâmetros!D:D,_xlfn.XLOOKUP(Q1551,Parâmetros!F:F,Parâmetros!I:I))</f>
        <v>SUPORTE OBT</v>
      </c>
      <c r="Q1551" s="1">
        <f t="shared" si="49"/>
        <v>1</v>
      </c>
    </row>
    <row r="1552" spans="1:17" x14ac:dyDescent="0.25">
      <c r="A1552" s="1" t="str">
        <f>_xlfn.XLOOKUP(D1552,'Novo relatório'!B:B,'Novo relatório'!C:C,"RESOLVIDO")</f>
        <v>SABRE</v>
      </c>
      <c r="C1552" t="str">
        <f t="shared" si="48"/>
        <v>PENDENTE</v>
      </c>
      <c r="D1552" s="1">
        <v>3382304</v>
      </c>
      <c r="E1552" s="1" t="s">
        <v>26</v>
      </c>
      <c r="F1552" s="2">
        <v>45771.7</v>
      </c>
      <c r="G1552" s="1" t="s">
        <v>1954</v>
      </c>
      <c r="H1552" s="1" t="s">
        <v>1954</v>
      </c>
      <c r="I1552" s="1" t="s">
        <v>1280</v>
      </c>
      <c r="J1552" s="2">
        <v>45771.799305555556</v>
      </c>
      <c r="L1552" s="1" t="s">
        <v>18</v>
      </c>
      <c r="M1552" s="1" t="str">
        <f>_xlfn.XLOOKUP(I1552,Parâmetros!A:A,Parâmetros!B:B,_xlfn.XLOOKUP(Q1552,Parâmetros!F:F,Parâmetros!G:G,"NOVA MENSAGEM"))</f>
        <v>CÓD. CLIENTE DIVERGENTE</v>
      </c>
      <c r="N1552" s="1" t="str">
        <f>_xlfn.XLOOKUP(M1552,Parâmetros!K:K,Parâmetros!L:L,"")</f>
        <v>CÓDIGO DIFERENTE DO CADASTRADO NO BENNER (CLIENTE X GRUPO)</v>
      </c>
      <c r="O1552" s="1" t="str">
        <f>_xlfn.XLOOKUP(M1552,Parâmetros!B:B,Parâmetros!C:C,_xlfn.XLOOKUP(Base!M1412,Parâmetros!G:G,Parâmetros!H:H))</f>
        <v>QUALIDADE DOS DADOS</v>
      </c>
      <c r="P1552" s="1" t="str">
        <f>_xlfn.XLOOKUP(I1552,Parâmetros!A:A,Parâmetros!D:D,_xlfn.XLOOKUP(Q1552,Parâmetros!F:F,Parâmetros!I:I))</f>
        <v>SUPORTE OBT</v>
      </c>
      <c r="Q1552" s="1">
        <f t="shared" si="49"/>
        <v>1</v>
      </c>
    </row>
    <row r="1553" spans="1:17" x14ac:dyDescent="0.25">
      <c r="A1553" s="1" t="str">
        <f>_xlfn.XLOOKUP(D1553,'Novo relatório'!B:B,'Novo relatório'!C:C,"RESOLVIDO")</f>
        <v>SABRE</v>
      </c>
      <c r="C1553" t="str">
        <f t="shared" si="48"/>
        <v>PENDENTE</v>
      </c>
      <c r="D1553" s="1">
        <v>3382307</v>
      </c>
      <c r="E1553" s="1" t="s">
        <v>26</v>
      </c>
      <c r="F1553" s="2">
        <v>45771.7</v>
      </c>
      <c r="G1553" s="1" t="s">
        <v>1955</v>
      </c>
      <c r="H1553" s="1" t="s">
        <v>1955</v>
      </c>
      <c r="I1553" s="1" t="s">
        <v>1280</v>
      </c>
      <c r="J1553" s="2">
        <v>45771.799305555556</v>
      </c>
      <c r="L1553" s="1" t="s">
        <v>18</v>
      </c>
      <c r="M1553" s="1" t="str">
        <f>_xlfn.XLOOKUP(I1553,Parâmetros!A:A,Parâmetros!B:B,_xlfn.XLOOKUP(Q1553,Parâmetros!F:F,Parâmetros!G:G,"NOVA MENSAGEM"))</f>
        <v>CÓD. CLIENTE DIVERGENTE</v>
      </c>
      <c r="N1553" s="1" t="str">
        <f>_xlfn.XLOOKUP(M1553,Parâmetros!K:K,Parâmetros!L:L,"")</f>
        <v>CÓDIGO DIFERENTE DO CADASTRADO NO BENNER (CLIENTE X GRUPO)</v>
      </c>
      <c r="O1553" s="1" t="str">
        <f>_xlfn.XLOOKUP(M1553,Parâmetros!B:B,Parâmetros!C:C,_xlfn.XLOOKUP(Base!M1413,Parâmetros!G:G,Parâmetros!H:H))</f>
        <v>QUALIDADE DOS DADOS</v>
      </c>
      <c r="P1553" s="1" t="str">
        <f>_xlfn.XLOOKUP(I1553,Parâmetros!A:A,Parâmetros!D:D,_xlfn.XLOOKUP(Q1553,Parâmetros!F:F,Parâmetros!I:I))</f>
        <v>SUPORTE OBT</v>
      </c>
      <c r="Q1553" s="1">
        <f t="shared" si="49"/>
        <v>1</v>
      </c>
    </row>
    <row r="1554" spans="1:17" x14ac:dyDescent="0.25">
      <c r="A1554" s="1" t="str">
        <f>_xlfn.XLOOKUP(D1554,'Novo relatório'!B:B,'Novo relatório'!C:C,"RESOLVIDO")</f>
        <v>SABRE</v>
      </c>
      <c r="C1554" t="str">
        <f t="shared" si="48"/>
        <v>PENDENTE</v>
      </c>
      <c r="D1554" s="1">
        <v>3382310</v>
      </c>
      <c r="E1554" s="1" t="s">
        <v>26</v>
      </c>
      <c r="F1554" s="2">
        <v>45771.7</v>
      </c>
      <c r="G1554" s="1" t="s">
        <v>1958</v>
      </c>
      <c r="H1554" s="1" t="s">
        <v>1958</v>
      </c>
      <c r="I1554" s="1" t="s">
        <v>746</v>
      </c>
      <c r="J1554" s="2">
        <v>45771.8</v>
      </c>
      <c r="L1554" s="1" t="s">
        <v>18</v>
      </c>
      <c r="M1554" s="1" t="str">
        <f>_xlfn.XLOOKUP(I1554,Parâmetros!A:A,Parâmetros!B:B,_xlfn.XLOOKUP(Q1554,Parâmetros!F:F,Parâmetros!G:G,"NOVA MENSAGEM"))</f>
        <v>CÓD. CLIENTE DIVERGENTE</v>
      </c>
      <c r="N1554" s="1" t="str">
        <f>_xlfn.XLOOKUP(M1554,Parâmetros!K:K,Parâmetros!L:L,"")</f>
        <v>CÓDIGO DIFERENTE DO CADASTRADO NO BENNER (CLIENTE X GRUPO)</v>
      </c>
      <c r="O1554" s="1" t="str">
        <f>_xlfn.XLOOKUP(M1554,Parâmetros!B:B,Parâmetros!C:C,_xlfn.XLOOKUP(Base!M1416,Parâmetros!G:G,Parâmetros!H:H))</f>
        <v>QUALIDADE DOS DADOS</v>
      </c>
      <c r="P1554" s="1" t="str">
        <f>_xlfn.XLOOKUP(I1554,Parâmetros!A:A,Parâmetros!D:D,_xlfn.XLOOKUP(Q1554,Parâmetros!F:F,Parâmetros!I:I))</f>
        <v>SUPORTE OBT</v>
      </c>
      <c r="Q1554" s="1">
        <f t="shared" si="49"/>
        <v>1</v>
      </c>
    </row>
    <row r="1555" spans="1:17" x14ac:dyDescent="0.25">
      <c r="A1555" s="1" t="str">
        <f>_xlfn.XLOOKUP(D1555,'Novo relatório'!B:B,'Novo relatório'!C:C,"RESOLVIDO")</f>
        <v>SABRE</v>
      </c>
      <c r="C1555" t="str">
        <f t="shared" si="48"/>
        <v>PENDENTE</v>
      </c>
      <c r="D1555" s="1">
        <v>3382313</v>
      </c>
      <c r="E1555" s="1" t="s">
        <v>26</v>
      </c>
      <c r="F1555" s="2">
        <v>45771.7</v>
      </c>
      <c r="G1555" s="1" t="s">
        <v>1950</v>
      </c>
      <c r="H1555" s="1" t="s">
        <v>1950</v>
      </c>
      <c r="I1555" s="1" t="s">
        <v>707</v>
      </c>
      <c r="J1555" s="2">
        <v>45771.8</v>
      </c>
      <c r="L1555" s="1" t="s">
        <v>18</v>
      </c>
      <c r="M1555" s="1" t="str">
        <f>_xlfn.XLOOKUP(I1555,Parâmetros!A:A,Parâmetros!B:B,_xlfn.XLOOKUP(Q1555,Parâmetros!F:F,Parâmetros!G:G,"NOVA MENSAGEM"))</f>
        <v>CÓD. CLIENTE DIVERGENTE</v>
      </c>
      <c r="N1555" s="1" t="str">
        <f>_xlfn.XLOOKUP(M1555,Parâmetros!K:K,Parâmetros!L:L,"")</f>
        <v>CÓDIGO DIFERENTE DO CADASTRADO NO BENNER (CLIENTE X GRUPO)</v>
      </c>
      <c r="O1555" s="1" t="str">
        <f>_xlfn.XLOOKUP(M1555,Parâmetros!B:B,Parâmetros!C:C,_xlfn.XLOOKUP(Base!M1408,Parâmetros!G:G,Parâmetros!H:H))</f>
        <v>QUALIDADE DOS DADOS</v>
      </c>
      <c r="P1555" s="1" t="str">
        <f>_xlfn.XLOOKUP(I1555,Parâmetros!A:A,Parâmetros!D:D,_xlfn.XLOOKUP(Q1555,Parâmetros!F:F,Parâmetros!I:I))</f>
        <v>SUPORTE OBT</v>
      </c>
      <c r="Q1555" s="1">
        <f t="shared" si="49"/>
        <v>1</v>
      </c>
    </row>
    <row r="1556" spans="1:17" x14ac:dyDescent="0.25">
      <c r="A1556" s="1" t="str">
        <f>_xlfn.XLOOKUP(D1556,'Novo relatório'!B:B,'Novo relatório'!C:C,"RESOLVIDO")</f>
        <v>SABRE</v>
      </c>
      <c r="C1556" t="str">
        <f t="shared" si="48"/>
        <v>PENDENTE</v>
      </c>
      <c r="D1556" s="1">
        <v>3382329</v>
      </c>
      <c r="E1556" s="1" t="s">
        <v>26</v>
      </c>
      <c r="F1556" s="2">
        <v>45771.7</v>
      </c>
      <c r="G1556" s="1" t="s">
        <v>1948</v>
      </c>
      <c r="H1556" s="1" t="s">
        <v>1948</v>
      </c>
      <c r="I1556" s="1" t="s">
        <v>83</v>
      </c>
      <c r="J1556" s="2">
        <v>45771.801388888889</v>
      </c>
      <c r="L1556" s="1" t="s">
        <v>18</v>
      </c>
      <c r="M1556" s="1" t="str">
        <f>_xlfn.XLOOKUP(I1556,Parâmetros!A:A,Parâmetros!B:B,_xlfn.XLOOKUP(Q1556,Parâmetros!F:F,Parâmetros!G:G,"NOVA MENSAGEM"))</f>
        <v>CLIENTE NÃO IDENTIFICADO</v>
      </c>
      <c r="N1556" s="1" t="str">
        <f>_xlfn.XLOOKUP(M1556,Parâmetros!K:K,Parâmetros!L:L,"")</f>
        <v>DK DE CLIENTE NÃO PREENCIDO / CLIENTE NÃO CONFIGURADO NO OBT</v>
      </c>
      <c r="O1556" s="1" t="str">
        <f>_xlfn.XLOOKUP(M1556,Parâmetros!B:B,Parâmetros!C:C,_xlfn.XLOOKUP(Base!M1406,Parâmetros!G:G,Parâmetros!H:H))</f>
        <v>INDEFINIDO</v>
      </c>
      <c r="P1556" s="1" t="str">
        <f>_xlfn.XLOOKUP(I1556,Parâmetros!A:A,Parâmetros!D:D,_xlfn.XLOOKUP(Q1556,Parâmetros!F:F,Parâmetros!I:I))</f>
        <v>OPERAÇÕES / SUPORTE KCS</v>
      </c>
      <c r="Q1556" s="1" t="str">
        <f t="shared" si="49"/>
        <v>COLUNA I</v>
      </c>
    </row>
    <row r="1557" spans="1:17" x14ac:dyDescent="0.25">
      <c r="A1557" s="1" t="str">
        <f>_xlfn.XLOOKUP(D1557,'Novo relatório'!B:B,'Novo relatório'!C:C,"RESOLVIDO")</f>
        <v>RESOLVIDO</v>
      </c>
      <c r="C1557" t="str">
        <f t="shared" si="48"/>
        <v>RESOLVIDO</v>
      </c>
      <c r="D1557" s="1">
        <v>3382453</v>
      </c>
      <c r="E1557" s="1" t="s">
        <v>12</v>
      </c>
      <c r="F1557" s="2">
        <v>45771.609027777777</v>
      </c>
      <c r="G1557" s="1">
        <v>11922</v>
      </c>
      <c r="H1557" s="1">
        <v>11922</v>
      </c>
      <c r="I1557" s="1" t="s">
        <v>16</v>
      </c>
      <c r="J1557" s="2">
        <v>45771.811805555553</v>
      </c>
      <c r="K1557" s="2">
        <v>45774.803472222222</v>
      </c>
      <c r="L1557" s="1" t="s">
        <v>14</v>
      </c>
      <c r="M1557" s="1" t="str">
        <f>_xlfn.XLOOKUP(I1557,Parâmetros!A:A,Parâmetros!B:B,_xlfn.XLOOKUP(Q1557,Parâmetros!F:F,Parâmetros!G:G,"NOVA MENSAGEM"))</f>
        <v>ASSENTO / BAGAGEM</v>
      </c>
      <c r="N1557" s="1" t="str">
        <f>_xlfn.XLOOKUP(M1557,Parâmetros!K:K,Parâmetros!L:L,"")</f>
        <v>CAMPO OBSERVAÇÃO PREENCHIDO INCORRETAMENTE</v>
      </c>
      <c r="O1557" s="1" t="str">
        <f>_xlfn.XLOOKUP(M1557,Parâmetros!B:B,Parâmetros!C:C,_xlfn.XLOOKUP(Base!M1568,Parâmetros!G:G,Parâmetros!H:H))</f>
        <v>QUALIDADE DOS DADOS</v>
      </c>
      <c r="P1557" s="1" t="str">
        <f>_xlfn.XLOOKUP(I1557,Parâmetros!A:A,Parâmetros!D:D,_xlfn.XLOOKUP(Q1557,Parâmetros!F:F,Parâmetros!I:I))</f>
        <v>OPERAÇÕES / SUPORTE KCS</v>
      </c>
      <c r="Q1557" s="1">
        <f t="shared" si="49"/>
        <v>118</v>
      </c>
    </row>
    <row r="1558" spans="1:17" x14ac:dyDescent="0.25">
      <c r="A1558" s="1" t="str">
        <f>_xlfn.XLOOKUP(D1558,'Novo relatório'!B:B,'Novo relatório'!C:C,"RESOLVIDO")</f>
        <v>SABRE</v>
      </c>
      <c r="C1558" t="str">
        <f t="shared" si="48"/>
        <v>PENDENTE</v>
      </c>
      <c r="D1558" s="1">
        <v>3382666</v>
      </c>
      <c r="E1558" s="1" t="s">
        <v>26</v>
      </c>
      <c r="F1558" s="2">
        <v>45771.760416666664</v>
      </c>
      <c r="G1558" s="1" t="s">
        <v>1987</v>
      </c>
      <c r="H1558" s="1" t="s">
        <v>1987</v>
      </c>
      <c r="I1558" s="1" t="s">
        <v>83</v>
      </c>
      <c r="J1558" s="2">
        <v>45771.84652777778</v>
      </c>
      <c r="L1558" s="1" t="s">
        <v>18</v>
      </c>
      <c r="M1558" s="1" t="str">
        <f>_xlfn.XLOOKUP(I1558,Parâmetros!A:A,Parâmetros!B:B,_xlfn.XLOOKUP(Q1558,Parâmetros!F:F,Parâmetros!G:G,"NOVA MENSAGEM"))</f>
        <v>CLIENTE NÃO IDENTIFICADO</v>
      </c>
      <c r="N1558" s="1" t="str">
        <f>_xlfn.XLOOKUP(M1558,Parâmetros!K:K,Parâmetros!L:L,"")</f>
        <v>DK DE CLIENTE NÃO PREENCIDO / CLIENTE NÃO CONFIGURADO NO OBT</v>
      </c>
      <c r="O1558" s="1" t="str">
        <f>_xlfn.XLOOKUP(M1558,Parâmetros!B:B,Parâmetros!C:C,_xlfn.XLOOKUP(Base!M1443,Parâmetros!G:G,Parâmetros!H:H))</f>
        <v>INDEFINIDO</v>
      </c>
      <c r="P1558" s="1" t="str">
        <f>_xlfn.XLOOKUP(I1558,Parâmetros!A:A,Parâmetros!D:D,_xlfn.XLOOKUP(Q1558,Parâmetros!F:F,Parâmetros!I:I))</f>
        <v>OPERAÇÕES / SUPORTE KCS</v>
      </c>
      <c r="Q1558" s="1" t="str">
        <f t="shared" si="49"/>
        <v>COLUNA I</v>
      </c>
    </row>
    <row r="1559" spans="1:17" x14ac:dyDescent="0.25">
      <c r="A1559" s="1" t="str">
        <f>_xlfn.XLOOKUP(D1559,'Novo relatório'!B:B,'Novo relatório'!C:C,"RESOLVIDO")</f>
        <v>SABRE</v>
      </c>
      <c r="C1559" t="str">
        <f t="shared" si="48"/>
        <v>PENDENTE</v>
      </c>
      <c r="D1559" s="1">
        <v>3382668</v>
      </c>
      <c r="E1559" s="1" t="s">
        <v>26</v>
      </c>
      <c r="F1559" s="2">
        <v>45771.760416666664</v>
      </c>
      <c r="G1559" s="1" t="s">
        <v>2109</v>
      </c>
      <c r="H1559" s="1" t="s">
        <v>2109</v>
      </c>
      <c r="I1559" s="1" t="s">
        <v>83</v>
      </c>
      <c r="J1559" s="2">
        <v>45771.84652777778</v>
      </c>
      <c r="L1559" s="1" t="s">
        <v>18</v>
      </c>
      <c r="M1559" s="1" t="str">
        <f>_xlfn.XLOOKUP(I1559,Parâmetros!A:A,Parâmetros!B:B,_xlfn.XLOOKUP(Q1559,Parâmetros!F:F,Parâmetros!G:G,"NOVA MENSAGEM"))</f>
        <v>CLIENTE NÃO IDENTIFICADO</v>
      </c>
      <c r="N1559" s="1" t="str">
        <f>_xlfn.XLOOKUP(M1559,Parâmetros!K:K,Parâmetros!L:L,"")</f>
        <v>DK DE CLIENTE NÃO PREENCIDO / CLIENTE NÃO CONFIGURADO NO OBT</v>
      </c>
      <c r="O1559" s="1" t="str">
        <f>_xlfn.XLOOKUP(M1559,Parâmetros!B:B,Parâmetros!C:C,_xlfn.XLOOKUP(Base!M1541,Parâmetros!G:G,Parâmetros!H:H))</f>
        <v>INDEFINIDO</v>
      </c>
      <c r="P1559" s="1" t="str">
        <f>_xlfn.XLOOKUP(I1559,Parâmetros!A:A,Parâmetros!D:D,_xlfn.XLOOKUP(Q1559,Parâmetros!F:F,Parâmetros!I:I))</f>
        <v>OPERAÇÕES / SUPORTE KCS</v>
      </c>
      <c r="Q1559" s="1" t="str">
        <f t="shared" si="49"/>
        <v>COLUNA I</v>
      </c>
    </row>
    <row r="1560" spans="1:17" x14ac:dyDescent="0.25">
      <c r="A1560" s="1" t="str">
        <f>_xlfn.XLOOKUP(D1560,'Novo relatório'!B:B,'Novo relatório'!C:C,"RESOLVIDO")</f>
        <v>SABRE</v>
      </c>
      <c r="C1560" t="str">
        <f t="shared" si="48"/>
        <v>PENDENTE</v>
      </c>
      <c r="D1560" s="1">
        <v>3382669</v>
      </c>
      <c r="E1560" s="1" t="s">
        <v>26</v>
      </c>
      <c r="F1560" s="2">
        <v>45771.760416666664</v>
      </c>
      <c r="G1560" s="1" t="s">
        <v>2114</v>
      </c>
      <c r="H1560" s="1" t="s">
        <v>2114</v>
      </c>
      <c r="I1560" s="1" t="s">
        <v>83</v>
      </c>
      <c r="J1560" s="2">
        <v>45771.84652777778</v>
      </c>
      <c r="L1560" s="1" t="s">
        <v>18</v>
      </c>
      <c r="M1560" s="1" t="str">
        <f>_xlfn.XLOOKUP(I1560,Parâmetros!A:A,Parâmetros!B:B,_xlfn.XLOOKUP(Q1560,Parâmetros!F:F,Parâmetros!G:G,"NOVA MENSAGEM"))</f>
        <v>CLIENTE NÃO IDENTIFICADO</v>
      </c>
      <c r="N1560" s="1" t="str">
        <f>_xlfn.XLOOKUP(M1560,Parâmetros!K:K,Parâmetros!L:L,"")</f>
        <v>DK DE CLIENTE NÃO PREENCIDO / CLIENTE NÃO CONFIGURADO NO OBT</v>
      </c>
      <c r="O1560" s="1" t="str">
        <f>_xlfn.XLOOKUP(M1560,Parâmetros!B:B,Parâmetros!C:C,_xlfn.XLOOKUP(Base!M1546,Parâmetros!G:G,Parâmetros!H:H))</f>
        <v>INDEFINIDO</v>
      </c>
      <c r="P1560" s="1" t="str">
        <f>_xlfn.XLOOKUP(I1560,Parâmetros!A:A,Parâmetros!D:D,_xlfn.XLOOKUP(Q1560,Parâmetros!F:F,Parâmetros!I:I))</f>
        <v>OPERAÇÕES / SUPORTE KCS</v>
      </c>
      <c r="Q1560" s="1" t="str">
        <f t="shared" si="49"/>
        <v>COLUNA I</v>
      </c>
    </row>
    <row r="1561" spans="1:17" x14ac:dyDescent="0.25">
      <c r="A1561" s="1" t="str">
        <f>_xlfn.XLOOKUP(D1561,'Novo relatório'!B:B,'Novo relatório'!C:C,"RESOLVIDO")</f>
        <v>SABRE</v>
      </c>
      <c r="C1561" t="str">
        <f t="shared" si="48"/>
        <v>PENDENTE</v>
      </c>
      <c r="D1561" s="1">
        <v>3382670</v>
      </c>
      <c r="E1561" s="1" t="s">
        <v>26</v>
      </c>
      <c r="F1561" s="2">
        <v>45771.760416666664</v>
      </c>
      <c r="G1561" s="1" t="s">
        <v>1951</v>
      </c>
      <c r="H1561" s="1" t="s">
        <v>1951</v>
      </c>
      <c r="I1561" s="1" t="s">
        <v>83</v>
      </c>
      <c r="J1561" s="2">
        <v>45771.84652777778</v>
      </c>
      <c r="L1561" s="1" t="s">
        <v>18</v>
      </c>
      <c r="M1561" s="1" t="str">
        <f>_xlfn.XLOOKUP(I1561,Parâmetros!A:A,Parâmetros!B:B,_xlfn.XLOOKUP(Q1561,Parâmetros!F:F,Parâmetros!G:G,"NOVA MENSAGEM"))</f>
        <v>CLIENTE NÃO IDENTIFICADO</v>
      </c>
      <c r="N1561" s="1" t="str">
        <f>_xlfn.XLOOKUP(M1561,Parâmetros!K:K,Parâmetros!L:L,"")</f>
        <v>DK DE CLIENTE NÃO PREENCIDO / CLIENTE NÃO CONFIGURADO NO OBT</v>
      </c>
      <c r="O1561" s="1" t="str">
        <f>_xlfn.XLOOKUP(M1561,Parâmetros!B:B,Parâmetros!C:C,_xlfn.XLOOKUP(Base!M1409,Parâmetros!G:G,Parâmetros!H:H))</f>
        <v>INDEFINIDO</v>
      </c>
      <c r="P1561" s="1" t="str">
        <f>_xlfn.XLOOKUP(I1561,Parâmetros!A:A,Parâmetros!D:D,_xlfn.XLOOKUP(Q1561,Parâmetros!F:F,Parâmetros!I:I))</f>
        <v>OPERAÇÕES / SUPORTE KCS</v>
      </c>
      <c r="Q1561" s="1" t="str">
        <f t="shared" si="49"/>
        <v>COLUNA I</v>
      </c>
    </row>
    <row r="1562" spans="1:17" x14ac:dyDescent="0.25">
      <c r="A1562" s="1" t="str">
        <f>_xlfn.XLOOKUP(D1562,'Novo relatório'!B:B,'Novo relatório'!C:C,"RESOLVIDO")</f>
        <v>SABRE</v>
      </c>
      <c r="C1562" t="str">
        <f t="shared" si="48"/>
        <v>PENDENTE</v>
      </c>
      <c r="D1562" s="1">
        <v>3383186</v>
      </c>
      <c r="E1562" s="1" t="s">
        <v>26</v>
      </c>
      <c r="F1562" s="2">
        <v>45775.477083333331</v>
      </c>
      <c r="G1562" s="1" t="s">
        <v>1932</v>
      </c>
      <c r="H1562" s="1" t="s">
        <v>1932</v>
      </c>
      <c r="I1562" s="1" t="s">
        <v>829</v>
      </c>
      <c r="J1562" s="2">
        <v>45772.481944444444</v>
      </c>
      <c r="K1562" s="2">
        <v>45775.56527777778</v>
      </c>
      <c r="L1562" s="1" t="s">
        <v>18</v>
      </c>
      <c r="M1562" s="1" t="str">
        <f>_xlfn.XLOOKUP(I1562,Parâmetros!A:A,Parâmetros!B:B,_xlfn.XLOOKUP(Q1562,Parâmetros!F:F,Parâmetros!G:G,"NOVA MENSAGEM"))</f>
        <v>REMARK - CNPJ</v>
      </c>
      <c r="N1562" s="1" t="str">
        <f>_xlfn.XLOOKUP(M1562,Parâmetros!K:K,Parâmetros!L:L,"")</f>
        <v/>
      </c>
      <c r="O1562" s="1" t="str">
        <f>_xlfn.XLOOKUP(M1562,Parâmetros!B:B,Parâmetros!C:C,_xlfn.XLOOKUP(Base!M1392,Parâmetros!G:G,Parâmetros!H:H))</f>
        <v>QUALIDADE DOS DADOS</v>
      </c>
      <c r="P1562" s="1" t="str">
        <f>_xlfn.XLOOKUP(I1562,Parâmetros!A:A,Parâmetros!D:D,_xlfn.XLOOKUP(Q1562,Parâmetros!F:F,Parâmetros!I:I))</f>
        <v>OPERAÇÕES / SUPORTE KCS</v>
      </c>
      <c r="Q1562" s="1">
        <f t="shared" si="49"/>
        <v>24</v>
      </c>
    </row>
    <row r="1563" spans="1:17" x14ac:dyDescent="0.25">
      <c r="A1563" s="1" t="str">
        <f>_xlfn.XLOOKUP(D1563,'Novo relatório'!B:B,'Novo relatório'!C:C,"RESOLVIDO")</f>
        <v>SABRE</v>
      </c>
      <c r="C1563" t="str">
        <f t="shared" si="48"/>
        <v>PENDENTE</v>
      </c>
      <c r="D1563" s="1">
        <v>3383192</v>
      </c>
      <c r="E1563" s="1" t="s">
        <v>26</v>
      </c>
      <c r="F1563" s="2">
        <v>45772.39166666667</v>
      </c>
      <c r="G1563" s="1" t="s">
        <v>2126</v>
      </c>
      <c r="H1563" s="1" t="s">
        <v>2126</v>
      </c>
      <c r="I1563" s="1" t="s">
        <v>746</v>
      </c>
      <c r="J1563" s="2">
        <v>45772.482638888891</v>
      </c>
      <c r="L1563" s="1" t="s">
        <v>18</v>
      </c>
      <c r="M1563" s="1" t="str">
        <f>_xlfn.XLOOKUP(I1563,Parâmetros!A:A,Parâmetros!B:B,_xlfn.XLOOKUP(Q1563,Parâmetros!F:F,Parâmetros!G:G,"NOVA MENSAGEM"))</f>
        <v>CÓD. CLIENTE DIVERGENTE</v>
      </c>
      <c r="N1563" s="1" t="str">
        <f>_xlfn.XLOOKUP(M1563,Parâmetros!K:K,Parâmetros!L:L,"")</f>
        <v>CÓDIGO DIFERENTE DO CADASTRADO NO BENNER (CLIENTE X GRUPO)</v>
      </c>
      <c r="O1563" s="1" t="str">
        <f>_xlfn.XLOOKUP(M1563,Parâmetros!B:B,Parâmetros!C:C,_xlfn.XLOOKUP(Base!M1556,Parâmetros!G:G,Parâmetros!H:H))</f>
        <v>QUALIDADE DOS DADOS</v>
      </c>
      <c r="P1563" s="1" t="str">
        <f>_xlfn.XLOOKUP(I1563,Parâmetros!A:A,Parâmetros!D:D,_xlfn.XLOOKUP(Q1563,Parâmetros!F:F,Parâmetros!I:I))</f>
        <v>SUPORTE OBT</v>
      </c>
      <c r="Q1563" s="1">
        <f t="shared" si="49"/>
        <v>1</v>
      </c>
    </row>
    <row r="1564" spans="1:17" x14ac:dyDescent="0.25">
      <c r="A1564" s="1" t="str">
        <f>_xlfn.XLOOKUP(D1564,'Novo relatório'!B:B,'Novo relatório'!C:C,"RESOLVIDO")</f>
        <v>SABRE</v>
      </c>
      <c r="C1564" t="str">
        <f t="shared" si="48"/>
        <v>PENDENTE</v>
      </c>
      <c r="D1564" s="1">
        <v>3383214</v>
      </c>
      <c r="E1564" s="1" t="s">
        <v>26</v>
      </c>
      <c r="F1564" s="2">
        <v>45772.39166666667</v>
      </c>
      <c r="G1564" s="1" t="s">
        <v>1966</v>
      </c>
      <c r="H1564" s="1" t="s">
        <v>1966</v>
      </c>
      <c r="I1564" s="1" t="s">
        <v>83</v>
      </c>
      <c r="J1564" s="2">
        <v>45772.48333333333</v>
      </c>
      <c r="L1564" s="1" t="s">
        <v>18</v>
      </c>
      <c r="M1564" s="1" t="str">
        <f>_xlfn.XLOOKUP(I1564,Parâmetros!A:A,Parâmetros!B:B,_xlfn.XLOOKUP(Q1564,Parâmetros!F:F,Parâmetros!G:G,"NOVA MENSAGEM"))</f>
        <v>CLIENTE NÃO IDENTIFICADO</v>
      </c>
      <c r="N1564" s="1" t="str">
        <f>_xlfn.XLOOKUP(M1564,Parâmetros!K:K,Parâmetros!L:L,"")</f>
        <v>DK DE CLIENTE NÃO PREENCIDO / CLIENTE NÃO CONFIGURADO NO OBT</v>
      </c>
      <c r="O1564" s="1" t="str">
        <f>_xlfn.XLOOKUP(M1564,Parâmetros!B:B,Parâmetros!C:C,_xlfn.XLOOKUP(Base!M1423,Parâmetros!G:G,Parâmetros!H:H))</f>
        <v>INDEFINIDO</v>
      </c>
      <c r="P1564" s="1" t="str">
        <f>_xlfn.XLOOKUP(I1564,Parâmetros!A:A,Parâmetros!D:D,_xlfn.XLOOKUP(Q1564,Parâmetros!F:F,Parâmetros!I:I))</f>
        <v>OPERAÇÕES / SUPORTE KCS</v>
      </c>
      <c r="Q1564" s="1" t="str">
        <f t="shared" si="49"/>
        <v>COLUNA I</v>
      </c>
    </row>
    <row r="1565" spans="1:17" x14ac:dyDescent="0.25">
      <c r="A1565" s="1" t="str">
        <f>_xlfn.XLOOKUP(D1565,'Novo relatório'!B:B,'Novo relatório'!C:C,"RESOLVIDO")</f>
        <v>SABRE</v>
      </c>
      <c r="C1565" t="str">
        <f t="shared" si="48"/>
        <v>PENDENTE</v>
      </c>
      <c r="D1565" s="1">
        <v>3383758</v>
      </c>
      <c r="E1565" s="1" t="s">
        <v>26</v>
      </c>
      <c r="F1565" s="2">
        <v>45772.506249999999</v>
      </c>
      <c r="G1565" s="1" t="s">
        <v>2038</v>
      </c>
      <c r="H1565" s="1" t="s">
        <v>2039</v>
      </c>
      <c r="I1565" s="1" t="s">
        <v>2040</v>
      </c>
      <c r="J1565" s="2">
        <v>45772.566666666666</v>
      </c>
      <c r="K1565" s="2">
        <v>45772.597916666666</v>
      </c>
      <c r="L1565" s="1" t="s">
        <v>19</v>
      </c>
      <c r="M1565" s="1" t="str">
        <f>_xlfn.XLOOKUP(I1565,Parâmetros!A:A,Parâmetros!B:B,_xlfn.XLOOKUP(Q1565,Parâmetros!F:F,Parâmetros!G:G,"NOVA MENSAGEM"))</f>
        <v>NOVA MENSAGEM</v>
      </c>
      <c r="N1565" s="1" t="str">
        <f>_xlfn.XLOOKUP(M1565,Parâmetros!K:K,Parâmetros!L:L,"")</f>
        <v/>
      </c>
      <c r="O1565" s="1" t="e">
        <f>_xlfn.XLOOKUP(M1565,Parâmetros!B:B,Parâmetros!C:C,_xlfn.XLOOKUP(Base!M1487,Parâmetros!G:G,Parâmetros!H:H))</f>
        <v>#N/A</v>
      </c>
      <c r="P1565" s="1" t="e">
        <f>_xlfn.XLOOKUP(I1565,Parâmetros!A:A,Parâmetros!D:D,_xlfn.XLOOKUP(Q1565,Parâmetros!F:F,Parâmetros!I:I))</f>
        <v>#N/A</v>
      </c>
      <c r="Q1565" s="1">
        <f t="shared" si="49"/>
        <v>79</v>
      </c>
    </row>
    <row r="1566" spans="1:17" x14ac:dyDescent="0.25">
      <c r="A1566" s="1" t="str">
        <f>_xlfn.XLOOKUP(D1566,'Novo relatório'!B:B,'Novo relatório'!C:C,"RESOLVIDO")</f>
        <v>SABRE</v>
      </c>
      <c r="C1566" t="str">
        <f t="shared" si="48"/>
        <v>PENDENTE</v>
      </c>
      <c r="D1566" s="1">
        <v>3383929</v>
      </c>
      <c r="E1566" s="1" t="s">
        <v>26</v>
      </c>
      <c r="F1566" s="2">
        <v>45772.496527777781</v>
      </c>
      <c r="G1566" s="1" t="s">
        <v>1999</v>
      </c>
      <c r="H1566" s="1" t="s">
        <v>2000</v>
      </c>
      <c r="I1566" s="1" t="s">
        <v>575</v>
      </c>
      <c r="J1566" s="2">
        <v>45772.584027777775</v>
      </c>
      <c r="L1566" s="1" t="s">
        <v>19</v>
      </c>
      <c r="M1566" s="1" t="str">
        <f>_xlfn.XLOOKUP(I1566,Parâmetros!A:A,Parâmetros!B:B,_xlfn.XLOOKUP(Q1566,Parâmetros!F:F,Parâmetros!G:G,"NOVA MENSAGEM"))</f>
        <v>CONTRATO FORNECEDOR</v>
      </c>
      <c r="N1566" s="1" t="str">
        <f>_xlfn.XLOOKUP(M1566,Parâmetros!K:K,Parâmetros!L:L,"")</f>
        <v>CONTRATO INATIVO OU DIVERGENTE</v>
      </c>
      <c r="O1566" s="1" t="str">
        <f>_xlfn.XLOOKUP(M1566,Parâmetros!B:B,Parâmetros!C:C,_xlfn.XLOOKUP(Base!M1453,Parâmetros!G:G,Parâmetros!H:H))</f>
        <v>SISTEMA</v>
      </c>
      <c r="P1566" s="1" t="str">
        <f>_xlfn.XLOOKUP(I1566,Parâmetros!A:A,Parâmetros!D:D,_xlfn.XLOOKUP(Q1566,Parâmetros!F:F,Parâmetros!I:I))</f>
        <v>OPERAÇÕES / SUPORTE KCS</v>
      </c>
      <c r="Q1566" s="1">
        <f t="shared" si="49"/>
        <v>56</v>
      </c>
    </row>
    <row r="1567" spans="1:17" x14ac:dyDescent="0.25">
      <c r="A1567" s="1" t="str">
        <f>_xlfn.XLOOKUP(D1567,'Novo relatório'!B:B,'Novo relatório'!C:C,"RESOLVIDO")</f>
        <v>SABRE</v>
      </c>
      <c r="C1567" t="str">
        <f t="shared" si="48"/>
        <v>PENDENTE</v>
      </c>
      <c r="D1567" s="1">
        <v>3384270</v>
      </c>
      <c r="E1567" s="1" t="s">
        <v>26</v>
      </c>
      <c r="F1567" s="2">
        <v>45772.586111111108</v>
      </c>
      <c r="G1567" s="1" t="s">
        <v>1964</v>
      </c>
      <c r="H1567" s="1" t="s">
        <v>1964</v>
      </c>
      <c r="I1567" s="1" t="s">
        <v>622</v>
      </c>
      <c r="J1567" s="2">
        <v>45772.672222222223</v>
      </c>
      <c r="L1567" s="1" t="s">
        <v>14</v>
      </c>
      <c r="M1567" s="1" t="str">
        <f>_xlfn.XLOOKUP(I1567,Parâmetros!A:A,Parâmetros!B:B,_xlfn.XLOOKUP(Q1567,Parâmetros!F:F,Parâmetros!G:G,"NOVA MENSAGEM"))</f>
        <v>ERRO DE SQL</v>
      </c>
      <c r="N1567" s="1" t="str">
        <f>_xlfn.XLOOKUP(M1567,Parâmetros!K:K,Parâmetros!L:L,"")</f>
        <v>ERRO NA IMPORTAÇÃO/MODIFICAÇÃO DAS INFOMAÇÕES</v>
      </c>
      <c r="O1567" s="1" t="str">
        <f>_xlfn.XLOOKUP(M1567,Parâmetros!B:B,Parâmetros!C:C,_xlfn.XLOOKUP(Base!M1421,Parâmetros!G:G,Parâmetros!H:H))</f>
        <v>SISTEMA</v>
      </c>
      <c r="P1567" s="1" t="str">
        <f>_xlfn.XLOOKUP(I1567,Parâmetros!A:A,Parâmetros!D:D,_xlfn.XLOOKUP(Q1567,Parâmetros!F:F,Parâmetros!I:I))</f>
        <v>SUPORTE BENNER</v>
      </c>
      <c r="Q1567" s="1" t="str">
        <f t="shared" si="49"/>
        <v>COLUNA I</v>
      </c>
    </row>
    <row r="1568" spans="1:17" x14ac:dyDescent="0.25">
      <c r="A1568" s="1" t="str">
        <f>_xlfn.XLOOKUP(D1568,'Novo relatório'!B:B,'Novo relatório'!C:C,"RESOLVIDO")</f>
        <v>SABRE</v>
      </c>
      <c r="C1568" t="str">
        <f t="shared" si="48"/>
        <v>PENDENTE</v>
      </c>
      <c r="D1568" s="1">
        <v>3384347</v>
      </c>
      <c r="E1568" s="1" t="s">
        <v>26</v>
      </c>
      <c r="F1568" s="2">
        <v>45772.604166666664</v>
      </c>
      <c r="G1568" s="1" t="s">
        <v>2056</v>
      </c>
      <c r="H1568" s="1" t="s">
        <v>2056</v>
      </c>
      <c r="I1568" s="1" t="s">
        <v>622</v>
      </c>
      <c r="J1568" s="2">
        <v>45772.692361111112</v>
      </c>
      <c r="L1568" s="1" t="s">
        <v>14</v>
      </c>
      <c r="M1568" s="1" t="str">
        <f>_xlfn.XLOOKUP(I1568,Parâmetros!A:A,Parâmetros!B:B,_xlfn.XLOOKUP(Q1568,Parâmetros!F:F,Parâmetros!G:G,"NOVA MENSAGEM"))</f>
        <v>ERRO DE SQL</v>
      </c>
      <c r="N1568" s="1" t="str">
        <f>_xlfn.XLOOKUP(M1568,Parâmetros!K:K,Parâmetros!L:L,"")</f>
        <v>ERRO NA IMPORTAÇÃO/MODIFICAÇÃO DAS INFOMAÇÕES</v>
      </c>
      <c r="O1568" s="1" t="str">
        <f>_xlfn.XLOOKUP(M1568,Parâmetros!B:B,Parâmetros!C:C,_xlfn.XLOOKUP(Base!M1500,Parâmetros!G:G,Parâmetros!H:H))</f>
        <v>SISTEMA</v>
      </c>
      <c r="P1568" s="1" t="str">
        <f>_xlfn.XLOOKUP(I1568,Parâmetros!A:A,Parâmetros!D:D,_xlfn.XLOOKUP(Q1568,Parâmetros!F:F,Parâmetros!I:I))</f>
        <v>SUPORTE BENNER</v>
      </c>
      <c r="Q1568" s="1" t="str">
        <f t="shared" si="49"/>
        <v>COLUNA I</v>
      </c>
    </row>
    <row r="1569" spans="1:17" x14ac:dyDescent="0.25">
      <c r="A1569" s="1" t="str">
        <f>_xlfn.XLOOKUP(D1569,'Novo relatório'!B:B,'Novo relatório'!C:C,"RESOLVIDO")</f>
        <v>SABRE</v>
      </c>
      <c r="C1569" t="str">
        <f t="shared" si="48"/>
        <v>PENDENTE</v>
      </c>
      <c r="D1569" s="1">
        <v>3384634</v>
      </c>
      <c r="E1569" s="1" t="s">
        <v>26</v>
      </c>
      <c r="F1569" s="2">
        <v>45772.667361111111</v>
      </c>
      <c r="G1569" s="1" t="s">
        <v>2098</v>
      </c>
      <c r="H1569" s="1" t="s">
        <v>2099</v>
      </c>
      <c r="I1569" s="1" t="s">
        <v>2100</v>
      </c>
      <c r="J1569" s="2">
        <v>45772.754861111112</v>
      </c>
      <c r="L1569" s="1" t="s">
        <v>19</v>
      </c>
      <c r="M1569" s="1" t="str">
        <f>_xlfn.XLOOKUP(I1569,Parâmetros!A:A,Parâmetros!B:B,_xlfn.XLOOKUP(Q1569,Parâmetros!F:F,Parâmetros!G:G,"NOVA MENSAGEM"))</f>
        <v>CONTRATO FORNECEDOR</v>
      </c>
      <c r="N1569" s="1" t="str">
        <f>_xlfn.XLOOKUP(M1569,Parâmetros!K:K,Parâmetros!L:L,"")</f>
        <v>CONTRATO INATIVO OU DIVERGENTE</v>
      </c>
      <c r="O1569" s="1" t="str">
        <f>_xlfn.XLOOKUP(M1569,Parâmetros!B:B,Parâmetros!C:C,_xlfn.XLOOKUP(Base!M1533,Parâmetros!G:G,Parâmetros!H:H))</f>
        <v>SISTEMA</v>
      </c>
      <c r="P1569" s="1" t="str">
        <f>_xlfn.XLOOKUP(I1569,Parâmetros!A:A,Parâmetros!D:D,_xlfn.XLOOKUP(Q1569,Parâmetros!F:F,Parâmetros!I:I))</f>
        <v>OPERAÇÕES / SUPORTE KCS</v>
      </c>
      <c r="Q1569" s="1">
        <f t="shared" si="49"/>
        <v>43</v>
      </c>
    </row>
    <row r="1570" spans="1:17" x14ac:dyDescent="0.25">
      <c r="A1570" s="1" t="str">
        <f>_xlfn.XLOOKUP(D1570,'Novo relatório'!B:B,'Novo relatório'!C:C,"RESOLVIDO")</f>
        <v>TMS</v>
      </c>
      <c r="C1570" t="str">
        <f t="shared" si="48"/>
        <v>PENDENTE</v>
      </c>
      <c r="D1570" s="1">
        <v>3385309</v>
      </c>
      <c r="E1570" s="1" t="s">
        <v>12</v>
      </c>
      <c r="F1570" s="2">
        <v>45772.556250000001</v>
      </c>
      <c r="G1570" s="1">
        <v>20920</v>
      </c>
      <c r="H1570" s="1">
        <v>20920</v>
      </c>
      <c r="I1570" s="1" t="s">
        <v>16</v>
      </c>
      <c r="J1570" s="2">
        <v>45772.813194444447</v>
      </c>
      <c r="K1570" s="2">
        <v>45775.6</v>
      </c>
      <c r="L1570" s="1" t="s">
        <v>14</v>
      </c>
      <c r="M1570" s="1" t="str">
        <f>_xlfn.XLOOKUP(I1570,Parâmetros!A:A,Parâmetros!B:B,_xlfn.XLOOKUP(Q1570,Parâmetros!F:F,Parâmetros!G:G,"NOVA MENSAGEM"))</f>
        <v>ASSENTO / BAGAGEM</v>
      </c>
      <c r="N1570" s="1" t="str">
        <f>_xlfn.XLOOKUP(M1570,Parâmetros!K:K,Parâmetros!L:L,"")</f>
        <v>CAMPO OBSERVAÇÃO PREENCHIDO INCORRETAMENTE</v>
      </c>
      <c r="O1570" s="1" t="str">
        <f>_xlfn.XLOOKUP(M1570,Parâmetros!B:B,Parâmetros!C:C,_xlfn.XLOOKUP(Base!M1577,Parâmetros!G:G,Parâmetros!H:H))</f>
        <v>QUALIDADE DOS DADOS</v>
      </c>
      <c r="P1570" s="1" t="str">
        <f>_xlfn.XLOOKUP(I1570,Parâmetros!A:A,Parâmetros!D:D,_xlfn.XLOOKUP(Q1570,Parâmetros!F:F,Parâmetros!I:I))</f>
        <v>OPERAÇÕES / SUPORTE KCS</v>
      </c>
      <c r="Q1570" s="1">
        <f t="shared" si="49"/>
        <v>118</v>
      </c>
    </row>
    <row r="1571" spans="1:17" x14ac:dyDescent="0.25">
      <c r="A1571" s="1" t="str">
        <f>_xlfn.XLOOKUP(D1571,'Novo relatório'!B:B,'Novo relatório'!C:C,"RESOLVIDO")</f>
        <v>SABRE</v>
      </c>
      <c r="C1571" t="str">
        <f t="shared" si="48"/>
        <v>PENDENTE</v>
      </c>
      <c r="D1571" s="1">
        <v>3385370</v>
      </c>
      <c r="E1571" s="1" t="s">
        <v>26</v>
      </c>
      <c r="F1571" s="2">
        <v>45772.72152777778</v>
      </c>
      <c r="G1571" s="1" t="s">
        <v>1975</v>
      </c>
      <c r="H1571" s="1" t="s">
        <v>1975</v>
      </c>
      <c r="I1571" s="1" t="s">
        <v>83</v>
      </c>
      <c r="J1571" s="2">
        <v>45772.816666666666</v>
      </c>
      <c r="L1571" s="1" t="s">
        <v>18</v>
      </c>
      <c r="M1571" s="1" t="str">
        <f>_xlfn.XLOOKUP(I1571,Parâmetros!A:A,Parâmetros!B:B,_xlfn.XLOOKUP(Q1571,Parâmetros!F:F,Parâmetros!G:G,"NOVA MENSAGEM"))</f>
        <v>CLIENTE NÃO IDENTIFICADO</v>
      </c>
      <c r="N1571" s="1" t="str">
        <f>_xlfn.XLOOKUP(M1571,Parâmetros!K:K,Parâmetros!L:L,"")</f>
        <v>DK DE CLIENTE NÃO PREENCIDO / CLIENTE NÃO CONFIGURADO NO OBT</v>
      </c>
      <c r="O1571" s="1" t="str">
        <f>_xlfn.XLOOKUP(M1571,Parâmetros!B:B,Parâmetros!C:C,_xlfn.XLOOKUP(Base!M1431,Parâmetros!G:G,Parâmetros!H:H))</f>
        <v>INDEFINIDO</v>
      </c>
      <c r="P1571" s="1" t="str">
        <f>_xlfn.XLOOKUP(I1571,Parâmetros!A:A,Parâmetros!D:D,_xlfn.XLOOKUP(Q1571,Parâmetros!F:F,Parâmetros!I:I))</f>
        <v>OPERAÇÕES / SUPORTE KCS</v>
      </c>
      <c r="Q1571" s="1" t="str">
        <f t="shared" si="49"/>
        <v>COLUNA I</v>
      </c>
    </row>
    <row r="1572" spans="1:17" x14ac:dyDescent="0.25">
      <c r="A1572" s="1" t="str">
        <f>_xlfn.XLOOKUP(D1572,'Novo relatório'!B:B,'Novo relatório'!C:C,"RESOLVIDO")</f>
        <v>SABRE</v>
      </c>
      <c r="C1572" t="str">
        <f t="shared" si="48"/>
        <v>PENDENTE</v>
      </c>
      <c r="D1572" s="1">
        <v>3385371</v>
      </c>
      <c r="E1572" s="1" t="s">
        <v>26</v>
      </c>
      <c r="F1572" s="2">
        <v>45772.72152777778</v>
      </c>
      <c r="G1572" s="1" t="s">
        <v>2093</v>
      </c>
      <c r="H1572" s="1" t="s">
        <v>2093</v>
      </c>
      <c r="I1572" s="1" t="s">
        <v>83</v>
      </c>
      <c r="J1572" s="2">
        <v>45772.816666666666</v>
      </c>
      <c r="L1572" s="1" t="s">
        <v>18</v>
      </c>
      <c r="M1572" s="1" t="str">
        <f>_xlfn.XLOOKUP(I1572,Parâmetros!A:A,Parâmetros!B:B,_xlfn.XLOOKUP(Q1572,Parâmetros!F:F,Parâmetros!G:G,"NOVA MENSAGEM"))</f>
        <v>CLIENTE NÃO IDENTIFICADO</v>
      </c>
      <c r="N1572" s="1" t="str">
        <f>_xlfn.XLOOKUP(M1572,Parâmetros!K:K,Parâmetros!L:L,"")</f>
        <v>DK DE CLIENTE NÃO PREENCIDO / CLIENTE NÃO CONFIGURADO NO OBT</v>
      </c>
      <c r="O1572" s="1" t="str">
        <f>_xlfn.XLOOKUP(M1572,Parâmetros!B:B,Parâmetros!C:C,_xlfn.XLOOKUP(Base!M1528,Parâmetros!G:G,Parâmetros!H:H))</f>
        <v>INDEFINIDO</v>
      </c>
      <c r="P1572" s="1" t="str">
        <f>_xlfn.XLOOKUP(I1572,Parâmetros!A:A,Parâmetros!D:D,_xlfn.XLOOKUP(Q1572,Parâmetros!F:F,Parâmetros!I:I))</f>
        <v>OPERAÇÕES / SUPORTE KCS</v>
      </c>
      <c r="Q1572" s="1" t="str">
        <f t="shared" si="49"/>
        <v>COLUNA I</v>
      </c>
    </row>
    <row r="1573" spans="1:17" x14ac:dyDescent="0.25">
      <c r="A1573" s="1" t="str">
        <f>_xlfn.XLOOKUP(D1573,'Novo relatório'!B:B,'Novo relatório'!C:C,"RESOLVIDO")</f>
        <v>SABRE</v>
      </c>
      <c r="C1573" t="str">
        <f t="shared" si="48"/>
        <v>PENDENTE</v>
      </c>
      <c r="D1573" s="1">
        <v>3385372</v>
      </c>
      <c r="E1573" s="1" t="s">
        <v>26</v>
      </c>
      <c r="F1573" s="2">
        <v>45772.72152777778</v>
      </c>
      <c r="G1573" s="1" t="s">
        <v>2063</v>
      </c>
      <c r="H1573" s="1" t="s">
        <v>2063</v>
      </c>
      <c r="I1573" s="1" t="s">
        <v>83</v>
      </c>
      <c r="J1573" s="2">
        <v>45772.816666666666</v>
      </c>
      <c r="L1573" s="1" t="s">
        <v>18</v>
      </c>
      <c r="M1573" s="1" t="str">
        <f>_xlfn.XLOOKUP(I1573,Parâmetros!A:A,Parâmetros!B:B,_xlfn.XLOOKUP(Q1573,Parâmetros!F:F,Parâmetros!G:G,"NOVA MENSAGEM"))</f>
        <v>CLIENTE NÃO IDENTIFICADO</v>
      </c>
      <c r="N1573" s="1" t="str">
        <f>_xlfn.XLOOKUP(M1573,Parâmetros!K:K,Parâmetros!L:L,"")</f>
        <v>DK DE CLIENTE NÃO PREENCIDO / CLIENTE NÃO CONFIGURADO NO OBT</v>
      </c>
      <c r="O1573" s="1" t="str">
        <f>_xlfn.XLOOKUP(M1573,Parâmetros!B:B,Parâmetros!C:C,_xlfn.XLOOKUP(Base!M1507,Parâmetros!G:G,Parâmetros!H:H))</f>
        <v>INDEFINIDO</v>
      </c>
      <c r="P1573" s="1" t="str">
        <f>_xlfn.XLOOKUP(I1573,Parâmetros!A:A,Parâmetros!D:D,_xlfn.XLOOKUP(Q1573,Parâmetros!F:F,Parâmetros!I:I))</f>
        <v>OPERAÇÕES / SUPORTE KCS</v>
      </c>
      <c r="Q1573" s="1" t="str">
        <f t="shared" si="49"/>
        <v>COLUNA I</v>
      </c>
    </row>
    <row r="1574" spans="1:17" x14ac:dyDescent="0.25">
      <c r="A1574" s="1" t="str">
        <f>_xlfn.XLOOKUP(D1574,'Novo relatório'!B:B,'Novo relatório'!C:C,"RESOLVIDO")</f>
        <v>SABRE</v>
      </c>
      <c r="C1574" t="str">
        <f t="shared" si="48"/>
        <v>PENDENTE</v>
      </c>
      <c r="D1574" s="1">
        <v>3385373</v>
      </c>
      <c r="E1574" s="1" t="s">
        <v>26</v>
      </c>
      <c r="F1574" s="2">
        <v>45772.72152777778</v>
      </c>
      <c r="G1574" s="1" t="s">
        <v>2045</v>
      </c>
      <c r="H1574" s="1" t="s">
        <v>2045</v>
      </c>
      <c r="I1574" s="1" t="s">
        <v>83</v>
      </c>
      <c r="J1574" s="2">
        <v>45772.816666666666</v>
      </c>
      <c r="L1574" s="1" t="s">
        <v>18</v>
      </c>
      <c r="M1574" s="1" t="str">
        <f>_xlfn.XLOOKUP(I1574,Parâmetros!A:A,Parâmetros!B:B,_xlfn.XLOOKUP(Q1574,Parâmetros!F:F,Parâmetros!G:G,"NOVA MENSAGEM"))</f>
        <v>CLIENTE NÃO IDENTIFICADO</v>
      </c>
      <c r="N1574" s="1" t="str">
        <f>_xlfn.XLOOKUP(M1574,Parâmetros!K:K,Parâmetros!L:L,"")</f>
        <v>DK DE CLIENTE NÃO PREENCIDO / CLIENTE NÃO CONFIGURADO NO OBT</v>
      </c>
      <c r="O1574" s="1" t="str">
        <f>_xlfn.XLOOKUP(M1574,Parâmetros!B:B,Parâmetros!C:C,_xlfn.XLOOKUP(Base!M1492,Parâmetros!G:G,Parâmetros!H:H))</f>
        <v>INDEFINIDO</v>
      </c>
      <c r="P1574" s="1" t="str">
        <f>_xlfn.XLOOKUP(I1574,Parâmetros!A:A,Parâmetros!D:D,_xlfn.XLOOKUP(Q1574,Parâmetros!F:F,Parâmetros!I:I))</f>
        <v>OPERAÇÕES / SUPORTE KCS</v>
      </c>
      <c r="Q1574" s="1" t="str">
        <f t="shared" si="49"/>
        <v>COLUNA I</v>
      </c>
    </row>
    <row r="1575" spans="1:17" x14ac:dyDescent="0.25">
      <c r="A1575" s="1" t="str">
        <f>_xlfn.XLOOKUP(D1575,'Novo relatório'!B:B,'Novo relatório'!C:C,"RESOLVIDO")</f>
        <v>SABRE</v>
      </c>
      <c r="C1575" t="str">
        <f t="shared" si="48"/>
        <v>PENDENTE</v>
      </c>
      <c r="D1575" s="1">
        <v>3385379</v>
      </c>
      <c r="E1575" s="1" t="s">
        <v>26</v>
      </c>
      <c r="F1575" s="2">
        <v>45772.72152777778</v>
      </c>
      <c r="G1575" s="1" t="s">
        <v>2095</v>
      </c>
      <c r="H1575" s="1" t="s">
        <v>2095</v>
      </c>
      <c r="I1575" s="1" t="s">
        <v>396</v>
      </c>
      <c r="J1575" s="2">
        <v>45772.817361111112</v>
      </c>
      <c r="L1575" s="1" t="s">
        <v>18</v>
      </c>
      <c r="M1575" s="1" t="str">
        <f>_xlfn.XLOOKUP(I1575,Parâmetros!A:A,Parâmetros!B:B,_xlfn.XLOOKUP(Q1575,Parâmetros!F:F,Parâmetros!G:G,"NOVA MENSAGEM"))</f>
        <v>CÓD. CLIENTE DIVERGENTE</v>
      </c>
      <c r="N1575" s="1" t="str">
        <f>_xlfn.XLOOKUP(M1575,Parâmetros!K:K,Parâmetros!L:L,"")</f>
        <v>CÓDIGO DIFERENTE DO CADASTRADO NO BENNER (CLIENTE X GRUPO)</v>
      </c>
      <c r="O1575" s="1" t="str">
        <f>_xlfn.XLOOKUP(M1575,Parâmetros!B:B,Parâmetros!C:C,_xlfn.XLOOKUP(Base!M1530,Parâmetros!G:G,Parâmetros!H:H))</f>
        <v>QUALIDADE DOS DADOS</v>
      </c>
      <c r="P1575" s="1" t="str">
        <f>_xlfn.XLOOKUP(I1575,Parâmetros!A:A,Parâmetros!D:D,_xlfn.XLOOKUP(Q1575,Parâmetros!F:F,Parâmetros!I:I))</f>
        <v>SUPORTE OBT</v>
      </c>
      <c r="Q1575" s="1">
        <f t="shared" si="49"/>
        <v>1</v>
      </c>
    </row>
    <row r="1576" spans="1:17" x14ac:dyDescent="0.25">
      <c r="A1576" s="1" t="str">
        <f>_xlfn.XLOOKUP(D1576,'Novo relatório'!B:B,'Novo relatório'!C:C,"RESOLVIDO")</f>
        <v>SABRE</v>
      </c>
      <c r="C1576" t="str">
        <f t="shared" si="48"/>
        <v>PENDENTE</v>
      </c>
      <c r="D1576" s="1">
        <v>3385381</v>
      </c>
      <c r="E1576" s="1" t="s">
        <v>26</v>
      </c>
      <c r="F1576" s="2">
        <v>45772.72152777778</v>
      </c>
      <c r="G1576" s="1" t="s">
        <v>1963</v>
      </c>
      <c r="H1576" s="1" t="s">
        <v>1963</v>
      </c>
      <c r="I1576" s="1" t="s">
        <v>396</v>
      </c>
      <c r="J1576" s="2">
        <v>45772.817361111112</v>
      </c>
      <c r="L1576" s="1" t="s">
        <v>18</v>
      </c>
      <c r="M1576" s="1" t="str">
        <f>_xlfn.XLOOKUP(I1576,Parâmetros!A:A,Parâmetros!B:B,_xlfn.XLOOKUP(Q1576,Parâmetros!F:F,Parâmetros!G:G,"NOVA MENSAGEM"))</f>
        <v>CÓD. CLIENTE DIVERGENTE</v>
      </c>
      <c r="N1576" s="1" t="str">
        <f>_xlfn.XLOOKUP(M1576,Parâmetros!K:K,Parâmetros!L:L,"")</f>
        <v>CÓDIGO DIFERENTE DO CADASTRADO NO BENNER (CLIENTE X GRUPO)</v>
      </c>
      <c r="O1576" s="1" t="str">
        <f>_xlfn.XLOOKUP(M1576,Parâmetros!B:B,Parâmetros!C:C,_xlfn.XLOOKUP(Base!M1420,Parâmetros!G:G,Parâmetros!H:H))</f>
        <v>QUALIDADE DOS DADOS</v>
      </c>
      <c r="P1576" s="1" t="str">
        <f>_xlfn.XLOOKUP(I1576,Parâmetros!A:A,Parâmetros!D:D,_xlfn.XLOOKUP(Q1576,Parâmetros!F:F,Parâmetros!I:I))</f>
        <v>SUPORTE OBT</v>
      </c>
      <c r="Q1576" s="1">
        <f t="shared" si="49"/>
        <v>1</v>
      </c>
    </row>
    <row r="1577" spans="1:17" x14ac:dyDescent="0.25">
      <c r="A1577" s="1" t="str">
        <f>_xlfn.XLOOKUP(D1577,'Novo relatório'!B:B,'Novo relatório'!C:C,"RESOLVIDO")</f>
        <v>SABRE</v>
      </c>
      <c r="C1577" t="str">
        <f t="shared" si="48"/>
        <v>PENDENTE</v>
      </c>
      <c r="D1577" s="1">
        <v>3385390</v>
      </c>
      <c r="E1577" s="1" t="s">
        <v>26</v>
      </c>
      <c r="F1577" s="2">
        <v>45772.72152777778</v>
      </c>
      <c r="G1577" s="1" t="s">
        <v>2082</v>
      </c>
      <c r="H1577" s="1" t="s">
        <v>2082</v>
      </c>
      <c r="I1577" s="1" t="s">
        <v>620</v>
      </c>
      <c r="J1577" s="2">
        <v>45772.817361111112</v>
      </c>
      <c r="L1577" s="1" t="s">
        <v>18</v>
      </c>
      <c r="M1577" s="1" t="str">
        <f>_xlfn.XLOOKUP(I1577,Parâmetros!A:A,Parâmetros!B:B,_xlfn.XLOOKUP(Q1577,Parâmetros!F:F,Parâmetros!G:G,"NOVA MENSAGEM"))</f>
        <v>CÓD. CLIENTE DIVERGENTE</v>
      </c>
      <c r="N1577" s="1" t="str">
        <f>_xlfn.XLOOKUP(M1577,Parâmetros!K:K,Parâmetros!L:L,"")</f>
        <v>CÓDIGO DIFERENTE DO CADASTRADO NO BENNER (CLIENTE X GRUPO)</v>
      </c>
      <c r="O1577" s="1" t="str">
        <f>_xlfn.XLOOKUP(M1577,Parâmetros!B:B,Parâmetros!C:C,_xlfn.XLOOKUP(Base!M1520,Parâmetros!G:G,Parâmetros!H:H))</f>
        <v>QUALIDADE DOS DADOS</v>
      </c>
      <c r="P1577" s="1" t="str">
        <f>_xlfn.XLOOKUP(I1577,Parâmetros!A:A,Parâmetros!D:D,_xlfn.XLOOKUP(Q1577,Parâmetros!F:F,Parâmetros!I:I))</f>
        <v>SUPORTE OBT</v>
      </c>
      <c r="Q1577" s="1">
        <f t="shared" si="49"/>
        <v>1</v>
      </c>
    </row>
    <row r="1578" spans="1:17" x14ac:dyDescent="0.25">
      <c r="A1578" s="1" t="str">
        <f>_xlfn.XLOOKUP(D1578,'Novo relatório'!B:B,'Novo relatório'!C:C,"RESOLVIDO")</f>
        <v>SABRE</v>
      </c>
      <c r="C1578" t="str">
        <f t="shared" si="48"/>
        <v>PENDENTE</v>
      </c>
      <c r="D1578" s="1">
        <v>3385393</v>
      </c>
      <c r="E1578" s="1" t="s">
        <v>26</v>
      </c>
      <c r="F1578" s="2">
        <v>45772.72152777778</v>
      </c>
      <c r="G1578" s="1" t="s">
        <v>1953</v>
      </c>
      <c r="H1578" s="1" t="s">
        <v>1953</v>
      </c>
      <c r="I1578" s="1" t="s">
        <v>620</v>
      </c>
      <c r="J1578" s="2">
        <v>45772.818055555559</v>
      </c>
      <c r="L1578" s="1" t="s">
        <v>18</v>
      </c>
      <c r="M1578" s="1" t="str">
        <f>_xlfn.XLOOKUP(I1578,Parâmetros!A:A,Parâmetros!B:B,_xlfn.XLOOKUP(Q1578,Parâmetros!F:F,Parâmetros!G:G,"NOVA MENSAGEM"))</f>
        <v>CÓD. CLIENTE DIVERGENTE</v>
      </c>
      <c r="N1578" s="1" t="str">
        <f>_xlfn.XLOOKUP(M1578,Parâmetros!K:K,Parâmetros!L:L,"")</f>
        <v>CÓDIGO DIFERENTE DO CADASTRADO NO BENNER (CLIENTE X GRUPO)</v>
      </c>
      <c r="O1578" s="1" t="str">
        <f>_xlfn.XLOOKUP(M1578,Parâmetros!B:B,Parâmetros!C:C,_xlfn.XLOOKUP(Base!M1411,Parâmetros!G:G,Parâmetros!H:H))</f>
        <v>QUALIDADE DOS DADOS</v>
      </c>
      <c r="P1578" s="1" t="str">
        <f>_xlfn.XLOOKUP(I1578,Parâmetros!A:A,Parâmetros!D:D,_xlfn.XLOOKUP(Q1578,Parâmetros!F:F,Parâmetros!I:I))</f>
        <v>SUPORTE OBT</v>
      </c>
      <c r="Q1578" s="1">
        <f t="shared" si="49"/>
        <v>1</v>
      </c>
    </row>
    <row r="1579" spans="1:17" x14ac:dyDescent="0.25">
      <c r="A1579" s="1" t="str">
        <f>_xlfn.XLOOKUP(D1579,'Novo relatório'!B:B,'Novo relatório'!C:C,"RESOLVIDO")</f>
        <v>SABRE</v>
      </c>
      <c r="C1579" t="str">
        <f t="shared" si="48"/>
        <v>PENDENTE</v>
      </c>
      <c r="D1579" s="1">
        <v>3385400</v>
      </c>
      <c r="E1579" s="1" t="s">
        <v>26</v>
      </c>
      <c r="F1579" s="2">
        <v>45772.72152777778</v>
      </c>
      <c r="G1579" s="1" t="s">
        <v>2055</v>
      </c>
      <c r="H1579" s="1" t="s">
        <v>2055</v>
      </c>
      <c r="I1579" s="1" t="s">
        <v>652</v>
      </c>
      <c r="J1579" s="2">
        <v>45772.818055555559</v>
      </c>
      <c r="L1579" s="1" t="s">
        <v>18</v>
      </c>
      <c r="M1579" s="1" t="str">
        <f>_xlfn.XLOOKUP(I1579,Parâmetros!A:A,Parâmetros!B:B,_xlfn.XLOOKUP(Q1579,Parâmetros!F:F,Parâmetros!G:G,"NOVA MENSAGEM"))</f>
        <v>CÓD. CLIENTE DIVERGENTE</v>
      </c>
      <c r="N1579" s="1" t="str">
        <f>_xlfn.XLOOKUP(M1579,Parâmetros!K:K,Parâmetros!L:L,"")</f>
        <v>CÓDIGO DIFERENTE DO CADASTRADO NO BENNER (CLIENTE X GRUPO)</v>
      </c>
      <c r="O1579" s="1" t="str">
        <f>_xlfn.XLOOKUP(M1579,Parâmetros!B:B,Parâmetros!C:C,_xlfn.XLOOKUP(Base!M1499,Parâmetros!G:G,Parâmetros!H:H))</f>
        <v>QUALIDADE DOS DADOS</v>
      </c>
      <c r="P1579" s="1" t="str">
        <f>_xlfn.XLOOKUP(I1579,Parâmetros!A:A,Parâmetros!D:D,_xlfn.XLOOKUP(Q1579,Parâmetros!F:F,Parâmetros!I:I))</f>
        <v>SUPORTE OBT</v>
      </c>
      <c r="Q1579" s="1">
        <f t="shared" si="49"/>
        <v>1</v>
      </c>
    </row>
    <row r="1580" spans="1:17" x14ac:dyDescent="0.25">
      <c r="A1580" s="1" t="str">
        <f>_xlfn.XLOOKUP(D1580,'Novo relatório'!B:B,'Novo relatório'!C:C,"RESOLVIDO")</f>
        <v>SABRE</v>
      </c>
      <c r="C1580" t="str">
        <f t="shared" si="48"/>
        <v>PENDENTE</v>
      </c>
      <c r="D1580" s="1">
        <v>3385401</v>
      </c>
      <c r="E1580" s="1" t="s">
        <v>26</v>
      </c>
      <c r="F1580" s="2">
        <v>45772.72152777778</v>
      </c>
      <c r="G1580" s="1" t="s">
        <v>2097</v>
      </c>
      <c r="H1580" s="1" t="s">
        <v>2097</v>
      </c>
      <c r="I1580" s="1" t="s">
        <v>83</v>
      </c>
      <c r="J1580" s="2">
        <v>45772.818055555559</v>
      </c>
      <c r="L1580" s="1" t="s">
        <v>18</v>
      </c>
      <c r="M1580" s="1" t="str">
        <f>_xlfn.XLOOKUP(I1580,Parâmetros!A:A,Parâmetros!B:B,_xlfn.XLOOKUP(Q1580,Parâmetros!F:F,Parâmetros!G:G,"NOVA MENSAGEM"))</f>
        <v>CLIENTE NÃO IDENTIFICADO</v>
      </c>
      <c r="N1580" s="1" t="str">
        <f>_xlfn.XLOOKUP(M1580,Parâmetros!K:K,Parâmetros!L:L,"")</f>
        <v>DK DE CLIENTE NÃO PREENCIDO / CLIENTE NÃO CONFIGURADO NO OBT</v>
      </c>
      <c r="O1580" s="1" t="str">
        <f>_xlfn.XLOOKUP(M1580,Parâmetros!B:B,Parâmetros!C:C,_xlfn.XLOOKUP(Base!M1532,Parâmetros!G:G,Parâmetros!H:H))</f>
        <v>INDEFINIDO</v>
      </c>
      <c r="P1580" s="1" t="str">
        <f>_xlfn.XLOOKUP(I1580,Parâmetros!A:A,Parâmetros!D:D,_xlfn.XLOOKUP(Q1580,Parâmetros!F:F,Parâmetros!I:I))</f>
        <v>OPERAÇÕES / SUPORTE KCS</v>
      </c>
      <c r="Q1580" s="1" t="str">
        <f t="shared" si="49"/>
        <v>COLUNA I</v>
      </c>
    </row>
    <row r="1581" spans="1:17" x14ac:dyDescent="0.25">
      <c r="A1581" s="1" t="str">
        <f>_xlfn.XLOOKUP(D1581,'Novo relatório'!B:B,'Novo relatório'!C:C,"RESOLVIDO")</f>
        <v>SABRE</v>
      </c>
      <c r="C1581" t="str">
        <f t="shared" si="48"/>
        <v>PENDENTE</v>
      </c>
      <c r="D1581" s="1">
        <v>3385403</v>
      </c>
      <c r="E1581" s="1" t="s">
        <v>26</v>
      </c>
      <c r="F1581" s="2">
        <v>45772.72152777778</v>
      </c>
      <c r="G1581" s="1" t="s">
        <v>2112</v>
      </c>
      <c r="H1581" s="1" t="s">
        <v>2112</v>
      </c>
      <c r="I1581" s="1" t="s">
        <v>83</v>
      </c>
      <c r="J1581" s="2">
        <v>45772.818055555559</v>
      </c>
      <c r="L1581" s="1" t="s">
        <v>18</v>
      </c>
      <c r="M1581" s="1" t="str">
        <f>_xlfn.XLOOKUP(I1581,Parâmetros!A:A,Parâmetros!B:B,_xlfn.XLOOKUP(Q1581,Parâmetros!F:F,Parâmetros!G:G,"NOVA MENSAGEM"))</f>
        <v>CLIENTE NÃO IDENTIFICADO</v>
      </c>
      <c r="N1581" s="1" t="str">
        <f>_xlfn.XLOOKUP(M1581,Parâmetros!K:K,Parâmetros!L:L,"")</f>
        <v>DK DE CLIENTE NÃO PREENCIDO / CLIENTE NÃO CONFIGURADO NO OBT</v>
      </c>
      <c r="O1581" s="1" t="str">
        <f>_xlfn.XLOOKUP(M1581,Parâmetros!B:B,Parâmetros!C:C,_xlfn.XLOOKUP(Base!M1544,Parâmetros!G:G,Parâmetros!H:H))</f>
        <v>INDEFINIDO</v>
      </c>
      <c r="P1581" s="1" t="str">
        <f>_xlfn.XLOOKUP(I1581,Parâmetros!A:A,Parâmetros!D:D,_xlfn.XLOOKUP(Q1581,Parâmetros!F:F,Parâmetros!I:I))</f>
        <v>OPERAÇÕES / SUPORTE KCS</v>
      </c>
      <c r="Q1581" s="1" t="str">
        <f t="shared" si="49"/>
        <v>COLUNA I</v>
      </c>
    </row>
    <row r="1582" spans="1:17" x14ac:dyDescent="0.25">
      <c r="A1582" s="1" t="str">
        <f>_xlfn.XLOOKUP(D1582,'Novo relatório'!B:B,'Novo relatório'!C:C,"RESOLVIDO")</f>
        <v>SABRE</v>
      </c>
      <c r="C1582" t="str">
        <f t="shared" si="48"/>
        <v>PENDENTE</v>
      </c>
      <c r="D1582" s="1">
        <v>3385405</v>
      </c>
      <c r="E1582" s="1" t="s">
        <v>26</v>
      </c>
      <c r="F1582" s="2">
        <v>45772.72152777778</v>
      </c>
      <c r="G1582" s="1" t="s">
        <v>1976</v>
      </c>
      <c r="H1582" s="1" t="s">
        <v>1976</v>
      </c>
      <c r="I1582" s="1" t="s">
        <v>83</v>
      </c>
      <c r="J1582" s="2">
        <v>45772.818055555559</v>
      </c>
      <c r="L1582" s="1" t="s">
        <v>18</v>
      </c>
      <c r="M1582" s="1" t="str">
        <f>_xlfn.XLOOKUP(I1582,Parâmetros!A:A,Parâmetros!B:B,_xlfn.XLOOKUP(Q1582,Parâmetros!F:F,Parâmetros!G:G,"NOVA MENSAGEM"))</f>
        <v>CLIENTE NÃO IDENTIFICADO</v>
      </c>
      <c r="N1582" s="1" t="str">
        <f>_xlfn.XLOOKUP(M1582,Parâmetros!K:K,Parâmetros!L:L,"")</f>
        <v>DK DE CLIENTE NÃO PREENCIDO / CLIENTE NÃO CONFIGURADO NO OBT</v>
      </c>
      <c r="O1582" s="1" t="str">
        <f>_xlfn.XLOOKUP(M1582,Parâmetros!B:B,Parâmetros!C:C,_xlfn.XLOOKUP(Base!M1432,Parâmetros!G:G,Parâmetros!H:H))</f>
        <v>INDEFINIDO</v>
      </c>
      <c r="P1582" s="1" t="str">
        <f>_xlfn.XLOOKUP(I1582,Parâmetros!A:A,Parâmetros!D:D,_xlfn.XLOOKUP(Q1582,Parâmetros!F:F,Parâmetros!I:I))</f>
        <v>OPERAÇÕES / SUPORTE KCS</v>
      </c>
      <c r="Q1582" s="1" t="str">
        <f t="shared" si="49"/>
        <v>COLUNA I</v>
      </c>
    </row>
    <row r="1583" spans="1:17" x14ac:dyDescent="0.25">
      <c r="A1583" s="1" t="str">
        <f>_xlfn.XLOOKUP(D1583,'Novo relatório'!B:B,'Novo relatório'!C:C,"RESOLVIDO")</f>
        <v>SABRE</v>
      </c>
      <c r="C1583" t="str">
        <f t="shared" si="48"/>
        <v>PENDENTE</v>
      </c>
      <c r="D1583" s="1">
        <v>3385413</v>
      </c>
      <c r="E1583" s="1" t="s">
        <v>26</v>
      </c>
      <c r="F1583" s="2">
        <v>45772.72152777778</v>
      </c>
      <c r="G1583" s="1" t="s">
        <v>1997</v>
      </c>
      <c r="H1583" s="1" t="s">
        <v>1997</v>
      </c>
      <c r="I1583" s="1" t="s">
        <v>83</v>
      </c>
      <c r="J1583" s="2">
        <v>45772.818749999999</v>
      </c>
      <c r="L1583" s="1" t="s">
        <v>18</v>
      </c>
      <c r="M1583" s="1" t="str">
        <f>_xlfn.XLOOKUP(I1583,Parâmetros!A:A,Parâmetros!B:B,_xlfn.XLOOKUP(Q1583,Parâmetros!F:F,Parâmetros!G:G,"NOVA MENSAGEM"))</f>
        <v>CLIENTE NÃO IDENTIFICADO</v>
      </c>
      <c r="N1583" s="1" t="str">
        <f>_xlfn.XLOOKUP(M1583,Parâmetros!K:K,Parâmetros!L:L,"")</f>
        <v>DK DE CLIENTE NÃO PREENCIDO / CLIENTE NÃO CONFIGURADO NO OBT</v>
      </c>
      <c r="O1583" s="1" t="str">
        <f>_xlfn.XLOOKUP(M1583,Parâmetros!B:B,Parâmetros!C:C,_xlfn.XLOOKUP(Base!M1451,Parâmetros!G:G,Parâmetros!H:H))</f>
        <v>INDEFINIDO</v>
      </c>
      <c r="P1583" s="1" t="str">
        <f>_xlfn.XLOOKUP(I1583,Parâmetros!A:A,Parâmetros!D:D,_xlfn.XLOOKUP(Q1583,Parâmetros!F:F,Parâmetros!I:I))</f>
        <v>OPERAÇÕES / SUPORTE KCS</v>
      </c>
      <c r="Q1583" s="1" t="str">
        <f t="shared" si="49"/>
        <v>COLUNA I</v>
      </c>
    </row>
    <row r="1584" spans="1:17" x14ac:dyDescent="0.25">
      <c r="A1584" s="1" t="str">
        <f>_xlfn.XLOOKUP(D1584,'Novo relatório'!B:B,'Novo relatório'!C:C,"RESOLVIDO")</f>
        <v>SABRE</v>
      </c>
      <c r="C1584" t="str">
        <f t="shared" si="48"/>
        <v>PENDENTE</v>
      </c>
      <c r="D1584" s="1">
        <v>3386729</v>
      </c>
      <c r="E1584" s="1" t="s">
        <v>26</v>
      </c>
      <c r="F1584" s="2">
        <v>45775.400694444441</v>
      </c>
      <c r="G1584" s="1" t="s">
        <v>1946</v>
      </c>
      <c r="H1584" s="1" t="s">
        <v>1946</v>
      </c>
      <c r="I1584" s="1" t="s">
        <v>746</v>
      </c>
      <c r="J1584" s="2">
        <v>45775.493055555555</v>
      </c>
      <c r="L1584" s="1" t="s">
        <v>18</v>
      </c>
      <c r="M1584" s="1" t="str">
        <f>_xlfn.XLOOKUP(I1584,Parâmetros!A:A,Parâmetros!B:B,_xlfn.XLOOKUP(Q1584,Parâmetros!F:F,Parâmetros!G:G,"NOVA MENSAGEM"))</f>
        <v>CÓD. CLIENTE DIVERGENTE</v>
      </c>
      <c r="N1584" s="1" t="str">
        <f>_xlfn.XLOOKUP(M1584,Parâmetros!K:K,Parâmetros!L:L,"")</f>
        <v>CÓDIGO DIFERENTE DO CADASTRADO NO BENNER (CLIENTE X GRUPO)</v>
      </c>
      <c r="O1584" s="1" t="str">
        <f>_xlfn.XLOOKUP(M1584,Parâmetros!B:B,Parâmetros!C:C,_xlfn.XLOOKUP(Base!M1404,Parâmetros!G:G,Parâmetros!H:H))</f>
        <v>QUALIDADE DOS DADOS</v>
      </c>
      <c r="P1584" s="1" t="str">
        <f>_xlfn.XLOOKUP(I1584,Parâmetros!A:A,Parâmetros!D:D,_xlfn.XLOOKUP(Q1584,Parâmetros!F:F,Parâmetros!I:I))</f>
        <v>SUPORTE OBT</v>
      </c>
      <c r="Q1584" s="1">
        <f t="shared" si="49"/>
        <v>1</v>
      </c>
    </row>
    <row r="1585" spans="1:17" x14ac:dyDescent="0.25">
      <c r="A1585" s="1" t="str">
        <f>_xlfn.XLOOKUP(D1585,'Novo relatório'!B:B,'Novo relatório'!C:C,"RESOLVIDO")</f>
        <v>SABRE</v>
      </c>
      <c r="C1585" t="str">
        <f t="shared" si="48"/>
        <v>PENDENTE</v>
      </c>
      <c r="D1585" s="1">
        <v>3386733</v>
      </c>
      <c r="E1585" s="1" t="s">
        <v>26</v>
      </c>
      <c r="F1585" s="2">
        <v>45775.400694444441</v>
      </c>
      <c r="G1585" s="1" t="s">
        <v>2002</v>
      </c>
      <c r="H1585" s="1" t="s">
        <v>2002</v>
      </c>
      <c r="I1585" s="1" t="s">
        <v>83</v>
      </c>
      <c r="J1585" s="2">
        <v>45775.493055555555</v>
      </c>
      <c r="L1585" s="1" t="s">
        <v>18</v>
      </c>
      <c r="M1585" s="1" t="str">
        <f>_xlfn.XLOOKUP(I1585,Parâmetros!A:A,Parâmetros!B:B,_xlfn.XLOOKUP(Q1585,Parâmetros!F:F,Parâmetros!G:G,"NOVA MENSAGEM"))</f>
        <v>CLIENTE NÃO IDENTIFICADO</v>
      </c>
      <c r="N1585" s="1" t="str">
        <f>_xlfn.XLOOKUP(M1585,Parâmetros!K:K,Parâmetros!L:L,"")</f>
        <v>DK DE CLIENTE NÃO PREENCIDO / CLIENTE NÃO CONFIGURADO NO OBT</v>
      </c>
      <c r="O1585" s="1" t="str">
        <f>_xlfn.XLOOKUP(M1585,Parâmetros!B:B,Parâmetros!C:C,_xlfn.XLOOKUP(Base!M1455,Parâmetros!G:G,Parâmetros!H:H))</f>
        <v>INDEFINIDO</v>
      </c>
      <c r="P1585" s="1" t="str">
        <f>_xlfn.XLOOKUP(I1585,Parâmetros!A:A,Parâmetros!D:D,_xlfn.XLOOKUP(Q1585,Parâmetros!F:F,Parâmetros!I:I))</f>
        <v>OPERAÇÕES / SUPORTE KCS</v>
      </c>
      <c r="Q1585" s="1" t="str">
        <f t="shared" si="49"/>
        <v>COLUNA I</v>
      </c>
    </row>
    <row r="1586" spans="1:17" x14ac:dyDescent="0.25">
      <c r="A1586" s="1" t="str">
        <f>_xlfn.XLOOKUP(D1586,'Novo relatório'!B:B,'Novo relatório'!C:C,"RESOLVIDO")</f>
        <v>SABRE</v>
      </c>
      <c r="C1586" t="str">
        <f t="shared" si="48"/>
        <v>PENDENTE</v>
      </c>
      <c r="D1586" s="1">
        <v>3386734</v>
      </c>
      <c r="E1586" s="1" t="s">
        <v>26</v>
      </c>
      <c r="F1586" s="2">
        <v>45775.400694444441</v>
      </c>
      <c r="G1586" s="1" t="s">
        <v>2018</v>
      </c>
      <c r="H1586" s="1" t="s">
        <v>2018</v>
      </c>
      <c r="I1586" s="1" t="s">
        <v>83</v>
      </c>
      <c r="J1586" s="2">
        <v>45775.493055555555</v>
      </c>
      <c r="L1586" s="1" t="s">
        <v>18</v>
      </c>
      <c r="M1586" s="1" t="str">
        <f>_xlfn.XLOOKUP(I1586,Parâmetros!A:A,Parâmetros!B:B,_xlfn.XLOOKUP(Q1586,Parâmetros!F:F,Parâmetros!G:G,"NOVA MENSAGEM"))</f>
        <v>CLIENTE NÃO IDENTIFICADO</v>
      </c>
      <c r="N1586" s="1" t="str">
        <f>_xlfn.XLOOKUP(M1586,Parâmetros!K:K,Parâmetros!L:L,"")</f>
        <v>DK DE CLIENTE NÃO PREENCIDO / CLIENTE NÃO CONFIGURADO NO OBT</v>
      </c>
      <c r="O1586" s="1" t="str">
        <f>_xlfn.XLOOKUP(M1586,Parâmetros!B:B,Parâmetros!C:C,_xlfn.XLOOKUP(Base!M1469,Parâmetros!G:G,Parâmetros!H:H))</f>
        <v>INDEFINIDO</v>
      </c>
      <c r="P1586" s="1" t="str">
        <f>_xlfn.XLOOKUP(I1586,Parâmetros!A:A,Parâmetros!D:D,_xlfn.XLOOKUP(Q1586,Parâmetros!F:F,Parâmetros!I:I))</f>
        <v>OPERAÇÕES / SUPORTE KCS</v>
      </c>
      <c r="Q1586" s="1" t="str">
        <f t="shared" si="49"/>
        <v>COLUNA I</v>
      </c>
    </row>
    <row r="1587" spans="1:17" x14ac:dyDescent="0.25">
      <c r="A1587" s="1" t="str">
        <f>_xlfn.XLOOKUP(D1587,'Novo relatório'!B:B,'Novo relatório'!C:C,"RESOLVIDO")</f>
        <v>TMS</v>
      </c>
      <c r="C1587" t="str">
        <f t="shared" si="48"/>
        <v>PENDENTE</v>
      </c>
      <c r="D1587" s="1">
        <v>3386784</v>
      </c>
      <c r="E1587" s="1" t="s">
        <v>12</v>
      </c>
      <c r="F1587" s="2">
        <v>45742.732638888891</v>
      </c>
      <c r="G1587" s="1">
        <v>210</v>
      </c>
      <c r="H1587" s="1">
        <v>210</v>
      </c>
      <c r="I1587" s="1" t="s">
        <v>2135</v>
      </c>
      <c r="J1587" s="2">
        <v>45775.518055555556</v>
      </c>
      <c r="L1587" s="1" t="s">
        <v>19</v>
      </c>
      <c r="M1587" s="1" t="str">
        <f>_xlfn.XLOOKUP(I1587,Parâmetros!A:A,Parâmetros!B:B,_xlfn.XLOOKUP(Q1587,Parâmetros!F:F,Parâmetros!G:G,"NOVA MENSAGEM"))</f>
        <v>NOVA MENSAGEM</v>
      </c>
      <c r="N1587" s="1" t="str">
        <f>_xlfn.XLOOKUP(M1587,Parâmetros!K:K,Parâmetros!L:L,"")</f>
        <v/>
      </c>
      <c r="O1587" s="1" t="str">
        <f>_xlfn.XLOOKUP(M1587,Parâmetros!B:B,Parâmetros!C:C,_xlfn.XLOOKUP(Base!M1578,Parâmetros!G:G,Parâmetros!H:H))</f>
        <v>QUALIDADE DOS DADOS</v>
      </c>
      <c r="P1587" s="1" t="e">
        <f>_xlfn.XLOOKUP(I1587,Parâmetros!A:A,Parâmetros!D:D,_xlfn.XLOOKUP(Q1587,Parâmetros!F:F,Parâmetros!I:I))</f>
        <v>#N/A</v>
      </c>
      <c r="Q1587" s="1">
        <f t="shared" si="49"/>
        <v>79</v>
      </c>
    </row>
    <row r="1588" spans="1:17" x14ac:dyDescent="0.25">
      <c r="A1588" s="1" t="str">
        <f>_xlfn.XLOOKUP(D1588,'Novo relatório'!B:B,'Novo relatório'!C:C,"RESOLVIDO")</f>
        <v>RESOLVIDO</v>
      </c>
      <c r="C1588" t="str">
        <f t="shared" si="48"/>
        <v>RESOLVIDO</v>
      </c>
      <c r="D1588" s="1">
        <v>3386909</v>
      </c>
      <c r="E1588" s="1" t="s">
        <v>12</v>
      </c>
      <c r="F1588" s="2">
        <v>45775.488888888889</v>
      </c>
      <c r="G1588" s="1">
        <v>6194</v>
      </c>
      <c r="H1588" s="1">
        <v>6194</v>
      </c>
      <c r="I1588" s="1" t="s">
        <v>2139</v>
      </c>
      <c r="J1588" s="2">
        <v>45775.565972222219</v>
      </c>
      <c r="K1588" s="2">
        <v>45776.323611111111</v>
      </c>
      <c r="L1588" s="1" t="s">
        <v>19</v>
      </c>
      <c r="M1588" s="1" t="str">
        <f>_xlfn.XLOOKUP(I1588,Parâmetros!A:A,Parâmetros!B:B,_xlfn.XLOOKUP(Q1588,Parâmetros!F:F,Parâmetros!G:G,"NOVA MENSAGEM"))</f>
        <v>CONTRATO FORNECEDOR</v>
      </c>
      <c r="N1588" s="1" t="str">
        <f>_xlfn.XLOOKUP(M1588,Parâmetros!K:K,Parâmetros!L:L,"")</f>
        <v>CONTRATO INATIVO OU DIVERGENTE</v>
      </c>
      <c r="O1588" s="1" t="str">
        <f>_xlfn.XLOOKUP(M1588,Parâmetros!B:B,Parâmetros!C:C,_xlfn.XLOOKUP(Base!M1593,Parâmetros!G:G,Parâmetros!H:H))</f>
        <v>SISTEMA</v>
      </c>
      <c r="P1588" s="1" t="str">
        <f>_xlfn.XLOOKUP(I1588,Parâmetros!A:A,Parâmetros!D:D,_xlfn.XLOOKUP(Q1588,Parâmetros!F:F,Parâmetros!I:I))</f>
        <v>OPERAÇÕES / SUPORTE KCS</v>
      </c>
      <c r="Q1588" s="1">
        <f t="shared" si="49"/>
        <v>55</v>
      </c>
    </row>
    <row r="1589" spans="1:17" x14ac:dyDescent="0.25">
      <c r="A1589" s="1" t="str">
        <f>_xlfn.XLOOKUP(D1589,'Novo relatório'!B:B,'Novo relatório'!C:C,"RESOLVIDO")</f>
        <v>SABRE</v>
      </c>
      <c r="C1589" t="str">
        <f t="shared" si="48"/>
        <v>PENDENTE</v>
      </c>
      <c r="D1589" s="1">
        <v>3386910</v>
      </c>
      <c r="E1589" s="1" t="s">
        <v>26</v>
      </c>
      <c r="F1589" s="2">
        <v>45775.479166666664</v>
      </c>
      <c r="G1589" s="1" t="s">
        <v>2024</v>
      </c>
      <c r="H1589" s="1" t="s">
        <v>2024</v>
      </c>
      <c r="I1589" s="1" t="s">
        <v>1403</v>
      </c>
      <c r="J1589" s="2">
        <v>45775.565972222219</v>
      </c>
      <c r="L1589" s="1" t="s">
        <v>18</v>
      </c>
      <c r="M1589" s="1" t="str">
        <f>_xlfn.XLOOKUP(I1589,Parâmetros!A:A,Parâmetros!B:B,_xlfn.XLOOKUP(Q1589,Parâmetros!F:F,Parâmetros!G:G,"NOVA MENSAGEM"))</f>
        <v>CÓD. CLIENTE DIVERGENTE</v>
      </c>
      <c r="N1589" s="1" t="str">
        <f>_xlfn.XLOOKUP(M1589,Parâmetros!K:K,Parâmetros!L:L,"")</f>
        <v>CÓDIGO DIFERENTE DO CADASTRADO NO BENNER (CLIENTE X GRUPO)</v>
      </c>
      <c r="O1589" s="1" t="str">
        <f>_xlfn.XLOOKUP(M1589,Parâmetros!B:B,Parâmetros!C:C,_xlfn.XLOOKUP(Base!M1474,Parâmetros!G:G,Parâmetros!H:H))</f>
        <v>QUALIDADE DOS DADOS</v>
      </c>
      <c r="P1589" s="1" t="str">
        <f>_xlfn.XLOOKUP(I1589,Parâmetros!A:A,Parâmetros!D:D,_xlfn.XLOOKUP(Q1589,Parâmetros!F:F,Parâmetros!I:I))</f>
        <v>SUPORTE OBT</v>
      </c>
      <c r="Q1589" s="1">
        <f t="shared" si="49"/>
        <v>1</v>
      </c>
    </row>
    <row r="1590" spans="1:17" x14ac:dyDescent="0.25">
      <c r="A1590" s="1" t="str">
        <f>_xlfn.XLOOKUP(D1590,'Novo relatório'!B:B,'Novo relatório'!C:C,"RESOLVIDO")</f>
        <v>SABRE</v>
      </c>
      <c r="C1590" t="str">
        <f t="shared" si="48"/>
        <v>PENDENTE</v>
      </c>
      <c r="D1590" s="1">
        <v>3386966</v>
      </c>
      <c r="E1590" s="1" t="s">
        <v>26</v>
      </c>
      <c r="F1590" s="2">
        <v>45775.533333333333</v>
      </c>
      <c r="G1590" s="1" t="s">
        <v>2049</v>
      </c>
      <c r="H1590" s="1" t="s">
        <v>2049</v>
      </c>
      <c r="I1590" s="1" t="s">
        <v>273</v>
      </c>
      <c r="J1590" s="2">
        <v>45775.573611111111</v>
      </c>
      <c r="K1590" s="2">
        <v>45775.626388888886</v>
      </c>
      <c r="L1590" s="1" t="s">
        <v>1245</v>
      </c>
      <c r="M1590" s="1" t="str">
        <f>_xlfn.XLOOKUP(I1590,Parâmetros!A:A,Parâmetros!B:B,_xlfn.XLOOKUP(Q1590,Parâmetros!F:F,Parâmetros!G:G,"NOVA MENSAGEM"))</f>
        <v>VENDA CANCELADA</v>
      </c>
      <c r="N1590" s="1" t="str">
        <f>_xlfn.XLOOKUP(M1590,Parâmetros!K:K,Parâmetros!L:L,"")</f>
        <v>RESERVA CANCELADA NO OBT</v>
      </c>
      <c r="O1590" s="1" t="str">
        <f>_xlfn.XLOOKUP(M1590,Parâmetros!B:B,Parâmetros!C:C,_xlfn.XLOOKUP(Base!M1495,Parâmetros!G:G,Parâmetros!H:H))</f>
        <v>SISTEMA</v>
      </c>
      <c r="P1590" s="1" t="str">
        <f>_xlfn.XLOOKUP(I1590,Parâmetros!A:A,Parâmetros!D:D,_xlfn.XLOOKUP(Q1590,Parâmetros!F:F,Parâmetros!I:I))</f>
        <v>SUPORTE OBT</v>
      </c>
      <c r="Q1590" s="1" t="str">
        <f t="shared" si="49"/>
        <v>COLUNA I</v>
      </c>
    </row>
    <row r="1591" spans="1:17" x14ac:dyDescent="0.25">
      <c r="A1591" s="1" t="str">
        <f>_xlfn.XLOOKUP(D1591,'Novo relatório'!B:B,'Novo relatório'!C:C,"RESOLVIDO")</f>
        <v>SABRE</v>
      </c>
      <c r="C1591" t="str">
        <f t="shared" si="48"/>
        <v>PENDENTE</v>
      </c>
      <c r="D1591" s="1">
        <v>3387196</v>
      </c>
      <c r="E1591" s="1" t="s">
        <v>26</v>
      </c>
      <c r="F1591" s="2">
        <v>45775.53402777778</v>
      </c>
      <c r="G1591" s="1" t="s">
        <v>2103</v>
      </c>
      <c r="H1591" s="1" t="s">
        <v>2104</v>
      </c>
      <c r="I1591" s="1" t="s">
        <v>575</v>
      </c>
      <c r="J1591" s="2">
        <v>45775.595138888886</v>
      </c>
      <c r="K1591" s="2">
        <v>45775.626388888886</v>
      </c>
      <c r="L1591" s="1" t="s">
        <v>19</v>
      </c>
      <c r="M1591" s="1" t="str">
        <f>_xlfn.XLOOKUP(I1591,Parâmetros!A:A,Parâmetros!B:B,_xlfn.XLOOKUP(Q1591,Parâmetros!F:F,Parâmetros!G:G,"NOVA MENSAGEM"))</f>
        <v>CONTRATO FORNECEDOR</v>
      </c>
      <c r="N1591" s="1" t="str">
        <f>_xlfn.XLOOKUP(M1591,Parâmetros!K:K,Parâmetros!L:L,"")</f>
        <v>CONTRATO INATIVO OU DIVERGENTE</v>
      </c>
      <c r="O1591" s="1" t="str">
        <f>_xlfn.XLOOKUP(M1591,Parâmetros!B:B,Parâmetros!C:C,_xlfn.XLOOKUP(Base!M1536,Parâmetros!G:G,Parâmetros!H:H))</f>
        <v>SISTEMA</v>
      </c>
      <c r="P1591" s="1" t="str">
        <f>_xlfn.XLOOKUP(I1591,Parâmetros!A:A,Parâmetros!D:D,_xlfn.XLOOKUP(Q1591,Parâmetros!F:F,Parâmetros!I:I))</f>
        <v>OPERAÇÕES / SUPORTE KCS</v>
      </c>
      <c r="Q1591" s="1">
        <f t="shared" si="49"/>
        <v>56</v>
      </c>
    </row>
    <row r="1592" spans="1:17" x14ac:dyDescent="0.25">
      <c r="A1592" s="1" t="str">
        <f>_xlfn.XLOOKUP(D1592,'Novo relatório'!B:B,'Novo relatório'!C:C,"RESOLVIDO")</f>
        <v>SABRE</v>
      </c>
      <c r="C1592" t="str">
        <f t="shared" si="48"/>
        <v>PENDENTE</v>
      </c>
      <c r="D1592" s="1">
        <v>3387739</v>
      </c>
      <c r="E1592" s="1" t="s">
        <v>26</v>
      </c>
      <c r="F1592" s="2">
        <v>45775.570138888892</v>
      </c>
      <c r="G1592" s="1" t="s">
        <v>2106</v>
      </c>
      <c r="H1592" s="1" t="s">
        <v>2106</v>
      </c>
      <c r="I1592" s="1" t="s">
        <v>410</v>
      </c>
      <c r="J1592" s="2">
        <v>45775.659722222219</v>
      </c>
      <c r="L1592" s="1" t="s">
        <v>18</v>
      </c>
      <c r="M1592" s="1" t="str">
        <f>_xlfn.XLOOKUP(I1592,Parâmetros!A:A,Parâmetros!B:B,_xlfn.XLOOKUP(Q1592,Parâmetros!F:F,Parâmetros!G:G,"NOVA MENSAGEM"))</f>
        <v>CÓD. CLIENTE DIVERGENTE</v>
      </c>
      <c r="N1592" s="1" t="str">
        <f>_xlfn.XLOOKUP(M1592,Parâmetros!K:K,Parâmetros!L:L,"")</f>
        <v>CÓDIGO DIFERENTE DO CADASTRADO NO BENNER (CLIENTE X GRUPO)</v>
      </c>
      <c r="O1592" s="1" t="str">
        <f>_xlfn.XLOOKUP(M1592,Parâmetros!B:B,Parâmetros!C:C,_xlfn.XLOOKUP(Base!M1538,Parâmetros!G:G,Parâmetros!H:H))</f>
        <v>QUALIDADE DOS DADOS</v>
      </c>
      <c r="P1592" s="1" t="str">
        <f>_xlfn.XLOOKUP(I1592,Parâmetros!A:A,Parâmetros!D:D,_xlfn.XLOOKUP(Q1592,Parâmetros!F:F,Parâmetros!I:I))</f>
        <v>SUPORTE OBT</v>
      </c>
      <c r="Q1592" s="1">
        <f t="shared" si="49"/>
        <v>1</v>
      </c>
    </row>
    <row r="1593" spans="1:17" x14ac:dyDescent="0.25">
      <c r="A1593" s="1" t="str">
        <f>_xlfn.XLOOKUP(D1593,'Novo relatório'!B:B,'Novo relatório'!C:C,"RESOLVIDO")</f>
        <v>SABRE</v>
      </c>
      <c r="C1593" t="str">
        <f t="shared" si="48"/>
        <v>PENDENTE</v>
      </c>
      <c r="D1593" s="1">
        <v>3387743</v>
      </c>
      <c r="E1593" s="1" t="s">
        <v>26</v>
      </c>
      <c r="F1593" s="2">
        <v>45775.570138888892</v>
      </c>
      <c r="G1593" s="1" t="s">
        <v>1962</v>
      </c>
      <c r="H1593" s="1" t="s">
        <v>1962</v>
      </c>
      <c r="I1593" s="1" t="s">
        <v>411</v>
      </c>
      <c r="J1593" s="2">
        <v>45775.660416666666</v>
      </c>
      <c r="L1593" s="1" t="s">
        <v>18</v>
      </c>
      <c r="M1593" s="1" t="str">
        <f>_xlfn.XLOOKUP(I1593,Parâmetros!A:A,Parâmetros!B:B,_xlfn.XLOOKUP(Q1593,Parâmetros!F:F,Parâmetros!G:G,"NOVA MENSAGEM"))</f>
        <v>REMARK - CNPJ</v>
      </c>
      <c r="N1593" s="1" t="str">
        <f>_xlfn.XLOOKUP(M1593,Parâmetros!K:K,Parâmetros!L:L,"")</f>
        <v/>
      </c>
      <c r="O1593" s="1" t="str">
        <f>_xlfn.XLOOKUP(M1593,Parâmetros!B:B,Parâmetros!C:C,_xlfn.XLOOKUP(Base!M1419,Parâmetros!G:G,Parâmetros!H:H))</f>
        <v>QUALIDADE DOS DADOS</v>
      </c>
      <c r="P1593" s="1" t="str">
        <f>_xlfn.XLOOKUP(I1593,Parâmetros!A:A,Parâmetros!D:D,_xlfn.XLOOKUP(Q1593,Parâmetros!F:F,Parâmetros!I:I))</f>
        <v>OPERAÇÕES / SUPORTE KCS</v>
      </c>
      <c r="Q1593" s="1">
        <f t="shared" si="49"/>
        <v>24</v>
      </c>
    </row>
    <row r="1594" spans="1:17" x14ac:dyDescent="0.25">
      <c r="A1594" s="1" t="str">
        <f>_xlfn.XLOOKUP(D1594,'Novo relatório'!B:B,'Novo relatório'!C:C,"RESOLVIDO")</f>
        <v>SABRE</v>
      </c>
      <c r="C1594" t="str">
        <f t="shared" si="48"/>
        <v>PENDENTE</v>
      </c>
      <c r="D1594" s="1">
        <v>3388050</v>
      </c>
      <c r="E1594" s="1" t="s">
        <v>26</v>
      </c>
      <c r="F1594" s="2">
        <v>45775.629166666666</v>
      </c>
      <c r="G1594" s="1" t="s">
        <v>1985</v>
      </c>
      <c r="H1594" s="1" t="s">
        <v>1985</v>
      </c>
      <c r="I1594" s="1" t="s">
        <v>620</v>
      </c>
      <c r="J1594" s="2">
        <v>45775.724305555559</v>
      </c>
      <c r="L1594" s="1" t="s">
        <v>18</v>
      </c>
      <c r="M1594" s="1" t="str">
        <f>_xlfn.XLOOKUP(I1594,Parâmetros!A:A,Parâmetros!B:B,_xlfn.XLOOKUP(Q1594,Parâmetros!F:F,Parâmetros!G:G,"NOVA MENSAGEM"))</f>
        <v>CÓD. CLIENTE DIVERGENTE</v>
      </c>
      <c r="N1594" s="1" t="str">
        <f>_xlfn.XLOOKUP(M1594,Parâmetros!K:K,Parâmetros!L:L,"")</f>
        <v>CÓDIGO DIFERENTE DO CADASTRADO NO BENNER (CLIENTE X GRUPO)</v>
      </c>
      <c r="O1594" s="1" t="str">
        <f>_xlfn.XLOOKUP(M1594,Parâmetros!B:B,Parâmetros!C:C,_xlfn.XLOOKUP(Base!M1441,Parâmetros!G:G,Parâmetros!H:H))</f>
        <v>QUALIDADE DOS DADOS</v>
      </c>
      <c r="P1594" s="1" t="str">
        <f>_xlfn.XLOOKUP(I1594,Parâmetros!A:A,Parâmetros!D:D,_xlfn.XLOOKUP(Q1594,Parâmetros!F:F,Parâmetros!I:I))</f>
        <v>SUPORTE OBT</v>
      </c>
      <c r="Q1594" s="1">
        <f t="shared" si="49"/>
        <v>1</v>
      </c>
    </row>
    <row r="1595" spans="1:17" x14ac:dyDescent="0.25">
      <c r="A1595" s="1" t="str">
        <f>_xlfn.XLOOKUP(D1595,'Novo relatório'!B:B,'Novo relatório'!C:C,"RESOLVIDO")</f>
        <v>SABRE</v>
      </c>
      <c r="C1595" t="str">
        <f t="shared" si="48"/>
        <v>PENDENTE</v>
      </c>
      <c r="D1595" s="1">
        <v>3388051</v>
      </c>
      <c r="E1595" s="1" t="s">
        <v>26</v>
      </c>
      <c r="F1595" s="2">
        <v>45775.629166666666</v>
      </c>
      <c r="G1595" s="1" t="s">
        <v>2058</v>
      </c>
      <c r="H1595" s="1" t="s">
        <v>2058</v>
      </c>
      <c r="I1595" s="1" t="s">
        <v>396</v>
      </c>
      <c r="J1595" s="2">
        <v>45775.724305555559</v>
      </c>
      <c r="L1595" s="1" t="s">
        <v>18</v>
      </c>
      <c r="M1595" s="1" t="str">
        <f>_xlfn.XLOOKUP(I1595,Parâmetros!A:A,Parâmetros!B:B,_xlfn.XLOOKUP(Q1595,Parâmetros!F:F,Parâmetros!G:G,"NOVA MENSAGEM"))</f>
        <v>CÓD. CLIENTE DIVERGENTE</v>
      </c>
      <c r="N1595" s="1" t="str">
        <f>_xlfn.XLOOKUP(M1595,Parâmetros!K:K,Parâmetros!L:L,"")</f>
        <v>CÓDIGO DIFERENTE DO CADASTRADO NO BENNER (CLIENTE X GRUPO)</v>
      </c>
      <c r="O1595" s="1" t="str">
        <f>_xlfn.XLOOKUP(M1595,Parâmetros!B:B,Parâmetros!C:C,_xlfn.XLOOKUP(Base!M1502,Parâmetros!G:G,Parâmetros!H:H))</f>
        <v>QUALIDADE DOS DADOS</v>
      </c>
      <c r="P1595" s="1" t="str">
        <f>_xlfn.XLOOKUP(I1595,Parâmetros!A:A,Parâmetros!D:D,_xlfn.XLOOKUP(Q1595,Parâmetros!F:F,Parâmetros!I:I))</f>
        <v>SUPORTE OBT</v>
      </c>
      <c r="Q1595" s="1">
        <f t="shared" si="49"/>
        <v>1</v>
      </c>
    </row>
    <row r="1596" spans="1:17" x14ac:dyDescent="0.25">
      <c r="A1596" s="1" t="str">
        <f>_xlfn.XLOOKUP(D1596,'Novo relatório'!B:B,'Novo relatório'!C:C,"RESOLVIDO")</f>
        <v>RESOLVIDO</v>
      </c>
      <c r="C1596" t="str">
        <f t="shared" si="48"/>
        <v>RESOLVIDO</v>
      </c>
      <c r="D1596" s="1">
        <v>3388175</v>
      </c>
      <c r="E1596" s="1" t="s">
        <v>26</v>
      </c>
      <c r="F1596" s="2">
        <v>45775.676388888889</v>
      </c>
      <c r="G1596" s="1" t="s">
        <v>2047</v>
      </c>
      <c r="H1596" s="1" t="s">
        <v>2048</v>
      </c>
      <c r="I1596" s="1" t="s">
        <v>101</v>
      </c>
      <c r="J1596" s="2">
        <v>45775.763194444444</v>
      </c>
      <c r="L1596" s="1" t="s">
        <v>1244</v>
      </c>
      <c r="M1596" s="1" t="str">
        <f>_xlfn.XLOOKUP(I1596,Parâmetros!A:A,Parâmetros!B:B,_xlfn.XLOOKUP(Q1596,Parâmetros!F:F,Parâmetros!G:G,"NOVA MENSAGEM"))</f>
        <v>REMARK - DATA INCORRETA</v>
      </c>
      <c r="N1596" s="1" t="str">
        <f>_xlfn.XLOOKUP(M1596,Parâmetros!K:K,Parâmetros!L:L,"")</f>
        <v>REMARK U*INFOPAG-CC/REC-CC PREENCHIDO INCORRETAMENTE</v>
      </c>
      <c r="O1596" s="1" t="str">
        <f>_xlfn.XLOOKUP(M1596,Parâmetros!B:B,Parâmetros!C:C,_xlfn.XLOOKUP(Base!M1494,Parâmetros!G:G,Parâmetros!H:H))</f>
        <v>QUALIDADE DOS DADOS</v>
      </c>
      <c r="P1596" s="1" t="str">
        <f>_xlfn.XLOOKUP(I1596,Parâmetros!A:A,Parâmetros!D:D,_xlfn.XLOOKUP(Q1596,Parâmetros!F:F,Parâmetros!I:I))</f>
        <v>OPERAÇÕES / SUPORTE KCS</v>
      </c>
      <c r="Q1596" s="1" t="str">
        <f t="shared" si="49"/>
        <v>COLUNA I</v>
      </c>
    </row>
    <row r="1597" spans="1:17" x14ac:dyDescent="0.25">
      <c r="A1597" s="1" t="str">
        <f>_xlfn.XLOOKUP(D1597,'Novo relatório'!B:B,'Novo relatório'!C:C,"RESOLVIDO")</f>
        <v>RESOLVIDO</v>
      </c>
      <c r="C1597" t="str">
        <f t="shared" si="48"/>
        <v>RESOLVIDO</v>
      </c>
      <c r="D1597" s="1">
        <v>3388176</v>
      </c>
      <c r="E1597" s="1" t="s">
        <v>26</v>
      </c>
      <c r="F1597" s="2">
        <v>45775.676388888889</v>
      </c>
      <c r="G1597" s="1" t="s">
        <v>2069</v>
      </c>
      <c r="H1597" s="1" t="s">
        <v>2070</v>
      </c>
      <c r="I1597" s="1" t="s">
        <v>101</v>
      </c>
      <c r="J1597" s="2">
        <v>45775.763194444444</v>
      </c>
      <c r="L1597" s="1" t="s">
        <v>1244</v>
      </c>
      <c r="M1597" s="1" t="str">
        <f>_xlfn.XLOOKUP(I1597,Parâmetros!A:A,Parâmetros!B:B,_xlfn.XLOOKUP(Q1597,Parâmetros!F:F,Parâmetros!G:G,"NOVA MENSAGEM"))</f>
        <v>REMARK - DATA INCORRETA</v>
      </c>
      <c r="N1597" s="1" t="str">
        <f>_xlfn.XLOOKUP(M1597,Parâmetros!K:K,Parâmetros!L:L,"")</f>
        <v>REMARK U*INFOPAG-CC/REC-CC PREENCHIDO INCORRETAMENTE</v>
      </c>
      <c r="O1597" s="1" t="str">
        <f>_xlfn.XLOOKUP(M1597,Parâmetros!B:B,Parâmetros!C:C,_xlfn.XLOOKUP(Base!M1512,Parâmetros!G:G,Parâmetros!H:H))</f>
        <v>QUALIDADE DOS DADOS</v>
      </c>
      <c r="P1597" s="1" t="str">
        <f>_xlfn.XLOOKUP(I1597,Parâmetros!A:A,Parâmetros!D:D,_xlfn.XLOOKUP(Q1597,Parâmetros!F:F,Parâmetros!I:I))</f>
        <v>OPERAÇÕES / SUPORTE KCS</v>
      </c>
      <c r="Q1597" s="1" t="str">
        <f t="shared" si="49"/>
        <v>COLUNA I</v>
      </c>
    </row>
    <row r="1598" spans="1:17" x14ac:dyDescent="0.25">
      <c r="A1598" s="1" t="str">
        <f>_xlfn.XLOOKUP(D1598,'Novo relatório'!B:B,'Novo relatório'!C:C,"RESOLVIDO")</f>
        <v>RESOLVIDO</v>
      </c>
      <c r="C1598" t="str">
        <f t="shared" si="48"/>
        <v>RESOLVIDO</v>
      </c>
      <c r="D1598" s="1">
        <v>3388177</v>
      </c>
      <c r="E1598" s="1" t="s">
        <v>26</v>
      </c>
      <c r="F1598" s="2">
        <v>45775.676388888889</v>
      </c>
      <c r="G1598" s="1" t="s">
        <v>1989</v>
      </c>
      <c r="H1598" s="1" t="s">
        <v>1990</v>
      </c>
      <c r="I1598" s="1" t="s">
        <v>101</v>
      </c>
      <c r="J1598" s="2">
        <v>45775.763194444444</v>
      </c>
      <c r="L1598" s="1" t="s">
        <v>1244</v>
      </c>
      <c r="M1598" s="1" t="str">
        <f>_xlfn.XLOOKUP(I1598,Parâmetros!A:A,Parâmetros!B:B,_xlfn.XLOOKUP(Q1598,Parâmetros!F:F,Parâmetros!G:G,"NOVA MENSAGEM"))</f>
        <v>REMARK - DATA INCORRETA</v>
      </c>
      <c r="N1598" s="1" t="str">
        <f>_xlfn.XLOOKUP(M1598,Parâmetros!K:K,Parâmetros!L:L,"")</f>
        <v>REMARK U*INFOPAG-CC/REC-CC PREENCHIDO INCORRETAMENTE</v>
      </c>
      <c r="O1598" s="1" t="str">
        <f>_xlfn.XLOOKUP(M1598,Parâmetros!B:B,Parâmetros!C:C,_xlfn.XLOOKUP(Base!M1445,Parâmetros!G:G,Parâmetros!H:H))</f>
        <v>QUALIDADE DOS DADOS</v>
      </c>
      <c r="P1598" s="1" t="str">
        <f>_xlfn.XLOOKUP(I1598,Parâmetros!A:A,Parâmetros!D:D,_xlfn.XLOOKUP(Q1598,Parâmetros!F:F,Parâmetros!I:I))</f>
        <v>OPERAÇÕES / SUPORTE KCS</v>
      </c>
      <c r="Q1598" s="1" t="str">
        <f t="shared" si="49"/>
        <v>COLUNA I</v>
      </c>
    </row>
    <row r="1599" spans="1:17" x14ac:dyDescent="0.25">
      <c r="A1599" s="1" t="str">
        <f>_xlfn.XLOOKUP(D1599,'Novo relatório'!B:B,'Novo relatório'!C:C,"RESOLVIDO")</f>
        <v>RESOLVIDO</v>
      </c>
      <c r="C1599" t="str">
        <f t="shared" si="48"/>
        <v>RESOLVIDO</v>
      </c>
      <c r="D1599" s="1">
        <v>3388186</v>
      </c>
      <c r="E1599" s="1" t="s">
        <v>26</v>
      </c>
      <c r="F1599" s="2">
        <v>45775.69027777778</v>
      </c>
      <c r="G1599" s="1" t="s">
        <v>1991</v>
      </c>
      <c r="H1599" s="1" t="s">
        <v>1992</v>
      </c>
      <c r="I1599" s="1" t="s">
        <v>101</v>
      </c>
      <c r="J1599" s="2">
        <v>45775.773611111108</v>
      </c>
      <c r="L1599" s="1" t="s">
        <v>1244</v>
      </c>
      <c r="M1599" s="1" t="str">
        <f>_xlfn.XLOOKUP(I1599,Parâmetros!A:A,Parâmetros!B:B,_xlfn.XLOOKUP(Q1599,Parâmetros!F:F,Parâmetros!G:G,"NOVA MENSAGEM"))</f>
        <v>REMARK - DATA INCORRETA</v>
      </c>
      <c r="N1599" s="1" t="str">
        <f>_xlfn.XLOOKUP(M1599,Parâmetros!K:K,Parâmetros!L:L,"")</f>
        <v>REMARK U*INFOPAG-CC/REC-CC PREENCHIDO INCORRETAMENTE</v>
      </c>
      <c r="O1599" s="1" t="str">
        <f>_xlfn.XLOOKUP(M1599,Parâmetros!B:B,Parâmetros!C:C,_xlfn.XLOOKUP(Base!M1446,Parâmetros!G:G,Parâmetros!H:H))</f>
        <v>QUALIDADE DOS DADOS</v>
      </c>
      <c r="P1599" s="1" t="str">
        <f>_xlfn.XLOOKUP(I1599,Parâmetros!A:A,Parâmetros!D:D,_xlfn.XLOOKUP(Q1599,Parâmetros!F:F,Parâmetros!I:I))</f>
        <v>OPERAÇÕES / SUPORTE KCS</v>
      </c>
      <c r="Q1599" s="1" t="str">
        <f t="shared" si="49"/>
        <v>COLUNA I</v>
      </c>
    </row>
    <row r="1600" spans="1:17" x14ac:dyDescent="0.25">
      <c r="A1600" s="1" t="str">
        <f>_xlfn.XLOOKUP(D1600,'Novo relatório'!B:B,'Novo relatório'!C:C,"RESOLVIDO")</f>
        <v>RESOLVIDO</v>
      </c>
      <c r="C1600" t="str">
        <f t="shared" si="48"/>
        <v>RESOLVIDO</v>
      </c>
      <c r="D1600" s="1">
        <v>3388210</v>
      </c>
      <c r="E1600" s="1" t="s">
        <v>26</v>
      </c>
      <c r="F1600" s="2">
        <v>45775.69027777778</v>
      </c>
      <c r="G1600" s="1" t="s">
        <v>2078</v>
      </c>
      <c r="H1600" s="1" t="s">
        <v>2079</v>
      </c>
      <c r="I1600" s="1" t="s">
        <v>101</v>
      </c>
      <c r="J1600" s="2">
        <v>45775.78402777778</v>
      </c>
      <c r="L1600" s="1" t="s">
        <v>1244</v>
      </c>
      <c r="M1600" s="1" t="str">
        <f>_xlfn.XLOOKUP(I1600,Parâmetros!A:A,Parâmetros!B:B,_xlfn.XLOOKUP(Q1600,Parâmetros!F:F,Parâmetros!G:G,"NOVA MENSAGEM"))</f>
        <v>REMARK - DATA INCORRETA</v>
      </c>
      <c r="N1600" s="1" t="str">
        <f>_xlfn.XLOOKUP(M1600,Parâmetros!K:K,Parâmetros!L:L,"")</f>
        <v>REMARK U*INFOPAG-CC/REC-CC PREENCHIDO INCORRETAMENTE</v>
      </c>
      <c r="O1600" s="1" t="str">
        <f>_xlfn.XLOOKUP(M1600,Parâmetros!B:B,Parâmetros!C:C,_xlfn.XLOOKUP(Base!M1517,Parâmetros!G:G,Parâmetros!H:H))</f>
        <v>QUALIDADE DOS DADOS</v>
      </c>
      <c r="P1600" s="1" t="str">
        <f>_xlfn.XLOOKUP(I1600,Parâmetros!A:A,Parâmetros!D:D,_xlfn.XLOOKUP(Q1600,Parâmetros!F:F,Parâmetros!I:I))</f>
        <v>OPERAÇÕES / SUPORTE KCS</v>
      </c>
      <c r="Q1600" s="1" t="str">
        <f t="shared" si="49"/>
        <v>COLUNA I</v>
      </c>
    </row>
    <row r="1601" spans="1:17" x14ac:dyDescent="0.25">
      <c r="A1601" s="1" t="str">
        <f>_xlfn.XLOOKUP(D1601,'Novo relatório'!B:B,'Novo relatório'!C:C,"RESOLVIDO")</f>
        <v>RESOLVIDO</v>
      </c>
      <c r="C1601" t="str">
        <f t="shared" si="48"/>
        <v>RESOLVIDO</v>
      </c>
      <c r="D1601" s="1">
        <v>3388211</v>
      </c>
      <c r="E1601" s="1" t="s">
        <v>26</v>
      </c>
      <c r="F1601" s="2">
        <v>45775.7</v>
      </c>
      <c r="G1601" s="1" t="s">
        <v>2071</v>
      </c>
      <c r="H1601" s="1" t="s">
        <v>2072</v>
      </c>
      <c r="I1601" s="1" t="s">
        <v>101</v>
      </c>
      <c r="J1601" s="2">
        <v>45775.78402777778</v>
      </c>
      <c r="L1601" s="1" t="s">
        <v>1244</v>
      </c>
      <c r="M1601" s="1" t="str">
        <f>_xlfn.XLOOKUP(I1601,Parâmetros!A:A,Parâmetros!B:B,_xlfn.XLOOKUP(Q1601,Parâmetros!F:F,Parâmetros!G:G,"NOVA MENSAGEM"))</f>
        <v>REMARK - DATA INCORRETA</v>
      </c>
      <c r="N1601" s="1" t="str">
        <f>_xlfn.XLOOKUP(M1601,Parâmetros!K:K,Parâmetros!L:L,"")</f>
        <v>REMARK U*INFOPAG-CC/REC-CC PREENCHIDO INCORRETAMENTE</v>
      </c>
      <c r="O1601" s="1" t="str">
        <f>_xlfn.XLOOKUP(M1601,Parâmetros!B:B,Parâmetros!C:C,_xlfn.XLOOKUP(Base!M1513,Parâmetros!G:G,Parâmetros!H:H))</f>
        <v>QUALIDADE DOS DADOS</v>
      </c>
      <c r="P1601" s="1" t="str">
        <f>_xlfn.XLOOKUP(I1601,Parâmetros!A:A,Parâmetros!D:D,_xlfn.XLOOKUP(Q1601,Parâmetros!F:F,Parâmetros!I:I))</f>
        <v>OPERAÇÕES / SUPORTE KCS</v>
      </c>
      <c r="Q1601" s="1" t="str">
        <f t="shared" si="49"/>
        <v>COLUNA I</v>
      </c>
    </row>
    <row r="1602" spans="1:17" x14ac:dyDescent="0.25">
      <c r="A1602" s="1" t="str">
        <f>_xlfn.XLOOKUP(D1602,'Novo relatório'!B:B,'Novo relatório'!C:C,"RESOLVIDO")</f>
        <v>RESOLVIDO</v>
      </c>
      <c r="C1602" t="str">
        <f t="shared" ref="C1602:C1665" si="50">IF(A1602="RESOLVIDO","RESOLVIDO",IF(B1602="","PENDENTE",IF(LEFT(B1602,7)="CHAMADO","AGUARDANDO FORNECEDOR",IF(B1602="CONTABILIZAR","CONTABILIZAR NO PORTAL"))))</f>
        <v>RESOLVIDO</v>
      </c>
      <c r="D1602" s="1">
        <v>3388212</v>
      </c>
      <c r="E1602" s="1" t="s">
        <v>26</v>
      </c>
      <c r="F1602" s="2">
        <v>45775.7</v>
      </c>
      <c r="G1602" s="1" t="s">
        <v>2074</v>
      </c>
      <c r="H1602" s="1" t="s">
        <v>2075</v>
      </c>
      <c r="I1602" s="1" t="s">
        <v>101</v>
      </c>
      <c r="J1602" s="2">
        <v>45775.78402777778</v>
      </c>
      <c r="L1602" s="1" t="s">
        <v>1244</v>
      </c>
      <c r="M1602" s="1" t="str">
        <f>_xlfn.XLOOKUP(I1602,Parâmetros!A:A,Parâmetros!B:B,_xlfn.XLOOKUP(Q1602,Parâmetros!F:F,Parâmetros!G:G,"NOVA MENSAGEM"))</f>
        <v>REMARK - DATA INCORRETA</v>
      </c>
      <c r="N1602" s="1" t="str">
        <f>_xlfn.XLOOKUP(M1602,Parâmetros!K:K,Parâmetros!L:L,"")</f>
        <v>REMARK U*INFOPAG-CC/REC-CC PREENCHIDO INCORRETAMENTE</v>
      </c>
      <c r="O1602" s="1" t="str">
        <f>_xlfn.XLOOKUP(M1602,Parâmetros!B:B,Parâmetros!C:C,_xlfn.XLOOKUP(Base!M1515,Parâmetros!G:G,Parâmetros!H:H))</f>
        <v>QUALIDADE DOS DADOS</v>
      </c>
      <c r="P1602" s="1" t="str">
        <f>_xlfn.XLOOKUP(I1602,Parâmetros!A:A,Parâmetros!D:D,_xlfn.XLOOKUP(Q1602,Parâmetros!F:F,Parâmetros!I:I))</f>
        <v>OPERAÇÕES / SUPORTE KCS</v>
      </c>
      <c r="Q1602" s="1" t="str">
        <f t="shared" ref="Q1602:Q1665" si="51">IFERROR(FIND("Não foi possível localizar o contrato do fornecedor",I1602),IFERROR(FIND("veículo",I1602),IFERROR(FIND("agagem",I1602),IFERROR(FIND("error in XML document",I1602),IFERROR(FIND("Não localizado cliente código",I1602),IFERROR(FIND("lemontech",I1602),IFERROR(FIND("&gt;Fornecedor com o",I1602),IFERROR(FIND("INSERT",I1602),IFERROR(FIND("com CNPJ",I1602),IFERROR(FIND("Consultando Agente-&gt; O agente",I1602),IFERROR(FIND("Não foi possível determinar a validade do cartão, favor verificar os dados do cartão",I1602),"COLUNA I")))))))))))</f>
        <v>COLUNA I</v>
      </c>
    </row>
    <row r="1603" spans="1:17" x14ac:dyDescent="0.25">
      <c r="A1603" s="1" t="str">
        <f>_xlfn.XLOOKUP(D1603,'Novo relatório'!B:B,'Novo relatório'!C:C,"RESOLVIDO")</f>
        <v>RESOLVIDO</v>
      </c>
      <c r="C1603" t="str">
        <f t="shared" si="50"/>
        <v>RESOLVIDO</v>
      </c>
      <c r="D1603" s="1">
        <v>3388276</v>
      </c>
      <c r="E1603" s="1" t="s">
        <v>26</v>
      </c>
      <c r="F1603" s="2">
        <v>45776.275000000001</v>
      </c>
      <c r="G1603" s="1" t="s">
        <v>2053</v>
      </c>
      <c r="H1603" s="1" t="s">
        <v>2054</v>
      </c>
      <c r="I1603" s="1" t="s">
        <v>101</v>
      </c>
      <c r="J1603" s="2">
        <v>45775.804166666669</v>
      </c>
      <c r="K1603" s="2">
        <v>45776.365972222222</v>
      </c>
      <c r="L1603" s="1" t="s">
        <v>1244</v>
      </c>
      <c r="M1603" s="1" t="str">
        <f>_xlfn.XLOOKUP(I1603,Parâmetros!A:A,Parâmetros!B:B,_xlfn.XLOOKUP(Q1603,Parâmetros!F:F,Parâmetros!G:G,"NOVA MENSAGEM"))</f>
        <v>REMARK - DATA INCORRETA</v>
      </c>
      <c r="N1603" s="1" t="str">
        <f>_xlfn.XLOOKUP(M1603,Parâmetros!K:K,Parâmetros!L:L,"")</f>
        <v>REMARK U*INFOPAG-CC/REC-CC PREENCHIDO INCORRETAMENTE</v>
      </c>
      <c r="O1603" s="1" t="str">
        <f>_xlfn.XLOOKUP(M1603,Parâmetros!B:B,Parâmetros!C:C,_xlfn.XLOOKUP(Base!M1498,Parâmetros!G:G,Parâmetros!H:H))</f>
        <v>QUALIDADE DOS DADOS</v>
      </c>
      <c r="P1603" s="1" t="str">
        <f>_xlfn.XLOOKUP(I1603,Parâmetros!A:A,Parâmetros!D:D,_xlfn.XLOOKUP(Q1603,Parâmetros!F:F,Parâmetros!I:I))</f>
        <v>OPERAÇÕES / SUPORTE KCS</v>
      </c>
      <c r="Q1603" s="1" t="str">
        <f t="shared" si="51"/>
        <v>COLUNA I</v>
      </c>
    </row>
    <row r="1604" spans="1:17" x14ac:dyDescent="0.25">
      <c r="A1604" s="1" t="str">
        <f>_xlfn.XLOOKUP(D1604,'Novo relatório'!B:B,'Novo relatório'!C:C,"RESOLVIDO")</f>
        <v>RESOLVIDO</v>
      </c>
      <c r="C1604" t="str">
        <f t="shared" si="50"/>
        <v>RESOLVIDO</v>
      </c>
      <c r="D1604" s="1">
        <v>3388560</v>
      </c>
      <c r="E1604" s="1" t="s">
        <v>24</v>
      </c>
      <c r="F1604" s="2">
        <v>45775.382638888892</v>
      </c>
      <c r="G1604" s="1">
        <v>4528489</v>
      </c>
      <c r="H1604" s="1" t="s">
        <v>2145</v>
      </c>
      <c r="I1604" s="1" t="s">
        <v>374</v>
      </c>
      <c r="J1604" s="2">
        <v>45775.87777777778</v>
      </c>
      <c r="K1604" s="2">
        <v>45776.364583333336</v>
      </c>
      <c r="L1604" s="1" t="s">
        <v>14</v>
      </c>
      <c r="M1604" s="1" t="str">
        <f>_xlfn.XLOOKUP(I1604,Parâmetros!A:A,Parâmetros!B:B,_xlfn.XLOOKUP(Q1604,Parâmetros!F:F,Parâmetros!G:G,"NOVA MENSAGEM"))</f>
        <v>FORMATO DE TEXTO</v>
      </c>
      <c r="N1604" s="1" t="str">
        <f>_xlfn.XLOOKUP(M1604,Parâmetros!K:K,Parâmetros!L:L,"")</f>
        <v>TEXTO FORA DO PADRÃO ACEITO NO CAMPO</v>
      </c>
      <c r="O1604" s="1" t="str">
        <f>_xlfn.XLOOKUP(M1604,Parâmetros!B:B,Parâmetros!C:C,_xlfn.XLOOKUP(Base!M1609,Parâmetros!G:G,Parâmetros!H:H))</f>
        <v>INDEFINIDO</v>
      </c>
      <c r="P1604" s="1" t="str">
        <f>_xlfn.XLOOKUP(I1604,Parâmetros!A:A,Parâmetros!D:D,_xlfn.XLOOKUP(Q1604,Parâmetros!F:F,Parâmetros!I:I))</f>
        <v>SUPORTE OBT</v>
      </c>
      <c r="Q1604" s="1" t="str">
        <f t="shared" si="51"/>
        <v>COLUNA I</v>
      </c>
    </row>
    <row r="1605" spans="1:17" x14ac:dyDescent="0.25">
      <c r="A1605" s="1" t="str">
        <f>_xlfn.XLOOKUP(D1605,'Novo relatório'!B:B,'Novo relatório'!C:C,"RESOLVIDO")</f>
        <v>RESOLVIDO</v>
      </c>
      <c r="C1605" t="str">
        <f t="shared" si="50"/>
        <v>RESOLVIDO</v>
      </c>
      <c r="D1605" s="1">
        <v>3388561</v>
      </c>
      <c r="E1605" s="1" t="s">
        <v>24</v>
      </c>
      <c r="F1605" s="2">
        <v>45775.382638888892</v>
      </c>
      <c r="G1605" s="1">
        <v>4528489</v>
      </c>
      <c r="H1605" s="1" t="s">
        <v>2146</v>
      </c>
      <c r="I1605" s="1" t="s">
        <v>374</v>
      </c>
      <c r="J1605" s="2">
        <v>45775.87777777778</v>
      </c>
      <c r="K1605" s="2">
        <v>45776.364583333336</v>
      </c>
      <c r="L1605" s="1" t="s">
        <v>14</v>
      </c>
      <c r="M1605" s="1" t="str">
        <f>_xlfn.XLOOKUP(I1605,Parâmetros!A:A,Parâmetros!B:B,_xlfn.XLOOKUP(Q1605,Parâmetros!F:F,Parâmetros!G:G,"NOVA MENSAGEM"))</f>
        <v>FORMATO DE TEXTO</v>
      </c>
      <c r="N1605" s="1" t="str">
        <f>_xlfn.XLOOKUP(M1605,Parâmetros!K:K,Parâmetros!L:L,"")</f>
        <v>TEXTO FORA DO PADRÃO ACEITO NO CAMPO</v>
      </c>
      <c r="O1605" s="1" t="str">
        <f>_xlfn.XLOOKUP(M1605,Parâmetros!B:B,Parâmetros!C:C,_xlfn.XLOOKUP(Base!M1610,Parâmetros!G:G,Parâmetros!H:H))</f>
        <v>INDEFINIDO</v>
      </c>
      <c r="P1605" s="1" t="str">
        <f>_xlfn.XLOOKUP(I1605,Parâmetros!A:A,Parâmetros!D:D,_xlfn.XLOOKUP(Q1605,Parâmetros!F:F,Parâmetros!I:I))</f>
        <v>SUPORTE OBT</v>
      </c>
      <c r="Q1605" s="1" t="str">
        <f t="shared" si="51"/>
        <v>COLUNA I</v>
      </c>
    </row>
    <row r="1606" spans="1:17" x14ac:dyDescent="0.25">
      <c r="A1606" s="1" t="str">
        <f>_xlfn.XLOOKUP(D1606,'Novo relatório'!B:B,'Novo relatório'!C:C,"RESOLVIDO")</f>
        <v>RESOLVIDO</v>
      </c>
      <c r="C1606" t="str">
        <f t="shared" si="50"/>
        <v>RESOLVIDO</v>
      </c>
      <c r="D1606" s="1">
        <v>3388563</v>
      </c>
      <c r="E1606" s="1" t="s">
        <v>24</v>
      </c>
      <c r="F1606" s="2">
        <v>45775.535416666666</v>
      </c>
      <c r="G1606" s="1">
        <v>4528831</v>
      </c>
      <c r="H1606" s="1" t="s">
        <v>2152</v>
      </c>
      <c r="I1606" s="1" t="s">
        <v>374</v>
      </c>
      <c r="J1606" s="2">
        <v>45775.87777777778</v>
      </c>
      <c r="K1606" s="2">
        <v>45776.364583333336</v>
      </c>
      <c r="L1606" s="1" t="s">
        <v>14</v>
      </c>
      <c r="M1606" s="1" t="str">
        <f>_xlfn.XLOOKUP(I1606,Parâmetros!A:A,Parâmetros!B:B,_xlfn.XLOOKUP(Q1606,Parâmetros!F:F,Parâmetros!G:G,"NOVA MENSAGEM"))</f>
        <v>FORMATO DE TEXTO</v>
      </c>
      <c r="N1606" s="1" t="str">
        <f>_xlfn.XLOOKUP(M1606,Parâmetros!K:K,Parâmetros!L:L,"")</f>
        <v>TEXTO FORA DO PADRÃO ACEITO NO CAMPO</v>
      </c>
      <c r="O1606" s="1" t="str">
        <f>_xlfn.XLOOKUP(M1606,Parâmetros!B:B,Parâmetros!C:C,_xlfn.XLOOKUP(Base!M1616,Parâmetros!G:G,Parâmetros!H:H))</f>
        <v>INDEFINIDO</v>
      </c>
      <c r="P1606" s="1" t="str">
        <f>_xlfn.XLOOKUP(I1606,Parâmetros!A:A,Parâmetros!D:D,_xlfn.XLOOKUP(Q1606,Parâmetros!F:F,Parâmetros!I:I))</f>
        <v>SUPORTE OBT</v>
      </c>
      <c r="Q1606" s="1" t="str">
        <f t="shared" si="51"/>
        <v>COLUNA I</v>
      </c>
    </row>
    <row r="1607" spans="1:17" x14ac:dyDescent="0.25">
      <c r="A1607" s="1" t="str">
        <f>_xlfn.XLOOKUP(D1607,'Novo relatório'!B:B,'Novo relatório'!C:C,"RESOLVIDO")</f>
        <v>RESOLVIDO</v>
      </c>
      <c r="C1607" t="str">
        <f t="shared" si="50"/>
        <v>RESOLVIDO</v>
      </c>
      <c r="D1607" s="1">
        <v>3388564</v>
      </c>
      <c r="E1607" s="1" t="s">
        <v>24</v>
      </c>
      <c r="F1607" s="2">
        <v>45775.54583333333</v>
      </c>
      <c r="G1607" s="1">
        <v>4528839</v>
      </c>
      <c r="H1607" s="1" t="s">
        <v>2153</v>
      </c>
      <c r="I1607" s="1" t="s">
        <v>374</v>
      </c>
      <c r="J1607" s="2">
        <v>45775.87777777778</v>
      </c>
      <c r="K1607" s="2">
        <v>45776.364583333336</v>
      </c>
      <c r="L1607" s="1" t="s">
        <v>14</v>
      </c>
      <c r="M1607" s="1" t="str">
        <f>_xlfn.XLOOKUP(I1607,Parâmetros!A:A,Parâmetros!B:B,_xlfn.XLOOKUP(Q1607,Parâmetros!F:F,Parâmetros!G:G,"NOVA MENSAGEM"))</f>
        <v>FORMATO DE TEXTO</v>
      </c>
      <c r="N1607" s="1" t="str">
        <f>_xlfn.XLOOKUP(M1607,Parâmetros!K:K,Parâmetros!L:L,"")</f>
        <v>TEXTO FORA DO PADRÃO ACEITO NO CAMPO</v>
      </c>
      <c r="O1607" s="1" t="str">
        <f>_xlfn.XLOOKUP(M1607,Parâmetros!B:B,Parâmetros!C:C,_xlfn.XLOOKUP(Base!M1617,Parâmetros!G:G,Parâmetros!H:H))</f>
        <v>INDEFINIDO</v>
      </c>
      <c r="P1607" s="1" t="str">
        <f>_xlfn.XLOOKUP(I1607,Parâmetros!A:A,Parâmetros!D:D,_xlfn.XLOOKUP(Q1607,Parâmetros!F:F,Parâmetros!I:I))</f>
        <v>SUPORTE OBT</v>
      </c>
      <c r="Q1607" s="1" t="str">
        <f t="shared" si="51"/>
        <v>COLUNA I</v>
      </c>
    </row>
    <row r="1608" spans="1:17" x14ac:dyDescent="0.25">
      <c r="A1608" s="1" t="str">
        <f>_xlfn.XLOOKUP(D1608,'Novo relatório'!B:B,'Novo relatório'!C:C,"RESOLVIDO")</f>
        <v>RESOLVIDO</v>
      </c>
      <c r="C1608" t="str">
        <f t="shared" si="50"/>
        <v>RESOLVIDO</v>
      </c>
      <c r="D1608" s="1">
        <v>3388565</v>
      </c>
      <c r="E1608" s="1" t="s">
        <v>24</v>
      </c>
      <c r="F1608" s="2">
        <v>45775.56527777778</v>
      </c>
      <c r="G1608" s="1">
        <v>4528865</v>
      </c>
      <c r="H1608" s="1" t="s">
        <v>2154</v>
      </c>
      <c r="I1608" s="1" t="s">
        <v>374</v>
      </c>
      <c r="J1608" s="2">
        <v>45775.87777777778</v>
      </c>
      <c r="K1608" s="2">
        <v>45776.364583333336</v>
      </c>
      <c r="L1608" s="1" t="s">
        <v>14</v>
      </c>
      <c r="M1608" s="1" t="str">
        <f>_xlfn.XLOOKUP(I1608,Parâmetros!A:A,Parâmetros!B:B,_xlfn.XLOOKUP(Q1608,Parâmetros!F:F,Parâmetros!G:G,"NOVA MENSAGEM"))</f>
        <v>FORMATO DE TEXTO</v>
      </c>
      <c r="N1608" s="1" t="str">
        <f>_xlfn.XLOOKUP(M1608,Parâmetros!K:K,Parâmetros!L:L,"")</f>
        <v>TEXTO FORA DO PADRÃO ACEITO NO CAMPO</v>
      </c>
      <c r="O1608" s="1" t="str">
        <f>_xlfn.XLOOKUP(M1608,Parâmetros!B:B,Parâmetros!C:C,_xlfn.XLOOKUP(Base!M1618,Parâmetros!G:G,Parâmetros!H:H))</f>
        <v>INDEFINIDO</v>
      </c>
      <c r="P1608" s="1" t="str">
        <f>_xlfn.XLOOKUP(I1608,Parâmetros!A:A,Parâmetros!D:D,_xlfn.XLOOKUP(Q1608,Parâmetros!F:F,Parâmetros!I:I))</f>
        <v>SUPORTE OBT</v>
      </c>
      <c r="Q1608" s="1" t="str">
        <f t="shared" si="51"/>
        <v>COLUNA I</v>
      </c>
    </row>
    <row r="1609" spans="1:17" x14ac:dyDescent="0.25">
      <c r="A1609" s="1" t="str">
        <f>_xlfn.XLOOKUP(D1609,'Novo relatório'!B:B,'Novo relatório'!C:C,"RESOLVIDO")</f>
        <v>RESOLVIDO</v>
      </c>
      <c r="C1609" t="str">
        <f t="shared" si="50"/>
        <v>RESOLVIDO</v>
      </c>
      <c r="D1609" s="1">
        <v>3388566</v>
      </c>
      <c r="E1609" s="1" t="s">
        <v>24</v>
      </c>
      <c r="F1609" s="2">
        <v>45775.56527777778</v>
      </c>
      <c r="G1609" s="1">
        <v>4528865</v>
      </c>
      <c r="H1609" s="1" t="s">
        <v>2155</v>
      </c>
      <c r="I1609" s="1" t="s">
        <v>374</v>
      </c>
      <c r="J1609" s="2">
        <v>45775.87777777778</v>
      </c>
      <c r="K1609" s="2">
        <v>45776.364583333336</v>
      </c>
      <c r="L1609" s="1" t="s">
        <v>14</v>
      </c>
      <c r="M1609" s="1" t="str">
        <f>_xlfn.XLOOKUP(I1609,Parâmetros!A:A,Parâmetros!B:B,_xlfn.XLOOKUP(Q1609,Parâmetros!F:F,Parâmetros!G:G,"NOVA MENSAGEM"))</f>
        <v>FORMATO DE TEXTO</v>
      </c>
      <c r="N1609" s="1" t="str">
        <f>_xlfn.XLOOKUP(M1609,Parâmetros!K:K,Parâmetros!L:L,"")</f>
        <v>TEXTO FORA DO PADRÃO ACEITO NO CAMPO</v>
      </c>
      <c r="O1609" s="1" t="str">
        <f>_xlfn.XLOOKUP(M1609,Parâmetros!B:B,Parâmetros!C:C,_xlfn.XLOOKUP(Base!M1619,Parâmetros!G:G,Parâmetros!H:H))</f>
        <v>INDEFINIDO</v>
      </c>
      <c r="P1609" s="1" t="str">
        <f>_xlfn.XLOOKUP(I1609,Parâmetros!A:A,Parâmetros!D:D,_xlfn.XLOOKUP(Q1609,Parâmetros!F:F,Parâmetros!I:I))</f>
        <v>SUPORTE OBT</v>
      </c>
      <c r="Q1609" s="1" t="str">
        <f t="shared" si="51"/>
        <v>COLUNA I</v>
      </c>
    </row>
    <row r="1610" spans="1:17" x14ac:dyDescent="0.25">
      <c r="A1610" s="1" t="str">
        <f>_xlfn.XLOOKUP(D1610,'Novo relatório'!B:B,'Novo relatório'!C:C,"RESOLVIDO")</f>
        <v>RESOLVIDO</v>
      </c>
      <c r="C1610" t="str">
        <f t="shared" si="50"/>
        <v>RESOLVIDO</v>
      </c>
      <c r="D1610" s="1">
        <v>3388567</v>
      </c>
      <c r="E1610" s="1" t="s">
        <v>24</v>
      </c>
      <c r="F1610" s="2">
        <v>45775.581250000003</v>
      </c>
      <c r="G1610" s="1">
        <v>4528898</v>
      </c>
      <c r="H1610" s="1" t="s">
        <v>2156</v>
      </c>
      <c r="I1610" s="1" t="s">
        <v>374</v>
      </c>
      <c r="J1610" s="2">
        <v>45775.87777777778</v>
      </c>
      <c r="K1610" s="2">
        <v>45776.364583333336</v>
      </c>
      <c r="L1610" s="1" t="s">
        <v>14</v>
      </c>
      <c r="M1610" s="1" t="str">
        <f>_xlfn.XLOOKUP(I1610,Parâmetros!A:A,Parâmetros!B:B,_xlfn.XLOOKUP(Q1610,Parâmetros!F:F,Parâmetros!G:G,"NOVA MENSAGEM"))</f>
        <v>FORMATO DE TEXTO</v>
      </c>
      <c r="N1610" s="1" t="str">
        <f>_xlfn.XLOOKUP(M1610,Parâmetros!K:K,Parâmetros!L:L,"")</f>
        <v>TEXTO FORA DO PADRÃO ACEITO NO CAMPO</v>
      </c>
      <c r="O1610" s="1" t="str">
        <f>_xlfn.XLOOKUP(M1610,Parâmetros!B:B,Parâmetros!C:C,_xlfn.XLOOKUP(Base!M1620,Parâmetros!G:G,Parâmetros!H:H))</f>
        <v>INDEFINIDO</v>
      </c>
      <c r="P1610" s="1" t="str">
        <f>_xlfn.XLOOKUP(I1610,Parâmetros!A:A,Parâmetros!D:D,_xlfn.XLOOKUP(Q1610,Parâmetros!F:F,Parâmetros!I:I))</f>
        <v>SUPORTE OBT</v>
      </c>
      <c r="Q1610" s="1" t="str">
        <f t="shared" si="51"/>
        <v>COLUNA I</v>
      </c>
    </row>
    <row r="1611" spans="1:17" x14ac:dyDescent="0.25">
      <c r="A1611" s="1" t="str">
        <f>_xlfn.XLOOKUP(D1611,'Novo relatório'!B:B,'Novo relatório'!C:C,"RESOLVIDO")</f>
        <v>RESOLVIDO</v>
      </c>
      <c r="C1611" t="str">
        <f t="shared" si="50"/>
        <v>RESOLVIDO</v>
      </c>
      <c r="D1611" s="1">
        <v>3388570</v>
      </c>
      <c r="E1611" s="1" t="s">
        <v>24</v>
      </c>
      <c r="F1611" s="2">
        <v>45775.6</v>
      </c>
      <c r="G1611" s="1">
        <v>4528937</v>
      </c>
      <c r="H1611" s="1" t="s">
        <v>2158</v>
      </c>
      <c r="I1611" s="1" t="s">
        <v>374</v>
      </c>
      <c r="J1611" s="2">
        <v>45775.87777777778</v>
      </c>
      <c r="K1611" s="2">
        <v>45776.364583333336</v>
      </c>
      <c r="L1611" s="1" t="s">
        <v>14</v>
      </c>
      <c r="M1611" s="1" t="str">
        <f>_xlfn.XLOOKUP(I1611,Parâmetros!A:A,Parâmetros!B:B,_xlfn.XLOOKUP(Q1611,Parâmetros!F:F,Parâmetros!G:G,"NOVA MENSAGEM"))</f>
        <v>FORMATO DE TEXTO</v>
      </c>
      <c r="N1611" s="1" t="str">
        <f>_xlfn.XLOOKUP(M1611,Parâmetros!K:K,Parâmetros!L:L,"")</f>
        <v>TEXTO FORA DO PADRÃO ACEITO NO CAMPO</v>
      </c>
      <c r="O1611" s="1" t="str">
        <f>_xlfn.XLOOKUP(M1611,Parâmetros!B:B,Parâmetros!C:C,_xlfn.XLOOKUP(Base!M1622,Parâmetros!G:G,Parâmetros!H:H))</f>
        <v>INDEFINIDO</v>
      </c>
      <c r="P1611" s="1" t="str">
        <f>_xlfn.XLOOKUP(I1611,Parâmetros!A:A,Parâmetros!D:D,_xlfn.XLOOKUP(Q1611,Parâmetros!F:F,Parâmetros!I:I))</f>
        <v>SUPORTE OBT</v>
      </c>
      <c r="Q1611" s="1" t="str">
        <f t="shared" si="51"/>
        <v>COLUNA I</v>
      </c>
    </row>
    <row r="1612" spans="1:17" x14ac:dyDescent="0.25">
      <c r="A1612" s="1" t="str">
        <f>_xlfn.XLOOKUP(D1612,'Novo relatório'!B:B,'Novo relatório'!C:C,"RESOLVIDO")</f>
        <v>RESOLVIDO</v>
      </c>
      <c r="C1612" t="str">
        <f t="shared" si="50"/>
        <v>RESOLVIDO</v>
      </c>
      <c r="D1612" s="1">
        <v>3388571</v>
      </c>
      <c r="E1612" s="1" t="s">
        <v>24</v>
      </c>
      <c r="F1612" s="2">
        <v>45775.61041666667</v>
      </c>
      <c r="G1612" s="1">
        <v>4528962</v>
      </c>
      <c r="H1612" s="1" t="s">
        <v>2159</v>
      </c>
      <c r="I1612" s="1" t="s">
        <v>374</v>
      </c>
      <c r="J1612" s="2">
        <v>45775.87777777778</v>
      </c>
      <c r="K1612" s="2">
        <v>45776.364583333336</v>
      </c>
      <c r="L1612" s="1" t="s">
        <v>14</v>
      </c>
      <c r="M1612" s="1" t="str">
        <f>_xlfn.XLOOKUP(I1612,Parâmetros!A:A,Parâmetros!B:B,_xlfn.XLOOKUP(Q1612,Parâmetros!F:F,Parâmetros!G:G,"NOVA MENSAGEM"))</f>
        <v>FORMATO DE TEXTO</v>
      </c>
      <c r="N1612" s="1" t="str">
        <f>_xlfn.XLOOKUP(M1612,Parâmetros!K:K,Parâmetros!L:L,"")</f>
        <v>TEXTO FORA DO PADRÃO ACEITO NO CAMPO</v>
      </c>
      <c r="O1612" s="1" t="str">
        <f>_xlfn.XLOOKUP(M1612,Parâmetros!B:B,Parâmetros!C:C,_xlfn.XLOOKUP(Base!M1623,Parâmetros!G:G,Parâmetros!H:H))</f>
        <v>INDEFINIDO</v>
      </c>
      <c r="P1612" s="1" t="str">
        <f>_xlfn.XLOOKUP(I1612,Parâmetros!A:A,Parâmetros!D:D,_xlfn.XLOOKUP(Q1612,Parâmetros!F:F,Parâmetros!I:I))</f>
        <v>SUPORTE OBT</v>
      </c>
      <c r="Q1612" s="1" t="str">
        <f t="shared" si="51"/>
        <v>COLUNA I</v>
      </c>
    </row>
    <row r="1613" spans="1:17" x14ac:dyDescent="0.25">
      <c r="A1613" s="1" t="str">
        <f>_xlfn.XLOOKUP(D1613,'Novo relatório'!B:B,'Novo relatório'!C:C,"RESOLVIDO")</f>
        <v>RESOLVIDO</v>
      </c>
      <c r="C1613" t="str">
        <f t="shared" si="50"/>
        <v>RESOLVIDO</v>
      </c>
      <c r="D1613" s="1">
        <v>3388573</v>
      </c>
      <c r="E1613" s="1" t="s">
        <v>24</v>
      </c>
      <c r="F1613" s="2">
        <v>45775.634722222225</v>
      </c>
      <c r="G1613" s="1">
        <v>4529019</v>
      </c>
      <c r="H1613" s="1" t="s">
        <v>2160</v>
      </c>
      <c r="I1613" s="1" t="s">
        <v>374</v>
      </c>
      <c r="J1613" s="2">
        <v>45775.87777777778</v>
      </c>
      <c r="K1613" s="2">
        <v>45776.364583333336</v>
      </c>
      <c r="L1613" s="1" t="s">
        <v>14</v>
      </c>
      <c r="M1613" s="1" t="str">
        <f>_xlfn.XLOOKUP(I1613,Parâmetros!A:A,Parâmetros!B:B,_xlfn.XLOOKUP(Q1613,Parâmetros!F:F,Parâmetros!G:G,"NOVA MENSAGEM"))</f>
        <v>FORMATO DE TEXTO</v>
      </c>
      <c r="N1613" s="1" t="str">
        <f>_xlfn.XLOOKUP(M1613,Parâmetros!K:K,Parâmetros!L:L,"")</f>
        <v>TEXTO FORA DO PADRÃO ACEITO NO CAMPO</v>
      </c>
      <c r="O1613" s="1" t="str">
        <f>_xlfn.XLOOKUP(M1613,Parâmetros!B:B,Parâmetros!C:C,_xlfn.XLOOKUP(Base!M1624,Parâmetros!G:G,Parâmetros!H:H))</f>
        <v>INDEFINIDO</v>
      </c>
      <c r="P1613" s="1" t="str">
        <f>_xlfn.XLOOKUP(I1613,Parâmetros!A:A,Parâmetros!D:D,_xlfn.XLOOKUP(Q1613,Parâmetros!F:F,Parâmetros!I:I))</f>
        <v>SUPORTE OBT</v>
      </c>
      <c r="Q1613" s="1" t="str">
        <f t="shared" si="51"/>
        <v>COLUNA I</v>
      </c>
    </row>
    <row r="1614" spans="1:17" x14ac:dyDescent="0.25">
      <c r="A1614" s="1" t="str">
        <f>_xlfn.XLOOKUP(D1614,'Novo relatório'!B:B,'Novo relatório'!C:C,"RESOLVIDO")</f>
        <v>RESOLVIDO</v>
      </c>
      <c r="C1614" t="str">
        <f t="shared" si="50"/>
        <v>RESOLVIDO</v>
      </c>
      <c r="D1614" s="1">
        <v>3388574</v>
      </c>
      <c r="E1614" s="1" t="s">
        <v>24</v>
      </c>
      <c r="F1614" s="2">
        <v>45775.638194444444</v>
      </c>
      <c r="G1614" s="1">
        <v>4529025</v>
      </c>
      <c r="H1614" s="1" t="s">
        <v>2161</v>
      </c>
      <c r="I1614" s="1" t="s">
        <v>374</v>
      </c>
      <c r="J1614" s="2">
        <v>45775.87777777778</v>
      </c>
      <c r="K1614" s="2">
        <v>45776.364583333336</v>
      </c>
      <c r="L1614" s="1" t="s">
        <v>14</v>
      </c>
      <c r="M1614" s="1" t="str">
        <f>_xlfn.XLOOKUP(I1614,Parâmetros!A:A,Parâmetros!B:B,_xlfn.XLOOKUP(Q1614,Parâmetros!F:F,Parâmetros!G:G,"NOVA MENSAGEM"))</f>
        <v>FORMATO DE TEXTO</v>
      </c>
      <c r="N1614" s="1" t="str">
        <f>_xlfn.XLOOKUP(M1614,Parâmetros!K:K,Parâmetros!L:L,"")</f>
        <v>TEXTO FORA DO PADRÃO ACEITO NO CAMPO</v>
      </c>
      <c r="O1614" s="1" t="str">
        <f>_xlfn.XLOOKUP(M1614,Parâmetros!B:B,Parâmetros!C:C,_xlfn.XLOOKUP(Base!M1625,Parâmetros!G:G,Parâmetros!H:H))</f>
        <v>INDEFINIDO</v>
      </c>
      <c r="P1614" s="1" t="str">
        <f>_xlfn.XLOOKUP(I1614,Parâmetros!A:A,Parâmetros!D:D,_xlfn.XLOOKUP(Q1614,Parâmetros!F:F,Parâmetros!I:I))</f>
        <v>SUPORTE OBT</v>
      </c>
      <c r="Q1614" s="1" t="str">
        <f t="shared" si="51"/>
        <v>COLUNA I</v>
      </c>
    </row>
    <row r="1615" spans="1:17" x14ac:dyDescent="0.25">
      <c r="A1615" s="1" t="str">
        <f>_xlfn.XLOOKUP(D1615,'Novo relatório'!B:B,'Novo relatório'!C:C,"RESOLVIDO")</f>
        <v>RESOLVIDO</v>
      </c>
      <c r="C1615" t="str">
        <f t="shared" si="50"/>
        <v>RESOLVIDO</v>
      </c>
      <c r="D1615" s="1">
        <v>3388575</v>
      </c>
      <c r="E1615" s="1" t="s">
        <v>24</v>
      </c>
      <c r="F1615" s="2">
        <v>45775.647222222222</v>
      </c>
      <c r="G1615" s="1">
        <v>4529041</v>
      </c>
      <c r="H1615" s="1" t="s">
        <v>2162</v>
      </c>
      <c r="I1615" s="1" t="s">
        <v>374</v>
      </c>
      <c r="J1615" s="2">
        <v>45775.87777777778</v>
      </c>
      <c r="K1615" s="2">
        <v>45776.364583333336</v>
      </c>
      <c r="L1615" s="1" t="s">
        <v>14</v>
      </c>
      <c r="M1615" s="1" t="str">
        <f>_xlfn.XLOOKUP(I1615,Parâmetros!A:A,Parâmetros!B:B,_xlfn.XLOOKUP(Q1615,Parâmetros!F:F,Parâmetros!G:G,"NOVA MENSAGEM"))</f>
        <v>FORMATO DE TEXTO</v>
      </c>
      <c r="N1615" s="1" t="str">
        <f>_xlfn.XLOOKUP(M1615,Parâmetros!K:K,Parâmetros!L:L,"")</f>
        <v>TEXTO FORA DO PADRÃO ACEITO NO CAMPO</v>
      </c>
      <c r="O1615" s="1" t="str">
        <f>_xlfn.XLOOKUP(M1615,Parâmetros!B:B,Parâmetros!C:C,_xlfn.XLOOKUP(Base!M1626,Parâmetros!G:G,Parâmetros!H:H))</f>
        <v>INDEFINIDO</v>
      </c>
      <c r="P1615" s="1" t="str">
        <f>_xlfn.XLOOKUP(I1615,Parâmetros!A:A,Parâmetros!D:D,_xlfn.XLOOKUP(Q1615,Parâmetros!F:F,Parâmetros!I:I))</f>
        <v>SUPORTE OBT</v>
      </c>
      <c r="Q1615" s="1" t="str">
        <f t="shared" si="51"/>
        <v>COLUNA I</v>
      </c>
    </row>
    <row r="1616" spans="1:17" x14ac:dyDescent="0.25">
      <c r="A1616" s="1" t="str">
        <f>_xlfn.XLOOKUP(D1616,'Novo relatório'!B:B,'Novo relatório'!C:C,"RESOLVIDO")</f>
        <v>RESOLVIDO</v>
      </c>
      <c r="C1616" t="str">
        <f t="shared" si="50"/>
        <v>RESOLVIDO</v>
      </c>
      <c r="D1616" s="1">
        <v>3388576</v>
      </c>
      <c r="E1616" s="1" t="s">
        <v>24</v>
      </c>
      <c r="F1616" s="2">
        <v>45775.672222222223</v>
      </c>
      <c r="G1616" s="1">
        <v>4529109</v>
      </c>
      <c r="H1616" s="1" t="s">
        <v>2164</v>
      </c>
      <c r="I1616" s="1" t="s">
        <v>374</v>
      </c>
      <c r="J1616" s="2">
        <v>45775.87777777778</v>
      </c>
      <c r="K1616" s="2">
        <v>45776.364583333336</v>
      </c>
      <c r="L1616" s="1" t="s">
        <v>14</v>
      </c>
      <c r="M1616" s="1" t="str">
        <f>_xlfn.XLOOKUP(I1616,Parâmetros!A:A,Parâmetros!B:B,_xlfn.XLOOKUP(Q1616,Parâmetros!F:F,Parâmetros!G:G,"NOVA MENSAGEM"))</f>
        <v>FORMATO DE TEXTO</v>
      </c>
      <c r="N1616" s="1" t="str">
        <f>_xlfn.XLOOKUP(M1616,Parâmetros!K:K,Parâmetros!L:L,"")</f>
        <v>TEXTO FORA DO PADRÃO ACEITO NO CAMPO</v>
      </c>
      <c r="O1616" s="1" t="str">
        <f>_xlfn.XLOOKUP(M1616,Parâmetros!B:B,Parâmetros!C:C,_xlfn.XLOOKUP(Base!M1628,Parâmetros!G:G,Parâmetros!H:H))</f>
        <v>INDEFINIDO</v>
      </c>
      <c r="P1616" s="1" t="str">
        <f>_xlfn.XLOOKUP(I1616,Parâmetros!A:A,Parâmetros!D:D,_xlfn.XLOOKUP(Q1616,Parâmetros!F:F,Parâmetros!I:I))</f>
        <v>SUPORTE OBT</v>
      </c>
      <c r="Q1616" s="1" t="str">
        <f t="shared" si="51"/>
        <v>COLUNA I</v>
      </c>
    </row>
    <row r="1617" spans="1:17" x14ac:dyDescent="0.25">
      <c r="A1617" s="1" t="str">
        <f>_xlfn.XLOOKUP(D1617,'Novo relatório'!B:B,'Novo relatório'!C:C,"RESOLVIDO")</f>
        <v>RESOLVIDO</v>
      </c>
      <c r="C1617" t="str">
        <f t="shared" si="50"/>
        <v>RESOLVIDO</v>
      </c>
      <c r="D1617" s="1">
        <v>3388577</v>
      </c>
      <c r="E1617" s="1" t="s">
        <v>24</v>
      </c>
      <c r="F1617" s="2">
        <v>45775.70416666667</v>
      </c>
      <c r="G1617" s="1">
        <v>4529197</v>
      </c>
      <c r="H1617" s="1" t="s">
        <v>2167</v>
      </c>
      <c r="I1617" s="1" t="s">
        <v>374</v>
      </c>
      <c r="J1617" s="2">
        <v>45775.87777777778</v>
      </c>
      <c r="K1617" s="2">
        <v>45776.364583333336</v>
      </c>
      <c r="L1617" s="1" t="s">
        <v>14</v>
      </c>
      <c r="M1617" s="1" t="str">
        <f>_xlfn.XLOOKUP(I1617,Parâmetros!A:A,Parâmetros!B:B,_xlfn.XLOOKUP(Q1617,Parâmetros!F:F,Parâmetros!G:G,"NOVA MENSAGEM"))</f>
        <v>FORMATO DE TEXTO</v>
      </c>
      <c r="N1617" s="1" t="str">
        <f>_xlfn.XLOOKUP(M1617,Parâmetros!K:K,Parâmetros!L:L,"")</f>
        <v>TEXTO FORA DO PADRÃO ACEITO NO CAMPO</v>
      </c>
      <c r="O1617" s="1" t="str">
        <f>_xlfn.XLOOKUP(M1617,Parâmetros!B:B,Parâmetros!C:C,_xlfn.XLOOKUP(Base!M1631,Parâmetros!G:G,Parâmetros!H:H))</f>
        <v>INDEFINIDO</v>
      </c>
      <c r="P1617" s="1" t="str">
        <f>_xlfn.XLOOKUP(I1617,Parâmetros!A:A,Parâmetros!D:D,_xlfn.XLOOKUP(Q1617,Parâmetros!F:F,Parâmetros!I:I))</f>
        <v>SUPORTE OBT</v>
      </c>
      <c r="Q1617" s="1" t="str">
        <f t="shared" si="51"/>
        <v>COLUNA I</v>
      </c>
    </row>
    <row r="1618" spans="1:17" x14ac:dyDescent="0.25">
      <c r="A1618" s="1" t="str">
        <f>_xlfn.XLOOKUP(D1618,'Novo relatório'!B:B,'Novo relatório'!C:C,"RESOLVIDO")</f>
        <v>RESOLVIDO</v>
      </c>
      <c r="C1618" t="str">
        <f t="shared" si="50"/>
        <v>RESOLVIDO</v>
      </c>
      <c r="D1618" s="1">
        <v>3388578</v>
      </c>
      <c r="E1618" s="1" t="s">
        <v>24</v>
      </c>
      <c r="F1618" s="2">
        <v>45775.719444444447</v>
      </c>
      <c r="G1618" s="1">
        <v>4529213</v>
      </c>
      <c r="H1618" s="1" t="s">
        <v>2168</v>
      </c>
      <c r="I1618" s="1" t="s">
        <v>374</v>
      </c>
      <c r="J1618" s="2">
        <v>45775.87777777778</v>
      </c>
      <c r="K1618" s="2">
        <v>45776.364583333336</v>
      </c>
      <c r="L1618" s="1" t="s">
        <v>14</v>
      </c>
      <c r="M1618" s="1" t="str">
        <f>_xlfn.XLOOKUP(I1618,Parâmetros!A:A,Parâmetros!B:B,_xlfn.XLOOKUP(Q1618,Parâmetros!F:F,Parâmetros!G:G,"NOVA MENSAGEM"))</f>
        <v>FORMATO DE TEXTO</v>
      </c>
      <c r="N1618" s="1" t="str">
        <f>_xlfn.XLOOKUP(M1618,Parâmetros!K:K,Parâmetros!L:L,"")</f>
        <v>TEXTO FORA DO PADRÃO ACEITO NO CAMPO</v>
      </c>
      <c r="O1618" s="1" t="str">
        <f>_xlfn.XLOOKUP(M1618,Parâmetros!B:B,Parâmetros!C:C,_xlfn.XLOOKUP(Base!M1632,Parâmetros!G:G,Parâmetros!H:H))</f>
        <v>INDEFINIDO</v>
      </c>
      <c r="P1618" s="1" t="str">
        <f>_xlfn.XLOOKUP(I1618,Parâmetros!A:A,Parâmetros!D:D,_xlfn.XLOOKUP(Q1618,Parâmetros!F:F,Parâmetros!I:I))</f>
        <v>SUPORTE OBT</v>
      </c>
      <c r="Q1618" s="1" t="str">
        <f t="shared" si="51"/>
        <v>COLUNA I</v>
      </c>
    </row>
    <row r="1619" spans="1:17" x14ac:dyDescent="0.25">
      <c r="A1619" s="1" t="str">
        <f>_xlfn.XLOOKUP(D1619,'Novo relatório'!B:B,'Novo relatório'!C:C,"RESOLVIDO")</f>
        <v>RESOLVIDO</v>
      </c>
      <c r="C1619" t="str">
        <f t="shared" si="50"/>
        <v>RESOLVIDO</v>
      </c>
      <c r="D1619" s="1">
        <v>3388579</v>
      </c>
      <c r="E1619" s="1" t="s">
        <v>24</v>
      </c>
      <c r="F1619" s="2">
        <v>45775.736111111109</v>
      </c>
      <c r="G1619" s="1">
        <v>4529239</v>
      </c>
      <c r="H1619" s="1" t="s">
        <v>2171</v>
      </c>
      <c r="I1619" s="1" t="s">
        <v>374</v>
      </c>
      <c r="J1619" s="2">
        <v>45775.87777777778</v>
      </c>
      <c r="K1619" s="2">
        <v>45776.364583333336</v>
      </c>
      <c r="L1619" s="1" t="s">
        <v>14</v>
      </c>
      <c r="M1619" s="1" t="str">
        <f>_xlfn.XLOOKUP(I1619,Parâmetros!A:A,Parâmetros!B:B,_xlfn.XLOOKUP(Q1619,Parâmetros!F:F,Parâmetros!G:G,"NOVA MENSAGEM"))</f>
        <v>FORMATO DE TEXTO</v>
      </c>
      <c r="N1619" s="1" t="str">
        <f>_xlfn.XLOOKUP(M1619,Parâmetros!K:K,Parâmetros!L:L,"")</f>
        <v>TEXTO FORA DO PADRÃO ACEITO NO CAMPO</v>
      </c>
      <c r="O1619" s="1" t="str">
        <f>_xlfn.XLOOKUP(M1619,Parâmetros!B:B,Parâmetros!C:C,_xlfn.XLOOKUP(Base!M1635,Parâmetros!G:G,Parâmetros!H:H))</f>
        <v>INDEFINIDO</v>
      </c>
      <c r="P1619" s="1" t="str">
        <f>_xlfn.XLOOKUP(I1619,Parâmetros!A:A,Parâmetros!D:D,_xlfn.XLOOKUP(Q1619,Parâmetros!F:F,Parâmetros!I:I))</f>
        <v>SUPORTE OBT</v>
      </c>
      <c r="Q1619" s="1" t="str">
        <f t="shared" si="51"/>
        <v>COLUNA I</v>
      </c>
    </row>
    <row r="1620" spans="1:17" x14ac:dyDescent="0.25">
      <c r="A1620" s="1" t="str">
        <f>_xlfn.XLOOKUP(D1620,'Novo relatório'!B:B,'Novo relatório'!C:C,"RESOLVIDO")</f>
        <v>RESOLVIDO</v>
      </c>
      <c r="C1620" t="str">
        <f t="shared" si="50"/>
        <v>RESOLVIDO</v>
      </c>
      <c r="D1620" s="1">
        <v>3388580</v>
      </c>
      <c r="E1620" s="1" t="s">
        <v>24</v>
      </c>
      <c r="F1620" s="2">
        <v>45775.76458333333</v>
      </c>
      <c r="G1620" s="1">
        <v>4529266</v>
      </c>
      <c r="H1620" s="1" t="s">
        <v>2172</v>
      </c>
      <c r="I1620" s="1" t="s">
        <v>374</v>
      </c>
      <c r="J1620" s="2">
        <v>45775.884722222225</v>
      </c>
      <c r="K1620" s="2">
        <v>45776.364583333336</v>
      </c>
      <c r="L1620" s="1" t="s">
        <v>14</v>
      </c>
      <c r="M1620" s="1" t="str">
        <f>_xlfn.XLOOKUP(I1620,Parâmetros!A:A,Parâmetros!B:B,_xlfn.XLOOKUP(Q1620,Parâmetros!F:F,Parâmetros!G:G,"NOVA MENSAGEM"))</f>
        <v>FORMATO DE TEXTO</v>
      </c>
      <c r="N1620" s="1" t="str">
        <f>_xlfn.XLOOKUP(M1620,Parâmetros!K:K,Parâmetros!L:L,"")</f>
        <v>TEXTO FORA DO PADRÃO ACEITO NO CAMPO</v>
      </c>
      <c r="O1620" s="1" t="str">
        <f>_xlfn.XLOOKUP(M1620,Parâmetros!B:B,Parâmetros!C:C,_xlfn.XLOOKUP(Base!M1636,Parâmetros!G:G,Parâmetros!H:H))</f>
        <v>INDEFINIDO</v>
      </c>
      <c r="P1620" s="1" t="str">
        <f>_xlfn.XLOOKUP(I1620,Parâmetros!A:A,Parâmetros!D:D,_xlfn.XLOOKUP(Q1620,Parâmetros!F:F,Parâmetros!I:I))</f>
        <v>SUPORTE OBT</v>
      </c>
      <c r="Q1620" s="1" t="str">
        <f t="shared" si="51"/>
        <v>COLUNA I</v>
      </c>
    </row>
    <row r="1621" spans="1:17" x14ac:dyDescent="0.25">
      <c r="A1621" s="1" t="str">
        <f>_xlfn.XLOOKUP(D1621,'Novo relatório'!B:B,'Novo relatório'!C:C,"RESOLVIDO")</f>
        <v>RESOLVIDO</v>
      </c>
      <c r="C1621" t="str">
        <f t="shared" si="50"/>
        <v>RESOLVIDO</v>
      </c>
      <c r="D1621" s="1">
        <v>3388581</v>
      </c>
      <c r="E1621" s="1" t="s">
        <v>24</v>
      </c>
      <c r="F1621" s="2">
        <v>45772.734027777777</v>
      </c>
      <c r="G1621" s="1">
        <v>4528232</v>
      </c>
      <c r="H1621" s="1" t="s">
        <v>2141</v>
      </c>
      <c r="I1621" s="1" t="s">
        <v>374</v>
      </c>
      <c r="J1621" s="2">
        <v>45775.89166666667</v>
      </c>
      <c r="K1621" s="2">
        <v>45776.363888888889</v>
      </c>
      <c r="L1621" s="1" t="s">
        <v>14</v>
      </c>
      <c r="M1621" s="1" t="str">
        <f>_xlfn.XLOOKUP(I1621,Parâmetros!A:A,Parâmetros!B:B,_xlfn.XLOOKUP(Q1621,Parâmetros!F:F,Parâmetros!G:G,"NOVA MENSAGEM"))</f>
        <v>FORMATO DE TEXTO</v>
      </c>
      <c r="N1621" s="1" t="str">
        <f>_xlfn.XLOOKUP(M1621,Parâmetros!K:K,Parâmetros!L:L,"")</f>
        <v>TEXTO FORA DO PADRÃO ACEITO NO CAMPO</v>
      </c>
      <c r="O1621" s="1" t="str">
        <f>_xlfn.XLOOKUP(M1621,Parâmetros!B:B,Parâmetros!C:C,_xlfn.XLOOKUP(Base!M1605,Parâmetros!G:G,Parâmetros!H:H))</f>
        <v>INDEFINIDO</v>
      </c>
      <c r="P1621" s="1" t="str">
        <f>_xlfn.XLOOKUP(I1621,Parâmetros!A:A,Parâmetros!D:D,_xlfn.XLOOKUP(Q1621,Parâmetros!F:F,Parâmetros!I:I))</f>
        <v>SUPORTE OBT</v>
      </c>
      <c r="Q1621" s="1" t="str">
        <f t="shared" si="51"/>
        <v>COLUNA I</v>
      </c>
    </row>
    <row r="1622" spans="1:17" x14ac:dyDescent="0.25">
      <c r="A1622" s="1" t="str">
        <f>_xlfn.XLOOKUP(D1622,'Novo relatório'!B:B,'Novo relatório'!C:C,"RESOLVIDO")</f>
        <v>RESOLVIDO</v>
      </c>
      <c r="C1622" t="str">
        <f t="shared" si="50"/>
        <v>RESOLVIDO</v>
      </c>
      <c r="D1622" s="1">
        <v>3388582</v>
      </c>
      <c r="E1622" s="1" t="s">
        <v>24</v>
      </c>
      <c r="F1622" s="2">
        <v>45774.056250000001</v>
      </c>
      <c r="G1622" s="1">
        <v>4528364</v>
      </c>
      <c r="H1622" s="1" t="s">
        <v>2142</v>
      </c>
      <c r="I1622" s="1" t="s">
        <v>374</v>
      </c>
      <c r="J1622" s="2">
        <v>45775.89166666667</v>
      </c>
      <c r="K1622" s="2">
        <v>45776.363888888889</v>
      </c>
      <c r="L1622" s="1" t="s">
        <v>14</v>
      </c>
      <c r="M1622" s="1" t="str">
        <f>_xlfn.XLOOKUP(I1622,Parâmetros!A:A,Parâmetros!B:B,_xlfn.XLOOKUP(Q1622,Parâmetros!F:F,Parâmetros!G:G,"NOVA MENSAGEM"))</f>
        <v>FORMATO DE TEXTO</v>
      </c>
      <c r="N1622" s="1" t="str">
        <f>_xlfn.XLOOKUP(M1622,Parâmetros!K:K,Parâmetros!L:L,"")</f>
        <v>TEXTO FORA DO PADRÃO ACEITO NO CAMPO</v>
      </c>
      <c r="O1622" s="1" t="str">
        <f>_xlfn.XLOOKUP(M1622,Parâmetros!B:B,Parâmetros!C:C,_xlfn.XLOOKUP(Base!M1606,Parâmetros!G:G,Parâmetros!H:H))</f>
        <v>INDEFINIDO</v>
      </c>
      <c r="P1622" s="1" t="str">
        <f>_xlfn.XLOOKUP(I1622,Parâmetros!A:A,Parâmetros!D:D,_xlfn.XLOOKUP(Q1622,Parâmetros!F:F,Parâmetros!I:I))</f>
        <v>SUPORTE OBT</v>
      </c>
      <c r="Q1622" s="1" t="str">
        <f t="shared" si="51"/>
        <v>COLUNA I</v>
      </c>
    </row>
    <row r="1623" spans="1:17" x14ac:dyDescent="0.25">
      <c r="A1623" s="1" t="str">
        <f>_xlfn.XLOOKUP(D1623,'Novo relatório'!B:B,'Novo relatório'!C:C,"RESOLVIDO")</f>
        <v>RESOLVIDO</v>
      </c>
      <c r="C1623" t="str">
        <f t="shared" si="50"/>
        <v>RESOLVIDO</v>
      </c>
      <c r="D1623" s="1">
        <v>3388583</v>
      </c>
      <c r="E1623" s="1" t="s">
        <v>24</v>
      </c>
      <c r="F1623" s="2">
        <v>45774.056250000001</v>
      </c>
      <c r="G1623" s="1">
        <v>4528364</v>
      </c>
      <c r="H1623" s="1" t="s">
        <v>2143</v>
      </c>
      <c r="I1623" s="1" t="s">
        <v>374</v>
      </c>
      <c r="J1623" s="2">
        <v>45775.89166666667</v>
      </c>
      <c r="K1623" s="2">
        <v>45776.363888888889</v>
      </c>
      <c r="L1623" s="1" t="s">
        <v>14</v>
      </c>
      <c r="M1623" s="1" t="str">
        <f>_xlfn.XLOOKUP(I1623,Parâmetros!A:A,Parâmetros!B:B,_xlfn.XLOOKUP(Q1623,Parâmetros!F:F,Parâmetros!G:G,"NOVA MENSAGEM"))</f>
        <v>FORMATO DE TEXTO</v>
      </c>
      <c r="N1623" s="1" t="str">
        <f>_xlfn.XLOOKUP(M1623,Parâmetros!K:K,Parâmetros!L:L,"")</f>
        <v>TEXTO FORA DO PADRÃO ACEITO NO CAMPO</v>
      </c>
      <c r="O1623" s="1" t="str">
        <f>_xlfn.XLOOKUP(M1623,Parâmetros!B:B,Parâmetros!C:C,_xlfn.XLOOKUP(Base!M1607,Parâmetros!G:G,Parâmetros!H:H))</f>
        <v>INDEFINIDO</v>
      </c>
      <c r="P1623" s="1" t="str">
        <f>_xlfn.XLOOKUP(I1623,Parâmetros!A:A,Parâmetros!D:D,_xlfn.XLOOKUP(Q1623,Parâmetros!F:F,Parâmetros!I:I))</f>
        <v>SUPORTE OBT</v>
      </c>
      <c r="Q1623" s="1" t="str">
        <f t="shared" si="51"/>
        <v>COLUNA I</v>
      </c>
    </row>
    <row r="1624" spans="1:17" x14ac:dyDescent="0.25">
      <c r="A1624" s="1" t="str">
        <f>_xlfn.XLOOKUP(D1624,'Novo relatório'!B:B,'Novo relatório'!C:C,"RESOLVIDO")</f>
        <v>RESOLVIDO</v>
      </c>
      <c r="C1624" t="str">
        <f t="shared" si="50"/>
        <v>RESOLVIDO</v>
      </c>
      <c r="D1624" s="1">
        <v>3388584</v>
      </c>
      <c r="E1624" s="1" t="s">
        <v>24</v>
      </c>
      <c r="F1624" s="2">
        <v>45775.481944444444</v>
      </c>
      <c r="G1624" s="1">
        <v>4528742</v>
      </c>
      <c r="H1624" s="1" t="s">
        <v>2150</v>
      </c>
      <c r="I1624" s="1" t="s">
        <v>374</v>
      </c>
      <c r="J1624" s="2">
        <v>45775.897916666669</v>
      </c>
      <c r="K1624" s="2">
        <v>45776.364583333336</v>
      </c>
      <c r="L1624" s="1" t="s">
        <v>14</v>
      </c>
      <c r="M1624" s="1" t="str">
        <f>_xlfn.XLOOKUP(I1624,Parâmetros!A:A,Parâmetros!B:B,_xlfn.XLOOKUP(Q1624,Parâmetros!F:F,Parâmetros!G:G,"NOVA MENSAGEM"))</f>
        <v>FORMATO DE TEXTO</v>
      </c>
      <c r="N1624" s="1" t="str">
        <f>_xlfn.XLOOKUP(M1624,Parâmetros!K:K,Parâmetros!L:L,"")</f>
        <v>TEXTO FORA DO PADRÃO ACEITO NO CAMPO</v>
      </c>
      <c r="O1624" s="1" t="str">
        <f>_xlfn.XLOOKUP(M1624,Parâmetros!B:B,Parâmetros!C:C,_xlfn.XLOOKUP(Base!M1614,Parâmetros!G:G,Parâmetros!H:H))</f>
        <v>INDEFINIDO</v>
      </c>
      <c r="P1624" s="1" t="str">
        <f>_xlfn.XLOOKUP(I1624,Parâmetros!A:A,Parâmetros!D:D,_xlfn.XLOOKUP(Q1624,Parâmetros!F:F,Parâmetros!I:I))</f>
        <v>SUPORTE OBT</v>
      </c>
      <c r="Q1624" s="1" t="str">
        <f t="shared" si="51"/>
        <v>COLUNA I</v>
      </c>
    </row>
    <row r="1625" spans="1:17" x14ac:dyDescent="0.25">
      <c r="A1625" s="1" t="str">
        <f>_xlfn.XLOOKUP(D1625,'Novo relatório'!B:B,'Novo relatório'!C:C,"RESOLVIDO")</f>
        <v>RESOLVIDO</v>
      </c>
      <c r="C1625" t="str">
        <f t="shared" si="50"/>
        <v>RESOLVIDO</v>
      </c>
      <c r="D1625" s="1">
        <v>3388586</v>
      </c>
      <c r="E1625" s="1" t="s">
        <v>24</v>
      </c>
      <c r="F1625" s="2">
        <v>45775.890277777777</v>
      </c>
      <c r="G1625" s="1">
        <v>4529332</v>
      </c>
      <c r="H1625" s="1" t="s">
        <v>2177</v>
      </c>
      <c r="I1625" s="1" t="s">
        <v>374</v>
      </c>
      <c r="J1625" s="2">
        <v>45775.898611111108</v>
      </c>
      <c r="K1625" s="2">
        <v>45776.364583333336</v>
      </c>
      <c r="L1625" s="1" t="s">
        <v>14</v>
      </c>
      <c r="M1625" s="1" t="str">
        <f>_xlfn.XLOOKUP(I1625,Parâmetros!A:A,Parâmetros!B:B,_xlfn.XLOOKUP(Q1625,Parâmetros!F:F,Parâmetros!G:G,"NOVA MENSAGEM"))</f>
        <v>FORMATO DE TEXTO</v>
      </c>
      <c r="N1625" s="1" t="str">
        <f>_xlfn.XLOOKUP(M1625,Parâmetros!K:K,Parâmetros!L:L,"")</f>
        <v>TEXTO FORA DO PADRÃO ACEITO NO CAMPO</v>
      </c>
      <c r="O1625" s="1" t="str">
        <f>_xlfn.XLOOKUP(M1625,Parâmetros!B:B,Parâmetros!C:C,_xlfn.XLOOKUP(Base!M1641,Parâmetros!G:G,Parâmetros!H:H))</f>
        <v>INDEFINIDO</v>
      </c>
      <c r="P1625" s="1" t="str">
        <f>_xlfn.XLOOKUP(I1625,Parâmetros!A:A,Parâmetros!D:D,_xlfn.XLOOKUP(Q1625,Parâmetros!F:F,Parâmetros!I:I))</f>
        <v>SUPORTE OBT</v>
      </c>
      <c r="Q1625" s="1" t="str">
        <f t="shared" si="51"/>
        <v>COLUNA I</v>
      </c>
    </row>
    <row r="1626" spans="1:17" x14ac:dyDescent="0.25">
      <c r="A1626" s="1" t="str">
        <f>_xlfn.XLOOKUP(D1626,'Novo relatório'!B:B,'Novo relatório'!C:C,"RESOLVIDO")</f>
        <v>RESOLVIDO</v>
      </c>
      <c r="C1626" t="str">
        <f t="shared" si="50"/>
        <v>RESOLVIDO</v>
      </c>
      <c r="D1626" s="1">
        <v>3388588</v>
      </c>
      <c r="E1626" s="1" t="s">
        <v>24</v>
      </c>
      <c r="F1626" s="2">
        <v>45775.381944444445</v>
      </c>
      <c r="G1626" s="1">
        <v>4528487</v>
      </c>
      <c r="H1626" s="1" t="s">
        <v>2144</v>
      </c>
      <c r="I1626" s="1" t="s">
        <v>374</v>
      </c>
      <c r="J1626" s="2">
        <v>45775.912499999999</v>
      </c>
      <c r="K1626" s="2">
        <v>45776.364583333336</v>
      </c>
      <c r="L1626" s="1" t="s">
        <v>14</v>
      </c>
      <c r="M1626" s="1" t="str">
        <f>_xlfn.XLOOKUP(I1626,Parâmetros!A:A,Parâmetros!B:B,_xlfn.XLOOKUP(Q1626,Parâmetros!F:F,Parâmetros!G:G,"NOVA MENSAGEM"))</f>
        <v>FORMATO DE TEXTO</v>
      </c>
      <c r="N1626" s="1" t="str">
        <f>_xlfn.XLOOKUP(M1626,Parâmetros!K:K,Parâmetros!L:L,"")</f>
        <v>TEXTO FORA DO PADRÃO ACEITO NO CAMPO</v>
      </c>
      <c r="O1626" s="1" t="str">
        <f>_xlfn.XLOOKUP(M1626,Parâmetros!B:B,Parâmetros!C:C,_xlfn.XLOOKUP(Base!M1608,Parâmetros!G:G,Parâmetros!H:H))</f>
        <v>INDEFINIDO</v>
      </c>
      <c r="P1626" s="1" t="str">
        <f>_xlfn.XLOOKUP(I1626,Parâmetros!A:A,Parâmetros!D:D,_xlfn.XLOOKUP(Q1626,Parâmetros!F:F,Parâmetros!I:I))</f>
        <v>SUPORTE OBT</v>
      </c>
      <c r="Q1626" s="1" t="str">
        <f t="shared" si="51"/>
        <v>COLUNA I</v>
      </c>
    </row>
    <row r="1627" spans="1:17" x14ac:dyDescent="0.25">
      <c r="A1627" s="1" t="str">
        <f>_xlfn.XLOOKUP(D1627,'Novo relatório'!B:B,'Novo relatório'!C:C,"RESOLVIDO")</f>
        <v>RESOLVIDO</v>
      </c>
      <c r="C1627" t="str">
        <f t="shared" si="50"/>
        <v>RESOLVIDO</v>
      </c>
      <c r="D1627" s="1">
        <v>3388592</v>
      </c>
      <c r="E1627" s="1" t="s">
        <v>24</v>
      </c>
      <c r="F1627" s="2">
        <v>45775.730555555558</v>
      </c>
      <c r="G1627" s="1">
        <v>4529231</v>
      </c>
      <c r="H1627" s="1" t="s">
        <v>2169</v>
      </c>
      <c r="I1627" s="1" t="s">
        <v>374</v>
      </c>
      <c r="J1627" s="2">
        <v>45775.927083333336</v>
      </c>
      <c r="K1627" s="2">
        <v>45776.364583333336</v>
      </c>
      <c r="L1627" s="1" t="s">
        <v>14</v>
      </c>
      <c r="M1627" s="1" t="str">
        <f>_xlfn.XLOOKUP(I1627,Parâmetros!A:A,Parâmetros!B:B,_xlfn.XLOOKUP(Q1627,Parâmetros!F:F,Parâmetros!G:G,"NOVA MENSAGEM"))</f>
        <v>FORMATO DE TEXTO</v>
      </c>
      <c r="N1627" s="1" t="str">
        <f>_xlfn.XLOOKUP(M1627,Parâmetros!K:K,Parâmetros!L:L,"")</f>
        <v>TEXTO FORA DO PADRÃO ACEITO NO CAMPO</v>
      </c>
      <c r="O1627" s="1" t="str">
        <f>_xlfn.XLOOKUP(M1627,Parâmetros!B:B,Parâmetros!C:C,_xlfn.XLOOKUP(Base!M1633,Parâmetros!G:G,Parâmetros!H:H))</f>
        <v>INDEFINIDO</v>
      </c>
      <c r="P1627" s="1" t="str">
        <f>_xlfn.XLOOKUP(I1627,Parâmetros!A:A,Parâmetros!D:D,_xlfn.XLOOKUP(Q1627,Parâmetros!F:F,Parâmetros!I:I))</f>
        <v>SUPORTE OBT</v>
      </c>
      <c r="Q1627" s="1" t="str">
        <f t="shared" si="51"/>
        <v>COLUNA I</v>
      </c>
    </row>
    <row r="1628" spans="1:17" x14ac:dyDescent="0.25">
      <c r="A1628" s="1" t="str">
        <f>_xlfn.XLOOKUP(D1628,'Novo relatório'!B:B,'Novo relatório'!C:C,"RESOLVIDO")</f>
        <v>RESOLVIDO</v>
      </c>
      <c r="C1628" t="str">
        <f t="shared" si="50"/>
        <v>RESOLVIDO</v>
      </c>
      <c r="D1628" s="1">
        <v>3388593</v>
      </c>
      <c r="E1628" s="1" t="s">
        <v>24</v>
      </c>
      <c r="F1628" s="2">
        <v>45775.730555555558</v>
      </c>
      <c r="G1628" s="1">
        <v>4529231</v>
      </c>
      <c r="H1628" s="1" t="s">
        <v>2170</v>
      </c>
      <c r="I1628" s="1" t="s">
        <v>374</v>
      </c>
      <c r="J1628" s="2">
        <v>45775.927083333336</v>
      </c>
      <c r="K1628" s="2">
        <v>45776.364583333336</v>
      </c>
      <c r="L1628" s="1" t="s">
        <v>14</v>
      </c>
      <c r="M1628" s="1" t="str">
        <f>_xlfn.XLOOKUP(I1628,Parâmetros!A:A,Parâmetros!B:B,_xlfn.XLOOKUP(Q1628,Parâmetros!F:F,Parâmetros!G:G,"NOVA MENSAGEM"))</f>
        <v>FORMATO DE TEXTO</v>
      </c>
      <c r="N1628" s="1" t="str">
        <f>_xlfn.XLOOKUP(M1628,Parâmetros!K:K,Parâmetros!L:L,"")</f>
        <v>TEXTO FORA DO PADRÃO ACEITO NO CAMPO</v>
      </c>
      <c r="O1628" s="1" t="str">
        <f>_xlfn.XLOOKUP(M1628,Parâmetros!B:B,Parâmetros!C:C,_xlfn.XLOOKUP(Base!M1634,Parâmetros!G:G,Parâmetros!H:H))</f>
        <v>INDEFINIDO</v>
      </c>
      <c r="P1628" s="1" t="str">
        <f>_xlfn.XLOOKUP(I1628,Parâmetros!A:A,Parâmetros!D:D,_xlfn.XLOOKUP(Q1628,Parâmetros!F:F,Parâmetros!I:I))</f>
        <v>SUPORTE OBT</v>
      </c>
      <c r="Q1628" s="1" t="str">
        <f t="shared" si="51"/>
        <v>COLUNA I</v>
      </c>
    </row>
    <row r="1629" spans="1:17" x14ac:dyDescent="0.25">
      <c r="A1629" s="1" t="str">
        <f>_xlfn.XLOOKUP(D1629,'Novo relatório'!B:B,'Novo relatório'!C:C,"RESOLVIDO")</f>
        <v>RESOLVIDO</v>
      </c>
      <c r="C1629" t="str">
        <f t="shared" si="50"/>
        <v>RESOLVIDO</v>
      </c>
      <c r="D1629" s="1">
        <v>3388600</v>
      </c>
      <c r="E1629" s="1" t="s">
        <v>24</v>
      </c>
      <c r="F1629" s="2">
        <v>45775.42083333333</v>
      </c>
      <c r="G1629" s="1">
        <v>4528592</v>
      </c>
      <c r="H1629" s="1" t="s">
        <v>2147</v>
      </c>
      <c r="I1629" s="1" t="s">
        <v>374</v>
      </c>
      <c r="J1629" s="2">
        <v>45776.003472222219</v>
      </c>
      <c r="K1629" s="2">
        <v>45776.364583333336</v>
      </c>
      <c r="L1629" s="1" t="s">
        <v>14</v>
      </c>
      <c r="M1629" s="1" t="str">
        <f>_xlfn.XLOOKUP(I1629,Parâmetros!A:A,Parâmetros!B:B,_xlfn.XLOOKUP(Q1629,Parâmetros!F:F,Parâmetros!G:G,"NOVA MENSAGEM"))</f>
        <v>FORMATO DE TEXTO</v>
      </c>
      <c r="N1629" s="1" t="str">
        <f>_xlfn.XLOOKUP(M1629,Parâmetros!K:K,Parâmetros!L:L,"")</f>
        <v>TEXTO FORA DO PADRÃO ACEITO NO CAMPO</v>
      </c>
      <c r="O1629" s="1" t="str">
        <f>_xlfn.XLOOKUP(M1629,Parâmetros!B:B,Parâmetros!C:C,_xlfn.XLOOKUP(Base!M1611,Parâmetros!G:G,Parâmetros!H:H))</f>
        <v>INDEFINIDO</v>
      </c>
      <c r="P1629" s="1" t="str">
        <f>_xlfn.XLOOKUP(I1629,Parâmetros!A:A,Parâmetros!D:D,_xlfn.XLOOKUP(Q1629,Parâmetros!F:F,Parâmetros!I:I))</f>
        <v>SUPORTE OBT</v>
      </c>
      <c r="Q1629" s="1" t="str">
        <f t="shared" si="51"/>
        <v>COLUNA I</v>
      </c>
    </row>
    <row r="1630" spans="1:17" x14ac:dyDescent="0.25">
      <c r="A1630" s="1" t="str">
        <f>_xlfn.XLOOKUP(D1630,'Novo relatório'!B:B,'Novo relatório'!C:C,"RESOLVIDO")</f>
        <v>RESOLVIDO</v>
      </c>
      <c r="C1630" t="str">
        <f t="shared" si="50"/>
        <v>RESOLVIDO</v>
      </c>
      <c r="D1630" s="1">
        <v>3388601</v>
      </c>
      <c r="E1630" s="1" t="s">
        <v>24</v>
      </c>
      <c r="F1630" s="2">
        <v>45775.42083333333</v>
      </c>
      <c r="G1630" s="1">
        <v>4528592</v>
      </c>
      <c r="H1630" s="1" t="s">
        <v>2148</v>
      </c>
      <c r="I1630" s="1" t="s">
        <v>374</v>
      </c>
      <c r="J1630" s="2">
        <v>45776.003472222219</v>
      </c>
      <c r="K1630" s="2">
        <v>45776.364583333336</v>
      </c>
      <c r="L1630" s="1" t="s">
        <v>14</v>
      </c>
      <c r="M1630" s="1" t="str">
        <f>_xlfn.XLOOKUP(I1630,Parâmetros!A:A,Parâmetros!B:B,_xlfn.XLOOKUP(Q1630,Parâmetros!F:F,Parâmetros!G:G,"NOVA MENSAGEM"))</f>
        <v>FORMATO DE TEXTO</v>
      </c>
      <c r="N1630" s="1" t="str">
        <f>_xlfn.XLOOKUP(M1630,Parâmetros!K:K,Parâmetros!L:L,"")</f>
        <v>TEXTO FORA DO PADRÃO ACEITO NO CAMPO</v>
      </c>
      <c r="O1630" s="1" t="str">
        <f>_xlfn.XLOOKUP(M1630,Parâmetros!B:B,Parâmetros!C:C,_xlfn.XLOOKUP(Base!M1612,Parâmetros!G:G,Parâmetros!H:H))</f>
        <v>INDEFINIDO</v>
      </c>
      <c r="P1630" s="1" t="str">
        <f>_xlfn.XLOOKUP(I1630,Parâmetros!A:A,Parâmetros!D:D,_xlfn.XLOOKUP(Q1630,Parâmetros!F:F,Parâmetros!I:I))</f>
        <v>SUPORTE OBT</v>
      </c>
      <c r="Q1630" s="1" t="str">
        <f t="shared" si="51"/>
        <v>COLUNA I</v>
      </c>
    </row>
    <row r="1631" spans="1:17" x14ac:dyDescent="0.25">
      <c r="A1631" s="1" t="str">
        <f>_xlfn.XLOOKUP(D1631,'Novo relatório'!B:B,'Novo relatório'!C:C,"RESOLVIDO")</f>
        <v>RESOLVIDO</v>
      </c>
      <c r="C1631" t="str">
        <f t="shared" si="50"/>
        <v>RESOLVIDO</v>
      </c>
      <c r="D1631" s="1">
        <v>3388603</v>
      </c>
      <c r="E1631" s="1" t="s">
        <v>24</v>
      </c>
      <c r="F1631" s="2">
        <v>45775.497916666667</v>
      </c>
      <c r="G1631" s="1">
        <v>4528783</v>
      </c>
      <c r="H1631" s="1" t="s">
        <v>2151</v>
      </c>
      <c r="I1631" s="1" t="s">
        <v>374</v>
      </c>
      <c r="J1631" s="2">
        <v>45776.003472222219</v>
      </c>
      <c r="K1631" s="2">
        <v>45776.364583333336</v>
      </c>
      <c r="L1631" s="1" t="s">
        <v>14</v>
      </c>
      <c r="M1631" s="1" t="str">
        <f>_xlfn.XLOOKUP(I1631,Parâmetros!A:A,Parâmetros!B:B,_xlfn.XLOOKUP(Q1631,Parâmetros!F:F,Parâmetros!G:G,"NOVA MENSAGEM"))</f>
        <v>FORMATO DE TEXTO</v>
      </c>
      <c r="N1631" s="1" t="str">
        <f>_xlfn.XLOOKUP(M1631,Parâmetros!K:K,Parâmetros!L:L,"")</f>
        <v>TEXTO FORA DO PADRÃO ACEITO NO CAMPO</v>
      </c>
      <c r="O1631" s="1" t="str">
        <f>_xlfn.XLOOKUP(M1631,Parâmetros!B:B,Parâmetros!C:C,_xlfn.XLOOKUP(Base!M1615,Parâmetros!G:G,Parâmetros!H:H))</f>
        <v>INDEFINIDO</v>
      </c>
      <c r="P1631" s="1" t="str">
        <f>_xlfn.XLOOKUP(I1631,Parâmetros!A:A,Parâmetros!D:D,_xlfn.XLOOKUP(Q1631,Parâmetros!F:F,Parâmetros!I:I))</f>
        <v>SUPORTE OBT</v>
      </c>
      <c r="Q1631" s="1" t="str">
        <f t="shared" si="51"/>
        <v>COLUNA I</v>
      </c>
    </row>
    <row r="1632" spans="1:17" x14ac:dyDescent="0.25">
      <c r="A1632" s="1" t="str">
        <f>_xlfn.XLOOKUP(D1632,'Novo relatório'!B:B,'Novo relatório'!C:C,"RESOLVIDO")</f>
        <v>RESOLVIDO</v>
      </c>
      <c r="C1632" t="str">
        <f t="shared" si="50"/>
        <v>RESOLVIDO</v>
      </c>
      <c r="D1632" s="1">
        <v>3388604</v>
      </c>
      <c r="E1632" s="1" t="s">
        <v>24</v>
      </c>
      <c r="F1632" s="2">
        <v>45775.665972222225</v>
      </c>
      <c r="G1632" s="1">
        <v>4529088</v>
      </c>
      <c r="H1632" s="1" t="s">
        <v>2163</v>
      </c>
      <c r="I1632" s="1" t="s">
        <v>374</v>
      </c>
      <c r="J1632" s="2">
        <v>45776.003472222219</v>
      </c>
      <c r="K1632" s="2">
        <v>45776.364583333336</v>
      </c>
      <c r="L1632" s="1" t="s">
        <v>14</v>
      </c>
      <c r="M1632" s="1" t="str">
        <f>_xlfn.XLOOKUP(I1632,Parâmetros!A:A,Parâmetros!B:B,_xlfn.XLOOKUP(Q1632,Parâmetros!F:F,Parâmetros!G:G,"NOVA MENSAGEM"))</f>
        <v>FORMATO DE TEXTO</v>
      </c>
      <c r="N1632" s="1" t="str">
        <f>_xlfn.XLOOKUP(M1632,Parâmetros!K:K,Parâmetros!L:L,"")</f>
        <v>TEXTO FORA DO PADRÃO ACEITO NO CAMPO</v>
      </c>
      <c r="O1632" s="1" t="str">
        <f>_xlfn.XLOOKUP(M1632,Parâmetros!B:B,Parâmetros!C:C,_xlfn.XLOOKUP(Base!M1627,Parâmetros!G:G,Parâmetros!H:H))</f>
        <v>INDEFINIDO</v>
      </c>
      <c r="P1632" s="1" t="str">
        <f>_xlfn.XLOOKUP(I1632,Parâmetros!A:A,Parâmetros!D:D,_xlfn.XLOOKUP(Q1632,Parâmetros!F:F,Parâmetros!I:I))</f>
        <v>SUPORTE OBT</v>
      </c>
      <c r="Q1632" s="1" t="str">
        <f t="shared" si="51"/>
        <v>COLUNA I</v>
      </c>
    </row>
    <row r="1633" spans="1:17" x14ac:dyDescent="0.25">
      <c r="A1633" s="1" t="str">
        <f>_xlfn.XLOOKUP(D1633,'Novo relatório'!B:B,'Novo relatório'!C:C,"RESOLVIDO")</f>
        <v>RESOLVIDO</v>
      </c>
      <c r="C1633" t="str">
        <f t="shared" si="50"/>
        <v>RESOLVIDO</v>
      </c>
      <c r="D1633" s="1">
        <v>3388605</v>
      </c>
      <c r="E1633" s="1" t="s">
        <v>24</v>
      </c>
      <c r="F1633" s="2">
        <v>45775.683333333334</v>
      </c>
      <c r="G1633" s="1">
        <v>4529134</v>
      </c>
      <c r="H1633" s="1" t="s">
        <v>2165</v>
      </c>
      <c r="I1633" s="1" t="s">
        <v>374</v>
      </c>
      <c r="J1633" s="2">
        <v>45776.003472222219</v>
      </c>
      <c r="K1633" s="2">
        <v>45776.364583333336</v>
      </c>
      <c r="L1633" s="1" t="s">
        <v>14</v>
      </c>
      <c r="M1633" s="1" t="str">
        <f>_xlfn.XLOOKUP(I1633,Parâmetros!A:A,Parâmetros!B:B,_xlfn.XLOOKUP(Q1633,Parâmetros!F:F,Parâmetros!G:G,"NOVA MENSAGEM"))</f>
        <v>FORMATO DE TEXTO</v>
      </c>
      <c r="N1633" s="1" t="str">
        <f>_xlfn.XLOOKUP(M1633,Parâmetros!K:K,Parâmetros!L:L,"")</f>
        <v>TEXTO FORA DO PADRÃO ACEITO NO CAMPO</v>
      </c>
      <c r="O1633" s="1" t="str">
        <f>_xlfn.XLOOKUP(M1633,Parâmetros!B:B,Parâmetros!C:C,_xlfn.XLOOKUP(Base!M1629,Parâmetros!G:G,Parâmetros!H:H))</f>
        <v>INDEFINIDO</v>
      </c>
      <c r="P1633" s="1" t="str">
        <f>_xlfn.XLOOKUP(I1633,Parâmetros!A:A,Parâmetros!D:D,_xlfn.XLOOKUP(Q1633,Parâmetros!F:F,Parâmetros!I:I))</f>
        <v>SUPORTE OBT</v>
      </c>
      <c r="Q1633" s="1" t="str">
        <f t="shared" si="51"/>
        <v>COLUNA I</v>
      </c>
    </row>
    <row r="1634" spans="1:17" x14ac:dyDescent="0.25">
      <c r="A1634" s="1" t="str">
        <f>_xlfn.XLOOKUP(D1634,'Novo relatório'!B:B,'Novo relatório'!C:C,"RESOLVIDO")</f>
        <v>RESOLVIDO</v>
      </c>
      <c r="C1634" t="str">
        <f t="shared" si="50"/>
        <v>RESOLVIDO</v>
      </c>
      <c r="D1634" s="1">
        <v>3388606</v>
      </c>
      <c r="E1634" s="1" t="s">
        <v>24</v>
      </c>
      <c r="F1634" s="2">
        <v>45775.683333333334</v>
      </c>
      <c r="G1634" s="1">
        <v>4529134</v>
      </c>
      <c r="H1634" s="1" t="s">
        <v>2166</v>
      </c>
      <c r="I1634" s="1" t="s">
        <v>374</v>
      </c>
      <c r="J1634" s="2">
        <v>45776.003472222219</v>
      </c>
      <c r="K1634" s="2">
        <v>45776.364583333336</v>
      </c>
      <c r="L1634" s="1" t="s">
        <v>14</v>
      </c>
      <c r="M1634" s="1" t="str">
        <f>_xlfn.XLOOKUP(I1634,Parâmetros!A:A,Parâmetros!B:B,_xlfn.XLOOKUP(Q1634,Parâmetros!F:F,Parâmetros!G:G,"NOVA MENSAGEM"))</f>
        <v>FORMATO DE TEXTO</v>
      </c>
      <c r="N1634" s="1" t="str">
        <f>_xlfn.XLOOKUP(M1634,Parâmetros!K:K,Parâmetros!L:L,"")</f>
        <v>TEXTO FORA DO PADRÃO ACEITO NO CAMPO</v>
      </c>
      <c r="O1634" s="1" t="str">
        <f>_xlfn.XLOOKUP(M1634,Parâmetros!B:B,Parâmetros!C:C,_xlfn.XLOOKUP(Base!M1630,Parâmetros!G:G,Parâmetros!H:H))</f>
        <v>INDEFINIDO</v>
      </c>
      <c r="P1634" s="1" t="str">
        <f>_xlfn.XLOOKUP(I1634,Parâmetros!A:A,Parâmetros!D:D,_xlfn.XLOOKUP(Q1634,Parâmetros!F:F,Parâmetros!I:I))</f>
        <v>SUPORTE OBT</v>
      </c>
      <c r="Q1634" s="1" t="str">
        <f t="shared" si="51"/>
        <v>COLUNA I</v>
      </c>
    </row>
    <row r="1635" spans="1:17" x14ac:dyDescent="0.25">
      <c r="A1635" s="1" t="str">
        <f>_xlfn.XLOOKUP(D1635,'Novo relatório'!B:B,'Novo relatório'!C:C,"RESOLVIDO")</f>
        <v>RESOLVIDO</v>
      </c>
      <c r="C1635" t="str">
        <f t="shared" si="50"/>
        <v>RESOLVIDO</v>
      </c>
      <c r="D1635" s="1">
        <v>3388686</v>
      </c>
      <c r="E1635" s="1" t="s">
        <v>24</v>
      </c>
      <c r="F1635" s="2">
        <v>45775.773611111108</v>
      </c>
      <c r="G1635" s="1">
        <v>4529277</v>
      </c>
      <c r="H1635" s="1" t="s">
        <v>2173</v>
      </c>
      <c r="I1635" s="1" t="s">
        <v>374</v>
      </c>
      <c r="J1635" s="2">
        <v>45776.07916666667</v>
      </c>
      <c r="K1635" s="2">
        <v>45776.364583333336</v>
      </c>
      <c r="L1635" s="1" t="s">
        <v>14</v>
      </c>
      <c r="M1635" s="1" t="str">
        <f>_xlfn.XLOOKUP(I1635,Parâmetros!A:A,Parâmetros!B:B,_xlfn.XLOOKUP(Q1635,Parâmetros!F:F,Parâmetros!G:G,"NOVA MENSAGEM"))</f>
        <v>FORMATO DE TEXTO</v>
      </c>
      <c r="N1635" s="1" t="str">
        <f>_xlfn.XLOOKUP(M1635,Parâmetros!K:K,Parâmetros!L:L,"")</f>
        <v>TEXTO FORA DO PADRÃO ACEITO NO CAMPO</v>
      </c>
      <c r="O1635" s="1" t="str">
        <f>_xlfn.XLOOKUP(M1635,Parâmetros!B:B,Parâmetros!C:C,_xlfn.XLOOKUP(Base!M1637,Parâmetros!G:G,Parâmetros!H:H))</f>
        <v>INDEFINIDO</v>
      </c>
      <c r="P1635" s="1" t="str">
        <f>_xlfn.XLOOKUP(I1635,Parâmetros!A:A,Parâmetros!D:D,_xlfn.XLOOKUP(Q1635,Parâmetros!F:F,Parâmetros!I:I))</f>
        <v>SUPORTE OBT</v>
      </c>
      <c r="Q1635" s="1" t="str">
        <f t="shared" si="51"/>
        <v>COLUNA I</v>
      </c>
    </row>
    <row r="1636" spans="1:17" x14ac:dyDescent="0.25">
      <c r="A1636" s="1" t="str">
        <f>_xlfn.XLOOKUP(D1636,'Novo relatório'!B:B,'Novo relatório'!C:C,"RESOLVIDO")</f>
        <v>TMS</v>
      </c>
      <c r="C1636" t="str">
        <f t="shared" si="50"/>
        <v>PENDENTE</v>
      </c>
      <c r="D1636" s="1">
        <v>3388774</v>
      </c>
      <c r="E1636" s="1" t="s">
        <v>12</v>
      </c>
      <c r="F1636" s="2">
        <v>45775.700694444444</v>
      </c>
      <c r="G1636" s="1">
        <v>2633</v>
      </c>
      <c r="H1636" s="1">
        <v>2633</v>
      </c>
      <c r="I1636" s="1" t="s">
        <v>2134</v>
      </c>
      <c r="J1636" s="2">
        <v>45776.086805555555</v>
      </c>
      <c r="K1636" s="2">
        <v>45776.325694444444</v>
      </c>
      <c r="L1636" s="1" t="s">
        <v>14</v>
      </c>
      <c r="M1636" s="1" t="str">
        <f>_xlfn.XLOOKUP(I1636,Parâmetros!A:A,Parâmetros!B:B,_xlfn.XLOOKUP(Q1636,Parâmetros!F:F,Parâmetros!G:G,"NOVA MENSAGEM"))</f>
        <v>NOVA MENSAGEM</v>
      </c>
      <c r="N1636" s="1" t="str">
        <f>_xlfn.XLOOKUP(M1636,Parâmetros!K:K,Parâmetros!L:L,"")</f>
        <v/>
      </c>
      <c r="O1636" s="1" t="str">
        <f>_xlfn.XLOOKUP(M1636,Parâmetros!B:B,Parâmetros!C:C,_xlfn.XLOOKUP(Base!M1579,Parâmetros!G:G,Parâmetros!H:H))</f>
        <v>QUALIDADE DOS DADOS</v>
      </c>
      <c r="P1636" s="1" t="e">
        <f>_xlfn.XLOOKUP(I1636,Parâmetros!A:A,Parâmetros!D:D,_xlfn.XLOOKUP(Q1636,Parâmetros!F:F,Parâmetros!I:I))</f>
        <v>#N/A</v>
      </c>
      <c r="Q1636" s="1" t="str">
        <f t="shared" si="51"/>
        <v>COLUNA I</v>
      </c>
    </row>
    <row r="1637" spans="1:17" x14ac:dyDescent="0.25">
      <c r="A1637" s="1" t="str">
        <f>_xlfn.XLOOKUP(D1637,'Novo relatório'!B:B,'Novo relatório'!C:C,"RESOLVIDO")</f>
        <v>TMS</v>
      </c>
      <c r="C1637" t="str">
        <f t="shared" si="50"/>
        <v>PENDENTE</v>
      </c>
      <c r="D1637" s="1">
        <v>3389071</v>
      </c>
      <c r="E1637" s="1" t="s">
        <v>12</v>
      </c>
      <c r="F1637" s="2">
        <v>45775.75</v>
      </c>
      <c r="G1637" s="1">
        <v>117</v>
      </c>
      <c r="H1637" s="1">
        <v>117</v>
      </c>
      <c r="I1637" s="1" t="s">
        <v>16</v>
      </c>
      <c r="J1637" s="2">
        <v>45776.115277777775</v>
      </c>
      <c r="K1637" s="2">
        <v>45776.32708333333</v>
      </c>
      <c r="L1637" s="1" t="s">
        <v>14</v>
      </c>
      <c r="M1637" s="1" t="str">
        <f>_xlfn.XLOOKUP(I1637,Parâmetros!A:A,Parâmetros!B:B,_xlfn.XLOOKUP(Q1637,Parâmetros!F:F,Parâmetros!G:G,"NOVA MENSAGEM"))</f>
        <v>ASSENTO / BAGAGEM</v>
      </c>
      <c r="N1637" s="1" t="str">
        <f>_xlfn.XLOOKUP(M1637,Parâmetros!K:K,Parâmetros!L:L,"")</f>
        <v>CAMPO OBSERVAÇÃO PREENCHIDO INCORRETAMENTE</v>
      </c>
      <c r="O1637" s="1" t="str">
        <f>_xlfn.XLOOKUP(M1637,Parâmetros!B:B,Parâmetros!C:C,_xlfn.XLOOKUP(Base!M1564,Parâmetros!G:G,Parâmetros!H:H))</f>
        <v>QUALIDADE DOS DADOS</v>
      </c>
      <c r="P1637" s="1" t="str">
        <f>_xlfn.XLOOKUP(I1637,Parâmetros!A:A,Parâmetros!D:D,_xlfn.XLOOKUP(Q1637,Parâmetros!F:F,Parâmetros!I:I))</f>
        <v>OPERAÇÕES / SUPORTE KCS</v>
      </c>
      <c r="Q1637" s="1">
        <f t="shared" si="51"/>
        <v>118</v>
      </c>
    </row>
    <row r="1638" spans="1:17" x14ac:dyDescent="0.25">
      <c r="A1638" s="1" t="str">
        <f>_xlfn.XLOOKUP(D1638,'Novo relatório'!B:B,'Novo relatório'!C:C,"RESOLVIDO")</f>
        <v>RESOLVIDO</v>
      </c>
      <c r="C1638" t="str">
        <f t="shared" si="50"/>
        <v>RESOLVIDO</v>
      </c>
      <c r="D1638" s="1">
        <v>3389315</v>
      </c>
      <c r="E1638" s="1" t="s">
        <v>24</v>
      </c>
      <c r="F1638" s="2">
        <v>45775.854166666664</v>
      </c>
      <c r="G1638" s="1">
        <v>4529315</v>
      </c>
      <c r="H1638" s="1" t="s">
        <v>2175</v>
      </c>
      <c r="I1638" s="1" t="s">
        <v>374</v>
      </c>
      <c r="J1638" s="2">
        <v>45776.31527777778</v>
      </c>
      <c r="K1638" s="2">
        <v>45776.364583333336</v>
      </c>
      <c r="L1638" s="1" t="s">
        <v>14</v>
      </c>
      <c r="M1638" s="1" t="str">
        <f>_xlfn.XLOOKUP(I1638,Parâmetros!A:A,Parâmetros!B:B,_xlfn.XLOOKUP(Q1638,Parâmetros!F:F,Parâmetros!G:G,"NOVA MENSAGEM"))</f>
        <v>FORMATO DE TEXTO</v>
      </c>
      <c r="N1638" s="1" t="str">
        <f>_xlfn.XLOOKUP(M1638,Parâmetros!K:K,Parâmetros!L:L,"")</f>
        <v>TEXTO FORA DO PADRÃO ACEITO NO CAMPO</v>
      </c>
      <c r="O1638" s="1" t="str">
        <f>_xlfn.XLOOKUP(M1638,Parâmetros!B:B,Parâmetros!C:C,_xlfn.XLOOKUP(Base!M1639,Parâmetros!G:G,Parâmetros!H:H))</f>
        <v>INDEFINIDO</v>
      </c>
      <c r="P1638" s="1" t="str">
        <f>_xlfn.XLOOKUP(I1638,Parâmetros!A:A,Parâmetros!D:D,_xlfn.XLOOKUP(Q1638,Parâmetros!F:F,Parâmetros!I:I))</f>
        <v>SUPORTE OBT</v>
      </c>
      <c r="Q1638" s="1" t="str">
        <f t="shared" si="51"/>
        <v>COLUNA I</v>
      </c>
    </row>
    <row r="1639" spans="1:17" x14ac:dyDescent="0.25">
      <c r="A1639" s="1" t="str">
        <f>_xlfn.XLOOKUP(D1639,'Novo relatório'!B:B,'Novo relatório'!C:C,"RESOLVIDO")</f>
        <v>RESOLVIDO</v>
      </c>
      <c r="C1639" t="str">
        <f t="shared" si="50"/>
        <v>RESOLVIDO</v>
      </c>
      <c r="D1639" s="1">
        <v>3389316</v>
      </c>
      <c r="E1639" s="1" t="s">
        <v>24</v>
      </c>
      <c r="F1639" s="2">
        <v>45775.890277777777</v>
      </c>
      <c r="G1639" s="1">
        <v>4529331</v>
      </c>
      <c r="H1639" s="1" t="s">
        <v>2176</v>
      </c>
      <c r="I1639" s="1" t="s">
        <v>374</v>
      </c>
      <c r="J1639" s="2">
        <v>45776.31527777778</v>
      </c>
      <c r="K1639" s="2">
        <v>45776.364583333336</v>
      </c>
      <c r="L1639" s="1" t="s">
        <v>14</v>
      </c>
      <c r="M1639" s="1" t="str">
        <f>_xlfn.XLOOKUP(I1639,Parâmetros!A:A,Parâmetros!B:B,_xlfn.XLOOKUP(Q1639,Parâmetros!F:F,Parâmetros!G:G,"NOVA MENSAGEM"))</f>
        <v>FORMATO DE TEXTO</v>
      </c>
      <c r="N1639" s="1" t="str">
        <f>_xlfn.XLOOKUP(M1639,Parâmetros!K:K,Parâmetros!L:L,"")</f>
        <v>TEXTO FORA DO PADRÃO ACEITO NO CAMPO</v>
      </c>
      <c r="O1639" s="1" t="str">
        <f>_xlfn.XLOOKUP(M1639,Parâmetros!B:B,Parâmetros!C:C,_xlfn.XLOOKUP(Base!M1640,Parâmetros!G:G,Parâmetros!H:H))</f>
        <v>INDEFINIDO</v>
      </c>
      <c r="P1639" s="1" t="str">
        <f>_xlfn.XLOOKUP(I1639,Parâmetros!A:A,Parâmetros!D:D,_xlfn.XLOOKUP(Q1639,Parâmetros!F:F,Parâmetros!I:I))</f>
        <v>SUPORTE OBT</v>
      </c>
      <c r="Q1639" s="1" t="str">
        <f t="shared" si="51"/>
        <v>COLUNA I</v>
      </c>
    </row>
    <row r="1640" spans="1:17" x14ac:dyDescent="0.25">
      <c r="A1640" s="1" t="str">
        <f>_xlfn.XLOOKUP(D1640,'Novo relatório'!B:B,'Novo relatório'!C:C,"RESOLVIDO")</f>
        <v>RESOLVIDO</v>
      </c>
      <c r="C1640" t="str">
        <f t="shared" si="50"/>
        <v>RESOLVIDO</v>
      </c>
      <c r="D1640" s="1">
        <v>3389330</v>
      </c>
      <c r="E1640" s="1" t="s">
        <v>24</v>
      </c>
      <c r="F1640" s="2">
        <v>45775.45</v>
      </c>
      <c r="G1640" s="1">
        <v>4528659</v>
      </c>
      <c r="H1640" s="1" t="s">
        <v>2149</v>
      </c>
      <c r="I1640" s="1" t="s">
        <v>374</v>
      </c>
      <c r="J1640" s="2">
        <v>45776.32916666667</v>
      </c>
      <c r="K1640" s="2">
        <v>45776.364583333336</v>
      </c>
      <c r="L1640" s="1" t="s">
        <v>14</v>
      </c>
      <c r="M1640" s="1" t="str">
        <f>_xlfn.XLOOKUP(I1640,Parâmetros!A:A,Parâmetros!B:B,_xlfn.XLOOKUP(Q1640,Parâmetros!F:F,Parâmetros!G:G,"NOVA MENSAGEM"))</f>
        <v>FORMATO DE TEXTO</v>
      </c>
      <c r="N1640" s="1" t="str">
        <f>_xlfn.XLOOKUP(M1640,Parâmetros!K:K,Parâmetros!L:L,"")</f>
        <v>TEXTO FORA DO PADRÃO ACEITO NO CAMPO</v>
      </c>
      <c r="O1640" s="1" t="str">
        <f>_xlfn.XLOOKUP(M1640,Parâmetros!B:B,Parâmetros!C:C,_xlfn.XLOOKUP(Base!M1613,Parâmetros!G:G,Parâmetros!H:H))</f>
        <v>INDEFINIDO</v>
      </c>
      <c r="P1640" s="1" t="str">
        <f>_xlfn.XLOOKUP(I1640,Parâmetros!A:A,Parâmetros!D:D,_xlfn.XLOOKUP(Q1640,Parâmetros!F:F,Parâmetros!I:I))</f>
        <v>SUPORTE OBT</v>
      </c>
      <c r="Q1640" s="1" t="str">
        <f t="shared" si="51"/>
        <v>COLUNA I</v>
      </c>
    </row>
    <row r="1641" spans="1:17" x14ac:dyDescent="0.25">
      <c r="A1641" s="1" t="str">
        <f>_xlfn.XLOOKUP(D1641,'Novo relatório'!B:B,'Novo relatório'!C:C,"RESOLVIDO")</f>
        <v>RESOLVIDO</v>
      </c>
      <c r="C1641" t="str">
        <f t="shared" si="50"/>
        <v>RESOLVIDO</v>
      </c>
      <c r="D1641" s="1">
        <v>3389344</v>
      </c>
      <c r="E1641" s="1" t="s">
        <v>24</v>
      </c>
      <c r="F1641" s="2">
        <v>45775.850694444445</v>
      </c>
      <c r="G1641" s="1">
        <v>4529313</v>
      </c>
      <c r="H1641" s="1" t="s">
        <v>2174</v>
      </c>
      <c r="I1641" s="1" t="s">
        <v>374</v>
      </c>
      <c r="J1641" s="2">
        <v>45776.34375</v>
      </c>
      <c r="K1641" s="2">
        <v>45776.364583333336</v>
      </c>
      <c r="L1641" s="1" t="s">
        <v>14</v>
      </c>
      <c r="M1641" s="1" t="str">
        <f>_xlfn.XLOOKUP(I1641,Parâmetros!A:A,Parâmetros!B:B,_xlfn.XLOOKUP(Q1641,Parâmetros!F:F,Parâmetros!G:G,"NOVA MENSAGEM"))</f>
        <v>FORMATO DE TEXTO</v>
      </c>
      <c r="N1641" s="1" t="str">
        <f>_xlfn.XLOOKUP(M1641,Parâmetros!K:K,Parâmetros!L:L,"")</f>
        <v>TEXTO FORA DO PADRÃO ACEITO NO CAMPO</v>
      </c>
      <c r="O1641" s="1" t="str">
        <f>_xlfn.XLOOKUP(M1641,Parâmetros!B:B,Parâmetros!C:C,_xlfn.XLOOKUP(Base!M1638,Parâmetros!G:G,Parâmetros!H:H))</f>
        <v>INDEFINIDO</v>
      </c>
      <c r="P1641" s="1" t="str">
        <f>_xlfn.XLOOKUP(I1641,Parâmetros!A:A,Parâmetros!D:D,_xlfn.XLOOKUP(Q1641,Parâmetros!F:F,Parâmetros!I:I))</f>
        <v>SUPORTE OBT</v>
      </c>
      <c r="Q1641" s="1" t="str">
        <f t="shared" si="51"/>
        <v>COLUNA I</v>
      </c>
    </row>
    <row r="1642" spans="1:17" x14ac:dyDescent="0.25">
      <c r="A1642" s="1" t="str">
        <f>_xlfn.XLOOKUP(D1642,'Novo relatório'!B:B,'Novo relatório'!C:C,"RESOLVIDO")</f>
        <v>RESOLVIDO</v>
      </c>
      <c r="C1642" t="str">
        <f t="shared" si="50"/>
        <v>RESOLVIDO</v>
      </c>
      <c r="D1642" s="1">
        <v>3389352</v>
      </c>
      <c r="E1642" s="1" t="s">
        <v>24</v>
      </c>
      <c r="F1642" s="2">
        <v>45775.585416666669</v>
      </c>
      <c r="G1642" s="1">
        <v>4528911</v>
      </c>
      <c r="H1642" s="1" t="s">
        <v>2157</v>
      </c>
      <c r="I1642" s="1" t="s">
        <v>374</v>
      </c>
      <c r="J1642" s="2">
        <v>45776.359027777777</v>
      </c>
      <c r="K1642" s="2">
        <v>45776.364583333336</v>
      </c>
      <c r="L1642" s="1" t="s">
        <v>14</v>
      </c>
      <c r="M1642" s="1" t="str">
        <f>_xlfn.XLOOKUP(I1642,Parâmetros!A:A,Parâmetros!B:B,_xlfn.XLOOKUP(Q1642,Parâmetros!F:F,Parâmetros!G:G,"NOVA MENSAGEM"))</f>
        <v>FORMATO DE TEXTO</v>
      </c>
      <c r="N1642" s="1" t="str">
        <f>_xlfn.XLOOKUP(M1642,Parâmetros!K:K,Parâmetros!L:L,"")</f>
        <v>TEXTO FORA DO PADRÃO ACEITO NO CAMPO</v>
      </c>
      <c r="O1642" s="1" t="str">
        <f>_xlfn.XLOOKUP(M1642,Parâmetros!B:B,Parâmetros!C:C,_xlfn.XLOOKUP(Base!M1621,Parâmetros!G:G,Parâmetros!H:H))</f>
        <v>INDEFINIDO</v>
      </c>
      <c r="P1642" s="1" t="str">
        <f>_xlfn.XLOOKUP(I1642,Parâmetros!A:A,Parâmetros!D:D,_xlfn.XLOOKUP(Q1642,Parâmetros!F:F,Parâmetros!I:I))</f>
        <v>SUPORTE OBT</v>
      </c>
      <c r="Q1642" s="1" t="str">
        <f t="shared" si="51"/>
        <v>COLUNA I</v>
      </c>
    </row>
    <row r="1643" spans="1:17" x14ac:dyDescent="0.25">
      <c r="A1643" s="1" t="str">
        <f>_xlfn.XLOOKUP(D1643,'Novo relatório'!B:B,'Novo relatório'!C:C,"RESOLVIDO")</f>
        <v>RESOLVIDO</v>
      </c>
      <c r="C1643" t="str">
        <f t="shared" si="50"/>
        <v>RESOLVIDO</v>
      </c>
      <c r="D1643" s="1">
        <v>3389353</v>
      </c>
      <c r="E1643" s="1" t="s">
        <v>24</v>
      </c>
      <c r="F1643" s="2">
        <v>45775.942361111112</v>
      </c>
      <c r="G1643" s="1">
        <v>4529343</v>
      </c>
      <c r="H1643" s="1" t="s">
        <v>2178</v>
      </c>
      <c r="I1643" s="1" t="s">
        <v>374</v>
      </c>
      <c r="J1643" s="2">
        <v>45776.359027777777</v>
      </c>
      <c r="K1643" s="2">
        <v>45776.364583333336</v>
      </c>
      <c r="L1643" s="1" t="s">
        <v>14</v>
      </c>
      <c r="M1643" s="1" t="str">
        <f>_xlfn.XLOOKUP(I1643,Parâmetros!A:A,Parâmetros!B:B,_xlfn.XLOOKUP(Q1643,Parâmetros!F:F,Parâmetros!G:G,"NOVA MENSAGEM"))</f>
        <v>FORMATO DE TEXTO</v>
      </c>
      <c r="N1643" s="1" t="str">
        <f>_xlfn.XLOOKUP(M1643,Parâmetros!K:K,Parâmetros!L:L,"")</f>
        <v>TEXTO FORA DO PADRÃO ACEITO NO CAMPO</v>
      </c>
      <c r="O1643" s="1" t="str">
        <f>_xlfn.XLOOKUP(M1643,Parâmetros!B:B,Parâmetros!C:C,_xlfn.XLOOKUP(Base!M1642,Parâmetros!G:G,Parâmetros!H:H))</f>
        <v>INDEFINIDO</v>
      </c>
      <c r="P1643" s="1" t="str">
        <f>_xlfn.XLOOKUP(I1643,Parâmetros!A:A,Parâmetros!D:D,_xlfn.XLOOKUP(Q1643,Parâmetros!F:F,Parâmetros!I:I))</f>
        <v>SUPORTE OBT</v>
      </c>
      <c r="Q1643" s="1" t="str">
        <f t="shared" si="51"/>
        <v>COLUNA I</v>
      </c>
    </row>
    <row r="1644" spans="1:17" x14ac:dyDescent="0.25">
      <c r="A1644" s="1" t="str">
        <f>_xlfn.XLOOKUP(D1644,'Novo relatório'!B:B,'Novo relatório'!C:C,"RESOLVIDO")</f>
        <v>SABRE</v>
      </c>
      <c r="C1644" t="str">
        <f t="shared" si="50"/>
        <v>PENDENTE</v>
      </c>
      <c r="D1644" s="1">
        <v>3389697</v>
      </c>
      <c r="E1644" s="1" t="s">
        <v>26</v>
      </c>
      <c r="F1644" s="2">
        <v>45776.4</v>
      </c>
      <c r="G1644" s="1" t="s">
        <v>2260</v>
      </c>
      <c r="H1644" s="1" t="s">
        <v>2261</v>
      </c>
      <c r="I1644" s="1" t="s">
        <v>2100</v>
      </c>
      <c r="J1644" s="2">
        <v>45776.493055555555</v>
      </c>
      <c r="L1644" s="1" t="s">
        <v>19</v>
      </c>
      <c r="M1644" s="1" t="str">
        <f>_xlfn.XLOOKUP(I1644,Parâmetros!A:A,Parâmetros!B:B,_xlfn.XLOOKUP(Q1644,Parâmetros!F:F,Parâmetros!G:G,"NOVA MENSAGEM"))</f>
        <v>CONTRATO FORNECEDOR</v>
      </c>
      <c r="N1644" s="1" t="str">
        <f>_xlfn.XLOOKUP(M1644,Parâmetros!K:K,Parâmetros!L:L,"")</f>
        <v>CONTRATO INATIVO OU DIVERGENTE</v>
      </c>
      <c r="O1644" s="1" t="str">
        <f>_xlfn.XLOOKUP(M1644,Parâmetros!B:B,Parâmetros!C:C,_xlfn.XLOOKUP(Base!M1711,Parâmetros!G:G,Parâmetros!H:H))</f>
        <v>SISTEMA</v>
      </c>
      <c r="P1644" s="1" t="str">
        <f>_xlfn.XLOOKUP(I1644,Parâmetros!A:A,Parâmetros!D:D,_xlfn.XLOOKUP(Q1644,Parâmetros!F:F,Parâmetros!I:I))</f>
        <v>OPERAÇÕES / SUPORTE KCS</v>
      </c>
      <c r="Q1644" s="1">
        <f t="shared" si="51"/>
        <v>43</v>
      </c>
    </row>
    <row r="1645" spans="1:17" x14ac:dyDescent="0.25">
      <c r="A1645" s="1" t="str">
        <f>_xlfn.XLOOKUP(D1645,'Novo relatório'!B:B,'Novo relatório'!C:C,"RESOLVIDO")</f>
        <v>SABRE</v>
      </c>
      <c r="C1645" t="str">
        <f t="shared" si="50"/>
        <v>PENDENTE</v>
      </c>
      <c r="D1645" s="1">
        <v>3389698</v>
      </c>
      <c r="E1645" s="1" t="s">
        <v>26</v>
      </c>
      <c r="F1645" s="2">
        <v>45776.400694444441</v>
      </c>
      <c r="G1645" s="1" t="s">
        <v>2234</v>
      </c>
      <c r="H1645" s="1" t="s">
        <v>2235</v>
      </c>
      <c r="I1645" s="1" t="s">
        <v>2100</v>
      </c>
      <c r="J1645" s="2">
        <v>45776.493055555555</v>
      </c>
      <c r="L1645" s="1" t="s">
        <v>19</v>
      </c>
      <c r="M1645" s="1" t="str">
        <f>_xlfn.XLOOKUP(I1645,Parâmetros!A:A,Parâmetros!B:B,_xlfn.XLOOKUP(Q1645,Parâmetros!F:F,Parâmetros!G:G,"NOVA MENSAGEM"))</f>
        <v>CONTRATO FORNECEDOR</v>
      </c>
      <c r="N1645" s="1" t="str">
        <f>_xlfn.XLOOKUP(M1645,Parâmetros!K:K,Parâmetros!L:L,"")</f>
        <v>CONTRATO INATIVO OU DIVERGENTE</v>
      </c>
      <c r="O1645" s="1" t="str">
        <f>_xlfn.XLOOKUP(M1645,Parâmetros!B:B,Parâmetros!C:C,_xlfn.XLOOKUP(Base!M1687,Parâmetros!G:G,Parâmetros!H:H))</f>
        <v>SISTEMA</v>
      </c>
      <c r="P1645" s="1" t="str">
        <f>_xlfn.XLOOKUP(I1645,Parâmetros!A:A,Parâmetros!D:D,_xlfn.XLOOKUP(Q1645,Parâmetros!F:F,Parâmetros!I:I))</f>
        <v>OPERAÇÕES / SUPORTE KCS</v>
      </c>
      <c r="Q1645" s="1">
        <f t="shared" si="51"/>
        <v>43</v>
      </c>
    </row>
    <row r="1646" spans="1:17" x14ac:dyDescent="0.25">
      <c r="A1646" s="1" t="str">
        <f>_xlfn.XLOOKUP(D1646,'Novo relatório'!B:B,'Novo relatório'!C:C,"RESOLVIDO")</f>
        <v>SABRE</v>
      </c>
      <c r="C1646" t="str">
        <f t="shared" si="50"/>
        <v>PENDENTE</v>
      </c>
      <c r="D1646" s="1">
        <v>3389884</v>
      </c>
      <c r="E1646" s="1" t="s">
        <v>26</v>
      </c>
      <c r="F1646" s="2">
        <v>45776.69027777778</v>
      </c>
      <c r="G1646" s="1" t="s">
        <v>2199</v>
      </c>
      <c r="H1646" s="1" t="s">
        <v>2200</v>
      </c>
      <c r="I1646" s="1" t="s">
        <v>2201</v>
      </c>
      <c r="J1646" s="2">
        <v>45776.576388888891</v>
      </c>
      <c r="K1646" s="2">
        <v>45776.775000000001</v>
      </c>
      <c r="L1646" s="1" t="s">
        <v>19</v>
      </c>
      <c r="M1646" s="1" t="str">
        <f>_xlfn.XLOOKUP(I1646,Parâmetros!A:A,Parâmetros!B:B,_xlfn.XLOOKUP(Q1646,Parâmetros!F:F,Parâmetros!G:G,"NOVA MENSAGEM"))</f>
        <v>NOVA MENSAGEM</v>
      </c>
      <c r="N1646" s="1" t="str">
        <f>_xlfn.XLOOKUP(M1646,Parâmetros!K:K,Parâmetros!L:L,"")</f>
        <v/>
      </c>
      <c r="O1646" s="1" t="e">
        <f>_xlfn.XLOOKUP(M1646,Parâmetros!B:B,Parâmetros!C:C,_xlfn.XLOOKUP(Base!M1658,Parâmetros!G:G,Parâmetros!H:H))</f>
        <v>#N/A</v>
      </c>
      <c r="P1646" s="1" t="e">
        <f>_xlfn.XLOOKUP(I1646,Parâmetros!A:A,Parâmetros!D:D,_xlfn.XLOOKUP(Q1646,Parâmetros!F:F,Parâmetros!I:I))</f>
        <v>#N/A</v>
      </c>
      <c r="Q1646" s="1">
        <f t="shared" si="51"/>
        <v>56</v>
      </c>
    </row>
    <row r="1647" spans="1:17" x14ac:dyDescent="0.25">
      <c r="A1647" s="1" t="str">
        <f>_xlfn.XLOOKUP(D1647,'Novo relatório'!B:B,'Novo relatório'!C:C,"RESOLVIDO")</f>
        <v>TMS</v>
      </c>
      <c r="C1647" t="str">
        <f t="shared" si="50"/>
        <v>PENDENTE</v>
      </c>
      <c r="D1647" s="1">
        <v>3390130</v>
      </c>
      <c r="E1647" s="1" t="s">
        <v>12</v>
      </c>
      <c r="F1647" s="2">
        <v>45776.486111111109</v>
      </c>
      <c r="G1647" s="1">
        <v>7305</v>
      </c>
      <c r="H1647" s="1">
        <v>7305</v>
      </c>
      <c r="I1647" s="1" t="s">
        <v>16</v>
      </c>
      <c r="J1647" s="2">
        <v>45776.59375</v>
      </c>
      <c r="K1647" s="2">
        <v>45779.884027777778</v>
      </c>
      <c r="L1647" s="1" t="s">
        <v>14</v>
      </c>
      <c r="M1647" s="1" t="str">
        <f>_xlfn.XLOOKUP(I1647,Parâmetros!A:A,Parâmetros!B:B,_xlfn.XLOOKUP(Q1647,Parâmetros!F:F,Parâmetros!G:G,"NOVA MENSAGEM"))</f>
        <v>ASSENTO / BAGAGEM</v>
      </c>
      <c r="N1647" s="1" t="str">
        <f>_xlfn.XLOOKUP(M1647,Parâmetros!K:K,Parâmetros!L:L,"")</f>
        <v>CAMPO OBSERVAÇÃO PREENCHIDO INCORRETAMENTE</v>
      </c>
      <c r="O1647" s="1" t="str">
        <f>_xlfn.XLOOKUP(M1647,Parâmetros!B:B,Parâmetros!C:C,_xlfn.XLOOKUP(Base!M1751,Parâmetros!G:G,Parâmetros!H:H))</f>
        <v>QUALIDADE DOS DADOS</v>
      </c>
      <c r="P1647" s="1" t="str">
        <f>_xlfn.XLOOKUP(I1647,Parâmetros!A:A,Parâmetros!D:D,_xlfn.XLOOKUP(Q1647,Parâmetros!F:F,Parâmetros!I:I))</f>
        <v>OPERAÇÕES / SUPORTE KCS</v>
      </c>
      <c r="Q1647" s="1">
        <f t="shared" si="51"/>
        <v>118</v>
      </c>
    </row>
    <row r="1648" spans="1:17" x14ac:dyDescent="0.25">
      <c r="A1648" s="1" t="str">
        <f>_xlfn.XLOOKUP(D1648,'Novo relatório'!B:B,'Novo relatório'!C:C,"RESOLVIDO")</f>
        <v>TMS</v>
      </c>
      <c r="C1648" t="str">
        <f t="shared" si="50"/>
        <v>PENDENTE</v>
      </c>
      <c r="D1648" s="1">
        <v>3390131</v>
      </c>
      <c r="E1648" s="1" t="s">
        <v>12</v>
      </c>
      <c r="F1648" s="2">
        <v>45776.486805555556</v>
      </c>
      <c r="G1648" s="1">
        <v>7304</v>
      </c>
      <c r="H1648" s="1">
        <v>7304</v>
      </c>
      <c r="I1648" s="1" t="s">
        <v>16</v>
      </c>
      <c r="J1648" s="2">
        <v>45776.594444444447</v>
      </c>
      <c r="K1648" s="2">
        <v>45779.884027777778</v>
      </c>
      <c r="L1648" s="1" t="s">
        <v>14</v>
      </c>
      <c r="M1648" s="1" t="str">
        <f>_xlfn.XLOOKUP(I1648,Parâmetros!A:A,Parâmetros!B:B,_xlfn.XLOOKUP(Q1648,Parâmetros!F:F,Parâmetros!G:G,"NOVA MENSAGEM"))</f>
        <v>ASSENTO / BAGAGEM</v>
      </c>
      <c r="N1648" s="1" t="str">
        <f>_xlfn.XLOOKUP(M1648,Parâmetros!K:K,Parâmetros!L:L,"")</f>
        <v>CAMPO OBSERVAÇÃO PREENCHIDO INCORRETAMENTE</v>
      </c>
      <c r="O1648" s="1" t="str">
        <f>_xlfn.XLOOKUP(M1648,Parâmetros!B:B,Parâmetros!C:C,_xlfn.XLOOKUP(Base!M1750,Parâmetros!G:G,Parâmetros!H:H))</f>
        <v>QUALIDADE DOS DADOS</v>
      </c>
      <c r="P1648" s="1" t="str">
        <f>_xlfn.XLOOKUP(I1648,Parâmetros!A:A,Parâmetros!D:D,_xlfn.XLOOKUP(Q1648,Parâmetros!F:F,Parâmetros!I:I))</f>
        <v>OPERAÇÕES / SUPORTE KCS</v>
      </c>
      <c r="Q1648" s="1">
        <f t="shared" si="51"/>
        <v>118</v>
      </c>
    </row>
    <row r="1649" spans="1:17" x14ac:dyDescent="0.25">
      <c r="A1649" s="1" t="str">
        <f>_xlfn.XLOOKUP(D1649,'Novo relatório'!B:B,'Novo relatório'!C:C,"RESOLVIDO")</f>
        <v>TMS</v>
      </c>
      <c r="C1649" t="str">
        <f t="shared" si="50"/>
        <v>PENDENTE</v>
      </c>
      <c r="D1649" s="1">
        <v>3390132</v>
      </c>
      <c r="E1649" s="1" t="s">
        <v>12</v>
      </c>
      <c r="F1649" s="2">
        <v>45776.487500000003</v>
      </c>
      <c r="G1649" s="1">
        <v>7303</v>
      </c>
      <c r="H1649" s="1">
        <v>7303</v>
      </c>
      <c r="I1649" s="1" t="s">
        <v>16</v>
      </c>
      <c r="J1649" s="2">
        <v>45776.594444444447</v>
      </c>
      <c r="K1649" s="2">
        <v>45779.884027777778</v>
      </c>
      <c r="L1649" s="1" t="s">
        <v>14</v>
      </c>
      <c r="M1649" s="1" t="str">
        <f>_xlfn.XLOOKUP(I1649,Parâmetros!A:A,Parâmetros!B:B,_xlfn.XLOOKUP(Q1649,Parâmetros!F:F,Parâmetros!G:G,"NOVA MENSAGEM"))</f>
        <v>ASSENTO / BAGAGEM</v>
      </c>
      <c r="N1649" s="1" t="str">
        <f>_xlfn.XLOOKUP(M1649,Parâmetros!K:K,Parâmetros!L:L,"")</f>
        <v>CAMPO OBSERVAÇÃO PREENCHIDO INCORRETAMENTE</v>
      </c>
      <c r="O1649" s="1" t="str">
        <f>_xlfn.XLOOKUP(M1649,Parâmetros!B:B,Parâmetros!C:C,_xlfn.XLOOKUP(Base!M1749,Parâmetros!G:G,Parâmetros!H:H))</f>
        <v>QUALIDADE DOS DADOS</v>
      </c>
      <c r="P1649" s="1" t="str">
        <f>_xlfn.XLOOKUP(I1649,Parâmetros!A:A,Parâmetros!D:D,_xlfn.XLOOKUP(Q1649,Parâmetros!F:F,Parâmetros!I:I))</f>
        <v>OPERAÇÕES / SUPORTE KCS</v>
      </c>
      <c r="Q1649" s="1">
        <f t="shared" si="51"/>
        <v>118</v>
      </c>
    </row>
    <row r="1650" spans="1:17" x14ac:dyDescent="0.25">
      <c r="A1650" s="1" t="str">
        <f>_xlfn.XLOOKUP(D1650,'Novo relatório'!B:B,'Novo relatório'!C:C,"RESOLVIDO")</f>
        <v>TMS</v>
      </c>
      <c r="C1650" t="str">
        <f t="shared" si="50"/>
        <v>PENDENTE</v>
      </c>
      <c r="D1650" s="1">
        <v>3390133</v>
      </c>
      <c r="E1650" s="1" t="s">
        <v>12</v>
      </c>
      <c r="F1650" s="2">
        <v>45776.488194444442</v>
      </c>
      <c r="G1650" s="1">
        <v>7302</v>
      </c>
      <c r="H1650" s="1">
        <v>7302</v>
      </c>
      <c r="I1650" s="1" t="s">
        <v>16</v>
      </c>
      <c r="J1650" s="2">
        <v>45776.594444444447</v>
      </c>
      <c r="K1650" s="2">
        <v>45779.884027777778</v>
      </c>
      <c r="L1650" s="1" t="s">
        <v>14</v>
      </c>
      <c r="M1650" s="1" t="str">
        <f>_xlfn.XLOOKUP(I1650,Parâmetros!A:A,Parâmetros!B:B,_xlfn.XLOOKUP(Q1650,Parâmetros!F:F,Parâmetros!G:G,"NOVA MENSAGEM"))</f>
        <v>ASSENTO / BAGAGEM</v>
      </c>
      <c r="N1650" s="1" t="str">
        <f>_xlfn.XLOOKUP(M1650,Parâmetros!K:K,Parâmetros!L:L,"")</f>
        <v>CAMPO OBSERVAÇÃO PREENCHIDO INCORRETAMENTE</v>
      </c>
      <c r="O1650" s="1" t="str">
        <f>_xlfn.XLOOKUP(M1650,Parâmetros!B:B,Parâmetros!C:C,_xlfn.XLOOKUP(Base!M1748,Parâmetros!G:G,Parâmetros!H:H))</f>
        <v>QUALIDADE DOS DADOS</v>
      </c>
      <c r="P1650" s="1" t="str">
        <f>_xlfn.XLOOKUP(I1650,Parâmetros!A:A,Parâmetros!D:D,_xlfn.XLOOKUP(Q1650,Parâmetros!F:F,Parâmetros!I:I))</f>
        <v>OPERAÇÕES / SUPORTE KCS</v>
      </c>
      <c r="Q1650" s="1">
        <f t="shared" si="51"/>
        <v>118</v>
      </c>
    </row>
    <row r="1651" spans="1:17" x14ac:dyDescent="0.25">
      <c r="A1651" s="1" t="str">
        <f>_xlfn.XLOOKUP(D1651,'Novo relatório'!B:B,'Novo relatório'!C:C,"RESOLVIDO")</f>
        <v>TMS</v>
      </c>
      <c r="C1651" t="str">
        <f t="shared" si="50"/>
        <v>PENDENTE</v>
      </c>
      <c r="D1651" s="1">
        <v>3390273</v>
      </c>
      <c r="E1651" s="1" t="s">
        <v>12</v>
      </c>
      <c r="F1651" s="2">
        <v>45776.548611111109</v>
      </c>
      <c r="G1651" s="1">
        <v>61021</v>
      </c>
      <c r="H1651" s="1">
        <v>61021</v>
      </c>
      <c r="I1651" s="1" t="s">
        <v>16</v>
      </c>
      <c r="J1651" s="2">
        <v>45776.603472222225</v>
      </c>
      <c r="K1651" s="2">
        <v>45779.9</v>
      </c>
      <c r="L1651" s="1" t="s">
        <v>14</v>
      </c>
      <c r="M1651" s="1" t="str">
        <f>_xlfn.XLOOKUP(I1651,Parâmetros!A:A,Parâmetros!B:B,_xlfn.XLOOKUP(Q1651,Parâmetros!F:F,Parâmetros!G:G,"NOVA MENSAGEM"))</f>
        <v>ASSENTO / BAGAGEM</v>
      </c>
      <c r="N1651" s="1" t="str">
        <f>_xlfn.XLOOKUP(M1651,Parâmetros!K:K,Parâmetros!L:L,"")</f>
        <v>CAMPO OBSERVAÇÃO PREENCHIDO INCORRETAMENTE</v>
      </c>
      <c r="O1651" s="1" t="str">
        <f>_xlfn.XLOOKUP(M1651,Parâmetros!B:B,Parâmetros!C:C,_xlfn.XLOOKUP(Base!M1737,Parâmetros!G:G,Parâmetros!H:H))</f>
        <v>QUALIDADE DOS DADOS</v>
      </c>
      <c r="P1651" s="1" t="str">
        <f>_xlfn.XLOOKUP(I1651,Parâmetros!A:A,Parâmetros!D:D,_xlfn.XLOOKUP(Q1651,Parâmetros!F:F,Parâmetros!I:I))</f>
        <v>OPERAÇÕES / SUPORTE KCS</v>
      </c>
      <c r="Q1651" s="1">
        <f t="shared" si="51"/>
        <v>118</v>
      </c>
    </row>
    <row r="1652" spans="1:17" x14ac:dyDescent="0.25">
      <c r="A1652" s="1" t="str">
        <f>_xlfn.XLOOKUP(D1652,'Novo relatório'!B:B,'Novo relatório'!C:C,"RESOLVIDO")</f>
        <v>TMS</v>
      </c>
      <c r="C1652" t="str">
        <f t="shared" si="50"/>
        <v>PENDENTE</v>
      </c>
      <c r="D1652" s="1">
        <v>3390622</v>
      </c>
      <c r="E1652" s="1" t="s">
        <v>12</v>
      </c>
      <c r="F1652" s="2">
        <v>45776.397916666669</v>
      </c>
      <c r="G1652" s="1">
        <v>5720</v>
      </c>
      <c r="H1652" s="1">
        <v>5720</v>
      </c>
      <c r="I1652" s="1" t="s">
        <v>2134</v>
      </c>
      <c r="J1652" s="2">
        <v>45776.63958333333</v>
      </c>
      <c r="K1652" s="2">
        <v>45779.920138888891</v>
      </c>
      <c r="L1652" s="1" t="s">
        <v>14</v>
      </c>
      <c r="M1652" s="1" t="str">
        <f>_xlfn.XLOOKUP(I1652,Parâmetros!A:A,Parâmetros!B:B,_xlfn.XLOOKUP(Q1652,Parâmetros!F:F,Parâmetros!G:G,"NOVA MENSAGEM"))</f>
        <v>NOVA MENSAGEM</v>
      </c>
      <c r="N1652" s="1" t="str">
        <f>_xlfn.XLOOKUP(M1652,Parâmetros!K:K,Parâmetros!L:L,"")</f>
        <v/>
      </c>
      <c r="O1652" s="1" t="e">
        <f>_xlfn.XLOOKUP(M1652,Parâmetros!B:B,Parâmetros!C:C,_xlfn.XLOOKUP(Base!M1735,Parâmetros!G:G,Parâmetros!H:H))</f>
        <v>#N/A</v>
      </c>
      <c r="P1652" s="1" t="e">
        <f>_xlfn.XLOOKUP(I1652,Parâmetros!A:A,Parâmetros!D:D,_xlfn.XLOOKUP(Q1652,Parâmetros!F:F,Parâmetros!I:I))</f>
        <v>#N/A</v>
      </c>
      <c r="Q1652" s="1" t="str">
        <f t="shared" si="51"/>
        <v>COLUNA I</v>
      </c>
    </row>
    <row r="1653" spans="1:17" x14ac:dyDescent="0.25">
      <c r="A1653" s="1" t="str">
        <f>_xlfn.XLOOKUP(D1653,'Novo relatório'!B:B,'Novo relatório'!C:C,"RESOLVIDO")</f>
        <v>SABRE</v>
      </c>
      <c r="C1653" t="str">
        <f t="shared" si="50"/>
        <v>PENDENTE</v>
      </c>
      <c r="D1653" s="1">
        <v>3390674</v>
      </c>
      <c r="E1653" s="1" t="s">
        <v>26</v>
      </c>
      <c r="F1653" s="2">
        <v>45776.571527777778</v>
      </c>
      <c r="G1653" s="1" t="s">
        <v>2254</v>
      </c>
      <c r="H1653" s="1" t="s">
        <v>2254</v>
      </c>
      <c r="I1653" s="1" t="s">
        <v>707</v>
      </c>
      <c r="J1653" s="2">
        <v>45776.658333333333</v>
      </c>
      <c r="L1653" s="1" t="s">
        <v>18</v>
      </c>
      <c r="M1653" s="1" t="str">
        <f>_xlfn.XLOOKUP(I1653,Parâmetros!A:A,Parâmetros!B:B,_xlfn.XLOOKUP(Q1653,Parâmetros!F:F,Parâmetros!G:G,"NOVA MENSAGEM"))</f>
        <v>CÓD. CLIENTE DIVERGENTE</v>
      </c>
      <c r="N1653" s="1" t="str">
        <f>_xlfn.XLOOKUP(M1653,Parâmetros!K:K,Parâmetros!L:L,"")</f>
        <v>CÓDIGO DIFERENTE DO CADASTRADO NO BENNER (CLIENTE X GRUPO)</v>
      </c>
      <c r="O1653" s="1" t="str">
        <f>_xlfn.XLOOKUP(M1653,Parâmetros!B:B,Parâmetros!C:C,_xlfn.XLOOKUP(Base!M1705,Parâmetros!G:G,Parâmetros!H:H))</f>
        <v>QUALIDADE DOS DADOS</v>
      </c>
      <c r="P1653" s="1" t="str">
        <f>_xlfn.XLOOKUP(I1653,Parâmetros!A:A,Parâmetros!D:D,_xlfn.XLOOKUP(Q1653,Parâmetros!F:F,Parâmetros!I:I))</f>
        <v>SUPORTE OBT</v>
      </c>
      <c r="Q1653" s="1">
        <f t="shared" si="51"/>
        <v>1</v>
      </c>
    </row>
    <row r="1654" spans="1:17" x14ac:dyDescent="0.25">
      <c r="A1654" s="1" t="str">
        <f>_xlfn.XLOOKUP(D1654,'Novo relatório'!B:B,'Novo relatório'!C:C,"RESOLVIDO")</f>
        <v>SABRE</v>
      </c>
      <c r="C1654" t="str">
        <f t="shared" si="50"/>
        <v>PENDENTE</v>
      </c>
      <c r="D1654" s="1">
        <v>3390676</v>
      </c>
      <c r="E1654" s="1" t="s">
        <v>26</v>
      </c>
      <c r="F1654" s="2">
        <v>45776.68472222222</v>
      </c>
      <c r="G1654" s="1" t="s">
        <v>2185</v>
      </c>
      <c r="H1654" s="1" t="s">
        <v>2185</v>
      </c>
      <c r="I1654" s="1" t="s">
        <v>408</v>
      </c>
      <c r="J1654" s="2">
        <v>45776.65902777778</v>
      </c>
      <c r="K1654" s="2">
        <v>45776.771527777775</v>
      </c>
      <c r="L1654" s="1" t="s">
        <v>18</v>
      </c>
      <c r="M1654" s="1" t="str">
        <f>_xlfn.XLOOKUP(I1654,Parâmetros!A:A,Parâmetros!B:B,_xlfn.XLOOKUP(Q1654,Parâmetros!F:F,Parâmetros!G:G,"NOVA MENSAGEM"))</f>
        <v>CÓD. CLIENTE DIVERGENTE</v>
      </c>
      <c r="N1654" s="1" t="str">
        <f>_xlfn.XLOOKUP(M1654,Parâmetros!K:K,Parâmetros!L:L,"")</f>
        <v>CÓDIGO DIFERENTE DO CADASTRADO NO BENNER (CLIENTE X GRUPO)</v>
      </c>
      <c r="O1654" s="1" t="str">
        <f>_xlfn.XLOOKUP(M1654,Parâmetros!B:B,Parâmetros!C:C,_xlfn.XLOOKUP(Base!M1648,Parâmetros!G:G,Parâmetros!H:H))</f>
        <v>QUALIDADE DOS DADOS</v>
      </c>
      <c r="P1654" s="1" t="str">
        <f>_xlfn.XLOOKUP(I1654,Parâmetros!A:A,Parâmetros!D:D,_xlfn.XLOOKUP(Q1654,Parâmetros!F:F,Parâmetros!I:I))</f>
        <v>SUPORTE OBT</v>
      </c>
      <c r="Q1654" s="1">
        <f t="shared" si="51"/>
        <v>1</v>
      </c>
    </row>
    <row r="1655" spans="1:17" x14ac:dyDescent="0.25">
      <c r="A1655" s="1" t="str">
        <f>_xlfn.XLOOKUP(D1655,'Novo relatório'!B:B,'Novo relatório'!C:C,"RESOLVIDO")</f>
        <v>SABRE</v>
      </c>
      <c r="C1655" t="str">
        <f t="shared" si="50"/>
        <v>PENDENTE</v>
      </c>
      <c r="D1655" s="1">
        <v>3390857</v>
      </c>
      <c r="E1655" s="1" t="s">
        <v>26</v>
      </c>
      <c r="F1655" s="2">
        <v>45783.620138888888</v>
      </c>
      <c r="G1655" s="1" t="s">
        <v>2216</v>
      </c>
      <c r="H1655" s="1" t="s">
        <v>2217</v>
      </c>
      <c r="I1655" s="1" t="s">
        <v>575</v>
      </c>
      <c r="J1655" s="2">
        <v>45776.709027777775</v>
      </c>
      <c r="K1655" s="2">
        <v>45783.709027777775</v>
      </c>
      <c r="L1655" s="1" t="s">
        <v>19</v>
      </c>
      <c r="M1655" s="1" t="str">
        <f>_xlfn.XLOOKUP(I1655,Parâmetros!A:A,Parâmetros!B:B,_xlfn.XLOOKUP(Q1655,Parâmetros!F:F,Parâmetros!G:G,"NOVA MENSAGEM"))</f>
        <v>CONTRATO FORNECEDOR</v>
      </c>
      <c r="N1655" s="1" t="str">
        <f>_xlfn.XLOOKUP(M1655,Parâmetros!K:K,Parâmetros!L:L,"")</f>
        <v>CONTRATO INATIVO OU DIVERGENTE</v>
      </c>
      <c r="O1655" s="1" t="str">
        <f>_xlfn.XLOOKUP(M1655,Parâmetros!B:B,Parâmetros!C:C,_xlfn.XLOOKUP(Base!M1670,Parâmetros!G:G,Parâmetros!H:H))</f>
        <v>SISTEMA</v>
      </c>
      <c r="P1655" s="1" t="str">
        <f>_xlfn.XLOOKUP(I1655,Parâmetros!A:A,Parâmetros!D:D,_xlfn.XLOOKUP(Q1655,Parâmetros!F:F,Parâmetros!I:I))</f>
        <v>OPERAÇÕES / SUPORTE KCS</v>
      </c>
      <c r="Q1655" s="1">
        <f t="shared" si="51"/>
        <v>56</v>
      </c>
    </row>
    <row r="1656" spans="1:17" x14ac:dyDescent="0.25">
      <c r="A1656" s="1" t="str">
        <f>_xlfn.XLOOKUP(D1656,'Novo relatório'!B:B,'Novo relatório'!C:C,"RESOLVIDO")</f>
        <v>SABRE</v>
      </c>
      <c r="C1656" t="str">
        <f t="shared" si="50"/>
        <v>PENDENTE</v>
      </c>
      <c r="D1656" s="1">
        <v>3390941</v>
      </c>
      <c r="E1656" s="1" t="s">
        <v>26</v>
      </c>
      <c r="F1656" s="2">
        <v>45776.627083333333</v>
      </c>
      <c r="G1656" s="1" t="s">
        <v>2179</v>
      </c>
      <c r="H1656" s="1" t="s">
        <v>2180</v>
      </c>
      <c r="I1656" s="1" t="s">
        <v>2100</v>
      </c>
      <c r="J1656" s="2">
        <v>45776.713194444441</v>
      </c>
      <c r="L1656" s="1" t="s">
        <v>19</v>
      </c>
      <c r="M1656" s="1" t="str">
        <f>_xlfn.XLOOKUP(I1656,Parâmetros!A:A,Parâmetros!B:B,_xlfn.XLOOKUP(Q1656,Parâmetros!F:F,Parâmetros!G:G,"NOVA MENSAGEM"))</f>
        <v>CONTRATO FORNECEDOR</v>
      </c>
      <c r="N1656" s="1" t="str">
        <f>_xlfn.XLOOKUP(M1656,Parâmetros!K:K,Parâmetros!L:L,"")</f>
        <v>CONTRATO INATIVO OU DIVERGENTE</v>
      </c>
      <c r="O1656" s="1" t="str">
        <f>_xlfn.XLOOKUP(M1656,Parâmetros!B:B,Parâmetros!C:C,_xlfn.XLOOKUP(Base!M1643,Parâmetros!G:G,Parâmetros!H:H))</f>
        <v>SISTEMA</v>
      </c>
      <c r="P1656" s="1" t="str">
        <f>_xlfn.XLOOKUP(I1656,Parâmetros!A:A,Parâmetros!D:D,_xlfn.XLOOKUP(Q1656,Parâmetros!F:F,Parâmetros!I:I))</f>
        <v>OPERAÇÕES / SUPORTE KCS</v>
      </c>
      <c r="Q1656" s="1">
        <f t="shared" si="51"/>
        <v>43</v>
      </c>
    </row>
    <row r="1657" spans="1:17" x14ac:dyDescent="0.25">
      <c r="A1657" s="1" t="str">
        <f>_xlfn.XLOOKUP(D1657,'Novo relatório'!B:B,'Novo relatório'!C:C,"RESOLVIDO")</f>
        <v>SABRE</v>
      </c>
      <c r="C1657" t="str">
        <f t="shared" si="50"/>
        <v>PENDENTE</v>
      </c>
      <c r="D1657" s="1">
        <v>3391046</v>
      </c>
      <c r="E1657" s="1" t="s">
        <v>26</v>
      </c>
      <c r="F1657" s="2">
        <v>45776.627083333333</v>
      </c>
      <c r="G1657" s="1" t="s">
        <v>2223</v>
      </c>
      <c r="H1657" s="1" t="s">
        <v>2223</v>
      </c>
      <c r="I1657" s="1" t="s">
        <v>83</v>
      </c>
      <c r="J1657" s="2">
        <v>45776.724999999999</v>
      </c>
      <c r="L1657" s="1" t="s">
        <v>18</v>
      </c>
      <c r="M1657" s="1" t="str">
        <f>_xlfn.XLOOKUP(I1657,Parâmetros!A:A,Parâmetros!B:B,_xlfn.XLOOKUP(Q1657,Parâmetros!F:F,Parâmetros!G:G,"NOVA MENSAGEM"))</f>
        <v>CLIENTE NÃO IDENTIFICADO</v>
      </c>
      <c r="N1657" s="1" t="str">
        <f>_xlfn.XLOOKUP(M1657,Parâmetros!K:K,Parâmetros!L:L,"")</f>
        <v>DK DE CLIENTE NÃO PREENCIDO / CLIENTE NÃO CONFIGURADO NO OBT</v>
      </c>
      <c r="O1657" s="1" t="str">
        <f>_xlfn.XLOOKUP(M1657,Parâmetros!B:B,Parâmetros!C:C,_xlfn.XLOOKUP(Base!M1676,Parâmetros!G:G,Parâmetros!H:H))</f>
        <v>INDEFINIDO</v>
      </c>
      <c r="P1657" s="1" t="str">
        <f>_xlfn.XLOOKUP(I1657,Parâmetros!A:A,Parâmetros!D:D,_xlfn.XLOOKUP(Q1657,Parâmetros!F:F,Parâmetros!I:I))</f>
        <v>OPERAÇÕES / SUPORTE KCS</v>
      </c>
      <c r="Q1657" s="1" t="str">
        <f t="shared" si="51"/>
        <v>COLUNA I</v>
      </c>
    </row>
    <row r="1658" spans="1:17" x14ac:dyDescent="0.25">
      <c r="A1658" s="1" t="str">
        <f>_xlfn.XLOOKUP(D1658,'Novo relatório'!B:B,'Novo relatório'!C:C,"RESOLVIDO")</f>
        <v>SABRE</v>
      </c>
      <c r="C1658" t="str">
        <f t="shared" si="50"/>
        <v>PENDENTE</v>
      </c>
      <c r="D1658" s="1">
        <v>3391079</v>
      </c>
      <c r="E1658" s="1" t="s">
        <v>26</v>
      </c>
      <c r="F1658" s="2">
        <v>45779.523611111108</v>
      </c>
      <c r="G1658" s="1" t="s">
        <v>2188</v>
      </c>
      <c r="H1658" s="1" t="s">
        <v>2189</v>
      </c>
      <c r="I1658" s="1" t="s">
        <v>64</v>
      </c>
      <c r="J1658" s="2">
        <v>45776.740277777775</v>
      </c>
      <c r="K1658" s="2">
        <v>45779.615277777775</v>
      </c>
      <c r="L1658" s="1" t="s">
        <v>1244</v>
      </c>
      <c r="M1658" s="1" t="str">
        <f>_xlfn.XLOOKUP(I1658,Parâmetros!A:A,Parâmetros!B:B,_xlfn.XLOOKUP(Q1658,Parâmetros!F:F,Parâmetros!G:G,"NOVA MENSAGEM"))</f>
        <v>FORMATO DE TEXTO</v>
      </c>
      <c r="N1658" s="1" t="str">
        <f>_xlfn.XLOOKUP(M1658,Parâmetros!K:K,Parâmetros!L:L,"")</f>
        <v>TEXTO FORA DO PADRÃO ACEITO NO CAMPO</v>
      </c>
      <c r="O1658" s="1" t="str">
        <f>_xlfn.XLOOKUP(M1658,Parâmetros!B:B,Parâmetros!C:C,_xlfn.XLOOKUP(Base!M1651,Parâmetros!G:G,Parâmetros!H:H))</f>
        <v>INDEFINIDO</v>
      </c>
      <c r="P1658" s="1" t="str">
        <f>_xlfn.XLOOKUP(I1658,Parâmetros!A:A,Parâmetros!D:D,_xlfn.XLOOKUP(Q1658,Parâmetros!F:F,Parâmetros!I:I))</f>
        <v>SUPORTE OBT</v>
      </c>
      <c r="Q1658" s="1" t="str">
        <f t="shared" si="51"/>
        <v>COLUNA I</v>
      </c>
    </row>
    <row r="1659" spans="1:17" x14ac:dyDescent="0.25">
      <c r="A1659" s="1" t="str">
        <f>_xlfn.XLOOKUP(D1659,'Novo relatório'!B:B,'Novo relatório'!C:C,"RESOLVIDO")</f>
        <v>SABRE</v>
      </c>
      <c r="C1659" t="str">
        <f t="shared" si="50"/>
        <v>PENDENTE</v>
      </c>
      <c r="D1659" s="1">
        <v>3391268</v>
      </c>
      <c r="E1659" s="1" t="s">
        <v>26</v>
      </c>
      <c r="F1659" s="2">
        <v>45776.70416666667</v>
      </c>
      <c r="G1659" s="1" t="s">
        <v>2184</v>
      </c>
      <c r="H1659" s="1" t="s">
        <v>2184</v>
      </c>
      <c r="I1659" s="1" t="s">
        <v>622</v>
      </c>
      <c r="J1659" s="2">
        <v>45776.79583333333</v>
      </c>
      <c r="L1659" s="1" t="s">
        <v>14</v>
      </c>
      <c r="M1659" s="1" t="str">
        <f>_xlfn.XLOOKUP(I1659,Parâmetros!A:A,Parâmetros!B:B,_xlfn.XLOOKUP(Q1659,Parâmetros!F:F,Parâmetros!G:G,"NOVA MENSAGEM"))</f>
        <v>ERRO DE SQL</v>
      </c>
      <c r="N1659" s="1" t="str">
        <f>_xlfn.XLOOKUP(M1659,Parâmetros!K:K,Parâmetros!L:L,"")</f>
        <v>ERRO NA IMPORTAÇÃO/MODIFICAÇÃO DAS INFOMAÇÕES</v>
      </c>
      <c r="O1659" s="1" t="str">
        <f>_xlfn.XLOOKUP(M1659,Parâmetros!B:B,Parâmetros!C:C,_xlfn.XLOOKUP(Base!M1647,Parâmetros!G:G,Parâmetros!H:H))</f>
        <v>SISTEMA</v>
      </c>
      <c r="P1659" s="1" t="str">
        <f>_xlfn.XLOOKUP(I1659,Parâmetros!A:A,Parâmetros!D:D,_xlfn.XLOOKUP(Q1659,Parâmetros!F:F,Parâmetros!I:I))</f>
        <v>SUPORTE BENNER</v>
      </c>
      <c r="Q1659" s="1" t="str">
        <f t="shared" si="51"/>
        <v>COLUNA I</v>
      </c>
    </row>
    <row r="1660" spans="1:17" x14ac:dyDescent="0.25">
      <c r="A1660" s="1" t="str">
        <f>_xlfn.XLOOKUP(D1660,'Novo relatório'!B:B,'Novo relatório'!C:C,"RESOLVIDO")</f>
        <v>SABRE</v>
      </c>
      <c r="C1660" t="str">
        <f t="shared" si="50"/>
        <v>PENDENTE</v>
      </c>
      <c r="D1660" s="1">
        <v>3391432</v>
      </c>
      <c r="E1660" s="1" t="s">
        <v>26</v>
      </c>
      <c r="F1660" s="2">
        <v>45776.75</v>
      </c>
      <c r="G1660" s="1" t="s">
        <v>2203</v>
      </c>
      <c r="H1660" s="1" t="s">
        <v>2203</v>
      </c>
      <c r="I1660" s="1" t="s">
        <v>83</v>
      </c>
      <c r="J1660" s="2">
        <v>45776.835416666669</v>
      </c>
      <c r="L1660" s="1" t="s">
        <v>18</v>
      </c>
      <c r="M1660" s="1" t="str">
        <f>_xlfn.XLOOKUP(I1660,Parâmetros!A:A,Parâmetros!B:B,_xlfn.XLOOKUP(Q1660,Parâmetros!F:F,Parâmetros!G:G,"NOVA MENSAGEM"))</f>
        <v>CLIENTE NÃO IDENTIFICADO</v>
      </c>
      <c r="N1660" s="1" t="str">
        <f>_xlfn.XLOOKUP(M1660,Parâmetros!K:K,Parâmetros!L:L,"")</f>
        <v>DK DE CLIENTE NÃO PREENCIDO / CLIENTE NÃO CONFIGURADO NO OBT</v>
      </c>
      <c r="O1660" s="1" t="str">
        <f>_xlfn.XLOOKUP(M1660,Parâmetros!B:B,Parâmetros!C:C,_xlfn.XLOOKUP(Base!M1660,Parâmetros!G:G,Parâmetros!H:H))</f>
        <v>INDEFINIDO</v>
      </c>
      <c r="P1660" s="1" t="str">
        <f>_xlfn.XLOOKUP(I1660,Parâmetros!A:A,Parâmetros!D:D,_xlfn.XLOOKUP(Q1660,Parâmetros!F:F,Parâmetros!I:I))</f>
        <v>OPERAÇÕES / SUPORTE KCS</v>
      </c>
      <c r="Q1660" s="1" t="str">
        <f t="shared" si="51"/>
        <v>COLUNA I</v>
      </c>
    </row>
    <row r="1661" spans="1:17" x14ac:dyDescent="0.25">
      <c r="A1661" s="1" t="str">
        <f>_xlfn.XLOOKUP(D1661,'Novo relatório'!B:B,'Novo relatório'!C:C,"RESOLVIDO")</f>
        <v>TMS</v>
      </c>
      <c r="C1661" t="str">
        <f t="shared" si="50"/>
        <v>PENDENTE</v>
      </c>
      <c r="D1661" s="1">
        <v>3391443</v>
      </c>
      <c r="E1661" s="1" t="s">
        <v>12</v>
      </c>
      <c r="F1661" s="2">
        <v>45776.743055555555</v>
      </c>
      <c r="G1661" s="1">
        <v>64357</v>
      </c>
      <c r="H1661" s="1">
        <v>64357</v>
      </c>
      <c r="I1661" s="1" t="s">
        <v>16</v>
      </c>
      <c r="J1661" s="2">
        <v>45776.836111111108</v>
      </c>
      <c r="K1661" s="2">
        <v>45779.872916666667</v>
      </c>
      <c r="L1661" s="1" t="s">
        <v>14</v>
      </c>
      <c r="M1661" s="1" t="str">
        <f>_xlfn.XLOOKUP(I1661,Parâmetros!A:A,Parâmetros!B:B,_xlfn.XLOOKUP(Q1661,Parâmetros!F:F,Parâmetros!G:G,"NOVA MENSAGEM"))</f>
        <v>ASSENTO / BAGAGEM</v>
      </c>
      <c r="N1661" s="1" t="str">
        <f>_xlfn.XLOOKUP(M1661,Parâmetros!K:K,Parâmetros!L:L,"")</f>
        <v>CAMPO OBSERVAÇÃO PREENCHIDO INCORRETAMENTE</v>
      </c>
      <c r="O1661" s="1" t="str">
        <f>_xlfn.XLOOKUP(M1661,Parâmetros!B:B,Parâmetros!C:C,_xlfn.XLOOKUP(Base!M1745,Parâmetros!G:G,Parâmetros!H:H))</f>
        <v>QUALIDADE DOS DADOS</v>
      </c>
      <c r="P1661" s="1" t="str">
        <f>_xlfn.XLOOKUP(I1661,Parâmetros!A:A,Parâmetros!D:D,_xlfn.XLOOKUP(Q1661,Parâmetros!F:F,Parâmetros!I:I))</f>
        <v>OPERAÇÕES / SUPORTE KCS</v>
      </c>
      <c r="Q1661" s="1">
        <f t="shared" si="51"/>
        <v>118</v>
      </c>
    </row>
    <row r="1662" spans="1:17" x14ac:dyDescent="0.25">
      <c r="A1662" s="1" t="str">
        <f>_xlfn.XLOOKUP(D1662,'Novo relatório'!B:B,'Novo relatório'!C:C,"RESOLVIDO")</f>
        <v>TMS</v>
      </c>
      <c r="C1662" t="str">
        <f t="shared" si="50"/>
        <v>PENDENTE</v>
      </c>
      <c r="D1662" s="1">
        <v>3391449</v>
      </c>
      <c r="E1662" s="1" t="s">
        <v>12</v>
      </c>
      <c r="F1662" s="2">
        <v>45776.738194444442</v>
      </c>
      <c r="G1662" s="1">
        <v>64317</v>
      </c>
      <c r="H1662" s="1">
        <v>64317</v>
      </c>
      <c r="I1662" s="1" t="s">
        <v>16</v>
      </c>
      <c r="J1662" s="2">
        <v>45776.836805555555</v>
      </c>
      <c r="K1662" s="2">
        <v>45779.872916666667</v>
      </c>
      <c r="L1662" s="1" t="s">
        <v>14</v>
      </c>
      <c r="M1662" s="1" t="str">
        <f>_xlfn.XLOOKUP(I1662,Parâmetros!A:A,Parâmetros!B:B,_xlfn.XLOOKUP(Q1662,Parâmetros!F:F,Parâmetros!G:G,"NOVA MENSAGEM"))</f>
        <v>ASSENTO / BAGAGEM</v>
      </c>
      <c r="N1662" s="1" t="str">
        <f>_xlfn.XLOOKUP(M1662,Parâmetros!K:K,Parâmetros!L:L,"")</f>
        <v>CAMPO OBSERVAÇÃO PREENCHIDO INCORRETAMENTE</v>
      </c>
      <c r="O1662" s="1" t="str">
        <f>_xlfn.XLOOKUP(M1662,Parâmetros!B:B,Parâmetros!C:C,_xlfn.XLOOKUP(Base!M1744,Parâmetros!G:G,Parâmetros!H:H))</f>
        <v>QUALIDADE DOS DADOS</v>
      </c>
      <c r="P1662" s="1" t="str">
        <f>_xlfn.XLOOKUP(I1662,Parâmetros!A:A,Parâmetros!D:D,_xlfn.XLOOKUP(Q1662,Parâmetros!F:F,Parâmetros!I:I))</f>
        <v>OPERAÇÕES / SUPORTE KCS</v>
      </c>
      <c r="Q1662" s="1">
        <f t="shared" si="51"/>
        <v>118</v>
      </c>
    </row>
    <row r="1663" spans="1:17" x14ac:dyDescent="0.25">
      <c r="A1663" s="1" t="str">
        <f>_xlfn.XLOOKUP(D1663,'Novo relatório'!B:B,'Novo relatório'!C:C,"RESOLVIDO")</f>
        <v>TMS</v>
      </c>
      <c r="C1663" t="str">
        <f t="shared" si="50"/>
        <v>PENDENTE</v>
      </c>
      <c r="D1663" s="1">
        <v>3391908</v>
      </c>
      <c r="E1663" s="1" t="s">
        <v>12</v>
      </c>
      <c r="F1663" s="2">
        <v>45776.679166666669</v>
      </c>
      <c r="G1663" s="1">
        <v>120</v>
      </c>
      <c r="H1663" s="1">
        <v>120</v>
      </c>
      <c r="I1663" s="1" t="s">
        <v>16</v>
      </c>
      <c r="J1663" s="2">
        <v>45776.882638888892</v>
      </c>
      <c r="K1663" s="2">
        <v>45779.90347222222</v>
      </c>
      <c r="L1663" s="1" t="s">
        <v>14</v>
      </c>
      <c r="M1663" s="1" t="str">
        <f>_xlfn.XLOOKUP(I1663,Parâmetros!A:A,Parâmetros!B:B,_xlfn.XLOOKUP(Q1663,Parâmetros!F:F,Parâmetros!G:G,"NOVA MENSAGEM"))</f>
        <v>ASSENTO / BAGAGEM</v>
      </c>
      <c r="N1663" s="1" t="str">
        <f>_xlfn.XLOOKUP(M1663,Parâmetros!K:K,Parâmetros!L:L,"")</f>
        <v>CAMPO OBSERVAÇÃO PREENCHIDO INCORRETAMENTE</v>
      </c>
      <c r="O1663" s="1" t="str">
        <f>_xlfn.XLOOKUP(M1663,Parâmetros!B:B,Parâmetros!C:C,_xlfn.XLOOKUP(Base!M1721,Parâmetros!G:G,Parâmetros!H:H))</f>
        <v>QUALIDADE DOS DADOS</v>
      </c>
      <c r="P1663" s="1" t="str">
        <f>_xlfn.XLOOKUP(I1663,Parâmetros!A:A,Parâmetros!D:D,_xlfn.XLOOKUP(Q1663,Parâmetros!F:F,Parâmetros!I:I))</f>
        <v>OPERAÇÕES / SUPORTE KCS</v>
      </c>
      <c r="Q1663" s="1">
        <f t="shared" si="51"/>
        <v>118</v>
      </c>
    </row>
    <row r="1664" spans="1:17" x14ac:dyDescent="0.25">
      <c r="A1664" s="1" t="str">
        <f>_xlfn.XLOOKUP(D1664,'Novo relatório'!B:B,'Novo relatório'!C:C,"RESOLVIDO")</f>
        <v>SABRE</v>
      </c>
      <c r="C1664" t="str">
        <f t="shared" si="50"/>
        <v>PENDENTE</v>
      </c>
      <c r="D1664" s="1">
        <v>3392114</v>
      </c>
      <c r="E1664" s="1" t="s">
        <v>26</v>
      </c>
      <c r="F1664" s="2">
        <v>45776.813888888886</v>
      </c>
      <c r="G1664" s="1" t="s">
        <v>2247</v>
      </c>
      <c r="H1664" s="1" t="s">
        <v>2247</v>
      </c>
      <c r="I1664" s="1" t="s">
        <v>83</v>
      </c>
      <c r="J1664" s="2">
        <v>45776.907638888886</v>
      </c>
      <c r="L1664" s="1" t="s">
        <v>18</v>
      </c>
      <c r="M1664" s="1" t="str">
        <f>_xlfn.XLOOKUP(I1664,Parâmetros!A:A,Parâmetros!B:B,_xlfn.XLOOKUP(Q1664,Parâmetros!F:F,Parâmetros!G:G,"NOVA MENSAGEM"))</f>
        <v>CLIENTE NÃO IDENTIFICADO</v>
      </c>
      <c r="N1664" s="1" t="str">
        <f>_xlfn.XLOOKUP(M1664,Parâmetros!K:K,Parâmetros!L:L,"")</f>
        <v>DK DE CLIENTE NÃO PREENCIDO / CLIENTE NÃO CONFIGURADO NO OBT</v>
      </c>
      <c r="O1664" s="1" t="str">
        <f>_xlfn.XLOOKUP(M1664,Parâmetros!B:B,Parâmetros!C:C,_xlfn.XLOOKUP(Base!M1698,Parâmetros!G:G,Parâmetros!H:H))</f>
        <v>INDEFINIDO</v>
      </c>
      <c r="P1664" s="1" t="str">
        <f>_xlfn.XLOOKUP(I1664,Parâmetros!A:A,Parâmetros!D:D,_xlfn.XLOOKUP(Q1664,Parâmetros!F:F,Parâmetros!I:I))</f>
        <v>OPERAÇÕES / SUPORTE KCS</v>
      </c>
      <c r="Q1664" s="1" t="str">
        <f t="shared" si="51"/>
        <v>COLUNA I</v>
      </c>
    </row>
    <row r="1665" spans="1:17" x14ac:dyDescent="0.25">
      <c r="A1665" s="1" t="str">
        <f>_xlfn.XLOOKUP(D1665,'Novo relatório'!B:B,'Novo relatório'!C:C,"RESOLVIDO")</f>
        <v>SABRE</v>
      </c>
      <c r="C1665" t="str">
        <f t="shared" si="50"/>
        <v>PENDENTE</v>
      </c>
      <c r="D1665" s="1">
        <v>3392115</v>
      </c>
      <c r="E1665" s="1" t="s">
        <v>26</v>
      </c>
      <c r="F1665" s="2">
        <v>45776.813888888886</v>
      </c>
      <c r="G1665" s="1" t="s">
        <v>2259</v>
      </c>
      <c r="H1665" s="1" t="s">
        <v>2259</v>
      </c>
      <c r="I1665" s="1" t="s">
        <v>707</v>
      </c>
      <c r="J1665" s="2">
        <v>45776.907638888886</v>
      </c>
      <c r="L1665" s="1" t="s">
        <v>18</v>
      </c>
      <c r="M1665" s="1" t="str">
        <f>_xlfn.XLOOKUP(I1665,Parâmetros!A:A,Parâmetros!B:B,_xlfn.XLOOKUP(Q1665,Parâmetros!F:F,Parâmetros!G:G,"NOVA MENSAGEM"))</f>
        <v>CÓD. CLIENTE DIVERGENTE</v>
      </c>
      <c r="N1665" s="1" t="str">
        <f>_xlfn.XLOOKUP(M1665,Parâmetros!K:K,Parâmetros!L:L,"")</f>
        <v>CÓDIGO DIFERENTE DO CADASTRADO NO BENNER (CLIENTE X GRUPO)</v>
      </c>
      <c r="O1665" s="1" t="str">
        <f>_xlfn.XLOOKUP(M1665,Parâmetros!B:B,Parâmetros!C:C,_xlfn.XLOOKUP(Base!M1710,Parâmetros!G:G,Parâmetros!H:H))</f>
        <v>QUALIDADE DOS DADOS</v>
      </c>
      <c r="P1665" s="1" t="str">
        <f>_xlfn.XLOOKUP(I1665,Parâmetros!A:A,Parâmetros!D:D,_xlfn.XLOOKUP(Q1665,Parâmetros!F:F,Parâmetros!I:I))</f>
        <v>SUPORTE OBT</v>
      </c>
      <c r="Q1665" s="1">
        <f t="shared" si="51"/>
        <v>1</v>
      </c>
    </row>
    <row r="1666" spans="1:17" x14ac:dyDescent="0.25">
      <c r="A1666" s="1" t="str">
        <f>_xlfn.XLOOKUP(D1666,'Novo relatório'!B:B,'Novo relatório'!C:C,"RESOLVIDO")</f>
        <v>SABRE</v>
      </c>
      <c r="C1666" t="str">
        <f t="shared" ref="C1666:C1729" si="52">IF(A1666="RESOLVIDO","RESOLVIDO",IF(B1666="","PENDENTE",IF(LEFT(B1666,7)="CHAMADO","AGUARDANDO FORNECEDOR",IF(B1666="CONTABILIZAR","CONTABILIZAR NO PORTAL"))))</f>
        <v>PENDENTE</v>
      </c>
      <c r="D1666" s="1">
        <v>3392116</v>
      </c>
      <c r="E1666" s="1" t="s">
        <v>26</v>
      </c>
      <c r="F1666" s="2">
        <v>45776.813888888886</v>
      </c>
      <c r="G1666" s="1" t="s">
        <v>2252</v>
      </c>
      <c r="H1666" s="1" t="s">
        <v>2252</v>
      </c>
      <c r="I1666" s="1" t="s">
        <v>707</v>
      </c>
      <c r="J1666" s="2">
        <v>45776.908333333333</v>
      </c>
      <c r="L1666" s="1" t="s">
        <v>18</v>
      </c>
      <c r="M1666" s="1" t="str">
        <f>_xlfn.XLOOKUP(I1666,Parâmetros!A:A,Parâmetros!B:B,_xlfn.XLOOKUP(Q1666,Parâmetros!F:F,Parâmetros!G:G,"NOVA MENSAGEM"))</f>
        <v>CÓD. CLIENTE DIVERGENTE</v>
      </c>
      <c r="N1666" s="1" t="str">
        <f>_xlfn.XLOOKUP(M1666,Parâmetros!K:K,Parâmetros!L:L,"")</f>
        <v>CÓDIGO DIFERENTE DO CADASTRADO NO BENNER (CLIENTE X GRUPO)</v>
      </c>
      <c r="O1666" s="1" t="str">
        <f>_xlfn.XLOOKUP(M1666,Parâmetros!B:B,Parâmetros!C:C,_xlfn.XLOOKUP(Base!M1703,Parâmetros!G:G,Parâmetros!H:H))</f>
        <v>QUALIDADE DOS DADOS</v>
      </c>
      <c r="P1666" s="1" t="str">
        <f>_xlfn.XLOOKUP(I1666,Parâmetros!A:A,Parâmetros!D:D,_xlfn.XLOOKUP(Q1666,Parâmetros!F:F,Parâmetros!I:I))</f>
        <v>SUPORTE OBT</v>
      </c>
      <c r="Q1666" s="1">
        <f t="shared" ref="Q1666:Q1729" si="53">IFERROR(FIND("Não foi possível localizar o contrato do fornecedor",I1666),IFERROR(FIND("veículo",I1666),IFERROR(FIND("agagem",I1666),IFERROR(FIND("error in XML document",I1666),IFERROR(FIND("Não localizado cliente código",I1666),IFERROR(FIND("lemontech",I1666),IFERROR(FIND("&gt;Fornecedor com o",I1666),IFERROR(FIND("INSERT",I1666),IFERROR(FIND("com CNPJ",I1666),IFERROR(FIND("Consultando Agente-&gt; O agente",I1666),IFERROR(FIND("Não foi possível determinar a validade do cartão, favor verificar os dados do cartão",I1666),"COLUNA I")))))))))))</f>
        <v>1</v>
      </c>
    </row>
    <row r="1667" spans="1:17" x14ac:dyDescent="0.25">
      <c r="A1667" s="1" t="str">
        <f>_xlfn.XLOOKUP(D1667,'Novo relatório'!B:B,'Novo relatório'!C:C,"RESOLVIDO")</f>
        <v>SABRE</v>
      </c>
      <c r="C1667" t="str">
        <f t="shared" si="52"/>
        <v>PENDENTE</v>
      </c>
      <c r="D1667" s="1">
        <v>3392117</v>
      </c>
      <c r="E1667" s="1" t="s">
        <v>26</v>
      </c>
      <c r="F1667" s="2">
        <v>45776.813888888886</v>
      </c>
      <c r="G1667" s="1" t="s">
        <v>2222</v>
      </c>
      <c r="H1667" s="1" t="s">
        <v>2222</v>
      </c>
      <c r="I1667" s="1" t="s">
        <v>1711</v>
      </c>
      <c r="J1667" s="2">
        <v>45776.908333333333</v>
      </c>
      <c r="L1667" s="1" t="s">
        <v>18</v>
      </c>
      <c r="M1667" s="1" t="str">
        <f>_xlfn.XLOOKUP(I1667,Parâmetros!A:A,Parâmetros!B:B,_xlfn.XLOOKUP(Q1667,Parâmetros!F:F,Parâmetros!G:G,"NOVA MENSAGEM"))</f>
        <v>CÓD. CLIENTE DIVERGENTE</v>
      </c>
      <c r="N1667" s="1" t="str">
        <f>_xlfn.XLOOKUP(M1667,Parâmetros!K:K,Parâmetros!L:L,"")</f>
        <v>CÓDIGO DIFERENTE DO CADASTRADO NO BENNER (CLIENTE X GRUPO)</v>
      </c>
      <c r="O1667" s="1" t="str">
        <f>_xlfn.XLOOKUP(M1667,Parâmetros!B:B,Parâmetros!C:C,_xlfn.XLOOKUP(Base!M1675,Parâmetros!G:G,Parâmetros!H:H))</f>
        <v>QUALIDADE DOS DADOS</v>
      </c>
      <c r="P1667" s="1" t="str">
        <f>_xlfn.XLOOKUP(I1667,Parâmetros!A:A,Parâmetros!D:D,_xlfn.XLOOKUP(Q1667,Parâmetros!F:F,Parâmetros!I:I))</f>
        <v>SUPORTE OBT</v>
      </c>
      <c r="Q1667" s="1">
        <f t="shared" si="53"/>
        <v>1</v>
      </c>
    </row>
    <row r="1668" spans="1:17" x14ac:dyDescent="0.25">
      <c r="A1668" s="1" t="str">
        <f>_xlfn.XLOOKUP(D1668,'Novo relatório'!B:B,'Novo relatório'!C:C,"RESOLVIDO")</f>
        <v>SABRE</v>
      </c>
      <c r="C1668" t="str">
        <f t="shared" si="52"/>
        <v>PENDENTE</v>
      </c>
      <c r="D1668" s="1">
        <v>3392449</v>
      </c>
      <c r="E1668" s="1" t="s">
        <v>26</v>
      </c>
      <c r="F1668" s="2">
        <v>45777.381944444445</v>
      </c>
      <c r="G1668" s="1" t="s">
        <v>2207</v>
      </c>
      <c r="H1668" s="1" t="s">
        <v>2207</v>
      </c>
      <c r="I1668" s="1" t="s">
        <v>396</v>
      </c>
      <c r="J1668" s="2">
        <v>45777.472222222219</v>
      </c>
      <c r="L1668" s="1" t="s">
        <v>18</v>
      </c>
      <c r="M1668" s="1" t="str">
        <f>_xlfn.XLOOKUP(I1668,Parâmetros!A:A,Parâmetros!B:B,_xlfn.XLOOKUP(Q1668,Parâmetros!F:F,Parâmetros!G:G,"NOVA MENSAGEM"))</f>
        <v>CÓD. CLIENTE DIVERGENTE</v>
      </c>
      <c r="N1668" s="1" t="str">
        <f>_xlfn.XLOOKUP(M1668,Parâmetros!K:K,Parâmetros!L:L,"")</f>
        <v>CÓDIGO DIFERENTE DO CADASTRADO NO BENNER (CLIENTE X GRUPO)</v>
      </c>
      <c r="O1668" s="1" t="str">
        <f>_xlfn.XLOOKUP(M1668,Parâmetros!B:B,Parâmetros!C:C,_xlfn.XLOOKUP(Base!M1663,Parâmetros!G:G,Parâmetros!H:H))</f>
        <v>QUALIDADE DOS DADOS</v>
      </c>
      <c r="P1668" s="1" t="str">
        <f>_xlfn.XLOOKUP(I1668,Parâmetros!A:A,Parâmetros!D:D,_xlfn.XLOOKUP(Q1668,Parâmetros!F:F,Parâmetros!I:I))</f>
        <v>SUPORTE OBT</v>
      </c>
      <c r="Q1668" s="1">
        <f t="shared" si="53"/>
        <v>1</v>
      </c>
    </row>
    <row r="1669" spans="1:17" x14ac:dyDescent="0.25">
      <c r="A1669" s="1" t="str">
        <f>_xlfn.XLOOKUP(D1669,'Novo relatório'!B:B,'Novo relatório'!C:C,"RESOLVIDO")</f>
        <v>SABRE</v>
      </c>
      <c r="C1669" t="str">
        <f t="shared" si="52"/>
        <v>PENDENTE</v>
      </c>
      <c r="D1669" s="1">
        <v>3392529</v>
      </c>
      <c r="E1669" s="1" t="s">
        <v>26</v>
      </c>
      <c r="F1669" s="2">
        <v>45777.438194444447</v>
      </c>
      <c r="G1669" s="1" t="s">
        <v>2181</v>
      </c>
      <c r="H1669" s="1" t="s">
        <v>2181</v>
      </c>
      <c r="I1669" s="1" t="s">
        <v>410</v>
      </c>
      <c r="J1669" s="2">
        <v>45777.502083333333</v>
      </c>
      <c r="K1669" s="2">
        <v>45777.522916666669</v>
      </c>
      <c r="L1669" s="1" t="s">
        <v>18</v>
      </c>
      <c r="M1669" s="1" t="str">
        <f>_xlfn.XLOOKUP(I1669,Parâmetros!A:A,Parâmetros!B:B,_xlfn.XLOOKUP(Q1669,Parâmetros!F:F,Parâmetros!G:G,"NOVA MENSAGEM"))</f>
        <v>CÓD. CLIENTE DIVERGENTE</v>
      </c>
      <c r="N1669" s="1" t="str">
        <f>_xlfn.XLOOKUP(M1669,Parâmetros!K:K,Parâmetros!L:L,"")</f>
        <v>CÓDIGO DIFERENTE DO CADASTRADO NO BENNER (CLIENTE X GRUPO)</v>
      </c>
      <c r="O1669" s="1" t="str">
        <f>_xlfn.XLOOKUP(M1669,Parâmetros!B:B,Parâmetros!C:C,_xlfn.XLOOKUP(Base!M1644,Parâmetros!G:G,Parâmetros!H:H))</f>
        <v>QUALIDADE DOS DADOS</v>
      </c>
      <c r="P1669" s="1" t="str">
        <f>_xlfn.XLOOKUP(I1669,Parâmetros!A:A,Parâmetros!D:D,_xlfn.XLOOKUP(Q1669,Parâmetros!F:F,Parâmetros!I:I))</f>
        <v>SUPORTE OBT</v>
      </c>
      <c r="Q1669" s="1">
        <f t="shared" si="53"/>
        <v>1</v>
      </c>
    </row>
    <row r="1670" spans="1:17" x14ac:dyDescent="0.25">
      <c r="A1670" s="1" t="str">
        <f>_xlfn.XLOOKUP(D1670,'Novo relatório'!B:B,'Novo relatório'!C:C,"RESOLVIDO")</f>
        <v>TMS</v>
      </c>
      <c r="C1670" t="str">
        <f t="shared" si="52"/>
        <v>PENDENTE</v>
      </c>
      <c r="D1670" s="1">
        <v>3392945</v>
      </c>
      <c r="E1670" s="1" t="s">
        <v>12</v>
      </c>
      <c r="F1670" s="2">
        <v>45777.361805555556</v>
      </c>
      <c r="G1670" s="1">
        <v>7365</v>
      </c>
      <c r="H1670" s="1">
        <v>7365</v>
      </c>
      <c r="I1670" s="1" t="s">
        <v>16</v>
      </c>
      <c r="J1670" s="2">
        <v>45777.623611111114</v>
      </c>
      <c r="K1670" s="2">
        <v>45780.886805555558</v>
      </c>
      <c r="L1670" s="1" t="s">
        <v>14</v>
      </c>
      <c r="M1670" s="1" t="str">
        <f>_xlfn.XLOOKUP(I1670,Parâmetros!A:A,Parâmetros!B:B,_xlfn.XLOOKUP(Q1670,Parâmetros!F:F,Parâmetros!G:G,"NOVA MENSAGEM"))</f>
        <v>ASSENTO / BAGAGEM</v>
      </c>
      <c r="N1670" s="1" t="str">
        <f>_xlfn.XLOOKUP(M1670,Parâmetros!K:K,Parâmetros!L:L,"")</f>
        <v>CAMPO OBSERVAÇÃO PREENCHIDO INCORRETAMENTE</v>
      </c>
      <c r="O1670" s="1" t="str">
        <f>_xlfn.XLOOKUP(M1670,Parâmetros!B:B,Parâmetros!C:C,_xlfn.XLOOKUP(Base!M1752,Parâmetros!G:G,Parâmetros!H:H))</f>
        <v>QUALIDADE DOS DADOS</v>
      </c>
      <c r="P1670" s="1" t="str">
        <f>_xlfn.XLOOKUP(I1670,Parâmetros!A:A,Parâmetros!D:D,_xlfn.XLOOKUP(Q1670,Parâmetros!F:F,Parâmetros!I:I))</f>
        <v>OPERAÇÕES / SUPORTE KCS</v>
      </c>
      <c r="Q1670" s="1">
        <f t="shared" si="53"/>
        <v>118</v>
      </c>
    </row>
    <row r="1671" spans="1:17" x14ac:dyDescent="0.25">
      <c r="A1671" s="1" t="str">
        <f>_xlfn.XLOOKUP(D1671,'Novo relatório'!B:B,'Novo relatório'!C:C,"RESOLVIDO")</f>
        <v>SABRE</v>
      </c>
      <c r="C1671" t="str">
        <f t="shared" si="52"/>
        <v>PENDENTE</v>
      </c>
      <c r="D1671" s="1">
        <v>3393293</v>
      </c>
      <c r="E1671" s="1" t="s">
        <v>26</v>
      </c>
      <c r="F1671" s="2">
        <v>45779.394444444442</v>
      </c>
      <c r="G1671" s="1" t="s">
        <v>2224</v>
      </c>
      <c r="H1671" s="1" t="s">
        <v>2224</v>
      </c>
      <c r="I1671" s="1" t="s">
        <v>1761</v>
      </c>
      <c r="J1671" s="2">
        <v>45777.659722222219</v>
      </c>
      <c r="K1671" s="2">
        <v>45779.480555555558</v>
      </c>
      <c r="L1671" s="1" t="s">
        <v>18</v>
      </c>
      <c r="M1671" s="1" t="str">
        <f>_xlfn.XLOOKUP(I1671,Parâmetros!A:A,Parâmetros!B:B,_xlfn.XLOOKUP(Q1671,Parâmetros!F:F,Parâmetros!G:G,"NOVA MENSAGEM"))</f>
        <v>CÓD. CLIENTE DIVERGENTE</v>
      </c>
      <c r="N1671" s="1" t="str">
        <f>_xlfn.XLOOKUP(M1671,Parâmetros!K:K,Parâmetros!L:L,"")</f>
        <v>CÓDIGO DIFERENTE DO CADASTRADO NO BENNER (CLIENTE X GRUPO)</v>
      </c>
      <c r="O1671" s="1" t="str">
        <f>_xlfn.XLOOKUP(M1671,Parâmetros!B:B,Parâmetros!C:C,_xlfn.XLOOKUP(Base!M1677,Parâmetros!G:G,Parâmetros!H:H))</f>
        <v>QUALIDADE DOS DADOS</v>
      </c>
      <c r="P1671" s="1" t="str">
        <f>_xlfn.XLOOKUP(I1671,Parâmetros!A:A,Parâmetros!D:D,_xlfn.XLOOKUP(Q1671,Parâmetros!F:F,Parâmetros!I:I))</f>
        <v>SUPORTE OBT</v>
      </c>
      <c r="Q1671" s="1">
        <f t="shared" si="53"/>
        <v>1</v>
      </c>
    </row>
    <row r="1672" spans="1:17" x14ac:dyDescent="0.25">
      <c r="A1672" s="1" t="str">
        <f>_xlfn.XLOOKUP(D1672,'Novo relatório'!B:B,'Novo relatório'!C:C,"RESOLVIDO")</f>
        <v>TMS</v>
      </c>
      <c r="C1672" t="str">
        <f t="shared" si="52"/>
        <v>PENDENTE</v>
      </c>
      <c r="D1672" s="1">
        <v>3393300</v>
      </c>
      <c r="E1672" s="1" t="s">
        <v>12</v>
      </c>
      <c r="F1672" s="2">
        <v>45777.436805555553</v>
      </c>
      <c r="G1672" s="1">
        <v>61137</v>
      </c>
      <c r="H1672" s="1">
        <v>61137</v>
      </c>
      <c r="I1672" s="1" t="s">
        <v>16</v>
      </c>
      <c r="J1672" s="2">
        <v>45777.661111111112</v>
      </c>
      <c r="K1672" s="2">
        <v>45780.887499999997</v>
      </c>
      <c r="L1672" s="1" t="s">
        <v>14</v>
      </c>
      <c r="M1672" s="1" t="str">
        <f>_xlfn.XLOOKUP(I1672,Parâmetros!A:A,Parâmetros!B:B,_xlfn.XLOOKUP(Q1672,Parâmetros!F:F,Parâmetros!G:G,"NOVA MENSAGEM"))</f>
        <v>ASSENTO / BAGAGEM</v>
      </c>
      <c r="N1672" s="1" t="str">
        <f>_xlfn.XLOOKUP(M1672,Parâmetros!K:K,Parâmetros!L:L,"")</f>
        <v>CAMPO OBSERVAÇÃO PREENCHIDO INCORRETAMENTE</v>
      </c>
      <c r="O1672" s="1" t="str">
        <f>_xlfn.XLOOKUP(M1672,Parâmetros!B:B,Parâmetros!C:C,_xlfn.XLOOKUP(Base!M1738,Parâmetros!G:G,Parâmetros!H:H))</f>
        <v>QUALIDADE DOS DADOS</v>
      </c>
      <c r="P1672" s="1" t="str">
        <f>_xlfn.XLOOKUP(I1672,Parâmetros!A:A,Parâmetros!D:D,_xlfn.XLOOKUP(Q1672,Parâmetros!F:F,Parâmetros!I:I))</f>
        <v>OPERAÇÕES / SUPORTE KCS</v>
      </c>
      <c r="Q1672" s="1">
        <f t="shared" si="53"/>
        <v>118</v>
      </c>
    </row>
    <row r="1673" spans="1:17" x14ac:dyDescent="0.25">
      <c r="A1673" s="1" t="str">
        <f>_xlfn.XLOOKUP(D1673,'Novo relatório'!B:B,'Novo relatório'!C:C,"RESOLVIDO")</f>
        <v>TMS</v>
      </c>
      <c r="C1673" t="str">
        <f t="shared" si="52"/>
        <v>PENDENTE</v>
      </c>
      <c r="D1673" s="1">
        <v>3393309</v>
      </c>
      <c r="E1673" s="1" t="s">
        <v>12</v>
      </c>
      <c r="F1673" s="2">
        <v>45777.489583333336</v>
      </c>
      <c r="G1673" s="1">
        <v>59706</v>
      </c>
      <c r="H1673" s="1">
        <v>59706</v>
      </c>
      <c r="I1673" s="1" t="s">
        <v>16</v>
      </c>
      <c r="J1673" s="2">
        <v>45777.663194444445</v>
      </c>
      <c r="K1673" s="2">
        <v>45780.887499999997</v>
      </c>
      <c r="L1673" s="1" t="s">
        <v>14</v>
      </c>
      <c r="M1673" s="1" t="str">
        <f>_xlfn.XLOOKUP(I1673,Parâmetros!A:A,Parâmetros!B:B,_xlfn.XLOOKUP(Q1673,Parâmetros!F:F,Parâmetros!G:G,"NOVA MENSAGEM"))</f>
        <v>ASSENTO / BAGAGEM</v>
      </c>
      <c r="N1673" s="1" t="str">
        <f>_xlfn.XLOOKUP(M1673,Parâmetros!K:K,Parâmetros!L:L,"")</f>
        <v>CAMPO OBSERVAÇÃO PREENCHIDO INCORRETAMENTE</v>
      </c>
      <c r="O1673" s="1" t="str">
        <f>_xlfn.XLOOKUP(M1673,Parâmetros!B:B,Parâmetros!C:C,_xlfn.XLOOKUP(Base!M1736,Parâmetros!G:G,Parâmetros!H:H))</f>
        <v>QUALIDADE DOS DADOS</v>
      </c>
      <c r="P1673" s="1" t="str">
        <f>_xlfn.XLOOKUP(I1673,Parâmetros!A:A,Parâmetros!D:D,_xlfn.XLOOKUP(Q1673,Parâmetros!F:F,Parâmetros!I:I))</f>
        <v>OPERAÇÕES / SUPORTE KCS</v>
      </c>
      <c r="Q1673" s="1">
        <f t="shared" si="53"/>
        <v>118</v>
      </c>
    </row>
    <row r="1674" spans="1:17" x14ac:dyDescent="0.25">
      <c r="A1674" s="1" t="str">
        <f>_xlfn.XLOOKUP(D1674,'Novo relatório'!B:B,'Novo relatório'!C:C,"RESOLVIDO")</f>
        <v>GOVER</v>
      </c>
      <c r="C1674" t="str">
        <f t="shared" si="52"/>
        <v>PENDENTE</v>
      </c>
      <c r="D1674" s="1">
        <v>3393853</v>
      </c>
      <c r="E1674" s="1" t="s">
        <v>24</v>
      </c>
      <c r="F1674" s="2">
        <v>45777.731944444444</v>
      </c>
      <c r="G1674" s="1">
        <v>4530810</v>
      </c>
      <c r="H1674" s="1" t="s">
        <v>2275</v>
      </c>
      <c r="I1674" s="1" t="s">
        <v>196</v>
      </c>
      <c r="J1674" s="2">
        <v>45777.75</v>
      </c>
      <c r="K1674" s="2">
        <v>45785.67083333333</v>
      </c>
      <c r="L1674" s="1" t="s">
        <v>18</v>
      </c>
      <c r="M1674" s="1" t="str">
        <f>_xlfn.XLOOKUP(I1674,Parâmetros!A:A,Parâmetros!B:B,_xlfn.XLOOKUP(Q1674,Parâmetros!F:F,Parâmetros!G:G,"NOVA MENSAGEM"))</f>
        <v>CLIENTE NÃO IDENTIFICADO</v>
      </c>
      <c r="N1674" s="1" t="str">
        <f>_xlfn.XLOOKUP(M1674,Parâmetros!K:K,Parâmetros!L:L,"")</f>
        <v>DK DE CLIENTE NÃO PREENCIDO / CLIENTE NÃO CONFIGURADO NO OBT</v>
      </c>
      <c r="O1674" s="1" t="str">
        <f>_xlfn.XLOOKUP(M1674,Parâmetros!B:B,Parâmetros!C:C,_xlfn.XLOOKUP(Base!M1753,Parâmetros!G:G,Parâmetros!H:H))</f>
        <v>INDEFINIDO</v>
      </c>
      <c r="P1674" s="1" t="str">
        <f>_xlfn.XLOOKUP(I1674,Parâmetros!A:A,Parâmetros!D:D,_xlfn.XLOOKUP(Q1674,Parâmetros!F:F,Parâmetros!I:I))</f>
        <v>OPERAÇÕES / SUPORTE KCS</v>
      </c>
      <c r="Q1674" s="1" t="str">
        <f t="shared" si="53"/>
        <v>COLUNA I</v>
      </c>
    </row>
    <row r="1675" spans="1:17" x14ac:dyDescent="0.25">
      <c r="A1675" s="1" t="str">
        <f>_xlfn.XLOOKUP(D1675,'Novo relatório'!B:B,'Novo relatório'!C:C,"RESOLVIDO")</f>
        <v>SABRE</v>
      </c>
      <c r="C1675" t="str">
        <f t="shared" si="52"/>
        <v>PENDENTE</v>
      </c>
      <c r="D1675" s="1">
        <v>3394211</v>
      </c>
      <c r="E1675" s="1" t="s">
        <v>26</v>
      </c>
      <c r="F1675" s="2">
        <v>45777.754166666666</v>
      </c>
      <c r="G1675" s="1" t="s">
        <v>2266</v>
      </c>
      <c r="H1675" s="1" t="s">
        <v>2266</v>
      </c>
      <c r="I1675" s="1" t="s">
        <v>2267</v>
      </c>
      <c r="J1675" s="2">
        <v>45777.845138888886</v>
      </c>
      <c r="L1675" s="1" t="s">
        <v>18</v>
      </c>
      <c r="M1675" s="1" t="str">
        <f>_xlfn.XLOOKUP(I1675,Parâmetros!A:A,Parâmetros!B:B,_xlfn.XLOOKUP(Q1675,Parâmetros!F:F,Parâmetros!G:G,"NOVA MENSAGEM"))</f>
        <v>CÓD. CLIENTE DIVERGENTE</v>
      </c>
      <c r="N1675" s="1" t="str">
        <f>_xlfn.XLOOKUP(M1675,Parâmetros!K:K,Parâmetros!L:L,"")</f>
        <v>CÓDIGO DIFERENTE DO CADASTRADO NO BENNER (CLIENTE X GRUPO)</v>
      </c>
      <c r="O1675" s="1" t="str">
        <f>_xlfn.XLOOKUP(M1675,Parâmetros!B:B,Parâmetros!C:C,_xlfn.XLOOKUP(Base!M1716,Parâmetros!G:G,Parâmetros!H:H))</f>
        <v>QUALIDADE DOS DADOS</v>
      </c>
      <c r="P1675" s="1" t="str">
        <f>_xlfn.XLOOKUP(I1675,Parâmetros!A:A,Parâmetros!D:D,_xlfn.XLOOKUP(Q1675,Parâmetros!F:F,Parâmetros!I:I))</f>
        <v>SUPORTE OBT</v>
      </c>
      <c r="Q1675" s="1">
        <f t="shared" si="53"/>
        <v>1</v>
      </c>
    </row>
    <row r="1676" spans="1:17" x14ac:dyDescent="0.25">
      <c r="A1676" s="1" t="str">
        <f>_xlfn.XLOOKUP(D1676,'Novo relatório'!B:B,'Novo relatório'!C:C,"RESOLVIDO")</f>
        <v>RESOLVIDO</v>
      </c>
      <c r="C1676" t="str">
        <f t="shared" si="52"/>
        <v>RESOLVIDO</v>
      </c>
      <c r="D1676" s="1">
        <v>3394602</v>
      </c>
      <c r="E1676" s="1" t="s">
        <v>12</v>
      </c>
      <c r="F1676" s="2">
        <v>45777.734722222223</v>
      </c>
      <c r="G1676" s="1">
        <v>21219</v>
      </c>
      <c r="H1676" s="1">
        <v>21219</v>
      </c>
      <c r="I1676" s="1" t="s">
        <v>927</v>
      </c>
      <c r="J1676" s="2">
        <v>45777.87222222222</v>
      </c>
      <c r="K1676" s="2">
        <v>45780.886805555558</v>
      </c>
      <c r="L1676" s="1" t="s">
        <v>19</v>
      </c>
      <c r="M1676" s="1" t="str">
        <f>_xlfn.XLOOKUP(I1676,Parâmetros!A:A,Parâmetros!B:B,_xlfn.XLOOKUP(Q1676,Parâmetros!F:F,Parâmetros!G:G,"NOVA MENSAGEM"))</f>
        <v>CONTRATO FORNECEDOR</v>
      </c>
      <c r="N1676" s="1" t="str">
        <f>_xlfn.XLOOKUP(M1676,Parâmetros!K:K,Parâmetros!L:L,"")</f>
        <v>CONTRATO INATIVO OU DIVERGENTE</v>
      </c>
      <c r="O1676" s="1" t="str">
        <f>_xlfn.XLOOKUP(M1676,Parâmetros!B:B,Parâmetros!C:C,_xlfn.XLOOKUP(Base!M1725,Parâmetros!G:G,Parâmetros!H:H))</f>
        <v>SISTEMA</v>
      </c>
      <c r="P1676" s="1" t="str">
        <f>_xlfn.XLOOKUP(I1676,Parâmetros!A:A,Parâmetros!D:D,_xlfn.XLOOKUP(Q1676,Parâmetros!F:F,Parâmetros!I:I))</f>
        <v>OPERAÇÕES / SUPORTE KCS</v>
      </c>
      <c r="Q1676" s="1">
        <f t="shared" si="53"/>
        <v>69</v>
      </c>
    </row>
    <row r="1677" spans="1:17" x14ac:dyDescent="0.25">
      <c r="A1677" s="1" t="str">
        <f>_xlfn.XLOOKUP(D1677,'Novo relatório'!B:B,'Novo relatório'!C:C,"RESOLVIDO")</f>
        <v>RESOLVIDO</v>
      </c>
      <c r="C1677" t="str">
        <f t="shared" si="52"/>
        <v>RESOLVIDO</v>
      </c>
      <c r="D1677" s="1">
        <v>3394781</v>
      </c>
      <c r="E1677" s="1" t="s">
        <v>12</v>
      </c>
      <c r="F1677" s="2">
        <v>45777.700694444444</v>
      </c>
      <c r="G1677" s="1">
        <v>61246</v>
      </c>
      <c r="H1677" s="1">
        <v>61246</v>
      </c>
      <c r="I1677" s="1" t="s">
        <v>16</v>
      </c>
      <c r="J1677" s="2">
        <v>45777.887499999997</v>
      </c>
      <c r="K1677" s="2">
        <v>45780.887499999997</v>
      </c>
      <c r="L1677" s="1" t="s">
        <v>14</v>
      </c>
      <c r="M1677" s="1" t="str">
        <f>_xlfn.XLOOKUP(I1677,Parâmetros!A:A,Parâmetros!B:B,_xlfn.XLOOKUP(Q1677,Parâmetros!F:F,Parâmetros!G:G,"NOVA MENSAGEM"))</f>
        <v>ASSENTO / BAGAGEM</v>
      </c>
      <c r="N1677" s="1" t="str">
        <f>_xlfn.XLOOKUP(M1677,Parâmetros!K:K,Parâmetros!L:L,"")</f>
        <v>CAMPO OBSERVAÇÃO PREENCHIDO INCORRETAMENTE</v>
      </c>
      <c r="O1677" s="1" t="str">
        <f>_xlfn.XLOOKUP(M1677,Parâmetros!B:B,Parâmetros!C:C,_xlfn.XLOOKUP(Base!M1740,Parâmetros!G:G,Parâmetros!H:H))</f>
        <v>QUALIDADE DOS DADOS</v>
      </c>
      <c r="P1677" s="1" t="str">
        <f>_xlfn.XLOOKUP(I1677,Parâmetros!A:A,Parâmetros!D:D,_xlfn.XLOOKUP(Q1677,Parâmetros!F:F,Parâmetros!I:I))</f>
        <v>OPERAÇÕES / SUPORTE KCS</v>
      </c>
      <c r="Q1677" s="1">
        <f t="shared" si="53"/>
        <v>118</v>
      </c>
    </row>
    <row r="1678" spans="1:17" x14ac:dyDescent="0.25">
      <c r="A1678" s="1" t="str">
        <f>_xlfn.XLOOKUP(D1678,'Novo relatório'!B:B,'Novo relatório'!C:C,"RESOLVIDO")</f>
        <v>TMS</v>
      </c>
      <c r="C1678" t="str">
        <f t="shared" si="52"/>
        <v>PENDENTE</v>
      </c>
      <c r="D1678" s="1">
        <v>3394793</v>
      </c>
      <c r="E1678" s="1" t="s">
        <v>12</v>
      </c>
      <c r="F1678" s="2">
        <v>45777.613888888889</v>
      </c>
      <c r="G1678" s="1">
        <v>61191</v>
      </c>
      <c r="H1678" s="1">
        <v>61191</v>
      </c>
      <c r="I1678" s="1" t="s">
        <v>16</v>
      </c>
      <c r="J1678" s="2">
        <v>45777.888888888891</v>
      </c>
      <c r="K1678" s="2">
        <v>45780.887499999997</v>
      </c>
      <c r="L1678" s="1" t="s">
        <v>14</v>
      </c>
      <c r="M1678" s="1" t="str">
        <f>_xlfn.XLOOKUP(I1678,Parâmetros!A:A,Parâmetros!B:B,_xlfn.XLOOKUP(Q1678,Parâmetros!F:F,Parâmetros!G:G,"NOVA MENSAGEM"))</f>
        <v>ASSENTO / BAGAGEM</v>
      </c>
      <c r="N1678" s="1" t="str">
        <f>_xlfn.XLOOKUP(M1678,Parâmetros!K:K,Parâmetros!L:L,"")</f>
        <v>CAMPO OBSERVAÇÃO PREENCHIDO INCORRETAMENTE</v>
      </c>
      <c r="O1678" s="1" t="str">
        <f>_xlfn.XLOOKUP(M1678,Parâmetros!B:B,Parâmetros!C:C,_xlfn.XLOOKUP(Base!M1739,Parâmetros!G:G,Parâmetros!H:H))</f>
        <v>QUALIDADE DOS DADOS</v>
      </c>
      <c r="P1678" s="1" t="str">
        <f>_xlfn.XLOOKUP(I1678,Parâmetros!A:A,Parâmetros!D:D,_xlfn.XLOOKUP(Q1678,Parâmetros!F:F,Parâmetros!I:I))</f>
        <v>OPERAÇÕES / SUPORTE KCS</v>
      </c>
      <c r="Q1678" s="1">
        <f t="shared" si="53"/>
        <v>118</v>
      </c>
    </row>
    <row r="1679" spans="1:17" x14ac:dyDescent="0.25">
      <c r="A1679" s="1" t="str">
        <f>_xlfn.XLOOKUP(D1679,'Novo relatório'!B:B,'Novo relatório'!C:C,"RESOLVIDO")</f>
        <v>SABRE</v>
      </c>
      <c r="C1679" t="str">
        <f t="shared" si="52"/>
        <v>PENDENTE</v>
      </c>
      <c r="D1679" s="1">
        <v>3397326</v>
      </c>
      <c r="E1679" s="1" t="s">
        <v>26</v>
      </c>
      <c r="F1679" s="2">
        <v>45779.447916666664</v>
      </c>
      <c r="G1679" s="1" t="s">
        <v>2191</v>
      </c>
      <c r="H1679" s="1" t="s">
        <v>2192</v>
      </c>
      <c r="I1679" s="1" t="s">
        <v>64</v>
      </c>
      <c r="J1679" s="2">
        <v>45779.531944444447</v>
      </c>
      <c r="L1679" s="1" t="s">
        <v>1244</v>
      </c>
      <c r="M1679" s="1" t="str">
        <f>_xlfn.XLOOKUP(I1679,Parâmetros!A:A,Parâmetros!B:B,_xlfn.XLOOKUP(Q1679,Parâmetros!F:F,Parâmetros!G:G,"NOVA MENSAGEM"))</f>
        <v>FORMATO DE TEXTO</v>
      </c>
      <c r="N1679" s="1" t="str">
        <f>_xlfn.XLOOKUP(M1679,Parâmetros!K:K,Parâmetros!L:L,"")</f>
        <v>TEXTO FORA DO PADRÃO ACEITO NO CAMPO</v>
      </c>
      <c r="O1679" s="1" t="str">
        <f>_xlfn.XLOOKUP(M1679,Parâmetros!B:B,Parâmetros!C:C,_xlfn.XLOOKUP(Base!M1653,Parâmetros!G:G,Parâmetros!H:H))</f>
        <v>INDEFINIDO</v>
      </c>
      <c r="P1679" s="1" t="str">
        <f>_xlfn.XLOOKUP(I1679,Parâmetros!A:A,Parâmetros!D:D,_xlfn.XLOOKUP(Q1679,Parâmetros!F:F,Parâmetros!I:I))</f>
        <v>SUPORTE OBT</v>
      </c>
      <c r="Q1679" s="1" t="str">
        <f t="shared" si="53"/>
        <v>COLUNA I</v>
      </c>
    </row>
    <row r="1680" spans="1:17" x14ac:dyDescent="0.25">
      <c r="A1680" s="1" t="str">
        <f>_xlfn.XLOOKUP(D1680,'Novo relatório'!B:B,'Novo relatório'!C:C,"RESOLVIDO")</f>
        <v>SABRE</v>
      </c>
      <c r="C1680" t="str">
        <f t="shared" si="52"/>
        <v>PENDENTE</v>
      </c>
      <c r="D1680" s="1">
        <v>3397459</v>
      </c>
      <c r="E1680" s="1" t="s">
        <v>26</v>
      </c>
      <c r="F1680" s="2">
        <v>45779.520138888889</v>
      </c>
      <c r="G1680" s="1" t="s">
        <v>2229</v>
      </c>
      <c r="H1680" s="1" t="s">
        <v>2229</v>
      </c>
      <c r="I1680" s="1" t="s">
        <v>620</v>
      </c>
      <c r="J1680" s="2">
        <v>45779.606249999997</v>
      </c>
      <c r="L1680" s="1" t="s">
        <v>18</v>
      </c>
      <c r="M1680" s="1" t="str">
        <f>_xlfn.XLOOKUP(I1680,Parâmetros!A:A,Parâmetros!B:B,_xlfn.XLOOKUP(Q1680,Parâmetros!F:F,Parâmetros!G:G,"NOVA MENSAGEM"))</f>
        <v>CÓD. CLIENTE DIVERGENTE</v>
      </c>
      <c r="N1680" s="1" t="str">
        <f>_xlfn.XLOOKUP(M1680,Parâmetros!K:K,Parâmetros!L:L,"")</f>
        <v>CÓDIGO DIFERENTE DO CADASTRADO NO BENNER (CLIENTE X GRUPO)</v>
      </c>
      <c r="O1680" s="1" t="str">
        <f>_xlfn.XLOOKUP(M1680,Parâmetros!B:B,Parâmetros!C:C,_xlfn.XLOOKUP(Base!M1682,Parâmetros!G:G,Parâmetros!H:H))</f>
        <v>QUALIDADE DOS DADOS</v>
      </c>
      <c r="P1680" s="1" t="str">
        <f>_xlfn.XLOOKUP(I1680,Parâmetros!A:A,Parâmetros!D:D,_xlfn.XLOOKUP(Q1680,Parâmetros!F:F,Parâmetros!I:I))</f>
        <v>SUPORTE OBT</v>
      </c>
      <c r="Q1680" s="1">
        <f t="shared" si="53"/>
        <v>1</v>
      </c>
    </row>
    <row r="1681" spans="1:17" x14ac:dyDescent="0.25">
      <c r="A1681" s="1" t="str">
        <f>_xlfn.XLOOKUP(D1681,'Novo relatório'!B:B,'Novo relatório'!C:C,"RESOLVIDO")</f>
        <v>SABRE</v>
      </c>
      <c r="C1681" t="str">
        <f t="shared" si="52"/>
        <v>PENDENTE</v>
      </c>
      <c r="D1681" s="1">
        <v>3397461</v>
      </c>
      <c r="E1681" s="1" t="s">
        <v>26</v>
      </c>
      <c r="F1681" s="2">
        <v>45779.520138888889</v>
      </c>
      <c r="G1681" s="1" t="s">
        <v>2236</v>
      </c>
      <c r="H1681" s="1" t="s">
        <v>2236</v>
      </c>
      <c r="I1681" s="1" t="s">
        <v>1174</v>
      </c>
      <c r="J1681" s="2">
        <v>45779.606944444444</v>
      </c>
      <c r="L1681" s="1" t="s">
        <v>18</v>
      </c>
      <c r="M1681" s="1" t="str">
        <f>_xlfn.XLOOKUP(I1681,Parâmetros!A:A,Parâmetros!B:B,_xlfn.XLOOKUP(Q1681,Parâmetros!F:F,Parâmetros!G:G,"NOVA MENSAGEM"))</f>
        <v>REMARK - CNPJ</v>
      </c>
      <c r="N1681" s="1" t="str">
        <f>_xlfn.XLOOKUP(M1681,Parâmetros!K:K,Parâmetros!L:L,"")</f>
        <v/>
      </c>
      <c r="O1681" s="1" t="e">
        <f>_xlfn.XLOOKUP(M1681,Parâmetros!B:B,Parâmetros!C:C,_xlfn.XLOOKUP(Base!M1688,Parâmetros!G:G,Parâmetros!H:H))</f>
        <v>#N/A</v>
      </c>
      <c r="P1681" s="1" t="str">
        <f>_xlfn.XLOOKUP(I1681,Parâmetros!A:A,Parâmetros!D:D,_xlfn.XLOOKUP(Q1681,Parâmetros!F:F,Parâmetros!I:I))</f>
        <v>OPERAÇÕES / SUPORTE KCS</v>
      </c>
      <c r="Q1681" s="1">
        <f t="shared" si="53"/>
        <v>24</v>
      </c>
    </row>
    <row r="1682" spans="1:17" x14ac:dyDescent="0.25">
      <c r="A1682" s="1" t="str">
        <f>_xlfn.XLOOKUP(D1682,'Novo relatório'!B:B,'Novo relatório'!C:C,"RESOLVIDO")</f>
        <v>SABRE</v>
      </c>
      <c r="C1682" t="str">
        <f t="shared" si="52"/>
        <v>PENDENTE</v>
      </c>
      <c r="D1682" s="1">
        <v>3397462</v>
      </c>
      <c r="E1682" s="1" t="s">
        <v>26</v>
      </c>
      <c r="F1682" s="2">
        <v>45779.520138888889</v>
      </c>
      <c r="G1682" s="1" t="s">
        <v>2211</v>
      </c>
      <c r="H1682" s="1" t="s">
        <v>2211</v>
      </c>
      <c r="I1682" s="1" t="s">
        <v>410</v>
      </c>
      <c r="J1682" s="2">
        <v>45779.606944444444</v>
      </c>
      <c r="L1682" s="1" t="s">
        <v>18</v>
      </c>
      <c r="M1682" s="1" t="str">
        <f>_xlfn.XLOOKUP(I1682,Parâmetros!A:A,Parâmetros!B:B,_xlfn.XLOOKUP(Q1682,Parâmetros!F:F,Parâmetros!G:G,"NOVA MENSAGEM"))</f>
        <v>CÓD. CLIENTE DIVERGENTE</v>
      </c>
      <c r="N1682" s="1" t="str">
        <f>_xlfn.XLOOKUP(M1682,Parâmetros!K:K,Parâmetros!L:L,"")</f>
        <v>CÓDIGO DIFERENTE DO CADASTRADO NO BENNER (CLIENTE X GRUPO)</v>
      </c>
      <c r="O1682" s="1" t="str">
        <f>_xlfn.XLOOKUP(M1682,Parâmetros!B:B,Parâmetros!C:C,_xlfn.XLOOKUP(Base!M1667,Parâmetros!G:G,Parâmetros!H:H))</f>
        <v>QUALIDADE DOS DADOS</v>
      </c>
      <c r="P1682" s="1" t="str">
        <f>_xlfn.XLOOKUP(I1682,Parâmetros!A:A,Parâmetros!D:D,_xlfn.XLOOKUP(Q1682,Parâmetros!F:F,Parâmetros!I:I))</f>
        <v>SUPORTE OBT</v>
      </c>
      <c r="Q1682" s="1">
        <f t="shared" si="53"/>
        <v>1</v>
      </c>
    </row>
    <row r="1683" spans="1:17" x14ac:dyDescent="0.25">
      <c r="A1683" s="1" t="str">
        <f>_xlfn.XLOOKUP(D1683,'Novo relatório'!B:B,'Novo relatório'!C:C,"RESOLVIDO")</f>
        <v>SABRE</v>
      </c>
      <c r="C1683" t="str">
        <f t="shared" si="52"/>
        <v>PENDENTE</v>
      </c>
      <c r="D1683" s="1">
        <v>3397508</v>
      </c>
      <c r="E1683" s="1" t="s">
        <v>26</v>
      </c>
      <c r="F1683" s="2">
        <v>45782.388194444444</v>
      </c>
      <c r="G1683" s="1" t="s">
        <v>2190</v>
      </c>
      <c r="H1683" s="1" t="s">
        <v>2190</v>
      </c>
      <c r="I1683" s="1" t="s">
        <v>1761</v>
      </c>
      <c r="J1683" s="2">
        <v>45779.629166666666</v>
      </c>
      <c r="K1683" s="2">
        <v>45782.481249999997</v>
      </c>
      <c r="L1683" s="1" t="s">
        <v>18</v>
      </c>
      <c r="M1683" s="1" t="str">
        <f>_xlfn.XLOOKUP(I1683,Parâmetros!A:A,Parâmetros!B:B,_xlfn.XLOOKUP(Q1683,Parâmetros!F:F,Parâmetros!G:G,"NOVA MENSAGEM"))</f>
        <v>CÓD. CLIENTE DIVERGENTE</v>
      </c>
      <c r="N1683" s="1" t="str">
        <f>_xlfn.XLOOKUP(M1683,Parâmetros!K:K,Parâmetros!L:L,"")</f>
        <v>CÓDIGO DIFERENTE DO CADASTRADO NO BENNER (CLIENTE X GRUPO)</v>
      </c>
      <c r="O1683" s="1" t="str">
        <f>_xlfn.XLOOKUP(M1683,Parâmetros!B:B,Parâmetros!C:C,_xlfn.XLOOKUP(Base!M1652,Parâmetros!G:G,Parâmetros!H:H))</f>
        <v>QUALIDADE DOS DADOS</v>
      </c>
      <c r="P1683" s="1" t="str">
        <f>_xlfn.XLOOKUP(I1683,Parâmetros!A:A,Parâmetros!D:D,_xlfn.XLOOKUP(Q1683,Parâmetros!F:F,Parâmetros!I:I))</f>
        <v>SUPORTE OBT</v>
      </c>
      <c r="Q1683" s="1">
        <f t="shared" si="53"/>
        <v>1</v>
      </c>
    </row>
    <row r="1684" spans="1:17" x14ac:dyDescent="0.25">
      <c r="A1684" s="1" t="str">
        <f>_xlfn.XLOOKUP(D1684,'Novo relatório'!B:B,'Novo relatório'!C:C,"RESOLVIDO")</f>
        <v>SABRE</v>
      </c>
      <c r="C1684" t="str">
        <f t="shared" si="52"/>
        <v>PENDENTE</v>
      </c>
      <c r="D1684" s="1">
        <v>3398438</v>
      </c>
      <c r="E1684" s="1" t="s">
        <v>26</v>
      </c>
      <c r="F1684" s="2">
        <v>45782.371527777781</v>
      </c>
      <c r="G1684" s="1" t="s">
        <v>2244</v>
      </c>
      <c r="H1684" s="1" t="s">
        <v>2244</v>
      </c>
      <c r="I1684" s="1" t="s">
        <v>2245</v>
      </c>
      <c r="J1684" s="2">
        <v>45779.740277777775</v>
      </c>
      <c r="K1684" s="2">
        <v>45782.459722222222</v>
      </c>
      <c r="L1684" s="1" t="s">
        <v>19</v>
      </c>
      <c r="M1684" s="1" t="str">
        <f>_xlfn.XLOOKUP(I1684,Parâmetros!A:A,Parâmetros!B:B,_xlfn.XLOOKUP(Q1684,Parâmetros!F:F,Parâmetros!G:G,"NOVA MENSAGEM"))</f>
        <v>CONTRATO FORNECEDOR</v>
      </c>
      <c r="N1684" s="1" t="str">
        <f>_xlfn.XLOOKUP(M1684,Parâmetros!K:K,Parâmetros!L:L,"")</f>
        <v>CONTRATO INATIVO OU DIVERGENTE</v>
      </c>
      <c r="O1684" s="1" t="str">
        <f>_xlfn.XLOOKUP(M1684,Parâmetros!B:B,Parâmetros!C:C,_xlfn.XLOOKUP(Base!M1696,Parâmetros!G:G,Parâmetros!H:H))</f>
        <v>SISTEMA</v>
      </c>
      <c r="P1684" s="1" t="str">
        <f>_xlfn.XLOOKUP(I1684,Parâmetros!A:A,Parâmetros!D:D,_xlfn.XLOOKUP(Q1684,Parâmetros!F:F,Parâmetros!I:I))</f>
        <v>OPERAÇÕES / SUPORTE KCS</v>
      </c>
      <c r="Q1684" s="1">
        <f t="shared" si="53"/>
        <v>43</v>
      </c>
    </row>
    <row r="1685" spans="1:17" x14ac:dyDescent="0.25">
      <c r="A1685" s="1" t="str">
        <f>_xlfn.XLOOKUP(D1685,'Novo relatório'!B:B,'Novo relatório'!C:C,"RESOLVIDO")</f>
        <v>SABRE</v>
      </c>
      <c r="C1685" t="str">
        <f t="shared" si="52"/>
        <v>PENDENTE</v>
      </c>
      <c r="D1685" s="1">
        <v>3398543</v>
      </c>
      <c r="E1685" s="1" t="s">
        <v>26</v>
      </c>
      <c r="F1685" s="2">
        <v>45779.703472222223</v>
      </c>
      <c r="G1685" s="1" t="s">
        <v>2256</v>
      </c>
      <c r="H1685" s="1" t="s">
        <v>2256</v>
      </c>
      <c r="I1685" s="1" t="s">
        <v>83</v>
      </c>
      <c r="J1685" s="2">
        <v>45779.784722222219</v>
      </c>
      <c r="K1685" s="2">
        <v>45779.795138888891</v>
      </c>
      <c r="L1685" s="1" t="s">
        <v>18</v>
      </c>
      <c r="M1685" s="1" t="str">
        <f>_xlfn.XLOOKUP(I1685,Parâmetros!A:A,Parâmetros!B:B,_xlfn.XLOOKUP(Q1685,Parâmetros!F:F,Parâmetros!G:G,"NOVA MENSAGEM"))</f>
        <v>CLIENTE NÃO IDENTIFICADO</v>
      </c>
      <c r="N1685" s="1" t="str">
        <f>_xlfn.XLOOKUP(M1685,Parâmetros!K:K,Parâmetros!L:L,"")</f>
        <v>DK DE CLIENTE NÃO PREENCIDO / CLIENTE NÃO CONFIGURADO NO OBT</v>
      </c>
      <c r="O1685" s="1" t="str">
        <f>_xlfn.XLOOKUP(M1685,Parâmetros!B:B,Parâmetros!C:C,_xlfn.XLOOKUP(Base!M1707,Parâmetros!G:G,Parâmetros!H:H))</f>
        <v>INDEFINIDO</v>
      </c>
      <c r="P1685" s="1" t="str">
        <f>_xlfn.XLOOKUP(I1685,Parâmetros!A:A,Parâmetros!D:D,_xlfn.XLOOKUP(Q1685,Parâmetros!F:F,Parâmetros!I:I))</f>
        <v>OPERAÇÕES / SUPORTE KCS</v>
      </c>
      <c r="Q1685" s="1" t="str">
        <f t="shared" si="53"/>
        <v>COLUNA I</v>
      </c>
    </row>
    <row r="1686" spans="1:17" x14ac:dyDescent="0.25">
      <c r="A1686" s="1" t="str">
        <f>_xlfn.XLOOKUP(D1686,'Novo relatório'!B:B,'Novo relatório'!C:C,"RESOLVIDO")</f>
        <v>TMS</v>
      </c>
      <c r="C1686" t="str">
        <f t="shared" si="52"/>
        <v>PENDENTE</v>
      </c>
      <c r="D1686" s="1">
        <v>3398674</v>
      </c>
      <c r="E1686" s="1" t="s">
        <v>12</v>
      </c>
      <c r="F1686" s="2">
        <v>45779.708333333336</v>
      </c>
      <c r="G1686" s="1">
        <v>30731</v>
      </c>
      <c r="H1686" s="1">
        <v>30731</v>
      </c>
      <c r="I1686" s="1" t="s">
        <v>2273</v>
      </c>
      <c r="J1686" s="2">
        <v>45779.874305555553</v>
      </c>
      <c r="K1686" s="2">
        <v>45782.930555555555</v>
      </c>
      <c r="L1686" s="1" t="s">
        <v>14</v>
      </c>
      <c r="M1686" s="1" t="str">
        <f>_xlfn.XLOOKUP(I1686,Parâmetros!A:A,Parâmetros!B:B,_xlfn.XLOOKUP(Q1686,Parâmetros!F:F,Parâmetros!G:G,"NOVA MENSAGEM"))</f>
        <v>NOVA MENSAGEM</v>
      </c>
      <c r="N1686" s="1" t="str">
        <f>_xlfn.XLOOKUP(M1686,Parâmetros!K:K,Parâmetros!L:L,"")</f>
        <v/>
      </c>
      <c r="O1686" s="1" t="str">
        <f>_xlfn.XLOOKUP(M1686,Parâmetros!B:B,Parâmetros!C:C,_xlfn.XLOOKUP(Base!M1726,Parâmetros!G:G,Parâmetros!H:H))</f>
        <v>QUALIDADE DOS DADOS</v>
      </c>
      <c r="P1686" s="1" t="e">
        <f>_xlfn.XLOOKUP(I1686,Parâmetros!A:A,Parâmetros!D:D,_xlfn.XLOOKUP(Q1686,Parâmetros!F:F,Parâmetros!I:I))</f>
        <v>#N/A</v>
      </c>
      <c r="Q1686" s="1">
        <f t="shared" si="53"/>
        <v>126</v>
      </c>
    </row>
    <row r="1687" spans="1:17" x14ac:dyDescent="0.25">
      <c r="A1687" s="1" t="str">
        <f>_xlfn.XLOOKUP(D1687,'Novo relatório'!B:B,'Novo relatório'!C:C,"RESOLVIDO")</f>
        <v>RESOLVIDO</v>
      </c>
      <c r="C1687" t="str">
        <f t="shared" si="52"/>
        <v>RESOLVIDO</v>
      </c>
      <c r="D1687" s="1">
        <v>3399221</v>
      </c>
      <c r="E1687" s="1" t="s">
        <v>12</v>
      </c>
      <c r="F1687" s="2">
        <v>45779.777083333334</v>
      </c>
      <c r="G1687" s="1">
        <v>18294</v>
      </c>
      <c r="H1687" s="1">
        <v>18294</v>
      </c>
      <c r="I1687" s="1" t="s">
        <v>927</v>
      </c>
      <c r="J1687" s="2">
        <v>45779.918749999997</v>
      </c>
      <c r="K1687" s="2">
        <v>45782.975694444445</v>
      </c>
      <c r="L1687" s="1" t="s">
        <v>19</v>
      </c>
      <c r="M1687" s="1" t="str">
        <f>_xlfn.XLOOKUP(I1687,Parâmetros!A:A,Parâmetros!B:B,_xlfn.XLOOKUP(Q1687,Parâmetros!F:F,Parâmetros!G:G,"NOVA MENSAGEM"))</f>
        <v>CONTRATO FORNECEDOR</v>
      </c>
      <c r="N1687" s="1" t="str">
        <f>_xlfn.XLOOKUP(M1687,Parâmetros!K:K,Parâmetros!L:L,"")</f>
        <v>CONTRATO INATIVO OU DIVERGENTE</v>
      </c>
      <c r="O1687" s="1" t="str">
        <f>_xlfn.XLOOKUP(M1687,Parâmetros!B:B,Parâmetros!C:C,_xlfn.XLOOKUP(Base!M1723,Parâmetros!G:G,Parâmetros!H:H))</f>
        <v>SISTEMA</v>
      </c>
      <c r="P1687" s="1" t="str">
        <f>_xlfn.XLOOKUP(I1687,Parâmetros!A:A,Parâmetros!D:D,_xlfn.XLOOKUP(Q1687,Parâmetros!F:F,Parâmetros!I:I))</f>
        <v>OPERAÇÕES / SUPORTE KCS</v>
      </c>
      <c r="Q1687" s="1">
        <f t="shared" si="53"/>
        <v>69</v>
      </c>
    </row>
    <row r="1688" spans="1:17" x14ac:dyDescent="0.25">
      <c r="A1688" s="1" t="str">
        <f>_xlfn.XLOOKUP(D1688,'Novo relatório'!B:B,'Novo relatório'!C:C,"RESOLVIDO")</f>
        <v>SABRE</v>
      </c>
      <c r="C1688" t="str">
        <f t="shared" si="52"/>
        <v>PENDENTE</v>
      </c>
      <c r="D1688" s="1">
        <v>3399324</v>
      </c>
      <c r="E1688" s="1" t="s">
        <v>26</v>
      </c>
      <c r="F1688" s="2">
        <v>45780.701388888891</v>
      </c>
      <c r="G1688" s="1" t="s">
        <v>2182</v>
      </c>
      <c r="H1688" s="1" t="s">
        <v>2182</v>
      </c>
      <c r="I1688" s="1" t="s">
        <v>83</v>
      </c>
      <c r="J1688" s="2">
        <v>45780.793749999997</v>
      </c>
      <c r="L1688" s="1" t="s">
        <v>18</v>
      </c>
      <c r="M1688" s="1" t="str">
        <f>_xlfn.XLOOKUP(I1688,Parâmetros!A:A,Parâmetros!B:B,_xlfn.XLOOKUP(Q1688,Parâmetros!F:F,Parâmetros!G:G,"NOVA MENSAGEM"))</f>
        <v>CLIENTE NÃO IDENTIFICADO</v>
      </c>
      <c r="N1688" s="1" t="str">
        <f>_xlfn.XLOOKUP(M1688,Parâmetros!K:K,Parâmetros!L:L,"")</f>
        <v>DK DE CLIENTE NÃO PREENCIDO / CLIENTE NÃO CONFIGURADO NO OBT</v>
      </c>
      <c r="O1688" s="1" t="str">
        <f>_xlfn.XLOOKUP(M1688,Parâmetros!B:B,Parâmetros!C:C,_xlfn.XLOOKUP(Base!M1645,Parâmetros!G:G,Parâmetros!H:H))</f>
        <v>INDEFINIDO</v>
      </c>
      <c r="P1688" s="1" t="str">
        <f>_xlfn.XLOOKUP(I1688,Parâmetros!A:A,Parâmetros!D:D,_xlfn.XLOOKUP(Q1688,Parâmetros!F:F,Parâmetros!I:I))</f>
        <v>OPERAÇÕES / SUPORTE KCS</v>
      </c>
      <c r="Q1688" s="1" t="str">
        <f t="shared" si="53"/>
        <v>COLUNA I</v>
      </c>
    </row>
    <row r="1689" spans="1:17" x14ac:dyDescent="0.25">
      <c r="A1689" s="1" t="str">
        <f>_xlfn.XLOOKUP(D1689,'Novo relatório'!B:B,'Novo relatório'!C:C,"RESOLVIDO")</f>
        <v>SABRE</v>
      </c>
      <c r="C1689" t="str">
        <f t="shared" si="52"/>
        <v>PENDENTE</v>
      </c>
      <c r="D1689" s="1">
        <v>3399325</v>
      </c>
      <c r="E1689" s="1" t="s">
        <v>26</v>
      </c>
      <c r="F1689" s="2">
        <v>45780.701388888891</v>
      </c>
      <c r="G1689" s="1" t="s">
        <v>2183</v>
      </c>
      <c r="H1689" s="1" t="s">
        <v>2183</v>
      </c>
      <c r="I1689" s="1" t="s">
        <v>83</v>
      </c>
      <c r="J1689" s="2">
        <v>45780.793749999997</v>
      </c>
      <c r="L1689" s="1" t="s">
        <v>18</v>
      </c>
      <c r="M1689" s="1" t="str">
        <f>_xlfn.XLOOKUP(I1689,Parâmetros!A:A,Parâmetros!B:B,_xlfn.XLOOKUP(Q1689,Parâmetros!F:F,Parâmetros!G:G,"NOVA MENSAGEM"))</f>
        <v>CLIENTE NÃO IDENTIFICADO</v>
      </c>
      <c r="N1689" s="1" t="str">
        <f>_xlfn.XLOOKUP(M1689,Parâmetros!K:K,Parâmetros!L:L,"")</f>
        <v>DK DE CLIENTE NÃO PREENCIDO / CLIENTE NÃO CONFIGURADO NO OBT</v>
      </c>
      <c r="O1689" s="1" t="str">
        <f>_xlfn.XLOOKUP(M1689,Parâmetros!B:B,Parâmetros!C:C,_xlfn.XLOOKUP(Base!M1646,Parâmetros!G:G,Parâmetros!H:H))</f>
        <v>INDEFINIDO</v>
      </c>
      <c r="P1689" s="1" t="str">
        <f>_xlfn.XLOOKUP(I1689,Parâmetros!A:A,Parâmetros!D:D,_xlfn.XLOOKUP(Q1689,Parâmetros!F:F,Parâmetros!I:I))</f>
        <v>OPERAÇÕES / SUPORTE KCS</v>
      </c>
      <c r="Q1689" s="1" t="str">
        <f t="shared" si="53"/>
        <v>COLUNA I</v>
      </c>
    </row>
    <row r="1690" spans="1:17" x14ac:dyDescent="0.25">
      <c r="A1690" s="1" t="str">
        <f>_xlfn.XLOOKUP(D1690,'Novo relatório'!B:B,'Novo relatório'!C:C,"RESOLVIDO")</f>
        <v>SABRE</v>
      </c>
      <c r="C1690" t="str">
        <f t="shared" si="52"/>
        <v>PENDENTE</v>
      </c>
      <c r="D1690" s="1">
        <v>3399326</v>
      </c>
      <c r="E1690" s="1" t="s">
        <v>26</v>
      </c>
      <c r="F1690" s="2">
        <v>45782.383333333331</v>
      </c>
      <c r="G1690" s="1" t="s">
        <v>2231</v>
      </c>
      <c r="H1690" s="1" t="s">
        <v>2231</v>
      </c>
      <c r="I1690" s="1" t="s">
        <v>408</v>
      </c>
      <c r="J1690" s="2">
        <v>45780.794444444444</v>
      </c>
      <c r="K1690" s="2">
        <v>45782.470833333333</v>
      </c>
      <c r="L1690" s="1" t="s">
        <v>18</v>
      </c>
      <c r="M1690" s="1" t="str">
        <f>_xlfn.XLOOKUP(I1690,Parâmetros!A:A,Parâmetros!B:B,_xlfn.XLOOKUP(Q1690,Parâmetros!F:F,Parâmetros!G:G,"NOVA MENSAGEM"))</f>
        <v>CÓD. CLIENTE DIVERGENTE</v>
      </c>
      <c r="N1690" s="1" t="str">
        <f>_xlfn.XLOOKUP(M1690,Parâmetros!K:K,Parâmetros!L:L,"")</f>
        <v>CÓDIGO DIFERENTE DO CADASTRADO NO BENNER (CLIENTE X GRUPO)</v>
      </c>
      <c r="O1690" s="1" t="str">
        <f>_xlfn.XLOOKUP(M1690,Parâmetros!B:B,Parâmetros!C:C,_xlfn.XLOOKUP(Base!M1684,Parâmetros!G:G,Parâmetros!H:H))</f>
        <v>QUALIDADE DOS DADOS</v>
      </c>
      <c r="P1690" s="1" t="str">
        <f>_xlfn.XLOOKUP(I1690,Parâmetros!A:A,Parâmetros!D:D,_xlfn.XLOOKUP(Q1690,Parâmetros!F:F,Parâmetros!I:I))</f>
        <v>SUPORTE OBT</v>
      </c>
      <c r="Q1690" s="1">
        <f t="shared" si="53"/>
        <v>1</v>
      </c>
    </row>
    <row r="1691" spans="1:17" x14ac:dyDescent="0.25">
      <c r="A1691" s="1" t="str">
        <f>_xlfn.XLOOKUP(D1691,'Novo relatório'!B:B,'Novo relatório'!C:C,"RESOLVIDO")</f>
        <v>SABRE</v>
      </c>
      <c r="C1691" t="str">
        <f t="shared" si="52"/>
        <v>PENDENTE</v>
      </c>
      <c r="D1691" s="1">
        <v>3399327</v>
      </c>
      <c r="E1691" s="1" t="s">
        <v>26</v>
      </c>
      <c r="F1691" s="2">
        <v>45780.701388888891</v>
      </c>
      <c r="G1691" s="1" t="s">
        <v>2233</v>
      </c>
      <c r="H1691" s="1" t="s">
        <v>2233</v>
      </c>
      <c r="I1691" s="1" t="s">
        <v>620</v>
      </c>
      <c r="J1691" s="2">
        <v>45780.794444444444</v>
      </c>
      <c r="L1691" s="1" t="s">
        <v>18</v>
      </c>
      <c r="M1691" s="1" t="str">
        <f>_xlfn.XLOOKUP(I1691,Parâmetros!A:A,Parâmetros!B:B,_xlfn.XLOOKUP(Q1691,Parâmetros!F:F,Parâmetros!G:G,"NOVA MENSAGEM"))</f>
        <v>CÓD. CLIENTE DIVERGENTE</v>
      </c>
      <c r="N1691" s="1" t="str">
        <f>_xlfn.XLOOKUP(M1691,Parâmetros!K:K,Parâmetros!L:L,"")</f>
        <v>CÓDIGO DIFERENTE DO CADASTRADO NO BENNER (CLIENTE X GRUPO)</v>
      </c>
      <c r="O1691" s="1" t="str">
        <f>_xlfn.XLOOKUP(M1691,Parâmetros!B:B,Parâmetros!C:C,_xlfn.XLOOKUP(Base!M1686,Parâmetros!G:G,Parâmetros!H:H))</f>
        <v>QUALIDADE DOS DADOS</v>
      </c>
      <c r="P1691" s="1" t="str">
        <f>_xlfn.XLOOKUP(I1691,Parâmetros!A:A,Parâmetros!D:D,_xlfn.XLOOKUP(Q1691,Parâmetros!F:F,Parâmetros!I:I))</f>
        <v>SUPORTE OBT</v>
      </c>
      <c r="Q1691" s="1">
        <f t="shared" si="53"/>
        <v>1</v>
      </c>
    </row>
    <row r="1692" spans="1:17" x14ac:dyDescent="0.25">
      <c r="A1692" s="1" t="str">
        <f>_xlfn.XLOOKUP(D1692,'Novo relatório'!B:B,'Novo relatório'!C:C,"RESOLVIDO")</f>
        <v>TMS</v>
      </c>
      <c r="C1692" t="str">
        <f t="shared" si="52"/>
        <v>PENDENTE</v>
      </c>
      <c r="D1692" s="1">
        <v>3399656</v>
      </c>
      <c r="E1692" s="1" t="s">
        <v>12</v>
      </c>
      <c r="F1692" s="2">
        <v>45782.404166666667</v>
      </c>
      <c r="G1692" s="1">
        <v>1971</v>
      </c>
      <c r="H1692" s="1">
        <v>1971</v>
      </c>
      <c r="I1692" s="1" t="s">
        <v>2272</v>
      </c>
      <c r="J1692" s="2">
        <v>45782.418055555558</v>
      </c>
      <c r="K1692" s="2">
        <v>45785.46875</v>
      </c>
      <c r="L1692" s="1" t="s">
        <v>19</v>
      </c>
      <c r="M1692" s="1" t="str">
        <f>_xlfn.XLOOKUP(I1692,Parâmetros!A:A,Parâmetros!B:B,_xlfn.XLOOKUP(Q1692,Parâmetros!F:F,Parâmetros!G:G,"NOVA MENSAGEM"))</f>
        <v>CONTRATO FORNECEDOR</v>
      </c>
      <c r="N1692" s="1" t="str">
        <f>_xlfn.XLOOKUP(M1692,Parâmetros!K:K,Parâmetros!L:L,"")</f>
        <v>CONTRATO INATIVO OU DIVERGENTE</v>
      </c>
      <c r="O1692" s="1" t="str">
        <f>_xlfn.XLOOKUP(M1692,Parâmetros!B:B,Parâmetros!C:C,_xlfn.XLOOKUP(Base!M1724,Parâmetros!G:G,Parâmetros!H:H))</f>
        <v>SISTEMA</v>
      </c>
      <c r="P1692" s="1" t="str">
        <f>_xlfn.XLOOKUP(I1692,Parâmetros!A:A,Parâmetros!D:D,_xlfn.XLOOKUP(Q1692,Parâmetros!F:F,Parâmetros!I:I))</f>
        <v>OPERAÇÕES / SUPORTE KCS</v>
      </c>
      <c r="Q1692" s="1">
        <f t="shared" si="53"/>
        <v>69</v>
      </c>
    </row>
    <row r="1693" spans="1:17" x14ac:dyDescent="0.25">
      <c r="A1693" s="1" t="str">
        <f>_xlfn.XLOOKUP(D1693,'Novo relatório'!B:B,'Novo relatório'!C:C,"RESOLVIDO")</f>
        <v>SABRE</v>
      </c>
      <c r="C1693" t="str">
        <f t="shared" si="52"/>
        <v>PENDENTE</v>
      </c>
      <c r="D1693" s="1">
        <v>3399858</v>
      </c>
      <c r="E1693" s="1" t="s">
        <v>26</v>
      </c>
      <c r="F1693" s="2">
        <v>45779.388194444444</v>
      </c>
      <c r="G1693" s="1" t="s">
        <v>2232</v>
      </c>
      <c r="H1693" s="1" t="s">
        <v>2232</v>
      </c>
      <c r="I1693" s="1" t="s">
        <v>1215</v>
      </c>
      <c r="J1693" s="2">
        <v>45782.47152777778</v>
      </c>
      <c r="K1693" s="2">
        <v>45782.473611111112</v>
      </c>
      <c r="L1693" s="1" t="s">
        <v>18</v>
      </c>
      <c r="M1693" s="1" t="str">
        <f>_xlfn.XLOOKUP(I1693,Parâmetros!A:A,Parâmetros!B:B,_xlfn.XLOOKUP(Q1693,Parâmetros!F:F,Parâmetros!G:G,"NOVA MENSAGEM"))</f>
        <v>CÓD. CLIENTE DIVERGENTE</v>
      </c>
      <c r="N1693" s="1" t="str">
        <f>_xlfn.XLOOKUP(M1693,Parâmetros!K:K,Parâmetros!L:L,"")</f>
        <v>CÓDIGO DIFERENTE DO CADASTRADO NO BENNER (CLIENTE X GRUPO)</v>
      </c>
      <c r="O1693" s="1" t="str">
        <f>_xlfn.XLOOKUP(M1693,Parâmetros!B:B,Parâmetros!C:C,_xlfn.XLOOKUP(Base!M1685,Parâmetros!G:G,Parâmetros!H:H))</f>
        <v>QUALIDADE DOS DADOS</v>
      </c>
      <c r="P1693" s="1" t="str">
        <f>_xlfn.XLOOKUP(I1693,Parâmetros!A:A,Parâmetros!D:D,_xlfn.XLOOKUP(Q1693,Parâmetros!F:F,Parâmetros!I:I))</f>
        <v>SUPORTE OBT</v>
      </c>
      <c r="Q1693" s="1">
        <f t="shared" si="53"/>
        <v>1</v>
      </c>
    </row>
    <row r="1694" spans="1:17" x14ac:dyDescent="0.25">
      <c r="A1694" s="1" t="str">
        <f>_xlfn.XLOOKUP(D1694,'Novo relatório'!B:B,'Novo relatório'!C:C,"RESOLVIDO")</f>
        <v>SABRE</v>
      </c>
      <c r="C1694" t="str">
        <f t="shared" si="52"/>
        <v>PENDENTE</v>
      </c>
      <c r="D1694" s="1">
        <v>3399880</v>
      </c>
      <c r="E1694" s="1" t="s">
        <v>26</v>
      </c>
      <c r="F1694" s="2">
        <v>45782.402083333334</v>
      </c>
      <c r="G1694" s="1" t="s">
        <v>2193</v>
      </c>
      <c r="H1694" s="1" t="s">
        <v>2194</v>
      </c>
      <c r="I1694" s="1" t="s">
        <v>393</v>
      </c>
      <c r="J1694" s="2">
        <v>45782.490277777775</v>
      </c>
      <c r="L1694" s="1" t="s">
        <v>19</v>
      </c>
      <c r="M1694" s="1" t="str">
        <f>_xlfn.XLOOKUP(I1694,Parâmetros!A:A,Parâmetros!B:B,_xlfn.XLOOKUP(Q1694,Parâmetros!F:F,Parâmetros!G:G,"NOVA MENSAGEM"))</f>
        <v>CONTRATO FORNECEDOR</v>
      </c>
      <c r="N1694" s="1" t="str">
        <f>_xlfn.XLOOKUP(M1694,Parâmetros!K:K,Parâmetros!L:L,"")</f>
        <v>CONTRATO INATIVO OU DIVERGENTE</v>
      </c>
      <c r="O1694" s="1" t="str">
        <f>_xlfn.XLOOKUP(M1694,Parâmetros!B:B,Parâmetros!C:C,_xlfn.XLOOKUP(Base!M1654,Parâmetros!G:G,Parâmetros!H:H))</f>
        <v>SISTEMA</v>
      </c>
      <c r="P1694" s="1" t="str">
        <f>_xlfn.XLOOKUP(I1694,Parâmetros!A:A,Parâmetros!D:D,_xlfn.XLOOKUP(Q1694,Parâmetros!F:F,Parâmetros!I:I))</f>
        <v>OPERAÇÕES / SUPORTE KCS</v>
      </c>
      <c r="Q1694" s="1">
        <f t="shared" si="53"/>
        <v>43</v>
      </c>
    </row>
    <row r="1695" spans="1:17" x14ac:dyDescent="0.25">
      <c r="A1695" s="1" t="str">
        <f>_xlfn.XLOOKUP(D1695,'Novo relatório'!B:B,'Novo relatório'!C:C,"RESOLVIDO")</f>
        <v>SABRE</v>
      </c>
      <c r="C1695" t="str">
        <f t="shared" si="52"/>
        <v>PENDENTE</v>
      </c>
      <c r="D1695" s="1">
        <v>3399942</v>
      </c>
      <c r="E1695" s="1" t="s">
        <v>26</v>
      </c>
      <c r="F1695" s="2">
        <v>45782.409722222219</v>
      </c>
      <c r="G1695" s="1" t="s">
        <v>2220</v>
      </c>
      <c r="H1695" s="1" t="s">
        <v>2220</v>
      </c>
      <c r="I1695" s="1" t="s">
        <v>83</v>
      </c>
      <c r="J1695" s="2">
        <v>45782.502083333333</v>
      </c>
      <c r="L1695" s="1" t="s">
        <v>18</v>
      </c>
      <c r="M1695" s="1" t="str">
        <f>_xlfn.XLOOKUP(I1695,Parâmetros!A:A,Parâmetros!B:B,_xlfn.XLOOKUP(Q1695,Parâmetros!F:F,Parâmetros!G:G,"NOVA MENSAGEM"))</f>
        <v>CLIENTE NÃO IDENTIFICADO</v>
      </c>
      <c r="N1695" s="1" t="str">
        <f>_xlfn.XLOOKUP(M1695,Parâmetros!K:K,Parâmetros!L:L,"")</f>
        <v>DK DE CLIENTE NÃO PREENCIDO / CLIENTE NÃO CONFIGURADO NO OBT</v>
      </c>
      <c r="O1695" s="1" t="str">
        <f>_xlfn.XLOOKUP(M1695,Parâmetros!B:B,Parâmetros!C:C,_xlfn.XLOOKUP(Base!M1673,Parâmetros!G:G,Parâmetros!H:H))</f>
        <v>INDEFINIDO</v>
      </c>
      <c r="P1695" s="1" t="str">
        <f>_xlfn.XLOOKUP(I1695,Parâmetros!A:A,Parâmetros!D:D,_xlfn.XLOOKUP(Q1695,Parâmetros!F:F,Parâmetros!I:I))</f>
        <v>OPERAÇÕES / SUPORTE KCS</v>
      </c>
      <c r="Q1695" s="1" t="str">
        <f t="shared" si="53"/>
        <v>COLUNA I</v>
      </c>
    </row>
    <row r="1696" spans="1:17" x14ac:dyDescent="0.25">
      <c r="A1696" s="1" t="str">
        <f>_xlfn.XLOOKUP(D1696,'Novo relatório'!B:B,'Novo relatório'!C:C,"RESOLVIDO")</f>
        <v>SABRE</v>
      </c>
      <c r="C1696" t="str">
        <f t="shared" si="52"/>
        <v>PENDENTE</v>
      </c>
      <c r="D1696" s="1">
        <v>3400119</v>
      </c>
      <c r="E1696" s="1" t="s">
        <v>26</v>
      </c>
      <c r="F1696" s="2">
        <v>45782.495138888888</v>
      </c>
      <c r="G1696" s="1" t="s">
        <v>2221</v>
      </c>
      <c r="H1696" s="1" t="s">
        <v>2221</v>
      </c>
      <c r="I1696" s="1" t="s">
        <v>746</v>
      </c>
      <c r="J1696" s="2">
        <v>45782.585416666669</v>
      </c>
      <c r="L1696" s="1" t="s">
        <v>18</v>
      </c>
      <c r="M1696" s="1" t="str">
        <f>_xlfn.XLOOKUP(I1696,Parâmetros!A:A,Parâmetros!B:B,_xlfn.XLOOKUP(Q1696,Parâmetros!F:F,Parâmetros!G:G,"NOVA MENSAGEM"))</f>
        <v>CÓD. CLIENTE DIVERGENTE</v>
      </c>
      <c r="N1696" s="1" t="str">
        <f>_xlfn.XLOOKUP(M1696,Parâmetros!K:K,Parâmetros!L:L,"")</f>
        <v>CÓDIGO DIFERENTE DO CADASTRADO NO BENNER (CLIENTE X GRUPO)</v>
      </c>
      <c r="O1696" s="1" t="str">
        <f>_xlfn.XLOOKUP(M1696,Parâmetros!B:B,Parâmetros!C:C,_xlfn.XLOOKUP(Base!M1674,Parâmetros!G:G,Parâmetros!H:H))</f>
        <v>QUALIDADE DOS DADOS</v>
      </c>
      <c r="P1696" s="1" t="str">
        <f>_xlfn.XLOOKUP(I1696,Parâmetros!A:A,Parâmetros!D:D,_xlfn.XLOOKUP(Q1696,Parâmetros!F:F,Parâmetros!I:I))</f>
        <v>SUPORTE OBT</v>
      </c>
      <c r="Q1696" s="1">
        <f t="shared" si="53"/>
        <v>1</v>
      </c>
    </row>
    <row r="1697" spans="1:17" x14ac:dyDescent="0.25">
      <c r="A1697" s="1" t="str">
        <f>_xlfn.XLOOKUP(D1697,'Novo relatório'!B:B,'Novo relatório'!C:C,"RESOLVIDO")</f>
        <v>SABRE</v>
      </c>
      <c r="C1697" t="str">
        <f t="shared" si="52"/>
        <v>PENDENTE</v>
      </c>
      <c r="D1697" s="1">
        <v>3400120</v>
      </c>
      <c r="E1697" s="1" t="s">
        <v>26</v>
      </c>
      <c r="F1697" s="2">
        <v>45782.495138888888</v>
      </c>
      <c r="G1697" s="1" t="s">
        <v>2241</v>
      </c>
      <c r="H1697" s="1" t="s">
        <v>2241</v>
      </c>
      <c r="I1697" s="1" t="s">
        <v>746</v>
      </c>
      <c r="J1697" s="2">
        <v>45782.585416666669</v>
      </c>
      <c r="L1697" s="1" t="s">
        <v>18</v>
      </c>
      <c r="M1697" s="1" t="str">
        <f>_xlfn.XLOOKUP(I1697,Parâmetros!A:A,Parâmetros!B:B,_xlfn.XLOOKUP(Q1697,Parâmetros!F:F,Parâmetros!G:G,"NOVA MENSAGEM"))</f>
        <v>CÓD. CLIENTE DIVERGENTE</v>
      </c>
      <c r="N1697" s="1" t="str">
        <f>_xlfn.XLOOKUP(M1697,Parâmetros!K:K,Parâmetros!L:L,"")</f>
        <v>CÓDIGO DIFERENTE DO CADASTRADO NO BENNER (CLIENTE X GRUPO)</v>
      </c>
      <c r="O1697" s="1" t="str">
        <f>_xlfn.XLOOKUP(M1697,Parâmetros!B:B,Parâmetros!C:C,_xlfn.XLOOKUP(Base!M1693,Parâmetros!G:G,Parâmetros!H:H))</f>
        <v>QUALIDADE DOS DADOS</v>
      </c>
      <c r="P1697" s="1" t="str">
        <f>_xlfn.XLOOKUP(I1697,Parâmetros!A:A,Parâmetros!D:D,_xlfn.XLOOKUP(Q1697,Parâmetros!F:F,Parâmetros!I:I))</f>
        <v>SUPORTE OBT</v>
      </c>
      <c r="Q1697" s="1">
        <f t="shared" si="53"/>
        <v>1</v>
      </c>
    </row>
    <row r="1698" spans="1:17" x14ac:dyDescent="0.25">
      <c r="A1698" s="1" t="str">
        <f>_xlfn.XLOOKUP(D1698,'Novo relatório'!B:B,'Novo relatório'!C:C,"RESOLVIDO")</f>
        <v>SABRE</v>
      </c>
      <c r="C1698" t="str">
        <f t="shared" si="52"/>
        <v>PENDENTE</v>
      </c>
      <c r="D1698" s="1">
        <v>3400121</v>
      </c>
      <c r="E1698" s="1" t="s">
        <v>26</v>
      </c>
      <c r="F1698" s="2">
        <v>45782.495138888888</v>
      </c>
      <c r="G1698" s="1" t="s">
        <v>2225</v>
      </c>
      <c r="H1698" s="1" t="s">
        <v>2225</v>
      </c>
      <c r="I1698" s="1" t="s">
        <v>746</v>
      </c>
      <c r="J1698" s="2">
        <v>45782.585416666669</v>
      </c>
      <c r="L1698" s="1" t="s">
        <v>18</v>
      </c>
      <c r="M1698" s="1" t="str">
        <f>_xlfn.XLOOKUP(I1698,Parâmetros!A:A,Parâmetros!B:B,_xlfn.XLOOKUP(Q1698,Parâmetros!F:F,Parâmetros!G:G,"NOVA MENSAGEM"))</f>
        <v>CÓD. CLIENTE DIVERGENTE</v>
      </c>
      <c r="N1698" s="1" t="str">
        <f>_xlfn.XLOOKUP(M1698,Parâmetros!K:K,Parâmetros!L:L,"")</f>
        <v>CÓDIGO DIFERENTE DO CADASTRADO NO BENNER (CLIENTE X GRUPO)</v>
      </c>
      <c r="O1698" s="1" t="str">
        <f>_xlfn.XLOOKUP(M1698,Parâmetros!B:B,Parâmetros!C:C,_xlfn.XLOOKUP(Base!M1678,Parâmetros!G:G,Parâmetros!H:H))</f>
        <v>QUALIDADE DOS DADOS</v>
      </c>
      <c r="P1698" s="1" t="str">
        <f>_xlfn.XLOOKUP(I1698,Parâmetros!A:A,Parâmetros!D:D,_xlfn.XLOOKUP(Q1698,Parâmetros!F:F,Parâmetros!I:I))</f>
        <v>SUPORTE OBT</v>
      </c>
      <c r="Q1698" s="1">
        <f t="shared" si="53"/>
        <v>1</v>
      </c>
    </row>
    <row r="1699" spans="1:17" x14ac:dyDescent="0.25">
      <c r="A1699" s="1" t="str">
        <f>_xlfn.XLOOKUP(D1699,'Novo relatório'!B:B,'Novo relatório'!C:C,"RESOLVIDO")</f>
        <v>SABRE</v>
      </c>
      <c r="C1699" t="str">
        <f t="shared" si="52"/>
        <v>PENDENTE</v>
      </c>
      <c r="D1699" s="1">
        <v>3400331</v>
      </c>
      <c r="E1699" s="1" t="s">
        <v>26</v>
      </c>
      <c r="F1699" s="2">
        <v>45782.570833333331</v>
      </c>
      <c r="G1699" s="1" t="s">
        <v>2248</v>
      </c>
      <c r="H1699" s="1" t="s">
        <v>2248</v>
      </c>
      <c r="I1699" s="1" t="s">
        <v>410</v>
      </c>
      <c r="J1699" s="2">
        <v>45782.657638888886</v>
      </c>
      <c r="L1699" s="1" t="s">
        <v>18</v>
      </c>
      <c r="M1699" s="1" t="str">
        <f>_xlfn.XLOOKUP(I1699,Parâmetros!A:A,Parâmetros!B:B,_xlfn.XLOOKUP(Q1699,Parâmetros!F:F,Parâmetros!G:G,"NOVA MENSAGEM"))</f>
        <v>CÓD. CLIENTE DIVERGENTE</v>
      </c>
      <c r="N1699" s="1" t="str">
        <f>_xlfn.XLOOKUP(M1699,Parâmetros!K:K,Parâmetros!L:L,"")</f>
        <v>CÓDIGO DIFERENTE DO CADASTRADO NO BENNER (CLIENTE X GRUPO)</v>
      </c>
      <c r="O1699" s="1" t="str">
        <f>_xlfn.XLOOKUP(M1699,Parâmetros!B:B,Parâmetros!C:C,_xlfn.XLOOKUP(Base!M1699,Parâmetros!G:G,Parâmetros!H:H))</f>
        <v>QUALIDADE DOS DADOS</v>
      </c>
      <c r="P1699" s="1" t="str">
        <f>_xlfn.XLOOKUP(I1699,Parâmetros!A:A,Parâmetros!D:D,_xlfn.XLOOKUP(Q1699,Parâmetros!F:F,Parâmetros!I:I))</f>
        <v>SUPORTE OBT</v>
      </c>
      <c r="Q1699" s="1">
        <f t="shared" si="53"/>
        <v>1</v>
      </c>
    </row>
    <row r="1700" spans="1:17" x14ac:dyDescent="0.25">
      <c r="A1700" s="1" t="str">
        <f>_xlfn.XLOOKUP(D1700,'Novo relatório'!B:B,'Novo relatório'!C:C,"RESOLVIDO")</f>
        <v>SABRE</v>
      </c>
      <c r="C1700" t="str">
        <f t="shared" si="52"/>
        <v>PENDENTE</v>
      </c>
      <c r="D1700" s="1">
        <v>3400332</v>
      </c>
      <c r="E1700" s="1" t="s">
        <v>26</v>
      </c>
      <c r="F1700" s="2">
        <v>45782.570833333331</v>
      </c>
      <c r="G1700" s="1" t="s">
        <v>2249</v>
      </c>
      <c r="H1700" s="1" t="s">
        <v>2249</v>
      </c>
      <c r="I1700" s="1" t="s">
        <v>410</v>
      </c>
      <c r="J1700" s="2">
        <v>45782.657638888886</v>
      </c>
      <c r="L1700" s="1" t="s">
        <v>18</v>
      </c>
      <c r="M1700" s="1" t="str">
        <f>_xlfn.XLOOKUP(I1700,Parâmetros!A:A,Parâmetros!B:B,_xlfn.XLOOKUP(Q1700,Parâmetros!F:F,Parâmetros!G:G,"NOVA MENSAGEM"))</f>
        <v>CÓD. CLIENTE DIVERGENTE</v>
      </c>
      <c r="N1700" s="1" t="str">
        <f>_xlfn.XLOOKUP(M1700,Parâmetros!K:K,Parâmetros!L:L,"")</f>
        <v>CÓDIGO DIFERENTE DO CADASTRADO NO BENNER (CLIENTE X GRUPO)</v>
      </c>
      <c r="O1700" s="1" t="str">
        <f>_xlfn.XLOOKUP(M1700,Parâmetros!B:B,Parâmetros!C:C,_xlfn.XLOOKUP(Base!M1700,Parâmetros!G:G,Parâmetros!H:H))</f>
        <v>QUALIDADE DOS DADOS</v>
      </c>
      <c r="P1700" s="1" t="str">
        <f>_xlfn.XLOOKUP(I1700,Parâmetros!A:A,Parâmetros!D:D,_xlfn.XLOOKUP(Q1700,Parâmetros!F:F,Parâmetros!I:I))</f>
        <v>SUPORTE OBT</v>
      </c>
      <c r="Q1700" s="1">
        <f t="shared" si="53"/>
        <v>1</v>
      </c>
    </row>
    <row r="1701" spans="1:17" x14ac:dyDescent="0.25">
      <c r="A1701" s="1" t="str">
        <f>_xlfn.XLOOKUP(D1701,'Novo relatório'!B:B,'Novo relatório'!C:C,"RESOLVIDO")</f>
        <v>SABRE</v>
      </c>
      <c r="C1701" t="str">
        <f t="shared" si="52"/>
        <v>PENDENTE</v>
      </c>
      <c r="D1701" s="1">
        <v>3400938</v>
      </c>
      <c r="E1701" s="1" t="s">
        <v>26</v>
      </c>
      <c r="F1701" s="2">
        <v>45782.635416666664</v>
      </c>
      <c r="G1701" s="1" t="s">
        <v>2197</v>
      </c>
      <c r="H1701" s="1" t="s">
        <v>2198</v>
      </c>
      <c r="I1701" s="1" t="s">
        <v>114</v>
      </c>
      <c r="J1701" s="2">
        <v>45782.709722222222</v>
      </c>
      <c r="K1701" s="2">
        <v>45782.720138888886</v>
      </c>
      <c r="L1701" s="1" t="s">
        <v>14</v>
      </c>
      <c r="M1701" s="1" t="str">
        <f>_xlfn.XLOOKUP(I1701,Parâmetros!A:A,Parâmetros!B:B,_xlfn.XLOOKUP(Q1701,Parâmetros!F:F,Parâmetros!G:G,"NOVA MENSAGEM"))</f>
        <v>REMARK - DATA INCORRETA</v>
      </c>
      <c r="N1701" s="1" t="str">
        <f>_xlfn.XLOOKUP(M1701,Parâmetros!K:K,Parâmetros!L:L,"")</f>
        <v>REMARK U*INFOPAG-CC/REC-CC PREENCHIDO INCORRETAMENTE</v>
      </c>
      <c r="O1701" s="1" t="str">
        <f>_xlfn.XLOOKUP(M1701,Parâmetros!B:B,Parâmetros!C:C,_xlfn.XLOOKUP(Base!M1657,Parâmetros!G:G,Parâmetros!H:H))</f>
        <v>QUALIDADE DOS DADOS</v>
      </c>
      <c r="P1701" s="1" t="str">
        <f>_xlfn.XLOOKUP(I1701,Parâmetros!A:A,Parâmetros!D:D,_xlfn.XLOOKUP(Q1701,Parâmetros!F:F,Parâmetros!I:I))</f>
        <v>OPERAÇÕES / SUPORTE KCS</v>
      </c>
      <c r="Q1701" s="1" t="str">
        <f t="shared" si="53"/>
        <v>COLUNA I</v>
      </c>
    </row>
    <row r="1702" spans="1:17" x14ac:dyDescent="0.25">
      <c r="A1702" s="1" t="str">
        <f>_xlfn.XLOOKUP(D1702,'Novo relatório'!B:B,'Novo relatório'!C:C,"RESOLVIDO")</f>
        <v>SABRE</v>
      </c>
      <c r="C1702" t="str">
        <f t="shared" si="52"/>
        <v>PENDENTE</v>
      </c>
      <c r="D1702" s="1">
        <v>3401662</v>
      </c>
      <c r="E1702" s="1" t="s">
        <v>26</v>
      </c>
      <c r="F1702" s="2">
        <v>45782.75</v>
      </c>
      <c r="G1702" s="1" t="s">
        <v>2253</v>
      </c>
      <c r="H1702" s="1" t="s">
        <v>2253</v>
      </c>
      <c r="I1702" s="1" t="s">
        <v>652</v>
      </c>
      <c r="J1702" s="2">
        <v>45782.834027777775</v>
      </c>
      <c r="L1702" s="1" t="s">
        <v>18</v>
      </c>
      <c r="M1702" s="1" t="str">
        <f>_xlfn.XLOOKUP(I1702,Parâmetros!A:A,Parâmetros!B:B,_xlfn.XLOOKUP(Q1702,Parâmetros!F:F,Parâmetros!G:G,"NOVA MENSAGEM"))</f>
        <v>CÓD. CLIENTE DIVERGENTE</v>
      </c>
      <c r="N1702" s="1" t="str">
        <f>_xlfn.XLOOKUP(M1702,Parâmetros!K:K,Parâmetros!L:L,"")</f>
        <v>CÓDIGO DIFERENTE DO CADASTRADO NO BENNER (CLIENTE X GRUPO)</v>
      </c>
      <c r="O1702" s="1" t="str">
        <f>_xlfn.XLOOKUP(M1702,Parâmetros!B:B,Parâmetros!C:C,_xlfn.XLOOKUP(Base!M1704,Parâmetros!G:G,Parâmetros!H:H))</f>
        <v>QUALIDADE DOS DADOS</v>
      </c>
      <c r="P1702" s="1" t="str">
        <f>_xlfn.XLOOKUP(I1702,Parâmetros!A:A,Parâmetros!D:D,_xlfn.XLOOKUP(Q1702,Parâmetros!F:F,Parâmetros!I:I))</f>
        <v>SUPORTE OBT</v>
      </c>
      <c r="Q1702" s="1">
        <f t="shared" si="53"/>
        <v>1</v>
      </c>
    </row>
    <row r="1703" spans="1:17" x14ac:dyDescent="0.25">
      <c r="A1703" s="1" t="str">
        <f>_xlfn.XLOOKUP(D1703,'Novo relatório'!B:B,'Novo relatório'!C:C,"RESOLVIDO")</f>
        <v>SABRE</v>
      </c>
      <c r="C1703" t="str">
        <f t="shared" si="52"/>
        <v>PENDENTE</v>
      </c>
      <c r="D1703" s="1">
        <v>3401663</v>
      </c>
      <c r="E1703" s="1" t="s">
        <v>26</v>
      </c>
      <c r="F1703" s="2">
        <v>45782.75</v>
      </c>
      <c r="G1703" s="1" t="s">
        <v>2264</v>
      </c>
      <c r="H1703" s="1" t="s">
        <v>2264</v>
      </c>
      <c r="I1703" s="1" t="s">
        <v>652</v>
      </c>
      <c r="J1703" s="2">
        <v>45782.834722222222</v>
      </c>
      <c r="L1703" s="1" t="s">
        <v>18</v>
      </c>
      <c r="M1703" s="1" t="str">
        <f>_xlfn.XLOOKUP(I1703,Parâmetros!A:A,Parâmetros!B:B,_xlfn.XLOOKUP(Q1703,Parâmetros!F:F,Parâmetros!G:G,"NOVA MENSAGEM"))</f>
        <v>CÓD. CLIENTE DIVERGENTE</v>
      </c>
      <c r="N1703" s="1" t="str">
        <f>_xlfn.XLOOKUP(M1703,Parâmetros!K:K,Parâmetros!L:L,"")</f>
        <v>CÓDIGO DIFERENTE DO CADASTRADO NO BENNER (CLIENTE X GRUPO)</v>
      </c>
      <c r="O1703" s="1" t="str">
        <f>_xlfn.XLOOKUP(M1703,Parâmetros!B:B,Parâmetros!C:C,_xlfn.XLOOKUP(Base!M1714,Parâmetros!G:G,Parâmetros!H:H))</f>
        <v>QUALIDADE DOS DADOS</v>
      </c>
      <c r="P1703" s="1" t="str">
        <f>_xlfn.XLOOKUP(I1703,Parâmetros!A:A,Parâmetros!D:D,_xlfn.XLOOKUP(Q1703,Parâmetros!F:F,Parâmetros!I:I))</f>
        <v>SUPORTE OBT</v>
      </c>
      <c r="Q1703" s="1">
        <f t="shared" si="53"/>
        <v>1</v>
      </c>
    </row>
    <row r="1704" spans="1:17" x14ac:dyDescent="0.25">
      <c r="A1704" s="1" t="str">
        <f>_xlfn.XLOOKUP(D1704,'Novo relatório'!B:B,'Novo relatório'!C:C,"RESOLVIDO")</f>
        <v>RESOLVIDO</v>
      </c>
      <c r="C1704" t="str">
        <f t="shared" si="52"/>
        <v>RESOLVIDO</v>
      </c>
      <c r="D1704" s="1">
        <v>3401717</v>
      </c>
      <c r="E1704" s="1" t="s">
        <v>12</v>
      </c>
      <c r="F1704" s="2">
        <v>45782.800694444442</v>
      </c>
      <c r="G1704" s="1">
        <v>6575</v>
      </c>
      <c r="H1704" s="1">
        <v>6575</v>
      </c>
      <c r="I1704" s="1" t="s">
        <v>16</v>
      </c>
      <c r="J1704" s="2">
        <v>45782.914583333331</v>
      </c>
      <c r="K1704" s="2">
        <v>45785.448611111111</v>
      </c>
      <c r="L1704" s="1" t="s">
        <v>14</v>
      </c>
      <c r="M1704" s="1" t="str">
        <f>_xlfn.XLOOKUP(I1704,Parâmetros!A:A,Parâmetros!B:B,_xlfn.XLOOKUP(Q1704,Parâmetros!F:F,Parâmetros!G:G,"NOVA MENSAGEM"))</f>
        <v>ASSENTO / BAGAGEM</v>
      </c>
      <c r="N1704" s="1" t="str">
        <f>_xlfn.XLOOKUP(M1704,Parâmetros!K:K,Parâmetros!L:L,"")</f>
        <v>CAMPO OBSERVAÇÃO PREENCHIDO INCORRETAMENTE</v>
      </c>
      <c r="O1704" s="1" t="str">
        <f>_xlfn.XLOOKUP(M1704,Parâmetros!B:B,Parâmetros!C:C,_xlfn.XLOOKUP(Base!M1746,Parâmetros!G:G,Parâmetros!H:H))</f>
        <v>QUALIDADE DOS DADOS</v>
      </c>
      <c r="P1704" s="1" t="str">
        <f>_xlfn.XLOOKUP(I1704,Parâmetros!A:A,Parâmetros!D:D,_xlfn.XLOOKUP(Q1704,Parâmetros!F:F,Parâmetros!I:I))</f>
        <v>OPERAÇÕES / SUPORTE KCS</v>
      </c>
      <c r="Q1704" s="1">
        <f t="shared" si="53"/>
        <v>118</v>
      </c>
    </row>
    <row r="1705" spans="1:17" x14ac:dyDescent="0.25">
      <c r="A1705" s="1" t="str">
        <f>_xlfn.XLOOKUP(D1705,'Novo relatório'!B:B,'Novo relatório'!C:C,"RESOLVIDO")</f>
        <v>SABRE</v>
      </c>
      <c r="C1705" t="str">
        <f t="shared" si="52"/>
        <v>PENDENTE</v>
      </c>
      <c r="D1705" s="1">
        <v>3402336</v>
      </c>
      <c r="E1705" s="1" t="s">
        <v>26</v>
      </c>
      <c r="F1705" s="2">
        <v>45783.501388888886</v>
      </c>
      <c r="G1705" s="1" t="s">
        <v>2214</v>
      </c>
      <c r="H1705" s="1" t="s">
        <v>2215</v>
      </c>
      <c r="I1705" s="1" t="s">
        <v>84</v>
      </c>
      <c r="J1705" s="2">
        <v>45783.365277777775</v>
      </c>
      <c r="K1705" s="2">
        <v>45783.586111111108</v>
      </c>
      <c r="L1705" s="1" t="s">
        <v>1244</v>
      </c>
      <c r="M1705" s="1" t="str">
        <f>_xlfn.XLOOKUP(I1705,Parâmetros!A:A,Parâmetros!B:B,_xlfn.XLOOKUP(Q1705,Parâmetros!F:F,Parâmetros!G:G,"NOVA MENSAGEM"))</f>
        <v>REMARK - DATA INCORRETA</v>
      </c>
      <c r="N1705" s="1" t="str">
        <f>_xlfn.XLOOKUP(M1705,Parâmetros!K:K,Parâmetros!L:L,"")</f>
        <v>REMARK U*INFOPAG-CC/REC-CC PREENCHIDO INCORRETAMENTE</v>
      </c>
      <c r="O1705" s="1" t="str">
        <f>_xlfn.XLOOKUP(M1705,Parâmetros!B:B,Parâmetros!C:C,_xlfn.XLOOKUP(Base!M1669,Parâmetros!G:G,Parâmetros!H:H))</f>
        <v>QUALIDADE DOS DADOS</v>
      </c>
      <c r="P1705" s="1" t="str">
        <f>_xlfn.XLOOKUP(I1705,Parâmetros!A:A,Parâmetros!D:D,_xlfn.XLOOKUP(Q1705,Parâmetros!F:F,Parâmetros!I:I))</f>
        <v>OPERAÇÕES / SUPORTE KCS</v>
      </c>
      <c r="Q1705" s="1" t="str">
        <f t="shared" si="53"/>
        <v>COLUNA I</v>
      </c>
    </row>
    <row r="1706" spans="1:17" x14ac:dyDescent="0.25">
      <c r="A1706" s="1" t="str">
        <f>_xlfn.XLOOKUP(D1706,'Novo relatório'!B:B,'Novo relatório'!C:C,"RESOLVIDO")</f>
        <v>SABRE</v>
      </c>
      <c r="C1706" t="str">
        <f t="shared" si="52"/>
        <v>PENDENTE</v>
      </c>
      <c r="D1706" s="1">
        <v>3402793</v>
      </c>
      <c r="E1706" s="1" t="s">
        <v>26</v>
      </c>
      <c r="F1706" s="2">
        <v>45783.370833333334</v>
      </c>
      <c r="G1706" s="1" t="s">
        <v>2204</v>
      </c>
      <c r="H1706" s="1" t="s">
        <v>2204</v>
      </c>
      <c r="I1706" s="1" t="s">
        <v>396</v>
      </c>
      <c r="J1706" s="2">
        <v>45783.461111111108</v>
      </c>
      <c r="L1706" s="1" t="s">
        <v>18</v>
      </c>
      <c r="M1706" s="1" t="str">
        <f>_xlfn.XLOOKUP(I1706,Parâmetros!A:A,Parâmetros!B:B,_xlfn.XLOOKUP(Q1706,Parâmetros!F:F,Parâmetros!G:G,"NOVA MENSAGEM"))</f>
        <v>CÓD. CLIENTE DIVERGENTE</v>
      </c>
      <c r="N1706" s="1" t="str">
        <f>_xlfn.XLOOKUP(M1706,Parâmetros!K:K,Parâmetros!L:L,"")</f>
        <v>CÓDIGO DIFERENTE DO CADASTRADO NO BENNER (CLIENTE X GRUPO)</v>
      </c>
      <c r="O1706" s="1" t="str">
        <f>_xlfn.XLOOKUP(M1706,Parâmetros!B:B,Parâmetros!C:C,_xlfn.XLOOKUP(Base!M1661,Parâmetros!G:G,Parâmetros!H:H))</f>
        <v>QUALIDADE DOS DADOS</v>
      </c>
      <c r="P1706" s="1" t="str">
        <f>_xlfn.XLOOKUP(I1706,Parâmetros!A:A,Parâmetros!D:D,_xlfn.XLOOKUP(Q1706,Parâmetros!F:F,Parâmetros!I:I))</f>
        <v>SUPORTE OBT</v>
      </c>
      <c r="Q1706" s="1">
        <f t="shared" si="53"/>
        <v>1</v>
      </c>
    </row>
    <row r="1707" spans="1:17" x14ac:dyDescent="0.25">
      <c r="A1707" s="1" t="str">
        <f>_xlfn.XLOOKUP(D1707,'Novo relatório'!B:B,'Novo relatório'!C:C,"RESOLVIDO")</f>
        <v>SABRE</v>
      </c>
      <c r="C1707" t="str">
        <f t="shared" si="52"/>
        <v>PENDENTE</v>
      </c>
      <c r="D1707" s="1">
        <v>3402794</v>
      </c>
      <c r="E1707" s="1" t="s">
        <v>26</v>
      </c>
      <c r="F1707" s="2">
        <v>45783.370833333334</v>
      </c>
      <c r="G1707" s="1" t="s">
        <v>2205</v>
      </c>
      <c r="H1707" s="1" t="s">
        <v>2204</v>
      </c>
      <c r="I1707" s="1" t="s">
        <v>2206</v>
      </c>
      <c r="J1707" s="2">
        <v>45783.461111111108</v>
      </c>
      <c r="L1707" s="1" t="s">
        <v>18</v>
      </c>
      <c r="M1707" s="1" t="str">
        <f>_xlfn.XLOOKUP(I1707,Parâmetros!A:A,Parâmetros!B:B,_xlfn.XLOOKUP(Q1707,Parâmetros!F:F,Parâmetros!G:G,"NOVA MENSAGEM"))</f>
        <v>CÓD. CLIENTE DIVERGENTE</v>
      </c>
      <c r="N1707" s="1" t="str">
        <f>_xlfn.XLOOKUP(M1707,Parâmetros!K:K,Parâmetros!L:L,"")</f>
        <v>CÓDIGO DIFERENTE DO CADASTRADO NO BENNER (CLIENTE X GRUPO)</v>
      </c>
      <c r="O1707" s="1" t="str">
        <f>_xlfn.XLOOKUP(M1707,Parâmetros!B:B,Parâmetros!C:C,_xlfn.XLOOKUP(Base!M1662,Parâmetros!G:G,Parâmetros!H:H))</f>
        <v>QUALIDADE DOS DADOS</v>
      </c>
      <c r="P1707" s="1" t="str">
        <f>_xlfn.XLOOKUP(I1707,Parâmetros!A:A,Parâmetros!D:D,_xlfn.XLOOKUP(Q1707,Parâmetros!F:F,Parâmetros!I:I))</f>
        <v>SUPORTE OBT</v>
      </c>
      <c r="Q1707" s="1">
        <f t="shared" si="53"/>
        <v>1</v>
      </c>
    </row>
    <row r="1708" spans="1:17" x14ac:dyDescent="0.25">
      <c r="A1708" s="1" t="str">
        <f>_xlfn.XLOOKUP(D1708,'Novo relatório'!B:B,'Novo relatório'!C:C,"RESOLVIDO")</f>
        <v>SABRE</v>
      </c>
      <c r="C1708" t="str">
        <f t="shared" si="52"/>
        <v>PENDENTE</v>
      </c>
      <c r="D1708" s="1">
        <v>3402907</v>
      </c>
      <c r="E1708" s="1" t="s">
        <v>26</v>
      </c>
      <c r="F1708" s="2">
        <v>45783.573611111111</v>
      </c>
      <c r="G1708" s="1" t="s">
        <v>2268</v>
      </c>
      <c r="H1708" s="1" t="s">
        <v>2268</v>
      </c>
      <c r="I1708" s="1" t="s">
        <v>1761</v>
      </c>
      <c r="J1708" s="2">
        <v>45783.502083333333</v>
      </c>
      <c r="K1708" s="2">
        <v>45783.661805555559</v>
      </c>
      <c r="L1708" s="1" t="s">
        <v>18</v>
      </c>
      <c r="M1708" s="1" t="str">
        <f>_xlfn.XLOOKUP(I1708,Parâmetros!A:A,Parâmetros!B:B,_xlfn.XLOOKUP(Q1708,Parâmetros!F:F,Parâmetros!G:G,"NOVA MENSAGEM"))</f>
        <v>CÓD. CLIENTE DIVERGENTE</v>
      </c>
      <c r="N1708" s="1" t="str">
        <f>_xlfn.XLOOKUP(M1708,Parâmetros!K:K,Parâmetros!L:L,"")</f>
        <v>CÓDIGO DIFERENTE DO CADASTRADO NO BENNER (CLIENTE X GRUPO)</v>
      </c>
      <c r="O1708" s="1" t="str">
        <f>_xlfn.XLOOKUP(M1708,Parâmetros!B:B,Parâmetros!C:C,_xlfn.XLOOKUP(Base!M1717,Parâmetros!G:G,Parâmetros!H:H))</f>
        <v>QUALIDADE DOS DADOS</v>
      </c>
      <c r="P1708" s="1" t="str">
        <f>_xlfn.XLOOKUP(I1708,Parâmetros!A:A,Parâmetros!D:D,_xlfn.XLOOKUP(Q1708,Parâmetros!F:F,Parâmetros!I:I))</f>
        <v>SUPORTE OBT</v>
      </c>
      <c r="Q1708" s="1">
        <f t="shared" si="53"/>
        <v>1</v>
      </c>
    </row>
    <row r="1709" spans="1:17" x14ac:dyDescent="0.25">
      <c r="A1709" s="1" t="str">
        <f>_xlfn.XLOOKUP(D1709,'Novo relatório'!B:B,'Novo relatório'!C:C,"RESOLVIDO")</f>
        <v>SABRE</v>
      </c>
      <c r="C1709" t="str">
        <f t="shared" si="52"/>
        <v>PENDENTE</v>
      </c>
      <c r="D1709" s="1">
        <v>3402909</v>
      </c>
      <c r="E1709" s="1" t="s">
        <v>26</v>
      </c>
      <c r="F1709" s="2">
        <v>45783.573611111111</v>
      </c>
      <c r="G1709" s="1" t="s">
        <v>2269</v>
      </c>
      <c r="H1709" s="1" t="s">
        <v>2268</v>
      </c>
      <c r="I1709" s="1" t="s">
        <v>2052</v>
      </c>
      <c r="J1709" s="2">
        <v>45783.502083333333</v>
      </c>
      <c r="K1709" s="2">
        <v>45783.661805555559</v>
      </c>
      <c r="L1709" s="1" t="s">
        <v>18</v>
      </c>
      <c r="M1709" s="1" t="str">
        <f>_xlfn.XLOOKUP(I1709,Parâmetros!A:A,Parâmetros!B:B,_xlfn.XLOOKUP(Q1709,Parâmetros!F:F,Parâmetros!G:G,"NOVA MENSAGEM"))</f>
        <v>CÓD. CLIENTE DIVERGENTE</v>
      </c>
      <c r="N1709" s="1" t="str">
        <f>_xlfn.XLOOKUP(M1709,Parâmetros!K:K,Parâmetros!L:L,"")</f>
        <v>CÓDIGO DIFERENTE DO CADASTRADO NO BENNER (CLIENTE X GRUPO)</v>
      </c>
      <c r="O1709" s="1" t="str">
        <f>_xlfn.XLOOKUP(M1709,Parâmetros!B:B,Parâmetros!C:C,_xlfn.XLOOKUP(Base!M1718,Parâmetros!G:G,Parâmetros!H:H))</f>
        <v>QUALIDADE DOS DADOS</v>
      </c>
      <c r="P1709" s="1" t="str">
        <f>_xlfn.XLOOKUP(I1709,Parâmetros!A:A,Parâmetros!D:D,_xlfn.XLOOKUP(Q1709,Parâmetros!F:F,Parâmetros!I:I))</f>
        <v>SUPORTE OBT</v>
      </c>
      <c r="Q1709" s="1">
        <f t="shared" si="53"/>
        <v>1</v>
      </c>
    </row>
    <row r="1710" spans="1:17" x14ac:dyDescent="0.25">
      <c r="A1710" s="1" t="str">
        <f>_xlfn.XLOOKUP(D1710,'Novo relatório'!B:B,'Novo relatório'!C:C,"RESOLVIDO")</f>
        <v>SABRE</v>
      </c>
      <c r="C1710" t="str">
        <f t="shared" si="52"/>
        <v>PENDENTE</v>
      </c>
      <c r="D1710" s="1">
        <v>3402969</v>
      </c>
      <c r="E1710" s="1" t="s">
        <v>26</v>
      </c>
      <c r="F1710" s="2">
        <v>45783.439583333333</v>
      </c>
      <c r="G1710" s="1" t="s">
        <v>2240</v>
      </c>
      <c r="H1710" s="1" t="s">
        <v>2240</v>
      </c>
      <c r="I1710" s="1" t="s">
        <v>620</v>
      </c>
      <c r="J1710" s="2">
        <v>45783.533333333333</v>
      </c>
      <c r="L1710" s="1" t="s">
        <v>18</v>
      </c>
      <c r="M1710" s="1" t="str">
        <f>_xlfn.XLOOKUP(I1710,Parâmetros!A:A,Parâmetros!B:B,_xlfn.XLOOKUP(Q1710,Parâmetros!F:F,Parâmetros!G:G,"NOVA MENSAGEM"))</f>
        <v>CÓD. CLIENTE DIVERGENTE</v>
      </c>
      <c r="N1710" s="1" t="str">
        <f>_xlfn.XLOOKUP(M1710,Parâmetros!K:K,Parâmetros!L:L,"")</f>
        <v>CÓDIGO DIFERENTE DO CADASTRADO NO BENNER (CLIENTE X GRUPO)</v>
      </c>
      <c r="O1710" s="1" t="str">
        <f>_xlfn.XLOOKUP(M1710,Parâmetros!B:B,Parâmetros!C:C,_xlfn.XLOOKUP(Base!M1692,Parâmetros!G:G,Parâmetros!H:H))</f>
        <v>QUALIDADE DOS DADOS</v>
      </c>
      <c r="P1710" s="1" t="str">
        <f>_xlfn.XLOOKUP(I1710,Parâmetros!A:A,Parâmetros!D:D,_xlfn.XLOOKUP(Q1710,Parâmetros!F:F,Parâmetros!I:I))</f>
        <v>SUPORTE OBT</v>
      </c>
      <c r="Q1710" s="1">
        <f t="shared" si="53"/>
        <v>1</v>
      </c>
    </row>
    <row r="1711" spans="1:17" x14ac:dyDescent="0.25">
      <c r="A1711" s="1" t="str">
        <f>_xlfn.XLOOKUP(D1711,'Novo relatório'!B:B,'Novo relatório'!C:C,"RESOLVIDO")</f>
        <v>SABRE</v>
      </c>
      <c r="C1711" t="str">
        <f t="shared" si="52"/>
        <v>PENDENTE</v>
      </c>
      <c r="D1711" s="1">
        <v>3403050</v>
      </c>
      <c r="E1711" s="1" t="s">
        <v>26</v>
      </c>
      <c r="F1711" s="2">
        <v>45783.462500000001</v>
      </c>
      <c r="G1711" s="1" t="s">
        <v>2230</v>
      </c>
      <c r="H1711" s="1" t="s">
        <v>2230</v>
      </c>
      <c r="I1711" s="1" t="s">
        <v>396</v>
      </c>
      <c r="J1711" s="2">
        <v>45783.554166666669</v>
      </c>
      <c r="L1711" s="1" t="s">
        <v>18</v>
      </c>
      <c r="M1711" s="1" t="str">
        <f>_xlfn.XLOOKUP(I1711,Parâmetros!A:A,Parâmetros!B:B,_xlfn.XLOOKUP(Q1711,Parâmetros!F:F,Parâmetros!G:G,"NOVA MENSAGEM"))</f>
        <v>CÓD. CLIENTE DIVERGENTE</v>
      </c>
      <c r="N1711" s="1" t="str">
        <f>_xlfn.XLOOKUP(M1711,Parâmetros!K:K,Parâmetros!L:L,"")</f>
        <v>CÓDIGO DIFERENTE DO CADASTRADO NO BENNER (CLIENTE X GRUPO)</v>
      </c>
      <c r="O1711" s="1" t="str">
        <f>_xlfn.XLOOKUP(M1711,Parâmetros!B:B,Parâmetros!C:C,_xlfn.XLOOKUP(Base!M1683,Parâmetros!G:G,Parâmetros!H:H))</f>
        <v>QUALIDADE DOS DADOS</v>
      </c>
      <c r="P1711" s="1" t="str">
        <f>_xlfn.XLOOKUP(I1711,Parâmetros!A:A,Parâmetros!D:D,_xlfn.XLOOKUP(Q1711,Parâmetros!F:F,Parâmetros!I:I))</f>
        <v>SUPORTE OBT</v>
      </c>
      <c r="Q1711" s="1">
        <f t="shared" si="53"/>
        <v>1</v>
      </c>
    </row>
    <row r="1712" spans="1:17" x14ac:dyDescent="0.25">
      <c r="A1712" s="1" t="str">
        <f>_xlfn.XLOOKUP(D1712,'Novo relatório'!B:B,'Novo relatório'!C:C,"RESOLVIDO")</f>
        <v>SABRE</v>
      </c>
      <c r="C1712" t="str">
        <f t="shared" si="52"/>
        <v>PENDENTE</v>
      </c>
      <c r="D1712" s="1">
        <v>3403127</v>
      </c>
      <c r="E1712" s="1" t="s">
        <v>26</v>
      </c>
      <c r="F1712" s="2">
        <v>45783.488888888889</v>
      </c>
      <c r="G1712" s="1" t="s">
        <v>2270</v>
      </c>
      <c r="H1712" s="1" t="s">
        <v>2270</v>
      </c>
      <c r="I1712" s="1" t="s">
        <v>620</v>
      </c>
      <c r="J1712" s="2">
        <v>45783.574305555558</v>
      </c>
      <c r="L1712" s="1" t="s">
        <v>18</v>
      </c>
      <c r="M1712" s="1" t="str">
        <f>_xlfn.XLOOKUP(I1712,Parâmetros!A:A,Parâmetros!B:B,_xlfn.XLOOKUP(Q1712,Parâmetros!F:F,Parâmetros!G:G,"NOVA MENSAGEM"))</f>
        <v>CÓD. CLIENTE DIVERGENTE</v>
      </c>
      <c r="N1712" s="1" t="str">
        <f>_xlfn.XLOOKUP(M1712,Parâmetros!K:K,Parâmetros!L:L,"")</f>
        <v>CÓDIGO DIFERENTE DO CADASTRADO NO BENNER (CLIENTE X GRUPO)</v>
      </c>
      <c r="O1712" s="1" t="str">
        <f>_xlfn.XLOOKUP(M1712,Parâmetros!B:B,Parâmetros!C:C,_xlfn.XLOOKUP(Base!M1719,Parâmetros!G:G,Parâmetros!H:H))</f>
        <v>QUALIDADE DOS DADOS</v>
      </c>
      <c r="P1712" s="1" t="str">
        <f>_xlfn.XLOOKUP(I1712,Parâmetros!A:A,Parâmetros!D:D,_xlfn.XLOOKUP(Q1712,Parâmetros!F:F,Parâmetros!I:I))</f>
        <v>SUPORTE OBT</v>
      </c>
      <c r="Q1712" s="1">
        <f t="shared" si="53"/>
        <v>1</v>
      </c>
    </row>
    <row r="1713" spans="1:17" x14ac:dyDescent="0.25">
      <c r="A1713" s="1" t="str">
        <f>_xlfn.XLOOKUP(D1713,'Novo relatório'!B:B,'Novo relatório'!C:C,"RESOLVIDO")</f>
        <v>SABRE</v>
      </c>
      <c r="C1713" t="str">
        <f t="shared" si="52"/>
        <v>PENDENTE</v>
      </c>
      <c r="D1713" s="1">
        <v>3403308</v>
      </c>
      <c r="E1713" s="1" t="s">
        <v>26</v>
      </c>
      <c r="F1713" s="2">
        <v>45783.563194444447</v>
      </c>
      <c r="G1713" s="1" t="s">
        <v>2219</v>
      </c>
      <c r="H1713" s="1" t="s">
        <v>2219</v>
      </c>
      <c r="I1713" s="1" t="s">
        <v>620</v>
      </c>
      <c r="J1713" s="2">
        <v>45783.647222222222</v>
      </c>
      <c r="L1713" s="1" t="s">
        <v>18</v>
      </c>
      <c r="M1713" s="1" t="str">
        <f>_xlfn.XLOOKUP(I1713,Parâmetros!A:A,Parâmetros!B:B,_xlfn.XLOOKUP(Q1713,Parâmetros!F:F,Parâmetros!G:G,"NOVA MENSAGEM"))</f>
        <v>CÓD. CLIENTE DIVERGENTE</v>
      </c>
      <c r="N1713" s="1" t="str">
        <f>_xlfn.XLOOKUP(M1713,Parâmetros!K:K,Parâmetros!L:L,"")</f>
        <v>CÓDIGO DIFERENTE DO CADASTRADO NO BENNER (CLIENTE X GRUPO)</v>
      </c>
      <c r="O1713" s="1" t="str">
        <f>_xlfn.XLOOKUP(M1713,Parâmetros!B:B,Parâmetros!C:C,_xlfn.XLOOKUP(Base!M1672,Parâmetros!G:G,Parâmetros!H:H))</f>
        <v>QUALIDADE DOS DADOS</v>
      </c>
      <c r="P1713" s="1" t="str">
        <f>_xlfn.XLOOKUP(I1713,Parâmetros!A:A,Parâmetros!D:D,_xlfn.XLOOKUP(Q1713,Parâmetros!F:F,Parâmetros!I:I))</f>
        <v>SUPORTE OBT</v>
      </c>
      <c r="Q1713" s="1">
        <f t="shared" si="53"/>
        <v>1</v>
      </c>
    </row>
    <row r="1714" spans="1:17" x14ac:dyDescent="0.25">
      <c r="A1714" s="1" t="str">
        <f>_xlfn.XLOOKUP(D1714,'Novo relatório'!B:B,'Novo relatório'!C:C,"RESOLVIDO")</f>
        <v>SABRE</v>
      </c>
      <c r="C1714" t="str">
        <f t="shared" si="52"/>
        <v>PENDENTE</v>
      </c>
      <c r="D1714" s="1">
        <v>3403352</v>
      </c>
      <c r="E1714" s="1" t="s">
        <v>26</v>
      </c>
      <c r="F1714" s="2">
        <v>45783.568749999999</v>
      </c>
      <c r="G1714" s="1" t="s">
        <v>2257</v>
      </c>
      <c r="H1714" s="1" t="s">
        <v>2257</v>
      </c>
      <c r="I1714" s="1" t="s">
        <v>83</v>
      </c>
      <c r="J1714" s="2">
        <v>45783.658333333333</v>
      </c>
      <c r="L1714" s="1" t="s">
        <v>18</v>
      </c>
      <c r="M1714" s="1" t="str">
        <f>_xlfn.XLOOKUP(I1714,Parâmetros!A:A,Parâmetros!B:B,_xlfn.XLOOKUP(Q1714,Parâmetros!F:F,Parâmetros!G:G,"NOVA MENSAGEM"))</f>
        <v>CLIENTE NÃO IDENTIFICADO</v>
      </c>
      <c r="N1714" s="1" t="str">
        <f>_xlfn.XLOOKUP(M1714,Parâmetros!K:K,Parâmetros!L:L,"")</f>
        <v>DK DE CLIENTE NÃO PREENCIDO / CLIENTE NÃO CONFIGURADO NO OBT</v>
      </c>
      <c r="O1714" s="1" t="str">
        <f>_xlfn.XLOOKUP(M1714,Parâmetros!B:B,Parâmetros!C:C,_xlfn.XLOOKUP(Base!M1708,Parâmetros!G:G,Parâmetros!H:H))</f>
        <v>INDEFINIDO</v>
      </c>
      <c r="P1714" s="1" t="str">
        <f>_xlfn.XLOOKUP(I1714,Parâmetros!A:A,Parâmetros!D:D,_xlfn.XLOOKUP(Q1714,Parâmetros!F:F,Parâmetros!I:I))</f>
        <v>OPERAÇÕES / SUPORTE KCS</v>
      </c>
      <c r="Q1714" s="1" t="str">
        <f t="shared" si="53"/>
        <v>COLUNA I</v>
      </c>
    </row>
    <row r="1715" spans="1:17" x14ac:dyDescent="0.25">
      <c r="A1715" s="1" t="str">
        <f>_xlfn.XLOOKUP(D1715,'Novo relatório'!B:B,'Novo relatório'!C:C,"RESOLVIDO")</f>
        <v>RESOLVIDO</v>
      </c>
      <c r="C1715" t="str">
        <f t="shared" si="52"/>
        <v>RESOLVIDO</v>
      </c>
      <c r="D1715" s="1">
        <v>3403415</v>
      </c>
      <c r="E1715" s="1" t="s">
        <v>12</v>
      </c>
      <c r="F1715" s="2">
        <v>45783.595138888886</v>
      </c>
      <c r="G1715" s="1">
        <v>6590</v>
      </c>
      <c r="H1715" s="1">
        <v>6590</v>
      </c>
      <c r="I1715" s="1" t="s">
        <v>16</v>
      </c>
      <c r="J1715" s="2">
        <v>45783.676388888889</v>
      </c>
      <c r="K1715" s="2">
        <v>45785.448611111111</v>
      </c>
      <c r="L1715" s="1" t="s">
        <v>14</v>
      </c>
      <c r="M1715" s="1" t="str">
        <f>_xlfn.XLOOKUP(I1715,Parâmetros!A:A,Parâmetros!B:B,_xlfn.XLOOKUP(Q1715,Parâmetros!F:F,Parâmetros!G:G,"NOVA MENSAGEM"))</f>
        <v>ASSENTO / BAGAGEM</v>
      </c>
      <c r="N1715" s="1" t="str">
        <f>_xlfn.XLOOKUP(M1715,Parâmetros!K:K,Parâmetros!L:L,"")</f>
        <v>CAMPO OBSERVAÇÃO PREENCHIDO INCORRETAMENTE</v>
      </c>
      <c r="O1715" s="1" t="str">
        <f>_xlfn.XLOOKUP(M1715,Parâmetros!B:B,Parâmetros!C:C,_xlfn.XLOOKUP(Base!M1747,Parâmetros!G:G,Parâmetros!H:H))</f>
        <v>QUALIDADE DOS DADOS</v>
      </c>
      <c r="P1715" s="1" t="str">
        <f>_xlfn.XLOOKUP(I1715,Parâmetros!A:A,Parâmetros!D:D,_xlfn.XLOOKUP(Q1715,Parâmetros!F:F,Parâmetros!I:I))</f>
        <v>OPERAÇÕES / SUPORTE KCS</v>
      </c>
      <c r="Q1715" s="1">
        <f t="shared" si="53"/>
        <v>118</v>
      </c>
    </row>
    <row r="1716" spans="1:17" x14ac:dyDescent="0.25">
      <c r="A1716" s="1" t="str">
        <f>_xlfn.XLOOKUP(D1716,'Novo relatório'!B:B,'Novo relatório'!C:C,"RESOLVIDO")</f>
        <v>SABRE</v>
      </c>
      <c r="C1716" t="str">
        <f t="shared" si="52"/>
        <v>PENDENTE</v>
      </c>
      <c r="D1716" s="1">
        <v>3403459</v>
      </c>
      <c r="E1716" s="1" t="s">
        <v>26</v>
      </c>
      <c r="F1716" s="2">
        <v>45783.586805555555</v>
      </c>
      <c r="G1716" s="1" t="s">
        <v>2255</v>
      </c>
      <c r="H1716" s="1" t="s">
        <v>2255</v>
      </c>
      <c r="I1716" s="1" t="s">
        <v>746</v>
      </c>
      <c r="J1716" s="2">
        <v>45783.679166666669</v>
      </c>
      <c r="L1716" s="1" t="s">
        <v>18</v>
      </c>
      <c r="M1716" s="1" t="str">
        <f>_xlfn.XLOOKUP(I1716,Parâmetros!A:A,Parâmetros!B:B,_xlfn.XLOOKUP(Q1716,Parâmetros!F:F,Parâmetros!G:G,"NOVA MENSAGEM"))</f>
        <v>CÓD. CLIENTE DIVERGENTE</v>
      </c>
      <c r="N1716" s="1" t="str">
        <f>_xlfn.XLOOKUP(M1716,Parâmetros!K:K,Parâmetros!L:L,"")</f>
        <v>CÓDIGO DIFERENTE DO CADASTRADO NO BENNER (CLIENTE X GRUPO)</v>
      </c>
      <c r="O1716" s="1" t="str">
        <f>_xlfn.XLOOKUP(M1716,Parâmetros!B:B,Parâmetros!C:C,_xlfn.XLOOKUP(Base!M1706,Parâmetros!G:G,Parâmetros!H:H))</f>
        <v>QUALIDADE DOS DADOS</v>
      </c>
      <c r="P1716" s="1" t="str">
        <f>_xlfn.XLOOKUP(I1716,Parâmetros!A:A,Parâmetros!D:D,_xlfn.XLOOKUP(Q1716,Parâmetros!F:F,Parâmetros!I:I))</f>
        <v>SUPORTE OBT</v>
      </c>
      <c r="Q1716" s="1">
        <f t="shared" si="53"/>
        <v>1</v>
      </c>
    </row>
    <row r="1717" spans="1:17" x14ac:dyDescent="0.25">
      <c r="A1717" s="1" t="str">
        <f>_xlfn.XLOOKUP(D1717,'Novo relatório'!B:B,'Novo relatório'!C:C,"RESOLVIDO")</f>
        <v>SABRE</v>
      </c>
      <c r="C1717" t="str">
        <f t="shared" si="52"/>
        <v>PENDENTE</v>
      </c>
      <c r="D1717" s="1">
        <v>3403463</v>
      </c>
      <c r="E1717" s="1" t="s">
        <v>26</v>
      </c>
      <c r="F1717" s="2">
        <v>45783.586805555555</v>
      </c>
      <c r="G1717" s="1" t="s">
        <v>2202</v>
      </c>
      <c r="H1717" s="1" t="s">
        <v>2202</v>
      </c>
      <c r="I1717" s="1" t="s">
        <v>746</v>
      </c>
      <c r="J1717" s="2">
        <v>45783.679166666669</v>
      </c>
      <c r="L1717" s="1" t="s">
        <v>18</v>
      </c>
      <c r="M1717" s="1" t="str">
        <f>_xlfn.XLOOKUP(I1717,Parâmetros!A:A,Parâmetros!B:B,_xlfn.XLOOKUP(Q1717,Parâmetros!F:F,Parâmetros!G:G,"NOVA MENSAGEM"))</f>
        <v>CÓD. CLIENTE DIVERGENTE</v>
      </c>
      <c r="N1717" s="1" t="str">
        <f>_xlfn.XLOOKUP(M1717,Parâmetros!K:K,Parâmetros!L:L,"")</f>
        <v>CÓDIGO DIFERENTE DO CADASTRADO NO BENNER (CLIENTE X GRUPO)</v>
      </c>
      <c r="O1717" s="1" t="str">
        <f>_xlfn.XLOOKUP(M1717,Parâmetros!B:B,Parâmetros!C:C,_xlfn.XLOOKUP(Base!M1659,Parâmetros!G:G,Parâmetros!H:H))</f>
        <v>QUALIDADE DOS DADOS</v>
      </c>
      <c r="P1717" s="1" t="str">
        <f>_xlfn.XLOOKUP(I1717,Parâmetros!A:A,Parâmetros!D:D,_xlfn.XLOOKUP(Q1717,Parâmetros!F:F,Parâmetros!I:I))</f>
        <v>SUPORTE OBT</v>
      </c>
      <c r="Q1717" s="1">
        <f t="shared" si="53"/>
        <v>1</v>
      </c>
    </row>
    <row r="1718" spans="1:17" x14ac:dyDescent="0.25">
      <c r="A1718" s="1" t="str">
        <f>_xlfn.XLOOKUP(D1718,'Novo relatório'!B:B,'Novo relatório'!C:C,"RESOLVIDO")</f>
        <v>SABRE</v>
      </c>
      <c r="C1718" t="str">
        <f t="shared" si="52"/>
        <v>PENDENTE</v>
      </c>
      <c r="D1718" s="1">
        <v>3403998</v>
      </c>
      <c r="E1718" s="1" t="s">
        <v>26</v>
      </c>
      <c r="F1718" s="2">
        <v>45784.410416666666</v>
      </c>
      <c r="G1718" s="1" t="s">
        <v>2196</v>
      </c>
      <c r="H1718" s="1" t="s">
        <v>2196</v>
      </c>
      <c r="I1718" s="1" t="s">
        <v>746</v>
      </c>
      <c r="J1718" s="2">
        <v>45783.734722222223</v>
      </c>
      <c r="K1718" s="2">
        <v>45784.502083333333</v>
      </c>
      <c r="L1718" s="1" t="s">
        <v>18</v>
      </c>
      <c r="M1718" s="1" t="str">
        <f>_xlfn.XLOOKUP(I1718,Parâmetros!A:A,Parâmetros!B:B,_xlfn.XLOOKUP(Q1718,Parâmetros!F:F,Parâmetros!G:G,"NOVA MENSAGEM"))</f>
        <v>CÓD. CLIENTE DIVERGENTE</v>
      </c>
      <c r="N1718" s="1" t="str">
        <f>_xlfn.XLOOKUP(M1718,Parâmetros!K:K,Parâmetros!L:L,"")</f>
        <v>CÓDIGO DIFERENTE DO CADASTRADO NO BENNER (CLIENTE X GRUPO)</v>
      </c>
      <c r="O1718" s="1" t="str">
        <f>_xlfn.XLOOKUP(M1718,Parâmetros!B:B,Parâmetros!C:C,_xlfn.XLOOKUP(Base!M1656,Parâmetros!G:G,Parâmetros!H:H))</f>
        <v>QUALIDADE DOS DADOS</v>
      </c>
      <c r="P1718" s="1" t="str">
        <f>_xlfn.XLOOKUP(I1718,Parâmetros!A:A,Parâmetros!D:D,_xlfn.XLOOKUP(Q1718,Parâmetros!F:F,Parâmetros!I:I))</f>
        <v>SUPORTE OBT</v>
      </c>
      <c r="Q1718" s="1">
        <f t="shared" si="53"/>
        <v>1</v>
      </c>
    </row>
    <row r="1719" spans="1:17" x14ac:dyDescent="0.25">
      <c r="A1719" s="1" t="str">
        <f>_xlfn.XLOOKUP(D1719,'Novo relatório'!B:B,'Novo relatório'!C:C,"RESOLVIDO")</f>
        <v>TMS</v>
      </c>
      <c r="C1719" t="str">
        <f t="shared" si="52"/>
        <v>PENDENTE</v>
      </c>
      <c r="D1719" s="1">
        <v>3404088</v>
      </c>
      <c r="E1719" s="1" t="s">
        <v>12</v>
      </c>
      <c r="F1719" s="2">
        <v>45783.530555555553</v>
      </c>
      <c r="G1719" s="1">
        <v>44224</v>
      </c>
      <c r="H1719" s="1">
        <v>44224</v>
      </c>
      <c r="I1719" s="1" t="s">
        <v>16</v>
      </c>
      <c r="J1719" s="2">
        <v>45783.740972222222</v>
      </c>
      <c r="K1719" s="2">
        <v>45785.473611111112</v>
      </c>
      <c r="L1719" s="1" t="s">
        <v>14</v>
      </c>
      <c r="M1719" s="1" t="str">
        <f>_xlfn.XLOOKUP(I1719,Parâmetros!A:A,Parâmetros!B:B,_xlfn.XLOOKUP(Q1719,Parâmetros!F:F,Parâmetros!G:G,"NOVA MENSAGEM"))</f>
        <v>ASSENTO / BAGAGEM</v>
      </c>
      <c r="N1719" s="1" t="str">
        <f>_xlfn.XLOOKUP(M1719,Parâmetros!K:K,Parâmetros!L:L,"")</f>
        <v>CAMPO OBSERVAÇÃO PREENCHIDO INCORRETAMENTE</v>
      </c>
      <c r="O1719" s="1" t="str">
        <f>_xlfn.XLOOKUP(M1719,Parâmetros!B:B,Parâmetros!C:C,_xlfn.XLOOKUP(Base!M1727,Parâmetros!G:G,Parâmetros!H:H))</f>
        <v>QUALIDADE DOS DADOS</v>
      </c>
      <c r="P1719" s="1" t="str">
        <f>_xlfn.XLOOKUP(I1719,Parâmetros!A:A,Parâmetros!D:D,_xlfn.XLOOKUP(Q1719,Parâmetros!F:F,Parâmetros!I:I))</f>
        <v>OPERAÇÕES / SUPORTE KCS</v>
      </c>
      <c r="Q1719" s="1">
        <f t="shared" si="53"/>
        <v>118</v>
      </c>
    </row>
    <row r="1720" spans="1:17" x14ac:dyDescent="0.25">
      <c r="A1720" s="1" t="str">
        <f>_xlfn.XLOOKUP(D1720,'Novo relatório'!B:B,'Novo relatório'!C:C,"RESOLVIDO")</f>
        <v>SABRE</v>
      </c>
      <c r="C1720" t="str">
        <f t="shared" si="52"/>
        <v>PENDENTE</v>
      </c>
      <c r="D1720" s="1">
        <v>3404402</v>
      </c>
      <c r="E1720" s="1" t="s">
        <v>26</v>
      </c>
      <c r="F1720" s="2">
        <v>45783.680555555555</v>
      </c>
      <c r="G1720" s="1" t="s">
        <v>2262</v>
      </c>
      <c r="H1720" s="1" t="s">
        <v>2262</v>
      </c>
      <c r="I1720" s="1" t="s">
        <v>396</v>
      </c>
      <c r="J1720" s="2">
        <v>45783.772222222222</v>
      </c>
      <c r="L1720" s="1" t="s">
        <v>18</v>
      </c>
      <c r="M1720" s="1" t="str">
        <f>_xlfn.XLOOKUP(I1720,Parâmetros!A:A,Parâmetros!B:B,_xlfn.XLOOKUP(Q1720,Parâmetros!F:F,Parâmetros!G:G,"NOVA MENSAGEM"))</f>
        <v>CÓD. CLIENTE DIVERGENTE</v>
      </c>
      <c r="N1720" s="1" t="str">
        <f>_xlfn.XLOOKUP(M1720,Parâmetros!K:K,Parâmetros!L:L,"")</f>
        <v>CÓDIGO DIFERENTE DO CADASTRADO NO BENNER (CLIENTE X GRUPO)</v>
      </c>
      <c r="O1720" s="1" t="str">
        <f>_xlfn.XLOOKUP(M1720,Parâmetros!B:B,Parâmetros!C:C,_xlfn.XLOOKUP(Base!M1712,Parâmetros!G:G,Parâmetros!H:H))</f>
        <v>QUALIDADE DOS DADOS</v>
      </c>
      <c r="P1720" s="1" t="str">
        <f>_xlfn.XLOOKUP(I1720,Parâmetros!A:A,Parâmetros!D:D,_xlfn.XLOOKUP(Q1720,Parâmetros!F:F,Parâmetros!I:I))</f>
        <v>SUPORTE OBT</v>
      </c>
      <c r="Q1720" s="1">
        <f t="shared" si="53"/>
        <v>1</v>
      </c>
    </row>
    <row r="1721" spans="1:17" x14ac:dyDescent="0.25">
      <c r="A1721" s="1" t="str">
        <f>_xlfn.XLOOKUP(D1721,'Novo relatório'!B:B,'Novo relatório'!C:C,"RESOLVIDO")</f>
        <v>SABRE</v>
      </c>
      <c r="C1721" t="str">
        <f t="shared" si="52"/>
        <v>PENDENTE</v>
      </c>
      <c r="D1721" s="1">
        <v>3404403</v>
      </c>
      <c r="E1721" s="1" t="s">
        <v>26</v>
      </c>
      <c r="F1721" s="2">
        <v>45783.680555555555</v>
      </c>
      <c r="G1721" s="1" t="s">
        <v>2263</v>
      </c>
      <c r="H1721" s="1" t="s">
        <v>2262</v>
      </c>
      <c r="I1721" s="1" t="s">
        <v>2206</v>
      </c>
      <c r="J1721" s="2">
        <v>45783.772222222222</v>
      </c>
      <c r="L1721" s="1" t="s">
        <v>18</v>
      </c>
      <c r="M1721" s="1" t="str">
        <f>_xlfn.XLOOKUP(I1721,Parâmetros!A:A,Parâmetros!B:B,_xlfn.XLOOKUP(Q1721,Parâmetros!F:F,Parâmetros!G:G,"NOVA MENSAGEM"))</f>
        <v>CÓD. CLIENTE DIVERGENTE</v>
      </c>
      <c r="N1721" s="1" t="str">
        <f>_xlfn.XLOOKUP(M1721,Parâmetros!K:K,Parâmetros!L:L,"")</f>
        <v>CÓDIGO DIFERENTE DO CADASTRADO NO BENNER (CLIENTE X GRUPO)</v>
      </c>
      <c r="O1721" s="1" t="str">
        <f>_xlfn.XLOOKUP(M1721,Parâmetros!B:B,Parâmetros!C:C,_xlfn.XLOOKUP(Base!M1713,Parâmetros!G:G,Parâmetros!H:H))</f>
        <v>QUALIDADE DOS DADOS</v>
      </c>
      <c r="P1721" s="1" t="str">
        <f>_xlfn.XLOOKUP(I1721,Parâmetros!A:A,Parâmetros!D:D,_xlfn.XLOOKUP(Q1721,Parâmetros!F:F,Parâmetros!I:I))</f>
        <v>SUPORTE OBT</v>
      </c>
      <c r="Q1721" s="1">
        <f t="shared" si="53"/>
        <v>1</v>
      </c>
    </row>
    <row r="1722" spans="1:17" x14ac:dyDescent="0.25">
      <c r="A1722" s="1" t="str">
        <f>_xlfn.XLOOKUP(D1722,'Novo relatório'!B:B,'Novo relatório'!C:C,"RESOLVIDO")</f>
        <v>SABRE</v>
      </c>
      <c r="C1722" t="str">
        <f t="shared" si="52"/>
        <v>PENDENTE</v>
      </c>
      <c r="D1722" s="1">
        <v>3404409</v>
      </c>
      <c r="E1722" s="1" t="s">
        <v>26</v>
      </c>
      <c r="F1722" s="2">
        <v>45783.683333333334</v>
      </c>
      <c r="G1722" s="1" t="s">
        <v>2238</v>
      </c>
      <c r="H1722" s="1" t="s">
        <v>2238</v>
      </c>
      <c r="I1722" s="1" t="s">
        <v>746</v>
      </c>
      <c r="J1722" s="2">
        <v>45783.772916666669</v>
      </c>
      <c r="L1722" s="1" t="s">
        <v>18</v>
      </c>
      <c r="M1722" s="1" t="str">
        <f>_xlfn.XLOOKUP(I1722,Parâmetros!A:A,Parâmetros!B:B,_xlfn.XLOOKUP(Q1722,Parâmetros!F:F,Parâmetros!G:G,"NOVA MENSAGEM"))</f>
        <v>CÓD. CLIENTE DIVERGENTE</v>
      </c>
      <c r="N1722" s="1" t="str">
        <f>_xlfn.XLOOKUP(M1722,Parâmetros!K:K,Parâmetros!L:L,"")</f>
        <v>CÓDIGO DIFERENTE DO CADASTRADO NO BENNER (CLIENTE X GRUPO)</v>
      </c>
      <c r="O1722" s="1" t="str">
        <f>_xlfn.XLOOKUP(M1722,Parâmetros!B:B,Parâmetros!C:C,_xlfn.XLOOKUP(Base!M1690,Parâmetros!G:G,Parâmetros!H:H))</f>
        <v>QUALIDADE DOS DADOS</v>
      </c>
      <c r="P1722" s="1" t="str">
        <f>_xlfn.XLOOKUP(I1722,Parâmetros!A:A,Parâmetros!D:D,_xlfn.XLOOKUP(Q1722,Parâmetros!F:F,Parâmetros!I:I))</f>
        <v>SUPORTE OBT</v>
      </c>
      <c r="Q1722" s="1">
        <f t="shared" si="53"/>
        <v>1</v>
      </c>
    </row>
    <row r="1723" spans="1:17" x14ac:dyDescent="0.25">
      <c r="A1723" s="1" t="str">
        <f>_xlfn.XLOOKUP(D1723,'Novo relatório'!B:B,'Novo relatório'!C:C,"RESOLVIDO")</f>
        <v>SABRE</v>
      </c>
      <c r="C1723" t="str">
        <f t="shared" si="52"/>
        <v>PENDENTE</v>
      </c>
      <c r="D1723" s="1">
        <v>3404412</v>
      </c>
      <c r="E1723" s="1" t="s">
        <v>26</v>
      </c>
      <c r="F1723" s="2">
        <v>45783.73541666667</v>
      </c>
      <c r="G1723" s="1" t="s">
        <v>2237</v>
      </c>
      <c r="H1723" s="1" t="s">
        <v>2237</v>
      </c>
      <c r="I1723" s="1" t="s">
        <v>408</v>
      </c>
      <c r="J1723" s="2">
        <v>45783.773611111108</v>
      </c>
      <c r="K1723" s="2">
        <v>45783.823611111111</v>
      </c>
      <c r="L1723" s="1" t="s">
        <v>18</v>
      </c>
      <c r="M1723" s="1" t="str">
        <f>_xlfn.XLOOKUP(I1723,Parâmetros!A:A,Parâmetros!B:B,_xlfn.XLOOKUP(Q1723,Parâmetros!F:F,Parâmetros!G:G,"NOVA MENSAGEM"))</f>
        <v>CÓD. CLIENTE DIVERGENTE</v>
      </c>
      <c r="N1723" s="1" t="str">
        <f>_xlfn.XLOOKUP(M1723,Parâmetros!K:K,Parâmetros!L:L,"")</f>
        <v>CÓDIGO DIFERENTE DO CADASTRADO NO BENNER (CLIENTE X GRUPO)</v>
      </c>
      <c r="O1723" s="1" t="str">
        <f>_xlfn.XLOOKUP(M1723,Parâmetros!B:B,Parâmetros!C:C,_xlfn.XLOOKUP(Base!M1689,Parâmetros!G:G,Parâmetros!H:H))</f>
        <v>QUALIDADE DOS DADOS</v>
      </c>
      <c r="P1723" s="1" t="str">
        <f>_xlfn.XLOOKUP(I1723,Parâmetros!A:A,Parâmetros!D:D,_xlfn.XLOOKUP(Q1723,Parâmetros!F:F,Parâmetros!I:I))</f>
        <v>SUPORTE OBT</v>
      </c>
      <c r="Q1723" s="1">
        <f t="shared" si="53"/>
        <v>1</v>
      </c>
    </row>
    <row r="1724" spans="1:17" x14ac:dyDescent="0.25">
      <c r="A1724" s="1" t="str">
        <f>_xlfn.XLOOKUP(D1724,'Novo relatório'!B:B,'Novo relatório'!C:C,"RESOLVIDO")</f>
        <v>SABRE</v>
      </c>
      <c r="C1724" t="str">
        <f t="shared" si="52"/>
        <v>PENDENTE</v>
      </c>
      <c r="D1724" s="1">
        <v>3404628</v>
      </c>
      <c r="E1724" s="1" t="s">
        <v>26</v>
      </c>
      <c r="F1724" s="2">
        <v>45783.7</v>
      </c>
      <c r="G1724" s="1" t="s">
        <v>2218</v>
      </c>
      <c r="H1724" s="1" t="s">
        <v>2218</v>
      </c>
      <c r="I1724" s="1" t="s">
        <v>620</v>
      </c>
      <c r="J1724" s="2">
        <v>45783.793749999997</v>
      </c>
      <c r="L1724" s="1" t="s">
        <v>18</v>
      </c>
      <c r="M1724" s="1" t="str">
        <f>_xlfn.XLOOKUP(I1724,Parâmetros!A:A,Parâmetros!B:B,_xlfn.XLOOKUP(Q1724,Parâmetros!F:F,Parâmetros!G:G,"NOVA MENSAGEM"))</f>
        <v>CÓD. CLIENTE DIVERGENTE</v>
      </c>
      <c r="N1724" s="1" t="str">
        <f>_xlfn.XLOOKUP(M1724,Parâmetros!K:K,Parâmetros!L:L,"")</f>
        <v>CÓDIGO DIFERENTE DO CADASTRADO NO BENNER (CLIENTE X GRUPO)</v>
      </c>
      <c r="O1724" s="1" t="str">
        <f>_xlfn.XLOOKUP(M1724,Parâmetros!B:B,Parâmetros!C:C,_xlfn.XLOOKUP(Base!M1671,Parâmetros!G:G,Parâmetros!H:H))</f>
        <v>QUALIDADE DOS DADOS</v>
      </c>
      <c r="P1724" s="1" t="str">
        <f>_xlfn.XLOOKUP(I1724,Parâmetros!A:A,Parâmetros!D:D,_xlfn.XLOOKUP(Q1724,Parâmetros!F:F,Parâmetros!I:I))</f>
        <v>SUPORTE OBT</v>
      </c>
      <c r="Q1724" s="1">
        <f t="shared" si="53"/>
        <v>1</v>
      </c>
    </row>
    <row r="1725" spans="1:17" x14ac:dyDescent="0.25">
      <c r="A1725" s="1" t="str">
        <f>_xlfn.XLOOKUP(D1725,'Novo relatório'!B:B,'Novo relatório'!C:C,"RESOLVIDO")</f>
        <v>SABRE</v>
      </c>
      <c r="C1725" t="str">
        <f t="shared" si="52"/>
        <v>PENDENTE</v>
      </c>
      <c r="D1725" s="1">
        <v>3404629</v>
      </c>
      <c r="E1725" s="1" t="s">
        <v>26</v>
      </c>
      <c r="F1725" s="2">
        <v>45783.7</v>
      </c>
      <c r="G1725" s="1" t="s">
        <v>2226</v>
      </c>
      <c r="H1725" s="1" t="s">
        <v>2226</v>
      </c>
      <c r="I1725" s="1" t="s">
        <v>707</v>
      </c>
      <c r="J1725" s="2">
        <v>45783.793749999997</v>
      </c>
      <c r="L1725" s="1" t="s">
        <v>18</v>
      </c>
      <c r="M1725" s="1" t="str">
        <f>_xlfn.XLOOKUP(I1725,Parâmetros!A:A,Parâmetros!B:B,_xlfn.XLOOKUP(Q1725,Parâmetros!F:F,Parâmetros!G:G,"NOVA MENSAGEM"))</f>
        <v>CÓD. CLIENTE DIVERGENTE</v>
      </c>
      <c r="N1725" s="1" t="str">
        <f>_xlfn.XLOOKUP(M1725,Parâmetros!K:K,Parâmetros!L:L,"")</f>
        <v>CÓDIGO DIFERENTE DO CADASTRADO NO BENNER (CLIENTE X GRUPO)</v>
      </c>
      <c r="O1725" s="1" t="str">
        <f>_xlfn.XLOOKUP(M1725,Parâmetros!B:B,Parâmetros!C:C,_xlfn.XLOOKUP(Base!M1679,Parâmetros!G:G,Parâmetros!H:H))</f>
        <v>QUALIDADE DOS DADOS</v>
      </c>
      <c r="P1725" s="1" t="str">
        <f>_xlfn.XLOOKUP(I1725,Parâmetros!A:A,Parâmetros!D:D,_xlfn.XLOOKUP(Q1725,Parâmetros!F:F,Parâmetros!I:I))</f>
        <v>SUPORTE OBT</v>
      </c>
      <c r="Q1725" s="1">
        <f t="shared" si="53"/>
        <v>1</v>
      </c>
    </row>
    <row r="1726" spans="1:17" x14ac:dyDescent="0.25">
      <c r="A1726" s="1" t="str">
        <f>_xlfn.XLOOKUP(D1726,'Novo relatório'!B:B,'Novo relatório'!C:C,"RESOLVIDO")</f>
        <v>SABRE</v>
      </c>
      <c r="C1726" t="str">
        <f t="shared" si="52"/>
        <v>PENDENTE</v>
      </c>
      <c r="D1726" s="1">
        <v>3404680</v>
      </c>
      <c r="E1726" s="1" t="s">
        <v>26</v>
      </c>
      <c r="F1726" s="2">
        <v>45783.753472222219</v>
      </c>
      <c r="G1726" s="1" t="s">
        <v>2186</v>
      </c>
      <c r="H1726" s="1" t="s">
        <v>2186</v>
      </c>
      <c r="I1726" s="1" t="s">
        <v>707</v>
      </c>
      <c r="J1726" s="2">
        <v>45783.844444444447</v>
      </c>
      <c r="L1726" s="1" t="s">
        <v>18</v>
      </c>
      <c r="M1726" s="1" t="str">
        <f>_xlfn.XLOOKUP(I1726,Parâmetros!A:A,Parâmetros!B:B,_xlfn.XLOOKUP(Q1726,Parâmetros!F:F,Parâmetros!G:G,"NOVA MENSAGEM"))</f>
        <v>CÓD. CLIENTE DIVERGENTE</v>
      </c>
      <c r="N1726" s="1" t="str">
        <f>_xlfn.XLOOKUP(M1726,Parâmetros!K:K,Parâmetros!L:L,"")</f>
        <v>CÓDIGO DIFERENTE DO CADASTRADO NO BENNER (CLIENTE X GRUPO)</v>
      </c>
      <c r="O1726" s="1" t="str">
        <f>_xlfn.XLOOKUP(M1726,Parâmetros!B:B,Parâmetros!C:C,_xlfn.XLOOKUP(Base!M1649,Parâmetros!G:G,Parâmetros!H:H))</f>
        <v>QUALIDADE DOS DADOS</v>
      </c>
      <c r="P1726" s="1" t="str">
        <f>_xlfn.XLOOKUP(I1726,Parâmetros!A:A,Parâmetros!D:D,_xlfn.XLOOKUP(Q1726,Parâmetros!F:F,Parâmetros!I:I))</f>
        <v>SUPORTE OBT</v>
      </c>
      <c r="Q1726" s="1">
        <f t="shared" si="53"/>
        <v>1</v>
      </c>
    </row>
    <row r="1727" spans="1:17" x14ac:dyDescent="0.25">
      <c r="A1727" s="1" t="str">
        <f>_xlfn.XLOOKUP(D1727,'Novo relatório'!B:B,'Novo relatório'!C:C,"RESOLVIDO")</f>
        <v>SABRE</v>
      </c>
      <c r="C1727" t="str">
        <f t="shared" si="52"/>
        <v>PENDENTE</v>
      </c>
      <c r="D1727" s="1">
        <v>3404685</v>
      </c>
      <c r="E1727" s="1" t="s">
        <v>26</v>
      </c>
      <c r="F1727" s="2">
        <v>45783.753472222219</v>
      </c>
      <c r="G1727" s="1" t="s">
        <v>2227</v>
      </c>
      <c r="H1727" s="1" t="s">
        <v>2227</v>
      </c>
      <c r="I1727" s="1" t="s">
        <v>83</v>
      </c>
      <c r="J1727" s="2">
        <v>45783.845138888886</v>
      </c>
      <c r="L1727" s="1" t="s">
        <v>18</v>
      </c>
      <c r="M1727" s="1" t="str">
        <f>_xlfn.XLOOKUP(I1727,Parâmetros!A:A,Parâmetros!B:B,_xlfn.XLOOKUP(Q1727,Parâmetros!F:F,Parâmetros!G:G,"NOVA MENSAGEM"))</f>
        <v>CLIENTE NÃO IDENTIFICADO</v>
      </c>
      <c r="N1727" s="1" t="str">
        <f>_xlfn.XLOOKUP(M1727,Parâmetros!K:K,Parâmetros!L:L,"")</f>
        <v>DK DE CLIENTE NÃO PREENCIDO / CLIENTE NÃO CONFIGURADO NO OBT</v>
      </c>
      <c r="O1727" s="1" t="str">
        <f>_xlfn.XLOOKUP(M1727,Parâmetros!B:B,Parâmetros!C:C,_xlfn.XLOOKUP(Base!M1680,Parâmetros!G:G,Parâmetros!H:H))</f>
        <v>INDEFINIDO</v>
      </c>
      <c r="P1727" s="1" t="str">
        <f>_xlfn.XLOOKUP(I1727,Parâmetros!A:A,Parâmetros!D:D,_xlfn.XLOOKUP(Q1727,Parâmetros!F:F,Parâmetros!I:I))</f>
        <v>OPERAÇÕES / SUPORTE KCS</v>
      </c>
      <c r="Q1727" s="1" t="str">
        <f t="shared" si="53"/>
        <v>COLUNA I</v>
      </c>
    </row>
    <row r="1728" spans="1:17" x14ac:dyDescent="0.25">
      <c r="A1728" s="1" t="str">
        <f>_xlfn.XLOOKUP(D1728,'Novo relatório'!B:B,'Novo relatório'!C:C,"RESOLVIDO")</f>
        <v>SABRE</v>
      </c>
      <c r="C1728" t="str">
        <f t="shared" si="52"/>
        <v>PENDENTE</v>
      </c>
      <c r="D1728" s="1">
        <v>3404690</v>
      </c>
      <c r="E1728" s="1" t="s">
        <v>26</v>
      </c>
      <c r="F1728" s="2">
        <v>45783.753472222219</v>
      </c>
      <c r="G1728" s="1" t="s">
        <v>2228</v>
      </c>
      <c r="H1728" s="1" t="s">
        <v>2228</v>
      </c>
      <c r="I1728" s="1" t="s">
        <v>408</v>
      </c>
      <c r="J1728" s="2">
        <v>45783.845138888886</v>
      </c>
      <c r="L1728" s="1" t="s">
        <v>18</v>
      </c>
      <c r="M1728" s="1" t="str">
        <f>_xlfn.XLOOKUP(I1728,Parâmetros!A:A,Parâmetros!B:B,_xlfn.XLOOKUP(Q1728,Parâmetros!F:F,Parâmetros!G:G,"NOVA MENSAGEM"))</f>
        <v>CÓD. CLIENTE DIVERGENTE</v>
      </c>
      <c r="N1728" s="1" t="str">
        <f>_xlfn.XLOOKUP(M1728,Parâmetros!K:K,Parâmetros!L:L,"")</f>
        <v>CÓDIGO DIFERENTE DO CADASTRADO NO BENNER (CLIENTE X GRUPO)</v>
      </c>
      <c r="O1728" s="1" t="str">
        <f>_xlfn.XLOOKUP(M1728,Parâmetros!B:B,Parâmetros!C:C,_xlfn.XLOOKUP(Base!M1681,Parâmetros!G:G,Parâmetros!H:H))</f>
        <v>QUALIDADE DOS DADOS</v>
      </c>
      <c r="P1728" s="1" t="str">
        <f>_xlfn.XLOOKUP(I1728,Parâmetros!A:A,Parâmetros!D:D,_xlfn.XLOOKUP(Q1728,Parâmetros!F:F,Parâmetros!I:I))</f>
        <v>SUPORTE OBT</v>
      </c>
      <c r="Q1728" s="1">
        <f t="shared" si="53"/>
        <v>1</v>
      </c>
    </row>
    <row r="1729" spans="1:17" x14ac:dyDescent="0.25">
      <c r="A1729" s="1" t="str">
        <f>_xlfn.XLOOKUP(D1729,'Novo relatório'!B:B,'Novo relatório'!C:C,"RESOLVIDO")</f>
        <v>GOVER</v>
      </c>
      <c r="C1729" t="str">
        <f t="shared" si="52"/>
        <v>PENDENTE</v>
      </c>
      <c r="D1729" s="1">
        <v>3405245</v>
      </c>
      <c r="E1729" s="1" t="s">
        <v>24</v>
      </c>
      <c r="F1729" s="2">
        <v>45783.378472222219</v>
      </c>
      <c r="G1729" s="1">
        <v>4532541</v>
      </c>
      <c r="H1729" s="1" t="s">
        <v>2276</v>
      </c>
      <c r="I1729" s="1" t="s">
        <v>196</v>
      </c>
      <c r="J1729" s="2">
        <v>45784.406944444447</v>
      </c>
      <c r="K1729" s="2">
        <v>45785.67083333333</v>
      </c>
      <c r="L1729" s="1" t="s">
        <v>18</v>
      </c>
      <c r="M1729" s="1" t="str">
        <f>_xlfn.XLOOKUP(I1729,Parâmetros!A:A,Parâmetros!B:B,_xlfn.XLOOKUP(Q1729,Parâmetros!F:F,Parâmetros!G:G,"NOVA MENSAGEM"))</f>
        <v>CLIENTE NÃO IDENTIFICADO</v>
      </c>
      <c r="N1729" s="1" t="str">
        <f>_xlfn.XLOOKUP(M1729,Parâmetros!K:K,Parâmetros!L:L,"")</f>
        <v>DK DE CLIENTE NÃO PREENCIDO / CLIENTE NÃO CONFIGURADO NO OBT</v>
      </c>
      <c r="O1729" s="1" t="str">
        <f>_xlfn.XLOOKUP(M1729,Parâmetros!B:B,Parâmetros!C:C,_xlfn.XLOOKUP(Base!M1754,Parâmetros!G:G,Parâmetros!H:H))</f>
        <v>INDEFINIDO</v>
      </c>
      <c r="P1729" s="1" t="str">
        <f>_xlfn.XLOOKUP(I1729,Parâmetros!A:A,Parâmetros!D:D,_xlfn.XLOOKUP(Q1729,Parâmetros!F:F,Parâmetros!I:I))</f>
        <v>OPERAÇÕES / SUPORTE KCS</v>
      </c>
      <c r="Q1729" s="1" t="str">
        <f t="shared" si="53"/>
        <v>COLUNA I</v>
      </c>
    </row>
    <row r="1730" spans="1:17" x14ac:dyDescent="0.25">
      <c r="A1730" s="1" t="str">
        <f>_xlfn.XLOOKUP(D1730,'Novo relatório'!B:B,'Novo relatório'!C:C,"RESOLVIDO")</f>
        <v>SABRE</v>
      </c>
      <c r="C1730" t="str">
        <f t="shared" ref="C1730:C1793" si="54">IF(A1730="RESOLVIDO","RESOLVIDO",IF(B1730="","PENDENTE",IF(LEFT(B1730,7)="CHAMADO","AGUARDANDO FORNECEDOR",IF(B1730="CONTABILIZAR","CONTABILIZAR NO PORTAL"))))</f>
        <v>PENDENTE</v>
      </c>
      <c r="D1730" s="1">
        <v>3405528</v>
      </c>
      <c r="E1730" s="1" t="s">
        <v>26</v>
      </c>
      <c r="F1730" s="2">
        <v>45784.415277777778</v>
      </c>
      <c r="G1730" s="1" t="s">
        <v>2265</v>
      </c>
      <c r="H1730" s="1" t="s">
        <v>2265</v>
      </c>
      <c r="I1730" s="1" t="s">
        <v>396</v>
      </c>
      <c r="J1730" s="2">
        <v>45784.50277777778</v>
      </c>
      <c r="L1730" s="1" t="s">
        <v>18</v>
      </c>
      <c r="M1730" s="1" t="str">
        <f>_xlfn.XLOOKUP(I1730,Parâmetros!A:A,Parâmetros!B:B,_xlfn.XLOOKUP(Q1730,Parâmetros!F:F,Parâmetros!G:G,"NOVA MENSAGEM"))</f>
        <v>CÓD. CLIENTE DIVERGENTE</v>
      </c>
      <c r="N1730" s="1" t="str">
        <f>_xlfn.XLOOKUP(M1730,Parâmetros!K:K,Parâmetros!L:L,"")</f>
        <v>CÓDIGO DIFERENTE DO CADASTRADO NO BENNER (CLIENTE X GRUPO)</v>
      </c>
      <c r="O1730" s="1" t="str">
        <f>_xlfn.XLOOKUP(M1730,Parâmetros!B:B,Parâmetros!C:C,_xlfn.XLOOKUP(Base!M1715,Parâmetros!G:G,Parâmetros!H:H))</f>
        <v>QUALIDADE DOS DADOS</v>
      </c>
      <c r="P1730" s="1" t="str">
        <f>_xlfn.XLOOKUP(I1730,Parâmetros!A:A,Parâmetros!D:D,_xlfn.XLOOKUP(Q1730,Parâmetros!F:F,Parâmetros!I:I))</f>
        <v>SUPORTE OBT</v>
      </c>
      <c r="Q1730" s="1">
        <f t="shared" ref="Q1730:Q1793" si="55">IFERROR(FIND("Não foi possível localizar o contrato do fornecedor",I1730),IFERROR(FIND("veículo",I1730),IFERROR(FIND("agagem",I1730),IFERROR(FIND("error in XML document",I1730),IFERROR(FIND("Não localizado cliente código",I1730),IFERROR(FIND("lemontech",I1730),IFERROR(FIND("&gt;Fornecedor com o",I1730),IFERROR(FIND("INSERT",I1730),IFERROR(FIND("com CNPJ",I1730),IFERROR(FIND("Consultando Agente-&gt; O agente",I1730),IFERROR(FIND("Não foi possível determinar a validade do cartão, favor verificar os dados do cartão",I1730),"COLUNA I")))))))))))</f>
        <v>1</v>
      </c>
    </row>
    <row r="1731" spans="1:17" x14ac:dyDescent="0.25">
      <c r="A1731" s="1" t="str">
        <f>_xlfn.XLOOKUP(D1731,'Novo relatório'!B:B,'Novo relatório'!C:C,"RESOLVIDO")</f>
        <v>SABRE</v>
      </c>
      <c r="C1731" t="str">
        <f t="shared" si="54"/>
        <v>PENDENTE</v>
      </c>
      <c r="D1731" s="1">
        <v>3405538</v>
      </c>
      <c r="E1731" s="1" t="s">
        <v>26</v>
      </c>
      <c r="F1731" s="2">
        <v>45784.464583333334</v>
      </c>
      <c r="G1731" s="1" t="s">
        <v>2251</v>
      </c>
      <c r="H1731" s="1" t="s">
        <v>2251</v>
      </c>
      <c r="I1731" s="1" t="s">
        <v>83</v>
      </c>
      <c r="J1731" s="2">
        <v>45784.503472222219</v>
      </c>
      <c r="K1731" s="2">
        <v>45784.554166666669</v>
      </c>
      <c r="L1731" s="1" t="s">
        <v>18</v>
      </c>
      <c r="M1731" s="1" t="str">
        <f>_xlfn.XLOOKUP(I1731,Parâmetros!A:A,Parâmetros!B:B,_xlfn.XLOOKUP(Q1731,Parâmetros!F:F,Parâmetros!G:G,"NOVA MENSAGEM"))</f>
        <v>CLIENTE NÃO IDENTIFICADO</v>
      </c>
      <c r="N1731" s="1" t="str">
        <f>_xlfn.XLOOKUP(M1731,Parâmetros!K:K,Parâmetros!L:L,"")</f>
        <v>DK DE CLIENTE NÃO PREENCIDO / CLIENTE NÃO CONFIGURADO NO OBT</v>
      </c>
      <c r="O1731" s="1" t="str">
        <f>_xlfn.XLOOKUP(M1731,Parâmetros!B:B,Parâmetros!C:C,_xlfn.XLOOKUP(Base!M1702,Parâmetros!G:G,Parâmetros!H:H))</f>
        <v>INDEFINIDO</v>
      </c>
      <c r="P1731" s="1" t="str">
        <f>_xlfn.XLOOKUP(I1731,Parâmetros!A:A,Parâmetros!D:D,_xlfn.XLOOKUP(Q1731,Parâmetros!F:F,Parâmetros!I:I))</f>
        <v>OPERAÇÕES / SUPORTE KCS</v>
      </c>
      <c r="Q1731" s="1" t="str">
        <f t="shared" si="55"/>
        <v>COLUNA I</v>
      </c>
    </row>
    <row r="1732" spans="1:17" x14ac:dyDescent="0.25">
      <c r="A1732" s="1" t="str">
        <f>_xlfn.XLOOKUP(D1732,'Novo relatório'!B:B,'Novo relatório'!C:C,"RESOLVIDO")</f>
        <v>SABRE</v>
      </c>
      <c r="C1732" t="str">
        <f t="shared" si="54"/>
        <v>PENDENTE</v>
      </c>
      <c r="D1732" s="1">
        <v>3405559</v>
      </c>
      <c r="E1732" s="1" t="s">
        <v>26</v>
      </c>
      <c r="F1732" s="2">
        <v>45784.426388888889</v>
      </c>
      <c r="G1732" s="1" t="s">
        <v>2209</v>
      </c>
      <c r="H1732" s="1" t="s">
        <v>2209</v>
      </c>
      <c r="I1732" s="1" t="s">
        <v>746</v>
      </c>
      <c r="J1732" s="2">
        <v>45784.511805555558</v>
      </c>
      <c r="L1732" s="1" t="s">
        <v>18</v>
      </c>
      <c r="M1732" s="1" t="str">
        <f>_xlfn.XLOOKUP(I1732,Parâmetros!A:A,Parâmetros!B:B,_xlfn.XLOOKUP(Q1732,Parâmetros!F:F,Parâmetros!G:G,"NOVA MENSAGEM"))</f>
        <v>CÓD. CLIENTE DIVERGENTE</v>
      </c>
      <c r="N1732" s="1" t="str">
        <f>_xlfn.XLOOKUP(M1732,Parâmetros!K:K,Parâmetros!L:L,"")</f>
        <v>CÓDIGO DIFERENTE DO CADASTRADO NO BENNER (CLIENTE X GRUPO)</v>
      </c>
      <c r="O1732" s="1" t="str">
        <f>_xlfn.XLOOKUP(M1732,Parâmetros!B:B,Parâmetros!C:C,_xlfn.XLOOKUP(Base!M1665,Parâmetros!G:G,Parâmetros!H:H))</f>
        <v>QUALIDADE DOS DADOS</v>
      </c>
      <c r="P1732" s="1" t="str">
        <f>_xlfn.XLOOKUP(I1732,Parâmetros!A:A,Parâmetros!D:D,_xlfn.XLOOKUP(Q1732,Parâmetros!F:F,Parâmetros!I:I))</f>
        <v>SUPORTE OBT</v>
      </c>
      <c r="Q1732" s="1">
        <f t="shared" si="55"/>
        <v>1</v>
      </c>
    </row>
    <row r="1733" spans="1:17" x14ac:dyDescent="0.25">
      <c r="A1733" s="1" t="str">
        <f>_xlfn.XLOOKUP(D1733,'Novo relatório'!B:B,'Novo relatório'!C:C,"RESOLVIDO")</f>
        <v>SABRE</v>
      </c>
      <c r="C1733" t="str">
        <f t="shared" si="54"/>
        <v>PENDENTE</v>
      </c>
      <c r="D1733" s="1">
        <v>3405560</v>
      </c>
      <c r="E1733" s="1" t="s">
        <v>26</v>
      </c>
      <c r="F1733" s="2">
        <v>45785.404166666667</v>
      </c>
      <c r="G1733" s="1" t="s">
        <v>2243</v>
      </c>
      <c r="H1733" s="1" t="s">
        <v>2243</v>
      </c>
      <c r="I1733" s="1" t="s">
        <v>83</v>
      </c>
      <c r="J1733" s="2">
        <v>45784.511805555558</v>
      </c>
      <c r="K1733" s="2">
        <v>45785.490972222222</v>
      </c>
      <c r="L1733" s="1" t="s">
        <v>18</v>
      </c>
      <c r="M1733" s="1" t="str">
        <f>_xlfn.XLOOKUP(I1733,Parâmetros!A:A,Parâmetros!B:B,_xlfn.XLOOKUP(Q1733,Parâmetros!F:F,Parâmetros!G:G,"NOVA MENSAGEM"))</f>
        <v>CLIENTE NÃO IDENTIFICADO</v>
      </c>
      <c r="N1733" s="1" t="str">
        <f>_xlfn.XLOOKUP(M1733,Parâmetros!K:K,Parâmetros!L:L,"")</f>
        <v>DK DE CLIENTE NÃO PREENCIDO / CLIENTE NÃO CONFIGURADO NO OBT</v>
      </c>
      <c r="O1733" s="1" t="str">
        <f>_xlfn.XLOOKUP(M1733,Parâmetros!B:B,Parâmetros!C:C,_xlfn.XLOOKUP(Base!M1695,Parâmetros!G:G,Parâmetros!H:H))</f>
        <v>INDEFINIDO</v>
      </c>
      <c r="P1733" s="1" t="str">
        <f>_xlfn.XLOOKUP(I1733,Parâmetros!A:A,Parâmetros!D:D,_xlfn.XLOOKUP(Q1733,Parâmetros!F:F,Parâmetros!I:I))</f>
        <v>OPERAÇÕES / SUPORTE KCS</v>
      </c>
      <c r="Q1733" s="1" t="str">
        <f t="shared" si="55"/>
        <v>COLUNA I</v>
      </c>
    </row>
    <row r="1734" spans="1:17" x14ac:dyDescent="0.25">
      <c r="A1734" s="1" t="str">
        <f>_xlfn.XLOOKUP(D1734,'Novo relatório'!B:B,'Novo relatório'!C:C,"RESOLVIDO")</f>
        <v>SABRE</v>
      </c>
      <c r="C1734" t="str">
        <f t="shared" si="54"/>
        <v>PENDENTE</v>
      </c>
      <c r="D1734" s="1">
        <v>3405615</v>
      </c>
      <c r="E1734" s="1" t="s">
        <v>26</v>
      </c>
      <c r="F1734" s="2">
        <v>45784.456944444442</v>
      </c>
      <c r="G1734" s="1" t="s">
        <v>2187</v>
      </c>
      <c r="H1734" s="1" t="s">
        <v>2187</v>
      </c>
      <c r="I1734" s="1" t="s">
        <v>396</v>
      </c>
      <c r="J1734" s="2">
        <v>45784.544444444444</v>
      </c>
      <c r="L1734" s="1" t="s">
        <v>18</v>
      </c>
      <c r="M1734" s="1" t="str">
        <f>_xlfn.XLOOKUP(I1734,Parâmetros!A:A,Parâmetros!B:B,_xlfn.XLOOKUP(Q1734,Parâmetros!F:F,Parâmetros!G:G,"NOVA MENSAGEM"))</f>
        <v>CÓD. CLIENTE DIVERGENTE</v>
      </c>
      <c r="N1734" s="1" t="str">
        <f>_xlfn.XLOOKUP(M1734,Parâmetros!K:K,Parâmetros!L:L,"")</f>
        <v>CÓDIGO DIFERENTE DO CADASTRADO NO BENNER (CLIENTE X GRUPO)</v>
      </c>
      <c r="O1734" s="1" t="str">
        <f>_xlfn.XLOOKUP(M1734,Parâmetros!B:B,Parâmetros!C:C,_xlfn.XLOOKUP(Base!M1650,Parâmetros!G:G,Parâmetros!H:H))</f>
        <v>QUALIDADE DOS DADOS</v>
      </c>
      <c r="P1734" s="1" t="str">
        <f>_xlfn.XLOOKUP(I1734,Parâmetros!A:A,Parâmetros!D:D,_xlfn.XLOOKUP(Q1734,Parâmetros!F:F,Parâmetros!I:I))</f>
        <v>SUPORTE OBT</v>
      </c>
      <c r="Q1734" s="1">
        <f t="shared" si="55"/>
        <v>1</v>
      </c>
    </row>
    <row r="1735" spans="1:17" x14ac:dyDescent="0.25">
      <c r="A1735" s="1" t="str">
        <f>_xlfn.XLOOKUP(D1735,'Novo relatório'!B:B,'Novo relatório'!C:C,"RESOLVIDO")</f>
        <v>SABRE</v>
      </c>
      <c r="C1735" t="str">
        <f t="shared" si="54"/>
        <v>PENDENTE</v>
      </c>
      <c r="D1735" s="1">
        <v>3405649</v>
      </c>
      <c r="E1735" s="1" t="s">
        <v>26</v>
      </c>
      <c r="F1735" s="2">
        <v>45784.472222222219</v>
      </c>
      <c r="G1735" s="1" t="s">
        <v>2212</v>
      </c>
      <c r="H1735" s="1" t="s">
        <v>2213</v>
      </c>
      <c r="I1735" s="1" t="s">
        <v>85</v>
      </c>
      <c r="J1735" s="2">
        <v>45784.563888888886</v>
      </c>
      <c r="L1735" s="1" t="s">
        <v>18</v>
      </c>
      <c r="M1735" s="1" t="str">
        <f>_xlfn.XLOOKUP(I1735,Parâmetros!A:A,Parâmetros!B:B,_xlfn.XLOOKUP(Q1735,Parâmetros!F:F,Parâmetros!G:G,"NOVA MENSAGEM"))</f>
        <v>CLIENTE NÃO IDENTIFICADO</v>
      </c>
      <c r="N1735" s="1" t="str">
        <f>_xlfn.XLOOKUP(M1735,Parâmetros!K:K,Parâmetros!L:L,"")</f>
        <v>DK DE CLIENTE NÃO PREENCIDO / CLIENTE NÃO CONFIGURADO NO OBT</v>
      </c>
      <c r="O1735" s="1" t="str">
        <f>_xlfn.XLOOKUP(M1735,Parâmetros!B:B,Parâmetros!C:C,_xlfn.XLOOKUP(Base!M1668,Parâmetros!G:G,Parâmetros!H:H))</f>
        <v>INDEFINIDO</v>
      </c>
      <c r="P1735" s="1" t="str">
        <f>_xlfn.XLOOKUP(I1735,Parâmetros!A:A,Parâmetros!D:D,_xlfn.XLOOKUP(Q1735,Parâmetros!F:F,Parâmetros!I:I))</f>
        <v>OPERAÇÕES / SUPORTE KCS</v>
      </c>
      <c r="Q1735" s="1" t="str">
        <f t="shared" si="55"/>
        <v>COLUNA I</v>
      </c>
    </row>
    <row r="1736" spans="1:17" x14ac:dyDescent="0.25">
      <c r="A1736" s="1" t="str">
        <f>_xlfn.XLOOKUP(D1736,'Novo relatório'!B:B,'Novo relatório'!C:C,"RESOLVIDO")</f>
        <v>RESOLVIDO</v>
      </c>
      <c r="C1736" t="str">
        <f t="shared" si="54"/>
        <v>RESOLVIDO</v>
      </c>
      <c r="D1736" s="1">
        <v>3406463</v>
      </c>
      <c r="E1736" s="1" t="s">
        <v>12</v>
      </c>
      <c r="F1736" s="2">
        <v>45784.55</v>
      </c>
      <c r="G1736" s="1">
        <v>44247</v>
      </c>
      <c r="H1736" s="1">
        <v>44247</v>
      </c>
      <c r="I1736" s="1" t="s">
        <v>2274</v>
      </c>
      <c r="J1736" s="2">
        <v>45784.768055555556</v>
      </c>
      <c r="K1736" s="2">
        <v>45785.473611111112</v>
      </c>
      <c r="L1736" s="1" t="s">
        <v>19</v>
      </c>
      <c r="M1736" s="1" t="str">
        <f>_xlfn.XLOOKUP(I1736,Parâmetros!A:A,Parâmetros!B:B,_xlfn.XLOOKUP(Q1736,Parâmetros!F:F,Parâmetros!G:G,"NOVA MENSAGEM"))</f>
        <v>CONTRATO FORNECEDOR</v>
      </c>
      <c r="N1736" s="1" t="str">
        <f>_xlfn.XLOOKUP(M1736,Parâmetros!K:K,Parâmetros!L:L,"")</f>
        <v>CONTRATO INATIVO OU DIVERGENTE</v>
      </c>
      <c r="O1736" s="1" t="str">
        <f>_xlfn.XLOOKUP(M1736,Parâmetros!B:B,Parâmetros!C:C,_xlfn.XLOOKUP(Base!M1728,Parâmetros!G:G,Parâmetros!H:H))</f>
        <v>SISTEMA</v>
      </c>
      <c r="P1736" s="1" t="str">
        <f>_xlfn.XLOOKUP(I1736,Parâmetros!A:A,Parâmetros!D:D,_xlfn.XLOOKUP(Q1736,Parâmetros!F:F,Parâmetros!I:I))</f>
        <v>OPERAÇÕES / SUPORTE KCS</v>
      </c>
      <c r="Q1736" s="1">
        <f t="shared" si="55"/>
        <v>69</v>
      </c>
    </row>
    <row r="1737" spans="1:17" x14ac:dyDescent="0.25">
      <c r="A1737" s="1" t="str">
        <f>_xlfn.XLOOKUP(D1737,'Novo relatório'!B:B,'Novo relatório'!C:C,"RESOLVIDO")</f>
        <v>RESOLVIDO</v>
      </c>
      <c r="C1737" t="str">
        <f t="shared" si="54"/>
        <v>RESOLVIDO</v>
      </c>
      <c r="D1737" s="1">
        <v>3406539</v>
      </c>
      <c r="E1737" s="1" t="s">
        <v>12</v>
      </c>
      <c r="F1737" s="2">
        <v>45784.459722222222</v>
      </c>
      <c r="G1737" s="1">
        <v>62027</v>
      </c>
      <c r="H1737" s="1">
        <v>62027</v>
      </c>
      <c r="I1737" s="1" t="s">
        <v>2274</v>
      </c>
      <c r="J1737" s="2">
        <v>45784.776388888888</v>
      </c>
      <c r="K1737" s="2">
        <v>45785.481249999997</v>
      </c>
      <c r="L1737" s="1" t="s">
        <v>19</v>
      </c>
      <c r="M1737" s="1" t="str">
        <f>_xlfn.XLOOKUP(I1737,Parâmetros!A:A,Parâmetros!B:B,_xlfn.XLOOKUP(Q1737,Parâmetros!F:F,Parâmetros!G:G,"NOVA MENSAGEM"))</f>
        <v>CONTRATO FORNECEDOR</v>
      </c>
      <c r="N1737" s="1" t="str">
        <f>_xlfn.XLOOKUP(M1737,Parâmetros!K:K,Parâmetros!L:L,"")</f>
        <v>CONTRATO INATIVO OU DIVERGENTE</v>
      </c>
      <c r="O1737" s="1" t="str">
        <f>_xlfn.XLOOKUP(M1737,Parâmetros!B:B,Parâmetros!C:C,_xlfn.XLOOKUP(Base!M1741,Parâmetros!G:G,Parâmetros!H:H))</f>
        <v>SISTEMA</v>
      </c>
      <c r="P1737" s="1" t="str">
        <f>_xlfn.XLOOKUP(I1737,Parâmetros!A:A,Parâmetros!D:D,_xlfn.XLOOKUP(Q1737,Parâmetros!F:F,Parâmetros!I:I))</f>
        <v>OPERAÇÕES / SUPORTE KCS</v>
      </c>
      <c r="Q1737" s="1">
        <f t="shared" si="55"/>
        <v>69</v>
      </c>
    </row>
    <row r="1738" spans="1:17" x14ac:dyDescent="0.25">
      <c r="A1738" s="1" t="str">
        <f>_xlfn.XLOOKUP(D1738,'Novo relatório'!B:B,'Novo relatório'!C:C,"RESOLVIDO")</f>
        <v>SABRE</v>
      </c>
      <c r="C1738" t="str">
        <f t="shared" si="54"/>
        <v>PENDENTE</v>
      </c>
      <c r="D1738" s="1">
        <v>3406586</v>
      </c>
      <c r="E1738" s="1" t="s">
        <v>26</v>
      </c>
      <c r="F1738" s="2">
        <v>45784.692361111112</v>
      </c>
      <c r="G1738" s="1" t="s">
        <v>2208</v>
      </c>
      <c r="H1738" s="1" t="s">
        <v>2208</v>
      </c>
      <c r="I1738" s="1" t="s">
        <v>83</v>
      </c>
      <c r="J1738" s="2">
        <v>45784.782638888886</v>
      </c>
      <c r="L1738" s="1" t="s">
        <v>18</v>
      </c>
      <c r="M1738" s="1" t="str">
        <f>_xlfn.XLOOKUP(I1738,Parâmetros!A:A,Parâmetros!B:B,_xlfn.XLOOKUP(Q1738,Parâmetros!F:F,Parâmetros!G:G,"NOVA MENSAGEM"))</f>
        <v>CLIENTE NÃO IDENTIFICADO</v>
      </c>
      <c r="N1738" s="1" t="str">
        <f>_xlfn.XLOOKUP(M1738,Parâmetros!K:K,Parâmetros!L:L,"")</f>
        <v>DK DE CLIENTE NÃO PREENCIDO / CLIENTE NÃO CONFIGURADO NO OBT</v>
      </c>
      <c r="O1738" s="1" t="str">
        <f>_xlfn.XLOOKUP(M1738,Parâmetros!B:B,Parâmetros!C:C,_xlfn.XLOOKUP(Base!M1664,Parâmetros!G:G,Parâmetros!H:H))</f>
        <v>INDEFINIDO</v>
      </c>
      <c r="P1738" s="1" t="str">
        <f>_xlfn.XLOOKUP(I1738,Parâmetros!A:A,Parâmetros!D:D,_xlfn.XLOOKUP(Q1738,Parâmetros!F:F,Parâmetros!I:I))</f>
        <v>OPERAÇÕES / SUPORTE KCS</v>
      </c>
      <c r="Q1738" s="1" t="str">
        <f t="shared" si="55"/>
        <v>COLUNA I</v>
      </c>
    </row>
    <row r="1739" spans="1:17" x14ac:dyDescent="0.25">
      <c r="A1739" s="1" t="str">
        <f>_xlfn.XLOOKUP(D1739,'Novo relatório'!B:B,'Novo relatório'!C:C,"RESOLVIDO")</f>
        <v>SABRE</v>
      </c>
      <c r="C1739" t="str">
        <f t="shared" si="54"/>
        <v>PENDENTE</v>
      </c>
      <c r="D1739" s="1">
        <v>3406597</v>
      </c>
      <c r="E1739" s="1" t="s">
        <v>26</v>
      </c>
      <c r="F1739" s="2">
        <v>45784.692361111112</v>
      </c>
      <c r="G1739" s="1" t="s">
        <v>2258</v>
      </c>
      <c r="H1739" s="1" t="s">
        <v>2258</v>
      </c>
      <c r="I1739" s="1" t="s">
        <v>396</v>
      </c>
      <c r="J1739" s="2">
        <v>45784.783333333333</v>
      </c>
      <c r="L1739" s="1" t="s">
        <v>18</v>
      </c>
      <c r="M1739" s="1" t="str">
        <f>_xlfn.XLOOKUP(I1739,Parâmetros!A:A,Parâmetros!B:B,_xlfn.XLOOKUP(Q1739,Parâmetros!F:F,Parâmetros!G:G,"NOVA MENSAGEM"))</f>
        <v>CÓD. CLIENTE DIVERGENTE</v>
      </c>
      <c r="N1739" s="1" t="str">
        <f>_xlfn.XLOOKUP(M1739,Parâmetros!K:K,Parâmetros!L:L,"")</f>
        <v>CÓDIGO DIFERENTE DO CADASTRADO NO BENNER (CLIENTE X GRUPO)</v>
      </c>
      <c r="O1739" s="1" t="str">
        <f>_xlfn.XLOOKUP(M1739,Parâmetros!B:B,Parâmetros!C:C,_xlfn.XLOOKUP(Base!M1709,Parâmetros!G:G,Parâmetros!H:H))</f>
        <v>QUALIDADE DOS DADOS</v>
      </c>
      <c r="P1739" s="1" t="str">
        <f>_xlfn.XLOOKUP(I1739,Parâmetros!A:A,Parâmetros!D:D,_xlfn.XLOOKUP(Q1739,Parâmetros!F:F,Parâmetros!I:I))</f>
        <v>SUPORTE OBT</v>
      </c>
      <c r="Q1739" s="1">
        <f t="shared" si="55"/>
        <v>1</v>
      </c>
    </row>
    <row r="1740" spans="1:17" x14ac:dyDescent="0.25">
      <c r="A1740" s="1" t="str">
        <f>_xlfn.XLOOKUP(D1740,'Novo relatório'!B:B,'Novo relatório'!C:C,"RESOLVIDO")</f>
        <v>SABRE</v>
      </c>
      <c r="C1740" t="str">
        <f t="shared" si="54"/>
        <v>PENDENTE</v>
      </c>
      <c r="D1740" s="1">
        <v>3406604</v>
      </c>
      <c r="E1740" s="1" t="s">
        <v>26</v>
      </c>
      <c r="F1740" s="2">
        <v>45784.692361111112</v>
      </c>
      <c r="G1740" s="1" t="s">
        <v>2210</v>
      </c>
      <c r="H1740" s="1" t="s">
        <v>2210</v>
      </c>
      <c r="I1740" s="1" t="s">
        <v>396</v>
      </c>
      <c r="J1740" s="2">
        <v>45784.783333333333</v>
      </c>
      <c r="L1740" s="1" t="s">
        <v>18</v>
      </c>
      <c r="M1740" s="1" t="str">
        <f>_xlfn.XLOOKUP(I1740,Parâmetros!A:A,Parâmetros!B:B,_xlfn.XLOOKUP(Q1740,Parâmetros!F:F,Parâmetros!G:G,"NOVA MENSAGEM"))</f>
        <v>CÓD. CLIENTE DIVERGENTE</v>
      </c>
      <c r="N1740" s="1" t="str">
        <f>_xlfn.XLOOKUP(M1740,Parâmetros!K:K,Parâmetros!L:L,"")</f>
        <v>CÓDIGO DIFERENTE DO CADASTRADO NO BENNER (CLIENTE X GRUPO)</v>
      </c>
      <c r="O1740" s="1" t="str">
        <f>_xlfn.XLOOKUP(M1740,Parâmetros!B:B,Parâmetros!C:C,_xlfn.XLOOKUP(Base!M1666,Parâmetros!G:G,Parâmetros!H:H))</f>
        <v>QUALIDADE DOS DADOS</v>
      </c>
      <c r="P1740" s="1" t="str">
        <f>_xlfn.XLOOKUP(I1740,Parâmetros!A:A,Parâmetros!D:D,_xlfn.XLOOKUP(Q1740,Parâmetros!F:F,Parâmetros!I:I))</f>
        <v>SUPORTE OBT</v>
      </c>
      <c r="Q1740" s="1">
        <f t="shared" si="55"/>
        <v>1</v>
      </c>
    </row>
    <row r="1741" spans="1:17" x14ac:dyDescent="0.25">
      <c r="A1741" s="1" t="str">
        <f>_xlfn.XLOOKUP(D1741,'Novo relatório'!B:B,'Novo relatório'!C:C,"RESOLVIDO")</f>
        <v>TMS</v>
      </c>
      <c r="C1741" t="str">
        <f t="shared" si="54"/>
        <v>PENDENTE</v>
      </c>
      <c r="D1741" s="1">
        <v>3406640</v>
      </c>
      <c r="E1741" s="1" t="s">
        <v>12</v>
      </c>
      <c r="F1741" s="2">
        <v>45784.588888888888</v>
      </c>
      <c r="G1741" s="1">
        <v>17124</v>
      </c>
      <c r="H1741" s="1">
        <v>17124</v>
      </c>
      <c r="I1741" s="1" t="s">
        <v>158</v>
      </c>
      <c r="J1741" s="2">
        <v>45784.787499999999</v>
      </c>
      <c r="K1741" s="2">
        <v>45785.48541666667</v>
      </c>
      <c r="L1741" s="1" t="s">
        <v>14</v>
      </c>
      <c r="M1741" s="1" t="str">
        <f>_xlfn.XLOOKUP(I1741,Parâmetros!A:A,Parâmetros!B:B,_xlfn.XLOOKUP(Q1741,Parâmetros!F:F,Parâmetros!G:G,"NOVA MENSAGEM"))</f>
        <v>COTAÇÃO</v>
      </c>
      <c r="N1741" s="1" t="str">
        <f>_xlfn.XLOOKUP(M1741,Parâmetros!K:K,Parâmetros!L:L,"")</f>
        <v>INDEFINIDO</v>
      </c>
      <c r="O1741" s="1" t="str">
        <f>_xlfn.XLOOKUP(M1741,Parâmetros!B:B,Parâmetros!C:C,_xlfn.XLOOKUP(Base!M1722,Parâmetros!G:G,Parâmetros!H:H))</f>
        <v>INDEFINIDO</v>
      </c>
      <c r="P1741" s="1" t="str">
        <f>_xlfn.XLOOKUP(I1741,Parâmetros!A:A,Parâmetros!D:D,_xlfn.XLOOKUP(Q1741,Parâmetros!F:F,Parâmetros!I:I))</f>
        <v>SUPORTE OBT</v>
      </c>
      <c r="Q1741" s="1" t="str">
        <f t="shared" si="55"/>
        <v>COLUNA I</v>
      </c>
    </row>
    <row r="1742" spans="1:17" x14ac:dyDescent="0.25">
      <c r="A1742" s="1" t="str">
        <f>_xlfn.XLOOKUP(D1742,'Novo relatório'!B:B,'Novo relatório'!C:C,"RESOLVIDO")</f>
        <v>SABRE</v>
      </c>
      <c r="C1742" t="str">
        <f t="shared" si="54"/>
        <v>PENDENTE</v>
      </c>
      <c r="D1742" s="1">
        <v>3406854</v>
      </c>
      <c r="E1742" s="1" t="s">
        <v>26</v>
      </c>
      <c r="F1742" s="2">
        <v>45784.763194444444</v>
      </c>
      <c r="G1742" s="1" t="s">
        <v>2195</v>
      </c>
      <c r="H1742" s="1" t="s">
        <v>2195</v>
      </c>
      <c r="I1742" s="1" t="s">
        <v>83</v>
      </c>
      <c r="J1742" s="2">
        <v>45784.855555555558</v>
      </c>
      <c r="L1742" s="1" t="s">
        <v>18</v>
      </c>
      <c r="M1742" s="1" t="str">
        <f>_xlfn.XLOOKUP(I1742,Parâmetros!A:A,Parâmetros!B:B,_xlfn.XLOOKUP(Q1742,Parâmetros!F:F,Parâmetros!G:G,"NOVA MENSAGEM"))</f>
        <v>CLIENTE NÃO IDENTIFICADO</v>
      </c>
      <c r="N1742" s="1" t="str">
        <f>_xlfn.XLOOKUP(M1742,Parâmetros!K:K,Parâmetros!L:L,"")</f>
        <v>DK DE CLIENTE NÃO PREENCIDO / CLIENTE NÃO CONFIGURADO NO OBT</v>
      </c>
      <c r="O1742" s="1" t="str">
        <f>_xlfn.XLOOKUP(M1742,Parâmetros!B:B,Parâmetros!C:C,_xlfn.XLOOKUP(Base!M1655,Parâmetros!G:G,Parâmetros!H:H))</f>
        <v>INDEFINIDO</v>
      </c>
      <c r="P1742" s="1" t="str">
        <f>_xlfn.XLOOKUP(I1742,Parâmetros!A:A,Parâmetros!D:D,_xlfn.XLOOKUP(Q1742,Parâmetros!F:F,Parâmetros!I:I))</f>
        <v>OPERAÇÕES / SUPORTE KCS</v>
      </c>
      <c r="Q1742" s="1" t="str">
        <f t="shared" si="55"/>
        <v>COLUNA I</v>
      </c>
    </row>
    <row r="1743" spans="1:17" x14ac:dyDescent="0.25">
      <c r="A1743" s="1" t="str">
        <f>_xlfn.XLOOKUP(D1743,'Novo relatório'!B:B,'Novo relatório'!C:C,"RESOLVIDO")</f>
        <v>SABRE</v>
      </c>
      <c r="C1743" t="str">
        <f t="shared" si="54"/>
        <v>PENDENTE</v>
      </c>
      <c r="D1743" s="1">
        <v>3406857</v>
      </c>
      <c r="E1743" s="1" t="s">
        <v>26</v>
      </c>
      <c r="F1743" s="2">
        <v>45784.763194444444</v>
      </c>
      <c r="G1743" s="1" t="s">
        <v>2271</v>
      </c>
      <c r="H1743" s="1" t="s">
        <v>2271</v>
      </c>
      <c r="I1743" s="1" t="s">
        <v>396</v>
      </c>
      <c r="J1743" s="2">
        <v>45784.855555555558</v>
      </c>
      <c r="L1743" s="1" t="s">
        <v>18</v>
      </c>
      <c r="M1743" s="1" t="str">
        <f>_xlfn.XLOOKUP(I1743,Parâmetros!A:A,Parâmetros!B:B,_xlfn.XLOOKUP(Q1743,Parâmetros!F:F,Parâmetros!G:G,"NOVA MENSAGEM"))</f>
        <v>CÓD. CLIENTE DIVERGENTE</v>
      </c>
      <c r="N1743" s="1" t="str">
        <f>_xlfn.XLOOKUP(M1743,Parâmetros!K:K,Parâmetros!L:L,"")</f>
        <v>CÓDIGO DIFERENTE DO CADASTRADO NO BENNER (CLIENTE X GRUPO)</v>
      </c>
      <c r="O1743" s="1" t="str">
        <f>_xlfn.XLOOKUP(M1743,Parâmetros!B:B,Parâmetros!C:C,_xlfn.XLOOKUP(Base!M1720,Parâmetros!G:G,Parâmetros!H:H))</f>
        <v>QUALIDADE DOS DADOS</v>
      </c>
      <c r="P1743" s="1" t="str">
        <f>_xlfn.XLOOKUP(I1743,Parâmetros!A:A,Parâmetros!D:D,_xlfn.XLOOKUP(Q1743,Parâmetros!F:F,Parâmetros!I:I))</f>
        <v>SUPORTE OBT</v>
      </c>
      <c r="Q1743" s="1">
        <f t="shared" si="55"/>
        <v>1</v>
      </c>
    </row>
    <row r="1744" spans="1:17" x14ac:dyDescent="0.25">
      <c r="A1744" s="1" t="str">
        <f>_xlfn.XLOOKUP(D1744,'Novo relatório'!B:B,'Novo relatório'!C:C,"RESOLVIDO")</f>
        <v>RESOLVIDO</v>
      </c>
      <c r="C1744" t="str">
        <f t="shared" si="54"/>
        <v>RESOLVIDO</v>
      </c>
      <c r="D1744" s="1">
        <v>3407101</v>
      </c>
      <c r="E1744" s="1" t="s">
        <v>12</v>
      </c>
      <c r="F1744" s="2">
        <v>45784.772222222222</v>
      </c>
      <c r="G1744" s="1">
        <v>44266</v>
      </c>
      <c r="H1744" s="1">
        <v>44266</v>
      </c>
      <c r="I1744" s="1" t="s">
        <v>2274</v>
      </c>
      <c r="J1744" s="2">
        <v>45784.960416666669</v>
      </c>
      <c r="K1744" s="2">
        <v>45785.472916666666</v>
      </c>
      <c r="L1744" s="1" t="s">
        <v>19</v>
      </c>
      <c r="M1744" s="1" t="str">
        <f>_xlfn.XLOOKUP(I1744,Parâmetros!A:A,Parâmetros!B:B,_xlfn.XLOOKUP(Q1744,Parâmetros!F:F,Parâmetros!G:G,"NOVA MENSAGEM"))</f>
        <v>CONTRATO FORNECEDOR</v>
      </c>
      <c r="N1744" s="1" t="str">
        <f>_xlfn.XLOOKUP(M1744,Parâmetros!K:K,Parâmetros!L:L,"")</f>
        <v>CONTRATO INATIVO OU DIVERGENTE</v>
      </c>
      <c r="O1744" s="1" t="str">
        <f>_xlfn.XLOOKUP(M1744,Parâmetros!B:B,Parâmetros!C:C,_xlfn.XLOOKUP(Base!M1734,Parâmetros!G:G,Parâmetros!H:H))</f>
        <v>SISTEMA</v>
      </c>
      <c r="P1744" s="1" t="str">
        <f>_xlfn.XLOOKUP(I1744,Parâmetros!A:A,Parâmetros!D:D,_xlfn.XLOOKUP(Q1744,Parâmetros!F:F,Parâmetros!I:I))</f>
        <v>OPERAÇÕES / SUPORTE KCS</v>
      </c>
      <c r="Q1744" s="1">
        <f t="shared" si="55"/>
        <v>69</v>
      </c>
    </row>
    <row r="1745" spans="1:17" x14ac:dyDescent="0.25">
      <c r="A1745" s="1" t="str">
        <f>_xlfn.XLOOKUP(D1745,'Novo relatório'!B:B,'Novo relatório'!C:C,"RESOLVIDO")</f>
        <v>RESOLVIDO</v>
      </c>
      <c r="C1745" t="str">
        <f t="shared" si="54"/>
        <v>RESOLVIDO</v>
      </c>
      <c r="D1745" s="1">
        <v>3407103</v>
      </c>
      <c r="E1745" s="1" t="s">
        <v>12</v>
      </c>
      <c r="F1745" s="2">
        <v>45784.770138888889</v>
      </c>
      <c r="G1745" s="1">
        <v>44265</v>
      </c>
      <c r="H1745" s="1">
        <v>44265</v>
      </c>
      <c r="I1745" s="1" t="s">
        <v>2274</v>
      </c>
      <c r="J1745" s="2">
        <v>45784.960416666669</v>
      </c>
      <c r="K1745" s="2">
        <v>45785.472916666666</v>
      </c>
      <c r="L1745" s="1" t="s">
        <v>19</v>
      </c>
      <c r="M1745" s="1" t="str">
        <f>_xlfn.XLOOKUP(I1745,Parâmetros!A:A,Parâmetros!B:B,_xlfn.XLOOKUP(Q1745,Parâmetros!F:F,Parâmetros!G:G,"NOVA MENSAGEM"))</f>
        <v>CONTRATO FORNECEDOR</v>
      </c>
      <c r="N1745" s="1" t="str">
        <f>_xlfn.XLOOKUP(M1745,Parâmetros!K:K,Parâmetros!L:L,"")</f>
        <v>CONTRATO INATIVO OU DIVERGENTE</v>
      </c>
      <c r="O1745" s="1" t="str">
        <f>_xlfn.XLOOKUP(M1745,Parâmetros!B:B,Parâmetros!C:C,_xlfn.XLOOKUP(Base!M1733,Parâmetros!G:G,Parâmetros!H:H))</f>
        <v>SISTEMA</v>
      </c>
      <c r="P1745" s="1" t="str">
        <f>_xlfn.XLOOKUP(I1745,Parâmetros!A:A,Parâmetros!D:D,_xlfn.XLOOKUP(Q1745,Parâmetros!F:F,Parâmetros!I:I))</f>
        <v>OPERAÇÕES / SUPORTE KCS</v>
      </c>
      <c r="Q1745" s="1">
        <f t="shared" si="55"/>
        <v>69</v>
      </c>
    </row>
    <row r="1746" spans="1:17" x14ac:dyDescent="0.25">
      <c r="A1746" s="1" t="str">
        <f>_xlfn.XLOOKUP(D1746,'Novo relatório'!B:B,'Novo relatório'!C:C,"RESOLVIDO")</f>
        <v>RESOLVIDO</v>
      </c>
      <c r="C1746" t="str">
        <f t="shared" si="54"/>
        <v>RESOLVIDO</v>
      </c>
      <c r="D1746" s="1">
        <v>3407106</v>
      </c>
      <c r="E1746" s="1" t="s">
        <v>12</v>
      </c>
      <c r="F1746" s="2">
        <v>45784.76666666667</v>
      </c>
      <c r="G1746" s="1">
        <v>44261</v>
      </c>
      <c r="H1746" s="1">
        <v>44261</v>
      </c>
      <c r="I1746" s="1" t="s">
        <v>2274</v>
      </c>
      <c r="J1746" s="2">
        <v>45784.961111111108</v>
      </c>
      <c r="K1746" s="2">
        <v>45785.472916666666</v>
      </c>
      <c r="L1746" s="1" t="s">
        <v>19</v>
      </c>
      <c r="M1746" s="1" t="str">
        <f>_xlfn.XLOOKUP(I1746,Parâmetros!A:A,Parâmetros!B:B,_xlfn.XLOOKUP(Q1746,Parâmetros!F:F,Parâmetros!G:G,"NOVA MENSAGEM"))</f>
        <v>CONTRATO FORNECEDOR</v>
      </c>
      <c r="N1746" s="1" t="str">
        <f>_xlfn.XLOOKUP(M1746,Parâmetros!K:K,Parâmetros!L:L,"")</f>
        <v>CONTRATO INATIVO OU DIVERGENTE</v>
      </c>
      <c r="O1746" s="1" t="str">
        <f>_xlfn.XLOOKUP(M1746,Parâmetros!B:B,Parâmetros!C:C,_xlfn.XLOOKUP(Base!M1731,Parâmetros!G:G,Parâmetros!H:H))</f>
        <v>SISTEMA</v>
      </c>
      <c r="P1746" s="1" t="str">
        <f>_xlfn.XLOOKUP(I1746,Parâmetros!A:A,Parâmetros!D:D,_xlfn.XLOOKUP(Q1746,Parâmetros!F:F,Parâmetros!I:I))</f>
        <v>OPERAÇÕES / SUPORTE KCS</v>
      </c>
      <c r="Q1746" s="1">
        <f t="shared" si="55"/>
        <v>69</v>
      </c>
    </row>
    <row r="1747" spans="1:17" x14ac:dyDescent="0.25">
      <c r="A1747" s="1" t="str">
        <f>_xlfn.XLOOKUP(D1747,'Novo relatório'!B:B,'Novo relatório'!C:C,"RESOLVIDO")</f>
        <v>RESOLVIDO</v>
      </c>
      <c r="C1747" t="str">
        <f t="shared" si="54"/>
        <v>RESOLVIDO</v>
      </c>
      <c r="D1747" s="1">
        <v>3407108</v>
      </c>
      <c r="E1747" s="1" t="s">
        <v>12</v>
      </c>
      <c r="F1747" s="2">
        <v>45784.763888888891</v>
      </c>
      <c r="G1747" s="1">
        <v>44259</v>
      </c>
      <c r="H1747" s="1">
        <v>44259</v>
      </c>
      <c r="I1747" s="1" t="s">
        <v>2274</v>
      </c>
      <c r="J1747" s="2">
        <v>45784.961111111108</v>
      </c>
      <c r="K1747" s="2">
        <v>45785.472916666666</v>
      </c>
      <c r="L1747" s="1" t="s">
        <v>19</v>
      </c>
      <c r="M1747" s="1" t="str">
        <f>_xlfn.XLOOKUP(I1747,Parâmetros!A:A,Parâmetros!B:B,_xlfn.XLOOKUP(Q1747,Parâmetros!F:F,Parâmetros!G:G,"NOVA MENSAGEM"))</f>
        <v>CONTRATO FORNECEDOR</v>
      </c>
      <c r="N1747" s="1" t="str">
        <f>_xlfn.XLOOKUP(M1747,Parâmetros!K:K,Parâmetros!L:L,"")</f>
        <v>CONTRATO INATIVO OU DIVERGENTE</v>
      </c>
      <c r="O1747" s="1" t="str">
        <f>_xlfn.XLOOKUP(M1747,Parâmetros!B:B,Parâmetros!C:C,_xlfn.XLOOKUP(Base!M1730,Parâmetros!G:G,Parâmetros!H:H))</f>
        <v>SISTEMA</v>
      </c>
      <c r="P1747" s="1" t="str">
        <f>_xlfn.XLOOKUP(I1747,Parâmetros!A:A,Parâmetros!D:D,_xlfn.XLOOKUP(Q1747,Parâmetros!F:F,Parâmetros!I:I))</f>
        <v>OPERAÇÕES / SUPORTE KCS</v>
      </c>
      <c r="Q1747" s="1">
        <f t="shared" si="55"/>
        <v>69</v>
      </c>
    </row>
    <row r="1748" spans="1:17" x14ac:dyDescent="0.25">
      <c r="A1748" s="1" t="str">
        <f>_xlfn.XLOOKUP(D1748,'Novo relatório'!B:B,'Novo relatório'!C:C,"RESOLVIDO")</f>
        <v>RESOLVIDO</v>
      </c>
      <c r="C1748" t="str">
        <f t="shared" si="54"/>
        <v>RESOLVIDO</v>
      </c>
      <c r="D1748" s="1">
        <v>3407109</v>
      </c>
      <c r="E1748" s="1" t="s">
        <v>12</v>
      </c>
      <c r="F1748" s="2">
        <v>45784.760416666664</v>
      </c>
      <c r="G1748" s="1">
        <v>44258</v>
      </c>
      <c r="H1748" s="1">
        <v>44258</v>
      </c>
      <c r="I1748" s="1" t="s">
        <v>2274</v>
      </c>
      <c r="J1748" s="2">
        <v>45784.961111111108</v>
      </c>
      <c r="K1748" s="2">
        <v>45785.473611111112</v>
      </c>
      <c r="L1748" s="1" t="s">
        <v>19</v>
      </c>
      <c r="M1748" s="1" t="str">
        <f>_xlfn.XLOOKUP(I1748,Parâmetros!A:A,Parâmetros!B:B,_xlfn.XLOOKUP(Q1748,Parâmetros!F:F,Parâmetros!G:G,"NOVA MENSAGEM"))</f>
        <v>CONTRATO FORNECEDOR</v>
      </c>
      <c r="N1748" s="1" t="str">
        <f>_xlfn.XLOOKUP(M1748,Parâmetros!K:K,Parâmetros!L:L,"")</f>
        <v>CONTRATO INATIVO OU DIVERGENTE</v>
      </c>
      <c r="O1748" s="1" t="str">
        <f>_xlfn.XLOOKUP(M1748,Parâmetros!B:B,Parâmetros!C:C,_xlfn.XLOOKUP(Base!M1729,Parâmetros!G:G,Parâmetros!H:H))</f>
        <v>SISTEMA</v>
      </c>
      <c r="P1748" s="1" t="str">
        <f>_xlfn.XLOOKUP(I1748,Parâmetros!A:A,Parâmetros!D:D,_xlfn.XLOOKUP(Q1748,Parâmetros!F:F,Parâmetros!I:I))</f>
        <v>OPERAÇÕES / SUPORTE KCS</v>
      </c>
      <c r="Q1748" s="1">
        <f t="shared" si="55"/>
        <v>69</v>
      </c>
    </row>
    <row r="1749" spans="1:17" x14ac:dyDescent="0.25">
      <c r="A1749" s="1" t="str">
        <f>_xlfn.XLOOKUP(D1749,'Novo relatório'!B:B,'Novo relatório'!C:C,"RESOLVIDO")</f>
        <v>RESOLVIDO</v>
      </c>
      <c r="C1749" t="str">
        <f t="shared" si="54"/>
        <v>RESOLVIDO</v>
      </c>
      <c r="D1749" s="1">
        <v>3407181</v>
      </c>
      <c r="E1749" s="1" t="s">
        <v>12</v>
      </c>
      <c r="F1749" s="2">
        <v>45784.767361111109</v>
      </c>
      <c r="G1749" s="1">
        <v>62079</v>
      </c>
      <c r="H1749" s="1">
        <v>62079</v>
      </c>
      <c r="I1749" s="1" t="s">
        <v>2274</v>
      </c>
      <c r="J1749" s="2">
        <v>45784.966666666667</v>
      </c>
      <c r="K1749" s="2">
        <v>45785.481249999997</v>
      </c>
      <c r="L1749" s="1" t="s">
        <v>19</v>
      </c>
      <c r="M1749" s="1" t="str">
        <f>_xlfn.XLOOKUP(I1749,Parâmetros!A:A,Parâmetros!B:B,_xlfn.XLOOKUP(Q1749,Parâmetros!F:F,Parâmetros!G:G,"NOVA MENSAGEM"))</f>
        <v>CONTRATO FORNECEDOR</v>
      </c>
      <c r="N1749" s="1" t="str">
        <f>_xlfn.XLOOKUP(M1749,Parâmetros!K:K,Parâmetros!L:L,"")</f>
        <v>CONTRATO INATIVO OU DIVERGENTE</v>
      </c>
      <c r="O1749" s="1" t="str">
        <f>_xlfn.XLOOKUP(M1749,Parâmetros!B:B,Parâmetros!C:C,_xlfn.XLOOKUP(Base!M1742,Parâmetros!G:G,Parâmetros!H:H))</f>
        <v>SISTEMA</v>
      </c>
      <c r="P1749" s="1" t="str">
        <f>_xlfn.XLOOKUP(I1749,Parâmetros!A:A,Parâmetros!D:D,_xlfn.XLOOKUP(Q1749,Parâmetros!F:F,Parâmetros!I:I))</f>
        <v>OPERAÇÕES / SUPORTE KCS</v>
      </c>
      <c r="Q1749" s="1">
        <f t="shared" si="55"/>
        <v>69</v>
      </c>
    </row>
    <row r="1750" spans="1:17" x14ac:dyDescent="0.25">
      <c r="A1750" s="1" t="str">
        <f>_xlfn.XLOOKUP(D1750,'Novo relatório'!B:B,'Novo relatório'!C:C,"RESOLVIDO")</f>
        <v>RESOLVIDO</v>
      </c>
      <c r="C1750" t="str">
        <f t="shared" si="54"/>
        <v>RESOLVIDO</v>
      </c>
      <c r="D1750" s="1">
        <v>3408304</v>
      </c>
      <c r="E1750" s="1" t="s">
        <v>12</v>
      </c>
      <c r="F1750" s="2">
        <v>45785.366666666669</v>
      </c>
      <c r="G1750" s="1">
        <v>44262</v>
      </c>
      <c r="H1750" s="1">
        <v>44262</v>
      </c>
      <c r="I1750" s="1" t="s">
        <v>2274</v>
      </c>
      <c r="J1750" s="2">
        <v>45785.472916666666</v>
      </c>
      <c r="L1750" s="1" t="s">
        <v>19</v>
      </c>
      <c r="M1750" s="1" t="str">
        <f>_xlfn.XLOOKUP(I1750,Parâmetros!A:A,Parâmetros!B:B,_xlfn.XLOOKUP(Q1750,Parâmetros!F:F,Parâmetros!G:G,"NOVA MENSAGEM"))</f>
        <v>CONTRATO FORNECEDOR</v>
      </c>
      <c r="N1750" s="1" t="str">
        <f>_xlfn.XLOOKUP(M1750,Parâmetros!K:K,Parâmetros!L:L,"")</f>
        <v>CONTRATO INATIVO OU DIVERGENTE</v>
      </c>
      <c r="O1750" s="1" t="str">
        <f>_xlfn.XLOOKUP(M1750,Parâmetros!B:B,Parâmetros!C:C,_xlfn.XLOOKUP(Base!M1732,Parâmetros!G:G,Parâmetros!H:H))</f>
        <v>SISTEMA</v>
      </c>
      <c r="P1750" s="1" t="str">
        <f>_xlfn.XLOOKUP(I1750,Parâmetros!A:A,Parâmetros!D:D,_xlfn.XLOOKUP(Q1750,Parâmetros!F:F,Parâmetros!I:I))</f>
        <v>OPERAÇÕES / SUPORTE KCS</v>
      </c>
      <c r="Q1750" s="1">
        <f t="shared" si="55"/>
        <v>69</v>
      </c>
    </row>
    <row r="1751" spans="1:17" x14ac:dyDescent="0.25">
      <c r="A1751" s="1" t="str">
        <f>_xlfn.XLOOKUP(D1751,'Novo relatório'!B:B,'Novo relatório'!C:C,"RESOLVIDO")</f>
        <v>RESOLVIDO</v>
      </c>
      <c r="C1751" t="str">
        <f t="shared" si="54"/>
        <v>RESOLVIDO</v>
      </c>
      <c r="D1751" s="1">
        <v>3408350</v>
      </c>
      <c r="E1751" s="1" t="s">
        <v>12</v>
      </c>
      <c r="F1751" s="2">
        <v>45785.412499999999</v>
      </c>
      <c r="G1751" s="1">
        <v>62128</v>
      </c>
      <c r="H1751" s="1">
        <v>62128</v>
      </c>
      <c r="I1751" s="1" t="s">
        <v>2274</v>
      </c>
      <c r="J1751" s="2">
        <v>45785.480555555558</v>
      </c>
      <c r="L1751" s="1" t="s">
        <v>19</v>
      </c>
      <c r="M1751" s="1" t="str">
        <f>_xlfn.XLOOKUP(I1751,Parâmetros!A:A,Parâmetros!B:B,_xlfn.XLOOKUP(Q1751,Parâmetros!F:F,Parâmetros!G:G,"NOVA MENSAGEM"))</f>
        <v>CONTRATO FORNECEDOR</v>
      </c>
      <c r="N1751" s="1" t="str">
        <f>_xlfn.XLOOKUP(M1751,Parâmetros!K:K,Parâmetros!L:L,"")</f>
        <v>CONTRATO INATIVO OU DIVERGENTE</v>
      </c>
      <c r="O1751" s="1" t="str">
        <f>_xlfn.XLOOKUP(M1751,Parâmetros!B:B,Parâmetros!C:C,_xlfn.XLOOKUP(Base!M1743,Parâmetros!G:G,Parâmetros!H:H))</f>
        <v>SISTEMA</v>
      </c>
      <c r="P1751" s="1" t="str">
        <f>_xlfn.XLOOKUP(I1751,Parâmetros!A:A,Parâmetros!D:D,_xlfn.XLOOKUP(Q1751,Parâmetros!F:F,Parâmetros!I:I))</f>
        <v>OPERAÇÕES / SUPORTE KCS</v>
      </c>
      <c r="Q1751" s="1">
        <f t="shared" si="55"/>
        <v>69</v>
      </c>
    </row>
    <row r="1752" spans="1:17" x14ac:dyDescent="0.25">
      <c r="A1752" s="1" t="str">
        <f>_xlfn.XLOOKUP(D1752,'Novo relatório'!B:B,'Novo relatório'!C:C,"RESOLVIDO")</f>
        <v>SABRE</v>
      </c>
      <c r="C1752" t="str">
        <f t="shared" si="54"/>
        <v>PENDENTE</v>
      </c>
      <c r="D1752" s="1">
        <v>3408579</v>
      </c>
      <c r="E1752" s="1" t="s">
        <v>26</v>
      </c>
      <c r="F1752" s="2">
        <v>45785.45416666667</v>
      </c>
      <c r="G1752" s="1" t="s">
        <v>2242</v>
      </c>
      <c r="H1752" s="1" t="s">
        <v>2242</v>
      </c>
      <c r="I1752" s="1" t="s">
        <v>620</v>
      </c>
      <c r="J1752" s="2">
        <v>45785.544444444444</v>
      </c>
      <c r="L1752" s="1" t="s">
        <v>18</v>
      </c>
      <c r="M1752" s="1" t="str">
        <f>_xlfn.XLOOKUP(I1752,Parâmetros!A:A,Parâmetros!B:B,_xlfn.XLOOKUP(Q1752,Parâmetros!F:F,Parâmetros!G:G,"NOVA MENSAGEM"))</f>
        <v>CÓD. CLIENTE DIVERGENTE</v>
      </c>
      <c r="N1752" s="1" t="str">
        <f>_xlfn.XLOOKUP(M1752,Parâmetros!K:K,Parâmetros!L:L,"")</f>
        <v>CÓDIGO DIFERENTE DO CADASTRADO NO BENNER (CLIENTE X GRUPO)</v>
      </c>
      <c r="O1752" s="1" t="str">
        <f>_xlfn.XLOOKUP(M1752,Parâmetros!B:B,Parâmetros!C:C,_xlfn.XLOOKUP(Base!M1694,Parâmetros!G:G,Parâmetros!H:H))</f>
        <v>QUALIDADE DOS DADOS</v>
      </c>
      <c r="P1752" s="1" t="str">
        <f>_xlfn.XLOOKUP(I1752,Parâmetros!A:A,Parâmetros!D:D,_xlfn.XLOOKUP(Q1752,Parâmetros!F:F,Parâmetros!I:I))</f>
        <v>SUPORTE OBT</v>
      </c>
      <c r="Q1752" s="1">
        <f t="shared" si="55"/>
        <v>1</v>
      </c>
    </row>
    <row r="1753" spans="1:17" x14ac:dyDescent="0.25">
      <c r="A1753" s="1" t="str">
        <f>_xlfn.XLOOKUP(D1753,'Novo relatório'!B:B,'Novo relatório'!C:C,"RESOLVIDO")</f>
        <v>SABRE</v>
      </c>
      <c r="C1753" t="str">
        <f t="shared" si="54"/>
        <v>PENDENTE</v>
      </c>
      <c r="D1753" s="1">
        <v>3408580</v>
      </c>
      <c r="E1753" s="1" t="s">
        <v>26</v>
      </c>
      <c r="F1753" s="2">
        <v>45785.45416666667</v>
      </c>
      <c r="G1753" s="1" t="s">
        <v>2239</v>
      </c>
      <c r="H1753" s="1" t="s">
        <v>2239</v>
      </c>
      <c r="I1753" s="1" t="s">
        <v>746</v>
      </c>
      <c r="J1753" s="2">
        <v>45785.545138888891</v>
      </c>
      <c r="L1753" s="1" t="s">
        <v>18</v>
      </c>
      <c r="M1753" s="1" t="str">
        <f>_xlfn.XLOOKUP(I1753,Parâmetros!A:A,Parâmetros!B:B,_xlfn.XLOOKUP(Q1753,Parâmetros!F:F,Parâmetros!G:G,"NOVA MENSAGEM"))</f>
        <v>CÓD. CLIENTE DIVERGENTE</v>
      </c>
      <c r="N1753" s="1" t="str">
        <f>_xlfn.XLOOKUP(M1753,Parâmetros!K:K,Parâmetros!L:L,"")</f>
        <v>CÓDIGO DIFERENTE DO CADASTRADO NO BENNER (CLIENTE X GRUPO)</v>
      </c>
      <c r="O1753" s="1" t="str">
        <f>_xlfn.XLOOKUP(M1753,Parâmetros!B:B,Parâmetros!C:C,_xlfn.XLOOKUP(Base!M1691,Parâmetros!G:G,Parâmetros!H:H))</f>
        <v>QUALIDADE DOS DADOS</v>
      </c>
      <c r="P1753" s="1" t="str">
        <f>_xlfn.XLOOKUP(I1753,Parâmetros!A:A,Parâmetros!D:D,_xlfn.XLOOKUP(Q1753,Parâmetros!F:F,Parâmetros!I:I))</f>
        <v>SUPORTE OBT</v>
      </c>
      <c r="Q1753" s="1">
        <f t="shared" si="55"/>
        <v>1</v>
      </c>
    </row>
    <row r="1754" spans="1:17" x14ac:dyDescent="0.25">
      <c r="A1754" s="1" t="str">
        <f>_xlfn.XLOOKUP(D1754,'Novo relatório'!B:B,'Novo relatório'!C:C,"RESOLVIDO")</f>
        <v>SABRE</v>
      </c>
      <c r="C1754" t="str">
        <f t="shared" si="54"/>
        <v>PENDENTE</v>
      </c>
      <c r="D1754" s="1">
        <v>3408581</v>
      </c>
      <c r="E1754" s="1" t="s">
        <v>26</v>
      </c>
      <c r="F1754" s="2">
        <v>45785.45416666667</v>
      </c>
      <c r="G1754" s="1" t="s">
        <v>2246</v>
      </c>
      <c r="H1754" s="1" t="s">
        <v>2246</v>
      </c>
      <c r="I1754" s="1" t="s">
        <v>396</v>
      </c>
      <c r="J1754" s="2">
        <v>45785.545138888891</v>
      </c>
      <c r="L1754" s="1" t="s">
        <v>18</v>
      </c>
      <c r="M1754" s="1" t="str">
        <f>_xlfn.XLOOKUP(I1754,Parâmetros!A:A,Parâmetros!B:B,_xlfn.XLOOKUP(Q1754,Parâmetros!F:F,Parâmetros!G:G,"NOVA MENSAGEM"))</f>
        <v>CÓD. CLIENTE DIVERGENTE</v>
      </c>
      <c r="N1754" s="1" t="str">
        <f>_xlfn.XLOOKUP(M1754,Parâmetros!K:K,Parâmetros!L:L,"")</f>
        <v>CÓDIGO DIFERENTE DO CADASTRADO NO BENNER (CLIENTE X GRUPO)</v>
      </c>
      <c r="O1754" s="1" t="str">
        <f>_xlfn.XLOOKUP(M1754,Parâmetros!B:B,Parâmetros!C:C,_xlfn.XLOOKUP(Base!M1697,Parâmetros!G:G,Parâmetros!H:H))</f>
        <v>QUALIDADE DOS DADOS</v>
      </c>
      <c r="P1754" s="1" t="str">
        <f>_xlfn.XLOOKUP(I1754,Parâmetros!A:A,Parâmetros!D:D,_xlfn.XLOOKUP(Q1754,Parâmetros!F:F,Parâmetros!I:I))</f>
        <v>SUPORTE OBT</v>
      </c>
      <c r="Q1754" s="1">
        <f t="shared" si="55"/>
        <v>1</v>
      </c>
    </row>
    <row r="1755" spans="1:17" x14ac:dyDescent="0.25">
      <c r="A1755" s="1" t="str">
        <f>_xlfn.XLOOKUP(D1755,'Novo relatório'!B:B,'Novo relatório'!C:C,"RESOLVIDO")</f>
        <v>SABRE</v>
      </c>
      <c r="C1755" t="str">
        <f t="shared" si="54"/>
        <v>PENDENTE</v>
      </c>
      <c r="D1755" s="1">
        <v>3408591</v>
      </c>
      <c r="E1755" s="1" t="s">
        <v>26</v>
      </c>
      <c r="F1755" s="2">
        <v>45785.45416666667</v>
      </c>
      <c r="G1755" s="1" t="s">
        <v>2250</v>
      </c>
      <c r="H1755" s="1" t="s">
        <v>2250</v>
      </c>
      <c r="I1755" s="1" t="s">
        <v>396</v>
      </c>
      <c r="J1755" s="2">
        <v>45785.547222222223</v>
      </c>
      <c r="L1755" s="1" t="s">
        <v>18</v>
      </c>
      <c r="M1755" s="1" t="str">
        <f>_xlfn.XLOOKUP(I1755,Parâmetros!A:A,Parâmetros!B:B,_xlfn.XLOOKUP(Q1755,Parâmetros!F:F,Parâmetros!G:G,"NOVA MENSAGEM"))</f>
        <v>CÓD. CLIENTE DIVERGENTE</v>
      </c>
      <c r="N1755" s="1" t="str">
        <f>_xlfn.XLOOKUP(M1755,Parâmetros!K:K,Parâmetros!L:L,"")</f>
        <v>CÓDIGO DIFERENTE DO CADASTRADO NO BENNER (CLIENTE X GRUPO)</v>
      </c>
      <c r="O1755" s="1" t="str">
        <f>_xlfn.XLOOKUP(M1755,Parâmetros!B:B,Parâmetros!C:C,_xlfn.XLOOKUP(Base!M1701,Parâmetros!G:G,Parâmetros!H:H))</f>
        <v>QUALIDADE DOS DADOS</v>
      </c>
      <c r="P1755" s="1" t="str">
        <f>_xlfn.XLOOKUP(I1755,Parâmetros!A:A,Parâmetros!D:D,_xlfn.XLOOKUP(Q1755,Parâmetros!F:F,Parâmetros!I:I))</f>
        <v>SUPORTE OBT</v>
      </c>
      <c r="Q1755" s="1">
        <f t="shared" si="55"/>
        <v>1</v>
      </c>
    </row>
    <row r="1756" spans="1:17" x14ac:dyDescent="0.25">
      <c r="A1756" s="1" t="str">
        <f>_xlfn.XLOOKUP(D1756,'Novo relatório'!B:B,'Novo relatório'!C:C,"RESOLVIDO")</f>
        <v>RESOLVIDO</v>
      </c>
      <c r="C1756" t="str">
        <f t="shared" si="54"/>
        <v>RESOLVIDO</v>
      </c>
      <c r="D1756" s="1">
        <v>3409618</v>
      </c>
      <c r="E1756" s="1" t="s">
        <v>12</v>
      </c>
      <c r="F1756" s="2">
        <v>45785.681944444441</v>
      </c>
      <c r="G1756" s="1">
        <v>44341</v>
      </c>
      <c r="H1756" s="1">
        <v>44341</v>
      </c>
      <c r="I1756" s="1" t="s">
        <v>2359</v>
      </c>
      <c r="M1756" s="1" t="str">
        <f>_xlfn.XLOOKUP(I1756,Parâmetros!A:A,Parâmetros!B:B,_xlfn.XLOOKUP(Q1756,Parâmetros!F:F,Parâmetros!G:G,"NOVA MENSAGEM"))</f>
        <v>NOVA MENSAGEM</v>
      </c>
      <c r="N1756" s="1" t="str">
        <f>_xlfn.XLOOKUP(M1756,Parâmetros!K:K,Parâmetros!L:L,"")</f>
        <v/>
      </c>
      <c r="O1756" s="1" t="str">
        <f>_xlfn.XLOOKUP(M1756,Parâmetros!B:B,Parâmetros!C:C,_xlfn.XLOOKUP(Base!M1835,Parâmetros!G:G,Parâmetros!H:H))</f>
        <v>QUALIDADE DOS DADOS</v>
      </c>
      <c r="P1756" s="1" t="e">
        <f>_xlfn.XLOOKUP(I1756,Parâmetros!A:A,Parâmetros!D:D,_xlfn.XLOOKUP(Q1756,Parâmetros!F:F,Parâmetros!I:I))</f>
        <v>#N/A</v>
      </c>
      <c r="Q1756" s="1" t="str">
        <f t="shared" si="55"/>
        <v>COLUNA I</v>
      </c>
    </row>
    <row r="1757" spans="1:17" x14ac:dyDescent="0.25">
      <c r="A1757" s="1" t="str">
        <f>_xlfn.XLOOKUP(D1757,'Novo relatório'!B:B,'Novo relatório'!C:C,"RESOLVIDO")</f>
        <v>SABRE</v>
      </c>
      <c r="C1757" t="str">
        <f t="shared" si="54"/>
        <v>PENDENTE</v>
      </c>
      <c r="D1757" s="1">
        <v>3410258</v>
      </c>
      <c r="E1757" s="1" t="s">
        <v>26</v>
      </c>
      <c r="F1757" s="2">
        <v>45785.744444444441</v>
      </c>
      <c r="G1757" s="1" t="s">
        <v>2307</v>
      </c>
      <c r="H1757" s="1" t="s">
        <v>2307</v>
      </c>
      <c r="I1757" s="1" t="s">
        <v>83</v>
      </c>
      <c r="J1757" s="2">
        <v>45785.835416666669</v>
      </c>
      <c r="L1757" s="1" t="s">
        <v>18</v>
      </c>
      <c r="M1757" s="1" t="str">
        <f>_xlfn.XLOOKUP(I1757,Parâmetros!A:A,Parâmetros!B:B,_xlfn.XLOOKUP(Q1757,Parâmetros!F:F,Parâmetros!G:G,"NOVA MENSAGEM"))</f>
        <v>CLIENTE NÃO IDENTIFICADO</v>
      </c>
      <c r="N1757" s="1" t="str">
        <f>_xlfn.XLOOKUP(M1757,Parâmetros!K:K,Parâmetros!L:L,"")</f>
        <v>DK DE CLIENTE NÃO PREENCIDO / CLIENTE NÃO CONFIGURADO NO OBT</v>
      </c>
      <c r="O1757" s="1" t="str">
        <f>_xlfn.XLOOKUP(M1757,Parâmetros!B:B,Parâmetros!C:C,_xlfn.XLOOKUP(Base!M1781,Parâmetros!G:G,Parâmetros!H:H))</f>
        <v>INDEFINIDO</v>
      </c>
      <c r="P1757" s="1" t="str">
        <f>_xlfn.XLOOKUP(I1757,Parâmetros!A:A,Parâmetros!D:D,_xlfn.XLOOKUP(Q1757,Parâmetros!F:F,Parâmetros!I:I))</f>
        <v>OPERAÇÕES / SUPORTE KCS</v>
      </c>
      <c r="Q1757" s="1" t="str">
        <f t="shared" si="55"/>
        <v>COLUNA I</v>
      </c>
    </row>
    <row r="1758" spans="1:17" x14ac:dyDescent="0.25">
      <c r="A1758" s="1" t="str">
        <f>_xlfn.XLOOKUP(D1758,'Novo relatório'!B:B,'Novo relatório'!C:C,"RESOLVIDO")</f>
        <v>SABRE</v>
      </c>
      <c r="C1758" t="str">
        <f t="shared" si="54"/>
        <v>PENDENTE</v>
      </c>
      <c r="D1758" s="1">
        <v>3410261</v>
      </c>
      <c r="E1758" s="1" t="s">
        <v>26</v>
      </c>
      <c r="F1758" s="2">
        <v>45785.744444444441</v>
      </c>
      <c r="G1758" s="1" t="s">
        <v>2316</v>
      </c>
      <c r="H1758" s="1" t="s">
        <v>2316</v>
      </c>
      <c r="I1758" s="1" t="s">
        <v>396</v>
      </c>
      <c r="J1758" s="2">
        <v>45785.835416666669</v>
      </c>
      <c r="L1758" s="1" t="s">
        <v>18</v>
      </c>
      <c r="M1758" s="1" t="str">
        <f>_xlfn.XLOOKUP(I1758,Parâmetros!A:A,Parâmetros!B:B,_xlfn.XLOOKUP(Q1758,Parâmetros!F:F,Parâmetros!G:G,"NOVA MENSAGEM"))</f>
        <v>CÓD. CLIENTE DIVERGENTE</v>
      </c>
      <c r="N1758" s="1" t="str">
        <f>_xlfn.XLOOKUP(M1758,Parâmetros!K:K,Parâmetros!L:L,"")</f>
        <v>CÓDIGO DIFERENTE DO CADASTRADO NO BENNER (CLIENTE X GRUPO)</v>
      </c>
      <c r="O1758" s="1" t="str">
        <f>_xlfn.XLOOKUP(M1758,Parâmetros!B:B,Parâmetros!C:C,_xlfn.XLOOKUP(Base!M1790,Parâmetros!G:G,Parâmetros!H:H))</f>
        <v>QUALIDADE DOS DADOS</v>
      </c>
      <c r="P1758" s="1" t="str">
        <f>_xlfn.XLOOKUP(I1758,Parâmetros!A:A,Parâmetros!D:D,_xlfn.XLOOKUP(Q1758,Parâmetros!F:F,Parâmetros!I:I))</f>
        <v>SUPORTE OBT</v>
      </c>
      <c r="Q1758" s="1">
        <f t="shared" si="55"/>
        <v>1</v>
      </c>
    </row>
    <row r="1759" spans="1:17" x14ac:dyDescent="0.25">
      <c r="A1759" s="1" t="str">
        <f>_xlfn.XLOOKUP(D1759,'Novo relatório'!B:B,'Novo relatório'!C:C,"RESOLVIDO")</f>
        <v>SABRE</v>
      </c>
      <c r="C1759" t="str">
        <f t="shared" si="54"/>
        <v>PENDENTE</v>
      </c>
      <c r="D1759" s="1">
        <v>3410262</v>
      </c>
      <c r="E1759" s="1" t="s">
        <v>26</v>
      </c>
      <c r="F1759" s="2">
        <v>45785.744444444441</v>
      </c>
      <c r="G1759" s="1" t="s">
        <v>2313</v>
      </c>
      <c r="H1759" s="1" t="s">
        <v>2313</v>
      </c>
      <c r="I1759" s="1" t="s">
        <v>83</v>
      </c>
      <c r="J1759" s="2">
        <v>45785.835416666669</v>
      </c>
      <c r="L1759" s="1" t="s">
        <v>18</v>
      </c>
      <c r="M1759" s="1" t="str">
        <f>_xlfn.XLOOKUP(I1759,Parâmetros!A:A,Parâmetros!B:B,_xlfn.XLOOKUP(Q1759,Parâmetros!F:F,Parâmetros!G:G,"NOVA MENSAGEM"))</f>
        <v>CLIENTE NÃO IDENTIFICADO</v>
      </c>
      <c r="N1759" s="1" t="str">
        <f>_xlfn.XLOOKUP(M1759,Parâmetros!K:K,Parâmetros!L:L,"")</f>
        <v>DK DE CLIENTE NÃO PREENCIDO / CLIENTE NÃO CONFIGURADO NO OBT</v>
      </c>
      <c r="O1759" s="1" t="str">
        <f>_xlfn.XLOOKUP(M1759,Parâmetros!B:B,Parâmetros!C:C,_xlfn.XLOOKUP(Base!M1787,Parâmetros!G:G,Parâmetros!H:H))</f>
        <v>INDEFINIDO</v>
      </c>
      <c r="P1759" s="1" t="str">
        <f>_xlfn.XLOOKUP(I1759,Parâmetros!A:A,Parâmetros!D:D,_xlfn.XLOOKUP(Q1759,Parâmetros!F:F,Parâmetros!I:I))</f>
        <v>OPERAÇÕES / SUPORTE KCS</v>
      </c>
      <c r="Q1759" s="1" t="str">
        <f t="shared" si="55"/>
        <v>COLUNA I</v>
      </c>
    </row>
    <row r="1760" spans="1:17" x14ac:dyDescent="0.25">
      <c r="A1760" s="1" t="str">
        <f>_xlfn.XLOOKUP(D1760,'Novo relatório'!B:B,'Novo relatório'!C:C,"RESOLVIDO")</f>
        <v>SABRE</v>
      </c>
      <c r="C1760" t="str">
        <f t="shared" si="54"/>
        <v>PENDENTE</v>
      </c>
      <c r="D1760" s="1">
        <v>3410265</v>
      </c>
      <c r="E1760" s="1" t="s">
        <v>26</v>
      </c>
      <c r="F1760" s="2">
        <v>45785.744444444441</v>
      </c>
      <c r="G1760" s="1" t="s">
        <v>2287</v>
      </c>
      <c r="H1760" s="1" t="s">
        <v>2287</v>
      </c>
      <c r="I1760" s="1" t="s">
        <v>1174</v>
      </c>
      <c r="J1760" s="2">
        <v>45785.835416666669</v>
      </c>
      <c r="L1760" s="1" t="s">
        <v>18</v>
      </c>
      <c r="M1760" s="1" t="str">
        <f>_xlfn.XLOOKUP(I1760,Parâmetros!A:A,Parâmetros!B:B,_xlfn.XLOOKUP(Q1760,Parâmetros!F:F,Parâmetros!G:G,"NOVA MENSAGEM"))</f>
        <v>REMARK - CNPJ</v>
      </c>
      <c r="N1760" s="1" t="str">
        <f>_xlfn.XLOOKUP(M1760,Parâmetros!K:K,Parâmetros!L:L,"")</f>
        <v/>
      </c>
      <c r="O1760" s="1" t="str">
        <f>_xlfn.XLOOKUP(M1760,Parâmetros!B:B,Parâmetros!C:C,_xlfn.XLOOKUP(Base!M1762,Parâmetros!G:G,Parâmetros!H:H))</f>
        <v>QUALIDADE DOS DADOS</v>
      </c>
      <c r="P1760" s="1" t="str">
        <f>_xlfn.XLOOKUP(I1760,Parâmetros!A:A,Parâmetros!D:D,_xlfn.XLOOKUP(Q1760,Parâmetros!F:F,Parâmetros!I:I))</f>
        <v>OPERAÇÕES / SUPORTE KCS</v>
      </c>
      <c r="Q1760" s="1">
        <f t="shared" si="55"/>
        <v>24</v>
      </c>
    </row>
    <row r="1761" spans="1:17" x14ac:dyDescent="0.25">
      <c r="A1761" s="1" t="str">
        <f>_xlfn.XLOOKUP(D1761,'Novo relatório'!B:B,'Novo relatório'!C:C,"RESOLVIDO")</f>
        <v>SABRE</v>
      </c>
      <c r="C1761" t="str">
        <f t="shared" si="54"/>
        <v>PENDENTE</v>
      </c>
      <c r="D1761" s="1">
        <v>3410272</v>
      </c>
      <c r="E1761" s="1" t="s">
        <v>26</v>
      </c>
      <c r="F1761" s="2">
        <v>45785.744444444441</v>
      </c>
      <c r="G1761" s="1" t="s">
        <v>2348</v>
      </c>
      <c r="H1761" s="1" t="s">
        <v>2348</v>
      </c>
      <c r="I1761" s="1" t="s">
        <v>620</v>
      </c>
      <c r="J1761" s="2">
        <v>45785.836805555555</v>
      </c>
      <c r="L1761" s="1" t="s">
        <v>18</v>
      </c>
      <c r="M1761" s="1" t="str">
        <f>_xlfn.XLOOKUP(I1761,Parâmetros!A:A,Parâmetros!B:B,_xlfn.XLOOKUP(Q1761,Parâmetros!F:F,Parâmetros!G:G,"NOVA MENSAGEM"))</f>
        <v>CÓD. CLIENTE DIVERGENTE</v>
      </c>
      <c r="N1761" s="1" t="str">
        <f>_xlfn.XLOOKUP(M1761,Parâmetros!K:K,Parâmetros!L:L,"")</f>
        <v>CÓDIGO DIFERENTE DO CADASTRADO NO BENNER (CLIENTE X GRUPO)</v>
      </c>
      <c r="O1761" s="1" t="str">
        <f>_xlfn.XLOOKUP(M1761,Parâmetros!B:B,Parâmetros!C:C,_xlfn.XLOOKUP(Base!M1821,Parâmetros!G:G,Parâmetros!H:H))</f>
        <v>QUALIDADE DOS DADOS</v>
      </c>
      <c r="P1761" s="1" t="str">
        <f>_xlfn.XLOOKUP(I1761,Parâmetros!A:A,Parâmetros!D:D,_xlfn.XLOOKUP(Q1761,Parâmetros!F:F,Parâmetros!I:I))</f>
        <v>SUPORTE OBT</v>
      </c>
      <c r="Q1761" s="1">
        <f t="shared" si="55"/>
        <v>1</v>
      </c>
    </row>
    <row r="1762" spans="1:17" x14ac:dyDescent="0.25">
      <c r="A1762" s="1" t="str">
        <f>_xlfn.XLOOKUP(D1762,'Novo relatório'!B:B,'Novo relatório'!C:C,"RESOLVIDO")</f>
        <v>SABRE</v>
      </c>
      <c r="C1762" t="str">
        <f t="shared" si="54"/>
        <v>PENDENTE</v>
      </c>
      <c r="D1762" s="1">
        <v>3410276</v>
      </c>
      <c r="E1762" s="1" t="s">
        <v>26</v>
      </c>
      <c r="F1762" s="2">
        <v>45785.744444444441</v>
      </c>
      <c r="G1762" s="1" t="s">
        <v>2349</v>
      </c>
      <c r="H1762" s="1" t="s">
        <v>2349</v>
      </c>
      <c r="I1762" s="1" t="s">
        <v>410</v>
      </c>
      <c r="J1762" s="2">
        <v>45785.838194444441</v>
      </c>
      <c r="L1762" s="1" t="s">
        <v>18</v>
      </c>
      <c r="M1762" s="1" t="str">
        <f>_xlfn.XLOOKUP(I1762,Parâmetros!A:A,Parâmetros!B:B,_xlfn.XLOOKUP(Q1762,Parâmetros!F:F,Parâmetros!G:G,"NOVA MENSAGEM"))</f>
        <v>CÓD. CLIENTE DIVERGENTE</v>
      </c>
      <c r="N1762" s="1" t="str">
        <f>_xlfn.XLOOKUP(M1762,Parâmetros!K:K,Parâmetros!L:L,"")</f>
        <v>CÓDIGO DIFERENTE DO CADASTRADO NO BENNER (CLIENTE X GRUPO)</v>
      </c>
      <c r="O1762" s="1" t="str">
        <f>_xlfn.XLOOKUP(M1762,Parâmetros!B:B,Parâmetros!C:C,_xlfn.XLOOKUP(Base!M1822,Parâmetros!G:G,Parâmetros!H:H))</f>
        <v>QUALIDADE DOS DADOS</v>
      </c>
      <c r="P1762" s="1" t="str">
        <f>_xlfn.XLOOKUP(I1762,Parâmetros!A:A,Parâmetros!D:D,_xlfn.XLOOKUP(Q1762,Parâmetros!F:F,Parâmetros!I:I))</f>
        <v>SUPORTE OBT</v>
      </c>
      <c r="Q1762" s="1">
        <f t="shared" si="55"/>
        <v>1</v>
      </c>
    </row>
    <row r="1763" spans="1:17" x14ac:dyDescent="0.25">
      <c r="A1763" s="1" t="str">
        <f>_xlfn.XLOOKUP(D1763,'Novo relatório'!B:B,'Novo relatório'!C:C,"RESOLVIDO")</f>
        <v>SABRE</v>
      </c>
      <c r="C1763" t="str">
        <f t="shared" si="54"/>
        <v>PENDENTE</v>
      </c>
      <c r="D1763" s="1">
        <v>3410280</v>
      </c>
      <c r="E1763" s="1" t="s">
        <v>26</v>
      </c>
      <c r="F1763" s="2">
        <v>45785.744444444441</v>
      </c>
      <c r="G1763" s="1" t="s">
        <v>2315</v>
      </c>
      <c r="H1763" s="1" t="s">
        <v>2315</v>
      </c>
      <c r="I1763" s="1" t="s">
        <v>408</v>
      </c>
      <c r="J1763" s="2">
        <v>45785.838888888888</v>
      </c>
      <c r="L1763" s="1" t="s">
        <v>18</v>
      </c>
      <c r="M1763" s="1" t="str">
        <f>_xlfn.XLOOKUP(I1763,Parâmetros!A:A,Parâmetros!B:B,_xlfn.XLOOKUP(Q1763,Parâmetros!F:F,Parâmetros!G:G,"NOVA MENSAGEM"))</f>
        <v>CÓD. CLIENTE DIVERGENTE</v>
      </c>
      <c r="N1763" s="1" t="str">
        <f>_xlfn.XLOOKUP(M1763,Parâmetros!K:K,Parâmetros!L:L,"")</f>
        <v>CÓDIGO DIFERENTE DO CADASTRADO NO BENNER (CLIENTE X GRUPO)</v>
      </c>
      <c r="O1763" s="1" t="str">
        <f>_xlfn.XLOOKUP(M1763,Parâmetros!B:B,Parâmetros!C:C,_xlfn.XLOOKUP(Base!M1789,Parâmetros!G:G,Parâmetros!H:H))</f>
        <v>QUALIDADE DOS DADOS</v>
      </c>
      <c r="P1763" s="1" t="str">
        <f>_xlfn.XLOOKUP(I1763,Parâmetros!A:A,Parâmetros!D:D,_xlfn.XLOOKUP(Q1763,Parâmetros!F:F,Parâmetros!I:I))</f>
        <v>SUPORTE OBT</v>
      </c>
      <c r="Q1763" s="1">
        <f t="shared" si="55"/>
        <v>1</v>
      </c>
    </row>
    <row r="1764" spans="1:17" x14ac:dyDescent="0.25">
      <c r="A1764" s="1" t="str">
        <f>_xlfn.XLOOKUP(D1764,'Novo relatório'!B:B,'Novo relatório'!C:C,"RESOLVIDO")</f>
        <v>SABRE</v>
      </c>
      <c r="C1764" t="str">
        <f t="shared" si="54"/>
        <v>PENDENTE</v>
      </c>
      <c r="D1764" s="1">
        <v>3410281</v>
      </c>
      <c r="E1764" s="1" t="s">
        <v>26</v>
      </c>
      <c r="F1764" s="2">
        <v>45785.744444444441</v>
      </c>
      <c r="G1764" s="1" t="s">
        <v>2286</v>
      </c>
      <c r="H1764" s="1" t="s">
        <v>2286</v>
      </c>
      <c r="I1764" s="1" t="s">
        <v>408</v>
      </c>
      <c r="J1764" s="2">
        <v>45785.838888888888</v>
      </c>
      <c r="L1764" s="1" t="s">
        <v>18</v>
      </c>
      <c r="M1764" s="1" t="str">
        <f>_xlfn.XLOOKUP(I1764,Parâmetros!A:A,Parâmetros!B:B,_xlfn.XLOOKUP(Q1764,Parâmetros!F:F,Parâmetros!G:G,"NOVA MENSAGEM"))</f>
        <v>CÓD. CLIENTE DIVERGENTE</v>
      </c>
      <c r="N1764" s="1" t="str">
        <f>_xlfn.XLOOKUP(M1764,Parâmetros!K:K,Parâmetros!L:L,"")</f>
        <v>CÓDIGO DIFERENTE DO CADASTRADO NO BENNER (CLIENTE X GRUPO)</v>
      </c>
      <c r="O1764" s="1" t="str">
        <f>_xlfn.XLOOKUP(M1764,Parâmetros!B:B,Parâmetros!C:C,_xlfn.XLOOKUP(Base!M1761,Parâmetros!G:G,Parâmetros!H:H))</f>
        <v>QUALIDADE DOS DADOS</v>
      </c>
      <c r="P1764" s="1" t="str">
        <f>_xlfn.XLOOKUP(I1764,Parâmetros!A:A,Parâmetros!D:D,_xlfn.XLOOKUP(Q1764,Parâmetros!F:F,Parâmetros!I:I))</f>
        <v>SUPORTE OBT</v>
      </c>
      <c r="Q1764" s="1">
        <f t="shared" si="55"/>
        <v>1</v>
      </c>
    </row>
    <row r="1765" spans="1:17" x14ac:dyDescent="0.25">
      <c r="A1765" s="1" t="str">
        <f>_xlfn.XLOOKUP(D1765,'Novo relatório'!B:B,'Novo relatório'!C:C,"RESOLVIDO")</f>
        <v>RESOLVIDO</v>
      </c>
      <c r="C1765" t="str">
        <f t="shared" si="54"/>
        <v>RESOLVIDO</v>
      </c>
      <c r="D1765" s="1">
        <v>3410309</v>
      </c>
      <c r="E1765" s="1" t="s">
        <v>12</v>
      </c>
      <c r="F1765" s="2">
        <v>45785.753472222219</v>
      </c>
      <c r="G1765" s="1">
        <v>6700</v>
      </c>
      <c r="H1765" s="1">
        <v>6700</v>
      </c>
      <c r="I1765" s="1" t="s">
        <v>16</v>
      </c>
      <c r="J1765" s="2">
        <v>45785.956250000003</v>
      </c>
      <c r="K1765" s="2">
        <v>45788.996527777781</v>
      </c>
      <c r="L1765" s="1" t="s">
        <v>14</v>
      </c>
      <c r="M1765" s="1" t="str">
        <f>_xlfn.XLOOKUP(I1765,Parâmetros!A:A,Parâmetros!B:B,_xlfn.XLOOKUP(Q1765,Parâmetros!F:F,Parâmetros!G:G,"NOVA MENSAGEM"))</f>
        <v>ASSENTO / BAGAGEM</v>
      </c>
      <c r="N1765" s="1" t="str">
        <f>_xlfn.XLOOKUP(M1765,Parâmetros!K:K,Parâmetros!L:L,"")</f>
        <v>CAMPO OBSERVAÇÃO PREENCHIDO INCORRETAMENTE</v>
      </c>
      <c r="O1765" s="1" t="str">
        <f>_xlfn.XLOOKUP(M1765,Parâmetros!B:B,Parâmetros!C:C,_xlfn.XLOOKUP(Base!M1842,Parâmetros!G:G,Parâmetros!H:H))</f>
        <v>QUALIDADE DOS DADOS</v>
      </c>
      <c r="P1765" s="1" t="str">
        <f>_xlfn.XLOOKUP(I1765,Parâmetros!A:A,Parâmetros!D:D,_xlfn.XLOOKUP(Q1765,Parâmetros!F:F,Parâmetros!I:I))</f>
        <v>OPERAÇÕES / SUPORTE KCS</v>
      </c>
      <c r="Q1765" s="1">
        <f t="shared" si="55"/>
        <v>118</v>
      </c>
    </row>
    <row r="1766" spans="1:17" x14ac:dyDescent="0.25">
      <c r="A1766" s="1" t="str">
        <f>_xlfn.XLOOKUP(D1766,'Novo relatório'!B:B,'Novo relatório'!C:C,"RESOLVIDO")</f>
        <v>RESOLVIDO</v>
      </c>
      <c r="C1766" t="str">
        <f t="shared" si="54"/>
        <v>RESOLVIDO</v>
      </c>
      <c r="D1766" s="1">
        <v>3410982</v>
      </c>
      <c r="E1766" s="1" t="s">
        <v>12</v>
      </c>
      <c r="F1766" s="2">
        <v>45786.442361111112</v>
      </c>
      <c r="G1766" s="1">
        <v>6704</v>
      </c>
      <c r="H1766" s="1">
        <v>6704</v>
      </c>
      <c r="I1766" s="1" t="s">
        <v>16</v>
      </c>
      <c r="J1766" s="2">
        <v>45786.46597222222</v>
      </c>
      <c r="K1766" s="2">
        <v>45789.505555555559</v>
      </c>
      <c r="L1766" s="1" t="s">
        <v>14</v>
      </c>
      <c r="M1766" s="1" t="str">
        <f>_xlfn.XLOOKUP(I1766,Parâmetros!A:A,Parâmetros!B:B,_xlfn.XLOOKUP(Q1766,Parâmetros!F:F,Parâmetros!G:G,"NOVA MENSAGEM"))</f>
        <v>ASSENTO / BAGAGEM</v>
      </c>
      <c r="N1766" s="1" t="str">
        <f>_xlfn.XLOOKUP(M1766,Parâmetros!K:K,Parâmetros!L:L,"")</f>
        <v>CAMPO OBSERVAÇÃO PREENCHIDO INCORRETAMENTE</v>
      </c>
      <c r="O1766" s="1" t="str">
        <f>_xlfn.XLOOKUP(M1766,Parâmetros!B:B,Parâmetros!C:C,_xlfn.XLOOKUP(Base!M1843,Parâmetros!G:G,Parâmetros!H:H))</f>
        <v>QUALIDADE DOS DADOS</v>
      </c>
      <c r="P1766" s="1" t="str">
        <f>_xlfn.XLOOKUP(I1766,Parâmetros!A:A,Parâmetros!D:D,_xlfn.XLOOKUP(Q1766,Parâmetros!F:F,Parâmetros!I:I))</f>
        <v>OPERAÇÕES / SUPORTE KCS</v>
      </c>
      <c r="Q1766" s="1">
        <f t="shared" si="55"/>
        <v>118</v>
      </c>
    </row>
    <row r="1767" spans="1:17" x14ac:dyDescent="0.25">
      <c r="A1767" s="1" t="str">
        <f>_xlfn.XLOOKUP(D1767,'Novo relatório'!B:B,'Novo relatório'!C:C,"RESOLVIDO")</f>
        <v>SABRE</v>
      </c>
      <c r="C1767" t="str">
        <f t="shared" si="54"/>
        <v>PENDENTE</v>
      </c>
      <c r="D1767" s="1">
        <v>3411120</v>
      </c>
      <c r="E1767" s="1" t="s">
        <v>26</v>
      </c>
      <c r="F1767" s="2">
        <v>45786.386111111111</v>
      </c>
      <c r="G1767" s="1" t="s">
        <v>2351</v>
      </c>
      <c r="H1767" s="1" t="s">
        <v>2352</v>
      </c>
      <c r="I1767" s="1" t="s">
        <v>393</v>
      </c>
      <c r="J1767" s="2">
        <v>45786.479166666664</v>
      </c>
      <c r="L1767" s="1" t="s">
        <v>19</v>
      </c>
      <c r="M1767" s="1" t="str">
        <f>_xlfn.XLOOKUP(I1767,Parâmetros!A:A,Parâmetros!B:B,_xlfn.XLOOKUP(Q1767,Parâmetros!F:F,Parâmetros!G:G,"NOVA MENSAGEM"))</f>
        <v>CONTRATO FORNECEDOR</v>
      </c>
      <c r="N1767" s="1" t="str">
        <f>_xlfn.XLOOKUP(M1767,Parâmetros!K:K,Parâmetros!L:L,"")</f>
        <v>CONTRATO INATIVO OU DIVERGENTE</v>
      </c>
      <c r="O1767" s="1" t="str">
        <f>_xlfn.XLOOKUP(M1767,Parâmetros!B:B,Parâmetros!C:C,_xlfn.XLOOKUP(Base!M1824,Parâmetros!G:G,Parâmetros!H:H))</f>
        <v>SISTEMA</v>
      </c>
      <c r="P1767" s="1" t="str">
        <f>_xlfn.XLOOKUP(I1767,Parâmetros!A:A,Parâmetros!D:D,_xlfn.XLOOKUP(Q1767,Parâmetros!F:F,Parâmetros!I:I))</f>
        <v>OPERAÇÕES / SUPORTE KCS</v>
      </c>
      <c r="Q1767" s="1">
        <f t="shared" si="55"/>
        <v>43</v>
      </c>
    </row>
    <row r="1768" spans="1:17" x14ac:dyDescent="0.25">
      <c r="A1768" s="1" t="str">
        <f>_xlfn.XLOOKUP(D1768,'Novo relatório'!B:B,'Novo relatório'!C:C,"RESOLVIDO")</f>
        <v>SABRE</v>
      </c>
      <c r="C1768" t="str">
        <f t="shared" si="54"/>
        <v>PENDENTE</v>
      </c>
      <c r="D1768" s="1">
        <v>3411319</v>
      </c>
      <c r="E1768" s="1" t="s">
        <v>26</v>
      </c>
      <c r="F1768" s="2">
        <v>45786.424305555556</v>
      </c>
      <c r="G1768" s="1" t="s">
        <v>2321</v>
      </c>
      <c r="H1768" s="1" t="s">
        <v>2321</v>
      </c>
      <c r="I1768" s="1" t="s">
        <v>273</v>
      </c>
      <c r="J1768" s="2">
        <v>45786.511111111111</v>
      </c>
      <c r="L1768" s="1" t="s">
        <v>1245</v>
      </c>
      <c r="M1768" s="1" t="str">
        <f>_xlfn.XLOOKUP(I1768,Parâmetros!A:A,Parâmetros!B:B,_xlfn.XLOOKUP(Q1768,Parâmetros!F:F,Parâmetros!G:G,"NOVA MENSAGEM"))</f>
        <v>VENDA CANCELADA</v>
      </c>
      <c r="N1768" s="1" t="str">
        <f>_xlfn.XLOOKUP(M1768,Parâmetros!K:K,Parâmetros!L:L,"")</f>
        <v>RESERVA CANCELADA NO OBT</v>
      </c>
      <c r="O1768" s="1" t="str">
        <f>_xlfn.XLOOKUP(M1768,Parâmetros!B:B,Parâmetros!C:C,_xlfn.XLOOKUP(Base!M1795,Parâmetros!G:G,Parâmetros!H:H))</f>
        <v>SISTEMA</v>
      </c>
      <c r="P1768" s="1" t="str">
        <f>_xlfn.XLOOKUP(I1768,Parâmetros!A:A,Parâmetros!D:D,_xlfn.XLOOKUP(Q1768,Parâmetros!F:F,Parâmetros!I:I))</f>
        <v>SUPORTE OBT</v>
      </c>
      <c r="Q1768" s="1" t="str">
        <f t="shared" si="55"/>
        <v>COLUNA I</v>
      </c>
    </row>
    <row r="1769" spans="1:17" x14ac:dyDescent="0.25">
      <c r="A1769" s="1" t="str">
        <f>_xlfn.XLOOKUP(D1769,'Novo relatório'!B:B,'Novo relatório'!C:C,"RESOLVIDO")</f>
        <v>SABRE</v>
      </c>
      <c r="C1769" t="str">
        <f t="shared" si="54"/>
        <v>PENDENTE</v>
      </c>
      <c r="D1769" s="1">
        <v>3411410</v>
      </c>
      <c r="E1769" s="1" t="s">
        <v>26</v>
      </c>
      <c r="F1769" s="2">
        <v>45786.479166666664</v>
      </c>
      <c r="G1769" s="1" t="s">
        <v>2345</v>
      </c>
      <c r="H1769" s="1" t="s">
        <v>2345</v>
      </c>
      <c r="I1769" s="1" t="s">
        <v>396</v>
      </c>
      <c r="J1769" s="2">
        <v>45786.563888888886</v>
      </c>
      <c r="L1769" s="1" t="s">
        <v>18</v>
      </c>
      <c r="M1769" s="1" t="str">
        <f>_xlfn.XLOOKUP(I1769,Parâmetros!A:A,Parâmetros!B:B,_xlfn.XLOOKUP(Q1769,Parâmetros!F:F,Parâmetros!G:G,"NOVA MENSAGEM"))</f>
        <v>CÓD. CLIENTE DIVERGENTE</v>
      </c>
      <c r="N1769" s="1" t="str">
        <f>_xlfn.XLOOKUP(M1769,Parâmetros!K:K,Parâmetros!L:L,"")</f>
        <v>CÓDIGO DIFERENTE DO CADASTRADO NO BENNER (CLIENTE X GRUPO)</v>
      </c>
      <c r="O1769" s="1" t="str">
        <f>_xlfn.XLOOKUP(M1769,Parâmetros!B:B,Parâmetros!C:C,_xlfn.XLOOKUP(Base!M1818,Parâmetros!G:G,Parâmetros!H:H))</f>
        <v>QUALIDADE DOS DADOS</v>
      </c>
      <c r="P1769" s="1" t="str">
        <f>_xlfn.XLOOKUP(I1769,Parâmetros!A:A,Parâmetros!D:D,_xlfn.XLOOKUP(Q1769,Parâmetros!F:F,Parâmetros!I:I))</f>
        <v>SUPORTE OBT</v>
      </c>
      <c r="Q1769" s="1">
        <f t="shared" si="55"/>
        <v>1</v>
      </c>
    </row>
    <row r="1770" spans="1:17" x14ac:dyDescent="0.25">
      <c r="A1770" s="1" t="str">
        <f>_xlfn.XLOOKUP(D1770,'Novo relatório'!B:B,'Novo relatório'!C:C,"RESOLVIDO")</f>
        <v>SABRE</v>
      </c>
      <c r="C1770" t="str">
        <f t="shared" si="54"/>
        <v>PENDENTE</v>
      </c>
      <c r="D1770" s="1">
        <v>3411412</v>
      </c>
      <c r="E1770" s="1" t="s">
        <v>26</v>
      </c>
      <c r="F1770" s="2">
        <v>45786.479166666664</v>
      </c>
      <c r="G1770" s="1" t="s">
        <v>2281</v>
      </c>
      <c r="H1770" s="1" t="s">
        <v>2281</v>
      </c>
      <c r="I1770" s="1" t="s">
        <v>408</v>
      </c>
      <c r="J1770" s="2">
        <v>45786.563888888886</v>
      </c>
      <c r="L1770" s="1" t="s">
        <v>18</v>
      </c>
      <c r="M1770" s="1" t="str">
        <f>_xlfn.XLOOKUP(I1770,Parâmetros!A:A,Parâmetros!B:B,_xlfn.XLOOKUP(Q1770,Parâmetros!F:F,Parâmetros!G:G,"NOVA MENSAGEM"))</f>
        <v>CÓD. CLIENTE DIVERGENTE</v>
      </c>
      <c r="N1770" s="1" t="str">
        <f>_xlfn.XLOOKUP(M1770,Parâmetros!K:K,Parâmetros!L:L,"")</f>
        <v>CÓDIGO DIFERENTE DO CADASTRADO NO BENNER (CLIENTE X GRUPO)</v>
      </c>
      <c r="O1770" s="1" t="str">
        <f>_xlfn.XLOOKUP(M1770,Parâmetros!B:B,Parâmetros!C:C,_xlfn.XLOOKUP(Base!M1758,Parâmetros!G:G,Parâmetros!H:H))</f>
        <v>QUALIDADE DOS DADOS</v>
      </c>
      <c r="P1770" s="1" t="str">
        <f>_xlfn.XLOOKUP(I1770,Parâmetros!A:A,Parâmetros!D:D,_xlfn.XLOOKUP(Q1770,Parâmetros!F:F,Parâmetros!I:I))</f>
        <v>SUPORTE OBT</v>
      </c>
      <c r="Q1770" s="1">
        <f t="shared" si="55"/>
        <v>1</v>
      </c>
    </row>
    <row r="1771" spans="1:17" x14ac:dyDescent="0.25">
      <c r="A1771" s="1" t="str">
        <f>_xlfn.XLOOKUP(D1771,'Novo relatório'!B:B,'Novo relatório'!C:C,"RESOLVIDO")</f>
        <v>SABRE</v>
      </c>
      <c r="C1771" t="str">
        <f t="shared" si="54"/>
        <v>PENDENTE</v>
      </c>
      <c r="D1771" s="1">
        <v>3411413</v>
      </c>
      <c r="E1771" s="1" t="s">
        <v>26</v>
      </c>
      <c r="F1771" s="2">
        <v>45786.479166666664</v>
      </c>
      <c r="G1771" s="1" t="s">
        <v>2290</v>
      </c>
      <c r="H1771" s="1" t="s">
        <v>2290</v>
      </c>
      <c r="I1771" s="1" t="s">
        <v>707</v>
      </c>
      <c r="J1771" s="2">
        <v>45786.564583333333</v>
      </c>
      <c r="L1771" s="1" t="s">
        <v>18</v>
      </c>
      <c r="M1771" s="1" t="str">
        <f>_xlfn.XLOOKUP(I1771,Parâmetros!A:A,Parâmetros!B:B,_xlfn.XLOOKUP(Q1771,Parâmetros!F:F,Parâmetros!G:G,"NOVA MENSAGEM"))</f>
        <v>CÓD. CLIENTE DIVERGENTE</v>
      </c>
      <c r="N1771" s="1" t="str">
        <f>_xlfn.XLOOKUP(M1771,Parâmetros!K:K,Parâmetros!L:L,"")</f>
        <v>CÓDIGO DIFERENTE DO CADASTRADO NO BENNER (CLIENTE X GRUPO)</v>
      </c>
      <c r="O1771" s="1" t="str">
        <f>_xlfn.XLOOKUP(M1771,Parâmetros!B:B,Parâmetros!C:C,_xlfn.XLOOKUP(Base!M1765,Parâmetros!G:G,Parâmetros!H:H))</f>
        <v>QUALIDADE DOS DADOS</v>
      </c>
      <c r="P1771" s="1" t="str">
        <f>_xlfn.XLOOKUP(I1771,Parâmetros!A:A,Parâmetros!D:D,_xlfn.XLOOKUP(Q1771,Parâmetros!F:F,Parâmetros!I:I))</f>
        <v>SUPORTE OBT</v>
      </c>
      <c r="Q1771" s="1">
        <f t="shared" si="55"/>
        <v>1</v>
      </c>
    </row>
    <row r="1772" spans="1:17" x14ac:dyDescent="0.25">
      <c r="A1772" s="1" t="str">
        <f>_xlfn.XLOOKUP(D1772,'Novo relatório'!B:B,'Novo relatório'!C:C,"RESOLVIDO")</f>
        <v>SABRE</v>
      </c>
      <c r="C1772" t="str">
        <f t="shared" si="54"/>
        <v>PENDENTE</v>
      </c>
      <c r="D1772" s="1">
        <v>3411415</v>
      </c>
      <c r="E1772" s="1" t="s">
        <v>26</v>
      </c>
      <c r="F1772" s="2">
        <v>45786.479166666664</v>
      </c>
      <c r="G1772" s="1" t="s">
        <v>2298</v>
      </c>
      <c r="H1772" s="1" t="s">
        <v>2298</v>
      </c>
      <c r="I1772" s="1" t="s">
        <v>83</v>
      </c>
      <c r="J1772" s="2">
        <v>45786.564583333333</v>
      </c>
      <c r="L1772" s="1" t="s">
        <v>18</v>
      </c>
      <c r="M1772" s="1" t="str">
        <f>_xlfn.XLOOKUP(I1772,Parâmetros!A:A,Parâmetros!B:B,_xlfn.XLOOKUP(Q1772,Parâmetros!F:F,Parâmetros!G:G,"NOVA MENSAGEM"))</f>
        <v>CLIENTE NÃO IDENTIFICADO</v>
      </c>
      <c r="N1772" s="1" t="str">
        <f>_xlfn.XLOOKUP(M1772,Parâmetros!K:K,Parâmetros!L:L,"")</f>
        <v>DK DE CLIENTE NÃO PREENCIDO / CLIENTE NÃO CONFIGURADO NO OBT</v>
      </c>
      <c r="O1772" s="1" t="str">
        <f>_xlfn.XLOOKUP(M1772,Parâmetros!B:B,Parâmetros!C:C,_xlfn.XLOOKUP(Base!M1772,Parâmetros!G:G,Parâmetros!H:H))</f>
        <v>INDEFINIDO</v>
      </c>
      <c r="P1772" s="1" t="str">
        <f>_xlfn.XLOOKUP(I1772,Parâmetros!A:A,Parâmetros!D:D,_xlfn.XLOOKUP(Q1772,Parâmetros!F:F,Parâmetros!I:I))</f>
        <v>OPERAÇÕES / SUPORTE KCS</v>
      </c>
      <c r="Q1772" s="1" t="str">
        <f t="shared" si="55"/>
        <v>COLUNA I</v>
      </c>
    </row>
    <row r="1773" spans="1:17" x14ac:dyDescent="0.25">
      <c r="A1773" s="1" t="str">
        <f>_xlfn.XLOOKUP(D1773,'Novo relatório'!B:B,'Novo relatório'!C:C,"RESOLVIDO")</f>
        <v>SABRE</v>
      </c>
      <c r="C1773" t="str">
        <f t="shared" si="54"/>
        <v>PENDENTE</v>
      </c>
      <c r="D1773" s="1">
        <v>3411416</v>
      </c>
      <c r="E1773" s="1" t="s">
        <v>26</v>
      </c>
      <c r="F1773" s="2">
        <v>45786.479166666664</v>
      </c>
      <c r="G1773" s="1" t="s">
        <v>2322</v>
      </c>
      <c r="H1773" s="1" t="s">
        <v>2322</v>
      </c>
      <c r="I1773" s="1" t="s">
        <v>707</v>
      </c>
      <c r="J1773" s="2">
        <v>45786.564583333333</v>
      </c>
      <c r="L1773" s="1" t="s">
        <v>18</v>
      </c>
      <c r="M1773" s="1" t="str">
        <f>_xlfn.XLOOKUP(I1773,Parâmetros!A:A,Parâmetros!B:B,_xlfn.XLOOKUP(Q1773,Parâmetros!F:F,Parâmetros!G:G,"NOVA MENSAGEM"))</f>
        <v>CÓD. CLIENTE DIVERGENTE</v>
      </c>
      <c r="N1773" s="1" t="str">
        <f>_xlfn.XLOOKUP(M1773,Parâmetros!K:K,Parâmetros!L:L,"")</f>
        <v>CÓDIGO DIFERENTE DO CADASTRADO NO BENNER (CLIENTE X GRUPO)</v>
      </c>
      <c r="O1773" s="1" t="str">
        <f>_xlfn.XLOOKUP(M1773,Parâmetros!B:B,Parâmetros!C:C,_xlfn.XLOOKUP(Base!M1796,Parâmetros!G:G,Parâmetros!H:H))</f>
        <v>QUALIDADE DOS DADOS</v>
      </c>
      <c r="P1773" s="1" t="str">
        <f>_xlfn.XLOOKUP(I1773,Parâmetros!A:A,Parâmetros!D:D,_xlfn.XLOOKUP(Q1773,Parâmetros!F:F,Parâmetros!I:I))</f>
        <v>SUPORTE OBT</v>
      </c>
      <c r="Q1773" s="1">
        <f t="shared" si="55"/>
        <v>1</v>
      </c>
    </row>
    <row r="1774" spans="1:17" x14ac:dyDescent="0.25">
      <c r="A1774" s="1" t="str">
        <f>_xlfn.XLOOKUP(D1774,'Novo relatório'!B:B,'Novo relatório'!C:C,"RESOLVIDO")</f>
        <v>SABRE</v>
      </c>
      <c r="C1774" t="str">
        <f t="shared" si="54"/>
        <v>PENDENTE</v>
      </c>
      <c r="D1774" s="1">
        <v>3411437</v>
      </c>
      <c r="E1774" s="1" t="s">
        <v>26</v>
      </c>
      <c r="F1774" s="2">
        <v>45789.425000000003</v>
      </c>
      <c r="G1774" s="1" t="s">
        <v>2279</v>
      </c>
      <c r="H1774" s="1" t="s">
        <v>2279</v>
      </c>
      <c r="I1774" s="1" t="s">
        <v>83</v>
      </c>
      <c r="J1774" s="2">
        <v>45786.565972222219</v>
      </c>
      <c r="K1774" s="2">
        <v>45789.512499999997</v>
      </c>
      <c r="L1774" s="1" t="s">
        <v>18</v>
      </c>
      <c r="M1774" s="1" t="str">
        <f>_xlfn.XLOOKUP(I1774,Parâmetros!A:A,Parâmetros!B:B,_xlfn.XLOOKUP(Q1774,Parâmetros!F:F,Parâmetros!G:G,"NOVA MENSAGEM"))</f>
        <v>CLIENTE NÃO IDENTIFICADO</v>
      </c>
      <c r="N1774" s="1" t="str">
        <f>_xlfn.XLOOKUP(M1774,Parâmetros!K:K,Parâmetros!L:L,"")</f>
        <v>DK DE CLIENTE NÃO PREENCIDO / CLIENTE NÃO CONFIGURADO NO OBT</v>
      </c>
      <c r="O1774" s="1" t="str">
        <f>_xlfn.XLOOKUP(M1774,Parâmetros!B:B,Parâmetros!C:C,_xlfn.XLOOKUP(Base!M1756,Parâmetros!G:G,Parâmetros!H:H))</f>
        <v>INDEFINIDO</v>
      </c>
      <c r="P1774" s="1" t="str">
        <f>_xlfn.XLOOKUP(I1774,Parâmetros!A:A,Parâmetros!D:D,_xlfn.XLOOKUP(Q1774,Parâmetros!F:F,Parâmetros!I:I))</f>
        <v>OPERAÇÕES / SUPORTE KCS</v>
      </c>
      <c r="Q1774" s="1" t="str">
        <f t="shared" si="55"/>
        <v>COLUNA I</v>
      </c>
    </row>
    <row r="1775" spans="1:17" x14ac:dyDescent="0.25">
      <c r="A1775" s="1" t="str">
        <f>_xlfn.XLOOKUP(D1775,'Novo relatório'!B:B,'Novo relatório'!C:C,"RESOLVIDO")</f>
        <v>SABRE</v>
      </c>
      <c r="C1775" t="str">
        <f t="shared" si="54"/>
        <v>PENDENTE</v>
      </c>
      <c r="D1775" s="1">
        <v>3411442</v>
      </c>
      <c r="E1775" s="1" t="s">
        <v>26</v>
      </c>
      <c r="F1775" s="2">
        <v>45789.42291666667</v>
      </c>
      <c r="G1775" s="1" t="s">
        <v>2280</v>
      </c>
      <c r="H1775" s="1" t="s">
        <v>2280</v>
      </c>
      <c r="I1775" s="1" t="s">
        <v>83</v>
      </c>
      <c r="J1775" s="2">
        <v>45786.565972222219</v>
      </c>
      <c r="K1775" s="2">
        <v>45789.511805555558</v>
      </c>
      <c r="L1775" s="1" t="s">
        <v>18</v>
      </c>
      <c r="M1775" s="1" t="str">
        <f>_xlfn.XLOOKUP(I1775,Parâmetros!A:A,Parâmetros!B:B,_xlfn.XLOOKUP(Q1775,Parâmetros!F:F,Parâmetros!G:G,"NOVA MENSAGEM"))</f>
        <v>CLIENTE NÃO IDENTIFICADO</v>
      </c>
      <c r="N1775" s="1" t="str">
        <f>_xlfn.XLOOKUP(M1775,Parâmetros!K:K,Parâmetros!L:L,"")</f>
        <v>DK DE CLIENTE NÃO PREENCIDO / CLIENTE NÃO CONFIGURADO NO OBT</v>
      </c>
      <c r="O1775" s="1" t="str">
        <f>_xlfn.XLOOKUP(M1775,Parâmetros!B:B,Parâmetros!C:C,_xlfn.XLOOKUP(Base!M1757,Parâmetros!G:G,Parâmetros!H:H))</f>
        <v>INDEFINIDO</v>
      </c>
      <c r="P1775" s="1" t="str">
        <f>_xlfn.XLOOKUP(I1775,Parâmetros!A:A,Parâmetros!D:D,_xlfn.XLOOKUP(Q1775,Parâmetros!F:F,Parâmetros!I:I))</f>
        <v>OPERAÇÕES / SUPORTE KCS</v>
      </c>
      <c r="Q1775" s="1" t="str">
        <f t="shared" si="55"/>
        <v>COLUNA I</v>
      </c>
    </row>
    <row r="1776" spans="1:17" x14ac:dyDescent="0.25">
      <c r="A1776" s="1" t="str">
        <f>_xlfn.XLOOKUP(D1776,'Novo relatório'!B:B,'Novo relatório'!C:C,"RESOLVIDO")</f>
        <v>SABRE</v>
      </c>
      <c r="C1776" t="str">
        <f t="shared" si="54"/>
        <v>PENDENTE</v>
      </c>
      <c r="D1776" s="1">
        <v>3411801</v>
      </c>
      <c r="E1776" s="1" t="s">
        <v>26</v>
      </c>
      <c r="F1776" s="2">
        <v>45786.597916666666</v>
      </c>
      <c r="G1776" s="1" t="s">
        <v>2334</v>
      </c>
      <c r="H1776" s="1" t="s">
        <v>2334</v>
      </c>
      <c r="I1776" s="1" t="s">
        <v>83</v>
      </c>
      <c r="J1776" s="2">
        <v>45786.688888888886</v>
      </c>
      <c r="L1776" s="1" t="s">
        <v>18</v>
      </c>
      <c r="M1776" s="1" t="str">
        <f>_xlfn.XLOOKUP(I1776,Parâmetros!A:A,Parâmetros!B:B,_xlfn.XLOOKUP(Q1776,Parâmetros!F:F,Parâmetros!G:G,"NOVA MENSAGEM"))</f>
        <v>CLIENTE NÃO IDENTIFICADO</v>
      </c>
      <c r="N1776" s="1" t="str">
        <f>_xlfn.XLOOKUP(M1776,Parâmetros!K:K,Parâmetros!L:L,"")</f>
        <v>DK DE CLIENTE NÃO PREENCIDO / CLIENTE NÃO CONFIGURADO NO OBT</v>
      </c>
      <c r="O1776" s="1" t="str">
        <f>_xlfn.XLOOKUP(M1776,Parâmetros!B:B,Parâmetros!C:C,_xlfn.XLOOKUP(Base!M1807,Parâmetros!G:G,Parâmetros!H:H))</f>
        <v>INDEFINIDO</v>
      </c>
      <c r="P1776" s="1" t="str">
        <f>_xlfn.XLOOKUP(I1776,Parâmetros!A:A,Parâmetros!D:D,_xlfn.XLOOKUP(Q1776,Parâmetros!F:F,Parâmetros!I:I))</f>
        <v>OPERAÇÕES / SUPORTE KCS</v>
      </c>
      <c r="Q1776" s="1" t="str">
        <f t="shared" si="55"/>
        <v>COLUNA I</v>
      </c>
    </row>
    <row r="1777" spans="1:17" x14ac:dyDescent="0.25">
      <c r="A1777" s="1" t="str">
        <f>_xlfn.XLOOKUP(D1777,'Novo relatório'!B:B,'Novo relatório'!C:C,"RESOLVIDO")</f>
        <v>SABRE</v>
      </c>
      <c r="C1777" t="str">
        <f t="shared" si="54"/>
        <v>PENDENTE</v>
      </c>
      <c r="D1777" s="1">
        <v>3411805</v>
      </c>
      <c r="E1777" s="1" t="s">
        <v>26</v>
      </c>
      <c r="F1777" s="2">
        <v>45786.597916666666</v>
      </c>
      <c r="G1777" s="1" t="s">
        <v>2314</v>
      </c>
      <c r="H1777" s="1" t="s">
        <v>2314</v>
      </c>
      <c r="I1777" s="1" t="s">
        <v>746</v>
      </c>
      <c r="J1777" s="2">
        <v>45786.689583333333</v>
      </c>
      <c r="L1777" s="1" t="s">
        <v>18</v>
      </c>
      <c r="M1777" s="1" t="str">
        <f>_xlfn.XLOOKUP(I1777,Parâmetros!A:A,Parâmetros!B:B,_xlfn.XLOOKUP(Q1777,Parâmetros!F:F,Parâmetros!G:G,"NOVA MENSAGEM"))</f>
        <v>CÓD. CLIENTE DIVERGENTE</v>
      </c>
      <c r="N1777" s="1" t="str">
        <f>_xlfn.XLOOKUP(M1777,Parâmetros!K:K,Parâmetros!L:L,"")</f>
        <v>CÓDIGO DIFERENTE DO CADASTRADO NO BENNER (CLIENTE X GRUPO)</v>
      </c>
      <c r="O1777" s="1" t="str">
        <f>_xlfn.XLOOKUP(M1777,Parâmetros!B:B,Parâmetros!C:C,_xlfn.XLOOKUP(Base!M1788,Parâmetros!G:G,Parâmetros!H:H))</f>
        <v>QUALIDADE DOS DADOS</v>
      </c>
      <c r="P1777" s="1" t="str">
        <f>_xlfn.XLOOKUP(I1777,Parâmetros!A:A,Parâmetros!D:D,_xlfn.XLOOKUP(Q1777,Parâmetros!F:F,Parâmetros!I:I))</f>
        <v>SUPORTE OBT</v>
      </c>
      <c r="Q1777" s="1">
        <f t="shared" si="55"/>
        <v>1</v>
      </c>
    </row>
    <row r="1778" spans="1:17" x14ac:dyDescent="0.25">
      <c r="A1778" s="1" t="str">
        <f>_xlfn.XLOOKUP(D1778,'Novo relatório'!B:B,'Novo relatório'!C:C,"RESOLVIDO")</f>
        <v>SABRE</v>
      </c>
      <c r="C1778" t="str">
        <f t="shared" si="54"/>
        <v>PENDENTE</v>
      </c>
      <c r="D1778" s="1">
        <v>3411822</v>
      </c>
      <c r="E1778" s="1" t="s">
        <v>26</v>
      </c>
      <c r="F1778" s="2">
        <v>45786.597916666666</v>
      </c>
      <c r="G1778" s="1" t="s">
        <v>2277</v>
      </c>
      <c r="H1778" s="1" t="s">
        <v>2277</v>
      </c>
      <c r="I1778" s="1" t="s">
        <v>2278</v>
      </c>
      <c r="J1778" s="2">
        <v>45786.690972222219</v>
      </c>
      <c r="L1778" s="1" t="s">
        <v>18</v>
      </c>
      <c r="M1778" s="1" t="str">
        <f>_xlfn.XLOOKUP(I1778,Parâmetros!A:A,Parâmetros!B:B,_xlfn.XLOOKUP(Q1778,Parâmetros!F:F,Parâmetros!G:G,"NOVA MENSAGEM"))</f>
        <v>REMARK - CNPJ</v>
      </c>
      <c r="N1778" s="1" t="str">
        <f>_xlfn.XLOOKUP(M1778,Parâmetros!K:K,Parâmetros!L:L,"")</f>
        <v/>
      </c>
      <c r="O1778" s="1" t="str">
        <f>_xlfn.XLOOKUP(M1778,Parâmetros!B:B,Parâmetros!C:C,_xlfn.XLOOKUP(Base!M1755,Parâmetros!G:G,Parâmetros!H:H))</f>
        <v>QUALIDADE DOS DADOS</v>
      </c>
      <c r="P1778" s="1" t="str">
        <f>_xlfn.XLOOKUP(I1778,Parâmetros!A:A,Parâmetros!D:D,_xlfn.XLOOKUP(Q1778,Parâmetros!F:F,Parâmetros!I:I))</f>
        <v>OPERAÇÕES / SUPORTE KCS</v>
      </c>
      <c r="Q1778" s="1">
        <f t="shared" si="55"/>
        <v>24</v>
      </c>
    </row>
    <row r="1779" spans="1:17" x14ac:dyDescent="0.25">
      <c r="A1779" s="1" t="str">
        <f>_xlfn.XLOOKUP(D1779,'Novo relatório'!B:B,'Novo relatório'!C:C,"RESOLVIDO")</f>
        <v>SABRE</v>
      </c>
      <c r="C1779" t="str">
        <f t="shared" si="54"/>
        <v>PENDENTE</v>
      </c>
      <c r="D1779" s="1">
        <v>3411834</v>
      </c>
      <c r="E1779" s="1" t="s">
        <v>26</v>
      </c>
      <c r="F1779" s="2">
        <v>45786.597916666666</v>
      </c>
      <c r="G1779" s="1" t="s">
        <v>2333</v>
      </c>
      <c r="H1779" s="1" t="s">
        <v>2333</v>
      </c>
      <c r="I1779" s="1" t="s">
        <v>410</v>
      </c>
      <c r="J1779" s="2">
        <v>45786.691666666666</v>
      </c>
      <c r="L1779" s="1" t="s">
        <v>18</v>
      </c>
      <c r="M1779" s="1" t="str">
        <f>_xlfn.XLOOKUP(I1779,Parâmetros!A:A,Parâmetros!B:B,_xlfn.XLOOKUP(Q1779,Parâmetros!F:F,Parâmetros!G:G,"NOVA MENSAGEM"))</f>
        <v>CÓD. CLIENTE DIVERGENTE</v>
      </c>
      <c r="N1779" s="1" t="str">
        <f>_xlfn.XLOOKUP(M1779,Parâmetros!K:K,Parâmetros!L:L,"")</f>
        <v>CÓDIGO DIFERENTE DO CADASTRADO NO BENNER (CLIENTE X GRUPO)</v>
      </c>
      <c r="O1779" s="1" t="str">
        <f>_xlfn.XLOOKUP(M1779,Parâmetros!B:B,Parâmetros!C:C,_xlfn.XLOOKUP(Base!M1806,Parâmetros!G:G,Parâmetros!H:H))</f>
        <v>QUALIDADE DOS DADOS</v>
      </c>
      <c r="P1779" s="1" t="str">
        <f>_xlfn.XLOOKUP(I1779,Parâmetros!A:A,Parâmetros!D:D,_xlfn.XLOOKUP(Q1779,Parâmetros!F:F,Parâmetros!I:I))</f>
        <v>SUPORTE OBT</v>
      </c>
      <c r="Q1779" s="1">
        <f t="shared" si="55"/>
        <v>1</v>
      </c>
    </row>
    <row r="1780" spans="1:17" x14ac:dyDescent="0.25">
      <c r="A1780" s="1" t="str">
        <f>_xlfn.XLOOKUP(D1780,'Novo relatório'!B:B,'Novo relatório'!C:C,"RESOLVIDO")</f>
        <v>SABRE</v>
      </c>
      <c r="C1780" t="str">
        <f t="shared" si="54"/>
        <v>PENDENTE</v>
      </c>
      <c r="D1780" s="1">
        <v>3411936</v>
      </c>
      <c r="E1780" s="1" t="s">
        <v>26</v>
      </c>
      <c r="F1780" s="2">
        <v>45786.625694444447</v>
      </c>
      <c r="G1780" s="1" t="s">
        <v>2327</v>
      </c>
      <c r="H1780" s="1" t="s">
        <v>2327</v>
      </c>
      <c r="I1780" s="1" t="s">
        <v>1761</v>
      </c>
      <c r="J1780" s="2">
        <v>45786.713888888888</v>
      </c>
      <c r="L1780" s="1" t="s">
        <v>18</v>
      </c>
      <c r="M1780" s="1" t="str">
        <f>_xlfn.XLOOKUP(I1780,Parâmetros!A:A,Parâmetros!B:B,_xlfn.XLOOKUP(Q1780,Parâmetros!F:F,Parâmetros!G:G,"NOVA MENSAGEM"))</f>
        <v>CÓD. CLIENTE DIVERGENTE</v>
      </c>
      <c r="N1780" s="1" t="str">
        <f>_xlfn.XLOOKUP(M1780,Parâmetros!K:K,Parâmetros!L:L,"")</f>
        <v>CÓDIGO DIFERENTE DO CADASTRADO NO BENNER (CLIENTE X GRUPO)</v>
      </c>
      <c r="O1780" s="1" t="str">
        <f>_xlfn.XLOOKUP(M1780,Parâmetros!B:B,Parâmetros!C:C,_xlfn.XLOOKUP(Base!M1801,Parâmetros!G:G,Parâmetros!H:H))</f>
        <v>QUALIDADE DOS DADOS</v>
      </c>
      <c r="P1780" s="1" t="str">
        <f>_xlfn.XLOOKUP(I1780,Parâmetros!A:A,Parâmetros!D:D,_xlfn.XLOOKUP(Q1780,Parâmetros!F:F,Parâmetros!I:I))</f>
        <v>SUPORTE OBT</v>
      </c>
      <c r="Q1780" s="1">
        <f t="shared" si="55"/>
        <v>1</v>
      </c>
    </row>
    <row r="1781" spans="1:17" x14ac:dyDescent="0.25">
      <c r="A1781" s="1" t="str">
        <f>_xlfn.XLOOKUP(D1781,'Novo relatório'!B:B,'Novo relatório'!C:C,"RESOLVIDO")</f>
        <v>TMS</v>
      </c>
      <c r="C1781" t="str">
        <f t="shared" si="54"/>
        <v>PENDENTE</v>
      </c>
      <c r="D1781" s="1">
        <v>3412492</v>
      </c>
      <c r="E1781" s="1" t="s">
        <v>12</v>
      </c>
      <c r="F1781" s="2">
        <v>45786.53402777778</v>
      </c>
      <c r="G1781" s="1">
        <v>44405</v>
      </c>
      <c r="H1781" s="1">
        <v>44405</v>
      </c>
      <c r="I1781" s="1" t="s">
        <v>16</v>
      </c>
      <c r="J1781" s="2">
        <v>45786.751388888886</v>
      </c>
      <c r="K1781" s="2">
        <v>45789.781944444447</v>
      </c>
      <c r="L1781" s="1" t="s">
        <v>14</v>
      </c>
      <c r="M1781" s="1" t="str">
        <f>_xlfn.XLOOKUP(I1781,Parâmetros!A:A,Parâmetros!B:B,_xlfn.XLOOKUP(Q1781,Parâmetros!F:F,Parâmetros!G:G,"NOVA MENSAGEM"))</f>
        <v>ASSENTO / BAGAGEM</v>
      </c>
      <c r="N1781" s="1" t="str">
        <f>_xlfn.XLOOKUP(M1781,Parâmetros!K:K,Parâmetros!L:L,"")</f>
        <v>CAMPO OBSERVAÇÃO PREENCHIDO INCORRETAMENTE</v>
      </c>
      <c r="O1781" s="1" t="str">
        <f>_xlfn.XLOOKUP(M1781,Parâmetros!B:B,Parâmetros!C:C,_xlfn.XLOOKUP(Base!M1836,Parâmetros!G:G,Parâmetros!H:H))</f>
        <v>QUALIDADE DOS DADOS</v>
      </c>
      <c r="P1781" s="1" t="str">
        <f>_xlfn.XLOOKUP(I1781,Parâmetros!A:A,Parâmetros!D:D,_xlfn.XLOOKUP(Q1781,Parâmetros!F:F,Parâmetros!I:I))</f>
        <v>OPERAÇÕES / SUPORTE KCS</v>
      </c>
      <c r="Q1781" s="1">
        <f t="shared" si="55"/>
        <v>118</v>
      </c>
    </row>
    <row r="1782" spans="1:17" x14ac:dyDescent="0.25">
      <c r="A1782" s="1" t="str">
        <f>_xlfn.XLOOKUP(D1782,'Novo relatório'!B:B,'Novo relatório'!C:C,"RESOLVIDO")</f>
        <v>RESOLVIDO</v>
      </c>
      <c r="C1782" t="str">
        <f t="shared" si="54"/>
        <v>RESOLVIDO</v>
      </c>
      <c r="D1782" s="1">
        <v>3412703</v>
      </c>
      <c r="E1782" s="1" t="s">
        <v>12</v>
      </c>
      <c r="F1782" s="2">
        <v>45786.569444444445</v>
      </c>
      <c r="G1782" s="1">
        <v>12160</v>
      </c>
      <c r="H1782" s="1">
        <v>12160</v>
      </c>
      <c r="I1782" s="1" t="s">
        <v>16</v>
      </c>
      <c r="J1782" s="2">
        <v>45786.769444444442</v>
      </c>
      <c r="K1782" s="2">
        <v>45789.799305555556</v>
      </c>
      <c r="L1782" s="1" t="s">
        <v>14</v>
      </c>
      <c r="M1782" s="1" t="str">
        <f>_xlfn.XLOOKUP(I1782,Parâmetros!A:A,Parâmetros!B:B,_xlfn.XLOOKUP(Q1782,Parâmetros!F:F,Parâmetros!G:G,"NOVA MENSAGEM"))</f>
        <v>ASSENTO / BAGAGEM</v>
      </c>
      <c r="N1782" s="1" t="str">
        <f>_xlfn.XLOOKUP(M1782,Parâmetros!K:K,Parâmetros!L:L,"")</f>
        <v>CAMPO OBSERVAÇÃO PREENCHIDO INCORRETAMENTE</v>
      </c>
      <c r="O1782" s="1" t="str">
        <f>_xlfn.XLOOKUP(M1782,Parâmetros!B:B,Parâmetros!C:C,_xlfn.XLOOKUP(Base!M1826,Parâmetros!G:G,Parâmetros!H:H))</f>
        <v>QUALIDADE DOS DADOS</v>
      </c>
      <c r="P1782" s="1" t="str">
        <f>_xlfn.XLOOKUP(I1782,Parâmetros!A:A,Parâmetros!D:D,_xlfn.XLOOKUP(Q1782,Parâmetros!F:F,Parâmetros!I:I))</f>
        <v>OPERAÇÕES / SUPORTE KCS</v>
      </c>
      <c r="Q1782" s="1">
        <f t="shared" si="55"/>
        <v>118</v>
      </c>
    </row>
    <row r="1783" spans="1:17" x14ac:dyDescent="0.25">
      <c r="A1783" s="1" t="str">
        <f>_xlfn.XLOOKUP(D1783,'Novo relatório'!B:B,'Novo relatório'!C:C,"RESOLVIDO")</f>
        <v>TMS</v>
      </c>
      <c r="C1783" t="str">
        <f t="shared" si="54"/>
        <v>PENDENTE</v>
      </c>
      <c r="D1783" s="1">
        <v>3412721</v>
      </c>
      <c r="E1783" s="1" t="s">
        <v>12</v>
      </c>
      <c r="F1783" s="2">
        <v>45786.615277777775</v>
      </c>
      <c r="G1783" s="1">
        <v>125</v>
      </c>
      <c r="H1783" s="1">
        <v>125</v>
      </c>
      <c r="I1783" s="1" t="s">
        <v>16</v>
      </c>
      <c r="J1783" s="2">
        <v>45786.772222222222</v>
      </c>
      <c r="K1783" s="2">
        <v>45789.802083333336</v>
      </c>
      <c r="L1783" s="1" t="s">
        <v>14</v>
      </c>
      <c r="M1783" s="1" t="str">
        <f>_xlfn.XLOOKUP(I1783,Parâmetros!A:A,Parâmetros!B:B,_xlfn.XLOOKUP(Q1783,Parâmetros!F:F,Parâmetros!G:G,"NOVA MENSAGEM"))</f>
        <v>ASSENTO / BAGAGEM</v>
      </c>
      <c r="N1783" s="1" t="str">
        <f>_xlfn.XLOOKUP(M1783,Parâmetros!K:K,Parâmetros!L:L,"")</f>
        <v>CAMPO OBSERVAÇÃO PREENCHIDO INCORRETAMENTE</v>
      </c>
      <c r="O1783" s="1" t="str">
        <f>_xlfn.XLOOKUP(M1783,Parâmetros!B:B,Parâmetros!C:C,_xlfn.XLOOKUP(Base!M1827,Parâmetros!G:G,Parâmetros!H:H))</f>
        <v>QUALIDADE DOS DADOS</v>
      </c>
      <c r="P1783" s="1" t="str">
        <f>_xlfn.XLOOKUP(I1783,Parâmetros!A:A,Parâmetros!D:D,_xlfn.XLOOKUP(Q1783,Parâmetros!F:F,Parâmetros!I:I))</f>
        <v>OPERAÇÕES / SUPORTE KCS</v>
      </c>
      <c r="Q1783" s="1">
        <f t="shared" si="55"/>
        <v>118</v>
      </c>
    </row>
    <row r="1784" spans="1:17" x14ac:dyDescent="0.25">
      <c r="A1784" s="1" t="str">
        <f>_xlfn.XLOOKUP(D1784,'Novo relatório'!B:B,'Novo relatório'!C:C,"RESOLVIDO")</f>
        <v>SABRE</v>
      </c>
      <c r="C1784" t="str">
        <f t="shared" si="54"/>
        <v>PENDENTE</v>
      </c>
      <c r="D1784" s="1">
        <v>3413070</v>
      </c>
      <c r="E1784" s="1" t="s">
        <v>26</v>
      </c>
      <c r="F1784" s="2">
        <v>45786.754166666666</v>
      </c>
      <c r="G1784" s="1" t="s">
        <v>2353</v>
      </c>
      <c r="H1784" s="1" t="s">
        <v>2353</v>
      </c>
      <c r="I1784" s="1" t="s">
        <v>83</v>
      </c>
      <c r="J1784" s="2">
        <v>45786.845138888886</v>
      </c>
      <c r="L1784" s="1" t="s">
        <v>18</v>
      </c>
      <c r="M1784" s="1" t="str">
        <f>_xlfn.XLOOKUP(I1784,Parâmetros!A:A,Parâmetros!B:B,_xlfn.XLOOKUP(Q1784,Parâmetros!F:F,Parâmetros!G:G,"NOVA MENSAGEM"))</f>
        <v>CLIENTE NÃO IDENTIFICADO</v>
      </c>
      <c r="N1784" s="1" t="str">
        <f>_xlfn.XLOOKUP(M1784,Parâmetros!K:K,Parâmetros!L:L,"")</f>
        <v>DK DE CLIENTE NÃO PREENCIDO / CLIENTE NÃO CONFIGURADO NO OBT</v>
      </c>
      <c r="O1784" s="1" t="str">
        <f>_xlfn.XLOOKUP(M1784,Parâmetros!B:B,Parâmetros!C:C,_xlfn.XLOOKUP(Base!M1825,Parâmetros!G:G,Parâmetros!H:H))</f>
        <v>INDEFINIDO</v>
      </c>
      <c r="P1784" s="1" t="str">
        <f>_xlfn.XLOOKUP(I1784,Parâmetros!A:A,Parâmetros!D:D,_xlfn.XLOOKUP(Q1784,Parâmetros!F:F,Parâmetros!I:I))</f>
        <v>OPERAÇÕES / SUPORTE KCS</v>
      </c>
      <c r="Q1784" s="1" t="str">
        <f t="shared" si="55"/>
        <v>COLUNA I</v>
      </c>
    </row>
    <row r="1785" spans="1:17" x14ac:dyDescent="0.25">
      <c r="A1785" s="1" t="str">
        <f>_xlfn.XLOOKUP(D1785,'Novo relatório'!B:B,'Novo relatório'!C:C,"RESOLVIDO")</f>
        <v>SABRE</v>
      </c>
      <c r="C1785" t="str">
        <f t="shared" si="54"/>
        <v>PENDENTE</v>
      </c>
      <c r="D1785" s="1">
        <v>3413072</v>
      </c>
      <c r="E1785" s="1" t="s">
        <v>26</v>
      </c>
      <c r="F1785" s="2">
        <v>45786.754166666666</v>
      </c>
      <c r="G1785" s="1" t="s">
        <v>2325</v>
      </c>
      <c r="H1785" s="1" t="s">
        <v>2325</v>
      </c>
      <c r="I1785" s="1" t="s">
        <v>169</v>
      </c>
      <c r="J1785" s="2">
        <v>45786.845833333333</v>
      </c>
      <c r="L1785" s="1" t="s">
        <v>18</v>
      </c>
      <c r="M1785" s="1" t="str">
        <f>_xlfn.XLOOKUP(I1785,Parâmetros!A:A,Parâmetros!B:B,_xlfn.XLOOKUP(Q1785,Parâmetros!F:F,Parâmetros!G:G,"NOVA MENSAGEM"))</f>
        <v>CÓD. CLIENTE DIVERGENTE</v>
      </c>
      <c r="N1785" s="1" t="str">
        <f>_xlfn.XLOOKUP(M1785,Parâmetros!K:K,Parâmetros!L:L,"")</f>
        <v>CÓDIGO DIFERENTE DO CADASTRADO NO BENNER (CLIENTE X GRUPO)</v>
      </c>
      <c r="O1785" s="1" t="str">
        <f>_xlfn.XLOOKUP(M1785,Parâmetros!B:B,Parâmetros!C:C,_xlfn.XLOOKUP(Base!M1799,Parâmetros!G:G,Parâmetros!H:H))</f>
        <v>QUALIDADE DOS DADOS</v>
      </c>
      <c r="P1785" s="1" t="str">
        <f>_xlfn.XLOOKUP(I1785,Parâmetros!A:A,Parâmetros!D:D,_xlfn.XLOOKUP(Q1785,Parâmetros!F:F,Parâmetros!I:I))</f>
        <v>SUPORTE OBT</v>
      </c>
      <c r="Q1785" s="1">
        <f t="shared" si="55"/>
        <v>1</v>
      </c>
    </row>
    <row r="1786" spans="1:17" x14ac:dyDescent="0.25">
      <c r="A1786" s="1" t="str">
        <f>_xlfn.XLOOKUP(D1786,'Novo relatório'!B:B,'Novo relatório'!C:C,"RESOLVIDO")</f>
        <v>SABRE</v>
      </c>
      <c r="C1786" t="str">
        <f t="shared" si="54"/>
        <v>PENDENTE</v>
      </c>
      <c r="D1786" s="1">
        <v>3413077</v>
      </c>
      <c r="E1786" s="1" t="s">
        <v>26</v>
      </c>
      <c r="F1786" s="2">
        <v>45786.754166666666</v>
      </c>
      <c r="G1786" s="1" t="s">
        <v>2308</v>
      </c>
      <c r="H1786" s="1" t="s">
        <v>2308</v>
      </c>
      <c r="I1786" s="1" t="s">
        <v>746</v>
      </c>
      <c r="J1786" s="2">
        <v>45786.847222222219</v>
      </c>
      <c r="L1786" s="1" t="s">
        <v>18</v>
      </c>
      <c r="M1786" s="1" t="str">
        <f>_xlfn.XLOOKUP(I1786,Parâmetros!A:A,Parâmetros!B:B,_xlfn.XLOOKUP(Q1786,Parâmetros!F:F,Parâmetros!G:G,"NOVA MENSAGEM"))</f>
        <v>CÓD. CLIENTE DIVERGENTE</v>
      </c>
      <c r="N1786" s="1" t="str">
        <f>_xlfn.XLOOKUP(M1786,Parâmetros!K:K,Parâmetros!L:L,"")</f>
        <v>CÓDIGO DIFERENTE DO CADASTRADO NO BENNER (CLIENTE X GRUPO)</v>
      </c>
      <c r="O1786" s="1" t="str">
        <f>_xlfn.XLOOKUP(M1786,Parâmetros!B:B,Parâmetros!C:C,_xlfn.XLOOKUP(Base!M1782,Parâmetros!G:G,Parâmetros!H:H))</f>
        <v>QUALIDADE DOS DADOS</v>
      </c>
      <c r="P1786" s="1" t="str">
        <f>_xlfn.XLOOKUP(I1786,Parâmetros!A:A,Parâmetros!D:D,_xlfn.XLOOKUP(Q1786,Parâmetros!F:F,Parâmetros!I:I))</f>
        <v>SUPORTE OBT</v>
      </c>
      <c r="Q1786" s="1">
        <f t="shared" si="55"/>
        <v>1</v>
      </c>
    </row>
    <row r="1787" spans="1:17" x14ac:dyDescent="0.25">
      <c r="A1787" s="1" t="str">
        <f>_xlfn.XLOOKUP(D1787,'Novo relatório'!B:B,'Novo relatório'!C:C,"RESOLVIDO")</f>
        <v>SABRE</v>
      </c>
      <c r="C1787" t="str">
        <f t="shared" si="54"/>
        <v>PENDENTE</v>
      </c>
      <c r="D1787" s="1">
        <v>3413080</v>
      </c>
      <c r="E1787" s="1" t="s">
        <v>26</v>
      </c>
      <c r="F1787" s="2">
        <v>45786.754166666666</v>
      </c>
      <c r="G1787" s="1" t="s">
        <v>2304</v>
      </c>
      <c r="H1787" s="1" t="s">
        <v>2304</v>
      </c>
      <c r="I1787" s="1" t="s">
        <v>746</v>
      </c>
      <c r="J1787" s="2">
        <v>45786.847222222219</v>
      </c>
      <c r="L1787" s="1" t="s">
        <v>18</v>
      </c>
      <c r="M1787" s="1" t="str">
        <f>_xlfn.XLOOKUP(I1787,Parâmetros!A:A,Parâmetros!B:B,_xlfn.XLOOKUP(Q1787,Parâmetros!F:F,Parâmetros!G:G,"NOVA MENSAGEM"))</f>
        <v>CÓD. CLIENTE DIVERGENTE</v>
      </c>
      <c r="N1787" s="1" t="str">
        <f>_xlfn.XLOOKUP(M1787,Parâmetros!K:K,Parâmetros!L:L,"")</f>
        <v>CÓDIGO DIFERENTE DO CADASTRADO NO BENNER (CLIENTE X GRUPO)</v>
      </c>
      <c r="O1787" s="1" t="str">
        <f>_xlfn.XLOOKUP(M1787,Parâmetros!B:B,Parâmetros!C:C,_xlfn.XLOOKUP(Base!M1778,Parâmetros!G:G,Parâmetros!H:H))</f>
        <v>QUALIDADE DOS DADOS</v>
      </c>
      <c r="P1787" s="1" t="str">
        <f>_xlfn.XLOOKUP(I1787,Parâmetros!A:A,Parâmetros!D:D,_xlfn.XLOOKUP(Q1787,Parâmetros!F:F,Parâmetros!I:I))</f>
        <v>SUPORTE OBT</v>
      </c>
      <c r="Q1787" s="1">
        <f t="shared" si="55"/>
        <v>1</v>
      </c>
    </row>
    <row r="1788" spans="1:17" x14ac:dyDescent="0.25">
      <c r="A1788" s="1" t="str">
        <f>_xlfn.XLOOKUP(D1788,'Novo relatório'!B:B,'Novo relatório'!C:C,"RESOLVIDO")</f>
        <v>SABRE</v>
      </c>
      <c r="C1788" t="str">
        <f t="shared" si="54"/>
        <v>PENDENTE</v>
      </c>
      <c r="D1788" s="1">
        <v>3413082</v>
      </c>
      <c r="E1788" s="1" t="s">
        <v>26</v>
      </c>
      <c r="F1788" s="2">
        <v>45786.754166666666</v>
      </c>
      <c r="G1788" s="1" t="s">
        <v>2303</v>
      </c>
      <c r="H1788" s="1" t="s">
        <v>2303</v>
      </c>
      <c r="I1788" s="1" t="s">
        <v>83</v>
      </c>
      <c r="J1788" s="2">
        <v>45786.847222222219</v>
      </c>
      <c r="L1788" s="1" t="s">
        <v>18</v>
      </c>
      <c r="M1788" s="1" t="str">
        <f>_xlfn.XLOOKUP(I1788,Parâmetros!A:A,Parâmetros!B:B,_xlfn.XLOOKUP(Q1788,Parâmetros!F:F,Parâmetros!G:G,"NOVA MENSAGEM"))</f>
        <v>CLIENTE NÃO IDENTIFICADO</v>
      </c>
      <c r="N1788" s="1" t="str">
        <f>_xlfn.XLOOKUP(M1788,Parâmetros!K:K,Parâmetros!L:L,"")</f>
        <v>DK DE CLIENTE NÃO PREENCIDO / CLIENTE NÃO CONFIGURADO NO OBT</v>
      </c>
      <c r="O1788" s="1" t="str">
        <f>_xlfn.XLOOKUP(M1788,Parâmetros!B:B,Parâmetros!C:C,_xlfn.XLOOKUP(Base!M1777,Parâmetros!G:G,Parâmetros!H:H))</f>
        <v>INDEFINIDO</v>
      </c>
      <c r="P1788" s="1" t="str">
        <f>_xlfn.XLOOKUP(I1788,Parâmetros!A:A,Parâmetros!D:D,_xlfn.XLOOKUP(Q1788,Parâmetros!F:F,Parâmetros!I:I))</f>
        <v>OPERAÇÕES / SUPORTE KCS</v>
      </c>
      <c r="Q1788" s="1" t="str">
        <f t="shared" si="55"/>
        <v>COLUNA I</v>
      </c>
    </row>
    <row r="1789" spans="1:17" x14ac:dyDescent="0.25">
      <c r="A1789" s="1" t="str">
        <f>_xlfn.XLOOKUP(D1789,'Novo relatório'!B:B,'Novo relatório'!C:C,"RESOLVIDO")</f>
        <v>SABRE</v>
      </c>
      <c r="C1789" t="str">
        <f t="shared" si="54"/>
        <v>PENDENTE</v>
      </c>
      <c r="D1789" s="1">
        <v>3413085</v>
      </c>
      <c r="E1789" s="1" t="s">
        <v>26</v>
      </c>
      <c r="F1789" s="2">
        <v>45786.754166666666</v>
      </c>
      <c r="G1789" s="1" t="s">
        <v>2305</v>
      </c>
      <c r="H1789" s="1" t="s">
        <v>2305</v>
      </c>
      <c r="I1789" s="1" t="s">
        <v>83</v>
      </c>
      <c r="J1789" s="2">
        <v>45786.847916666666</v>
      </c>
      <c r="L1789" s="1" t="s">
        <v>18</v>
      </c>
      <c r="M1789" s="1" t="str">
        <f>_xlfn.XLOOKUP(I1789,Parâmetros!A:A,Parâmetros!B:B,_xlfn.XLOOKUP(Q1789,Parâmetros!F:F,Parâmetros!G:G,"NOVA MENSAGEM"))</f>
        <v>CLIENTE NÃO IDENTIFICADO</v>
      </c>
      <c r="N1789" s="1" t="str">
        <f>_xlfn.XLOOKUP(M1789,Parâmetros!K:K,Parâmetros!L:L,"")</f>
        <v>DK DE CLIENTE NÃO PREENCIDO / CLIENTE NÃO CONFIGURADO NO OBT</v>
      </c>
      <c r="O1789" s="1" t="str">
        <f>_xlfn.XLOOKUP(M1789,Parâmetros!B:B,Parâmetros!C:C,_xlfn.XLOOKUP(Base!M1779,Parâmetros!G:G,Parâmetros!H:H))</f>
        <v>INDEFINIDO</v>
      </c>
      <c r="P1789" s="1" t="str">
        <f>_xlfn.XLOOKUP(I1789,Parâmetros!A:A,Parâmetros!D:D,_xlfn.XLOOKUP(Q1789,Parâmetros!F:F,Parâmetros!I:I))</f>
        <v>OPERAÇÕES / SUPORTE KCS</v>
      </c>
      <c r="Q1789" s="1" t="str">
        <f t="shared" si="55"/>
        <v>COLUNA I</v>
      </c>
    </row>
    <row r="1790" spans="1:17" x14ac:dyDescent="0.25">
      <c r="A1790" s="1" t="str">
        <f>_xlfn.XLOOKUP(D1790,'Novo relatório'!B:B,'Novo relatório'!C:C,"RESOLVIDO")</f>
        <v>SABRE</v>
      </c>
      <c r="C1790" t="str">
        <f t="shared" si="54"/>
        <v>PENDENTE</v>
      </c>
      <c r="D1790" s="1">
        <v>3413086</v>
      </c>
      <c r="E1790" s="1" t="s">
        <v>26</v>
      </c>
      <c r="F1790" s="2">
        <v>45786.754166666666</v>
      </c>
      <c r="G1790" s="1" t="s">
        <v>2350</v>
      </c>
      <c r="H1790" s="1" t="s">
        <v>2350</v>
      </c>
      <c r="I1790" s="1" t="s">
        <v>83</v>
      </c>
      <c r="J1790" s="2">
        <v>45786.847916666666</v>
      </c>
      <c r="L1790" s="1" t="s">
        <v>18</v>
      </c>
      <c r="M1790" s="1" t="str">
        <f>_xlfn.XLOOKUP(I1790,Parâmetros!A:A,Parâmetros!B:B,_xlfn.XLOOKUP(Q1790,Parâmetros!F:F,Parâmetros!G:G,"NOVA MENSAGEM"))</f>
        <v>CLIENTE NÃO IDENTIFICADO</v>
      </c>
      <c r="N1790" s="1" t="str">
        <f>_xlfn.XLOOKUP(M1790,Parâmetros!K:K,Parâmetros!L:L,"")</f>
        <v>DK DE CLIENTE NÃO PREENCIDO / CLIENTE NÃO CONFIGURADO NO OBT</v>
      </c>
      <c r="O1790" s="1" t="str">
        <f>_xlfn.XLOOKUP(M1790,Parâmetros!B:B,Parâmetros!C:C,_xlfn.XLOOKUP(Base!M1823,Parâmetros!G:G,Parâmetros!H:H))</f>
        <v>INDEFINIDO</v>
      </c>
      <c r="P1790" s="1" t="str">
        <f>_xlfn.XLOOKUP(I1790,Parâmetros!A:A,Parâmetros!D:D,_xlfn.XLOOKUP(Q1790,Parâmetros!F:F,Parâmetros!I:I))</f>
        <v>OPERAÇÕES / SUPORTE KCS</v>
      </c>
      <c r="Q1790" s="1" t="str">
        <f t="shared" si="55"/>
        <v>COLUNA I</v>
      </c>
    </row>
    <row r="1791" spans="1:17" x14ac:dyDescent="0.25">
      <c r="A1791" s="1" t="str">
        <f>_xlfn.XLOOKUP(D1791,'Novo relatório'!B:B,'Novo relatório'!C:C,"RESOLVIDO")</f>
        <v>RESOLVIDO</v>
      </c>
      <c r="C1791" t="str">
        <f t="shared" si="54"/>
        <v>RESOLVIDO</v>
      </c>
      <c r="D1791" s="1">
        <v>3413160</v>
      </c>
      <c r="E1791" s="1" t="s">
        <v>12</v>
      </c>
      <c r="F1791" s="2">
        <v>45786.770138888889</v>
      </c>
      <c r="G1791" s="1">
        <v>31960</v>
      </c>
      <c r="H1791" s="1">
        <v>31960</v>
      </c>
      <c r="I1791" s="1" t="s">
        <v>2358</v>
      </c>
      <c r="J1791" s="2">
        <v>45786.97152777778</v>
      </c>
      <c r="K1791" s="2">
        <v>45789.513888888891</v>
      </c>
      <c r="L1791" s="1" t="s">
        <v>14</v>
      </c>
      <c r="M1791" s="1" t="str">
        <f>_xlfn.XLOOKUP(I1791,Parâmetros!A:A,Parâmetros!B:B,_xlfn.XLOOKUP(Q1791,Parâmetros!F:F,Parâmetros!G:G,"NOVA MENSAGEM"))</f>
        <v>ASSENTO / BAGAGEM</v>
      </c>
      <c r="N1791" s="1" t="str">
        <f>_xlfn.XLOOKUP(M1791,Parâmetros!K:K,Parâmetros!L:L,"")</f>
        <v>CAMPO OBSERVAÇÃO PREENCHIDO INCORRETAMENTE</v>
      </c>
      <c r="O1791" s="1" t="str">
        <f>_xlfn.XLOOKUP(M1791,Parâmetros!B:B,Parâmetros!C:C,_xlfn.XLOOKUP(Base!M1834,Parâmetros!G:G,Parâmetros!H:H))</f>
        <v>QUALIDADE DOS DADOS</v>
      </c>
      <c r="P1791" s="1" t="str">
        <f>_xlfn.XLOOKUP(I1791,Parâmetros!A:A,Parâmetros!D:D,_xlfn.XLOOKUP(Q1791,Parâmetros!F:F,Parâmetros!I:I))</f>
        <v>OPERAÇÕES / SUPORTE KCS</v>
      </c>
      <c r="Q1791" s="1">
        <f t="shared" si="55"/>
        <v>127</v>
      </c>
    </row>
    <row r="1792" spans="1:17" x14ac:dyDescent="0.25">
      <c r="A1792" s="1" t="str">
        <f>_xlfn.XLOOKUP(D1792,'Novo relatório'!B:B,'Novo relatório'!C:C,"RESOLVIDO")</f>
        <v>RESOLVIDO</v>
      </c>
      <c r="C1792" t="str">
        <f t="shared" si="54"/>
        <v>RESOLVIDO</v>
      </c>
      <c r="D1792" s="1">
        <v>3413162</v>
      </c>
      <c r="E1792" s="1" t="s">
        <v>12</v>
      </c>
      <c r="F1792" s="2">
        <v>45786.76666666667</v>
      </c>
      <c r="G1792" s="1">
        <v>31958</v>
      </c>
      <c r="H1792" s="1">
        <v>31958</v>
      </c>
      <c r="I1792" s="1" t="s">
        <v>2357</v>
      </c>
      <c r="J1792" s="2">
        <v>45786.97152777778</v>
      </c>
      <c r="K1792" s="2">
        <v>45789.513888888891</v>
      </c>
      <c r="L1792" s="1" t="s">
        <v>14</v>
      </c>
      <c r="M1792" s="1" t="str">
        <f>_xlfn.XLOOKUP(I1792,Parâmetros!A:A,Parâmetros!B:B,_xlfn.XLOOKUP(Q1792,Parâmetros!F:F,Parâmetros!G:G,"NOVA MENSAGEM"))</f>
        <v>ASSENTO / BAGAGEM</v>
      </c>
      <c r="N1792" s="1" t="str">
        <f>_xlfn.XLOOKUP(M1792,Parâmetros!K:K,Parâmetros!L:L,"")</f>
        <v>CAMPO OBSERVAÇÃO PREENCHIDO INCORRETAMENTE</v>
      </c>
      <c r="O1792" s="1" t="str">
        <f>_xlfn.XLOOKUP(M1792,Parâmetros!B:B,Parâmetros!C:C,_xlfn.XLOOKUP(Base!M1833,Parâmetros!G:G,Parâmetros!H:H))</f>
        <v>QUALIDADE DOS DADOS</v>
      </c>
      <c r="P1792" s="1" t="str">
        <f>_xlfn.XLOOKUP(I1792,Parâmetros!A:A,Parâmetros!D:D,_xlfn.XLOOKUP(Q1792,Parâmetros!F:F,Parâmetros!I:I))</f>
        <v>OPERAÇÕES / SUPORTE KCS</v>
      </c>
      <c r="Q1792" s="1">
        <f t="shared" si="55"/>
        <v>127</v>
      </c>
    </row>
    <row r="1793" spans="1:17" x14ac:dyDescent="0.25">
      <c r="A1793" s="1" t="str">
        <f>_xlfn.XLOOKUP(D1793,'Novo relatório'!B:B,'Novo relatório'!C:C,"RESOLVIDO")</f>
        <v>RESOLVIDO</v>
      </c>
      <c r="C1793" t="str">
        <f t="shared" si="54"/>
        <v>RESOLVIDO</v>
      </c>
      <c r="D1793" s="1">
        <v>3413164</v>
      </c>
      <c r="E1793" s="1" t="s">
        <v>12</v>
      </c>
      <c r="F1793" s="2">
        <v>45786.762499999997</v>
      </c>
      <c r="G1793" s="1">
        <v>31956</v>
      </c>
      <c r="H1793" s="1">
        <v>31956</v>
      </c>
      <c r="I1793" s="1" t="s">
        <v>2356</v>
      </c>
      <c r="J1793" s="2">
        <v>45786.972222222219</v>
      </c>
      <c r="K1793" s="2">
        <v>45789.51458333333</v>
      </c>
      <c r="L1793" s="1" t="s">
        <v>14</v>
      </c>
      <c r="M1793" s="1" t="str">
        <f>_xlfn.XLOOKUP(I1793,Parâmetros!A:A,Parâmetros!B:B,_xlfn.XLOOKUP(Q1793,Parâmetros!F:F,Parâmetros!G:G,"NOVA MENSAGEM"))</f>
        <v>ASSENTO / BAGAGEM</v>
      </c>
      <c r="N1793" s="1" t="str">
        <f>_xlfn.XLOOKUP(M1793,Parâmetros!K:K,Parâmetros!L:L,"")</f>
        <v>CAMPO OBSERVAÇÃO PREENCHIDO INCORRETAMENTE</v>
      </c>
      <c r="O1793" s="1" t="str">
        <f>_xlfn.XLOOKUP(M1793,Parâmetros!B:B,Parâmetros!C:C,_xlfn.XLOOKUP(Base!M1832,Parâmetros!G:G,Parâmetros!H:H))</f>
        <v>QUALIDADE DOS DADOS</v>
      </c>
      <c r="P1793" s="1" t="str">
        <f>_xlfn.XLOOKUP(I1793,Parâmetros!A:A,Parâmetros!D:D,_xlfn.XLOOKUP(Q1793,Parâmetros!F:F,Parâmetros!I:I))</f>
        <v>OPERAÇÕES / SUPORTE KCS</v>
      </c>
      <c r="Q1793" s="1">
        <f t="shared" si="55"/>
        <v>127</v>
      </c>
    </row>
    <row r="1794" spans="1:17" x14ac:dyDescent="0.25">
      <c r="A1794" s="1" t="str">
        <f>_xlfn.XLOOKUP(D1794,'Novo relatório'!B:B,'Novo relatório'!C:C,"RESOLVIDO")</f>
        <v>RESOLVIDO</v>
      </c>
      <c r="C1794" t="str">
        <f t="shared" ref="C1794:C1857" si="56">IF(A1794="RESOLVIDO","RESOLVIDO",IF(B1794="","PENDENTE",IF(LEFT(B1794,7)="CHAMADO","AGUARDANDO FORNECEDOR",IF(B1794="CONTABILIZAR","CONTABILIZAR NO PORTAL"))))</f>
        <v>RESOLVIDO</v>
      </c>
      <c r="D1794" s="1">
        <v>3413166</v>
      </c>
      <c r="E1794" s="1" t="s">
        <v>12</v>
      </c>
      <c r="F1794" s="2">
        <v>45786.757638888892</v>
      </c>
      <c r="G1794" s="1">
        <v>31954</v>
      </c>
      <c r="H1794" s="1">
        <v>31954</v>
      </c>
      <c r="I1794" s="1" t="s">
        <v>2355</v>
      </c>
      <c r="J1794" s="2">
        <v>45786.972222222219</v>
      </c>
      <c r="K1794" s="2">
        <v>45789.51458333333</v>
      </c>
      <c r="L1794" s="1" t="s">
        <v>14</v>
      </c>
      <c r="M1794" s="1" t="str">
        <f>_xlfn.XLOOKUP(I1794,Parâmetros!A:A,Parâmetros!B:B,_xlfn.XLOOKUP(Q1794,Parâmetros!F:F,Parâmetros!G:G,"NOVA MENSAGEM"))</f>
        <v>ASSENTO / BAGAGEM</v>
      </c>
      <c r="N1794" s="1" t="str">
        <f>_xlfn.XLOOKUP(M1794,Parâmetros!K:K,Parâmetros!L:L,"")</f>
        <v>CAMPO OBSERVAÇÃO PREENCHIDO INCORRETAMENTE</v>
      </c>
      <c r="O1794" s="1" t="str">
        <f>_xlfn.XLOOKUP(M1794,Parâmetros!B:B,Parâmetros!C:C,_xlfn.XLOOKUP(Base!M1831,Parâmetros!G:G,Parâmetros!H:H))</f>
        <v>QUALIDADE DOS DADOS</v>
      </c>
      <c r="P1794" s="1" t="str">
        <f>_xlfn.XLOOKUP(I1794,Parâmetros!A:A,Parâmetros!D:D,_xlfn.XLOOKUP(Q1794,Parâmetros!F:F,Parâmetros!I:I))</f>
        <v>OPERAÇÕES / SUPORTE KCS</v>
      </c>
      <c r="Q1794" s="1">
        <f t="shared" ref="Q1794:Q1857" si="57">IFERROR(FIND("Não foi possível localizar o contrato do fornecedor",I1794),IFERROR(FIND("veículo",I1794),IFERROR(FIND("agagem",I1794),IFERROR(FIND("error in XML document",I1794),IFERROR(FIND("Não localizado cliente código",I1794),IFERROR(FIND("lemontech",I1794),IFERROR(FIND("&gt;Fornecedor com o",I1794),IFERROR(FIND("INSERT",I1794),IFERROR(FIND("com CNPJ",I1794),IFERROR(FIND("Consultando Agente-&gt; O agente",I1794),IFERROR(FIND("Não foi possível determinar a validade do cartão, favor verificar os dados do cartão",I1794),"COLUNA I")))))))))))</f>
        <v>127</v>
      </c>
    </row>
    <row r="1795" spans="1:17" x14ac:dyDescent="0.25">
      <c r="A1795" s="1" t="str">
        <f>_xlfn.XLOOKUP(D1795,'Novo relatório'!B:B,'Novo relatório'!C:C,"RESOLVIDO")</f>
        <v>TMS</v>
      </c>
      <c r="C1795" t="str">
        <f t="shared" si="56"/>
        <v>PENDENTE</v>
      </c>
      <c r="D1795" s="1">
        <v>3413465</v>
      </c>
      <c r="E1795" s="1" t="s">
        <v>12</v>
      </c>
      <c r="F1795" s="2">
        <v>45786.8</v>
      </c>
      <c r="G1795" s="1">
        <v>19086</v>
      </c>
      <c r="H1795" s="1">
        <v>19086</v>
      </c>
      <c r="I1795" s="1" t="s">
        <v>16</v>
      </c>
      <c r="J1795" s="2">
        <v>45787.004861111112</v>
      </c>
      <c r="K1795" s="2">
        <v>45789.815972222219</v>
      </c>
      <c r="L1795" s="1" t="s">
        <v>14</v>
      </c>
      <c r="M1795" s="1" t="str">
        <f>_xlfn.XLOOKUP(I1795,Parâmetros!A:A,Parâmetros!B:B,_xlfn.XLOOKUP(Q1795,Parâmetros!F:F,Parâmetros!G:G,"NOVA MENSAGEM"))</f>
        <v>ASSENTO / BAGAGEM</v>
      </c>
      <c r="N1795" s="1" t="str">
        <f>_xlfn.XLOOKUP(M1795,Parâmetros!K:K,Parâmetros!L:L,"")</f>
        <v>CAMPO OBSERVAÇÃO PREENCHIDO INCORRETAMENTE</v>
      </c>
      <c r="O1795" s="1" t="str">
        <f>_xlfn.XLOOKUP(M1795,Parâmetros!B:B,Parâmetros!C:C,_xlfn.XLOOKUP(Base!M1829,Parâmetros!G:G,Parâmetros!H:H))</f>
        <v>QUALIDADE DOS DADOS</v>
      </c>
      <c r="P1795" s="1" t="str">
        <f>_xlfn.XLOOKUP(I1795,Parâmetros!A:A,Parâmetros!D:D,_xlfn.XLOOKUP(Q1795,Parâmetros!F:F,Parâmetros!I:I))</f>
        <v>OPERAÇÕES / SUPORTE KCS</v>
      </c>
      <c r="Q1795" s="1">
        <f t="shared" si="57"/>
        <v>118</v>
      </c>
    </row>
    <row r="1796" spans="1:17" x14ac:dyDescent="0.25">
      <c r="A1796" s="1" t="str">
        <f>_xlfn.XLOOKUP(D1796,'Novo relatório'!B:B,'Novo relatório'!C:C,"RESOLVIDO")</f>
        <v>GOVER</v>
      </c>
      <c r="C1796" t="str">
        <f t="shared" si="56"/>
        <v>PENDENTE</v>
      </c>
      <c r="D1796" s="1">
        <v>3413610</v>
      </c>
      <c r="E1796" s="1" t="s">
        <v>24</v>
      </c>
      <c r="F1796" s="2">
        <v>45788.510416666664</v>
      </c>
      <c r="G1796" s="1">
        <v>4535285</v>
      </c>
      <c r="H1796" s="1">
        <v>4535285</v>
      </c>
      <c r="I1796" s="1" t="s">
        <v>77</v>
      </c>
      <c r="J1796" s="2">
        <v>45788.731249999997</v>
      </c>
      <c r="K1796" s="2">
        <v>45810.706250000003</v>
      </c>
      <c r="L1796" s="1" t="s">
        <v>14</v>
      </c>
      <c r="M1796" s="1" t="str">
        <f>_xlfn.XLOOKUP(I1796,Parâmetros!A:A,Parâmetros!B:B,_xlfn.XLOOKUP(Q1796,Parâmetros!F:F,Parâmetros!G:G,"NOVA MENSAGEM"))</f>
        <v>RLOC NÃO INFORMADO</v>
      </c>
      <c r="N1796" s="1" t="str">
        <f>_xlfn.XLOOKUP(M1796,Parâmetros!K:K,Parâmetros!L:L,"")</f>
        <v>RLOC NÃO PREENCHIDO NA RESERVA</v>
      </c>
      <c r="O1796" s="1" t="str">
        <f>_xlfn.XLOOKUP(M1796,Parâmetros!B:B,Parâmetros!C:C,_xlfn.XLOOKUP(Base!M2060,Parâmetros!G:G,Parâmetros!H:H))</f>
        <v>QUALIDADE DOS DADOS</v>
      </c>
      <c r="P1796" s="1" t="str">
        <f>_xlfn.XLOOKUP(I1796,Parâmetros!A:A,Parâmetros!D:D,_xlfn.XLOOKUP(Q1796,Parâmetros!F:F,Parâmetros!I:I))</f>
        <v>SUPORTE OBT</v>
      </c>
      <c r="Q1796" s="1" t="str">
        <f t="shared" si="57"/>
        <v>COLUNA I</v>
      </c>
    </row>
    <row r="1797" spans="1:17" x14ac:dyDescent="0.25">
      <c r="A1797" s="1" t="str">
        <f>_xlfn.XLOOKUP(D1797,'Novo relatório'!B:B,'Novo relatório'!C:C,"RESOLVIDO")</f>
        <v>SABRE</v>
      </c>
      <c r="C1797" t="str">
        <f t="shared" si="56"/>
        <v>PENDENTE</v>
      </c>
      <c r="D1797" s="1">
        <v>3413674</v>
      </c>
      <c r="E1797" s="1" t="s">
        <v>26</v>
      </c>
      <c r="F1797" s="2">
        <v>45789.481944444444</v>
      </c>
      <c r="G1797" s="1" t="s">
        <v>2293</v>
      </c>
      <c r="H1797" s="1" t="s">
        <v>2293</v>
      </c>
      <c r="I1797" s="1" t="s">
        <v>408</v>
      </c>
      <c r="J1797" s="2">
        <v>45789.365972222222</v>
      </c>
      <c r="K1797" s="2">
        <v>45789.574305555558</v>
      </c>
      <c r="L1797" s="1" t="s">
        <v>18</v>
      </c>
      <c r="M1797" s="1" t="str">
        <f>_xlfn.XLOOKUP(I1797,Parâmetros!A:A,Parâmetros!B:B,_xlfn.XLOOKUP(Q1797,Parâmetros!F:F,Parâmetros!G:G,"NOVA MENSAGEM"))</f>
        <v>CÓD. CLIENTE DIVERGENTE</v>
      </c>
      <c r="N1797" s="1" t="str">
        <f>_xlfn.XLOOKUP(M1797,Parâmetros!K:K,Parâmetros!L:L,"")</f>
        <v>CÓDIGO DIFERENTE DO CADASTRADO NO BENNER (CLIENTE X GRUPO)</v>
      </c>
      <c r="O1797" s="1" t="str">
        <f>_xlfn.XLOOKUP(M1797,Parâmetros!B:B,Parâmetros!C:C,_xlfn.XLOOKUP(Base!M1767,Parâmetros!G:G,Parâmetros!H:H))</f>
        <v>QUALIDADE DOS DADOS</v>
      </c>
      <c r="P1797" s="1" t="str">
        <f>_xlfn.XLOOKUP(I1797,Parâmetros!A:A,Parâmetros!D:D,_xlfn.XLOOKUP(Q1797,Parâmetros!F:F,Parâmetros!I:I))</f>
        <v>SUPORTE OBT</v>
      </c>
      <c r="Q1797" s="1">
        <f t="shared" si="57"/>
        <v>1</v>
      </c>
    </row>
    <row r="1798" spans="1:17" x14ac:dyDescent="0.25">
      <c r="A1798" s="1" t="str">
        <f>_xlfn.XLOOKUP(D1798,'Novo relatório'!B:B,'Novo relatório'!C:C,"RESOLVIDO")</f>
        <v>SABRE</v>
      </c>
      <c r="C1798" t="str">
        <f t="shared" si="56"/>
        <v>PENDENTE</v>
      </c>
      <c r="D1798" s="1">
        <v>3413675</v>
      </c>
      <c r="E1798" s="1" t="s">
        <v>26</v>
      </c>
      <c r="F1798" s="2">
        <v>45789.481944444444</v>
      </c>
      <c r="G1798" s="1" t="s">
        <v>2295</v>
      </c>
      <c r="H1798" s="1" t="s">
        <v>2293</v>
      </c>
      <c r="I1798" s="1" t="s">
        <v>1202</v>
      </c>
      <c r="J1798" s="2">
        <v>45789.365972222222</v>
      </c>
      <c r="K1798" s="2">
        <v>45789.574305555558</v>
      </c>
      <c r="L1798" s="1" t="s">
        <v>18</v>
      </c>
      <c r="M1798" s="1" t="str">
        <f>_xlfn.XLOOKUP(I1798,Parâmetros!A:A,Parâmetros!B:B,_xlfn.XLOOKUP(Q1798,Parâmetros!F:F,Parâmetros!G:G,"NOVA MENSAGEM"))</f>
        <v>CÓD. CLIENTE DIVERGENTE</v>
      </c>
      <c r="N1798" s="1" t="str">
        <f>_xlfn.XLOOKUP(M1798,Parâmetros!K:K,Parâmetros!L:L,"")</f>
        <v>CÓDIGO DIFERENTE DO CADASTRADO NO BENNER (CLIENTE X GRUPO)</v>
      </c>
      <c r="O1798" s="1" t="str">
        <f>_xlfn.XLOOKUP(M1798,Parâmetros!B:B,Parâmetros!C:C,_xlfn.XLOOKUP(Base!M1769,Parâmetros!G:G,Parâmetros!H:H))</f>
        <v>QUALIDADE DOS DADOS</v>
      </c>
      <c r="P1798" s="1" t="str">
        <f>_xlfn.XLOOKUP(I1798,Parâmetros!A:A,Parâmetros!D:D,_xlfn.XLOOKUP(Q1798,Parâmetros!F:F,Parâmetros!I:I))</f>
        <v>SUPORTE OBT</v>
      </c>
      <c r="Q1798" s="1">
        <f t="shared" si="57"/>
        <v>1</v>
      </c>
    </row>
    <row r="1799" spans="1:17" x14ac:dyDescent="0.25">
      <c r="A1799" s="1" t="str">
        <f>_xlfn.XLOOKUP(D1799,'Novo relatório'!B:B,'Novo relatório'!C:C,"RESOLVIDO")</f>
        <v>SABRE</v>
      </c>
      <c r="C1799" t="str">
        <f t="shared" si="56"/>
        <v>PENDENTE</v>
      </c>
      <c r="D1799" s="1">
        <v>3413676</v>
      </c>
      <c r="E1799" s="1" t="s">
        <v>26</v>
      </c>
      <c r="F1799" s="2">
        <v>45789.481944444444</v>
      </c>
      <c r="G1799" s="1" t="s">
        <v>2294</v>
      </c>
      <c r="H1799" s="1" t="s">
        <v>2293</v>
      </c>
      <c r="I1799" s="1" t="s">
        <v>1423</v>
      </c>
      <c r="J1799" s="2">
        <v>45789.365972222222</v>
      </c>
      <c r="K1799" s="2">
        <v>45789.574305555558</v>
      </c>
      <c r="L1799" s="1" t="s">
        <v>18</v>
      </c>
      <c r="M1799" s="1" t="str">
        <f>_xlfn.XLOOKUP(I1799,Parâmetros!A:A,Parâmetros!B:B,_xlfn.XLOOKUP(Q1799,Parâmetros!F:F,Parâmetros!G:G,"NOVA MENSAGEM"))</f>
        <v>CÓD. CLIENTE DIVERGENTE</v>
      </c>
      <c r="N1799" s="1" t="str">
        <f>_xlfn.XLOOKUP(M1799,Parâmetros!K:K,Parâmetros!L:L,"")</f>
        <v>CÓDIGO DIFERENTE DO CADASTRADO NO BENNER (CLIENTE X GRUPO)</v>
      </c>
      <c r="O1799" s="1" t="str">
        <f>_xlfn.XLOOKUP(M1799,Parâmetros!B:B,Parâmetros!C:C,_xlfn.XLOOKUP(Base!M1768,Parâmetros!G:G,Parâmetros!H:H))</f>
        <v>QUALIDADE DOS DADOS</v>
      </c>
      <c r="P1799" s="1" t="str">
        <f>_xlfn.XLOOKUP(I1799,Parâmetros!A:A,Parâmetros!D:D,_xlfn.XLOOKUP(Q1799,Parâmetros!F:F,Parâmetros!I:I))</f>
        <v>SUPORTE OBT</v>
      </c>
      <c r="Q1799" s="1">
        <f t="shared" si="57"/>
        <v>1</v>
      </c>
    </row>
    <row r="1800" spans="1:17" x14ac:dyDescent="0.25">
      <c r="A1800" s="1" t="str">
        <f>_xlfn.XLOOKUP(D1800,'Novo relatório'!B:B,'Novo relatório'!C:C,"RESOLVIDO")</f>
        <v>SABRE</v>
      </c>
      <c r="C1800" t="str">
        <f t="shared" si="56"/>
        <v>PENDENTE</v>
      </c>
      <c r="D1800" s="1">
        <v>3413863</v>
      </c>
      <c r="E1800" s="1" t="s">
        <v>26</v>
      </c>
      <c r="F1800" s="2">
        <v>45789.364583333336</v>
      </c>
      <c r="G1800" s="1" t="s">
        <v>2282</v>
      </c>
      <c r="H1800" s="1" t="s">
        <v>2282</v>
      </c>
      <c r="I1800" s="1" t="s">
        <v>2283</v>
      </c>
      <c r="J1800" s="2">
        <v>45789.449305555558</v>
      </c>
      <c r="L1800" s="1" t="s">
        <v>18</v>
      </c>
      <c r="M1800" s="1" t="str">
        <f>_xlfn.XLOOKUP(I1800,Parâmetros!A:A,Parâmetros!B:B,_xlfn.XLOOKUP(Q1800,Parâmetros!F:F,Parâmetros!G:G,"NOVA MENSAGEM"))</f>
        <v>CÓD. CLIENTE DIVERGENTE</v>
      </c>
      <c r="N1800" s="1" t="str">
        <f>_xlfn.XLOOKUP(M1800,Parâmetros!K:K,Parâmetros!L:L,"")</f>
        <v>CÓDIGO DIFERENTE DO CADASTRADO NO BENNER (CLIENTE X GRUPO)</v>
      </c>
      <c r="O1800" s="1" t="str">
        <f>_xlfn.XLOOKUP(M1800,Parâmetros!B:B,Parâmetros!C:C,_xlfn.XLOOKUP(Base!M1759,Parâmetros!G:G,Parâmetros!H:H))</f>
        <v>QUALIDADE DOS DADOS</v>
      </c>
      <c r="P1800" s="1" t="str">
        <f>_xlfn.XLOOKUP(I1800,Parâmetros!A:A,Parâmetros!D:D,_xlfn.XLOOKUP(Q1800,Parâmetros!F:F,Parâmetros!I:I))</f>
        <v>SUPORTE OBT</v>
      </c>
      <c r="Q1800" s="1">
        <f t="shared" si="57"/>
        <v>1</v>
      </c>
    </row>
    <row r="1801" spans="1:17" x14ac:dyDescent="0.25">
      <c r="A1801" s="1" t="str">
        <f>_xlfn.XLOOKUP(D1801,'Novo relatório'!B:B,'Novo relatório'!C:C,"RESOLVIDO")</f>
        <v>SABRE</v>
      </c>
      <c r="C1801" t="str">
        <f t="shared" si="56"/>
        <v>PENDENTE</v>
      </c>
      <c r="D1801" s="1">
        <v>3413864</v>
      </c>
      <c r="E1801" s="1" t="s">
        <v>26</v>
      </c>
      <c r="F1801" s="2">
        <v>45789.364583333336</v>
      </c>
      <c r="G1801" s="1" t="s">
        <v>2284</v>
      </c>
      <c r="H1801" s="1" t="s">
        <v>2282</v>
      </c>
      <c r="I1801" s="1" t="s">
        <v>2285</v>
      </c>
      <c r="J1801" s="2">
        <v>45789.449305555558</v>
      </c>
      <c r="L1801" s="1" t="s">
        <v>18</v>
      </c>
      <c r="M1801" s="1" t="str">
        <f>_xlfn.XLOOKUP(I1801,Parâmetros!A:A,Parâmetros!B:B,_xlfn.XLOOKUP(Q1801,Parâmetros!F:F,Parâmetros!G:G,"NOVA MENSAGEM"))</f>
        <v>CÓD. CLIENTE DIVERGENTE</v>
      </c>
      <c r="N1801" s="1" t="str">
        <f>_xlfn.XLOOKUP(M1801,Parâmetros!K:K,Parâmetros!L:L,"")</f>
        <v>CÓDIGO DIFERENTE DO CADASTRADO NO BENNER (CLIENTE X GRUPO)</v>
      </c>
      <c r="O1801" s="1" t="str">
        <f>_xlfn.XLOOKUP(M1801,Parâmetros!B:B,Parâmetros!C:C,_xlfn.XLOOKUP(Base!M1760,Parâmetros!G:G,Parâmetros!H:H))</f>
        <v>QUALIDADE DOS DADOS</v>
      </c>
      <c r="P1801" s="1" t="str">
        <f>_xlfn.XLOOKUP(I1801,Parâmetros!A:A,Parâmetros!D:D,_xlfn.XLOOKUP(Q1801,Parâmetros!F:F,Parâmetros!I:I))</f>
        <v>SUPORTE OBT</v>
      </c>
      <c r="Q1801" s="1">
        <f t="shared" si="57"/>
        <v>1</v>
      </c>
    </row>
    <row r="1802" spans="1:17" x14ac:dyDescent="0.25">
      <c r="A1802" s="1" t="str">
        <f>_xlfn.XLOOKUP(D1802,'Novo relatório'!B:B,'Novo relatório'!C:C,"RESOLVIDO")</f>
        <v>SABRE</v>
      </c>
      <c r="C1802" t="str">
        <f t="shared" si="56"/>
        <v>PENDENTE</v>
      </c>
      <c r="D1802" s="1">
        <v>3414687</v>
      </c>
      <c r="E1802" s="1" t="s">
        <v>26</v>
      </c>
      <c r="F1802" s="2">
        <v>45789.503472222219</v>
      </c>
      <c r="G1802" s="1" t="s">
        <v>2309</v>
      </c>
      <c r="H1802" s="1" t="s">
        <v>2309</v>
      </c>
      <c r="I1802" s="1" t="s">
        <v>746</v>
      </c>
      <c r="J1802" s="2">
        <v>45789.595138888886</v>
      </c>
      <c r="L1802" s="1" t="s">
        <v>18</v>
      </c>
      <c r="M1802" s="1" t="str">
        <f>_xlfn.XLOOKUP(I1802,Parâmetros!A:A,Parâmetros!B:B,_xlfn.XLOOKUP(Q1802,Parâmetros!F:F,Parâmetros!G:G,"NOVA MENSAGEM"))</f>
        <v>CÓD. CLIENTE DIVERGENTE</v>
      </c>
      <c r="N1802" s="1" t="str">
        <f>_xlfn.XLOOKUP(M1802,Parâmetros!K:K,Parâmetros!L:L,"")</f>
        <v>CÓDIGO DIFERENTE DO CADASTRADO NO BENNER (CLIENTE X GRUPO)</v>
      </c>
      <c r="O1802" s="1" t="str">
        <f>_xlfn.XLOOKUP(M1802,Parâmetros!B:B,Parâmetros!C:C,_xlfn.XLOOKUP(Base!M1783,Parâmetros!G:G,Parâmetros!H:H))</f>
        <v>QUALIDADE DOS DADOS</v>
      </c>
      <c r="P1802" s="1" t="str">
        <f>_xlfn.XLOOKUP(I1802,Parâmetros!A:A,Parâmetros!D:D,_xlfn.XLOOKUP(Q1802,Parâmetros!F:F,Parâmetros!I:I))</f>
        <v>SUPORTE OBT</v>
      </c>
      <c r="Q1802" s="1">
        <f t="shared" si="57"/>
        <v>1</v>
      </c>
    </row>
    <row r="1803" spans="1:17" x14ac:dyDescent="0.25">
      <c r="A1803" s="1" t="str">
        <f>_xlfn.XLOOKUP(D1803,'Novo relatório'!B:B,'Novo relatório'!C:C,"RESOLVIDO")</f>
        <v>SABRE</v>
      </c>
      <c r="C1803" t="str">
        <f t="shared" si="56"/>
        <v>PENDENTE</v>
      </c>
      <c r="D1803" s="1">
        <v>3414697</v>
      </c>
      <c r="E1803" s="1" t="s">
        <v>26</v>
      </c>
      <c r="F1803" s="2">
        <v>45789.505555555559</v>
      </c>
      <c r="G1803" s="1" t="s">
        <v>2301</v>
      </c>
      <c r="H1803" s="1" t="s">
        <v>2301</v>
      </c>
      <c r="I1803" s="1" t="s">
        <v>620</v>
      </c>
      <c r="J1803" s="2">
        <v>45789.598611111112</v>
      </c>
      <c r="L1803" s="1" t="s">
        <v>18</v>
      </c>
      <c r="M1803" s="1" t="str">
        <f>_xlfn.XLOOKUP(I1803,Parâmetros!A:A,Parâmetros!B:B,_xlfn.XLOOKUP(Q1803,Parâmetros!F:F,Parâmetros!G:G,"NOVA MENSAGEM"))</f>
        <v>CÓD. CLIENTE DIVERGENTE</v>
      </c>
      <c r="N1803" s="1" t="str">
        <f>_xlfn.XLOOKUP(M1803,Parâmetros!K:K,Parâmetros!L:L,"")</f>
        <v>CÓDIGO DIFERENTE DO CADASTRADO NO BENNER (CLIENTE X GRUPO)</v>
      </c>
      <c r="O1803" s="1" t="str">
        <f>_xlfn.XLOOKUP(M1803,Parâmetros!B:B,Parâmetros!C:C,_xlfn.XLOOKUP(Base!M1775,Parâmetros!G:G,Parâmetros!H:H))</f>
        <v>QUALIDADE DOS DADOS</v>
      </c>
      <c r="P1803" s="1" t="str">
        <f>_xlfn.XLOOKUP(I1803,Parâmetros!A:A,Parâmetros!D:D,_xlfn.XLOOKUP(Q1803,Parâmetros!F:F,Parâmetros!I:I))</f>
        <v>SUPORTE OBT</v>
      </c>
      <c r="Q1803" s="1">
        <f t="shared" si="57"/>
        <v>1</v>
      </c>
    </row>
    <row r="1804" spans="1:17" x14ac:dyDescent="0.25">
      <c r="A1804" s="1" t="str">
        <f>_xlfn.XLOOKUP(D1804,'Novo relatório'!B:B,'Novo relatório'!C:C,"RESOLVIDO")</f>
        <v>SABRE</v>
      </c>
      <c r="C1804" t="str">
        <f t="shared" si="56"/>
        <v>PENDENTE</v>
      </c>
      <c r="D1804" s="1">
        <v>3414698</v>
      </c>
      <c r="E1804" s="1" t="s">
        <v>26</v>
      </c>
      <c r="F1804" s="2">
        <v>45789.506944444445</v>
      </c>
      <c r="G1804" s="1" t="s">
        <v>2331</v>
      </c>
      <c r="H1804" s="1" t="s">
        <v>2331</v>
      </c>
      <c r="I1804" s="1" t="s">
        <v>83</v>
      </c>
      <c r="J1804" s="2">
        <v>45789.598611111112</v>
      </c>
      <c r="L1804" s="1" t="s">
        <v>18</v>
      </c>
      <c r="M1804" s="1" t="str">
        <f>_xlfn.XLOOKUP(I1804,Parâmetros!A:A,Parâmetros!B:B,_xlfn.XLOOKUP(Q1804,Parâmetros!F:F,Parâmetros!G:G,"NOVA MENSAGEM"))</f>
        <v>CLIENTE NÃO IDENTIFICADO</v>
      </c>
      <c r="N1804" s="1" t="str">
        <f>_xlfn.XLOOKUP(M1804,Parâmetros!K:K,Parâmetros!L:L,"")</f>
        <v>DK DE CLIENTE NÃO PREENCIDO / CLIENTE NÃO CONFIGURADO NO OBT</v>
      </c>
      <c r="O1804" s="1" t="str">
        <f>_xlfn.XLOOKUP(M1804,Parâmetros!B:B,Parâmetros!C:C,_xlfn.XLOOKUP(Base!M1804,Parâmetros!G:G,Parâmetros!H:H))</f>
        <v>INDEFINIDO</v>
      </c>
      <c r="P1804" s="1" t="str">
        <f>_xlfn.XLOOKUP(I1804,Parâmetros!A:A,Parâmetros!D:D,_xlfn.XLOOKUP(Q1804,Parâmetros!F:F,Parâmetros!I:I))</f>
        <v>OPERAÇÕES / SUPORTE KCS</v>
      </c>
      <c r="Q1804" s="1" t="str">
        <f t="shared" si="57"/>
        <v>COLUNA I</v>
      </c>
    </row>
    <row r="1805" spans="1:17" x14ac:dyDescent="0.25">
      <c r="A1805" s="1" t="str">
        <f>_xlfn.XLOOKUP(D1805,'Novo relatório'!B:B,'Novo relatório'!C:C,"RESOLVIDO")</f>
        <v>SABRE</v>
      </c>
      <c r="C1805" t="str">
        <f t="shared" si="56"/>
        <v>PENDENTE</v>
      </c>
      <c r="D1805" s="1">
        <v>3414869</v>
      </c>
      <c r="E1805" s="1" t="s">
        <v>26</v>
      </c>
      <c r="F1805" s="2">
        <v>45790.774305555555</v>
      </c>
      <c r="G1805" s="1" t="s">
        <v>2335</v>
      </c>
      <c r="H1805" s="1" t="s">
        <v>2335</v>
      </c>
      <c r="I1805" s="1" t="s">
        <v>83</v>
      </c>
      <c r="J1805" s="2">
        <v>45789.657638888886</v>
      </c>
      <c r="K1805" s="2">
        <v>45790.866666666669</v>
      </c>
      <c r="L1805" s="1" t="s">
        <v>18</v>
      </c>
      <c r="M1805" s="1" t="str">
        <f>_xlfn.XLOOKUP(I1805,Parâmetros!A:A,Parâmetros!B:B,_xlfn.XLOOKUP(Q1805,Parâmetros!F:F,Parâmetros!G:G,"NOVA MENSAGEM"))</f>
        <v>CLIENTE NÃO IDENTIFICADO</v>
      </c>
      <c r="N1805" s="1" t="str">
        <f>_xlfn.XLOOKUP(M1805,Parâmetros!K:K,Parâmetros!L:L,"")</f>
        <v>DK DE CLIENTE NÃO PREENCIDO / CLIENTE NÃO CONFIGURADO NO OBT</v>
      </c>
      <c r="O1805" s="1" t="str">
        <f>_xlfn.XLOOKUP(M1805,Parâmetros!B:B,Parâmetros!C:C,_xlfn.XLOOKUP(Base!M1808,Parâmetros!G:G,Parâmetros!H:H))</f>
        <v>INDEFINIDO</v>
      </c>
      <c r="P1805" s="1" t="str">
        <f>_xlfn.XLOOKUP(I1805,Parâmetros!A:A,Parâmetros!D:D,_xlfn.XLOOKUP(Q1805,Parâmetros!F:F,Parâmetros!I:I))</f>
        <v>OPERAÇÕES / SUPORTE KCS</v>
      </c>
      <c r="Q1805" s="1" t="str">
        <f t="shared" si="57"/>
        <v>COLUNA I</v>
      </c>
    </row>
    <row r="1806" spans="1:17" x14ac:dyDescent="0.25">
      <c r="A1806" s="1" t="str">
        <f>_xlfn.XLOOKUP(D1806,'Novo relatório'!B:B,'Novo relatório'!C:C,"RESOLVIDO")</f>
        <v>TMS</v>
      </c>
      <c r="C1806" t="str">
        <f t="shared" si="56"/>
        <v>PENDENTE</v>
      </c>
      <c r="D1806" s="1">
        <v>3415236</v>
      </c>
      <c r="E1806" s="1" t="s">
        <v>12</v>
      </c>
      <c r="F1806" s="2">
        <v>45789.72152777778</v>
      </c>
      <c r="G1806" s="1">
        <v>207874</v>
      </c>
      <c r="H1806" s="1">
        <v>207874</v>
      </c>
      <c r="I1806" s="1" t="s">
        <v>82</v>
      </c>
      <c r="J1806" s="2">
        <v>45789.759722222225</v>
      </c>
      <c r="K1806" s="2">
        <v>45791.585416666669</v>
      </c>
      <c r="L1806" s="1" t="s">
        <v>14</v>
      </c>
      <c r="M1806" s="1" t="str">
        <f>_xlfn.XLOOKUP(I1806,Parâmetros!A:A,Parâmetros!B:B,_xlfn.XLOOKUP(Q1806,Parâmetros!F:F,Parâmetros!G:G,"NOVA MENSAGEM"))</f>
        <v>COTAÇÃO</v>
      </c>
      <c r="N1806" s="1" t="str">
        <f>_xlfn.XLOOKUP(M1806,Parâmetros!K:K,Parâmetros!L:L,"")</f>
        <v>INDEFINIDO</v>
      </c>
      <c r="O1806" s="1" t="str">
        <f>_xlfn.XLOOKUP(M1806,Parâmetros!B:B,Parâmetros!C:C,_xlfn.XLOOKUP(Base!M1830,Parâmetros!G:G,Parâmetros!H:H))</f>
        <v>INDEFINIDO</v>
      </c>
      <c r="P1806" s="1" t="str">
        <f>_xlfn.XLOOKUP(I1806,Parâmetros!A:A,Parâmetros!D:D,_xlfn.XLOOKUP(Q1806,Parâmetros!F:F,Parâmetros!I:I))</f>
        <v>SUPORTE OBT</v>
      </c>
      <c r="Q1806" s="1" t="str">
        <f t="shared" si="57"/>
        <v>COLUNA I</v>
      </c>
    </row>
    <row r="1807" spans="1:17" x14ac:dyDescent="0.25">
      <c r="A1807" s="1" t="str">
        <f>_xlfn.XLOOKUP(D1807,'Novo relatório'!B:B,'Novo relatório'!C:C,"RESOLVIDO")</f>
        <v>SABRE</v>
      </c>
      <c r="C1807" t="str">
        <f t="shared" si="56"/>
        <v>PENDENTE</v>
      </c>
      <c r="D1807" s="1">
        <v>3415297</v>
      </c>
      <c r="E1807" s="1" t="s">
        <v>26</v>
      </c>
      <c r="F1807" s="2">
        <v>45789.681944444441</v>
      </c>
      <c r="G1807" s="1" t="s">
        <v>2324</v>
      </c>
      <c r="H1807" s="1" t="s">
        <v>2324</v>
      </c>
      <c r="I1807" s="1" t="s">
        <v>620</v>
      </c>
      <c r="J1807" s="2">
        <v>45789.772916666669</v>
      </c>
      <c r="L1807" s="1" t="s">
        <v>18</v>
      </c>
      <c r="M1807" s="1" t="str">
        <f>_xlfn.XLOOKUP(I1807,Parâmetros!A:A,Parâmetros!B:B,_xlfn.XLOOKUP(Q1807,Parâmetros!F:F,Parâmetros!G:G,"NOVA MENSAGEM"))</f>
        <v>CÓD. CLIENTE DIVERGENTE</v>
      </c>
      <c r="N1807" s="1" t="str">
        <f>_xlfn.XLOOKUP(M1807,Parâmetros!K:K,Parâmetros!L:L,"")</f>
        <v>CÓDIGO DIFERENTE DO CADASTRADO NO BENNER (CLIENTE X GRUPO)</v>
      </c>
      <c r="O1807" s="1" t="str">
        <f>_xlfn.XLOOKUP(M1807,Parâmetros!B:B,Parâmetros!C:C,_xlfn.XLOOKUP(Base!M1798,Parâmetros!G:G,Parâmetros!H:H))</f>
        <v>QUALIDADE DOS DADOS</v>
      </c>
      <c r="P1807" s="1" t="str">
        <f>_xlfn.XLOOKUP(I1807,Parâmetros!A:A,Parâmetros!D:D,_xlfn.XLOOKUP(Q1807,Parâmetros!F:F,Parâmetros!I:I))</f>
        <v>SUPORTE OBT</v>
      </c>
      <c r="Q1807" s="1">
        <f t="shared" si="57"/>
        <v>1</v>
      </c>
    </row>
    <row r="1808" spans="1:17" x14ac:dyDescent="0.25">
      <c r="A1808" s="1" t="str">
        <f>_xlfn.XLOOKUP(D1808,'Novo relatório'!B:B,'Novo relatório'!C:C,"RESOLVIDO")</f>
        <v>SABRE</v>
      </c>
      <c r="C1808" t="str">
        <f t="shared" si="56"/>
        <v>PENDENTE</v>
      </c>
      <c r="D1808" s="1">
        <v>3415333</v>
      </c>
      <c r="E1808" s="1" t="s">
        <v>26</v>
      </c>
      <c r="F1808" s="2">
        <v>45789.681944444441</v>
      </c>
      <c r="G1808" s="1" t="s">
        <v>2297</v>
      </c>
      <c r="H1808" s="1" t="s">
        <v>2297</v>
      </c>
      <c r="I1808" s="1" t="s">
        <v>707</v>
      </c>
      <c r="J1808" s="2">
        <v>45789.773611111108</v>
      </c>
      <c r="L1808" s="1" t="s">
        <v>18</v>
      </c>
      <c r="M1808" s="1" t="str">
        <f>_xlfn.XLOOKUP(I1808,Parâmetros!A:A,Parâmetros!B:B,_xlfn.XLOOKUP(Q1808,Parâmetros!F:F,Parâmetros!G:G,"NOVA MENSAGEM"))</f>
        <v>CÓD. CLIENTE DIVERGENTE</v>
      </c>
      <c r="N1808" s="1" t="str">
        <f>_xlfn.XLOOKUP(M1808,Parâmetros!K:K,Parâmetros!L:L,"")</f>
        <v>CÓDIGO DIFERENTE DO CADASTRADO NO BENNER (CLIENTE X GRUPO)</v>
      </c>
      <c r="O1808" s="1" t="str">
        <f>_xlfn.XLOOKUP(M1808,Parâmetros!B:B,Parâmetros!C:C,_xlfn.XLOOKUP(Base!M1771,Parâmetros!G:G,Parâmetros!H:H))</f>
        <v>QUALIDADE DOS DADOS</v>
      </c>
      <c r="P1808" s="1" t="str">
        <f>_xlfn.XLOOKUP(I1808,Parâmetros!A:A,Parâmetros!D:D,_xlfn.XLOOKUP(Q1808,Parâmetros!F:F,Parâmetros!I:I))</f>
        <v>SUPORTE OBT</v>
      </c>
      <c r="Q1808" s="1">
        <f t="shared" si="57"/>
        <v>1</v>
      </c>
    </row>
    <row r="1809" spans="1:17" x14ac:dyDescent="0.25">
      <c r="A1809" s="1" t="str">
        <f>_xlfn.XLOOKUP(D1809,'Novo relatório'!B:B,'Novo relatório'!C:C,"RESOLVIDO")</f>
        <v>SABRE</v>
      </c>
      <c r="C1809" t="str">
        <f t="shared" si="56"/>
        <v>PENDENTE</v>
      </c>
      <c r="D1809" s="1">
        <v>3415336</v>
      </c>
      <c r="E1809" s="1" t="s">
        <v>26</v>
      </c>
      <c r="F1809" s="2">
        <v>45789.681944444441</v>
      </c>
      <c r="G1809" s="1" t="s">
        <v>2302</v>
      </c>
      <c r="H1809" s="1" t="s">
        <v>2302</v>
      </c>
      <c r="I1809" s="1" t="s">
        <v>620</v>
      </c>
      <c r="J1809" s="2">
        <v>45789.774305555555</v>
      </c>
      <c r="L1809" s="1" t="s">
        <v>18</v>
      </c>
      <c r="M1809" s="1" t="str">
        <f>_xlfn.XLOOKUP(I1809,Parâmetros!A:A,Parâmetros!B:B,_xlfn.XLOOKUP(Q1809,Parâmetros!F:F,Parâmetros!G:G,"NOVA MENSAGEM"))</f>
        <v>CÓD. CLIENTE DIVERGENTE</v>
      </c>
      <c r="N1809" s="1" t="str">
        <f>_xlfn.XLOOKUP(M1809,Parâmetros!K:K,Parâmetros!L:L,"")</f>
        <v>CÓDIGO DIFERENTE DO CADASTRADO NO BENNER (CLIENTE X GRUPO)</v>
      </c>
      <c r="O1809" s="1" t="str">
        <f>_xlfn.XLOOKUP(M1809,Parâmetros!B:B,Parâmetros!C:C,_xlfn.XLOOKUP(Base!M1776,Parâmetros!G:G,Parâmetros!H:H))</f>
        <v>QUALIDADE DOS DADOS</v>
      </c>
      <c r="P1809" s="1" t="str">
        <f>_xlfn.XLOOKUP(I1809,Parâmetros!A:A,Parâmetros!D:D,_xlfn.XLOOKUP(Q1809,Parâmetros!F:F,Parâmetros!I:I))</f>
        <v>SUPORTE OBT</v>
      </c>
      <c r="Q1809" s="1">
        <f t="shared" si="57"/>
        <v>1</v>
      </c>
    </row>
    <row r="1810" spans="1:17" x14ac:dyDescent="0.25">
      <c r="A1810" s="1" t="str">
        <f>_xlfn.XLOOKUP(D1810,'Novo relatório'!B:B,'Novo relatório'!C:C,"RESOLVIDO")</f>
        <v>SABRE</v>
      </c>
      <c r="C1810" t="str">
        <f t="shared" si="56"/>
        <v>PENDENTE</v>
      </c>
      <c r="D1810" s="1">
        <v>3415342</v>
      </c>
      <c r="E1810" s="1" t="s">
        <v>26</v>
      </c>
      <c r="F1810" s="2">
        <v>45789.681944444441</v>
      </c>
      <c r="G1810" s="1" t="s">
        <v>2337</v>
      </c>
      <c r="H1810" s="1" t="s">
        <v>2337</v>
      </c>
      <c r="I1810" s="1" t="s">
        <v>707</v>
      </c>
      <c r="J1810" s="2">
        <v>45789.774305555555</v>
      </c>
      <c r="L1810" s="1" t="s">
        <v>18</v>
      </c>
      <c r="M1810" s="1" t="str">
        <f>_xlfn.XLOOKUP(I1810,Parâmetros!A:A,Parâmetros!B:B,_xlfn.XLOOKUP(Q1810,Parâmetros!F:F,Parâmetros!G:G,"NOVA MENSAGEM"))</f>
        <v>CÓD. CLIENTE DIVERGENTE</v>
      </c>
      <c r="N1810" s="1" t="str">
        <f>_xlfn.XLOOKUP(M1810,Parâmetros!K:K,Parâmetros!L:L,"")</f>
        <v>CÓDIGO DIFERENTE DO CADASTRADO NO BENNER (CLIENTE X GRUPO)</v>
      </c>
      <c r="O1810" s="1" t="str">
        <f>_xlfn.XLOOKUP(M1810,Parâmetros!B:B,Parâmetros!C:C,_xlfn.XLOOKUP(Base!M1810,Parâmetros!G:G,Parâmetros!H:H))</f>
        <v>QUALIDADE DOS DADOS</v>
      </c>
      <c r="P1810" s="1" t="str">
        <f>_xlfn.XLOOKUP(I1810,Parâmetros!A:A,Parâmetros!D:D,_xlfn.XLOOKUP(Q1810,Parâmetros!F:F,Parâmetros!I:I))</f>
        <v>SUPORTE OBT</v>
      </c>
      <c r="Q1810" s="1">
        <f t="shared" si="57"/>
        <v>1</v>
      </c>
    </row>
    <row r="1811" spans="1:17" x14ac:dyDescent="0.25">
      <c r="A1811" s="1" t="str">
        <f>_xlfn.XLOOKUP(D1811,'Novo relatório'!B:B,'Novo relatório'!C:C,"RESOLVIDO")</f>
        <v>SABRE</v>
      </c>
      <c r="C1811" t="str">
        <f t="shared" si="56"/>
        <v>PENDENTE</v>
      </c>
      <c r="D1811" s="1">
        <v>3415349</v>
      </c>
      <c r="E1811" s="1" t="s">
        <v>26</v>
      </c>
      <c r="F1811" s="2">
        <v>45789.681944444441</v>
      </c>
      <c r="G1811" s="1" t="s">
        <v>2341</v>
      </c>
      <c r="H1811" s="1" t="s">
        <v>2341</v>
      </c>
      <c r="I1811" s="1" t="s">
        <v>1280</v>
      </c>
      <c r="J1811" s="2">
        <v>45789.774305555555</v>
      </c>
      <c r="L1811" s="1" t="s">
        <v>18</v>
      </c>
      <c r="M1811" s="1" t="str">
        <f>_xlfn.XLOOKUP(I1811,Parâmetros!A:A,Parâmetros!B:B,_xlfn.XLOOKUP(Q1811,Parâmetros!F:F,Parâmetros!G:G,"NOVA MENSAGEM"))</f>
        <v>CÓD. CLIENTE DIVERGENTE</v>
      </c>
      <c r="N1811" s="1" t="str">
        <f>_xlfn.XLOOKUP(M1811,Parâmetros!K:K,Parâmetros!L:L,"")</f>
        <v>CÓDIGO DIFERENTE DO CADASTRADO NO BENNER (CLIENTE X GRUPO)</v>
      </c>
      <c r="O1811" s="1" t="str">
        <f>_xlfn.XLOOKUP(M1811,Parâmetros!B:B,Parâmetros!C:C,_xlfn.XLOOKUP(Base!M1814,Parâmetros!G:G,Parâmetros!H:H))</f>
        <v>QUALIDADE DOS DADOS</v>
      </c>
      <c r="P1811" s="1" t="str">
        <f>_xlfn.XLOOKUP(I1811,Parâmetros!A:A,Parâmetros!D:D,_xlfn.XLOOKUP(Q1811,Parâmetros!F:F,Parâmetros!I:I))</f>
        <v>SUPORTE OBT</v>
      </c>
      <c r="Q1811" s="1">
        <f t="shared" si="57"/>
        <v>1</v>
      </c>
    </row>
    <row r="1812" spans="1:17" x14ac:dyDescent="0.25">
      <c r="A1812" s="1" t="str">
        <f>_xlfn.XLOOKUP(D1812,'Novo relatório'!B:B,'Novo relatório'!C:C,"RESOLVIDO")</f>
        <v>TMS</v>
      </c>
      <c r="C1812" t="str">
        <f t="shared" si="56"/>
        <v>PENDENTE</v>
      </c>
      <c r="D1812" s="1">
        <v>3415913</v>
      </c>
      <c r="E1812" s="1" t="s">
        <v>12</v>
      </c>
      <c r="F1812" s="2">
        <v>45789.574305555558</v>
      </c>
      <c r="G1812" s="1">
        <v>6256</v>
      </c>
      <c r="H1812" s="1">
        <v>6256</v>
      </c>
      <c r="I1812" s="1" t="s">
        <v>2134</v>
      </c>
      <c r="J1812" s="2">
        <v>45789.824999999997</v>
      </c>
      <c r="K1812" s="2">
        <v>45791.589583333334</v>
      </c>
      <c r="L1812" s="1" t="s">
        <v>14</v>
      </c>
      <c r="M1812" s="1" t="str">
        <f>_xlfn.XLOOKUP(I1812,Parâmetros!A:A,Parâmetros!B:B,_xlfn.XLOOKUP(Q1812,Parâmetros!F:F,Parâmetros!G:G,"NOVA MENSAGEM"))</f>
        <v>NOVA MENSAGEM</v>
      </c>
      <c r="N1812" s="1" t="str">
        <f>_xlfn.XLOOKUP(M1812,Parâmetros!K:K,Parâmetros!L:L,"")</f>
        <v/>
      </c>
      <c r="O1812" s="1" t="e">
        <f>_xlfn.XLOOKUP(M1812,Parâmetros!B:B,Parâmetros!C:C,_xlfn.XLOOKUP(Base!M1837,Parâmetros!G:G,Parâmetros!H:H))</f>
        <v>#N/A</v>
      </c>
      <c r="P1812" s="1" t="e">
        <f>_xlfn.XLOOKUP(I1812,Parâmetros!A:A,Parâmetros!D:D,_xlfn.XLOOKUP(Q1812,Parâmetros!F:F,Parâmetros!I:I))</f>
        <v>#N/A</v>
      </c>
      <c r="Q1812" s="1" t="str">
        <f t="shared" si="57"/>
        <v>COLUNA I</v>
      </c>
    </row>
    <row r="1813" spans="1:17" x14ac:dyDescent="0.25">
      <c r="A1813" s="1" t="str">
        <f>_xlfn.XLOOKUP(D1813,'Novo relatório'!B:B,'Novo relatório'!C:C,"RESOLVIDO")</f>
        <v>SABRE</v>
      </c>
      <c r="C1813" t="str">
        <f t="shared" si="56"/>
        <v>PENDENTE</v>
      </c>
      <c r="D1813" s="1">
        <v>3415947</v>
      </c>
      <c r="E1813" s="1" t="s">
        <v>26</v>
      </c>
      <c r="F1813" s="2">
        <v>45789.773611111108</v>
      </c>
      <c r="G1813" s="1" t="s">
        <v>2332</v>
      </c>
      <c r="H1813" s="1" t="s">
        <v>2332</v>
      </c>
      <c r="I1813" s="1" t="s">
        <v>1280</v>
      </c>
      <c r="J1813" s="2">
        <v>45789.865972222222</v>
      </c>
      <c r="L1813" s="1" t="s">
        <v>18</v>
      </c>
      <c r="M1813" s="1" t="str">
        <f>_xlfn.XLOOKUP(I1813,Parâmetros!A:A,Parâmetros!B:B,_xlfn.XLOOKUP(Q1813,Parâmetros!F:F,Parâmetros!G:G,"NOVA MENSAGEM"))</f>
        <v>CÓD. CLIENTE DIVERGENTE</v>
      </c>
      <c r="N1813" s="1" t="str">
        <f>_xlfn.XLOOKUP(M1813,Parâmetros!K:K,Parâmetros!L:L,"")</f>
        <v>CÓDIGO DIFERENTE DO CADASTRADO NO BENNER (CLIENTE X GRUPO)</v>
      </c>
      <c r="O1813" s="1" t="str">
        <f>_xlfn.XLOOKUP(M1813,Parâmetros!B:B,Parâmetros!C:C,_xlfn.XLOOKUP(Base!M1805,Parâmetros!G:G,Parâmetros!H:H))</f>
        <v>QUALIDADE DOS DADOS</v>
      </c>
      <c r="P1813" s="1" t="str">
        <f>_xlfn.XLOOKUP(I1813,Parâmetros!A:A,Parâmetros!D:D,_xlfn.XLOOKUP(Q1813,Parâmetros!F:F,Parâmetros!I:I))</f>
        <v>SUPORTE OBT</v>
      </c>
      <c r="Q1813" s="1">
        <f t="shared" si="57"/>
        <v>1</v>
      </c>
    </row>
    <row r="1814" spans="1:17" x14ac:dyDescent="0.25">
      <c r="A1814" s="1" t="str">
        <f>_xlfn.XLOOKUP(D1814,'Novo relatório'!B:B,'Novo relatório'!C:C,"RESOLVIDO")</f>
        <v>SABRE</v>
      </c>
      <c r="C1814" t="str">
        <f t="shared" si="56"/>
        <v>PENDENTE</v>
      </c>
      <c r="D1814" s="1">
        <v>3415948</v>
      </c>
      <c r="E1814" s="1" t="s">
        <v>26</v>
      </c>
      <c r="F1814" s="2">
        <v>45789.773611111108</v>
      </c>
      <c r="G1814" s="1" t="s">
        <v>2340</v>
      </c>
      <c r="H1814" s="1" t="s">
        <v>2340</v>
      </c>
      <c r="I1814" s="1" t="s">
        <v>707</v>
      </c>
      <c r="J1814" s="2">
        <v>45789.865972222222</v>
      </c>
      <c r="L1814" s="1" t="s">
        <v>18</v>
      </c>
      <c r="M1814" s="1" t="str">
        <f>_xlfn.XLOOKUP(I1814,Parâmetros!A:A,Parâmetros!B:B,_xlfn.XLOOKUP(Q1814,Parâmetros!F:F,Parâmetros!G:G,"NOVA MENSAGEM"))</f>
        <v>CÓD. CLIENTE DIVERGENTE</v>
      </c>
      <c r="N1814" s="1" t="str">
        <f>_xlfn.XLOOKUP(M1814,Parâmetros!K:K,Parâmetros!L:L,"")</f>
        <v>CÓDIGO DIFERENTE DO CADASTRADO NO BENNER (CLIENTE X GRUPO)</v>
      </c>
      <c r="O1814" s="1" t="str">
        <f>_xlfn.XLOOKUP(M1814,Parâmetros!B:B,Parâmetros!C:C,_xlfn.XLOOKUP(Base!M1813,Parâmetros!G:G,Parâmetros!H:H))</f>
        <v>QUALIDADE DOS DADOS</v>
      </c>
      <c r="P1814" s="1" t="str">
        <f>_xlfn.XLOOKUP(I1814,Parâmetros!A:A,Parâmetros!D:D,_xlfn.XLOOKUP(Q1814,Parâmetros!F:F,Parâmetros!I:I))</f>
        <v>SUPORTE OBT</v>
      </c>
      <c r="Q1814" s="1">
        <f t="shared" si="57"/>
        <v>1</v>
      </c>
    </row>
    <row r="1815" spans="1:17" x14ac:dyDescent="0.25">
      <c r="A1815" s="1" t="str">
        <f>_xlfn.XLOOKUP(D1815,'Novo relatório'!B:B,'Novo relatório'!C:C,"RESOLVIDO")</f>
        <v>SABRE</v>
      </c>
      <c r="C1815" t="str">
        <f t="shared" si="56"/>
        <v>PENDENTE</v>
      </c>
      <c r="D1815" s="1">
        <v>3415950</v>
      </c>
      <c r="E1815" s="1" t="s">
        <v>26</v>
      </c>
      <c r="F1815" s="2">
        <v>45789.773611111108</v>
      </c>
      <c r="G1815" s="1" t="s">
        <v>2346</v>
      </c>
      <c r="H1815" s="1" t="s">
        <v>2346</v>
      </c>
      <c r="I1815" s="1" t="s">
        <v>707</v>
      </c>
      <c r="J1815" s="2">
        <v>45789.865972222222</v>
      </c>
      <c r="L1815" s="1" t="s">
        <v>18</v>
      </c>
      <c r="M1815" s="1" t="str">
        <f>_xlfn.XLOOKUP(I1815,Parâmetros!A:A,Parâmetros!B:B,_xlfn.XLOOKUP(Q1815,Parâmetros!F:F,Parâmetros!G:G,"NOVA MENSAGEM"))</f>
        <v>CÓD. CLIENTE DIVERGENTE</v>
      </c>
      <c r="N1815" s="1" t="str">
        <f>_xlfn.XLOOKUP(M1815,Parâmetros!K:K,Parâmetros!L:L,"")</f>
        <v>CÓDIGO DIFERENTE DO CADASTRADO NO BENNER (CLIENTE X GRUPO)</v>
      </c>
      <c r="O1815" s="1" t="str">
        <f>_xlfn.XLOOKUP(M1815,Parâmetros!B:B,Parâmetros!C:C,_xlfn.XLOOKUP(Base!M1819,Parâmetros!G:G,Parâmetros!H:H))</f>
        <v>QUALIDADE DOS DADOS</v>
      </c>
      <c r="P1815" s="1" t="str">
        <f>_xlfn.XLOOKUP(I1815,Parâmetros!A:A,Parâmetros!D:D,_xlfn.XLOOKUP(Q1815,Parâmetros!F:F,Parâmetros!I:I))</f>
        <v>SUPORTE OBT</v>
      </c>
      <c r="Q1815" s="1">
        <f t="shared" si="57"/>
        <v>1</v>
      </c>
    </row>
    <row r="1816" spans="1:17" x14ac:dyDescent="0.25">
      <c r="A1816" s="1" t="str">
        <f>_xlfn.XLOOKUP(D1816,'Novo relatório'!B:B,'Novo relatório'!C:C,"RESOLVIDO")</f>
        <v>SABRE</v>
      </c>
      <c r="C1816" t="str">
        <f t="shared" si="56"/>
        <v>PENDENTE</v>
      </c>
      <c r="D1816" s="1">
        <v>3415952</v>
      </c>
      <c r="E1816" s="1" t="s">
        <v>26</v>
      </c>
      <c r="F1816" s="2">
        <v>45789.773611111108</v>
      </c>
      <c r="G1816" s="1" t="s">
        <v>2338</v>
      </c>
      <c r="H1816" s="1" t="s">
        <v>2338</v>
      </c>
      <c r="I1816" s="1" t="s">
        <v>83</v>
      </c>
      <c r="J1816" s="2">
        <v>45789.865972222222</v>
      </c>
      <c r="L1816" s="1" t="s">
        <v>18</v>
      </c>
      <c r="M1816" s="1" t="str">
        <f>_xlfn.XLOOKUP(I1816,Parâmetros!A:A,Parâmetros!B:B,_xlfn.XLOOKUP(Q1816,Parâmetros!F:F,Parâmetros!G:G,"NOVA MENSAGEM"))</f>
        <v>CLIENTE NÃO IDENTIFICADO</v>
      </c>
      <c r="N1816" s="1" t="str">
        <f>_xlfn.XLOOKUP(M1816,Parâmetros!K:K,Parâmetros!L:L,"")</f>
        <v>DK DE CLIENTE NÃO PREENCIDO / CLIENTE NÃO CONFIGURADO NO OBT</v>
      </c>
      <c r="O1816" s="1" t="str">
        <f>_xlfn.XLOOKUP(M1816,Parâmetros!B:B,Parâmetros!C:C,_xlfn.XLOOKUP(Base!M1811,Parâmetros!G:G,Parâmetros!H:H))</f>
        <v>INDEFINIDO</v>
      </c>
      <c r="P1816" s="1" t="str">
        <f>_xlfn.XLOOKUP(I1816,Parâmetros!A:A,Parâmetros!D:D,_xlfn.XLOOKUP(Q1816,Parâmetros!F:F,Parâmetros!I:I))</f>
        <v>OPERAÇÕES / SUPORTE KCS</v>
      </c>
      <c r="Q1816" s="1" t="str">
        <f t="shared" si="57"/>
        <v>COLUNA I</v>
      </c>
    </row>
    <row r="1817" spans="1:17" x14ac:dyDescent="0.25">
      <c r="A1817" s="1" t="str">
        <f>_xlfn.XLOOKUP(D1817,'Novo relatório'!B:B,'Novo relatório'!C:C,"RESOLVIDO")</f>
        <v>SABRE</v>
      </c>
      <c r="C1817" t="str">
        <f t="shared" si="56"/>
        <v>PENDENTE</v>
      </c>
      <c r="D1817" s="1">
        <v>3415954</v>
      </c>
      <c r="E1817" s="1" t="s">
        <v>26</v>
      </c>
      <c r="F1817" s="2">
        <v>45789.773611111108</v>
      </c>
      <c r="G1817" s="1" t="s">
        <v>2342</v>
      </c>
      <c r="H1817" s="1" t="s">
        <v>2342</v>
      </c>
      <c r="I1817" s="1" t="s">
        <v>707</v>
      </c>
      <c r="J1817" s="2">
        <v>45789.866666666669</v>
      </c>
      <c r="L1817" s="1" t="s">
        <v>18</v>
      </c>
      <c r="M1817" s="1" t="str">
        <f>_xlfn.XLOOKUP(I1817,Parâmetros!A:A,Parâmetros!B:B,_xlfn.XLOOKUP(Q1817,Parâmetros!F:F,Parâmetros!G:G,"NOVA MENSAGEM"))</f>
        <v>CÓD. CLIENTE DIVERGENTE</v>
      </c>
      <c r="N1817" s="1" t="str">
        <f>_xlfn.XLOOKUP(M1817,Parâmetros!K:K,Parâmetros!L:L,"")</f>
        <v>CÓDIGO DIFERENTE DO CADASTRADO NO BENNER (CLIENTE X GRUPO)</v>
      </c>
      <c r="O1817" s="1" t="str">
        <f>_xlfn.XLOOKUP(M1817,Parâmetros!B:B,Parâmetros!C:C,_xlfn.XLOOKUP(Base!M1815,Parâmetros!G:G,Parâmetros!H:H))</f>
        <v>QUALIDADE DOS DADOS</v>
      </c>
      <c r="P1817" s="1" t="str">
        <f>_xlfn.XLOOKUP(I1817,Parâmetros!A:A,Parâmetros!D:D,_xlfn.XLOOKUP(Q1817,Parâmetros!F:F,Parâmetros!I:I))</f>
        <v>SUPORTE OBT</v>
      </c>
      <c r="Q1817" s="1">
        <f t="shared" si="57"/>
        <v>1</v>
      </c>
    </row>
    <row r="1818" spans="1:17" x14ac:dyDescent="0.25">
      <c r="A1818" s="1" t="str">
        <f>_xlfn.XLOOKUP(D1818,'Novo relatório'!B:B,'Novo relatório'!C:C,"RESOLVIDO")</f>
        <v>SABRE</v>
      </c>
      <c r="C1818" t="str">
        <f t="shared" si="56"/>
        <v>PENDENTE</v>
      </c>
      <c r="D1818" s="1">
        <v>3415955</v>
      </c>
      <c r="E1818" s="1" t="s">
        <v>26</v>
      </c>
      <c r="F1818" s="2">
        <v>45789.773611111108</v>
      </c>
      <c r="G1818" s="1" t="s">
        <v>2347</v>
      </c>
      <c r="H1818" s="1" t="s">
        <v>2347</v>
      </c>
      <c r="I1818" s="1" t="s">
        <v>83</v>
      </c>
      <c r="J1818" s="2">
        <v>45789.866666666669</v>
      </c>
      <c r="L1818" s="1" t="s">
        <v>18</v>
      </c>
      <c r="M1818" s="1" t="str">
        <f>_xlfn.XLOOKUP(I1818,Parâmetros!A:A,Parâmetros!B:B,_xlfn.XLOOKUP(Q1818,Parâmetros!F:F,Parâmetros!G:G,"NOVA MENSAGEM"))</f>
        <v>CLIENTE NÃO IDENTIFICADO</v>
      </c>
      <c r="N1818" s="1" t="str">
        <f>_xlfn.XLOOKUP(M1818,Parâmetros!K:K,Parâmetros!L:L,"")</f>
        <v>DK DE CLIENTE NÃO PREENCIDO / CLIENTE NÃO CONFIGURADO NO OBT</v>
      </c>
      <c r="O1818" s="1" t="str">
        <f>_xlfn.XLOOKUP(M1818,Parâmetros!B:B,Parâmetros!C:C,_xlfn.XLOOKUP(Base!M1820,Parâmetros!G:G,Parâmetros!H:H))</f>
        <v>INDEFINIDO</v>
      </c>
      <c r="P1818" s="1" t="str">
        <f>_xlfn.XLOOKUP(I1818,Parâmetros!A:A,Parâmetros!D:D,_xlfn.XLOOKUP(Q1818,Parâmetros!F:F,Parâmetros!I:I))</f>
        <v>OPERAÇÕES / SUPORTE KCS</v>
      </c>
      <c r="Q1818" s="1" t="str">
        <f t="shared" si="57"/>
        <v>COLUNA I</v>
      </c>
    </row>
    <row r="1819" spans="1:17" x14ac:dyDescent="0.25">
      <c r="A1819" s="1" t="str">
        <f>_xlfn.XLOOKUP(D1819,'Novo relatório'!B:B,'Novo relatório'!C:C,"RESOLVIDO")</f>
        <v>RESOLVIDO</v>
      </c>
      <c r="C1819" t="str">
        <f t="shared" si="56"/>
        <v>RESOLVIDO</v>
      </c>
      <c r="D1819" s="1">
        <v>3416370</v>
      </c>
      <c r="E1819" s="1" t="s">
        <v>12</v>
      </c>
      <c r="F1819" s="2">
        <v>45789.790277777778</v>
      </c>
      <c r="G1819" s="1">
        <v>62740</v>
      </c>
      <c r="H1819" s="1">
        <v>62740</v>
      </c>
      <c r="I1819" s="1" t="s">
        <v>16</v>
      </c>
      <c r="J1819" s="2">
        <v>45790.041666666664</v>
      </c>
      <c r="K1819" s="2">
        <v>45791.570833333331</v>
      </c>
      <c r="L1819" s="1" t="s">
        <v>14</v>
      </c>
      <c r="M1819" s="1" t="str">
        <f>_xlfn.XLOOKUP(I1819,Parâmetros!A:A,Parâmetros!B:B,_xlfn.XLOOKUP(Q1819,Parâmetros!F:F,Parâmetros!G:G,"NOVA MENSAGEM"))</f>
        <v>ASSENTO / BAGAGEM</v>
      </c>
      <c r="N1819" s="1" t="str">
        <f>_xlfn.XLOOKUP(M1819,Parâmetros!K:K,Parâmetros!L:L,"")</f>
        <v>CAMPO OBSERVAÇÃO PREENCHIDO INCORRETAMENTE</v>
      </c>
      <c r="O1819" s="1" t="str">
        <f>_xlfn.XLOOKUP(M1819,Parâmetros!B:B,Parâmetros!C:C,_xlfn.XLOOKUP(Base!M1841,Parâmetros!G:G,Parâmetros!H:H))</f>
        <v>QUALIDADE DOS DADOS</v>
      </c>
      <c r="P1819" s="1" t="str">
        <f>_xlfn.XLOOKUP(I1819,Parâmetros!A:A,Parâmetros!D:D,_xlfn.XLOOKUP(Q1819,Parâmetros!F:F,Parâmetros!I:I))</f>
        <v>OPERAÇÕES / SUPORTE KCS</v>
      </c>
      <c r="Q1819" s="1">
        <f t="shared" si="57"/>
        <v>118</v>
      </c>
    </row>
    <row r="1820" spans="1:17" x14ac:dyDescent="0.25">
      <c r="A1820" s="1" t="str">
        <f>_xlfn.XLOOKUP(D1820,'Novo relatório'!B:B,'Novo relatório'!C:C,"RESOLVIDO")</f>
        <v>TMS</v>
      </c>
      <c r="C1820" t="str">
        <f t="shared" si="56"/>
        <v>PENDENTE</v>
      </c>
      <c r="D1820" s="1">
        <v>3416371</v>
      </c>
      <c r="E1820" s="1" t="s">
        <v>12</v>
      </c>
      <c r="F1820" s="2">
        <v>45789.786111111112</v>
      </c>
      <c r="G1820" s="1">
        <v>62735</v>
      </c>
      <c r="H1820" s="1">
        <v>62735</v>
      </c>
      <c r="I1820" s="1" t="s">
        <v>16</v>
      </c>
      <c r="J1820" s="2">
        <v>45790.041666666664</v>
      </c>
      <c r="K1820" s="2">
        <v>45791.570833333331</v>
      </c>
      <c r="L1820" s="1" t="s">
        <v>14</v>
      </c>
      <c r="M1820" s="1" t="str">
        <f>_xlfn.XLOOKUP(I1820,Parâmetros!A:A,Parâmetros!B:B,_xlfn.XLOOKUP(Q1820,Parâmetros!F:F,Parâmetros!G:G,"NOVA MENSAGEM"))</f>
        <v>ASSENTO / BAGAGEM</v>
      </c>
      <c r="N1820" s="1" t="str">
        <f>_xlfn.XLOOKUP(M1820,Parâmetros!K:K,Parâmetros!L:L,"")</f>
        <v>CAMPO OBSERVAÇÃO PREENCHIDO INCORRETAMENTE</v>
      </c>
      <c r="O1820" s="1" t="str">
        <f>_xlfn.XLOOKUP(M1820,Parâmetros!B:B,Parâmetros!C:C,_xlfn.XLOOKUP(Base!M1840,Parâmetros!G:G,Parâmetros!H:H))</f>
        <v>QUALIDADE DOS DADOS</v>
      </c>
      <c r="P1820" s="1" t="str">
        <f>_xlfn.XLOOKUP(I1820,Parâmetros!A:A,Parâmetros!D:D,_xlfn.XLOOKUP(Q1820,Parâmetros!F:F,Parâmetros!I:I))</f>
        <v>OPERAÇÕES / SUPORTE KCS</v>
      </c>
      <c r="Q1820" s="1">
        <f t="shared" si="57"/>
        <v>118</v>
      </c>
    </row>
    <row r="1821" spans="1:17" x14ac:dyDescent="0.25">
      <c r="A1821" s="1" t="str">
        <f>_xlfn.XLOOKUP(D1821,'Novo relatório'!B:B,'Novo relatório'!C:C,"RESOLVIDO")</f>
        <v>RESOLVIDO</v>
      </c>
      <c r="C1821" t="str">
        <f t="shared" si="56"/>
        <v>RESOLVIDO</v>
      </c>
      <c r="D1821" s="1">
        <v>3416372</v>
      </c>
      <c r="E1821" s="1" t="s">
        <v>12</v>
      </c>
      <c r="F1821" s="2">
        <v>45789.783333333333</v>
      </c>
      <c r="G1821" s="1">
        <v>62733</v>
      </c>
      <c r="H1821" s="1">
        <v>62733</v>
      </c>
      <c r="I1821" s="1" t="s">
        <v>16</v>
      </c>
      <c r="J1821" s="2">
        <v>45790.041666666664</v>
      </c>
      <c r="K1821" s="2">
        <v>45791.571527777778</v>
      </c>
      <c r="L1821" s="1" t="s">
        <v>14</v>
      </c>
      <c r="M1821" s="1" t="str">
        <f>_xlfn.XLOOKUP(I1821,Parâmetros!A:A,Parâmetros!B:B,_xlfn.XLOOKUP(Q1821,Parâmetros!F:F,Parâmetros!G:G,"NOVA MENSAGEM"))</f>
        <v>ASSENTO / BAGAGEM</v>
      </c>
      <c r="N1821" s="1" t="str">
        <f>_xlfn.XLOOKUP(M1821,Parâmetros!K:K,Parâmetros!L:L,"")</f>
        <v>CAMPO OBSERVAÇÃO PREENCHIDO INCORRETAMENTE</v>
      </c>
      <c r="O1821" s="1" t="str">
        <f>_xlfn.XLOOKUP(M1821,Parâmetros!B:B,Parâmetros!C:C,_xlfn.XLOOKUP(Base!M1839,Parâmetros!G:G,Parâmetros!H:H))</f>
        <v>QUALIDADE DOS DADOS</v>
      </c>
      <c r="P1821" s="1" t="str">
        <f>_xlfn.XLOOKUP(I1821,Parâmetros!A:A,Parâmetros!D:D,_xlfn.XLOOKUP(Q1821,Parâmetros!F:F,Parâmetros!I:I))</f>
        <v>OPERAÇÕES / SUPORTE KCS</v>
      </c>
      <c r="Q1821" s="1">
        <f t="shared" si="57"/>
        <v>118</v>
      </c>
    </row>
    <row r="1822" spans="1:17" x14ac:dyDescent="0.25">
      <c r="A1822" s="1" t="str">
        <f>_xlfn.XLOOKUP(D1822,'Novo relatório'!B:B,'Novo relatório'!C:C,"RESOLVIDO")</f>
        <v>RESOLVIDO</v>
      </c>
      <c r="C1822" t="str">
        <f t="shared" si="56"/>
        <v>RESOLVIDO</v>
      </c>
      <c r="D1822" s="1">
        <v>3416373</v>
      </c>
      <c r="E1822" s="1" t="s">
        <v>12</v>
      </c>
      <c r="F1822" s="2">
        <v>45789.777083333334</v>
      </c>
      <c r="G1822" s="1">
        <v>62731</v>
      </c>
      <c r="H1822" s="1">
        <v>62731</v>
      </c>
      <c r="I1822" s="1" t="s">
        <v>16</v>
      </c>
      <c r="J1822" s="2">
        <v>45790.041666666664</v>
      </c>
      <c r="K1822" s="2">
        <v>45791.571527777778</v>
      </c>
      <c r="L1822" s="1" t="s">
        <v>14</v>
      </c>
      <c r="M1822" s="1" t="str">
        <f>_xlfn.XLOOKUP(I1822,Parâmetros!A:A,Parâmetros!B:B,_xlfn.XLOOKUP(Q1822,Parâmetros!F:F,Parâmetros!G:G,"NOVA MENSAGEM"))</f>
        <v>ASSENTO / BAGAGEM</v>
      </c>
      <c r="N1822" s="1" t="str">
        <f>_xlfn.XLOOKUP(M1822,Parâmetros!K:K,Parâmetros!L:L,"")</f>
        <v>CAMPO OBSERVAÇÃO PREENCHIDO INCORRETAMENTE</v>
      </c>
      <c r="O1822" s="1" t="str">
        <f>_xlfn.XLOOKUP(M1822,Parâmetros!B:B,Parâmetros!C:C,_xlfn.XLOOKUP(Base!M1838,Parâmetros!G:G,Parâmetros!H:H))</f>
        <v>QUALIDADE DOS DADOS</v>
      </c>
      <c r="P1822" s="1" t="str">
        <f>_xlfn.XLOOKUP(I1822,Parâmetros!A:A,Parâmetros!D:D,_xlfn.XLOOKUP(Q1822,Parâmetros!F:F,Parâmetros!I:I))</f>
        <v>OPERAÇÕES / SUPORTE KCS</v>
      </c>
      <c r="Q1822" s="1">
        <f t="shared" si="57"/>
        <v>118</v>
      </c>
    </row>
    <row r="1823" spans="1:17" x14ac:dyDescent="0.25">
      <c r="A1823" s="1" t="str">
        <f>_xlfn.XLOOKUP(D1823,'Novo relatório'!B:B,'Novo relatório'!C:C,"RESOLVIDO")</f>
        <v>RESOLVIDO</v>
      </c>
      <c r="C1823" t="str">
        <f t="shared" si="56"/>
        <v>RESOLVIDO</v>
      </c>
      <c r="D1823" s="1">
        <v>3417335</v>
      </c>
      <c r="E1823" s="1" t="s">
        <v>12</v>
      </c>
      <c r="F1823" s="2">
        <v>45790.513194444444</v>
      </c>
      <c r="G1823" s="1">
        <v>18693</v>
      </c>
      <c r="H1823" s="1">
        <v>18693</v>
      </c>
      <c r="I1823" s="1" t="s">
        <v>2354</v>
      </c>
      <c r="J1823" s="2">
        <v>45790.563194444447</v>
      </c>
      <c r="K1823" s="2">
        <v>45791.585416666669</v>
      </c>
      <c r="L1823" s="1" t="s">
        <v>14</v>
      </c>
      <c r="M1823" s="1" t="str">
        <f>_xlfn.XLOOKUP(I1823,Parâmetros!A:A,Parâmetros!B:B,_xlfn.XLOOKUP(Q1823,Parâmetros!F:F,Parâmetros!G:G,"NOVA MENSAGEM"))</f>
        <v>ASSENTO / BAGAGEM</v>
      </c>
      <c r="N1823" s="1" t="str">
        <f>_xlfn.XLOOKUP(M1823,Parâmetros!K:K,Parâmetros!L:L,"")</f>
        <v>CAMPO OBSERVAÇÃO PREENCHIDO INCORRETAMENTE</v>
      </c>
      <c r="O1823" s="1" t="str">
        <f>_xlfn.XLOOKUP(M1823,Parâmetros!B:B,Parâmetros!C:C,_xlfn.XLOOKUP(Base!M1828,Parâmetros!G:G,Parâmetros!H:H))</f>
        <v>QUALIDADE DOS DADOS</v>
      </c>
      <c r="P1823" s="1" t="str">
        <f>_xlfn.XLOOKUP(I1823,Parâmetros!A:A,Parâmetros!D:D,_xlfn.XLOOKUP(Q1823,Parâmetros!F:F,Parâmetros!I:I))</f>
        <v>OPERAÇÕES / SUPORTE KCS</v>
      </c>
      <c r="Q1823" s="1">
        <f t="shared" si="57"/>
        <v>127</v>
      </c>
    </row>
    <row r="1824" spans="1:17" x14ac:dyDescent="0.25">
      <c r="A1824" s="1" t="str">
        <f>_xlfn.XLOOKUP(D1824,'Novo relatório'!B:B,'Novo relatório'!C:C,"RESOLVIDO")</f>
        <v>GOVER</v>
      </c>
      <c r="C1824" t="str">
        <f t="shared" si="56"/>
        <v>PENDENTE</v>
      </c>
      <c r="D1824" s="1">
        <v>3417643</v>
      </c>
      <c r="E1824" s="1" t="s">
        <v>24</v>
      </c>
      <c r="F1824" s="2">
        <v>45789.521527777775</v>
      </c>
      <c r="G1824" s="1">
        <v>4535649</v>
      </c>
      <c r="H1824" s="1">
        <v>4535649</v>
      </c>
      <c r="I1824" s="1" t="s">
        <v>77</v>
      </c>
      <c r="J1824" s="2">
        <v>45790.70416666667</v>
      </c>
      <c r="K1824" s="2">
        <v>45810.706250000003</v>
      </c>
      <c r="L1824" s="1" t="s">
        <v>14</v>
      </c>
      <c r="M1824" s="1" t="str">
        <f>_xlfn.XLOOKUP(I1824,Parâmetros!A:A,Parâmetros!B:B,_xlfn.XLOOKUP(Q1824,Parâmetros!F:F,Parâmetros!G:G,"NOVA MENSAGEM"))</f>
        <v>RLOC NÃO INFORMADO</v>
      </c>
      <c r="N1824" s="1" t="str">
        <f>_xlfn.XLOOKUP(M1824,Parâmetros!K:K,Parâmetros!L:L,"")</f>
        <v>RLOC NÃO PREENCHIDO NA RESERVA</v>
      </c>
      <c r="O1824" s="1" t="str">
        <f>_xlfn.XLOOKUP(M1824,Parâmetros!B:B,Parâmetros!C:C,_xlfn.XLOOKUP(Base!M2061,Parâmetros!G:G,Parâmetros!H:H))</f>
        <v>QUALIDADE DOS DADOS</v>
      </c>
      <c r="P1824" s="1" t="str">
        <f>_xlfn.XLOOKUP(I1824,Parâmetros!A:A,Parâmetros!D:D,_xlfn.XLOOKUP(Q1824,Parâmetros!F:F,Parâmetros!I:I))</f>
        <v>SUPORTE OBT</v>
      </c>
      <c r="Q1824" s="1" t="str">
        <f t="shared" si="57"/>
        <v>COLUNA I</v>
      </c>
    </row>
    <row r="1825" spans="1:17" x14ac:dyDescent="0.25">
      <c r="A1825" s="1" t="str">
        <f>_xlfn.XLOOKUP(D1825,'Novo relatório'!B:B,'Novo relatório'!C:C,"RESOLVIDO")</f>
        <v>SABRE</v>
      </c>
      <c r="C1825" t="str">
        <f t="shared" si="56"/>
        <v>PENDENTE</v>
      </c>
      <c r="D1825" s="1">
        <v>3417801</v>
      </c>
      <c r="E1825" s="1" t="s">
        <v>26</v>
      </c>
      <c r="F1825" s="2">
        <v>45790.65902777778</v>
      </c>
      <c r="G1825" s="1" t="s">
        <v>2330</v>
      </c>
      <c r="H1825" s="1" t="s">
        <v>2330</v>
      </c>
      <c r="I1825" s="1" t="s">
        <v>273</v>
      </c>
      <c r="J1825" s="2">
        <v>45790.750694444447</v>
      </c>
      <c r="L1825" s="1" t="s">
        <v>1245</v>
      </c>
      <c r="M1825" s="1" t="str">
        <f>_xlfn.XLOOKUP(I1825,Parâmetros!A:A,Parâmetros!B:B,_xlfn.XLOOKUP(Q1825,Parâmetros!F:F,Parâmetros!G:G,"NOVA MENSAGEM"))</f>
        <v>VENDA CANCELADA</v>
      </c>
      <c r="N1825" s="1" t="str">
        <f>_xlfn.XLOOKUP(M1825,Parâmetros!K:K,Parâmetros!L:L,"")</f>
        <v>RESERVA CANCELADA NO OBT</v>
      </c>
      <c r="O1825" s="1" t="str">
        <f>_xlfn.XLOOKUP(M1825,Parâmetros!B:B,Parâmetros!C:C,_xlfn.XLOOKUP(Base!M1803,Parâmetros!G:G,Parâmetros!H:H))</f>
        <v>SISTEMA</v>
      </c>
      <c r="P1825" s="1" t="str">
        <f>_xlfn.XLOOKUP(I1825,Parâmetros!A:A,Parâmetros!D:D,_xlfn.XLOOKUP(Q1825,Parâmetros!F:F,Parâmetros!I:I))</f>
        <v>SUPORTE OBT</v>
      </c>
      <c r="Q1825" s="1" t="str">
        <f t="shared" si="57"/>
        <v>COLUNA I</v>
      </c>
    </row>
    <row r="1826" spans="1:17" x14ac:dyDescent="0.25">
      <c r="A1826" s="1" t="str">
        <f>_xlfn.XLOOKUP(D1826,'Novo relatório'!B:B,'Novo relatório'!C:C,"RESOLVIDO")</f>
        <v>SABRE</v>
      </c>
      <c r="C1826" t="str">
        <f t="shared" si="56"/>
        <v>PENDENTE</v>
      </c>
      <c r="D1826" s="1">
        <v>3417828</v>
      </c>
      <c r="E1826" s="1" t="s">
        <v>26</v>
      </c>
      <c r="F1826" s="2">
        <v>45790.774305555555</v>
      </c>
      <c r="G1826" s="1" t="s">
        <v>2343</v>
      </c>
      <c r="H1826" s="1" t="s">
        <v>2343</v>
      </c>
      <c r="I1826" s="1" t="s">
        <v>83</v>
      </c>
      <c r="J1826" s="2">
        <v>45790.75277777778</v>
      </c>
      <c r="K1826" s="2">
        <v>45790.868750000001</v>
      </c>
      <c r="L1826" s="1" t="s">
        <v>18</v>
      </c>
      <c r="M1826" s="1" t="str">
        <f>_xlfn.XLOOKUP(I1826,Parâmetros!A:A,Parâmetros!B:B,_xlfn.XLOOKUP(Q1826,Parâmetros!F:F,Parâmetros!G:G,"NOVA MENSAGEM"))</f>
        <v>CLIENTE NÃO IDENTIFICADO</v>
      </c>
      <c r="N1826" s="1" t="str">
        <f>_xlfn.XLOOKUP(M1826,Parâmetros!K:K,Parâmetros!L:L,"")</f>
        <v>DK DE CLIENTE NÃO PREENCIDO / CLIENTE NÃO CONFIGURADO NO OBT</v>
      </c>
      <c r="O1826" s="1" t="str">
        <f>_xlfn.XLOOKUP(M1826,Parâmetros!B:B,Parâmetros!C:C,_xlfn.XLOOKUP(Base!M1816,Parâmetros!G:G,Parâmetros!H:H))</f>
        <v>INDEFINIDO</v>
      </c>
      <c r="P1826" s="1" t="str">
        <f>_xlfn.XLOOKUP(I1826,Parâmetros!A:A,Parâmetros!D:D,_xlfn.XLOOKUP(Q1826,Parâmetros!F:F,Parâmetros!I:I))</f>
        <v>OPERAÇÕES / SUPORTE KCS</v>
      </c>
      <c r="Q1826" s="1" t="str">
        <f t="shared" si="57"/>
        <v>COLUNA I</v>
      </c>
    </row>
    <row r="1827" spans="1:17" x14ac:dyDescent="0.25">
      <c r="A1827" s="1" t="str">
        <f>_xlfn.XLOOKUP(D1827,'Novo relatório'!B:B,'Novo relatório'!C:C,"RESOLVIDO")</f>
        <v>SABRE</v>
      </c>
      <c r="C1827" t="str">
        <f t="shared" si="56"/>
        <v>PENDENTE</v>
      </c>
      <c r="D1827" s="1">
        <v>3417829</v>
      </c>
      <c r="E1827" s="1" t="s">
        <v>26</v>
      </c>
      <c r="F1827" s="2">
        <v>45790.774305555555</v>
      </c>
      <c r="G1827" s="1" t="s">
        <v>2306</v>
      </c>
      <c r="H1827" s="1" t="s">
        <v>2306</v>
      </c>
      <c r="I1827" s="1" t="s">
        <v>83</v>
      </c>
      <c r="J1827" s="2">
        <v>45790.75277777778</v>
      </c>
      <c r="K1827" s="2">
        <v>45790.868750000001</v>
      </c>
      <c r="L1827" s="1" t="s">
        <v>18</v>
      </c>
      <c r="M1827" s="1" t="str">
        <f>_xlfn.XLOOKUP(I1827,Parâmetros!A:A,Parâmetros!B:B,_xlfn.XLOOKUP(Q1827,Parâmetros!F:F,Parâmetros!G:G,"NOVA MENSAGEM"))</f>
        <v>CLIENTE NÃO IDENTIFICADO</v>
      </c>
      <c r="N1827" s="1" t="str">
        <f>_xlfn.XLOOKUP(M1827,Parâmetros!K:K,Parâmetros!L:L,"")</f>
        <v>DK DE CLIENTE NÃO PREENCIDO / CLIENTE NÃO CONFIGURADO NO OBT</v>
      </c>
      <c r="O1827" s="1" t="str">
        <f>_xlfn.XLOOKUP(M1827,Parâmetros!B:B,Parâmetros!C:C,_xlfn.XLOOKUP(Base!M1780,Parâmetros!G:G,Parâmetros!H:H))</f>
        <v>INDEFINIDO</v>
      </c>
      <c r="P1827" s="1" t="str">
        <f>_xlfn.XLOOKUP(I1827,Parâmetros!A:A,Parâmetros!D:D,_xlfn.XLOOKUP(Q1827,Parâmetros!F:F,Parâmetros!I:I))</f>
        <v>OPERAÇÕES / SUPORTE KCS</v>
      </c>
      <c r="Q1827" s="1" t="str">
        <f t="shared" si="57"/>
        <v>COLUNA I</v>
      </c>
    </row>
    <row r="1828" spans="1:17" x14ac:dyDescent="0.25">
      <c r="A1828" s="1" t="str">
        <f>_xlfn.XLOOKUP(D1828,'Novo relatório'!B:B,'Novo relatório'!C:C,"RESOLVIDO")</f>
        <v>SABRE</v>
      </c>
      <c r="C1828" t="str">
        <f t="shared" si="56"/>
        <v>PENDENTE</v>
      </c>
      <c r="D1828" s="1">
        <v>3417830</v>
      </c>
      <c r="E1828" s="1" t="s">
        <v>26</v>
      </c>
      <c r="F1828" s="2">
        <v>45790.774305555555</v>
      </c>
      <c r="G1828" s="1" t="s">
        <v>2336</v>
      </c>
      <c r="H1828" s="1" t="s">
        <v>2336</v>
      </c>
      <c r="I1828" s="1" t="s">
        <v>1711</v>
      </c>
      <c r="J1828" s="2">
        <v>45790.75277777778</v>
      </c>
      <c r="K1828" s="2">
        <v>45790.868750000001</v>
      </c>
      <c r="L1828" s="1" t="s">
        <v>18</v>
      </c>
      <c r="M1828" s="1" t="str">
        <f>_xlfn.XLOOKUP(I1828,Parâmetros!A:A,Parâmetros!B:B,_xlfn.XLOOKUP(Q1828,Parâmetros!F:F,Parâmetros!G:G,"NOVA MENSAGEM"))</f>
        <v>CÓD. CLIENTE DIVERGENTE</v>
      </c>
      <c r="N1828" s="1" t="str">
        <f>_xlfn.XLOOKUP(M1828,Parâmetros!K:K,Parâmetros!L:L,"")</f>
        <v>CÓDIGO DIFERENTE DO CADASTRADO NO BENNER (CLIENTE X GRUPO)</v>
      </c>
      <c r="O1828" s="1" t="str">
        <f>_xlfn.XLOOKUP(M1828,Parâmetros!B:B,Parâmetros!C:C,_xlfn.XLOOKUP(Base!M1809,Parâmetros!G:G,Parâmetros!H:H))</f>
        <v>QUALIDADE DOS DADOS</v>
      </c>
      <c r="P1828" s="1" t="str">
        <f>_xlfn.XLOOKUP(I1828,Parâmetros!A:A,Parâmetros!D:D,_xlfn.XLOOKUP(Q1828,Parâmetros!F:F,Parâmetros!I:I))</f>
        <v>SUPORTE OBT</v>
      </c>
      <c r="Q1828" s="1">
        <f t="shared" si="57"/>
        <v>1</v>
      </c>
    </row>
    <row r="1829" spans="1:17" x14ac:dyDescent="0.25">
      <c r="A1829" s="1" t="str">
        <f>_xlfn.XLOOKUP(D1829,'Novo relatório'!B:B,'Novo relatório'!C:C,"RESOLVIDO")</f>
        <v>SABRE</v>
      </c>
      <c r="C1829" t="str">
        <f t="shared" si="56"/>
        <v>PENDENTE</v>
      </c>
      <c r="D1829" s="1">
        <v>3417831</v>
      </c>
      <c r="E1829" s="1" t="s">
        <v>26</v>
      </c>
      <c r="F1829" s="2">
        <v>45790.774305555555</v>
      </c>
      <c r="G1829" s="1" t="s">
        <v>2296</v>
      </c>
      <c r="H1829" s="1" t="s">
        <v>2296</v>
      </c>
      <c r="I1829" s="1" t="s">
        <v>707</v>
      </c>
      <c r="J1829" s="2">
        <v>45790.75277777778</v>
      </c>
      <c r="K1829" s="2">
        <v>45790.868750000001</v>
      </c>
      <c r="L1829" s="1" t="s">
        <v>18</v>
      </c>
      <c r="M1829" s="1" t="str">
        <f>_xlfn.XLOOKUP(I1829,Parâmetros!A:A,Parâmetros!B:B,_xlfn.XLOOKUP(Q1829,Parâmetros!F:F,Parâmetros!G:G,"NOVA MENSAGEM"))</f>
        <v>CÓD. CLIENTE DIVERGENTE</v>
      </c>
      <c r="N1829" s="1" t="str">
        <f>_xlfn.XLOOKUP(M1829,Parâmetros!K:K,Parâmetros!L:L,"")</f>
        <v>CÓDIGO DIFERENTE DO CADASTRADO NO BENNER (CLIENTE X GRUPO)</v>
      </c>
      <c r="O1829" s="1" t="str">
        <f>_xlfn.XLOOKUP(M1829,Parâmetros!B:B,Parâmetros!C:C,_xlfn.XLOOKUP(Base!M1770,Parâmetros!G:G,Parâmetros!H:H))</f>
        <v>QUALIDADE DOS DADOS</v>
      </c>
      <c r="P1829" s="1" t="str">
        <f>_xlfn.XLOOKUP(I1829,Parâmetros!A:A,Parâmetros!D:D,_xlfn.XLOOKUP(Q1829,Parâmetros!F:F,Parâmetros!I:I))</f>
        <v>SUPORTE OBT</v>
      </c>
      <c r="Q1829" s="1">
        <f t="shared" si="57"/>
        <v>1</v>
      </c>
    </row>
    <row r="1830" spans="1:17" x14ac:dyDescent="0.25">
      <c r="A1830" s="1" t="str">
        <f>_xlfn.XLOOKUP(D1830,'Novo relatório'!B:B,'Novo relatório'!C:C,"RESOLVIDO")</f>
        <v>SABRE</v>
      </c>
      <c r="C1830" t="str">
        <f t="shared" si="56"/>
        <v>PENDENTE</v>
      </c>
      <c r="D1830" s="1">
        <v>3417833</v>
      </c>
      <c r="E1830" s="1" t="s">
        <v>26</v>
      </c>
      <c r="F1830" s="2">
        <v>45790.660416666666</v>
      </c>
      <c r="G1830" s="1" t="s">
        <v>2291</v>
      </c>
      <c r="H1830" s="1" t="s">
        <v>2292</v>
      </c>
      <c r="I1830" s="1" t="s">
        <v>393</v>
      </c>
      <c r="J1830" s="2">
        <v>45790.753472222219</v>
      </c>
      <c r="L1830" s="1" t="s">
        <v>19</v>
      </c>
      <c r="M1830" s="1" t="str">
        <f>_xlfn.XLOOKUP(I1830,Parâmetros!A:A,Parâmetros!B:B,_xlfn.XLOOKUP(Q1830,Parâmetros!F:F,Parâmetros!G:G,"NOVA MENSAGEM"))</f>
        <v>CONTRATO FORNECEDOR</v>
      </c>
      <c r="N1830" s="1" t="str">
        <f>_xlfn.XLOOKUP(M1830,Parâmetros!K:K,Parâmetros!L:L,"")</f>
        <v>CONTRATO INATIVO OU DIVERGENTE</v>
      </c>
      <c r="O1830" s="1" t="str">
        <f>_xlfn.XLOOKUP(M1830,Parâmetros!B:B,Parâmetros!C:C,_xlfn.XLOOKUP(Base!M1766,Parâmetros!G:G,Parâmetros!H:H))</f>
        <v>SISTEMA</v>
      </c>
      <c r="P1830" s="1" t="str">
        <f>_xlfn.XLOOKUP(I1830,Parâmetros!A:A,Parâmetros!D:D,_xlfn.XLOOKUP(Q1830,Parâmetros!F:F,Parâmetros!I:I))</f>
        <v>OPERAÇÕES / SUPORTE KCS</v>
      </c>
      <c r="Q1830" s="1">
        <f t="shared" si="57"/>
        <v>43</v>
      </c>
    </row>
    <row r="1831" spans="1:17" x14ac:dyDescent="0.25">
      <c r="A1831" s="1" t="str">
        <f>_xlfn.XLOOKUP(D1831,'Novo relatório'!B:B,'Novo relatório'!C:C,"RESOLVIDO")</f>
        <v>SABRE</v>
      </c>
      <c r="C1831" t="str">
        <f t="shared" si="56"/>
        <v>PENDENTE</v>
      </c>
      <c r="D1831" s="1">
        <v>3417851</v>
      </c>
      <c r="E1831" s="1" t="s">
        <v>26</v>
      </c>
      <c r="F1831" s="2">
        <v>45790.669444444444</v>
      </c>
      <c r="G1831" s="1" t="s">
        <v>2299</v>
      </c>
      <c r="H1831" s="1" t="s">
        <v>2299</v>
      </c>
      <c r="I1831" s="1" t="s">
        <v>622</v>
      </c>
      <c r="J1831" s="2">
        <v>45790.756249999999</v>
      </c>
      <c r="L1831" s="1" t="s">
        <v>14</v>
      </c>
      <c r="M1831" s="1" t="str">
        <f>_xlfn.XLOOKUP(I1831,Parâmetros!A:A,Parâmetros!B:B,_xlfn.XLOOKUP(Q1831,Parâmetros!F:F,Parâmetros!G:G,"NOVA MENSAGEM"))</f>
        <v>ERRO DE SQL</v>
      </c>
      <c r="N1831" s="1" t="str">
        <f>_xlfn.XLOOKUP(M1831,Parâmetros!K:K,Parâmetros!L:L,"")</f>
        <v>ERRO NA IMPORTAÇÃO/MODIFICAÇÃO DAS INFOMAÇÕES</v>
      </c>
      <c r="O1831" s="1" t="str">
        <f>_xlfn.XLOOKUP(M1831,Parâmetros!B:B,Parâmetros!C:C,_xlfn.XLOOKUP(Base!M1773,Parâmetros!G:G,Parâmetros!H:H))</f>
        <v>SISTEMA</v>
      </c>
      <c r="P1831" s="1" t="str">
        <f>_xlfn.XLOOKUP(I1831,Parâmetros!A:A,Parâmetros!D:D,_xlfn.XLOOKUP(Q1831,Parâmetros!F:F,Parâmetros!I:I))</f>
        <v>SUPORTE BENNER</v>
      </c>
      <c r="Q1831" s="1" t="str">
        <f t="shared" si="57"/>
        <v>COLUNA I</v>
      </c>
    </row>
    <row r="1832" spans="1:17" x14ac:dyDescent="0.25">
      <c r="A1832" s="1" t="str">
        <f>_xlfn.XLOOKUP(D1832,'Novo relatório'!B:B,'Novo relatório'!C:C,"RESOLVIDO")</f>
        <v>SABRE</v>
      </c>
      <c r="C1832" t="str">
        <f t="shared" si="56"/>
        <v>PENDENTE</v>
      </c>
      <c r="D1832" s="1">
        <v>3418865</v>
      </c>
      <c r="E1832" s="1" t="s">
        <v>26</v>
      </c>
      <c r="F1832" s="2">
        <v>45790.774305555555</v>
      </c>
      <c r="G1832" s="1" t="s">
        <v>2326</v>
      </c>
      <c r="H1832" s="1" t="s">
        <v>2326</v>
      </c>
      <c r="I1832" s="1" t="s">
        <v>83</v>
      </c>
      <c r="J1832" s="2">
        <v>45790.866666666669</v>
      </c>
      <c r="L1832" s="1" t="s">
        <v>18</v>
      </c>
      <c r="M1832" s="1" t="str">
        <f>_xlfn.XLOOKUP(I1832,Parâmetros!A:A,Parâmetros!B:B,_xlfn.XLOOKUP(Q1832,Parâmetros!F:F,Parâmetros!G:G,"NOVA MENSAGEM"))</f>
        <v>CLIENTE NÃO IDENTIFICADO</v>
      </c>
      <c r="N1832" s="1" t="str">
        <f>_xlfn.XLOOKUP(M1832,Parâmetros!K:K,Parâmetros!L:L,"")</f>
        <v>DK DE CLIENTE NÃO PREENCIDO / CLIENTE NÃO CONFIGURADO NO OBT</v>
      </c>
      <c r="O1832" s="1" t="str">
        <f>_xlfn.XLOOKUP(M1832,Parâmetros!B:B,Parâmetros!C:C,_xlfn.XLOOKUP(Base!M1800,Parâmetros!G:G,Parâmetros!H:H))</f>
        <v>INDEFINIDO</v>
      </c>
      <c r="P1832" s="1" t="str">
        <f>_xlfn.XLOOKUP(I1832,Parâmetros!A:A,Parâmetros!D:D,_xlfn.XLOOKUP(Q1832,Parâmetros!F:F,Parâmetros!I:I))</f>
        <v>OPERAÇÕES / SUPORTE KCS</v>
      </c>
      <c r="Q1832" s="1" t="str">
        <f t="shared" si="57"/>
        <v>COLUNA I</v>
      </c>
    </row>
    <row r="1833" spans="1:17" x14ac:dyDescent="0.25">
      <c r="A1833" s="1" t="str">
        <f>_xlfn.XLOOKUP(D1833,'Novo relatório'!B:B,'Novo relatório'!C:C,"RESOLVIDO")</f>
        <v>SABRE</v>
      </c>
      <c r="C1833" t="str">
        <f t="shared" si="56"/>
        <v>PENDENTE</v>
      </c>
      <c r="D1833" s="1">
        <v>3418867</v>
      </c>
      <c r="E1833" s="1" t="s">
        <v>26</v>
      </c>
      <c r="F1833" s="2">
        <v>45790.774305555555</v>
      </c>
      <c r="G1833" s="1" t="s">
        <v>2317</v>
      </c>
      <c r="H1833" s="1" t="s">
        <v>2317</v>
      </c>
      <c r="I1833" s="1" t="s">
        <v>1280</v>
      </c>
      <c r="J1833" s="2">
        <v>45790.867361111108</v>
      </c>
      <c r="L1833" s="1" t="s">
        <v>18</v>
      </c>
      <c r="M1833" s="1" t="str">
        <f>_xlfn.XLOOKUP(I1833,Parâmetros!A:A,Parâmetros!B:B,_xlfn.XLOOKUP(Q1833,Parâmetros!F:F,Parâmetros!G:G,"NOVA MENSAGEM"))</f>
        <v>CÓD. CLIENTE DIVERGENTE</v>
      </c>
      <c r="N1833" s="1" t="str">
        <f>_xlfn.XLOOKUP(M1833,Parâmetros!K:K,Parâmetros!L:L,"")</f>
        <v>CÓDIGO DIFERENTE DO CADASTRADO NO BENNER (CLIENTE X GRUPO)</v>
      </c>
      <c r="O1833" s="1" t="str">
        <f>_xlfn.XLOOKUP(M1833,Parâmetros!B:B,Parâmetros!C:C,_xlfn.XLOOKUP(Base!M1791,Parâmetros!G:G,Parâmetros!H:H))</f>
        <v>QUALIDADE DOS DADOS</v>
      </c>
      <c r="P1833" s="1" t="str">
        <f>_xlfn.XLOOKUP(I1833,Parâmetros!A:A,Parâmetros!D:D,_xlfn.XLOOKUP(Q1833,Parâmetros!F:F,Parâmetros!I:I))</f>
        <v>SUPORTE OBT</v>
      </c>
      <c r="Q1833" s="1">
        <f t="shared" si="57"/>
        <v>1</v>
      </c>
    </row>
    <row r="1834" spans="1:17" x14ac:dyDescent="0.25">
      <c r="A1834" s="1" t="str">
        <f>_xlfn.XLOOKUP(D1834,'Novo relatório'!B:B,'Novo relatório'!C:C,"RESOLVIDO")</f>
        <v>SABRE</v>
      </c>
      <c r="C1834" t="str">
        <f t="shared" si="56"/>
        <v>PENDENTE</v>
      </c>
      <c r="D1834" s="1">
        <v>3418871</v>
      </c>
      <c r="E1834" s="1" t="s">
        <v>26</v>
      </c>
      <c r="F1834" s="2">
        <v>45790.774305555555</v>
      </c>
      <c r="G1834" s="1" t="s">
        <v>2289</v>
      </c>
      <c r="H1834" s="1" t="s">
        <v>2289</v>
      </c>
      <c r="I1834" s="1" t="s">
        <v>410</v>
      </c>
      <c r="J1834" s="2">
        <v>45790.867361111108</v>
      </c>
      <c r="L1834" s="1" t="s">
        <v>18</v>
      </c>
      <c r="M1834" s="1" t="str">
        <f>_xlfn.XLOOKUP(I1834,Parâmetros!A:A,Parâmetros!B:B,_xlfn.XLOOKUP(Q1834,Parâmetros!F:F,Parâmetros!G:G,"NOVA MENSAGEM"))</f>
        <v>CÓD. CLIENTE DIVERGENTE</v>
      </c>
      <c r="N1834" s="1" t="str">
        <f>_xlfn.XLOOKUP(M1834,Parâmetros!K:K,Parâmetros!L:L,"")</f>
        <v>CÓDIGO DIFERENTE DO CADASTRADO NO BENNER (CLIENTE X GRUPO)</v>
      </c>
      <c r="O1834" s="1" t="str">
        <f>_xlfn.XLOOKUP(M1834,Parâmetros!B:B,Parâmetros!C:C,_xlfn.XLOOKUP(Base!M1764,Parâmetros!G:G,Parâmetros!H:H))</f>
        <v>QUALIDADE DOS DADOS</v>
      </c>
      <c r="P1834" s="1" t="str">
        <f>_xlfn.XLOOKUP(I1834,Parâmetros!A:A,Parâmetros!D:D,_xlfn.XLOOKUP(Q1834,Parâmetros!F:F,Parâmetros!I:I))</f>
        <v>SUPORTE OBT</v>
      </c>
      <c r="Q1834" s="1">
        <f t="shared" si="57"/>
        <v>1</v>
      </c>
    </row>
    <row r="1835" spans="1:17" x14ac:dyDescent="0.25">
      <c r="A1835" s="1" t="str">
        <f>_xlfn.XLOOKUP(D1835,'Novo relatório'!B:B,'Novo relatório'!C:C,"RESOLVIDO")</f>
        <v>SABRE</v>
      </c>
      <c r="C1835" t="str">
        <f t="shared" si="56"/>
        <v>PENDENTE</v>
      </c>
      <c r="D1835" s="1">
        <v>3418876</v>
      </c>
      <c r="E1835" s="1" t="s">
        <v>26</v>
      </c>
      <c r="F1835" s="2">
        <v>45790.774305555555</v>
      </c>
      <c r="G1835" s="1" t="s">
        <v>2288</v>
      </c>
      <c r="H1835" s="1" t="s">
        <v>2288</v>
      </c>
      <c r="I1835" s="1" t="s">
        <v>620</v>
      </c>
      <c r="J1835" s="2">
        <v>45790.868055555555</v>
      </c>
      <c r="L1835" s="1" t="s">
        <v>18</v>
      </c>
      <c r="M1835" s="1" t="str">
        <f>_xlfn.XLOOKUP(I1835,Parâmetros!A:A,Parâmetros!B:B,_xlfn.XLOOKUP(Q1835,Parâmetros!F:F,Parâmetros!G:G,"NOVA MENSAGEM"))</f>
        <v>CÓD. CLIENTE DIVERGENTE</v>
      </c>
      <c r="N1835" s="1" t="str">
        <f>_xlfn.XLOOKUP(M1835,Parâmetros!K:K,Parâmetros!L:L,"")</f>
        <v>CÓDIGO DIFERENTE DO CADASTRADO NO BENNER (CLIENTE X GRUPO)</v>
      </c>
      <c r="O1835" s="1" t="str">
        <f>_xlfn.XLOOKUP(M1835,Parâmetros!B:B,Parâmetros!C:C,_xlfn.XLOOKUP(Base!M1763,Parâmetros!G:G,Parâmetros!H:H))</f>
        <v>QUALIDADE DOS DADOS</v>
      </c>
      <c r="P1835" s="1" t="str">
        <f>_xlfn.XLOOKUP(I1835,Parâmetros!A:A,Parâmetros!D:D,_xlfn.XLOOKUP(Q1835,Parâmetros!F:F,Parâmetros!I:I))</f>
        <v>SUPORTE OBT</v>
      </c>
      <c r="Q1835" s="1">
        <f t="shared" si="57"/>
        <v>1</v>
      </c>
    </row>
    <row r="1836" spans="1:17" x14ac:dyDescent="0.25">
      <c r="A1836" s="1" t="str">
        <f>_xlfn.XLOOKUP(D1836,'Novo relatório'!B:B,'Novo relatório'!C:C,"RESOLVIDO")</f>
        <v>SABRE</v>
      </c>
      <c r="C1836" t="str">
        <f t="shared" si="56"/>
        <v>PENDENTE</v>
      </c>
      <c r="D1836" s="1">
        <v>3418878</v>
      </c>
      <c r="E1836" s="1" t="s">
        <v>26</v>
      </c>
      <c r="F1836" s="2">
        <v>45790.774305555555</v>
      </c>
      <c r="G1836" s="1" t="s">
        <v>2320</v>
      </c>
      <c r="H1836" s="1" t="s">
        <v>2320</v>
      </c>
      <c r="I1836" s="1" t="s">
        <v>83</v>
      </c>
      <c r="J1836" s="2">
        <v>45790.868055555555</v>
      </c>
      <c r="L1836" s="1" t="s">
        <v>18</v>
      </c>
      <c r="M1836" s="1" t="str">
        <f>_xlfn.XLOOKUP(I1836,Parâmetros!A:A,Parâmetros!B:B,_xlfn.XLOOKUP(Q1836,Parâmetros!F:F,Parâmetros!G:G,"NOVA MENSAGEM"))</f>
        <v>CLIENTE NÃO IDENTIFICADO</v>
      </c>
      <c r="N1836" s="1" t="str">
        <f>_xlfn.XLOOKUP(M1836,Parâmetros!K:K,Parâmetros!L:L,"")</f>
        <v>DK DE CLIENTE NÃO PREENCIDO / CLIENTE NÃO CONFIGURADO NO OBT</v>
      </c>
      <c r="O1836" s="1" t="str">
        <f>_xlfn.XLOOKUP(M1836,Parâmetros!B:B,Parâmetros!C:C,_xlfn.XLOOKUP(Base!M1794,Parâmetros!G:G,Parâmetros!H:H))</f>
        <v>INDEFINIDO</v>
      </c>
      <c r="P1836" s="1" t="str">
        <f>_xlfn.XLOOKUP(I1836,Parâmetros!A:A,Parâmetros!D:D,_xlfn.XLOOKUP(Q1836,Parâmetros!F:F,Parâmetros!I:I))</f>
        <v>OPERAÇÕES / SUPORTE KCS</v>
      </c>
      <c r="Q1836" s="1" t="str">
        <f t="shared" si="57"/>
        <v>COLUNA I</v>
      </c>
    </row>
    <row r="1837" spans="1:17" x14ac:dyDescent="0.25">
      <c r="A1837" s="1" t="str">
        <f>_xlfn.XLOOKUP(D1837,'Novo relatório'!B:B,'Novo relatório'!C:C,"RESOLVIDO")</f>
        <v>SABRE</v>
      </c>
      <c r="C1837" t="str">
        <f t="shared" si="56"/>
        <v>PENDENTE</v>
      </c>
      <c r="D1837" s="1">
        <v>3418880</v>
      </c>
      <c r="E1837" s="1" t="s">
        <v>26</v>
      </c>
      <c r="F1837" s="2">
        <v>45790.774305555555</v>
      </c>
      <c r="G1837" s="1" t="s">
        <v>2318</v>
      </c>
      <c r="H1837" s="1" t="s">
        <v>2318</v>
      </c>
      <c r="I1837" s="1" t="s">
        <v>83</v>
      </c>
      <c r="J1837" s="2">
        <v>45790.868750000001</v>
      </c>
      <c r="L1837" s="1" t="s">
        <v>18</v>
      </c>
      <c r="M1837" s="1" t="str">
        <f>_xlfn.XLOOKUP(I1837,Parâmetros!A:A,Parâmetros!B:B,_xlfn.XLOOKUP(Q1837,Parâmetros!F:F,Parâmetros!G:G,"NOVA MENSAGEM"))</f>
        <v>CLIENTE NÃO IDENTIFICADO</v>
      </c>
      <c r="N1837" s="1" t="str">
        <f>_xlfn.XLOOKUP(M1837,Parâmetros!K:K,Parâmetros!L:L,"")</f>
        <v>DK DE CLIENTE NÃO PREENCIDO / CLIENTE NÃO CONFIGURADO NO OBT</v>
      </c>
      <c r="O1837" s="1" t="str">
        <f>_xlfn.XLOOKUP(M1837,Parâmetros!B:B,Parâmetros!C:C,_xlfn.XLOOKUP(Base!M1792,Parâmetros!G:G,Parâmetros!H:H))</f>
        <v>INDEFINIDO</v>
      </c>
      <c r="P1837" s="1" t="str">
        <f>_xlfn.XLOOKUP(I1837,Parâmetros!A:A,Parâmetros!D:D,_xlfn.XLOOKUP(Q1837,Parâmetros!F:F,Parâmetros!I:I))</f>
        <v>OPERAÇÕES / SUPORTE KCS</v>
      </c>
      <c r="Q1837" s="1" t="str">
        <f t="shared" si="57"/>
        <v>COLUNA I</v>
      </c>
    </row>
    <row r="1838" spans="1:17" x14ac:dyDescent="0.25">
      <c r="A1838" s="1" t="str">
        <f>_xlfn.XLOOKUP(D1838,'Novo relatório'!B:B,'Novo relatório'!C:C,"RESOLVIDO")</f>
        <v>SABRE</v>
      </c>
      <c r="C1838" t="str">
        <f t="shared" si="56"/>
        <v>PENDENTE</v>
      </c>
      <c r="D1838" s="1">
        <v>3418886</v>
      </c>
      <c r="E1838" s="1" t="s">
        <v>26</v>
      </c>
      <c r="F1838" s="2">
        <v>45790.774305555555</v>
      </c>
      <c r="G1838" s="1" t="s">
        <v>2300</v>
      </c>
      <c r="H1838" s="1" t="s">
        <v>2300</v>
      </c>
      <c r="I1838" s="1" t="s">
        <v>746</v>
      </c>
      <c r="J1838" s="2">
        <v>45790.869444444441</v>
      </c>
      <c r="L1838" s="1" t="s">
        <v>18</v>
      </c>
      <c r="M1838" s="1" t="str">
        <f>_xlfn.XLOOKUP(I1838,Parâmetros!A:A,Parâmetros!B:B,_xlfn.XLOOKUP(Q1838,Parâmetros!F:F,Parâmetros!G:G,"NOVA MENSAGEM"))</f>
        <v>CÓD. CLIENTE DIVERGENTE</v>
      </c>
      <c r="N1838" s="1" t="str">
        <f>_xlfn.XLOOKUP(M1838,Parâmetros!K:K,Parâmetros!L:L,"")</f>
        <v>CÓDIGO DIFERENTE DO CADASTRADO NO BENNER (CLIENTE X GRUPO)</v>
      </c>
      <c r="O1838" s="1" t="str">
        <f>_xlfn.XLOOKUP(M1838,Parâmetros!B:B,Parâmetros!C:C,_xlfn.XLOOKUP(Base!M1774,Parâmetros!G:G,Parâmetros!H:H))</f>
        <v>QUALIDADE DOS DADOS</v>
      </c>
      <c r="P1838" s="1" t="str">
        <f>_xlfn.XLOOKUP(I1838,Parâmetros!A:A,Parâmetros!D:D,_xlfn.XLOOKUP(Q1838,Parâmetros!F:F,Parâmetros!I:I))</f>
        <v>SUPORTE OBT</v>
      </c>
      <c r="Q1838" s="1">
        <f t="shared" si="57"/>
        <v>1</v>
      </c>
    </row>
    <row r="1839" spans="1:17" x14ac:dyDescent="0.25">
      <c r="A1839" s="1" t="str">
        <f>_xlfn.XLOOKUP(D1839,'Novo relatório'!B:B,'Novo relatório'!C:C,"RESOLVIDO")</f>
        <v>SABRE</v>
      </c>
      <c r="C1839" t="str">
        <f t="shared" si="56"/>
        <v>PENDENTE</v>
      </c>
      <c r="D1839" s="1">
        <v>3418892</v>
      </c>
      <c r="E1839" s="1" t="s">
        <v>26</v>
      </c>
      <c r="F1839" s="2">
        <v>45790.774305555555</v>
      </c>
      <c r="G1839" s="1" t="s">
        <v>2339</v>
      </c>
      <c r="H1839" s="1" t="s">
        <v>2339</v>
      </c>
      <c r="I1839" s="1" t="s">
        <v>396</v>
      </c>
      <c r="J1839" s="2">
        <v>45790.870138888888</v>
      </c>
      <c r="L1839" s="1" t="s">
        <v>18</v>
      </c>
      <c r="M1839" s="1" t="str">
        <f>_xlfn.XLOOKUP(I1839,Parâmetros!A:A,Parâmetros!B:B,_xlfn.XLOOKUP(Q1839,Parâmetros!F:F,Parâmetros!G:G,"NOVA MENSAGEM"))</f>
        <v>CÓD. CLIENTE DIVERGENTE</v>
      </c>
      <c r="N1839" s="1" t="str">
        <f>_xlfn.XLOOKUP(M1839,Parâmetros!K:K,Parâmetros!L:L,"")</f>
        <v>CÓDIGO DIFERENTE DO CADASTRADO NO BENNER (CLIENTE X GRUPO)</v>
      </c>
      <c r="O1839" s="1" t="str">
        <f>_xlfn.XLOOKUP(M1839,Parâmetros!B:B,Parâmetros!C:C,_xlfn.XLOOKUP(Base!M1812,Parâmetros!G:G,Parâmetros!H:H))</f>
        <v>QUALIDADE DOS DADOS</v>
      </c>
      <c r="P1839" s="1" t="str">
        <f>_xlfn.XLOOKUP(I1839,Parâmetros!A:A,Parâmetros!D:D,_xlfn.XLOOKUP(Q1839,Parâmetros!F:F,Parâmetros!I:I))</f>
        <v>SUPORTE OBT</v>
      </c>
      <c r="Q1839" s="1">
        <f t="shared" si="57"/>
        <v>1</v>
      </c>
    </row>
    <row r="1840" spans="1:17" x14ac:dyDescent="0.25">
      <c r="A1840" s="1" t="str">
        <f>_xlfn.XLOOKUP(D1840,'Novo relatório'!B:B,'Novo relatório'!C:C,"RESOLVIDO")</f>
        <v>SABRE</v>
      </c>
      <c r="C1840" t="str">
        <f t="shared" si="56"/>
        <v>PENDENTE</v>
      </c>
      <c r="D1840" s="1">
        <v>3418893</v>
      </c>
      <c r="E1840" s="1" t="s">
        <v>26</v>
      </c>
      <c r="F1840" s="2">
        <v>45790.774305555555</v>
      </c>
      <c r="G1840" s="1" t="s">
        <v>2323</v>
      </c>
      <c r="H1840" s="1" t="s">
        <v>2323</v>
      </c>
      <c r="I1840" s="1" t="s">
        <v>652</v>
      </c>
      <c r="J1840" s="2">
        <v>45790.870138888888</v>
      </c>
      <c r="L1840" s="1" t="s">
        <v>18</v>
      </c>
      <c r="M1840" s="1" t="str">
        <f>_xlfn.XLOOKUP(I1840,Parâmetros!A:A,Parâmetros!B:B,_xlfn.XLOOKUP(Q1840,Parâmetros!F:F,Parâmetros!G:G,"NOVA MENSAGEM"))</f>
        <v>CÓD. CLIENTE DIVERGENTE</v>
      </c>
      <c r="N1840" s="1" t="str">
        <f>_xlfn.XLOOKUP(M1840,Parâmetros!K:K,Parâmetros!L:L,"")</f>
        <v>CÓDIGO DIFERENTE DO CADASTRADO NO BENNER (CLIENTE X GRUPO)</v>
      </c>
      <c r="O1840" s="1" t="str">
        <f>_xlfn.XLOOKUP(M1840,Parâmetros!B:B,Parâmetros!C:C,_xlfn.XLOOKUP(Base!M1797,Parâmetros!G:G,Parâmetros!H:H))</f>
        <v>QUALIDADE DOS DADOS</v>
      </c>
      <c r="P1840" s="1" t="str">
        <f>_xlfn.XLOOKUP(I1840,Parâmetros!A:A,Parâmetros!D:D,_xlfn.XLOOKUP(Q1840,Parâmetros!F:F,Parâmetros!I:I))</f>
        <v>SUPORTE OBT</v>
      </c>
      <c r="Q1840" s="1">
        <f t="shared" si="57"/>
        <v>1</v>
      </c>
    </row>
    <row r="1841" spans="1:17" x14ac:dyDescent="0.25">
      <c r="A1841" s="1" t="str">
        <f>_xlfn.XLOOKUP(D1841,'Novo relatório'!B:B,'Novo relatório'!C:C,"RESOLVIDO")</f>
        <v>SABRE</v>
      </c>
      <c r="C1841" t="str">
        <f t="shared" si="56"/>
        <v>PENDENTE</v>
      </c>
      <c r="D1841" s="1">
        <v>3418894</v>
      </c>
      <c r="E1841" s="1" t="s">
        <v>26</v>
      </c>
      <c r="F1841" s="2">
        <v>45790.774305555555</v>
      </c>
      <c r="G1841" s="1" t="s">
        <v>2311</v>
      </c>
      <c r="H1841" s="1" t="s">
        <v>2311</v>
      </c>
      <c r="I1841" s="1" t="s">
        <v>652</v>
      </c>
      <c r="J1841" s="2">
        <v>45790.870138888888</v>
      </c>
      <c r="L1841" s="1" t="s">
        <v>18</v>
      </c>
      <c r="M1841" s="1" t="str">
        <f>_xlfn.XLOOKUP(I1841,Parâmetros!A:A,Parâmetros!B:B,_xlfn.XLOOKUP(Q1841,Parâmetros!F:F,Parâmetros!G:G,"NOVA MENSAGEM"))</f>
        <v>CÓD. CLIENTE DIVERGENTE</v>
      </c>
      <c r="N1841" s="1" t="str">
        <f>_xlfn.XLOOKUP(M1841,Parâmetros!K:K,Parâmetros!L:L,"")</f>
        <v>CÓDIGO DIFERENTE DO CADASTRADO NO BENNER (CLIENTE X GRUPO)</v>
      </c>
      <c r="O1841" s="1" t="str">
        <f>_xlfn.XLOOKUP(M1841,Parâmetros!B:B,Parâmetros!C:C,_xlfn.XLOOKUP(Base!M1785,Parâmetros!G:G,Parâmetros!H:H))</f>
        <v>QUALIDADE DOS DADOS</v>
      </c>
      <c r="P1841" s="1" t="str">
        <f>_xlfn.XLOOKUP(I1841,Parâmetros!A:A,Parâmetros!D:D,_xlfn.XLOOKUP(Q1841,Parâmetros!F:F,Parâmetros!I:I))</f>
        <v>SUPORTE OBT</v>
      </c>
      <c r="Q1841" s="1">
        <f t="shared" si="57"/>
        <v>1</v>
      </c>
    </row>
    <row r="1842" spans="1:17" x14ac:dyDescent="0.25">
      <c r="A1842" s="1" t="str">
        <f>_xlfn.XLOOKUP(D1842,'Novo relatório'!B:B,'Novo relatório'!C:C,"RESOLVIDO")</f>
        <v>SABRE</v>
      </c>
      <c r="C1842" t="str">
        <f t="shared" si="56"/>
        <v>PENDENTE</v>
      </c>
      <c r="D1842" s="1">
        <v>3419774</v>
      </c>
      <c r="E1842" s="1" t="s">
        <v>26</v>
      </c>
      <c r="F1842" s="2">
        <v>45791.468055555553</v>
      </c>
      <c r="G1842" s="1" t="s">
        <v>2319</v>
      </c>
      <c r="H1842" s="1" t="s">
        <v>2319</v>
      </c>
      <c r="I1842" s="1" t="s">
        <v>410</v>
      </c>
      <c r="J1842" s="2">
        <v>45791.554861111108</v>
      </c>
      <c r="L1842" s="1" t="s">
        <v>18</v>
      </c>
      <c r="M1842" s="1" t="str">
        <f>_xlfn.XLOOKUP(I1842,Parâmetros!A:A,Parâmetros!B:B,_xlfn.XLOOKUP(Q1842,Parâmetros!F:F,Parâmetros!G:G,"NOVA MENSAGEM"))</f>
        <v>CÓD. CLIENTE DIVERGENTE</v>
      </c>
      <c r="N1842" s="1" t="str">
        <f>_xlfn.XLOOKUP(M1842,Parâmetros!K:K,Parâmetros!L:L,"")</f>
        <v>CÓDIGO DIFERENTE DO CADASTRADO NO BENNER (CLIENTE X GRUPO)</v>
      </c>
      <c r="O1842" s="1" t="str">
        <f>_xlfn.XLOOKUP(M1842,Parâmetros!B:B,Parâmetros!C:C,_xlfn.XLOOKUP(Base!M1793,Parâmetros!G:G,Parâmetros!H:H))</f>
        <v>QUALIDADE DOS DADOS</v>
      </c>
      <c r="P1842" s="1" t="str">
        <f>_xlfn.XLOOKUP(I1842,Parâmetros!A:A,Parâmetros!D:D,_xlfn.XLOOKUP(Q1842,Parâmetros!F:F,Parâmetros!I:I))</f>
        <v>SUPORTE OBT</v>
      </c>
      <c r="Q1842" s="1">
        <f t="shared" si="57"/>
        <v>1</v>
      </c>
    </row>
    <row r="1843" spans="1:17" x14ac:dyDescent="0.25">
      <c r="A1843" s="1" t="str">
        <f>_xlfn.XLOOKUP(D1843,'Novo relatório'!B:B,'Novo relatório'!C:C,"RESOLVIDO")</f>
        <v>SABRE</v>
      </c>
      <c r="C1843" t="str">
        <f t="shared" si="56"/>
        <v>PENDENTE</v>
      </c>
      <c r="D1843" s="1">
        <v>3419799</v>
      </c>
      <c r="E1843" s="1" t="s">
        <v>26</v>
      </c>
      <c r="F1843" s="2">
        <v>45791.468055555553</v>
      </c>
      <c r="G1843" s="1" t="s">
        <v>2344</v>
      </c>
      <c r="H1843" s="1" t="s">
        <v>2344</v>
      </c>
      <c r="I1843" s="1" t="s">
        <v>707</v>
      </c>
      <c r="J1843" s="2">
        <v>45791.556944444441</v>
      </c>
      <c r="L1843" s="1" t="s">
        <v>18</v>
      </c>
      <c r="M1843" s="1" t="str">
        <f>_xlfn.XLOOKUP(I1843,Parâmetros!A:A,Parâmetros!B:B,_xlfn.XLOOKUP(Q1843,Parâmetros!F:F,Parâmetros!G:G,"NOVA MENSAGEM"))</f>
        <v>CÓD. CLIENTE DIVERGENTE</v>
      </c>
      <c r="N1843" s="1" t="str">
        <f>_xlfn.XLOOKUP(M1843,Parâmetros!K:K,Parâmetros!L:L,"")</f>
        <v>CÓDIGO DIFERENTE DO CADASTRADO NO BENNER (CLIENTE X GRUPO)</v>
      </c>
      <c r="O1843" s="1" t="str">
        <f>_xlfn.XLOOKUP(M1843,Parâmetros!B:B,Parâmetros!C:C,_xlfn.XLOOKUP(Base!M1817,Parâmetros!G:G,Parâmetros!H:H))</f>
        <v>QUALIDADE DOS DADOS</v>
      </c>
      <c r="P1843" s="1" t="str">
        <f>_xlfn.XLOOKUP(I1843,Parâmetros!A:A,Parâmetros!D:D,_xlfn.XLOOKUP(Q1843,Parâmetros!F:F,Parâmetros!I:I))</f>
        <v>SUPORTE OBT</v>
      </c>
      <c r="Q1843" s="1">
        <f t="shared" si="57"/>
        <v>1</v>
      </c>
    </row>
    <row r="1844" spans="1:17" x14ac:dyDescent="0.25">
      <c r="A1844" s="1" t="str">
        <f>_xlfn.XLOOKUP(D1844,'Novo relatório'!B:B,'Novo relatório'!C:C,"RESOLVIDO")</f>
        <v>SABRE</v>
      </c>
      <c r="C1844" t="str">
        <f t="shared" si="56"/>
        <v>PENDENTE</v>
      </c>
      <c r="D1844" s="1">
        <v>3419802</v>
      </c>
      <c r="E1844" s="1" t="s">
        <v>26</v>
      </c>
      <c r="F1844" s="2">
        <v>45791.468055555553</v>
      </c>
      <c r="G1844" s="1" t="s">
        <v>2310</v>
      </c>
      <c r="H1844" s="1" t="s">
        <v>2310</v>
      </c>
      <c r="I1844" s="1" t="s">
        <v>396</v>
      </c>
      <c r="J1844" s="2">
        <v>45791.556944444441</v>
      </c>
      <c r="L1844" s="1" t="s">
        <v>18</v>
      </c>
      <c r="M1844" s="1" t="str">
        <f>_xlfn.XLOOKUP(I1844,Parâmetros!A:A,Parâmetros!B:B,_xlfn.XLOOKUP(Q1844,Parâmetros!F:F,Parâmetros!G:G,"NOVA MENSAGEM"))</f>
        <v>CÓD. CLIENTE DIVERGENTE</v>
      </c>
      <c r="N1844" s="1" t="str">
        <f>_xlfn.XLOOKUP(M1844,Parâmetros!K:K,Parâmetros!L:L,"")</f>
        <v>CÓDIGO DIFERENTE DO CADASTRADO NO BENNER (CLIENTE X GRUPO)</v>
      </c>
      <c r="O1844" s="1" t="str">
        <f>_xlfn.XLOOKUP(M1844,Parâmetros!B:B,Parâmetros!C:C,_xlfn.XLOOKUP(Base!M1784,Parâmetros!G:G,Parâmetros!H:H))</f>
        <v>QUALIDADE DOS DADOS</v>
      </c>
      <c r="P1844" s="1" t="str">
        <f>_xlfn.XLOOKUP(I1844,Parâmetros!A:A,Parâmetros!D:D,_xlfn.XLOOKUP(Q1844,Parâmetros!F:F,Parâmetros!I:I))</f>
        <v>SUPORTE OBT</v>
      </c>
      <c r="Q1844" s="1">
        <f t="shared" si="57"/>
        <v>1</v>
      </c>
    </row>
    <row r="1845" spans="1:17" x14ac:dyDescent="0.25">
      <c r="A1845" s="1" t="str">
        <f>_xlfn.XLOOKUP(D1845,'Novo relatório'!B:B,'Novo relatório'!C:C,"RESOLVIDO")</f>
        <v>SABRE</v>
      </c>
      <c r="C1845" t="str">
        <f t="shared" si="56"/>
        <v>PENDENTE</v>
      </c>
      <c r="D1845" s="1">
        <v>3419805</v>
      </c>
      <c r="E1845" s="1" t="s">
        <v>26</v>
      </c>
      <c r="F1845" s="2">
        <v>45791.468055555553</v>
      </c>
      <c r="G1845" s="1" t="s">
        <v>2312</v>
      </c>
      <c r="H1845" s="1" t="s">
        <v>2312</v>
      </c>
      <c r="I1845" s="1" t="s">
        <v>169</v>
      </c>
      <c r="J1845" s="2">
        <v>45791.556944444441</v>
      </c>
      <c r="L1845" s="1" t="s">
        <v>18</v>
      </c>
      <c r="M1845" s="1" t="str">
        <f>_xlfn.XLOOKUP(I1845,Parâmetros!A:A,Parâmetros!B:B,_xlfn.XLOOKUP(Q1845,Parâmetros!F:F,Parâmetros!G:G,"NOVA MENSAGEM"))</f>
        <v>CÓD. CLIENTE DIVERGENTE</v>
      </c>
      <c r="N1845" s="1" t="str">
        <f>_xlfn.XLOOKUP(M1845,Parâmetros!K:K,Parâmetros!L:L,"")</f>
        <v>CÓDIGO DIFERENTE DO CADASTRADO NO BENNER (CLIENTE X GRUPO)</v>
      </c>
      <c r="O1845" s="1" t="str">
        <f>_xlfn.XLOOKUP(M1845,Parâmetros!B:B,Parâmetros!C:C,_xlfn.XLOOKUP(Base!M1786,Parâmetros!G:G,Parâmetros!H:H))</f>
        <v>QUALIDADE DOS DADOS</v>
      </c>
      <c r="P1845" s="1" t="str">
        <f>_xlfn.XLOOKUP(I1845,Parâmetros!A:A,Parâmetros!D:D,_xlfn.XLOOKUP(Q1845,Parâmetros!F:F,Parâmetros!I:I))</f>
        <v>SUPORTE OBT</v>
      </c>
      <c r="Q1845" s="1">
        <f t="shared" si="57"/>
        <v>1</v>
      </c>
    </row>
    <row r="1846" spans="1:17" x14ac:dyDescent="0.25">
      <c r="A1846" s="1" t="str">
        <f>_xlfn.XLOOKUP(D1846,'Novo relatório'!B:B,'Novo relatório'!C:C,"RESOLVIDO")</f>
        <v>SABRE</v>
      </c>
      <c r="C1846" t="str">
        <f t="shared" si="56"/>
        <v>PENDENTE</v>
      </c>
      <c r="D1846" s="1">
        <v>3420655</v>
      </c>
      <c r="E1846" s="1" t="s">
        <v>26</v>
      </c>
      <c r="F1846" s="2">
        <v>45791.743750000001</v>
      </c>
      <c r="G1846" s="1" t="s">
        <v>2449</v>
      </c>
      <c r="H1846" s="1" t="s">
        <v>2449</v>
      </c>
      <c r="I1846" s="1" t="s">
        <v>1761</v>
      </c>
      <c r="J1846" s="2">
        <v>45791.724999999999</v>
      </c>
      <c r="K1846" s="2">
        <v>45791.834722222222</v>
      </c>
      <c r="L1846" s="1" t="s">
        <v>18</v>
      </c>
      <c r="M1846" s="1" t="str">
        <f>_xlfn.XLOOKUP(I1846,Parâmetros!A:A,Parâmetros!B:B,_xlfn.XLOOKUP(Q1846,Parâmetros!F:F,Parâmetros!G:G,"NOVA MENSAGEM"))</f>
        <v>CÓD. CLIENTE DIVERGENTE</v>
      </c>
      <c r="N1846" s="1" t="str">
        <f>_xlfn.XLOOKUP(M1846,Parâmetros!K:K,Parâmetros!L:L,"")</f>
        <v>CÓDIGO DIFERENTE DO CADASTRADO NO BENNER (CLIENTE X GRUPO)</v>
      </c>
      <c r="O1846" s="1" t="str">
        <f>_xlfn.XLOOKUP(M1846,Parâmetros!B:B,Parâmetros!C:C,_xlfn.XLOOKUP(Base!M1918,Parâmetros!G:G,Parâmetros!H:H))</f>
        <v>QUALIDADE DOS DADOS</v>
      </c>
      <c r="P1846" s="1" t="str">
        <f>_xlfn.XLOOKUP(I1846,Parâmetros!A:A,Parâmetros!D:D,_xlfn.XLOOKUP(Q1846,Parâmetros!F:F,Parâmetros!I:I))</f>
        <v>SUPORTE OBT</v>
      </c>
      <c r="Q1846" s="1">
        <f t="shared" si="57"/>
        <v>1</v>
      </c>
    </row>
    <row r="1847" spans="1:17" x14ac:dyDescent="0.25">
      <c r="A1847" s="1" t="str">
        <f>_xlfn.XLOOKUP(D1847,'Novo relatório'!B:B,'Novo relatório'!C:C,"RESOLVIDO")</f>
        <v>SABRE</v>
      </c>
      <c r="C1847" t="str">
        <f t="shared" si="56"/>
        <v>PENDENTE</v>
      </c>
      <c r="D1847" s="1">
        <v>3420980</v>
      </c>
      <c r="E1847" s="1" t="s">
        <v>26</v>
      </c>
      <c r="F1847" s="2">
        <v>45791.7</v>
      </c>
      <c r="G1847" s="1" t="s">
        <v>2461</v>
      </c>
      <c r="H1847" s="1" t="s">
        <v>2461</v>
      </c>
      <c r="I1847" s="1" t="s">
        <v>396</v>
      </c>
      <c r="J1847" s="2">
        <v>45791.793749999997</v>
      </c>
      <c r="L1847" s="1" t="s">
        <v>18</v>
      </c>
      <c r="M1847" s="1" t="str">
        <f>_xlfn.XLOOKUP(I1847,Parâmetros!A:A,Parâmetros!B:B,_xlfn.XLOOKUP(Q1847,Parâmetros!F:F,Parâmetros!G:G,"NOVA MENSAGEM"))</f>
        <v>CÓD. CLIENTE DIVERGENTE</v>
      </c>
      <c r="N1847" s="1" t="str">
        <f>_xlfn.XLOOKUP(M1847,Parâmetros!K:K,Parâmetros!L:L,"")</f>
        <v>CÓDIGO DIFERENTE DO CADASTRADO NO BENNER (CLIENTE X GRUPO)</v>
      </c>
      <c r="O1847" s="1" t="str">
        <f>_xlfn.XLOOKUP(M1847,Parâmetros!B:B,Parâmetros!C:C,_xlfn.XLOOKUP(Base!M1928,Parâmetros!G:G,Parâmetros!H:H))</f>
        <v>QUALIDADE DOS DADOS</v>
      </c>
      <c r="P1847" s="1" t="str">
        <f>_xlfn.XLOOKUP(I1847,Parâmetros!A:A,Parâmetros!D:D,_xlfn.XLOOKUP(Q1847,Parâmetros!F:F,Parâmetros!I:I))</f>
        <v>SUPORTE OBT</v>
      </c>
      <c r="Q1847" s="1">
        <f t="shared" si="57"/>
        <v>1</v>
      </c>
    </row>
    <row r="1848" spans="1:17" x14ac:dyDescent="0.25">
      <c r="A1848" s="1" t="str">
        <f>_xlfn.XLOOKUP(D1848,'Novo relatório'!B:B,'Novo relatório'!C:C,"RESOLVIDO")</f>
        <v>SABRE</v>
      </c>
      <c r="C1848" t="str">
        <f t="shared" si="56"/>
        <v>PENDENTE</v>
      </c>
      <c r="D1848" s="1">
        <v>3420993</v>
      </c>
      <c r="E1848" s="1" t="s">
        <v>26</v>
      </c>
      <c r="F1848" s="2">
        <v>45791.7</v>
      </c>
      <c r="G1848" s="1" t="s">
        <v>2367</v>
      </c>
      <c r="H1848" s="1" t="s">
        <v>2367</v>
      </c>
      <c r="I1848" s="1" t="s">
        <v>410</v>
      </c>
      <c r="J1848" s="2">
        <v>45791.794444444444</v>
      </c>
      <c r="L1848" s="1" t="s">
        <v>18</v>
      </c>
      <c r="M1848" s="1" t="str">
        <f>_xlfn.XLOOKUP(I1848,Parâmetros!A:A,Parâmetros!B:B,_xlfn.XLOOKUP(Q1848,Parâmetros!F:F,Parâmetros!G:G,"NOVA MENSAGEM"))</f>
        <v>CÓD. CLIENTE DIVERGENTE</v>
      </c>
      <c r="N1848" s="1" t="str">
        <f>_xlfn.XLOOKUP(M1848,Parâmetros!K:K,Parâmetros!L:L,"")</f>
        <v>CÓDIGO DIFERENTE DO CADASTRADO NO BENNER (CLIENTE X GRUPO)</v>
      </c>
      <c r="O1848" s="1" t="str">
        <f>_xlfn.XLOOKUP(M1848,Parâmetros!B:B,Parâmetros!C:C,_xlfn.XLOOKUP(Base!M1851,Parâmetros!G:G,Parâmetros!H:H))</f>
        <v>QUALIDADE DOS DADOS</v>
      </c>
      <c r="P1848" s="1" t="str">
        <f>_xlfn.XLOOKUP(I1848,Parâmetros!A:A,Parâmetros!D:D,_xlfn.XLOOKUP(Q1848,Parâmetros!F:F,Parâmetros!I:I))</f>
        <v>SUPORTE OBT</v>
      </c>
      <c r="Q1848" s="1">
        <f t="shared" si="57"/>
        <v>1</v>
      </c>
    </row>
    <row r="1849" spans="1:17" x14ac:dyDescent="0.25">
      <c r="A1849" s="1" t="str">
        <f>_xlfn.XLOOKUP(D1849,'Novo relatório'!B:B,'Novo relatório'!C:C,"RESOLVIDO")</f>
        <v>SABRE</v>
      </c>
      <c r="C1849" t="str">
        <f t="shared" si="56"/>
        <v>PENDENTE</v>
      </c>
      <c r="D1849" s="1">
        <v>3421009</v>
      </c>
      <c r="E1849" s="1" t="s">
        <v>26</v>
      </c>
      <c r="F1849" s="2">
        <v>45791.7</v>
      </c>
      <c r="G1849" s="1" t="s">
        <v>2524</v>
      </c>
      <c r="H1849" s="1" t="s">
        <v>2524</v>
      </c>
      <c r="I1849" s="1" t="s">
        <v>396</v>
      </c>
      <c r="J1849" s="2">
        <v>45791.79583333333</v>
      </c>
      <c r="L1849" s="1" t="s">
        <v>18</v>
      </c>
      <c r="M1849" s="1" t="str">
        <f>_xlfn.XLOOKUP(I1849,Parâmetros!A:A,Parâmetros!B:B,_xlfn.XLOOKUP(Q1849,Parâmetros!F:F,Parâmetros!G:G,"NOVA MENSAGEM"))</f>
        <v>CÓD. CLIENTE DIVERGENTE</v>
      </c>
      <c r="N1849" s="1" t="str">
        <f>_xlfn.XLOOKUP(M1849,Parâmetros!K:K,Parâmetros!L:L,"")</f>
        <v>CÓDIGO DIFERENTE DO CADASTRADO NO BENNER (CLIENTE X GRUPO)</v>
      </c>
      <c r="O1849" s="1" t="str">
        <f>_xlfn.XLOOKUP(M1849,Parâmetros!B:B,Parâmetros!C:C,_xlfn.XLOOKUP(Base!M1986,Parâmetros!G:G,Parâmetros!H:H))</f>
        <v>QUALIDADE DOS DADOS</v>
      </c>
      <c r="P1849" s="1" t="str">
        <f>_xlfn.XLOOKUP(I1849,Parâmetros!A:A,Parâmetros!D:D,_xlfn.XLOOKUP(Q1849,Parâmetros!F:F,Parâmetros!I:I))</f>
        <v>SUPORTE OBT</v>
      </c>
      <c r="Q1849" s="1">
        <f t="shared" si="57"/>
        <v>1</v>
      </c>
    </row>
    <row r="1850" spans="1:17" x14ac:dyDescent="0.25">
      <c r="A1850" s="1" t="str">
        <f>_xlfn.XLOOKUP(D1850,'Novo relatório'!B:B,'Novo relatório'!C:C,"RESOLVIDO")</f>
        <v>SABRE</v>
      </c>
      <c r="C1850" t="str">
        <f t="shared" si="56"/>
        <v>PENDENTE</v>
      </c>
      <c r="D1850" s="1">
        <v>3421010</v>
      </c>
      <c r="E1850" s="1" t="s">
        <v>26</v>
      </c>
      <c r="F1850" s="2">
        <v>45791.7</v>
      </c>
      <c r="G1850" s="1" t="s">
        <v>2525</v>
      </c>
      <c r="H1850" s="1" t="s">
        <v>2524</v>
      </c>
      <c r="I1850" s="1" t="s">
        <v>2206</v>
      </c>
      <c r="J1850" s="2">
        <v>45791.79583333333</v>
      </c>
      <c r="L1850" s="1" t="s">
        <v>18</v>
      </c>
      <c r="M1850" s="1" t="str">
        <f>_xlfn.XLOOKUP(I1850,Parâmetros!A:A,Parâmetros!B:B,_xlfn.XLOOKUP(Q1850,Parâmetros!F:F,Parâmetros!G:G,"NOVA MENSAGEM"))</f>
        <v>CÓD. CLIENTE DIVERGENTE</v>
      </c>
      <c r="N1850" s="1" t="str">
        <f>_xlfn.XLOOKUP(M1850,Parâmetros!K:K,Parâmetros!L:L,"")</f>
        <v>CÓDIGO DIFERENTE DO CADASTRADO NO BENNER (CLIENTE X GRUPO)</v>
      </c>
      <c r="O1850" s="1" t="str">
        <f>_xlfn.XLOOKUP(M1850,Parâmetros!B:B,Parâmetros!C:C,_xlfn.XLOOKUP(Base!M1987,Parâmetros!G:G,Parâmetros!H:H))</f>
        <v>QUALIDADE DOS DADOS</v>
      </c>
      <c r="P1850" s="1" t="str">
        <f>_xlfn.XLOOKUP(I1850,Parâmetros!A:A,Parâmetros!D:D,_xlfn.XLOOKUP(Q1850,Parâmetros!F:F,Parâmetros!I:I))</f>
        <v>SUPORTE OBT</v>
      </c>
      <c r="Q1850" s="1">
        <f t="shared" si="57"/>
        <v>1</v>
      </c>
    </row>
    <row r="1851" spans="1:17" x14ac:dyDescent="0.25">
      <c r="A1851" s="1" t="str">
        <f>_xlfn.XLOOKUP(D1851,'Novo relatório'!B:B,'Novo relatório'!C:C,"RESOLVIDO")</f>
        <v>SABRE</v>
      </c>
      <c r="C1851" t="str">
        <f t="shared" si="56"/>
        <v>PENDENTE</v>
      </c>
      <c r="D1851" s="1">
        <v>3421277</v>
      </c>
      <c r="E1851" s="1" t="s">
        <v>26</v>
      </c>
      <c r="F1851" s="2">
        <v>45791.729861111111</v>
      </c>
      <c r="G1851" s="1" t="s">
        <v>2475</v>
      </c>
      <c r="H1851" s="1" t="s">
        <v>2475</v>
      </c>
      <c r="I1851" s="1" t="s">
        <v>746</v>
      </c>
      <c r="J1851" s="2">
        <v>45791.814583333333</v>
      </c>
      <c r="L1851" s="1" t="s">
        <v>18</v>
      </c>
      <c r="M1851" s="1" t="str">
        <f>_xlfn.XLOOKUP(I1851,Parâmetros!A:A,Parâmetros!B:B,_xlfn.XLOOKUP(Q1851,Parâmetros!F:F,Parâmetros!G:G,"NOVA MENSAGEM"))</f>
        <v>CÓD. CLIENTE DIVERGENTE</v>
      </c>
      <c r="N1851" s="1" t="str">
        <f>_xlfn.XLOOKUP(M1851,Parâmetros!K:K,Parâmetros!L:L,"")</f>
        <v>CÓDIGO DIFERENTE DO CADASTRADO NO BENNER (CLIENTE X GRUPO)</v>
      </c>
      <c r="O1851" s="1" t="str">
        <f>_xlfn.XLOOKUP(M1851,Parâmetros!B:B,Parâmetros!C:C,_xlfn.XLOOKUP(Base!M1942,Parâmetros!G:G,Parâmetros!H:H))</f>
        <v>QUALIDADE DOS DADOS</v>
      </c>
      <c r="P1851" s="1" t="str">
        <f>_xlfn.XLOOKUP(I1851,Parâmetros!A:A,Parâmetros!D:D,_xlfn.XLOOKUP(Q1851,Parâmetros!F:F,Parâmetros!I:I))</f>
        <v>SUPORTE OBT</v>
      </c>
      <c r="Q1851" s="1">
        <f t="shared" si="57"/>
        <v>1</v>
      </c>
    </row>
    <row r="1852" spans="1:17" x14ac:dyDescent="0.25">
      <c r="A1852" s="1" t="str">
        <f>_xlfn.XLOOKUP(D1852,'Novo relatório'!B:B,'Novo relatório'!C:C,"RESOLVIDO")</f>
        <v>TMS</v>
      </c>
      <c r="C1852" t="str">
        <f t="shared" si="56"/>
        <v>PENDENTE</v>
      </c>
      <c r="D1852" s="1">
        <v>3421582</v>
      </c>
      <c r="E1852" s="1" t="s">
        <v>12</v>
      </c>
      <c r="F1852" s="2">
        <v>45791.742361111108</v>
      </c>
      <c r="G1852" s="1">
        <v>15175</v>
      </c>
      <c r="H1852" s="1">
        <v>15175</v>
      </c>
      <c r="I1852" s="1" t="s">
        <v>2529</v>
      </c>
      <c r="J1852" s="2">
        <v>45791.834722222222</v>
      </c>
      <c r="K1852" s="2">
        <v>45794.831944444442</v>
      </c>
      <c r="L1852" s="1" t="s">
        <v>14</v>
      </c>
      <c r="M1852" s="1" t="str">
        <f>_xlfn.XLOOKUP(I1852,Parâmetros!A:A,Parâmetros!B:B,_xlfn.XLOOKUP(Q1852,Parâmetros!F:F,Parâmetros!G:G,"NOVA MENSAGEM"))</f>
        <v>ASSENTO / BAGAGEM</v>
      </c>
      <c r="N1852" s="1" t="str">
        <f>_xlfn.XLOOKUP(M1852,Parâmetros!K:K,Parâmetros!L:L,"")</f>
        <v>CAMPO OBSERVAÇÃO PREENCHIDO INCORRETAMENTE</v>
      </c>
      <c r="O1852" s="1" t="str">
        <f>_xlfn.XLOOKUP(M1852,Parâmetros!B:B,Parâmetros!C:C,_xlfn.XLOOKUP(Base!M1993,Parâmetros!G:G,Parâmetros!H:H))</f>
        <v>QUALIDADE DOS DADOS</v>
      </c>
      <c r="P1852" s="1" t="str">
        <f>_xlfn.XLOOKUP(I1852,Parâmetros!A:A,Parâmetros!D:D,_xlfn.XLOOKUP(Q1852,Parâmetros!F:F,Parâmetros!I:I))</f>
        <v>OPERAÇÕES / SUPORTE KCS</v>
      </c>
      <c r="Q1852" s="1">
        <f t="shared" si="57"/>
        <v>127</v>
      </c>
    </row>
    <row r="1853" spans="1:17" x14ac:dyDescent="0.25">
      <c r="A1853" s="1" t="str">
        <f>_xlfn.XLOOKUP(D1853,'Novo relatório'!B:B,'Novo relatório'!C:C,"RESOLVIDO")</f>
        <v>GOVER</v>
      </c>
      <c r="C1853" t="str">
        <f t="shared" si="56"/>
        <v>PENDENTE</v>
      </c>
      <c r="D1853" s="1">
        <v>3421851</v>
      </c>
      <c r="E1853" s="1" t="s">
        <v>24</v>
      </c>
      <c r="F1853" s="2">
        <v>45791.953472222223</v>
      </c>
      <c r="G1853" s="1">
        <v>4537303</v>
      </c>
      <c r="H1853" s="1">
        <v>4537303</v>
      </c>
      <c r="I1853" s="1" t="s">
        <v>77</v>
      </c>
      <c r="J1853" s="2">
        <v>45791.968055555553</v>
      </c>
      <c r="K1853" s="2">
        <v>45810.706250000003</v>
      </c>
      <c r="L1853" s="1" t="s">
        <v>14</v>
      </c>
      <c r="M1853" s="1" t="str">
        <f>_xlfn.XLOOKUP(I1853,Parâmetros!A:A,Parâmetros!B:B,_xlfn.XLOOKUP(Q1853,Parâmetros!F:F,Parâmetros!G:G,"NOVA MENSAGEM"))</f>
        <v>RLOC NÃO INFORMADO</v>
      </c>
      <c r="N1853" s="1" t="str">
        <f>_xlfn.XLOOKUP(M1853,Parâmetros!K:K,Parâmetros!L:L,"")</f>
        <v>RLOC NÃO PREENCHIDO NA RESERVA</v>
      </c>
      <c r="O1853" s="1" t="str">
        <f>_xlfn.XLOOKUP(M1853,Parâmetros!B:B,Parâmetros!C:C,_xlfn.XLOOKUP(Base!M2062,Parâmetros!G:G,Parâmetros!H:H))</f>
        <v>QUALIDADE DOS DADOS</v>
      </c>
      <c r="P1853" s="1" t="str">
        <f>_xlfn.XLOOKUP(I1853,Parâmetros!A:A,Parâmetros!D:D,_xlfn.XLOOKUP(Q1853,Parâmetros!F:F,Parâmetros!I:I))</f>
        <v>SUPORTE OBT</v>
      </c>
      <c r="Q1853" s="1" t="str">
        <f t="shared" si="57"/>
        <v>COLUNA I</v>
      </c>
    </row>
    <row r="1854" spans="1:17" x14ac:dyDescent="0.25">
      <c r="A1854" s="1" t="str">
        <f>_xlfn.XLOOKUP(D1854,'Novo relatório'!B:B,'Novo relatório'!C:C,"RESOLVIDO")</f>
        <v>SABRE</v>
      </c>
      <c r="C1854" t="str">
        <f t="shared" si="56"/>
        <v>PENDENTE</v>
      </c>
      <c r="D1854" s="1">
        <v>3422573</v>
      </c>
      <c r="E1854" s="1" t="s">
        <v>26</v>
      </c>
      <c r="F1854" s="2">
        <v>45792.479166666664</v>
      </c>
      <c r="G1854" s="1" t="s">
        <v>2409</v>
      </c>
      <c r="H1854" s="1" t="s">
        <v>2409</v>
      </c>
      <c r="I1854" s="1" t="s">
        <v>1060</v>
      </c>
      <c r="J1854" s="2">
        <v>45792.567361111112</v>
      </c>
      <c r="L1854" s="1" t="s">
        <v>18</v>
      </c>
      <c r="M1854" s="1" t="str">
        <f>_xlfn.XLOOKUP(I1854,Parâmetros!A:A,Parâmetros!B:B,_xlfn.XLOOKUP(Q1854,Parâmetros!F:F,Parâmetros!G:G,"NOVA MENSAGEM"))</f>
        <v>CÓD. CLIENTE DIVERGENTE</v>
      </c>
      <c r="N1854" s="1" t="str">
        <f>_xlfn.XLOOKUP(M1854,Parâmetros!K:K,Parâmetros!L:L,"")</f>
        <v>CÓDIGO DIFERENTE DO CADASTRADO NO BENNER (CLIENTE X GRUPO)</v>
      </c>
      <c r="O1854" s="1" t="str">
        <f>_xlfn.XLOOKUP(M1854,Parâmetros!B:B,Parâmetros!C:C,_xlfn.XLOOKUP(Base!M1886,Parâmetros!G:G,Parâmetros!H:H))</f>
        <v>QUALIDADE DOS DADOS</v>
      </c>
      <c r="P1854" s="1" t="str">
        <f>_xlfn.XLOOKUP(I1854,Parâmetros!A:A,Parâmetros!D:D,_xlfn.XLOOKUP(Q1854,Parâmetros!F:F,Parâmetros!I:I))</f>
        <v>SUPORTE OBT</v>
      </c>
      <c r="Q1854" s="1">
        <f t="shared" si="57"/>
        <v>1</v>
      </c>
    </row>
    <row r="1855" spans="1:17" x14ac:dyDescent="0.25">
      <c r="A1855" s="1" t="str">
        <f>_xlfn.XLOOKUP(D1855,'Novo relatório'!B:B,'Novo relatório'!C:C,"RESOLVIDO")</f>
        <v>SABRE</v>
      </c>
      <c r="C1855" t="str">
        <f t="shared" si="56"/>
        <v>PENDENTE</v>
      </c>
      <c r="D1855" s="1">
        <v>3422667</v>
      </c>
      <c r="E1855" s="1" t="s">
        <v>26</v>
      </c>
      <c r="F1855" s="2">
        <v>45792.484027777777</v>
      </c>
      <c r="G1855" s="1" t="s">
        <v>2441</v>
      </c>
      <c r="H1855" s="1" t="s">
        <v>2441</v>
      </c>
      <c r="I1855" s="1" t="s">
        <v>1060</v>
      </c>
      <c r="J1855" s="2">
        <v>45792.57708333333</v>
      </c>
      <c r="L1855" s="1" t="s">
        <v>18</v>
      </c>
      <c r="M1855" s="1" t="str">
        <f>_xlfn.XLOOKUP(I1855,Parâmetros!A:A,Parâmetros!B:B,_xlfn.XLOOKUP(Q1855,Parâmetros!F:F,Parâmetros!G:G,"NOVA MENSAGEM"))</f>
        <v>CÓD. CLIENTE DIVERGENTE</v>
      </c>
      <c r="N1855" s="1" t="str">
        <f>_xlfn.XLOOKUP(M1855,Parâmetros!K:K,Parâmetros!L:L,"")</f>
        <v>CÓDIGO DIFERENTE DO CADASTRADO NO BENNER (CLIENTE X GRUPO)</v>
      </c>
      <c r="O1855" s="1" t="str">
        <f>_xlfn.XLOOKUP(M1855,Parâmetros!B:B,Parâmetros!C:C,_xlfn.XLOOKUP(Base!M1910,Parâmetros!G:G,Parâmetros!H:H))</f>
        <v>QUALIDADE DOS DADOS</v>
      </c>
      <c r="P1855" s="1" t="str">
        <f>_xlfn.XLOOKUP(I1855,Parâmetros!A:A,Parâmetros!D:D,_xlfn.XLOOKUP(Q1855,Parâmetros!F:F,Parâmetros!I:I))</f>
        <v>SUPORTE OBT</v>
      </c>
      <c r="Q1855" s="1">
        <f t="shared" si="57"/>
        <v>1</v>
      </c>
    </row>
    <row r="1856" spans="1:17" x14ac:dyDescent="0.25">
      <c r="A1856" s="1" t="str">
        <f>_xlfn.XLOOKUP(D1856,'Novo relatório'!B:B,'Novo relatório'!C:C,"RESOLVIDO")</f>
        <v>SABRE</v>
      </c>
      <c r="C1856" t="str">
        <f t="shared" si="56"/>
        <v>PENDENTE</v>
      </c>
      <c r="D1856" s="1">
        <v>3423558</v>
      </c>
      <c r="E1856" s="1" t="s">
        <v>26</v>
      </c>
      <c r="F1856" s="2">
        <v>45792.669444444444</v>
      </c>
      <c r="G1856" s="1" t="s">
        <v>2472</v>
      </c>
      <c r="H1856" s="1" t="s">
        <v>2472</v>
      </c>
      <c r="I1856" s="1" t="s">
        <v>746</v>
      </c>
      <c r="J1856" s="2">
        <v>45792.763888888891</v>
      </c>
      <c r="L1856" s="1" t="s">
        <v>18</v>
      </c>
      <c r="M1856" s="1" t="str">
        <f>_xlfn.XLOOKUP(I1856,Parâmetros!A:A,Parâmetros!B:B,_xlfn.XLOOKUP(Q1856,Parâmetros!F:F,Parâmetros!G:G,"NOVA MENSAGEM"))</f>
        <v>CÓD. CLIENTE DIVERGENTE</v>
      </c>
      <c r="N1856" s="1" t="str">
        <f>_xlfn.XLOOKUP(M1856,Parâmetros!K:K,Parâmetros!L:L,"")</f>
        <v>CÓDIGO DIFERENTE DO CADASTRADO NO BENNER (CLIENTE X GRUPO)</v>
      </c>
      <c r="O1856" s="1" t="str">
        <f>_xlfn.XLOOKUP(M1856,Parâmetros!B:B,Parâmetros!C:C,_xlfn.XLOOKUP(Base!M1939,Parâmetros!G:G,Parâmetros!H:H))</f>
        <v>QUALIDADE DOS DADOS</v>
      </c>
      <c r="P1856" s="1" t="str">
        <f>_xlfn.XLOOKUP(I1856,Parâmetros!A:A,Parâmetros!D:D,_xlfn.XLOOKUP(Q1856,Parâmetros!F:F,Parâmetros!I:I))</f>
        <v>SUPORTE OBT</v>
      </c>
      <c r="Q1856" s="1">
        <f t="shared" si="57"/>
        <v>1</v>
      </c>
    </row>
    <row r="1857" spans="1:17" x14ac:dyDescent="0.25">
      <c r="A1857" s="1" t="str">
        <f>_xlfn.XLOOKUP(D1857,'Novo relatório'!B:B,'Novo relatório'!C:C,"RESOLVIDO")</f>
        <v>SABRE</v>
      </c>
      <c r="C1857" t="str">
        <f t="shared" si="56"/>
        <v>PENDENTE</v>
      </c>
      <c r="D1857" s="1">
        <v>3423559</v>
      </c>
      <c r="E1857" s="1" t="s">
        <v>26</v>
      </c>
      <c r="F1857" s="2">
        <v>45792.669444444444</v>
      </c>
      <c r="G1857" s="1" t="s">
        <v>2488</v>
      </c>
      <c r="H1857" s="1" t="s">
        <v>2488</v>
      </c>
      <c r="I1857" s="1" t="s">
        <v>746</v>
      </c>
      <c r="J1857" s="2">
        <v>45792.763888888891</v>
      </c>
      <c r="L1857" s="1" t="s">
        <v>18</v>
      </c>
      <c r="M1857" s="1" t="str">
        <f>_xlfn.XLOOKUP(I1857,Parâmetros!A:A,Parâmetros!B:B,_xlfn.XLOOKUP(Q1857,Parâmetros!F:F,Parâmetros!G:G,"NOVA MENSAGEM"))</f>
        <v>CÓD. CLIENTE DIVERGENTE</v>
      </c>
      <c r="N1857" s="1" t="str">
        <f>_xlfn.XLOOKUP(M1857,Parâmetros!K:K,Parâmetros!L:L,"")</f>
        <v>CÓDIGO DIFERENTE DO CADASTRADO NO BENNER (CLIENTE X GRUPO)</v>
      </c>
      <c r="O1857" s="1" t="str">
        <f>_xlfn.XLOOKUP(M1857,Parâmetros!B:B,Parâmetros!C:C,_xlfn.XLOOKUP(Base!M1952,Parâmetros!G:G,Parâmetros!H:H))</f>
        <v>QUALIDADE DOS DADOS</v>
      </c>
      <c r="P1857" s="1" t="str">
        <f>_xlfn.XLOOKUP(I1857,Parâmetros!A:A,Parâmetros!D:D,_xlfn.XLOOKUP(Q1857,Parâmetros!F:F,Parâmetros!I:I))</f>
        <v>SUPORTE OBT</v>
      </c>
      <c r="Q1857" s="1">
        <f t="shared" si="57"/>
        <v>1</v>
      </c>
    </row>
    <row r="1858" spans="1:17" x14ac:dyDescent="0.25">
      <c r="A1858" s="1" t="str">
        <f>_xlfn.XLOOKUP(D1858,'Novo relatório'!B:B,'Novo relatório'!C:C,"RESOLVIDO")</f>
        <v>SABRE</v>
      </c>
      <c r="C1858" t="str">
        <f t="shared" ref="C1858:C1921" si="58">IF(A1858="RESOLVIDO","RESOLVIDO",IF(B1858="","PENDENTE",IF(LEFT(B1858,7)="CHAMADO","AGUARDANDO FORNECEDOR",IF(B1858="CONTABILIZAR","CONTABILIZAR NO PORTAL"))))</f>
        <v>PENDENTE</v>
      </c>
      <c r="D1858" s="1">
        <v>3423562</v>
      </c>
      <c r="E1858" s="1" t="s">
        <v>26</v>
      </c>
      <c r="F1858" s="2">
        <v>45793.406944444447</v>
      </c>
      <c r="G1858" s="1" t="s">
        <v>2474</v>
      </c>
      <c r="H1858" s="1" t="s">
        <v>2474</v>
      </c>
      <c r="I1858" s="1" t="s">
        <v>408</v>
      </c>
      <c r="J1858" s="2">
        <v>45792.765277777777</v>
      </c>
      <c r="K1858" s="2">
        <v>45793.491666666669</v>
      </c>
      <c r="L1858" s="1" t="s">
        <v>18</v>
      </c>
      <c r="M1858" s="1" t="str">
        <f>_xlfn.XLOOKUP(I1858,Parâmetros!A:A,Parâmetros!B:B,_xlfn.XLOOKUP(Q1858,Parâmetros!F:F,Parâmetros!G:G,"NOVA MENSAGEM"))</f>
        <v>CÓD. CLIENTE DIVERGENTE</v>
      </c>
      <c r="N1858" s="1" t="str">
        <f>_xlfn.XLOOKUP(M1858,Parâmetros!K:K,Parâmetros!L:L,"")</f>
        <v>CÓDIGO DIFERENTE DO CADASTRADO NO BENNER (CLIENTE X GRUPO)</v>
      </c>
      <c r="O1858" s="1" t="str">
        <f>_xlfn.XLOOKUP(M1858,Parâmetros!B:B,Parâmetros!C:C,_xlfn.XLOOKUP(Base!M1941,Parâmetros!G:G,Parâmetros!H:H))</f>
        <v>QUALIDADE DOS DADOS</v>
      </c>
      <c r="P1858" s="1" t="str">
        <f>_xlfn.XLOOKUP(I1858,Parâmetros!A:A,Parâmetros!D:D,_xlfn.XLOOKUP(Q1858,Parâmetros!F:F,Parâmetros!I:I))</f>
        <v>SUPORTE OBT</v>
      </c>
      <c r="Q1858" s="1">
        <f t="shared" ref="Q1858:Q1921" si="59">IFERROR(FIND("Não foi possível localizar o contrato do fornecedor",I1858),IFERROR(FIND("veículo",I1858),IFERROR(FIND("agagem",I1858),IFERROR(FIND("error in XML document",I1858),IFERROR(FIND("Não localizado cliente código",I1858),IFERROR(FIND("lemontech",I1858),IFERROR(FIND("&gt;Fornecedor com o",I1858),IFERROR(FIND("INSERT",I1858),IFERROR(FIND("com CNPJ",I1858),IFERROR(FIND("Consultando Agente-&gt; O agente",I1858),IFERROR(FIND("Não foi possível determinar a validade do cartão, favor verificar os dados do cartão",I1858),"COLUNA I")))))))))))</f>
        <v>1</v>
      </c>
    </row>
    <row r="1859" spans="1:17" x14ac:dyDescent="0.25">
      <c r="A1859" s="1" t="str">
        <f>_xlfn.XLOOKUP(D1859,'Novo relatório'!B:B,'Novo relatório'!C:C,"RESOLVIDO")</f>
        <v>SABRE</v>
      </c>
      <c r="C1859" t="str">
        <f t="shared" si="58"/>
        <v>PENDENTE</v>
      </c>
      <c r="D1859" s="1">
        <v>3423571</v>
      </c>
      <c r="E1859" s="1" t="s">
        <v>26</v>
      </c>
      <c r="F1859" s="2">
        <v>45792.669444444444</v>
      </c>
      <c r="G1859" s="1" t="s">
        <v>2464</v>
      </c>
      <c r="H1859" s="1" t="s">
        <v>2464</v>
      </c>
      <c r="I1859" s="1" t="s">
        <v>620</v>
      </c>
      <c r="J1859" s="2">
        <v>45792.768055555556</v>
      </c>
      <c r="L1859" s="1" t="s">
        <v>18</v>
      </c>
      <c r="M1859" s="1" t="str">
        <f>_xlfn.XLOOKUP(I1859,Parâmetros!A:A,Parâmetros!B:B,_xlfn.XLOOKUP(Q1859,Parâmetros!F:F,Parâmetros!G:G,"NOVA MENSAGEM"))</f>
        <v>CÓD. CLIENTE DIVERGENTE</v>
      </c>
      <c r="N1859" s="1" t="str">
        <f>_xlfn.XLOOKUP(M1859,Parâmetros!K:K,Parâmetros!L:L,"")</f>
        <v>CÓDIGO DIFERENTE DO CADASTRADO NO BENNER (CLIENTE X GRUPO)</v>
      </c>
      <c r="O1859" s="1" t="str">
        <f>_xlfn.XLOOKUP(M1859,Parâmetros!B:B,Parâmetros!C:C,_xlfn.XLOOKUP(Base!M1931,Parâmetros!G:G,Parâmetros!H:H))</f>
        <v>QUALIDADE DOS DADOS</v>
      </c>
      <c r="P1859" s="1" t="str">
        <f>_xlfn.XLOOKUP(I1859,Parâmetros!A:A,Parâmetros!D:D,_xlfn.XLOOKUP(Q1859,Parâmetros!F:F,Parâmetros!I:I))</f>
        <v>SUPORTE OBT</v>
      </c>
      <c r="Q1859" s="1">
        <f t="shared" si="59"/>
        <v>1</v>
      </c>
    </row>
    <row r="1860" spans="1:17" x14ac:dyDescent="0.25">
      <c r="A1860" s="1" t="str">
        <f>_xlfn.XLOOKUP(D1860,'Novo relatório'!B:B,'Novo relatório'!C:C,"RESOLVIDO")</f>
        <v>SABRE</v>
      </c>
      <c r="C1860" t="str">
        <f t="shared" si="58"/>
        <v>PENDENTE</v>
      </c>
      <c r="D1860" s="1">
        <v>3423574</v>
      </c>
      <c r="E1860" s="1" t="s">
        <v>26</v>
      </c>
      <c r="F1860" s="2">
        <v>45792.669444444444</v>
      </c>
      <c r="G1860" s="1" t="s">
        <v>2466</v>
      </c>
      <c r="H1860" s="1" t="s">
        <v>2466</v>
      </c>
      <c r="I1860" s="1" t="s">
        <v>746</v>
      </c>
      <c r="J1860" s="2">
        <v>45792.768750000003</v>
      </c>
      <c r="L1860" s="1" t="s">
        <v>18</v>
      </c>
      <c r="M1860" s="1" t="str">
        <f>_xlfn.XLOOKUP(I1860,Parâmetros!A:A,Parâmetros!B:B,_xlfn.XLOOKUP(Q1860,Parâmetros!F:F,Parâmetros!G:G,"NOVA MENSAGEM"))</f>
        <v>CÓD. CLIENTE DIVERGENTE</v>
      </c>
      <c r="N1860" s="1" t="str">
        <f>_xlfn.XLOOKUP(M1860,Parâmetros!K:K,Parâmetros!L:L,"")</f>
        <v>CÓDIGO DIFERENTE DO CADASTRADO NO BENNER (CLIENTE X GRUPO)</v>
      </c>
      <c r="O1860" s="1" t="str">
        <f>_xlfn.XLOOKUP(M1860,Parâmetros!B:B,Parâmetros!C:C,_xlfn.XLOOKUP(Base!M1933,Parâmetros!G:G,Parâmetros!H:H))</f>
        <v>QUALIDADE DOS DADOS</v>
      </c>
      <c r="P1860" s="1" t="str">
        <f>_xlfn.XLOOKUP(I1860,Parâmetros!A:A,Parâmetros!D:D,_xlfn.XLOOKUP(Q1860,Parâmetros!F:F,Parâmetros!I:I))</f>
        <v>SUPORTE OBT</v>
      </c>
      <c r="Q1860" s="1">
        <f t="shared" si="59"/>
        <v>1</v>
      </c>
    </row>
    <row r="1861" spans="1:17" x14ac:dyDescent="0.25">
      <c r="A1861" s="1" t="str">
        <f>_xlfn.XLOOKUP(D1861,'Novo relatório'!B:B,'Novo relatório'!C:C,"RESOLVIDO")</f>
        <v>SABRE</v>
      </c>
      <c r="C1861" t="str">
        <f t="shared" si="58"/>
        <v>PENDENTE</v>
      </c>
      <c r="D1861" s="1">
        <v>3423576</v>
      </c>
      <c r="E1861" s="1" t="s">
        <v>26</v>
      </c>
      <c r="F1861" s="2">
        <v>45792.669444444444</v>
      </c>
      <c r="G1861" s="1" t="s">
        <v>2523</v>
      </c>
      <c r="H1861" s="1" t="s">
        <v>2523</v>
      </c>
      <c r="I1861" s="1" t="s">
        <v>620</v>
      </c>
      <c r="J1861" s="2">
        <v>45792.769444444442</v>
      </c>
      <c r="L1861" s="1" t="s">
        <v>18</v>
      </c>
      <c r="M1861" s="1" t="str">
        <f>_xlfn.XLOOKUP(I1861,Parâmetros!A:A,Parâmetros!B:B,_xlfn.XLOOKUP(Q1861,Parâmetros!F:F,Parâmetros!G:G,"NOVA MENSAGEM"))</f>
        <v>CÓD. CLIENTE DIVERGENTE</v>
      </c>
      <c r="N1861" s="1" t="str">
        <f>_xlfn.XLOOKUP(M1861,Parâmetros!K:K,Parâmetros!L:L,"")</f>
        <v>CÓDIGO DIFERENTE DO CADASTRADO NO BENNER (CLIENTE X GRUPO)</v>
      </c>
      <c r="O1861" s="1" t="str">
        <f>_xlfn.XLOOKUP(M1861,Parâmetros!B:B,Parâmetros!C:C,_xlfn.XLOOKUP(Base!M1985,Parâmetros!G:G,Parâmetros!H:H))</f>
        <v>QUALIDADE DOS DADOS</v>
      </c>
      <c r="P1861" s="1" t="str">
        <f>_xlfn.XLOOKUP(I1861,Parâmetros!A:A,Parâmetros!D:D,_xlfn.XLOOKUP(Q1861,Parâmetros!F:F,Parâmetros!I:I))</f>
        <v>SUPORTE OBT</v>
      </c>
      <c r="Q1861" s="1">
        <f t="shared" si="59"/>
        <v>1</v>
      </c>
    </row>
    <row r="1862" spans="1:17" x14ac:dyDescent="0.25">
      <c r="A1862" s="1" t="str">
        <f>_xlfn.XLOOKUP(D1862,'Novo relatório'!B:B,'Novo relatório'!C:C,"RESOLVIDO")</f>
        <v>RESOLVIDO</v>
      </c>
      <c r="C1862" t="str">
        <f t="shared" si="58"/>
        <v>RESOLVIDO</v>
      </c>
      <c r="D1862" s="1">
        <v>3423660</v>
      </c>
      <c r="E1862" s="1" t="s">
        <v>12</v>
      </c>
      <c r="F1862" s="2">
        <v>45792.621527777781</v>
      </c>
      <c r="G1862" s="1">
        <v>6800</v>
      </c>
      <c r="H1862" s="1">
        <v>6800</v>
      </c>
      <c r="I1862" s="1" t="s">
        <v>16</v>
      </c>
      <c r="J1862" s="2">
        <v>45792.800694444442</v>
      </c>
      <c r="K1862" s="2">
        <v>45795.84097222222</v>
      </c>
      <c r="L1862" s="1" t="s">
        <v>14</v>
      </c>
      <c r="M1862" s="1" t="str">
        <f>_xlfn.XLOOKUP(I1862,Parâmetros!A:A,Parâmetros!B:B,_xlfn.XLOOKUP(Q1862,Parâmetros!F:F,Parâmetros!G:G,"NOVA MENSAGEM"))</f>
        <v>ASSENTO / BAGAGEM</v>
      </c>
      <c r="N1862" s="1" t="str">
        <f>_xlfn.XLOOKUP(M1862,Parâmetros!K:K,Parâmetros!L:L,"")</f>
        <v>CAMPO OBSERVAÇÃO PREENCHIDO INCORRETAMENTE</v>
      </c>
      <c r="O1862" s="1" t="str">
        <f>_xlfn.XLOOKUP(M1862,Parâmetros!B:B,Parâmetros!C:C,_xlfn.XLOOKUP(Base!M2016,Parâmetros!G:G,Parâmetros!H:H))</f>
        <v>QUALIDADE DOS DADOS</v>
      </c>
      <c r="P1862" s="1" t="str">
        <f>_xlfn.XLOOKUP(I1862,Parâmetros!A:A,Parâmetros!D:D,_xlfn.XLOOKUP(Q1862,Parâmetros!F:F,Parâmetros!I:I))</f>
        <v>OPERAÇÕES / SUPORTE KCS</v>
      </c>
      <c r="Q1862" s="1">
        <f t="shared" si="59"/>
        <v>118</v>
      </c>
    </row>
    <row r="1863" spans="1:17" x14ac:dyDescent="0.25">
      <c r="A1863" s="1" t="str">
        <f>_xlfn.XLOOKUP(D1863,'Novo relatório'!B:B,'Novo relatório'!C:C,"RESOLVIDO")</f>
        <v>SABRE</v>
      </c>
      <c r="C1863" t="str">
        <f t="shared" si="58"/>
        <v>PENDENTE</v>
      </c>
      <c r="D1863" s="1">
        <v>3424334</v>
      </c>
      <c r="E1863" s="1" t="s">
        <v>26</v>
      </c>
      <c r="F1863" s="2">
        <v>45792.761111111111</v>
      </c>
      <c r="G1863" s="1" t="s">
        <v>2508</v>
      </c>
      <c r="H1863" s="1" t="s">
        <v>2508</v>
      </c>
      <c r="I1863" s="1" t="s">
        <v>396</v>
      </c>
      <c r="J1863" s="2">
        <v>45792.856249999997</v>
      </c>
      <c r="L1863" s="1" t="s">
        <v>18</v>
      </c>
      <c r="M1863" s="1" t="str">
        <f>_xlfn.XLOOKUP(I1863,Parâmetros!A:A,Parâmetros!B:B,_xlfn.XLOOKUP(Q1863,Parâmetros!F:F,Parâmetros!G:G,"NOVA MENSAGEM"))</f>
        <v>CÓD. CLIENTE DIVERGENTE</v>
      </c>
      <c r="N1863" s="1" t="str">
        <f>_xlfn.XLOOKUP(M1863,Parâmetros!K:K,Parâmetros!L:L,"")</f>
        <v>CÓDIGO DIFERENTE DO CADASTRADO NO BENNER (CLIENTE X GRUPO)</v>
      </c>
      <c r="O1863" s="1" t="str">
        <f>_xlfn.XLOOKUP(M1863,Parâmetros!B:B,Parâmetros!C:C,_xlfn.XLOOKUP(Base!M1970,Parâmetros!G:G,Parâmetros!H:H))</f>
        <v>QUALIDADE DOS DADOS</v>
      </c>
      <c r="P1863" s="1" t="str">
        <f>_xlfn.XLOOKUP(I1863,Parâmetros!A:A,Parâmetros!D:D,_xlfn.XLOOKUP(Q1863,Parâmetros!F:F,Parâmetros!I:I))</f>
        <v>SUPORTE OBT</v>
      </c>
      <c r="Q1863" s="1">
        <f t="shared" si="59"/>
        <v>1</v>
      </c>
    </row>
    <row r="1864" spans="1:17" x14ac:dyDescent="0.25">
      <c r="A1864" s="1" t="str">
        <f>_xlfn.XLOOKUP(D1864,'Novo relatório'!B:B,'Novo relatório'!C:C,"RESOLVIDO")</f>
        <v>SABRE</v>
      </c>
      <c r="C1864" t="str">
        <f t="shared" si="58"/>
        <v>PENDENTE</v>
      </c>
      <c r="D1864" s="1">
        <v>3424336</v>
      </c>
      <c r="E1864" s="1" t="s">
        <v>26</v>
      </c>
      <c r="F1864" s="2">
        <v>45792.761111111111</v>
      </c>
      <c r="G1864" s="1" t="s">
        <v>2455</v>
      </c>
      <c r="H1864" s="1" t="s">
        <v>2455</v>
      </c>
      <c r="I1864" s="1" t="s">
        <v>396</v>
      </c>
      <c r="J1864" s="2">
        <v>45792.856249999997</v>
      </c>
      <c r="L1864" s="1" t="s">
        <v>18</v>
      </c>
      <c r="M1864" s="1" t="str">
        <f>_xlfn.XLOOKUP(I1864,Parâmetros!A:A,Parâmetros!B:B,_xlfn.XLOOKUP(Q1864,Parâmetros!F:F,Parâmetros!G:G,"NOVA MENSAGEM"))</f>
        <v>CÓD. CLIENTE DIVERGENTE</v>
      </c>
      <c r="N1864" s="1" t="str">
        <f>_xlfn.XLOOKUP(M1864,Parâmetros!K:K,Parâmetros!L:L,"")</f>
        <v>CÓDIGO DIFERENTE DO CADASTRADO NO BENNER (CLIENTE X GRUPO)</v>
      </c>
      <c r="O1864" s="1" t="str">
        <f>_xlfn.XLOOKUP(M1864,Parâmetros!B:B,Parâmetros!C:C,_xlfn.XLOOKUP(Base!M1923,Parâmetros!G:G,Parâmetros!H:H))</f>
        <v>QUALIDADE DOS DADOS</v>
      </c>
      <c r="P1864" s="1" t="str">
        <f>_xlfn.XLOOKUP(I1864,Parâmetros!A:A,Parâmetros!D:D,_xlfn.XLOOKUP(Q1864,Parâmetros!F:F,Parâmetros!I:I))</f>
        <v>SUPORTE OBT</v>
      </c>
      <c r="Q1864" s="1">
        <f t="shared" si="59"/>
        <v>1</v>
      </c>
    </row>
    <row r="1865" spans="1:17" x14ac:dyDescent="0.25">
      <c r="A1865" s="1" t="str">
        <f>_xlfn.XLOOKUP(D1865,'Novo relatório'!B:B,'Novo relatório'!C:C,"RESOLVIDO")</f>
        <v>SABRE</v>
      </c>
      <c r="C1865" t="str">
        <f t="shared" si="58"/>
        <v>PENDENTE</v>
      </c>
      <c r="D1865" s="1">
        <v>3424338</v>
      </c>
      <c r="E1865" s="1" t="s">
        <v>26</v>
      </c>
      <c r="F1865" s="2">
        <v>45792.761111111111</v>
      </c>
      <c r="G1865" s="1" t="s">
        <v>2485</v>
      </c>
      <c r="H1865" s="1" t="s">
        <v>2485</v>
      </c>
      <c r="I1865" s="1" t="s">
        <v>396</v>
      </c>
      <c r="J1865" s="2">
        <v>45792.856249999997</v>
      </c>
      <c r="L1865" s="1" t="s">
        <v>18</v>
      </c>
      <c r="M1865" s="1" t="str">
        <f>_xlfn.XLOOKUP(I1865,Parâmetros!A:A,Parâmetros!B:B,_xlfn.XLOOKUP(Q1865,Parâmetros!F:F,Parâmetros!G:G,"NOVA MENSAGEM"))</f>
        <v>CÓD. CLIENTE DIVERGENTE</v>
      </c>
      <c r="N1865" s="1" t="str">
        <f>_xlfn.XLOOKUP(M1865,Parâmetros!K:K,Parâmetros!L:L,"")</f>
        <v>CÓDIGO DIFERENTE DO CADASTRADO NO BENNER (CLIENTE X GRUPO)</v>
      </c>
      <c r="O1865" s="1" t="str">
        <f>_xlfn.XLOOKUP(M1865,Parâmetros!B:B,Parâmetros!C:C,_xlfn.XLOOKUP(Base!M1949,Parâmetros!G:G,Parâmetros!H:H))</f>
        <v>QUALIDADE DOS DADOS</v>
      </c>
      <c r="P1865" s="1" t="str">
        <f>_xlfn.XLOOKUP(I1865,Parâmetros!A:A,Parâmetros!D:D,_xlfn.XLOOKUP(Q1865,Parâmetros!F:F,Parâmetros!I:I))</f>
        <v>SUPORTE OBT</v>
      </c>
      <c r="Q1865" s="1">
        <f t="shared" si="59"/>
        <v>1</v>
      </c>
    </row>
    <row r="1866" spans="1:17" x14ac:dyDescent="0.25">
      <c r="A1866" s="1" t="str">
        <f>_xlfn.XLOOKUP(D1866,'Novo relatório'!B:B,'Novo relatório'!C:C,"RESOLVIDO")</f>
        <v>SABRE</v>
      </c>
      <c r="C1866" t="str">
        <f t="shared" si="58"/>
        <v>PENDENTE</v>
      </c>
      <c r="D1866" s="1">
        <v>3424344</v>
      </c>
      <c r="E1866" s="1" t="s">
        <v>26</v>
      </c>
      <c r="F1866" s="2">
        <v>45792.761111111111</v>
      </c>
      <c r="G1866" s="1" t="s">
        <v>2519</v>
      </c>
      <c r="H1866" s="1" t="s">
        <v>2519</v>
      </c>
      <c r="I1866" s="1" t="s">
        <v>83</v>
      </c>
      <c r="J1866" s="2">
        <v>45792.856944444444</v>
      </c>
      <c r="L1866" s="1" t="s">
        <v>18</v>
      </c>
      <c r="M1866" s="1" t="str">
        <f>_xlfn.XLOOKUP(I1866,Parâmetros!A:A,Parâmetros!B:B,_xlfn.XLOOKUP(Q1866,Parâmetros!F:F,Parâmetros!G:G,"NOVA MENSAGEM"))</f>
        <v>CLIENTE NÃO IDENTIFICADO</v>
      </c>
      <c r="N1866" s="1" t="str">
        <f>_xlfn.XLOOKUP(M1866,Parâmetros!K:K,Parâmetros!L:L,"")</f>
        <v>DK DE CLIENTE NÃO PREENCIDO / CLIENTE NÃO CONFIGURADO NO OBT</v>
      </c>
      <c r="O1866" s="1" t="str">
        <f>_xlfn.XLOOKUP(M1866,Parâmetros!B:B,Parâmetros!C:C,_xlfn.XLOOKUP(Base!M1981,Parâmetros!G:G,Parâmetros!H:H))</f>
        <v>INDEFINIDO</v>
      </c>
      <c r="P1866" s="1" t="str">
        <f>_xlfn.XLOOKUP(I1866,Parâmetros!A:A,Parâmetros!D:D,_xlfn.XLOOKUP(Q1866,Parâmetros!F:F,Parâmetros!I:I))</f>
        <v>OPERAÇÕES / SUPORTE KCS</v>
      </c>
      <c r="Q1866" s="1" t="str">
        <f t="shared" si="59"/>
        <v>COLUNA I</v>
      </c>
    </row>
    <row r="1867" spans="1:17" x14ac:dyDescent="0.25">
      <c r="A1867" s="1" t="str">
        <f>_xlfn.XLOOKUP(D1867,'Novo relatório'!B:B,'Novo relatório'!C:C,"RESOLVIDO")</f>
        <v>GOVER</v>
      </c>
      <c r="C1867" t="str">
        <f t="shared" si="58"/>
        <v>PENDENTE</v>
      </c>
      <c r="D1867" s="1">
        <v>3424667</v>
      </c>
      <c r="E1867" s="1" t="s">
        <v>24</v>
      </c>
      <c r="F1867" s="2">
        <v>45792.438194444447</v>
      </c>
      <c r="G1867" s="1">
        <v>4537444</v>
      </c>
      <c r="H1867" s="1" t="s">
        <v>2538</v>
      </c>
      <c r="I1867" s="1" t="s">
        <v>2539</v>
      </c>
      <c r="J1867" s="2">
        <v>45793.39166666667</v>
      </c>
      <c r="K1867" s="2">
        <v>45810.706250000003</v>
      </c>
      <c r="L1867" s="1" t="s">
        <v>1244</v>
      </c>
      <c r="M1867" s="1" t="str">
        <f>_xlfn.XLOOKUP(I1867,Parâmetros!A:A,Parâmetros!B:B,_xlfn.XLOOKUP(Q1867,Parâmetros!F:F,Parâmetros!G:G,"NOVA MENSAGEM"))</f>
        <v>DADOS DO CARTÃO</v>
      </c>
      <c r="N1867" s="1" t="str">
        <f>_xlfn.XLOOKUP(M1867,Parâmetros!K:K,Parâmetros!L:L,"")</f>
        <v>TAG &lt;CARTAOVALIDADE&gt; NÃO ENVIADA</v>
      </c>
      <c r="O1867" s="1" t="str">
        <f>_xlfn.XLOOKUP(M1867,Parâmetros!B:B,Parâmetros!C:C,_xlfn.XLOOKUP(Base!M2063,Parâmetros!G:G,Parâmetros!H:H))</f>
        <v>SISTEMA</v>
      </c>
      <c r="P1867" s="1" t="str">
        <f>_xlfn.XLOOKUP(I1867,Parâmetros!A:A,Parâmetros!D:D,_xlfn.XLOOKUP(Q1867,Parâmetros!F:F,Parâmetros!I:I))</f>
        <v>SUPORTE OBT</v>
      </c>
      <c r="Q1867" s="1">
        <f t="shared" si="59"/>
        <v>40</v>
      </c>
    </row>
    <row r="1868" spans="1:17" x14ac:dyDescent="0.25">
      <c r="A1868" s="1" t="str">
        <f>_xlfn.XLOOKUP(D1868,'Novo relatório'!B:B,'Novo relatório'!C:C,"RESOLVIDO")</f>
        <v>SABRE</v>
      </c>
      <c r="C1868" t="str">
        <f t="shared" si="58"/>
        <v>PENDENTE</v>
      </c>
      <c r="D1868" s="1">
        <v>3425067</v>
      </c>
      <c r="E1868" s="1" t="s">
        <v>26</v>
      </c>
      <c r="F1868" s="2">
        <v>45793.474999999999</v>
      </c>
      <c r="G1868" s="1" t="s">
        <v>2383</v>
      </c>
      <c r="H1868" s="1" t="s">
        <v>2384</v>
      </c>
      <c r="I1868" s="1" t="s">
        <v>393</v>
      </c>
      <c r="J1868" s="2">
        <v>45793.563194444447</v>
      </c>
      <c r="L1868" s="1" t="s">
        <v>19</v>
      </c>
      <c r="M1868" s="1" t="str">
        <f>_xlfn.XLOOKUP(I1868,Parâmetros!A:A,Parâmetros!B:B,_xlfn.XLOOKUP(Q1868,Parâmetros!F:F,Parâmetros!G:G,"NOVA MENSAGEM"))</f>
        <v>CONTRATO FORNECEDOR</v>
      </c>
      <c r="N1868" s="1" t="str">
        <f>_xlfn.XLOOKUP(M1868,Parâmetros!K:K,Parâmetros!L:L,"")</f>
        <v>CONTRATO INATIVO OU DIVERGENTE</v>
      </c>
      <c r="O1868" s="1" t="str">
        <f>_xlfn.XLOOKUP(M1868,Parâmetros!B:B,Parâmetros!C:C,_xlfn.XLOOKUP(Base!M1865,Parâmetros!G:G,Parâmetros!H:H))</f>
        <v>SISTEMA</v>
      </c>
      <c r="P1868" s="1" t="str">
        <f>_xlfn.XLOOKUP(I1868,Parâmetros!A:A,Parâmetros!D:D,_xlfn.XLOOKUP(Q1868,Parâmetros!F:F,Parâmetros!I:I))</f>
        <v>OPERAÇÕES / SUPORTE KCS</v>
      </c>
      <c r="Q1868" s="1">
        <f t="shared" si="59"/>
        <v>43</v>
      </c>
    </row>
    <row r="1869" spans="1:17" x14ac:dyDescent="0.25">
      <c r="A1869" s="1" t="str">
        <f>_xlfn.XLOOKUP(D1869,'Novo relatório'!B:B,'Novo relatório'!C:C,"RESOLVIDO")</f>
        <v>RESOLVIDO</v>
      </c>
      <c r="C1869" t="str">
        <f t="shared" si="58"/>
        <v>RESOLVIDO</v>
      </c>
      <c r="D1869" s="1">
        <v>3425288</v>
      </c>
      <c r="E1869" s="1" t="s">
        <v>12</v>
      </c>
      <c r="F1869" s="2">
        <v>45793.451388888891</v>
      </c>
      <c r="G1869" s="1">
        <v>2182</v>
      </c>
      <c r="H1869" s="1">
        <v>2182</v>
      </c>
      <c r="I1869" s="1" t="s">
        <v>927</v>
      </c>
      <c r="J1869" s="2">
        <v>45793.581250000003</v>
      </c>
      <c r="K1869" s="2">
        <v>45796.882638888892</v>
      </c>
      <c r="L1869" s="1" t="s">
        <v>19</v>
      </c>
      <c r="M1869" s="1" t="str">
        <f>_xlfn.XLOOKUP(I1869,Parâmetros!A:A,Parâmetros!B:B,_xlfn.XLOOKUP(Q1869,Parâmetros!F:F,Parâmetros!G:G,"NOVA MENSAGEM"))</f>
        <v>CONTRATO FORNECEDOR</v>
      </c>
      <c r="N1869" s="1" t="str">
        <f>_xlfn.XLOOKUP(M1869,Parâmetros!K:K,Parâmetros!L:L,"")</f>
        <v>CONTRATO INATIVO OU DIVERGENTE</v>
      </c>
      <c r="O1869" s="1" t="str">
        <f>_xlfn.XLOOKUP(M1869,Parâmetros!B:B,Parâmetros!C:C,_xlfn.XLOOKUP(Base!M1995,Parâmetros!G:G,Parâmetros!H:H))</f>
        <v>SISTEMA</v>
      </c>
      <c r="P1869" s="1" t="str">
        <f>_xlfn.XLOOKUP(I1869,Parâmetros!A:A,Parâmetros!D:D,_xlfn.XLOOKUP(Q1869,Parâmetros!F:F,Parâmetros!I:I))</f>
        <v>OPERAÇÕES / SUPORTE KCS</v>
      </c>
      <c r="Q1869" s="1">
        <f t="shared" si="59"/>
        <v>69</v>
      </c>
    </row>
    <row r="1870" spans="1:17" x14ac:dyDescent="0.25">
      <c r="A1870" s="1" t="str">
        <f>_xlfn.XLOOKUP(D1870,'Novo relatório'!B:B,'Novo relatório'!C:C,"RESOLVIDO")</f>
        <v>SABRE</v>
      </c>
      <c r="C1870" t="str">
        <f t="shared" si="58"/>
        <v>PENDENTE</v>
      </c>
      <c r="D1870" s="1">
        <v>3425937</v>
      </c>
      <c r="E1870" s="1" t="s">
        <v>26</v>
      </c>
      <c r="F1870" s="2">
        <v>45793.622916666667</v>
      </c>
      <c r="G1870" s="1" t="s">
        <v>2380</v>
      </c>
      <c r="H1870" s="1" t="s">
        <v>2380</v>
      </c>
      <c r="I1870" s="1" t="s">
        <v>273</v>
      </c>
      <c r="J1870" s="2">
        <v>45793.711111111108</v>
      </c>
      <c r="L1870" s="1" t="s">
        <v>1245</v>
      </c>
      <c r="M1870" s="1" t="str">
        <f>_xlfn.XLOOKUP(I1870,Parâmetros!A:A,Parâmetros!B:B,_xlfn.XLOOKUP(Q1870,Parâmetros!F:F,Parâmetros!G:G,"NOVA MENSAGEM"))</f>
        <v>VENDA CANCELADA</v>
      </c>
      <c r="N1870" s="1" t="str">
        <f>_xlfn.XLOOKUP(M1870,Parâmetros!K:K,Parâmetros!L:L,"")</f>
        <v>RESERVA CANCELADA NO OBT</v>
      </c>
      <c r="O1870" s="1" t="str">
        <f>_xlfn.XLOOKUP(M1870,Parâmetros!B:B,Parâmetros!C:C,_xlfn.XLOOKUP(Base!M1862,Parâmetros!G:G,Parâmetros!H:H))</f>
        <v>SISTEMA</v>
      </c>
      <c r="P1870" s="1" t="str">
        <f>_xlfn.XLOOKUP(I1870,Parâmetros!A:A,Parâmetros!D:D,_xlfn.XLOOKUP(Q1870,Parâmetros!F:F,Parâmetros!I:I))</f>
        <v>SUPORTE OBT</v>
      </c>
      <c r="Q1870" s="1" t="str">
        <f t="shared" si="59"/>
        <v>COLUNA I</v>
      </c>
    </row>
    <row r="1871" spans="1:17" x14ac:dyDescent="0.25">
      <c r="A1871" s="1" t="str">
        <f>_xlfn.XLOOKUP(D1871,'Novo relatório'!B:B,'Novo relatório'!C:C,"RESOLVIDO")</f>
        <v>SABRE</v>
      </c>
      <c r="C1871" t="str">
        <f t="shared" si="58"/>
        <v>PENDENTE</v>
      </c>
      <c r="D1871" s="1">
        <v>3426125</v>
      </c>
      <c r="E1871" s="1" t="s">
        <v>26</v>
      </c>
      <c r="F1871" s="2">
        <v>45793.659722222219</v>
      </c>
      <c r="G1871" s="1" t="s">
        <v>2365</v>
      </c>
      <c r="H1871" s="1" t="s">
        <v>2365</v>
      </c>
      <c r="I1871" s="1" t="s">
        <v>410</v>
      </c>
      <c r="J1871" s="2">
        <v>45793.752083333333</v>
      </c>
      <c r="L1871" s="1" t="s">
        <v>18</v>
      </c>
      <c r="M1871" s="1" t="str">
        <f>_xlfn.XLOOKUP(I1871,Parâmetros!A:A,Parâmetros!B:B,_xlfn.XLOOKUP(Q1871,Parâmetros!F:F,Parâmetros!G:G,"NOVA MENSAGEM"))</f>
        <v>CÓD. CLIENTE DIVERGENTE</v>
      </c>
      <c r="N1871" s="1" t="str">
        <f>_xlfn.XLOOKUP(M1871,Parâmetros!K:K,Parâmetros!L:L,"")</f>
        <v>CÓDIGO DIFERENTE DO CADASTRADO NO BENNER (CLIENTE X GRUPO)</v>
      </c>
      <c r="O1871" s="1" t="str">
        <f>_xlfn.XLOOKUP(M1871,Parâmetros!B:B,Parâmetros!C:C,_xlfn.XLOOKUP(Base!M1849,Parâmetros!G:G,Parâmetros!H:H))</f>
        <v>QUALIDADE DOS DADOS</v>
      </c>
      <c r="P1871" s="1" t="str">
        <f>_xlfn.XLOOKUP(I1871,Parâmetros!A:A,Parâmetros!D:D,_xlfn.XLOOKUP(Q1871,Parâmetros!F:F,Parâmetros!I:I))</f>
        <v>SUPORTE OBT</v>
      </c>
      <c r="Q1871" s="1">
        <f t="shared" si="59"/>
        <v>1</v>
      </c>
    </row>
    <row r="1872" spans="1:17" x14ac:dyDescent="0.25">
      <c r="A1872" s="1" t="str">
        <f>_xlfn.XLOOKUP(D1872,'Novo relatório'!B:B,'Novo relatório'!C:C,"RESOLVIDO")</f>
        <v>SABRE</v>
      </c>
      <c r="C1872" t="str">
        <f t="shared" si="58"/>
        <v>PENDENTE</v>
      </c>
      <c r="D1872" s="1">
        <v>3426202</v>
      </c>
      <c r="E1872" s="1" t="s">
        <v>26</v>
      </c>
      <c r="F1872" s="2">
        <v>45793.682638888888</v>
      </c>
      <c r="G1872" s="1" t="s">
        <v>2407</v>
      </c>
      <c r="H1872" s="1" t="s">
        <v>2408</v>
      </c>
      <c r="I1872" s="1" t="s">
        <v>64</v>
      </c>
      <c r="J1872" s="2">
        <v>45793.771527777775</v>
      </c>
      <c r="L1872" s="1" t="s">
        <v>1244</v>
      </c>
      <c r="M1872" s="1" t="str">
        <f>_xlfn.XLOOKUP(I1872,Parâmetros!A:A,Parâmetros!B:B,_xlfn.XLOOKUP(Q1872,Parâmetros!F:F,Parâmetros!G:G,"NOVA MENSAGEM"))</f>
        <v>FORMATO DE TEXTO</v>
      </c>
      <c r="N1872" s="1" t="str">
        <f>_xlfn.XLOOKUP(M1872,Parâmetros!K:K,Parâmetros!L:L,"")</f>
        <v>TEXTO FORA DO PADRÃO ACEITO NO CAMPO</v>
      </c>
      <c r="O1872" s="1" t="str">
        <f>_xlfn.XLOOKUP(M1872,Parâmetros!B:B,Parâmetros!C:C,_xlfn.XLOOKUP(Base!M1885,Parâmetros!G:G,Parâmetros!H:H))</f>
        <v>INDEFINIDO</v>
      </c>
      <c r="P1872" s="1" t="str">
        <f>_xlfn.XLOOKUP(I1872,Parâmetros!A:A,Parâmetros!D:D,_xlfn.XLOOKUP(Q1872,Parâmetros!F:F,Parâmetros!I:I))</f>
        <v>SUPORTE OBT</v>
      </c>
      <c r="Q1872" s="1" t="str">
        <f t="shared" si="59"/>
        <v>COLUNA I</v>
      </c>
    </row>
    <row r="1873" spans="1:17" x14ac:dyDescent="0.25">
      <c r="A1873" s="1" t="str">
        <f>_xlfn.XLOOKUP(D1873,'Novo relatório'!B:B,'Novo relatório'!C:C,"RESOLVIDO")</f>
        <v>RESOLVIDO</v>
      </c>
      <c r="C1873" t="str">
        <f t="shared" si="58"/>
        <v>RESOLVIDO</v>
      </c>
      <c r="D1873" s="1">
        <v>3426296</v>
      </c>
      <c r="E1873" s="1" t="s">
        <v>12</v>
      </c>
      <c r="F1873" s="2">
        <v>45793.686805555553</v>
      </c>
      <c r="G1873" s="1">
        <v>6844</v>
      </c>
      <c r="H1873" s="1">
        <v>6844</v>
      </c>
      <c r="I1873" s="1" t="s">
        <v>16</v>
      </c>
      <c r="J1873" s="2">
        <v>45793.813194444447</v>
      </c>
      <c r="K1873" s="2">
        <v>45796.855555555558</v>
      </c>
      <c r="L1873" s="1" t="s">
        <v>14</v>
      </c>
      <c r="M1873" s="1" t="str">
        <f>_xlfn.XLOOKUP(I1873,Parâmetros!A:A,Parâmetros!B:B,_xlfn.XLOOKUP(Q1873,Parâmetros!F:F,Parâmetros!G:G,"NOVA MENSAGEM"))</f>
        <v>ASSENTO / BAGAGEM</v>
      </c>
      <c r="N1873" s="1" t="str">
        <f>_xlfn.XLOOKUP(M1873,Parâmetros!K:K,Parâmetros!L:L,"")</f>
        <v>CAMPO OBSERVAÇÃO PREENCHIDO INCORRETAMENTE</v>
      </c>
      <c r="O1873" s="1" t="str">
        <f>_xlfn.XLOOKUP(M1873,Parâmetros!B:B,Parâmetros!C:C,_xlfn.XLOOKUP(Base!M2017,Parâmetros!G:G,Parâmetros!H:H))</f>
        <v>QUALIDADE DOS DADOS</v>
      </c>
      <c r="P1873" s="1" t="str">
        <f>_xlfn.XLOOKUP(I1873,Parâmetros!A:A,Parâmetros!D:D,_xlfn.XLOOKUP(Q1873,Parâmetros!F:F,Parâmetros!I:I))</f>
        <v>OPERAÇÕES / SUPORTE KCS</v>
      </c>
      <c r="Q1873" s="1">
        <f t="shared" si="59"/>
        <v>118</v>
      </c>
    </row>
    <row r="1874" spans="1:17" x14ac:dyDescent="0.25">
      <c r="A1874" s="1" t="str">
        <f>_xlfn.XLOOKUP(D1874,'Novo relatório'!B:B,'Novo relatório'!C:C,"RESOLVIDO")</f>
        <v>SABRE</v>
      </c>
      <c r="C1874" t="str">
        <f t="shared" si="58"/>
        <v>PENDENTE</v>
      </c>
      <c r="D1874" s="1">
        <v>3426489</v>
      </c>
      <c r="E1874" s="1" t="s">
        <v>26</v>
      </c>
      <c r="F1874" s="2">
        <v>45796.469444444447</v>
      </c>
      <c r="G1874" s="1" t="s">
        <v>2382</v>
      </c>
      <c r="H1874" s="1" t="s">
        <v>2382</v>
      </c>
      <c r="I1874" s="1" t="s">
        <v>411</v>
      </c>
      <c r="J1874" s="2">
        <v>45793.824999999997</v>
      </c>
      <c r="K1874" s="2">
        <v>45796.5625</v>
      </c>
      <c r="L1874" s="1" t="s">
        <v>18</v>
      </c>
      <c r="M1874" s="1" t="str">
        <f>_xlfn.XLOOKUP(I1874,Parâmetros!A:A,Parâmetros!B:B,_xlfn.XLOOKUP(Q1874,Parâmetros!F:F,Parâmetros!G:G,"NOVA MENSAGEM"))</f>
        <v>REMARK - CNPJ</v>
      </c>
      <c r="N1874" s="1" t="str">
        <f>_xlfn.XLOOKUP(M1874,Parâmetros!K:K,Parâmetros!L:L,"")</f>
        <v/>
      </c>
      <c r="O1874" s="1" t="str">
        <f>_xlfn.XLOOKUP(M1874,Parâmetros!B:B,Parâmetros!C:C,_xlfn.XLOOKUP(Base!M1864,Parâmetros!G:G,Parâmetros!H:H))</f>
        <v>QUALIDADE DOS DADOS</v>
      </c>
      <c r="P1874" s="1" t="str">
        <f>_xlfn.XLOOKUP(I1874,Parâmetros!A:A,Parâmetros!D:D,_xlfn.XLOOKUP(Q1874,Parâmetros!F:F,Parâmetros!I:I))</f>
        <v>OPERAÇÕES / SUPORTE KCS</v>
      </c>
      <c r="Q1874" s="1">
        <f t="shared" si="59"/>
        <v>24</v>
      </c>
    </row>
    <row r="1875" spans="1:17" x14ac:dyDescent="0.25">
      <c r="A1875" s="1" t="str">
        <f>_xlfn.XLOOKUP(D1875,'Novo relatório'!B:B,'Novo relatório'!C:C,"RESOLVIDO")</f>
        <v>TMS</v>
      </c>
      <c r="C1875" t="str">
        <f t="shared" si="58"/>
        <v>PENDENTE</v>
      </c>
      <c r="D1875" s="1">
        <v>3426735</v>
      </c>
      <c r="E1875" s="1" t="s">
        <v>12</v>
      </c>
      <c r="F1875" s="2">
        <v>45793.724305555559</v>
      </c>
      <c r="G1875" s="1">
        <v>2228</v>
      </c>
      <c r="H1875" s="1">
        <v>2228</v>
      </c>
      <c r="I1875" s="1" t="s">
        <v>16</v>
      </c>
      <c r="J1875" s="2">
        <v>45793.847222222219</v>
      </c>
      <c r="K1875" s="2">
        <v>45796.882638888892</v>
      </c>
      <c r="L1875" s="1" t="s">
        <v>14</v>
      </c>
      <c r="M1875" s="1" t="str">
        <f>_xlfn.XLOOKUP(I1875,Parâmetros!A:A,Parâmetros!B:B,_xlfn.XLOOKUP(Q1875,Parâmetros!F:F,Parâmetros!G:G,"NOVA MENSAGEM"))</f>
        <v>ASSENTO / BAGAGEM</v>
      </c>
      <c r="N1875" s="1" t="str">
        <f>_xlfn.XLOOKUP(M1875,Parâmetros!K:K,Parâmetros!L:L,"")</f>
        <v>CAMPO OBSERVAÇÃO PREENCHIDO INCORRETAMENTE</v>
      </c>
      <c r="O1875" s="1" t="str">
        <f>_xlfn.XLOOKUP(M1875,Parâmetros!B:B,Parâmetros!C:C,_xlfn.XLOOKUP(Base!M1997,Parâmetros!G:G,Parâmetros!H:H))</f>
        <v>QUALIDADE DOS DADOS</v>
      </c>
      <c r="P1875" s="1" t="str">
        <f>_xlfn.XLOOKUP(I1875,Parâmetros!A:A,Parâmetros!D:D,_xlfn.XLOOKUP(Q1875,Parâmetros!F:F,Parâmetros!I:I))</f>
        <v>OPERAÇÕES / SUPORTE KCS</v>
      </c>
      <c r="Q1875" s="1">
        <f t="shared" si="59"/>
        <v>118</v>
      </c>
    </row>
    <row r="1876" spans="1:17" x14ac:dyDescent="0.25">
      <c r="A1876" s="1" t="str">
        <f>_xlfn.XLOOKUP(D1876,'Novo relatório'!B:B,'Novo relatório'!C:C,"RESOLVIDO")</f>
        <v>SABRE</v>
      </c>
      <c r="C1876" t="str">
        <f t="shared" si="58"/>
        <v>PENDENTE</v>
      </c>
      <c r="D1876" s="1">
        <v>3427634</v>
      </c>
      <c r="E1876" s="1" t="s">
        <v>26</v>
      </c>
      <c r="F1876" s="2">
        <v>45797.480555555558</v>
      </c>
      <c r="G1876" s="1" t="s">
        <v>2467</v>
      </c>
      <c r="H1876" s="1" t="s">
        <v>2467</v>
      </c>
      <c r="I1876" s="1" t="s">
        <v>578</v>
      </c>
      <c r="J1876" s="2">
        <v>45796.365972222222</v>
      </c>
      <c r="K1876" s="2">
        <v>45797.573611111111</v>
      </c>
      <c r="L1876" s="1" t="s">
        <v>18</v>
      </c>
      <c r="M1876" s="1" t="str">
        <f>_xlfn.XLOOKUP(I1876,Parâmetros!A:A,Parâmetros!B:B,_xlfn.XLOOKUP(Q1876,Parâmetros!F:F,Parâmetros!G:G,"NOVA MENSAGEM"))</f>
        <v>REMARK - CNPJ</v>
      </c>
      <c r="N1876" s="1" t="str">
        <f>_xlfn.XLOOKUP(M1876,Parâmetros!K:K,Parâmetros!L:L,"")</f>
        <v/>
      </c>
      <c r="O1876" s="1" t="str">
        <f>_xlfn.XLOOKUP(M1876,Parâmetros!B:B,Parâmetros!C:C,_xlfn.XLOOKUP(Base!M1934,Parâmetros!G:G,Parâmetros!H:H))</f>
        <v>SISTEMA</v>
      </c>
      <c r="P1876" s="1" t="str">
        <f>_xlfn.XLOOKUP(I1876,Parâmetros!A:A,Parâmetros!D:D,_xlfn.XLOOKUP(Q1876,Parâmetros!F:F,Parâmetros!I:I))</f>
        <v>OPERAÇÕES / SUPORTE KCS</v>
      </c>
      <c r="Q1876" s="1">
        <f t="shared" si="59"/>
        <v>24</v>
      </c>
    </row>
    <row r="1877" spans="1:17" x14ac:dyDescent="0.25">
      <c r="A1877" s="1" t="str">
        <f>_xlfn.XLOOKUP(D1877,'Novo relatório'!B:B,'Novo relatório'!C:C,"RESOLVIDO")</f>
        <v>SABRE</v>
      </c>
      <c r="C1877" t="str">
        <f t="shared" si="58"/>
        <v>PENDENTE</v>
      </c>
      <c r="D1877" s="1">
        <v>3427635</v>
      </c>
      <c r="E1877" s="1" t="s">
        <v>26</v>
      </c>
      <c r="F1877" s="2">
        <v>45797.480555555558</v>
      </c>
      <c r="G1877" s="1" t="s">
        <v>2468</v>
      </c>
      <c r="H1877" s="1" t="s">
        <v>2467</v>
      </c>
      <c r="I1877" s="1" t="s">
        <v>2398</v>
      </c>
      <c r="J1877" s="2">
        <v>45796.365972222222</v>
      </c>
      <c r="K1877" s="2">
        <v>45797.573611111111</v>
      </c>
      <c r="L1877" s="1" t="s">
        <v>18</v>
      </c>
      <c r="M1877" s="1" t="str">
        <f>_xlfn.XLOOKUP(I1877,Parâmetros!A:A,Parâmetros!B:B,_xlfn.XLOOKUP(Q1877,Parâmetros!F:F,Parâmetros!G:G,"NOVA MENSAGEM"))</f>
        <v>REMARK - CNPJ</v>
      </c>
      <c r="N1877" s="1" t="str">
        <f>_xlfn.XLOOKUP(M1877,Parâmetros!K:K,Parâmetros!L:L,"")</f>
        <v/>
      </c>
      <c r="O1877" s="1" t="str">
        <f>_xlfn.XLOOKUP(M1877,Parâmetros!B:B,Parâmetros!C:C,_xlfn.XLOOKUP(Base!M1935,Parâmetros!G:G,Parâmetros!H:H))</f>
        <v>SISTEMA</v>
      </c>
      <c r="P1877" s="1" t="str">
        <f>_xlfn.XLOOKUP(I1877,Parâmetros!A:A,Parâmetros!D:D,_xlfn.XLOOKUP(Q1877,Parâmetros!F:F,Parâmetros!I:I))</f>
        <v>OPERAÇÕES / SUPORTE KCS</v>
      </c>
      <c r="Q1877" s="1">
        <f t="shared" si="59"/>
        <v>24</v>
      </c>
    </row>
    <row r="1878" spans="1:17" x14ac:dyDescent="0.25">
      <c r="A1878" s="1" t="str">
        <f>_xlfn.XLOOKUP(D1878,'Novo relatório'!B:B,'Novo relatório'!C:C,"RESOLVIDO")</f>
        <v>GOVER</v>
      </c>
      <c r="C1878" t="str">
        <f t="shared" si="58"/>
        <v>PENDENTE</v>
      </c>
      <c r="D1878" s="1">
        <v>3427781</v>
      </c>
      <c r="E1878" s="1" t="s">
        <v>24</v>
      </c>
      <c r="F1878" s="2">
        <v>45793.386805555558</v>
      </c>
      <c r="G1878" s="1">
        <v>4538006</v>
      </c>
      <c r="H1878" s="1">
        <v>4538006</v>
      </c>
      <c r="I1878" s="1" t="s">
        <v>77</v>
      </c>
      <c r="J1878" s="2">
        <v>45796.426388888889</v>
      </c>
      <c r="K1878" s="2">
        <v>45810.706250000003</v>
      </c>
      <c r="L1878" s="1" t="s">
        <v>14</v>
      </c>
      <c r="M1878" s="1" t="str">
        <f>_xlfn.XLOOKUP(I1878,Parâmetros!A:A,Parâmetros!B:B,_xlfn.XLOOKUP(Q1878,Parâmetros!F:F,Parâmetros!G:G,"NOVA MENSAGEM"))</f>
        <v>RLOC NÃO INFORMADO</v>
      </c>
      <c r="N1878" s="1" t="str">
        <f>_xlfn.XLOOKUP(M1878,Parâmetros!K:K,Parâmetros!L:L,"")</f>
        <v>RLOC NÃO PREENCHIDO NA RESERVA</v>
      </c>
      <c r="O1878" s="1" t="str">
        <f>_xlfn.XLOOKUP(M1878,Parâmetros!B:B,Parâmetros!C:C,_xlfn.XLOOKUP(Base!M2065,Parâmetros!G:G,Parâmetros!H:H))</f>
        <v>QUALIDADE DOS DADOS</v>
      </c>
      <c r="P1878" s="1" t="str">
        <f>_xlfn.XLOOKUP(I1878,Parâmetros!A:A,Parâmetros!D:D,_xlfn.XLOOKUP(Q1878,Parâmetros!F:F,Parâmetros!I:I))</f>
        <v>SUPORTE OBT</v>
      </c>
      <c r="Q1878" s="1" t="str">
        <f t="shared" si="59"/>
        <v>COLUNA I</v>
      </c>
    </row>
    <row r="1879" spans="1:17" x14ac:dyDescent="0.25">
      <c r="A1879" s="1" t="str">
        <f>_xlfn.XLOOKUP(D1879,'Novo relatório'!B:B,'Novo relatório'!C:C,"RESOLVIDO")</f>
        <v>SABRE</v>
      </c>
      <c r="C1879" t="str">
        <f t="shared" si="58"/>
        <v>PENDENTE</v>
      </c>
      <c r="D1879" s="1">
        <v>3427885</v>
      </c>
      <c r="E1879" s="1" t="s">
        <v>26</v>
      </c>
      <c r="F1879" s="2">
        <v>45796.373611111114</v>
      </c>
      <c r="G1879" s="1" t="s">
        <v>2415</v>
      </c>
      <c r="H1879" s="1" t="s">
        <v>2416</v>
      </c>
      <c r="I1879" s="1" t="s">
        <v>101</v>
      </c>
      <c r="J1879" s="2">
        <v>45796.463888888888</v>
      </c>
      <c r="L1879" s="1" t="s">
        <v>1244</v>
      </c>
      <c r="M1879" s="1" t="str">
        <f>_xlfn.XLOOKUP(I1879,Parâmetros!A:A,Parâmetros!B:B,_xlfn.XLOOKUP(Q1879,Parâmetros!F:F,Parâmetros!G:G,"NOVA MENSAGEM"))</f>
        <v>REMARK - DATA INCORRETA</v>
      </c>
      <c r="N1879" s="1" t="str">
        <f>_xlfn.XLOOKUP(M1879,Parâmetros!K:K,Parâmetros!L:L,"")</f>
        <v>REMARK U*INFOPAG-CC/REC-CC PREENCHIDO INCORRETAMENTE</v>
      </c>
      <c r="O1879" s="1" t="str">
        <f>_xlfn.XLOOKUP(M1879,Parâmetros!B:B,Parâmetros!C:C,_xlfn.XLOOKUP(Base!M1891,Parâmetros!G:G,Parâmetros!H:H))</f>
        <v>QUALIDADE DOS DADOS</v>
      </c>
      <c r="P1879" s="1" t="str">
        <f>_xlfn.XLOOKUP(I1879,Parâmetros!A:A,Parâmetros!D:D,_xlfn.XLOOKUP(Q1879,Parâmetros!F:F,Parâmetros!I:I))</f>
        <v>OPERAÇÕES / SUPORTE KCS</v>
      </c>
      <c r="Q1879" s="1" t="str">
        <f t="shared" si="59"/>
        <v>COLUNA I</v>
      </c>
    </row>
    <row r="1880" spans="1:17" x14ac:dyDescent="0.25">
      <c r="A1880" s="1" t="str">
        <f>_xlfn.XLOOKUP(D1880,'Novo relatório'!B:B,'Novo relatório'!C:C,"RESOLVIDO")</f>
        <v>SABRE</v>
      </c>
      <c r="C1880" t="str">
        <f t="shared" si="58"/>
        <v>PENDENTE</v>
      </c>
      <c r="D1880" s="1">
        <v>3427903</v>
      </c>
      <c r="E1880" s="1" t="s">
        <v>26</v>
      </c>
      <c r="F1880" s="2">
        <v>45796.469444444447</v>
      </c>
      <c r="G1880" s="1" t="s">
        <v>2394</v>
      </c>
      <c r="H1880" s="1" t="s">
        <v>2394</v>
      </c>
      <c r="I1880" s="1" t="s">
        <v>829</v>
      </c>
      <c r="J1880" s="2">
        <v>45796.472222222219</v>
      </c>
      <c r="K1880" s="2">
        <v>45796.561111111114</v>
      </c>
      <c r="L1880" s="1" t="s">
        <v>18</v>
      </c>
      <c r="M1880" s="1" t="str">
        <f>_xlfn.XLOOKUP(I1880,Parâmetros!A:A,Parâmetros!B:B,_xlfn.XLOOKUP(Q1880,Parâmetros!F:F,Parâmetros!G:G,"NOVA MENSAGEM"))</f>
        <v>REMARK - CNPJ</v>
      </c>
      <c r="N1880" s="1" t="str">
        <f>_xlfn.XLOOKUP(M1880,Parâmetros!K:K,Parâmetros!L:L,"")</f>
        <v/>
      </c>
      <c r="O1880" s="1" t="str">
        <f>_xlfn.XLOOKUP(M1880,Parâmetros!B:B,Parâmetros!C:C,_xlfn.XLOOKUP(Base!M1874,Parâmetros!G:G,Parâmetros!H:H))</f>
        <v>QUALIDADE DOS DADOS</v>
      </c>
      <c r="P1880" s="1" t="str">
        <f>_xlfn.XLOOKUP(I1880,Parâmetros!A:A,Parâmetros!D:D,_xlfn.XLOOKUP(Q1880,Parâmetros!F:F,Parâmetros!I:I))</f>
        <v>OPERAÇÕES / SUPORTE KCS</v>
      </c>
      <c r="Q1880" s="1">
        <f t="shared" si="59"/>
        <v>24</v>
      </c>
    </row>
    <row r="1881" spans="1:17" x14ac:dyDescent="0.25">
      <c r="A1881" s="1" t="str">
        <f>_xlfn.XLOOKUP(D1881,'Novo relatório'!B:B,'Novo relatório'!C:C,"RESOLVIDO")</f>
        <v>SABRE</v>
      </c>
      <c r="C1881" t="str">
        <f t="shared" si="58"/>
        <v>PENDENTE</v>
      </c>
      <c r="D1881" s="1">
        <v>3427904</v>
      </c>
      <c r="E1881" s="1" t="s">
        <v>26</v>
      </c>
      <c r="F1881" s="2">
        <v>45796.431944444441</v>
      </c>
      <c r="G1881" s="1" t="s">
        <v>2437</v>
      </c>
      <c r="H1881" s="1" t="s">
        <v>2437</v>
      </c>
      <c r="I1881" s="1" t="s">
        <v>83</v>
      </c>
      <c r="J1881" s="2">
        <v>45796.472222222219</v>
      </c>
      <c r="K1881" s="2">
        <v>45796.520138888889</v>
      </c>
      <c r="L1881" s="1" t="s">
        <v>18</v>
      </c>
      <c r="M1881" s="1" t="str">
        <f>_xlfn.XLOOKUP(I1881,Parâmetros!A:A,Parâmetros!B:B,_xlfn.XLOOKUP(Q1881,Parâmetros!F:F,Parâmetros!G:G,"NOVA MENSAGEM"))</f>
        <v>CLIENTE NÃO IDENTIFICADO</v>
      </c>
      <c r="N1881" s="1" t="str">
        <f>_xlfn.XLOOKUP(M1881,Parâmetros!K:K,Parâmetros!L:L,"")</f>
        <v>DK DE CLIENTE NÃO PREENCIDO / CLIENTE NÃO CONFIGURADO NO OBT</v>
      </c>
      <c r="O1881" s="1" t="str">
        <f>_xlfn.XLOOKUP(M1881,Parâmetros!B:B,Parâmetros!C:C,_xlfn.XLOOKUP(Base!M1906,Parâmetros!G:G,Parâmetros!H:H))</f>
        <v>INDEFINIDO</v>
      </c>
      <c r="P1881" s="1" t="str">
        <f>_xlfn.XLOOKUP(I1881,Parâmetros!A:A,Parâmetros!D:D,_xlfn.XLOOKUP(Q1881,Parâmetros!F:F,Parâmetros!I:I))</f>
        <v>OPERAÇÕES / SUPORTE KCS</v>
      </c>
      <c r="Q1881" s="1" t="str">
        <f t="shared" si="59"/>
        <v>COLUNA I</v>
      </c>
    </row>
    <row r="1882" spans="1:17" x14ac:dyDescent="0.25">
      <c r="A1882" s="1" t="str">
        <f>_xlfn.XLOOKUP(D1882,'Novo relatório'!B:B,'Novo relatório'!C:C,"RESOLVIDO")</f>
        <v>GOVER</v>
      </c>
      <c r="C1882" t="str">
        <f t="shared" si="58"/>
        <v>PENDENTE</v>
      </c>
      <c r="D1882" s="1">
        <v>3427937</v>
      </c>
      <c r="E1882" s="1" t="s">
        <v>24</v>
      </c>
      <c r="F1882" s="2">
        <v>45792.503472222219</v>
      </c>
      <c r="G1882" s="1">
        <v>4537550</v>
      </c>
      <c r="H1882" s="1">
        <v>4537550</v>
      </c>
      <c r="I1882" s="1" t="s">
        <v>77</v>
      </c>
      <c r="J1882" s="2">
        <v>45796.481944444444</v>
      </c>
      <c r="K1882" s="2">
        <v>45810.706250000003</v>
      </c>
      <c r="L1882" s="1" t="s">
        <v>14</v>
      </c>
      <c r="M1882" s="1" t="str">
        <f>_xlfn.XLOOKUP(I1882,Parâmetros!A:A,Parâmetros!B:B,_xlfn.XLOOKUP(Q1882,Parâmetros!F:F,Parâmetros!G:G,"NOVA MENSAGEM"))</f>
        <v>RLOC NÃO INFORMADO</v>
      </c>
      <c r="N1882" s="1" t="str">
        <f>_xlfn.XLOOKUP(M1882,Parâmetros!K:K,Parâmetros!L:L,"")</f>
        <v>RLOC NÃO PREENCHIDO NA RESERVA</v>
      </c>
      <c r="O1882" s="1" t="str">
        <f>_xlfn.XLOOKUP(M1882,Parâmetros!B:B,Parâmetros!C:C,_xlfn.XLOOKUP(Base!M2064,Parâmetros!G:G,Parâmetros!H:H))</f>
        <v>QUALIDADE DOS DADOS</v>
      </c>
      <c r="P1882" s="1" t="str">
        <f>_xlfn.XLOOKUP(I1882,Parâmetros!A:A,Parâmetros!D:D,_xlfn.XLOOKUP(Q1882,Parâmetros!F:F,Parâmetros!I:I))</f>
        <v>SUPORTE OBT</v>
      </c>
      <c r="Q1882" s="1" t="str">
        <f t="shared" si="59"/>
        <v>COLUNA I</v>
      </c>
    </row>
    <row r="1883" spans="1:17" x14ac:dyDescent="0.25">
      <c r="A1883" s="1" t="str">
        <f>_xlfn.XLOOKUP(D1883,'Novo relatório'!B:B,'Novo relatório'!C:C,"RESOLVIDO")</f>
        <v>SABRE</v>
      </c>
      <c r="C1883" t="str">
        <f t="shared" si="58"/>
        <v>PENDENTE</v>
      </c>
      <c r="D1883" s="1">
        <v>3428041</v>
      </c>
      <c r="E1883" s="1" t="s">
        <v>26</v>
      </c>
      <c r="F1883" s="2">
        <v>45804.348611111112</v>
      </c>
      <c r="G1883" s="1" t="s">
        <v>2377</v>
      </c>
      <c r="H1883" s="1" t="s">
        <v>2377</v>
      </c>
      <c r="I1883" s="1" t="s">
        <v>2378</v>
      </c>
      <c r="J1883" s="2">
        <v>45796.513888888891</v>
      </c>
      <c r="K1883" s="2">
        <v>45804.439583333333</v>
      </c>
      <c r="L1883" s="1" t="s">
        <v>19</v>
      </c>
      <c r="M1883" s="1" t="str">
        <f>_xlfn.XLOOKUP(I1883,Parâmetros!A:A,Parâmetros!B:B,_xlfn.XLOOKUP(Q1883,Parâmetros!F:F,Parâmetros!G:G,"NOVA MENSAGEM"))</f>
        <v>CONTRATO FORNECEDOR</v>
      </c>
      <c r="N1883" s="1" t="str">
        <f>_xlfn.XLOOKUP(M1883,Parâmetros!K:K,Parâmetros!L:L,"")</f>
        <v>CONTRATO INATIVO OU DIVERGENTE</v>
      </c>
      <c r="O1883" s="1" t="str">
        <f>_xlfn.XLOOKUP(M1883,Parâmetros!B:B,Parâmetros!C:C,_xlfn.XLOOKUP(Base!M1860,Parâmetros!G:G,Parâmetros!H:H))</f>
        <v>SISTEMA</v>
      </c>
      <c r="P1883" s="1" t="str">
        <f>_xlfn.XLOOKUP(I1883,Parâmetros!A:A,Parâmetros!D:D,_xlfn.XLOOKUP(Q1883,Parâmetros!F:F,Parâmetros!I:I))</f>
        <v>OPERAÇÕES / SUPORTE KCS</v>
      </c>
      <c r="Q1883" s="1">
        <f t="shared" si="59"/>
        <v>43</v>
      </c>
    </row>
    <row r="1884" spans="1:17" x14ac:dyDescent="0.25">
      <c r="A1884" s="1" t="str">
        <f>_xlfn.XLOOKUP(D1884,'Novo relatório'!B:B,'Novo relatório'!C:C,"RESOLVIDO")</f>
        <v>SABRE</v>
      </c>
      <c r="C1884" t="str">
        <f t="shared" si="58"/>
        <v>PENDENTE</v>
      </c>
      <c r="D1884" s="1">
        <v>3428163</v>
      </c>
      <c r="E1884" s="1" t="s">
        <v>26</v>
      </c>
      <c r="F1884" s="2">
        <v>45796.469444444447</v>
      </c>
      <c r="G1884" s="1" t="s">
        <v>2497</v>
      </c>
      <c r="H1884" s="1" t="s">
        <v>2497</v>
      </c>
      <c r="I1884" s="1" t="s">
        <v>83</v>
      </c>
      <c r="J1884" s="2">
        <v>45796.558333333334</v>
      </c>
      <c r="L1884" s="1" t="s">
        <v>18</v>
      </c>
      <c r="M1884" s="1" t="str">
        <f>_xlfn.XLOOKUP(I1884,Parâmetros!A:A,Parâmetros!B:B,_xlfn.XLOOKUP(Q1884,Parâmetros!F:F,Parâmetros!G:G,"NOVA MENSAGEM"))</f>
        <v>CLIENTE NÃO IDENTIFICADO</v>
      </c>
      <c r="N1884" s="1" t="str">
        <f>_xlfn.XLOOKUP(M1884,Parâmetros!K:K,Parâmetros!L:L,"")</f>
        <v>DK DE CLIENTE NÃO PREENCIDO / CLIENTE NÃO CONFIGURADO NO OBT</v>
      </c>
      <c r="O1884" s="1" t="str">
        <f>_xlfn.XLOOKUP(M1884,Parâmetros!B:B,Parâmetros!C:C,_xlfn.XLOOKUP(Base!M1959,Parâmetros!G:G,Parâmetros!H:H))</f>
        <v>INDEFINIDO</v>
      </c>
      <c r="P1884" s="1" t="str">
        <f>_xlfn.XLOOKUP(I1884,Parâmetros!A:A,Parâmetros!D:D,_xlfn.XLOOKUP(Q1884,Parâmetros!F:F,Parâmetros!I:I))</f>
        <v>OPERAÇÕES / SUPORTE KCS</v>
      </c>
      <c r="Q1884" s="1" t="str">
        <f t="shared" si="59"/>
        <v>COLUNA I</v>
      </c>
    </row>
    <row r="1885" spans="1:17" x14ac:dyDescent="0.25">
      <c r="A1885" s="1" t="str">
        <f>_xlfn.XLOOKUP(D1885,'Novo relatório'!B:B,'Novo relatório'!C:C,"RESOLVIDO")</f>
        <v>SABRE</v>
      </c>
      <c r="C1885" t="str">
        <f t="shared" si="58"/>
        <v>PENDENTE</v>
      </c>
      <c r="D1885" s="1">
        <v>3428168</v>
      </c>
      <c r="E1885" s="1" t="s">
        <v>26</v>
      </c>
      <c r="F1885" s="2">
        <v>45796.469444444447</v>
      </c>
      <c r="G1885" s="1" t="s">
        <v>2368</v>
      </c>
      <c r="H1885" s="1" t="s">
        <v>2368</v>
      </c>
      <c r="I1885" s="1" t="s">
        <v>620</v>
      </c>
      <c r="J1885" s="2">
        <v>45796.55972222222</v>
      </c>
      <c r="L1885" s="1" t="s">
        <v>18</v>
      </c>
      <c r="M1885" s="1" t="str">
        <f>_xlfn.XLOOKUP(I1885,Parâmetros!A:A,Parâmetros!B:B,_xlfn.XLOOKUP(Q1885,Parâmetros!F:F,Parâmetros!G:G,"NOVA MENSAGEM"))</f>
        <v>CÓD. CLIENTE DIVERGENTE</v>
      </c>
      <c r="N1885" s="1" t="str">
        <f>_xlfn.XLOOKUP(M1885,Parâmetros!K:K,Parâmetros!L:L,"")</f>
        <v>CÓDIGO DIFERENTE DO CADASTRADO NO BENNER (CLIENTE X GRUPO)</v>
      </c>
      <c r="O1885" s="1" t="str">
        <f>_xlfn.XLOOKUP(M1885,Parâmetros!B:B,Parâmetros!C:C,_xlfn.XLOOKUP(Base!M1852,Parâmetros!G:G,Parâmetros!H:H))</f>
        <v>QUALIDADE DOS DADOS</v>
      </c>
      <c r="P1885" s="1" t="str">
        <f>_xlfn.XLOOKUP(I1885,Parâmetros!A:A,Parâmetros!D:D,_xlfn.XLOOKUP(Q1885,Parâmetros!F:F,Parâmetros!I:I))</f>
        <v>SUPORTE OBT</v>
      </c>
      <c r="Q1885" s="1">
        <f t="shared" si="59"/>
        <v>1</v>
      </c>
    </row>
    <row r="1886" spans="1:17" x14ac:dyDescent="0.25">
      <c r="A1886" s="1" t="str">
        <f>_xlfn.XLOOKUP(D1886,'Novo relatório'!B:B,'Novo relatório'!C:C,"RESOLVIDO")</f>
        <v>SABRE</v>
      </c>
      <c r="C1886" t="str">
        <f t="shared" si="58"/>
        <v>PENDENTE</v>
      </c>
      <c r="D1886" s="1">
        <v>3428169</v>
      </c>
      <c r="E1886" s="1" t="s">
        <v>26</v>
      </c>
      <c r="F1886" s="2">
        <v>45796.469444444447</v>
      </c>
      <c r="G1886" s="1" t="s">
        <v>2401</v>
      </c>
      <c r="H1886" s="1" t="s">
        <v>2401</v>
      </c>
      <c r="I1886" s="1" t="s">
        <v>620</v>
      </c>
      <c r="J1886" s="2">
        <v>45796.560416666667</v>
      </c>
      <c r="L1886" s="1" t="s">
        <v>18</v>
      </c>
      <c r="M1886" s="1" t="str">
        <f>_xlfn.XLOOKUP(I1886,Parâmetros!A:A,Parâmetros!B:B,_xlfn.XLOOKUP(Q1886,Parâmetros!F:F,Parâmetros!G:G,"NOVA MENSAGEM"))</f>
        <v>CÓD. CLIENTE DIVERGENTE</v>
      </c>
      <c r="N1886" s="1" t="str">
        <f>_xlfn.XLOOKUP(M1886,Parâmetros!K:K,Parâmetros!L:L,"")</f>
        <v>CÓDIGO DIFERENTE DO CADASTRADO NO BENNER (CLIENTE X GRUPO)</v>
      </c>
      <c r="O1886" s="1" t="str">
        <f>_xlfn.XLOOKUP(M1886,Parâmetros!B:B,Parâmetros!C:C,_xlfn.XLOOKUP(Base!M1880,Parâmetros!G:G,Parâmetros!H:H))</f>
        <v>QUALIDADE DOS DADOS</v>
      </c>
      <c r="P1886" s="1" t="str">
        <f>_xlfn.XLOOKUP(I1886,Parâmetros!A:A,Parâmetros!D:D,_xlfn.XLOOKUP(Q1886,Parâmetros!F:F,Parâmetros!I:I))</f>
        <v>SUPORTE OBT</v>
      </c>
      <c r="Q1886" s="1">
        <f t="shared" si="59"/>
        <v>1</v>
      </c>
    </row>
    <row r="1887" spans="1:17" x14ac:dyDescent="0.25">
      <c r="A1887" s="1" t="str">
        <f>_xlfn.XLOOKUP(D1887,'Novo relatório'!B:B,'Novo relatório'!C:C,"RESOLVIDO")</f>
        <v>SABRE</v>
      </c>
      <c r="C1887" t="str">
        <f t="shared" si="58"/>
        <v>PENDENTE</v>
      </c>
      <c r="D1887" s="1">
        <v>3428171</v>
      </c>
      <c r="E1887" s="1" t="s">
        <v>26</v>
      </c>
      <c r="F1887" s="2">
        <v>45796.469444444447</v>
      </c>
      <c r="G1887" s="1" t="s">
        <v>2484</v>
      </c>
      <c r="H1887" s="1" t="s">
        <v>2484</v>
      </c>
      <c r="I1887" s="1" t="s">
        <v>746</v>
      </c>
      <c r="J1887" s="2">
        <v>45796.561111111114</v>
      </c>
      <c r="L1887" s="1" t="s">
        <v>18</v>
      </c>
      <c r="M1887" s="1" t="str">
        <f>_xlfn.XLOOKUP(I1887,Parâmetros!A:A,Parâmetros!B:B,_xlfn.XLOOKUP(Q1887,Parâmetros!F:F,Parâmetros!G:G,"NOVA MENSAGEM"))</f>
        <v>CÓD. CLIENTE DIVERGENTE</v>
      </c>
      <c r="N1887" s="1" t="str">
        <f>_xlfn.XLOOKUP(M1887,Parâmetros!K:K,Parâmetros!L:L,"")</f>
        <v>CÓDIGO DIFERENTE DO CADASTRADO NO BENNER (CLIENTE X GRUPO)</v>
      </c>
      <c r="O1887" s="1" t="str">
        <f>_xlfn.XLOOKUP(M1887,Parâmetros!B:B,Parâmetros!C:C,_xlfn.XLOOKUP(Base!M1948,Parâmetros!G:G,Parâmetros!H:H))</f>
        <v>QUALIDADE DOS DADOS</v>
      </c>
      <c r="P1887" s="1" t="str">
        <f>_xlfn.XLOOKUP(I1887,Parâmetros!A:A,Parâmetros!D:D,_xlfn.XLOOKUP(Q1887,Parâmetros!F:F,Parâmetros!I:I))</f>
        <v>SUPORTE OBT</v>
      </c>
      <c r="Q1887" s="1">
        <f t="shared" si="59"/>
        <v>1</v>
      </c>
    </row>
    <row r="1888" spans="1:17" x14ac:dyDescent="0.25">
      <c r="A1888" s="1" t="str">
        <f>_xlfn.XLOOKUP(D1888,'Novo relatório'!B:B,'Novo relatório'!C:C,"RESOLVIDO")</f>
        <v>SABRE</v>
      </c>
      <c r="C1888" t="str">
        <f t="shared" si="58"/>
        <v>PENDENTE</v>
      </c>
      <c r="D1888" s="1">
        <v>3428172</v>
      </c>
      <c r="E1888" s="1" t="s">
        <v>26</v>
      </c>
      <c r="F1888" s="2">
        <v>45796.469444444447</v>
      </c>
      <c r="G1888" s="1" t="s">
        <v>2392</v>
      </c>
      <c r="H1888" s="1" t="s">
        <v>2392</v>
      </c>
      <c r="I1888" s="1" t="s">
        <v>2278</v>
      </c>
      <c r="J1888" s="2">
        <v>45796.561805555553</v>
      </c>
      <c r="L1888" s="1" t="s">
        <v>18</v>
      </c>
      <c r="M1888" s="1" t="str">
        <f>_xlfn.XLOOKUP(I1888,Parâmetros!A:A,Parâmetros!B:B,_xlfn.XLOOKUP(Q1888,Parâmetros!F:F,Parâmetros!G:G,"NOVA MENSAGEM"))</f>
        <v>REMARK - CNPJ</v>
      </c>
      <c r="N1888" s="1" t="str">
        <f>_xlfn.XLOOKUP(M1888,Parâmetros!K:K,Parâmetros!L:L,"")</f>
        <v/>
      </c>
      <c r="O1888" s="1" t="e">
        <f>_xlfn.XLOOKUP(M1888,Parâmetros!B:B,Parâmetros!C:C,_xlfn.XLOOKUP(Base!M1872,Parâmetros!G:G,Parâmetros!H:H))</f>
        <v>#N/A</v>
      </c>
      <c r="P1888" s="1" t="str">
        <f>_xlfn.XLOOKUP(I1888,Parâmetros!A:A,Parâmetros!D:D,_xlfn.XLOOKUP(Q1888,Parâmetros!F:F,Parâmetros!I:I))</f>
        <v>OPERAÇÕES / SUPORTE KCS</v>
      </c>
      <c r="Q1888" s="1">
        <f t="shared" si="59"/>
        <v>24</v>
      </c>
    </row>
    <row r="1889" spans="1:17" x14ac:dyDescent="0.25">
      <c r="A1889" s="1" t="str">
        <f>_xlfn.XLOOKUP(D1889,'Novo relatório'!B:B,'Novo relatório'!C:C,"RESOLVIDO")</f>
        <v>SABRE</v>
      </c>
      <c r="C1889" t="str">
        <f t="shared" si="58"/>
        <v>PENDENTE</v>
      </c>
      <c r="D1889" s="1">
        <v>3428173</v>
      </c>
      <c r="E1889" s="1" t="s">
        <v>26</v>
      </c>
      <c r="F1889" s="2">
        <v>45796.469444444447</v>
      </c>
      <c r="G1889" s="1" t="s">
        <v>2418</v>
      </c>
      <c r="H1889" s="1" t="s">
        <v>2418</v>
      </c>
      <c r="I1889" s="1" t="s">
        <v>410</v>
      </c>
      <c r="J1889" s="2">
        <v>45796.5625</v>
      </c>
      <c r="L1889" s="1" t="s">
        <v>18</v>
      </c>
      <c r="M1889" s="1" t="str">
        <f>_xlfn.XLOOKUP(I1889,Parâmetros!A:A,Parâmetros!B:B,_xlfn.XLOOKUP(Q1889,Parâmetros!F:F,Parâmetros!G:G,"NOVA MENSAGEM"))</f>
        <v>CÓD. CLIENTE DIVERGENTE</v>
      </c>
      <c r="N1889" s="1" t="str">
        <f>_xlfn.XLOOKUP(M1889,Parâmetros!K:K,Parâmetros!L:L,"")</f>
        <v>CÓDIGO DIFERENTE DO CADASTRADO NO BENNER (CLIENTE X GRUPO)</v>
      </c>
      <c r="O1889" s="1" t="str">
        <f>_xlfn.XLOOKUP(M1889,Parâmetros!B:B,Parâmetros!C:C,_xlfn.XLOOKUP(Base!M1893,Parâmetros!G:G,Parâmetros!H:H))</f>
        <v>QUALIDADE DOS DADOS</v>
      </c>
      <c r="P1889" s="1" t="str">
        <f>_xlfn.XLOOKUP(I1889,Parâmetros!A:A,Parâmetros!D:D,_xlfn.XLOOKUP(Q1889,Parâmetros!F:F,Parâmetros!I:I))</f>
        <v>SUPORTE OBT</v>
      </c>
      <c r="Q1889" s="1">
        <f t="shared" si="59"/>
        <v>1</v>
      </c>
    </row>
    <row r="1890" spans="1:17" x14ac:dyDescent="0.25">
      <c r="A1890" s="1" t="str">
        <f>_xlfn.XLOOKUP(D1890,'Novo relatório'!B:B,'Novo relatório'!C:C,"RESOLVIDO")</f>
        <v>SABRE</v>
      </c>
      <c r="C1890" t="str">
        <f t="shared" si="58"/>
        <v>PENDENTE</v>
      </c>
      <c r="D1890" s="1">
        <v>3428174</v>
      </c>
      <c r="E1890" s="1" t="s">
        <v>26</v>
      </c>
      <c r="F1890" s="2">
        <v>45796.469444444447</v>
      </c>
      <c r="G1890" s="1" t="s">
        <v>2374</v>
      </c>
      <c r="H1890" s="1" t="s">
        <v>2374</v>
      </c>
      <c r="I1890" s="1" t="s">
        <v>746</v>
      </c>
      <c r="J1890" s="2">
        <v>45796.563888888886</v>
      </c>
      <c r="L1890" s="1" t="s">
        <v>18</v>
      </c>
      <c r="M1890" s="1" t="str">
        <f>_xlfn.XLOOKUP(I1890,Parâmetros!A:A,Parâmetros!B:B,_xlfn.XLOOKUP(Q1890,Parâmetros!F:F,Parâmetros!G:G,"NOVA MENSAGEM"))</f>
        <v>CÓD. CLIENTE DIVERGENTE</v>
      </c>
      <c r="N1890" s="1" t="str">
        <f>_xlfn.XLOOKUP(M1890,Parâmetros!K:K,Parâmetros!L:L,"")</f>
        <v>CÓDIGO DIFERENTE DO CADASTRADO NO BENNER (CLIENTE X GRUPO)</v>
      </c>
      <c r="O1890" s="1" t="str">
        <f>_xlfn.XLOOKUP(M1890,Parâmetros!B:B,Parâmetros!C:C,_xlfn.XLOOKUP(Base!M1857,Parâmetros!G:G,Parâmetros!H:H))</f>
        <v>QUALIDADE DOS DADOS</v>
      </c>
      <c r="P1890" s="1" t="str">
        <f>_xlfn.XLOOKUP(I1890,Parâmetros!A:A,Parâmetros!D:D,_xlfn.XLOOKUP(Q1890,Parâmetros!F:F,Parâmetros!I:I))</f>
        <v>SUPORTE OBT</v>
      </c>
      <c r="Q1890" s="1">
        <f t="shared" si="59"/>
        <v>1</v>
      </c>
    </row>
    <row r="1891" spans="1:17" x14ac:dyDescent="0.25">
      <c r="A1891" s="1" t="str">
        <f>_xlfn.XLOOKUP(D1891,'Novo relatório'!B:B,'Novo relatório'!C:C,"RESOLVIDO")</f>
        <v>SABRE</v>
      </c>
      <c r="C1891" t="str">
        <f t="shared" si="58"/>
        <v>PENDENTE</v>
      </c>
      <c r="D1891" s="1">
        <v>3428214</v>
      </c>
      <c r="E1891" s="1" t="s">
        <v>26</v>
      </c>
      <c r="F1891" s="2">
        <v>45796.489583333336</v>
      </c>
      <c r="G1891" s="1" t="s">
        <v>2375</v>
      </c>
      <c r="H1891" s="1" t="s">
        <v>2375</v>
      </c>
      <c r="I1891" s="1" t="s">
        <v>746</v>
      </c>
      <c r="J1891" s="2">
        <v>45796.575694444444</v>
      </c>
      <c r="L1891" s="1" t="s">
        <v>18</v>
      </c>
      <c r="M1891" s="1" t="str">
        <f>_xlfn.XLOOKUP(I1891,Parâmetros!A:A,Parâmetros!B:B,_xlfn.XLOOKUP(Q1891,Parâmetros!F:F,Parâmetros!G:G,"NOVA MENSAGEM"))</f>
        <v>CÓD. CLIENTE DIVERGENTE</v>
      </c>
      <c r="N1891" s="1" t="str">
        <f>_xlfn.XLOOKUP(M1891,Parâmetros!K:K,Parâmetros!L:L,"")</f>
        <v>CÓDIGO DIFERENTE DO CADASTRADO NO BENNER (CLIENTE X GRUPO)</v>
      </c>
      <c r="O1891" s="1" t="str">
        <f>_xlfn.XLOOKUP(M1891,Parâmetros!B:B,Parâmetros!C:C,_xlfn.XLOOKUP(Base!M1858,Parâmetros!G:G,Parâmetros!H:H))</f>
        <v>QUALIDADE DOS DADOS</v>
      </c>
      <c r="P1891" s="1" t="str">
        <f>_xlfn.XLOOKUP(I1891,Parâmetros!A:A,Parâmetros!D:D,_xlfn.XLOOKUP(Q1891,Parâmetros!F:F,Parâmetros!I:I))</f>
        <v>SUPORTE OBT</v>
      </c>
      <c r="Q1891" s="1">
        <f t="shared" si="59"/>
        <v>1</v>
      </c>
    </row>
    <row r="1892" spans="1:17" x14ac:dyDescent="0.25">
      <c r="A1892" s="1" t="str">
        <f>_xlfn.XLOOKUP(D1892,'Novo relatório'!B:B,'Novo relatório'!C:C,"RESOLVIDO")</f>
        <v>SABRE</v>
      </c>
      <c r="C1892" t="str">
        <f t="shared" si="58"/>
        <v>PENDENTE</v>
      </c>
      <c r="D1892" s="1">
        <v>3428216</v>
      </c>
      <c r="E1892" s="1" t="s">
        <v>26</v>
      </c>
      <c r="F1892" s="2">
        <v>45796.574305555558</v>
      </c>
      <c r="G1892" s="1" t="s">
        <v>2459</v>
      </c>
      <c r="H1892" s="1" t="s">
        <v>2459</v>
      </c>
      <c r="I1892" s="1" t="s">
        <v>1761</v>
      </c>
      <c r="J1892" s="2">
        <v>45796.575694444444</v>
      </c>
      <c r="K1892" s="2">
        <v>45796.65902777778</v>
      </c>
      <c r="L1892" s="1" t="s">
        <v>18</v>
      </c>
      <c r="M1892" s="1" t="str">
        <f>_xlfn.XLOOKUP(I1892,Parâmetros!A:A,Parâmetros!B:B,_xlfn.XLOOKUP(Q1892,Parâmetros!F:F,Parâmetros!G:G,"NOVA MENSAGEM"))</f>
        <v>CÓD. CLIENTE DIVERGENTE</v>
      </c>
      <c r="N1892" s="1" t="str">
        <f>_xlfn.XLOOKUP(M1892,Parâmetros!K:K,Parâmetros!L:L,"")</f>
        <v>CÓDIGO DIFERENTE DO CADASTRADO NO BENNER (CLIENTE X GRUPO)</v>
      </c>
      <c r="O1892" s="1" t="str">
        <f>_xlfn.XLOOKUP(M1892,Parâmetros!B:B,Parâmetros!C:C,_xlfn.XLOOKUP(Base!M1926,Parâmetros!G:G,Parâmetros!H:H))</f>
        <v>QUALIDADE DOS DADOS</v>
      </c>
      <c r="P1892" s="1" t="str">
        <f>_xlfn.XLOOKUP(I1892,Parâmetros!A:A,Parâmetros!D:D,_xlfn.XLOOKUP(Q1892,Parâmetros!F:F,Parâmetros!I:I))</f>
        <v>SUPORTE OBT</v>
      </c>
      <c r="Q1892" s="1">
        <f t="shared" si="59"/>
        <v>1</v>
      </c>
    </row>
    <row r="1893" spans="1:17" x14ac:dyDescent="0.25">
      <c r="A1893" s="1" t="str">
        <f>_xlfn.XLOOKUP(D1893,'Novo relatório'!B:B,'Novo relatório'!C:C,"RESOLVIDO")</f>
        <v>SABRE</v>
      </c>
      <c r="C1893" t="str">
        <f t="shared" si="58"/>
        <v>PENDENTE</v>
      </c>
      <c r="D1893" s="1">
        <v>3429485</v>
      </c>
      <c r="E1893" s="1" t="s">
        <v>26</v>
      </c>
      <c r="F1893" s="2">
        <v>45797.296527777777</v>
      </c>
      <c r="G1893" s="1" t="s">
        <v>2421</v>
      </c>
      <c r="H1893" s="1" t="s">
        <v>2422</v>
      </c>
      <c r="I1893" s="1" t="s">
        <v>2052</v>
      </c>
      <c r="J1893" s="2">
        <v>45796.743750000001</v>
      </c>
      <c r="K1893" s="2">
        <v>45797.380555555559</v>
      </c>
      <c r="L1893" s="1" t="s">
        <v>18</v>
      </c>
      <c r="M1893" s="1" t="str">
        <f>_xlfn.XLOOKUP(I1893,Parâmetros!A:A,Parâmetros!B:B,_xlfn.XLOOKUP(Q1893,Parâmetros!F:F,Parâmetros!G:G,"NOVA MENSAGEM"))</f>
        <v>CÓD. CLIENTE DIVERGENTE</v>
      </c>
      <c r="N1893" s="1" t="str">
        <f>_xlfn.XLOOKUP(M1893,Parâmetros!K:K,Parâmetros!L:L,"")</f>
        <v>CÓDIGO DIFERENTE DO CADASTRADO NO BENNER (CLIENTE X GRUPO)</v>
      </c>
      <c r="O1893" s="1" t="str">
        <f>_xlfn.XLOOKUP(M1893,Parâmetros!B:B,Parâmetros!C:C,_xlfn.XLOOKUP(Base!M1896,Parâmetros!G:G,Parâmetros!H:H))</f>
        <v>QUALIDADE DOS DADOS</v>
      </c>
      <c r="P1893" s="1" t="str">
        <f>_xlfn.XLOOKUP(I1893,Parâmetros!A:A,Parâmetros!D:D,_xlfn.XLOOKUP(Q1893,Parâmetros!F:F,Parâmetros!I:I))</f>
        <v>SUPORTE OBT</v>
      </c>
      <c r="Q1893" s="1">
        <f t="shared" si="59"/>
        <v>1</v>
      </c>
    </row>
    <row r="1894" spans="1:17" x14ac:dyDescent="0.25">
      <c r="A1894" s="1" t="str">
        <f>_xlfn.XLOOKUP(D1894,'Novo relatório'!B:B,'Novo relatório'!C:C,"RESOLVIDO")</f>
        <v>SABRE</v>
      </c>
      <c r="C1894" t="str">
        <f t="shared" si="58"/>
        <v>PENDENTE</v>
      </c>
      <c r="D1894" s="1">
        <v>3429575</v>
      </c>
      <c r="E1894" s="1" t="s">
        <v>26</v>
      </c>
      <c r="F1894" s="2">
        <v>45796.675694444442</v>
      </c>
      <c r="G1894" s="1" t="s">
        <v>2494</v>
      </c>
      <c r="H1894" s="1" t="s">
        <v>2494</v>
      </c>
      <c r="I1894" s="1" t="s">
        <v>578</v>
      </c>
      <c r="J1894" s="2">
        <v>45796.763888888891</v>
      </c>
      <c r="L1894" s="1" t="s">
        <v>18</v>
      </c>
      <c r="M1894" s="1" t="str">
        <f>_xlfn.XLOOKUP(I1894,Parâmetros!A:A,Parâmetros!B:B,_xlfn.XLOOKUP(Q1894,Parâmetros!F:F,Parâmetros!G:G,"NOVA MENSAGEM"))</f>
        <v>REMARK - CNPJ</v>
      </c>
      <c r="N1894" s="1" t="str">
        <f>_xlfn.XLOOKUP(M1894,Parâmetros!K:K,Parâmetros!L:L,"")</f>
        <v/>
      </c>
      <c r="O1894" s="1" t="e">
        <f>_xlfn.XLOOKUP(M1894,Parâmetros!B:B,Parâmetros!C:C,_xlfn.XLOOKUP(Base!M1956,Parâmetros!G:G,Parâmetros!H:H))</f>
        <v>#N/A</v>
      </c>
      <c r="P1894" s="1" t="str">
        <f>_xlfn.XLOOKUP(I1894,Parâmetros!A:A,Parâmetros!D:D,_xlfn.XLOOKUP(Q1894,Parâmetros!F:F,Parâmetros!I:I))</f>
        <v>OPERAÇÕES / SUPORTE KCS</v>
      </c>
      <c r="Q1894" s="1">
        <f t="shared" si="59"/>
        <v>24</v>
      </c>
    </row>
    <row r="1895" spans="1:17" x14ac:dyDescent="0.25">
      <c r="A1895" s="1" t="str">
        <f>_xlfn.XLOOKUP(D1895,'Novo relatório'!B:B,'Novo relatório'!C:C,"RESOLVIDO")</f>
        <v>SABRE</v>
      </c>
      <c r="C1895" t="str">
        <f t="shared" si="58"/>
        <v>PENDENTE</v>
      </c>
      <c r="D1895" s="1">
        <v>3429577</v>
      </c>
      <c r="E1895" s="1" t="s">
        <v>26</v>
      </c>
      <c r="F1895" s="2">
        <v>45796.676388888889</v>
      </c>
      <c r="G1895" s="1" t="s">
        <v>2399</v>
      </c>
      <c r="H1895" s="1" t="s">
        <v>2399</v>
      </c>
      <c r="I1895" s="1" t="s">
        <v>746</v>
      </c>
      <c r="J1895" s="2">
        <v>45796.763888888891</v>
      </c>
      <c r="L1895" s="1" t="s">
        <v>18</v>
      </c>
      <c r="M1895" s="1" t="str">
        <f>_xlfn.XLOOKUP(I1895,Parâmetros!A:A,Parâmetros!B:B,_xlfn.XLOOKUP(Q1895,Parâmetros!F:F,Parâmetros!G:G,"NOVA MENSAGEM"))</f>
        <v>CÓD. CLIENTE DIVERGENTE</v>
      </c>
      <c r="N1895" s="1" t="str">
        <f>_xlfn.XLOOKUP(M1895,Parâmetros!K:K,Parâmetros!L:L,"")</f>
        <v>CÓDIGO DIFERENTE DO CADASTRADO NO BENNER (CLIENTE X GRUPO)</v>
      </c>
      <c r="O1895" s="1" t="str">
        <f>_xlfn.XLOOKUP(M1895,Parâmetros!B:B,Parâmetros!C:C,_xlfn.XLOOKUP(Base!M1878,Parâmetros!G:G,Parâmetros!H:H))</f>
        <v>QUALIDADE DOS DADOS</v>
      </c>
      <c r="P1895" s="1" t="str">
        <f>_xlfn.XLOOKUP(I1895,Parâmetros!A:A,Parâmetros!D:D,_xlfn.XLOOKUP(Q1895,Parâmetros!F:F,Parâmetros!I:I))</f>
        <v>SUPORTE OBT</v>
      </c>
      <c r="Q1895" s="1">
        <f t="shared" si="59"/>
        <v>1</v>
      </c>
    </row>
    <row r="1896" spans="1:17" x14ac:dyDescent="0.25">
      <c r="A1896" s="1" t="str">
        <f>_xlfn.XLOOKUP(D1896,'Novo relatório'!B:B,'Novo relatório'!C:C,"RESOLVIDO")</f>
        <v>SABRE</v>
      </c>
      <c r="C1896" t="str">
        <f t="shared" si="58"/>
        <v>PENDENTE</v>
      </c>
      <c r="D1896" s="1">
        <v>3429580</v>
      </c>
      <c r="E1896" s="1" t="s">
        <v>26</v>
      </c>
      <c r="F1896" s="2">
        <v>45797.294444444444</v>
      </c>
      <c r="G1896" s="1" t="s">
        <v>2396</v>
      </c>
      <c r="H1896" s="1" t="s">
        <v>2396</v>
      </c>
      <c r="I1896" s="1" t="s">
        <v>578</v>
      </c>
      <c r="J1896" s="2">
        <v>45796.76458333333</v>
      </c>
      <c r="K1896" s="2">
        <v>45797.386805555558</v>
      </c>
      <c r="L1896" s="1" t="s">
        <v>18</v>
      </c>
      <c r="M1896" s="1" t="str">
        <f>_xlfn.XLOOKUP(I1896,Parâmetros!A:A,Parâmetros!B:B,_xlfn.XLOOKUP(Q1896,Parâmetros!F:F,Parâmetros!G:G,"NOVA MENSAGEM"))</f>
        <v>REMARK - CNPJ</v>
      </c>
      <c r="N1896" s="1" t="str">
        <f>_xlfn.XLOOKUP(M1896,Parâmetros!K:K,Parâmetros!L:L,"")</f>
        <v/>
      </c>
      <c r="O1896" s="1" t="str">
        <f>_xlfn.XLOOKUP(M1896,Parâmetros!B:B,Parâmetros!C:C,_xlfn.XLOOKUP(Base!M1876,Parâmetros!G:G,Parâmetros!H:H))</f>
        <v>QUALIDADE DOS DADOS</v>
      </c>
      <c r="P1896" s="1" t="str">
        <f>_xlfn.XLOOKUP(I1896,Parâmetros!A:A,Parâmetros!D:D,_xlfn.XLOOKUP(Q1896,Parâmetros!F:F,Parâmetros!I:I))</f>
        <v>OPERAÇÕES / SUPORTE KCS</v>
      </c>
      <c r="Q1896" s="1">
        <f t="shared" si="59"/>
        <v>24</v>
      </c>
    </row>
    <row r="1897" spans="1:17" x14ac:dyDescent="0.25">
      <c r="A1897" s="1" t="str">
        <f>_xlfn.XLOOKUP(D1897,'Novo relatório'!B:B,'Novo relatório'!C:C,"RESOLVIDO")</f>
        <v>SABRE</v>
      </c>
      <c r="C1897" t="str">
        <f t="shared" si="58"/>
        <v>PENDENTE</v>
      </c>
      <c r="D1897" s="1">
        <v>3429581</v>
      </c>
      <c r="E1897" s="1" t="s">
        <v>26</v>
      </c>
      <c r="F1897" s="2">
        <v>45797.294444444444</v>
      </c>
      <c r="G1897" s="1" t="s">
        <v>2397</v>
      </c>
      <c r="H1897" s="1" t="s">
        <v>2396</v>
      </c>
      <c r="I1897" s="1" t="s">
        <v>2398</v>
      </c>
      <c r="J1897" s="2">
        <v>45796.76458333333</v>
      </c>
      <c r="K1897" s="2">
        <v>45797.386805555558</v>
      </c>
      <c r="L1897" s="1" t="s">
        <v>18</v>
      </c>
      <c r="M1897" s="1" t="str">
        <f>_xlfn.XLOOKUP(I1897,Parâmetros!A:A,Parâmetros!B:B,_xlfn.XLOOKUP(Q1897,Parâmetros!F:F,Parâmetros!G:G,"NOVA MENSAGEM"))</f>
        <v>REMARK - CNPJ</v>
      </c>
      <c r="N1897" s="1" t="str">
        <f>_xlfn.XLOOKUP(M1897,Parâmetros!K:K,Parâmetros!L:L,"")</f>
        <v/>
      </c>
      <c r="O1897" s="1" t="str">
        <f>_xlfn.XLOOKUP(M1897,Parâmetros!B:B,Parâmetros!C:C,_xlfn.XLOOKUP(Base!M1877,Parâmetros!G:G,Parâmetros!H:H))</f>
        <v>QUALIDADE DOS DADOS</v>
      </c>
      <c r="P1897" s="1" t="str">
        <f>_xlfn.XLOOKUP(I1897,Parâmetros!A:A,Parâmetros!D:D,_xlfn.XLOOKUP(Q1897,Parâmetros!F:F,Parâmetros!I:I))</f>
        <v>OPERAÇÕES / SUPORTE KCS</v>
      </c>
      <c r="Q1897" s="1">
        <f t="shared" si="59"/>
        <v>24</v>
      </c>
    </row>
    <row r="1898" spans="1:17" x14ac:dyDescent="0.25">
      <c r="A1898" s="1" t="str">
        <f>_xlfn.XLOOKUP(D1898,'Novo relatório'!B:B,'Novo relatório'!C:C,"RESOLVIDO")</f>
        <v>SABRE</v>
      </c>
      <c r="C1898" t="str">
        <f t="shared" si="58"/>
        <v>PENDENTE</v>
      </c>
      <c r="D1898" s="1">
        <v>3429583</v>
      </c>
      <c r="E1898" s="1" t="s">
        <v>26</v>
      </c>
      <c r="F1898" s="2">
        <v>45796.677083333336</v>
      </c>
      <c r="G1898" s="1" t="s">
        <v>2495</v>
      </c>
      <c r="H1898" s="1" t="s">
        <v>2495</v>
      </c>
      <c r="I1898" s="1" t="s">
        <v>396</v>
      </c>
      <c r="J1898" s="2">
        <v>45796.765277777777</v>
      </c>
      <c r="L1898" s="1" t="s">
        <v>18</v>
      </c>
      <c r="M1898" s="1" t="str">
        <f>_xlfn.XLOOKUP(I1898,Parâmetros!A:A,Parâmetros!B:B,_xlfn.XLOOKUP(Q1898,Parâmetros!F:F,Parâmetros!G:G,"NOVA MENSAGEM"))</f>
        <v>CÓD. CLIENTE DIVERGENTE</v>
      </c>
      <c r="N1898" s="1" t="str">
        <f>_xlfn.XLOOKUP(M1898,Parâmetros!K:K,Parâmetros!L:L,"")</f>
        <v>CÓDIGO DIFERENTE DO CADASTRADO NO BENNER (CLIENTE X GRUPO)</v>
      </c>
      <c r="O1898" s="1" t="str">
        <f>_xlfn.XLOOKUP(M1898,Parâmetros!B:B,Parâmetros!C:C,_xlfn.XLOOKUP(Base!M1957,Parâmetros!G:G,Parâmetros!H:H))</f>
        <v>QUALIDADE DOS DADOS</v>
      </c>
      <c r="P1898" s="1" t="str">
        <f>_xlfn.XLOOKUP(I1898,Parâmetros!A:A,Parâmetros!D:D,_xlfn.XLOOKUP(Q1898,Parâmetros!F:F,Parâmetros!I:I))</f>
        <v>SUPORTE OBT</v>
      </c>
      <c r="Q1898" s="1">
        <f t="shared" si="59"/>
        <v>1</v>
      </c>
    </row>
    <row r="1899" spans="1:17" x14ac:dyDescent="0.25">
      <c r="A1899" s="1" t="str">
        <f>_xlfn.XLOOKUP(D1899,'Novo relatório'!B:B,'Novo relatório'!C:C,"RESOLVIDO")</f>
        <v>SABRE</v>
      </c>
      <c r="C1899" t="str">
        <f t="shared" si="58"/>
        <v>PENDENTE</v>
      </c>
      <c r="D1899" s="1">
        <v>3429685</v>
      </c>
      <c r="E1899" s="1" t="s">
        <v>26</v>
      </c>
      <c r="F1899" s="2">
        <v>45796.71875</v>
      </c>
      <c r="G1899" s="1" t="s">
        <v>2362</v>
      </c>
      <c r="H1899" s="1" t="s">
        <v>2362</v>
      </c>
      <c r="I1899" s="1" t="s">
        <v>410</v>
      </c>
      <c r="J1899" s="2">
        <v>45796.804861111108</v>
      </c>
      <c r="L1899" s="1" t="s">
        <v>18</v>
      </c>
      <c r="M1899" s="1" t="str">
        <f>_xlfn.XLOOKUP(I1899,Parâmetros!A:A,Parâmetros!B:B,_xlfn.XLOOKUP(Q1899,Parâmetros!F:F,Parâmetros!G:G,"NOVA MENSAGEM"))</f>
        <v>CÓD. CLIENTE DIVERGENTE</v>
      </c>
      <c r="N1899" s="1" t="str">
        <f>_xlfn.XLOOKUP(M1899,Parâmetros!K:K,Parâmetros!L:L,"")</f>
        <v>CÓDIGO DIFERENTE DO CADASTRADO NO BENNER (CLIENTE X GRUPO)</v>
      </c>
      <c r="O1899" s="1" t="str">
        <f>_xlfn.XLOOKUP(M1899,Parâmetros!B:B,Parâmetros!C:C,_xlfn.XLOOKUP(Base!M1846,Parâmetros!G:G,Parâmetros!H:H))</f>
        <v>QUALIDADE DOS DADOS</v>
      </c>
      <c r="P1899" s="1" t="str">
        <f>_xlfn.XLOOKUP(I1899,Parâmetros!A:A,Parâmetros!D:D,_xlfn.XLOOKUP(Q1899,Parâmetros!F:F,Parâmetros!I:I))</f>
        <v>SUPORTE OBT</v>
      </c>
      <c r="Q1899" s="1">
        <f t="shared" si="59"/>
        <v>1</v>
      </c>
    </row>
    <row r="1900" spans="1:17" x14ac:dyDescent="0.25">
      <c r="A1900" s="1" t="str">
        <f>_xlfn.XLOOKUP(D1900,'Novo relatório'!B:B,'Novo relatório'!C:C,"RESOLVIDO")</f>
        <v>SABRE</v>
      </c>
      <c r="C1900" t="str">
        <f t="shared" si="58"/>
        <v>PENDENTE</v>
      </c>
      <c r="D1900" s="1">
        <v>3429883</v>
      </c>
      <c r="E1900" s="1" t="s">
        <v>26</v>
      </c>
      <c r="F1900" s="2">
        <v>45796.772916666669</v>
      </c>
      <c r="G1900" s="1" t="s">
        <v>2486</v>
      </c>
      <c r="H1900" s="1" t="s">
        <v>2486</v>
      </c>
      <c r="I1900" s="1" t="s">
        <v>707</v>
      </c>
      <c r="J1900" s="2">
        <v>45796.867361111108</v>
      </c>
      <c r="L1900" s="1" t="s">
        <v>18</v>
      </c>
      <c r="M1900" s="1" t="str">
        <f>_xlfn.XLOOKUP(I1900,Parâmetros!A:A,Parâmetros!B:B,_xlfn.XLOOKUP(Q1900,Parâmetros!F:F,Parâmetros!G:G,"NOVA MENSAGEM"))</f>
        <v>CÓD. CLIENTE DIVERGENTE</v>
      </c>
      <c r="N1900" s="1" t="str">
        <f>_xlfn.XLOOKUP(M1900,Parâmetros!K:K,Parâmetros!L:L,"")</f>
        <v>CÓDIGO DIFERENTE DO CADASTRADO NO BENNER (CLIENTE X GRUPO)</v>
      </c>
      <c r="O1900" s="1" t="str">
        <f>_xlfn.XLOOKUP(M1900,Parâmetros!B:B,Parâmetros!C:C,_xlfn.XLOOKUP(Base!M1950,Parâmetros!G:G,Parâmetros!H:H))</f>
        <v>QUALIDADE DOS DADOS</v>
      </c>
      <c r="P1900" s="1" t="str">
        <f>_xlfn.XLOOKUP(I1900,Parâmetros!A:A,Parâmetros!D:D,_xlfn.XLOOKUP(Q1900,Parâmetros!F:F,Parâmetros!I:I))</f>
        <v>SUPORTE OBT</v>
      </c>
      <c r="Q1900" s="1">
        <f t="shared" si="59"/>
        <v>1</v>
      </c>
    </row>
    <row r="1901" spans="1:17" x14ac:dyDescent="0.25">
      <c r="A1901" s="1" t="str">
        <f>_xlfn.XLOOKUP(D1901,'Novo relatório'!B:B,'Novo relatório'!C:C,"RESOLVIDO")</f>
        <v>SABRE</v>
      </c>
      <c r="C1901" t="str">
        <f t="shared" si="58"/>
        <v>PENDENTE</v>
      </c>
      <c r="D1901" s="1">
        <v>3429887</v>
      </c>
      <c r="E1901" s="1" t="s">
        <v>26</v>
      </c>
      <c r="F1901" s="2">
        <v>45796.772916666669</v>
      </c>
      <c r="G1901" s="1" t="s">
        <v>2513</v>
      </c>
      <c r="H1901" s="1" t="s">
        <v>2513</v>
      </c>
      <c r="I1901" s="1" t="s">
        <v>83</v>
      </c>
      <c r="J1901" s="2">
        <v>45796.867361111108</v>
      </c>
      <c r="L1901" s="1" t="s">
        <v>18</v>
      </c>
      <c r="M1901" s="1" t="str">
        <f>_xlfn.XLOOKUP(I1901,Parâmetros!A:A,Parâmetros!B:B,_xlfn.XLOOKUP(Q1901,Parâmetros!F:F,Parâmetros!G:G,"NOVA MENSAGEM"))</f>
        <v>CLIENTE NÃO IDENTIFICADO</v>
      </c>
      <c r="N1901" s="1" t="str">
        <f>_xlfn.XLOOKUP(M1901,Parâmetros!K:K,Parâmetros!L:L,"")</f>
        <v>DK DE CLIENTE NÃO PREENCIDO / CLIENTE NÃO CONFIGURADO NO OBT</v>
      </c>
      <c r="O1901" s="1" t="str">
        <f>_xlfn.XLOOKUP(M1901,Parâmetros!B:B,Parâmetros!C:C,_xlfn.XLOOKUP(Base!M1975,Parâmetros!G:G,Parâmetros!H:H))</f>
        <v>INDEFINIDO</v>
      </c>
      <c r="P1901" s="1" t="str">
        <f>_xlfn.XLOOKUP(I1901,Parâmetros!A:A,Parâmetros!D:D,_xlfn.XLOOKUP(Q1901,Parâmetros!F:F,Parâmetros!I:I))</f>
        <v>OPERAÇÕES / SUPORTE KCS</v>
      </c>
      <c r="Q1901" s="1" t="str">
        <f t="shared" si="59"/>
        <v>COLUNA I</v>
      </c>
    </row>
    <row r="1902" spans="1:17" x14ac:dyDescent="0.25">
      <c r="A1902" s="1" t="str">
        <f>_xlfn.XLOOKUP(D1902,'Novo relatório'!B:B,'Novo relatório'!C:C,"RESOLVIDO")</f>
        <v>SABRE</v>
      </c>
      <c r="C1902" t="str">
        <f t="shared" si="58"/>
        <v>PENDENTE</v>
      </c>
      <c r="D1902" s="1">
        <v>3429889</v>
      </c>
      <c r="E1902" s="1" t="s">
        <v>26</v>
      </c>
      <c r="F1902" s="2">
        <v>45796.772916666669</v>
      </c>
      <c r="G1902" s="1" t="s">
        <v>2456</v>
      </c>
      <c r="H1902" s="1" t="s">
        <v>2456</v>
      </c>
      <c r="I1902" s="1" t="s">
        <v>707</v>
      </c>
      <c r="J1902" s="2">
        <v>45796.867361111108</v>
      </c>
      <c r="L1902" s="1" t="s">
        <v>18</v>
      </c>
      <c r="M1902" s="1" t="str">
        <f>_xlfn.XLOOKUP(I1902,Parâmetros!A:A,Parâmetros!B:B,_xlfn.XLOOKUP(Q1902,Parâmetros!F:F,Parâmetros!G:G,"NOVA MENSAGEM"))</f>
        <v>CÓD. CLIENTE DIVERGENTE</v>
      </c>
      <c r="N1902" s="1" t="str">
        <f>_xlfn.XLOOKUP(M1902,Parâmetros!K:K,Parâmetros!L:L,"")</f>
        <v>CÓDIGO DIFERENTE DO CADASTRADO NO BENNER (CLIENTE X GRUPO)</v>
      </c>
      <c r="O1902" s="1" t="str">
        <f>_xlfn.XLOOKUP(M1902,Parâmetros!B:B,Parâmetros!C:C,_xlfn.XLOOKUP(Base!M1924,Parâmetros!G:G,Parâmetros!H:H))</f>
        <v>QUALIDADE DOS DADOS</v>
      </c>
      <c r="P1902" s="1" t="str">
        <f>_xlfn.XLOOKUP(I1902,Parâmetros!A:A,Parâmetros!D:D,_xlfn.XLOOKUP(Q1902,Parâmetros!F:F,Parâmetros!I:I))</f>
        <v>SUPORTE OBT</v>
      </c>
      <c r="Q1902" s="1">
        <f t="shared" si="59"/>
        <v>1</v>
      </c>
    </row>
    <row r="1903" spans="1:17" x14ac:dyDescent="0.25">
      <c r="A1903" s="1" t="str">
        <f>_xlfn.XLOOKUP(D1903,'Novo relatório'!B:B,'Novo relatório'!C:C,"RESOLVIDO")</f>
        <v>SABRE</v>
      </c>
      <c r="C1903" t="str">
        <f t="shared" si="58"/>
        <v>PENDENTE</v>
      </c>
      <c r="D1903" s="1">
        <v>3429896</v>
      </c>
      <c r="E1903" s="1" t="s">
        <v>26</v>
      </c>
      <c r="F1903" s="2">
        <v>45796.772916666669</v>
      </c>
      <c r="G1903" s="1" t="s">
        <v>2391</v>
      </c>
      <c r="H1903" s="1" t="s">
        <v>2391</v>
      </c>
      <c r="I1903" s="1" t="s">
        <v>396</v>
      </c>
      <c r="J1903" s="2">
        <v>45796.867361111108</v>
      </c>
      <c r="L1903" s="1" t="s">
        <v>18</v>
      </c>
      <c r="M1903" s="1" t="str">
        <f>_xlfn.XLOOKUP(I1903,Parâmetros!A:A,Parâmetros!B:B,_xlfn.XLOOKUP(Q1903,Parâmetros!F:F,Parâmetros!G:G,"NOVA MENSAGEM"))</f>
        <v>CÓD. CLIENTE DIVERGENTE</v>
      </c>
      <c r="N1903" s="1" t="str">
        <f>_xlfn.XLOOKUP(M1903,Parâmetros!K:K,Parâmetros!L:L,"")</f>
        <v>CÓDIGO DIFERENTE DO CADASTRADO NO BENNER (CLIENTE X GRUPO)</v>
      </c>
      <c r="O1903" s="1" t="str">
        <f>_xlfn.XLOOKUP(M1903,Parâmetros!B:B,Parâmetros!C:C,_xlfn.XLOOKUP(Base!M1871,Parâmetros!G:G,Parâmetros!H:H))</f>
        <v>QUALIDADE DOS DADOS</v>
      </c>
      <c r="P1903" s="1" t="str">
        <f>_xlfn.XLOOKUP(I1903,Parâmetros!A:A,Parâmetros!D:D,_xlfn.XLOOKUP(Q1903,Parâmetros!F:F,Parâmetros!I:I))</f>
        <v>SUPORTE OBT</v>
      </c>
      <c r="Q1903" s="1">
        <f t="shared" si="59"/>
        <v>1</v>
      </c>
    </row>
    <row r="1904" spans="1:17" x14ac:dyDescent="0.25">
      <c r="A1904" s="1" t="str">
        <f>_xlfn.XLOOKUP(D1904,'Novo relatório'!B:B,'Novo relatório'!C:C,"RESOLVIDO")</f>
        <v>RESOLVIDO</v>
      </c>
      <c r="C1904" t="str">
        <f t="shared" si="58"/>
        <v>RESOLVIDO</v>
      </c>
      <c r="D1904" s="1">
        <v>3430061</v>
      </c>
      <c r="E1904" s="1" t="s">
        <v>12</v>
      </c>
      <c r="F1904" s="2">
        <v>45796.786805555559</v>
      </c>
      <c r="G1904" s="1">
        <v>4653</v>
      </c>
      <c r="H1904" s="1">
        <v>4653</v>
      </c>
      <c r="I1904" s="1" t="s">
        <v>927</v>
      </c>
      <c r="J1904" s="2">
        <v>45796.882638888892</v>
      </c>
      <c r="K1904" s="2">
        <v>45799.915972222225</v>
      </c>
      <c r="L1904" s="1" t="s">
        <v>19</v>
      </c>
      <c r="M1904" s="1" t="str">
        <f>_xlfn.XLOOKUP(I1904,Parâmetros!A:A,Parâmetros!B:B,_xlfn.XLOOKUP(Q1904,Parâmetros!F:F,Parâmetros!G:G,"NOVA MENSAGEM"))</f>
        <v>CONTRATO FORNECEDOR</v>
      </c>
      <c r="N1904" s="1" t="str">
        <f>_xlfn.XLOOKUP(M1904,Parâmetros!K:K,Parâmetros!L:L,"")</f>
        <v>CONTRATO INATIVO OU DIVERGENTE</v>
      </c>
      <c r="O1904" s="1" t="str">
        <f>_xlfn.XLOOKUP(M1904,Parâmetros!B:B,Parâmetros!C:C,_xlfn.XLOOKUP(Base!M2001,Parâmetros!G:G,Parâmetros!H:H))</f>
        <v>SISTEMA</v>
      </c>
      <c r="P1904" s="1" t="str">
        <f>_xlfn.XLOOKUP(I1904,Parâmetros!A:A,Parâmetros!D:D,_xlfn.XLOOKUP(Q1904,Parâmetros!F:F,Parâmetros!I:I))</f>
        <v>OPERAÇÕES / SUPORTE KCS</v>
      </c>
      <c r="Q1904" s="1">
        <f t="shared" si="59"/>
        <v>69</v>
      </c>
    </row>
    <row r="1905" spans="1:17" x14ac:dyDescent="0.25">
      <c r="A1905" s="1" t="str">
        <f>_xlfn.XLOOKUP(D1905,'Novo relatório'!B:B,'Novo relatório'!C:C,"RESOLVIDO")</f>
        <v>RESOLVIDO</v>
      </c>
      <c r="C1905" t="str">
        <f t="shared" si="58"/>
        <v>RESOLVIDO</v>
      </c>
      <c r="D1905" s="1">
        <v>3430129</v>
      </c>
      <c r="E1905" s="1" t="s">
        <v>12</v>
      </c>
      <c r="F1905" s="2">
        <v>45796.703472222223</v>
      </c>
      <c r="G1905" s="1">
        <v>32830</v>
      </c>
      <c r="H1905" s="1">
        <v>32830</v>
      </c>
      <c r="I1905" s="1" t="s">
        <v>927</v>
      </c>
      <c r="J1905" s="2">
        <v>45796.888194444444</v>
      </c>
      <c r="K1905" s="2">
        <v>45799.924305555556</v>
      </c>
      <c r="L1905" s="1" t="s">
        <v>19</v>
      </c>
      <c r="M1905" s="1" t="str">
        <f>_xlfn.XLOOKUP(I1905,Parâmetros!A:A,Parâmetros!B:B,_xlfn.XLOOKUP(Q1905,Parâmetros!F:F,Parâmetros!G:G,"NOVA MENSAGEM"))</f>
        <v>CONTRATO FORNECEDOR</v>
      </c>
      <c r="N1905" s="1" t="str">
        <f>_xlfn.XLOOKUP(M1905,Parâmetros!K:K,Parâmetros!L:L,"")</f>
        <v>CONTRATO INATIVO OU DIVERGENTE</v>
      </c>
      <c r="O1905" s="1" t="str">
        <f>_xlfn.XLOOKUP(M1905,Parâmetros!B:B,Parâmetros!C:C,_xlfn.XLOOKUP(Base!M1999,Parâmetros!G:G,Parâmetros!H:H))</f>
        <v>SISTEMA</v>
      </c>
      <c r="P1905" s="1" t="str">
        <f>_xlfn.XLOOKUP(I1905,Parâmetros!A:A,Parâmetros!D:D,_xlfn.XLOOKUP(Q1905,Parâmetros!F:F,Parâmetros!I:I))</f>
        <v>OPERAÇÕES / SUPORTE KCS</v>
      </c>
      <c r="Q1905" s="1">
        <f t="shared" si="59"/>
        <v>69</v>
      </c>
    </row>
    <row r="1906" spans="1:17" x14ac:dyDescent="0.25">
      <c r="A1906" s="1" t="str">
        <f>_xlfn.XLOOKUP(D1906,'Novo relatório'!B:B,'Novo relatório'!C:C,"RESOLVIDO")</f>
        <v>RESOLVIDO</v>
      </c>
      <c r="C1906" t="str">
        <f t="shared" si="58"/>
        <v>RESOLVIDO</v>
      </c>
      <c r="D1906" s="1">
        <v>3430946</v>
      </c>
      <c r="E1906" s="1" t="s">
        <v>25</v>
      </c>
      <c r="F1906" s="2">
        <v>45797.474999999999</v>
      </c>
      <c r="G1906" s="1" t="s">
        <v>2534</v>
      </c>
      <c r="H1906" s="1">
        <v>52892962</v>
      </c>
      <c r="I1906" s="1" t="s">
        <v>2535</v>
      </c>
      <c r="J1906" s="2">
        <v>45797.474999999999</v>
      </c>
      <c r="L1906" s="1" t="s">
        <v>14</v>
      </c>
      <c r="M1906" s="1" t="str">
        <f>_xlfn.XLOOKUP(I1906,Parâmetros!A:A,Parâmetros!B:B,_xlfn.XLOOKUP(Q1906,Parâmetros!F:F,Parâmetros!G:G,"NOVA MENSAGEM"))</f>
        <v>NOVA MENSAGEM</v>
      </c>
      <c r="N1906" s="1" t="str">
        <f>_xlfn.XLOOKUP(M1906,Parâmetros!K:K,Parâmetros!L:L,"")</f>
        <v/>
      </c>
      <c r="O1906" s="1" t="str">
        <f>_xlfn.XLOOKUP(M1906,Parâmetros!B:B,Parâmetros!C:C,_xlfn.XLOOKUP(Base!M2024,Parâmetros!G:G,Parâmetros!H:H))</f>
        <v>QUALIDADE DOS DADOS</v>
      </c>
      <c r="P1906" s="1" t="e">
        <f>_xlfn.XLOOKUP(I1906,Parâmetros!A:A,Parâmetros!D:D,_xlfn.XLOOKUP(Q1906,Parâmetros!F:F,Parâmetros!I:I))</f>
        <v>#N/A</v>
      </c>
      <c r="Q1906" s="1" t="str">
        <f t="shared" si="59"/>
        <v>COLUNA I</v>
      </c>
    </row>
    <row r="1907" spans="1:17" x14ac:dyDescent="0.25">
      <c r="A1907" s="1" t="str">
        <f>_xlfn.XLOOKUP(D1907,'Novo relatório'!B:B,'Novo relatório'!C:C,"RESOLVIDO")</f>
        <v>GOVER</v>
      </c>
      <c r="C1907" t="str">
        <f t="shared" si="58"/>
        <v>PENDENTE</v>
      </c>
      <c r="D1907" s="1">
        <v>3430949</v>
      </c>
      <c r="E1907" s="1" t="s">
        <v>24</v>
      </c>
      <c r="F1907" s="2">
        <v>45796.822916666664</v>
      </c>
      <c r="G1907" s="1">
        <v>4539589</v>
      </c>
      <c r="H1907" s="1" t="s">
        <v>2365</v>
      </c>
      <c r="I1907" s="1" t="s">
        <v>2540</v>
      </c>
      <c r="J1907" s="2">
        <v>45797.475694444445</v>
      </c>
      <c r="K1907" s="2">
        <v>45810.706250000003</v>
      </c>
      <c r="L1907" s="1" t="s">
        <v>19</v>
      </c>
      <c r="M1907" s="1" t="str">
        <f>_xlfn.XLOOKUP(I1907,Parâmetros!A:A,Parâmetros!B:B,_xlfn.XLOOKUP(Q1907,Parâmetros!F:F,Parâmetros!G:G,"NOVA MENSAGEM"))</f>
        <v>CONTRATO FORNECEDOR</v>
      </c>
      <c r="N1907" s="1" t="str">
        <f>_xlfn.XLOOKUP(M1907,Parâmetros!K:K,Parâmetros!L:L,"")</f>
        <v>CONTRATO INATIVO OU DIVERGENTE</v>
      </c>
      <c r="O1907" s="1" t="str">
        <f>_xlfn.XLOOKUP(M1907,Parâmetros!B:B,Parâmetros!C:C,_xlfn.XLOOKUP(Base!M2066,Parâmetros!G:G,Parâmetros!H:H))</f>
        <v>SISTEMA</v>
      </c>
      <c r="P1907" s="1" t="str">
        <f>_xlfn.XLOOKUP(I1907,Parâmetros!A:A,Parâmetros!D:D,_xlfn.XLOOKUP(Q1907,Parâmetros!F:F,Parâmetros!I:I))</f>
        <v>OPERAÇÕES / SUPORTE KCS</v>
      </c>
      <c r="Q1907" s="1">
        <f t="shared" si="59"/>
        <v>43</v>
      </c>
    </row>
    <row r="1908" spans="1:17" x14ac:dyDescent="0.25">
      <c r="A1908" s="1" t="str">
        <f>_xlfn.XLOOKUP(D1908,'Novo relatório'!B:B,'Novo relatório'!C:C,"RESOLVIDO")</f>
        <v>SABRE</v>
      </c>
      <c r="C1908" t="str">
        <f t="shared" si="58"/>
        <v>PENDENTE</v>
      </c>
      <c r="D1908" s="1">
        <v>3431001</v>
      </c>
      <c r="E1908" s="1" t="s">
        <v>26</v>
      </c>
      <c r="F1908" s="2">
        <v>45797.396527777775</v>
      </c>
      <c r="G1908" s="1" t="s">
        <v>2427</v>
      </c>
      <c r="H1908" s="1" t="s">
        <v>2428</v>
      </c>
      <c r="I1908" s="1" t="s">
        <v>2429</v>
      </c>
      <c r="J1908" s="2">
        <v>45797.493055555555</v>
      </c>
      <c r="L1908" s="1" t="s">
        <v>19</v>
      </c>
      <c r="M1908" s="1" t="str">
        <f>_xlfn.XLOOKUP(I1908,Parâmetros!A:A,Parâmetros!B:B,_xlfn.XLOOKUP(Q1908,Parâmetros!F:F,Parâmetros!G:G,"NOVA MENSAGEM"))</f>
        <v>CONTRATO FORNECEDOR</v>
      </c>
      <c r="N1908" s="1" t="str">
        <f>_xlfn.XLOOKUP(M1908,Parâmetros!K:K,Parâmetros!L:L,"")</f>
        <v>CONTRATO INATIVO OU DIVERGENTE</v>
      </c>
      <c r="O1908" s="1" t="str">
        <f>_xlfn.XLOOKUP(M1908,Parâmetros!B:B,Parâmetros!C:C,_xlfn.XLOOKUP(Base!M1900,Parâmetros!G:G,Parâmetros!H:H))</f>
        <v>SISTEMA</v>
      </c>
      <c r="P1908" s="1" t="str">
        <f>_xlfn.XLOOKUP(I1908,Parâmetros!A:A,Parâmetros!D:D,_xlfn.XLOOKUP(Q1908,Parâmetros!F:F,Parâmetros!I:I))</f>
        <v>OPERAÇÕES / SUPORTE KCS</v>
      </c>
      <c r="Q1908" s="1">
        <f t="shared" si="59"/>
        <v>43</v>
      </c>
    </row>
    <row r="1909" spans="1:17" x14ac:dyDescent="0.25">
      <c r="A1909" s="1" t="str">
        <f>_xlfn.XLOOKUP(D1909,'Novo relatório'!B:B,'Novo relatório'!C:C,"RESOLVIDO")</f>
        <v>SABRE</v>
      </c>
      <c r="C1909" t="str">
        <f t="shared" si="58"/>
        <v>PENDENTE</v>
      </c>
      <c r="D1909" s="1">
        <v>3431201</v>
      </c>
      <c r="E1909" s="1" t="s">
        <v>26</v>
      </c>
      <c r="F1909" s="2">
        <v>45797.495833333334</v>
      </c>
      <c r="G1909" s="1" t="s">
        <v>2492</v>
      </c>
      <c r="H1909" s="1" t="s">
        <v>2493</v>
      </c>
      <c r="I1909" s="1" t="s">
        <v>393</v>
      </c>
      <c r="J1909" s="2">
        <v>45797.584722222222</v>
      </c>
      <c r="L1909" s="1" t="s">
        <v>19</v>
      </c>
      <c r="M1909" s="1" t="str">
        <f>_xlfn.XLOOKUP(I1909,Parâmetros!A:A,Parâmetros!B:B,_xlfn.XLOOKUP(Q1909,Parâmetros!F:F,Parâmetros!G:G,"NOVA MENSAGEM"))</f>
        <v>CONTRATO FORNECEDOR</v>
      </c>
      <c r="N1909" s="1" t="str">
        <f>_xlfn.XLOOKUP(M1909,Parâmetros!K:K,Parâmetros!L:L,"")</f>
        <v>CONTRATO INATIVO OU DIVERGENTE</v>
      </c>
      <c r="O1909" s="1" t="str">
        <f>_xlfn.XLOOKUP(M1909,Parâmetros!B:B,Parâmetros!C:C,_xlfn.XLOOKUP(Base!M1955,Parâmetros!G:G,Parâmetros!H:H))</f>
        <v>SISTEMA</v>
      </c>
      <c r="P1909" s="1" t="str">
        <f>_xlfn.XLOOKUP(I1909,Parâmetros!A:A,Parâmetros!D:D,_xlfn.XLOOKUP(Q1909,Parâmetros!F:F,Parâmetros!I:I))</f>
        <v>OPERAÇÕES / SUPORTE KCS</v>
      </c>
      <c r="Q1909" s="1">
        <f t="shared" si="59"/>
        <v>43</v>
      </c>
    </row>
    <row r="1910" spans="1:17" x14ac:dyDescent="0.25">
      <c r="A1910" s="1" t="str">
        <f>_xlfn.XLOOKUP(D1910,'Novo relatório'!B:B,'Novo relatório'!C:C,"RESOLVIDO")</f>
        <v>RESOLVIDO</v>
      </c>
      <c r="C1910" t="str">
        <f t="shared" si="58"/>
        <v>RESOLVIDO</v>
      </c>
      <c r="D1910" s="1">
        <v>3431284</v>
      </c>
      <c r="E1910" s="1" t="s">
        <v>12</v>
      </c>
      <c r="F1910" s="2">
        <v>45797.435416666667</v>
      </c>
      <c r="G1910" s="1">
        <v>6854</v>
      </c>
      <c r="H1910" s="1">
        <v>6854</v>
      </c>
      <c r="I1910" s="1" t="s">
        <v>16</v>
      </c>
      <c r="J1910" s="2">
        <v>45797.617361111108</v>
      </c>
      <c r="K1910" s="2">
        <v>45800.911805555559</v>
      </c>
      <c r="L1910" s="1" t="s">
        <v>14</v>
      </c>
      <c r="M1910" s="1" t="str">
        <f>_xlfn.XLOOKUP(I1910,Parâmetros!A:A,Parâmetros!B:B,_xlfn.XLOOKUP(Q1910,Parâmetros!F:F,Parâmetros!G:G,"NOVA MENSAGEM"))</f>
        <v>ASSENTO / BAGAGEM</v>
      </c>
      <c r="N1910" s="1" t="str">
        <f>_xlfn.XLOOKUP(M1910,Parâmetros!K:K,Parâmetros!L:L,"")</f>
        <v>CAMPO OBSERVAÇÃO PREENCHIDO INCORRETAMENTE</v>
      </c>
      <c r="O1910" s="1" t="str">
        <f>_xlfn.XLOOKUP(M1910,Parâmetros!B:B,Parâmetros!C:C,_xlfn.XLOOKUP(Base!M2018,Parâmetros!G:G,Parâmetros!H:H))</f>
        <v>QUALIDADE DOS DADOS</v>
      </c>
      <c r="P1910" s="1" t="str">
        <f>_xlfn.XLOOKUP(I1910,Parâmetros!A:A,Parâmetros!D:D,_xlfn.XLOOKUP(Q1910,Parâmetros!F:F,Parâmetros!I:I))</f>
        <v>OPERAÇÕES / SUPORTE KCS</v>
      </c>
      <c r="Q1910" s="1">
        <f t="shared" si="59"/>
        <v>118</v>
      </c>
    </row>
    <row r="1911" spans="1:17" x14ac:dyDescent="0.25">
      <c r="A1911" s="1" t="str">
        <f>_xlfn.XLOOKUP(D1911,'Novo relatório'!B:B,'Novo relatório'!C:C,"RESOLVIDO")</f>
        <v>RESOLVIDO</v>
      </c>
      <c r="C1911" t="str">
        <f t="shared" si="58"/>
        <v>RESOLVIDO</v>
      </c>
      <c r="D1911" s="1">
        <v>3431600</v>
      </c>
      <c r="E1911" s="1" t="s">
        <v>12</v>
      </c>
      <c r="F1911" s="2">
        <v>45797.381249999999</v>
      </c>
      <c r="G1911" s="1">
        <v>4654</v>
      </c>
      <c r="H1911" s="1">
        <v>4654</v>
      </c>
      <c r="I1911" s="1" t="s">
        <v>927</v>
      </c>
      <c r="J1911" s="2">
        <v>45797.637499999997</v>
      </c>
      <c r="K1911" s="2">
        <v>45800.94027777778</v>
      </c>
      <c r="L1911" s="1" t="s">
        <v>19</v>
      </c>
      <c r="M1911" s="1" t="str">
        <f>_xlfn.XLOOKUP(I1911,Parâmetros!A:A,Parâmetros!B:B,_xlfn.XLOOKUP(Q1911,Parâmetros!F:F,Parâmetros!G:G,"NOVA MENSAGEM"))</f>
        <v>CONTRATO FORNECEDOR</v>
      </c>
      <c r="N1911" s="1" t="str">
        <f>_xlfn.XLOOKUP(M1911,Parâmetros!K:K,Parâmetros!L:L,"")</f>
        <v>CONTRATO INATIVO OU DIVERGENTE</v>
      </c>
      <c r="O1911" s="1" t="str">
        <f>_xlfn.XLOOKUP(M1911,Parâmetros!B:B,Parâmetros!C:C,_xlfn.XLOOKUP(Base!M2002,Parâmetros!G:G,Parâmetros!H:H))</f>
        <v>SISTEMA</v>
      </c>
      <c r="P1911" s="1" t="str">
        <f>_xlfn.XLOOKUP(I1911,Parâmetros!A:A,Parâmetros!D:D,_xlfn.XLOOKUP(Q1911,Parâmetros!F:F,Parâmetros!I:I))</f>
        <v>OPERAÇÕES / SUPORTE KCS</v>
      </c>
      <c r="Q1911" s="1">
        <f t="shared" si="59"/>
        <v>69</v>
      </c>
    </row>
    <row r="1912" spans="1:17" x14ac:dyDescent="0.25">
      <c r="A1912" s="1" t="str">
        <f>_xlfn.XLOOKUP(D1912,'Novo relatório'!B:B,'Novo relatório'!C:C,"RESOLVIDO")</f>
        <v>SABRE</v>
      </c>
      <c r="C1912" t="str">
        <f t="shared" si="58"/>
        <v>PENDENTE</v>
      </c>
      <c r="D1912" s="1">
        <v>3431637</v>
      </c>
      <c r="E1912" s="1" t="s">
        <v>26</v>
      </c>
      <c r="F1912" s="2">
        <v>45797.62777777778</v>
      </c>
      <c r="G1912" s="1" t="s">
        <v>2469</v>
      </c>
      <c r="H1912" s="1" t="s">
        <v>2469</v>
      </c>
      <c r="I1912" s="1" t="s">
        <v>1761</v>
      </c>
      <c r="J1912" s="2">
        <v>45797.640972222223</v>
      </c>
      <c r="K1912" s="2">
        <v>45797.727777777778</v>
      </c>
      <c r="L1912" s="1" t="s">
        <v>18</v>
      </c>
      <c r="M1912" s="1" t="str">
        <f>_xlfn.XLOOKUP(I1912,Parâmetros!A:A,Parâmetros!B:B,_xlfn.XLOOKUP(Q1912,Parâmetros!F:F,Parâmetros!G:G,"NOVA MENSAGEM"))</f>
        <v>CÓD. CLIENTE DIVERGENTE</v>
      </c>
      <c r="N1912" s="1" t="str">
        <f>_xlfn.XLOOKUP(M1912,Parâmetros!K:K,Parâmetros!L:L,"")</f>
        <v>CÓDIGO DIFERENTE DO CADASTRADO NO BENNER (CLIENTE X GRUPO)</v>
      </c>
      <c r="O1912" s="1" t="str">
        <f>_xlfn.XLOOKUP(M1912,Parâmetros!B:B,Parâmetros!C:C,_xlfn.XLOOKUP(Base!M1936,Parâmetros!G:G,Parâmetros!H:H))</f>
        <v>QUALIDADE DOS DADOS</v>
      </c>
      <c r="P1912" s="1" t="str">
        <f>_xlfn.XLOOKUP(I1912,Parâmetros!A:A,Parâmetros!D:D,_xlfn.XLOOKUP(Q1912,Parâmetros!F:F,Parâmetros!I:I))</f>
        <v>SUPORTE OBT</v>
      </c>
      <c r="Q1912" s="1">
        <f t="shared" si="59"/>
        <v>1</v>
      </c>
    </row>
    <row r="1913" spans="1:17" x14ac:dyDescent="0.25">
      <c r="A1913" s="1" t="str">
        <f>_xlfn.XLOOKUP(D1913,'Novo relatório'!B:B,'Novo relatório'!C:C,"RESOLVIDO")</f>
        <v>GOVER</v>
      </c>
      <c r="C1913" t="str">
        <f t="shared" si="58"/>
        <v>PENDENTE</v>
      </c>
      <c r="D1913" s="1">
        <v>3432081</v>
      </c>
      <c r="E1913" s="1" t="s">
        <v>24</v>
      </c>
      <c r="F1913" s="2">
        <v>45797.495833333334</v>
      </c>
      <c r="G1913" s="1">
        <v>4539871</v>
      </c>
      <c r="H1913" s="1" t="s">
        <v>2541</v>
      </c>
      <c r="I1913" s="1" t="s">
        <v>2542</v>
      </c>
      <c r="J1913" s="2">
        <v>45797.690972222219</v>
      </c>
      <c r="K1913" s="2">
        <v>45810.706250000003</v>
      </c>
      <c r="L1913" s="1" t="s">
        <v>19</v>
      </c>
      <c r="M1913" s="1" t="str">
        <f>_xlfn.XLOOKUP(I1913,Parâmetros!A:A,Parâmetros!B:B,_xlfn.XLOOKUP(Q1913,Parâmetros!F:F,Parâmetros!G:G,"NOVA MENSAGEM"))</f>
        <v>CONTRATO FORNECEDOR</v>
      </c>
      <c r="N1913" s="1" t="str">
        <f>_xlfn.XLOOKUP(M1913,Parâmetros!K:K,Parâmetros!L:L,"")</f>
        <v>CONTRATO INATIVO OU DIVERGENTE</v>
      </c>
      <c r="O1913" s="1" t="str">
        <f>_xlfn.XLOOKUP(M1913,Parâmetros!B:B,Parâmetros!C:C,_xlfn.XLOOKUP(Base!M2067,Parâmetros!G:G,Parâmetros!H:H))</f>
        <v>SISTEMA</v>
      </c>
      <c r="P1913" s="1" t="str">
        <f>_xlfn.XLOOKUP(I1913,Parâmetros!A:A,Parâmetros!D:D,_xlfn.XLOOKUP(Q1913,Parâmetros!F:F,Parâmetros!I:I))</f>
        <v>OPERAÇÕES / SUPORTE KCS</v>
      </c>
      <c r="Q1913" s="1">
        <f t="shared" si="59"/>
        <v>43</v>
      </c>
    </row>
    <row r="1914" spans="1:17" x14ac:dyDescent="0.25">
      <c r="A1914" s="1" t="str">
        <f>_xlfn.XLOOKUP(D1914,'Novo relatório'!B:B,'Novo relatório'!C:C,"RESOLVIDO")</f>
        <v>SABRE</v>
      </c>
      <c r="C1914" t="str">
        <f t="shared" si="58"/>
        <v>PENDENTE</v>
      </c>
      <c r="D1914" s="1">
        <v>3432261</v>
      </c>
      <c r="E1914" s="1" t="s">
        <v>26</v>
      </c>
      <c r="F1914" s="2">
        <v>45797.62777777778</v>
      </c>
      <c r="G1914" s="1" t="s">
        <v>2445</v>
      </c>
      <c r="H1914" s="1" t="s">
        <v>2445</v>
      </c>
      <c r="I1914" s="1" t="s">
        <v>652</v>
      </c>
      <c r="J1914" s="2">
        <v>45797.723611111112</v>
      </c>
      <c r="L1914" s="1" t="s">
        <v>18</v>
      </c>
      <c r="M1914" s="1" t="str">
        <f>_xlfn.XLOOKUP(I1914,Parâmetros!A:A,Parâmetros!B:B,_xlfn.XLOOKUP(Q1914,Parâmetros!F:F,Parâmetros!G:G,"NOVA MENSAGEM"))</f>
        <v>CÓD. CLIENTE DIVERGENTE</v>
      </c>
      <c r="N1914" s="1" t="str">
        <f>_xlfn.XLOOKUP(M1914,Parâmetros!K:K,Parâmetros!L:L,"")</f>
        <v>CÓDIGO DIFERENTE DO CADASTRADO NO BENNER (CLIENTE X GRUPO)</v>
      </c>
      <c r="O1914" s="1" t="str">
        <f>_xlfn.XLOOKUP(M1914,Parâmetros!B:B,Parâmetros!C:C,_xlfn.XLOOKUP(Base!M1914,Parâmetros!G:G,Parâmetros!H:H))</f>
        <v>QUALIDADE DOS DADOS</v>
      </c>
      <c r="P1914" s="1" t="str">
        <f>_xlfn.XLOOKUP(I1914,Parâmetros!A:A,Parâmetros!D:D,_xlfn.XLOOKUP(Q1914,Parâmetros!F:F,Parâmetros!I:I))</f>
        <v>SUPORTE OBT</v>
      </c>
      <c r="Q1914" s="1">
        <f t="shared" si="59"/>
        <v>1</v>
      </c>
    </row>
    <row r="1915" spans="1:17" x14ac:dyDescent="0.25">
      <c r="A1915" s="1" t="str">
        <f>_xlfn.XLOOKUP(D1915,'Novo relatório'!B:B,'Novo relatório'!C:C,"RESOLVIDO")</f>
        <v>SABRE</v>
      </c>
      <c r="C1915" t="str">
        <f t="shared" si="58"/>
        <v>PENDENTE</v>
      </c>
      <c r="D1915" s="1">
        <v>3432263</v>
      </c>
      <c r="E1915" s="1" t="s">
        <v>26</v>
      </c>
      <c r="F1915" s="2">
        <v>45797.62777777778</v>
      </c>
      <c r="G1915" s="1" t="s">
        <v>2406</v>
      </c>
      <c r="H1915" s="1" t="s">
        <v>2406</v>
      </c>
      <c r="I1915" s="1" t="s">
        <v>652</v>
      </c>
      <c r="J1915" s="2">
        <v>45797.724305555559</v>
      </c>
      <c r="L1915" s="1" t="s">
        <v>18</v>
      </c>
      <c r="M1915" s="1" t="str">
        <f>_xlfn.XLOOKUP(I1915,Parâmetros!A:A,Parâmetros!B:B,_xlfn.XLOOKUP(Q1915,Parâmetros!F:F,Parâmetros!G:G,"NOVA MENSAGEM"))</f>
        <v>CÓD. CLIENTE DIVERGENTE</v>
      </c>
      <c r="N1915" s="1" t="str">
        <f>_xlfn.XLOOKUP(M1915,Parâmetros!K:K,Parâmetros!L:L,"")</f>
        <v>CÓDIGO DIFERENTE DO CADASTRADO NO BENNER (CLIENTE X GRUPO)</v>
      </c>
      <c r="O1915" s="1" t="str">
        <f>_xlfn.XLOOKUP(M1915,Parâmetros!B:B,Parâmetros!C:C,_xlfn.XLOOKUP(Base!M1884,Parâmetros!G:G,Parâmetros!H:H))</f>
        <v>QUALIDADE DOS DADOS</v>
      </c>
      <c r="P1915" s="1" t="str">
        <f>_xlfn.XLOOKUP(I1915,Parâmetros!A:A,Parâmetros!D:D,_xlfn.XLOOKUP(Q1915,Parâmetros!F:F,Parâmetros!I:I))</f>
        <v>SUPORTE OBT</v>
      </c>
      <c r="Q1915" s="1">
        <f t="shared" si="59"/>
        <v>1</v>
      </c>
    </row>
    <row r="1916" spans="1:17" x14ac:dyDescent="0.25">
      <c r="A1916" s="1" t="str">
        <f>_xlfn.XLOOKUP(D1916,'Novo relatório'!B:B,'Novo relatório'!C:C,"RESOLVIDO")</f>
        <v>SABRE</v>
      </c>
      <c r="C1916" t="str">
        <f t="shared" si="58"/>
        <v>PENDENTE</v>
      </c>
      <c r="D1916" s="1">
        <v>3432264</v>
      </c>
      <c r="E1916" s="1" t="s">
        <v>26</v>
      </c>
      <c r="F1916" s="2">
        <v>45797.62777777778</v>
      </c>
      <c r="G1916" s="1" t="s">
        <v>2482</v>
      </c>
      <c r="H1916" s="1" t="s">
        <v>2482</v>
      </c>
      <c r="I1916" s="1" t="s">
        <v>83</v>
      </c>
      <c r="J1916" s="2">
        <v>45797.724305555559</v>
      </c>
      <c r="L1916" s="1" t="s">
        <v>18</v>
      </c>
      <c r="M1916" s="1" t="str">
        <f>_xlfn.XLOOKUP(I1916,Parâmetros!A:A,Parâmetros!B:B,_xlfn.XLOOKUP(Q1916,Parâmetros!F:F,Parâmetros!G:G,"NOVA MENSAGEM"))</f>
        <v>CLIENTE NÃO IDENTIFICADO</v>
      </c>
      <c r="N1916" s="1" t="str">
        <f>_xlfn.XLOOKUP(M1916,Parâmetros!K:K,Parâmetros!L:L,"")</f>
        <v>DK DE CLIENTE NÃO PREENCIDO / CLIENTE NÃO CONFIGURADO NO OBT</v>
      </c>
      <c r="O1916" s="1" t="str">
        <f>_xlfn.XLOOKUP(M1916,Parâmetros!B:B,Parâmetros!C:C,_xlfn.XLOOKUP(Base!M1946,Parâmetros!G:G,Parâmetros!H:H))</f>
        <v>INDEFINIDO</v>
      </c>
      <c r="P1916" s="1" t="str">
        <f>_xlfn.XLOOKUP(I1916,Parâmetros!A:A,Parâmetros!D:D,_xlfn.XLOOKUP(Q1916,Parâmetros!F:F,Parâmetros!I:I))</f>
        <v>OPERAÇÕES / SUPORTE KCS</v>
      </c>
      <c r="Q1916" s="1" t="str">
        <f t="shared" si="59"/>
        <v>COLUNA I</v>
      </c>
    </row>
    <row r="1917" spans="1:17" x14ac:dyDescent="0.25">
      <c r="A1917" s="1" t="str">
        <f>_xlfn.XLOOKUP(D1917,'Novo relatório'!B:B,'Novo relatório'!C:C,"RESOLVIDO")</f>
        <v>SABRE</v>
      </c>
      <c r="C1917" t="str">
        <f t="shared" si="58"/>
        <v>PENDENTE</v>
      </c>
      <c r="D1917" s="1">
        <v>3432265</v>
      </c>
      <c r="E1917" s="1" t="s">
        <v>26</v>
      </c>
      <c r="F1917" s="2">
        <v>45797.62777777778</v>
      </c>
      <c r="G1917" s="1" t="s">
        <v>2436</v>
      </c>
      <c r="H1917" s="1" t="s">
        <v>2436</v>
      </c>
      <c r="I1917" s="1" t="s">
        <v>83</v>
      </c>
      <c r="J1917" s="2">
        <v>45797.724999999999</v>
      </c>
      <c r="L1917" s="1" t="s">
        <v>18</v>
      </c>
      <c r="M1917" s="1" t="str">
        <f>_xlfn.XLOOKUP(I1917,Parâmetros!A:A,Parâmetros!B:B,_xlfn.XLOOKUP(Q1917,Parâmetros!F:F,Parâmetros!G:G,"NOVA MENSAGEM"))</f>
        <v>CLIENTE NÃO IDENTIFICADO</v>
      </c>
      <c r="N1917" s="1" t="str">
        <f>_xlfn.XLOOKUP(M1917,Parâmetros!K:K,Parâmetros!L:L,"")</f>
        <v>DK DE CLIENTE NÃO PREENCIDO / CLIENTE NÃO CONFIGURADO NO OBT</v>
      </c>
      <c r="O1917" s="1" t="str">
        <f>_xlfn.XLOOKUP(M1917,Parâmetros!B:B,Parâmetros!C:C,_xlfn.XLOOKUP(Base!M1905,Parâmetros!G:G,Parâmetros!H:H))</f>
        <v>INDEFINIDO</v>
      </c>
      <c r="P1917" s="1" t="str">
        <f>_xlfn.XLOOKUP(I1917,Parâmetros!A:A,Parâmetros!D:D,_xlfn.XLOOKUP(Q1917,Parâmetros!F:F,Parâmetros!I:I))</f>
        <v>OPERAÇÕES / SUPORTE KCS</v>
      </c>
      <c r="Q1917" s="1" t="str">
        <f t="shared" si="59"/>
        <v>COLUNA I</v>
      </c>
    </row>
    <row r="1918" spans="1:17" x14ac:dyDescent="0.25">
      <c r="A1918" s="1" t="str">
        <f>_xlfn.XLOOKUP(D1918,'Novo relatório'!B:B,'Novo relatório'!C:C,"RESOLVIDO")</f>
        <v>SABRE</v>
      </c>
      <c r="C1918" t="str">
        <f t="shared" si="58"/>
        <v>PENDENTE</v>
      </c>
      <c r="D1918" s="1">
        <v>3432267</v>
      </c>
      <c r="E1918" s="1" t="s">
        <v>26</v>
      </c>
      <c r="F1918" s="2">
        <v>45797.62777777778</v>
      </c>
      <c r="G1918" s="1" t="s">
        <v>2444</v>
      </c>
      <c r="H1918" s="1" t="s">
        <v>2444</v>
      </c>
      <c r="I1918" s="1" t="s">
        <v>83</v>
      </c>
      <c r="J1918" s="2">
        <v>45797.724999999999</v>
      </c>
      <c r="L1918" s="1" t="s">
        <v>18</v>
      </c>
      <c r="M1918" s="1" t="str">
        <f>_xlfn.XLOOKUP(I1918,Parâmetros!A:A,Parâmetros!B:B,_xlfn.XLOOKUP(Q1918,Parâmetros!F:F,Parâmetros!G:G,"NOVA MENSAGEM"))</f>
        <v>CLIENTE NÃO IDENTIFICADO</v>
      </c>
      <c r="N1918" s="1" t="str">
        <f>_xlfn.XLOOKUP(M1918,Parâmetros!K:K,Parâmetros!L:L,"")</f>
        <v>DK DE CLIENTE NÃO PREENCIDO / CLIENTE NÃO CONFIGURADO NO OBT</v>
      </c>
      <c r="O1918" s="1" t="str">
        <f>_xlfn.XLOOKUP(M1918,Parâmetros!B:B,Parâmetros!C:C,_xlfn.XLOOKUP(Base!M1913,Parâmetros!G:G,Parâmetros!H:H))</f>
        <v>INDEFINIDO</v>
      </c>
      <c r="P1918" s="1" t="str">
        <f>_xlfn.XLOOKUP(I1918,Parâmetros!A:A,Parâmetros!D:D,_xlfn.XLOOKUP(Q1918,Parâmetros!F:F,Parâmetros!I:I))</f>
        <v>OPERAÇÕES / SUPORTE KCS</v>
      </c>
      <c r="Q1918" s="1" t="str">
        <f t="shared" si="59"/>
        <v>COLUNA I</v>
      </c>
    </row>
    <row r="1919" spans="1:17" x14ac:dyDescent="0.25">
      <c r="A1919" s="1" t="str">
        <f>_xlfn.XLOOKUP(D1919,'Novo relatório'!B:B,'Novo relatório'!C:C,"RESOLVIDO")</f>
        <v>SABRE</v>
      </c>
      <c r="C1919" t="str">
        <f t="shared" si="58"/>
        <v>PENDENTE</v>
      </c>
      <c r="D1919" s="1">
        <v>3432277</v>
      </c>
      <c r="E1919" s="1" t="s">
        <v>26</v>
      </c>
      <c r="F1919" s="2">
        <v>45797.62777777778</v>
      </c>
      <c r="G1919" s="1" t="s">
        <v>2460</v>
      </c>
      <c r="H1919" s="1" t="s">
        <v>2460</v>
      </c>
      <c r="I1919" s="1" t="s">
        <v>83</v>
      </c>
      <c r="J1919" s="2">
        <v>45797.725694444445</v>
      </c>
      <c r="L1919" s="1" t="s">
        <v>18</v>
      </c>
      <c r="M1919" s="1" t="str">
        <f>_xlfn.XLOOKUP(I1919,Parâmetros!A:A,Parâmetros!B:B,_xlfn.XLOOKUP(Q1919,Parâmetros!F:F,Parâmetros!G:G,"NOVA MENSAGEM"))</f>
        <v>CLIENTE NÃO IDENTIFICADO</v>
      </c>
      <c r="N1919" s="1" t="str">
        <f>_xlfn.XLOOKUP(M1919,Parâmetros!K:K,Parâmetros!L:L,"")</f>
        <v>DK DE CLIENTE NÃO PREENCIDO / CLIENTE NÃO CONFIGURADO NO OBT</v>
      </c>
      <c r="O1919" s="1" t="str">
        <f>_xlfn.XLOOKUP(M1919,Parâmetros!B:B,Parâmetros!C:C,_xlfn.XLOOKUP(Base!M1927,Parâmetros!G:G,Parâmetros!H:H))</f>
        <v>INDEFINIDO</v>
      </c>
      <c r="P1919" s="1" t="str">
        <f>_xlfn.XLOOKUP(I1919,Parâmetros!A:A,Parâmetros!D:D,_xlfn.XLOOKUP(Q1919,Parâmetros!F:F,Parâmetros!I:I))</f>
        <v>OPERAÇÕES / SUPORTE KCS</v>
      </c>
      <c r="Q1919" s="1" t="str">
        <f t="shared" si="59"/>
        <v>COLUNA I</v>
      </c>
    </row>
    <row r="1920" spans="1:17" x14ac:dyDescent="0.25">
      <c r="A1920" s="1" t="str">
        <f>_xlfn.XLOOKUP(D1920,'Novo relatório'!B:B,'Novo relatório'!C:C,"RESOLVIDO")</f>
        <v>SABRE</v>
      </c>
      <c r="C1920" t="str">
        <f t="shared" si="58"/>
        <v>PENDENTE</v>
      </c>
      <c r="D1920" s="1">
        <v>3432278</v>
      </c>
      <c r="E1920" s="1" t="s">
        <v>26</v>
      </c>
      <c r="F1920" s="2">
        <v>45797.62777777778</v>
      </c>
      <c r="G1920" s="1" t="s">
        <v>2512</v>
      </c>
      <c r="H1920" s="1" t="s">
        <v>2512</v>
      </c>
      <c r="I1920" s="1" t="s">
        <v>83</v>
      </c>
      <c r="J1920" s="2">
        <v>45797.726388888892</v>
      </c>
      <c r="L1920" s="1" t="s">
        <v>18</v>
      </c>
      <c r="M1920" s="1" t="str">
        <f>_xlfn.XLOOKUP(I1920,Parâmetros!A:A,Parâmetros!B:B,_xlfn.XLOOKUP(Q1920,Parâmetros!F:F,Parâmetros!G:G,"NOVA MENSAGEM"))</f>
        <v>CLIENTE NÃO IDENTIFICADO</v>
      </c>
      <c r="N1920" s="1" t="str">
        <f>_xlfn.XLOOKUP(M1920,Parâmetros!K:K,Parâmetros!L:L,"")</f>
        <v>DK DE CLIENTE NÃO PREENCIDO / CLIENTE NÃO CONFIGURADO NO OBT</v>
      </c>
      <c r="O1920" s="1" t="str">
        <f>_xlfn.XLOOKUP(M1920,Parâmetros!B:B,Parâmetros!C:C,_xlfn.XLOOKUP(Base!M1974,Parâmetros!G:G,Parâmetros!H:H))</f>
        <v>INDEFINIDO</v>
      </c>
      <c r="P1920" s="1" t="str">
        <f>_xlfn.XLOOKUP(I1920,Parâmetros!A:A,Parâmetros!D:D,_xlfn.XLOOKUP(Q1920,Parâmetros!F:F,Parâmetros!I:I))</f>
        <v>OPERAÇÕES / SUPORTE KCS</v>
      </c>
      <c r="Q1920" s="1" t="str">
        <f t="shared" si="59"/>
        <v>COLUNA I</v>
      </c>
    </row>
    <row r="1921" spans="1:17" x14ac:dyDescent="0.25">
      <c r="A1921" s="1" t="str">
        <f>_xlfn.XLOOKUP(D1921,'Novo relatório'!B:B,'Novo relatório'!C:C,"RESOLVIDO")</f>
        <v>SABRE</v>
      </c>
      <c r="C1921" t="str">
        <f t="shared" si="58"/>
        <v>PENDENTE</v>
      </c>
      <c r="D1921" s="1">
        <v>3432279</v>
      </c>
      <c r="E1921" s="1" t="s">
        <v>26</v>
      </c>
      <c r="F1921" s="2">
        <v>45797.62777777778</v>
      </c>
      <c r="G1921" s="1" t="s">
        <v>2414</v>
      </c>
      <c r="H1921" s="1" t="s">
        <v>2414</v>
      </c>
      <c r="I1921" s="1" t="s">
        <v>396</v>
      </c>
      <c r="J1921" s="2">
        <v>45797.726388888892</v>
      </c>
      <c r="L1921" s="1" t="s">
        <v>18</v>
      </c>
      <c r="M1921" s="1" t="str">
        <f>_xlfn.XLOOKUP(I1921,Parâmetros!A:A,Parâmetros!B:B,_xlfn.XLOOKUP(Q1921,Parâmetros!F:F,Parâmetros!G:G,"NOVA MENSAGEM"))</f>
        <v>CÓD. CLIENTE DIVERGENTE</v>
      </c>
      <c r="N1921" s="1" t="str">
        <f>_xlfn.XLOOKUP(M1921,Parâmetros!K:K,Parâmetros!L:L,"")</f>
        <v>CÓDIGO DIFERENTE DO CADASTRADO NO BENNER (CLIENTE X GRUPO)</v>
      </c>
      <c r="O1921" s="1" t="str">
        <f>_xlfn.XLOOKUP(M1921,Parâmetros!B:B,Parâmetros!C:C,_xlfn.XLOOKUP(Base!M1890,Parâmetros!G:G,Parâmetros!H:H))</f>
        <v>QUALIDADE DOS DADOS</v>
      </c>
      <c r="P1921" s="1" t="str">
        <f>_xlfn.XLOOKUP(I1921,Parâmetros!A:A,Parâmetros!D:D,_xlfn.XLOOKUP(Q1921,Parâmetros!F:F,Parâmetros!I:I))</f>
        <v>SUPORTE OBT</v>
      </c>
      <c r="Q1921" s="1">
        <f t="shared" si="59"/>
        <v>1</v>
      </c>
    </row>
    <row r="1922" spans="1:17" x14ac:dyDescent="0.25">
      <c r="A1922" s="1" t="str">
        <f>_xlfn.XLOOKUP(D1922,'Novo relatório'!B:B,'Novo relatório'!C:C,"RESOLVIDO")</f>
        <v>SABRE</v>
      </c>
      <c r="C1922" t="str">
        <f t="shared" ref="C1922:C1985" si="60">IF(A1922="RESOLVIDO","RESOLVIDO",IF(B1922="","PENDENTE",IF(LEFT(B1922,7)="CHAMADO","AGUARDANDO FORNECEDOR",IF(B1922="CONTABILIZAR","CONTABILIZAR NO PORTAL"))))</f>
        <v>PENDENTE</v>
      </c>
      <c r="D1922" s="1">
        <v>3432281</v>
      </c>
      <c r="E1922" s="1" t="s">
        <v>26</v>
      </c>
      <c r="F1922" s="2">
        <v>45797.62777777778</v>
      </c>
      <c r="G1922" s="1" t="s">
        <v>2521</v>
      </c>
      <c r="H1922" s="1" t="s">
        <v>2521</v>
      </c>
      <c r="I1922" s="1" t="s">
        <v>620</v>
      </c>
      <c r="J1922" s="2">
        <v>45797.726388888892</v>
      </c>
      <c r="L1922" s="1" t="s">
        <v>18</v>
      </c>
      <c r="M1922" s="1" t="str">
        <f>_xlfn.XLOOKUP(I1922,Parâmetros!A:A,Parâmetros!B:B,_xlfn.XLOOKUP(Q1922,Parâmetros!F:F,Parâmetros!G:G,"NOVA MENSAGEM"))</f>
        <v>CÓD. CLIENTE DIVERGENTE</v>
      </c>
      <c r="N1922" s="1" t="str">
        <f>_xlfn.XLOOKUP(M1922,Parâmetros!K:K,Parâmetros!L:L,"")</f>
        <v>CÓDIGO DIFERENTE DO CADASTRADO NO BENNER (CLIENTE X GRUPO)</v>
      </c>
      <c r="O1922" s="1" t="str">
        <f>_xlfn.XLOOKUP(M1922,Parâmetros!B:B,Parâmetros!C:C,_xlfn.XLOOKUP(Base!M1983,Parâmetros!G:G,Parâmetros!H:H))</f>
        <v>QUALIDADE DOS DADOS</v>
      </c>
      <c r="P1922" s="1" t="str">
        <f>_xlfn.XLOOKUP(I1922,Parâmetros!A:A,Parâmetros!D:D,_xlfn.XLOOKUP(Q1922,Parâmetros!F:F,Parâmetros!I:I))</f>
        <v>SUPORTE OBT</v>
      </c>
      <c r="Q1922" s="1">
        <f t="shared" ref="Q1922:Q1985" si="61">IFERROR(FIND("Não foi possível localizar o contrato do fornecedor",I1922),IFERROR(FIND("veículo",I1922),IFERROR(FIND("agagem",I1922),IFERROR(FIND("error in XML document",I1922),IFERROR(FIND("Não localizado cliente código",I1922),IFERROR(FIND("lemontech",I1922),IFERROR(FIND("&gt;Fornecedor com o",I1922),IFERROR(FIND("INSERT",I1922),IFERROR(FIND("com CNPJ",I1922),IFERROR(FIND("Consultando Agente-&gt; O agente",I1922),IFERROR(FIND("Não foi possível determinar a validade do cartão, favor verificar os dados do cartão",I1922),"COLUNA I")))))))))))</f>
        <v>1</v>
      </c>
    </row>
    <row r="1923" spans="1:17" x14ac:dyDescent="0.25">
      <c r="A1923" s="1" t="str">
        <f>_xlfn.XLOOKUP(D1923,'Novo relatório'!B:B,'Novo relatório'!C:C,"RESOLVIDO")</f>
        <v>SABRE</v>
      </c>
      <c r="C1923" t="str">
        <f t="shared" si="60"/>
        <v>PENDENTE</v>
      </c>
      <c r="D1923" s="1">
        <v>3432284</v>
      </c>
      <c r="E1923" s="1" t="s">
        <v>26</v>
      </c>
      <c r="F1923" s="2">
        <v>45797.62777777778</v>
      </c>
      <c r="G1923" s="1" t="s">
        <v>2360</v>
      </c>
      <c r="H1923" s="1" t="s">
        <v>2360</v>
      </c>
      <c r="I1923" s="1" t="s">
        <v>707</v>
      </c>
      <c r="J1923" s="2">
        <v>45797.727777777778</v>
      </c>
      <c r="L1923" s="1" t="s">
        <v>18</v>
      </c>
      <c r="M1923" s="1" t="str">
        <f>_xlfn.XLOOKUP(I1923,Parâmetros!A:A,Parâmetros!B:B,_xlfn.XLOOKUP(Q1923,Parâmetros!F:F,Parâmetros!G:G,"NOVA MENSAGEM"))</f>
        <v>CÓD. CLIENTE DIVERGENTE</v>
      </c>
      <c r="N1923" s="1" t="str">
        <f>_xlfn.XLOOKUP(M1923,Parâmetros!K:K,Parâmetros!L:L,"")</f>
        <v>CÓDIGO DIFERENTE DO CADASTRADO NO BENNER (CLIENTE X GRUPO)</v>
      </c>
      <c r="O1923" s="1" t="str">
        <f>_xlfn.XLOOKUP(M1923,Parâmetros!B:B,Parâmetros!C:C,_xlfn.XLOOKUP(Base!M1844,Parâmetros!G:G,Parâmetros!H:H))</f>
        <v>QUALIDADE DOS DADOS</v>
      </c>
      <c r="P1923" s="1" t="str">
        <f>_xlfn.XLOOKUP(I1923,Parâmetros!A:A,Parâmetros!D:D,_xlfn.XLOOKUP(Q1923,Parâmetros!F:F,Parâmetros!I:I))</f>
        <v>SUPORTE OBT</v>
      </c>
      <c r="Q1923" s="1">
        <f t="shared" si="61"/>
        <v>1</v>
      </c>
    </row>
    <row r="1924" spans="1:17" x14ac:dyDescent="0.25">
      <c r="A1924" s="1" t="str">
        <f>_xlfn.XLOOKUP(D1924,'Novo relatório'!B:B,'Novo relatório'!C:C,"RESOLVIDO")</f>
        <v>SABRE</v>
      </c>
      <c r="C1924" t="str">
        <f t="shared" si="60"/>
        <v>PENDENTE</v>
      </c>
      <c r="D1924" s="1">
        <v>3432285</v>
      </c>
      <c r="E1924" s="1" t="s">
        <v>26</v>
      </c>
      <c r="F1924" s="2">
        <v>45799.53402777778</v>
      </c>
      <c r="G1924" s="1" t="s">
        <v>2496</v>
      </c>
      <c r="H1924" s="1" t="s">
        <v>2496</v>
      </c>
      <c r="I1924" s="1" t="s">
        <v>620</v>
      </c>
      <c r="J1924" s="2">
        <v>45797.727777777778</v>
      </c>
      <c r="K1924" s="2">
        <v>45799.62777777778</v>
      </c>
      <c r="L1924" s="1" t="s">
        <v>18</v>
      </c>
      <c r="M1924" s="1" t="str">
        <f>_xlfn.XLOOKUP(I1924,Parâmetros!A:A,Parâmetros!B:B,_xlfn.XLOOKUP(Q1924,Parâmetros!F:F,Parâmetros!G:G,"NOVA MENSAGEM"))</f>
        <v>CÓD. CLIENTE DIVERGENTE</v>
      </c>
      <c r="N1924" s="1" t="str">
        <f>_xlfn.XLOOKUP(M1924,Parâmetros!K:K,Parâmetros!L:L,"")</f>
        <v>CÓDIGO DIFERENTE DO CADASTRADO NO BENNER (CLIENTE X GRUPO)</v>
      </c>
      <c r="O1924" s="1" t="str">
        <f>_xlfn.XLOOKUP(M1924,Parâmetros!B:B,Parâmetros!C:C,_xlfn.XLOOKUP(Base!M1958,Parâmetros!G:G,Parâmetros!H:H))</f>
        <v>QUALIDADE DOS DADOS</v>
      </c>
      <c r="P1924" s="1" t="str">
        <f>_xlfn.XLOOKUP(I1924,Parâmetros!A:A,Parâmetros!D:D,_xlfn.XLOOKUP(Q1924,Parâmetros!F:F,Parâmetros!I:I))</f>
        <v>SUPORTE OBT</v>
      </c>
      <c r="Q1924" s="1">
        <f t="shared" si="61"/>
        <v>1</v>
      </c>
    </row>
    <row r="1925" spans="1:17" x14ac:dyDescent="0.25">
      <c r="A1925" s="1" t="str">
        <f>_xlfn.XLOOKUP(D1925,'Novo relatório'!B:B,'Novo relatório'!C:C,"RESOLVIDO")</f>
        <v>SABRE</v>
      </c>
      <c r="C1925" t="str">
        <f t="shared" si="60"/>
        <v>PENDENTE</v>
      </c>
      <c r="D1925" s="1">
        <v>3432459</v>
      </c>
      <c r="E1925" s="1" t="s">
        <v>26</v>
      </c>
      <c r="F1925" s="2">
        <v>45797.761111111111</v>
      </c>
      <c r="G1925" s="1" t="s">
        <v>2463</v>
      </c>
      <c r="H1925" s="1" t="s">
        <v>2463</v>
      </c>
      <c r="I1925" s="1" t="s">
        <v>707</v>
      </c>
      <c r="J1925" s="2">
        <v>45797.773611111108</v>
      </c>
      <c r="K1925" s="2">
        <v>45797.84652777778</v>
      </c>
      <c r="L1925" s="1" t="s">
        <v>18</v>
      </c>
      <c r="M1925" s="1" t="str">
        <f>_xlfn.XLOOKUP(I1925,Parâmetros!A:A,Parâmetros!B:B,_xlfn.XLOOKUP(Q1925,Parâmetros!F:F,Parâmetros!G:G,"NOVA MENSAGEM"))</f>
        <v>CÓD. CLIENTE DIVERGENTE</v>
      </c>
      <c r="N1925" s="1" t="str">
        <f>_xlfn.XLOOKUP(M1925,Parâmetros!K:K,Parâmetros!L:L,"")</f>
        <v>CÓDIGO DIFERENTE DO CADASTRADO NO BENNER (CLIENTE X GRUPO)</v>
      </c>
      <c r="O1925" s="1" t="str">
        <f>_xlfn.XLOOKUP(M1925,Parâmetros!B:B,Parâmetros!C:C,_xlfn.XLOOKUP(Base!M1930,Parâmetros!G:G,Parâmetros!H:H))</f>
        <v>QUALIDADE DOS DADOS</v>
      </c>
      <c r="P1925" s="1" t="str">
        <f>_xlfn.XLOOKUP(I1925,Parâmetros!A:A,Parâmetros!D:D,_xlfn.XLOOKUP(Q1925,Parâmetros!F:F,Parâmetros!I:I))</f>
        <v>SUPORTE OBT</v>
      </c>
      <c r="Q1925" s="1">
        <f t="shared" si="61"/>
        <v>1</v>
      </c>
    </row>
    <row r="1926" spans="1:17" x14ac:dyDescent="0.25">
      <c r="A1926" s="1" t="str">
        <f>_xlfn.XLOOKUP(D1926,'Novo relatório'!B:B,'Novo relatório'!C:C,"RESOLVIDO")</f>
        <v>SABRE</v>
      </c>
      <c r="C1926" t="str">
        <f t="shared" si="60"/>
        <v>PENDENTE</v>
      </c>
      <c r="D1926" s="1">
        <v>3432465</v>
      </c>
      <c r="E1926" s="1" t="s">
        <v>26</v>
      </c>
      <c r="F1926" s="2">
        <v>45797.761111111111</v>
      </c>
      <c r="G1926" s="1" t="s">
        <v>2462</v>
      </c>
      <c r="H1926" s="1" t="s">
        <v>2462</v>
      </c>
      <c r="I1926" s="1" t="s">
        <v>746</v>
      </c>
      <c r="J1926" s="2">
        <v>45797.774305555555</v>
      </c>
      <c r="K1926" s="2">
        <v>45797.847222222219</v>
      </c>
      <c r="L1926" s="1" t="s">
        <v>18</v>
      </c>
      <c r="M1926" s="1" t="str">
        <f>_xlfn.XLOOKUP(I1926,Parâmetros!A:A,Parâmetros!B:B,_xlfn.XLOOKUP(Q1926,Parâmetros!F:F,Parâmetros!G:G,"NOVA MENSAGEM"))</f>
        <v>CÓD. CLIENTE DIVERGENTE</v>
      </c>
      <c r="N1926" s="1" t="str">
        <f>_xlfn.XLOOKUP(M1926,Parâmetros!K:K,Parâmetros!L:L,"")</f>
        <v>CÓDIGO DIFERENTE DO CADASTRADO NO BENNER (CLIENTE X GRUPO)</v>
      </c>
      <c r="O1926" s="1" t="str">
        <f>_xlfn.XLOOKUP(M1926,Parâmetros!B:B,Parâmetros!C:C,_xlfn.XLOOKUP(Base!M1929,Parâmetros!G:G,Parâmetros!H:H))</f>
        <v>QUALIDADE DOS DADOS</v>
      </c>
      <c r="P1926" s="1" t="str">
        <f>_xlfn.XLOOKUP(I1926,Parâmetros!A:A,Parâmetros!D:D,_xlfn.XLOOKUP(Q1926,Parâmetros!F:F,Parâmetros!I:I))</f>
        <v>SUPORTE OBT</v>
      </c>
      <c r="Q1926" s="1">
        <f t="shared" si="61"/>
        <v>1</v>
      </c>
    </row>
    <row r="1927" spans="1:17" x14ac:dyDescent="0.25">
      <c r="A1927" s="1" t="str">
        <f>_xlfn.XLOOKUP(D1927,'Novo relatório'!B:B,'Novo relatório'!C:C,"RESOLVIDO")</f>
        <v>SABRE</v>
      </c>
      <c r="C1927" t="str">
        <f t="shared" si="60"/>
        <v>PENDENTE</v>
      </c>
      <c r="D1927" s="1">
        <v>3432605</v>
      </c>
      <c r="E1927" s="1" t="s">
        <v>26</v>
      </c>
      <c r="F1927" s="2">
        <v>45797.761111111111</v>
      </c>
      <c r="G1927" s="1" t="s">
        <v>2452</v>
      </c>
      <c r="H1927" s="1" t="s">
        <v>2452</v>
      </c>
      <c r="I1927" s="1" t="s">
        <v>707</v>
      </c>
      <c r="J1927" s="2">
        <v>45797.84652777778</v>
      </c>
      <c r="L1927" s="1" t="s">
        <v>18</v>
      </c>
      <c r="M1927" s="1" t="str">
        <f>_xlfn.XLOOKUP(I1927,Parâmetros!A:A,Parâmetros!B:B,_xlfn.XLOOKUP(Q1927,Parâmetros!F:F,Parâmetros!G:G,"NOVA MENSAGEM"))</f>
        <v>CÓD. CLIENTE DIVERGENTE</v>
      </c>
      <c r="N1927" s="1" t="str">
        <f>_xlfn.XLOOKUP(M1927,Parâmetros!K:K,Parâmetros!L:L,"")</f>
        <v>CÓDIGO DIFERENTE DO CADASTRADO NO BENNER (CLIENTE X GRUPO)</v>
      </c>
      <c r="O1927" s="1" t="str">
        <f>_xlfn.XLOOKUP(M1927,Parâmetros!B:B,Parâmetros!C:C,_xlfn.XLOOKUP(Base!M1921,Parâmetros!G:G,Parâmetros!H:H))</f>
        <v>QUALIDADE DOS DADOS</v>
      </c>
      <c r="P1927" s="1" t="str">
        <f>_xlfn.XLOOKUP(I1927,Parâmetros!A:A,Parâmetros!D:D,_xlfn.XLOOKUP(Q1927,Parâmetros!F:F,Parâmetros!I:I))</f>
        <v>SUPORTE OBT</v>
      </c>
      <c r="Q1927" s="1">
        <f t="shared" si="61"/>
        <v>1</v>
      </c>
    </row>
    <row r="1928" spans="1:17" x14ac:dyDescent="0.25">
      <c r="A1928" s="1" t="str">
        <f>_xlfn.XLOOKUP(D1928,'Novo relatório'!B:B,'Novo relatório'!C:C,"RESOLVIDO")</f>
        <v>SABRE</v>
      </c>
      <c r="C1928" t="str">
        <f t="shared" si="60"/>
        <v>PENDENTE</v>
      </c>
      <c r="D1928" s="1">
        <v>3432613</v>
      </c>
      <c r="E1928" s="1" t="s">
        <v>26</v>
      </c>
      <c r="F1928" s="2">
        <v>45797.761111111111</v>
      </c>
      <c r="G1928" s="1" t="s">
        <v>2505</v>
      </c>
      <c r="H1928" s="1" t="s">
        <v>2505</v>
      </c>
      <c r="I1928" s="1" t="s">
        <v>396</v>
      </c>
      <c r="J1928" s="2">
        <v>45797.847916666666</v>
      </c>
      <c r="L1928" s="1" t="s">
        <v>18</v>
      </c>
      <c r="M1928" s="1" t="str">
        <f>_xlfn.XLOOKUP(I1928,Parâmetros!A:A,Parâmetros!B:B,_xlfn.XLOOKUP(Q1928,Parâmetros!F:F,Parâmetros!G:G,"NOVA MENSAGEM"))</f>
        <v>CÓD. CLIENTE DIVERGENTE</v>
      </c>
      <c r="N1928" s="1" t="str">
        <f>_xlfn.XLOOKUP(M1928,Parâmetros!K:K,Parâmetros!L:L,"")</f>
        <v>CÓDIGO DIFERENTE DO CADASTRADO NO BENNER (CLIENTE X GRUPO)</v>
      </c>
      <c r="O1928" s="1" t="str">
        <f>_xlfn.XLOOKUP(M1928,Parâmetros!B:B,Parâmetros!C:C,_xlfn.XLOOKUP(Base!M1967,Parâmetros!G:G,Parâmetros!H:H))</f>
        <v>QUALIDADE DOS DADOS</v>
      </c>
      <c r="P1928" s="1" t="str">
        <f>_xlfn.XLOOKUP(I1928,Parâmetros!A:A,Parâmetros!D:D,_xlfn.XLOOKUP(Q1928,Parâmetros!F:F,Parâmetros!I:I))</f>
        <v>SUPORTE OBT</v>
      </c>
      <c r="Q1928" s="1">
        <f t="shared" si="61"/>
        <v>1</v>
      </c>
    </row>
    <row r="1929" spans="1:17" x14ac:dyDescent="0.25">
      <c r="A1929" s="1" t="str">
        <f>_xlfn.XLOOKUP(D1929,'Novo relatório'!B:B,'Novo relatório'!C:C,"RESOLVIDO")</f>
        <v>TMS</v>
      </c>
      <c r="C1929" t="str">
        <f t="shared" si="60"/>
        <v>PENDENTE</v>
      </c>
      <c r="D1929" s="1">
        <v>3432649</v>
      </c>
      <c r="E1929" s="1" t="s">
        <v>12</v>
      </c>
      <c r="F1929" s="2">
        <v>45797.618055555555</v>
      </c>
      <c r="G1929" s="1">
        <v>6859</v>
      </c>
      <c r="H1929" s="1">
        <v>6859</v>
      </c>
      <c r="I1929" s="1" t="s">
        <v>2533</v>
      </c>
      <c r="J1929" s="2">
        <v>45797.869444444441</v>
      </c>
      <c r="K1929" s="2">
        <v>45800.911111111112</v>
      </c>
      <c r="L1929" s="1" t="s">
        <v>19</v>
      </c>
      <c r="M1929" s="1" t="str">
        <f>_xlfn.XLOOKUP(I1929,Parâmetros!A:A,Parâmetros!B:B,_xlfn.XLOOKUP(Q1929,Parâmetros!F:F,Parâmetros!G:G,"NOVA MENSAGEM"))</f>
        <v>CONTRATO FORNECEDOR</v>
      </c>
      <c r="N1929" s="1" t="str">
        <f>_xlfn.XLOOKUP(M1929,Parâmetros!K:K,Parâmetros!L:L,"")</f>
        <v>CONTRATO INATIVO OU DIVERGENTE</v>
      </c>
      <c r="O1929" s="1" t="str">
        <f>_xlfn.XLOOKUP(M1929,Parâmetros!B:B,Parâmetros!C:C,_xlfn.XLOOKUP(Base!M2019,Parâmetros!G:G,Parâmetros!H:H))</f>
        <v>SISTEMA</v>
      </c>
      <c r="P1929" s="1" t="str">
        <f>_xlfn.XLOOKUP(I1929,Parâmetros!A:A,Parâmetros!D:D,_xlfn.XLOOKUP(Q1929,Parâmetros!F:F,Parâmetros!I:I))</f>
        <v>OPERAÇÕES / SUPORTE KCS</v>
      </c>
      <c r="Q1929" s="1">
        <f t="shared" si="61"/>
        <v>69</v>
      </c>
    </row>
    <row r="1930" spans="1:17" x14ac:dyDescent="0.25">
      <c r="A1930" s="1" t="str">
        <f>_xlfn.XLOOKUP(D1930,'Novo relatório'!B:B,'Novo relatório'!C:C,"RESOLVIDO")</f>
        <v>GOVER</v>
      </c>
      <c r="C1930" t="str">
        <f t="shared" si="60"/>
        <v>PENDENTE</v>
      </c>
      <c r="D1930" s="1">
        <v>3433158</v>
      </c>
      <c r="E1930" s="1" t="s">
        <v>24</v>
      </c>
      <c r="F1930" s="2">
        <v>45797.901388888888</v>
      </c>
      <c r="G1930" s="1">
        <v>4540356</v>
      </c>
      <c r="H1930" s="1">
        <v>4540356</v>
      </c>
      <c r="I1930" s="1" t="s">
        <v>77</v>
      </c>
      <c r="J1930" s="2">
        <v>45797.912499999999</v>
      </c>
      <c r="K1930" s="2">
        <v>45810.706250000003</v>
      </c>
      <c r="L1930" s="1" t="s">
        <v>14</v>
      </c>
      <c r="M1930" s="1" t="str">
        <f>_xlfn.XLOOKUP(I1930,Parâmetros!A:A,Parâmetros!B:B,_xlfn.XLOOKUP(Q1930,Parâmetros!F:F,Parâmetros!G:G,"NOVA MENSAGEM"))</f>
        <v>RLOC NÃO INFORMADO</v>
      </c>
      <c r="N1930" s="1" t="str">
        <f>_xlfn.XLOOKUP(M1930,Parâmetros!K:K,Parâmetros!L:L,"")</f>
        <v>RLOC NÃO PREENCHIDO NA RESERVA</v>
      </c>
      <c r="O1930" s="1" t="str">
        <f>_xlfn.XLOOKUP(M1930,Parâmetros!B:B,Parâmetros!C:C,_xlfn.XLOOKUP(Base!M2068,Parâmetros!G:G,Parâmetros!H:H))</f>
        <v>QUALIDADE DOS DADOS</v>
      </c>
      <c r="P1930" s="1" t="str">
        <f>_xlfn.XLOOKUP(I1930,Parâmetros!A:A,Parâmetros!D:D,_xlfn.XLOOKUP(Q1930,Parâmetros!F:F,Parâmetros!I:I))</f>
        <v>SUPORTE OBT</v>
      </c>
      <c r="Q1930" s="1" t="str">
        <f t="shared" si="61"/>
        <v>COLUNA I</v>
      </c>
    </row>
    <row r="1931" spans="1:17" x14ac:dyDescent="0.25">
      <c r="A1931" s="1" t="str">
        <f>_xlfn.XLOOKUP(D1931,'Novo relatório'!B:B,'Novo relatório'!C:C,"RESOLVIDO")</f>
        <v>RESOLVIDO</v>
      </c>
      <c r="C1931" t="str">
        <f t="shared" si="60"/>
        <v>RESOLVIDO</v>
      </c>
      <c r="D1931" s="1">
        <v>3433217</v>
      </c>
      <c r="E1931" s="1" t="s">
        <v>12</v>
      </c>
      <c r="F1931" s="2">
        <v>45797.633333333331</v>
      </c>
      <c r="G1931" s="1">
        <v>63626</v>
      </c>
      <c r="H1931" s="1">
        <v>63626</v>
      </c>
      <c r="I1931" s="1" t="s">
        <v>2532</v>
      </c>
      <c r="J1931" s="2">
        <v>45797.917361111111</v>
      </c>
      <c r="K1931" s="2">
        <v>45800.950694444444</v>
      </c>
      <c r="L1931" s="1" t="s">
        <v>19</v>
      </c>
      <c r="M1931" s="1" t="str">
        <f>_xlfn.XLOOKUP(I1931,Parâmetros!A:A,Parâmetros!B:B,_xlfn.XLOOKUP(Q1931,Parâmetros!F:F,Parâmetros!G:G,"NOVA MENSAGEM"))</f>
        <v>CONTRATO FORNECEDOR</v>
      </c>
      <c r="N1931" s="1" t="str">
        <f>_xlfn.XLOOKUP(M1931,Parâmetros!K:K,Parâmetros!L:L,"")</f>
        <v>CONTRATO INATIVO OU DIVERGENTE</v>
      </c>
      <c r="O1931" s="1" t="str">
        <f>_xlfn.XLOOKUP(M1931,Parâmetros!B:B,Parâmetros!C:C,_xlfn.XLOOKUP(Base!M2006,Parâmetros!G:G,Parâmetros!H:H))</f>
        <v>SISTEMA</v>
      </c>
      <c r="P1931" s="1" t="str">
        <f>_xlfn.XLOOKUP(I1931,Parâmetros!A:A,Parâmetros!D:D,_xlfn.XLOOKUP(Q1931,Parâmetros!F:F,Parâmetros!I:I))</f>
        <v>OPERAÇÕES / SUPORTE KCS</v>
      </c>
      <c r="Q1931" s="1">
        <f t="shared" si="61"/>
        <v>43</v>
      </c>
    </row>
    <row r="1932" spans="1:17" x14ac:dyDescent="0.25">
      <c r="A1932" s="1" t="str">
        <f>_xlfn.XLOOKUP(D1932,'Novo relatório'!B:B,'Novo relatório'!C:C,"RESOLVIDO")</f>
        <v>TMS</v>
      </c>
      <c r="C1932" t="str">
        <f t="shared" si="60"/>
        <v>PENDENTE</v>
      </c>
      <c r="D1932" s="1">
        <v>3433417</v>
      </c>
      <c r="E1932" s="1" t="s">
        <v>12</v>
      </c>
      <c r="F1932" s="2">
        <v>45797.707638888889</v>
      </c>
      <c r="G1932" s="1">
        <v>6671</v>
      </c>
      <c r="H1932" s="1">
        <v>6671</v>
      </c>
      <c r="I1932" s="1" t="s">
        <v>16</v>
      </c>
      <c r="J1932" s="2">
        <v>45797.943055555559</v>
      </c>
      <c r="K1932" s="2">
        <v>45800.969444444447</v>
      </c>
      <c r="L1932" s="1" t="s">
        <v>14</v>
      </c>
      <c r="M1932" s="1" t="str">
        <f>_xlfn.XLOOKUP(I1932,Parâmetros!A:A,Parâmetros!B:B,_xlfn.XLOOKUP(Q1932,Parâmetros!F:F,Parâmetros!G:G,"NOVA MENSAGEM"))</f>
        <v>ASSENTO / BAGAGEM</v>
      </c>
      <c r="N1932" s="1" t="str">
        <f>_xlfn.XLOOKUP(M1932,Parâmetros!K:K,Parâmetros!L:L,"")</f>
        <v>CAMPO OBSERVAÇÃO PREENCHIDO INCORRETAMENTE</v>
      </c>
      <c r="O1932" s="1" t="str">
        <f>_xlfn.XLOOKUP(M1932,Parâmetros!B:B,Parâmetros!C:C,_xlfn.XLOOKUP(Base!M2015,Parâmetros!G:G,Parâmetros!H:H))</f>
        <v>QUALIDADE DOS DADOS</v>
      </c>
      <c r="P1932" s="1" t="str">
        <f>_xlfn.XLOOKUP(I1932,Parâmetros!A:A,Parâmetros!D:D,_xlfn.XLOOKUP(Q1932,Parâmetros!F:F,Parâmetros!I:I))</f>
        <v>OPERAÇÕES / SUPORTE KCS</v>
      </c>
      <c r="Q1932" s="1">
        <f t="shared" si="61"/>
        <v>118</v>
      </c>
    </row>
    <row r="1933" spans="1:17" x14ac:dyDescent="0.25">
      <c r="A1933" s="1" t="str">
        <f>_xlfn.XLOOKUP(D1933,'Novo relatório'!B:B,'Novo relatório'!C:C,"RESOLVIDO")</f>
        <v>RESOLVIDO</v>
      </c>
      <c r="C1933" t="str">
        <f t="shared" si="60"/>
        <v>RESOLVIDO</v>
      </c>
      <c r="D1933" s="1">
        <v>3433569</v>
      </c>
      <c r="E1933" s="1" t="s">
        <v>12</v>
      </c>
      <c r="F1933" s="2">
        <v>45798.347916666666</v>
      </c>
      <c r="G1933" s="1">
        <v>4663</v>
      </c>
      <c r="H1933" s="1">
        <v>4663</v>
      </c>
      <c r="I1933" s="1" t="s">
        <v>927</v>
      </c>
      <c r="J1933" s="2">
        <v>45798.380555555559</v>
      </c>
      <c r="K1933" s="2">
        <v>45801.927777777775</v>
      </c>
      <c r="L1933" s="1" t="s">
        <v>19</v>
      </c>
      <c r="M1933" s="1" t="str">
        <f>_xlfn.XLOOKUP(I1933,Parâmetros!A:A,Parâmetros!B:B,_xlfn.XLOOKUP(Q1933,Parâmetros!F:F,Parâmetros!G:G,"NOVA MENSAGEM"))</f>
        <v>CONTRATO FORNECEDOR</v>
      </c>
      <c r="N1933" s="1" t="str">
        <f>_xlfn.XLOOKUP(M1933,Parâmetros!K:K,Parâmetros!L:L,"")</f>
        <v>CONTRATO INATIVO OU DIVERGENTE</v>
      </c>
      <c r="O1933" s="1" t="str">
        <f>_xlfn.XLOOKUP(M1933,Parâmetros!B:B,Parâmetros!C:C,_xlfn.XLOOKUP(Base!M2004,Parâmetros!G:G,Parâmetros!H:H))</f>
        <v>SISTEMA</v>
      </c>
      <c r="P1933" s="1" t="str">
        <f>_xlfn.XLOOKUP(I1933,Parâmetros!A:A,Parâmetros!D:D,_xlfn.XLOOKUP(Q1933,Parâmetros!F:F,Parâmetros!I:I))</f>
        <v>OPERAÇÕES / SUPORTE KCS</v>
      </c>
      <c r="Q1933" s="1">
        <f t="shared" si="61"/>
        <v>69</v>
      </c>
    </row>
    <row r="1934" spans="1:17" x14ac:dyDescent="0.25">
      <c r="A1934" s="1" t="str">
        <f>_xlfn.XLOOKUP(D1934,'Novo relatório'!B:B,'Novo relatório'!C:C,"RESOLVIDO")</f>
        <v>RESOLVIDO</v>
      </c>
      <c r="C1934" t="str">
        <f t="shared" si="60"/>
        <v>RESOLVIDO</v>
      </c>
      <c r="D1934" s="1">
        <v>3433570</v>
      </c>
      <c r="E1934" s="1" t="s">
        <v>12</v>
      </c>
      <c r="F1934" s="2">
        <v>45798.345138888886</v>
      </c>
      <c r="G1934" s="1">
        <v>4662</v>
      </c>
      <c r="H1934" s="1">
        <v>4662</v>
      </c>
      <c r="I1934" s="1" t="s">
        <v>927</v>
      </c>
      <c r="J1934" s="2">
        <v>45798.380555555559</v>
      </c>
      <c r="K1934" s="2">
        <v>45801.927777777775</v>
      </c>
      <c r="L1934" s="1" t="s">
        <v>19</v>
      </c>
      <c r="M1934" s="1" t="str">
        <f>_xlfn.XLOOKUP(I1934,Parâmetros!A:A,Parâmetros!B:B,_xlfn.XLOOKUP(Q1934,Parâmetros!F:F,Parâmetros!G:G,"NOVA MENSAGEM"))</f>
        <v>CONTRATO FORNECEDOR</v>
      </c>
      <c r="N1934" s="1" t="str">
        <f>_xlfn.XLOOKUP(M1934,Parâmetros!K:K,Parâmetros!L:L,"")</f>
        <v>CONTRATO INATIVO OU DIVERGENTE</v>
      </c>
      <c r="O1934" s="1" t="str">
        <f>_xlfn.XLOOKUP(M1934,Parâmetros!B:B,Parâmetros!C:C,_xlfn.XLOOKUP(Base!M2003,Parâmetros!G:G,Parâmetros!H:H))</f>
        <v>SISTEMA</v>
      </c>
      <c r="P1934" s="1" t="str">
        <f>_xlfn.XLOOKUP(I1934,Parâmetros!A:A,Parâmetros!D:D,_xlfn.XLOOKUP(Q1934,Parâmetros!F:F,Parâmetros!I:I))</f>
        <v>OPERAÇÕES / SUPORTE KCS</v>
      </c>
      <c r="Q1934" s="1">
        <f t="shared" si="61"/>
        <v>69</v>
      </c>
    </row>
    <row r="1935" spans="1:17" x14ac:dyDescent="0.25">
      <c r="A1935" s="1" t="str">
        <f>_xlfn.XLOOKUP(D1935,'Novo relatório'!B:B,'Novo relatório'!C:C,"RESOLVIDO")</f>
        <v>SABRE</v>
      </c>
      <c r="C1935" t="str">
        <f t="shared" si="60"/>
        <v>PENDENTE</v>
      </c>
      <c r="D1935" s="1">
        <v>3433812</v>
      </c>
      <c r="E1935" s="1" t="s">
        <v>26</v>
      </c>
      <c r="F1935" s="2">
        <v>45798.393055555556</v>
      </c>
      <c r="G1935" s="1" t="s">
        <v>2479</v>
      </c>
      <c r="H1935" s="1" t="s">
        <v>2480</v>
      </c>
      <c r="I1935" s="1" t="s">
        <v>2481</v>
      </c>
      <c r="J1935" s="2">
        <v>45798.479861111111</v>
      </c>
      <c r="L1935" s="1" t="s">
        <v>19</v>
      </c>
      <c r="M1935" s="1" t="str">
        <f>_xlfn.XLOOKUP(I1935,Parâmetros!A:A,Parâmetros!B:B,_xlfn.XLOOKUP(Q1935,Parâmetros!F:F,Parâmetros!G:G,"NOVA MENSAGEM"))</f>
        <v>CONTRATO FORNECEDOR</v>
      </c>
      <c r="N1935" s="1" t="str">
        <f>_xlfn.XLOOKUP(M1935,Parâmetros!K:K,Parâmetros!L:L,"")</f>
        <v>CONTRATO INATIVO OU DIVERGENTE</v>
      </c>
      <c r="O1935" s="1" t="str">
        <f>_xlfn.XLOOKUP(M1935,Parâmetros!B:B,Parâmetros!C:C,_xlfn.XLOOKUP(Base!M1945,Parâmetros!G:G,Parâmetros!H:H))</f>
        <v>SISTEMA</v>
      </c>
      <c r="P1935" s="1" t="str">
        <f>_xlfn.XLOOKUP(I1935,Parâmetros!A:A,Parâmetros!D:D,_xlfn.XLOOKUP(Q1935,Parâmetros!F:F,Parâmetros!I:I))</f>
        <v>OPERAÇÕES / SUPORTE KCS</v>
      </c>
      <c r="Q1935" s="1">
        <f t="shared" si="61"/>
        <v>43</v>
      </c>
    </row>
    <row r="1936" spans="1:17" x14ac:dyDescent="0.25">
      <c r="A1936" s="1" t="str">
        <f>_xlfn.XLOOKUP(D1936,'Novo relatório'!B:B,'Novo relatório'!C:C,"RESOLVIDO")</f>
        <v>SABRE</v>
      </c>
      <c r="C1936" t="str">
        <f t="shared" si="60"/>
        <v>PENDENTE</v>
      </c>
      <c r="D1936" s="1">
        <v>3433953</v>
      </c>
      <c r="E1936" s="1" t="s">
        <v>26</v>
      </c>
      <c r="F1936" s="2">
        <v>45798.458333333336</v>
      </c>
      <c r="G1936" s="1" t="s">
        <v>2390</v>
      </c>
      <c r="H1936" s="1" t="s">
        <v>2390</v>
      </c>
      <c r="I1936" s="1" t="s">
        <v>396</v>
      </c>
      <c r="J1936" s="2">
        <v>45798.54583333333</v>
      </c>
      <c r="L1936" s="1" t="s">
        <v>18</v>
      </c>
      <c r="M1936" s="1" t="str">
        <f>_xlfn.XLOOKUP(I1936,Parâmetros!A:A,Parâmetros!B:B,_xlfn.XLOOKUP(Q1936,Parâmetros!F:F,Parâmetros!G:G,"NOVA MENSAGEM"))</f>
        <v>CÓD. CLIENTE DIVERGENTE</v>
      </c>
      <c r="N1936" s="1" t="str">
        <f>_xlfn.XLOOKUP(M1936,Parâmetros!K:K,Parâmetros!L:L,"")</f>
        <v>CÓDIGO DIFERENTE DO CADASTRADO NO BENNER (CLIENTE X GRUPO)</v>
      </c>
      <c r="O1936" s="1" t="str">
        <f>_xlfn.XLOOKUP(M1936,Parâmetros!B:B,Parâmetros!C:C,_xlfn.XLOOKUP(Base!M1870,Parâmetros!G:G,Parâmetros!H:H))</f>
        <v>QUALIDADE DOS DADOS</v>
      </c>
      <c r="P1936" s="1" t="str">
        <f>_xlfn.XLOOKUP(I1936,Parâmetros!A:A,Parâmetros!D:D,_xlfn.XLOOKUP(Q1936,Parâmetros!F:F,Parâmetros!I:I))</f>
        <v>SUPORTE OBT</v>
      </c>
      <c r="Q1936" s="1">
        <f t="shared" si="61"/>
        <v>1</v>
      </c>
    </row>
    <row r="1937" spans="1:17" x14ac:dyDescent="0.25">
      <c r="A1937" s="1" t="str">
        <f>_xlfn.XLOOKUP(D1937,'Novo relatório'!B:B,'Novo relatório'!C:C,"RESOLVIDO")</f>
        <v>SABRE</v>
      </c>
      <c r="C1937" t="str">
        <f t="shared" si="60"/>
        <v>PENDENTE</v>
      </c>
      <c r="D1937" s="1">
        <v>3433981</v>
      </c>
      <c r="E1937" s="1" t="s">
        <v>26</v>
      </c>
      <c r="F1937" s="2">
        <v>45798.463888888888</v>
      </c>
      <c r="G1937" s="1" t="s">
        <v>2520</v>
      </c>
      <c r="H1937" s="1" t="s">
        <v>2520</v>
      </c>
      <c r="I1937" s="1" t="s">
        <v>396</v>
      </c>
      <c r="J1937" s="2">
        <v>45798.554861111108</v>
      </c>
      <c r="L1937" s="1" t="s">
        <v>18</v>
      </c>
      <c r="M1937" s="1" t="str">
        <f>_xlfn.XLOOKUP(I1937,Parâmetros!A:A,Parâmetros!B:B,_xlfn.XLOOKUP(Q1937,Parâmetros!F:F,Parâmetros!G:G,"NOVA MENSAGEM"))</f>
        <v>CÓD. CLIENTE DIVERGENTE</v>
      </c>
      <c r="N1937" s="1" t="str">
        <f>_xlfn.XLOOKUP(M1937,Parâmetros!K:K,Parâmetros!L:L,"")</f>
        <v>CÓDIGO DIFERENTE DO CADASTRADO NO BENNER (CLIENTE X GRUPO)</v>
      </c>
      <c r="O1937" s="1" t="str">
        <f>_xlfn.XLOOKUP(M1937,Parâmetros!B:B,Parâmetros!C:C,_xlfn.XLOOKUP(Base!M1982,Parâmetros!G:G,Parâmetros!H:H))</f>
        <v>QUALIDADE DOS DADOS</v>
      </c>
      <c r="P1937" s="1" t="str">
        <f>_xlfn.XLOOKUP(I1937,Parâmetros!A:A,Parâmetros!D:D,_xlfn.XLOOKUP(Q1937,Parâmetros!F:F,Parâmetros!I:I))</f>
        <v>SUPORTE OBT</v>
      </c>
      <c r="Q1937" s="1">
        <f t="shared" si="61"/>
        <v>1</v>
      </c>
    </row>
    <row r="1938" spans="1:17" x14ac:dyDescent="0.25">
      <c r="A1938" s="1" t="str">
        <f>_xlfn.XLOOKUP(D1938,'Novo relatório'!B:B,'Novo relatório'!C:C,"RESOLVIDO")</f>
        <v>SABRE</v>
      </c>
      <c r="C1938" t="str">
        <f t="shared" si="60"/>
        <v>PENDENTE</v>
      </c>
      <c r="D1938" s="1">
        <v>3433982</v>
      </c>
      <c r="E1938" s="1" t="s">
        <v>26</v>
      </c>
      <c r="F1938" s="2">
        <v>45798.463888888888</v>
      </c>
      <c r="G1938" s="1" t="s">
        <v>2419</v>
      </c>
      <c r="H1938" s="1" t="s">
        <v>2419</v>
      </c>
      <c r="I1938" s="1" t="s">
        <v>83</v>
      </c>
      <c r="J1938" s="2">
        <v>45798.554861111108</v>
      </c>
      <c r="L1938" s="1" t="s">
        <v>18</v>
      </c>
      <c r="M1938" s="1" t="str">
        <f>_xlfn.XLOOKUP(I1938,Parâmetros!A:A,Parâmetros!B:B,_xlfn.XLOOKUP(Q1938,Parâmetros!F:F,Parâmetros!G:G,"NOVA MENSAGEM"))</f>
        <v>CLIENTE NÃO IDENTIFICADO</v>
      </c>
      <c r="N1938" s="1" t="str">
        <f>_xlfn.XLOOKUP(M1938,Parâmetros!K:K,Parâmetros!L:L,"")</f>
        <v>DK DE CLIENTE NÃO PREENCIDO / CLIENTE NÃO CONFIGURADO NO OBT</v>
      </c>
      <c r="O1938" s="1" t="str">
        <f>_xlfn.XLOOKUP(M1938,Parâmetros!B:B,Parâmetros!C:C,_xlfn.XLOOKUP(Base!M1894,Parâmetros!G:G,Parâmetros!H:H))</f>
        <v>INDEFINIDO</v>
      </c>
      <c r="P1938" s="1" t="str">
        <f>_xlfn.XLOOKUP(I1938,Parâmetros!A:A,Parâmetros!D:D,_xlfn.XLOOKUP(Q1938,Parâmetros!F:F,Parâmetros!I:I))</f>
        <v>OPERAÇÕES / SUPORTE KCS</v>
      </c>
      <c r="Q1938" s="1" t="str">
        <f t="shared" si="61"/>
        <v>COLUNA I</v>
      </c>
    </row>
    <row r="1939" spans="1:17" x14ac:dyDescent="0.25">
      <c r="A1939" s="1" t="str">
        <f>_xlfn.XLOOKUP(D1939,'Novo relatório'!B:B,'Novo relatório'!C:C,"RESOLVIDO")</f>
        <v>SABRE</v>
      </c>
      <c r="C1939" t="str">
        <f t="shared" si="60"/>
        <v>PENDENTE</v>
      </c>
      <c r="D1939" s="1">
        <v>3434009</v>
      </c>
      <c r="E1939" s="1" t="s">
        <v>26</v>
      </c>
      <c r="F1939" s="2">
        <v>45798.479166666664</v>
      </c>
      <c r="G1939" s="1" t="s">
        <v>2528</v>
      </c>
      <c r="H1939" s="1" t="s">
        <v>2528</v>
      </c>
      <c r="I1939" s="1" t="s">
        <v>622</v>
      </c>
      <c r="J1939" s="2">
        <v>45798.567361111112</v>
      </c>
      <c r="L1939" s="1" t="s">
        <v>14</v>
      </c>
      <c r="M1939" s="1" t="str">
        <f>_xlfn.XLOOKUP(I1939,Parâmetros!A:A,Parâmetros!B:B,_xlfn.XLOOKUP(Q1939,Parâmetros!F:F,Parâmetros!G:G,"NOVA MENSAGEM"))</f>
        <v>ERRO DE SQL</v>
      </c>
      <c r="N1939" s="1" t="str">
        <f>_xlfn.XLOOKUP(M1939,Parâmetros!K:K,Parâmetros!L:L,"")</f>
        <v>ERRO NA IMPORTAÇÃO/MODIFICAÇÃO DAS INFOMAÇÕES</v>
      </c>
      <c r="O1939" s="1" t="str">
        <f>_xlfn.XLOOKUP(M1939,Parâmetros!B:B,Parâmetros!C:C,_xlfn.XLOOKUP(Base!M1990,Parâmetros!G:G,Parâmetros!H:H))</f>
        <v>SISTEMA</v>
      </c>
      <c r="P1939" s="1" t="str">
        <f>_xlfn.XLOOKUP(I1939,Parâmetros!A:A,Parâmetros!D:D,_xlfn.XLOOKUP(Q1939,Parâmetros!F:F,Parâmetros!I:I))</f>
        <v>SUPORTE BENNER</v>
      </c>
      <c r="Q1939" s="1" t="str">
        <f t="shared" si="61"/>
        <v>COLUNA I</v>
      </c>
    </row>
    <row r="1940" spans="1:17" x14ac:dyDescent="0.25">
      <c r="A1940" s="1" t="str">
        <f>_xlfn.XLOOKUP(D1940,'Novo relatório'!B:B,'Novo relatório'!C:C,"RESOLVIDO")</f>
        <v>SABRE</v>
      </c>
      <c r="C1940" t="str">
        <f t="shared" si="60"/>
        <v>PENDENTE</v>
      </c>
      <c r="D1940" s="1">
        <v>3434017</v>
      </c>
      <c r="E1940" s="1" t="s">
        <v>26</v>
      </c>
      <c r="F1940" s="2">
        <v>45798.487500000003</v>
      </c>
      <c r="G1940" s="1" t="s">
        <v>2499</v>
      </c>
      <c r="H1940" s="1" t="s">
        <v>2499</v>
      </c>
      <c r="I1940" s="1" t="s">
        <v>652</v>
      </c>
      <c r="J1940" s="2">
        <v>45798.575694444444</v>
      </c>
      <c r="L1940" s="1" t="s">
        <v>18</v>
      </c>
      <c r="M1940" s="1" t="str">
        <f>_xlfn.XLOOKUP(I1940,Parâmetros!A:A,Parâmetros!B:B,_xlfn.XLOOKUP(Q1940,Parâmetros!F:F,Parâmetros!G:G,"NOVA MENSAGEM"))</f>
        <v>CÓD. CLIENTE DIVERGENTE</v>
      </c>
      <c r="N1940" s="1" t="str">
        <f>_xlfn.XLOOKUP(M1940,Parâmetros!K:K,Parâmetros!L:L,"")</f>
        <v>CÓDIGO DIFERENTE DO CADASTRADO NO BENNER (CLIENTE X GRUPO)</v>
      </c>
      <c r="O1940" s="1" t="str">
        <f>_xlfn.XLOOKUP(M1940,Parâmetros!B:B,Parâmetros!C:C,_xlfn.XLOOKUP(Base!M1961,Parâmetros!G:G,Parâmetros!H:H))</f>
        <v>QUALIDADE DOS DADOS</v>
      </c>
      <c r="P1940" s="1" t="str">
        <f>_xlfn.XLOOKUP(I1940,Parâmetros!A:A,Parâmetros!D:D,_xlfn.XLOOKUP(Q1940,Parâmetros!F:F,Parâmetros!I:I))</f>
        <v>SUPORTE OBT</v>
      </c>
      <c r="Q1940" s="1">
        <f t="shared" si="61"/>
        <v>1</v>
      </c>
    </row>
    <row r="1941" spans="1:17" x14ac:dyDescent="0.25">
      <c r="A1941" s="1" t="str">
        <f>_xlfn.XLOOKUP(D1941,'Novo relatório'!B:B,'Novo relatório'!C:C,"RESOLVIDO")</f>
        <v>SABRE</v>
      </c>
      <c r="C1941" t="str">
        <f t="shared" si="60"/>
        <v>PENDENTE</v>
      </c>
      <c r="D1941" s="1">
        <v>3434018</v>
      </c>
      <c r="E1941" s="1" t="s">
        <v>26</v>
      </c>
      <c r="F1941" s="2">
        <v>45798.487500000003</v>
      </c>
      <c r="G1941" s="1" t="s">
        <v>2457</v>
      </c>
      <c r="H1941" s="1" t="s">
        <v>2457</v>
      </c>
      <c r="I1941" s="1" t="s">
        <v>2458</v>
      </c>
      <c r="J1941" s="2">
        <v>45798.575694444444</v>
      </c>
      <c r="L1941" s="1" t="s">
        <v>18</v>
      </c>
      <c r="M1941" s="1" t="str">
        <f>_xlfn.XLOOKUP(I1941,Parâmetros!A:A,Parâmetros!B:B,_xlfn.XLOOKUP(Q1941,Parâmetros!F:F,Parâmetros!G:G,"NOVA MENSAGEM"))</f>
        <v>CÓD. CLIENTE DIVERGENTE</v>
      </c>
      <c r="N1941" s="1" t="str">
        <f>_xlfn.XLOOKUP(M1941,Parâmetros!K:K,Parâmetros!L:L,"")</f>
        <v>CÓDIGO DIFERENTE DO CADASTRADO NO BENNER (CLIENTE X GRUPO)</v>
      </c>
      <c r="O1941" s="1" t="str">
        <f>_xlfn.XLOOKUP(M1941,Parâmetros!B:B,Parâmetros!C:C,_xlfn.XLOOKUP(Base!M1925,Parâmetros!G:G,Parâmetros!H:H))</f>
        <v>QUALIDADE DOS DADOS</v>
      </c>
      <c r="P1941" s="1" t="str">
        <f>_xlfn.XLOOKUP(I1941,Parâmetros!A:A,Parâmetros!D:D,_xlfn.XLOOKUP(Q1941,Parâmetros!F:F,Parâmetros!I:I))</f>
        <v>SUPORTE OBT</v>
      </c>
      <c r="Q1941" s="1">
        <f t="shared" si="61"/>
        <v>1</v>
      </c>
    </row>
    <row r="1942" spans="1:17" x14ac:dyDescent="0.25">
      <c r="A1942" s="1" t="str">
        <f>_xlfn.XLOOKUP(D1942,'Novo relatório'!B:B,'Novo relatório'!C:C,"RESOLVIDO")</f>
        <v>SABRE</v>
      </c>
      <c r="C1942" t="str">
        <f t="shared" si="60"/>
        <v>PENDENTE</v>
      </c>
      <c r="D1942" s="1">
        <v>3434163</v>
      </c>
      <c r="E1942" s="1" t="s">
        <v>26</v>
      </c>
      <c r="F1942" s="2">
        <v>45798.544444444444</v>
      </c>
      <c r="G1942" s="1" t="s">
        <v>2395</v>
      </c>
      <c r="H1942" s="1" t="s">
        <v>2395</v>
      </c>
      <c r="I1942" s="1" t="s">
        <v>622</v>
      </c>
      <c r="J1942" s="2">
        <v>45798.630555555559</v>
      </c>
      <c r="L1942" s="1" t="s">
        <v>14</v>
      </c>
      <c r="M1942" s="1" t="str">
        <f>_xlfn.XLOOKUP(I1942,Parâmetros!A:A,Parâmetros!B:B,_xlfn.XLOOKUP(Q1942,Parâmetros!F:F,Parâmetros!G:G,"NOVA MENSAGEM"))</f>
        <v>ERRO DE SQL</v>
      </c>
      <c r="N1942" s="1" t="str">
        <f>_xlfn.XLOOKUP(M1942,Parâmetros!K:K,Parâmetros!L:L,"")</f>
        <v>ERRO NA IMPORTAÇÃO/MODIFICAÇÃO DAS INFOMAÇÕES</v>
      </c>
      <c r="O1942" s="1" t="str">
        <f>_xlfn.XLOOKUP(M1942,Parâmetros!B:B,Parâmetros!C:C,_xlfn.XLOOKUP(Base!M1875,Parâmetros!G:G,Parâmetros!H:H))</f>
        <v>SISTEMA</v>
      </c>
      <c r="P1942" s="1" t="str">
        <f>_xlfn.XLOOKUP(I1942,Parâmetros!A:A,Parâmetros!D:D,_xlfn.XLOOKUP(Q1942,Parâmetros!F:F,Parâmetros!I:I))</f>
        <v>SUPORTE BENNER</v>
      </c>
      <c r="Q1942" s="1" t="str">
        <f t="shared" si="61"/>
        <v>COLUNA I</v>
      </c>
    </row>
    <row r="1943" spans="1:17" x14ac:dyDescent="0.25">
      <c r="A1943" s="1" t="str">
        <f>_xlfn.XLOOKUP(D1943,'Novo relatório'!B:B,'Novo relatório'!C:C,"RESOLVIDO")</f>
        <v>TMS</v>
      </c>
      <c r="C1943" t="str">
        <f t="shared" si="60"/>
        <v>PENDENTE</v>
      </c>
      <c r="D1943" s="1">
        <v>3434894</v>
      </c>
      <c r="E1943" s="1" t="s">
        <v>12</v>
      </c>
      <c r="F1943" s="2">
        <v>45798.695833333331</v>
      </c>
      <c r="G1943" s="1">
        <v>210284</v>
      </c>
      <c r="H1943" s="1">
        <v>210284</v>
      </c>
      <c r="I1943" s="1" t="s">
        <v>158</v>
      </c>
      <c r="J1943" s="2">
        <v>45798.701388888891</v>
      </c>
      <c r="K1943" s="2">
        <v>45806.490972222222</v>
      </c>
      <c r="L1943" s="1" t="s">
        <v>14</v>
      </c>
      <c r="M1943" s="1" t="str">
        <f>_xlfn.XLOOKUP(I1943,Parâmetros!A:A,Parâmetros!B:B,_xlfn.XLOOKUP(Q1943,Parâmetros!F:F,Parâmetros!G:G,"NOVA MENSAGEM"))</f>
        <v>COTAÇÃO</v>
      </c>
      <c r="N1943" s="1" t="str">
        <f>_xlfn.XLOOKUP(M1943,Parâmetros!K:K,Parâmetros!L:L,"")</f>
        <v>INDEFINIDO</v>
      </c>
      <c r="O1943" s="1" t="str">
        <f>_xlfn.XLOOKUP(M1943,Parâmetros!B:B,Parâmetros!C:C,_xlfn.XLOOKUP(Base!M1994,Parâmetros!G:G,Parâmetros!H:H))</f>
        <v>INDEFINIDO</v>
      </c>
      <c r="P1943" s="1" t="str">
        <f>_xlfn.XLOOKUP(I1943,Parâmetros!A:A,Parâmetros!D:D,_xlfn.XLOOKUP(Q1943,Parâmetros!F:F,Parâmetros!I:I))</f>
        <v>SUPORTE OBT</v>
      </c>
      <c r="Q1943" s="1" t="str">
        <f t="shared" si="61"/>
        <v>COLUNA I</v>
      </c>
    </row>
    <row r="1944" spans="1:17" x14ac:dyDescent="0.25">
      <c r="A1944" s="1" t="str">
        <f>_xlfn.XLOOKUP(D1944,'Novo relatório'!B:B,'Novo relatório'!C:C,"RESOLVIDO")</f>
        <v>SABRE</v>
      </c>
      <c r="C1944" t="str">
        <f t="shared" si="60"/>
        <v>PENDENTE</v>
      </c>
      <c r="D1944" s="1">
        <v>3435076</v>
      </c>
      <c r="E1944" s="1" t="s">
        <v>26</v>
      </c>
      <c r="F1944" s="2">
        <v>45798.652083333334</v>
      </c>
      <c r="G1944" s="1" t="s">
        <v>2506</v>
      </c>
      <c r="H1944" s="1" t="s">
        <v>2506</v>
      </c>
      <c r="I1944" s="1" t="s">
        <v>620</v>
      </c>
      <c r="J1944" s="2">
        <v>45798.742361111108</v>
      </c>
      <c r="L1944" s="1" t="s">
        <v>18</v>
      </c>
      <c r="M1944" s="1" t="str">
        <f>_xlfn.XLOOKUP(I1944,Parâmetros!A:A,Parâmetros!B:B,_xlfn.XLOOKUP(Q1944,Parâmetros!F:F,Parâmetros!G:G,"NOVA MENSAGEM"))</f>
        <v>CÓD. CLIENTE DIVERGENTE</v>
      </c>
      <c r="N1944" s="1" t="str">
        <f>_xlfn.XLOOKUP(M1944,Parâmetros!K:K,Parâmetros!L:L,"")</f>
        <v>CÓDIGO DIFERENTE DO CADASTRADO NO BENNER (CLIENTE X GRUPO)</v>
      </c>
      <c r="O1944" s="1" t="str">
        <f>_xlfn.XLOOKUP(M1944,Parâmetros!B:B,Parâmetros!C:C,_xlfn.XLOOKUP(Base!M1968,Parâmetros!G:G,Parâmetros!H:H))</f>
        <v>QUALIDADE DOS DADOS</v>
      </c>
      <c r="P1944" s="1" t="str">
        <f>_xlfn.XLOOKUP(I1944,Parâmetros!A:A,Parâmetros!D:D,_xlfn.XLOOKUP(Q1944,Parâmetros!F:F,Parâmetros!I:I))</f>
        <v>SUPORTE OBT</v>
      </c>
      <c r="Q1944" s="1">
        <f t="shared" si="61"/>
        <v>1</v>
      </c>
    </row>
    <row r="1945" spans="1:17" x14ac:dyDescent="0.25">
      <c r="A1945" s="1" t="str">
        <f>_xlfn.XLOOKUP(D1945,'Novo relatório'!B:B,'Novo relatório'!C:C,"RESOLVIDO")</f>
        <v>SABRE</v>
      </c>
      <c r="C1945" t="str">
        <f t="shared" si="60"/>
        <v>PENDENTE</v>
      </c>
      <c r="D1945" s="1">
        <v>3435081</v>
      </c>
      <c r="E1945" s="1" t="s">
        <v>26</v>
      </c>
      <c r="F1945" s="2">
        <v>45798.652083333334</v>
      </c>
      <c r="G1945" s="1" t="s">
        <v>2518</v>
      </c>
      <c r="H1945" s="1" t="s">
        <v>2518</v>
      </c>
      <c r="I1945" s="1" t="s">
        <v>620</v>
      </c>
      <c r="J1945" s="2">
        <v>45798.743055555555</v>
      </c>
      <c r="L1945" s="1" t="s">
        <v>18</v>
      </c>
      <c r="M1945" s="1" t="str">
        <f>_xlfn.XLOOKUP(I1945,Parâmetros!A:A,Parâmetros!B:B,_xlfn.XLOOKUP(Q1945,Parâmetros!F:F,Parâmetros!G:G,"NOVA MENSAGEM"))</f>
        <v>CÓD. CLIENTE DIVERGENTE</v>
      </c>
      <c r="N1945" s="1" t="str">
        <f>_xlfn.XLOOKUP(M1945,Parâmetros!K:K,Parâmetros!L:L,"")</f>
        <v>CÓDIGO DIFERENTE DO CADASTRADO NO BENNER (CLIENTE X GRUPO)</v>
      </c>
      <c r="O1945" s="1" t="str">
        <f>_xlfn.XLOOKUP(M1945,Parâmetros!B:B,Parâmetros!C:C,_xlfn.XLOOKUP(Base!M1980,Parâmetros!G:G,Parâmetros!H:H))</f>
        <v>QUALIDADE DOS DADOS</v>
      </c>
      <c r="P1945" s="1" t="str">
        <f>_xlfn.XLOOKUP(I1945,Parâmetros!A:A,Parâmetros!D:D,_xlfn.XLOOKUP(Q1945,Parâmetros!F:F,Parâmetros!I:I))</f>
        <v>SUPORTE OBT</v>
      </c>
      <c r="Q1945" s="1">
        <f t="shared" si="61"/>
        <v>1</v>
      </c>
    </row>
    <row r="1946" spans="1:17" x14ac:dyDescent="0.25">
      <c r="A1946" s="1" t="str">
        <f>_xlfn.XLOOKUP(D1946,'Novo relatório'!B:B,'Novo relatório'!C:C,"RESOLVIDO")</f>
        <v>SABRE</v>
      </c>
      <c r="C1946" t="str">
        <f t="shared" si="60"/>
        <v>PENDENTE</v>
      </c>
      <c r="D1946" s="1">
        <v>3435084</v>
      </c>
      <c r="E1946" s="1" t="s">
        <v>26</v>
      </c>
      <c r="F1946" s="2">
        <v>45798.652083333334</v>
      </c>
      <c r="G1946" s="1" t="s">
        <v>2522</v>
      </c>
      <c r="H1946" s="1" t="s">
        <v>2522</v>
      </c>
      <c r="I1946" s="1" t="s">
        <v>620</v>
      </c>
      <c r="J1946" s="2">
        <v>45798.743750000001</v>
      </c>
      <c r="L1946" s="1" t="s">
        <v>18</v>
      </c>
      <c r="M1946" s="1" t="str">
        <f>_xlfn.XLOOKUP(I1946,Parâmetros!A:A,Parâmetros!B:B,_xlfn.XLOOKUP(Q1946,Parâmetros!F:F,Parâmetros!G:G,"NOVA MENSAGEM"))</f>
        <v>CÓD. CLIENTE DIVERGENTE</v>
      </c>
      <c r="N1946" s="1" t="str">
        <f>_xlfn.XLOOKUP(M1946,Parâmetros!K:K,Parâmetros!L:L,"")</f>
        <v>CÓDIGO DIFERENTE DO CADASTRADO NO BENNER (CLIENTE X GRUPO)</v>
      </c>
      <c r="O1946" s="1" t="str">
        <f>_xlfn.XLOOKUP(M1946,Parâmetros!B:B,Parâmetros!C:C,_xlfn.XLOOKUP(Base!M1984,Parâmetros!G:G,Parâmetros!H:H))</f>
        <v>QUALIDADE DOS DADOS</v>
      </c>
      <c r="P1946" s="1" t="str">
        <f>_xlfn.XLOOKUP(I1946,Parâmetros!A:A,Parâmetros!D:D,_xlfn.XLOOKUP(Q1946,Parâmetros!F:F,Parâmetros!I:I))</f>
        <v>SUPORTE OBT</v>
      </c>
      <c r="Q1946" s="1">
        <f t="shared" si="61"/>
        <v>1</v>
      </c>
    </row>
    <row r="1947" spans="1:17" x14ac:dyDescent="0.25">
      <c r="A1947" s="1" t="str">
        <f>_xlfn.XLOOKUP(D1947,'Novo relatório'!B:B,'Novo relatório'!C:C,"RESOLVIDO")</f>
        <v>SABRE</v>
      </c>
      <c r="C1947" t="str">
        <f t="shared" si="60"/>
        <v>PENDENTE</v>
      </c>
      <c r="D1947" s="1">
        <v>3435086</v>
      </c>
      <c r="E1947" s="1" t="s">
        <v>26</v>
      </c>
      <c r="F1947" s="2">
        <v>45798.652083333334</v>
      </c>
      <c r="G1947" s="1" t="s">
        <v>2500</v>
      </c>
      <c r="H1947" s="1" t="s">
        <v>2500</v>
      </c>
      <c r="I1947" s="1" t="s">
        <v>620</v>
      </c>
      <c r="J1947" s="2">
        <v>45798.743750000001</v>
      </c>
      <c r="L1947" s="1" t="s">
        <v>18</v>
      </c>
      <c r="M1947" s="1" t="str">
        <f>_xlfn.XLOOKUP(I1947,Parâmetros!A:A,Parâmetros!B:B,_xlfn.XLOOKUP(Q1947,Parâmetros!F:F,Parâmetros!G:G,"NOVA MENSAGEM"))</f>
        <v>CÓD. CLIENTE DIVERGENTE</v>
      </c>
      <c r="N1947" s="1" t="str">
        <f>_xlfn.XLOOKUP(M1947,Parâmetros!K:K,Parâmetros!L:L,"")</f>
        <v>CÓDIGO DIFERENTE DO CADASTRADO NO BENNER (CLIENTE X GRUPO)</v>
      </c>
      <c r="O1947" s="1" t="str">
        <f>_xlfn.XLOOKUP(M1947,Parâmetros!B:B,Parâmetros!C:C,_xlfn.XLOOKUP(Base!M1962,Parâmetros!G:G,Parâmetros!H:H))</f>
        <v>QUALIDADE DOS DADOS</v>
      </c>
      <c r="P1947" s="1" t="str">
        <f>_xlfn.XLOOKUP(I1947,Parâmetros!A:A,Parâmetros!D:D,_xlfn.XLOOKUP(Q1947,Parâmetros!F:F,Parâmetros!I:I))</f>
        <v>SUPORTE OBT</v>
      </c>
      <c r="Q1947" s="1">
        <f t="shared" si="61"/>
        <v>1</v>
      </c>
    </row>
    <row r="1948" spans="1:17" x14ac:dyDescent="0.25">
      <c r="A1948" s="1" t="str">
        <f>_xlfn.XLOOKUP(D1948,'Novo relatório'!B:B,'Novo relatório'!C:C,"RESOLVIDO")</f>
        <v>GOVER</v>
      </c>
      <c r="C1948" t="str">
        <f t="shared" si="60"/>
        <v>PENDENTE</v>
      </c>
      <c r="D1948" s="1">
        <v>3435100</v>
      </c>
      <c r="E1948" s="1" t="s">
        <v>24</v>
      </c>
      <c r="F1948" s="2">
        <v>45798.73541666667</v>
      </c>
      <c r="G1948" s="1">
        <v>4540943</v>
      </c>
      <c r="H1948" s="1" t="s">
        <v>2543</v>
      </c>
      <c r="I1948" s="1" t="s">
        <v>196</v>
      </c>
      <c r="J1948" s="2">
        <v>45798.745833333334</v>
      </c>
      <c r="K1948" s="2">
        <v>45810.706250000003</v>
      </c>
      <c r="L1948" s="1" t="s">
        <v>18</v>
      </c>
      <c r="M1948" s="1" t="str">
        <f>_xlfn.XLOOKUP(I1948,Parâmetros!A:A,Parâmetros!B:B,_xlfn.XLOOKUP(Q1948,Parâmetros!F:F,Parâmetros!G:G,"NOVA MENSAGEM"))</f>
        <v>CLIENTE NÃO IDENTIFICADO</v>
      </c>
      <c r="N1948" s="1" t="str">
        <f>_xlfn.XLOOKUP(M1948,Parâmetros!K:K,Parâmetros!L:L,"")</f>
        <v>DK DE CLIENTE NÃO PREENCIDO / CLIENTE NÃO CONFIGURADO NO OBT</v>
      </c>
      <c r="O1948" s="1" t="str">
        <f>_xlfn.XLOOKUP(M1948,Parâmetros!B:B,Parâmetros!C:C,_xlfn.XLOOKUP(Base!M2069,Parâmetros!G:G,Parâmetros!H:H))</f>
        <v>INDEFINIDO</v>
      </c>
      <c r="P1948" s="1" t="str">
        <f>_xlfn.XLOOKUP(I1948,Parâmetros!A:A,Parâmetros!D:D,_xlfn.XLOOKUP(Q1948,Parâmetros!F:F,Parâmetros!I:I))</f>
        <v>OPERAÇÕES / SUPORTE KCS</v>
      </c>
      <c r="Q1948" s="1" t="str">
        <f t="shared" si="61"/>
        <v>COLUNA I</v>
      </c>
    </row>
    <row r="1949" spans="1:17" x14ac:dyDescent="0.25">
      <c r="A1949" s="1" t="str">
        <f>_xlfn.XLOOKUP(D1949,'Novo relatório'!B:B,'Novo relatório'!C:C,"RESOLVIDO")</f>
        <v>SABRE</v>
      </c>
      <c r="C1949" t="str">
        <f t="shared" si="60"/>
        <v>PENDENTE</v>
      </c>
      <c r="D1949" s="1">
        <v>3435184</v>
      </c>
      <c r="E1949" s="1" t="s">
        <v>26</v>
      </c>
      <c r="F1949" s="2">
        <v>45798.697222222225</v>
      </c>
      <c r="G1949" s="1" t="s">
        <v>2411</v>
      </c>
      <c r="H1949" s="1" t="s">
        <v>2412</v>
      </c>
      <c r="I1949" s="1" t="s">
        <v>392</v>
      </c>
      <c r="J1949" s="2">
        <v>45798.781944444447</v>
      </c>
      <c r="L1949" s="1" t="s">
        <v>19</v>
      </c>
      <c r="M1949" s="1" t="str">
        <f>_xlfn.XLOOKUP(I1949,Parâmetros!A:A,Parâmetros!B:B,_xlfn.XLOOKUP(Q1949,Parâmetros!F:F,Parâmetros!G:G,"NOVA MENSAGEM"))</f>
        <v>CONTRATO FORNECEDOR</v>
      </c>
      <c r="N1949" s="1" t="str">
        <f>_xlfn.XLOOKUP(M1949,Parâmetros!K:K,Parâmetros!L:L,"")</f>
        <v>CONTRATO INATIVO OU DIVERGENTE</v>
      </c>
      <c r="O1949" s="1" t="str">
        <f>_xlfn.XLOOKUP(M1949,Parâmetros!B:B,Parâmetros!C:C,_xlfn.XLOOKUP(Base!M1888,Parâmetros!G:G,Parâmetros!H:H))</f>
        <v>SISTEMA</v>
      </c>
      <c r="P1949" s="1" t="str">
        <f>_xlfn.XLOOKUP(I1949,Parâmetros!A:A,Parâmetros!D:D,_xlfn.XLOOKUP(Q1949,Parâmetros!F:F,Parâmetros!I:I))</f>
        <v>OPERAÇÕES / SUPORTE KCS</v>
      </c>
      <c r="Q1949" s="1">
        <f t="shared" si="61"/>
        <v>43</v>
      </c>
    </row>
    <row r="1950" spans="1:17" x14ac:dyDescent="0.25">
      <c r="A1950" s="1" t="str">
        <f>_xlfn.XLOOKUP(D1950,'Novo relatório'!B:B,'Novo relatório'!C:C,"RESOLVIDO")</f>
        <v>SABRE</v>
      </c>
      <c r="C1950" t="str">
        <f t="shared" si="60"/>
        <v>PENDENTE</v>
      </c>
      <c r="D1950" s="1">
        <v>3435190</v>
      </c>
      <c r="E1950" s="1" t="s">
        <v>26</v>
      </c>
      <c r="F1950" s="2">
        <v>45799.481944444444</v>
      </c>
      <c r="G1950" s="1" t="s">
        <v>2498</v>
      </c>
      <c r="H1950" s="1" t="s">
        <v>2498</v>
      </c>
      <c r="I1950" s="1" t="s">
        <v>578</v>
      </c>
      <c r="J1950" s="2">
        <v>45798.78402777778</v>
      </c>
      <c r="K1950" s="2">
        <v>45799.575694444444</v>
      </c>
      <c r="L1950" s="1" t="s">
        <v>18</v>
      </c>
      <c r="M1950" s="1" t="str">
        <f>_xlfn.XLOOKUP(I1950,Parâmetros!A:A,Parâmetros!B:B,_xlfn.XLOOKUP(Q1950,Parâmetros!F:F,Parâmetros!G:G,"NOVA MENSAGEM"))</f>
        <v>REMARK - CNPJ</v>
      </c>
      <c r="N1950" s="1" t="str">
        <f>_xlfn.XLOOKUP(M1950,Parâmetros!K:K,Parâmetros!L:L,"")</f>
        <v/>
      </c>
      <c r="O1950" s="1" t="str">
        <f>_xlfn.XLOOKUP(M1950,Parâmetros!B:B,Parâmetros!C:C,_xlfn.XLOOKUP(Base!M1960,Parâmetros!G:G,Parâmetros!H:H))</f>
        <v>QUALIDADE DOS DADOS</v>
      </c>
      <c r="P1950" s="1" t="str">
        <f>_xlfn.XLOOKUP(I1950,Parâmetros!A:A,Parâmetros!D:D,_xlfn.XLOOKUP(Q1950,Parâmetros!F:F,Parâmetros!I:I))</f>
        <v>OPERAÇÕES / SUPORTE KCS</v>
      </c>
      <c r="Q1950" s="1">
        <f t="shared" si="61"/>
        <v>24</v>
      </c>
    </row>
    <row r="1951" spans="1:17" x14ac:dyDescent="0.25">
      <c r="A1951" s="1" t="str">
        <f>_xlfn.XLOOKUP(D1951,'Novo relatório'!B:B,'Novo relatório'!C:C,"RESOLVIDO")</f>
        <v>SABRE</v>
      </c>
      <c r="C1951" t="str">
        <f t="shared" si="60"/>
        <v>PENDENTE</v>
      </c>
      <c r="D1951" s="1">
        <v>3435273</v>
      </c>
      <c r="E1951" s="1" t="s">
        <v>26</v>
      </c>
      <c r="F1951" s="2">
        <v>45798.768055555556</v>
      </c>
      <c r="G1951" s="1" t="s">
        <v>2511</v>
      </c>
      <c r="H1951" s="1" t="s">
        <v>2511</v>
      </c>
      <c r="I1951" s="1" t="s">
        <v>83</v>
      </c>
      <c r="J1951" s="2">
        <v>45798.856944444444</v>
      </c>
      <c r="L1951" s="1" t="s">
        <v>18</v>
      </c>
      <c r="M1951" s="1" t="str">
        <f>_xlfn.XLOOKUP(I1951,Parâmetros!A:A,Parâmetros!B:B,_xlfn.XLOOKUP(Q1951,Parâmetros!F:F,Parâmetros!G:G,"NOVA MENSAGEM"))</f>
        <v>CLIENTE NÃO IDENTIFICADO</v>
      </c>
      <c r="N1951" s="1" t="str">
        <f>_xlfn.XLOOKUP(M1951,Parâmetros!K:K,Parâmetros!L:L,"")</f>
        <v>DK DE CLIENTE NÃO PREENCIDO / CLIENTE NÃO CONFIGURADO NO OBT</v>
      </c>
      <c r="O1951" s="1" t="str">
        <f>_xlfn.XLOOKUP(M1951,Parâmetros!B:B,Parâmetros!C:C,_xlfn.XLOOKUP(Base!M1973,Parâmetros!G:G,Parâmetros!H:H))</f>
        <v>INDEFINIDO</v>
      </c>
      <c r="P1951" s="1" t="str">
        <f>_xlfn.XLOOKUP(I1951,Parâmetros!A:A,Parâmetros!D:D,_xlfn.XLOOKUP(Q1951,Parâmetros!F:F,Parâmetros!I:I))</f>
        <v>OPERAÇÕES / SUPORTE KCS</v>
      </c>
      <c r="Q1951" s="1" t="str">
        <f t="shared" si="61"/>
        <v>COLUNA I</v>
      </c>
    </row>
    <row r="1952" spans="1:17" x14ac:dyDescent="0.25">
      <c r="A1952" s="1" t="str">
        <f>_xlfn.XLOOKUP(D1952,'Novo relatório'!B:B,'Novo relatório'!C:C,"RESOLVIDO")</f>
        <v>SABRE</v>
      </c>
      <c r="C1952" t="str">
        <f t="shared" si="60"/>
        <v>PENDENTE</v>
      </c>
      <c r="D1952" s="1">
        <v>3436302</v>
      </c>
      <c r="E1952" s="1" t="s">
        <v>26</v>
      </c>
      <c r="F1952" s="2">
        <v>45799.414583333331</v>
      </c>
      <c r="G1952" s="1" t="s">
        <v>2424</v>
      </c>
      <c r="H1952" s="1" t="s">
        <v>2425</v>
      </c>
      <c r="I1952" s="1" t="s">
        <v>84</v>
      </c>
      <c r="J1952" s="2">
        <v>45799.45208333333</v>
      </c>
      <c r="K1952" s="2">
        <v>45799.505555555559</v>
      </c>
      <c r="L1952" s="1" t="s">
        <v>1244</v>
      </c>
      <c r="M1952" s="1" t="str">
        <f>_xlfn.XLOOKUP(I1952,Parâmetros!A:A,Parâmetros!B:B,_xlfn.XLOOKUP(Q1952,Parâmetros!F:F,Parâmetros!G:G,"NOVA MENSAGEM"))</f>
        <v>REMARK - DATA INCORRETA</v>
      </c>
      <c r="N1952" s="1" t="str">
        <f>_xlfn.XLOOKUP(M1952,Parâmetros!K:K,Parâmetros!L:L,"")</f>
        <v>REMARK U*INFOPAG-CC/REC-CC PREENCHIDO INCORRETAMENTE</v>
      </c>
      <c r="O1952" s="1" t="str">
        <f>_xlfn.XLOOKUP(M1952,Parâmetros!B:B,Parâmetros!C:C,_xlfn.XLOOKUP(Base!M1898,Parâmetros!G:G,Parâmetros!H:H))</f>
        <v>QUALIDADE DOS DADOS</v>
      </c>
      <c r="P1952" s="1" t="str">
        <f>_xlfn.XLOOKUP(I1952,Parâmetros!A:A,Parâmetros!D:D,_xlfn.XLOOKUP(Q1952,Parâmetros!F:F,Parâmetros!I:I))</f>
        <v>OPERAÇÕES / SUPORTE KCS</v>
      </c>
      <c r="Q1952" s="1" t="str">
        <f t="shared" si="61"/>
        <v>COLUNA I</v>
      </c>
    </row>
    <row r="1953" spans="1:17" x14ac:dyDescent="0.25">
      <c r="A1953" s="1" t="str">
        <f>_xlfn.XLOOKUP(D1953,'Novo relatório'!B:B,'Novo relatório'!C:C,"RESOLVIDO")</f>
        <v>SABRE</v>
      </c>
      <c r="C1953" t="str">
        <f t="shared" si="60"/>
        <v>PENDENTE</v>
      </c>
      <c r="D1953" s="1">
        <v>3436384</v>
      </c>
      <c r="E1953" s="1" t="s">
        <v>26</v>
      </c>
      <c r="F1953" s="2">
        <v>45799.382638888892</v>
      </c>
      <c r="G1953" s="1" t="s">
        <v>2361</v>
      </c>
      <c r="H1953" s="1" t="s">
        <v>2361</v>
      </c>
      <c r="I1953" s="1" t="s">
        <v>746</v>
      </c>
      <c r="J1953" s="2">
        <v>45799.472222222219</v>
      </c>
      <c r="L1953" s="1" t="s">
        <v>18</v>
      </c>
      <c r="M1953" s="1" t="str">
        <f>_xlfn.XLOOKUP(I1953,Parâmetros!A:A,Parâmetros!B:B,_xlfn.XLOOKUP(Q1953,Parâmetros!F:F,Parâmetros!G:G,"NOVA MENSAGEM"))</f>
        <v>CÓD. CLIENTE DIVERGENTE</v>
      </c>
      <c r="N1953" s="1" t="str">
        <f>_xlfn.XLOOKUP(M1953,Parâmetros!K:K,Parâmetros!L:L,"")</f>
        <v>CÓDIGO DIFERENTE DO CADASTRADO NO BENNER (CLIENTE X GRUPO)</v>
      </c>
      <c r="O1953" s="1" t="str">
        <f>_xlfn.XLOOKUP(M1953,Parâmetros!B:B,Parâmetros!C:C,_xlfn.XLOOKUP(Base!M1845,Parâmetros!G:G,Parâmetros!H:H))</f>
        <v>QUALIDADE DOS DADOS</v>
      </c>
      <c r="P1953" s="1" t="str">
        <f>_xlfn.XLOOKUP(I1953,Parâmetros!A:A,Parâmetros!D:D,_xlfn.XLOOKUP(Q1953,Parâmetros!F:F,Parâmetros!I:I))</f>
        <v>SUPORTE OBT</v>
      </c>
      <c r="Q1953" s="1">
        <f t="shared" si="61"/>
        <v>1</v>
      </c>
    </row>
    <row r="1954" spans="1:17" x14ac:dyDescent="0.25">
      <c r="A1954" s="1" t="str">
        <f>_xlfn.XLOOKUP(D1954,'Novo relatório'!B:B,'Novo relatório'!C:C,"RESOLVIDO")</f>
        <v>SABRE</v>
      </c>
      <c r="C1954" t="str">
        <f t="shared" si="60"/>
        <v>PENDENTE</v>
      </c>
      <c r="D1954" s="1">
        <v>3436589</v>
      </c>
      <c r="E1954" s="1" t="s">
        <v>26</v>
      </c>
      <c r="F1954" s="2">
        <v>45799.500694444447</v>
      </c>
      <c r="G1954" s="1" t="s">
        <v>2410</v>
      </c>
      <c r="H1954" s="1" t="s">
        <v>2410</v>
      </c>
      <c r="I1954" s="1" t="s">
        <v>746</v>
      </c>
      <c r="J1954" s="2">
        <v>45799.586805555555</v>
      </c>
      <c r="L1954" s="1" t="s">
        <v>18</v>
      </c>
      <c r="M1954" s="1" t="str">
        <f>_xlfn.XLOOKUP(I1954,Parâmetros!A:A,Parâmetros!B:B,_xlfn.XLOOKUP(Q1954,Parâmetros!F:F,Parâmetros!G:G,"NOVA MENSAGEM"))</f>
        <v>CÓD. CLIENTE DIVERGENTE</v>
      </c>
      <c r="N1954" s="1" t="str">
        <f>_xlfn.XLOOKUP(M1954,Parâmetros!K:K,Parâmetros!L:L,"")</f>
        <v>CÓDIGO DIFERENTE DO CADASTRADO NO BENNER (CLIENTE X GRUPO)</v>
      </c>
      <c r="O1954" s="1" t="str">
        <f>_xlfn.XLOOKUP(M1954,Parâmetros!B:B,Parâmetros!C:C,_xlfn.XLOOKUP(Base!M1887,Parâmetros!G:G,Parâmetros!H:H))</f>
        <v>QUALIDADE DOS DADOS</v>
      </c>
      <c r="P1954" s="1" t="str">
        <f>_xlfn.XLOOKUP(I1954,Parâmetros!A:A,Parâmetros!D:D,_xlfn.XLOOKUP(Q1954,Parâmetros!F:F,Parâmetros!I:I))</f>
        <v>SUPORTE OBT</v>
      </c>
      <c r="Q1954" s="1">
        <f t="shared" si="61"/>
        <v>1</v>
      </c>
    </row>
    <row r="1955" spans="1:17" x14ac:dyDescent="0.25">
      <c r="A1955" s="1" t="str">
        <f>_xlfn.XLOOKUP(D1955,'Novo relatório'!B:B,'Novo relatório'!C:C,"RESOLVIDO")</f>
        <v>SABRE</v>
      </c>
      <c r="C1955" t="str">
        <f t="shared" si="60"/>
        <v>PENDENTE</v>
      </c>
      <c r="D1955" s="1">
        <v>3436593</v>
      </c>
      <c r="E1955" s="1" t="s">
        <v>26</v>
      </c>
      <c r="F1955" s="2">
        <v>45799.500694444447</v>
      </c>
      <c r="G1955" s="1" t="s">
        <v>2369</v>
      </c>
      <c r="H1955" s="1" t="s">
        <v>2369</v>
      </c>
      <c r="I1955" s="1" t="s">
        <v>83</v>
      </c>
      <c r="J1955" s="2">
        <v>45799.586805555555</v>
      </c>
      <c r="L1955" s="1" t="s">
        <v>18</v>
      </c>
      <c r="M1955" s="1" t="str">
        <f>_xlfn.XLOOKUP(I1955,Parâmetros!A:A,Parâmetros!B:B,_xlfn.XLOOKUP(Q1955,Parâmetros!F:F,Parâmetros!G:G,"NOVA MENSAGEM"))</f>
        <v>CLIENTE NÃO IDENTIFICADO</v>
      </c>
      <c r="N1955" s="1" t="str">
        <f>_xlfn.XLOOKUP(M1955,Parâmetros!K:K,Parâmetros!L:L,"")</f>
        <v>DK DE CLIENTE NÃO PREENCIDO / CLIENTE NÃO CONFIGURADO NO OBT</v>
      </c>
      <c r="O1955" s="1" t="str">
        <f>_xlfn.XLOOKUP(M1955,Parâmetros!B:B,Parâmetros!C:C,_xlfn.XLOOKUP(Base!M1853,Parâmetros!G:G,Parâmetros!H:H))</f>
        <v>INDEFINIDO</v>
      </c>
      <c r="P1955" s="1" t="str">
        <f>_xlfn.XLOOKUP(I1955,Parâmetros!A:A,Parâmetros!D:D,_xlfn.XLOOKUP(Q1955,Parâmetros!F:F,Parâmetros!I:I))</f>
        <v>OPERAÇÕES / SUPORTE KCS</v>
      </c>
      <c r="Q1955" s="1" t="str">
        <f t="shared" si="61"/>
        <v>COLUNA I</v>
      </c>
    </row>
    <row r="1956" spans="1:17" x14ac:dyDescent="0.25">
      <c r="A1956" s="1" t="str">
        <f>_xlfn.XLOOKUP(D1956,'Novo relatório'!B:B,'Novo relatório'!C:C,"RESOLVIDO")</f>
        <v>SABRE</v>
      </c>
      <c r="C1956" t="str">
        <f t="shared" si="60"/>
        <v>PENDENTE</v>
      </c>
      <c r="D1956" s="1">
        <v>3436600</v>
      </c>
      <c r="E1956" s="1" t="s">
        <v>26</v>
      </c>
      <c r="F1956" s="2">
        <v>45799.500694444447</v>
      </c>
      <c r="G1956" s="1" t="s">
        <v>2400</v>
      </c>
      <c r="H1956" s="1" t="s">
        <v>2400</v>
      </c>
      <c r="I1956" s="1" t="s">
        <v>83</v>
      </c>
      <c r="J1956" s="2">
        <v>45799.586805555555</v>
      </c>
      <c r="L1956" s="1" t="s">
        <v>18</v>
      </c>
      <c r="M1956" s="1" t="str">
        <f>_xlfn.XLOOKUP(I1956,Parâmetros!A:A,Parâmetros!B:B,_xlfn.XLOOKUP(Q1956,Parâmetros!F:F,Parâmetros!G:G,"NOVA MENSAGEM"))</f>
        <v>CLIENTE NÃO IDENTIFICADO</v>
      </c>
      <c r="N1956" s="1" t="str">
        <f>_xlfn.XLOOKUP(M1956,Parâmetros!K:K,Parâmetros!L:L,"")</f>
        <v>DK DE CLIENTE NÃO PREENCIDO / CLIENTE NÃO CONFIGURADO NO OBT</v>
      </c>
      <c r="O1956" s="1" t="str">
        <f>_xlfn.XLOOKUP(M1956,Parâmetros!B:B,Parâmetros!C:C,_xlfn.XLOOKUP(Base!M1879,Parâmetros!G:G,Parâmetros!H:H))</f>
        <v>INDEFINIDO</v>
      </c>
      <c r="P1956" s="1" t="str">
        <f>_xlfn.XLOOKUP(I1956,Parâmetros!A:A,Parâmetros!D:D,_xlfn.XLOOKUP(Q1956,Parâmetros!F:F,Parâmetros!I:I))</f>
        <v>OPERAÇÕES / SUPORTE KCS</v>
      </c>
      <c r="Q1956" s="1" t="str">
        <f t="shared" si="61"/>
        <v>COLUNA I</v>
      </c>
    </row>
    <row r="1957" spans="1:17" x14ac:dyDescent="0.25">
      <c r="A1957" s="1" t="str">
        <f>_xlfn.XLOOKUP(D1957,'Novo relatório'!B:B,'Novo relatório'!C:C,"RESOLVIDO")</f>
        <v>TMS</v>
      </c>
      <c r="C1957" t="str">
        <f t="shared" si="60"/>
        <v>PENDENTE</v>
      </c>
      <c r="D1957" s="1">
        <v>3436737</v>
      </c>
      <c r="E1957" s="1" t="s">
        <v>12</v>
      </c>
      <c r="F1957" s="2">
        <v>45799.404166666667</v>
      </c>
      <c r="G1957" s="1">
        <v>6896</v>
      </c>
      <c r="H1957" s="1">
        <v>6896</v>
      </c>
      <c r="I1957" s="1" t="s">
        <v>16</v>
      </c>
      <c r="J1957" s="2">
        <v>45799.643055555556</v>
      </c>
      <c r="K1957" s="2">
        <v>45802.938194444447</v>
      </c>
      <c r="L1957" s="1" t="s">
        <v>14</v>
      </c>
      <c r="M1957" s="1" t="str">
        <f>_xlfn.XLOOKUP(I1957,Parâmetros!A:A,Parâmetros!B:B,_xlfn.XLOOKUP(Q1957,Parâmetros!F:F,Parâmetros!G:G,"NOVA MENSAGEM"))</f>
        <v>ASSENTO / BAGAGEM</v>
      </c>
      <c r="N1957" s="1" t="str">
        <f>_xlfn.XLOOKUP(M1957,Parâmetros!K:K,Parâmetros!L:L,"")</f>
        <v>CAMPO OBSERVAÇÃO PREENCHIDO INCORRETAMENTE</v>
      </c>
      <c r="O1957" s="1" t="str">
        <f>_xlfn.XLOOKUP(M1957,Parâmetros!B:B,Parâmetros!C:C,_xlfn.XLOOKUP(Base!M2021,Parâmetros!G:G,Parâmetros!H:H))</f>
        <v>QUALIDADE DOS DADOS</v>
      </c>
      <c r="P1957" s="1" t="str">
        <f>_xlfn.XLOOKUP(I1957,Parâmetros!A:A,Parâmetros!D:D,_xlfn.XLOOKUP(Q1957,Parâmetros!F:F,Parâmetros!I:I))</f>
        <v>OPERAÇÕES / SUPORTE KCS</v>
      </c>
      <c r="Q1957" s="1">
        <f t="shared" si="61"/>
        <v>118</v>
      </c>
    </row>
    <row r="1958" spans="1:17" x14ac:dyDescent="0.25">
      <c r="A1958" s="1" t="str">
        <f>_xlfn.XLOOKUP(D1958,'Novo relatório'!B:B,'Novo relatório'!C:C,"RESOLVIDO")</f>
        <v>TMS</v>
      </c>
      <c r="C1958" t="str">
        <f t="shared" si="60"/>
        <v>PENDENTE</v>
      </c>
      <c r="D1958" s="1">
        <v>3436739</v>
      </c>
      <c r="E1958" s="1" t="s">
        <v>12</v>
      </c>
      <c r="F1958" s="2">
        <v>45799.407638888886</v>
      </c>
      <c r="G1958" s="1">
        <v>6890</v>
      </c>
      <c r="H1958" s="1">
        <v>6890</v>
      </c>
      <c r="I1958" s="1" t="s">
        <v>16</v>
      </c>
      <c r="J1958" s="2">
        <v>45799.643750000003</v>
      </c>
      <c r="K1958" s="2">
        <v>45802.938194444447</v>
      </c>
      <c r="L1958" s="1" t="s">
        <v>14</v>
      </c>
      <c r="M1958" s="1" t="str">
        <f>_xlfn.XLOOKUP(I1958,Parâmetros!A:A,Parâmetros!B:B,_xlfn.XLOOKUP(Q1958,Parâmetros!F:F,Parâmetros!G:G,"NOVA MENSAGEM"))</f>
        <v>ASSENTO / BAGAGEM</v>
      </c>
      <c r="N1958" s="1" t="str">
        <f>_xlfn.XLOOKUP(M1958,Parâmetros!K:K,Parâmetros!L:L,"")</f>
        <v>CAMPO OBSERVAÇÃO PREENCHIDO INCORRETAMENTE</v>
      </c>
      <c r="O1958" s="1" t="str">
        <f>_xlfn.XLOOKUP(M1958,Parâmetros!B:B,Parâmetros!C:C,_xlfn.XLOOKUP(Base!M2020,Parâmetros!G:G,Parâmetros!H:H))</f>
        <v>QUALIDADE DOS DADOS</v>
      </c>
      <c r="P1958" s="1" t="str">
        <f>_xlfn.XLOOKUP(I1958,Parâmetros!A:A,Parâmetros!D:D,_xlfn.XLOOKUP(Q1958,Parâmetros!F:F,Parâmetros!I:I))</f>
        <v>OPERAÇÕES / SUPORTE KCS</v>
      </c>
      <c r="Q1958" s="1">
        <f t="shared" si="61"/>
        <v>118</v>
      </c>
    </row>
    <row r="1959" spans="1:17" x14ac:dyDescent="0.25">
      <c r="A1959" s="1" t="str">
        <f>_xlfn.XLOOKUP(D1959,'Novo relatório'!B:B,'Novo relatório'!C:C,"RESOLVIDO")</f>
        <v>TMS</v>
      </c>
      <c r="C1959" t="str">
        <f t="shared" si="60"/>
        <v>PENDENTE</v>
      </c>
      <c r="D1959" s="1">
        <v>3436891</v>
      </c>
      <c r="E1959" s="1" t="s">
        <v>12</v>
      </c>
      <c r="F1959" s="2">
        <v>45799.416666666664</v>
      </c>
      <c r="G1959" s="1">
        <v>66584</v>
      </c>
      <c r="H1959" s="1">
        <v>66584</v>
      </c>
      <c r="I1959" s="1" t="s">
        <v>16</v>
      </c>
      <c r="J1959" s="2">
        <v>45799.65625</v>
      </c>
      <c r="K1959" s="2">
        <v>45802.938888888886</v>
      </c>
      <c r="L1959" s="1" t="s">
        <v>14</v>
      </c>
      <c r="M1959" s="1" t="str">
        <f>_xlfn.XLOOKUP(I1959,Parâmetros!A:A,Parâmetros!B:B,_xlfn.XLOOKUP(Q1959,Parâmetros!F:F,Parâmetros!G:G,"NOVA MENSAGEM"))</f>
        <v>ASSENTO / BAGAGEM</v>
      </c>
      <c r="N1959" s="1" t="str">
        <f>_xlfn.XLOOKUP(M1959,Parâmetros!K:K,Parâmetros!L:L,"")</f>
        <v>CAMPO OBSERVAÇÃO PREENCHIDO INCORRETAMENTE</v>
      </c>
      <c r="O1959" s="1" t="str">
        <f>_xlfn.XLOOKUP(M1959,Parâmetros!B:B,Parâmetros!C:C,_xlfn.XLOOKUP(Base!M2014,Parâmetros!G:G,Parâmetros!H:H))</f>
        <v>QUALIDADE DOS DADOS</v>
      </c>
      <c r="P1959" s="1" t="str">
        <f>_xlfn.XLOOKUP(I1959,Parâmetros!A:A,Parâmetros!D:D,_xlfn.XLOOKUP(Q1959,Parâmetros!F:F,Parâmetros!I:I))</f>
        <v>OPERAÇÕES / SUPORTE KCS</v>
      </c>
      <c r="Q1959" s="1">
        <f t="shared" si="61"/>
        <v>118</v>
      </c>
    </row>
    <row r="1960" spans="1:17" x14ac:dyDescent="0.25">
      <c r="A1960" s="1" t="str">
        <f>_xlfn.XLOOKUP(D1960,'Novo relatório'!B:B,'Novo relatório'!C:C,"RESOLVIDO")</f>
        <v>TMS</v>
      </c>
      <c r="C1960" t="str">
        <f t="shared" si="60"/>
        <v>PENDENTE</v>
      </c>
      <c r="D1960" s="1">
        <v>3436892</v>
      </c>
      <c r="E1960" s="1" t="s">
        <v>12</v>
      </c>
      <c r="F1960" s="2">
        <v>45799.411111111112</v>
      </c>
      <c r="G1960" s="1">
        <v>66583</v>
      </c>
      <c r="H1960" s="1">
        <v>66583</v>
      </c>
      <c r="I1960" s="1" t="s">
        <v>16</v>
      </c>
      <c r="J1960" s="2">
        <v>45799.65625</v>
      </c>
      <c r="K1960" s="2">
        <v>45802.938888888886</v>
      </c>
      <c r="L1960" s="1" t="s">
        <v>14</v>
      </c>
      <c r="M1960" s="1" t="str">
        <f>_xlfn.XLOOKUP(I1960,Parâmetros!A:A,Parâmetros!B:B,_xlfn.XLOOKUP(Q1960,Parâmetros!F:F,Parâmetros!G:G,"NOVA MENSAGEM"))</f>
        <v>ASSENTO / BAGAGEM</v>
      </c>
      <c r="N1960" s="1" t="str">
        <f>_xlfn.XLOOKUP(M1960,Parâmetros!K:K,Parâmetros!L:L,"")</f>
        <v>CAMPO OBSERVAÇÃO PREENCHIDO INCORRETAMENTE</v>
      </c>
      <c r="O1960" s="1" t="str">
        <f>_xlfn.XLOOKUP(M1960,Parâmetros!B:B,Parâmetros!C:C,_xlfn.XLOOKUP(Base!M2013,Parâmetros!G:G,Parâmetros!H:H))</f>
        <v>QUALIDADE DOS DADOS</v>
      </c>
      <c r="P1960" s="1" t="str">
        <f>_xlfn.XLOOKUP(I1960,Parâmetros!A:A,Parâmetros!D:D,_xlfn.XLOOKUP(Q1960,Parâmetros!F:F,Parâmetros!I:I))</f>
        <v>OPERAÇÕES / SUPORTE KCS</v>
      </c>
      <c r="Q1960" s="1">
        <f t="shared" si="61"/>
        <v>118</v>
      </c>
    </row>
    <row r="1961" spans="1:17" x14ac:dyDescent="0.25">
      <c r="A1961" s="1" t="str">
        <f>_xlfn.XLOOKUP(D1961,'Novo relatório'!B:B,'Novo relatório'!C:C,"RESOLVIDO")</f>
        <v>TMS</v>
      </c>
      <c r="C1961" t="str">
        <f t="shared" si="60"/>
        <v>PENDENTE</v>
      </c>
      <c r="D1961" s="1">
        <v>3436893</v>
      </c>
      <c r="E1961" s="1" t="s">
        <v>12</v>
      </c>
      <c r="F1961" s="2">
        <v>45799.413888888892</v>
      </c>
      <c r="G1961" s="1">
        <v>66582</v>
      </c>
      <c r="H1961" s="1">
        <v>66582</v>
      </c>
      <c r="I1961" s="1" t="s">
        <v>16</v>
      </c>
      <c r="J1961" s="2">
        <v>45799.65625</v>
      </c>
      <c r="K1961" s="2">
        <v>45802.938888888886</v>
      </c>
      <c r="L1961" s="1" t="s">
        <v>14</v>
      </c>
      <c r="M1961" s="1" t="str">
        <f>_xlfn.XLOOKUP(I1961,Parâmetros!A:A,Parâmetros!B:B,_xlfn.XLOOKUP(Q1961,Parâmetros!F:F,Parâmetros!G:G,"NOVA MENSAGEM"))</f>
        <v>ASSENTO / BAGAGEM</v>
      </c>
      <c r="N1961" s="1" t="str">
        <f>_xlfn.XLOOKUP(M1961,Parâmetros!K:K,Parâmetros!L:L,"")</f>
        <v>CAMPO OBSERVAÇÃO PREENCHIDO INCORRETAMENTE</v>
      </c>
      <c r="O1961" s="1" t="str">
        <f>_xlfn.XLOOKUP(M1961,Parâmetros!B:B,Parâmetros!C:C,_xlfn.XLOOKUP(Base!M2012,Parâmetros!G:G,Parâmetros!H:H))</f>
        <v>QUALIDADE DOS DADOS</v>
      </c>
      <c r="P1961" s="1" t="str">
        <f>_xlfn.XLOOKUP(I1961,Parâmetros!A:A,Parâmetros!D:D,_xlfn.XLOOKUP(Q1961,Parâmetros!F:F,Parâmetros!I:I))</f>
        <v>OPERAÇÕES / SUPORTE KCS</v>
      </c>
      <c r="Q1961" s="1">
        <f t="shared" si="61"/>
        <v>118</v>
      </c>
    </row>
    <row r="1962" spans="1:17" x14ac:dyDescent="0.25">
      <c r="A1962" s="1" t="str">
        <f>_xlfn.XLOOKUP(D1962,'Novo relatório'!B:B,'Novo relatório'!C:C,"RESOLVIDO")</f>
        <v>TMS</v>
      </c>
      <c r="C1962" t="str">
        <f t="shared" si="60"/>
        <v>PENDENTE</v>
      </c>
      <c r="D1962" s="1">
        <v>3436894</v>
      </c>
      <c r="E1962" s="1" t="s">
        <v>12</v>
      </c>
      <c r="F1962" s="2">
        <v>45799.408333333333</v>
      </c>
      <c r="G1962" s="1">
        <v>66579</v>
      </c>
      <c r="H1962" s="1">
        <v>66579</v>
      </c>
      <c r="I1962" s="1" t="s">
        <v>16</v>
      </c>
      <c r="J1962" s="2">
        <v>45799.65625</v>
      </c>
      <c r="K1962" s="2">
        <v>45802.938888888886</v>
      </c>
      <c r="L1962" s="1" t="s">
        <v>14</v>
      </c>
      <c r="M1962" s="1" t="str">
        <f>_xlfn.XLOOKUP(I1962,Parâmetros!A:A,Parâmetros!B:B,_xlfn.XLOOKUP(Q1962,Parâmetros!F:F,Parâmetros!G:G,"NOVA MENSAGEM"))</f>
        <v>ASSENTO / BAGAGEM</v>
      </c>
      <c r="N1962" s="1" t="str">
        <f>_xlfn.XLOOKUP(M1962,Parâmetros!K:K,Parâmetros!L:L,"")</f>
        <v>CAMPO OBSERVAÇÃO PREENCHIDO INCORRETAMENTE</v>
      </c>
      <c r="O1962" s="1" t="str">
        <f>_xlfn.XLOOKUP(M1962,Parâmetros!B:B,Parâmetros!C:C,_xlfn.XLOOKUP(Base!M2011,Parâmetros!G:G,Parâmetros!H:H))</f>
        <v>QUALIDADE DOS DADOS</v>
      </c>
      <c r="P1962" s="1" t="str">
        <f>_xlfn.XLOOKUP(I1962,Parâmetros!A:A,Parâmetros!D:D,_xlfn.XLOOKUP(Q1962,Parâmetros!F:F,Parâmetros!I:I))</f>
        <v>OPERAÇÕES / SUPORTE KCS</v>
      </c>
      <c r="Q1962" s="1">
        <f t="shared" si="61"/>
        <v>118</v>
      </c>
    </row>
    <row r="1963" spans="1:17" x14ac:dyDescent="0.25">
      <c r="A1963" s="1" t="str">
        <f>_xlfn.XLOOKUP(D1963,'Novo relatório'!B:B,'Novo relatório'!C:C,"RESOLVIDO")</f>
        <v>TMS</v>
      </c>
      <c r="C1963" t="str">
        <f t="shared" si="60"/>
        <v>PENDENTE</v>
      </c>
      <c r="D1963" s="1">
        <v>3436896</v>
      </c>
      <c r="E1963" s="1" t="s">
        <v>12</v>
      </c>
      <c r="F1963" s="2">
        <v>45799.412499999999</v>
      </c>
      <c r="G1963" s="1">
        <v>66578</v>
      </c>
      <c r="H1963" s="1">
        <v>66578</v>
      </c>
      <c r="I1963" s="1" t="s">
        <v>16</v>
      </c>
      <c r="J1963" s="2">
        <v>45799.656944444447</v>
      </c>
      <c r="K1963" s="2">
        <v>45802.938888888886</v>
      </c>
      <c r="L1963" s="1" t="s">
        <v>14</v>
      </c>
      <c r="M1963" s="1" t="str">
        <f>_xlfn.XLOOKUP(I1963,Parâmetros!A:A,Parâmetros!B:B,_xlfn.XLOOKUP(Q1963,Parâmetros!F:F,Parâmetros!G:G,"NOVA MENSAGEM"))</f>
        <v>ASSENTO / BAGAGEM</v>
      </c>
      <c r="N1963" s="1" t="str">
        <f>_xlfn.XLOOKUP(M1963,Parâmetros!K:K,Parâmetros!L:L,"")</f>
        <v>CAMPO OBSERVAÇÃO PREENCHIDO INCORRETAMENTE</v>
      </c>
      <c r="O1963" s="1" t="str">
        <f>_xlfn.XLOOKUP(M1963,Parâmetros!B:B,Parâmetros!C:C,_xlfn.XLOOKUP(Base!M2010,Parâmetros!G:G,Parâmetros!H:H))</f>
        <v>QUALIDADE DOS DADOS</v>
      </c>
      <c r="P1963" s="1" t="str">
        <f>_xlfn.XLOOKUP(I1963,Parâmetros!A:A,Parâmetros!D:D,_xlfn.XLOOKUP(Q1963,Parâmetros!F:F,Parâmetros!I:I))</f>
        <v>OPERAÇÕES / SUPORTE KCS</v>
      </c>
      <c r="Q1963" s="1">
        <f t="shared" si="61"/>
        <v>118</v>
      </c>
    </row>
    <row r="1964" spans="1:17" x14ac:dyDescent="0.25">
      <c r="A1964" s="1" t="str">
        <f>_xlfn.XLOOKUP(D1964,'Novo relatório'!B:B,'Novo relatório'!C:C,"RESOLVIDO")</f>
        <v>TMS</v>
      </c>
      <c r="C1964" t="str">
        <f t="shared" si="60"/>
        <v>PENDENTE</v>
      </c>
      <c r="D1964" s="1">
        <v>3436899</v>
      </c>
      <c r="E1964" s="1" t="s">
        <v>12</v>
      </c>
      <c r="F1964" s="2">
        <v>45799.406944444447</v>
      </c>
      <c r="G1964" s="1">
        <v>66577</v>
      </c>
      <c r="H1964" s="1">
        <v>66577</v>
      </c>
      <c r="I1964" s="1" t="s">
        <v>16</v>
      </c>
      <c r="J1964" s="2">
        <v>45799.656944444447</v>
      </c>
      <c r="K1964" s="2">
        <v>45802.938888888886</v>
      </c>
      <c r="L1964" s="1" t="s">
        <v>14</v>
      </c>
      <c r="M1964" s="1" t="str">
        <f>_xlfn.XLOOKUP(I1964,Parâmetros!A:A,Parâmetros!B:B,_xlfn.XLOOKUP(Q1964,Parâmetros!F:F,Parâmetros!G:G,"NOVA MENSAGEM"))</f>
        <v>ASSENTO / BAGAGEM</v>
      </c>
      <c r="N1964" s="1" t="str">
        <f>_xlfn.XLOOKUP(M1964,Parâmetros!K:K,Parâmetros!L:L,"")</f>
        <v>CAMPO OBSERVAÇÃO PREENCHIDO INCORRETAMENTE</v>
      </c>
      <c r="O1964" s="1" t="str">
        <f>_xlfn.XLOOKUP(M1964,Parâmetros!B:B,Parâmetros!C:C,_xlfn.XLOOKUP(Base!M2009,Parâmetros!G:G,Parâmetros!H:H))</f>
        <v>QUALIDADE DOS DADOS</v>
      </c>
      <c r="P1964" s="1" t="str">
        <f>_xlfn.XLOOKUP(I1964,Parâmetros!A:A,Parâmetros!D:D,_xlfn.XLOOKUP(Q1964,Parâmetros!F:F,Parâmetros!I:I))</f>
        <v>OPERAÇÕES / SUPORTE KCS</v>
      </c>
      <c r="Q1964" s="1">
        <f t="shared" si="61"/>
        <v>118</v>
      </c>
    </row>
    <row r="1965" spans="1:17" x14ac:dyDescent="0.25">
      <c r="A1965" s="1" t="str">
        <f>_xlfn.XLOOKUP(D1965,'Novo relatório'!B:B,'Novo relatório'!C:C,"RESOLVIDO")</f>
        <v>RESOLVIDO</v>
      </c>
      <c r="C1965" t="str">
        <f t="shared" si="60"/>
        <v>RESOLVIDO</v>
      </c>
      <c r="D1965" s="1">
        <v>3437103</v>
      </c>
      <c r="E1965" s="1" t="s">
        <v>12</v>
      </c>
      <c r="F1965" s="2">
        <v>45799.512499999997</v>
      </c>
      <c r="G1965" s="1">
        <v>106354</v>
      </c>
      <c r="H1965" s="1">
        <v>106354</v>
      </c>
      <c r="I1965" s="1" t="s">
        <v>927</v>
      </c>
      <c r="J1965" s="2">
        <v>45799.675694444442</v>
      </c>
      <c r="K1965" s="2">
        <v>45802.94027777778</v>
      </c>
      <c r="L1965" s="1" t="s">
        <v>19</v>
      </c>
      <c r="M1965" s="1" t="str">
        <f>_xlfn.XLOOKUP(I1965,Parâmetros!A:A,Parâmetros!B:B,_xlfn.XLOOKUP(Q1965,Parâmetros!F:F,Parâmetros!G:G,"NOVA MENSAGEM"))</f>
        <v>CONTRATO FORNECEDOR</v>
      </c>
      <c r="N1965" s="1" t="str">
        <f>_xlfn.XLOOKUP(M1965,Parâmetros!K:K,Parâmetros!L:L,"")</f>
        <v>CONTRATO INATIVO OU DIVERGENTE</v>
      </c>
      <c r="O1965" s="1" t="str">
        <f>_xlfn.XLOOKUP(M1965,Parâmetros!B:B,Parâmetros!C:C,_xlfn.XLOOKUP(Base!M1991,Parâmetros!G:G,Parâmetros!H:H))</f>
        <v>SISTEMA</v>
      </c>
      <c r="P1965" s="1" t="str">
        <f>_xlfn.XLOOKUP(I1965,Parâmetros!A:A,Parâmetros!D:D,_xlfn.XLOOKUP(Q1965,Parâmetros!F:F,Parâmetros!I:I))</f>
        <v>OPERAÇÕES / SUPORTE KCS</v>
      </c>
      <c r="Q1965" s="1">
        <f t="shared" si="61"/>
        <v>69</v>
      </c>
    </row>
    <row r="1966" spans="1:17" x14ac:dyDescent="0.25">
      <c r="A1966" s="1" t="str">
        <f>_xlfn.XLOOKUP(D1966,'Novo relatório'!B:B,'Novo relatório'!C:C,"RESOLVIDO")</f>
        <v>SABRE</v>
      </c>
      <c r="C1966" t="str">
        <f t="shared" si="60"/>
        <v>PENDENTE</v>
      </c>
      <c r="D1966" s="1">
        <v>3437150</v>
      </c>
      <c r="E1966" s="1" t="s">
        <v>26</v>
      </c>
      <c r="F1966" s="2">
        <v>45799.591666666667</v>
      </c>
      <c r="G1966" s="1" t="s">
        <v>2366</v>
      </c>
      <c r="H1966" s="1" t="s">
        <v>2366</v>
      </c>
      <c r="I1966" s="1" t="s">
        <v>620</v>
      </c>
      <c r="J1966" s="2">
        <v>45799.679861111108</v>
      </c>
      <c r="L1966" s="1" t="s">
        <v>18</v>
      </c>
      <c r="M1966" s="1" t="str">
        <f>_xlfn.XLOOKUP(I1966,Parâmetros!A:A,Parâmetros!B:B,_xlfn.XLOOKUP(Q1966,Parâmetros!F:F,Parâmetros!G:G,"NOVA MENSAGEM"))</f>
        <v>CÓD. CLIENTE DIVERGENTE</v>
      </c>
      <c r="N1966" s="1" t="str">
        <f>_xlfn.XLOOKUP(M1966,Parâmetros!K:K,Parâmetros!L:L,"")</f>
        <v>CÓDIGO DIFERENTE DO CADASTRADO NO BENNER (CLIENTE X GRUPO)</v>
      </c>
      <c r="O1966" s="1" t="str">
        <f>_xlfn.XLOOKUP(M1966,Parâmetros!B:B,Parâmetros!C:C,_xlfn.XLOOKUP(Base!M1850,Parâmetros!G:G,Parâmetros!H:H))</f>
        <v>QUALIDADE DOS DADOS</v>
      </c>
      <c r="P1966" s="1" t="str">
        <f>_xlfn.XLOOKUP(I1966,Parâmetros!A:A,Parâmetros!D:D,_xlfn.XLOOKUP(Q1966,Parâmetros!F:F,Parâmetros!I:I))</f>
        <v>SUPORTE OBT</v>
      </c>
      <c r="Q1966" s="1">
        <f t="shared" si="61"/>
        <v>1</v>
      </c>
    </row>
    <row r="1967" spans="1:17" x14ac:dyDescent="0.25">
      <c r="A1967" s="1" t="str">
        <f>_xlfn.XLOOKUP(D1967,'Novo relatório'!B:B,'Novo relatório'!C:C,"RESOLVIDO")</f>
        <v>SABRE</v>
      </c>
      <c r="C1967" t="str">
        <f t="shared" si="60"/>
        <v>PENDENTE</v>
      </c>
      <c r="D1967" s="1">
        <v>3437160</v>
      </c>
      <c r="E1967" s="1" t="s">
        <v>26</v>
      </c>
      <c r="F1967" s="2">
        <v>45799.593055555553</v>
      </c>
      <c r="G1967" s="1" t="s">
        <v>2373</v>
      </c>
      <c r="H1967" s="1" t="s">
        <v>2373</v>
      </c>
      <c r="I1967" s="1" t="s">
        <v>707</v>
      </c>
      <c r="J1967" s="2">
        <v>45799.680555555555</v>
      </c>
      <c r="L1967" s="1" t="s">
        <v>18</v>
      </c>
      <c r="M1967" s="1" t="str">
        <f>_xlfn.XLOOKUP(I1967,Parâmetros!A:A,Parâmetros!B:B,_xlfn.XLOOKUP(Q1967,Parâmetros!F:F,Parâmetros!G:G,"NOVA MENSAGEM"))</f>
        <v>CÓD. CLIENTE DIVERGENTE</v>
      </c>
      <c r="N1967" s="1" t="str">
        <f>_xlfn.XLOOKUP(M1967,Parâmetros!K:K,Parâmetros!L:L,"")</f>
        <v>CÓDIGO DIFERENTE DO CADASTRADO NO BENNER (CLIENTE X GRUPO)</v>
      </c>
      <c r="O1967" s="1" t="str">
        <f>_xlfn.XLOOKUP(M1967,Parâmetros!B:B,Parâmetros!C:C,_xlfn.XLOOKUP(Base!M1856,Parâmetros!G:G,Parâmetros!H:H))</f>
        <v>QUALIDADE DOS DADOS</v>
      </c>
      <c r="P1967" s="1" t="str">
        <f>_xlfn.XLOOKUP(I1967,Parâmetros!A:A,Parâmetros!D:D,_xlfn.XLOOKUP(Q1967,Parâmetros!F:F,Parâmetros!I:I))</f>
        <v>SUPORTE OBT</v>
      </c>
      <c r="Q1967" s="1">
        <f t="shared" si="61"/>
        <v>1</v>
      </c>
    </row>
    <row r="1968" spans="1:17" x14ac:dyDescent="0.25">
      <c r="A1968" s="1" t="str">
        <f>_xlfn.XLOOKUP(D1968,'Novo relatório'!B:B,'Novo relatório'!C:C,"RESOLVIDO")</f>
        <v>SABRE</v>
      </c>
      <c r="C1968" t="str">
        <f t="shared" si="60"/>
        <v>PENDENTE</v>
      </c>
      <c r="D1968" s="1">
        <v>3437178</v>
      </c>
      <c r="E1968" s="1" t="s">
        <v>26</v>
      </c>
      <c r="F1968" s="2">
        <v>45799.59375</v>
      </c>
      <c r="G1968" s="1" t="s">
        <v>2515</v>
      </c>
      <c r="H1968" s="1" t="s">
        <v>2515</v>
      </c>
      <c r="I1968" s="1" t="s">
        <v>620</v>
      </c>
      <c r="J1968" s="2">
        <v>45799.681944444441</v>
      </c>
      <c r="L1968" s="1" t="s">
        <v>18</v>
      </c>
      <c r="M1968" s="1" t="str">
        <f>_xlfn.XLOOKUP(I1968,Parâmetros!A:A,Parâmetros!B:B,_xlfn.XLOOKUP(Q1968,Parâmetros!F:F,Parâmetros!G:G,"NOVA MENSAGEM"))</f>
        <v>CÓD. CLIENTE DIVERGENTE</v>
      </c>
      <c r="N1968" s="1" t="str">
        <f>_xlfn.XLOOKUP(M1968,Parâmetros!K:K,Parâmetros!L:L,"")</f>
        <v>CÓDIGO DIFERENTE DO CADASTRADO NO BENNER (CLIENTE X GRUPO)</v>
      </c>
      <c r="O1968" s="1" t="str">
        <f>_xlfn.XLOOKUP(M1968,Parâmetros!B:B,Parâmetros!C:C,_xlfn.XLOOKUP(Base!M1977,Parâmetros!G:G,Parâmetros!H:H))</f>
        <v>QUALIDADE DOS DADOS</v>
      </c>
      <c r="P1968" s="1" t="str">
        <f>_xlfn.XLOOKUP(I1968,Parâmetros!A:A,Parâmetros!D:D,_xlfn.XLOOKUP(Q1968,Parâmetros!F:F,Parâmetros!I:I))</f>
        <v>SUPORTE OBT</v>
      </c>
      <c r="Q1968" s="1">
        <f t="shared" si="61"/>
        <v>1</v>
      </c>
    </row>
    <row r="1969" spans="1:17" x14ac:dyDescent="0.25">
      <c r="A1969" s="1" t="str">
        <f>_xlfn.XLOOKUP(D1969,'Novo relatório'!B:B,'Novo relatório'!C:C,"RESOLVIDO")</f>
        <v>SABRE</v>
      </c>
      <c r="C1969" t="str">
        <f t="shared" si="60"/>
        <v>PENDENTE</v>
      </c>
      <c r="D1969" s="1">
        <v>3437773</v>
      </c>
      <c r="E1969" s="1" t="s">
        <v>26</v>
      </c>
      <c r="F1969" s="2">
        <v>45799.64166666667</v>
      </c>
      <c r="G1969" s="1" t="s">
        <v>2388</v>
      </c>
      <c r="H1969" s="1" t="s">
        <v>2388</v>
      </c>
      <c r="I1969" s="1" t="s">
        <v>707</v>
      </c>
      <c r="J1969" s="2">
        <v>45799.731944444444</v>
      </c>
      <c r="L1969" s="1" t="s">
        <v>18</v>
      </c>
      <c r="M1969" s="1" t="str">
        <f>_xlfn.XLOOKUP(I1969,Parâmetros!A:A,Parâmetros!B:B,_xlfn.XLOOKUP(Q1969,Parâmetros!F:F,Parâmetros!G:G,"NOVA MENSAGEM"))</f>
        <v>CÓD. CLIENTE DIVERGENTE</v>
      </c>
      <c r="N1969" s="1" t="str">
        <f>_xlfn.XLOOKUP(M1969,Parâmetros!K:K,Parâmetros!L:L,"")</f>
        <v>CÓDIGO DIFERENTE DO CADASTRADO NO BENNER (CLIENTE X GRUPO)</v>
      </c>
      <c r="O1969" s="1" t="str">
        <f>_xlfn.XLOOKUP(M1969,Parâmetros!B:B,Parâmetros!C:C,_xlfn.XLOOKUP(Base!M1868,Parâmetros!G:G,Parâmetros!H:H))</f>
        <v>QUALIDADE DOS DADOS</v>
      </c>
      <c r="P1969" s="1" t="str">
        <f>_xlfn.XLOOKUP(I1969,Parâmetros!A:A,Parâmetros!D:D,_xlfn.XLOOKUP(Q1969,Parâmetros!F:F,Parâmetros!I:I))</f>
        <v>SUPORTE OBT</v>
      </c>
      <c r="Q1969" s="1">
        <f t="shared" si="61"/>
        <v>1</v>
      </c>
    </row>
    <row r="1970" spans="1:17" x14ac:dyDescent="0.25">
      <c r="A1970" s="1" t="str">
        <f>_xlfn.XLOOKUP(D1970,'Novo relatório'!B:B,'Novo relatório'!C:C,"RESOLVIDO")</f>
        <v>SABRE</v>
      </c>
      <c r="C1970" t="str">
        <f t="shared" si="60"/>
        <v>PENDENTE</v>
      </c>
      <c r="D1970" s="1">
        <v>3437775</v>
      </c>
      <c r="E1970" s="1" t="s">
        <v>26</v>
      </c>
      <c r="F1970" s="2">
        <v>45799.64166666667</v>
      </c>
      <c r="G1970" s="1" t="s">
        <v>2514</v>
      </c>
      <c r="H1970" s="1" t="s">
        <v>2514</v>
      </c>
      <c r="I1970" s="1" t="s">
        <v>620</v>
      </c>
      <c r="J1970" s="2">
        <v>45799.731944444444</v>
      </c>
      <c r="L1970" s="1" t="s">
        <v>18</v>
      </c>
      <c r="M1970" s="1" t="str">
        <f>_xlfn.XLOOKUP(I1970,Parâmetros!A:A,Parâmetros!B:B,_xlfn.XLOOKUP(Q1970,Parâmetros!F:F,Parâmetros!G:G,"NOVA MENSAGEM"))</f>
        <v>CÓD. CLIENTE DIVERGENTE</v>
      </c>
      <c r="N1970" s="1" t="str">
        <f>_xlfn.XLOOKUP(M1970,Parâmetros!K:K,Parâmetros!L:L,"")</f>
        <v>CÓDIGO DIFERENTE DO CADASTRADO NO BENNER (CLIENTE X GRUPO)</v>
      </c>
      <c r="O1970" s="1" t="str">
        <f>_xlfn.XLOOKUP(M1970,Parâmetros!B:B,Parâmetros!C:C,_xlfn.XLOOKUP(Base!M1976,Parâmetros!G:G,Parâmetros!H:H))</f>
        <v>QUALIDADE DOS DADOS</v>
      </c>
      <c r="P1970" s="1" t="str">
        <f>_xlfn.XLOOKUP(I1970,Parâmetros!A:A,Parâmetros!D:D,_xlfn.XLOOKUP(Q1970,Parâmetros!F:F,Parâmetros!I:I))</f>
        <v>SUPORTE OBT</v>
      </c>
      <c r="Q1970" s="1">
        <f t="shared" si="61"/>
        <v>1</v>
      </c>
    </row>
    <row r="1971" spans="1:17" x14ac:dyDescent="0.25">
      <c r="A1971" s="1" t="str">
        <f>_xlfn.XLOOKUP(D1971,'Novo relatório'!B:B,'Novo relatório'!C:C,"RESOLVIDO")</f>
        <v>SABRE</v>
      </c>
      <c r="C1971" t="str">
        <f t="shared" si="60"/>
        <v>PENDENTE</v>
      </c>
      <c r="D1971" s="1">
        <v>3437776</v>
      </c>
      <c r="E1971" s="1" t="s">
        <v>26</v>
      </c>
      <c r="F1971" s="2">
        <v>45799.64166666667</v>
      </c>
      <c r="G1971" s="1" t="s">
        <v>2364</v>
      </c>
      <c r="H1971" s="1" t="s">
        <v>2364</v>
      </c>
      <c r="I1971" s="1" t="s">
        <v>620</v>
      </c>
      <c r="J1971" s="2">
        <v>45799.731944444444</v>
      </c>
      <c r="L1971" s="1" t="s">
        <v>18</v>
      </c>
      <c r="M1971" s="1" t="str">
        <f>_xlfn.XLOOKUP(I1971,Parâmetros!A:A,Parâmetros!B:B,_xlfn.XLOOKUP(Q1971,Parâmetros!F:F,Parâmetros!G:G,"NOVA MENSAGEM"))</f>
        <v>CÓD. CLIENTE DIVERGENTE</v>
      </c>
      <c r="N1971" s="1" t="str">
        <f>_xlfn.XLOOKUP(M1971,Parâmetros!K:K,Parâmetros!L:L,"")</f>
        <v>CÓDIGO DIFERENTE DO CADASTRADO NO BENNER (CLIENTE X GRUPO)</v>
      </c>
      <c r="O1971" s="1" t="str">
        <f>_xlfn.XLOOKUP(M1971,Parâmetros!B:B,Parâmetros!C:C,_xlfn.XLOOKUP(Base!M1848,Parâmetros!G:G,Parâmetros!H:H))</f>
        <v>QUALIDADE DOS DADOS</v>
      </c>
      <c r="P1971" s="1" t="str">
        <f>_xlfn.XLOOKUP(I1971,Parâmetros!A:A,Parâmetros!D:D,_xlfn.XLOOKUP(Q1971,Parâmetros!F:F,Parâmetros!I:I))</f>
        <v>SUPORTE OBT</v>
      </c>
      <c r="Q1971" s="1">
        <f t="shared" si="61"/>
        <v>1</v>
      </c>
    </row>
    <row r="1972" spans="1:17" x14ac:dyDescent="0.25">
      <c r="A1972" s="1" t="str">
        <f>_xlfn.XLOOKUP(D1972,'Novo relatório'!B:B,'Novo relatório'!C:C,"RESOLVIDO")</f>
        <v>SABRE</v>
      </c>
      <c r="C1972" t="str">
        <f t="shared" si="60"/>
        <v>PENDENTE</v>
      </c>
      <c r="D1972" s="1">
        <v>3437791</v>
      </c>
      <c r="E1972" s="1" t="s">
        <v>26</v>
      </c>
      <c r="F1972" s="2">
        <v>45800.412499999999</v>
      </c>
      <c r="G1972" s="1" t="s">
        <v>2387</v>
      </c>
      <c r="H1972" s="1" t="s">
        <v>2387</v>
      </c>
      <c r="I1972" s="1" t="s">
        <v>829</v>
      </c>
      <c r="J1972" s="2">
        <v>45799.732638888891</v>
      </c>
      <c r="K1972" s="2">
        <v>45800.503472222219</v>
      </c>
      <c r="L1972" s="1" t="s">
        <v>18</v>
      </c>
      <c r="M1972" s="1" t="str">
        <f>_xlfn.XLOOKUP(I1972,Parâmetros!A:A,Parâmetros!B:B,_xlfn.XLOOKUP(Q1972,Parâmetros!F:F,Parâmetros!G:G,"NOVA MENSAGEM"))</f>
        <v>REMARK - CNPJ</v>
      </c>
      <c r="N1972" s="1" t="str">
        <f>_xlfn.XLOOKUP(M1972,Parâmetros!K:K,Parâmetros!L:L,"")</f>
        <v/>
      </c>
      <c r="O1972" s="1" t="str">
        <f>_xlfn.XLOOKUP(M1972,Parâmetros!B:B,Parâmetros!C:C,_xlfn.XLOOKUP(Base!M1867,Parâmetros!G:G,Parâmetros!H:H))</f>
        <v>SISTEMA</v>
      </c>
      <c r="P1972" s="1" t="str">
        <f>_xlfn.XLOOKUP(I1972,Parâmetros!A:A,Parâmetros!D:D,_xlfn.XLOOKUP(Q1972,Parâmetros!F:F,Parâmetros!I:I))</f>
        <v>OPERAÇÕES / SUPORTE KCS</v>
      </c>
      <c r="Q1972" s="1">
        <f t="shared" si="61"/>
        <v>24</v>
      </c>
    </row>
    <row r="1973" spans="1:17" x14ac:dyDescent="0.25">
      <c r="A1973" s="1" t="str">
        <f>_xlfn.XLOOKUP(D1973,'Novo relatório'!B:B,'Novo relatório'!C:C,"RESOLVIDO")</f>
        <v>SABRE</v>
      </c>
      <c r="C1973" t="str">
        <f t="shared" si="60"/>
        <v>PENDENTE</v>
      </c>
      <c r="D1973" s="1">
        <v>3437793</v>
      </c>
      <c r="E1973" s="1" t="s">
        <v>26</v>
      </c>
      <c r="F1973" s="2">
        <v>45800.412499999999</v>
      </c>
      <c r="G1973" s="1" t="s">
        <v>2426</v>
      </c>
      <c r="H1973" s="1" t="s">
        <v>2426</v>
      </c>
      <c r="I1973" s="1" t="s">
        <v>829</v>
      </c>
      <c r="J1973" s="2">
        <v>45799.732638888891</v>
      </c>
      <c r="K1973" s="2">
        <v>45800.504166666666</v>
      </c>
      <c r="L1973" s="1" t="s">
        <v>18</v>
      </c>
      <c r="M1973" s="1" t="str">
        <f>_xlfn.XLOOKUP(I1973,Parâmetros!A:A,Parâmetros!B:B,_xlfn.XLOOKUP(Q1973,Parâmetros!F:F,Parâmetros!G:G,"NOVA MENSAGEM"))</f>
        <v>REMARK - CNPJ</v>
      </c>
      <c r="N1973" s="1" t="str">
        <f>_xlfn.XLOOKUP(M1973,Parâmetros!K:K,Parâmetros!L:L,"")</f>
        <v/>
      </c>
      <c r="O1973" s="1" t="str">
        <f>_xlfn.XLOOKUP(M1973,Parâmetros!B:B,Parâmetros!C:C,_xlfn.XLOOKUP(Base!M1899,Parâmetros!G:G,Parâmetros!H:H))</f>
        <v>QUALIDADE DOS DADOS</v>
      </c>
      <c r="P1973" s="1" t="str">
        <f>_xlfn.XLOOKUP(I1973,Parâmetros!A:A,Parâmetros!D:D,_xlfn.XLOOKUP(Q1973,Parâmetros!F:F,Parâmetros!I:I))</f>
        <v>OPERAÇÕES / SUPORTE KCS</v>
      </c>
      <c r="Q1973" s="1">
        <f t="shared" si="61"/>
        <v>24</v>
      </c>
    </row>
    <row r="1974" spans="1:17" x14ac:dyDescent="0.25">
      <c r="A1974" s="1" t="str">
        <f>_xlfn.XLOOKUP(D1974,'Novo relatório'!B:B,'Novo relatório'!C:C,"RESOLVIDO")</f>
        <v>SABRE</v>
      </c>
      <c r="C1974" t="str">
        <f t="shared" si="60"/>
        <v>PENDENTE</v>
      </c>
      <c r="D1974" s="1">
        <v>3437797</v>
      </c>
      <c r="E1974" s="1" t="s">
        <v>26</v>
      </c>
      <c r="F1974" s="2">
        <v>45799.644444444442</v>
      </c>
      <c r="G1974" s="1" t="s">
        <v>2430</v>
      </c>
      <c r="H1974" s="1" t="s">
        <v>2430</v>
      </c>
      <c r="I1974" s="1" t="s">
        <v>1974</v>
      </c>
      <c r="J1974" s="2">
        <v>45799.73333333333</v>
      </c>
      <c r="L1974" s="1" t="s">
        <v>18</v>
      </c>
      <c r="M1974" s="1" t="str">
        <f>_xlfn.XLOOKUP(I1974,Parâmetros!A:A,Parâmetros!B:B,_xlfn.XLOOKUP(Q1974,Parâmetros!F:F,Parâmetros!G:G,"NOVA MENSAGEM"))</f>
        <v>CÓD. CLIENTE DIVERGENTE</v>
      </c>
      <c r="N1974" s="1" t="str">
        <f>_xlfn.XLOOKUP(M1974,Parâmetros!K:K,Parâmetros!L:L,"")</f>
        <v>CÓDIGO DIFERENTE DO CADASTRADO NO BENNER (CLIENTE X GRUPO)</v>
      </c>
      <c r="O1974" s="1" t="str">
        <f>_xlfn.XLOOKUP(M1974,Parâmetros!B:B,Parâmetros!C:C,_xlfn.XLOOKUP(Base!M1901,Parâmetros!G:G,Parâmetros!H:H))</f>
        <v>QUALIDADE DOS DADOS</v>
      </c>
      <c r="P1974" s="1" t="str">
        <f>_xlfn.XLOOKUP(I1974,Parâmetros!A:A,Parâmetros!D:D,_xlfn.XLOOKUP(Q1974,Parâmetros!F:F,Parâmetros!I:I))</f>
        <v>SUPORTE OBT</v>
      </c>
      <c r="Q1974" s="1">
        <f t="shared" si="61"/>
        <v>1</v>
      </c>
    </row>
    <row r="1975" spans="1:17" x14ac:dyDescent="0.25">
      <c r="A1975" s="1" t="str">
        <f>_xlfn.XLOOKUP(D1975,'Novo relatório'!B:B,'Novo relatório'!C:C,"RESOLVIDO")</f>
        <v>SABRE</v>
      </c>
      <c r="C1975" t="str">
        <f t="shared" si="60"/>
        <v>PENDENTE</v>
      </c>
      <c r="D1975" s="1">
        <v>3438054</v>
      </c>
      <c r="E1975" s="1" t="s">
        <v>26</v>
      </c>
      <c r="F1975" s="2">
        <v>45799.784722222219</v>
      </c>
      <c r="G1975" s="1" t="s">
        <v>2442</v>
      </c>
      <c r="H1975" s="1" t="s">
        <v>2442</v>
      </c>
      <c r="I1975" s="1" t="s">
        <v>1280</v>
      </c>
      <c r="J1975" s="2">
        <v>45799.878472222219</v>
      </c>
      <c r="L1975" s="1" t="s">
        <v>18</v>
      </c>
      <c r="M1975" s="1" t="str">
        <f>_xlfn.XLOOKUP(I1975,Parâmetros!A:A,Parâmetros!B:B,_xlfn.XLOOKUP(Q1975,Parâmetros!F:F,Parâmetros!G:G,"NOVA MENSAGEM"))</f>
        <v>CÓD. CLIENTE DIVERGENTE</v>
      </c>
      <c r="N1975" s="1" t="str">
        <f>_xlfn.XLOOKUP(M1975,Parâmetros!K:K,Parâmetros!L:L,"")</f>
        <v>CÓDIGO DIFERENTE DO CADASTRADO NO BENNER (CLIENTE X GRUPO)</v>
      </c>
      <c r="O1975" s="1" t="str">
        <f>_xlfn.XLOOKUP(M1975,Parâmetros!B:B,Parâmetros!C:C,_xlfn.XLOOKUP(Base!M1911,Parâmetros!G:G,Parâmetros!H:H))</f>
        <v>QUALIDADE DOS DADOS</v>
      </c>
      <c r="P1975" s="1" t="str">
        <f>_xlfn.XLOOKUP(I1975,Parâmetros!A:A,Parâmetros!D:D,_xlfn.XLOOKUP(Q1975,Parâmetros!F:F,Parâmetros!I:I))</f>
        <v>SUPORTE OBT</v>
      </c>
      <c r="Q1975" s="1">
        <f t="shared" si="61"/>
        <v>1</v>
      </c>
    </row>
    <row r="1976" spans="1:17" x14ac:dyDescent="0.25">
      <c r="A1976" s="1" t="str">
        <f>_xlfn.XLOOKUP(D1976,'Novo relatório'!B:B,'Novo relatório'!C:C,"RESOLVIDO")</f>
        <v>SABRE</v>
      </c>
      <c r="C1976" t="str">
        <f t="shared" si="60"/>
        <v>PENDENTE</v>
      </c>
      <c r="D1976" s="1">
        <v>3438055</v>
      </c>
      <c r="E1976" s="1" t="s">
        <v>26</v>
      </c>
      <c r="F1976" s="2">
        <v>45799.784722222219</v>
      </c>
      <c r="G1976" s="1" t="s">
        <v>2443</v>
      </c>
      <c r="H1976" s="1" t="s">
        <v>2443</v>
      </c>
      <c r="I1976" s="1" t="s">
        <v>1280</v>
      </c>
      <c r="J1976" s="2">
        <v>45799.878472222219</v>
      </c>
      <c r="L1976" s="1" t="s">
        <v>18</v>
      </c>
      <c r="M1976" s="1" t="str">
        <f>_xlfn.XLOOKUP(I1976,Parâmetros!A:A,Parâmetros!B:B,_xlfn.XLOOKUP(Q1976,Parâmetros!F:F,Parâmetros!G:G,"NOVA MENSAGEM"))</f>
        <v>CÓD. CLIENTE DIVERGENTE</v>
      </c>
      <c r="N1976" s="1" t="str">
        <f>_xlfn.XLOOKUP(M1976,Parâmetros!K:K,Parâmetros!L:L,"")</f>
        <v>CÓDIGO DIFERENTE DO CADASTRADO NO BENNER (CLIENTE X GRUPO)</v>
      </c>
      <c r="O1976" s="1" t="str">
        <f>_xlfn.XLOOKUP(M1976,Parâmetros!B:B,Parâmetros!C:C,_xlfn.XLOOKUP(Base!M1912,Parâmetros!G:G,Parâmetros!H:H))</f>
        <v>QUALIDADE DOS DADOS</v>
      </c>
      <c r="P1976" s="1" t="str">
        <f>_xlfn.XLOOKUP(I1976,Parâmetros!A:A,Parâmetros!D:D,_xlfn.XLOOKUP(Q1976,Parâmetros!F:F,Parâmetros!I:I))</f>
        <v>SUPORTE OBT</v>
      </c>
      <c r="Q1976" s="1">
        <f t="shared" si="61"/>
        <v>1</v>
      </c>
    </row>
    <row r="1977" spans="1:17" x14ac:dyDescent="0.25">
      <c r="A1977" s="1" t="str">
        <f>_xlfn.XLOOKUP(D1977,'Novo relatório'!B:B,'Novo relatório'!C:C,"RESOLVIDO")</f>
        <v>SABRE</v>
      </c>
      <c r="C1977" t="str">
        <f t="shared" si="60"/>
        <v>PENDENTE</v>
      </c>
      <c r="D1977" s="1">
        <v>3438057</v>
      </c>
      <c r="E1977" s="1" t="s">
        <v>26</v>
      </c>
      <c r="F1977" s="2">
        <v>45799.784722222219</v>
      </c>
      <c r="G1977" s="1" t="s">
        <v>2510</v>
      </c>
      <c r="H1977" s="1" t="s">
        <v>2510</v>
      </c>
      <c r="I1977" s="1" t="s">
        <v>1280</v>
      </c>
      <c r="J1977" s="2">
        <v>45799.878472222219</v>
      </c>
      <c r="L1977" s="1" t="s">
        <v>18</v>
      </c>
      <c r="M1977" s="1" t="str">
        <f>_xlfn.XLOOKUP(I1977,Parâmetros!A:A,Parâmetros!B:B,_xlfn.XLOOKUP(Q1977,Parâmetros!F:F,Parâmetros!G:G,"NOVA MENSAGEM"))</f>
        <v>CÓD. CLIENTE DIVERGENTE</v>
      </c>
      <c r="N1977" s="1" t="str">
        <f>_xlfn.XLOOKUP(M1977,Parâmetros!K:K,Parâmetros!L:L,"")</f>
        <v>CÓDIGO DIFERENTE DO CADASTRADO NO BENNER (CLIENTE X GRUPO)</v>
      </c>
      <c r="O1977" s="1" t="str">
        <f>_xlfn.XLOOKUP(M1977,Parâmetros!B:B,Parâmetros!C:C,_xlfn.XLOOKUP(Base!M1972,Parâmetros!G:G,Parâmetros!H:H))</f>
        <v>QUALIDADE DOS DADOS</v>
      </c>
      <c r="P1977" s="1" t="str">
        <f>_xlfn.XLOOKUP(I1977,Parâmetros!A:A,Parâmetros!D:D,_xlfn.XLOOKUP(Q1977,Parâmetros!F:F,Parâmetros!I:I))</f>
        <v>SUPORTE OBT</v>
      </c>
      <c r="Q1977" s="1">
        <f t="shared" si="61"/>
        <v>1</v>
      </c>
    </row>
    <row r="1978" spans="1:17" x14ac:dyDescent="0.25">
      <c r="A1978" s="1" t="str">
        <f>_xlfn.XLOOKUP(D1978,'Novo relatório'!B:B,'Novo relatório'!C:C,"RESOLVIDO")</f>
        <v>SABRE</v>
      </c>
      <c r="C1978" t="str">
        <f t="shared" si="60"/>
        <v>PENDENTE</v>
      </c>
      <c r="D1978" s="1">
        <v>3438058</v>
      </c>
      <c r="E1978" s="1" t="s">
        <v>26</v>
      </c>
      <c r="F1978" s="2">
        <v>45799.784722222219</v>
      </c>
      <c r="G1978" s="1" t="s">
        <v>2413</v>
      </c>
      <c r="H1978" s="1" t="s">
        <v>2413</v>
      </c>
      <c r="I1978" s="1" t="s">
        <v>396</v>
      </c>
      <c r="J1978" s="2">
        <v>45799.879166666666</v>
      </c>
      <c r="L1978" s="1" t="s">
        <v>18</v>
      </c>
      <c r="M1978" s="1" t="str">
        <f>_xlfn.XLOOKUP(I1978,Parâmetros!A:A,Parâmetros!B:B,_xlfn.XLOOKUP(Q1978,Parâmetros!F:F,Parâmetros!G:G,"NOVA MENSAGEM"))</f>
        <v>CÓD. CLIENTE DIVERGENTE</v>
      </c>
      <c r="N1978" s="1" t="str">
        <f>_xlfn.XLOOKUP(M1978,Parâmetros!K:K,Parâmetros!L:L,"")</f>
        <v>CÓDIGO DIFERENTE DO CADASTRADO NO BENNER (CLIENTE X GRUPO)</v>
      </c>
      <c r="O1978" s="1" t="str">
        <f>_xlfn.XLOOKUP(M1978,Parâmetros!B:B,Parâmetros!C:C,_xlfn.XLOOKUP(Base!M1889,Parâmetros!G:G,Parâmetros!H:H))</f>
        <v>QUALIDADE DOS DADOS</v>
      </c>
      <c r="P1978" s="1" t="str">
        <f>_xlfn.XLOOKUP(I1978,Parâmetros!A:A,Parâmetros!D:D,_xlfn.XLOOKUP(Q1978,Parâmetros!F:F,Parâmetros!I:I))</f>
        <v>SUPORTE OBT</v>
      </c>
      <c r="Q1978" s="1">
        <f t="shared" si="61"/>
        <v>1</v>
      </c>
    </row>
    <row r="1979" spans="1:17" x14ac:dyDescent="0.25">
      <c r="A1979" s="1" t="str">
        <f>_xlfn.XLOOKUP(D1979,'Novo relatório'!B:B,'Novo relatório'!C:C,"RESOLVIDO")</f>
        <v>LEMONTECH</v>
      </c>
      <c r="C1979" t="str">
        <f t="shared" si="60"/>
        <v>PENDENTE</v>
      </c>
      <c r="D1979" s="1">
        <v>3438744</v>
      </c>
      <c r="E1979" s="1" t="s">
        <v>25</v>
      </c>
      <c r="F1979" s="2">
        <v>45799.681250000001</v>
      </c>
      <c r="G1979" s="1" t="s">
        <v>2536</v>
      </c>
      <c r="H1979" s="1" t="s">
        <v>2063</v>
      </c>
      <c r="I1979" s="1" t="s">
        <v>2537</v>
      </c>
      <c r="J1979" s="2">
        <v>45800.377083333333</v>
      </c>
      <c r="K1979" s="2">
        <v>45803.334027777775</v>
      </c>
      <c r="L1979" s="1" t="s">
        <v>19</v>
      </c>
      <c r="M1979" s="1" t="str">
        <f>_xlfn.XLOOKUP(I1979,Parâmetros!A:A,Parâmetros!B:B,_xlfn.XLOOKUP(Q1979,Parâmetros!F:F,Parâmetros!G:G,"NOVA MENSAGEM"))</f>
        <v>CONTRATO FORNECEDOR</v>
      </c>
      <c r="N1979" s="1" t="str">
        <f>_xlfn.XLOOKUP(M1979,Parâmetros!K:K,Parâmetros!L:L,"")</f>
        <v>CONTRATO INATIVO OU DIVERGENTE</v>
      </c>
      <c r="O1979" s="1" t="str">
        <f>_xlfn.XLOOKUP(M1979,Parâmetros!B:B,Parâmetros!C:C,_xlfn.XLOOKUP(Base!M2025,Parâmetros!G:G,Parâmetros!H:H))</f>
        <v>SISTEMA</v>
      </c>
      <c r="P1979" s="1" t="str">
        <f>_xlfn.XLOOKUP(I1979,Parâmetros!A:A,Parâmetros!D:D,_xlfn.XLOOKUP(Q1979,Parâmetros!F:F,Parâmetros!I:I))</f>
        <v>OPERAÇÕES / SUPORTE KCS</v>
      </c>
      <c r="Q1979" s="1">
        <f t="shared" si="61"/>
        <v>43</v>
      </c>
    </row>
    <row r="1980" spans="1:17" x14ac:dyDescent="0.25">
      <c r="A1980" s="1" t="str">
        <f>_xlfn.XLOOKUP(D1980,'Novo relatório'!B:B,'Novo relatório'!C:C,"RESOLVIDO")</f>
        <v>SABRE</v>
      </c>
      <c r="C1980" t="str">
        <f t="shared" si="60"/>
        <v>PENDENTE</v>
      </c>
      <c r="D1980" s="1">
        <v>3439404</v>
      </c>
      <c r="E1980" s="1" t="s">
        <v>26</v>
      </c>
      <c r="F1980" s="2">
        <v>45800.513888888891</v>
      </c>
      <c r="G1980" s="1" t="s">
        <v>2438</v>
      </c>
      <c r="H1980" s="1" t="s">
        <v>2438</v>
      </c>
      <c r="I1980" s="1" t="s">
        <v>273</v>
      </c>
      <c r="J1980" s="2">
        <v>45800.604861111111</v>
      </c>
      <c r="L1980" s="1" t="s">
        <v>1245</v>
      </c>
      <c r="M1980" s="1" t="str">
        <f>_xlfn.XLOOKUP(I1980,Parâmetros!A:A,Parâmetros!B:B,_xlfn.XLOOKUP(Q1980,Parâmetros!F:F,Parâmetros!G:G,"NOVA MENSAGEM"))</f>
        <v>VENDA CANCELADA</v>
      </c>
      <c r="N1980" s="1" t="str">
        <f>_xlfn.XLOOKUP(M1980,Parâmetros!K:K,Parâmetros!L:L,"")</f>
        <v>RESERVA CANCELADA NO OBT</v>
      </c>
      <c r="O1980" s="1" t="str">
        <f>_xlfn.XLOOKUP(M1980,Parâmetros!B:B,Parâmetros!C:C,_xlfn.XLOOKUP(Base!M1907,Parâmetros!G:G,Parâmetros!H:H))</f>
        <v>SISTEMA</v>
      </c>
      <c r="P1980" s="1" t="str">
        <f>_xlfn.XLOOKUP(I1980,Parâmetros!A:A,Parâmetros!D:D,_xlfn.XLOOKUP(Q1980,Parâmetros!F:F,Parâmetros!I:I))</f>
        <v>SUPORTE OBT</v>
      </c>
      <c r="Q1980" s="1" t="str">
        <f t="shared" si="61"/>
        <v>COLUNA I</v>
      </c>
    </row>
    <row r="1981" spans="1:17" x14ac:dyDescent="0.25">
      <c r="A1981" s="1" t="str">
        <f>_xlfn.XLOOKUP(D1981,'Novo relatório'!B:B,'Novo relatório'!C:C,"RESOLVIDO")</f>
        <v>TMS</v>
      </c>
      <c r="C1981" t="str">
        <f t="shared" si="60"/>
        <v>PENDENTE</v>
      </c>
      <c r="D1981" s="1">
        <v>3440747</v>
      </c>
      <c r="E1981" s="1" t="s">
        <v>12</v>
      </c>
      <c r="F1981" s="2">
        <v>45800.595138888886</v>
      </c>
      <c r="G1981" s="1">
        <v>6922</v>
      </c>
      <c r="H1981" s="1">
        <v>6922</v>
      </c>
      <c r="I1981" s="1" t="s">
        <v>2134</v>
      </c>
      <c r="J1981" s="2">
        <v>45800.759722222225</v>
      </c>
      <c r="K1981" s="2">
        <v>45803.995833333334</v>
      </c>
      <c r="L1981" s="1" t="s">
        <v>14</v>
      </c>
      <c r="M1981" s="1" t="str">
        <f>_xlfn.XLOOKUP(I1981,Parâmetros!A:A,Parâmetros!B:B,_xlfn.XLOOKUP(Q1981,Parâmetros!F:F,Parâmetros!G:G,"NOVA MENSAGEM"))</f>
        <v>NOVA MENSAGEM</v>
      </c>
      <c r="N1981" s="1" t="str">
        <f>_xlfn.XLOOKUP(M1981,Parâmetros!K:K,Parâmetros!L:L,"")</f>
        <v/>
      </c>
      <c r="O1981" s="1" t="e">
        <f>_xlfn.XLOOKUP(M1981,Parâmetros!B:B,Parâmetros!C:C,_xlfn.XLOOKUP(Base!M2022,Parâmetros!G:G,Parâmetros!H:H))</f>
        <v>#N/A</v>
      </c>
      <c r="P1981" s="1" t="e">
        <f>_xlfn.XLOOKUP(I1981,Parâmetros!A:A,Parâmetros!D:D,_xlfn.XLOOKUP(Q1981,Parâmetros!F:F,Parâmetros!I:I))</f>
        <v>#N/A</v>
      </c>
      <c r="Q1981" s="1" t="str">
        <f t="shared" si="61"/>
        <v>COLUNA I</v>
      </c>
    </row>
    <row r="1982" spans="1:17" x14ac:dyDescent="0.25">
      <c r="A1982" s="1" t="str">
        <f>_xlfn.XLOOKUP(D1982,'Novo relatório'!B:B,'Novo relatório'!C:C,"RESOLVIDO")</f>
        <v>SABRE</v>
      </c>
      <c r="C1982" t="str">
        <f t="shared" si="60"/>
        <v>PENDENTE</v>
      </c>
      <c r="D1982" s="1">
        <v>3440893</v>
      </c>
      <c r="E1982" s="1" t="s">
        <v>26</v>
      </c>
      <c r="F1982" s="2">
        <v>45800.722222222219</v>
      </c>
      <c r="G1982" s="1" t="s">
        <v>2507</v>
      </c>
      <c r="H1982" s="1" t="s">
        <v>2507</v>
      </c>
      <c r="I1982" s="1" t="s">
        <v>396</v>
      </c>
      <c r="J1982" s="2">
        <v>45800.81527777778</v>
      </c>
      <c r="L1982" s="1" t="s">
        <v>18</v>
      </c>
      <c r="M1982" s="1" t="str">
        <f>_xlfn.XLOOKUP(I1982,Parâmetros!A:A,Parâmetros!B:B,_xlfn.XLOOKUP(Q1982,Parâmetros!F:F,Parâmetros!G:G,"NOVA MENSAGEM"))</f>
        <v>CÓD. CLIENTE DIVERGENTE</v>
      </c>
      <c r="N1982" s="1" t="str">
        <f>_xlfn.XLOOKUP(M1982,Parâmetros!K:K,Parâmetros!L:L,"")</f>
        <v>CÓDIGO DIFERENTE DO CADASTRADO NO BENNER (CLIENTE X GRUPO)</v>
      </c>
      <c r="O1982" s="1" t="str">
        <f>_xlfn.XLOOKUP(M1982,Parâmetros!B:B,Parâmetros!C:C,_xlfn.XLOOKUP(Base!M1969,Parâmetros!G:G,Parâmetros!H:H))</f>
        <v>QUALIDADE DOS DADOS</v>
      </c>
      <c r="P1982" s="1" t="str">
        <f>_xlfn.XLOOKUP(I1982,Parâmetros!A:A,Parâmetros!D:D,_xlfn.XLOOKUP(Q1982,Parâmetros!F:F,Parâmetros!I:I))</f>
        <v>SUPORTE OBT</v>
      </c>
      <c r="Q1982" s="1">
        <f t="shared" si="61"/>
        <v>1</v>
      </c>
    </row>
    <row r="1983" spans="1:17" x14ac:dyDescent="0.25">
      <c r="A1983" s="1" t="str">
        <f>_xlfn.XLOOKUP(D1983,'Novo relatório'!B:B,'Novo relatório'!C:C,"RESOLVIDO")</f>
        <v>SABRE</v>
      </c>
      <c r="C1983" t="str">
        <f t="shared" si="60"/>
        <v>PENDENTE</v>
      </c>
      <c r="D1983" s="1">
        <v>3440901</v>
      </c>
      <c r="E1983" s="1" t="s">
        <v>26</v>
      </c>
      <c r="F1983" s="2">
        <v>45803.271527777775</v>
      </c>
      <c r="G1983" s="1" t="s">
        <v>2504</v>
      </c>
      <c r="H1983" s="1" t="s">
        <v>2504</v>
      </c>
      <c r="I1983" s="1" t="s">
        <v>83</v>
      </c>
      <c r="J1983" s="2">
        <v>45800.816666666666</v>
      </c>
      <c r="K1983" s="2">
        <v>45803.356944444444</v>
      </c>
      <c r="L1983" s="1" t="s">
        <v>18</v>
      </c>
      <c r="M1983" s="1" t="str">
        <f>_xlfn.XLOOKUP(I1983,Parâmetros!A:A,Parâmetros!B:B,_xlfn.XLOOKUP(Q1983,Parâmetros!F:F,Parâmetros!G:G,"NOVA MENSAGEM"))</f>
        <v>CLIENTE NÃO IDENTIFICADO</v>
      </c>
      <c r="N1983" s="1" t="str">
        <f>_xlfn.XLOOKUP(M1983,Parâmetros!K:K,Parâmetros!L:L,"")</f>
        <v>DK DE CLIENTE NÃO PREENCIDO / CLIENTE NÃO CONFIGURADO NO OBT</v>
      </c>
      <c r="O1983" s="1" t="str">
        <f>_xlfn.XLOOKUP(M1983,Parâmetros!B:B,Parâmetros!C:C,_xlfn.XLOOKUP(Base!M1966,Parâmetros!G:G,Parâmetros!H:H))</f>
        <v>INDEFINIDO</v>
      </c>
      <c r="P1983" s="1" t="str">
        <f>_xlfn.XLOOKUP(I1983,Parâmetros!A:A,Parâmetros!D:D,_xlfn.XLOOKUP(Q1983,Parâmetros!F:F,Parâmetros!I:I))</f>
        <v>OPERAÇÕES / SUPORTE KCS</v>
      </c>
      <c r="Q1983" s="1" t="str">
        <f t="shared" si="61"/>
        <v>COLUNA I</v>
      </c>
    </row>
    <row r="1984" spans="1:17" x14ac:dyDescent="0.25">
      <c r="A1984" s="1" t="str">
        <f>_xlfn.XLOOKUP(D1984,'Novo relatório'!B:B,'Novo relatório'!C:C,"RESOLVIDO")</f>
        <v>SABRE</v>
      </c>
      <c r="C1984" t="str">
        <f t="shared" si="60"/>
        <v>PENDENTE</v>
      </c>
      <c r="D1984" s="1">
        <v>3440903</v>
      </c>
      <c r="E1984" s="1" t="s">
        <v>26</v>
      </c>
      <c r="F1984" s="2">
        <v>45800.73541666667</v>
      </c>
      <c r="G1984" s="1" t="s">
        <v>2502</v>
      </c>
      <c r="H1984" s="1" t="s">
        <v>2502</v>
      </c>
      <c r="I1984" s="1" t="s">
        <v>83</v>
      </c>
      <c r="J1984" s="2">
        <v>45800.827777777777</v>
      </c>
      <c r="L1984" s="1" t="s">
        <v>18</v>
      </c>
      <c r="M1984" s="1" t="str">
        <f>_xlfn.XLOOKUP(I1984,Parâmetros!A:A,Parâmetros!B:B,_xlfn.XLOOKUP(Q1984,Parâmetros!F:F,Parâmetros!G:G,"NOVA MENSAGEM"))</f>
        <v>CLIENTE NÃO IDENTIFICADO</v>
      </c>
      <c r="N1984" s="1" t="str">
        <f>_xlfn.XLOOKUP(M1984,Parâmetros!K:K,Parâmetros!L:L,"")</f>
        <v>DK DE CLIENTE NÃO PREENCIDO / CLIENTE NÃO CONFIGURADO NO OBT</v>
      </c>
      <c r="O1984" s="1" t="str">
        <f>_xlfn.XLOOKUP(M1984,Parâmetros!B:B,Parâmetros!C:C,_xlfn.XLOOKUP(Base!M1964,Parâmetros!G:G,Parâmetros!H:H))</f>
        <v>INDEFINIDO</v>
      </c>
      <c r="P1984" s="1" t="str">
        <f>_xlfn.XLOOKUP(I1984,Parâmetros!A:A,Parâmetros!D:D,_xlfn.XLOOKUP(Q1984,Parâmetros!F:F,Parâmetros!I:I))</f>
        <v>OPERAÇÕES / SUPORTE KCS</v>
      </c>
      <c r="Q1984" s="1" t="str">
        <f t="shared" si="61"/>
        <v>COLUNA I</v>
      </c>
    </row>
    <row r="1985" spans="1:17" x14ac:dyDescent="0.25">
      <c r="A1985" s="1" t="str">
        <f>_xlfn.XLOOKUP(D1985,'Novo relatório'!B:B,'Novo relatório'!C:C,"RESOLVIDO")</f>
        <v>SABRE</v>
      </c>
      <c r="C1985" t="str">
        <f t="shared" si="60"/>
        <v>PENDENTE</v>
      </c>
      <c r="D1985" s="1">
        <v>3440904</v>
      </c>
      <c r="E1985" s="1" t="s">
        <v>26</v>
      </c>
      <c r="F1985" s="2">
        <v>45800.738194444442</v>
      </c>
      <c r="G1985" s="1" t="s">
        <v>2473</v>
      </c>
      <c r="H1985" s="1" t="s">
        <v>2473</v>
      </c>
      <c r="I1985" s="1" t="s">
        <v>622</v>
      </c>
      <c r="J1985" s="2">
        <v>45800.827777777777</v>
      </c>
      <c r="L1985" s="1" t="s">
        <v>14</v>
      </c>
      <c r="M1985" s="1" t="str">
        <f>_xlfn.XLOOKUP(I1985,Parâmetros!A:A,Parâmetros!B:B,_xlfn.XLOOKUP(Q1985,Parâmetros!F:F,Parâmetros!G:G,"NOVA MENSAGEM"))</f>
        <v>ERRO DE SQL</v>
      </c>
      <c r="N1985" s="1" t="str">
        <f>_xlfn.XLOOKUP(M1985,Parâmetros!K:K,Parâmetros!L:L,"")</f>
        <v>ERRO NA IMPORTAÇÃO/MODIFICAÇÃO DAS INFOMAÇÕES</v>
      </c>
      <c r="O1985" s="1" t="str">
        <f>_xlfn.XLOOKUP(M1985,Parâmetros!B:B,Parâmetros!C:C,_xlfn.XLOOKUP(Base!M1940,Parâmetros!G:G,Parâmetros!H:H))</f>
        <v>SISTEMA</v>
      </c>
      <c r="P1985" s="1" t="str">
        <f>_xlfn.XLOOKUP(I1985,Parâmetros!A:A,Parâmetros!D:D,_xlfn.XLOOKUP(Q1985,Parâmetros!F:F,Parâmetros!I:I))</f>
        <v>SUPORTE BENNER</v>
      </c>
      <c r="Q1985" s="1" t="str">
        <f t="shared" si="61"/>
        <v>COLUNA I</v>
      </c>
    </row>
    <row r="1986" spans="1:17" x14ac:dyDescent="0.25">
      <c r="A1986" s="1" t="str">
        <f>_xlfn.XLOOKUP(D1986,'Novo relatório'!B:B,'Novo relatório'!C:C,"RESOLVIDO")</f>
        <v>GOVER</v>
      </c>
      <c r="C1986" t="str">
        <f t="shared" ref="C1986:C2049" si="62">IF(A1986="RESOLVIDO","RESOLVIDO",IF(B1986="","PENDENTE",IF(LEFT(B1986,7)="CHAMADO","AGUARDANDO FORNECEDOR",IF(B1986="CONTABILIZAR","CONTABILIZAR NO PORTAL"))))</f>
        <v>PENDENTE</v>
      </c>
      <c r="D1986" s="1">
        <v>3440939</v>
      </c>
      <c r="E1986" s="1" t="s">
        <v>24</v>
      </c>
      <c r="F1986" s="2">
        <v>45800.581944444442</v>
      </c>
      <c r="G1986" s="1">
        <v>4542078</v>
      </c>
      <c r="H1986" s="1" t="s">
        <v>1923</v>
      </c>
      <c r="I1986" s="1" t="s">
        <v>1924</v>
      </c>
      <c r="J1986" s="2">
        <v>45800.845138888886</v>
      </c>
      <c r="K1986" s="2">
        <v>45810.706250000003</v>
      </c>
      <c r="L1986" s="1" t="s">
        <v>14</v>
      </c>
      <c r="M1986" s="1" t="str">
        <f>_xlfn.XLOOKUP(I1986,Parâmetros!A:A,Parâmetros!B:B,_xlfn.XLOOKUP(Q1986,Parâmetros!F:F,Parâmetros!G:G,"NOVA MENSAGEM"))</f>
        <v>TAG - ITEM VEÍCULO</v>
      </c>
      <c r="N1986" s="1" t="str">
        <f>_xlfn.XLOOKUP(M1986,Parâmetros!K:K,Parâmetros!L:L,"")</f>
        <v>TAGS DE DETALHAMENTO DO SERVIÇO NÃO ENVIADO NO XML</v>
      </c>
      <c r="O1986" s="1" t="str">
        <f>_xlfn.XLOOKUP(M1986,Parâmetros!B:B,Parâmetros!C:C,_xlfn.XLOOKUP(Base!M2070,Parâmetros!G:G,Parâmetros!H:H))</f>
        <v>SISTEMA</v>
      </c>
      <c r="P1986" s="1" t="str">
        <f>_xlfn.XLOOKUP(I1986,Parâmetros!A:A,Parâmetros!D:D,_xlfn.XLOOKUP(Q1986,Parâmetros!F:F,Parâmetros!I:I))</f>
        <v>SUPORTE OBT</v>
      </c>
      <c r="Q1986" s="1">
        <f t="shared" ref="Q1986:Q2049" si="63">IFERROR(FIND("Não foi possível localizar o contrato do fornecedor",I1986),IFERROR(FIND("veículo",I1986),IFERROR(FIND("agagem",I1986),IFERROR(FIND("error in XML document",I1986),IFERROR(FIND("Não localizado cliente código",I1986),IFERROR(FIND("lemontech",I1986),IFERROR(FIND("&gt;Fornecedor com o",I1986),IFERROR(FIND("INSERT",I1986),IFERROR(FIND("com CNPJ",I1986),IFERROR(FIND("Consultando Agente-&gt; O agente",I1986),IFERROR(FIND("Não foi possível determinar a validade do cartão, favor verificar os dados do cartão",I1986),"COLUNA I")))))))))))</f>
        <v>46</v>
      </c>
    </row>
    <row r="1987" spans="1:17" x14ac:dyDescent="0.25">
      <c r="A1987" s="1" t="str">
        <f>_xlfn.XLOOKUP(D1987,'Novo relatório'!B:B,'Novo relatório'!C:C,"RESOLVIDO")</f>
        <v>SABRE</v>
      </c>
      <c r="C1987" t="str">
        <f t="shared" si="62"/>
        <v>PENDENTE</v>
      </c>
      <c r="D1987" s="1">
        <v>3440949</v>
      </c>
      <c r="E1987" s="1" t="s">
        <v>26</v>
      </c>
      <c r="F1987" s="2">
        <v>45800.763888888891</v>
      </c>
      <c r="G1987" s="1" t="s">
        <v>2527</v>
      </c>
      <c r="H1987" s="1" t="s">
        <v>2527</v>
      </c>
      <c r="I1987" s="1" t="s">
        <v>83</v>
      </c>
      <c r="J1987" s="2">
        <v>45800.856944444444</v>
      </c>
      <c r="L1987" s="1" t="s">
        <v>18</v>
      </c>
      <c r="M1987" s="1" t="str">
        <f>_xlfn.XLOOKUP(I1987,Parâmetros!A:A,Parâmetros!B:B,_xlfn.XLOOKUP(Q1987,Parâmetros!F:F,Parâmetros!G:G,"NOVA MENSAGEM"))</f>
        <v>CLIENTE NÃO IDENTIFICADO</v>
      </c>
      <c r="N1987" s="1" t="str">
        <f>_xlfn.XLOOKUP(M1987,Parâmetros!K:K,Parâmetros!L:L,"")</f>
        <v>DK DE CLIENTE NÃO PREENCIDO / CLIENTE NÃO CONFIGURADO NO OBT</v>
      </c>
      <c r="O1987" s="1" t="str">
        <f>_xlfn.XLOOKUP(M1987,Parâmetros!B:B,Parâmetros!C:C,_xlfn.XLOOKUP(Base!M1989,Parâmetros!G:G,Parâmetros!H:H))</f>
        <v>INDEFINIDO</v>
      </c>
      <c r="P1987" s="1" t="str">
        <f>_xlfn.XLOOKUP(I1987,Parâmetros!A:A,Parâmetros!D:D,_xlfn.XLOOKUP(Q1987,Parâmetros!F:F,Parâmetros!I:I))</f>
        <v>OPERAÇÕES / SUPORTE KCS</v>
      </c>
      <c r="Q1987" s="1" t="str">
        <f t="shared" si="63"/>
        <v>COLUNA I</v>
      </c>
    </row>
    <row r="1988" spans="1:17" x14ac:dyDescent="0.25">
      <c r="A1988" s="1" t="str">
        <f>_xlfn.XLOOKUP(D1988,'Novo relatório'!B:B,'Novo relatório'!C:C,"RESOLVIDO")</f>
        <v>GOVER</v>
      </c>
      <c r="C1988" t="str">
        <f t="shared" si="62"/>
        <v>PENDENTE</v>
      </c>
      <c r="D1988" s="1">
        <v>3440965</v>
      </c>
      <c r="E1988" s="1" t="s">
        <v>24</v>
      </c>
      <c r="F1988" s="2">
        <v>45800.698611111111</v>
      </c>
      <c r="G1988" s="1">
        <v>4542319</v>
      </c>
      <c r="H1988" s="1">
        <v>4542319</v>
      </c>
      <c r="I1988" s="1" t="s">
        <v>77</v>
      </c>
      <c r="J1988" s="2">
        <v>45800.879861111112</v>
      </c>
      <c r="K1988" s="2">
        <v>45810.706250000003</v>
      </c>
      <c r="L1988" s="1" t="s">
        <v>14</v>
      </c>
      <c r="M1988" s="1" t="str">
        <f>_xlfn.XLOOKUP(I1988,Parâmetros!A:A,Parâmetros!B:B,_xlfn.XLOOKUP(Q1988,Parâmetros!F:F,Parâmetros!G:G,"NOVA MENSAGEM"))</f>
        <v>RLOC NÃO INFORMADO</v>
      </c>
      <c r="N1988" s="1" t="str">
        <f>_xlfn.XLOOKUP(M1988,Parâmetros!K:K,Parâmetros!L:L,"")</f>
        <v>RLOC NÃO PREENCHIDO NA RESERVA</v>
      </c>
      <c r="O1988" s="1" t="str">
        <f>_xlfn.XLOOKUP(M1988,Parâmetros!B:B,Parâmetros!C:C,_xlfn.XLOOKUP(Base!M2071,Parâmetros!G:G,Parâmetros!H:H))</f>
        <v>QUALIDADE DOS DADOS</v>
      </c>
      <c r="P1988" s="1" t="str">
        <f>_xlfn.XLOOKUP(I1988,Parâmetros!A:A,Parâmetros!D:D,_xlfn.XLOOKUP(Q1988,Parâmetros!F:F,Parâmetros!I:I))</f>
        <v>SUPORTE OBT</v>
      </c>
      <c r="Q1988" s="1" t="str">
        <f t="shared" si="63"/>
        <v>COLUNA I</v>
      </c>
    </row>
    <row r="1989" spans="1:17" x14ac:dyDescent="0.25">
      <c r="A1989" s="1" t="str">
        <f>_xlfn.XLOOKUP(D1989,'Novo relatório'!B:B,'Novo relatório'!C:C,"RESOLVIDO")</f>
        <v>SABRE</v>
      </c>
      <c r="C1989" t="str">
        <f t="shared" si="62"/>
        <v>PENDENTE</v>
      </c>
      <c r="D1989" s="1">
        <v>3441824</v>
      </c>
      <c r="E1989" s="1" t="s">
        <v>26</v>
      </c>
      <c r="F1989" s="2">
        <v>45803.273611111108</v>
      </c>
      <c r="G1989" s="1" t="s">
        <v>2420</v>
      </c>
      <c r="H1989" s="1" t="s">
        <v>2420</v>
      </c>
      <c r="I1989" s="1" t="s">
        <v>273</v>
      </c>
      <c r="J1989" s="2">
        <v>45803.357638888891</v>
      </c>
      <c r="L1989" s="1" t="s">
        <v>1245</v>
      </c>
      <c r="M1989" s="1" t="str">
        <f>_xlfn.XLOOKUP(I1989,Parâmetros!A:A,Parâmetros!B:B,_xlfn.XLOOKUP(Q1989,Parâmetros!F:F,Parâmetros!G:G,"NOVA MENSAGEM"))</f>
        <v>VENDA CANCELADA</v>
      </c>
      <c r="N1989" s="1" t="str">
        <f>_xlfn.XLOOKUP(M1989,Parâmetros!K:K,Parâmetros!L:L,"")</f>
        <v>RESERVA CANCELADA NO OBT</v>
      </c>
      <c r="O1989" s="1" t="str">
        <f>_xlfn.XLOOKUP(M1989,Parâmetros!B:B,Parâmetros!C:C,_xlfn.XLOOKUP(Base!M1895,Parâmetros!G:G,Parâmetros!H:H))</f>
        <v>SISTEMA</v>
      </c>
      <c r="P1989" s="1" t="str">
        <f>_xlfn.XLOOKUP(I1989,Parâmetros!A:A,Parâmetros!D:D,_xlfn.XLOOKUP(Q1989,Parâmetros!F:F,Parâmetros!I:I))</f>
        <v>SUPORTE OBT</v>
      </c>
      <c r="Q1989" s="1" t="str">
        <f t="shared" si="63"/>
        <v>COLUNA I</v>
      </c>
    </row>
    <row r="1990" spans="1:17" x14ac:dyDescent="0.25">
      <c r="A1990" s="1" t="str">
        <f>_xlfn.XLOOKUP(D1990,'Novo relatório'!B:B,'Novo relatório'!C:C,"RESOLVIDO")</f>
        <v>SABRE</v>
      </c>
      <c r="C1990" t="str">
        <f t="shared" si="62"/>
        <v>PENDENTE</v>
      </c>
      <c r="D1990" s="1">
        <v>3441872</v>
      </c>
      <c r="E1990" s="1" t="s">
        <v>26</v>
      </c>
      <c r="F1990" s="2">
        <v>45803.304861111108</v>
      </c>
      <c r="G1990" s="1" t="s">
        <v>2404</v>
      </c>
      <c r="H1990" s="1" t="s">
        <v>2404</v>
      </c>
      <c r="I1990" s="1" t="s">
        <v>273</v>
      </c>
      <c r="J1990" s="2">
        <v>45803.386111111111</v>
      </c>
      <c r="K1990" s="2">
        <v>45803.395833333336</v>
      </c>
      <c r="L1990" s="1" t="s">
        <v>1245</v>
      </c>
      <c r="M1990" s="1" t="str">
        <f>_xlfn.XLOOKUP(I1990,Parâmetros!A:A,Parâmetros!B:B,_xlfn.XLOOKUP(Q1990,Parâmetros!F:F,Parâmetros!G:G,"NOVA MENSAGEM"))</f>
        <v>VENDA CANCELADA</v>
      </c>
      <c r="N1990" s="1" t="str">
        <f>_xlfn.XLOOKUP(M1990,Parâmetros!K:K,Parâmetros!L:L,"")</f>
        <v>RESERVA CANCELADA NO OBT</v>
      </c>
      <c r="O1990" s="1" t="str">
        <f>_xlfn.XLOOKUP(M1990,Parâmetros!B:B,Parâmetros!C:C,_xlfn.XLOOKUP(Base!M1882,Parâmetros!G:G,Parâmetros!H:H))</f>
        <v>SISTEMA</v>
      </c>
      <c r="P1990" s="1" t="str">
        <f>_xlfn.XLOOKUP(I1990,Parâmetros!A:A,Parâmetros!D:D,_xlfn.XLOOKUP(Q1990,Parâmetros!F:F,Parâmetros!I:I))</f>
        <v>SUPORTE OBT</v>
      </c>
      <c r="Q1990" s="1" t="str">
        <f t="shared" si="63"/>
        <v>COLUNA I</v>
      </c>
    </row>
    <row r="1991" spans="1:17" x14ac:dyDescent="0.25">
      <c r="A1991" s="1" t="str">
        <f>_xlfn.XLOOKUP(D1991,'Novo relatório'!B:B,'Novo relatório'!C:C,"RESOLVIDO")</f>
        <v>SABRE</v>
      </c>
      <c r="C1991" t="str">
        <f t="shared" si="62"/>
        <v>PENDENTE</v>
      </c>
      <c r="D1991" s="1">
        <v>3441873</v>
      </c>
      <c r="E1991" s="1" t="s">
        <v>26</v>
      </c>
      <c r="F1991" s="2">
        <v>45803.304861111108</v>
      </c>
      <c r="G1991" s="1" t="s">
        <v>2405</v>
      </c>
      <c r="H1991" s="1" t="s">
        <v>2404</v>
      </c>
      <c r="I1991" s="1" t="s">
        <v>393</v>
      </c>
      <c r="J1991" s="2">
        <v>45803.386111111111</v>
      </c>
      <c r="K1991" s="2">
        <v>45803.395833333336</v>
      </c>
      <c r="L1991" s="1" t="s">
        <v>19</v>
      </c>
      <c r="M1991" s="1" t="str">
        <f>_xlfn.XLOOKUP(I1991,Parâmetros!A:A,Parâmetros!B:B,_xlfn.XLOOKUP(Q1991,Parâmetros!F:F,Parâmetros!G:G,"NOVA MENSAGEM"))</f>
        <v>CONTRATO FORNECEDOR</v>
      </c>
      <c r="N1991" s="1" t="str">
        <f>_xlfn.XLOOKUP(M1991,Parâmetros!K:K,Parâmetros!L:L,"")</f>
        <v>CONTRATO INATIVO OU DIVERGENTE</v>
      </c>
      <c r="O1991" s="1" t="str">
        <f>_xlfn.XLOOKUP(M1991,Parâmetros!B:B,Parâmetros!C:C,_xlfn.XLOOKUP(Base!M1883,Parâmetros!G:G,Parâmetros!H:H))</f>
        <v>SISTEMA</v>
      </c>
      <c r="P1991" s="1" t="str">
        <f>_xlfn.XLOOKUP(I1991,Parâmetros!A:A,Parâmetros!D:D,_xlfn.XLOOKUP(Q1991,Parâmetros!F:F,Parâmetros!I:I))</f>
        <v>OPERAÇÕES / SUPORTE KCS</v>
      </c>
      <c r="Q1991" s="1">
        <f t="shared" si="63"/>
        <v>43</v>
      </c>
    </row>
    <row r="1992" spans="1:17" x14ac:dyDescent="0.25">
      <c r="A1992" s="1" t="str">
        <f>_xlfn.XLOOKUP(D1992,'Novo relatório'!B:B,'Novo relatório'!C:C,"RESOLVIDO")</f>
        <v>SABRE</v>
      </c>
      <c r="C1992" t="str">
        <f t="shared" si="62"/>
        <v>PENDENTE</v>
      </c>
      <c r="D1992" s="1">
        <v>3441938</v>
      </c>
      <c r="E1992" s="1" t="s">
        <v>26</v>
      </c>
      <c r="F1992" s="2">
        <v>45803.334027777775</v>
      </c>
      <c r="G1992" s="1" t="s">
        <v>2370</v>
      </c>
      <c r="H1992" s="1" t="s">
        <v>2371</v>
      </c>
      <c r="I1992" s="1" t="s">
        <v>64</v>
      </c>
      <c r="J1992" s="2">
        <v>45803.420138888891</v>
      </c>
      <c r="L1992" s="1" t="s">
        <v>1244</v>
      </c>
      <c r="M1992" s="1" t="str">
        <f>_xlfn.XLOOKUP(I1992,Parâmetros!A:A,Parâmetros!B:B,_xlfn.XLOOKUP(Q1992,Parâmetros!F:F,Parâmetros!G:G,"NOVA MENSAGEM"))</f>
        <v>FORMATO DE TEXTO</v>
      </c>
      <c r="N1992" s="1" t="str">
        <f>_xlfn.XLOOKUP(M1992,Parâmetros!K:K,Parâmetros!L:L,"")</f>
        <v>TEXTO FORA DO PADRÃO ACEITO NO CAMPO</v>
      </c>
      <c r="O1992" s="1" t="str">
        <f>_xlfn.XLOOKUP(M1992,Parâmetros!B:B,Parâmetros!C:C,_xlfn.XLOOKUP(Base!M1854,Parâmetros!G:G,Parâmetros!H:H))</f>
        <v>INDEFINIDO</v>
      </c>
      <c r="P1992" s="1" t="str">
        <f>_xlfn.XLOOKUP(I1992,Parâmetros!A:A,Parâmetros!D:D,_xlfn.XLOOKUP(Q1992,Parâmetros!F:F,Parâmetros!I:I))</f>
        <v>SUPORTE OBT</v>
      </c>
      <c r="Q1992" s="1" t="str">
        <f t="shared" si="63"/>
        <v>COLUNA I</v>
      </c>
    </row>
    <row r="1993" spans="1:17" x14ac:dyDescent="0.25">
      <c r="A1993" s="1" t="str">
        <f>_xlfn.XLOOKUP(D1993,'Novo relatório'!B:B,'Novo relatório'!C:C,"RESOLVIDO")</f>
        <v>SABRE</v>
      </c>
      <c r="C1993" t="str">
        <f t="shared" si="62"/>
        <v>PENDENTE</v>
      </c>
      <c r="D1993" s="1">
        <v>3441939</v>
      </c>
      <c r="E1993" s="1" t="s">
        <v>26</v>
      </c>
      <c r="F1993" s="2">
        <v>45803.334027777775</v>
      </c>
      <c r="G1993" s="1" t="s">
        <v>2385</v>
      </c>
      <c r="H1993" s="1" t="s">
        <v>2386</v>
      </c>
      <c r="I1993" s="1" t="s">
        <v>64</v>
      </c>
      <c r="J1993" s="2">
        <v>45803.420138888891</v>
      </c>
      <c r="L1993" s="1" t="s">
        <v>1244</v>
      </c>
      <c r="M1993" s="1" t="str">
        <f>_xlfn.XLOOKUP(I1993,Parâmetros!A:A,Parâmetros!B:B,_xlfn.XLOOKUP(Q1993,Parâmetros!F:F,Parâmetros!G:G,"NOVA MENSAGEM"))</f>
        <v>FORMATO DE TEXTO</v>
      </c>
      <c r="N1993" s="1" t="str">
        <f>_xlfn.XLOOKUP(M1993,Parâmetros!K:K,Parâmetros!L:L,"")</f>
        <v>TEXTO FORA DO PADRÃO ACEITO NO CAMPO</v>
      </c>
      <c r="O1993" s="1" t="str">
        <f>_xlfn.XLOOKUP(M1993,Parâmetros!B:B,Parâmetros!C:C,_xlfn.XLOOKUP(Base!M1866,Parâmetros!G:G,Parâmetros!H:H))</f>
        <v>INDEFINIDO</v>
      </c>
      <c r="P1993" s="1" t="str">
        <f>_xlfn.XLOOKUP(I1993,Parâmetros!A:A,Parâmetros!D:D,_xlfn.XLOOKUP(Q1993,Parâmetros!F:F,Parâmetros!I:I))</f>
        <v>SUPORTE OBT</v>
      </c>
      <c r="Q1993" s="1" t="str">
        <f t="shared" si="63"/>
        <v>COLUNA I</v>
      </c>
    </row>
    <row r="1994" spans="1:17" x14ac:dyDescent="0.25">
      <c r="A1994" s="1" t="str">
        <f>_xlfn.XLOOKUP(D1994,'Novo relatório'!B:B,'Novo relatório'!C:C,"RESOLVIDO")</f>
        <v>SABRE</v>
      </c>
      <c r="C1994" t="str">
        <f t="shared" si="62"/>
        <v>PENDENTE</v>
      </c>
      <c r="D1994" s="1">
        <v>3442473</v>
      </c>
      <c r="E1994" s="1" t="s">
        <v>26</v>
      </c>
      <c r="F1994" s="2">
        <v>45803.415972222225</v>
      </c>
      <c r="G1994" s="1" t="s">
        <v>2432</v>
      </c>
      <c r="H1994" s="1" t="s">
        <v>2432</v>
      </c>
      <c r="I1994" s="1" t="s">
        <v>2433</v>
      </c>
      <c r="J1994" s="2">
        <v>45803.503472222219</v>
      </c>
      <c r="L1994" s="1" t="s">
        <v>18</v>
      </c>
      <c r="M1994" s="1" t="str">
        <f>_xlfn.XLOOKUP(I1994,Parâmetros!A:A,Parâmetros!B:B,_xlfn.XLOOKUP(Q1994,Parâmetros!F:F,Parâmetros!G:G,"NOVA MENSAGEM"))</f>
        <v>REMARK - CNPJ</v>
      </c>
      <c r="N1994" s="1" t="str">
        <f>_xlfn.XLOOKUP(M1994,Parâmetros!K:K,Parâmetros!L:L,"")</f>
        <v/>
      </c>
      <c r="O1994" s="1" t="str">
        <f>_xlfn.XLOOKUP(M1994,Parâmetros!B:B,Parâmetros!C:C,_xlfn.XLOOKUP(Base!M1903,Parâmetros!G:G,Parâmetros!H:H))</f>
        <v>QUALIDADE DOS DADOS</v>
      </c>
      <c r="P1994" s="1" t="str">
        <f>_xlfn.XLOOKUP(I1994,Parâmetros!A:A,Parâmetros!D:D,_xlfn.XLOOKUP(Q1994,Parâmetros!F:F,Parâmetros!I:I))</f>
        <v>OPERAÇÕES / SUPORTE KCS</v>
      </c>
      <c r="Q1994" s="1">
        <f t="shared" si="63"/>
        <v>24</v>
      </c>
    </row>
    <row r="1995" spans="1:17" x14ac:dyDescent="0.25">
      <c r="A1995" s="1" t="str">
        <f>_xlfn.XLOOKUP(D1995,'Novo relatório'!B:B,'Novo relatório'!C:C,"RESOLVIDO")</f>
        <v>SABRE</v>
      </c>
      <c r="C1995" t="str">
        <f t="shared" si="62"/>
        <v>PENDENTE</v>
      </c>
      <c r="D1995" s="1">
        <v>3442474</v>
      </c>
      <c r="E1995" s="1" t="s">
        <v>26</v>
      </c>
      <c r="F1995" s="2">
        <v>45803.415972222225</v>
      </c>
      <c r="G1995" s="1" t="s">
        <v>2434</v>
      </c>
      <c r="H1995" s="1" t="s">
        <v>2432</v>
      </c>
      <c r="I1995" s="1" t="s">
        <v>2435</v>
      </c>
      <c r="J1995" s="2">
        <v>45803.504166666666</v>
      </c>
      <c r="L1995" s="1" t="s">
        <v>18</v>
      </c>
      <c r="M1995" s="1" t="str">
        <f>_xlfn.XLOOKUP(I1995,Parâmetros!A:A,Parâmetros!B:B,_xlfn.XLOOKUP(Q1995,Parâmetros!F:F,Parâmetros!G:G,"NOVA MENSAGEM"))</f>
        <v>REMARK - CNPJ</v>
      </c>
      <c r="N1995" s="1" t="str">
        <f>_xlfn.XLOOKUP(M1995,Parâmetros!K:K,Parâmetros!L:L,"")</f>
        <v/>
      </c>
      <c r="O1995" s="1" t="str">
        <f>_xlfn.XLOOKUP(M1995,Parâmetros!B:B,Parâmetros!C:C,_xlfn.XLOOKUP(Base!M1904,Parâmetros!G:G,Parâmetros!H:H))</f>
        <v>SISTEMA</v>
      </c>
      <c r="P1995" s="1" t="str">
        <f>_xlfn.XLOOKUP(I1995,Parâmetros!A:A,Parâmetros!D:D,_xlfn.XLOOKUP(Q1995,Parâmetros!F:F,Parâmetros!I:I))</f>
        <v>OPERAÇÕES / SUPORTE KCS</v>
      </c>
      <c r="Q1995" s="1">
        <f t="shared" si="63"/>
        <v>24</v>
      </c>
    </row>
    <row r="1996" spans="1:17" x14ac:dyDescent="0.25">
      <c r="A1996" s="1" t="str">
        <f>_xlfn.XLOOKUP(D1996,'Novo relatório'!B:B,'Novo relatório'!C:C,"RESOLVIDO")</f>
        <v>SABRE</v>
      </c>
      <c r="C1996" t="str">
        <f t="shared" si="62"/>
        <v>PENDENTE</v>
      </c>
      <c r="D1996" s="1">
        <v>3442624</v>
      </c>
      <c r="E1996" s="1" t="s">
        <v>26</v>
      </c>
      <c r="F1996" s="2">
        <v>45804.320833333331</v>
      </c>
      <c r="G1996" s="1" t="s">
        <v>2478</v>
      </c>
      <c r="H1996" s="1" t="s">
        <v>2478</v>
      </c>
      <c r="I1996" s="1" t="s">
        <v>273</v>
      </c>
      <c r="J1996" s="2">
        <v>45803.584027777775</v>
      </c>
      <c r="K1996" s="2">
        <v>45804.407638888886</v>
      </c>
      <c r="L1996" s="1" t="s">
        <v>1245</v>
      </c>
      <c r="M1996" s="1" t="str">
        <f>_xlfn.XLOOKUP(I1996,Parâmetros!A:A,Parâmetros!B:B,_xlfn.XLOOKUP(Q1996,Parâmetros!F:F,Parâmetros!G:G,"NOVA MENSAGEM"))</f>
        <v>VENDA CANCELADA</v>
      </c>
      <c r="N1996" s="1" t="str">
        <f>_xlfn.XLOOKUP(M1996,Parâmetros!K:K,Parâmetros!L:L,"")</f>
        <v>RESERVA CANCELADA NO OBT</v>
      </c>
      <c r="O1996" s="1" t="str">
        <f>_xlfn.XLOOKUP(M1996,Parâmetros!B:B,Parâmetros!C:C,_xlfn.XLOOKUP(Base!M1944,Parâmetros!G:G,Parâmetros!H:H))</f>
        <v>SISTEMA</v>
      </c>
      <c r="P1996" s="1" t="str">
        <f>_xlfn.XLOOKUP(I1996,Parâmetros!A:A,Parâmetros!D:D,_xlfn.XLOOKUP(Q1996,Parâmetros!F:F,Parâmetros!I:I))</f>
        <v>SUPORTE OBT</v>
      </c>
      <c r="Q1996" s="1" t="str">
        <f t="shared" si="63"/>
        <v>COLUNA I</v>
      </c>
    </row>
    <row r="1997" spans="1:17" x14ac:dyDescent="0.25">
      <c r="A1997" s="1" t="str">
        <f>_xlfn.XLOOKUP(D1997,'Novo relatório'!B:B,'Novo relatório'!C:C,"RESOLVIDO")</f>
        <v>GOVER</v>
      </c>
      <c r="C1997" t="str">
        <f t="shared" si="62"/>
        <v>PENDENTE</v>
      </c>
      <c r="D1997" s="1">
        <v>3444151</v>
      </c>
      <c r="E1997" s="1" t="s">
        <v>24</v>
      </c>
      <c r="F1997" s="2">
        <v>45803.917361111111</v>
      </c>
      <c r="G1997" s="1">
        <v>4543354</v>
      </c>
      <c r="H1997" s="1">
        <v>4543354</v>
      </c>
      <c r="I1997" s="1" t="s">
        <v>77</v>
      </c>
      <c r="J1997" s="2">
        <v>45803.926388888889</v>
      </c>
      <c r="K1997" s="2">
        <v>45810.706250000003</v>
      </c>
      <c r="L1997" s="1" t="s">
        <v>14</v>
      </c>
      <c r="M1997" s="1" t="str">
        <f>_xlfn.XLOOKUP(I1997,Parâmetros!A:A,Parâmetros!B:B,_xlfn.XLOOKUP(Q1997,Parâmetros!F:F,Parâmetros!G:G,"NOVA MENSAGEM"))</f>
        <v>RLOC NÃO INFORMADO</v>
      </c>
      <c r="N1997" s="1" t="str">
        <f>_xlfn.XLOOKUP(M1997,Parâmetros!K:K,Parâmetros!L:L,"")</f>
        <v>RLOC NÃO PREENCHIDO NA RESERVA</v>
      </c>
      <c r="O1997" s="1" t="str">
        <f>_xlfn.XLOOKUP(M1997,Parâmetros!B:B,Parâmetros!C:C,_xlfn.XLOOKUP(Base!M2072,Parâmetros!G:G,Parâmetros!H:H))</f>
        <v>QUALIDADE DOS DADOS</v>
      </c>
      <c r="P1997" s="1" t="str">
        <f>_xlfn.XLOOKUP(I1997,Parâmetros!A:A,Parâmetros!D:D,_xlfn.XLOOKUP(Q1997,Parâmetros!F:F,Parâmetros!I:I))</f>
        <v>SUPORTE OBT</v>
      </c>
      <c r="Q1997" s="1" t="str">
        <f t="shared" si="63"/>
        <v>COLUNA I</v>
      </c>
    </row>
    <row r="1998" spans="1:17" x14ac:dyDescent="0.25">
      <c r="A1998" s="1" t="str">
        <f>_xlfn.XLOOKUP(D1998,'Novo relatório'!B:B,'Novo relatório'!C:C,"RESOLVIDO")</f>
        <v>SABRE</v>
      </c>
      <c r="C1998" t="str">
        <f t="shared" si="62"/>
        <v>PENDENTE</v>
      </c>
      <c r="D1998" s="1">
        <v>3444818</v>
      </c>
      <c r="E1998" s="1" t="s">
        <v>26</v>
      </c>
      <c r="F1998" s="2">
        <v>45804.336111111108</v>
      </c>
      <c r="G1998" s="1" t="s">
        <v>2423</v>
      </c>
      <c r="H1998" s="1" t="s">
        <v>2423</v>
      </c>
      <c r="I1998" s="1" t="s">
        <v>83</v>
      </c>
      <c r="J1998" s="2">
        <v>45804.429166666669</v>
      </c>
      <c r="L1998" s="1" t="s">
        <v>18</v>
      </c>
      <c r="M1998" s="1" t="str">
        <f>_xlfn.XLOOKUP(I1998,Parâmetros!A:A,Parâmetros!B:B,_xlfn.XLOOKUP(Q1998,Parâmetros!F:F,Parâmetros!G:G,"NOVA MENSAGEM"))</f>
        <v>CLIENTE NÃO IDENTIFICADO</v>
      </c>
      <c r="N1998" s="1" t="str">
        <f>_xlfn.XLOOKUP(M1998,Parâmetros!K:K,Parâmetros!L:L,"")</f>
        <v>DK DE CLIENTE NÃO PREENCIDO / CLIENTE NÃO CONFIGURADO NO OBT</v>
      </c>
      <c r="O1998" s="1" t="str">
        <f>_xlfn.XLOOKUP(M1998,Parâmetros!B:B,Parâmetros!C:C,_xlfn.XLOOKUP(Base!M1897,Parâmetros!G:G,Parâmetros!H:H))</f>
        <v>INDEFINIDO</v>
      </c>
      <c r="P1998" s="1" t="str">
        <f>_xlfn.XLOOKUP(I1998,Parâmetros!A:A,Parâmetros!D:D,_xlfn.XLOOKUP(Q1998,Parâmetros!F:F,Parâmetros!I:I))</f>
        <v>OPERAÇÕES / SUPORTE KCS</v>
      </c>
      <c r="Q1998" s="1" t="str">
        <f t="shared" si="63"/>
        <v>COLUNA I</v>
      </c>
    </row>
    <row r="1999" spans="1:17" x14ac:dyDescent="0.25">
      <c r="A1999" s="1" t="str">
        <f>_xlfn.XLOOKUP(D1999,'Novo relatório'!B:B,'Novo relatório'!C:C,"RESOLVIDO")</f>
        <v>SABRE</v>
      </c>
      <c r="C1999" t="str">
        <f t="shared" si="62"/>
        <v>PENDENTE</v>
      </c>
      <c r="D1999" s="1">
        <v>3444819</v>
      </c>
      <c r="E1999" s="1" t="s">
        <v>26</v>
      </c>
      <c r="F1999" s="2">
        <v>45804.336111111108</v>
      </c>
      <c r="G1999" s="1" t="s">
        <v>2447</v>
      </c>
      <c r="H1999" s="1" t="s">
        <v>2447</v>
      </c>
      <c r="I1999" s="1" t="s">
        <v>620</v>
      </c>
      <c r="J1999" s="2">
        <v>45804.429166666669</v>
      </c>
      <c r="L1999" s="1" t="s">
        <v>18</v>
      </c>
      <c r="M1999" s="1" t="str">
        <f>_xlfn.XLOOKUP(I1999,Parâmetros!A:A,Parâmetros!B:B,_xlfn.XLOOKUP(Q1999,Parâmetros!F:F,Parâmetros!G:G,"NOVA MENSAGEM"))</f>
        <v>CÓD. CLIENTE DIVERGENTE</v>
      </c>
      <c r="N1999" s="1" t="str">
        <f>_xlfn.XLOOKUP(M1999,Parâmetros!K:K,Parâmetros!L:L,"")</f>
        <v>CÓDIGO DIFERENTE DO CADASTRADO NO BENNER (CLIENTE X GRUPO)</v>
      </c>
      <c r="O1999" s="1" t="str">
        <f>_xlfn.XLOOKUP(M1999,Parâmetros!B:B,Parâmetros!C:C,_xlfn.XLOOKUP(Base!M1916,Parâmetros!G:G,Parâmetros!H:H))</f>
        <v>QUALIDADE DOS DADOS</v>
      </c>
      <c r="P1999" s="1" t="str">
        <f>_xlfn.XLOOKUP(I1999,Parâmetros!A:A,Parâmetros!D:D,_xlfn.XLOOKUP(Q1999,Parâmetros!F:F,Parâmetros!I:I))</f>
        <v>SUPORTE OBT</v>
      </c>
      <c r="Q1999" s="1">
        <f t="shared" si="63"/>
        <v>1</v>
      </c>
    </row>
    <row r="2000" spans="1:17" x14ac:dyDescent="0.25">
      <c r="A2000" s="1" t="str">
        <f>_xlfn.XLOOKUP(D2000,'Novo relatório'!B:B,'Novo relatório'!C:C,"RESOLVIDO")</f>
        <v>SABRE</v>
      </c>
      <c r="C2000" t="str">
        <f t="shared" si="62"/>
        <v>PENDENTE</v>
      </c>
      <c r="D2000" s="1">
        <v>3444820</v>
      </c>
      <c r="E2000" s="1" t="s">
        <v>26</v>
      </c>
      <c r="F2000" s="2">
        <v>45804.336111111108</v>
      </c>
      <c r="G2000" s="1" t="s">
        <v>2446</v>
      </c>
      <c r="H2000" s="1" t="s">
        <v>2446</v>
      </c>
      <c r="I2000" s="1" t="s">
        <v>620</v>
      </c>
      <c r="J2000" s="2">
        <v>45804.429166666669</v>
      </c>
      <c r="L2000" s="1" t="s">
        <v>18</v>
      </c>
      <c r="M2000" s="1" t="str">
        <f>_xlfn.XLOOKUP(I2000,Parâmetros!A:A,Parâmetros!B:B,_xlfn.XLOOKUP(Q2000,Parâmetros!F:F,Parâmetros!G:G,"NOVA MENSAGEM"))</f>
        <v>CÓD. CLIENTE DIVERGENTE</v>
      </c>
      <c r="N2000" s="1" t="str">
        <f>_xlfn.XLOOKUP(M2000,Parâmetros!K:K,Parâmetros!L:L,"")</f>
        <v>CÓDIGO DIFERENTE DO CADASTRADO NO BENNER (CLIENTE X GRUPO)</v>
      </c>
      <c r="O2000" s="1" t="str">
        <f>_xlfn.XLOOKUP(M2000,Parâmetros!B:B,Parâmetros!C:C,_xlfn.XLOOKUP(Base!M1915,Parâmetros!G:G,Parâmetros!H:H))</f>
        <v>QUALIDADE DOS DADOS</v>
      </c>
      <c r="P2000" s="1" t="str">
        <f>_xlfn.XLOOKUP(I2000,Parâmetros!A:A,Parâmetros!D:D,_xlfn.XLOOKUP(Q2000,Parâmetros!F:F,Parâmetros!I:I))</f>
        <v>SUPORTE OBT</v>
      </c>
      <c r="Q2000" s="1">
        <f t="shared" si="63"/>
        <v>1</v>
      </c>
    </row>
    <row r="2001" spans="1:17" x14ac:dyDescent="0.25">
      <c r="A2001" s="1" t="str">
        <f>_xlfn.XLOOKUP(D2001,'Novo relatório'!B:B,'Novo relatório'!C:C,"RESOLVIDO")</f>
        <v>SABRE</v>
      </c>
      <c r="C2001" t="str">
        <f t="shared" si="62"/>
        <v>PENDENTE</v>
      </c>
      <c r="D2001" s="1">
        <v>3444821</v>
      </c>
      <c r="E2001" s="1" t="s">
        <v>26</v>
      </c>
      <c r="F2001" s="2">
        <v>45804.336111111108</v>
      </c>
      <c r="G2001" s="1" t="s">
        <v>2451</v>
      </c>
      <c r="H2001" s="1" t="s">
        <v>2451</v>
      </c>
      <c r="I2001" s="1" t="s">
        <v>620</v>
      </c>
      <c r="J2001" s="2">
        <v>45804.429166666669</v>
      </c>
      <c r="L2001" s="1" t="s">
        <v>18</v>
      </c>
      <c r="M2001" s="1" t="str">
        <f>_xlfn.XLOOKUP(I2001,Parâmetros!A:A,Parâmetros!B:B,_xlfn.XLOOKUP(Q2001,Parâmetros!F:F,Parâmetros!G:G,"NOVA MENSAGEM"))</f>
        <v>CÓD. CLIENTE DIVERGENTE</v>
      </c>
      <c r="N2001" s="1" t="str">
        <f>_xlfn.XLOOKUP(M2001,Parâmetros!K:K,Parâmetros!L:L,"")</f>
        <v>CÓDIGO DIFERENTE DO CADASTRADO NO BENNER (CLIENTE X GRUPO)</v>
      </c>
      <c r="O2001" s="1" t="str">
        <f>_xlfn.XLOOKUP(M2001,Parâmetros!B:B,Parâmetros!C:C,_xlfn.XLOOKUP(Base!M1920,Parâmetros!G:G,Parâmetros!H:H))</f>
        <v>QUALIDADE DOS DADOS</v>
      </c>
      <c r="P2001" s="1" t="str">
        <f>_xlfn.XLOOKUP(I2001,Parâmetros!A:A,Parâmetros!D:D,_xlfn.XLOOKUP(Q2001,Parâmetros!F:F,Parâmetros!I:I))</f>
        <v>SUPORTE OBT</v>
      </c>
      <c r="Q2001" s="1">
        <f t="shared" si="63"/>
        <v>1</v>
      </c>
    </row>
    <row r="2002" spans="1:17" x14ac:dyDescent="0.25">
      <c r="A2002" s="1" t="str">
        <f>_xlfn.XLOOKUP(D2002,'Novo relatório'!B:B,'Novo relatório'!C:C,"RESOLVIDO")</f>
        <v>SABRE</v>
      </c>
      <c r="C2002" t="str">
        <f t="shared" si="62"/>
        <v>PENDENTE</v>
      </c>
      <c r="D2002" s="1">
        <v>3444822</v>
      </c>
      <c r="E2002" s="1" t="s">
        <v>26</v>
      </c>
      <c r="F2002" s="2">
        <v>45804.336111111108</v>
      </c>
      <c r="G2002" s="1" t="s">
        <v>2503</v>
      </c>
      <c r="H2002" s="1" t="s">
        <v>2503</v>
      </c>
      <c r="I2002" s="1" t="s">
        <v>746</v>
      </c>
      <c r="J2002" s="2">
        <v>45804.430555555555</v>
      </c>
      <c r="L2002" s="1" t="s">
        <v>18</v>
      </c>
      <c r="M2002" s="1" t="str">
        <f>_xlfn.XLOOKUP(I2002,Parâmetros!A:A,Parâmetros!B:B,_xlfn.XLOOKUP(Q2002,Parâmetros!F:F,Parâmetros!G:G,"NOVA MENSAGEM"))</f>
        <v>CÓD. CLIENTE DIVERGENTE</v>
      </c>
      <c r="N2002" s="1" t="str">
        <f>_xlfn.XLOOKUP(M2002,Parâmetros!K:K,Parâmetros!L:L,"")</f>
        <v>CÓDIGO DIFERENTE DO CADASTRADO NO BENNER (CLIENTE X GRUPO)</v>
      </c>
      <c r="O2002" s="1" t="str">
        <f>_xlfn.XLOOKUP(M2002,Parâmetros!B:B,Parâmetros!C:C,_xlfn.XLOOKUP(Base!M1965,Parâmetros!G:G,Parâmetros!H:H))</f>
        <v>QUALIDADE DOS DADOS</v>
      </c>
      <c r="P2002" s="1" t="str">
        <f>_xlfn.XLOOKUP(I2002,Parâmetros!A:A,Parâmetros!D:D,_xlfn.XLOOKUP(Q2002,Parâmetros!F:F,Parâmetros!I:I))</f>
        <v>SUPORTE OBT</v>
      </c>
      <c r="Q2002" s="1">
        <f t="shared" si="63"/>
        <v>1</v>
      </c>
    </row>
    <row r="2003" spans="1:17" x14ac:dyDescent="0.25">
      <c r="A2003" s="1" t="str">
        <f>_xlfn.XLOOKUP(D2003,'Novo relatório'!B:B,'Novo relatório'!C:C,"RESOLVIDO")</f>
        <v>SABRE</v>
      </c>
      <c r="C2003" t="str">
        <f t="shared" si="62"/>
        <v>PENDENTE</v>
      </c>
      <c r="D2003" s="1">
        <v>3444823</v>
      </c>
      <c r="E2003" s="1" t="s">
        <v>26</v>
      </c>
      <c r="F2003" s="2">
        <v>45804.336111111108</v>
      </c>
      <c r="G2003" s="1" t="s">
        <v>2448</v>
      </c>
      <c r="H2003" s="1" t="s">
        <v>2448</v>
      </c>
      <c r="I2003" s="1" t="s">
        <v>746</v>
      </c>
      <c r="J2003" s="2">
        <v>45804.430555555555</v>
      </c>
      <c r="L2003" s="1" t="s">
        <v>18</v>
      </c>
      <c r="M2003" s="1" t="str">
        <f>_xlfn.XLOOKUP(I2003,Parâmetros!A:A,Parâmetros!B:B,_xlfn.XLOOKUP(Q2003,Parâmetros!F:F,Parâmetros!G:G,"NOVA MENSAGEM"))</f>
        <v>CÓD. CLIENTE DIVERGENTE</v>
      </c>
      <c r="N2003" s="1" t="str">
        <f>_xlfn.XLOOKUP(M2003,Parâmetros!K:K,Parâmetros!L:L,"")</f>
        <v>CÓDIGO DIFERENTE DO CADASTRADO NO BENNER (CLIENTE X GRUPO)</v>
      </c>
      <c r="O2003" s="1" t="str">
        <f>_xlfn.XLOOKUP(M2003,Parâmetros!B:B,Parâmetros!C:C,_xlfn.XLOOKUP(Base!M1917,Parâmetros!G:G,Parâmetros!H:H))</f>
        <v>QUALIDADE DOS DADOS</v>
      </c>
      <c r="P2003" s="1" t="str">
        <f>_xlfn.XLOOKUP(I2003,Parâmetros!A:A,Parâmetros!D:D,_xlfn.XLOOKUP(Q2003,Parâmetros!F:F,Parâmetros!I:I))</f>
        <v>SUPORTE OBT</v>
      </c>
      <c r="Q2003" s="1">
        <f t="shared" si="63"/>
        <v>1</v>
      </c>
    </row>
    <row r="2004" spans="1:17" x14ac:dyDescent="0.25">
      <c r="A2004" s="1" t="str">
        <f>_xlfn.XLOOKUP(D2004,'Novo relatório'!B:B,'Novo relatório'!C:C,"RESOLVIDO")</f>
        <v>SABRE</v>
      </c>
      <c r="C2004" t="str">
        <f t="shared" si="62"/>
        <v>PENDENTE</v>
      </c>
      <c r="D2004" s="1">
        <v>3444824</v>
      </c>
      <c r="E2004" s="1" t="s">
        <v>26</v>
      </c>
      <c r="F2004" s="2">
        <v>45804.336111111108</v>
      </c>
      <c r="G2004" s="1" t="s">
        <v>2376</v>
      </c>
      <c r="H2004" s="1" t="s">
        <v>2376</v>
      </c>
      <c r="I2004" s="1" t="s">
        <v>746</v>
      </c>
      <c r="J2004" s="2">
        <v>45804.431250000001</v>
      </c>
      <c r="L2004" s="1" t="s">
        <v>18</v>
      </c>
      <c r="M2004" s="1" t="str">
        <f>_xlfn.XLOOKUP(I2004,Parâmetros!A:A,Parâmetros!B:B,_xlfn.XLOOKUP(Q2004,Parâmetros!F:F,Parâmetros!G:G,"NOVA MENSAGEM"))</f>
        <v>CÓD. CLIENTE DIVERGENTE</v>
      </c>
      <c r="N2004" s="1" t="str">
        <f>_xlfn.XLOOKUP(M2004,Parâmetros!K:K,Parâmetros!L:L,"")</f>
        <v>CÓDIGO DIFERENTE DO CADASTRADO NO BENNER (CLIENTE X GRUPO)</v>
      </c>
      <c r="O2004" s="1" t="str">
        <f>_xlfn.XLOOKUP(M2004,Parâmetros!B:B,Parâmetros!C:C,_xlfn.XLOOKUP(Base!M1859,Parâmetros!G:G,Parâmetros!H:H))</f>
        <v>QUALIDADE DOS DADOS</v>
      </c>
      <c r="P2004" s="1" t="str">
        <f>_xlfn.XLOOKUP(I2004,Parâmetros!A:A,Parâmetros!D:D,_xlfn.XLOOKUP(Q2004,Parâmetros!F:F,Parâmetros!I:I))</f>
        <v>SUPORTE OBT</v>
      </c>
      <c r="Q2004" s="1">
        <f t="shared" si="63"/>
        <v>1</v>
      </c>
    </row>
    <row r="2005" spans="1:17" x14ac:dyDescent="0.25">
      <c r="A2005" s="1" t="str">
        <f>_xlfn.XLOOKUP(D2005,'Novo relatório'!B:B,'Novo relatório'!C:C,"RESOLVIDO")</f>
        <v>TMS</v>
      </c>
      <c r="C2005" t="str">
        <f t="shared" si="62"/>
        <v>PENDENTE</v>
      </c>
      <c r="D2005" s="1">
        <v>3445067</v>
      </c>
      <c r="E2005" s="1" t="s">
        <v>12</v>
      </c>
      <c r="F2005" s="2">
        <v>45804.404861111114</v>
      </c>
      <c r="G2005" s="1">
        <v>22223</v>
      </c>
      <c r="H2005" s="1">
        <v>22223</v>
      </c>
      <c r="I2005" s="1" t="s">
        <v>2530</v>
      </c>
      <c r="J2005" s="2">
        <v>45804.473611111112</v>
      </c>
      <c r="K2005" s="2">
        <v>45806.502083333333</v>
      </c>
      <c r="L2005" s="1" t="s">
        <v>14</v>
      </c>
      <c r="M2005" s="1" t="str">
        <f>_xlfn.XLOOKUP(I2005,Parâmetros!A:A,Parâmetros!B:B,_xlfn.XLOOKUP(Q2005,Parâmetros!F:F,Parâmetros!G:G,"NOVA MENSAGEM"))</f>
        <v>ASSENTO / BAGAGEM</v>
      </c>
      <c r="N2005" s="1" t="str">
        <f>_xlfn.XLOOKUP(M2005,Parâmetros!K:K,Parâmetros!L:L,"")</f>
        <v>CAMPO OBSERVAÇÃO PREENCHIDO INCORRETAMENTE</v>
      </c>
      <c r="O2005" s="1" t="str">
        <f>_xlfn.XLOOKUP(M2005,Parâmetros!B:B,Parâmetros!C:C,_xlfn.XLOOKUP(Base!M1996,Parâmetros!G:G,Parâmetros!H:H))</f>
        <v>QUALIDADE DOS DADOS</v>
      </c>
      <c r="P2005" s="1" t="str">
        <f>_xlfn.XLOOKUP(I2005,Parâmetros!A:A,Parâmetros!D:D,_xlfn.XLOOKUP(Q2005,Parâmetros!F:F,Parâmetros!I:I))</f>
        <v>OPERAÇÕES / SUPORTE KCS</v>
      </c>
      <c r="Q2005" s="1">
        <f t="shared" si="63"/>
        <v>127</v>
      </c>
    </row>
    <row r="2006" spans="1:17" x14ac:dyDescent="0.25">
      <c r="A2006" s="1" t="str">
        <f>_xlfn.XLOOKUP(D2006,'Novo relatório'!B:B,'Novo relatório'!C:C,"RESOLVIDO")</f>
        <v>RESOLVIDO</v>
      </c>
      <c r="C2006" t="str">
        <f t="shared" si="62"/>
        <v>RESOLVIDO</v>
      </c>
      <c r="D2006" s="1">
        <v>3445172</v>
      </c>
      <c r="E2006" s="1" t="s">
        <v>12</v>
      </c>
      <c r="F2006" s="2">
        <v>45804.397916666669</v>
      </c>
      <c r="G2006" s="1">
        <v>63788</v>
      </c>
      <c r="H2006" s="1">
        <v>63788</v>
      </c>
      <c r="I2006" s="1" t="s">
        <v>927</v>
      </c>
      <c r="J2006" s="2">
        <v>45804.484027777777</v>
      </c>
      <c r="K2006" s="2">
        <v>45806.519444444442</v>
      </c>
      <c r="L2006" s="1" t="s">
        <v>19</v>
      </c>
      <c r="M2006" s="1" t="str">
        <f>_xlfn.XLOOKUP(I2006,Parâmetros!A:A,Parâmetros!B:B,_xlfn.XLOOKUP(Q2006,Parâmetros!F:F,Parâmetros!G:G,"NOVA MENSAGEM"))</f>
        <v>CONTRATO FORNECEDOR</v>
      </c>
      <c r="N2006" s="1" t="str">
        <f>_xlfn.XLOOKUP(M2006,Parâmetros!K:K,Parâmetros!L:L,"")</f>
        <v>CONTRATO INATIVO OU DIVERGENTE</v>
      </c>
      <c r="O2006" s="1" t="str">
        <f>_xlfn.XLOOKUP(M2006,Parâmetros!B:B,Parâmetros!C:C,_xlfn.XLOOKUP(Base!M2007,Parâmetros!G:G,Parâmetros!H:H))</f>
        <v>SISTEMA</v>
      </c>
      <c r="P2006" s="1" t="str">
        <f>_xlfn.XLOOKUP(I2006,Parâmetros!A:A,Parâmetros!D:D,_xlfn.XLOOKUP(Q2006,Parâmetros!F:F,Parâmetros!I:I))</f>
        <v>OPERAÇÕES / SUPORTE KCS</v>
      </c>
      <c r="Q2006" s="1">
        <f t="shared" si="63"/>
        <v>69</v>
      </c>
    </row>
    <row r="2007" spans="1:17" x14ac:dyDescent="0.25">
      <c r="A2007" s="1" t="str">
        <f>_xlfn.XLOOKUP(D2007,'Novo relatório'!B:B,'Novo relatório'!C:C,"RESOLVIDO")</f>
        <v>SABRE</v>
      </c>
      <c r="C2007" t="str">
        <f t="shared" si="62"/>
        <v>PENDENTE</v>
      </c>
      <c r="D2007" s="1">
        <v>3445352</v>
      </c>
      <c r="E2007" s="1" t="s">
        <v>26</v>
      </c>
      <c r="F2007" s="2">
        <v>45804.597916666666</v>
      </c>
      <c r="G2007" s="1" t="s">
        <v>2389</v>
      </c>
      <c r="H2007" s="1" t="s">
        <v>2389</v>
      </c>
      <c r="I2007" s="1" t="s">
        <v>1280</v>
      </c>
      <c r="J2007" s="2">
        <v>45804.522916666669</v>
      </c>
      <c r="K2007" s="2">
        <v>45804.689583333333</v>
      </c>
      <c r="L2007" s="1" t="s">
        <v>18</v>
      </c>
      <c r="M2007" s="1" t="str">
        <f>_xlfn.XLOOKUP(I2007,Parâmetros!A:A,Parâmetros!B:B,_xlfn.XLOOKUP(Q2007,Parâmetros!F:F,Parâmetros!G:G,"NOVA MENSAGEM"))</f>
        <v>CÓD. CLIENTE DIVERGENTE</v>
      </c>
      <c r="N2007" s="1" t="str">
        <f>_xlfn.XLOOKUP(M2007,Parâmetros!K:K,Parâmetros!L:L,"")</f>
        <v>CÓDIGO DIFERENTE DO CADASTRADO NO BENNER (CLIENTE X GRUPO)</v>
      </c>
      <c r="O2007" s="1" t="str">
        <f>_xlfn.XLOOKUP(M2007,Parâmetros!B:B,Parâmetros!C:C,_xlfn.XLOOKUP(Base!M1869,Parâmetros!G:G,Parâmetros!H:H))</f>
        <v>QUALIDADE DOS DADOS</v>
      </c>
      <c r="P2007" s="1" t="str">
        <f>_xlfn.XLOOKUP(I2007,Parâmetros!A:A,Parâmetros!D:D,_xlfn.XLOOKUP(Q2007,Parâmetros!F:F,Parâmetros!I:I))</f>
        <v>SUPORTE OBT</v>
      </c>
      <c r="Q2007" s="1">
        <f t="shared" si="63"/>
        <v>1</v>
      </c>
    </row>
    <row r="2008" spans="1:17" x14ac:dyDescent="0.25">
      <c r="A2008" s="1" t="str">
        <f>_xlfn.XLOOKUP(D2008,'Novo relatório'!B:B,'Novo relatório'!C:C,"RESOLVIDO")</f>
        <v>SABRE</v>
      </c>
      <c r="C2008" t="str">
        <f t="shared" si="62"/>
        <v>PENDENTE</v>
      </c>
      <c r="D2008" s="1">
        <v>3445800</v>
      </c>
      <c r="E2008" s="1" t="s">
        <v>26</v>
      </c>
      <c r="F2008" s="2">
        <v>45804.597916666666</v>
      </c>
      <c r="G2008" s="1" t="s">
        <v>2393</v>
      </c>
      <c r="H2008" s="1" t="s">
        <v>2393</v>
      </c>
      <c r="I2008" s="1" t="s">
        <v>396</v>
      </c>
      <c r="J2008" s="2">
        <v>45804.69027777778</v>
      </c>
      <c r="L2008" s="1" t="s">
        <v>18</v>
      </c>
      <c r="M2008" s="1" t="str">
        <f>_xlfn.XLOOKUP(I2008,Parâmetros!A:A,Parâmetros!B:B,_xlfn.XLOOKUP(Q2008,Parâmetros!F:F,Parâmetros!G:G,"NOVA MENSAGEM"))</f>
        <v>CÓD. CLIENTE DIVERGENTE</v>
      </c>
      <c r="N2008" s="1" t="str">
        <f>_xlfn.XLOOKUP(M2008,Parâmetros!K:K,Parâmetros!L:L,"")</f>
        <v>CÓDIGO DIFERENTE DO CADASTRADO NO BENNER (CLIENTE X GRUPO)</v>
      </c>
      <c r="O2008" s="1" t="str">
        <f>_xlfn.XLOOKUP(M2008,Parâmetros!B:B,Parâmetros!C:C,_xlfn.XLOOKUP(Base!M1873,Parâmetros!G:G,Parâmetros!H:H))</f>
        <v>QUALIDADE DOS DADOS</v>
      </c>
      <c r="P2008" s="1" t="str">
        <f>_xlfn.XLOOKUP(I2008,Parâmetros!A:A,Parâmetros!D:D,_xlfn.XLOOKUP(Q2008,Parâmetros!F:F,Parâmetros!I:I))</f>
        <v>SUPORTE OBT</v>
      </c>
      <c r="Q2008" s="1">
        <f t="shared" si="63"/>
        <v>1</v>
      </c>
    </row>
    <row r="2009" spans="1:17" x14ac:dyDescent="0.25">
      <c r="A2009" s="1" t="str">
        <f>_xlfn.XLOOKUP(D2009,'Novo relatório'!B:B,'Novo relatório'!C:C,"RESOLVIDO")</f>
        <v>SABRE</v>
      </c>
      <c r="C2009" t="str">
        <f t="shared" si="62"/>
        <v>PENDENTE</v>
      </c>
      <c r="D2009" s="1">
        <v>3445801</v>
      </c>
      <c r="E2009" s="1" t="s">
        <v>26</v>
      </c>
      <c r="F2009" s="2">
        <v>45804.597916666666</v>
      </c>
      <c r="G2009" s="1" t="s">
        <v>2417</v>
      </c>
      <c r="H2009" s="1" t="s">
        <v>2417</v>
      </c>
      <c r="I2009" s="1" t="s">
        <v>396</v>
      </c>
      <c r="J2009" s="2">
        <v>45804.69027777778</v>
      </c>
      <c r="L2009" s="1" t="s">
        <v>18</v>
      </c>
      <c r="M2009" s="1" t="str">
        <f>_xlfn.XLOOKUP(I2009,Parâmetros!A:A,Parâmetros!B:B,_xlfn.XLOOKUP(Q2009,Parâmetros!F:F,Parâmetros!G:G,"NOVA MENSAGEM"))</f>
        <v>CÓD. CLIENTE DIVERGENTE</v>
      </c>
      <c r="N2009" s="1" t="str">
        <f>_xlfn.XLOOKUP(M2009,Parâmetros!K:K,Parâmetros!L:L,"")</f>
        <v>CÓDIGO DIFERENTE DO CADASTRADO NO BENNER (CLIENTE X GRUPO)</v>
      </c>
      <c r="O2009" s="1" t="str">
        <f>_xlfn.XLOOKUP(M2009,Parâmetros!B:B,Parâmetros!C:C,_xlfn.XLOOKUP(Base!M1892,Parâmetros!G:G,Parâmetros!H:H))</f>
        <v>QUALIDADE DOS DADOS</v>
      </c>
      <c r="P2009" s="1" t="str">
        <f>_xlfn.XLOOKUP(I2009,Parâmetros!A:A,Parâmetros!D:D,_xlfn.XLOOKUP(Q2009,Parâmetros!F:F,Parâmetros!I:I))</f>
        <v>SUPORTE OBT</v>
      </c>
      <c r="Q2009" s="1">
        <f t="shared" si="63"/>
        <v>1</v>
      </c>
    </row>
    <row r="2010" spans="1:17" x14ac:dyDescent="0.25">
      <c r="A2010" s="1" t="str">
        <f>_xlfn.XLOOKUP(D2010,'Novo relatório'!B:B,'Novo relatório'!C:C,"RESOLVIDO")</f>
        <v>SABRE</v>
      </c>
      <c r="C2010" t="str">
        <f t="shared" si="62"/>
        <v>PENDENTE</v>
      </c>
      <c r="D2010" s="1">
        <v>3445803</v>
      </c>
      <c r="E2010" s="1" t="s">
        <v>26</v>
      </c>
      <c r="F2010" s="2">
        <v>45804.597916666666</v>
      </c>
      <c r="G2010" s="1" t="s">
        <v>2431</v>
      </c>
      <c r="H2010" s="1" t="s">
        <v>2431</v>
      </c>
      <c r="I2010" s="1" t="s">
        <v>746</v>
      </c>
      <c r="J2010" s="2">
        <v>45804.690972222219</v>
      </c>
      <c r="L2010" s="1" t="s">
        <v>18</v>
      </c>
      <c r="M2010" s="1" t="str">
        <f>_xlfn.XLOOKUP(I2010,Parâmetros!A:A,Parâmetros!B:B,_xlfn.XLOOKUP(Q2010,Parâmetros!F:F,Parâmetros!G:G,"NOVA MENSAGEM"))</f>
        <v>CÓD. CLIENTE DIVERGENTE</v>
      </c>
      <c r="N2010" s="1" t="str">
        <f>_xlfn.XLOOKUP(M2010,Parâmetros!K:K,Parâmetros!L:L,"")</f>
        <v>CÓDIGO DIFERENTE DO CADASTRADO NO BENNER (CLIENTE X GRUPO)</v>
      </c>
      <c r="O2010" s="1" t="str">
        <f>_xlfn.XLOOKUP(M2010,Parâmetros!B:B,Parâmetros!C:C,_xlfn.XLOOKUP(Base!M1902,Parâmetros!G:G,Parâmetros!H:H))</f>
        <v>QUALIDADE DOS DADOS</v>
      </c>
      <c r="P2010" s="1" t="str">
        <f>_xlfn.XLOOKUP(I2010,Parâmetros!A:A,Parâmetros!D:D,_xlfn.XLOOKUP(Q2010,Parâmetros!F:F,Parâmetros!I:I))</f>
        <v>SUPORTE OBT</v>
      </c>
      <c r="Q2010" s="1">
        <f t="shared" si="63"/>
        <v>1</v>
      </c>
    </row>
    <row r="2011" spans="1:17" x14ac:dyDescent="0.25">
      <c r="A2011" s="1" t="str">
        <f>_xlfn.XLOOKUP(D2011,'Novo relatório'!B:B,'Novo relatório'!C:C,"RESOLVIDO")</f>
        <v>SABRE</v>
      </c>
      <c r="C2011" t="str">
        <f t="shared" si="62"/>
        <v>PENDENTE</v>
      </c>
      <c r="D2011" s="1">
        <v>3445809</v>
      </c>
      <c r="E2011" s="1" t="s">
        <v>26</v>
      </c>
      <c r="F2011" s="2">
        <v>45804.597916666666</v>
      </c>
      <c r="G2011" s="1" t="s">
        <v>2440</v>
      </c>
      <c r="H2011" s="1" t="s">
        <v>2440</v>
      </c>
      <c r="I2011" s="1" t="s">
        <v>652</v>
      </c>
      <c r="J2011" s="2">
        <v>45804.692361111112</v>
      </c>
      <c r="L2011" s="1" t="s">
        <v>18</v>
      </c>
      <c r="M2011" s="1" t="str">
        <f>_xlfn.XLOOKUP(I2011,Parâmetros!A:A,Parâmetros!B:B,_xlfn.XLOOKUP(Q2011,Parâmetros!F:F,Parâmetros!G:G,"NOVA MENSAGEM"))</f>
        <v>CÓD. CLIENTE DIVERGENTE</v>
      </c>
      <c r="N2011" s="1" t="str">
        <f>_xlfn.XLOOKUP(M2011,Parâmetros!K:K,Parâmetros!L:L,"")</f>
        <v>CÓDIGO DIFERENTE DO CADASTRADO NO BENNER (CLIENTE X GRUPO)</v>
      </c>
      <c r="O2011" s="1" t="str">
        <f>_xlfn.XLOOKUP(M2011,Parâmetros!B:B,Parâmetros!C:C,_xlfn.XLOOKUP(Base!M1909,Parâmetros!G:G,Parâmetros!H:H))</f>
        <v>QUALIDADE DOS DADOS</v>
      </c>
      <c r="P2011" s="1" t="str">
        <f>_xlfn.XLOOKUP(I2011,Parâmetros!A:A,Parâmetros!D:D,_xlfn.XLOOKUP(Q2011,Parâmetros!F:F,Parâmetros!I:I))</f>
        <v>SUPORTE OBT</v>
      </c>
      <c r="Q2011" s="1">
        <f t="shared" si="63"/>
        <v>1</v>
      </c>
    </row>
    <row r="2012" spans="1:17" x14ac:dyDescent="0.25">
      <c r="A2012" s="1" t="str">
        <f>_xlfn.XLOOKUP(D2012,'Novo relatório'!B:B,'Novo relatório'!C:C,"RESOLVIDO")</f>
        <v>SABRE</v>
      </c>
      <c r="C2012" t="str">
        <f t="shared" si="62"/>
        <v>PENDENTE</v>
      </c>
      <c r="D2012" s="1">
        <v>3445828</v>
      </c>
      <c r="E2012" s="1" t="s">
        <v>26</v>
      </c>
      <c r="F2012" s="2">
        <v>45805.620138888888</v>
      </c>
      <c r="G2012" s="1" t="s">
        <v>2363</v>
      </c>
      <c r="H2012" s="1" t="s">
        <v>2363</v>
      </c>
      <c r="I2012" s="1" t="s">
        <v>829</v>
      </c>
      <c r="J2012" s="2">
        <v>45804.693055555559</v>
      </c>
      <c r="K2012" s="2">
        <v>45805.710416666669</v>
      </c>
      <c r="L2012" s="1" t="s">
        <v>18</v>
      </c>
      <c r="M2012" s="1" t="str">
        <f>_xlfn.XLOOKUP(I2012,Parâmetros!A:A,Parâmetros!B:B,_xlfn.XLOOKUP(Q2012,Parâmetros!F:F,Parâmetros!G:G,"NOVA MENSAGEM"))</f>
        <v>REMARK - CNPJ</v>
      </c>
      <c r="N2012" s="1" t="str">
        <f>_xlfn.XLOOKUP(M2012,Parâmetros!K:K,Parâmetros!L:L,"")</f>
        <v/>
      </c>
      <c r="O2012" s="1" t="str">
        <f>_xlfn.XLOOKUP(M2012,Parâmetros!B:B,Parâmetros!C:C,_xlfn.XLOOKUP(Base!M1847,Parâmetros!G:G,Parâmetros!H:H))</f>
        <v>QUALIDADE DOS DADOS</v>
      </c>
      <c r="P2012" s="1" t="str">
        <f>_xlfn.XLOOKUP(I2012,Parâmetros!A:A,Parâmetros!D:D,_xlfn.XLOOKUP(Q2012,Parâmetros!F:F,Parâmetros!I:I))</f>
        <v>OPERAÇÕES / SUPORTE KCS</v>
      </c>
      <c r="Q2012" s="1">
        <f t="shared" si="63"/>
        <v>24</v>
      </c>
    </row>
    <row r="2013" spans="1:17" x14ac:dyDescent="0.25">
      <c r="A2013" s="1" t="str">
        <f>_xlfn.XLOOKUP(D2013,'Novo relatório'!B:B,'Novo relatório'!C:C,"RESOLVIDO")</f>
        <v>SABRE</v>
      </c>
      <c r="C2013" t="str">
        <f t="shared" si="62"/>
        <v>PENDENTE</v>
      </c>
      <c r="D2013" s="1">
        <v>3445831</v>
      </c>
      <c r="E2013" s="1" t="s">
        <v>26</v>
      </c>
      <c r="F2013" s="2">
        <v>45804.597916666666</v>
      </c>
      <c r="G2013" s="1" t="s">
        <v>2381</v>
      </c>
      <c r="H2013" s="1" t="s">
        <v>2381</v>
      </c>
      <c r="I2013" s="1" t="s">
        <v>396</v>
      </c>
      <c r="J2013" s="2">
        <v>45804.693055555559</v>
      </c>
      <c r="L2013" s="1" t="s">
        <v>18</v>
      </c>
      <c r="M2013" s="1" t="str">
        <f>_xlfn.XLOOKUP(I2013,Parâmetros!A:A,Parâmetros!B:B,_xlfn.XLOOKUP(Q2013,Parâmetros!F:F,Parâmetros!G:G,"NOVA MENSAGEM"))</f>
        <v>CÓD. CLIENTE DIVERGENTE</v>
      </c>
      <c r="N2013" s="1" t="str">
        <f>_xlfn.XLOOKUP(M2013,Parâmetros!K:K,Parâmetros!L:L,"")</f>
        <v>CÓDIGO DIFERENTE DO CADASTRADO NO BENNER (CLIENTE X GRUPO)</v>
      </c>
      <c r="O2013" s="1" t="str">
        <f>_xlfn.XLOOKUP(M2013,Parâmetros!B:B,Parâmetros!C:C,_xlfn.XLOOKUP(Base!M1863,Parâmetros!G:G,Parâmetros!H:H))</f>
        <v>QUALIDADE DOS DADOS</v>
      </c>
      <c r="P2013" s="1" t="str">
        <f>_xlfn.XLOOKUP(I2013,Parâmetros!A:A,Parâmetros!D:D,_xlfn.XLOOKUP(Q2013,Parâmetros!F:F,Parâmetros!I:I))</f>
        <v>SUPORTE OBT</v>
      </c>
      <c r="Q2013" s="1">
        <f t="shared" si="63"/>
        <v>1</v>
      </c>
    </row>
    <row r="2014" spans="1:17" x14ac:dyDescent="0.25">
      <c r="A2014" s="1" t="str">
        <f>_xlfn.XLOOKUP(D2014,'Novo relatório'!B:B,'Novo relatório'!C:C,"RESOLVIDO")</f>
        <v>SABRE</v>
      </c>
      <c r="C2014" t="str">
        <f t="shared" si="62"/>
        <v>PENDENTE</v>
      </c>
      <c r="D2014" s="1">
        <v>3446291</v>
      </c>
      <c r="E2014" s="1" t="s">
        <v>26</v>
      </c>
      <c r="F2014" s="2">
        <v>45804.655555555553</v>
      </c>
      <c r="G2014" s="1" t="s">
        <v>2489</v>
      </c>
      <c r="H2014" s="1" t="s">
        <v>2490</v>
      </c>
      <c r="I2014" s="1" t="s">
        <v>64</v>
      </c>
      <c r="J2014" s="2">
        <v>45804.740972222222</v>
      </c>
      <c r="L2014" s="1" t="s">
        <v>1244</v>
      </c>
      <c r="M2014" s="1" t="str">
        <f>_xlfn.XLOOKUP(I2014,Parâmetros!A:A,Parâmetros!B:B,_xlfn.XLOOKUP(Q2014,Parâmetros!F:F,Parâmetros!G:G,"NOVA MENSAGEM"))</f>
        <v>FORMATO DE TEXTO</v>
      </c>
      <c r="N2014" s="1" t="str">
        <f>_xlfn.XLOOKUP(M2014,Parâmetros!K:K,Parâmetros!L:L,"")</f>
        <v>TEXTO FORA DO PADRÃO ACEITO NO CAMPO</v>
      </c>
      <c r="O2014" s="1" t="str">
        <f>_xlfn.XLOOKUP(M2014,Parâmetros!B:B,Parâmetros!C:C,_xlfn.XLOOKUP(Base!M1953,Parâmetros!G:G,Parâmetros!H:H))</f>
        <v>INDEFINIDO</v>
      </c>
      <c r="P2014" s="1" t="str">
        <f>_xlfn.XLOOKUP(I2014,Parâmetros!A:A,Parâmetros!D:D,_xlfn.XLOOKUP(Q2014,Parâmetros!F:F,Parâmetros!I:I))</f>
        <v>SUPORTE OBT</v>
      </c>
      <c r="Q2014" s="1" t="str">
        <f t="shared" si="63"/>
        <v>COLUNA I</v>
      </c>
    </row>
    <row r="2015" spans="1:17" x14ac:dyDescent="0.25">
      <c r="A2015" s="1" t="str">
        <f>_xlfn.XLOOKUP(D2015,'Novo relatório'!B:B,'Novo relatório'!C:C,"RESOLVIDO")</f>
        <v>TMS</v>
      </c>
      <c r="C2015" t="str">
        <f t="shared" si="62"/>
        <v>PENDENTE</v>
      </c>
      <c r="D2015" s="1">
        <v>3446591</v>
      </c>
      <c r="E2015" s="1" t="s">
        <v>12</v>
      </c>
      <c r="F2015" s="2">
        <v>45804.588888888888</v>
      </c>
      <c r="G2015" s="1">
        <v>2435</v>
      </c>
      <c r="H2015" s="1">
        <v>2435</v>
      </c>
      <c r="I2015" s="1" t="s">
        <v>16</v>
      </c>
      <c r="J2015" s="2">
        <v>45804.772222222222</v>
      </c>
      <c r="K2015" s="2">
        <v>45806.503472222219</v>
      </c>
      <c r="L2015" s="1" t="s">
        <v>14</v>
      </c>
      <c r="M2015" s="1" t="str">
        <f>_xlfn.XLOOKUP(I2015,Parâmetros!A:A,Parâmetros!B:B,_xlfn.XLOOKUP(Q2015,Parâmetros!F:F,Parâmetros!G:G,"NOVA MENSAGEM"))</f>
        <v>ASSENTO / BAGAGEM</v>
      </c>
      <c r="N2015" s="1" t="str">
        <f>_xlfn.XLOOKUP(M2015,Parâmetros!K:K,Parâmetros!L:L,"")</f>
        <v>CAMPO OBSERVAÇÃO PREENCHIDO INCORRETAMENTE</v>
      </c>
      <c r="O2015" s="1" t="str">
        <f>_xlfn.XLOOKUP(M2015,Parâmetros!B:B,Parâmetros!C:C,_xlfn.XLOOKUP(Base!M1998,Parâmetros!G:G,Parâmetros!H:H))</f>
        <v>QUALIDADE DOS DADOS</v>
      </c>
      <c r="P2015" s="1" t="str">
        <f>_xlfn.XLOOKUP(I2015,Parâmetros!A:A,Parâmetros!D:D,_xlfn.XLOOKUP(Q2015,Parâmetros!F:F,Parâmetros!I:I))</f>
        <v>OPERAÇÕES / SUPORTE KCS</v>
      </c>
      <c r="Q2015" s="1">
        <f t="shared" si="63"/>
        <v>118</v>
      </c>
    </row>
    <row r="2016" spans="1:17" x14ac:dyDescent="0.25">
      <c r="A2016" s="1" t="str">
        <f>_xlfn.XLOOKUP(D2016,'Novo relatório'!B:B,'Novo relatório'!C:C,"RESOLVIDO")</f>
        <v>TMS</v>
      </c>
      <c r="C2016" t="str">
        <f t="shared" si="62"/>
        <v>PENDENTE</v>
      </c>
      <c r="D2016" s="1">
        <v>3446599</v>
      </c>
      <c r="E2016" s="1" t="s">
        <v>12</v>
      </c>
      <c r="F2016" s="2">
        <v>45804.652777777781</v>
      </c>
      <c r="G2016" s="1">
        <v>44802</v>
      </c>
      <c r="H2016" s="1">
        <v>44802</v>
      </c>
      <c r="I2016" s="1" t="s">
        <v>1367</v>
      </c>
      <c r="J2016" s="2">
        <v>45804.773611111108</v>
      </c>
      <c r="K2016" s="2">
        <v>45806.504166666666</v>
      </c>
      <c r="L2016" s="1" t="s">
        <v>14</v>
      </c>
      <c r="M2016" s="1" t="str">
        <f>_xlfn.XLOOKUP(I2016,Parâmetros!A:A,Parâmetros!B:B,_xlfn.XLOOKUP(Q2016,Parâmetros!F:F,Parâmetros!G:G,"NOVA MENSAGEM"))</f>
        <v>ASSENTO / BAGAGEM</v>
      </c>
      <c r="N2016" s="1" t="str">
        <f>_xlfn.XLOOKUP(M2016,Parâmetros!K:K,Parâmetros!L:L,"")</f>
        <v>CAMPO OBSERVAÇÃO PREENCHIDO INCORRETAMENTE</v>
      </c>
      <c r="O2016" s="1" t="str">
        <f>_xlfn.XLOOKUP(M2016,Parâmetros!B:B,Parâmetros!C:C,_xlfn.XLOOKUP(Base!M2000,Parâmetros!G:G,Parâmetros!H:H))</f>
        <v>QUALIDADE DOS DADOS</v>
      </c>
      <c r="P2016" s="1" t="str">
        <f>_xlfn.XLOOKUP(I2016,Parâmetros!A:A,Parâmetros!D:D,_xlfn.XLOOKUP(Q2016,Parâmetros!F:F,Parâmetros!I:I))</f>
        <v>OPERAÇÕES / SUPORTE KCS</v>
      </c>
      <c r="Q2016" s="1">
        <f t="shared" si="63"/>
        <v>127</v>
      </c>
    </row>
    <row r="2017" spans="1:17" x14ac:dyDescent="0.25">
      <c r="A2017" s="1" t="str">
        <f>_xlfn.XLOOKUP(D2017,'Novo relatório'!B:B,'Novo relatório'!C:C,"RESOLVIDO")</f>
        <v>SABRE</v>
      </c>
      <c r="C2017" t="str">
        <f t="shared" si="62"/>
        <v>PENDENTE</v>
      </c>
      <c r="D2017" s="1">
        <v>3447078</v>
      </c>
      <c r="E2017" s="1" t="s">
        <v>26</v>
      </c>
      <c r="F2017" s="2">
        <v>45804.768750000003</v>
      </c>
      <c r="G2017" s="1" t="s">
        <v>2476</v>
      </c>
      <c r="H2017" s="1" t="s">
        <v>2476</v>
      </c>
      <c r="I2017" s="1" t="s">
        <v>2477</v>
      </c>
      <c r="J2017" s="2">
        <v>45804.855555555558</v>
      </c>
      <c r="L2017" s="1" t="s">
        <v>18</v>
      </c>
      <c r="M2017" s="1" t="str">
        <f>_xlfn.XLOOKUP(I2017,Parâmetros!A:A,Parâmetros!B:B,_xlfn.XLOOKUP(Q2017,Parâmetros!F:F,Parâmetros!G:G,"NOVA MENSAGEM"))</f>
        <v>CÓD. CLIENTE DIVERGENTE</v>
      </c>
      <c r="N2017" s="1" t="str">
        <f>_xlfn.XLOOKUP(M2017,Parâmetros!K:K,Parâmetros!L:L,"")</f>
        <v>CÓDIGO DIFERENTE DO CADASTRADO NO BENNER (CLIENTE X GRUPO)</v>
      </c>
      <c r="O2017" s="1" t="str">
        <f>_xlfn.XLOOKUP(M2017,Parâmetros!B:B,Parâmetros!C:C,_xlfn.XLOOKUP(Base!M1943,Parâmetros!G:G,Parâmetros!H:H))</f>
        <v>QUALIDADE DOS DADOS</v>
      </c>
      <c r="P2017" s="1" t="str">
        <f>_xlfn.XLOOKUP(I2017,Parâmetros!A:A,Parâmetros!D:D,_xlfn.XLOOKUP(Q2017,Parâmetros!F:F,Parâmetros!I:I))</f>
        <v>SUPORTE OBT</v>
      </c>
      <c r="Q2017" s="1">
        <f t="shared" si="63"/>
        <v>1</v>
      </c>
    </row>
    <row r="2018" spans="1:17" x14ac:dyDescent="0.25">
      <c r="A2018" s="1" t="str">
        <f>_xlfn.XLOOKUP(D2018,'Novo relatório'!B:B,'Novo relatório'!C:C,"RESOLVIDO")</f>
        <v>SABRE</v>
      </c>
      <c r="C2018" t="str">
        <f t="shared" si="62"/>
        <v>PENDENTE</v>
      </c>
      <c r="D2018" s="1">
        <v>3447080</v>
      </c>
      <c r="E2018" s="1" t="s">
        <v>26</v>
      </c>
      <c r="F2018" s="2">
        <v>45804.768750000003</v>
      </c>
      <c r="G2018" s="1" t="s">
        <v>2516</v>
      </c>
      <c r="H2018" s="1" t="s">
        <v>2516</v>
      </c>
      <c r="I2018" s="1" t="s">
        <v>83</v>
      </c>
      <c r="J2018" s="2">
        <v>45804.855555555558</v>
      </c>
      <c r="L2018" s="1" t="s">
        <v>18</v>
      </c>
      <c r="M2018" s="1" t="str">
        <f>_xlfn.XLOOKUP(I2018,Parâmetros!A:A,Parâmetros!B:B,_xlfn.XLOOKUP(Q2018,Parâmetros!F:F,Parâmetros!G:G,"NOVA MENSAGEM"))</f>
        <v>CLIENTE NÃO IDENTIFICADO</v>
      </c>
      <c r="N2018" s="1" t="str">
        <f>_xlfn.XLOOKUP(M2018,Parâmetros!K:K,Parâmetros!L:L,"")</f>
        <v>DK DE CLIENTE NÃO PREENCIDO / CLIENTE NÃO CONFIGURADO NO OBT</v>
      </c>
      <c r="O2018" s="1" t="str">
        <f>_xlfn.XLOOKUP(M2018,Parâmetros!B:B,Parâmetros!C:C,_xlfn.XLOOKUP(Base!M1978,Parâmetros!G:G,Parâmetros!H:H))</f>
        <v>INDEFINIDO</v>
      </c>
      <c r="P2018" s="1" t="str">
        <f>_xlfn.XLOOKUP(I2018,Parâmetros!A:A,Parâmetros!D:D,_xlfn.XLOOKUP(Q2018,Parâmetros!F:F,Parâmetros!I:I))</f>
        <v>OPERAÇÕES / SUPORTE KCS</v>
      </c>
      <c r="Q2018" s="1" t="str">
        <f t="shared" si="63"/>
        <v>COLUNA I</v>
      </c>
    </row>
    <row r="2019" spans="1:17" x14ac:dyDescent="0.25">
      <c r="A2019" s="1" t="str">
        <f>_xlfn.XLOOKUP(D2019,'Novo relatório'!B:B,'Novo relatório'!C:C,"RESOLVIDO")</f>
        <v>SABRE</v>
      </c>
      <c r="C2019" t="str">
        <f t="shared" si="62"/>
        <v>PENDENTE</v>
      </c>
      <c r="D2019" s="1">
        <v>3447081</v>
      </c>
      <c r="E2019" s="1" t="s">
        <v>26</v>
      </c>
      <c r="F2019" s="2">
        <v>45804.768750000003</v>
      </c>
      <c r="G2019" s="1" t="s">
        <v>2517</v>
      </c>
      <c r="H2019" s="1" t="s">
        <v>2517</v>
      </c>
      <c r="I2019" s="1" t="s">
        <v>396</v>
      </c>
      <c r="J2019" s="2">
        <v>45804.856249999997</v>
      </c>
      <c r="L2019" s="1" t="s">
        <v>18</v>
      </c>
      <c r="M2019" s="1" t="str">
        <f>_xlfn.XLOOKUP(I2019,Parâmetros!A:A,Parâmetros!B:B,_xlfn.XLOOKUP(Q2019,Parâmetros!F:F,Parâmetros!G:G,"NOVA MENSAGEM"))</f>
        <v>CÓD. CLIENTE DIVERGENTE</v>
      </c>
      <c r="N2019" s="1" t="str">
        <f>_xlfn.XLOOKUP(M2019,Parâmetros!K:K,Parâmetros!L:L,"")</f>
        <v>CÓDIGO DIFERENTE DO CADASTRADO NO BENNER (CLIENTE X GRUPO)</v>
      </c>
      <c r="O2019" s="1" t="str">
        <f>_xlfn.XLOOKUP(M2019,Parâmetros!B:B,Parâmetros!C:C,_xlfn.XLOOKUP(Base!M1979,Parâmetros!G:G,Parâmetros!H:H))</f>
        <v>QUALIDADE DOS DADOS</v>
      </c>
      <c r="P2019" s="1" t="str">
        <f>_xlfn.XLOOKUP(I2019,Parâmetros!A:A,Parâmetros!D:D,_xlfn.XLOOKUP(Q2019,Parâmetros!F:F,Parâmetros!I:I))</f>
        <v>SUPORTE OBT</v>
      </c>
      <c r="Q2019" s="1">
        <f t="shared" si="63"/>
        <v>1</v>
      </c>
    </row>
    <row r="2020" spans="1:17" x14ac:dyDescent="0.25">
      <c r="A2020" s="1" t="str">
        <f>_xlfn.XLOOKUP(D2020,'Novo relatório'!B:B,'Novo relatório'!C:C,"RESOLVIDO")</f>
        <v>SABRE</v>
      </c>
      <c r="C2020" t="str">
        <f t="shared" si="62"/>
        <v>PENDENTE</v>
      </c>
      <c r="D2020" s="1">
        <v>3447083</v>
      </c>
      <c r="E2020" s="1" t="s">
        <v>26</v>
      </c>
      <c r="F2020" s="2">
        <v>45804.768750000003</v>
      </c>
      <c r="G2020" s="1" t="s">
        <v>2526</v>
      </c>
      <c r="H2020" s="1" t="s">
        <v>2526</v>
      </c>
      <c r="I2020" s="1" t="s">
        <v>707</v>
      </c>
      <c r="J2020" s="2">
        <v>45804.856249999997</v>
      </c>
      <c r="L2020" s="1" t="s">
        <v>18</v>
      </c>
      <c r="M2020" s="1" t="str">
        <f>_xlfn.XLOOKUP(I2020,Parâmetros!A:A,Parâmetros!B:B,_xlfn.XLOOKUP(Q2020,Parâmetros!F:F,Parâmetros!G:G,"NOVA MENSAGEM"))</f>
        <v>CÓD. CLIENTE DIVERGENTE</v>
      </c>
      <c r="N2020" s="1" t="str">
        <f>_xlfn.XLOOKUP(M2020,Parâmetros!K:K,Parâmetros!L:L,"")</f>
        <v>CÓDIGO DIFERENTE DO CADASTRADO NO BENNER (CLIENTE X GRUPO)</v>
      </c>
      <c r="O2020" s="1" t="str">
        <f>_xlfn.XLOOKUP(M2020,Parâmetros!B:B,Parâmetros!C:C,_xlfn.XLOOKUP(Base!M1988,Parâmetros!G:G,Parâmetros!H:H))</f>
        <v>QUALIDADE DOS DADOS</v>
      </c>
      <c r="P2020" s="1" t="str">
        <f>_xlfn.XLOOKUP(I2020,Parâmetros!A:A,Parâmetros!D:D,_xlfn.XLOOKUP(Q2020,Parâmetros!F:F,Parâmetros!I:I))</f>
        <v>SUPORTE OBT</v>
      </c>
      <c r="Q2020" s="1">
        <f t="shared" si="63"/>
        <v>1</v>
      </c>
    </row>
    <row r="2021" spans="1:17" x14ac:dyDescent="0.25">
      <c r="A2021" s="1" t="str">
        <f>_xlfn.XLOOKUP(D2021,'Novo relatório'!B:B,'Novo relatório'!C:C,"RESOLVIDO")</f>
        <v>SABRE</v>
      </c>
      <c r="C2021" t="str">
        <f t="shared" si="62"/>
        <v>PENDENTE</v>
      </c>
      <c r="D2021" s="1">
        <v>3447084</v>
      </c>
      <c r="E2021" s="1" t="s">
        <v>26</v>
      </c>
      <c r="F2021" s="2">
        <v>45804.768750000003</v>
      </c>
      <c r="G2021" s="1" t="s">
        <v>2471</v>
      </c>
      <c r="H2021" s="1" t="s">
        <v>2471</v>
      </c>
      <c r="I2021" s="1" t="s">
        <v>707</v>
      </c>
      <c r="J2021" s="2">
        <v>45804.856249999997</v>
      </c>
      <c r="L2021" s="1" t="s">
        <v>18</v>
      </c>
      <c r="M2021" s="1" t="str">
        <f>_xlfn.XLOOKUP(I2021,Parâmetros!A:A,Parâmetros!B:B,_xlfn.XLOOKUP(Q2021,Parâmetros!F:F,Parâmetros!G:G,"NOVA MENSAGEM"))</f>
        <v>CÓD. CLIENTE DIVERGENTE</v>
      </c>
      <c r="N2021" s="1" t="str">
        <f>_xlfn.XLOOKUP(M2021,Parâmetros!K:K,Parâmetros!L:L,"")</f>
        <v>CÓDIGO DIFERENTE DO CADASTRADO NO BENNER (CLIENTE X GRUPO)</v>
      </c>
      <c r="O2021" s="1" t="str">
        <f>_xlfn.XLOOKUP(M2021,Parâmetros!B:B,Parâmetros!C:C,_xlfn.XLOOKUP(Base!M1938,Parâmetros!G:G,Parâmetros!H:H))</f>
        <v>QUALIDADE DOS DADOS</v>
      </c>
      <c r="P2021" s="1" t="str">
        <f>_xlfn.XLOOKUP(I2021,Parâmetros!A:A,Parâmetros!D:D,_xlfn.XLOOKUP(Q2021,Parâmetros!F:F,Parâmetros!I:I))</f>
        <v>SUPORTE OBT</v>
      </c>
      <c r="Q2021" s="1">
        <f t="shared" si="63"/>
        <v>1</v>
      </c>
    </row>
    <row r="2022" spans="1:17" x14ac:dyDescent="0.25">
      <c r="A2022" s="1" t="str">
        <f>_xlfn.XLOOKUP(D2022,'Novo relatório'!B:B,'Novo relatório'!C:C,"RESOLVIDO")</f>
        <v>SABRE</v>
      </c>
      <c r="C2022" t="str">
        <f t="shared" si="62"/>
        <v>PENDENTE</v>
      </c>
      <c r="D2022" s="1">
        <v>3447098</v>
      </c>
      <c r="E2022" s="1" t="s">
        <v>26</v>
      </c>
      <c r="F2022" s="2">
        <v>45804.768750000003</v>
      </c>
      <c r="G2022" s="1" t="s">
        <v>2450</v>
      </c>
      <c r="H2022" s="1" t="s">
        <v>2450</v>
      </c>
      <c r="I2022" s="1" t="s">
        <v>83</v>
      </c>
      <c r="J2022" s="2">
        <v>45804.857638888891</v>
      </c>
      <c r="L2022" s="1" t="s">
        <v>18</v>
      </c>
      <c r="M2022" s="1" t="str">
        <f>_xlfn.XLOOKUP(I2022,Parâmetros!A:A,Parâmetros!B:B,_xlfn.XLOOKUP(Q2022,Parâmetros!F:F,Parâmetros!G:G,"NOVA MENSAGEM"))</f>
        <v>CLIENTE NÃO IDENTIFICADO</v>
      </c>
      <c r="N2022" s="1" t="str">
        <f>_xlfn.XLOOKUP(M2022,Parâmetros!K:K,Parâmetros!L:L,"")</f>
        <v>DK DE CLIENTE NÃO PREENCIDO / CLIENTE NÃO CONFIGURADO NO OBT</v>
      </c>
      <c r="O2022" s="1" t="str">
        <f>_xlfn.XLOOKUP(M2022,Parâmetros!B:B,Parâmetros!C:C,_xlfn.XLOOKUP(Base!M1919,Parâmetros!G:G,Parâmetros!H:H))</f>
        <v>INDEFINIDO</v>
      </c>
      <c r="P2022" s="1" t="str">
        <f>_xlfn.XLOOKUP(I2022,Parâmetros!A:A,Parâmetros!D:D,_xlfn.XLOOKUP(Q2022,Parâmetros!F:F,Parâmetros!I:I))</f>
        <v>OPERAÇÕES / SUPORTE KCS</v>
      </c>
      <c r="Q2022" s="1" t="str">
        <f t="shared" si="63"/>
        <v>COLUNA I</v>
      </c>
    </row>
    <row r="2023" spans="1:17" x14ac:dyDescent="0.25">
      <c r="A2023" s="1" t="str">
        <f>_xlfn.XLOOKUP(D2023,'Novo relatório'!B:B,'Novo relatório'!C:C,"RESOLVIDO")</f>
        <v>SABRE</v>
      </c>
      <c r="C2023" t="str">
        <f t="shared" si="62"/>
        <v>PENDENTE</v>
      </c>
      <c r="D2023" s="1">
        <v>3447992</v>
      </c>
      <c r="E2023" s="1" t="s">
        <v>26</v>
      </c>
      <c r="F2023" s="2">
        <v>45805.647916666669</v>
      </c>
      <c r="G2023" s="1" t="s">
        <v>2402</v>
      </c>
      <c r="H2023" s="1" t="s">
        <v>2402</v>
      </c>
      <c r="I2023" s="1" t="s">
        <v>2403</v>
      </c>
      <c r="J2023" s="2">
        <v>45805.492361111108</v>
      </c>
      <c r="K2023" s="2">
        <v>45805.73333333333</v>
      </c>
      <c r="L2023" s="1" t="s">
        <v>18</v>
      </c>
      <c r="M2023" s="1" t="str">
        <f>_xlfn.XLOOKUP(I2023,Parâmetros!A:A,Parâmetros!B:B,_xlfn.XLOOKUP(Q2023,Parâmetros!F:F,Parâmetros!G:G,"NOVA MENSAGEM"))</f>
        <v>CÓD. CLIENTE DIVERGENTE</v>
      </c>
      <c r="N2023" s="1" t="str">
        <f>_xlfn.XLOOKUP(M2023,Parâmetros!K:K,Parâmetros!L:L,"")</f>
        <v>CÓDIGO DIFERENTE DO CADASTRADO NO BENNER (CLIENTE X GRUPO)</v>
      </c>
      <c r="O2023" s="1" t="str">
        <f>_xlfn.XLOOKUP(M2023,Parâmetros!B:B,Parâmetros!C:C,_xlfn.XLOOKUP(Base!M1881,Parâmetros!G:G,Parâmetros!H:H))</f>
        <v>QUALIDADE DOS DADOS</v>
      </c>
      <c r="P2023" s="1" t="str">
        <f>_xlfn.XLOOKUP(I2023,Parâmetros!A:A,Parâmetros!D:D,_xlfn.XLOOKUP(Q2023,Parâmetros!F:F,Parâmetros!I:I))</f>
        <v>SUPORTE OBT</v>
      </c>
      <c r="Q2023" s="1">
        <f t="shared" si="63"/>
        <v>1</v>
      </c>
    </row>
    <row r="2024" spans="1:17" x14ac:dyDescent="0.25">
      <c r="A2024" s="1" t="str">
        <f>_xlfn.XLOOKUP(D2024,'Novo relatório'!B:B,'Novo relatório'!C:C,"RESOLVIDO")</f>
        <v>TMS</v>
      </c>
      <c r="C2024" t="str">
        <f t="shared" si="62"/>
        <v>PENDENTE</v>
      </c>
      <c r="D2024" s="1">
        <v>3448035</v>
      </c>
      <c r="E2024" s="1" t="s">
        <v>12</v>
      </c>
      <c r="F2024" s="2">
        <v>45805.374305555553</v>
      </c>
      <c r="G2024" s="1">
        <v>12445</v>
      </c>
      <c r="H2024" s="1">
        <v>12445</v>
      </c>
      <c r="I2024" s="1" t="s">
        <v>16</v>
      </c>
      <c r="J2024" s="2">
        <v>45805.49722222222</v>
      </c>
      <c r="K2024" s="2">
        <v>45806.520138888889</v>
      </c>
      <c r="L2024" s="1" t="s">
        <v>14</v>
      </c>
      <c r="M2024" s="1" t="str">
        <f>_xlfn.XLOOKUP(I2024,Parâmetros!A:A,Parâmetros!B:B,_xlfn.XLOOKUP(Q2024,Parâmetros!F:F,Parâmetros!G:G,"NOVA MENSAGEM"))</f>
        <v>ASSENTO / BAGAGEM</v>
      </c>
      <c r="N2024" s="1" t="str">
        <f>_xlfn.XLOOKUP(M2024,Parâmetros!K:K,Parâmetros!L:L,"")</f>
        <v>CAMPO OBSERVAÇÃO PREENCHIDO INCORRETAMENTE</v>
      </c>
      <c r="O2024" s="1" t="str">
        <f>_xlfn.XLOOKUP(M2024,Parâmetros!B:B,Parâmetros!C:C,_xlfn.XLOOKUP(Base!M1992,Parâmetros!G:G,Parâmetros!H:H))</f>
        <v>QUALIDADE DOS DADOS</v>
      </c>
      <c r="P2024" s="1" t="str">
        <f>_xlfn.XLOOKUP(I2024,Parâmetros!A:A,Parâmetros!D:D,_xlfn.XLOOKUP(Q2024,Parâmetros!F:F,Parâmetros!I:I))</f>
        <v>OPERAÇÕES / SUPORTE KCS</v>
      </c>
      <c r="Q2024" s="1">
        <f t="shared" si="63"/>
        <v>118</v>
      </c>
    </row>
    <row r="2025" spans="1:17" x14ac:dyDescent="0.25">
      <c r="A2025" s="1" t="str">
        <f>_xlfn.XLOOKUP(D2025,'Novo relatório'!B:B,'Novo relatório'!C:C,"RESOLVIDO")</f>
        <v>SABRE</v>
      </c>
      <c r="C2025" t="str">
        <f t="shared" si="62"/>
        <v>PENDENTE</v>
      </c>
      <c r="D2025" s="1">
        <v>3448504</v>
      </c>
      <c r="E2025" s="1" t="s">
        <v>26</v>
      </c>
      <c r="F2025" s="2">
        <v>45805.581944444442</v>
      </c>
      <c r="G2025" s="1" t="s">
        <v>2453</v>
      </c>
      <c r="H2025" s="1" t="s">
        <v>2454</v>
      </c>
      <c r="I2025" s="1" t="s">
        <v>64</v>
      </c>
      <c r="J2025" s="2">
        <v>45805.668055555558</v>
      </c>
      <c r="L2025" s="1" t="s">
        <v>1244</v>
      </c>
      <c r="M2025" s="1" t="str">
        <f>_xlfn.XLOOKUP(I2025,Parâmetros!A:A,Parâmetros!B:B,_xlfn.XLOOKUP(Q2025,Parâmetros!F:F,Parâmetros!G:G,"NOVA MENSAGEM"))</f>
        <v>FORMATO DE TEXTO</v>
      </c>
      <c r="N2025" s="1" t="str">
        <f>_xlfn.XLOOKUP(M2025,Parâmetros!K:K,Parâmetros!L:L,"")</f>
        <v>TEXTO FORA DO PADRÃO ACEITO NO CAMPO</v>
      </c>
      <c r="O2025" s="1" t="str">
        <f>_xlfn.XLOOKUP(M2025,Parâmetros!B:B,Parâmetros!C:C,_xlfn.XLOOKUP(Base!M1922,Parâmetros!G:G,Parâmetros!H:H))</f>
        <v>INDEFINIDO</v>
      </c>
      <c r="P2025" s="1" t="str">
        <f>_xlfn.XLOOKUP(I2025,Parâmetros!A:A,Parâmetros!D:D,_xlfn.XLOOKUP(Q2025,Parâmetros!F:F,Parâmetros!I:I))</f>
        <v>SUPORTE OBT</v>
      </c>
      <c r="Q2025" s="1" t="str">
        <f t="shared" si="63"/>
        <v>COLUNA I</v>
      </c>
    </row>
    <row r="2026" spans="1:17" x14ac:dyDescent="0.25">
      <c r="A2026" s="1" t="str">
        <f>_xlfn.XLOOKUP(D2026,'Novo relatório'!B:B,'Novo relatório'!C:C,"RESOLVIDO")</f>
        <v>SABRE</v>
      </c>
      <c r="C2026" t="str">
        <f t="shared" si="62"/>
        <v>PENDENTE</v>
      </c>
      <c r="D2026" s="1">
        <v>3448986</v>
      </c>
      <c r="E2026" s="1" t="s">
        <v>26</v>
      </c>
      <c r="F2026" s="2">
        <v>45805.702777777777</v>
      </c>
      <c r="G2026" s="1" t="s">
        <v>2379</v>
      </c>
      <c r="H2026" s="1" t="s">
        <v>2379</v>
      </c>
      <c r="I2026" s="1" t="s">
        <v>707</v>
      </c>
      <c r="J2026" s="2">
        <v>45805.740972222222</v>
      </c>
      <c r="K2026" s="2">
        <v>45805.796527777777</v>
      </c>
      <c r="L2026" s="1" t="s">
        <v>18</v>
      </c>
      <c r="M2026" s="1" t="str">
        <f>_xlfn.XLOOKUP(I2026,Parâmetros!A:A,Parâmetros!B:B,_xlfn.XLOOKUP(Q2026,Parâmetros!F:F,Parâmetros!G:G,"NOVA MENSAGEM"))</f>
        <v>CÓD. CLIENTE DIVERGENTE</v>
      </c>
      <c r="N2026" s="1" t="str">
        <f>_xlfn.XLOOKUP(M2026,Parâmetros!K:K,Parâmetros!L:L,"")</f>
        <v>CÓDIGO DIFERENTE DO CADASTRADO NO BENNER (CLIENTE X GRUPO)</v>
      </c>
      <c r="O2026" s="1" t="str">
        <f>_xlfn.XLOOKUP(M2026,Parâmetros!B:B,Parâmetros!C:C,_xlfn.XLOOKUP(Base!M1861,Parâmetros!G:G,Parâmetros!H:H))</f>
        <v>QUALIDADE DOS DADOS</v>
      </c>
      <c r="P2026" s="1" t="str">
        <f>_xlfn.XLOOKUP(I2026,Parâmetros!A:A,Parâmetros!D:D,_xlfn.XLOOKUP(Q2026,Parâmetros!F:F,Parâmetros!I:I))</f>
        <v>SUPORTE OBT</v>
      </c>
      <c r="Q2026" s="1">
        <f t="shared" si="63"/>
        <v>1</v>
      </c>
    </row>
    <row r="2027" spans="1:17" x14ac:dyDescent="0.25">
      <c r="A2027" s="1" t="str">
        <f>_xlfn.XLOOKUP(D2027,'Novo relatório'!B:B,'Novo relatório'!C:C,"RESOLVIDO")</f>
        <v>SABRE</v>
      </c>
      <c r="C2027" t="str">
        <f t="shared" si="62"/>
        <v>PENDENTE</v>
      </c>
      <c r="D2027" s="1">
        <v>3449627</v>
      </c>
      <c r="E2027" s="1" t="s">
        <v>26</v>
      </c>
      <c r="F2027" s="2">
        <v>45805.702777777777</v>
      </c>
      <c r="G2027" s="1" t="s">
        <v>2470</v>
      </c>
      <c r="H2027" s="1" t="s">
        <v>2470</v>
      </c>
      <c r="I2027" s="1" t="s">
        <v>404</v>
      </c>
      <c r="J2027" s="2">
        <v>45805.793749999997</v>
      </c>
      <c r="L2027" s="1" t="s">
        <v>18</v>
      </c>
      <c r="M2027" s="1" t="str">
        <f>_xlfn.XLOOKUP(I2027,Parâmetros!A:A,Parâmetros!B:B,_xlfn.XLOOKUP(Q2027,Parâmetros!F:F,Parâmetros!G:G,"NOVA MENSAGEM"))</f>
        <v>CÓD. CLIENTE DIVERGENTE</v>
      </c>
      <c r="N2027" s="1" t="str">
        <f>_xlfn.XLOOKUP(M2027,Parâmetros!K:K,Parâmetros!L:L,"")</f>
        <v>CÓDIGO DIFERENTE DO CADASTRADO NO BENNER (CLIENTE X GRUPO)</v>
      </c>
      <c r="O2027" s="1" t="str">
        <f>_xlfn.XLOOKUP(M2027,Parâmetros!B:B,Parâmetros!C:C,_xlfn.XLOOKUP(Base!M1937,Parâmetros!G:G,Parâmetros!H:H))</f>
        <v>QUALIDADE DOS DADOS</v>
      </c>
      <c r="P2027" s="1" t="str">
        <f>_xlfn.XLOOKUP(I2027,Parâmetros!A:A,Parâmetros!D:D,_xlfn.XLOOKUP(Q2027,Parâmetros!F:F,Parâmetros!I:I))</f>
        <v>SUPORTE OBT</v>
      </c>
      <c r="Q2027" s="1">
        <f t="shared" si="63"/>
        <v>1</v>
      </c>
    </row>
    <row r="2028" spans="1:17" x14ac:dyDescent="0.25">
      <c r="A2028" s="1" t="str">
        <f>_xlfn.XLOOKUP(D2028,'Novo relatório'!B:B,'Novo relatório'!C:C,"RESOLVIDO")</f>
        <v>SABRE</v>
      </c>
      <c r="C2028" t="str">
        <f t="shared" si="62"/>
        <v>PENDENTE</v>
      </c>
      <c r="D2028" s="1">
        <v>3449672</v>
      </c>
      <c r="E2028" s="1" t="s">
        <v>26</v>
      </c>
      <c r="F2028" s="2">
        <v>45805.702777777777</v>
      </c>
      <c r="G2028" s="1" t="s">
        <v>2465</v>
      </c>
      <c r="H2028" s="1" t="s">
        <v>2465</v>
      </c>
      <c r="I2028" s="1" t="s">
        <v>621</v>
      </c>
      <c r="J2028" s="2">
        <v>45805.796527777777</v>
      </c>
      <c r="L2028" s="1" t="s">
        <v>18</v>
      </c>
      <c r="M2028" s="1" t="str">
        <f>_xlfn.XLOOKUP(I2028,Parâmetros!A:A,Parâmetros!B:B,_xlfn.XLOOKUP(Q2028,Parâmetros!F:F,Parâmetros!G:G,"NOVA MENSAGEM"))</f>
        <v>REMARK - CNPJ</v>
      </c>
      <c r="N2028" s="1" t="str">
        <f>_xlfn.XLOOKUP(M2028,Parâmetros!K:K,Parâmetros!L:L,"")</f>
        <v/>
      </c>
      <c r="O2028" s="1" t="str">
        <f>_xlfn.XLOOKUP(M2028,Parâmetros!B:B,Parâmetros!C:C,_xlfn.XLOOKUP(Base!M1932,Parâmetros!G:G,Parâmetros!H:H))</f>
        <v>QUALIDADE DOS DADOS</v>
      </c>
      <c r="P2028" s="1" t="str">
        <f>_xlfn.XLOOKUP(I2028,Parâmetros!A:A,Parâmetros!D:D,_xlfn.XLOOKUP(Q2028,Parâmetros!F:F,Parâmetros!I:I))</f>
        <v>OPERAÇÕES / SUPORTE KCS</v>
      </c>
      <c r="Q2028" s="1">
        <f t="shared" si="63"/>
        <v>24</v>
      </c>
    </row>
    <row r="2029" spans="1:17" x14ac:dyDescent="0.25">
      <c r="A2029" s="1" t="str">
        <f>_xlfn.XLOOKUP(D2029,'Novo relatório'!B:B,'Novo relatório'!C:C,"RESOLVIDO")</f>
        <v>SABRE</v>
      </c>
      <c r="C2029" t="str">
        <f t="shared" si="62"/>
        <v>PENDENTE</v>
      </c>
      <c r="D2029" s="1">
        <v>3449681</v>
      </c>
      <c r="E2029" s="1" t="s">
        <v>26</v>
      </c>
      <c r="F2029" s="2">
        <v>45805.760416666664</v>
      </c>
      <c r="G2029" s="1" t="s">
        <v>2491</v>
      </c>
      <c r="H2029" s="1" t="s">
        <v>2491</v>
      </c>
      <c r="I2029" s="1" t="s">
        <v>746</v>
      </c>
      <c r="J2029" s="2">
        <v>45805.797222222223</v>
      </c>
      <c r="K2029" s="2">
        <v>45805.845138888886</v>
      </c>
      <c r="L2029" s="1" t="s">
        <v>18</v>
      </c>
      <c r="M2029" s="1" t="str">
        <f>_xlfn.XLOOKUP(I2029,Parâmetros!A:A,Parâmetros!B:B,_xlfn.XLOOKUP(Q2029,Parâmetros!F:F,Parâmetros!G:G,"NOVA MENSAGEM"))</f>
        <v>CÓD. CLIENTE DIVERGENTE</v>
      </c>
      <c r="N2029" s="1" t="str">
        <f>_xlfn.XLOOKUP(M2029,Parâmetros!K:K,Parâmetros!L:L,"")</f>
        <v>CÓDIGO DIFERENTE DO CADASTRADO NO BENNER (CLIENTE X GRUPO)</v>
      </c>
      <c r="O2029" s="1" t="str">
        <f>_xlfn.XLOOKUP(M2029,Parâmetros!B:B,Parâmetros!C:C,_xlfn.XLOOKUP(Base!M1954,Parâmetros!G:G,Parâmetros!H:H))</f>
        <v>QUALIDADE DOS DADOS</v>
      </c>
      <c r="P2029" s="1" t="str">
        <f>_xlfn.XLOOKUP(I2029,Parâmetros!A:A,Parâmetros!D:D,_xlfn.XLOOKUP(Q2029,Parâmetros!F:F,Parâmetros!I:I))</f>
        <v>SUPORTE OBT</v>
      </c>
      <c r="Q2029" s="1">
        <f t="shared" si="63"/>
        <v>1</v>
      </c>
    </row>
    <row r="2030" spans="1:17" x14ac:dyDescent="0.25">
      <c r="A2030" s="1" t="str">
        <f>_xlfn.XLOOKUP(D2030,'Novo relatório'!B:B,'Novo relatório'!C:C,"RESOLVIDO")</f>
        <v>SABRE</v>
      </c>
      <c r="C2030" t="str">
        <f t="shared" si="62"/>
        <v>PENDENTE</v>
      </c>
      <c r="D2030" s="1">
        <v>3449685</v>
      </c>
      <c r="E2030" s="1" t="s">
        <v>26</v>
      </c>
      <c r="F2030" s="2">
        <v>45805.702777777777</v>
      </c>
      <c r="G2030" s="1" t="s">
        <v>2501</v>
      </c>
      <c r="H2030" s="1" t="s">
        <v>2501</v>
      </c>
      <c r="I2030" s="1" t="s">
        <v>83</v>
      </c>
      <c r="J2030" s="2">
        <v>45805.797222222223</v>
      </c>
      <c r="L2030" s="1" t="s">
        <v>18</v>
      </c>
      <c r="M2030" s="1" t="str">
        <f>_xlfn.XLOOKUP(I2030,Parâmetros!A:A,Parâmetros!B:B,_xlfn.XLOOKUP(Q2030,Parâmetros!F:F,Parâmetros!G:G,"NOVA MENSAGEM"))</f>
        <v>CLIENTE NÃO IDENTIFICADO</v>
      </c>
      <c r="N2030" s="1" t="str">
        <f>_xlfn.XLOOKUP(M2030,Parâmetros!K:K,Parâmetros!L:L,"")</f>
        <v>DK DE CLIENTE NÃO PREENCIDO / CLIENTE NÃO CONFIGURADO NO OBT</v>
      </c>
      <c r="O2030" s="1" t="str">
        <f>_xlfn.XLOOKUP(M2030,Parâmetros!B:B,Parâmetros!C:C,_xlfn.XLOOKUP(Base!M1963,Parâmetros!G:G,Parâmetros!H:H))</f>
        <v>INDEFINIDO</v>
      </c>
      <c r="P2030" s="1" t="str">
        <f>_xlfn.XLOOKUP(I2030,Parâmetros!A:A,Parâmetros!D:D,_xlfn.XLOOKUP(Q2030,Parâmetros!F:F,Parâmetros!I:I))</f>
        <v>OPERAÇÕES / SUPORTE KCS</v>
      </c>
      <c r="Q2030" s="1" t="str">
        <f t="shared" si="63"/>
        <v>COLUNA I</v>
      </c>
    </row>
    <row r="2031" spans="1:17" x14ac:dyDescent="0.25">
      <c r="A2031" s="1" t="str">
        <f>_xlfn.XLOOKUP(D2031,'Novo relatório'!B:B,'Novo relatório'!C:C,"RESOLVIDO")</f>
        <v>TMS</v>
      </c>
      <c r="C2031" t="str">
        <f t="shared" si="62"/>
        <v>PENDENTE</v>
      </c>
      <c r="D2031" s="1">
        <v>3449821</v>
      </c>
      <c r="E2031" s="1" t="s">
        <v>12</v>
      </c>
      <c r="F2031" s="2">
        <v>45805.620833333334</v>
      </c>
      <c r="G2031" s="1">
        <v>7165</v>
      </c>
      <c r="H2031" s="1">
        <v>7165</v>
      </c>
      <c r="I2031" s="1" t="s">
        <v>2134</v>
      </c>
      <c r="J2031" s="2">
        <v>45805.809027777781</v>
      </c>
      <c r="K2031" s="2">
        <v>45806.536805555559</v>
      </c>
      <c r="L2031" s="1" t="s">
        <v>14</v>
      </c>
      <c r="M2031" s="1" t="str">
        <f>_xlfn.XLOOKUP(I2031,Parâmetros!A:A,Parâmetros!B:B,_xlfn.XLOOKUP(Q2031,Parâmetros!F:F,Parâmetros!G:G,"NOVA MENSAGEM"))</f>
        <v>NOVA MENSAGEM</v>
      </c>
      <c r="N2031" s="1" t="str">
        <f>_xlfn.XLOOKUP(M2031,Parâmetros!K:K,Parâmetros!L:L,"")</f>
        <v/>
      </c>
      <c r="O2031" s="1" t="str">
        <f>_xlfn.XLOOKUP(M2031,Parâmetros!B:B,Parâmetros!C:C,_xlfn.XLOOKUP(Base!M2023,Parâmetros!G:G,Parâmetros!H:H))</f>
        <v>QUALIDADE DOS DADOS</v>
      </c>
      <c r="P2031" s="1" t="e">
        <f>_xlfn.XLOOKUP(I2031,Parâmetros!A:A,Parâmetros!D:D,_xlfn.XLOOKUP(Q2031,Parâmetros!F:F,Parâmetros!I:I))</f>
        <v>#N/A</v>
      </c>
      <c r="Q2031" s="1" t="str">
        <f t="shared" si="63"/>
        <v>COLUNA I</v>
      </c>
    </row>
    <row r="2032" spans="1:17" x14ac:dyDescent="0.25">
      <c r="A2032" s="1" t="str">
        <f>_xlfn.XLOOKUP(D2032,'Novo relatório'!B:B,'Novo relatório'!C:C,"RESOLVIDO")</f>
        <v>SABRE</v>
      </c>
      <c r="C2032" t="str">
        <f t="shared" si="62"/>
        <v>PENDENTE</v>
      </c>
      <c r="D2032" s="1">
        <v>3449908</v>
      </c>
      <c r="E2032" s="1" t="s">
        <v>26</v>
      </c>
      <c r="F2032" s="2">
        <v>45805.755555555559</v>
      </c>
      <c r="G2032" s="1" t="s">
        <v>2372</v>
      </c>
      <c r="H2032" s="1" t="s">
        <v>2372</v>
      </c>
      <c r="I2032" s="1" t="s">
        <v>707</v>
      </c>
      <c r="J2032" s="2">
        <v>45805.845138888886</v>
      </c>
      <c r="L2032" s="1" t="s">
        <v>18</v>
      </c>
      <c r="M2032" s="1" t="str">
        <f>_xlfn.XLOOKUP(I2032,Parâmetros!A:A,Parâmetros!B:B,_xlfn.XLOOKUP(Q2032,Parâmetros!F:F,Parâmetros!G:G,"NOVA MENSAGEM"))</f>
        <v>CÓD. CLIENTE DIVERGENTE</v>
      </c>
      <c r="N2032" s="1" t="str">
        <f>_xlfn.XLOOKUP(M2032,Parâmetros!K:K,Parâmetros!L:L,"")</f>
        <v>CÓDIGO DIFERENTE DO CADASTRADO NO BENNER (CLIENTE X GRUPO)</v>
      </c>
      <c r="O2032" s="1" t="str">
        <f>_xlfn.XLOOKUP(M2032,Parâmetros!B:B,Parâmetros!C:C,_xlfn.XLOOKUP(Base!M1855,Parâmetros!G:G,Parâmetros!H:H))</f>
        <v>QUALIDADE DOS DADOS</v>
      </c>
      <c r="P2032" s="1" t="str">
        <f>_xlfn.XLOOKUP(I2032,Parâmetros!A:A,Parâmetros!D:D,_xlfn.XLOOKUP(Q2032,Parâmetros!F:F,Parâmetros!I:I))</f>
        <v>SUPORTE OBT</v>
      </c>
      <c r="Q2032" s="1">
        <f t="shared" si="63"/>
        <v>1</v>
      </c>
    </row>
    <row r="2033" spans="1:17" x14ac:dyDescent="0.25">
      <c r="A2033" s="1" t="str">
        <f>_xlfn.XLOOKUP(D2033,'Novo relatório'!B:B,'Novo relatório'!C:C,"RESOLVIDO")</f>
        <v>SABRE</v>
      </c>
      <c r="C2033" t="str">
        <f t="shared" si="62"/>
        <v>PENDENTE</v>
      </c>
      <c r="D2033" s="1">
        <v>3449909</v>
      </c>
      <c r="E2033" s="1" t="s">
        <v>26</v>
      </c>
      <c r="F2033" s="2">
        <v>45805.755555555559</v>
      </c>
      <c r="G2033" s="1" t="s">
        <v>2509</v>
      </c>
      <c r="H2033" s="1" t="s">
        <v>2509</v>
      </c>
      <c r="I2033" s="1" t="s">
        <v>83</v>
      </c>
      <c r="J2033" s="2">
        <v>45805.845138888886</v>
      </c>
      <c r="L2033" s="1" t="s">
        <v>18</v>
      </c>
      <c r="M2033" s="1" t="str">
        <f>_xlfn.XLOOKUP(I2033,Parâmetros!A:A,Parâmetros!B:B,_xlfn.XLOOKUP(Q2033,Parâmetros!F:F,Parâmetros!G:G,"NOVA MENSAGEM"))</f>
        <v>CLIENTE NÃO IDENTIFICADO</v>
      </c>
      <c r="N2033" s="1" t="str">
        <f>_xlfn.XLOOKUP(M2033,Parâmetros!K:K,Parâmetros!L:L,"")</f>
        <v>DK DE CLIENTE NÃO PREENCIDO / CLIENTE NÃO CONFIGURADO NO OBT</v>
      </c>
      <c r="O2033" s="1" t="str">
        <f>_xlfn.XLOOKUP(M2033,Parâmetros!B:B,Parâmetros!C:C,_xlfn.XLOOKUP(Base!M1971,Parâmetros!G:G,Parâmetros!H:H))</f>
        <v>INDEFINIDO</v>
      </c>
      <c r="P2033" s="1" t="str">
        <f>_xlfn.XLOOKUP(I2033,Parâmetros!A:A,Parâmetros!D:D,_xlfn.XLOOKUP(Q2033,Parâmetros!F:F,Parâmetros!I:I))</f>
        <v>OPERAÇÕES / SUPORTE KCS</v>
      </c>
      <c r="Q2033" s="1" t="str">
        <f t="shared" si="63"/>
        <v>COLUNA I</v>
      </c>
    </row>
    <row r="2034" spans="1:17" x14ac:dyDescent="0.25">
      <c r="A2034" s="1" t="str">
        <f>_xlfn.XLOOKUP(D2034,'Novo relatório'!B:B,'Novo relatório'!C:C,"RESOLVIDO")</f>
        <v>SABRE</v>
      </c>
      <c r="C2034" t="str">
        <f t="shared" si="62"/>
        <v>PENDENTE</v>
      </c>
      <c r="D2034" s="1">
        <v>3450420</v>
      </c>
      <c r="E2034" s="1" t="s">
        <v>26</v>
      </c>
      <c r="F2034" s="2">
        <v>45806.443749999999</v>
      </c>
      <c r="G2034" s="1" t="s">
        <v>2439</v>
      </c>
      <c r="H2034" s="1" t="s">
        <v>2439</v>
      </c>
      <c r="I2034" s="1" t="s">
        <v>746</v>
      </c>
      <c r="J2034" s="2">
        <v>45806.460416666669</v>
      </c>
      <c r="K2034" s="2">
        <v>45806.532638888886</v>
      </c>
      <c r="L2034" s="1" t="s">
        <v>18</v>
      </c>
      <c r="M2034" s="1" t="str">
        <f>_xlfn.XLOOKUP(I2034,Parâmetros!A:A,Parâmetros!B:B,_xlfn.XLOOKUP(Q2034,Parâmetros!F:F,Parâmetros!G:G,"NOVA MENSAGEM"))</f>
        <v>CÓD. CLIENTE DIVERGENTE</v>
      </c>
      <c r="N2034" s="1" t="str">
        <f>_xlfn.XLOOKUP(M2034,Parâmetros!K:K,Parâmetros!L:L,"")</f>
        <v>CÓDIGO DIFERENTE DO CADASTRADO NO BENNER (CLIENTE X GRUPO)</v>
      </c>
      <c r="O2034" s="1" t="str">
        <f>_xlfn.XLOOKUP(M2034,Parâmetros!B:B,Parâmetros!C:C,_xlfn.XLOOKUP(Base!M1908,Parâmetros!G:G,Parâmetros!H:H))</f>
        <v>QUALIDADE DOS DADOS</v>
      </c>
      <c r="P2034" s="1" t="str">
        <f>_xlfn.XLOOKUP(I2034,Parâmetros!A:A,Parâmetros!D:D,_xlfn.XLOOKUP(Q2034,Parâmetros!F:F,Parâmetros!I:I))</f>
        <v>SUPORTE OBT</v>
      </c>
      <c r="Q2034" s="1">
        <f t="shared" si="63"/>
        <v>1</v>
      </c>
    </row>
    <row r="2035" spans="1:17" x14ac:dyDescent="0.25">
      <c r="A2035" s="1" t="str">
        <f>_xlfn.XLOOKUP(D2035,'Novo relatório'!B:B,'Novo relatório'!C:C,"RESOLVIDO")</f>
        <v>RESOLVIDO</v>
      </c>
      <c r="C2035" t="str">
        <f t="shared" si="62"/>
        <v>RESOLVIDO</v>
      </c>
      <c r="D2035" s="1">
        <v>3450728</v>
      </c>
      <c r="E2035" s="1" t="s">
        <v>12</v>
      </c>
      <c r="F2035" s="2">
        <v>45806.374305555553</v>
      </c>
      <c r="G2035" s="1">
        <v>4737</v>
      </c>
      <c r="H2035" s="1">
        <v>4737</v>
      </c>
      <c r="I2035" s="1" t="s">
        <v>927</v>
      </c>
      <c r="J2035" s="2">
        <v>45806.504166666666</v>
      </c>
      <c r="L2035" s="1" t="s">
        <v>19</v>
      </c>
      <c r="M2035" s="1" t="str">
        <f>_xlfn.XLOOKUP(I2035,Parâmetros!A:A,Parâmetros!B:B,_xlfn.XLOOKUP(Q2035,Parâmetros!F:F,Parâmetros!G:G,"NOVA MENSAGEM"))</f>
        <v>CONTRATO FORNECEDOR</v>
      </c>
      <c r="N2035" s="1" t="str">
        <f>_xlfn.XLOOKUP(M2035,Parâmetros!K:K,Parâmetros!L:L,"")</f>
        <v>CONTRATO INATIVO OU DIVERGENTE</v>
      </c>
      <c r="O2035" s="1" t="str">
        <f>_xlfn.XLOOKUP(M2035,Parâmetros!B:B,Parâmetros!C:C,_xlfn.XLOOKUP(Base!M2005,Parâmetros!G:G,Parâmetros!H:H))</f>
        <v>SISTEMA</v>
      </c>
      <c r="P2035" s="1" t="str">
        <f>_xlfn.XLOOKUP(I2035,Parâmetros!A:A,Parâmetros!D:D,_xlfn.XLOOKUP(Q2035,Parâmetros!F:F,Parâmetros!I:I))</f>
        <v>OPERAÇÕES / SUPORTE KCS</v>
      </c>
      <c r="Q2035" s="1">
        <f t="shared" si="63"/>
        <v>69</v>
      </c>
    </row>
    <row r="2036" spans="1:17" x14ac:dyDescent="0.25">
      <c r="A2036" s="1" t="str">
        <f>_xlfn.XLOOKUP(D2036,'Novo relatório'!B:B,'Novo relatório'!C:C,"RESOLVIDO")</f>
        <v>RESOLVIDO</v>
      </c>
      <c r="C2036" t="str">
        <f t="shared" si="62"/>
        <v>RESOLVIDO</v>
      </c>
      <c r="D2036" s="1">
        <v>3450849</v>
      </c>
      <c r="E2036" s="1" t="s">
        <v>12</v>
      </c>
      <c r="F2036" s="2">
        <v>45806.430555555555</v>
      </c>
      <c r="G2036" s="1">
        <v>64940</v>
      </c>
      <c r="H2036" s="1">
        <v>64940</v>
      </c>
      <c r="I2036" s="1" t="s">
        <v>2274</v>
      </c>
      <c r="J2036" s="2">
        <v>45806.518750000003</v>
      </c>
      <c r="L2036" s="1" t="s">
        <v>19</v>
      </c>
      <c r="M2036" s="1" t="str">
        <f>_xlfn.XLOOKUP(I2036,Parâmetros!A:A,Parâmetros!B:B,_xlfn.XLOOKUP(Q2036,Parâmetros!F:F,Parâmetros!G:G,"NOVA MENSAGEM"))</f>
        <v>CONTRATO FORNECEDOR</v>
      </c>
      <c r="N2036" s="1" t="str">
        <f>_xlfn.XLOOKUP(M2036,Parâmetros!K:K,Parâmetros!L:L,"")</f>
        <v>CONTRATO INATIVO OU DIVERGENTE</v>
      </c>
      <c r="O2036" s="1" t="str">
        <f>_xlfn.XLOOKUP(M2036,Parâmetros!B:B,Parâmetros!C:C,_xlfn.XLOOKUP(Base!M2008,Parâmetros!G:G,Parâmetros!H:H))</f>
        <v>SISTEMA</v>
      </c>
      <c r="P2036" s="1" t="str">
        <f>_xlfn.XLOOKUP(I2036,Parâmetros!A:A,Parâmetros!D:D,_xlfn.XLOOKUP(Q2036,Parâmetros!F:F,Parâmetros!I:I))</f>
        <v>OPERAÇÕES / SUPORTE KCS</v>
      </c>
      <c r="Q2036" s="1">
        <f t="shared" si="63"/>
        <v>69</v>
      </c>
    </row>
    <row r="2037" spans="1:17" x14ac:dyDescent="0.25">
      <c r="A2037" s="1" t="str">
        <f>_xlfn.XLOOKUP(D2037,'Novo relatório'!B:B,'Novo relatório'!C:C,"RESOLVIDO")</f>
        <v>SABRE</v>
      </c>
      <c r="C2037" t="str">
        <f t="shared" si="62"/>
        <v>PENDENTE</v>
      </c>
      <c r="D2037" s="1">
        <v>3450939</v>
      </c>
      <c r="E2037" s="1" t="s">
        <v>26</v>
      </c>
      <c r="F2037" s="2">
        <v>45806.443749999999</v>
      </c>
      <c r="G2037" s="1" t="s">
        <v>2483</v>
      </c>
      <c r="H2037" s="1" t="s">
        <v>2483</v>
      </c>
      <c r="I2037" s="1" t="s">
        <v>621</v>
      </c>
      <c r="J2037" s="2">
        <v>45806.53402777778</v>
      </c>
      <c r="L2037" s="1" t="s">
        <v>18</v>
      </c>
      <c r="M2037" s="1" t="str">
        <f>_xlfn.XLOOKUP(I2037,Parâmetros!A:A,Parâmetros!B:B,_xlfn.XLOOKUP(Q2037,Parâmetros!F:F,Parâmetros!G:G,"NOVA MENSAGEM"))</f>
        <v>REMARK - CNPJ</v>
      </c>
      <c r="N2037" s="1" t="str">
        <f>_xlfn.XLOOKUP(M2037,Parâmetros!K:K,Parâmetros!L:L,"")</f>
        <v/>
      </c>
      <c r="O2037" s="1" t="str">
        <f>_xlfn.XLOOKUP(M2037,Parâmetros!B:B,Parâmetros!C:C,_xlfn.XLOOKUP(Base!M1947,Parâmetros!G:G,Parâmetros!H:H))</f>
        <v>QUALIDADE DOS DADOS</v>
      </c>
      <c r="P2037" s="1" t="str">
        <f>_xlfn.XLOOKUP(I2037,Parâmetros!A:A,Parâmetros!D:D,_xlfn.XLOOKUP(Q2037,Parâmetros!F:F,Parâmetros!I:I))</f>
        <v>OPERAÇÕES / SUPORTE KCS</v>
      </c>
      <c r="Q2037" s="1">
        <f t="shared" si="63"/>
        <v>24</v>
      </c>
    </row>
    <row r="2038" spans="1:17" x14ac:dyDescent="0.25">
      <c r="A2038" s="1" t="str">
        <f>_xlfn.XLOOKUP(D2038,'Novo relatório'!B:B,'Novo relatório'!C:C,"RESOLVIDO")</f>
        <v>SABRE</v>
      </c>
      <c r="C2038" t="str">
        <f t="shared" si="62"/>
        <v>PENDENTE</v>
      </c>
      <c r="D2038" s="1">
        <v>3451105</v>
      </c>
      <c r="E2038" s="1" t="s">
        <v>26</v>
      </c>
      <c r="F2038" s="2">
        <v>45806.531944444447</v>
      </c>
      <c r="G2038" s="1" t="s">
        <v>2487</v>
      </c>
      <c r="H2038" s="1" t="s">
        <v>2487</v>
      </c>
      <c r="I2038" s="1" t="s">
        <v>652</v>
      </c>
      <c r="J2038" s="2">
        <v>45806.615972222222</v>
      </c>
      <c r="L2038" s="1" t="s">
        <v>18</v>
      </c>
      <c r="M2038" s="1" t="str">
        <f>_xlfn.XLOOKUP(I2038,Parâmetros!A:A,Parâmetros!B:B,_xlfn.XLOOKUP(Q2038,Parâmetros!F:F,Parâmetros!G:G,"NOVA MENSAGEM"))</f>
        <v>CÓD. CLIENTE DIVERGENTE</v>
      </c>
      <c r="N2038" s="1" t="str">
        <f>_xlfn.XLOOKUP(M2038,Parâmetros!K:K,Parâmetros!L:L,"")</f>
        <v>CÓDIGO DIFERENTE DO CADASTRADO NO BENNER (CLIENTE X GRUPO)</v>
      </c>
      <c r="O2038" s="1" t="str">
        <f>_xlfn.XLOOKUP(M2038,Parâmetros!B:B,Parâmetros!C:C,_xlfn.XLOOKUP(Base!M1951,Parâmetros!G:G,Parâmetros!H:H))</f>
        <v>QUALIDADE DOS DADOS</v>
      </c>
      <c r="P2038" s="1" t="str">
        <f>_xlfn.XLOOKUP(I2038,Parâmetros!A:A,Parâmetros!D:D,_xlfn.XLOOKUP(Q2038,Parâmetros!F:F,Parâmetros!I:I))</f>
        <v>SUPORTE OBT</v>
      </c>
      <c r="Q2038" s="1">
        <f t="shared" si="63"/>
        <v>1</v>
      </c>
    </row>
    <row r="2039" spans="1:17" x14ac:dyDescent="0.25">
      <c r="A2039" s="1" t="str">
        <f>_xlfn.XLOOKUP(D2039,'Novo relatório'!B:B,'Novo relatório'!C:C,"RESOLVIDO")</f>
        <v>SABRE</v>
      </c>
      <c r="C2039" t="str">
        <f t="shared" si="62"/>
        <v>PENDENTE</v>
      </c>
      <c r="D2039" s="1">
        <v>3451269</v>
      </c>
      <c r="E2039" s="1" t="s">
        <v>26</v>
      </c>
      <c r="F2039" s="2">
        <v>45806.617361111108</v>
      </c>
      <c r="G2039" s="1" t="s">
        <v>2546</v>
      </c>
      <c r="H2039" s="1" t="s">
        <v>2546</v>
      </c>
      <c r="I2039" s="1" t="s">
        <v>620</v>
      </c>
      <c r="J2039" s="2">
        <v>45806.710416666669</v>
      </c>
      <c r="L2039" s="1" t="s">
        <v>18</v>
      </c>
      <c r="M2039" s="1" t="str">
        <f>_xlfn.XLOOKUP(I2039,Parâmetros!A:A,Parâmetros!B:B,_xlfn.XLOOKUP(Q2039,Parâmetros!F:F,Parâmetros!G:G,"NOVA MENSAGEM"))</f>
        <v>CÓD. CLIENTE DIVERGENTE</v>
      </c>
      <c r="N2039" s="1" t="str">
        <f>_xlfn.XLOOKUP(M2039,Parâmetros!K:K,Parâmetros!L:L,"")</f>
        <v>CÓDIGO DIFERENTE DO CADASTRADO NO BENNER (CLIENTE X GRUPO)</v>
      </c>
      <c r="O2039" s="1" t="str">
        <f>_xlfn.XLOOKUP(M2039,Parâmetros!B:B,Parâmetros!C:C,_xlfn.XLOOKUP(Base!M2027,Parâmetros!G:G,Parâmetros!H:H))</f>
        <v>QUALIDADE DOS DADOS</v>
      </c>
      <c r="P2039" s="1" t="str">
        <f>_xlfn.XLOOKUP(I2039,Parâmetros!A:A,Parâmetros!D:D,_xlfn.XLOOKUP(Q2039,Parâmetros!F:F,Parâmetros!I:I))</f>
        <v>SUPORTE OBT</v>
      </c>
      <c r="Q2039" s="1">
        <f t="shared" si="63"/>
        <v>1</v>
      </c>
    </row>
    <row r="2040" spans="1:17" x14ac:dyDescent="0.25">
      <c r="A2040" s="1" t="str">
        <f>_xlfn.XLOOKUP(D2040,'Novo relatório'!B:B,'Novo relatório'!C:C,"RESOLVIDO")</f>
        <v>SABRE</v>
      </c>
      <c r="C2040" t="str">
        <f t="shared" si="62"/>
        <v>PENDENTE</v>
      </c>
      <c r="D2040" s="1">
        <v>3451272</v>
      </c>
      <c r="E2040" s="1" t="s">
        <v>26</v>
      </c>
      <c r="F2040" s="2">
        <v>45806.617361111108</v>
      </c>
      <c r="G2040" s="1" t="s">
        <v>2544</v>
      </c>
      <c r="H2040" s="1" t="s">
        <v>2544</v>
      </c>
      <c r="I2040" s="1" t="s">
        <v>2545</v>
      </c>
      <c r="J2040" s="2">
        <v>45806.710416666669</v>
      </c>
      <c r="L2040" s="1" t="s">
        <v>19</v>
      </c>
      <c r="M2040" s="1" t="str">
        <f>_xlfn.XLOOKUP(I2040,Parâmetros!A:A,Parâmetros!B:B,_xlfn.XLOOKUP(Q2040,Parâmetros!F:F,Parâmetros!G:G,"NOVA MENSAGEM"))</f>
        <v>CONTRATO FORNECEDOR</v>
      </c>
      <c r="N2040" s="1" t="str">
        <f>_xlfn.XLOOKUP(M2040,Parâmetros!K:K,Parâmetros!L:L,"")</f>
        <v>CONTRATO INATIVO OU DIVERGENTE</v>
      </c>
      <c r="O2040" s="1" t="str">
        <f>_xlfn.XLOOKUP(M2040,Parâmetros!B:B,Parâmetros!C:C,_xlfn.XLOOKUP(Base!M2026,Parâmetros!G:G,Parâmetros!H:H))</f>
        <v>SISTEMA</v>
      </c>
      <c r="P2040" s="1" t="str">
        <f>_xlfn.XLOOKUP(I2040,Parâmetros!A:A,Parâmetros!D:D,_xlfn.XLOOKUP(Q2040,Parâmetros!F:F,Parâmetros!I:I))</f>
        <v>OPERAÇÕES / SUPORTE KCS</v>
      </c>
      <c r="Q2040" s="1">
        <f t="shared" si="63"/>
        <v>43</v>
      </c>
    </row>
    <row r="2041" spans="1:17" x14ac:dyDescent="0.25">
      <c r="A2041" s="1" t="str">
        <f>_xlfn.XLOOKUP(D2041,'Novo relatório'!B:B,'Novo relatório'!C:C,"RESOLVIDO")</f>
        <v>SABRE</v>
      </c>
      <c r="C2041" t="str">
        <f t="shared" si="62"/>
        <v>PENDENTE</v>
      </c>
      <c r="D2041" s="1">
        <v>3451836</v>
      </c>
      <c r="E2041" s="1" t="s">
        <v>26</v>
      </c>
      <c r="F2041" s="2">
        <v>45806.697916666664</v>
      </c>
      <c r="G2041" s="1" t="s">
        <v>2549</v>
      </c>
      <c r="H2041" s="1" t="s">
        <v>2549</v>
      </c>
      <c r="I2041" s="1" t="s">
        <v>707</v>
      </c>
      <c r="J2041" s="2">
        <v>45806.782638888886</v>
      </c>
      <c r="L2041" s="1" t="s">
        <v>18</v>
      </c>
      <c r="M2041" s="1" t="str">
        <f>_xlfn.XLOOKUP(I2041,Parâmetros!A:A,Parâmetros!B:B,_xlfn.XLOOKUP(Q2041,Parâmetros!F:F,Parâmetros!G:G,"NOVA MENSAGEM"))</f>
        <v>CÓD. CLIENTE DIVERGENTE</v>
      </c>
      <c r="N2041" s="1" t="str">
        <f>_xlfn.XLOOKUP(M2041,Parâmetros!K:K,Parâmetros!L:L,"")</f>
        <v>CÓDIGO DIFERENTE DO CADASTRADO NO BENNER (CLIENTE X GRUPO)</v>
      </c>
      <c r="O2041" s="1" t="str">
        <f>_xlfn.XLOOKUP(M2041,Parâmetros!B:B,Parâmetros!C:C,_xlfn.XLOOKUP(Base!M2029,Parâmetros!G:G,Parâmetros!H:H))</f>
        <v>QUALIDADE DOS DADOS</v>
      </c>
      <c r="P2041" s="1" t="str">
        <f>_xlfn.XLOOKUP(I2041,Parâmetros!A:A,Parâmetros!D:D,_xlfn.XLOOKUP(Q2041,Parâmetros!F:F,Parâmetros!I:I))</f>
        <v>SUPORTE OBT</v>
      </c>
      <c r="Q2041" s="1">
        <f t="shared" si="63"/>
        <v>1</v>
      </c>
    </row>
    <row r="2042" spans="1:17" x14ac:dyDescent="0.25">
      <c r="A2042" s="1" t="str">
        <f>_xlfn.XLOOKUP(D2042,'Novo relatório'!B:B,'Novo relatório'!C:C,"RESOLVIDO")</f>
        <v>SABRE</v>
      </c>
      <c r="C2042" t="str">
        <f t="shared" si="62"/>
        <v>PENDENTE</v>
      </c>
      <c r="D2042" s="1">
        <v>3451841</v>
      </c>
      <c r="E2042" s="1" t="s">
        <v>26</v>
      </c>
      <c r="F2042" s="2">
        <v>45807.386111111111</v>
      </c>
      <c r="G2042" s="1" t="s">
        <v>2555</v>
      </c>
      <c r="H2042" s="1" t="s">
        <v>2555</v>
      </c>
      <c r="I2042" s="1" t="s">
        <v>829</v>
      </c>
      <c r="J2042" s="2">
        <v>45806.782638888886</v>
      </c>
      <c r="K2042" s="2">
        <v>45807.470833333333</v>
      </c>
      <c r="L2042" s="1" t="s">
        <v>18</v>
      </c>
      <c r="M2042" s="1" t="str">
        <f>_xlfn.XLOOKUP(I2042,Parâmetros!A:A,Parâmetros!B:B,_xlfn.XLOOKUP(Q2042,Parâmetros!F:F,Parâmetros!G:G,"NOVA MENSAGEM"))</f>
        <v>REMARK - CNPJ</v>
      </c>
      <c r="N2042" s="1" t="str">
        <f>_xlfn.XLOOKUP(M2042,Parâmetros!K:K,Parâmetros!L:L,"")</f>
        <v/>
      </c>
      <c r="O2042" s="1" t="e">
        <f>_xlfn.XLOOKUP(M2042,Parâmetros!B:B,Parâmetros!C:C,_xlfn.XLOOKUP(Base!M2033,Parâmetros!G:G,Parâmetros!H:H))</f>
        <v>#N/A</v>
      </c>
      <c r="P2042" s="1" t="str">
        <f>_xlfn.XLOOKUP(I2042,Parâmetros!A:A,Parâmetros!D:D,_xlfn.XLOOKUP(Q2042,Parâmetros!F:F,Parâmetros!I:I))</f>
        <v>OPERAÇÕES / SUPORTE KCS</v>
      </c>
      <c r="Q2042" s="1">
        <f t="shared" si="63"/>
        <v>24</v>
      </c>
    </row>
    <row r="2043" spans="1:17" x14ac:dyDescent="0.25">
      <c r="A2043" s="1" t="str">
        <f>_xlfn.XLOOKUP(D2043,'Novo relatório'!B:B,'Novo relatório'!C:C,"RESOLVIDO")</f>
        <v>SABRE</v>
      </c>
      <c r="C2043" t="str">
        <f t="shared" si="62"/>
        <v>PENDENTE</v>
      </c>
      <c r="D2043" s="1">
        <v>3452003</v>
      </c>
      <c r="E2043" s="1" t="s">
        <v>26</v>
      </c>
      <c r="F2043" s="2">
        <v>45806.695138888892</v>
      </c>
      <c r="G2043" s="1" t="s">
        <v>2564</v>
      </c>
      <c r="H2043" s="1" t="s">
        <v>2564</v>
      </c>
      <c r="I2043" s="1" t="s">
        <v>2403</v>
      </c>
      <c r="J2043" s="2">
        <v>45806.79583333333</v>
      </c>
      <c r="L2043" s="1" t="s">
        <v>18</v>
      </c>
      <c r="M2043" s="1" t="str">
        <f>_xlfn.XLOOKUP(I2043,Parâmetros!A:A,Parâmetros!B:B,_xlfn.XLOOKUP(Q2043,Parâmetros!F:F,Parâmetros!G:G,"NOVA MENSAGEM"))</f>
        <v>CÓD. CLIENTE DIVERGENTE</v>
      </c>
      <c r="N2043" s="1" t="str">
        <f>_xlfn.XLOOKUP(M2043,Parâmetros!K:K,Parâmetros!L:L,"")</f>
        <v>CÓDIGO DIFERENTE DO CADASTRADO NO BENNER (CLIENTE X GRUPO)</v>
      </c>
      <c r="O2043" s="1" t="str">
        <f>_xlfn.XLOOKUP(M2043,Parâmetros!B:B,Parâmetros!C:C,_xlfn.XLOOKUP(Base!M2041,Parâmetros!G:G,Parâmetros!H:H))</f>
        <v>QUALIDADE DOS DADOS</v>
      </c>
      <c r="P2043" s="1" t="str">
        <f>_xlfn.XLOOKUP(I2043,Parâmetros!A:A,Parâmetros!D:D,_xlfn.XLOOKUP(Q2043,Parâmetros!F:F,Parâmetros!I:I))</f>
        <v>SUPORTE OBT</v>
      </c>
      <c r="Q2043" s="1">
        <f t="shared" si="63"/>
        <v>1</v>
      </c>
    </row>
    <row r="2044" spans="1:17" x14ac:dyDescent="0.25">
      <c r="A2044" s="1" t="str">
        <f>_xlfn.XLOOKUP(D2044,'Novo relatório'!B:B,'Novo relatório'!C:C,"RESOLVIDO")</f>
        <v>SABRE</v>
      </c>
      <c r="C2044" t="str">
        <f t="shared" si="62"/>
        <v>PENDENTE</v>
      </c>
      <c r="D2044" s="1">
        <v>3452476</v>
      </c>
      <c r="E2044" s="1" t="s">
        <v>26</v>
      </c>
      <c r="F2044" s="2">
        <v>45807.338888888888</v>
      </c>
      <c r="G2044" s="1" t="s">
        <v>2562</v>
      </c>
      <c r="H2044" s="1" t="s">
        <v>2562</v>
      </c>
      <c r="I2044" s="1" t="s">
        <v>2563</v>
      </c>
      <c r="J2044" s="2">
        <v>45807.432638888888</v>
      </c>
      <c r="L2044" s="1" t="s">
        <v>19</v>
      </c>
      <c r="M2044" s="1" t="str">
        <f>_xlfn.XLOOKUP(I2044,Parâmetros!A:A,Parâmetros!B:B,_xlfn.XLOOKUP(Q2044,Parâmetros!F:F,Parâmetros!G:G,"NOVA MENSAGEM"))</f>
        <v>CONTRATO FORNECEDOR</v>
      </c>
      <c r="N2044" s="1" t="str">
        <f>_xlfn.XLOOKUP(M2044,Parâmetros!K:K,Parâmetros!L:L,"")</f>
        <v>CONTRATO INATIVO OU DIVERGENTE</v>
      </c>
      <c r="O2044" s="1" t="str">
        <f>_xlfn.XLOOKUP(M2044,Parâmetros!B:B,Parâmetros!C:C,_xlfn.XLOOKUP(Base!M2040,Parâmetros!G:G,Parâmetros!H:H))</f>
        <v>SISTEMA</v>
      </c>
      <c r="P2044" s="1" t="str">
        <f>_xlfn.XLOOKUP(I2044,Parâmetros!A:A,Parâmetros!D:D,_xlfn.XLOOKUP(Q2044,Parâmetros!F:F,Parâmetros!I:I))</f>
        <v>OPERAÇÕES / SUPORTE KCS</v>
      </c>
      <c r="Q2044" s="1">
        <f t="shared" si="63"/>
        <v>55</v>
      </c>
    </row>
    <row r="2045" spans="1:17" x14ac:dyDescent="0.25">
      <c r="A2045" s="1" t="str">
        <f>_xlfn.XLOOKUP(D2045,'Novo relatório'!B:B,'Novo relatório'!C:C,"RESOLVIDO")</f>
        <v>SABRE</v>
      </c>
      <c r="C2045" t="str">
        <f t="shared" si="62"/>
        <v>PENDENTE</v>
      </c>
      <c r="D2045" s="1">
        <v>3452666</v>
      </c>
      <c r="E2045" s="1" t="s">
        <v>26</v>
      </c>
      <c r="F2045" s="2">
        <v>45807.410416666666</v>
      </c>
      <c r="G2045" s="1" t="s">
        <v>2573</v>
      </c>
      <c r="H2045" s="1" t="s">
        <v>2573</v>
      </c>
      <c r="I2045" s="1" t="s">
        <v>83</v>
      </c>
      <c r="J2045" s="2">
        <v>45807.502083333333</v>
      </c>
      <c r="L2045" s="1" t="s">
        <v>18</v>
      </c>
      <c r="M2045" s="1" t="str">
        <f>_xlfn.XLOOKUP(I2045,Parâmetros!A:A,Parâmetros!B:B,_xlfn.XLOOKUP(Q2045,Parâmetros!F:F,Parâmetros!G:G,"NOVA MENSAGEM"))</f>
        <v>CLIENTE NÃO IDENTIFICADO</v>
      </c>
      <c r="N2045" s="1" t="str">
        <f>_xlfn.XLOOKUP(M2045,Parâmetros!K:K,Parâmetros!L:L,"")</f>
        <v>DK DE CLIENTE NÃO PREENCIDO / CLIENTE NÃO CONFIGURADO NO OBT</v>
      </c>
      <c r="O2045" s="1" t="str">
        <f>_xlfn.XLOOKUP(M2045,Parâmetros!B:B,Parâmetros!C:C,_xlfn.XLOOKUP(Base!M2049,Parâmetros!G:G,Parâmetros!H:H))</f>
        <v>INDEFINIDO</v>
      </c>
      <c r="P2045" s="1" t="str">
        <f>_xlfn.XLOOKUP(I2045,Parâmetros!A:A,Parâmetros!D:D,_xlfn.XLOOKUP(Q2045,Parâmetros!F:F,Parâmetros!I:I))</f>
        <v>OPERAÇÕES / SUPORTE KCS</v>
      </c>
      <c r="Q2045" s="1" t="str">
        <f t="shared" si="63"/>
        <v>COLUNA I</v>
      </c>
    </row>
    <row r="2046" spans="1:17" x14ac:dyDescent="0.25">
      <c r="A2046" s="1" t="str">
        <f>_xlfn.XLOOKUP(D2046,'Novo relatório'!B:B,'Novo relatório'!C:C,"RESOLVIDO")</f>
        <v>SABRE</v>
      </c>
      <c r="C2046" t="str">
        <f t="shared" si="62"/>
        <v>PENDENTE</v>
      </c>
      <c r="D2046" s="1">
        <v>3452886</v>
      </c>
      <c r="E2046" s="1" t="s">
        <v>26</v>
      </c>
      <c r="F2046" s="2">
        <v>45807.536805555559</v>
      </c>
      <c r="G2046" s="1" t="s">
        <v>2557</v>
      </c>
      <c r="H2046" s="1" t="s">
        <v>2557</v>
      </c>
      <c r="I2046" s="1" t="s">
        <v>746</v>
      </c>
      <c r="J2046" s="2">
        <v>45807.53402777778</v>
      </c>
      <c r="K2046" s="2">
        <v>45807.629166666666</v>
      </c>
      <c r="L2046" s="1" t="s">
        <v>18</v>
      </c>
      <c r="M2046" s="1" t="str">
        <f>_xlfn.XLOOKUP(I2046,Parâmetros!A:A,Parâmetros!B:B,_xlfn.XLOOKUP(Q2046,Parâmetros!F:F,Parâmetros!G:G,"NOVA MENSAGEM"))</f>
        <v>CÓD. CLIENTE DIVERGENTE</v>
      </c>
      <c r="N2046" s="1" t="str">
        <f>_xlfn.XLOOKUP(M2046,Parâmetros!K:K,Parâmetros!L:L,"")</f>
        <v>CÓDIGO DIFERENTE DO CADASTRADO NO BENNER (CLIENTE X GRUPO)</v>
      </c>
      <c r="O2046" s="1" t="str">
        <f>_xlfn.XLOOKUP(M2046,Parâmetros!B:B,Parâmetros!C:C,_xlfn.XLOOKUP(Base!M2035,Parâmetros!G:G,Parâmetros!H:H))</f>
        <v>QUALIDADE DOS DADOS</v>
      </c>
      <c r="P2046" s="1" t="str">
        <f>_xlfn.XLOOKUP(I2046,Parâmetros!A:A,Parâmetros!D:D,_xlfn.XLOOKUP(Q2046,Parâmetros!F:F,Parâmetros!I:I))</f>
        <v>SUPORTE OBT</v>
      </c>
      <c r="Q2046" s="1">
        <f t="shared" si="63"/>
        <v>1</v>
      </c>
    </row>
    <row r="2047" spans="1:17" x14ac:dyDescent="0.25">
      <c r="A2047" s="1" t="str">
        <f>_xlfn.XLOOKUP(D2047,'Novo relatório'!B:B,'Novo relatório'!C:C,"RESOLVIDO")</f>
        <v>SABRE</v>
      </c>
      <c r="C2047" t="str">
        <f t="shared" si="62"/>
        <v>PENDENTE</v>
      </c>
      <c r="D2047" s="1">
        <v>3453461</v>
      </c>
      <c r="E2047" s="1" t="s">
        <v>26</v>
      </c>
      <c r="F2047" s="2">
        <v>45807.536805555559</v>
      </c>
      <c r="G2047" s="1" t="s">
        <v>2574</v>
      </c>
      <c r="H2047" s="1" t="s">
        <v>2574</v>
      </c>
      <c r="I2047" s="1" t="s">
        <v>746</v>
      </c>
      <c r="J2047" s="2">
        <v>45807.62777777778</v>
      </c>
      <c r="L2047" s="1" t="s">
        <v>18</v>
      </c>
      <c r="M2047" s="1" t="str">
        <f>_xlfn.XLOOKUP(I2047,Parâmetros!A:A,Parâmetros!B:B,_xlfn.XLOOKUP(Q2047,Parâmetros!F:F,Parâmetros!G:G,"NOVA MENSAGEM"))</f>
        <v>CÓD. CLIENTE DIVERGENTE</v>
      </c>
      <c r="N2047" s="1" t="str">
        <f>_xlfn.XLOOKUP(M2047,Parâmetros!K:K,Parâmetros!L:L,"")</f>
        <v>CÓDIGO DIFERENTE DO CADASTRADO NO BENNER (CLIENTE X GRUPO)</v>
      </c>
      <c r="O2047" s="1" t="str">
        <f>_xlfn.XLOOKUP(M2047,Parâmetros!B:B,Parâmetros!C:C,_xlfn.XLOOKUP(Base!M2050,Parâmetros!G:G,Parâmetros!H:H))</f>
        <v>QUALIDADE DOS DADOS</v>
      </c>
      <c r="P2047" s="1" t="str">
        <f>_xlfn.XLOOKUP(I2047,Parâmetros!A:A,Parâmetros!D:D,_xlfn.XLOOKUP(Q2047,Parâmetros!F:F,Parâmetros!I:I))</f>
        <v>SUPORTE OBT</v>
      </c>
      <c r="Q2047" s="1">
        <f t="shared" si="63"/>
        <v>1</v>
      </c>
    </row>
    <row r="2048" spans="1:17" x14ac:dyDescent="0.25">
      <c r="A2048" s="1" t="str">
        <f>_xlfn.XLOOKUP(D2048,'Novo relatório'!B:B,'Novo relatório'!C:C,"RESOLVIDO")</f>
        <v>SABRE</v>
      </c>
      <c r="C2048" t="str">
        <f t="shared" si="62"/>
        <v>PENDENTE</v>
      </c>
      <c r="D2048" s="1">
        <v>3453463</v>
      </c>
      <c r="E2048" s="1" t="s">
        <v>26</v>
      </c>
      <c r="F2048" s="2">
        <v>45807.536805555559</v>
      </c>
      <c r="G2048" s="1" t="s">
        <v>2558</v>
      </c>
      <c r="H2048" s="1" t="s">
        <v>2558</v>
      </c>
      <c r="I2048" s="1" t="s">
        <v>746</v>
      </c>
      <c r="J2048" s="2">
        <v>45807.62777777778</v>
      </c>
      <c r="L2048" s="1" t="s">
        <v>18</v>
      </c>
      <c r="M2048" s="1" t="str">
        <f>_xlfn.XLOOKUP(I2048,Parâmetros!A:A,Parâmetros!B:B,_xlfn.XLOOKUP(Q2048,Parâmetros!F:F,Parâmetros!G:G,"NOVA MENSAGEM"))</f>
        <v>CÓD. CLIENTE DIVERGENTE</v>
      </c>
      <c r="N2048" s="1" t="str">
        <f>_xlfn.XLOOKUP(M2048,Parâmetros!K:K,Parâmetros!L:L,"")</f>
        <v>CÓDIGO DIFERENTE DO CADASTRADO NO BENNER (CLIENTE X GRUPO)</v>
      </c>
      <c r="O2048" s="1" t="str">
        <f>_xlfn.XLOOKUP(M2048,Parâmetros!B:B,Parâmetros!C:C,_xlfn.XLOOKUP(Base!M2036,Parâmetros!G:G,Parâmetros!H:H))</f>
        <v>QUALIDADE DOS DADOS</v>
      </c>
      <c r="P2048" s="1" t="str">
        <f>_xlfn.XLOOKUP(I2048,Parâmetros!A:A,Parâmetros!D:D,_xlfn.XLOOKUP(Q2048,Parâmetros!F:F,Parâmetros!I:I))</f>
        <v>SUPORTE OBT</v>
      </c>
      <c r="Q2048" s="1">
        <f t="shared" si="63"/>
        <v>1</v>
      </c>
    </row>
    <row r="2049" spans="1:17" x14ac:dyDescent="0.25">
      <c r="A2049" s="1" t="str">
        <f>_xlfn.XLOOKUP(D2049,'Novo relatório'!B:B,'Novo relatório'!C:C,"RESOLVIDO")</f>
        <v>SABRE</v>
      </c>
      <c r="C2049" t="str">
        <f t="shared" si="62"/>
        <v>PENDENTE</v>
      </c>
      <c r="D2049" s="1">
        <v>3453464</v>
      </c>
      <c r="E2049" s="1" t="s">
        <v>26</v>
      </c>
      <c r="F2049" s="2">
        <v>45807.536805555559</v>
      </c>
      <c r="G2049" s="1" t="s">
        <v>2556</v>
      </c>
      <c r="H2049" s="1" t="s">
        <v>2556</v>
      </c>
      <c r="I2049" s="1" t="s">
        <v>746</v>
      </c>
      <c r="J2049" s="2">
        <v>45807.62777777778</v>
      </c>
      <c r="L2049" s="1" t="s">
        <v>18</v>
      </c>
      <c r="M2049" s="1" t="str">
        <f>_xlfn.XLOOKUP(I2049,Parâmetros!A:A,Parâmetros!B:B,_xlfn.XLOOKUP(Q2049,Parâmetros!F:F,Parâmetros!G:G,"NOVA MENSAGEM"))</f>
        <v>CÓD. CLIENTE DIVERGENTE</v>
      </c>
      <c r="N2049" s="1" t="str">
        <f>_xlfn.XLOOKUP(M2049,Parâmetros!K:K,Parâmetros!L:L,"")</f>
        <v>CÓDIGO DIFERENTE DO CADASTRADO NO BENNER (CLIENTE X GRUPO)</v>
      </c>
      <c r="O2049" s="1" t="str">
        <f>_xlfn.XLOOKUP(M2049,Parâmetros!B:B,Parâmetros!C:C,_xlfn.XLOOKUP(Base!M2034,Parâmetros!G:G,Parâmetros!H:H))</f>
        <v>QUALIDADE DOS DADOS</v>
      </c>
      <c r="P2049" s="1" t="str">
        <f>_xlfn.XLOOKUP(I2049,Parâmetros!A:A,Parâmetros!D:D,_xlfn.XLOOKUP(Q2049,Parâmetros!F:F,Parâmetros!I:I))</f>
        <v>SUPORTE OBT</v>
      </c>
      <c r="Q2049" s="1">
        <f t="shared" si="63"/>
        <v>1</v>
      </c>
    </row>
    <row r="2050" spans="1:17" x14ac:dyDescent="0.25">
      <c r="A2050" s="1" t="str">
        <f>_xlfn.XLOOKUP(D2050,'Novo relatório'!B:B,'Novo relatório'!C:C,"RESOLVIDO")</f>
        <v>SABRE</v>
      </c>
      <c r="C2050" t="str">
        <f t="shared" ref="C2050:C2086" si="64">IF(A2050="RESOLVIDO","RESOLVIDO",IF(B2050="","PENDENTE",IF(LEFT(B2050,7)="CHAMADO","AGUARDANDO FORNECEDOR",IF(B2050="CONTABILIZAR","CONTABILIZAR NO PORTAL"))))</f>
        <v>PENDENTE</v>
      </c>
      <c r="D2050" s="1">
        <v>3453467</v>
      </c>
      <c r="E2050" s="1" t="s">
        <v>26</v>
      </c>
      <c r="F2050" s="2">
        <v>45807.536805555559</v>
      </c>
      <c r="G2050" s="1" t="s">
        <v>2567</v>
      </c>
      <c r="H2050" s="1" t="s">
        <v>2567</v>
      </c>
      <c r="I2050" s="1" t="s">
        <v>746</v>
      </c>
      <c r="J2050" s="2">
        <v>45807.62777777778</v>
      </c>
      <c r="L2050" s="1" t="s">
        <v>18</v>
      </c>
      <c r="M2050" s="1" t="str">
        <f>_xlfn.XLOOKUP(I2050,Parâmetros!A:A,Parâmetros!B:B,_xlfn.XLOOKUP(Q2050,Parâmetros!F:F,Parâmetros!G:G,"NOVA MENSAGEM"))</f>
        <v>CÓD. CLIENTE DIVERGENTE</v>
      </c>
      <c r="N2050" s="1" t="str">
        <f>_xlfn.XLOOKUP(M2050,Parâmetros!K:K,Parâmetros!L:L,"")</f>
        <v>CÓDIGO DIFERENTE DO CADASTRADO NO BENNER (CLIENTE X GRUPO)</v>
      </c>
      <c r="O2050" s="1" t="str">
        <f>_xlfn.XLOOKUP(M2050,Parâmetros!B:B,Parâmetros!C:C,_xlfn.XLOOKUP(Base!M2043,Parâmetros!G:G,Parâmetros!H:H))</f>
        <v>QUALIDADE DOS DADOS</v>
      </c>
      <c r="P2050" s="1" t="str">
        <f>_xlfn.XLOOKUP(I2050,Parâmetros!A:A,Parâmetros!D:D,_xlfn.XLOOKUP(Q2050,Parâmetros!F:F,Parâmetros!I:I))</f>
        <v>SUPORTE OBT</v>
      </c>
      <c r="Q2050" s="1">
        <f t="shared" ref="Q2050:Q2086" si="65">IFERROR(FIND("Não foi possível localizar o contrato do fornecedor",I2050),IFERROR(FIND("veículo",I2050),IFERROR(FIND("agagem",I2050),IFERROR(FIND("error in XML document",I2050),IFERROR(FIND("Não localizado cliente código",I2050),IFERROR(FIND("lemontech",I2050),IFERROR(FIND("&gt;Fornecedor com o",I2050),IFERROR(FIND("INSERT",I2050),IFERROR(FIND("com CNPJ",I2050),IFERROR(FIND("Consultando Agente-&gt; O agente",I2050),IFERROR(FIND("Não foi possível determinar a validade do cartão, favor verificar os dados do cartão",I2050),"COLUNA I")))))))))))</f>
        <v>1</v>
      </c>
    </row>
    <row r="2051" spans="1:17" x14ac:dyDescent="0.25">
      <c r="A2051" s="1" t="str">
        <f>_xlfn.XLOOKUP(D2051,'Novo relatório'!B:B,'Novo relatório'!C:C,"RESOLVIDO")</f>
        <v>SABRE</v>
      </c>
      <c r="C2051" t="str">
        <f t="shared" si="64"/>
        <v>PENDENTE</v>
      </c>
      <c r="D2051" s="1">
        <v>3453468</v>
      </c>
      <c r="E2051" s="1" t="s">
        <v>26</v>
      </c>
      <c r="F2051" s="2">
        <v>45807.536805555559</v>
      </c>
      <c r="G2051" s="1" t="s">
        <v>2576</v>
      </c>
      <c r="H2051" s="1" t="s">
        <v>2576</v>
      </c>
      <c r="I2051" s="1" t="s">
        <v>746</v>
      </c>
      <c r="J2051" s="2">
        <v>45807.62777777778</v>
      </c>
      <c r="L2051" s="1" t="s">
        <v>18</v>
      </c>
      <c r="M2051" s="1" t="str">
        <f>_xlfn.XLOOKUP(I2051,Parâmetros!A:A,Parâmetros!B:B,_xlfn.XLOOKUP(Q2051,Parâmetros!F:F,Parâmetros!G:G,"NOVA MENSAGEM"))</f>
        <v>CÓD. CLIENTE DIVERGENTE</v>
      </c>
      <c r="N2051" s="1" t="str">
        <f>_xlfn.XLOOKUP(M2051,Parâmetros!K:K,Parâmetros!L:L,"")</f>
        <v>CÓDIGO DIFERENTE DO CADASTRADO NO BENNER (CLIENTE X GRUPO)</v>
      </c>
      <c r="O2051" s="1" t="str">
        <f>_xlfn.XLOOKUP(M2051,Parâmetros!B:B,Parâmetros!C:C,_xlfn.XLOOKUP(Base!M2052,Parâmetros!G:G,Parâmetros!H:H))</f>
        <v>QUALIDADE DOS DADOS</v>
      </c>
      <c r="P2051" s="1" t="str">
        <f>_xlfn.XLOOKUP(I2051,Parâmetros!A:A,Parâmetros!D:D,_xlfn.XLOOKUP(Q2051,Parâmetros!F:F,Parâmetros!I:I))</f>
        <v>SUPORTE OBT</v>
      </c>
      <c r="Q2051" s="1">
        <f t="shared" si="65"/>
        <v>1</v>
      </c>
    </row>
    <row r="2052" spans="1:17" x14ac:dyDescent="0.25">
      <c r="A2052" s="1" t="str">
        <f>_xlfn.XLOOKUP(D2052,'Novo relatório'!B:B,'Novo relatório'!C:C,"RESOLVIDO")</f>
        <v>SABRE</v>
      </c>
      <c r="C2052" t="str">
        <f t="shared" si="64"/>
        <v>PENDENTE</v>
      </c>
      <c r="D2052" s="1">
        <v>3453472</v>
      </c>
      <c r="E2052" s="1" t="s">
        <v>26</v>
      </c>
      <c r="F2052" s="2">
        <v>45807.536805555559</v>
      </c>
      <c r="G2052" s="1" t="s">
        <v>2561</v>
      </c>
      <c r="H2052" s="1" t="s">
        <v>2561</v>
      </c>
      <c r="I2052" s="1" t="s">
        <v>746</v>
      </c>
      <c r="J2052" s="2">
        <v>45807.628472222219</v>
      </c>
      <c r="L2052" s="1" t="s">
        <v>18</v>
      </c>
      <c r="M2052" s="1" t="str">
        <f>_xlfn.XLOOKUP(I2052,Parâmetros!A:A,Parâmetros!B:B,_xlfn.XLOOKUP(Q2052,Parâmetros!F:F,Parâmetros!G:G,"NOVA MENSAGEM"))</f>
        <v>CÓD. CLIENTE DIVERGENTE</v>
      </c>
      <c r="N2052" s="1" t="str">
        <f>_xlfn.XLOOKUP(M2052,Parâmetros!K:K,Parâmetros!L:L,"")</f>
        <v>CÓDIGO DIFERENTE DO CADASTRADO NO BENNER (CLIENTE X GRUPO)</v>
      </c>
      <c r="O2052" s="1" t="str">
        <f>_xlfn.XLOOKUP(M2052,Parâmetros!B:B,Parâmetros!C:C,_xlfn.XLOOKUP(Base!M2039,Parâmetros!G:G,Parâmetros!H:H))</f>
        <v>QUALIDADE DOS DADOS</v>
      </c>
      <c r="P2052" s="1" t="str">
        <f>_xlfn.XLOOKUP(I2052,Parâmetros!A:A,Parâmetros!D:D,_xlfn.XLOOKUP(Q2052,Parâmetros!F:F,Parâmetros!I:I))</f>
        <v>SUPORTE OBT</v>
      </c>
      <c r="Q2052" s="1">
        <f t="shared" si="65"/>
        <v>1</v>
      </c>
    </row>
    <row r="2053" spans="1:17" x14ac:dyDescent="0.25">
      <c r="A2053" s="1" t="str">
        <f>_xlfn.XLOOKUP(D2053,'Novo relatório'!B:B,'Novo relatório'!C:C,"RESOLVIDO")</f>
        <v>SABRE</v>
      </c>
      <c r="C2053" t="str">
        <f t="shared" si="64"/>
        <v>PENDENTE</v>
      </c>
      <c r="D2053" s="1">
        <v>3453474</v>
      </c>
      <c r="E2053" s="1" t="s">
        <v>26</v>
      </c>
      <c r="F2053" s="2">
        <v>45807.536805555559</v>
      </c>
      <c r="G2053" s="1" t="s">
        <v>2568</v>
      </c>
      <c r="H2053" s="1" t="s">
        <v>2568</v>
      </c>
      <c r="I2053" s="1" t="s">
        <v>746</v>
      </c>
      <c r="J2053" s="2">
        <v>45807.628472222219</v>
      </c>
      <c r="L2053" s="1" t="s">
        <v>18</v>
      </c>
      <c r="M2053" s="1" t="str">
        <f>_xlfn.XLOOKUP(I2053,Parâmetros!A:A,Parâmetros!B:B,_xlfn.XLOOKUP(Q2053,Parâmetros!F:F,Parâmetros!G:G,"NOVA MENSAGEM"))</f>
        <v>CÓD. CLIENTE DIVERGENTE</v>
      </c>
      <c r="N2053" s="1" t="str">
        <f>_xlfn.XLOOKUP(M2053,Parâmetros!K:K,Parâmetros!L:L,"")</f>
        <v>CÓDIGO DIFERENTE DO CADASTRADO NO BENNER (CLIENTE X GRUPO)</v>
      </c>
      <c r="O2053" s="1" t="str">
        <f>_xlfn.XLOOKUP(M2053,Parâmetros!B:B,Parâmetros!C:C,_xlfn.XLOOKUP(Base!M2044,Parâmetros!G:G,Parâmetros!H:H))</f>
        <v>QUALIDADE DOS DADOS</v>
      </c>
      <c r="P2053" s="1" t="str">
        <f>_xlfn.XLOOKUP(I2053,Parâmetros!A:A,Parâmetros!D:D,_xlfn.XLOOKUP(Q2053,Parâmetros!F:F,Parâmetros!I:I))</f>
        <v>SUPORTE OBT</v>
      </c>
      <c r="Q2053" s="1">
        <f t="shared" si="65"/>
        <v>1</v>
      </c>
    </row>
    <row r="2054" spans="1:17" x14ac:dyDescent="0.25">
      <c r="A2054" s="1" t="str">
        <f>_xlfn.XLOOKUP(D2054,'Novo relatório'!B:B,'Novo relatório'!C:C,"RESOLVIDO")</f>
        <v>SABRE</v>
      </c>
      <c r="C2054" t="str">
        <f t="shared" si="64"/>
        <v>PENDENTE</v>
      </c>
      <c r="D2054" s="1">
        <v>3453478</v>
      </c>
      <c r="E2054" s="1" t="s">
        <v>26</v>
      </c>
      <c r="F2054" s="2">
        <v>45807.536805555559</v>
      </c>
      <c r="G2054" s="1" t="s">
        <v>2575</v>
      </c>
      <c r="H2054" s="1" t="s">
        <v>2575</v>
      </c>
      <c r="I2054" s="1" t="s">
        <v>746</v>
      </c>
      <c r="J2054" s="2">
        <v>45807.628472222219</v>
      </c>
      <c r="L2054" s="1" t="s">
        <v>18</v>
      </c>
      <c r="M2054" s="1" t="str">
        <f>_xlfn.XLOOKUP(I2054,Parâmetros!A:A,Parâmetros!B:B,_xlfn.XLOOKUP(Q2054,Parâmetros!F:F,Parâmetros!G:G,"NOVA MENSAGEM"))</f>
        <v>CÓD. CLIENTE DIVERGENTE</v>
      </c>
      <c r="N2054" s="1" t="str">
        <f>_xlfn.XLOOKUP(M2054,Parâmetros!K:K,Parâmetros!L:L,"")</f>
        <v>CÓDIGO DIFERENTE DO CADASTRADO NO BENNER (CLIENTE X GRUPO)</v>
      </c>
      <c r="O2054" s="1" t="str">
        <f>_xlfn.XLOOKUP(M2054,Parâmetros!B:B,Parâmetros!C:C,_xlfn.XLOOKUP(Base!M2051,Parâmetros!G:G,Parâmetros!H:H))</f>
        <v>QUALIDADE DOS DADOS</v>
      </c>
      <c r="P2054" s="1" t="str">
        <f>_xlfn.XLOOKUP(I2054,Parâmetros!A:A,Parâmetros!D:D,_xlfn.XLOOKUP(Q2054,Parâmetros!F:F,Parâmetros!I:I))</f>
        <v>SUPORTE OBT</v>
      </c>
      <c r="Q2054" s="1">
        <f t="shared" si="65"/>
        <v>1</v>
      </c>
    </row>
    <row r="2055" spans="1:17" x14ac:dyDescent="0.25">
      <c r="A2055" s="1" t="str">
        <f>_xlfn.XLOOKUP(D2055,'Novo relatório'!B:B,'Novo relatório'!C:C,"RESOLVIDO")</f>
        <v>SABRE</v>
      </c>
      <c r="C2055" t="str">
        <f t="shared" si="64"/>
        <v>PENDENTE</v>
      </c>
      <c r="D2055" s="1">
        <v>3453480</v>
      </c>
      <c r="E2055" s="1" t="s">
        <v>26</v>
      </c>
      <c r="F2055" s="2">
        <v>45807.536805555559</v>
      </c>
      <c r="G2055" s="1" t="s">
        <v>2577</v>
      </c>
      <c r="H2055" s="1" t="s">
        <v>2577</v>
      </c>
      <c r="I2055" s="1" t="s">
        <v>746</v>
      </c>
      <c r="J2055" s="2">
        <v>45807.628472222219</v>
      </c>
      <c r="L2055" s="1" t="s">
        <v>18</v>
      </c>
      <c r="M2055" s="1" t="str">
        <f>_xlfn.XLOOKUP(I2055,Parâmetros!A:A,Parâmetros!B:B,_xlfn.XLOOKUP(Q2055,Parâmetros!F:F,Parâmetros!G:G,"NOVA MENSAGEM"))</f>
        <v>CÓD. CLIENTE DIVERGENTE</v>
      </c>
      <c r="N2055" s="1" t="str">
        <f>_xlfn.XLOOKUP(M2055,Parâmetros!K:K,Parâmetros!L:L,"")</f>
        <v>CÓDIGO DIFERENTE DO CADASTRADO NO BENNER (CLIENTE X GRUPO)</v>
      </c>
      <c r="O2055" s="1" t="str">
        <f>_xlfn.XLOOKUP(M2055,Parâmetros!B:B,Parâmetros!C:C,_xlfn.XLOOKUP(Base!M2053,Parâmetros!G:G,Parâmetros!H:H))</f>
        <v>QUALIDADE DOS DADOS</v>
      </c>
      <c r="P2055" s="1" t="str">
        <f>_xlfn.XLOOKUP(I2055,Parâmetros!A:A,Parâmetros!D:D,_xlfn.XLOOKUP(Q2055,Parâmetros!F:F,Parâmetros!I:I))</f>
        <v>SUPORTE OBT</v>
      </c>
      <c r="Q2055" s="1">
        <f t="shared" si="65"/>
        <v>1</v>
      </c>
    </row>
    <row r="2056" spans="1:17" x14ac:dyDescent="0.25">
      <c r="A2056" s="1" t="str">
        <f>_xlfn.XLOOKUP(D2056,'Novo relatório'!B:B,'Novo relatório'!C:C,"RESOLVIDO")</f>
        <v>SABRE</v>
      </c>
      <c r="C2056" t="str">
        <f t="shared" si="64"/>
        <v>PENDENTE</v>
      </c>
      <c r="D2056" s="1">
        <v>3453495</v>
      </c>
      <c r="E2056" s="1" t="s">
        <v>26</v>
      </c>
      <c r="F2056" s="2">
        <v>45807.536805555559</v>
      </c>
      <c r="G2056" s="1" t="s">
        <v>2560</v>
      </c>
      <c r="H2056" s="1" t="s">
        <v>2560</v>
      </c>
      <c r="I2056" s="1" t="s">
        <v>746</v>
      </c>
      <c r="J2056" s="2">
        <v>45807.629166666666</v>
      </c>
      <c r="L2056" s="1" t="s">
        <v>18</v>
      </c>
      <c r="M2056" s="1" t="str">
        <f>_xlfn.XLOOKUP(I2056,Parâmetros!A:A,Parâmetros!B:B,_xlfn.XLOOKUP(Q2056,Parâmetros!F:F,Parâmetros!G:G,"NOVA MENSAGEM"))</f>
        <v>CÓD. CLIENTE DIVERGENTE</v>
      </c>
      <c r="N2056" s="1" t="str">
        <f>_xlfn.XLOOKUP(M2056,Parâmetros!K:K,Parâmetros!L:L,"")</f>
        <v>CÓDIGO DIFERENTE DO CADASTRADO NO BENNER (CLIENTE X GRUPO)</v>
      </c>
      <c r="O2056" s="1" t="str">
        <f>_xlfn.XLOOKUP(M2056,Parâmetros!B:B,Parâmetros!C:C,_xlfn.XLOOKUP(Base!M2038,Parâmetros!G:G,Parâmetros!H:H))</f>
        <v>QUALIDADE DOS DADOS</v>
      </c>
      <c r="P2056" s="1" t="str">
        <f>_xlfn.XLOOKUP(I2056,Parâmetros!A:A,Parâmetros!D:D,_xlfn.XLOOKUP(Q2056,Parâmetros!F:F,Parâmetros!I:I))</f>
        <v>SUPORTE OBT</v>
      </c>
      <c r="Q2056" s="1">
        <f t="shared" si="65"/>
        <v>1</v>
      </c>
    </row>
    <row r="2057" spans="1:17" x14ac:dyDescent="0.25">
      <c r="A2057" s="1" t="str">
        <f>_xlfn.XLOOKUP(D2057,'Novo relatório'!B:B,'Novo relatório'!C:C,"RESOLVIDO")</f>
        <v>SABRE</v>
      </c>
      <c r="C2057" t="str">
        <f t="shared" si="64"/>
        <v>PENDENTE</v>
      </c>
      <c r="D2057" s="1">
        <v>3453500</v>
      </c>
      <c r="E2057" s="1" t="s">
        <v>26</v>
      </c>
      <c r="F2057" s="2">
        <v>45807.536805555559</v>
      </c>
      <c r="G2057" s="1" t="s">
        <v>2569</v>
      </c>
      <c r="H2057" s="1" t="s">
        <v>2569</v>
      </c>
      <c r="I2057" s="1" t="s">
        <v>2554</v>
      </c>
      <c r="J2057" s="2">
        <v>45807.629861111112</v>
      </c>
      <c r="L2057" s="1" t="s">
        <v>18</v>
      </c>
      <c r="M2057" s="1" t="str">
        <f>_xlfn.XLOOKUP(I2057,Parâmetros!A:A,Parâmetros!B:B,_xlfn.XLOOKUP(Q2057,Parâmetros!F:F,Parâmetros!G:G,"NOVA MENSAGEM"))</f>
        <v>CÓD. CLIENTE DIVERGENTE</v>
      </c>
      <c r="N2057" s="1" t="str">
        <f>_xlfn.XLOOKUP(M2057,Parâmetros!K:K,Parâmetros!L:L,"")</f>
        <v>CÓDIGO DIFERENTE DO CADASTRADO NO BENNER (CLIENTE X GRUPO)</v>
      </c>
      <c r="O2057" s="1" t="str">
        <f>_xlfn.XLOOKUP(M2057,Parâmetros!B:B,Parâmetros!C:C,_xlfn.XLOOKUP(Base!M2045,Parâmetros!G:G,Parâmetros!H:H))</f>
        <v>QUALIDADE DOS DADOS</v>
      </c>
      <c r="P2057" s="1" t="str">
        <f>_xlfn.XLOOKUP(I2057,Parâmetros!A:A,Parâmetros!D:D,_xlfn.XLOOKUP(Q2057,Parâmetros!F:F,Parâmetros!I:I))</f>
        <v>SUPORTE OBT</v>
      </c>
      <c r="Q2057" s="1">
        <f t="shared" si="65"/>
        <v>1</v>
      </c>
    </row>
    <row r="2058" spans="1:17" x14ac:dyDescent="0.25">
      <c r="A2058" s="1" t="str">
        <f>_xlfn.XLOOKUP(D2058,'Novo relatório'!B:B,'Novo relatório'!C:C,"RESOLVIDO")</f>
        <v>SABRE</v>
      </c>
      <c r="C2058" t="str">
        <f t="shared" si="64"/>
        <v>PENDENTE</v>
      </c>
      <c r="D2058" s="1">
        <v>3453501</v>
      </c>
      <c r="E2058" s="1" t="s">
        <v>26</v>
      </c>
      <c r="F2058" s="2">
        <v>45807.536805555559</v>
      </c>
      <c r="G2058" s="1" t="s">
        <v>2572</v>
      </c>
      <c r="H2058" s="1" t="s">
        <v>2572</v>
      </c>
      <c r="I2058" s="1" t="s">
        <v>83</v>
      </c>
      <c r="J2058" s="2">
        <v>45807.629861111112</v>
      </c>
      <c r="L2058" s="1" t="s">
        <v>18</v>
      </c>
      <c r="M2058" s="1" t="str">
        <f>_xlfn.XLOOKUP(I2058,Parâmetros!A:A,Parâmetros!B:B,_xlfn.XLOOKUP(Q2058,Parâmetros!F:F,Parâmetros!G:G,"NOVA MENSAGEM"))</f>
        <v>CLIENTE NÃO IDENTIFICADO</v>
      </c>
      <c r="N2058" s="1" t="str">
        <f>_xlfn.XLOOKUP(M2058,Parâmetros!K:K,Parâmetros!L:L,"")</f>
        <v>DK DE CLIENTE NÃO PREENCIDO / CLIENTE NÃO CONFIGURADO NO OBT</v>
      </c>
      <c r="O2058" s="1" t="str">
        <f>_xlfn.XLOOKUP(M2058,Parâmetros!B:B,Parâmetros!C:C,_xlfn.XLOOKUP(Base!M2048,Parâmetros!G:G,Parâmetros!H:H))</f>
        <v>INDEFINIDO</v>
      </c>
      <c r="P2058" s="1" t="str">
        <f>_xlfn.XLOOKUP(I2058,Parâmetros!A:A,Parâmetros!D:D,_xlfn.XLOOKUP(Q2058,Parâmetros!F:F,Parâmetros!I:I))</f>
        <v>OPERAÇÕES / SUPORTE KCS</v>
      </c>
      <c r="Q2058" s="1" t="str">
        <f t="shared" si="65"/>
        <v>COLUNA I</v>
      </c>
    </row>
    <row r="2059" spans="1:17" x14ac:dyDescent="0.25">
      <c r="A2059" s="1" t="str">
        <f>_xlfn.XLOOKUP(D2059,'Novo relatório'!B:B,'Novo relatório'!C:C,"RESOLVIDO")</f>
        <v>SABRE</v>
      </c>
      <c r="C2059" t="str">
        <f t="shared" si="64"/>
        <v>PENDENTE</v>
      </c>
      <c r="D2059" s="1">
        <v>3453504</v>
      </c>
      <c r="E2059" s="1" t="s">
        <v>26</v>
      </c>
      <c r="F2059" s="2">
        <v>45807.536805555559</v>
      </c>
      <c r="G2059" s="1" t="s">
        <v>2553</v>
      </c>
      <c r="H2059" s="1" t="s">
        <v>2553</v>
      </c>
      <c r="I2059" s="1" t="s">
        <v>2554</v>
      </c>
      <c r="J2059" s="2">
        <v>45807.630555555559</v>
      </c>
      <c r="L2059" s="1" t="s">
        <v>18</v>
      </c>
      <c r="M2059" s="1" t="str">
        <f>_xlfn.XLOOKUP(I2059,Parâmetros!A:A,Parâmetros!B:B,_xlfn.XLOOKUP(Q2059,Parâmetros!F:F,Parâmetros!G:G,"NOVA MENSAGEM"))</f>
        <v>CÓD. CLIENTE DIVERGENTE</v>
      </c>
      <c r="N2059" s="1" t="str">
        <f>_xlfn.XLOOKUP(M2059,Parâmetros!K:K,Parâmetros!L:L,"")</f>
        <v>CÓDIGO DIFERENTE DO CADASTRADO NO BENNER (CLIENTE X GRUPO)</v>
      </c>
      <c r="O2059" s="1" t="str">
        <f>_xlfn.XLOOKUP(M2059,Parâmetros!B:B,Parâmetros!C:C,_xlfn.XLOOKUP(Base!M2032,Parâmetros!G:G,Parâmetros!H:H))</f>
        <v>QUALIDADE DOS DADOS</v>
      </c>
      <c r="P2059" s="1" t="str">
        <f>_xlfn.XLOOKUP(I2059,Parâmetros!A:A,Parâmetros!D:D,_xlfn.XLOOKUP(Q2059,Parâmetros!F:F,Parâmetros!I:I))</f>
        <v>SUPORTE OBT</v>
      </c>
      <c r="Q2059" s="1">
        <f t="shared" si="65"/>
        <v>1</v>
      </c>
    </row>
    <row r="2060" spans="1:17" x14ac:dyDescent="0.25">
      <c r="A2060" s="1" t="str">
        <f>_xlfn.XLOOKUP(D2060,'Novo relatório'!B:B,'Novo relatório'!C:C,"RESOLVIDO")</f>
        <v>SABRE</v>
      </c>
      <c r="C2060" t="str">
        <f t="shared" si="64"/>
        <v>PENDENTE</v>
      </c>
      <c r="D2060" s="1">
        <v>3453615</v>
      </c>
      <c r="E2060" s="1" t="s">
        <v>26</v>
      </c>
      <c r="F2060" s="2">
        <v>45807.561111111114</v>
      </c>
      <c r="G2060" s="1" t="s">
        <v>2550</v>
      </c>
      <c r="H2060" s="1" t="s">
        <v>2550</v>
      </c>
      <c r="I2060" s="1" t="s">
        <v>83</v>
      </c>
      <c r="J2060" s="2">
        <v>45807.650694444441</v>
      </c>
      <c r="L2060" s="1" t="s">
        <v>18</v>
      </c>
      <c r="M2060" s="1" t="str">
        <f>_xlfn.XLOOKUP(I2060,Parâmetros!A:A,Parâmetros!B:B,_xlfn.XLOOKUP(Q2060,Parâmetros!F:F,Parâmetros!G:G,"NOVA MENSAGEM"))</f>
        <v>CLIENTE NÃO IDENTIFICADO</v>
      </c>
      <c r="N2060" s="1" t="str">
        <f>_xlfn.XLOOKUP(M2060,Parâmetros!K:K,Parâmetros!L:L,"")</f>
        <v>DK DE CLIENTE NÃO PREENCIDO / CLIENTE NÃO CONFIGURADO NO OBT</v>
      </c>
      <c r="O2060" s="1" t="str">
        <f>_xlfn.XLOOKUP(M2060,Parâmetros!B:B,Parâmetros!C:C,_xlfn.XLOOKUP(Base!M2030,Parâmetros!G:G,Parâmetros!H:H))</f>
        <v>INDEFINIDO</v>
      </c>
      <c r="P2060" s="1" t="str">
        <f>_xlfn.XLOOKUP(I2060,Parâmetros!A:A,Parâmetros!D:D,_xlfn.XLOOKUP(Q2060,Parâmetros!F:F,Parâmetros!I:I))</f>
        <v>OPERAÇÕES / SUPORTE KCS</v>
      </c>
      <c r="Q2060" s="1" t="str">
        <f t="shared" si="65"/>
        <v>COLUNA I</v>
      </c>
    </row>
    <row r="2061" spans="1:17" x14ac:dyDescent="0.25">
      <c r="A2061" s="1" t="str">
        <f>_xlfn.XLOOKUP(D2061,'Novo relatório'!B:B,'Novo relatório'!C:C,"RESOLVIDO")</f>
        <v>GOVER</v>
      </c>
      <c r="C2061" t="str">
        <f t="shared" si="64"/>
        <v>PENDENTE</v>
      </c>
      <c r="D2061" s="1">
        <v>3454339</v>
      </c>
      <c r="E2061" s="1" t="s">
        <v>24</v>
      </c>
      <c r="F2061" s="2">
        <v>45806.642361111109</v>
      </c>
      <c r="G2061" s="1">
        <v>4545181</v>
      </c>
      <c r="H2061" s="1" t="s">
        <v>2580</v>
      </c>
      <c r="I2061" s="1" t="s">
        <v>2581</v>
      </c>
      <c r="J2061" s="2">
        <v>45807.780555555553</v>
      </c>
      <c r="K2061" s="2">
        <v>45810.706250000003</v>
      </c>
      <c r="L2061" s="1" t="s">
        <v>19</v>
      </c>
      <c r="M2061" s="1" t="str">
        <f>_xlfn.XLOOKUP(I2061,Parâmetros!A:A,Parâmetros!B:B,_xlfn.XLOOKUP(Q2061,Parâmetros!F:F,Parâmetros!G:G,"NOVA MENSAGEM"))</f>
        <v>CONTRATO FORNECEDOR</v>
      </c>
      <c r="N2061" s="1" t="str">
        <f>_xlfn.XLOOKUP(M2061,Parâmetros!K:K,Parâmetros!L:L,"")</f>
        <v>CONTRATO INATIVO OU DIVERGENTE</v>
      </c>
      <c r="O2061" s="1" t="str">
        <f>_xlfn.XLOOKUP(M2061,Parâmetros!B:B,Parâmetros!C:C,_xlfn.XLOOKUP(Base!M2073,Parâmetros!G:G,Parâmetros!H:H))</f>
        <v>SISTEMA</v>
      </c>
      <c r="P2061" s="1" t="str">
        <f>_xlfn.XLOOKUP(I2061,Parâmetros!A:A,Parâmetros!D:D,_xlfn.XLOOKUP(Q2061,Parâmetros!F:F,Parâmetros!I:I))</f>
        <v>OPERAÇÕES / SUPORTE KCS</v>
      </c>
      <c r="Q2061" s="1">
        <f t="shared" si="65"/>
        <v>55</v>
      </c>
    </row>
    <row r="2062" spans="1:17" x14ac:dyDescent="0.25">
      <c r="A2062" s="1" t="str">
        <f>_xlfn.XLOOKUP(D2062,'Novo relatório'!B:B,'Novo relatório'!C:C,"RESOLVIDO")</f>
        <v>SABRE</v>
      </c>
      <c r="C2062" t="str">
        <f t="shared" si="64"/>
        <v>PENDENTE</v>
      </c>
      <c r="D2062" s="1">
        <v>3454505</v>
      </c>
      <c r="E2062" s="1" t="s">
        <v>26</v>
      </c>
      <c r="F2062" s="2">
        <v>45807.704861111109</v>
      </c>
      <c r="G2062" s="1" t="s">
        <v>2559</v>
      </c>
      <c r="H2062" s="1" t="s">
        <v>2559</v>
      </c>
      <c r="I2062" s="1" t="s">
        <v>83</v>
      </c>
      <c r="J2062" s="2">
        <v>45807.793749999997</v>
      </c>
      <c r="L2062" s="1" t="s">
        <v>18</v>
      </c>
      <c r="M2062" s="1" t="str">
        <f>_xlfn.XLOOKUP(I2062,Parâmetros!A:A,Parâmetros!B:B,_xlfn.XLOOKUP(Q2062,Parâmetros!F:F,Parâmetros!G:G,"NOVA MENSAGEM"))</f>
        <v>CLIENTE NÃO IDENTIFICADO</v>
      </c>
      <c r="N2062" s="1" t="str">
        <f>_xlfn.XLOOKUP(M2062,Parâmetros!K:K,Parâmetros!L:L,"")</f>
        <v>DK DE CLIENTE NÃO PREENCIDO / CLIENTE NÃO CONFIGURADO NO OBT</v>
      </c>
      <c r="O2062" s="1" t="str">
        <f>_xlfn.XLOOKUP(M2062,Parâmetros!B:B,Parâmetros!C:C,_xlfn.XLOOKUP(Base!M2037,Parâmetros!G:G,Parâmetros!H:H))</f>
        <v>INDEFINIDO</v>
      </c>
      <c r="P2062" s="1" t="str">
        <f>_xlfn.XLOOKUP(I2062,Parâmetros!A:A,Parâmetros!D:D,_xlfn.XLOOKUP(Q2062,Parâmetros!F:F,Parâmetros!I:I))</f>
        <v>OPERAÇÕES / SUPORTE KCS</v>
      </c>
      <c r="Q2062" s="1" t="str">
        <f t="shared" si="65"/>
        <v>COLUNA I</v>
      </c>
    </row>
    <row r="2063" spans="1:17" x14ac:dyDescent="0.25">
      <c r="A2063" s="1" t="str">
        <f>_xlfn.XLOOKUP(D2063,'Novo relatório'!B:B,'Novo relatório'!C:C,"RESOLVIDO")</f>
        <v>SABRE</v>
      </c>
      <c r="C2063" t="str">
        <f t="shared" si="64"/>
        <v>PENDENTE</v>
      </c>
      <c r="D2063" s="1">
        <v>3454609</v>
      </c>
      <c r="E2063" s="1" t="s">
        <v>26</v>
      </c>
      <c r="F2063" s="2">
        <v>45807.71875</v>
      </c>
      <c r="G2063" s="1" t="s">
        <v>2570</v>
      </c>
      <c r="H2063" s="1" t="s">
        <v>2570</v>
      </c>
      <c r="I2063" s="1" t="s">
        <v>746</v>
      </c>
      <c r="J2063" s="2">
        <v>45807.803472222222</v>
      </c>
      <c r="L2063" s="1" t="s">
        <v>18</v>
      </c>
      <c r="M2063" s="1" t="str">
        <f>_xlfn.XLOOKUP(I2063,Parâmetros!A:A,Parâmetros!B:B,_xlfn.XLOOKUP(Q2063,Parâmetros!F:F,Parâmetros!G:G,"NOVA MENSAGEM"))</f>
        <v>CÓD. CLIENTE DIVERGENTE</v>
      </c>
      <c r="N2063" s="1" t="str">
        <f>_xlfn.XLOOKUP(M2063,Parâmetros!K:K,Parâmetros!L:L,"")</f>
        <v>CÓDIGO DIFERENTE DO CADASTRADO NO BENNER (CLIENTE X GRUPO)</v>
      </c>
      <c r="O2063" s="1" t="str">
        <f>_xlfn.XLOOKUP(M2063,Parâmetros!B:B,Parâmetros!C:C,_xlfn.XLOOKUP(Base!M2046,Parâmetros!G:G,Parâmetros!H:H))</f>
        <v>QUALIDADE DOS DADOS</v>
      </c>
      <c r="P2063" s="1" t="str">
        <f>_xlfn.XLOOKUP(I2063,Parâmetros!A:A,Parâmetros!D:D,_xlfn.XLOOKUP(Q2063,Parâmetros!F:F,Parâmetros!I:I))</f>
        <v>SUPORTE OBT</v>
      </c>
      <c r="Q2063" s="1">
        <f t="shared" si="65"/>
        <v>1</v>
      </c>
    </row>
    <row r="2064" spans="1:17" x14ac:dyDescent="0.25">
      <c r="A2064" s="1" t="str">
        <f>_xlfn.XLOOKUP(D2064,'Novo relatório'!B:B,'Novo relatório'!C:C,"RESOLVIDO")</f>
        <v>SABRE</v>
      </c>
      <c r="C2064" t="str">
        <f t="shared" si="64"/>
        <v>PENDENTE</v>
      </c>
      <c r="D2064" s="1">
        <v>3454648</v>
      </c>
      <c r="E2064" s="1" t="s">
        <v>26</v>
      </c>
      <c r="F2064" s="2">
        <v>45807.71875</v>
      </c>
      <c r="G2064" s="1" t="s">
        <v>2571</v>
      </c>
      <c r="H2064" s="1" t="s">
        <v>2571</v>
      </c>
      <c r="I2064" s="1" t="s">
        <v>83</v>
      </c>
      <c r="J2064" s="2">
        <v>45807.806250000001</v>
      </c>
      <c r="L2064" s="1" t="s">
        <v>18</v>
      </c>
      <c r="M2064" s="1" t="str">
        <f>_xlfn.XLOOKUP(I2064,Parâmetros!A:A,Parâmetros!B:B,_xlfn.XLOOKUP(Q2064,Parâmetros!F:F,Parâmetros!G:G,"NOVA MENSAGEM"))</f>
        <v>CLIENTE NÃO IDENTIFICADO</v>
      </c>
      <c r="N2064" s="1" t="str">
        <f>_xlfn.XLOOKUP(M2064,Parâmetros!K:K,Parâmetros!L:L,"")</f>
        <v>DK DE CLIENTE NÃO PREENCIDO / CLIENTE NÃO CONFIGURADO NO OBT</v>
      </c>
      <c r="O2064" s="1" t="str">
        <f>_xlfn.XLOOKUP(M2064,Parâmetros!B:B,Parâmetros!C:C,_xlfn.XLOOKUP(Base!M2047,Parâmetros!G:G,Parâmetros!H:H))</f>
        <v>INDEFINIDO</v>
      </c>
      <c r="P2064" s="1" t="str">
        <f>_xlfn.XLOOKUP(I2064,Parâmetros!A:A,Parâmetros!D:D,_xlfn.XLOOKUP(Q2064,Parâmetros!F:F,Parâmetros!I:I))</f>
        <v>OPERAÇÕES / SUPORTE KCS</v>
      </c>
      <c r="Q2064" s="1" t="str">
        <f t="shared" si="65"/>
        <v>COLUNA I</v>
      </c>
    </row>
    <row r="2065" spans="1:17" x14ac:dyDescent="0.25">
      <c r="A2065" s="1" t="str">
        <f>_xlfn.XLOOKUP(D2065,'Novo relatório'!B:B,'Novo relatório'!C:C,"RESOLVIDO")</f>
        <v>TMS</v>
      </c>
      <c r="C2065" t="str">
        <f t="shared" si="64"/>
        <v>PENDENTE</v>
      </c>
      <c r="D2065" s="1">
        <v>3455196</v>
      </c>
      <c r="E2065" s="1" t="s">
        <v>12</v>
      </c>
      <c r="F2065" s="2">
        <v>45807.824999999997</v>
      </c>
      <c r="G2065" s="1">
        <v>33982</v>
      </c>
      <c r="H2065" s="1">
        <v>33982</v>
      </c>
      <c r="I2065" s="1" t="s">
        <v>2579</v>
      </c>
      <c r="J2065" s="2">
        <v>45808.018750000003</v>
      </c>
      <c r="K2065" s="2">
        <v>45810.572222222225</v>
      </c>
      <c r="L2065" s="1" t="s">
        <v>14</v>
      </c>
      <c r="M2065" s="1" t="str">
        <f>_xlfn.XLOOKUP(I2065,Parâmetros!A:A,Parâmetros!B:B,_xlfn.XLOOKUP(Q2065,Parâmetros!F:F,Parâmetros!G:G,"NOVA MENSAGEM"))</f>
        <v>NOVA MENSAGEM</v>
      </c>
      <c r="N2065" s="1" t="str">
        <f>_xlfn.XLOOKUP(M2065,Parâmetros!K:K,Parâmetros!L:L,"")</f>
        <v/>
      </c>
      <c r="O2065" s="1" t="str">
        <f>_xlfn.XLOOKUP(M2065,Parâmetros!B:B,Parâmetros!C:C,_xlfn.XLOOKUP(Base!M2057,Parâmetros!G:G,Parâmetros!H:H))</f>
        <v>QUALIDADE DOS DADOS</v>
      </c>
      <c r="P2065" s="1" t="e">
        <f>_xlfn.XLOOKUP(I2065,Parâmetros!A:A,Parâmetros!D:D,_xlfn.XLOOKUP(Q2065,Parâmetros!F:F,Parâmetros!I:I))</f>
        <v>#N/A</v>
      </c>
      <c r="Q2065" s="1">
        <f t="shared" si="65"/>
        <v>126</v>
      </c>
    </row>
    <row r="2066" spans="1:17" x14ac:dyDescent="0.25">
      <c r="A2066" s="1" t="str">
        <f>_xlfn.XLOOKUP(D2066,'Novo relatório'!B:B,'Novo relatório'!C:C,"RESOLVIDO")</f>
        <v>GOVER</v>
      </c>
      <c r="C2066" t="str">
        <f t="shared" si="64"/>
        <v>PENDENTE</v>
      </c>
      <c r="D2066" s="1">
        <v>3455389</v>
      </c>
      <c r="E2066" s="1" t="s">
        <v>24</v>
      </c>
      <c r="F2066" s="2">
        <v>45807.843055555553</v>
      </c>
      <c r="G2066" s="1">
        <v>4545928</v>
      </c>
      <c r="H2066" s="1">
        <v>4545928</v>
      </c>
      <c r="I2066" s="1" t="s">
        <v>77</v>
      </c>
      <c r="J2066" s="2">
        <v>45809.62777777778</v>
      </c>
      <c r="K2066" s="2">
        <v>45810.706250000003</v>
      </c>
      <c r="L2066" s="1" t="s">
        <v>14</v>
      </c>
      <c r="M2066" s="1" t="str">
        <f>_xlfn.XLOOKUP(I2066,Parâmetros!A:A,Parâmetros!B:B,_xlfn.XLOOKUP(Q2066,Parâmetros!F:F,Parâmetros!G:G,"NOVA MENSAGEM"))</f>
        <v>RLOC NÃO INFORMADO</v>
      </c>
      <c r="N2066" s="1" t="str">
        <f>_xlfn.XLOOKUP(M2066,Parâmetros!K:K,Parâmetros!L:L,"")</f>
        <v>RLOC NÃO PREENCHIDO NA RESERVA</v>
      </c>
      <c r="O2066" s="1" t="str">
        <f>_xlfn.XLOOKUP(M2066,Parâmetros!B:B,Parâmetros!C:C,_xlfn.XLOOKUP(Base!M2074,Parâmetros!G:G,Parâmetros!H:H))</f>
        <v>QUALIDADE DOS DADOS</v>
      </c>
      <c r="P2066" s="1" t="str">
        <f>_xlfn.XLOOKUP(I2066,Parâmetros!A:A,Parâmetros!D:D,_xlfn.XLOOKUP(Q2066,Parâmetros!F:F,Parâmetros!I:I))</f>
        <v>SUPORTE OBT</v>
      </c>
      <c r="Q2066" s="1" t="str">
        <f t="shared" si="65"/>
        <v>COLUNA I</v>
      </c>
    </row>
    <row r="2067" spans="1:17" x14ac:dyDescent="0.25">
      <c r="A2067" s="1" t="str">
        <f>_xlfn.XLOOKUP(D2067,'Novo relatório'!B:B,'Novo relatório'!C:C,"RESOLVIDO")</f>
        <v>SABRE</v>
      </c>
      <c r="C2067" t="str">
        <f t="shared" si="64"/>
        <v>PENDENTE</v>
      </c>
      <c r="D2067" s="1">
        <v>3457044</v>
      </c>
      <c r="E2067" s="1" t="s">
        <v>26</v>
      </c>
      <c r="F2067" s="2">
        <v>45810.306944444441</v>
      </c>
      <c r="G2067" s="1" t="s">
        <v>2547</v>
      </c>
      <c r="H2067" s="1" t="s">
        <v>2548</v>
      </c>
      <c r="I2067" s="1" t="s">
        <v>166</v>
      </c>
      <c r="J2067" s="2">
        <v>45810.396527777775</v>
      </c>
      <c r="L2067" s="1" t="s">
        <v>19</v>
      </c>
      <c r="M2067" s="1" t="str">
        <f>_xlfn.XLOOKUP(I2067,Parâmetros!A:A,Parâmetros!B:B,_xlfn.XLOOKUP(Q2067,Parâmetros!F:F,Parâmetros!G:G,"NOVA MENSAGEM"))</f>
        <v>CONTRATO FORNECEDOR</v>
      </c>
      <c r="N2067" s="1" t="str">
        <f>_xlfn.XLOOKUP(M2067,Parâmetros!K:K,Parâmetros!L:L,"")</f>
        <v>CONTRATO INATIVO OU DIVERGENTE</v>
      </c>
      <c r="O2067" s="1" t="str">
        <f>_xlfn.XLOOKUP(M2067,Parâmetros!B:B,Parâmetros!C:C,_xlfn.XLOOKUP(Base!M2028,Parâmetros!G:G,Parâmetros!H:H))</f>
        <v>SISTEMA</v>
      </c>
      <c r="P2067" s="1" t="str">
        <f>_xlfn.XLOOKUP(I2067,Parâmetros!A:A,Parâmetros!D:D,_xlfn.XLOOKUP(Q2067,Parâmetros!F:F,Parâmetros!I:I))</f>
        <v>OPERAÇÕES / SUPORTE KCS</v>
      </c>
      <c r="Q2067" s="1">
        <f t="shared" si="65"/>
        <v>43</v>
      </c>
    </row>
    <row r="2068" spans="1:17" x14ac:dyDescent="0.25">
      <c r="A2068" s="1" t="str">
        <f>_xlfn.XLOOKUP(D2068,'Novo relatório'!B:B,'Novo relatório'!C:C,"RESOLVIDO")</f>
        <v>SABRE</v>
      </c>
      <c r="C2068" t="str">
        <f t="shared" si="64"/>
        <v>PENDENTE</v>
      </c>
      <c r="D2068" s="1">
        <v>3457133</v>
      </c>
      <c r="E2068" s="1" t="s">
        <v>26</v>
      </c>
      <c r="F2068" s="2">
        <v>45810.347222222219</v>
      </c>
      <c r="G2068" s="1" t="s">
        <v>2551</v>
      </c>
      <c r="H2068" s="1" t="s">
        <v>2552</v>
      </c>
      <c r="I2068" s="1" t="s">
        <v>64</v>
      </c>
      <c r="J2068" s="2">
        <v>45810.438888888886</v>
      </c>
      <c r="L2068" s="1" t="s">
        <v>1244</v>
      </c>
      <c r="M2068" s="1" t="str">
        <f>_xlfn.XLOOKUP(I2068,Parâmetros!A:A,Parâmetros!B:B,_xlfn.XLOOKUP(Q2068,Parâmetros!F:F,Parâmetros!G:G,"NOVA MENSAGEM"))</f>
        <v>FORMATO DE TEXTO</v>
      </c>
      <c r="N2068" s="1" t="str">
        <f>_xlfn.XLOOKUP(M2068,Parâmetros!K:K,Parâmetros!L:L,"")</f>
        <v>TEXTO FORA DO PADRÃO ACEITO NO CAMPO</v>
      </c>
      <c r="O2068" s="1" t="str">
        <f>_xlfn.XLOOKUP(M2068,Parâmetros!B:B,Parâmetros!C:C,_xlfn.XLOOKUP(Base!M2031,Parâmetros!G:G,Parâmetros!H:H))</f>
        <v>INDEFINIDO</v>
      </c>
      <c r="P2068" s="1" t="str">
        <f>_xlfn.XLOOKUP(I2068,Parâmetros!A:A,Parâmetros!D:D,_xlfn.XLOOKUP(Q2068,Parâmetros!F:F,Parâmetros!I:I))</f>
        <v>SUPORTE OBT</v>
      </c>
      <c r="Q2068" s="1" t="str">
        <f t="shared" si="65"/>
        <v>COLUNA I</v>
      </c>
    </row>
    <row r="2069" spans="1:17" x14ac:dyDescent="0.25">
      <c r="A2069" s="1" t="str">
        <f>_xlfn.XLOOKUP(D2069,'Novo relatório'!B:B,'Novo relatório'!C:C,"RESOLVIDO")</f>
        <v>RESOLVIDO</v>
      </c>
      <c r="C2069" t="str">
        <f t="shared" si="64"/>
        <v>RESOLVIDO</v>
      </c>
      <c r="D2069" s="1">
        <v>3457529</v>
      </c>
      <c r="E2069" s="1" t="s">
        <v>12</v>
      </c>
      <c r="F2069" s="2">
        <v>45810.524305555555</v>
      </c>
      <c r="G2069" s="1">
        <v>6773</v>
      </c>
      <c r="H2069" s="1">
        <v>6773</v>
      </c>
      <c r="I2069" s="1" t="s">
        <v>2274</v>
      </c>
      <c r="J2069" s="2">
        <v>45810.551388888889</v>
      </c>
      <c r="L2069" s="1" t="s">
        <v>19</v>
      </c>
      <c r="M2069" s="1" t="str">
        <f>_xlfn.XLOOKUP(I2069,Parâmetros!A:A,Parâmetros!B:B,_xlfn.XLOOKUP(Q2069,Parâmetros!F:F,Parâmetros!G:G,"NOVA MENSAGEM"))</f>
        <v>CONTRATO FORNECEDOR</v>
      </c>
      <c r="N2069" s="1" t="str">
        <f>_xlfn.XLOOKUP(M2069,Parâmetros!K:K,Parâmetros!L:L,"")</f>
        <v>CONTRATO INATIVO OU DIVERGENTE</v>
      </c>
      <c r="O2069" s="1" t="str">
        <f>_xlfn.XLOOKUP(M2069,Parâmetros!B:B,Parâmetros!C:C,_xlfn.XLOOKUP(Base!M2059,Parâmetros!G:G,Parâmetros!H:H))</f>
        <v>SISTEMA</v>
      </c>
      <c r="P2069" s="1" t="str">
        <f>_xlfn.XLOOKUP(I2069,Parâmetros!A:A,Parâmetros!D:D,_xlfn.XLOOKUP(Q2069,Parâmetros!F:F,Parâmetros!I:I))</f>
        <v>OPERAÇÕES / SUPORTE KCS</v>
      </c>
      <c r="Q2069" s="1">
        <f t="shared" si="65"/>
        <v>69</v>
      </c>
    </row>
    <row r="2070" spans="1:17" x14ac:dyDescent="0.25">
      <c r="A2070" s="1" t="str">
        <f>_xlfn.XLOOKUP(D2070,'Novo relatório'!B:B,'Novo relatório'!C:C,"RESOLVIDO")</f>
        <v>RESOLVIDO</v>
      </c>
      <c r="C2070" t="str">
        <f t="shared" si="64"/>
        <v>RESOLVIDO</v>
      </c>
      <c r="D2070" s="1">
        <v>3457624</v>
      </c>
      <c r="E2070" s="1" t="s">
        <v>12</v>
      </c>
      <c r="F2070" s="2">
        <v>45810.499305555553</v>
      </c>
      <c r="G2070" s="1">
        <v>22484</v>
      </c>
      <c r="H2070" s="1">
        <v>22484</v>
      </c>
      <c r="I2070" s="1" t="s">
        <v>2274</v>
      </c>
      <c r="J2070" s="2">
        <v>45810.561111111114</v>
      </c>
      <c r="L2070" s="1" t="s">
        <v>19</v>
      </c>
      <c r="M2070" s="1" t="str">
        <f>_xlfn.XLOOKUP(I2070,Parâmetros!A:A,Parâmetros!B:B,_xlfn.XLOOKUP(Q2070,Parâmetros!F:F,Parâmetros!G:G,"NOVA MENSAGEM"))</f>
        <v>CONTRATO FORNECEDOR</v>
      </c>
      <c r="N2070" s="1" t="str">
        <f>_xlfn.XLOOKUP(M2070,Parâmetros!K:K,Parâmetros!L:L,"")</f>
        <v>CONTRATO INATIVO OU DIVERGENTE</v>
      </c>
      <c r="O2070" s="1" t="str">
        <f>_xlfn.XLOOKUP(M2070,Parâmetros!B:B,Parâmetros!C:C,_xlfn.XLOOKUP(Base!M2056,Parâmetros!G:G,Parâmetros!H:H))</f>
        <v>SISTEMA</v>
      </c>
      <c r="P2070" s="1" t="str">
        <f>_xlfn.XLOOKUP(I2070,Parâmetros!A:A,Parâmetros!D:D,_xlfn.XLOOKUP(Q2070,Parâmetros!F:F,Parâmetros!I:I))</f>
        <v>OPERAÇÕES / SUPORTE KCS</v>
      </c>
      <c r="Q2070" s="1">
        <f t="shared" si="65"/>
        <v>69</v>
      </c>
    </row>
    <row r="2071" spans="1:17" x14ac:dyDescent="0.25">
      <c r="A2071" s="1" t="str">
        <f>_xlfn.XLOOKUP(D2071,'Novo relatório'!B:B,'Novo relatório'!C:C,"RESOLVIDO")</f>
        <v>RESOLVIDO</v>
      </c>
      <c r="C2071" t="str">
        <f t="shared" si="64"/>
        <v>RESOLVIDO</v>
      </c>
      <c r="D2071" s="1">
        <v>3457631</v>
      </c>
      <c r="E2071" s="1" t="s">
        <v>12</v>
      </c>
      <c r="F2071" s="2">
        <v>45810.51458333333</v>
      </c>
      <c r="G2071" s="1">
        <v>22364</v>
      </c>
      <c r="H2071" s="1">
        <v>22364</v>
      </c>
      <c r="I2071" s="1" t="s">
        <v>2274</v>
      </c>
      <c r="J2071" s="2">
        <v>45810.561805555553</v>
      </c>
      <c r="L2071" s="1" t="s">
        <v>19</v>
      </c>
      <c r="M2071" s="1" t="str">
        <f>_xlfn.XLOOKUP(I2071,Parâmetros!A:A,Parâmetros!B:B,_xlfn.XLOOKUP(Q2071,Parâmetros!F:F,Parâmetros!G:G,"NOVA MENSAGEM"))</f>
        <v>CONTRATO FORNECEDOR</v>
      </c>
      <c r="N2071" s="1" t="str">
        <f>_xlfn.XLOOKUP(M2071,Parâmetros!K:K,Parâmetros!L:L,"")</f>
        <v>CONTRATO INATIVO OU DIVERGENTE</v>
      </c>
      <c r="O2071" s="1" t="str">
        <f>_xlfn.XLOOKUP(M2071,Parâmetros!B:B,Parâmetros!C:C,_xlfn.XLOOKUP(Base!M2055,Parâmetros!G:G,Parâmetros!H:H))</f>
        <v>SISTEMA</v>
      </c>
      <c r="P2071" s="1" t="str">
        <f>_xlfn.XLOOKUP(I2071,Parâmetros!A:A,Parâmetros!D:D,_xlfn.XLOOKUP(Q2071,Parâmetros!F:F,Parâmetros!I:I))</f>
        <v>OPERAÇÕES / SUPORTE KCS</v>
      </c>
      <c r="Q2071" s="1">
        <f t="shared" si="65"/>
        <v>69</v>
      </c>
    </row>
    <row r="2072" spans="1:17" x14ac:dyDescent="0.25">
      <c r="A2072" s="1" t="str">
        <f>_xlfn.XLOOKUP(D2072,'Novo relatório'!B:B,'Novo relatório'!C:C,"RESOLVIDO")</f>
        <v>TMS</v>
      </c>
      <c r="C2072" t="str">
        <f t="shared" si="64"/>
        <v>PENDENTE</v>
      </c>
      <c r="D2072" s="1">
        <v>3457661</v>
      </c>
      <c r="E2072" s="1" t="s">
        <v>12</v>
      </c>
      <c r="F2072" s="2">
        <v>45810.415277777778</v>
      </c>
      <c r="G2072" s="1">
        <v>44852</v>
      </c>
      <c r="H2072" s="1">
        <v>44852</v>
      </c>
      <c r="I2072" s="1" t="s">
        <v>16</v>
      </c>
      <c r="J2072" s="2">
        <v>45810.566666666666</v>
      </c>
      <c r="L2072" s="1" t="s">
        <v>14</v>
      </c>
      <c r="M2072" s="1" t="str">
        <f>_xlfn.XLOOKUP(I2072,Parâmetros!A:A,Parâmetros!B:B,_xlfn.XLOOKUP(Q2072,Parâmetros!F:F,Parâmetros!G:G,"NOVA MENSAGEM"))</f>
        <v>ASSENTO / BAGAGEM</v>
      </c>
      <c r="N2072" s="1" t="str">
        <f>_xlfn.XLOOKUP(M2072,Parâmetros!K:K,Parâmetros!L:L,"")</f>
        <v>CAMPO OBSERVAÇÃO PREENCHIDO INCORRETAMENTE</v>
      </c>
      <c r="O2072" s="1" t="str">
        <f>_xlfn.XLOOKUP(M2072,Parâmetros!B:B,Parâmetros!C:C,_xlfn.XLOOKUP(Base!M2058,Parâmetros!G:G,Parâmetros!H:H))</f>
        <v>QUALIDADE DOS DADOS</v>
      </c>
      <c r="P2072" s="1" t="str">
        <f>_xlfn.XLOOKUP(I2072,Parâmetros!A:A,Parâmetros!D:D,_xlfn.XLOOKUP(Q2072,Parâmetros!F:F,Parâmetros!I:I))</f>
        <v>OPERAÇÕES / SUPORTE KCS</v>
      </c>
      <c r="Q2072" s="1">
        <f t="shared" si="65"/>
        <v>118</v>
      </c>
    </row>
    <row r="2073" spans="1:17" x14ac:dyDescent="0.25">
      <c r="A2073" s="1" t="str">
        <f>_xlfn.XLOOKUP(D2073,'Novo relatório'!B:B,'Novo relatório'!C:C,"RESOLVIDO")</f>
        <v>RESOLVIDO</v>
      </c>
      <c r="C2073" t="str">
        <f t="shared" si="64"/>
        <v>RESOLVIDO</v>
      </c>
      <c r="D2073" s="1">
        <v>3457810</v>
      </c>
      <c r="E2073" s="1" t="s">
        <v>12</v>
      </c>
      <c r="F2073" s="2">
        <v>45810.539583333331</v>
      </c>
      <c r="G2073" s="1">
        <v>15581</v>
      </c>
      <c r="H2073" s="1">
        <v>15581</v>
      </c>
      <c r="I2073" s="1" t="s">
        <v>2578</v>
      </c>
      <c r="J2073" s="2">
        <v>45810.581944444442</v>
      </c>
      <c r="L2073" s="1" t="s">
        <v>14</v>
      </c>
      <c r="M2073" s="1" t="str">
        <f>_xlfn.XLOOKUP(I2073,Parâmetros!A:A,Parâmetros!B:B,_xlfn.XLOOKUP(Q2073,Parâmetros!F:F,Parâmetros!G:G,"NOVA MENSAGEM"))</f>
        <v>ASSENTO / BAGAGEM</v>
      </c>
      <c r="N2073" s="1" t="str">
        <f>_xlfn.XLOOKUP(M2073,Parâmetros!K:K,Parâmetros!L:L,"")</f>
        <v>CAMPO OBSERVAÇÃO PREENCHIDO INCORRETAMENTE</v>
      </c>
      <c r="O2073" s="1" t="str">
        <f>_xlfn.XLOOKUP(M2073,Parâmetros!B:B,Parâmetros!C:C,_xlfn.XLOOKUP(Base!M2054,Parâmetros!G:G,Parâmetros!H:H))</f>
        <v>QUALIDADE DOS DADOS</v>
      </c>
      <c r="P2073" s="1" t="str">
        <f>_xlfn.XLOOKUP(I2073,Parâmetros!A:A,Parâmetros!D:D,_xlfn.XLOOKUP(Q2073,Parâmetros!F:F,Parâmetros!I:I))</f>
        <v>OPERAÇÕES / SUPORTE KCS</v>
      </c>
      <c r="Q2073" s="1">
        <f t="shared" si="65"/>
        <v>127</v>
      </c>
    </row>
    <row r="2074" spans="1:17" x14ac:dyDescent="0.25">
      <c r="A2074" s="1" t="str">
        <f>_xlfn.XLOOKUP(D2074,'Novo relatório'!B:B,'Novo relatório'!C:C,"RESOLVIDO")</f>
        <v>SABRE</v>
      </c>
      <c r="C2074" t="str">
        <f t="shared" si="64"/>
        <v>PENDENTE</v>
      </c>
      <c r="D2074" s="1">
        <v>3458139</v>
      </c>
      <c r="E2074" s="1" t="s">
        <v>26</v>
      </c>
      <c r="F2074" s="2">
        <v>45810.532638888886</v>
      </c>
      <c r="G2074" s="1" t="s">
        <v>2565</v>
      </c>
      <c r="H2074" s="1" t="s">
        <v>2566</v>
      </c>
      <c r="I2074" s="1" t="s">
        <v>64</v>
      </c>
      <c r="J2074" s="2">
        <v>45810.627083333333</v>
      </c>
      <c r="L2074" s="1" t="s">
        <v>1244</v>
      </c>
      <c r="M2074" s="1" t="str">
        <f>_xlfn.XLOOKUP(I2074,Parâmetros!A:A,Parâmetros!B:B,_xlfn.XLOOKUP(Q2074,Parâmetros!F:F,Parâmetros!G:G,"NOVA MENSAGEM"))</f>
        <v>FORMATO DE TEXTO</v>
      </c>
      <c r="N2074" s="1" t="str">
        <f>_xlfn.XLOOKUP(M2074,Parâmetros!K:K,Parâmetros!L:L,"")</f>
        <v>TEXTO FORA DO PADRÃO ACEITO NO CAMPO</v>
      </c>
      <c r="O2074" s="1" t="str">
        <f>_xlfn.XLOOKUP(M2074,Parâmetros!B:B,Parâmetros!C:C,_xlfn.XLOOKUP(Base!M2042,Parâmetros!G:G,Parâmetros!H:H))</f>
        <v>INDEFINIDO</v>
      </c>
      <c r="P2074" s="1" t="str">
        <f>_xlfn.XLOOKUP(I2074,Parâmetros!A:A,Parâmetros!D:D,_xlfn.XLOOKUP(Q2074,Parâmetros!F:F,Parâmetros!I:I))</f>
        <v>SUPORTE OBT</v>
      </c>
      <c r="Q2074" s="1" t="str">
        <f t="shared" si="65"/>
        <v>COLUNA I</v>
      </c>
    </row>
    <row r="2075" spans="1:17" x14ac:dyDescent="0.25">
      <c r="A2075" s="1" t="str">
        <f>_xlfn.XLOOKUP(D2075,'Novo relatório'!B:B,'Novo relatório'!C:C,"RESOLVIDO")</f>
        <v>SABRE</v>
      </c>
      <c r="C2075" t="str">
        <f t="shared" si="64"/>
        <v>PENDENTE</v>
      </c>
      <c r="D2075" s="1">
        <v>3459022</v>
      </c>
      <c r="E2075" s="1" t="s">
        <v>26</v>
      </c>
      <c r="F2075" s="2">
        <v>45811.36041666667</v>
      </c>
      <c r="G2075" s="1" t="s">
        <v>2583</v>
      </c>
      <c r="H2075" s="1" t="s">
        <v>2583</v>
      </c>
      <c r="I2075" s="1" t="s">
        <v>829</v>
      </c>
      <c r="J2075" s="2">
        <v>45810.824999999997</v>
      </c>
      <c r="K2075" s="2">
        <v>45811.449305555558</v>
      </c>
      <c r="L2075" s="1" t="s">
        <v>18</v>
      </c>
      <c r="M2075" s="1" t="str">
        <f>_xlfn.XLOOKUP(I2075,Parâmetros!A:A,Parâmetros!B:B,_xlfn.XLOOKUP(Q2075,Parâmetros!F:F,Parâmetros!G:G,"NOVA MENSAGEM"))</f>
        <v>REMARK - CNPJ</v>
      </c>
      <c r="N2075" s="1" t="str">
        <f>_xlfn.XLOOKUP(M2075,Parâmetros!K:K,Parâmetros!L:L,"")</f>
        <v/>
      </c>
      <c r="O2075" s="1" t="str">
        <f>_xlfn.XLOOKUP(M2075,Parâmetros!B:B,Parâmetros!C:C,_xlfn.XLOOKUP(Base!M2075,Parâmetros!G:G,Parâmetros!H:H))</f>
        <v>QUALIDADE DOS DADOS</v>
      </c>
      <c r="P2075" s="1" t="str">
        <f>_xlfn.XLOOKUP(I2075,Parâmetros!A:A,Parâmetros!D:D,_xlfn.XLOOKUP(Q2075,Parâmetros!F:F,Parâmetros!I:I))</f>
        <v>OPERAÇÕES / SUPORTE KCS</v>
      </c>
      <c r="Q2075" s="1">
        <f t="shared" si="65"/>
        <v>24</v>
      </c>
    </row>
    <row r="2076" spans="1:17" x14ac:dyDescent="0.25">
      <c r="A2076" s="1" t="str">
        <f>_xlfn.XLOOKUP(D2076,'Novo relatório'!B:B,'Novo relatório'!C:C,"RESOLVIDO")</f>
        <v>TMS</v>
      </c>
      <c r="C2076" t="str">
        <f t="shared" si="64"/>
        <v>PENDENTE</v>
      </c>
      <c r="D2076" s="1">
        <v>3459048</v>
      </c>
      <c r="E2076" s="1" t="s">
        <v>12</v>
      </c>
      <c r="F2076" s="2">
        <v>45810.579861111109</v>
      </c>
      <c r="G2076" s="1">
        <v>44869</v>
      </c>
      <c r="H2076" s="1">
        <v>44869</v>
      </c>
      <c r="I2076" s="1" t="s">
        <v>16</v>
      </c>
      <c r="J2076" s="2">
        <v>45810.82708333333</v>
      </c>
      <c r="K2076" s="2">
        <v>45811.587500000001</v>
      </c>
      <c r="L2076" s="1" t="s">
        <v>14</v>
      </c>
      <c r="M2076" s="1" t="str">
        <f>_xlfn.XLOOKUP(I2076,Parâmetros!A:A,Parâmetros!B:B,_xlfn.XLOOKUP(Q2076,Parâmetros!F:F,Parâmetros!G:G,"NOVA MENSAGEM"))</f>
        <v>ASSENTO / BAGAGEM</v>
      </c>
      <c r="N2076" s="1" t="str">
        <f>_xlfn.XLOOKUP(M2076,Parâmetros!K:K,Parâmetros!L:L,"")</f>
        <v>CAMPO OBSERVAÇÃO PREENCHIDO INCORRETAMENTE</v>
      </c>
      <c r="O2076" s="1" t="str">
        <f>_xlfn.XLOOKUP(M2076,Parâmetros!B:B,Parâmetros!C:C,_xlfn.XLOOKUP(Base!M2084,Parâmetros!G:G,Parâmetros!H:H))</f>
        <v>QUALIDADE DOS DADOS</v>
      </c>
      <c r="P2076" s="1" t="str">
        <f>_xlfn.XLOOKUP(I2076,Parâmetros!A:A,Parâmetros!D:D,_xlfn.XLOOKUP(Q2076,Parâmetros!F:F,Parâmetros!I:I))</f>
        <v>OPERAÇÕES / SUPORTE KCS</v>
      </c>
      <c r="Q2076" s="1">
        <f t="shared" si="65"/>
        <v>118</v>
      </c>
    </row>
    <row r="2077" spans="1:17" x14ac:dyDescent="0.25">
      <c r="A2077" s="1" t="str">
        <f>_xlfn.XLOOKUP(D2077,'Novo relatório'!B:B,'Novo relatório'!C:C,"RESOLVIDO")</f>
        <v>GOVER</v>
      </c>
      <c r="C2077" t="str">
        <f t="shared" si="64"/>
        <v>PENDENTE</v>
      </c>
      <c r="D2077" s="1">
        <v>3459258</v>
      </c>
      <c r="E2077" s="1" t="s">
        <v>24</v>
      </c>
      <c r="F2077" s="2">
        <v>45810.835416666669</v>
      </c>
      <c r="G2077" s="1">
        <v>4546746</v>
      </c>
      <c r="H2077" s="1">
        <v>4546746</v>
      </c>
      <c r="I2077" s="1" t="s">
        <v>77</v>
      </c>
      <c r="J2077" s="2">
        <v>45810.843055555553</v>
      </c>
      <c r="K2077" s="2">
        <v>45811.615277777775</v>
      </c>
      <c r="L2077" s="1" t="s">
        <v>14</v>
      </c>
      <c r="M2077" s="1" t="str">
        <f>_xlfn.XLOOKUP(I2077,Parâmetros!A:A,Parâmetros!B:B,_xlfn.XLOOKUP(Q2077,Parâmetros!F:F,Parâmetros!G:G,"NOVA MENSAGEM"))</f>
        <v>RLOC NÃO INFORMADO</v>
      </c>
      <c r="N2077" s="1" t="str">
        <f>_xlfn.XLOOKUP(M2077,Parâmetros!K:K,Parâmetros!L:L,"")</f>
        <v>RLOC NÃO PREENCHIDO NA RESERVA</v>
      </c>
      <c r="O2077" s="1" t="str">
        <f>_xlfn.XLOOKUP(M2077,Parâmetros!B:B,Parâmetros!C:C,_xlfn.XLOOKUP(Base!M2085,Parâmetros!G:G,Parâmetros!H:H))</f>
        <v>QUALIDADE DOS DADOS</v>
      </c>
      <c r="P2077" s="1" t="str">
        <f>_xlfn.XLOOKUP(I2077,Parâmetros!A:A,Parâmetros!D:D,_xlfn.XLOOKUP(Q2077,Parâmetros!F:F,Parâmetros!I:I))</f>
        <v>SUPORTE OBT</v>
      </c>
      <c r="Q2077" s="1" t="str">
        <f t="shared" si="65"/>
        <v>COLUNA I</v>
      </c>
    </row>
    <row r="2078" spans="1:17" x14ac:dyDescent="0.25">
      <c r="A2078" s="1" t="str">
        <f>_xlfn.XLOOKUP(D2078,'Novo relatório'!B:B,'Novo relatório'!C:C,"RESOLVIDO")</f>
        <v>TMS</v>
      </c>
      <c r="C2078" t="str">
        <f t="shared" si="64"/>
        <v>PENDENTE</v>
      </c>
      <c r="D2078" s="1">
        <v>3459376</v>
      </c>
      <c r="E2078" s="1" t="s">
        <v>12</v>
      </c>
      <c r="F2078" s="2">
        <v>45810.741666666669</v>
      </c>
      <c r="G2078" s="1">
        <v>158</v>
      </c>
      <c r="H2078" s="1">
        <v>158</v>
      </c>
      <c r="I2078" s="1" t="s">
        <v>16</v>
      </c>
      <c r="J2078" s="2">
        <v>45810.853472222225</v>
      </c>
      <c r="K2078" s="2">
        <v>45811.602083333331</v>
      </c>
      <c r="L2078" s="1" t="s">
        <v>14</v>
      </c>
      <c r="M2078" s="1" t="str">
        <f>_xlfn.XLOOKUP(I2078,Parâmetros!A:A,Parâmetros!B:B,_xlfn.XLOOKUP(Q2078,Parâmetros!F:F,Parâmetros!G:G,"NOVA MENSAGEM"))</f>
        <v>ASSENTO / BAGAGEM</v>
      </c>
      <c r="N2078" s="1" t="str">
        <f>_xlfn.XLOOKUP(M2078,Parâmetros!K:K,Parâmetros!L:L,"")</f>
        <v>CAMPO OBSERVAÇÃO PREENCHIDO INCORRETAMENTE</v>
      </c>
      <c r="O2078" s="1" t="str">
        <f>_xlfn.XLOOKUP(M2078,Parâmetros!B:B,Parâmetros!C:C,_xlfn.XLOOKUP(Base!M2082,Parâmetros!G:G,Parâmetros!H:H))</f>
        <v>QUALIDADE DOS DADOS</v>
      </c>
      <c r="P2078" s="1" t="str">
        <f>_xlfn.XLOOKUP(I2078,Parâmetros!A:A,Parâmetros!D:D,_xlfn.XLOOKUP(Q2078,Parâmetros!F:F,Parâmetros!I:I))</f>
        <v>OPERAÇÕES / SUPORTE KCS</v>
      </c>
      <c r="Q2078" s="1">
        <f t="shared" si="65"/>
        <v>118</v>
      </c>
    </row>
    <row r="2079" spans="1:17" x14ac:dyDescent="0.25">
      <c r="A2079" s="1" t="str">
        <f>_xlfn.XLOOKUP(D2079,'Novo relatório'!B:B,'Novo relatório'!C:C,"RESOLVIDO")</f>
        <v>TMS</v>
      </c>
      <c r="C2079" t="str">
        <f t="shared" si="64"/>
        <v>PENDENTE</v>
      </c>
      <c r="D2079" s="1">
        <v>3459378</v>
      </c>
      <c r="E2079" s="1" t="s">
        <v>12</v>
      </c>
      <c r="F2079" s="2">
        <v>45810.765972222223</v>
      </c>
      <c r="G2079" s="1">
        <v>156</v>
      </c>
      <c r="H2079" s="1">
        <v>156</v>
      </c>
      <c r="I2079" s="1" t="s">
        <v>16</v>
      </c>
      <c r="J2079" s="2">
        <v>45810.853472222225</v>
      </c>
      <c r="K2079" s="2">
        <v>45811.602777777778</v>
      </c>
      <c r="L2079" s="1" t="s">
        <v>14</v>
      </c>
      <c r="M2079" s="1" t="str">
        <f>_xlfn.XLOOKUP(I2079,Parâmetros!A:A,Parâmetros!B:B,_xlfn.XLOOKUP(Q2079,Parâmetros!F:F,Parâmetros!G:G,"NOVA MENSAGEM"))</f>
        <v>ASSENTO / BAGAGEM</v>
      </c>
      <c r="N2079" s="1" t="str">
        <f>_xlfn.XLOOKUP(M2079,Parâmetros!K:K,Parâmetros!L:L,"")</f>
        <v>CAMPO OBSERVAÇÃO PREENCHIDO INCORRETAMENTE</v>
      </c>
      <c r="O2079" s="1" t="str">
        <f>_xlfn.XLOOKUP(M2079,Parâmetros!B:B,Parâmetros!C:C,_xlfn.XLOOKUP(Base!M2081,Parâmetros!G:G,Parâmetros!H:H))</f>
        <v>QUALIDADE DOS DADOS</v>
      </c>
      <c r="P2079" s="1" t="str">
        <f>_xlfn.XLOOKUP(I2079,Parâmetros!A:A,Parâmetros!D:D,_xlfn.XLOOKUP(Q2079,Parâmetros!F:F,Parâmetros!I:I))</f>
        <v>OPERAÇÕES / SUPORTE KCS</v>
      </c>
      <c r="Q2079" s="1">
        <f t="shared" si="65"/>
        <v>118</v>
      </c>
    </row>
    <row r="2080" spans="1:17" x14ac:dyDescent="0.25">
      <c r="A2080" s="1" t="str">
        <f>_xlfn.XLOOKUP(D2080,'Novo relatório'!B:B,'Novo relatório'!C:C,"RESOLVIDO")</f>
        <v>GOVER</v>
      </c>
      <c r="C2080" t="str">
        <f t="shared" si="64"/>
        <v>PENDENTE</v>
      </c>
      <c r="D2080" s="1">
        <v>3460212</v>
      </c>
      <c r="E2080" s="1" t="s">
        <v>24</v>
      </c>
      <c r="F2080" s="2">
        <v>45811.364583333336</v>
      </c>
      <c r="G2080" s="1">
        <v>4546789</v>
      </c>
      <c r="H2080" s="1" t="s">
        <v>2592</v>
      </c>
      <c r="I2080" s="1" t="s">
        <v>2593</v>
      </c>
      <c r="J2080" s="2">
        <v>45811.380555555559</v>
      </c>
      <c r="K2080" s="2">
        <v>45811.615277777775</v>
      </c>
      <c r="L2080" s="1" t="s">
        <v>14</v>
      </c>
      <c r="M2080" s="1" t="str">
        <f>_xlfn.XLOOKUP(I2080,Parâmetros!A:A,Parâmetros!B:B,_xlfn.XLOOKUP(Q2080,Parâmetros!F:F,Parâmetros!G:G,"NOVA MENSAGEM"))</f>
        <v>TAG - ITEM VEÍCULO</v>
      </c>
      <c r="N2080" s="1" t="str">
        <f>_xlfn.XLOOKUP(M2080,Parâmetros!K:K,Parâmetros!L:L,"")</f>
        <v>TAGS DE DETALHAMENTO DO SERVIÇO NÃO ENVIADO NO XML</v>
      </c>
      <c r="O2080" s="1" t="str">
        <f>_xlfn.XLOOKUP(M2080,Parâmetros!B:B,Parâmetros!C:C,_xlfn.XLOOKUP(Base!M2086,Parâmetros!G:G,Parâmetros!H:H))</f>
        <v>SISTEMA</v>
      </c>
      <c r="P2080" s="1" t="str">
        <f>_xlfn.XLOOKUP(I2080,Parâmetros!A:A,Parâmetros!D:D,_xlfn.XLOOKUP(Q2080,Parâmetros!F:F,Parâmetros!I:I))</f>
        <v>SUPORTE OBT</v>
      </c>
      <c r="Q2080" s="1">
        <f t="shared" si="65"/>
        <v>46</v>
      </c>
    </row>
    <row r="2081" spans="1:17" x14ac:dyDescent="0.25">
      <c r="A2081" s="1" t="str">
        <f>_xlfn.XLOOKUP(D2081,'Novo relatório'!B:B,'Novo relatório'!C:C,"RESOLVIDO")</f>
        <v>SABRE</v>
      </c>
      <c r="C2081" t="str">
        <f t="shared" si="64"/>
        <v>PENDENTE</v>
      </c>
      <c r="D2081" s="1">
        <v>3460295</v>
      </c>
      <c r="E2081" s="1" t="s">
        <v>26</v>
      </c>
      <c r="F2081" s="2">
        <v>45811.329861111109</v>
      </c>
      <c r="G2081" s="1" t="s">
        <v>2584</v>
      </c>
      <c r="H2081" s="1" t="s">
        <v>2585</v>
      </c>
      <c r="I2081" s="1" t="s">
        <v>64</v>
      </c>
      <c r="J2081" s="2">
        <v>45811.418749999997</v>
      </c>
      <c r="L2081" s="1" t="s">
        <v>1244</v>
      </c>
      <c r="M2081" s="1" t="str">
        <f>_xlfn.XLOOKUP(I2081,Parâmetros!A:A,Parâmetros!B:B,_xlfn.XLOOKUP(Q2081,Parâmetros!F:F,Parâmetros!G:G,"NOVA MENSAGEM"))</f>
        <v>FORMATO DE TEXTO</v>
      </c>
      <c r="N2081" s="1" t="str">
        <f>_xlfn.XLOOKUP(M2081,Parâmetros!K:K,Parâmetros!L:L,"")</f>
        <v>TEXTO FORA DO PADRÃO ACEITO NO CAMPO</v>
      </c>
      <c r="O2081" s="1" t="str">
        <f>_xlfn.XLOOKUP(M2081,Parâmetros!B:B,Parâmetros!C:C,_xlfn.XLOOKUP(Base!M2076,Parâmetros!G:G,Parâmetros!H:H))</f>
        <v>INDEFINIDO</v>
      </c>
      <c r="P2081" s="1" t="str">
        <f>_xlfn.XLOOKUP(I2081,Parâmetros!A:A,Parâmetros!D:D,_xlfn.XLOOKUP(Q2081,Parâmetros!F:F,Parâmetros!I:I))</f>
        <v>SUPORTE OBT</v>
      </c>
      <c r="Q2081" s="1" t="str">
        <f t="shared" si="65"/>
        <v>COLUNA I</v>
      </c>
    </row>
    <row r="2082" spans="1:17" x14ac:dyDescent="0.25">
      <c r="A2082" s="1" t="str">
        <f>_xlfn.XLOOKUP(D2082,'Novo relatório'!B:B,'Novo relatório'!C:C,"RESOLVIDO")</f>
        <v>SABRE</v>
      </c>
      <c r="C2082" t="str">
        <f t="shared" si="64"/>
        <v>PENDENTE</v>
      </c>
      <c r="D2082" s="1">
        <v>3460332</v>
      </c>
      <c r="E2082" s="1" t="s">
        <v>26</v>
      </c>
      <c r="F2082" s="2">
        <v>45811.340277777781</v>
      </c>
      <c r="G2082" s="1" t="s">
        <v>2590</v>
      </c>
      <c r="H2082" s="1" t="s">
        <v>2591</v>
      </c>
      <c r="I2082" s="1" t="s">
        <v>64</v>
      </c>
      <c r="J2082" s="2">
        <v>45811.428472222222</v>
      </c>
      <c r="L2082" s="1" t="s">
        <v>1244</v>
      </c>
      <c r="M2082" s="1" t="str">
        <f>_xlfn.XLOOKUP(I2082,Parâmetros!A:A,Parâmetros!B:B,_xlfn.XLOOKUP(Q2082,Parâmetros!F:F,Parâmetros!G:G,"NOVA MENSAGEM"))</f>
        <v>FORMATO DE TEXTO</v>
      </c>
      <c r="N2082" s="1" t="str">
        <f>_xlfn.XLOOKUP(M2082,Parâmetros!K:K,Parâmetros!L:L,"")</f>
        <v>TEXTO FORA DO PADRÃO ACEITO NO CAMPO</v>
      </c>
      <c r="O2082" s="1" t="str">
        <f>_xlfn.XLOOKUP(M2082,Parâmetros!B:B,Parâmetros!C:C,_xlfn.XLOOKUP(Base!M2080,Parâmetros!G:G,Parâmetros!H:H))</f>
        <v>INDEFINIDO</v>
      </c>
      <c r="P2082" s="1" t="str">
        <f>_xlfn.XLOOKUP(I2082,Parâmetros!A:A,Parâmetros!D:D,_xlfn.XLOOKUP(Q2082,Parâmetros!F:F,Parâmetros!I:I))</f>
        <v>SUPORTE OBT</v>
      </c>
      <c r="Q2082" s="1" t="str">
        <f t="shared" si="65"/>
        <v>COLUNA I</v>
      </c>
    </row>
    <row r="2083" spans="1:17" x14ac:dyDescent="0.25">
      <c r="A2083" s="1" t="str">
        <f>_xlfn.XLOOKUP(D2083,'Novo relatório'!B:B,'Novo relatório'!C:C,"RESOLVIDO")</f>
        <v>SABRE</v>
      </c>
      <c r="C2083" t="str">
        <f t="shared" si="64"/>
        <v>PENDENTE</v>
      </c>
      <c r="D2083" s="1">
        <v>3460348</v>
      </c>
      <c r="E2083" s="1" t="s">
        <v>26</v>
      </c>
      <c r="F2083" s="2">
        <v>45811.347222222219</v>
      </c>
      <c r="G2083" s="1" t="s">
        <v>2588</v>
      </c>
      <c r="H2083" s="1" t="s">
        <v>2589</v>
      </c>
      <c r="I2083" s="1" t="s">
        <v>2052</v>
      </c>
      <c r="J2083" s="2">
        <v>45811.431250000001</v>
      </c>
      <c r="L2083" s="1" t="s">
        <v>18</v>
      </c>
      <c r="M2083" s="1" t="str">
        <f>_xlfn.XLOOKUP(I2083,Parâmetros!A:A,Parâmetros!B:B,_xlfn.XLOOKUP(Q2083,Parâmetros!F:F,Parâmetros!G:G,"NOVA MENSAGEM"))</f>
        <v>CÓD. CLIENTE DIVERGENTE</v>
      </c>
      <c r="N2083" s="1" t="str">
        <f>_xlfn.XLOOKUP(M2083,Parâmetros!K:K,Parâmetros!L:L,"")</f>
        <v>CÓDIGO DIFERENTE DO CADASTRADO NO BENNER (CLIENTE X GRUPO)</v>
      </c>
      <c r="O2083" s="1" t="str">
        <f>_xlfn.XLOOKUP(M2083,Parâmetros!B:B,Parâmetros!C:C,_xlfn.XLOOKUP(Base!M2079,Parâmetros!G:G,Parâmetros!H:H))</f>
        <v>QUALIDADE DOS DADOS</v>
      </c>
      <c r="P2083" s="1" t="str">
        <f>_xlfn.XLOOKUP(I2083,Parâmetros!A:A,Parâmetros!D:D,_xlfn.XLOOKUP(Q2083,Parâmetros!F:F,Parâmetros!I:I))</f>
        <v>SUPORTE OBT</v>
      </c>
      <c r="Q2083" s="1">
        <f t="shared" si="65"/>
        <v>1</v>
      </c>
    </row>
    <row r="2084" spans="1:17" x14ac:dyDescent="0.25">
      <c r="A2084" s="1" t="str">
        <f>_xlfn.XLOOKUP(D2084,'Novo relatório'!B:B,'Novo relatório'!C:C,"RESOLVIDO")</f>
        <v>SABRE</v>
      </c>
      <c r="C2084" t="str">
        <f t="shared" si="64"/>
        <v>PENDENTE</v>
      </c>
      <c r="D2084" s="1">
        <v>3460532</v>
      </c>
      <c r="E2084" s="1" t="s">
        <v>26</v>
      </c>
      <c r="F2084" s="2">
        <v>45811.445138888892</v>
      </c>
      <c r="G2084" s="1" t="s">
        <v>2586</v>
      </c>
      <c r="H2084" s="1" t="s">
        <v>2586</v>
      </c>
      <c r="I2084" s="1" t="s">
        <v>829</v>
      </c>
      <c r="J2084" s="2">
        <v>45811.532638888886</v>
      </c>
      <c r="L2084" s="1" t="s">
        <v>18</v>
      </c>
      <c r="M2084" s="1" t="str">
        <f>_xlfn.XLOOKUP(I2084,Parâmetros!A:A,Parâmetros!B:B,_xlfn.XLOOKUP(Q2084,Parâmetros!F:F,Parâmetros!G:G,"NOVA MENSAGEM"))</f>
        <v>REMARK - CNPJ</v>
      </c>
      <c r="N2084" s="1" t="str">
        <f>_xlfn.XLOOKUP(M2084,Parâmetros!K:K,Parâmetros!L:L,"")</f>
        <v/>
      </c>
      <c r="O2084" s="1" t="e">
        <f>_xlfn.XLOOKUP(M2084,Parâmetros!B:B,Parâmetros!C:C,_xlfn.XLOOKUP(Base!M2077,Parâmetros!G:G,Parâmetros!H:H))</f>
        <v>#N/A</v>
      </c>
      <c r="P2084" s="1" t="str">
        <f>_xlfn.XLOOKUP(I2084,Parâmetros!A:A,Parâmetros!D:D,_xlfn.XLOOKUP(Q2084,Parâmetros!F:F,Parâmetros!I:I))</f>
        <v>OPERAÇÕES / SUPORTE KCS</v>
      </c>
      <c r="Q2084" s="1">
        <f t="shared" si="65"/>
        <v>24</v>
      </c>
    </row>
    <row r="2085" spans="1:17" x14ac:dyDescent="0.25">
      <c r="A2085" s="1" t="str">
        <f>_xlfn.XLOOKUP(D2085,'Novo relatório'!B:B,'Novo relatório'!C:C,"RESOLVIDO")</f>
        <v>SABRE</v>
      </c>
      <c r="C2085" t="str">
        <f t="shared" si="64"/>
        <v>PENDENTE</v>
      </c>
      <c r="D2085" s="1">
        <v>3460535</v>
      </c>
      <c r="E2085" s="1" t="s">
        <v>26</v>
      </c>
      <c r="F2085" s="2">
        <v>45811.445833333331</v>
      </c>
      <c r="G2085" s="1" t="s">
        <v>2587</v>
      </c>
      <c r="H2085" s="1" t="s">
        <v>2587</v>
      </c>
      <c r="I2085" s="1" t="s">
        <v>829</v>
      </c>
      <c r="J2085" s="2">
        <v>45811.53402777778</v>
      </c>
      <c r="L2085" s="1" t="s">
        <v>18</v>
      </c>
      <c r="M2085" s="1" t="str">
        <f>_xlfn.XLOOKUP(I2085,Parâmetros!A:A,Parâmetros!B:B,_xlfn.XLOOKUP(Q2085,Parâmetros!F:F,Parâmetros!G:G,"NOVA MENSAGEM"))</f>
        <v>REMARK - CNPJ</v>
      </c>
      <c r="N2085" s="1" t="str">
        <f>_xlfn.XLOOKUP(M2085,Parâmetros!K:K,Parâmetros!L:L,"")</f>
        <v/>
      </c>
      <c r="O2085" s="1" t="str">
        <f>_xlfn.XLOOKUP(M2085,Parâmetros!B:B,Parâmetros!C:C,_xlfn.XLOOKUP(Base!M2078,Parâmetros!G:G,Parâmetros!H:H))</f>
        <v>QUALIDADE DOS DADOS</v>
      </c>
      <c r="P2085" s="1" t="str">
        <f>_xlfn.XLOOKUP(I2085,Parâmetros!A:A,Parâmetros!D:D,_xlfn.XLOOKUP(Q2085,Parâmetros!F:F,Parâmetros!I:I))</f>
        <v>OPERAÇÕES / SUPORTE KCS</v>
      </c>
      <c r="Q2085" s="1">
        <f t="shared" si="65"/>
        <v>24</v>
      </c>
    </row>
    <row r="2086" spans="1:17" x14ac:dyDescent="0.25">
      <c r="A2086" s="1" t="str">
        <f>_xlfn.XLOOKUP(D2086,'Novo relatório'!B:B,'Novo relatório'!C:C,"RESOLVIDO")</f>
        <v>RESOLVIDO</v>
      </c>
      <c r="C2086" t="str">
        <f t="shared" si="64"/>
        <v>RESOLVIDO</v>
      </c>
      <c r="D2086" s="1">
        <v>3460794</v>
      </c>
      <c r="E2086" s="1" t="s">
        <v>12</v>
      </c>
      <c r="F2086" s="2">
        <v>45811.450694444444</v>
      </c>
      <c r="G2086" s="1">
        <v>22536</v>
      </c>
      <c r="H2086" s="1">
        <v>22536</v>
      </c>
      <c r="I2086" s="1" t="s">
        <v>416</v>
      </c>
      <c r="J2086" s="2">
        <v>45811.579861111109</v>
      </c>
      <c r="L2086" s="1" t="s">
        <v>19</v>
      </c>
      <c r="M2086" s="1" t="str">
        <f>_xlfn.XLOOKUP(I2086,Parâmetros!A:A,Parâmetros!B:B,_xlfn.XLOOKUP(Q2086,Parâmetros!F:F,Parâmetros!G:G,"NOVA MENSAGEM"))</f>
        <v>CONTRATO FORNECEDOR</v>
      </c>
      <c r="N2086" s="1" t="str">
        <f>_xlfn.XLOOKUP(M2086,Parâmetros!K:K,Parâmetros!L:L,"")</f>
        <v>CONTRATO INATIVO OU DIVERGENTE</v>
      </c>
      <c r="O2086" s="1" t="str">
        <f>_xlfn.XLOOKUP(M2086,Parâmetros!B:B,Parâmetros!C:C,_xlfn.XLOOKUP(Base!M2083,Parâmetros!G:G,Parâmetros!H:H))</f>
        <v>SISTEMA</v>
      </c>
      <c r="P2086" s="1" t="str">
        <f>_xlfn.XLOOKUP(I2086,Parâmetros!A:A,Parâmetros!D:D,_xlfn.XLOOKUP(Q2086,Parâmetros!F:F,Parâmetros!I:I))</f>
        <v>OPERAÇÕES / SUPORTE KCS</v>
      </c>
      <c r="Q2086" s="1">
        <f t="shared" si="65"/>
        <v>69</v>
      </c>
    </row>
    <row r="2087" spans="1:17" x14ac:dyDescent="0.25">
      <c r="A2087" s="1" t="str">
        <f>_xlfn.XLOOKUP(D2087,'Novo relatório'!B:B,'Novo relatório'!C:C,"RESOLVIDO")</f>
        <v>SABRE</v>
      </c>
      <c r="C2087" t="str">
        <f t="shared" ref="C2087:C2150" si="66">IF(A2087="RESOLVIDO","RESOLVIDO",IF(B2087="","PENDENTE",IF(LEFT(B2087,7)="CHAMADO","AGUARDANDO FORNECEDOR",IF(B2087="CONTABILIZAR","CONTABILIZAR NO PORTAL"))))</f>
        <v>PENDENTE</v>
      </c>
      <c r="D2087" s="1">
        <v>3465789</v>
      </c>
      <c r="E2087" s="1" t="s">
        <v>26</v>
      </c>
      <c r="F2087" s="2">
        <v>45813.402083333334</v>
      </c>
      <c r="G2087" s="1" t="s">
        <v>2594</v>
      </c>
      <c r="H2087" s="1" t="s">
        <v>2594</v>
      </c>
      <c r="I2087" s="1" t="s">
        <v>2477</v>
      </c>
      <c r="J2087" s="2">
        <v>45813.490972222222</v>
      </c>
      <c r="L2087" s="1" t="s">
        <v>18</v>
      </c>
      <c r="M2087" s="1" t="str">
        <f>_xlfn.XLOOKUP(I2087,Parâmetros!A:A,Parâmetros!B:B,_xlfn.XLOOKUP(Q2087,Parâmetros!F:F,Parâmetros!G:G,"NOVA MENSAGEM"))</f>
        <v>CÓD. CLIENTE DIVERGENTE</v>
      </c>
      <c r="N2087" s="1" t="str">
        <f>_xlfn.XLOOKUP(M2087,Parâmetros!K:K,Parâmetros!L:L,"")</f>
        <v>CÓDIGO DIFERENTE DO CADASTRADO NO BENNER (CLIENTE X GRUPO)</v>
      </c>
      <c r="O2087" s="1" t="str">
        <f>_xlfn.XLOOKUP(M2087,Parâmetros!B:B,Parâmetros!C:C,_xlfn.XLOOKUP(Base!M2084,Parâmetros!G:G,Parâmetros!H:H))</f>
        <v>QUALIDADE DOS DADOS</v>
      </c>
      <c r="P2087" s="1" t="str">
        <f>_xlfn.XLOOKUP(I2087,Parâmetros!A:A,Parâmetros!D:D,_xlfn.XLOOKUP(Q2087,Parâmetros!F:F,Parâmetros!I:I))</f>
        <v>SUPORTE OBT</v>
      </c>
      <c r="Q2087" s="1">
        <f t="shared" ref="Q2087:Q2150" si="67">IFERROR(FIND("Não foi possível localizar o contrato do fornecedor",I2087),IFERROR(FIND("veículo",I2087),IFERROR(FIND("agagem",I2087),IFERROR(FIND("error in XML document",I2087),IFERROR(FIND("Não localizado cliente código",I2087),IFERROR(FIND("lemontech",I2087),IFERROR(FIND("&gt;Fornecedor com o",I2087),IFERROR(FIND("INSERT",I2087),IFERROR(FIND("com CNPJ",I2087),IFERROR(FIND("Consultando Agente-&gt; O agente",I2087),IFERROR(FIND("Não foi possível determinar a validade do cartão, favor verificar os dados do cartão",I2087),"COLUNA I")))))))))))</f>
        <v>1</v>
      </c>
    </row>
    <row r="2088" spans="1:17" x14ac:dyDescent="0.25">
      <c r="A2088" s="1" t="str">
        <f>_xlfn.XLOOKUP(D2088,'Novo relatório'!B:B,'Novo relatório'!C:C,"RESOLVIDO")</f>
        <v>SABRE</v>
      </c>
      <c r="C2088" t="str">
        <f t="shared" si="66"/>
        <v>PENDENTE</v>
      </c>
      <c r="D2088" s="1">
        <v>3464806</v>
      </c>
      <c r="E2088" s="1" t="s">
        <v>26</v>
      </c>
      <c r="F2088" s="2">
        <v>45812.746527777781</v>
      </c>
      <c r="G2088" s="1" t="s">
        <v>2595</v>
      </c>
      <c r="H2088" s="1" t="s">
        <v>2595</v>
      </c>
      <c r="I2088" s="1" t="s">
        <v>83</v>
      </c>
      <c r="J2088" s="2">
        <v>45812.836111111108</v>
      </c>
      <c r="L2088" s="1" t="s">
        <v>18</v>
      </c>
      <c r="M2088" s="1" t="str">
        <f>_xlfn.XLOOKUP(I2088,Parâmetros!A:A,Parâmetros!B:B,_xlfn.XLOOKUP(Q2088,Parâmetros!F:F,Parâmetros!G:G,"NOVA MENSAGEM"))</f>
        <v>CLIENTE NÃO IDENTIFICADO</v>
      </c>
      <c r="N2088" s="1" t="str">
        <f>_xlfn.XLOOKUP(M2088,Parâmetros!K:K,Parâmetros!L:L,"")</f>
        <v>DK DE CLIENTE NÃO PREENCIDO / CLIENTE NÃO CONFIGURADO NO OBT</v>
      </c>
      <c r="O2088" s="1" t="str">
        <f>_xlfn.XLOOKUP(M2088,Parâmetros!B:B,Parâmetros!C:C,_xlfn.XLOOKUP(Base!M2085,Parâmetros!G:G,Parâmetros!H:H))</f>
        <v>INDEFINIDO</v>
      </c>
      <c r="P2088" s="1" t="str">
        <f>_xlfn.XLOOKUP(I2088,Parâmetros!A:A,Parâmetros!D:D,_xlfn.XLOOKUP(Q2088,Parâmetros!F:F,Parâmetros!I:I))</f>
        <v>OPERAÇÕES / SUPORTE KCS</v>
      </c>
      <c r="Q2088" s="1" t="str">
        <f t="shared" si="67"/>
        <v>COLUNA I</v>
      </c>
    </row>
    <row r="2089" spans="1:17" x14ac:dyDescent="0.25">
      <c r="A2089" s="1" t="str">
        <f>_xlfn.XLOOKUP(D2089,'Novo relatório'!B:B,'Novo relatório'!C:C,"RESOLVIDO")</f>
        <v>SABRE</v>
      </c>
      <c r="C2089" t="str">
        <f t="shared" si="66"/>
        <v>PENDENTE</v>
      </c>
      <c r="D2089" s="1">
        <v>3465660</v>
      </c>
      <c r="E2089" s="1" t="s">
        <v>26</v>
      </c>
      <c r="F2089" s="2">
        <v>45813.348611111112</v>
      </c>
      <c r="G2089" s="1" t="s">
        <v>2596</v>
      </c>
      <c r="H2089" s="1" t="s">
        <v>2596</v>
      </c>
      <c r="I2089" s="1" t="s">
        <v>746</v>
      </c>
      <c r="J2089" s="2">
        <v>45813.439583333333</v>
      </c>
      <c r="L2089" s="1" t="s">
        <v>18</v>
      </c>
      <c r="M2089" s="1" t="str">
        <f>_xlfn.XLOOKUP(I2089,Parâmetros!A:A,Parâmetros!B:B,_xlfn.XLOOKUP(Q2089,Parâmetros!F:F,Parâmetros!G:G,"NOVA MENSAGEM"))</f>
        <v>CÓD. CLIENTE DIVERGENTE</v>
      </c>
      <c r="N2089" s="1" t="str">
        <f>_xlfn.XLOOKUP(M2089,Parâmetros!K:K,Parâmetros!L:L,"")</f>
        <v>CÓDIGO DIFERENTE DO CADASTRADO NO BENNER (CLIENTE X GRUPO)</v>
      </c>
      <c r="O2089" s="1" t="str">
        <f>_xlfn.XLOOKUP(M2089,Parâmetros!B:B,Parâmetros!C:C,_xlfn.XLOOKUP(Base!M2086,Parâmetros!G:G,Parâmetros!H:H))</f>
        <v>QUALIDADE DOS DADOS</v>
      </c>
      <c r="P2089" s="1" t="str">
        <f>_xlfn.XLOOKUP(I2089,Parâmetros!A:A,Parâmetros!D:D,_xlfn.XLOOKUP(Q2089,Parâmetros!F:F,Parâmetros!I:I))</f>
        <v>SUPORTE OBT</v>
      </c>
      <c r="Q2089" s="1">
        <f t="shared" si="67"/>
        <v>1</v>
      </c>
    </row>
    <row r="2090" spans="1:17" x14ac:dyDescent="0.25">
      <c r="A2090" s="1" t="str">
        <f>_xlfn.XLOOKUP(D2090,'Novo relatório'!B:B,'Novo relatório'!C:C,"RESOLVIDO")</f>
        <v>SABRE</v>
      </c>
      <c r="C2090" t="str">
        <f t="shared" si="66"/>
        <v>PENDENTE</v>
      </c>
      <c r="D2090" s="1">
        <v>3465757</v>
      </c>
      <c r="E2090" s="1" t="s">
        <v>26</v>
      </c>
      <c r="F2090" s="2">
        <v>45813.390277777777</v>
      </c>
      <c r="G2090" s="1" t="s">
        <v>2597</v>
      </c>
      <c r="H2090" s="1" t="s">
        <v>2598</v>
      </c>
      <c r="I2090" s="1" t="s">
        <v>64</v>
      </c>
      <c r="J2090" s="2">
        <v>45813.480555555558</v>
      </c>
      <c r="L2090" s="1" t="s">
        <v>1244</v>
      </c>
      <c r="M2090" s="1" t="str">
        <f>_xlfn.XLOOKUP(I2090,Parâmetros!A:A,Parâmetros!B:B,_xlfn.XLOOKUP(Q2090,Parâmetros!F:F,Parâmetros!G:G,"NOVA MENSAGEM"))</f>
        <v>FORMATO DE TEXTO</v>
      </c>
      <c r="N2090" s="1" t="str">
        <f>_xlfn.XLOOKUP(M2090,Parâmetros!K:K,Parâmetros!L:L,"")</f>
        <v>TEXTO FORA DO PADRÃO ACEITO NO CAMPO</v>
      </c>
      <c r="O2090" s="1" t="str">
        <f>_xlfn.XLOOKUP(M2090,Parâmetros!B:B,Parâmetros!C:C,_xlfn.XLOOKUP(Base!M2087,Parâmetros!G:G,Parâmetros!H:H))</f>
        <v>INDEFINIDO</v>
      </c>
      <c r="P2090" s="1" t="str">
        <f>_xlfn.XLOOKUP(I2090,Parâmetros!A:A,Parâmetros!D:D,_xlfn.XLOOKUP(Q2090,Parâmetros!F:F,Parâmetros!I:I))</f>
        <v>SUPORTE OBT</v>
      </c>
      <c r="Q2090" s="1" t="str">
        <f t="shared" si="67"/>
        <v>COLUNA I</v>
      </c>
    </row>
    <row r="2091" spans="1:17" x14ac:dyDescent="0.25">
      <c r="A2091" s="1" t="str">
        <f>_xlfn.XLOOKUP(D2091,'Novo relatório'!B:B,'Novo relatório'!C:C,"RESOLVIDO")</f>
        <v>SABRE</v>
      </c>
      <c r="C2091" t="str">
        <f t="shared" si="66"/>
        <v>PENDENTE</v>
      </c>
      <c r="D2091" s="1">
        <v>3464801</v>
      </c>
      <c r="E2091" s="1" t="s">
        <v>26</v>
      </c>
      <c r="F2091" s="2">
        <v>45812.746527777781</v>
      </c>
      <c r="G2091" s="1" t="s">
        <v>2599</v>
      </c>
      <c r="H2091" s="1" t="s">
        <v>2599</v>
      </c>
      <c r="I2091" s="1" t="s">
        <v>83</v>
      </c>
      <c r="J2091" s="2">
        <v>45812.836111111108</v>
      </c>
      <c r="L2091" s="1" t="s">
        <v>18</v>
      </c>
      <c r="M2091" s="1" t="str">
        <f>_xlfn.XLOOKUP(I2091,Parâmetros!A:A,Parâmetros!B:B,_xlfn.XLOOKUP(Q2091,Parâmetros!F:F,Parâmetros!G:G,"NOVA MENSAGEM"))</f>
        <v>CLIENTE NÃO IDENTIFICADO</v>
      </c>
      <c r="N2091" s="1" t="str">
        <f>_xlfn.XLOOKUP(M2091,Parâmetros!K:K,Parâmetros!L:L,"")</f>
        <v>DK DE CLIENTE NÃO PREENCIDO / CLIENTE NÃO CONFIGURADO NO OBT</v>
      </c>
      <c r="O2091" s="1" t="str">
        <f>_xlfn.XLOOKUP(M2091,Parâmetros!B:B,Parâmetros!C:C,_xlfn.XLOOKUP(Base!M2088,Parâmetros!G:G,Parâmetros!H:H))</f>
        <v>INDEFINIDO</v>
      </c>
      <c r="P2091" s="1" t="str">
        <f>_xlfn.XLOOKUP(I2091,Parâmetros!A:A,Parâmetros!D:D,_xlfn.XLOOKUP(Q2091,Parâmetros!F:F,Parâmetros!I:I))</f>
        <v>OPERAÇÕES / SUPORTE KCS</v>
      </c>
      <c r="Q2091" s="1" t="str">
        <f t="shared" si="67"/>
        <v>COLUNA I</v>
      </c>
    </row>
    <row r="2092" spans="1:17" x14ac:dyDescent="0.25">
      <c r="A2092" s="1" t="str">
        <f>_xlfn.XLOOKUP(D2092,'Novo relatório'!B:B,'Novo relatório'!C:C,"RESOLVIDO")</f>
        <v>SABRE</v>
      </c>
      <c r="C2092" t="str">
        <f t="shared" si="66"/>
        <v>PENDENTE</v>
      </c>
      <c r="D2092" s="1">
        <v>3468152</v>
      </c>
      <c r="E2092" s="1" t="s">
        <v>26</v>
      </c>
      <c r="F2092" s="2">
        <v>45814.341666666667</v>
      </c>
      <c r="G2092" s="1" t="s">
        <v>2600</v>
      </c>
      <c r="H2092" s="1" t="s">
        <v>2600</v>
      </c>
      <c r="I2092" s="1" t="s">
        <v>410</v>
      </c>
      <c r="J2092" s="2">
        <v>45814.428472222222</v>
      </c>
      <c r="L2092" s="1" t="s">
        <v>18</v>
      </c>
      <c r="M2092" s="1" t="str">
        <f>_xlfn.XLOOKUP(I2092,Parâmetros!A:A,Parâmetros!B:B,_xlfn.XLOOKUP(Q2092,Parâmetros!F:F,Parâmetros!G:G,"NOVA MENSAGEM"))</f>
        <v>CÓD. CLIENTE DIVERGENTE</v>
      </c>
      <c r="N2092" s="1" t="str">
        <f>_xlfn.XLOOKUP(M2092,Parâmetros!K:K,Parâmetros!L:L,"")</f>
        <v>CÓDIGO DIFERENTE DO CADASTRADO NO BENNER (CLIENTE X GRUPO)</v>
      </c>
      <c r="O2092" s="1" t="str">
        <f>_xlfn.XLOOKUP(M2092,Parâmetros!B:B,Parâmetros!C:C,_xlfn.XLOOKUP(Base!M2089,Parâmetros!G:G,Parâmetros!H:H))</f>
        <v>QUALIDADE DOS DADOS</v>
      </c>
      <c r="P2092" s="1" t="str">
        <f>_xlfn.XLOOKUP(I2092,Parâmetros!A:A,Parâmetros!D:D,_xlfn.XLOOKUP(Q2092,Parâmetros!F:F,Parâmetros!I:I))</f>
        <v>SUPORTE OBT</v>
      </c>
      <c r="Q2092" s="1">
        <f t="shared" si="67"/>
        <v>1</v>
      </c>
    </row>
    <row r="2093" spans="1:17" x14ac:dyDescent="0.25">
      <c r="A2093" s="1" t="str">
        <f>_xlfn.XLOOKUP(D2093,'Novo relatório'!B:B,'Novo relatório'!C:C,"RESOLVIDO")</f>
        <v>SABRE</v>
      </c>
      <c r="C2093" t="str">
        <f t="shared" si="66"/>
        <v>PENDENTE</v>
      </c>
      <c r="D2093" s="1">
        <v>3465696</v>
      </c>
      <c r="E2093" s="1" t="s">
        <v>26</v>
      </c>
      <c r="F2093" s="2">
        <v>45813.372916666667</v>
      </c>
      <c r="G2093" s="1" t="s">
        <v>2601</v>
      </c>
      <c r="H2093" s="1" t="s">
        <v>2602</v>
      </c>
      <c r="I2093" s="1" t="s">
        <v>64</v>
      </c>
      <c r="J2093" s="2">
        <v>45813.461111111108</v>
      </c>
      <c r="L2093" s="1" t="s">
        <v>1244</v>
      </c>
      <c r="M2093" s="1" t="str">
        <f>_xlfn.XLOOKUP(I2093,Parâmetros!A:A,Parâmetros!B:B,_xlfn.XLOOKUP(Q2093,Parâmetros!F:F,Parâmetros!G:G,"NOVA MENSAGEM"))</f>
        <v>FORMATO DE TEXTO</v>
      </c>
      <c r="N2093" s="1" t="str">
        <f>_xlfn.XLOOKUP(M2093,Parâmetros!K:K,Parâmetros!L:L,"")</f>
        <v>TEXTO FORA DO PADRÃO ACEITO NO CAMPO</v>
      </c>
      <c r="O2093" s="1" t="str">
        <f>_xlfn.XLOOKUP(M2093,Parâmetros!B:B,Parâmetros!C:C,_xlfn.XLOOKUP(Base!M2090,Parâmetros!G:G,Parâmetros!H:H))</f>
        <v>INDEFINIDO</v>
      </c>
      <c r="P2093" s="1" t="str">
        <f>_xlfn.XLOOKUP(I2093,Parâmetros!A:A,Parâmetros!D:D,_xlfn.XLOOKUP(Q2093,Parâmetros!F:F,Parâmetros!I:I))</f>
        <v>SUPORTE OBT</v>
      </c>
      <c r="Q2093" s="1" t="str">
        <f t="shared" si="67"/>
        <v>COLUNA I</v>
      </c>
    </row>
    <row r="2094" spans="1:17" x14ac:dyDescent="0.25">
      <c r="A2094" s="1" t="str">
        <f>_xlfn.XLOOKUP(D2094,'Novo relatório'!B:B,'Novo relatório'!C:C,"RESOLVIDO")</f>
        <v>SABRE</v>
      </c>
      <c r="C2094" t="str">
        <f t="shared" si="66"/>
        <v>PENDENTE</v>
      </c>
      <c r="D2094" s="1">
        <v>3465782</v>
      </c>
      <c r="E2094" s="1" t="s">
        <v>26</v>
      </c>
      <c r="F2094" s="2">
        <v>45813.402083333334</v>
      </c>
      <c r="G2094" s="1" t="s">
        <v>2603</v>
      </c>
      <c r="H2094" s="1" t="s">
        <v>2603</v>
      </c>
      <c r="I2094" s="1" t="s">
        <v>746</v>
      </c>
      <c r="J2094" s="2">
        <v>45813.490972222222</v>
      </c>
      <c r="L2094" s="1" t="s">
        <v>18</v>
      </c>
      <c r="M2094" s="1" t="str">
        <f>_xlfn.XLOOKUP(I2094,Parâmetros!A:A,Parâmetros!B:B,_xlfn.XLOOKUP(Q2094,Parâmetros!F:F,Parâmetros!G:G,"NOVA MENSAGEM"))</f>
        <v>CÓD. CLIENTE DIVERGENTE</v>
      </c>
      <c r="N2094" s="1" t="str">
        <f>_xlfn.XLOOKUP(M2094,Parâmetros!K:K,Parâmetros!L:L,"")</f>
        <v>CÓDIGO DIFERENTE DO CADASTRADO NO BENNER (CLIENTE X GRUPO)</v>
      </c>
      <c r="O2094" s="1" t="str">
        <f>_xlfn.XLOOKUP(M2094,Parâmetros!B:B,Parâmetros!C:C,_xlfn.XLOOKUP(Base!M2091,Parâmetros!G:G,Parâmetros!H:H))</f>
        <v>QUALIDADE DOS DADOS</v>
      </c>
      <c r="P2094" s="1" t="str">
        <f>_xlfn.XLOOKUP(I2094,Parâmetros!A:A,Parâmetros!D:D,_xlfn.XLOOKUP(Q2094,Parâmetros!F:F,Parâmetros!I:I))</f>
        <v>SUPORTE OBT</v>
      </c>
      <c r="Q2094" s="1">
        <f t="shared" si="67"/>
        <v>1</v>
      </c>
    </row>
    <row r="2095" spans="1:17" x14ac:dyDescent="0.25">
      <c r="A2095" s="1" t="str">
        <f>_xlfn.XLOOKUP(D2095,'Novo relatório'!B:B,'Novo relatório'!C:C,"RESOLVIDO")</f>
        <v>SABRE</v>
      </c>
      <c r="C2095" t="str">
        <f t="shared" si="66"/>
        <v>PENDENTE</v>
      </c>
      <c r="D2095" s="1">
        <v>3465781</v>
      </c>
      <c r="E2095" s="1" t="s">
        <v>26</v>
      </c>
      <c r="F2095" s="2">
        <v>45813.402083333334</v>
      </c>
      <c r="G2095" s="1" t="s">
        <v>2604</v>
      </c>
      <c r="H2095" s="1" t="s">
        <v>2604</v>
      </c>
      <c r="I2095" s="1" t="s">
        <v>746</v>
      </c>
      <c r="J2095" s="2">
        <v>45813.490277777775</v>
      </c>
      <c r="L2095" s="1" t="s">
        <v>18</v>
      </c>
      <c r="M2095" s="1" t="str">
        <f>_xlfn.XLOOKUP(I2095,Parâmetros!A:A,Parâmetros!B:B,_xlfn.XLOOKUP(Q2095,Parâmetros!F:F,Parâmetros!G:G,"NOVA MENSAGEM"))</f>
        <v>CÓD. CLIENTE DIVERGENTE</v>
      </c>
      <c r="N2095" s="1" t="str">
        <f>_xlfn.XLOOKUP(M2095,Parâmetros!K:K,Parâmetros!L:L,"")</f>
        <v>CÓDIGO DIFERENTE DO CADASTRADO NO BENNER (CLIENTE X GRUPO)</v>
      </c>
      <c r="O2095" s="1" t="str">
        <f>_xlfn.XLOOKUP(M2095,Parâmetros!B:B,Parâmetros!C:C,_xlfn.XLOOKUP(Base!M2092,Parâmetros!G:G,Parâmetros!H:H))</f>
        <v>QUALIDADE DOS DADOS</v>
      </c>
      <c r="P2095" s="1" t="str">
        <f>_xlfn.XLOOKUP(I2095,Parâmetros!A:A,Parâmetros!D:D,_xlfn.XLOOKUP(Q2095,Parâmetros!F:F,Parâmetros!I:I))</f>
        <v>SUPORTE OBT</v>
      </c>
      <c r="Q2095" s="1">
        <f t="shared" si="67"/>
        <v>1</v>
      </c>
    </row>
    <row r="2096" spans="1:17" x14ac:dyDescent="0.25">
      <c r="A2096" s="1" t="str">
        <f>_xlfn.XLOOKUP(D2096,'Novo relatório'!B:B,'Novo relatório'!C:C,"RESOLVIDO")</f>
        <v>SABRE</v>
      </c>
      <c r="C2096" t="str">
        <f t="shared" si="66"/>
        <v>PENDENTE</v>
      </c>
      <c r="D2096" s="1">
        <v>3466971</v>
      </c>
      <c r="E2096" s="1" t="s">
        <v>26</v>
      </c>
      <c r="F2096" s="2">
        <v>45813.647916666669</v>
      </c>
      <c r="G2096" s="1" t="s">
        <v>2605</v>
      </c>
      <c r="H2096" s="1" t="s">
        <v>2605</v>
      </c>
      <c r="I2096" s="1" t="s">
        <v>83</v>
      </c>
      <c r="J2096" s="2">
        <v>45813.740277777775</v>
      </c>
      <c r="L2096" s="1" t="s">
        <v>18</v>
      </c>
      <c r="M2096" s="1" t="str">
        <f>_xlfn.XLOOKUP(I2096,Parâmetros!A:A,Parâmetros!B:B,_xlfn.XLOOKUP(Q2096,Parâmetros!F:F,Parâmetros!G:G,"NOVA MENSAGEM"))</f>
        <v>CLIENTE NÃO IDENTIFICADO</v>
      </c>
      <c r="N2096" s="1" t="str">
        <f>_xlfn.XLOOKUP(M2096,Parâmetros!K:K,Parâmetros!L:L,"")</f>
        <v>DK DE CLIENTE NÃO PREENCIDO / CLIENTE NÃO CONFIGURADO NO OBT</v>
      </c>
      <c r="O2096" s="1" t="str">
        <f>_xlfn.XLOOKUP(M2096,Parâmetros!B:B,Parâmetros!C:C,_xlfn.XLOOKUP(Base!M2093,Parâmetros!G:G,Parâmetros!H:H))</f>
        <v>INDEFINIDO</v>
      </c>
      <c r="P2096" s="1" t="str">
        <f>_xlfn.XLOOKUP(I2096,Parâmetros!A:A,Parâmetros!D:D,_xlfn.XLOOKUP(Q2096,Parâmetros!F:F,Parâmetros!I:I))</f>
        <v>OPERAÇÕES / SUPORTE KCS</v>
      </c>
      <c r="Q2096" s="1" t="str">
        <f t="shared" si="67"/>
        <v>COLUNA I</v>
      </c>
    </row>
    <row r="2097" spans="1:17" x14ac:dyDescent="0.25">
      <c r="A2097" s="1" t="str">
        <f>_xlfn.XLOOKUP(D2097,'Novo relatório'!B:B,'Novo relatório'!C:C,"RESOLVIDO")</f>
        <v>SABRE</v>
      </c>
      <c r="C2097" t="str">
        <f t="shared" si="66"/>
        <v>PENDENTE</v>
      </c>
      <c r="D2097" s="1">
        <v>3461717</v>
      </c>
      <c r="E2097" s="1" t="s">
        <v>26</v>
      </c>
      <c r="F2097" s="2">
        <v>45811.685416666667</v>
      </c>
      <c r="G2097" s="1" t="s">
        <v>2606</v>
      </c>
      <c r="H2097" s="1" t="s">
        <v>2606</v>
      </c>
      <c r="I2097" s="1" t="s">
        <v>83</v>
      </c>
      <c r="J2097" s="2">
        <v>45811.772222222222</v>
      </c>
      <c r="L2097" s="1" t="s">
        <v>18</v>
      </c>
      <c r="M2097" s="1" t="str">
        <f>_xlfn.XLOOKUP(I2097,Parâmetros!A:A,Parâmetros!B:B,_xlfn.XLOOKUP(Q2097,Parâmetros!F:F,Parâmetros!G:G,"NOVA MENSAGEM"))</f>
        <v>CLIENTE NÃO IDENTIFICADO</v>
      </c>
      <c r="N2097" s="1" t="str">
        <f>_xlfn.XLOOKUP(M2097,Parâmetros!K:K,Parâmetros!L:L,"")</f>
        <v>DK DE CLIENTE NÃO PREENCIDO / CLIENTE NÃO CONFIGURADO NO OBT</v>
      </c>
      <c r="O2097" s="1" t="str">
        <f>_xlfn.XLOOKUP(M2097,Parâmetros!B:B,Parâmetros!C:C,_xlfn.XLOOKUP(Base!M2094,Parâmetros!G:G,Parâmetros!H:H))</f>
        <v>INDEFINIDO</v>
      </c>
      <c r="P2097" s="1" t="str">
        <f>_xlfn.XLOOKUP(I2097,Parâmetros!A:A,Parâmetros!D:D,_xlfn.XLOOKUP(Q2097,Parâmetros!F:F,Parâmetros!I:I))</f>
        <v>OPERAÇÕES / SUPORTE KCS</v>
      </c>
      <c r="Q2097" s="1" t="str">
        <f t="shared" si="67"/>
        <v>COLUNA I</v>
      </c>
    </row>
    <row r="2098" spans="1:17" x14ac:dyDescent="0.25">
      <c r="A2098" s="1" t="str">
        <f>_xlfn.XLOOKUP(D2098,'Novo relatório'!B:B,'Novo relatório'!C:C,"RESOLVIDO")</f>
        <v>SABRE</v>
      </c>
      <c r="C2098" t="str">
        <f t="shared" si="66"/>
        <v>PENDENTE</v>
      </c>
      <c r="D2098" s="1">
        <v>3465791</v>
      </c>
      <c r="E2098" s="1" t="s">
        <v>26</v>
      </c>
      <c r="F2098" s="2">
        <v>45813.402083333334</v>
      </c>
      <c r="G2098" s="1" t="s">
        <v>2607</v>
      </c>
      <c r="H2098" s="1" t="s">
        <v>2608</v>
      </c>
      <c r="I2098" s="1" t="s">
        <v>64</v>
      </c>
      <c r="J2098" s="2">
        <v>45813.491666666669</v>
      </c>
      <c r="L2098" s="1" t="s">
        <v>1244</v>
      </c>
      <c r="M2098" s="1" t="str">
        <f>_xlfn.XLOOKUP(I2098,Parâmetros!A:A,Parâmetros!B:B,_xlfn.XLOOKUP(Q2098,Parâmetros!F:F,Parâmetros!G:G,"NOVA MENSAGEM"))</f>
        <v>FORMATO DE TEXTO</v>
      </c>
      <c r="N2098" s="1" t="str">
        <f>_xlfn.XLOOKUP(M2098,Parâmetros!K:K,Parâmetros!L:L,"")</f>
        <v>TEXTO FORA DO PADRÃO ACEITO NO CAMPO</v>
      </c>
      <c r="O2098" s="1" t="str">
        <f>_xlfn.XLOOKUP(M2098,Parâmetros!B:B,Parâmetros!C:C,_xlfn.XLOOKUP(Base!M2095,Parâmetros!G:G,Parâmetros!H:H))</f>
        <v>INDEFINIDO</v>
      </c>
      <c r="P2098" s="1" t="str">
        <f>_xlfn.XLOOKUP(I2098,Parâmetros!A:A,Parâmetros!D:D,_xlfn.XLOOKUP(Q2098,Parâmetros!F:F,Parâmetros!I:I))</f>
        <v>SUPORTE OBT</v>
      </c>
      <c r="Q2098" s="1" t="str">
        <f t="shared" si="67"/>
        <v>COLUNA I</v>
      </c>
    </row>
    <row r="2099" spans="1:17" x14ac:dyDescent="0.25">
      <c r="A2099" s="1" t="str">
        <f>_xlfn.XLOOKUP(D2099,'Novo relatório'!B:B,'Novo relatório'!C:C,"RESOLVIDO")</f>
        <v>SABRE</v>
      </c>
      <c r="C2099" t="str">
        <f t="shared" si="66"/>
        <v>PENDENTE</v>
      </c>
      <c r="D2099" s="1">
        <v>3465659</v>
      </c>
      <c r="E2099" s="1" t="s">
        <v>26</v>
      </c>
      <c r="F2099" s="2">
        <v>45813.348611111112</v>
      </c>
      <c r="G2099" s="1" t="s">
        <v>2609</v>
      </c>
      <c r="H2099" s="1" t="s">
        <v>2609</v>
      </c>
      <c r="I2099" s="1" t="s">
        <v>746</v>
      </c>
      <c r="J2099" s="2">
        <v>45813.439583333333</v>
      </c>
      <c r="L2099" s="1" t="s">
        <v>18</v>
      </c>
      <c r="M2099" s="1" t="str">
        <f>_xlfn.XLOOKUP(I2099,Parâmetros!A:A,Parâmetros!B:B,_xlfn.XLOOKUP(Q2099,Parâmetros!F:F,Parâmetros!G:G,"NOVA MENSAGEM"))</f>
        <v>CÓD. CLIENTE DIVERGENTE</v>
      </c>
      <c r="N2099" s="1" t="str">
        <f>_xlfn.XLOOKUP(M2099,Parâmetros!K:K,Parâmetros!L:L,"")</f>
        <v>CÓDIGO DIFERENTE DO CADASTRADO NO BENNER (CLIENTE X GRUPO)</v>
      </c>
      <c r="O2099" s="1" t="str">
        <f>_xlfn.XLOOKUP(M2099,Parâmetros!B:B,Parâmetros!C:C,_xlfn.XLOOKUP(Base!M2096,Parâmetros!G:G,Parâmetros!H:H))</f>
        <v>QUALIDADE DOS DADOS</v>
      </c>
      <c r="P2099" s="1" t="str">
        <f>_xlfn.XLOOKUP(I2099,Parâmetros!A:A,Parâmetros!D:D,_xlfn.XLOOKUP(Q2099,Parâmetros!F:F,Parâmetros!I:I))</f>
        <v>SUPORTE OBT</v>
      </c>
      <c r="Q2099" s="1">
        <f t="shared" si="67"/>
        <v>1</v>
      </c>
    </row>
    <row r="2100" spans="1:17" x14ac:dyDescent="0.25">
      <c r="A2100" s="1" t="str">
        <f>_xlfn.XLOOKUP(D2100,'Novo relatório'!B:B,'Novo relatório'!C:C,"RESOLVIDO")</f>
        <v>SABRE</v>
      </c>
      <c r="C2100" t="str">
        <f t="shared" si="66"/>
        <v>PENDENTE</v>
      </c>
      <c r="D2100" s="1">
        <v>3465658</v>
      </c>
      <c r="E2100" s="1" t="s">
        <v>26</v>
      </c>
      <c r="F2100" s="2">
        <v>45813.348611111112</v>
      </c>
      <c r="G2100" s="1" t="s">
        <v>2610</v>
      </c>
      <c r="H2100" s="1" t="s">
        <v>2610</v>
      </c>
      <c r="I2100" s="1" t="s">
        <v>746</v>
      </c>
      <c r="J2100" s="2">
        <v>45813.439583333333</v>
      </c>
      <c r="L2100" s="1" t="s">
        <v>18</v>
      </c>
      <c r="M2100" s="1" t="str">
        <f>_xlfn.XLOOKUP(I2100,Parâmetros!A:A,Parâmetros!B:B,_xlfn.XLOOKUP(Q2100,Parâmetros!F:F,Parâmetros!G:G,"NOVA MENSAGEM"))</f>
        <v>CÓD. CLIENTE DIVERGENTE</v>
      </c>
      <c r="N2100" s="1" t="str">
        <f>_xlfn.XLOOKUP(M2100,Parâmetros!K:K,Parâmetros!L:L,"")</f>
        <v>CÓDIGO DIFERENTE DO CADASTRADO NO BENNER (CLIENTE X GRUPO)</v>
      </c>
      <c r="O2100" s="1" t="str">
        <f>_xlfn.XLOOKUP(M2100,Parâmetros!B:B,Parâmetros!C:C,_xlfn.XLOOKUP(Base!M2097,Parâmetros!G:G,Parâmetros!H:H))</f>
        <v>QUALIDADE DOS DADOS</v>
      </c>
      <c r="P2100" s="1" t="str">
        <f>_xlfn.XLOOKUP(I2100,Parâmetros!A:A,Parâmetros!D:D,_xlfn.XLOOKUP(Q2100,Parâmetros!F:F,Parâmetros!I:I))</f>
        <v>SUPORTE OBT</v>
      </c>
      <c r="Q2100" s="1">
        <f t="shared" si="67"/>
        <v>1</v>
      </c>
    </row>
    <row r="2101" spans="1:17" x14ac:dyDescent="0.25">
      <c r="A2101" s="1" t="str">
        <f>_xlfn.XLOOKUP(D2101,'Novo relatório'!B:B,'Novo relatório'!C:C,"RESOLVIDO")</f>
        <v>SABRE</v>
      </c>
      <c r="C2101" t="str">
        <f t="shared" si="66"/>
        <v>PENDENTE</v>
      </c>
      <c r="D2101" s="1">
        <v>3464790</v>
      </c>
      <c r="E2101" s="1" t="s">
        <v>26</v>
      </c>
      <c r="F2101" s="2">
        <v>45812.746527777781</v>
      </c>
      <c r="G2101" s="1" t="s">
        <v>2611</v>
      </c>
      <c r="H2101" s="1" t="s">
        <v>2611</v>
      </c>
      <c r="I2101" s="1" t="s">
        <v>83</v>
      </c>
      <c r="J2101" s="2">
        <v>45812.835416666669</v>
      </c>
      <c r="L2101" s="1" t="s">
        <v>18</v>
      </c>
      <c r="M2101" s="1" t="str">
        <f>_xlfn.XLOOKUP(I2101,Parâmetros!A:A,Parâmetros!B:B,_xlfn.XLOOKUP(Q2101,Parâmetros!F:F,Parâmetros!G:G,"NOVA MENSAGEM"))</f>
        <v>CLIENTE NÃO IDENTIFICADO</v>
      </c>
      <c r="N2101" s="1" t="str">
        <f>_xlfn.XLOOKUP(M2101,Parâmetros!K:K,Parâmetros!L:L,"")</f>
        <v>DK DE CLIENTE NÃO PREENCIDO / CLIENTE NÃO CONFIGURADO NO OBT</v>
      </c>
      <c r="O2101" s="1" t="str">
        <f>_xlfn.XLOOKUP(M2101,Parâmetros!B:B,Parâmetros!C:C,_xlfn.XLOOKUP(Base!M2098,Parâmetros!G:G,Parâmetros!H:H))</f>
        <v>INDEFINIDO</v>
      </c>
      <c r="P2101" s="1" t="str">
        <f>_xlfn.XLOOKUP(I2101,Parâmetros!A:A,Parâmetros!D:D,_xlfn.XLOOKUP(Q2101,Parâmetros!F:F,Parâmetros!I:I))</f>
        <v>OPERAÇÕES / SUPORTE KCS</v>
      </c>
      <c r="Q2101" s="1" t="str">
        <f t="shared" si="67"/>
        <v>COLUNA I</v>
      </c>
    </row>
    <row r="2102" spans="1:17" x14ac:dyDescent="0.25">
      <c r="A2102" s="1" t="str">
        <f>_xlfn.XLOOKUP(D2102,'Novo relatório'!B:B,'Novo relatório'!C:C,"RESOLVIDO")</f>
        <v>SABRE</v>
      </c>
      <c r="C2102" t="str">
        <f t="shared" si="66"/>
        <v>PENDENTE</v>
      </c>
      <c r="D2102" s="1">
        <v>3466395</v>
      </c>
      <c r="E2102" s="1" t="s">
        <v>26</v>
      </c>
      <c r="F2102" s="2">
        <v>45813.540972222225</v>
      </c>
      <c r="G2102" s="1" t="s">
        <v>2612</v>
      </c>
      <c r="H2102" s="1" t="s">
        <v>2612</v>
      </c>
      <c r="I2102" s="1" t="s">
        <v>578</v>
      </c>
      <c r="J2102" s="2">
        <v>45813.626388888886</v>
      </c>
      <c r="K2102" s="2">
        <v>45813.627083333333</v>
      </c>
      <c r="L2102" s="1" t="s">
        <v>18</v>
      </c>
      <c r="M2102" s="1" t="str">
        <f>_xlfn.XLOOKUP(I2102,Parâmetros!A:A,Parâmetros!B:B,_xlfn.XLOOKUP(Q2102,Parâmetros!F:F,Parâmetros!G:G,"NOVA MENSAGEM"))</f>
        <v>REMARK - CNPJ</v>
      </c>
      <c r="N2102" s="1" t="str">
        <f>_xlfn.XLOOKUP(M2102,Parâmetros!K:K,Parâmetros!L:L,"")</f>
        <v/>
      </c>
      <c r="O2102" s="1" t="str">
        <f>_xlfn.XLOOKUP(M2102,Parâmetros!B:B,Parâmetros!C:C,_xlfn.XLOOKUP(Base!M2099,Parâmetros!G:G,Parâmetros!H:H))</f>
        <v>QUALIDADE DOS DADOS</v>
      </c>
      <c r="P2102" s="1" t="str">
        <f>_xlfn.XLOOKUP(I2102,Parâmetros!A:A,Parâmetros!D:D,_xlfn.XLOOKUP(Q2102,Parâmetros!F:F,Parâmetros!I:I))</f>
        <v>OPERAÇÕES / SUPORTE KCS</v>
      </c>
      <c r="Q2102" s="1">
        <f t="shared" si="67"/>
        <v>24</v>
      </c>
    </row>
    <row r="2103" spans="1:17" x14ac:dyDescent="0.25">
      <c r="A2103" s="1" t="str">
        <f>_xlfn.XLOOKUP(D2103,'Novo relatório'!B:B,'Novo relatório'!C:C,"RESOLVIDO")</f>
        <v>SABRE</v>
      </c>
      <c r="C2103" t="str">
        <f t="shared" si="66"/>
        <v>PENDENTE</v>
      </c>
      <c r="D2103" s="1">
        <v>3466397</v>
      </c>
      <c r="E2103" s="1" t="s">
        <v>26</v>
      </c>
      <c r="F2103" s="2">
        <v>45813.540972222225</v>
      </c>
      <c r="G2103" s="1" t="s">
        <v>2613</v>
      </c>
      <c r="H2103" s="1" t="s">
        <v>2612</v>
      </c>
      <c r="I2103" s="1" t="s">
        <v>2398</v>
      </c>
      <c r="J2103" s="2">
        <v>45813.626388888886</v>
      </c>
      <c r="K2103" s="2">
        <v>45813.62777777778</v>
      </c>
      <c r="L2103" s="1" t="s">
        <v>18</v>
      </c>
      <c r="M2103" s="1" t="str">
        <f>_xlfn.XLOOKUP(I2103,Parâmetros!A:A,Parâmetros!B:B,_xlfn.XLOOKUP(Q2103,Parâmetros!F:F,Parâmetros!G:G,"NOVA MENSAGEM"))</f>
        <v>REMARK - CNPJ</v>
      </c>
      <c r="N2103" s="1" t="str">
        <f>_xlfn.XLOOKUP(M2103,Parâmetros!K:K,Parâmetros!L:L,"")</f>
        <v/>
      </c>
      <c r="O2103" s="1" t="str">
        <f>_xlfn.XLOOKUP(M2103,Parâmetros!B:B,Parâmetros!C:C,_xlfn.XLOOKUP(Base!M2100,Parâmetros!G:G,Parâmetros!H:H))</f>
        <v>QUALIDADE DOS DADOS</v>
      </c>
      <c r="P2103" s="1" t="str">
        <f>_xlfn.XLOOKUP(I2103,Parâmetros!A:A,Parâmetros!D:D,_xlfn.XLOOKUP(Q2103,Parâmetros!F:F,Parâmetros!I:I))</f>
        <v>OPERAÇÕES / SUPORTE KCS</v>
      </c>
      <c r="Q2103" s="1">
        <f t="shared" si="67"/>
        <v>24</v>
      </c>
    </row>
    <row r="2104" spans="1:17" x14ac:dyDescent="0.25">
      <c r="A2104" s="1" t="str">
        <f>_xlfn.XLOOKUP(D2104,'Novo relatório'!B:B,'Novo relatório'!C:C,"RESOLVIDO")</f>
        <v>SABRE</v>
      </c>
      <c r="C2104" t="str">
        <f t="shared" si="66"/>
        <v>PENDENTE</v>
      </c>
      <c r="D2104" s="1">
        <v>3465572</v>
      </c>
      <c r="E2104" s="1" t="s">
        <v>26</v>
      </c>
      <c r="F2104" s="2">
        <v>45813.328472222223</v>
      </c>
      <c r="G2104" s="1" t="s">
        <v>2614</v>
      </c>
      <c r="H2104" s="1" t="s">
        <v>2615</v>
      </c>
      <c r="I2104" s="1" t="s">
        <v>2616</v>
      </c>
      <c r="J2104" s="2">
        <v>45813.417361111111</v>
      </c>
      <c r="L2104" s="1" t="s">
        <v>19</v>
      </c>
      <c r="M2104" s="1" t="str">
        <f>_xlfn.XLOOKUP(I2104,Parâmetros!A:A,Parâmetros!B:B,_xlfn.XLOOKUP(Q2104,Parâmetros!F:F,Parâmetros!G:G,"NOVA MENSAGEM"))</f>
        <v>CONTRATO FORNECEDOR</v>
      </c>
      <c r="N2104" s="1" t="str">
        <f>_xlfn.XLOOKUP(M2104,Parâmetros!K:K,Parâmetros!L:L,"")</f>
        <v>CONTRATO INATIVO OU DIVERGENTE</v>
      </c>
      <c r="O2104" s="1" t="str">
        <f>_xlfn.XLOOKUP(M2104,Parâmetros!B:B,Parâmetros!C:C,_xlfn.XLOOKUP(Base!M2101,Parâmetros!G:G,Parâmetros!H:H))</f>
        <v>SISTEMA</v>
      </c>
      <c r="P2104" s="1" t="str">
        <f>_xlfn.XLOOKUP(I2104,Parâmetros!A:A,Parâmetros!D:D,_xlfn.XLOOKUP(Q2104,Parâmetros!F:F,Parâmetros!I:I))</f>
        <v>OPERAÇÕES / SUPORTE KCS</v>
      </c>
      <c r="Q2104" s="1">
        <f t="shared" si="67"/>
        <v>43</v>
      </c>
    </row>
    <row r="2105" spans="1:17" x14ac:dyDescent="0.25">
      <c r="A2105" s="1" t="str">
        <f>_xlfn.XLOOKUP(D2105,'Novo relatório'!B:B,'Novo relatório'!C:C,"RESOLVIDO")</f>
        <v>SABRE</v>
      </c>
      <c r="C2105" t="str">
        <f t="shared" si="66"/>
        <v>PENDENTE</v>
      </c>
      <c r="D2105" s="1">
        <v>3467127</v>
      </c>
      <c r="E2105" s="1" t="s">
        <v>26</v>
      </c>
      <c r="F2105" s="2">
        <v>45813.737500000003</v>
      </c>
      <c r="G2105" s="1" t="s">
        <v>2617</v>
      </c>
      <c r="H2105" s="1" t="s">
        <v>2617</v>
      </c>
      <c r="I2105" s="1" t="s">
        <v>83</v>
      </c>
      <c r="J2105" s="2">
        <v>45813.823611111111</v>
      </c>
      <c r="L2105" s="1" t="s">
        <v>18</v>
      </c>
      <c r="M2105" s="1" t="str">
        <f>_xlfn.XLOOKUP(I2105,Parâmetros!A:A,Parâmetros!B:B,_xlfn.XLOOKUP(Q2105,Parâmetros!F:F,Parâmetros!G:G,"NOVA MENSAGEM"))</f>
        <v>CLIENTE NÃO IDENTIFICADO</v>
      </c>
      <c r="N2105" s="1" t="str">
        <f>_xlfn.XLOOKUP(M2105,Parâmetros!K:K,Parâmetros!L:L,"")</f>
        <v>DK DE CLIENTE NÃO PREENCIDO / CLIENTE NÃO CONFIGURADO NO OBT</v>
      </c>
      <c r="O2105" s="1" t="str">
        <f>_xlfn.XLOOKUP(M2105,Parâmetros!B:B,Parâmetros!C:C,_xlfn.XLOOKUP(Base!M2102,Parâmetros!G:G,Parâmetros!H:H))</f>
        <v>INDEFINIDO</v>
      </c>
      <c r="P2105" s="1" t="str">
        <f>_xlfn.XLOOKUP(I2105,Parâmetros!A:A,Parâmetros!D:D,_xlfn.XLOOKUP(Q2105,Parâmetros!F:F,Parâmetros!I:I))</f>
        <v>OPERAÇÕES / SUPORTE KCS</v>
      </c>
      <c r="Q2105" s="1" t="str">
        <f t="shared" si="67"/>
        <v>COLUNA I</v>
      </c>
    </row>
    <row r="2106" spans="1:17" x14ac:dyDescent="0.25">
      <c r="A2106" s="1" t="str">
        <f>_xlfn.XLOOKUP(D2106,'Novo relatório'!B:B,'Novo relatório'!C:C,"RESOLVIDO")</f>
        <v>SABRE</v>
      </c>
      <c r="C2106" t="str">
        <f t="shared" si="66"/>
        <v>PENDENTE</v>
      </c>
      <c r="D2106" s="1">
        <v>3467121</v>
      </c>
      <c r="E2106" s="1" t="s">
        <v>26</v>
      </c>
      <c r="F2106" s="2">
        <v>45813.720138888886</v>
      </c>
      <c r="G2106" s="1" t="s">
        <v>2618</v>
      </c>
      <c r="H2106" s="1" t="s">
        <v>2618</v>
      </c>
      <c r="I2106" s="1" t="s">
        <v>83</v>
      </c>
      <c r="J2106" s="2">
        <v>45813.813888888886</v>
      </c>
      <c r="L2106" s="1" t="s">
        <v>18</v>
      </c>
      <c r="M2106" s="1" t="str">
        <f>_xlfn.XLOOKUP(I2106,Parâmetros!A:A,Parâmetros!B:B,_xlfn.XLOOKUP(Q2106,Parâmetros!F:F,Parâmetros!G:G,"NOVA MENSAGEM"))</f>
        <v>CLIENTE NÃO IDENTIFICADO</v>
      </c>
      <c r="N2106" s="1" t="str">
        <f>_xlfn.XLOOKUP(M2106,Parâmetros!K:K,Parâmetros!L:L,"")</f>
        <v>DK DE CLIENTE NÃO PREENCIDO / CLIENTE NÃO CONFIGURADO NO OBT</v>
      </c>
      <c r="O2106" s="1" t="str">
        <f>_xlfn.XLOOKUP(M2106,Parâmetros!B:B,Parâmetros!C:C,_xlfn.XLOOKUP(Base!M2103,Parâmetros!G:G,Parâmetros!H:H))</f>
        <v>INDEFINIDO</v>
      </c>
      <c r="P2106" s="1" t="str">
        <f>_xlfn.XLOOKUP(I2106,Parâmetros!A:A,Parâmetros!D:D,_xlfn.XLOOKUP(Q2106,Parâmetros!F:F,Parâmetros!I:I))</f>
        <v>OPERAÇÕES / SUPORTE KCS</v>
      </c>
      <c r="Q2106" s="1" t="str">
        <f t="shared" si="67"/>
        <v>COLUNA I</v>
      </c>
    </row>
    <row r="2107" spans="1:17" x14ac:dyDescent="0.25">
      <c r="A2107" s="1" t="str">
        <f>_xlfn.XLOOKUP(D2107,'Novo relatório'!B:B,'Novo relatório'!C:C,"RESOLVIDO")</f>
        <v>SABRE</v>
      </c>
      <c r="C2107" t="str">
        <f t="shared" si="66"/>
        <v>PENDENTE</v>
      </c>
      <c r="D2107" s="1">
        <v>3466804</v>
      </c>
      <c r="E2107" s="1" t="s">
        <v>26</v>
      </c>
      <c r="F2107" s="2">
        <v>45813.590277777781</v>
      </c>
      <c r="G2107" s="1" t="s">
        <v>2619</v>
      </c>
      <c r="H2107" s="1" t="s">
        <v>2619</v>
      </c>
      <c r="I2107" s="1" t="s">
        <v>169</v>
      </c>
      <c r="J2107" s="2">
        <v>45813.678472222222</v>
      </c>
      <c r="L2107" s="1" t="s">
        <v>18</v>
      </c>
      <c r="M2107" s="1" t="str">
        <f>_xlfn.XLOOKUP(I2107,Parâmetros!A:A,Parâmetros!B:B,_xlfn.XLOOKUP(Q2107,Parâmetros!F:F,Parâmetros!G:G,"NOVA MENSAGEM"))</f>
        <v>CÓD. CLIENTE DIVERGENTE</v>
      </c>
      <c r="N2107" s="1" t="str">
        <f>_xlfn.XLOOKUP(M2107,Parâmetros!K:K,Parâmetros!L:L,"")</f>
        <v>CÓDIGO DIFERENTE DO CADASTRADO NO BENNER (CLIENTE X GRUPO)</v>
      </c>
      <c r="O2107" s="1" t="str">
        <f>_xlfn.XLOOKUP(M2107,Parâmetros!B:B,Parâmetros!C:C,_xlfn.XLOOKUP(Base!M2104,Parâmetros!G:G,Parâmetros!H:H))</f>
        <v>QUALIDADE DOS DADOS</v>
      </c>
      <c r="P2107" s="1" t="str">
        <f>_xlfn.XLOOKUP(I2107,Parâmetros!A:A,Parâmetros!D:D,_xlfn.XLOOKUP(Q2107,Parâmetros!F:F,Parâmetros!I:I))</f>
        <v>SUPORTE OBT</v>
      </c>
      <c r="Q2107" s="1">
        <f t="shared" si="67"/>
        <v>1</v>
      </c>
    </row>
    <row r="2108" spans="1:17" x14ac:dyDescent="0.25">
      <c r="A2108" s="1" t="str">
        <f>_xlfn.XLOOKUP(D2108,'Novo relatório'!B:B,'Novo relatório'!C:C,"RESOLVIDO")</f>
        <v>SABRE</v>
      </c>
      <c r="C2108" t="str">
        <f t="shared" si="66"/>
        <v>PENDENTE</v>
      </c>
      <c r="D2108" s="1">
        <v>3461720</v>
      </c>
      <c r="E2108" s="1" t="s">
        <v>26</v>
      </c>
      <c r="F2108" s="2">
        <v>45811.685416666667</v>
      </c>
      <c r="G2108" s="1" t="s">
        <v>2620</v>
      </c>
      <c r="H2108" s="1" t="s">
        <v>2620</v>
      </c>
      <c r="I2108" s="1" t="s">
        <v>396</v>
      </c>
      <c r="J2108" s="2">
        <v>45811.772222222222</v>
      </c>
      <c r="L2108" s="1" t="s">
        <v>18</v>
      </c>
      <c r="M2108" s="1" t="str">
        <f>_xlfn.XLOOKUP(I2108,Parâmetros!A:A,Parâmetros!B:B,_xlfn.XLOOKUP(Q2108,Parâmetros!F:F,Parâmetros!G:G,"NOVA MENSAGEM"))</f>
        <v>CÓD. CLIENTE DIVERGENTE</v>
      </c>
      <c r="N2108" s="1" t="str">
        <f>_xlfn.XLOOKUP(M2108,Parâmetros!K:K,Parâmetros!L:L,"")</f>
        <v>CÓDIGO DIFERENTE DO CADASTRADO NO BENNER (CLIENTE X GRUPO)</v>
      </c>
      <c r="O2108" s="1" t="str">
        <f>_xlfn.XLOOKUP(M2108,Parâmetros!B:B,Parâmetros!C:C,_xlfn.XLOOKUP(Base!M2105,Parâmetros!G:G,Parâmetros!H:H))</f>
        <v>QUALIDADE DOS DADOS</v>
      </c>
      <c r="P2108" s="1" t="str">
        <f>_xlfn.XLOOKUP(I2108,Parâmetros!A:A,Parâmetros!D:D,_xlfn.XLOOKUP(Q2108,Parâmetros!F:F,Parâmetros!I:I))</f>
        <v>SUPORTE OBT</v>
      </c>
      <c r="Q2108" s="1">
        <f t="shared" si="67"/>
        <v>1</v>
      </c>
    </row>
    <row r="2109" spans="1:17" x14ac:dyDescent="0.25">
      <c r="A2109" s="1" t="str">
        <f>_xlfn.XLOOKUP(D2109,'Novo relatório'!B:B,'Novo relatório'!C:C,"RESOLVIDO")</f>
        <v>SABRE</v>
      </c>
      <c r="C2109" t="str">
        <f t="shared" si="66"/>
        <v>PENDENTE</v>
      </c>
      <c r="D2109" s="1">
        <v>3468241</v>
      </c>
      <c r="E2109" s="1" t="s">
        <v>26</v>
      </c>
      <c r="F2109" s="2">
        <v>45814.378472222219</v>
      </c>
      <c r="G2109" s="1" t="s">
        <v>2621</v>
      </c>
      <c r="H2109" s="1" t="s">
        <v>2622</v>
      </c>
      <c r="I2109" s="1" t="s">
        <v>64</v>
      </c>
      <c r="J2109" s="2">
        <v>45814.47152777778</v>
      </c>
      <c r="L2109" s="1" t="s">
        <v>1244</v>
      </c>
      <c r="M2109" s="1" t="str">
        <f>_xlfn.XLOOKUP(I2109,Parâmetros!A:A,Parâmetros!B:B,_xlfn.XLOOKUP(Q2109,Parâmetros!F:F,Parâmetros!G:G,"NOVA MENSAGEM"))</f>
        <v>FORMATO DE TEXTO</v>
      </c>
      <c r="N2109" s="1" t="str">
        <f>_xlfn.XLOOKUP(M2109,Parâmetros!K:K,Parâmetros!L:L,"")</f>
        <v>TEXTO FORA DO PADRÃO ACEITO NO CAMPO</v>
      </c>
      <c r="O2109" s="1" t="str">
        <f>_xlfn.XLOOKUP(M2109,Parâmetros!B:B,Parâmetros!C:C,_xlfn.XLOOKUP(Base!M2106,Parâmetros!G:G,Parâmetros!H:H))</f>
        <v>INDEFINIDO</v>
      </c>
      <c r="P2109" s="1" t="str">
        <f>_xlfn.XLOOKUP(I2109,Parâmetros!A:A,Parâmetros!D:D,_xlfn.XLOOKUP(Q2109,Parâmetros!F:F,Parâmetros!I:I))</f>
        <v>SUPORTE OBT</v>
      </c>
      <c r="Q2109" s="1" t="str">
        <f t="shared" si="67"/>
        <v>COLUNA I</v>
      </c>
    </row>
    <row r="2110" spans="1:17" x14ac:dyDescent="0.25">
      <c r="A2110" s="1" t="str">
        <f>_xlfn.XLOOKUP(D2110,'Novo relatório'!B:B,'Novo relatório'!C:C,"RESOLVIDO")</f>
        <v>SABRE</v>
      </c>
      <c r="C2110" t="str">
        <f t="shared" si="66"/>
        <v>PENDENTE</v>
      </c>
      <c r="D2110" s="1">
        <v>3462990</v>
      </c>
      <c r="E2110" s="1" t="s">
        <v>26</v>
      </c>
      <c r="F2110" s="2">
        <v>45812.405555555553</v>
      </c>
      <c r="G2110" s="1" t="s">
        <v>2623</v>
      </c>
      <c r="H2110" s="1" t="s">
        <v>2623</v>
      </c>
      <c r="I2110" s="1" t="s">
        <v>746</v>
      </c>
      <c r="J2110" s="2">
        <v>45812.490972222222</v>
      </c>
      <c r="L2110" s="1" t="s">
        <v>18</v>
      </c>
      <c r="M2110" s="1" t="str">
        <f>_xlfn.XLOOKUP(I2110,Parâmetros!A:A,Parâmetros!B:B,_xlfn.XLOOKUP(Q2110,Parâmetros!F:F,Parâmetros!G:G,"NOVA MENSAGEM"))</f>
        <v>CÓD. CLIENTE DIVERGENTE</v>
      </c>
      <c r="N2110" s="1" t="str">
        <f>_xlfn.XLOOKUP(M2110,Parâmetros!K:K,Parâmetros!L:L,"")</f>
        <v>CÓDIGO DIFERENTE DO CADASTRADO NO BENNER (CLIENTE X GRUPO)</v>
      </c>
      <c r="O2110" s="1" t="str">
        <f>_xlfn.XLOOKUP(M2110,Parâmetros!B:B,Parâmetros!C:C,_xlfn.XLOOKUP(Base!M2107,Parâmetros!G:G,Parâmetros!H:H))</f>
        <v>QUALIDADE DOS DADOS</v>
      </c>
      <c r="P2110" s="1" t="str">
        <f>_xlfn.XLOOKUP(I2110,Parâmetros!A:A,Parâmetros!D:D,_xlfn.XLOOKUP(Q2110,Parâmetros!F:F,Parâmetros!I:I))</f>
        <v>SUPORTE OBT</v>
      </c>
      <c r="Q2110" s="1">
        <f t="shared" si="67"/>
        <v>1</v>
      </c>
    </row>
    <row r="2111" spans="1:17" x14ac:dyDescent="0.25">
      <c r="A2111" s="1" t="str">
        <f>_xlfn.XLOOKUP(D2111,'Novo relatório'!B:B,'Novo relatório'!C:C,"RESOLVIDO")</f>
        <v>SABRE</v>
      </c>
      <c r="C2111" t="str">
        <f t="shared" si="66"/>
        <v>PENDENTE</v>
      </c>
      <c r="D2111" s="1">
        <v>3467027</v>
      </c>
      <c r="E2111" s="1" t="s">
        <v>26</v>
      </c>
      <c r="F2111" s="2">
        <v>45813.693055555559</v>
      </c>
      <c r="G2111" s="1" t="s">
        <v>2624</v>
      </c>
      <c r="H2111" s="1" t="s">
        <v>2624</v>
      </c>
      <c r="I2111" s="1" t="s">
        <v>746</v>
      </c>
      <c r="J2111" s="2">
        <v>45813.761805555558</v>
      </c>
      <c r="K2111" s="2">
        <v>45813.781944444447</v>
      </c>
      <c r="L2111" s="1" t="s">
        <v>18</v>
      </c>
      <c r="M2111" s="1" t="str">
        <f>_xlfn.XLOOKUP(I2111,Parâmetros!A:A,Parâmetros!B:B,_xlfn.XLOOKUP(Q2111,Parâmetros!F:F,Parâmetros!G:G,"NOVA MENSAGEM"))</f>
        <v>CÓD. CLIENTE DIVERGENTE</v>
      </c>
      <c r="N2111" s="1" t="str">
        <f>_xlfn.XLOOKUP(M2111,Parâmetros!K:K,Parâmetros!L:L,"")</f>
        <v>CÓDIGO DIFERENTE DO CADASTRADO NO BENNER (CLIENTE X GRUPO)</v>
      </c>
      <c r="O2111" s="1" t="str">
        <f>_xlfn.XLOOKUP(M2111,Parâmetros!B:B,Parâmetros!C:C,_xlfn.XLOOKUP(Base!M2108,Parâmetros!G:G,Parâmetros!H:H))</f>
        <v>QUALIDADE DOS DADOS</v>
      </c>
      <c r="P2111" s="1" t="str">
        <f>_xlfn.XLOOKUP(I2111,Parâmetros!A:A,Parâmetros!D:D,_xlfn.XLOOKUP(Q2111,Parâmetros!F:F,Parâmetros!I:I))</f>
        <v>SUPORTE OBT</v>
      </c>
      <c r="Q2111" s="1">
        <f t="shared" si="67"/>
        <v>1</v>
      </c>
    </row>
    <row r="2112" spans="1:17" x14ac:dyDescent="0.25">
      <c r="A2112" s="1" t="str">
        <f>_xlfn.XLOOKUP(D2112,'Novo relatório'!B:B,'Novo relatório'!C:C,"RESOLVIDO")</f>
        <v>SABRE</v>
      </c>
      <c r="C2112" t="str">
        <f t="shared" si="66"/>
        <v>PENDENTE</v>
      </c>
      <c r="D2112" s="1">
        <v>3468240</v>
      </c>
      <c r="E2112" s="1" t="s">
        <v>26</v>
      </c>
      <c r="F2112" s="2">
        <v>45814.378472222219</v>
      </c>
      <c r="G2112" s="1" t="s">
        <v>2625</v>
      </c>
      <c r="H2112" s="1" t="s">
        <v>2626</v>
      </c>
      <c r="I2112" s="1" t="s">
        <v>64</v>
      </c>
      <c r="J2112" s="2">
        <v>45814.47152777778</v>
      </c>
      <c r="L2112" s="1" t="s">
        <v>1244</v>
      </c>
      <c r="M2112" s="1" t="str">
        <f>_xlfn.XLOOKUP(I2112,Parâmetros!A:A,Parâmetros!B:B,_xlfn.XLOOKUP(Q2112,Parâmetros!F:F,Parâmetros!G:G,"NOVA MENSAGEM"))</f>
        <v>FORMATO DE TEXTO</v>
      </c>
      <c r="N2112" s="1" t="str">
        <f>_xlfn.XLOOKUP(M2112,Parâmetros!K:K,Parâmetros!L:L,"")</f>
        <v>TEXTO FORA DO PADRÃO ACEITO NO CAMPO</v>
      </c>
      <c r="O2112" s="1" t="str">
        <f>_xlfn.XLOOKUP(M2112,Parâmetros!B:B,Parâmetros!C:C,_xlfn.XLOOKUP(Base!M2109,Parâmetros!G:G,Parâmetros!H:H))</f>
        <v>INDEFINIDO</v>
      </c>
      <c r="P2112" s="1" t="str">
        <f>_xlfn.XLOOKUP(I2112,Parâmetros!A:A,Parâmetros!D:D,_xlfn.XLOOKUP(Q2112,Parâmetros!F:F,Parâmetros!I:I))</f>
        <v>SUPORTE OBT</v>
      </c>
      <c r="Q2112" s="1" t="str">
        <f t="shared" si="67"/>
        <v>COLUNA I</v>
      </c>
    </row>
    <row r="2113" spans="1:17" x14ac:dyDescent="0.25">
      <c r="A2113" s="1" t="str">
        <f>_xlfn.XLOOKUP(D2113,'Novo relatório'!B:B,'Novo relatório'!C:C,"RESOLVIDO")</f>
        <v>SABRE</v>
      </c>
      <c r="C2113" t="str">
        <f t="shared" si="66"/>
        <v>PENDENTE</v>
      </c>
      <c r="D2113" s="1">
        <v>3465896</v>
      </c>
      <c r="E2113" s="1" t="s">
        <v>26</v>
      </c>
      <c r="F2113" s="2">
        <v>45813.459027777775</v>
      </c>
      <c r="G2113" s="1" t="s">
        <v>2627</v>
      </c>
      <c r="H2113" s="1" t="s">
        <v>2627</v>
      </c>
      <c r="I2113" s="1" t="s">
        <v>829</v>
      </c>
      <c r="J2113" s="2">
        <v>45813.543055555558</v>
      </c>
      <c r="L2113" s="1" t="s">
        <v>18</v>
      </c>
      <c r="M2113" s="1" t="str">
        <f>_xlfn.XLOOKUP(I2113,Parâmetros!A:A,Parâmetros!B:B,_xlfn.XLOOKUP(Q2113,Parâmetros!F:F,Parâmetros!G:G,"NOVA MENSAGEM"))</f>
        <v>REMARK - CNPJ</v>
      </c>
      <c r="N2113" s="1" t="str">
        <f>_xlfn.XLOOKUP(M2113,Parâmetros!K:K,Parâmetros!L:L,"")</f>
        <v/>
      </c>
      <c r="O2113" s="1" t="str">
        <f>_xlfn.XLOOKUP(M2113,Parâmetros!B:B,Parâmetros!C:C,_xlfn.XLOOKUP(Base!M2110,Parâmetros!G:G,Parâmetros!H:H))</f>
        <v>QUALIDADE DOS DADOS</v>
      </c>
      <c r="P2113" s="1" t="str">
        <f>_xlfn.XLOOKUP(I2113,Parâmetros!A:A,Parâmetros!D:D,_xlfn.XLOOKUP(Q2113,Parâmetros!F:F,Parâmetros!I:I))</f>
        <v>OPERAÇÕES / SUPORTE KCS</v>
      </c>
      <c r="Q2113" s="1">
        <f t="shared" si="67"/>
        <v>24</v>
      </c>
    </row>
    <row r="2114" spans="1:17" x14ac:dyDescent="0.25">
      <c r="A2114" s="1" t="str">
        <f>_xlfn.XLOOKUP(D2114,'Novo relatório'!B:B,'Novo relatório'!C:C,"RESOLVIDO")</f>
        <v>SABRE</v>
      </c>
      <c r="C2114" t="str">
        <f t="shared" si="66"/>
        <v>PENDENTE</v>
      </c>
      <c r="D2114" s="1">
        <v>3465661</v>
      </c>
      <c r="E2114" s="1" t="s">
        <v>26</v>
      </c>
      <c r="F2114" s="2">
        <v>45813.348611111112</v>
      </c>
      <c r="G2114" s="1" t="s">
        <v>2628</v>
      </c>
      <c r="H2114" s="1" t="s">
        <v>2628</v>
      </c>
      <c r="I2114" s="1" t="s">
        <v>746</v>
      </c>
      <c r="J2114" s="2">
        <v>45813.439583333333</v>
      </c>
      <c r="L2114" s="1" t="s">
        <v>18</v>
      </c>
      <c r="M2114" s="1" t="str">
        <f>_xlfn.XLOOKUP(I2114,Parâmetros!A:A,Parâmetros!B:B,_xlfn.XLOOKUP(Q2114,Parâmetros!F:F,Parâmetros!G:G,"NOVA MENSAGEM"))</f>
        <v>CÓD. CLIENTE DIVERGENTE</v>
      </c>
      <c r="N2114" s="1" t="str">
        <f>_xlfn.XLOOKUP(M2114,Parâmetros!K:K,Parâmetros!L:L,"")</f>
        <v>CÓDIGO DIFERENTE DO CADASTRADO NO BENNER (CLIENTE X GRUPO)</v>
      </c>
      <c r="O2114" s="1" t="str">
        <f>_xlfn.XLOOKUP(M2114,Parâmetros!B:B,Parâmetros!C:C,_xlfn.XLOOKUP(Base!M2111,Parâmetros!G:G,Parâmetros!H:H))</f>
        <v>QUALIDADE DOS DADOS</v>
      </c>
      <c r="P2114" s="1" t="str">
        <f>_xlfn.XLOOKUP(I2114,Parâmetros!A:A,Parâmetros!D:D,_xlfn.XLOOKUP(Q2114,Parâmetros!F:F,Parâmetros!I:I))</f>
        <v>SUPORTE OBT</v>
      </c>
      <c r="Q2114" s="1">
        <f t="shared" si="67"/>
        <v>1</v>
      </c>
    </row>
    <row r="2115" spans="1:17" x14ac:dyDescent="0.25">
      <c r="A2115" s="1" t="str">
        <f>_xlfn.XLOOKUP(D2115,'Novo relatório'!B:B,'Novo relatório'!C:C,"RESOLVIDO")</f>
        <v>SABRE</v>
      </c>
      <c r="C2115" t="str">
        <f t="shared" si="66"/>
        <v>PENDENTE</v>
      </c>
      <c r="D2115" s="1">
        <v>3464811</v>
      </c>
      <c r="E2115" s="1" t="s">
        <v>26</v>
      </c>
      <c r="F2115" s="2">
        <v>45812.746527777781</v>
      </c>
      <c r="G2115" s="1" t="s">
        <v>2629</v>
      </c>
      <c r="H2115" s="1" t="s">
        <v>2629</v>
      </c>
      <c r="I2115" s="1" t="s">
        <v>83</v>
      </c>
      <c r="J2115" s="2">
        <v>45812.836111111108</v>
      </c>
      <c r="L2115" s="1" t="s">
        <v>18</v>
      </c>
      <c r="M2115" s="1" t="str">
        <f>_xlfn.XLOOKUP(I2115,Parâmetros!A:A,Parâmetros!B:B,_xlfn.XLOOKUP(Q2115,Parâmetros!F:F,Parâmetros!G:G,"NOVA MENSAGEM"))</f>
        <v>CLIENTE NÃO IDENTIFICADO</v>
      </c>
      <c r="N2115" s="1" t="str">
        <f>_xlfn.XLOOKUP(M2115,Parâmetros!K:K,Parâmetros!L:L,"")</f>
        <v>DK DE CLIENTE NÃO PREENCIDO / CLIENTE NÃO CONFIGURADO NO OBT</v>
      </c>
      <c r="O2115" s="1" t="str">
        <f>_xlfn.XLOOKUP(M2115,Parâmetros!B:B,Parâmetros!C:C,_xlfn.XLOOKUP(Base!M2112,Parâmetros!G:G,Parâmetros!H:H))</f>
        <v>INDEFINIDO</v>
      </c>
      <c r="P2115" s="1" t="str">
        <f>_xlfn.XLOOKUP(I2115,Parâmetros!A:A,Parâmetros!D:D,_xlfn.XLOOKUP(Q2115,Parâmetros!F:F,Parâmetros!I:I))</f>
        <v>OPERAÇÕES / SUPORTE KCS</v>
      </c>
      <c r="Q2115" s="1" t="str">
        <f t="shared" si="67"/>
        <v>COLUNA I</v>
      </c>
    </row>
    <row r="2116" spans="1:17" x14ac:dyDescent="0.25">
      <c r="A2116" s="1" t="str">
        <f>_xlfn.XLOOKUP(D2116,'Novo relatório'!B:B,'Novo relatório'!C:C,"RESOLVIDO")</f>
        <v>SABRE</v>
      </c>
      <c r="C2116" t="str">
        <f t="shared" si="66"/>
        <v>PENDENTE</v>
      </c>
      <c r="D2116" s="1">
        <v>3464803</v>
      </c>
      <c r="E2116" s="1" t="s">
        <v>26</v>
      </c>
      <c r="F2116" s="2">
        <v>45812.746527777781</v>
      </c>
      <c r="G2116" s="1" t="s">
        <v>2630</v>
      </c>
      <c r="H2116" s="1" t="s">
        <v>2630</v>
      </c>
      <c r="I2116" s="1" t="s">
        <v>83</v>
      </c>
      <c r="J2116" s="2">
        <v>45812.836111111108</v>
      </c>
      <c r="L2116" s="1" t="s">
        <v>18</v>
      </c>
      <c r="M2116" s="1" t="str">
        <f>_xlfn.XLOOKUP(I2116,Parâmetros!A:A,Parâmetros!B:B,_xlfn.XLOOKUP(Q2116,Parâmetros!F:F,Parâmetros!G:G,"NOVA MENSAGEM"))</f>
        <v>CLIENTE NÃO IDENTIFICADO</v>
      </c>
      <c r="N2116" s="1" t="str">
        <f>_xlfn.XLOOKUP(M2116,Parâmetros!K:K,Parâmetros!L:L,"")</f>
        <v>DK DE CLIENTE NÃO PREENCIDO / CLIENTE NÃO CONFIGURADO NO OBT</v>
      </c>
      <c r="O2116" s="1" t="str">
        <f>_xlfn.XLOOKUP(M2116,Parâmetros!B:B,Parâmetros!C:C,_xlfn.XLOOKUP(Base!M2113,Parâmetros!G:G,Parâmetros!H:H))</f>
        <v>INDEFINIDO</v>
      </c>
      <c r="P2116" s="1" t="str">
        <f>_xlfn.XLOOKUP(I2116,Parâmetros!A:A,Parâmetros!D:D,_xlfn.XLOOKUP(Q2116,Parâmetros!F:F,Parâmetros!I:I))</f>
        <v>OPERAÇÕES / SUPORTE KCS</v>
      </c>
      <c r="Q2116" s="1" t="str">
        <f t="shared" si="67"/>
        <v>COLUNA I</v>
      </c>
    </row>
    <row r="2117" spans="1:17" x14ac:dyDescent="0.25">
      <c r="A2117" s="1" t="str">
        <f>_xlfn.XLOOKUP(D2117,'Novo relatório'!B:B,'Novo relatório'!C:C,"RESOLVIDO")</f>
        <v>SABRE</v>
      </c>
      <c r="C2117" t="str">
        <f t="shared" si="66"/>
        <v>PENDENTE</v>
      </c>
      <c r="D2117" s="1">
        <v>3464792</v>
      </c>
      <c r="E2117" s="1" t="s">
        <v>26</v>
      </c>
      <c r="F2117" s="2">
        <v>45812.746527777781</v>
      </c>
      <c r="G2117" s="1" t="s">
        <v>2631</v>
      </c>
      <c r="H2117" s="1" t="s">
        <v>2631</v>
      </c>
      <c r="I2117" s="1" t="s">
        <v>83</v>
      </c>
      <c r="J2117" s="2">
        <v>45812.835416666669</v>
      </c>
      <c r="L2117" s="1" t="s">
        <v>18</v>
      </c>
      <c r="M2117" s="1" t="str">
        <f>_xlfn.XLOOKUP(I2117,Parâmetros!A:A,Parâmetros!B:B,_xlfn.XLOOKUP(Q2117,Parâmetros!F:F,Parâmetros!G:G,"NOVA MENSAGEM"))</f>
        <v>CLIENTE NÃO IDENTIFICADO</v>
      </c>
      <c r="N2117" s="1" t="str">
        <f>_xlfn.XLOOKUP(M2117,Parâmetros!K:K,Parâmetros!L:L,"")</f>
        <v>DK DE CLIENTE NÃO PREENCIDO / CLIENTE NÃO CONFIGURADO NO OBT</v>
      </c>
      <c r="O2117" s="1" t="str">
        <f>_xlfn.XLOOKUP(M2117,Parâmetros!B:B,Parâmetros!C:C,_xlfn.XLOOKUP(Base!M2114,Parâmetros!G:G,Parâmetros!H:H))</f>
        <v>INDEFINIDO</v>
      </c>
      <c r="P2117" s="1" t="str">
        <f>_xlfn.XLOOKUP(I2117,Parâmetros!A:A,Parâmetros!D:D,_xlfn.XLOOKUP(Q2117,Parâmetros!F:F,Parâmetros!I:I))</f>
        <v>OPERAÇÕES / SUPORTE KCS</v>
      </c>
      <c r="Q2117" s="1" t="str">
        <f t="shared" si="67"/>
        <v>COLUNA I</v>
      </c>
    </row>
    <row r="2118" spans="1:17" x14ac:dyDescent="0.25">
      <c r="A2118" s="1" t="str">
        <f>_xlfn.XLOOKUP(D2118,'Novo relatório'!B:B,'Novo relatório'!C:C,"RESOLVIDO")</f>
        <v>SABRE</v>
      </c>
      <c r="C2118" t="str">
        <f t="shared" si="66"/>
        <v>PENDENTE</v>
      </c>
      <c r="D2118" s="1">
        <v>3468304</v>
      </c>
      <c r="E2118" s="1" t="s">
        <v>26</v>
      </c>
      <c r="F2118" s="2">
        <v>45814.416666666664</v>
      </c>
      <c r="G2118" s="1" t="s">
        <v>2632</v>
      </c>
      <c r="H2118" s="1" t="s">
        <v>2632</v>
      </c>
      <c r="I2118" s="1" t="s">
        <v>396</v>
      </c>
      <c r="J2118" s="2">
        <v>45814.502083333333</v>
      </c>
      <c r="L2118" s="1" t="s">
        <v>18</v>
      </c>
      <c r="M2118" s="1" t="str">
        <f>_xlfn.XLOOKUP(I2118,Parâmetros!A:A,Parâmetros!B:B,_xlfn.XLOOKUP(Q2118,Parâmetros!F:F,Parâmetros!G:G,"NOVA MENSAGEM"))</f>
        <v>CÓD. CLIENTE DIVERGENTE</v>
      </c>
      <c r="N2118" s="1" t="str">
        <f>_xlfn.XLOOKUP(M2118,Parâmetros!K:K,Parâmetros!L:L,"")</f>
        <v>CÓDIGO DIFERENTE DO CADASTRADO NO BENNER (CLIENTE X GRUPO)</v>
      </c>
      <c r="O2118" s="1" t="str">
        <f>_xlfn.XLOOKUP(M2118,Parâmetros!B:B,Parâmetros!C:C,_xlfn.XLOOKUP(Base!M2115,Parâmetros!G:G,Parâmetros!H:H))</f>
        <v>QUALIDADE DOS DADOS</v>
      </c>
      <c r="P2118" s="1" t="str">
        <f>_xlfn.XLOOKUP(I2118,Parâmetros!A:A,Parâmetros!D:D,_xlfn.XLOOKUP(Q2118,Parâmetros!F:F,Parâmetros!I:I))</f>
        <v>SUPORTE OBT</v>
      </c>
      <c r="Q2118" s="1">
        <f t="shared" si="67"/>
        <v>1</v>
      </c>
    </row>
    <row r="2119" spans="1:17" x14ac:dyDescent="0.25">
      <c r="A2119" s="1" t="str">
        <f>_xlfn.XLOOKUP(D2119,'Novo relatório'!B:B,'Novo relatório'!C:C,"RESOLVIDO")</f>
        <v>SABRE</v>
      </c>
      <c r="C2119" t="str">
        <f t="shared" si="66"/>
        <v>PENDENTE</v>
      </c>
      <c r="D2119" s="1">
        <v>3467043</v>
      </c>
      <c r="E2119" s="1" t="s">
        <v>26</v>
      </c>
      <c r="F2119" s="2">
        <v>45813.686111111114</v>
      </c>
      <c r="G2119" s="1" t="s">
        <v>2633</v>
      </c>
      <c r="H2119" s="1" t="s">
        <v>2634</v>
      </c>
      <c r="I2119" s="1" t="s">
        <v>64</v>
      </c>
      <c r="J2119" s="2">
        <v>45813.771527777775</v>
      </c>
      <c r="L2119" s="1" t="s">
        <v>1244</v>
      </c>
      <c r="M2119" s="1" t="str">
        <f>_xlfn.XLOOKUP(I2119,Parâmetros!A:A,Parâmetros!B:B,_xlfn.XLOOKUP(Q2119,Parâmetros!F:F,Parâmetros!G:G,"NOVA MENSAGEM"))</f>
        <v>FORMATO DE TEXTO</v>
      </c>
      <c r="N2119" s="1" t="str">
        <f>_xlfn.XLOOKUP(M2119,Parâmetros!K:K,Parâmetros!L:L,"")</f>
        <v>TEXTO FORA DO PADRÃO ACEITO NO CAMPO</v>
      </c>
      <c r="O2119" s="1" t="str">
        <f>_xlfn.XLOOKUP(M2119,Parâmetros!B:B,Parâmetros!C:C,_xlfn.XLOOKUP(Base!M2116,Parâmetros!G:G,Parâmetros!H:H))</f>
        <v>INDEFINIDO</v>
      </c>
      <c r="P2119" s="1" t="str">
        <f>_xlfn.XLOOKUP(I2119,Parâmetros!A:A,Parâmetros!D:D,_xlfn.XLOOKUP(Q2119,Parâmetros!F:F,Parâmetros!I:I))</f>
        <v>SUPORTE OBT</v>
      </c>
      <c r="Q2119" s="1" t="str">
        <f t="shared" si="67"/>
        <v>COLUNA I</v>
      </c>
    </row>
    <row r="2120" spans="1:17" x14ac:dyDescent="0.25">
      <c r="A2120" s="1" t="str">
        <f>_xlfn.XLOOKUP(D2120,'Novo relatório'!B:B,'Novo relatório'!C:C,"RESOLVIDO")</f>
        <v>SABRE</v>
      </c>
      <c r="C2120" t="str">
        <f t="shared" si="66"/>
        <v>PENDENTE</v>
      </c>
      <c r="D2120" s="1">
        <v>3462989</v>
      </c>
      <c r="E2120" s="1" t="s">
        <v>26</v>
      </c>
      <c r="F2120" s="2">
        <v>45812.405555555553</v>
      </c>
      <c r="G2120" s="1" t="s">
        <v>2635</v>
      </c>
      <c r="H2120" s="1" t="s">
        <v>2635</v>
      </c>
      <c r="I2120" s="1" t="s">
        <v>746</v>
      </c>
      <c r="J2120" s="2">
        <v>45812.490972222222</v>
      </c>
      <c r="L2120" s="1" t="s">
        <v>18</v>
      </c>
      <c r="M2120" s="1" t="str">
        <f>_xlfn.XLOOKUP(I2120,Parâmetros!A:A,Parâmetros!B:B,_xlfn.XLOOKUP(Q2120,Parâmetros!F:F,Parâmetros!G:G,"NOVA MENSAGEM"))</f>
        <v>CÓD. CLIENTE DIVERGENTE</v>
      </c>
      <c r="N2120" s="1" t="str">
        <f>_xlfn.XLOOKUP(M2120,Parâmetros!K:K,Parâmetros!L:L,"")</f>
        <v>CÓDIGO DIFERENTE DO CADASTRADO NO BENNER (CLIENTE X GRUPO)</v>
      </c>
      <c r="O2120" s="1" t="str">
        <f>_xlfn.XLOOKUP(M2120,Parâmetros!B:B,Parâmetros!C:C,_xlfn.XLOOKUP(Base!M2117,Parâmetros!G:G,Parâmetros!H:H))</f>
        <v>QUALIDADE DOS DADOS</v>
      </c>
      <c r="P2120" s="1" t="str">
        <f>_xlfn.XLOOKUP(I2120,Parâmetros!A:A,Parâmetros!D:D,_xlfn.XLOOKUP(Q2120,Parâmetros!F:F,Parâmetros!I:I))</f>
        <v>SUPORTE OBT</v>
      </c>
      <c r="Q2120" s="1">
        <f t="shared" si="67"/>
        <v>1</v>
      </c>
    </row>
    <row r="2121" spans="1:17" x14ac:dyDescent="0.25">
      <c r="A2121" s="1" t="str">
        <f>_xlfn.XLOOKUP(D2121,'Novo relatório'!B:B,'Novo relatório'!C:C,"RESOLVIDO")</f>
        <v>SABRE</v>
      </c>
      <c r="C2121" t="str">
        <f t="shared" si="66"/>
        <v>PENDENTE</v>
      </c>
      <c r="D2121" s="1">
        <v>3462991</v>
      </c>
      <c r="E2121" s="1" t="s">
        <v>26</v>
      </c>
      <c r="F2121" s="2">
        <v>45812.405555555553</v>
      </c>
      <c r="G2121" s="1" t="s">
        <v>2636</v>
      </c>
      <c r="H2121" s="1" t="s">
        <v>2636</v>
      </c>
      <c r="I2121" s="1" t="s">
        <v>746</v>
      </c>
      <c r="J2121" s="2">
        <v>45812.490972222222</v>
      </c>
      <c r="L2121" s="1" t="s">
        <v>18</v>
      </c>
      <c r="M2121" s="1" t="str">
        <f>_xlfn.XLOOKUP(I2121,Parâmetros!A:A,Parâmetros!B:B,_xlfn.XLOOKUP(Q2121,Parâmetros!F:F,Parâmetros!G:G,"NOVA MENSAGEM"))</f>
        <v>CÓD. CLIENTE DIVERGENTE</v>
      </c>
      <c r="N2121" s="1" t="str">
        <f>_xlfn.XLOOKUP(M2121,Parâmetros!K:K,Parâmetros!L:L,"")</f>
        <v>CÓDIGO DIFERENTE DO CADASTRADO NO BENNER (CLIENTE X GRUPO)</v>
      </c>
      <c r="O2121" s="1" t="str">
        <f>_xlfn.XLOOKUP(M2121,Parâmetros!B:B,Parâmetros!C:C,_xlfn.XLOOKUP(Base!M2118,Parâmetros!G:G,Parâmetros!H:H))</f>
        <v>QUALIDADE DOS DADOS</v>
      </c>
      <c r="P2121" s="1" t="str">
        <f>_xlfn.XLOOKUP(I2121,Parâmetros!A:A,Parâmetros!D:D,_xlfn.XLOOKUP(Q2121,Parâmetros!F:F,Parâmetros!I:I))</f>
        <v>SUPORTE OBT</v>
      </c>
      <c r="Q2121" s="1">
        <f t="shared" si="67"/>
        <v>1</v>
      </c>
    </row>
    <row r="2122" spans="1:17" x14ac:dyDescent="0.25">
      <c r="A2122" s="1" t="str">
        <f>_xlfn.XLOOKUP(D2122,'Novo relatório'!B:B,'Novo relatório'!C:C,"RESOLVIDO")</f>
        <v>SABRE</v>
      </c>
      <c r="C2122" t="str">
        <f t="shared" si="66"/>
        <v>PENDENTE</v>
      </c>
      <c r="D2122" s="1">
        <v>3462814</v>
      </c>
      <c r="E2122" s="1" t="s">
        <v>26</v>
      </c>
      <c r="F2122" s="2">
        <v>45812.310416666667</v>
      </c>
      <c r="G2122" s="1" t="s">
        <v>2637</v>
      </c>
      <c r="H2122" s="1" t="s">
        <v>2637</v>
      </c>
      <c r="I2122" s="1" t="s">
        <v>273</v>
      </c>
      <c r="J2122" s="2">
        <v>45812.396527777775</v>
      </c>
      <c r="L2122" s="1" t="s">
        <v>1245</v>
      </c>
      <c r="M2122" s="1" t="str">
        <f>_xlfn.XLOOKUP(I2122,Parâmetros!A:A,Parâmetros!B:B,_xlfn.XLOOKUP(Q2122,Parâmetros!F:F,Parâmetros!G:G,"NOVA MENSAGEM"))</f>
        <v>VENDA CANCELADA</v>
      </c>
      <c r="N2122" s="1" t="str">
        <f>_xlfn.XLOOKUP(M2122,Parâmetros!K:K,Parâmetros!L:L,"")</f>
        <v>RESERVA CANCELADA NO OBT</v>
      </c>
      <c r="O2122" s="1" t="str">
        <f>_xlfn.XLOOKUP(M2122,Parâmetros!B:B,Parâmetros!C:C,_xlfn.XLOOKUP(Base!M2119,Parâmetros!G:G,Parâmetros!H:H))</f>
        <v>SISTEMA</v>
      </c>
      <c r="P2122" s="1" t="str">
        <f>_xlfn.XLOOKUP(I2122,Parâmetros!A:A,Parâmetros!D:D,_xlfn.XLOOKUP(Q2122,Parâmetros!F:F,Parâmetros!I:I))</f>
        <v>SUPORTE OBT</v>
      </c>
      <c r="Q2122" s="1" t="str">
        <f t="shared" si="67"/>
        <v>COLUNA I</v>
      </c>
    </row>
    <row r="2123" spans="1:17" x14ac:dyDescent="0.25">
      <c r="A2123" s="1" t="str">
        <f>_xlfn.XLOOKUP(D2123,'Novo relatório'!B:B,'Novo relatório'!C:C,"RESOLVIDO")</f>
        <v>SABRE</v>
      </c>
      <c r="C2123" t="str">
        <f t="shared" si="66"/>
        <v>PENDENTE</v>
      </c>
      <c r="D2123" s="1">
        <v>3461284</v>
      </c>
      <c r="E2123" s="1" t="s">
        <v>26</v>
      </c>
      <c r="F2123" s="2">
        <v>45811.554861111108</v>
      </c>
      <c r="G2123" s="1" t="s">
        <v>2638</v>
      </c>
      <c r="H2123" s="1" t="s">
        <v>2638</v>
      </c>
      <c r="I2123" s="1" t="s">
        <v>620</v>
      </c>
      <c r="J2123" s="2">
        <v>45811.647222222222</v>
      </c>
      <c r="L2123" s="1" t="s">
        <v>18</v>
      </c>
      <c r="M2123" s="1" t="str">
        <f>_xlfn.XLOOKUP(I2123,Parâmetros!A:A,Parâmetros!B:B,_xlfn.XLOOKUP(Q2123,Parâmetros!F:F,Parâmetros!G:G,"NOVA MENSAGEM"))</f>
        <v>CÓD. CLIENTE DIVERGENTE</v>
      </c>
      <c r="N2123" s="1" t="str">
        <f>_xlfn.XLOOKUP(M2123,Parâmetros!K:K,Parâmetros!L:L,"")</f>
        <v>CÓDIGO DIFERENTE DO CADASTRADO NO BENNER (CLIENTE X GRUPO)</v>
      </c>
      <c r="O2123" s="1" t="str">
        <f>_xlfn.XLOOKUP(M2123,Parâmetros!B:B,Parâmetros!C:C,_xlfn.XLOOKUP(Base!M2120,Parâmetros!G:G,Parâmetros!H:H))</f>
        <v>QUALIDADE DOS DADOS</v>
      </c>
      <c r="P2123" s="1" t="str">
        <f>_xlfn.XLOOKUP(I2123,Parâmetros!A:A,Parâmetros!D:D,_xlfn.XLOOKUP(Q2123,Parâmetros!F:F,Parâmetros!I:I))</f>
        <v>SUPORTE OBT</v>
      </c>
      <c r="Q2123" s="1">
        <f t="shared" si="67"/>
        <v>1</v>
      </c>
    </row>
    <row r="2124" spans="1:17" x14ac:dyDescent="0.25">
      <c r="A2124" s="1" t="str">
        <f>_xlfn.XLOOKUP(D2124,'Novo relatório'!B:B,'Novo relatório'!C:C,"RESOLVIDO")</f>
        <v>SABRE</v>
      </c>
      <c r="C2124" t="str">
        <f t="shared" si="66"/>
        <v>PENDENTE</v>
      </c>
      <c r="D2124" s="1">
        <v>3467065</v>
      </c>
      <c r="E2124" s="1" t="s">
        <v>26</v>
      </c>
      <c r="F2124" s="2">
        <v>45813.697916666664</v>
      </c>
      <c r="G2124" s="1" t="s">
        <v>2639</v>
      </c>
      <c r="H2124" s="1" t="s">
        <v>2639</v>
      </c>
      <c r="I2124" s="1" t="s">
        <v>83</v>
      </c>
      <c r="J2124" s="2">
        <v>45813.782638888886</v>
      </c>
      <c r="L2124" s="1" t="s">
        <v>18</v>
      </c>
      <c r="M2124" s="1" t="str">
        <f>_xlfn.XLOOKUP(I2124,Parâmetros!A:A,Parâmetros!B:B,_xlfn.XLOOKUP(Q2124,Parâmetros!F:F,Parâmetros!G:G,"NOVA MENSAGEM"))</f>
        <v>CLIENTE NÃO IDENTIFICADO</v>
      </c>
      <c r="N2124" s="1" t="str">
        <f>_xlfn.XLOOKUP(M2124,Parâmetros!K:K,Parâmetros!L:L,"")</f>
        <v>DK DE CLIENTE NÃO PREENCIDO / CLIENTE NÃO CONFIGURADO NO OBT</v>
      </c>
      <c r="O2124" s="1" t="str">
        <f>_xlfn.XLOOKUP(M2124,Parâmetros!B:B,Parâmetros!C:C,_xlfn.XLOOKUP(Base!M2121,Parâmetros!G:G,Parâmetros!H:H))</f>
        <v>INDEFINIDO</v>
      </c>
      <c r="P2124" s="1" t="str">
        <f>_xlfn.XLOOKUP(I2124,Parâmetros!A:A,Parâmetros!D:D,_xlfn.XLOOKUP(Q2124,Parâmetros!F:F,Parâmetros!I:I))</f>
        <v>OPERAÇÕES / SUPORTE KCS</v>
      </c>
      <c r="Q2124" s="1" t="str">
        <f t="shared" si="67"/>
        <v>COLUNA I</v>
      </c>
    </row>
    <row r="2125" spans="1:17" x14ac:dyDescent="0.25">
      <c r="A2125" s="1" t="str">
        <f>_xlfn.XLOOKUP(D2125,'Novo relatório'!B:B,'Novo relatório'!C:C,"RESOLVIDO")</f>
        <v>TMS</v>
      </c>
      <c r="C2125" t="str">
        <f t="shared" si="66"/>
        <v>PENDENTE</v>
      </c>
      <c r="D2125" s="1">
        <v>3463922</v>
      </c>
      <c r="E2125" s="1" t="s">
        <v>12</v>
      </c>
      <c r="F2125" s="2">
        <v>45812.492361111108</v>
      </c>
      <c r="G2125" s="1">
        <v>20558</v>
      </c>
      <c r="H2125" s="1">
        <v>20558</v>
      </c>
      <c r="I2125" s="1" t="s">
        <v>2640</v>
      </c>
      <c r="J2125" s="2">
        <v>45812.643750000003</v>
      </c>
      <c r="K2125" s="2">
        <v>45814.347916666666</v>
      </c>
      <c r="L2125" s="1" t="s">
        <v>14</v>
      </c>
      <c r="M2125" s="1" t="str">
        <f>_xlfn.XLOOKUP(I2125,Parâmetros!A:A,Parâmetros!B:B,_xlfn.XLOOKUP(Q2125,Parâmetros!F:F,Parâmetros!G:G,"NOVA MENSAGEM"))</f>
        <v>ASSENTO / BAGAGEM</v>
      </c>
      <c r="N2125" s="1" t="str">
        <f>_xlfn.XLOOKUP(M2125,Parâmetros!K:K,Parâmetros!L:L,"")</f>
        <v>CAMPO OBSERVAÇÃO PREENCHIDO INCORRETAMENTE</v>
      </c>
      <c r="O2125" s="1" t="str">
        <f>_xlfn.XLOOKUP(M2125,Parâmetros!B:B,Parâmetros!C:C,_xlfn.XLOOKUP(Base!M2122,Parâmetros!G:G,Parâmetros!H:H))</f>
        <v>QUALIDADE DOS DADOS</v>
      </c>
      <c r="P2125" s="1" t="str">
        <f>_xlfn.XLOOKUP(I2125,Parâmetros!A:A,Parâmetros!D:D,_xlfn.XLOOKUP(Q2125,Parâmetros!F:F,Parâmetros!I:I))</f>
        <v>OPERAÇÕES / SUPORTE KCS</v>
      </c>
      <c r="Q2125" s="1">
        <f t="shared" si="67"/>
        <v>127</v>
      </c>
    </row>
    <row r="2126" spans="1:17" x14ac:dyDescent="0.25">
      <c r="A2126" s="1" t="str">
        <f>_xlfn.XLOOKUP(D2126,'Novo relatório'!B:B,'Novo relatório'!C:C,"RESOLVIDO")</f>
        <v>LEMONTECH</v>
      </c>
      <c r="C2126" t="str">
        <f t="shared" si="66"/>
        <v>PENDENTE</v>
      </c>
      <c r="D2126" s="1">
        <v>3466756</v>
      </c>
      <c r="E2126" s="1" t="s">
        <v>25</v>
      </c>
      <c r="F2126" s="2">
        <v>45811.763888888891</v>
      </c>
      <c r="G2126" s="1" t="s">
        <v>2641</v>
      </c>
      <c r="H2126" s="1" t="s">
        <v>2642</v>
      </c>
      <c r="I2126" s="1" t="s">
        <v>2643</v>
      </c>
      <c r="J2126" s="2">
        <v>45813.669444444444</v>
      </c>
      <c r="K2126" s="2">
        <v>45814.501388888886</v>
      </c>
      <c r="L2126" s="1" t="s">
        <v>19</v>
      </c>
      <c r="M2126" s="1" t="str">
        <f>_xlfn.XLOOKUP(I2126,Parâmetros!A:A,Parâmetros!B:B,_xlfn.XLOOKUP(Q2126,Parâmetros!F:F,Parâmetros!G:G,"NOVA MENSAGEM"))</f>
        <v>CONTRATO FORNECEDOR</v>
      </c>
      <c r="N2126" s="1" t="str">
        <f>_xlfn.XLOOKUP(M2126,Parâmetros!K:K,Parâmetros!L:L,"")</f>
        <v>CONTRATO INATIVO OU DIVERGENTE</v>
      </c>
      <c r="O2126" s="1" t="str">
        <f>_xlfn.XLOOKUP(M2126,Parâmetros!B:B,Parâmetros!C:C,_xlfn.XLOOKUP(Base!M2123,Parâmetros!G:G,Parâmetros!H:H))</f>
        <v>SISTEMA</v>
      </c>
      <c r="P2126" s="1" t="str">
        <f>_xlfn.XLOOKUP(I2126,Parâmetros!A:A,Parâmetros!D:D,_xlfn.XLOOKUP(Q2126,Parâmetros!F:F,Parâmetros!I:I))</f>
        <v>OPERAÇÕES / SUPORTE KCS</v>
      </c>
      <c r="Q2126" s="1">
        <f t="shared" si="67"/>
        <v>43</v>
      </c>
    </row>
    <row r="2127" spans="1:17" x14ac:dyDescent="0.25">
      <c r="A2127" s="1" t="str">
        <f>_xlfn.XLOOKUP(D2127,'Novo relatório'!B:B,'Novo relatório'!C:C,"RESOLVIDO")</f>
        <v>GOVER</v>
      </c>
      <c r="C2127" t="str">
        <f t="shared" si="66"/>
        <v>PENDENTE</v>
      </c>
      <c r="D2127" s="1">
        <v>3462669</v>
      </c>
      <c r="E2127" s="1" t="s">
        <v>24</v>
      </c>
      <c r="F2127" s="2">
        <v>45811.792361111111</v>
      </c>
      <c r="G2127" s="1">
        <v>4547415</v>
      </c>
      <c r="H2127" s="1">
        <v>4547415</v>
      </c>
      <c r="I2127" s="1" t="s">
        <v>77</v>
      </c>
      <c r="J2127" s="2">
        <v>45811.947222222225</v>
      </c>
      <c r="K2127" s="2">
        <v>45814.518055555556</v>
      </c>
      <c r="L2127" s="1" t="s">
        <v>14</v>
      </c>
      <c r="M2127" s="1" t="str">
        <f>_xlfn.XLOOKUP(I2127,Parâmetros!A:A,Parâmetros!B:B,_xlfn.XLOOKUP(Q2127,Parâmetros!F:F,Parâmetros!G:G,"NOVA MENSAGEM"))</f>
        <v>RLOC NÃO INFORMADO</v>
      </c>
      <c r="N2127" s="1" t="str">
        <f>_xlfn.XLOOKUP(M2127,Parâmetros!K:K,Parâmetros!L:L,"")</f>
        <v>RLOC NÃO PREENCHIDO NA RESERVA</v>
      </c>
      <c r="O2127" s="1" t="str">
        <f>_xlfn.XLOOKUP(M2127,Parâmetros!B:B,Parâmetros!C:C,_xlfn.XLOOKUP(Base!M2124,Parâmetros!G:G,Parâmetros!H:H))</f>
        <v>QUALIDADE DOS DADOS</v>
      </c>
      <c r="P2127" s="1" t="str">
        <f>_xlfn.XLOOKUP(I2127,Parâmetros!A:A,Parâmetros!D:D,_xlfn.XLOOKUP(Q2127,Parâmetros!F:F,Parâmetros!I:I))</f>
        <v>SUPORTE OBT</v>
      </c>
      <c r="Q2127" s="1" t="str">
        <f t="shared" si="67"/>
        <v>COLUNA I</v>
      </c>
    </row>
    <row r="2128" spans="1:17" x14ac:dyDescent="0.25">
      <c r="A2128" s="1" t="str">
        <f>_xlfn.XLOOKUP(D2128,'Novo relatório'!B:B,'Novo relatório'!C:C,"RESOLVIDO")</f>
        <v>RESOLVIDO</v>
      </c>
      <c r="C2128" t="str">
        <f t="shared" si="66"/>
        <v>RESOLVIDO</v>
      </c>
      <c r="D2128" s="1">
        <v>3466713</v>
      </c>
      <c r="E2128" s="1" t="s">
        <v>24</v>
      </c>
      <c r="F2128" s="2">
        <v>45812.757638888892</v>
      </c>
      <c r="G2128" s="1">
        <v>4548066</v>
      </c>
      <c r="H2128" s="1" t="s">
        <v>2644</v>
      </c>
      <c r="I2128" s="1" t="s">
        <v>2645</v>
      </c>
      <c r="J2128" s="2">
        <v>45813.663888888892</v>
      </c>
      <c r="K2128" s="2">
        <v>45814.518055555556</v>
      </c>
      <c r="L2128" s="1" t="s">
        <v>19</v>
      </c>
      <c r="M2128" s="1" t="str">
        <f>_xlfn.XLOOKUP(I2128,Parâmetros!A:A,Parâmetros!B:B,_xlfn.XLOOKUP(Q2128,Parâmetros!F:F,Parâmetros!G:G,"NOVA MENSAGEM"))</f>
        <v>CONTRATO FORNECEDOR</v>
      </c>
      <c r="N2128" s="1" t="str">
        <f>_xlfn.XLOOKUP(M2128,Parâmetros!K:K,Parâmetros!L:L,"")</f>
        <v>CONTRATO INATIVO OU DIVERGENTE</v>
      </c>
      <c r="O2128" s="1" t="str">
        <f>_xlfn.XLOOKUP(M2128,Parâmetros!B:B,Parâmetros!C:C,_xlfn.XLOOKUP(Base!M2125,Parâmetros!G:G,Parâmetros!H:H))</f>
        <v>SISTEMA</v>
      </c>
      <c r="P2128" s="1" t="str">
        <f>_xlfn.XLOOKUP(I2128,Parâmetros!A:A,Parâmetros!D:D,_xlfn.XLOOKUP(Q2128,Parâmetros!F:F,Parâmetros!I:I))</f>
        <v>OPERAÇÕES / SUPORTE KCS</v>
      </c>
      <c r="Q2128" s="1">
        <f t="shared" si="67"/>
        <v>55</v>
      </c>
    </row>
    <row r="2129" spans="1:17" x14ac:dyDescent="0.25">
      <c r="A2129" s="1" t="str">
        <f>_xlfn.XLOOKUP(D2129,'Novo relatório'!B:B,'Novo relatório'!C:C,"RESOLVIDO")</f>
        <v>RESOLVIDO</v>
      </c>
      <c r="C2129" t="str">
        <f t="shared" si="66"/>
        <v>RESOLVIDO</v>
      </c>
      <c r="D2129" s="1">
        <v>3467975</v>
      </c>
      <c r="E2129" s="1" t="s">
        <v>24</v>
      </c>
      <c r="F2129" s="2">
        <v>45813.363888888889</v>
      </c>
      <c r="G2129" s="1">
        <v>4548149</v>
      </c>
      <c r="H2129" s="1" t="s">
        <v>2646</v>
      </c>
      <c r="I2129" s="1" t="s">
        <v>2645</v>
      </c>
      <c r="J2129" s="2">
        <v>45814.004166666666</v>
      </c>
      <c r="K2129" s="2">
        <v>45814.448611111111</v>
      </c>
      <c r="L2129" s="1" t="s">
        <v>19</v>
      </c>
      <c r="M2129" s="1" t="str">
        <f>_xlfn.XLOOKUP(I2129,Parâmetros!A:A,Parâmetros!B:B,_xlfn.XLOOKUP(Q2129,Parâmetros!F:F,Parâmetros!G:G,"NOVA MENSAGEM"))</f>
        <v>CONTRATO FORNECEDOR</v>
      </c>
      <c r="N2129" s="1" t="str">
        <f>_xlfn.XLOOKUP(M2129,Parâmetros!K:K,Parâmetros!L:L,"")</f>
        <v>CONTRATO INATIVO OU DIVERGENTE</v>
      </c>
      <c r="O2129" s="1" t="str">
        <f>_xlfn.XLOOKUP(M2129,Parâmetros!B:B,Parâmetros!C:C,_xlfn.XLOOKUP(Base!M2126,Parâmetros!G:G,Parâmetros!H:H))</f>
        <v>SISTEMA</v>
      </c>
      <c r="P2129" s="1" t="str">
        <f>_xlfn.XLOOKUP(I2129,Parâmetros!A:A,Parâmetros!D:D,_xlfn.XLOOKUP(Q2129,Parâmetros!F:F,Parâmetros!I:I))</f>
        <v>OPERAÇÕES / SUPORTE KCS</v>
      </c>
      <c r="Q2129" s="1">
        <f t="shared" si="67"/>
        <v>55</v>
      </c>
    </row>
    <row r="2130" spans="1:17" x14ac:dyDescent="0.25">
      <c r="A2130" s="1" t="str">
        <f>_xlfn.XLOOKUP(D2130,'Novo relatório'!B:B,'Novo relatório'!C:C,"RESOLVIDO")</f>
        <v>RESOLVIDO</v>
      </c>
      <c r="C2130" t="str">
        <f t="shared" si="66"/>
        <v>RESOLVIDO</v>
      </c>
      <c r="D2130" s="1">
        <v>3466809</v>
      </c>
      <c r="E2130" s="1" t="s">
        <v>24</v>
      </c>
      <c r="F2130" s="2">
        <v>45813.371527777781</v>
      </c>
      <c r="G2130" s="1">
        <v>4548156</v>
      </c>
      <c r="H2130" s="1" t="s">
        <v>2647</v>
      </c>
      <c r="I2130" s="1" t="s">
        <v>2645</v>
      </c>
      <c r="J2130" s="2">
        <v>45813.684027777781</v>
      </c>
      <c r="K2130" s="2">
        <v>45814.518055555556</v>
      </c>
      <c r="L2130" s="1" t="s">
        <v>19</v>
      </c>
      <c r="M2130" s="1" t="str">
        <f>_xlfn.XLOOKUP(I2130,Parâmetros!A:A,Parâmetros!B:B,_xlfn.XLOOKUP(Q2130,Parâmetros!F:F,Parâmetros!G:G,"NOVA MENSAGEM"))</f>
        <v>CONTRATO FORNECEDOR</v>
      </c>
      <c r="N2130" s="1" t="str">
        <f>_xlfn.XLOOKUP(M2130,Parâmetros!K:K,Parâmetros!L:L,"")</f>
        <v>CONTRATO INATIVO OU DIVERGENTE</v>
      </c>
      <c r="O2130" s="1" t="str">
        <f>_xlfn.XLOOKUP(M2130,Parâmetros!B:B,Parâmetros!C:C,_xlfn.XLOOKUP(Base!M2127,Parâmetros!G:G,Parâmetros!H:H))</f>
        <v>SISTEMA</v>
      </c>
      <c r="P2130" s="1" t="str">
        <f>_xlfn.XLOOKUP(I2130,Parâmetros!A:A,Parâmetros!D:D,_xlfn.XLOOKUP(Q2130,Parâmetros!F:F,Parâmetros!I:I))</f>
        <v>OPERAÇÕES / SUPORTE KCS</v>
      </c>
      <c r="Q2130" s="1">
        <f t="shared" si="67"/>
        <v>55</v>
      </c>
    </row>
    <row r="2131" spans="1:17" x14ac:dyDescent="0.25">
      <c r="A2131" s="1" t="str">
        <f>_xlfn.XLOOKUP(D2131,'Novo relatório'!B:B,'Novo relatório'!C:C,"RESOLVIDO")</f>
        <v>RESOLVIDO</v>
      </c>
      <c r="C2131" t="str">
        <f t="shared" si="66"/>
        <v>RESOLVIDO</v>
      </c>
      <c r="D2131" s="1">
        <v>3465762</v>
      </c>
      <c r="E2131" s="1" t="s">
        <v>24</v>
      </c>
      <c r="F2131" s="2">
        <v>45813.379861111112</v>
      </c>
      <c r="G2131" s="1">
        <v>4548162</v>
      </c>
      <c r="H2131" s="1" t="s">
        <v>2648</v>
      </c>
      <c r="I2131" s="1" t="s">
        <v>2645</v>
      </c>
      <c r="J2131" s="2">
        <v>45813.48333333333</v>
      </c>
      <c r="K2131" s="2">
        <v>45814.518055555556</v>
      </c>
      <c r="L2131" s="1" t="s">
        <v>19</v>
      </c>
      <c r="M2131" s="1" t="str">
        <f>_xlfn.XLOOKUP(I2131,Parâmetros!A:A,Parâmetros!B:B,_xlfn.XLOOKUP(Q2131,Parâmetros!F:F,Parâmetros!G:G,"NOVA MENSAGEM"))</f>
        <v>CONTRATO FORNECEDOR</v>
      </c>
      <c r="N2131" s="1" t="str">
        <f>_xlfn.XLOOKUP(M2131,Parâmetros!K:K,Parâmetros!L:L,"")</f>
        <v>CONTRATO INATIVO OU DIVERGENTE</v>
      </c>
      <c r="O2131" s="1" t="str">
        <f>_xlfn.XLOOKUP(M2131,Parâmetros!B:B,Parâmetros!C:C,_xlfn.XLOOKUP(Base!M2128,Parâmetros!G:G,Parâmetros!H:H))</f>
        <v>SISTEMA</v>
      </c>
      <c r="P2131" s="1" t="str">
        <f>_xlfn.XLOOKUP(I2131,Parâmetros!A:A,Parâmetros!D:D,_xlfn.XLOOKUP(Q2131,Parâmetros!F:F,Parâmetros!I:I))</f>
        <v>OPERAÇÕES / SUPORTE KCS</v>
      </c>
      <c r="Q2131" s="1">
        <f t="shared" si="67"/>
        <v>55</v>
      </c>
    </row>
    <row r="2132" spans="1:17" x14ac:dyDescent="0.25">
      <c r="A2132" s="1" t="str">
        <f>_xlfn.XLOOKUP(D2132,'Novo relatório'!B:B,'Novo relatório'!C:C,"RESOLVIDO")</f>
        <v>RESOLVIDO</v>
      </c>
      <c r="C2132" t="str">
        <f t="shared" si="66"/>
        <v>RESOLVIDO</v>
      </c>
      <c r="D2132" s="1">
        <v>3465945</v>
      </c>
      <c r="E2132" s="1" t="s">
        <v>24</v>
      </c>
      <c r="F2132" s="2">
        <v>45813.381944444445</v>
      </c>
      <c r="G2132" s="1">
        <v>4548164</v>
      </c>
      <c r="H2132" s="1" t="s">
        <v>2649</v>
      </c>
      <c r="I2132" s="1" t="s">
        <v>2645</v>
      </c>
      <c r="J2132" s="2">
        <v>45813.573611111111</v>
      </c>
      <c r="K2132" s="2">
        <v>45814.518055555556</v>
      </c>
      <c r="L2132" s="1" t="s">
        <v>19</v>
      </c>
      <c r="M2132" s="1" t="str">
        <f>_xlfn.XLOOKUP(I2132,Parâmetros!A:A,Parâmetros!B:B,_xlfn.XLOOKUP(Q2132,Parâmetros!F:F,Parâmetros!G:G,"NOVA MENSAGEM"))</f>
        <v>CONTRATO FORNECEDOR</v>
      </c>
      <c r="N2132" s="1" t="str">
        <f>_xlfn.XLOOKUP(M2132,Parâmetros!K:K,Parâmetros!L:L,"")</f>
        <v>CONTRATO INATIVO OU DIVERGENTE</v>
      </c>
      <c r="O2132" s="1" t="str">
        <f>_xlfn.XLOOKUP(M2132,Parâmetros!B:B,Parâmetros!C:C,_xlfn.XLOOKUP(Base!M2129,Parâmetros!G:G,Parâmetros!H:H))</f>
        <v>SISTEMA</v>
      </c>
      <c r="P2132" s="1" t="str">
        <f>_xlfn.XLOOKUP(I2132,Parâmetros!A:A,Parâmetros!D:D,_xlfn.XLOOKUP(Q2132,Parâmetros!F:F,Parâmetros!I:I))</f>
        <v>OPERAÇÕES / SUPORTE KCS</v>
      </c>
      <c r="Q2132" s="1">
        <f t="shared" si="67"/>
        <v>55</v>
      </c>
    </row>
    <row r="2133" spans="1:17" x14ac:dyDescent="0.25">
      <c r="A2133" s="1" t="str">
        <f>_xlfn.XLOOKUP(D2133,'Novo relatório'!B:B,'Novo relatório'!C:C,"RESOLVIDO")</f>
        <v>RESOLVIDO</v>
      </c>
      <c r="C2133" t="str">
        <f t="shared" si="66"/>
        <v>RESOLVIDO</v>
      </c>
      <c r="D2133" s="1">
        <v>3465643</v>
      </c>
      <c r="E2133" s="1" t="s">
        <v>24</v>
      </c>
      <c r="F2133" s="2">
        <v>45813.38958333333</v>
      </c>
      <c r="G2133" s="1">
        <v>4548176</v>
      </c>
      <c r="H2133" s="1" t="s">
        <v>2650</v>
      </c>
      <c r="I2133" s="1" t="s">
        <v>2645</v>
      </c>
      <c r="J2133" s="2">
        <v>45813.429166666669</v>
      </c>
      <c r="K2133" s="2">
        <v>45814.518055555556</v>
      </c>
      <c r="L2133" s="1" t="s">
        <v>19</v>
      </c>
      <c r="M2133" s="1" t="str">
        <f>_xlfn.XLOOKUP(I2133,Parâmetros!A:A,Parâmetros!B:B,_xlfn.XLOOKUP(Q2133,Parâmetros!F:F,Parâmetros!G:G,"NOVA MENSAGEM"))</f>
        <v>CONTRATO FORNECEDOR</v>
      </c>
      <c r="N2133" s="1" t="str">
        <f>_xlfn.XLOOKUP(M2133,Parâmetros!K:K,Parâmetros!L:L,"")</f>
        <v>CONTRATO INATIVO OU DIVERGENTE</v>
      </c>
      <c r="O2133" s="1" t="str">
        <f>_xlfn.XLOOKUP(M2133,Parâmetros!B:B,Parâmetros!C:C,_xlfn.XLOOKUP(Base!M2130,Parâmetros!G:G,Parâmetros!H:H))</f>
        <v>SISTEMA</v>
      </c>
      <c r="P2133" s="1" t="str">
        <f>_xlfn.XLOOKUP(I2133,Parâmetros!A:A,Parâmetros!D:D,_xlfn.XLOOKUP(Q2133,Parâmetros!F:F,Parâmetros!I:I))</f>
        <v>OPERAÇÕES / SUPORTE KCS</v>
      </c>
      <c r="Q2133" s="1">
        <f t="shared" si="67"/>
        <v>55</v>
      </c>
    </row>
    <row r="2134" spans="1:17" x14ac:dyDescent="0.25">
      <c r="A2134" s="1" t="str">
        <f>_xlfn.XLOOKUP(D2134,'Novo relatório'!B:B,'Novo relatório'!C:C,"RESOLVIDO")</f>
        <v>RESOLVIDO</v>
      </c>
      <c r="C2134" t="str">
        <f t="shared" si="66"/>
        <v>RESOLVIDO</v>
      </c>
      <c r="D2134" s="1">
        <v>3465752</v>
      </c>
      <c r="E2134" s="1" t="s">
        <v>24</v>
      </c>
      <c r="F2134" s="2">
        <v>45813.390972222223</v>
      </c>
      <c r="G2134" s="1">
        <v>4548179</v>
      </c>
      <c r="H2134" s="1" t="s">
        <v>2651</v>
      </c>
      <c r="I2134" s="1" t="s">
        <v>2645</v>
      </c>
      <c r="J2134" s="2">
        <v>45813.476388888892</v>
      </c>
      <c r="K2134" s="2">
        <v>45814.518055555556</v>
      </c>
      <c r="L2134" s="1" t="s">
        <v>19</v>
      </c>
      <c r="M2134" s="1" t="str">
        <f>_xlfn.XLOOKUP(I2134,Parâmetros!A:A,Parâmetros!B:B,_xlfn.XLOOKUP(Q2134,Parâmetros!F:F,Parâmetros!G:G,"NOVA MENSAGEM"))</f>
        <v>CONTRATO FORNECEDOR</v>
      </c>
      <c r="N2134" s="1" t="str">
        <f>_xlfn.XLOOKUP(M2134,Parâmetros!K:K,Parâmetros!L:L,"")</f>
        <v>CONTRATO INATIVO OU DIVERGENTE</v>
      </c>
      <c r="O2134" s="1" t="str">
        <f>_xlfn.XLOOKUP(M2134,Parâmetros!B:B,Parâmetros!C:C,_xlfn.XLOOKUP(Base!M2131,Parâmetros!G:G,Parâmetros!H:H))</f>
        <v>SISTEMA</v>
      </c>
      <c r="P2134" s="1" t="str">
        <f>_xlfn.XLOOKUP(I2134,Parâmetros!A:A,Parâmetros!D:D,_xlfn.XLOOKUP(Q2134,Parâmetros!F:F,Parâmetros!I:I))</f>
        <v>OPERAÇÕES / SUPORTE KCS</v>
      </c>
      <c r="Q2134" s="1">
        <f t="shared" si="67"/>
        <v>55</v>
      </c>
    </row>
    <row r="2135" spans="1:17" x14ac:dyDescent="0.25">
      <c r="A2135" s="1" t="str">
        <f>_xlfn.XLOOKUP(D2135,'Novo relatório'!B:B,'Novo relatório'!C:C,"RESOLVIDO")</f>
        <v>RESOLVIDO</v>
      </c>
      <c r="C2135" t="str">
        <f t="shared" si="66"/>
        <v>RESOLVIDO</v>
      </c>
      <c r="D2135" s="1">
        <v>3467978</v>
      </c>
      <c r="E2135" s="1" t="s">
        <v>24</v>
      </c>
      <c r="F2135" s="2">
        <v>45813.396527777775</v>
      </c>
      <c r="G2135" s="1">
        <v>4548191</v>
      </c>
      <c r="H2135" s="1" t="s">
        <v>2652</v>
      </c>
      <c r="I2135" s="1" t="s">
        <v>2645</v>
      </c>
      <c r="J2135" s="2">
        <v>45814.004166666666</v>
      </c>
      <c r="K2135" s="2">
        <v>45814.448611111111</v>
      </c>
      <c r="L2135" s="1" t="s">
        <v>19</v>
      </c>
      <c r="M2135" s="1" t="str">
        <f>_xlfn.XLOOKUP(I2135,Parâmetros!A:A,Parâmetros!B:B,_xlfn.XLOOKUP(Q2135,Parâmetros!F:F,Parâmetros!G:G,"NOVA MENSAGEM"))</f>
        <v>CONTRATO FORNECEDOR</v>
      </c>
      <c r="N2135" s="1" t="str">
        <f>_xlfn.XLOOKUP(M2135,Parâmetros!K:K,Parâmetros!L:L,"")</f>
        <v>CONTRATO INATIVO OU DIVERGENTE</v>
      </c>
      <c r="O2135" s="1" t="str">
        <f>_xlfn.XLOOKUP(M2135,Parâmetros!B:B,Parâmetros!C:C,_xlfn.XLOOKUP(Base!M2132,Parâmetros!G:G,Parâmetros!H:H))</f>
        <v>SISTEMA</v>
      </c>
      <c r="P2135" s="1" t="str">
        <f>_xlfn.XLOOKUP(I2135,Parâmetros!A:A,Parâmetros!D:D,_xlfn.XLOOKUP(Q2135,Parâmetros!F:F,Parâmetros!I:I))</f>
        <v>OPERAÇÕES / SUPORTE KCS</v>
      </c>
      <c r="Q2135" s="1">
        <f t="shared" si="67"/>
        <v>55</v>
      </c>
    </row>
    <row r="2136" spans="1:17" x14ac:dyDescent="0.25">
      <c r="A2136" s="1" t="str">
        <f>_xlfn.XLOOKUP(D2136,'Novo relatório'!B:B,'Novo relatório'!C:C,"RESOLVIDO")</f>
        <v>RESOLVIDO</v>
      </c>
      <c r="C2136" t="str">
        <f t="shared" si="66"/>
        <v>RESOLVIDO</v>
      </c>
      <c r="D2136" s="1">
        <v>3467974</v>
      </c>
      <c r="E2136" s="1" t="s">
        <v>24</v>
      </c>
      <c r="F2136" s="2">
        <v>45813.405555555553</v>
      </c>
      <c r="G2136" s="1">
        <v>4548207</v>
      </c>
      <c r="H2136" s="1" t="s">
        <v>2653</v>
      </c>
      <c r="I2136" s="1" t="s">
        <v>2645</v>
      </c>
      <c r="J2136" s="2">
        <v>45814.004166666666</v>
      </c>
      <c r="K2136" s="2">
        <v>45814.518055555556</v>
      </c>
      <c r="L2136" s="1" t="s">
        <v>19</v>
      </c>
      <c r="M2136" s="1" t="str">
        <f>_xlfn.XLOOKUP(I2136,Parâmetros!A:A,Parâmetros!B:B,_xlfn.XLOOKUP(Q2136,Parâmetros!F:F,Parâmetros!G:G,"NOVA MENSAGEM"))</f>
        <v>CONTRATO FORNECEDOR</v>
      </c>
      <c r="N2136" s="1" t="str">
        <f>_xlfn.XLOOKUP(M2136,Parâmetros!K:K,Parâmetros!L:L,"")</f>
        <v>CONTRATO INATIVO OU DIVERGENTE</v>
      </c>
      <c r="O2136" s="1" t="str">
        <f>_xlfn.XLOOKUP(M2136,Parâmetros!B:B,Parâmetros!C:C,_xlfn.XLOOKUP(Base!M2133,Parâmetros!G:G,Parâmetros!H:H))</f>
        <v>SISTEMA</v>
      </c>
      <c r="P2136" s="1" t="str">
        <f>_xlfn.XLOOKUP(I2136,Parâmetros!A:A,Parâmetros!D:D,_xlfn.XLOOKUP(Q2136,Parâmetros!F:F,Parâmetros!I:I))</f>
        <v>OPERAÇÕES / SUPORTE KCS</v>
      </c>
      <c r="Q2136" s="1">
        <f t="shared" si="67"/>
        <v>55</v>
      </c>
    </row>
    <row r="2137" spans="1:17" x14ac:dyDescent="0.25">
      <c r="A2137" s="1" t="str">
        <f>_xlfn.XLOOKUP(D2137,'Novo relatório'!B:B,'Novo relatório'!C:C,"RESOLVIDO")</f>
        <v>RESOLVIDO</v>
      </c>
      <c r="C2137" t="str">
        <f t="shared" si="66"/>
        <v>RESOLVIDO</v>
      </c>
      <c r="D2137" s="1">
        <v>3465644</v>
      </c>
      <c r="E2137" s="1" t="s">
        <v>24</v>
      </c>
      <c r="F2137" s="2">
        <v>45813.411805555559</v>
      </c>
      <c r="G2137" s="1">
        <v>4548216</v>
      </c>
      <c r="H2137" s="1" t="s">
        <v>2654</v>
      </c>
      <c r="I2137" s="1" t="s">
        <v>2645</v>
      </c>
      <c r="J2137" s="2">
        <v>45813.429166666669</v>
      </c>
      <c r="K2137" s="2">
        <v>45814.447222222225</v>
      </c>
      <c r="L2137" s="1" t="s">
        <v>19</v>
      </c>
      <c r="M2137" s="1" t="str">
        <f>_xlfn.XLOOKUP(I2137,Parâmetros!A:A,Parâmetros!B:B,_xlfn.XLOOKUP(Q2137,Parâmetros!F:F,Parâmetros!G:G,"NOVA MENSAGEM"))</f>
        <v>CONTRATO FORNECEDOR</v>
      </c>
      <c r="N2137" s="1" t="str">
        <f>_xlfn.XLOOKUP(M2137,Parâmetros!K:K,Parâmetros!L:L,"")</f>
        <v>CONTRATO INATIVO OU DIVERGENTE</v>
      </c>
      <c r="O2137" s="1" t="str">
        <f>_xlfn.XLOOKUP(M2137,Parâmetros!B:B,Parâmetros!C:C,_xlfn.XLOOKUP(Base!M2134,Parâmetros!G:G,Parâmetros!H:H))</f>
        <v>SISTEMA</v>
      </c>
      <c r="P2137" s="1" t="str">
        <f>_xlfn.XLOOKUP(I2137,Parâmetros!A:A,Parâmetros!D:D,_xlfn.XLOOKUP(Q2137,Parâmetros!F:F,Parâmetros!I:I))</f>
        <v>OPERAÇÕES / SUPORTE KCS</v>
      </c>
      <c r="Q2137" s="1">
        <f t="shared" si="67"/>
        <v>55</v>
      </c>
    </row>
    <row r="2138" spans="1:17" x14ac:dyDescent="0.25">
      <c r="A2138" s="1" t="str">
        <f>_xlfn.XLOOKUP(D2138,'Novo relatório'!B:B,'Novo relatório'!C:C,"RESOLVIDO")</f>
        <v>RESOLVIDO</v>
      </c>
      <c r="C2138" t="str">
        <f t="shared" si="66"/>
        <v>RESOLVIDO</v>
      </c>
      <c r="D2138" s="1">
        <v>3466783</v>
      </c>
      <c r="E2138" s="1" t="s">
        <v>24</v>
      </c>
      <c r="F2138" s="2">
        <v>45813.418749999997</v>
      </c>
      <c r="G2138" s="1">
        <v>4548224</v>
      </c>
      <c r="H2138" s="1" t="s">
        <v>2655</v>
      </c>
      <c r="I2138" s="1" t="s">
        <v>2645</v>
      </c>
      <c r="J2138" s="2">
        <v>45813.67083333333</v>
      </c>
      <c r="K2138" s="2">
        <v>45814.518055555556</v>
      </c>
      <c r="L2138" s="1" t="s">
        <v>19</v>
      </c>
      <c r="M2138" s="1" t="str">
        <f>_xlfn.XLOOKUP(I2138,Parâmetros!A:A,Parâmetros!B:B,_xlfn.XLOOKUP(Q2138,Parâmetros!F:F,Parâmetros!G:G,"NOVA MENSAGEM"))</f>
        <v>CONTRATO FORNECEDOR</v>
      </c>
      <c r="N2138" s="1" t="str">
        <f>_xlfn.XLOOKUP(M2138,Parâmetros!K:K,Parâmetros!L:L,"")</f>
        <v>CONTRATO INATIVO OU DIVERGENTE</v>
      </c>
      <c r="O2138" s="1" t="str">
        <f>_xlfn.XLOOKUP(M2138,Parâmetros!B:B,Parâmetros!C:C,_xlfn.XLOOKUP(Base!M2135,Parâmetros!G:G,Parâmetros!H:H))</f>
        <v>SISTEMA</v>
      </c>
      <c r="P2138" s="1" t="str">
        <f>_xlfn.XLOOKUP(I2138,Parâmetros!A:A,Parâmetros!D:D,_xlfn.XLOOKUP(Q2138,Parâmetros!F:F,Parâmetros!I:I))</f>
        <v>OPERAÇÕES / SUPORTE KCS</v>
      </c>
      <c r="Q2138" s="1">
        <f t="shared" si="67"/>
        <v>55</v>
      </c>
    </row>
    <row r="2139" spans="1:17" x14ac:dyDescent="0.25">
      <c r="A2139" s="1" t="str">
        <f>_xlfn.XLOOKUP(D2139,'Novo relatório'!B:B,'Novo relatório'!C:C,"RESOLVIDO")</f>
        <v>RESOLVIDO</v>
      </c>
      <c r="C2139" t="str">
        <f t="shared" si="66"/>
        <v>RESOLVIDO</v>
      </c>
      <c r="D2139" s="1">
        <v>3467112</v>
      </c>
      <c r="E2139" s="1" t="s">
        <v>24</v>
      </c>
      <c r="F2139" s="2">
        <v>45813.440972222219</v>
      </c>
      <c r="G2139" s="1">
        <v>4548261</v>
      </c>
      <c r="H2139" s="1" t="s">
        <v>2656</v>
      </c>
      <c r="I2139" s="1" t="s">
        <v>2645</v>
      </c>
      <c r="J2139" s="2">
        <v>45813.808333333334</v>
      </c>
      <c r="K2139" s="2">
        <v>45814.518055555556</v>
      </c>
      <c r="L2139" s="1" t="s">
        <v>19</v>
      </c>
      <c r="M2139" s="1" t="str">
        <f>_xlfn.XLOOKUP(I2139,Parâmetros!A:A,Parâmetros!B:B,_xlfn.XLOOKUP(Q2139,Parâmetros!F:F,Parâmetros!G:G,"NOVA MENSAGEM"))</f>
        <v>CONTRATO FORNECEDOR</v>
      </c>
      <c r="N2139" s="1" t="str">
        <f>_xlfn.XLOOKUP(M2139,Parâmetros!K:K,Parâmetros!L:L,"")</f>
        <v>CONTRATO INATIVO OU DIVERGENTE</v>
      </c>
      <c r="O2139" s="1" t="str">
        <f>_xlfn.XLOOKUP(M2139,Parâmetros!B:B,Parâmetros!C:C,_xlfn.XLOOKUP(Base!M2136,Parâmetros!G:G,Parâmetros!H:H))</f>
        <v>SISTEMA</v>
      </c>
      <c r="P2139" s="1" t="str">
        <f>_xlfn.XLOOKUP(I2139,Parâmetros!A:A,Parâmetros!D:D,_xlfn.XLOOKUP(Q2139,Parâmetros!F:F,Parâmetros!I:I))</f>
        <v>OPERAÇÕES / SUPORTE KCS</v>
      </c>
      <c r="Q2139" s="1">
        <f t="shared" si="67"/>
        <v>55</v>
      </c>
    </row>
    <row r="2140" spans="1:17" x14ac:dyDescent="0.25">
      <c r="A2140" s="1" t="str">
        <f>_xlfn.XLOOKUP(D2140,'Novo relatório'!B:B,'Novo relatório'!C:C,"RESOLVIDO")</f>
        <v>RESOLVIDO</v>
      </c>
      <c r="C2140" t="str">
        <f t="shared" si="66"/>
        <v>RESOLVIDO</v>
      </c>
      <c r="D2140" s="1">
        <v>3467113</v>
      </c>
      <c r="E2140" s="1" t="s">
        <v>24</v>
      </c>
      <c r="F2140" s="2">
        <v>45813.440972222219</v>
      </c>
      <c r="G2140" s="1">
        <v>4548261</v>
      </c>
      <c r="H2140" s="1" t="s">
        <v>2657</v>
      </c>
      <c r="I2140" s="1" t="s">
        <v>2645</v>
      </c>
      <c r="J2140" s="2">
        <v>45813.808333333334</v>
      </c>
      <c r="K2140" s="2">
        <v>45814.518055555556</v>
      </c>
      <c r="L2140" s="1" t="s">
        <v>19</v>
      </c>
      <c r="M2140" s="1" t="str">
        <f>_xlfn.XLOOKUP(I2140,Parâmetros!A:A,Parâmetros!B:B,_xlfn.XLOOKUP(Q2140,Parâmetros!F:F,Parâmetros!G:G,"NOVA MENSAGEM"))</f>
        <v>CONTRATO FORNECEDOR</v>
      </c>
      <c r="N2140" s="1" t="str">
        <f>_xlfn.XLOOKUP(M2140,Parâmetros!K:K,Parâmetros!L:L,"")</f>
        <v>CONTRATO INATIVO OU DIVERGENTE</v>
      </c>
      <c r="O2140" s="1" t="str">
        <f>_xlfn.XLOOKUP(M2140,Parâmetros!B:B,Parâmetros!C:C,_xlfn.XLOOKUP(Base!M2137,Parâmetros!G:G,Parâmetros!H:H))</f>
        <v>SISTEMA</v>
      </c>
      <c r="P2140" s="1" t="str">
        <f>_xlfn.XLOOKUP(I2140,Parâmetros!A:A,Parâmetros!D:D,_xlfn.XLOOKUP(Q2140,Parâmetros!F:F,Parâmetros!I:I))</f>
        <v>OPERAÇÕES / SUPORTE KCS</v>
      </c>
      <c r="Q2140" s="1">
        <f t="shared" si="67"/>
        <v>55</v>
      </c>
    </row>
    <row r="2141" spans="1:17" x14ac:dyDescent="0.25">
      <c r="A2141" s="1" t="str">
        <f>_xlfn.XLOOKUP(D2141,'Novo relatório'!B:B,'Novo relatório'!C:C,"RESOLVIDO")</f>
        <v>RESOLVIDO</v>
      </c>
      <c r="C2141" t="str">
        <f t="shared" si="66"/>
        <v>RESOLVIDO</v>
      </c>
      <c r="D2141" s="1">
        <v>3467114</v>
      </c>
      <c r="E2141" s="1" t="s">
        <v>24</v>
      </c>
      <c r="F2141" s="2">
        <v>45813.440972222219</v>
      </c>
      <c r="G2141" s="1">
        <v>4548261</v>
      </c>
      <c r="H2141" s="1" t="s">
        <v>2658</v>
      </c>
      <c r="I2141" s="1" t="s">
        <v>2645</v>
      </c>
      <c r="J2141" s="2">
        <v>45813.809027777781</v>
      </c>
      <c r="K2141" s="2">
        <v>45814.518055555556</v>
      </c>
      <c r="L2141" s="1" t="s">
        <v>19</v>
      </c>
      <c r="M2141" s="1" t="str">
        <f>_xlfn.XLOOKUP(I2141,Parâmetros!A:A,Parâmetros!B:B,_xlfn.XLOOKUP(Q2141,Parâmetros!F:F,Parâmetros!G:G,"NOVA MENSAGEM"))</f>
        <v>CONTRATO FORNECEDOR</v>
      </c>
      <c r="N2141" s="1" t="str">
        <f>_xlfn.XLOOKUP(M2141,Parâmetros!K:K,Parâmetros!L:L,"")</f>
        <v>CONTRATO INATIVO OU DIVERGENTE</v>
      </c>
      <c r="O2141" s="1" t="str">
        <f>_xlfn.XLOOKUP(M2141,Parâmetros!B:B,Parâmetros!C:C,_xlfn.XLOOKUP(Base!M2138,Parâmetros!G:G,Parâmetros!H:H))</f>
        <v>SISTEMA</v>
      </c>
      <c r="P2141" s="1" t="str">
        <f>_xlfn.XLOOKUP(I2141,Parâmetros!A:A,Parâmetros!D:D,_xlfn.XLOOKUP(Q2141,Parâmetros!F:F,Parâmetros!I:I))</f>
        <v>OPERAÇÕES / SUPORTE KCS</v>
      </c>
      <c r="Q2141" s="1">
        <f t="shared" si="67"/>
        <v>55</v>
      </c>
    </row>
    <row r="2142" spans="1:17" x14ac:dyDescent="0.25">
      <c r="A2142" s="1" t="str">
        <f>_xlfn.XLOOKUP(D2142,'Novo relatório'!B:B,'Novo relatório'!C:C,"RESOLVIDO")</f>
        <v>RESOLVIDO</v>
      </c>
      <c r="C2142" t="str">
        <f t="shared" si="66"/>
        <v>RESOLVIDO</v>
      </c>
      <c r="D2142" s="1">
        <v>3467115</v>
      </c>
      <c r="E2142" s="1" t="s">
        <v>24</v>
      </c>
      <c r="F2142" s="2">
        <v>45813.440972222219</v>
      </c>
      <c r="G2142" s="1">
        <v>4548261</v>
      </c>
      <c r="H2142" s="1" t="s">
        <v>2659</v>
      </c>
      <c r="I2142" s="1" t="s">
        <v>2645</v>
      </c>
      <c r="J2142" s="2">
        <v>45813.809027777781</v>
      </c>
      <c r="K2142" s="2">
        <v>45814.518055555556</v>
      </c>
      <c r="L2142" s="1" t="s">
        <v>19</v>
      </c>
      <c r="M2142" s="1" t="str">
        <f>_xlfn.XLOOKUP(I2142,Parâmetros!A:A,Parâmetros!B:B,_xlfn.XLOOKUP(Q2142,Parâmetros!F:F,Parâmetros!G:G,"NOVA MENSAGEM"))</f>
        <v>CONTRATO FORNECEDOR</v>
      </c>
      <c r="N2142" s="1" t="str">
        <f>_xlfn.XLOOKUP(M2142,Parâmetros!K:K,Parâmetros!L:L,"")</f>
        <v>CONTRATO INATIVO OU DIVERGENTE</v>
      </c>
      <c r="O2142" s="1" t="str">
        <f>_xlfn.XLOOKUP(M2142,Parâmetros!B:B,Parâmetros!C:C,_xlfn.XLOOKUP(Base!M2139,Parâmetros!G:G,Parâmetros!H:H))</f>
        <v>SISTEMA</v>
      </c>
      <c r="P2142" s="1" t="str">
        <f>_xlfn.XLOOKUP(I2142,Parâmetros!A:A,Parâmetros!D:D,_xlfn.XLOOKUP(Q2142,Parâmetros!F:F,Parâmetros!I:I))</f>
        <v>OPERAÇÕES / SUPORTE KCS</v>
      </c>
      <c r="Q2142" s="1">
        <f t="shared" si="67"/>
        <v>55</v>
      </c>
    </row>
    <row r="2143" spans="1:17" x14ac:dyDescent="0.25">
      <c r="A2143" s="1" t="str">
        <f>_xlfn.XLOOKUP(D2143,'Novo relatório'!B:B,'Novo relatório'!C:C,"RESOLVIDO")</f>
        <v>RESOLVIDO</v>
      </c>
      <c r="C2143" t="str">
        <f t="shared" si="66"/>
        <v>RESOLVIDO</v>
      </c>
      <c r="D2143" s="1">
        <v>3465841</v>
      </c>
      <c r="E2143" s="1" t="s">
        <v>24</v>
      </c>
      <c r="F2143" s="2">
        <v>45813.452777777777</v>
      </c>
      <c r="G2143" s="1">
        <v>4548287</v>
      </c>
      <c r="H2143" s="1" t="s">
        <v>2660</v>
      </c>
      <c r="I2143" s="1" t="s">
        <v>2645</v>
      </c>
      <c r="J2143" s="2">
        <v>45813.504861111112</v>
      </c>
      <c r="K2143" s="2">
        <v>45814.518055555556</v>
      </c>
      <c r="L2143" s="1" t="s">
        <v>19</v>
      </c>
      <c r="M2143" s="1" t="str">
        <f>_xlfn.XLOOKUP(I2143,Parâmetros!A:A,Parâmetros!B:B,_xlfn.XLOOKUP(Q2143,Parâmetros!F:F,Parâmetros!G:G,"NOVA MENSAGEM"))</f>
        <v>CONTRATO FORNECEDOR</v>
      </c>
      <c r="N2143" s="1" t="str">
        <f>_xlfn.XLOOKUP(M2143,Parâmetros!K:K,Parâmetros!L:L,"")</f>
        <v>CONTRATO INATIVO OU DIVERGENTE</v>
      </c>
      <c r="O2143" s="1" t="str">
        <f>_xlfn.XLOOKUP(M2143,Parâmetros!B:B,Parâmetros!C:C,_xlfn.XLOOKUP(Base!M2140,Parâmetros!G:G,Parâmetros!H:H))</f>
        <v>SISTEMA</v>
      </c>
      <c r="P2143" s="1" t="str">
        <f>_xlfn.XLOOKUP(I2143,Parâmetros!A:A,Parâmetros!D:D,_xlfn.XLOOKUP(Q2143,Parâmetros!F:F,Parâmetros!I:I))</f>
        <v>OPERAÇÕES / SUPORTE KCS</v>
      </c>
      <c r="Q2143" s="1">
        <f t="shared" si="67"/>
        <v>55</v>
      </c>
    </row>
    <row r="2144" spans="1:17" x14ac:dyDescent="0.25">
      <c r="A2144" s="1" t="str">
        <f>_xlfn.XLOOKUP(D2144,'Novo relatório'!B:B,'Novo relatório'!C:C,"RESOLVIDO")</f>
        <v>RESOLVIDO</v>
      </c>
      <c r="C2144" t="str">
        <f t="shared" si="66"/>
        <v>RESOLVIDO</v>
      </c>
      <c r="D2144" s="1">
        <v>3466810</v>
      </c>
      <c r="E2144" s="1" t="s">
        <v>24</v>
      </c>
      <c r="F2144" s="2">
        <v>45813.501388888886</v>
      </c>
      <c r="G2144" s="1">
        <v>4548358</v>
      </c>
      <c r="H2144" s="1" t="s">
        <v>2661</v>
      </c>
      <c r="I2144" s="1" t="s">
        <v>2645</v>
      </c>
      <c r="J2144" s="2">
        <v>45813.684027777781</v>
      </c>
      <c r="K2144" s="2">
        <v>45814.518055555556</v>
      </c>
      <c r="L2144" s="1" t="s">
        <v>19</v>
      </c>
      <c r="M2144" s="1" t="str">
        <f>_xlfn.XLOOKUP(I2144,Parâmetros!A:A,Parâmetros!B:B,_xlfn.XLOOKUP(Q2144,Parâmetros!F:F,Parâmetros!G:G,"NOVA MENSAGEM"))</f>
        <v>CONTRATO FORNECEDOR</v>
      </c>
      <c r="N2144" s="1" t="str">
        <f>_xlfn.XLOOKUP(M2144,Parâmetros!K:K,Parâmetros!L:L,"")</f>
        <v>CONTRATO INATIVO OU DIVERGENTE</v>
      </c>
      <c r="O2144" s="1" t="str">
        <f>_xlfn.XLOOKUP(M2144,Parâmetros!B:B,Parâmetros!C:C,_xlfn.XLOOKUP(Base!M2141,Parâmetros!G:G,Parâmetros!H:H))</f>
        <v>SISTEMA</v>
      </c>
      <c r="P2144" s="1" t="str">
        <f>_xlfn.XLOOKUP(I2144,Parâmetros!A:A,Parâmetros!D:D,_xlfn.XLOOKUP(Q2144,Parâmetros!F:F,Parâmetros!I:I))</f>
        <v>OPERAÇÕES / SUPORTE KCS</v>
      </c>
      <c r="Q2144" s="1">
        <f t="shared" si="67"/>
        <v>55</v>
      </c>
    </row>
    <row r="2145" spans="1:17" x14ac:dyDescent="0.25">
      <c r="A2145" s="1" t="str">
        <f>_xlfn.XLOOKUP(D2145,'Novo relatório'!B:B,'Novo relatório'!C:C,"RESOLVIDO")</f>
        <v>RESOLVIDO</v>
      </c>
      <c r="C2145" t="str">
        <f t="shared" si="66"/>
        <v>RESOLVIDO</v>
      </c>
      <c r="D2145" s="1">
        <v>3467048</v>
      </c>
      <c r="E2145" s="1" t="s">
        <v>24</v>
      </c>
      <c r="F2145" s="2">
        <v>45813.609027777777</v>
      </c>
      <c r="G2145" s="1">
        <v>4548465</v>
      </c>
      <c r="H2145" s="1" t="s">
        <v>2662</v>
      </c>
      <c r="I2145" s="1" t="s">
        <v>2645</v>
      </c>
      <c r="J2145" s="2">
        <v>45813.774305555555</v>
      </c>
      <c r="K2145" s="2">
        <v>45814.518055555556</v>
      </c>
      <c r="L2145" s="1" t="s">
        <v>19</v>
      </c>
      <c r="M2145" s="1" t="str">
        <f>_xlfn.XLOOKUP(I2145,Parâmetros!A:A,Parâmetros!B:B,_xlfn.XLOOKUP(Q2145,Parâmetros!F:F,Parâmetros!G:G,"NOVA MENSAGEM"))</f>
        <v>CONTRATO FORNECEDOR</v>
      </c>
      <c r="N2145" s="1" t="str">
        <f>_xlfn.XLOOKUP(M2145,Parâmetros!K:K,Parâmetros!L:L,"")</f>
        <v>CONTRATO INATIVO OU DIVERGENTE</v>
      </c>
      <c r="O2145" s="1" t="str">
        <f>_xlfn.XLOOKUP(M2145,Parâmetros!B:B,Parâmetros!C:C,_xlfn.XLOOKUP(Base!M2142,Parâmetros!G:G,Parâmetros!H:H))</f>
        <v>SISTEMA</v>
      </c>
      <c r="P2145" s="1" t="str">
        <f>_xlfn.XLOOKUP(I2145,Parâmetros!A:A,Parâmetros!D:D,_xlfn.XLOOKUP(Q2145,Parâmetros!F:F,Parâmetros!I:I))</f>
        <v>OPERAÇÕES / SUPORTE KCS</v>
      </c>
      <c r="Q2145" s="1">
        <f t="shared" si="67"/>
        <v>55</v>
      </c>
    </row>
    <row r="2146" spans="1:17" x14ac:dyDescent="0.25">
      <c r="A2146" s="1" t="str">
        <f>_xlfn.XLOOKUP(D2146,'Novo relatório'!B:B,'Novo relatório'!C:C,"RESOLVIDO")</f>
        <v>RESOLVIDO</v>
      </c>
      <c r="C2146" t="str">
        <f t="shared" si="66"/>
        <v>RESOLVIDO</v>
      </c>
      <c r="D2146" s="1">
        <v>3467022</v>
      </c>
      <c r="E2146" s="1" t="s">
        <v>24</v>
      </c>
      <c r="F2146" s="2">
        <v>45813.620833333334</v>
      </c>
      <c r="G2146" s="1">
        <v>4548485</v>
      </c>
      <c r="H2146" s="1" t="s">
        <v>2663</v>
      </c>
      <c r="I2146" s="1" t="s">
        <v>2645</v>
      </c>
      <c r="J2146" s="2">
        <v>45813.760416666664</v>
      </c>
      <c r="K2146" s="2">
        <v>45814.518055555556</v>
      </c>
      <c r="L2146" s="1" t="s">
        <v>19</v>
      </c>
      <c r="M2146" s="1" t="str">
        <f>_xlfn.XLOOKUP(I2146,Parâmetros!A:A,Parâmetros!B:B,_xlfn.XLOOKUP(Q2146,Parâmetros!F:F,Parâmetros!G:G,"NOVA MENSAGEM"))</f>
        <v>CONTRATO FORNECEDOR</v>
      </c>
      <c r="N2146" s="1" t="str">
        <f>_xlfn.XLOOKUP(M2146,Parâmetros!K:K,Parâmetros!L:L,"")</f>
        <v>CONTRATO INATIVO OU DIVERGENTE</v>
      </c>
      <c r="O2146" s="1" t="str">
        <f>_xlfn.XLOOKUP(M2146,Parâmetros!B:B,Parâmetros!C:C,_xlfn.XLOOKUP(Base!M2143,Parâmetros!G:G,Parâmetros!H:H))</f>
        <v>SISTEMA</v>
      </c>
      <c r="P2146" s="1" t="str">
        <f>_xlfn.XLOOKUP(I2146,Parâmetros!A:A,Parâmetros!D:D,_xlfn.XLOOKUP(Q2146,Parâmetros!F:F,Parâmetros!I:I))</f>
        <v>OPERAÇÕES / SUPORTE KCS</v>
      </c>
      <c r="Q2146" s="1">
        <f t="shared" si="67"/>
        <v>55</v>
      </c>
    </row>
    <row r="2147" spans="1:17" x14ac:dyDescent="0.25">
      <c r="A2147" s="1" t="str">
        <f>_xlfn.XLOOKUP(D2147,'Novo relatório'!B:B,'Novo relatório'!C:C,"RESOLVIDO")</f>
        <v>RESOLVIDO</v>
      </c>
      <c r="C2147" t="str">
        <f t="shared" si="66"/>
        <v>RESOLVIDO</v>
      </c>
      <c r="D2147" s="1">
        <v>3466920</v>
      </c>
      <c r="E2147" s="1" t="s">
        <v>24</v>
      </c>
      <c r="F2147" s="2">
        <v>45813.62777777778</v>
      </c>
      <c r="G2147" s="1">
        <v>4548497</v>
      </c>
      <c r="H2147" s="1" t="s">
        <v>2664</v>
      </c>
      <c r="I2147" s="1" t="s">
        <v>2645</v>
      </c>
      <c r="J2147" s="2">
        <v>45813.726388888892</v>
      </c>
      <c r="K2147" s="2">
        <v>45814.518055555556</v>
      </c>
      <c r="L2147" s="1" t="s">
        <v>19</v>
      </c>
      <c r="M2147" s="1" t="str">
        <f>_xlfn.XLOOKUP(I2147,Parâmetros!A:A,Parâmetros!B:B,_xlfn.XLOOKUP(Q2147,Parâmetros!F:F,Parâmetros!G:G,"NOVA MENSAGEM"))</f>
        <v>CONTRATO FORNECEDOR</v>
      </c>
      <c r="N2147" s="1" t="str">
        <f>_xlfn.XLOOKUP(M2147,Parâmetros!K:K,Parâmetros!L:L,"")</f>
        <v>CONTRATO INATIVO OU DIVERGENTE</v>
      </c>
      <c r="O2147" s="1" t="str">
        <f>_xlfn.XLOOKUP(M2147,Parâmetros!B:B,Parâmetros!C:C,_xlfn.XLOOKUP(Base!M2144,Parâmetros!G:G,Parâmetros!H:H))</f>
        <v>SISTEMA</v>
      </c>
      <c r="P2147" s="1" t="str">
        <f>_xlfn.XLOOKUP(I2147,Parâmetros!A:A,Parâmetros!D:D,_xlfn.XLOOKUP(Q2147,Parâmetros!F:F,Parâmetros!I:I))</f>
        <v>OPERAÇÕES / SUPORTE KCS</v>
      </c>
      <c r="Q2147" s="1">
        <f t="shared" si="67"/>
        <v>55</v>
      </c>
    </row>
    <row r="2148" spans="1:17" x14ac:dyDescent="0.25">
      <c r="A2148" s="1" t="str">
        <f>_xlfn.XLOOKUP(D2148,'Novo relatório'!B:B,'Novo relatório'!C:C,"RESOLVIDO")</f>
        <v>RESOLVIDO</v>
      </c>
      <c r="C2148" t="str">
        <f t="shared" si="66"/>
        <v>RESOLVIDO</v>
      </c>
      <c r="D2148" s="1">
        <v>3466787</v>
      </c>
      <c r="E2148" s="1" t="s">
        <v>24</v>
      </c>
      <c r="F2148" s="2">
        <v>45813.628472222219</v>
      </c>
      <c r="G2148" s="1">
        <v>4548499</v>
      </c>
      <c r="H2148" s="1" t="s">
        <v>2665</v>
      </c>
      <c r="I2148" s="1" t="s">
        <v>2645</v>
      </c>
      <c r="J2148" s="2">
        <v>45813.67083333333</v>
      </c>
      <c r="K2148" s="2">
        <v>45814.518055555556</v>
      </c>
      <c r="L2148" s="1" t="s">
        <v>19</v>
      </c>
      <c r="M2148" s="1" t="str">
        <f>_xlfn.XLOOKUP(I2148,Parâmetros!A:A,Parâmetros!B:B,_xlfn.XLOOKUP(Q2148,Parâmetros!F:F,Parâmetros!G:G,"NOVA MENSAGEM"))</f>
        <v>CONTRATO FORNECEDOR</v>
      </c>
      <c r="N2148" s="1" t="str">
        <f>_xlfn.XLOOKUP(M2148,Parâmetros!K:K,Parâmetros!L:L,"")</f>
        <v>CONTRATO INATIVO OU DIVERGENTE</v>
      </c>
      <c r="O2148" s="1" t="str">
        <f>_xlfn.XLOOKUP(M2148,Parâmetros!B:B,Parâmetros!C:C,_xlfn.XLOOKUP(Base!M2145,Parâmetros!G:G,Parâmetros!H:H))</f>
        <v>SISTEMA</v>
      </c>
      <c r="P2148" s="1" t="str">
        <f>_xlfn.XLOOKUP(I2148,Parâmetros!A:A,Parâmetros!D:D,_xlfn.XLOOKUP(Q2148,Parâmetros!F:F,Parâmetros!I:I))</f>
        <v>OPERAÇÕES / SUPORTE KCS</v>
      </c>
      <c r="Q2148" s="1">
        <f t="shared" si="67"/>
        <v>55</v>
      </c>
    </row>
    <row r="2149" spans="1:17" x14ac:dyDescent="0.25">
      <c r="A2149" s="1" t="str">
        <f>_xlfn.XLOOKUP(D2149,'Novo relatório'!B:B,'Novo relatório'!C:C,"RESOLVIDO")</f>
        <v>RESOLVIDO</v>
      </c>
      <c r="C2149" t="str">
        <f t="shared" si="66"/>
        <v>RESOLVIDO</v>
      </c>
      <c r="D2149" s="1">
        <v>3467016</v>
      </c>
      <c r="E2149" s="1" t="s">
        <v>24</v>
      </c>
      <c r="F2149" s="2">
        <v>45813.663888888892</v>
      </c>
      <c r="G2149" s="1">
        <v>4548558</v>
      </c>
      <c r="H2149" s="1" t="s">
        <v>2666</v>
      </c>
      <c r="I2149" s="1" t="s">
        <v>2645</v>
      </c>
      <c r="J2149" s="2">
        <v>45813.754861111112</v>
      </c>
      <c r="K2149" s="2">
        <v>45814.447916666664</v>
      </c>
      <c r="L2149" s="1" t="s">
        <v>19</v>
      </c>
      <c r="M2149" s="1" t="str">
        <f>_xlfn.XLOOKUP(I2149,Parâmetros!A:A,Parâmetros!B:B,_xlfn.XLOOKUP(Q2149,Parâmetros!F:F,Parâmetros!G:G,"NOVA MENSAGEM"))</f>
        <v>CONTRATO FORNECEDOR</v>
      </c>
      <c r="N2149" s="1" t="str">
        <f>_xlfn.XLOOKUP(M2149,Parâmetros!K:K,Parâmetros!L:L,"")</f>
        <v>CONTRATO INATIVO OU DIVERGENTE</v>
      </c>
      <c r="O2149" s="1" t="str">
        <f>_xlfn.XLOOKUP(M2149,Parâmetros!B:B,Parâmetros!C:C,_xlfn.XLOOKUP(Base!M2146,Parâmetros!G:G,Parâmetros!H:H))</f>
        <v>SISTEMA</v>
      </c>
      <c r="P2149" s="1" t="str">
        <f>_xlfn.XLOOKUP(I2149,Parâmetros!A:A,Parâmetros!D:D,_xlfn.XLOOKUP(Q2149,Parâmetros!F:F,Parâmetros!I:I))</f>
        <v>OPERAÇÕES / SUPORTE KCS</v>
      </c>
      <c r="Q2149" s="1">
        <f t="shared" si="67"/>
        <v>55</v>
      </c>
    </row>
    <row r="2150" spans="1:17" x14ac:dyDescent="0.25">
      <c r="A2150" s="1" t="str">
        <f>_xlfn.XLOOKUP(D2150,'Novo relatório'!B:B,'Novo relatório'!C:C,"RESOLVIDO")</f>
        <v>RESOLVIDO</v>
      </c>
      <c r="C2150" t="str">
        <f t="shared" si="66"/>
        <v>RESOLVIDO</v>
      </c>
      <c r="D2150" s="1">
        <v>3468229</v>
      </c>
      <c r="E2150" s="1" t="s">
        <v>24</v>
      </c>
      <c r="F2150" s="2">
        <v>45813.668055555558</v>
      </c>
      <c r="G2150" s="1">
        <v>4548574</v>
      </c>
      <c r="H2150" s="1" t="s">
        <v>2667</v>
      </c>
      <c r="I2150" s="1" t="s">
        <v>2645</v>
      </c>
      <c r="J2150" s="2">
        <v>45814.46875</v>
      </c>
      <c r="K2150" s="2">
        <v>45814.518055555556</v>
      </c>
      <c r="L2150" s="1" t="s">
        <v>19</v>
      </c>
      <c r="M2150" s="1" t="str">
        <f>_xlfn.XLOOKUP(I2150,Parâmetros!A:A,Parâmetros!B:B,_xlfn.XLOOKUP(Q2150,Parâmetros!F:F,Parâmetros!G:G,"NOVA MENSAGEM"))</f>
        <v>CONTRATO FORNECEDOR</v>
      </c>
      <c r="N2150" s="1" t="str">
        <f>_xlfn.XLOOKUP(M2150,Parâmetros!K:K,Parâmetros!L:L,"")</f>
        <v>CONTRATO INATIVO OU DIVERGENTE</v>
      </c>
      <c r="O2150" s="1" t="str">
        <f>_xlfn.XLOOKUP(M2150,Parâmetros!B:B,Parâmetros!C:C,_xlfn.XLOOKUP(Base!M2147,Parâmetros!G:G,Parâmetros!H:H))</f>
        <v>SISTEMA</v>
      </c>
      <c r="P2150" s="1" t="str">
        <f>_xlfn.XLOOKUP(I2150,Parâmetros!A:A,Parâmetros!D:D,_xlfn.XLOOKUP(Q2150,Parâmetros!F:F,Parâmetros!I:I))</f>
        <v>OPERAÇÕES / SUPORTE KCS</v>
      </c>
      <c r="Q2150" s="1">
        <f t="shared" si="67"/>
        <v>55</v>
      </c>
    </row>
    <row r="2151" spans="1:17" x14ac:dyDescent="0.25">
      <c r="A2151" s="1" t="str">
        <f>_xlfn.XLOOKUP(D2151,'Novo relatório'!B:B,'Novo relatório'!C:C,"RESOLVIDO")</f>
        <v>RESOLVIDO</v>
      </c>
      <c r="C2151" t="str">
        <f t="shared" ref="C2151:C2161" si="68">IF(A2151="RESOLVIDO","RESOLVIDO",IF(B2151="","PENDENTE",IF(LEFT(B2151,7)="CHAMADO","AGUARDANDO FORNECEDOR",IF(B2151="CONTABILIZAR","CONTABILIZAR NO PORTAL"))))</f>
        <v>RESOLVIDO</v>
      </c>
      <c r="D2151" s="1">
        <v>3467098</v>
      </c>
      <c r="E2151" s="1" t="s">
        <v>24</v>
      </c>
      <c r="F2151" s="2">
        <v>45813.670138888891</v>
      </c>
      <c r="G2151" s="1">
        <v>4548581</v>
      </c>
      <c r="H2151" s="1" t="s">
        <v>2668</v>
      </c>
      <c r="I2151" s="1" t="s">
        <v>2645</v>
      </c>
      <c r="J2151" s="2">
        <v>45813.795138888891</v>
      </c>
      <c r="K2151" s="2">
        <v>45814.518055555556</v>
      </c>
      <c r="L2151" s="1" t="s">
        <v>19</v>
      </c>
      <c r="M2151" s="1" t="str">
        <f>_xlfn.XLOOKUP(I2151,Parâmetros!A:A,Parâmetros!B:B,_xlfn.XLOOKUP(Q2151,Parâmetros!F:F,Parâmetros!G:G,"NOVA MENSAGEM"))</f>
        <v>CONTRATO FORNECEDOR</v>
      </c>
      <c r="N2151" s="1" t="str">
        <f>_xlfn.XLOOKUP(M2151,Parâmetros!K:K,Parâmetros!L:L,"")</f>
        <v>CONTRATO INATIVO OU DIVERGENTE</v>
      </c>
      <c r="O2151" s="1" t="str">
        <f>_xlfn.XLOOKUP(M2151,Parâmetros!B:B,Parâmetros!C:C,_xlfn.XLOOKUP(Base!M2148,Parâmetros!G:G,Parâmetros!H:H))</f>
        <v>SISTEMA</v>
      </c>
      <c r="P2151" s="1" t="str">
        <f>_xlfn.XLOOKUP(I2151,Parâmetros!A:A,Parâmetros!D:D,_xlfn.XLOOKUP(Q2151,Parâmetros!F:F,Parâmetros!I:I))</f>
        <v>OPERAÇÕES / SUPORTE KCS</v>
      </c>
      <c r="Q2151" s="1">
        <f t="shared" ref="Q2151:Q2161" si="69">IFERROR(FIND("Não foi possível localizar o contrato do fornecedor",I2151),IFERROR(FIND("veículo",I2151),IFERROR(FIND("agagem",I2151),IFERROR(FIND("error in XML document",I2151),IFERROR(FIND("Não localizado cliente código",I2151),IFERROR(FIND("lemontech",I2151),IFERROR(FIND("&gt;Fornecedor com o",I2151),IFERROR(FIND("INSERT",I2151),IFERROR(FIND("com CNPJ",I2151),IFERROR(FIND("Consultando Agente-&gt; O agente",I2151),IFERROR(FIND("Não foi possível determinar a validade do cartão, favor verificar os dados do cartão",I2151),"COLUNA I")))))))))))</f>
        <v>55</v>
      </c>
    </row>
    <row r="2152" spans="1:17" x14ac:dyDescent="0.25">
      <c r="A2152" s="1" t="str">
        <f>_xlfn.XLOOKUP(D2152,'Novo relatório'!B:B,'Novo relatório'!C:C,"RESOLVIDO")</f>
        <v>RESOLVIDO</v>
      </c>
      <c r="C2152" t="str">
        <f t="shared" si="68"/>
        <v>RESOLVIDO</v>
      </c>
      <c r="D2152" s="1">
        <v>3466834</v>
      </c>
      <c r="E2152" s="1" t="s">
        <v>24</v>
      </c>
      <c r="F2152" s="2">
        <v>45813.67083333333</v>
      </c>
      <c r="G2152" s="1">
        <v>4548583</v>
      </c>
      <c r="H2152" s="1" t="s">
        <v>2669</v>
      </c>
      <c r="I2152" s="1" t="s">
        <v>2645</v>
      </c>
      <c r="J2152" s="2">
        <v>45813.705555555556</v>
      </c>
      <c r="K2152" s="2">
        <v>45814.447916666664</v>
      </c>
      <c r="L2152" s="1" t="s">
        <v>19</v>
      </c>
      <c r="M2152" s="1" t="str">
        <f>_xlfn.XLOOKUP(I2152,Parâmetros!A:A,Parâmetros!B:B,_xlfn.XLOOKUP(Q2152,Parâmetros!F:F,Parâmetros!G:G,"NOVA MENSAGEM"))</f>
        <v>CONTRATO FORNECEDOR</v>
      </c>
      <c r="N2152" s="1" t="str">
        <f>_xlfn.XLOOKUP(M2152,Parâmetros!K:K,Parâmetros!L:L,"")</f>
        <v>CONTRATO INATIVO OU DIVERGENTE</v>
      </c>
      <c r="O2152" s="1" t="str">
        <f>_xlfn.XLOOKUP(M2152,Parâmetros!B:B,Parâmetros!C:C,_xlfn.XLOOKUP(Base!M2149,Parâmetros!G:G,Parâmetros!H:H))</f>
        <v>SISTEMA</v>
      </c>
      <c r="P2152" s="1" t="str">
        <f>_xlfn.XLOOKUP(I2152,Parâmetros!A:A,Parâmetros!D:D,_xlfn.XLOOKUP(Q2152,Parâmetros!F:F,Parâmetros!I:I))</f>
        <v>OPERAÇÕES / SUPORTE KCS</v>
      </c>
      <c r="Q2152" s="1">
        <f t="shared" si="69"/>
        <v>55</v>
      </c>
    </row>
    <row r="2153" spans="1:17" x14ac:dyDescent="0.25">
      <c r="A2153" s="1" t="str">
        <f>_xlfn.XLOOKUP(D2153,'Novo relatório'!B:B,'Novo relatório'!C:C,"RESOLVIDO")</f>
        <v>RESOLVIDO</v>
      </c>
      <c r="C2153" t="str">
        <f t="shared" si="68"/>
        <v>RESOLVIDO</v>
      </c>
      <c r="D2153" s="1">
        <v>3467099</v>
      </c>
      <c r="E2153" s="1" t="s">
        <v>24</v>
      </c>
      <c r="F2153" s="2">
        <v>45813.694444444445</v>
      </c>
      <c r="G2153" s="1">
        <v>4548625</v>
      </c>
      <c r="H2153" s="1" t="s">
        <v>2670</v>
      </c>
      <c r="I2153" s="1" t="s">
        <v>2645</v>
      </c>
      <c r="J2153" s="2">
        <v>45813.795138888891</v>
      </c>
      <c r="K2153" s="2">
        <v>45814.518055555556</v>
      </c>
      <c r="L2153" s="1" t="s">
        <v>19</v>
      </c>
      <c r="M2153" s="1" t="str">
        <f>_xlfn.XLOOKUP(I2153,Parâmetros!A:A,Parâmetros!B:B,_xlfn.XLOOKUP(Q2153,Parâmetros!F:F,Parâmetros!G:G,"NOVA MENSAGEM"))</f>
        <v>CONTRATO FORNECEDOR</v>
      </c>
      <c r="N2153" s="1" t="str">
        <f>_xlfn.XLOOKUP(M2153,Parâmetros!K:K,Parâmetros!L:L,"")</f>
        <v>CONTRATO INATIVO OU DIVERGENTE</v>
      </c>
      <c r="O2153" s="1" t="str">
        <f>_xlfn.XLOOKUP(M2153,Parâmetros!B:B,Parâmetros!C:C,_xlfn.XLOOKUP(Base!M2150,Parâmetros!G:G,Parâmetros!H:H))</f>
        <v>SISTEMA</v>
      </c>
      <c r="P2153" s="1" t="str">
        <f>_xlfn.XLOOKUP(I2153,Parâmetros!A:A,Parâmetros!D:D,_xlfn.XLOOKUP(Q2153,Parâmetros!F:F,Parâmetros!I:I))</f>
        <v>OPERAÇÕES / SUPORTE KCS</v>
      </c>
      <c r="Q2153" s="1">
        <f t="shared" si="69"/>
        <v>55</v>
      </c>
    </row>
    <row r="2154" spans="1:17" x14ac:dyDescent="0.25">
      <c r="A2154" s="1" t="str">
        <f>_xlfn.XLOOKUP(D2154,'Novo relatório'!B:B,'Novo relatório'!C:C,"RESOLVIDO")</f>
        <v>RESOLVIDO</v>
      </c>
      <c r="C2154" t="str">
        <f t="shared" si="68"/>
        <v>RESOLVIDO</v>
      </c>
      <c r="D2154" s="1">
        <v>3467103</v>
      </c>
      <c r="E2154" s="1" t="s">
        <v>24</v>
      </c>
      <c r="F2154" s="2">
        <v>45813.706250000003</v>
      </c>
      <c r="G2154" s="1">
        <v>4548641</v>
      </c>
      <c r="H2154" s="1" t="s">
        <v>2671</v>
      </c>
      <c r="I2154" s="1" t="s">
        <v>2645</v>
      </c>
      <c r="J2154" s="2">
        <v>45813.801388888889</v>
      </c>
      <c r="K2154" s="2">
        <v>45814.447916666664</v>
      </c>
      <c r="L2154" s="1" t="s">
        <v>19</v>
      </c>
      <c r="M2154" s="1" t="str">
        <f>_xlfn.XLOOKUP(I2154,Parâmetros!A:A,Parâmetros!B:B,_xlfn.XLOOKUP(Q2154,Parâmetros!F:F,Parâmetros!G:G,"NOVA MENSAGEM"))</f>
        <v>CONTRATO FORNECEDOR</v>
      </c>
      <c r="N2154" s="1" t="str">
        <f>_xlfn.XLOOKUP(M2154,Parâmetros!K:K,Parâmetros!L:L,"")</f>
        <v>CONTRATO INATIVO OU DIVERGENTE</v>
      </c>
      <c r="O2154" s="1" t="str">
        <f>_xlfn.XLOOKUP(M2154,Parâmetros!B:B,Parâmetros!C:C,_xlfn.XLOOKUP(Base!M2151,Parâmetros!G:G,Parâmetros!H:H))</f>
        <v>SISTEMA</v>
      </c>
      <c r="P2154" s="1" t="str">
        <f>_xlfn.XLOOKUP(I2154,Parâmetros!A:A,Parâmetros!D:D,_xlfn.XLOOKUP(Q2154,Parâmetros!F:F,Parâmetros!I:I))</f>
        <v>OPERAÇÕES / SUPORTE KCS</v>
      </c>
      <c r="Q2154" s="1">
        <f t="shared" si="69"/>
        <v>55</v>
      </c>
    </row>
    <row r="2155" spans="1:17" x14ac:dyDescent="0.25">
      <c r="A2155" s="1" t="str">
        <f>_xlfn.XLOOKUP(D2155,'Novo relatório'!B:B,'Novo relatório'!C:C,"RESOLVIDO")</f>
        <v>RESOLVIDO</v>
      </c>
      <c r="C2155" t="str">
        <f t="shared" si="68"/>
        <v>RESOLVIDO</v>
      </c>
      <c r="D2155" s="1">
        <v>3467119</v>
      </c>
      <c r="E2155" s="1" t="s">
        <v>24</v>
      </c>
      <c r="F2155" s="2">
        <v>45813.746527777781</v>
      </c>
      <c r="G2155" s="1">
        <v>4548685</v>
      </c>
      <c r="H2155" s="1" t="s">
        <v>2672</v>
      </c>
      <c r="I2155" s="1" t="s">
        <v>2645</v>
      </c>
      <c r="J2155" s="2">
        <v>45813.809027777781</v>
      </c>
      <c r="K2155" s="2">
        <v>45814.518055555556</v>
      </c>
      <c r="L2155" s="1" t="s">
        <v>19</v>
      </c>
      <c r="M2155" s="1" t="str">
        <f>_xlfn.XLOOKUP(I2155,Parâmetros!A:A,Parâmetros!B:B,_xlfn.XLOOKUP(Q2155,Parâmetros!F:F,Parâmetros!G:G,"NOVA MENSAGEM"))</f>
        <v>CONTRATO FORNECEDOR</v>
      </c>
      <c r="N2155" s="1" t="str">
        <f>_xlfn.XLOOKUP(M2155,Parâmetros!K:K,Parâmetros!L:L,"")</f>
        <v>CONTRATO INATIVO OU DIVERGENTE</v>
      </c>
      <c r="O2155" s="1" t="str">
        <f>_xlfn.XLOOKUP(M2155,Parâmetros!B:B,Parâmetros!C:C,_xlfn.XLOOKUP(Base!M2152,Parâmetros!G:G,Parâmetros!H:H))</f>
        <v>SISTEMA</v>
      </c>
      <c r="P2155" s="1" t="str">
        <f>_xlfn.XLOOKUP(I2155,Parâmetros!A:A,Parâmetros!D:D,_xlfn.XLOOKUP(Q2155,Parâmetros!F:F,Parâmetros!I:I))</f>
        <v>OPERAÇÕES / SUPORTE KCS</v>
      </c>
      <c r="Q2155" s="1">
        <f t="shared" si="69"/>
        <v>55</v>
      </c>
    </row>
    <row r="2156" spans="1:17" x14ac:dyDescent="0.25">
      <c r="A2156" s="1" t="str">
        <f>_xlfn.XLOOKUP(D2156,'Novo relatório'!B:B,'Novo relatório'!C:C,"RESOLVIDO")</f>
        <v>RESOLVIDO</v>
      </c>
      <c r="C2156" t="str">
        <f t="shared" si="68"/>
        <v>RESOLVIDO</v>
      </c>
      <c r="D2156" s="1">
        <v>3467106</v>
      </c>
      <c r="E2156" s="1" t="s">
        <v>24</v>
      </c>
      <c r="F2156" s="2">
        <v>45813.760416666664</v>
      </c>
      <c r="G2156" s="1">
        <v>4548697</v>
      </c>
      <c r="H2156" s="1" t="s">
        <v>2673</v>
      </c>
      <c r="I2156" s="1" t="s">
        <v>2645</v>
      </c>
      <c r="J2156" s="2">
        <v>45813.801388888889</v>
      </c>
      <c r="K2156" s="2">
        <v>45814.447916666664</v>
      </c>
      <c r="L2156" s="1" t="s">
        <v>19</v>
      </c>
      <c r="M2156" s="1" t="str">
        <f>_xlfn.XLOOKUP(I2156,Parâmetros!A:A,Parâmetros!B:B,_xlfn.XLOOKUP(Q2156,Parâmetros!F:F,Parâmetros!G:G,"NOVA MENSAGEM"))</f>
        <v>CONTRATO FORNECEDOR</v>
      </c>
      <c r="N2156" s="1" t="str">
        <f>_xlfn.XLOOKUP(M2156,Parâmetros!K:K,Parâmetros!L:L,"")</f>
        <v>CONTRATO INATIVO OU DIVERGENTE</v>
      </c>
      <c r="O2156" s="1" t="str">
        <f>_xlfn.XLOOKUP(M2156,Parâmetros!B:B,Parâmetros!C:C,_xlfn.XLOOKUP(Base!M2153,Parâmetros!G:G,Parâmetros!H:H))</f>
        <v>SISTEMA</v>
      </c>
      <c r="P2156" s="1" t="str">
        <f>_xlfn.XLOOKUP(I2156,Parâmetros!A:A,Parâmetros!D:D,_xlfn.XLOOKUP(Q2156,Parâmetros!F:F,Parâmetros!I:I))</f>
        <v>OPERAÇÕES / SUPORTE KCS</v>
      </c>
      <c r="Q2156" s="1">
        <f t="shared" si="69"/>
        <v>55</v>
      </c>
    </row>
    <row r="2157" spans="1:17" x14ac:dyDescent="0.25">
      <c r="A2157" s="1" t="str">
        <f>_xlfn.XLOOKUP(D2157,'Novo relatório'!B:B,'Novo relatório'!C:C,"RESOLVIDO")</f>
        <v>RESOLVIDO</v>
      </c>
      <c r="C2157" t="str">
        <f t="shared" si="68"/>
        <v>RESOLVIDO</v>
      </c>
      <c r="D2157" s="1">
        <v>3467740</v>
      </c>
      <c r="E2157" s="1" t="s">
        <v>24</v>
      </c>
      <c r="F2157" s="2">
        <v>45813.769444444442</v>
      </c>
      <c r="G2157" s="1">
        <v>4548701</v>
      </c>
      <c r="H2157" s="1" t="s">
        <v>2674</v>
      </c>
      <c r="I2157" s="1" t="s">
        <v>2645</v>
      </c>
      <c r="J2157" s="2">
        <v>45813.884722222225</v>
      </c>
      <c r="K2157" s="2">
        <v>45814.448611111111</v>
      </c>
      <c r="L2157" s="1" t="s">
        <v>19</v>
      </c>
      <c r="M2157" s="1" t="str">
        <f>_xlfn.XLOOKUP(I2157,Parâmetros!A:A,Parâmetros!B:B,_xlfn.XLOOKUP(Q2157,Parâmetros!F:F,Parâmetros!G:G,"NOVA MENSAGEM"))</f>
        <v>CONTRATO FORNECEDOR</v>
      </c>
      <c r="N2157" s="1" t="str">
        <f>_xlfn.XLOOKUP(M2157,Parâmetros!K:K,Parâmetros!L:L,"")</f>
        <v>CONTRATO INATIVO OU DIVERGENTE</v>
      </c>
      <c r="O2157" s="1" t="str">
        <f>_xlfn.XLOOKUP(M2157,Parâmetros!B:B,Parâmetros!C:C,_xlfn.XLOOKUP(Base!M2154,Parâmetros!G:G,Parâmetros!H:H))</f>
        <v>SISTEMA</v>
      </c>
      <c r="P2157" s="1" t="str">
        <f>_xlfn.XLOOKUP(I2157,Parâmetros!A:A,Parâmetros!D:D,_xlfn.XLOOKUP(Q2157,Parâmetros!F:F,Parâmetros!I:I))</f>
        <v>OPERAÇÕES / SUPORTE KCS</v>
      </c>
      <c r="Q2157" s="1">
        <f t="shared" si="69"/>
        <v>55</v>
      </c>
    </row>
    <row r="2158" spans="1:17" x14ac:dyDescent="0.25">
      <c r="A2158" s="1" t="str">
        <f>_xlfn.XLOOKUP(D2158,'Novo relatório'!B:B,'Novo relatório'!C:C,"RESOLVIDO")</f>
        <v>RESOLVIDO</v>
      </c>
      <c r="C2158" t="str">
        <f t="shared" si="68"/>
        <v>RESOLVIDO</v>
      </c>
      <c r="D2158" s="1">
        <v>3467131</v>
      </c>
      <c r="E2158" s="1" t="s">
        <v>24</v>
      </c>
      <c r="F2158" s="2">
        <v>45813.770138888889</v>
      </c>
      <c r="G2158" s="1">
        <v>4548704</v>
      </c>
      <c r="H2158" s="1" t="s">
        <v>2675</v>
      </c>
      <c r="I2158" s="1" t="s">
        <v>2645</v>
      </c>
      <c r="J2158" s="2">
        <v>45813.82916666667</v>
      </c>
      <c r="K2158" s="2">
        <v>45814.518055555556</v>
      </c>
      <c r="L2158" s="1" t="s">
        <v>19</v>
      </c>
      <c r="M2158" s="1" t="str">
        <f>_xlfn.XLOOKUP(I2158,Parâmetros!A:A,Parâmetros!B:B,_xlfn.XLOOKUP(Q2158,Parâmetros!F:F,Parâmetros!G:G,"NOVA MENSAGEM"))</f>
        <v>CONTRATO FORNECEDOR</v>
      </c>
      <c r="N2158" s="1" t="str">
        <f>_xlfn.XLOOKUP(M2158,Parâmetros!K:K,Parâmetros!L:L,"")</f>
        <v>CONTRATO INATIVO OU DIVERGENTE</v>
      </c>
      <c r="O2158" s="1" t="str">
        <f>_xlfn.XLOOKUP(M2158,Parâmetros!B:B,Parâmetros!C:C,_xlfn.XLOOKUP(Base!M2155,Parâmetros!G:G,Parâmetros!H:H))</f>
        <v>SISTEMA</v>
      </c>
      <c r="P2158" s="1" t="str">
        <f>_xlfn.XLOOKUP(I2158,Parâmetros!A:A,Parâmetros!D:D,_xlfn.XLOOKUP(Q2158,Parâmetros!F:F,Parâmetros!I:I))</f>
        <v>OPERAÇÕES / SUPORTE KCS</v>
      </c>
      <c r="Q2158" s="1">
        <f t="shared" si="69"/>
        <v>55</v>
      </c>
    </row>
    <row r="2159" spans="1:17" x14ac:dyDescent="0.25">
      <c r="A2159" s="1" t="str">
        <f>_xlfn.XLOOKUP(D2159,'Novo relatório'!B:B,'Novo relatório'!C:C,"RESOLVIDO")</f>
        <v>RESOLVIDO</v>
      </c>
      <c r="C2159" t="str">
        <f t="shared" si="68"/>
        <v>RESOLVIDO</v>
      </c>
      <c r="D2159" s="1">
        <v>3468268</v>
      </c>
      <c r="E2159" s="1" t="s">
        <v>24</v>
      </c>
      <c r="F2159" s="2">
        <v>45814.404861111114</v>
      </c>
      <c r="G2159" s="1">
        <v>4548793</v>
      </c>
      <c r="H2159" s="1" t="s">
        <v>2676</v>
      </c>
      <c r="I2159" s="1" t="s">
        <v>2645</v>
      </c>
      <c r="J2159" s="2">
        <v>45814.490277777775</v>
      </c>
      <c r="K2159" s="2">
        <v>45814.518055555556</v>
      </c>
      <c r="L2159" s="1" t="s">
        <v>19</v>
      </c>
      <c r="M2159" s="1" t="str">
        <f>_xlfn.XLOOKUP(I2159,Parâmetros!A:A,Parâmetros!B:B,_xlfn.XLOOKUP(Q2159,Parâmetros!F:F,Parâmetros!G:G,"NOVA MENSAGEM"))</f>
        <v>CONTRATO FORNECEDOR</v>
      </c>
      <c r="N2159" s="1" t="str">
        <f>_xlfn.XLOOKUP(M2159,Parâmetros!K:K,Parâmetros!L:L,"")</f>
        <v>CONTRATO INATIVO OU DIVERGENTE</v>
      </c>
      <c r="O2159" s="1" t="str">
        <f>_xlfn.XLOOKUP(M2159,Parâmetros!B:B,Parâmetros!C:C,_xlfn.XLOOKUP(Base!M2156,Parâmetros!G:G,Parâmetros!H:H))</f>
        <v>SISTEMA</v>
      </c>
      <c r="P2159" s="1" t="str">
        <f>_xlfn.XLOOKUP(I2159,Parâmetros!A:A,Parâmetros!D:D,_xlfn.XLOOKUP(Q2159,Parâmetros!F:F,Parâmetros!I:I))</f>
        <v>OPERAÇÕES / SUPORTE KCS</v>
      </c>
      <c r="Q2159" s="1">
        <f t="shared" si="69"/>
        <v>55</v>
      </c>
    </row>
    <row r="2160" spans="1:17" x14ac:dyDescent="0.25">
      <c r="A2160" s="1" t="str">
        <f>_xlfn.XLOOKUP(D2160,'Novo relatório'!B:B,'Novo relatório'!C:C,"RESOLVIDO")</f>
        <v>RESOLVIDO</v>
      </c>
      <c r="C2160" t="str">
        <f t="shared" si="68"/>
        <v>RESOLVIDO</v>
      </c>
      <c r="D2160" s="1">
        <v>3468196</v>
      </c>
      <c r="E2160" s="1" t="s">
        <v>24</v>
      </c>
      <c r="F2160" s="2">
        <v>45814.405555555553</v>
      </c>
      <c r="G2160" s="1">
        <v>4548795</v>
      </c>
      <c r="H2160" s="1" t="s">
        <v>2677</v>
      </c>
      <c r="I2160" s="1" t="s">
        <v>2645</v>
      </c>
      <c r="J2160" s="2">
        <v>45814.454861111109</v>
      </c>
      <c r="K2160" s="2">
        <v>45814.518055555556</v>
      </c>
      <c r="L2160" s="1" t="s">
        <v>19</v>
      </c>
      <c r="M2160" s="1" t="str">
        <f>_xlfn.XLOOKUP(I2160,Parâmetros!A:A,Parâmetros!B:B,_xlfn.XLOOKUP(Q2160,Parâmetros!F:F,Parâmetros!G:G,"NOVA MENSAGEM"))</f>
        <v>CONTRATO FORNECEDOR</v>
      </c>
      <c r="N2160" s="1" t="str">
        <f>_xlfn.XLOOKUP(M2160,Parâmetros!K:K,Parâmetros!L:L,"")</f>
        <v>CONTRATO INATIVO OU DIVERGENTE</v>
      </c>
      <c r="O2160" s="1" t="str">
        <f>_xlfn.XLOOKUP(M2160,Parâmetros!B:B,Parâmetros!C:C,_xlfn.XLOOKUP(Base!M2157,Parâmetros!G:G,Parâmetros!H:H))</f>
        <v>SISTEMA</v>
      </c>
      <c r="P2160" s="1" t="str">
        <f>_xlfn.XLOOKUP(I2160,Parâmetros!A:A,Parâmetros!D:D,_xlfn.XLOOKUP(Q2160,Parâmetros!F:F,Parâmetros!I:I))</f>
        <v>OPERAÇÕES / SUPORTE KCS</v>
      </c>
      <c r="Q2160" s="1">
        <f t="shared" si="69"/>
        <v>55</v>
      </c>
    </row>
    <row r="2161" spans="1:17" x14ac:dyDescent="0.25">
      <c r="A2161" s="1" t="str">
        <f>_xlfn.XLOOKUP(D2161,'Novo relatório'!B:B,'Novo relatório'!C:C,"RESOLVIDO")</f>
        <v>RESOLVIDO</v>
      </c>
      <c r="C2161" t="str">
        <f t="shared" si="68"/>
        <v>RESOLVIDO</v>
      </c>
      <c r="D2161" s="1">
        <v>3468244</v>
      </c>
      <c r="E2161" s="1" t="s">
        <v>24</v>
      </c>
      <c r="F2161" s="2">
        <v>45814.413194444445</v>
      </c>
      <c r="G2161" s="1">
        <v>4548808</v>
      </c>
      <c r="H2161" s="1" t="s">
        <v>2678</v>
      </c>
      <c r="I2161" s="1" t="s">
        <v>2645</v>
      </c>
      <c r="J2161" s="2">
        <v>45814.476388888892</v>
      </c>
      <c r="K2161" s="2">
        <v>45814.518055555556</v>
      </c>
      <c r="L2161" s="1" t="s">
        <v>19</v>
      </c>
      <c r="M2161" s="1" t="str">
        <f>_xlfn.XLOOKUP(I2161,Parâmetros!A:A,Parâmetros!B:B,_xlfn.XLOOKUP(Q2161,Parâmetros!F:F,Parâmetros!G:G,"NOVA MENSAGEM"))</f>
        <v>CONTRATO FORNECEDOR</v>
      </c>
      <c r="N2161" s="1" t="str">
        <f>_xlfn.XLOOKUP(M2161,Parâmetros!K:K,Parâmetros!L:L,"")</f>
        <v>CONTRATO INATIVO OU DIVERGENTE</v>
      </c>
      <c r="O2161" s="1" t="str">
        <f>_xlfn.XLOOKUP(M2161,Parâmetros!B:B,Parâmetros!C:C,_xlfn.XLOOKUP(Base!M2158,Parâmetros!G:G,Parâmetros!H:H))</f>
        <v>SISTEMA</v>
      </c>
      <c r="P2161" s="1" t="str">
        <f>_xlfn.XLOOKUP(I2161,Parâmetros!A:A,Parâmetros!D:D,_xlfn.XLOOKUP(Q2161,Parâmetros!F:F,Parâmetros!I:I))</f>
        <v>OPERAÇÕES / SUPORTE KCS</v>
      </c>
      <c r="Q2161" s="1">
        <f t="shared" si="69"/>
        <v>55</v>
      </c>
    </row>
    <row r="2162" spans="1:17" x14ac:dyDescent="0.25">
      <c r="A2162" s="1" t="str">
        <f>_xlfn.XLOOKUP(D2162,'Novo relatório'!B:B,'Novo relatório'!C:C,"RESOLVIDO")</f>
        <v>SABRE</v>
      </c>
      <c r="C2162" t="str">
        <f t="shared" ref="C2162:C2225" si="70">IF(A2162="RESOLVIDO","RESOLVIDO",IF(B2162="","PENDENTE",IF(LEFT(B2162,7)="CHAMADO","AGUARDANDO FORNECEDOR",IF(B2162="CONTABILIZAR","CONTABILIZAR NO PORTAL"))))</f>
        <v>PENDENTE</v>
      </c>
      <c r="D2162" s="1">
        <v>3472251</v>
      </c>
      <c r="E2162" s="1" t="s">
        <v>26</v>
      </c>
      <c r="F2162" s="2">
        <v>45817.654861111114</v>
      </c>
      <c r="G2162" s="1" t="s">
        <v>2680</v>
      </c>
      <c r="H2162" s="1" t="s">
        <v>2681</v>
      </c>
      <c r="I2162" s="1" t="s">
        <v>64</v>
      </c>
      <c r="J2162" s="2">
        <v>45817.740972222222</v>
      </c>
      <c r="L2162" s="1" t="s">
        <v>1244</v>
      </c>
      <c r="M2162" s="1" t="str">
        <f>_xlfn.XLOOKUP(I2162,Parâmetros!A:A,Parâmetros!B:B,_xlfn.XLOOKUP(Q2162,Parâmetros!F:F,Parâmetros!G:G,"NOVA MENSAGEM"))</f>
        <v>FORMATO DE TEXTO</v>
      </c>
      <c r="N2162" s="1" t="str">
        <f>_xlfn.XLOOKUP(M2162,Parâmetros!K:K,Parâmetros!L:L,"")</f>
        <v>TEXTO FORA DO PADRÃO ACEITO NO CAMPO</v>
      </c>
      <c r="O2162" s="1" t="str">
        <f>_xlfn.XLOOKUP(M2162,Parâmetros!B:B,Parâmetros!C:C,_xlfn.XLOOKUP(Base!M2159,Parâmetros!G:G,Parâmetros!H:H))</f>
        <v>INDEFINIDO</v>
      </c>
      <c r="P2162" s="1" t="str">
        <f>_xlfn.XLOOKUP(I2162,Parâmetros!A:A,Parâmetros!D:D,_xlfn.XLOOKUP(Q2162,Parâmetros!F:F,Parâmetros!I:I))</f>
        <v>SUPORTE OBT</v>
      </c>
      <c r="Q2162" s="1" t="str">
        <f t="shared" ref="Q2162:Q2225" si="71">IFERROR(FIND("Não foi possível localizar o contrato do fornecedor",I2162),IFERROR(FIND("veículo",I2162),IFERROR(FIND("agagem",I2162),IFERROR(FIND("error in XML document",I2162),IFERROR(FIND("Não localizado cliente código",I2162),IFERROR(FIND("lemontech",I2162),IFERROR(FIND("&gt;Fornecedor com o",I2162),IFERROR(FIND("INSERT",I2162),IFERROR(FIND("com CNPJ",I2162),IFERROR(FIND("Consultando Agente-&gt; O agente",I2162),IFERROR(FIND("Não foi possível determinar a validade do cartão, favor verificar os dados do cartão",I2162),"COLUNA I")))))))))))</f>
        <v>COLUNA I</v>
      </c>
    </row>
    <row r="2163" spans="1:17" x14ac:dyDescent="0.25">
      <c r="A2163" s="1" t="str">
        <f>_xlfn.XLOOKUP(D2163,'Novo relatório'!B:B,'Novo relatório'!C:C,"RESOLVIDO")</f>
        <v>SABRE</v>
      </c>
      <c r="C2163" t="str">
        <f t="shared" si="70"/>
        <v>PENDENTE</v>
      </c>
      <c r="D2163" s="1">
        <v>3477207</v>
      </c>
      <c r="E2163" s="1" t="s">
        <v>26</v>
      </c>
      <c r="F2163" s="2">
        <v>45819.724305555559</v>
      </c>
      <c r="G2163" s="1" t="s">
        <v>2682</v>
      </c>
      <c r="H2163" s="1" t="s">
        <v>2682</v>
      </c>
      <c r="I2163" s="1" t="s">
        <v>746</v>
      </c>
      <c r="J2163" s="2">
        <v>45819.813888888886</v>
      </c>
      <c r="L2163" s="1" t="s">
        <v>18</v>
      </c>
      <c r="M2163" s="1" t="str">
        <f>_xlfn.XLOOKUP(I2163,Parâmetros!A:A,Parâmetros!B:B,_xlfn.XLOOKUP(Q2163,Parâmetros!F:F,Parâmetros!G:G,"NOVA MENSAGEM"))</f>
        <v>CÓD. CLIENTE DIVERGENTE</v>
      </c>
      <c r="N2163" s="1" t="str">
        <f>_xlfn.XLOOKUP(M2163,Parâmetros!K:K,Parâmetros!L:L,"")</f>
        <v>CÓDIGO DIFERENTE DO CADASTRADO NO BENNER (CLIENTE X GRUPO)</v>
      </c>
      <c r="O2163" s="1" t="str">
        <f>_xlfn.XLOOKUP(M2163,Parâmetros!B:B,Parâmetros!C:C,_xlfn.XLOOKUP(Base!M2160,Parâmetros!G:G,Parâmetros!H:H))</f>
        <v>QUALIDADE DOS DADOS</v>
      </c>
      <c r="P2163" s="1" t="str">
        <f>_xlfn.XLOOKUP(I2163,Parâmetros!A:A,Parâmetros!D:D,_xlfn.XLOOKUP(Q2163,Parâmetros!F:F,Parâmetros!I:I))</f>
        <v>SUPORTE OBT</v>
      </c>
      <c r="Q2163" s="1">
        <f t="shared" si="71"/>
        <v>1</v>
      </c>
    </row>
    <row r="2164" spans="1:17" x14ac:dyDescent="0.25">
      <c r="A2164" s="1" t="str">
        <f>_xlfn.XLOOKUP(D2164,'Novo relatório'!B:B,'Novo relatório'!C:C,"RESOLVIDO")</f>
        <v>SABRE</v>
      </c>
      <c r="C2164" t="str">
        <f t="shared" si="70"/>
        <v>PENDENTE</v>
      </c>
      <c r="D2164" s="1">
        <v>3468390</v>
      </c>
      <c r="E2164" s="1" t="s">
        <v>26</v>
      </c>
      <c r="F2164" s="2">
        <v>45814.449305555558</v>
      </c>
      <c r="G2164" s="1" t="s">
        <v>2683</v>
      </c>
      <c r="H2164" s="1" t="s">
        <v>2683</v>
      </c>
      <c r="I2164" s="1" t="s">
        <v>652</v>
      </c>
      <c r="J2164" s="2">
        <v>45814.543055555558</v>
      </c>
      <c r="L2164" s="1" t="s">
        <v>18</v>
      </c>
      <c r="M2164" s="1" t="str">
        <f>_xlfn.XLOOKUP(I2164,Parâmetros!A:A,Parâmetros!B:B,_xlfn.XLOOKUP(Q2164,Parâmetros!F:F,Parâmetros!G:G,"NOVA MENSAGEM"))</f>
        <v>CÓD. CLIENTE DIVERGENTE</v>
      </c>
      <c r="N2164" s="1" t="str">
        <f>_xlfn.XLOOKUP(M2164,Parâmetros!K:K,Parâmetros!L:L,"")</f>
        <v>CÓDIGO DIFERENTE DO CADASTRADO NO BENNER (CLIENTE X GRUPO)</v>
      </c>
      <c r="O2164" s="1" t="str">
        <f>_xlfn.XLOOKUP(M2164,Parâmetros!B:B,Parâmetros!C:C,_xlfn.XLOOKUP(Base!M2161,Parâmetros!G:G,Parâmetros!H:H))</f>
        <v>QUALIDADE DOS DADOS</v>
      </c>
      <c r="P2164" s="1" t="str">
        <f>_xlfn.XLOOKUP(I2164,Parâmetros!A:A,Parâmetros!D:D,_xlfn.XLOOKUP(Q2164,Parâmetros!F:F,Parâmetros!I:I))</f>
        <v>SUPORTE OBT</v>
      </c>
      <c r="Q2164" s="1">
        <f t="shared" si="71"/>
        <v>1</v>
      </c>
    </row>
    <row r="2165" spans="1:17" x14ac:dyDescent="0.25">
      <c r="A2165" s="1" t="str">
        <f>_xlfn.XLOOKUP(D2165,'Novo relatório'!B:B,'Novo relatório'!C:C,"RESOLVIDO")</f>
        <v>SABRE</v>
      </c>
      <c r="C2165" t="str">
        <f t="shared" si="70"/>
        <v>PENDENTE</v>
      </c>
      <c r="D2165" s="1">
        <v>3471646</v>
      </c>
      <c r="E2165" s="1" t="s">
        <v>26</v>
      </c>
      <c r="F2165" s="2">
        <v>45817.660416666666</v>
      </c>
      <c r="G2165" s="1" t="s">
        <v>2684</v>
      </c>
      <c r="H2165" s="1" t="s">
        <v>2685</v>
      </c>
      <c r="I2165" s="1" t="s">
        <v>84</v>
      </c>
      <c r="J2165" s="2">
        <v>45817.659722222219</v>
      </c>
      <c r="K2165" s="2">
        <v>45817.753472222219</v>
      </c>
      <c r="L2165" s="1" t="s">
        <v>1244</v>
      </c>
      <c r="M2165" s="1" t="str">
        <f>_xlfn.XLOOKUP(I2165,Parâmetros!A:A,Parâmetros!B:B,_xlfn.XLOOKUP(Q2165,Parâmetros!F:F,Parâmetros!G:G,"NOVA MENSAGEM"))</f>
        <v>REMARK - DATA INCORRETA</v>
      </c>
      <c r="N2165" s="1" t="str">
        <f>_xlfn.XLOOKUP(M2165,Parâmetros!K:K,Parâmetros!L:L,"")</f>
        <v>REMARK U*INFOPAG-CC/REC-CC PREENCHIDO INCORRETAMENTE</v>
      </c>
      <c r="O2165" s="1" t="str">
        <f>_xlfn.XLOOKUP(M2165,Parâmetros!B:B,Parâmetros!C:C,_xlfn.XLOOKUP(Base!M2162,Parâmetros!G:G,Parâmetros!H:H))</f>
        <v>QUALIDADE DOS DADOS</v>
      </c>
      <c r="P2165" s="1" t="str">
        <f>_xlfn.XLOOKUP(I2165,Parâmetros!A:A,Parâmetros!D:D,_xlfn.XLOOKUP(Q2165,Parâmetros!F:F,Parâmetros!I:I))</f>
        <v>OPERAÇÕES / SUPORTE KCS</v>
      </c>
      <c r="Q2165" s="1" t="str">
        <f t="shared" si="71"/>
        <v>COLUNA I</v>
      </c>
    </row>
    <row r="2166" spans="1:17" x14ac:dyDescent="0.25">
      <c r="A2166" s="1" t="str">
        <f>_xlfn.XLOOKUP(D2166,'Novo relatório'!B:B,'Novo relatório'!C:C,"RESOLVIDO")</f>
        <v>SABRE</v>
      </c>
      <c r="C2166" t="str">
        <f t="shared" si="70"/>
        <v>PENDENTE</v>
      </c>
      <c r="D2166" s="1">
        <v>3474355</v>
      </c>
      <c r="E2166" s="1" t="s">
        <v>26</v>
      </c>
      <c r="F2166" s="2">
        <v>45818.736111111109</v>
      </c>
      <c r="G2166" s="1" t="s">
        <v>2686</v>
      </c>
      <c r="H2166" s="1" t="s">
        <v>2686</v>
      </c>
      <c r="I2166" s="1" t="s">
        <v>1761</v>
      </c>
      <c r="J2166" s="2">
        <v>45818.740277777775</v>
      </c>
      <c r="K2166" s="2">
        <v>45818.823611111111</v>
      </c>
      <c r="L2166" s="1" t="s">
        <v>18</v>
      </c>
      <c r="M2166" s="1" t="str">
        <f>_xlfn.XLOOKUP(I2166,Parâmetros!A:A,Parâmetros!B:B,_xlfn.XLOOKUP(Q2166,Parâmetros!F:F,Parâmetros!G:G,"NOVA MENSAGEM"))</f>
        <v>CÓD. CLIENTE DIVERGENTE</v>
      </c>
      <c r="N2166" s="1" t="str">
        <f>_xlfn.XLOOKUP(M2166,Parâmetros!K:K,Parâmetros!L:L,"")</f>
        <v>CÓDIGO DIFERENTE DO CADASTRADO NO BENNER (CLIENTE X GRUPO)</v>
      </c>
      <c r="O2166" s="1" t="str">
        <f>_xlfn.XLOOKUP(M2166,Parâmetros!B:B,Parâmetros!C:C,_xlfn.XLOOKUP(Base!M2163,Parâmetros!G:G,Parâmetros!H:H))</f>
        <v>QUALIDADE DOS DADOS</v>
      </c>
      <c r="P2166" s="1" t="str">
        <f>_xlfn.XLOOKUP(I2166,Parâmetros!A:A,Parâmetros!D:D,_xlfn.XLOOKUP(Q2166,Parâmetros!F:F,Parâmetros!I:I))</f>
        <v>SUPORTE OBT</v>
      </c>
      <c r="Q2166" s="1">
        <f t="shared" si="71"/>
        <v>1</v>
      </c>
    </row>
    <row r="2167" spans="1:17" x14ac:dyDescent="0.25">
      <c r="A2167" s="1" t="str">
        <f>_xlfn.XLOOKUP(D2167,'Novo relatório'!B:B,'Novo relatório'!C:C,"RESOLVIDO")</f>
        <v>SABRE</v>
      </c>
      <c r="C2167" t="str">
        <f t="shared" si="70"/>
        <v>PENDENTE</v>
      </c>
      <c r="D2167" s="1">
        <v>3482134</v>
      </c>
      <c r="E2167" s="1" t="s">
        <v>26</v>
      </c>
      <c r="F2167" s="2">
        <v>45821.770138888889</v>
      </c>
      <c r="G2167" s="1" t="s">
        <v>2687</v>
      </c>
      <c r="H2167" s="1" t="s">
        <v>2687</v>
      </c>
      <c r="I2167" s="1" t="s">
        <v>652</v>
      </c>
      <c r="J2167" s="2">
        <v>45821.855555555558</v>
      </c>
      <c r="L2167" s="1" t="s">
        <v>18</v>
      </c>
      <c r="M2167" s="1" t="str">
        <f>_xlfn.XLOOKUP(I2167,Parâmetros!A:A,Parâmetros!B:B,_xlfn.XLOOKUP(Q2167,Parâmetros!F:F,Parâmetros!G:G,"NOVA MENSAGEM"))</f>
        <v>CÓD. CLIENTE DIVERGENTE</v>
      </c>
      <c r="N2167" s="1" t="str">
        <f>_xlfn.XLOOKUP(M2167,Parâmetros!K:K,Parâmetros!L:L,"")</f>
        <v>CÓDIGO DIFERENTE DO CADASTRADO NO BENNER (CLIENTE X GRUPO)</v>
      </c>
      <c r="O2167" s="1" t="str">
        <f>_xlfn.XLOOKUP(M2167,Parâmetros!B:B,Parâmetros!C:C,_xlfn.XLOOKUP(Base!M2164,Parâmetros!G:G,Parâmetros!H:H))</f>
        <v>QUALIDADE DOS DADOS</v>
      </c>
      <c r="P2167" s="1" t="str">
        <f>_xlfn.XLOOKUP(I2167,Parâmetros!A:A,Parâmetros!D:D,_xlfn.XLOOKUP(Q2167,Parâmetros!F:F,Parâmetros!I:I))</f>
        <v>SUPORTE OBT</v>
      </c>
      <c r="Q2167" s="1">
        <f t="shared" si="71"/>
        <v>1</v>
      </c>
    </row>
    <row r="2168" spans="1:17" x14ac:dyDescent="0.25">
      <c r="A2168" s="1" t="str">
        <f>_xlfn.XLOOKUP(D2168,'Novo relatório'!B:B,'Novo relatório'!C:C,"RESOLVIDO")</f>
        <v>SABRE</v>
      </c>
      <c r="C2168" t="str">
        <f t="shared" si="70"/>
        <v>PENDENTE</v>
      </c>
      <c r="D2168" s="1">
        <v>3472699</v>
      </c>
      <c r="E2168" s="1" t="s">
        <v>26</v>
      </c>
      <c r="F2168" s="2">
        <v>45817.726388888892</v>
      </c>
      <c r="G2168" s="1" t="s">
        <v>2688</v>
      </c>
      <c r="H2168" s="1" t="s">
        <v>2688</v>
      </c>
      <c r="I2168" s="1" t="s">
        <v>411</v>
      </c>
      <c r="J2168" s="2">
        <v>45817.813888888886</v>
      </c>
      <c r="L2168" s="1" t="s">
        <v>18</v>
      </c>
      <c r="M2168" s="1" t="str">
        <f>_xlfn.XLOOKUP(I2168,Parâmetros!A:A,Parâmetros!B:B,_xlfn.XLOOKUP(Q2168,Parâmetros!F:F,Parâmetros!G:G,"NOVA MENSAGEM"))</f>
        <v>REMARK - CNPJ</v>
      </c>
      <c r="N2168" s="1" t="str">
        <f>_xlfn.XLOOKUP(M2168,Parâmetros!K:K,Parâmetros!L:L,"")</f>
        <v/>
      </c>
      <c r="O2168" s="1" t="e">
        <f>_xlfn.XLOOKUP(M2168,Parâmetros!B:B,Parâmetros!C:C,_xlfn.XLOOKUP(Base!M2165,Parâmetros!G:G,Parâmetros!H:H))</f>
        <v>#N/A</v>
      </c>
      <c r="P2168" s="1" t="str">
        <f>_xlfn.XLOOKUP(I2168,Parâmetros!A:A,Parâmetros!D:D,_xlfn.XLOOKUP(Q2168,Parâmetros!F:F,Parâmetros!I:I))</f>
        <v>OPERAÇÕES / SUPORTE KCS</v>
      </c>
      <c r="Q2168" s="1">
        <f t="shared" si="71"/>
        <v>24</v>
      </c>
    </row>
    <row r="2169" spans="1:17" x14ac:dyDescent="0.25">
      <c r="A2169" s="1" t="str">
        <f>_xlfn.XLOOKUP(D2169,'Novo relatório'!B:B,'Novo relatório'!C:C,"RESOLVIDO")</f>
        <v>SABRE</v>
      </c>
      <c r="C2169" t="str">
        <f t="shared" si="70"/>
        <v>PENDENTE</v>
      </c>
      <c r="D2169" s="1">
        <v>3468644</v>
      </c>
      <c r="E2169" s="1" t="s">
        <v>26</v>
      </c>
      <c r="F2169" s="2">
        <v>45819.517361111109</v>
      </c>
      <c r="G2169" s="1" t="s">
        <v>2689</v>
      </c>
      <c r="H2169" s="1" t="s">
        <v>2690</v>
      </c>
      <c r="I2169" s="1" t="s">
        <v>64</v>
      </c>
      <c r="J2169" s="2">
        <v>45814.615277777775</v>
      </c>
      <c r="K2169" s="2">
        <v>45819.604861111111</v>
      </c>
      <c r="L2169" s="1" t="s">
        <v>1244</v>
      </c>
      <c r="M2169" s="1" t="str">
        <f>_xlfn.XLOOKUP(I2169,Parâmetros!A:A,Parâmetros!B:B,_xlfn.XLOOKUP(Q2169,Parâmetros!F:F,Parâmetros!G:G,"NOVA MENSAGEM"))</f>
        <v>FORMATO DE TEXTO</v>
      </c>
      <c r="N2169" s="1" t="str">
        <f>_xlfn.XLOOKUP(M2169,Parâmetros!K:K,Parâmetros!L:L,"")</f>
        <v>TEXTO FORA DO PADRÃO ACEITO NO CAMPO</v>
      </c>
      <c r="O2169" s="1" t="str">
        <f>_xlfn.XLOOKUP(M2169,Parâmetros!B:B,Parâmetros!C:C,_xlfn.XLOOKUP(Base!M2166,Parâmetros!G:G,Parâmetros!H:H))</f>
        <v>INDEFINIDO</v>
      </c>
      <c r="P2169" s="1" t="str">
        <f>_xlfn.XLOOKUP(I2169,Parâmetros!A:A,Parâmetros!D:D,_xlfn.XLOOKUP(Q2169,Parâmetros!F:F,Parâmetros!I:I))</f>
        <v>SUPORTE OBT</v>
      </c>
      <c r="Q2169" s="1" t="str">
        <f t="shared" si="71"/>
        <v>COLUNA I</v>
      </c>
    </row>
    <row r="2170" spans="1:17" x14ac:dyDescent="0.25">
      <c r="A2170" s="1" t="str">
        <f>_xlfn.XLOOKUP(D2170,'Novo relatório'!B:B,'Novo relatório'!C:C,"RESOLVIDO")</f>
        <v>SABRE</v>
      </c>
      <c r="C2170" t="str">
        <f t="shared" si="70"/>
        <v>PENDENTE</v>
      </c>
      <c r="D2170" s="1">
        <v>3476905</v>
      </c>
      <c r="E2170" s="1" t="s">
        <v>26</v>
      </c>
      <c r="F2170" s="2">
        <v>45819.620833333334</v>
      </c>
      <c r="G2170" s="1" t="s">
        <v>2691</v>
      </c>
      <c r="H2170" s="1" t="s">
        <v>2691</v>
      </c>
      <c r="I2170" s="1" t="s">
        <v>1280</v>
      </c>
      <c r="J2170" s="2">
        <v>45819.709722222222</v>
      </c>
      <c r="L2170" s="1" t="s">
        <v>18</v>
      </c>
      <c r="M2170" s="1" t="str">
        <f>_xlfn.XLOOKUP(I2170,Parâmetros!A:A,Parâmetros!B:B,_xlfn.XLOOKUP(Q2170,Parâmetros!F:F,Parâmetros!G:G,"NOVA MENSAGEM"))</f>
        <v>CÓD. CLIENTE DIVERGENTE</v>
      </c>
      <c r="N2170" s="1" t="str">
        <f>_xlfn.XLOOKUP(M2170,Parâmetros!K:K,Parâmetros!L:L,"")</f>
        <v>CÓDIGO DIFERENTE DO CADASTRADO NO BENNER (CLIENTE X GRUPO)</v>
      </c>
      <c r="O2170" s="1" t="str">
        <f>_xlfn.XLOOKUP(M2170,Parâmetros!B:B,Parâmetros!C:C,_xlfn.XLOOKUP(Base!M2167,Parâmetros!G:G,Parâmetros!H:H))</f>
        <v>QUALIDADE DOS DADOS</v>
      </c>
      <c r="P2170" s="1" t="str">
        <f>_xlfn.XLOOKUP(I2170,Parâmetros!A:A,Parâmetros!D:D,_xlfn.XLOOKUP(Q2170,Parâmetros!F:F,Parâmetros!I:I))</f>
        <v>SUPORTE OBT</v>
      </c>
      <c r="Q2170" s="1">
        <f t="shared" si="71"/>
        <v>1</v>
      </c>
    </row>
    <row r="2171" spans="1:17" x14ac:dyDescent="0.25">
      <c r="A2171" s="1" t="str">
        <f>_xlfn.XLOOKUP(D2171,'Novo relatório'!B:B,'Novo relatório'!C:C,"RESOLVIDO")</f>
        <v>SABRE</v>
      </c>
      <c r="C2171" t="str">
        <f t="shared" si="70"/>
        <v>PENDENTE</v>
      </c>
      <c r="D2171" s="1">
        <v>3476628</v>
      </c>
      <c r="E2171" s="1" t="s">
        <v>26</v>
      </c>
      <c r="F2171" s="2">
        <v>45819.538888888892</v>
      </c>
      <c r="G2171" s="1" t="s">
        <v>2692</v>
      </c>
      <c r="H2171" s="1" t="s">
        <v>2692</v>
      </c>
      <c r="I2171" s="1" t="s">
        <v>1280</v>
      </c>
      <c r="J2171" s="2">
        <v>45819.626388888886</v>
      </c>
      <c r="L2171" s="1" t="s">
        <v>18</v>
      </c>
      <c r="M2171" s="1" t="str">
        <f>_xlfn.XLOOKUP(I2171,Parâmetros!A:A,Parâmetros!B:B,_xlfn.XLOOKUP(Q2171,Parâmetros!F:F,Parâmetros!G:G,"NOVA MENSAGEM"))</f>
        <v>CÓD. CLIENTE DIVERGENTE</v>
      </c>
      <c r="N2171" s="1" t="str">
        <f>_xlfn.XLOOKUP(M2171,Parâmetros!K:K,Parâmetros!L:L,"")</f>
        <v>CÓDIGO DIFERENTE DO CADASTRADO NO BENNER (CLIENTE X GRUPO)</v>
      </c>
      <c r="O2171" s="1" t="str">
        <f>_xlfn.XLOOKUP(M2171,Parâmetros!B:B,Parâmetros!C:C,_xlfn.XLOOKUP(Base!M2168,Parâmetros!G:G,Parâmetros!H:H))</f>
        <v>QUALIDADE DOS DADOS</v>
      </c>
      <c r="P2171" s="1" t="str">
        <f>_xlfn.XLOOKUP(I2171,Parâmetros!A:A,Parâmetros!D:D,_xlfn.XLOOKUP(Q2171,Parâmetros!F:F,Parâmetros!I:I))</f>
        <v>SUPORTE OBT</v>
      </c>
      <c r="Q2171" s="1">
        <f t="shared" si="71"/>
        <v>1</v>
      </c>
    </row>
    <row r="2172" spans="1:17" x14ac:dyDescent="0.25">
      <c r="A2172" s="1" t="str">
        <f>_xlfn.XLOOKUP(D2172,'Novo relatório'!B:B,'Novo relatório'!C:C,"RESOLVIDO")</f>
        <v>SABRE</v>
      </c>
      <c r="C2172" t="str">
        <f t="shared" si="70"/>
        <v>PENDENTE</v>
      </c>
      <c r="D2172" s="1">
        <v>3474173</v>
      </c>
      <c r="E2172" s="1" t="s">
        <v>26</v>
      </c>
      <c r="F2172" s="2">
        <v>45818.590277777781</v>
      </c>
      <c r="G2172" s="1" t="s">
        <v>2693</v>
      </c>
      <c r="H2172" s="1" t="s">
        <v>2693</v>
      </c>
      <c r="I2172" s="1" t="s">
        <v>746</v>
      </c>
      <c r="J2172" s="2">
        <v>45818.678472222222</v>
      </c>
      <c r="L2172" s="1" t="s">
        <v>18</v>
      </c>
      <c r="M2172" s="1" t="str">
        <f>_xlfn.XLOOKUP(I2172,Parâmetros!A:A,Parâmetros!B:B,_xlfn.XLOOKUP(Q2172,Parâmetros!F:F,Parâmetros!G:G,"NOVA MENSAGEM"))</f>
        <v>CÓD. CLIENTE DIVERGENTE</v>
      </c>
      <c r="N2172" s="1" t="str">
        <f>_xlfn.XLOOKUP(M2172,Parâmetros!K:K,Parâmetros!L:L,"")</f>
        <v>CÓDIGO DIFERENTE DO CADASTRADO NO BENNER (CLIENTE X GRUPO)</v>
      </c>
      <c r="O2172" s="1" t="str">
        <f>_xlfn.XLOOKUP(M2172,Parâmetros!B:B,Parâmetros!C:C,_xlfn.XLOOKUP(Base!M2169,Parâmetros!G:G,Parâmetros!H:H))</f>
        <v>QUALIDADE DOS DADOS</v>
      </c>
      <c r="P2172" s="1" t="str">
        <f>_xlfn.XLOOKUP(I2172,Parâmetros!A:A,Parâmetros!D:D,_xlfn.XLOOKUP(Q2172,Parâmetros!F:F,Parâmetros!I:I))</f>
        <v>SUPORTE OBT</v>
      </c>
      <c r="Q2172" s="1">
        <f t="shared" si="71"/>
        <v>1</v>
      </c>
    </row>
    <row r="2173" spans="1:17" x14ac:dyDescent="0.25">
      <c r="A2173" s="1" t="str">
        <f>_xlfn.XLOOKUP(D2173,'Novo relatório'!B:B,'Novo relatório'!C:C,"RESOLVIDO")</f>
        <v>SABRE</v>
      </c>
      <c r="C2173" t="str">
        <f t="shared" si="70"/>
        <v>PENDENTE</v>
      </c>
      <c r="D2173" s="1">
        <v>3480264</v>
      </c>
      <c r="E2173" s="1" t="s">
        <v>26</v>
      </c>
      <c r="F2173" s="2">
        <v>45821.364583333336</v>
      </c>
      <c r="G2173" s="1" t="s">
        <v>2694</v>
      </c>
      <c r="H2173" s="1" t="s">
        <v>2694</v>
      </c>
      <c r="I2173" s="1" t="s">
        <v>829</v>
      </c>
      <c r="J2173" s="2">
        <v>45820.844444444447</v>
      </c>
      <c r="K2173" s="2">
        <v>45821.449305555558</v>
      </c>
      <c r="L2173" s="1" t="s">
        <v>18</v>
      </c>
      <c r="M2173" s="1" t="str">
        <f>_xlfn.XLOOKUP(I2173,Parâmetros!A:A,Parâmetros!B:B,_xlfn.XLOOKUP(Q2173,Parâmetros!F:F,Parâmetros!G:G,"NOVA MENSAGEM"))</f>
        <v>REMARK - CNPJ</v>
      </c>
      <c r="N2173" s="1" t="str">
        <f>_xlfn.XLOOKUP(M2173,Parâmetros!K:K,Parâmetros!L:L,"")</f>
        <v/>
      </c>
      <c r="O2173" s="1" t="str">
        <f>_xlfn.XLOOKUP(M2173,Parâmetros!B:B,Parâmetros!C:C,_xlfn.XLOOKUP(Base!M2170,Parâmetros!G:G,Parâmetros!H:H))</f>
        <v>QUALIDADE DOS DADOS</v>
      </c>
      <c r="P2173" s="1" t="str">
        <f>_xlfn.XLOOKUP(I2173,Parâmetros!A:A,Parâmetros!D:D,_xlfn.XLOOKUP(Q2173,Parâmetros!F:F,Parâmetros!I:I))</f>
        <v>OPERAÇÕES / SUPORTE KCS</v>
      </c>
      <c r="Q2173" s="1">
        <f t="shared" si="71"/>
        <v>24</v>
      </c>
    </row>
    <row r="2174" spans="1:17" x14ac:dyDescent="0.25">
      <c r="A2174" s="1" t="str">
        <f>_xlfn.XLOOKUP(D2174,'Novo relatório'!B:B,'Novo relatório'!C:C,"RESOLVIDO")</f>
        <v>SABRE</v>
      </c>
      <c r="C2174" t="str">
        <f t="shared" si="70"/>
        <v>PENDENTE</v>
      </c>
      <c r="D2174" s="1">
        <v>3473728</v>
      </c>
      <c r="E2174" s="1" t="s">
        <v>26</v>
      </c>
      <c r="F2174" s="2">
        <v>45818.39166666667</v>
      </c>
      <c r="G2174" s="1" t="s">
        <v>2695</v>
      </c>
      <c r="H2174" s="1" t="s">
        <v>2695</v>
      </c>
      <c r="I2174" s="1" t="s">
        <v>396</v>
      </c>
      <c r="J2174" s="2">
        <v>45818.484722222223</v>
      </c>
      <c r="L2174" s="1" t="s">
        <v>18</v>
      </c>
      <c r="M2174" s="1" t="str">
        <f>_xlfn.XLOOKUP(I2174,Parâmetros!A:A,Parâmetros!B:B,_xlfn.XLOOKUP(Q2174,Parâmetros!F:F,Parâmetros!G:G,"NOVA MENSAGEM"))</f>
        <v>CÓD. CLIENTE DIVERGENTE</v>
      </c>
      <c r="N2174" s="1" t="str">
        <f>_xlfn.XLOOKUP(M2174,Parâmetros!K:K,Parâmetros!L:L,"")</f>
        <v>CÓDIGO DIFERENTE DO CADASTRADO NO BENNER (CLIENTE X GRUPO)</v>
      </c>
      <c r="O2174" s="1" t="str">
        <f>_xlfn.XLOOKUP(M2174,Parâmetros!B:B,Parâmetros!C:C,_xlfn.XLOOKUP(Base!M2171,Parâmetros!G:G,Parâmetros!H:H))</f>
        <v>QUALIDADE DOS DADOS</v>
      </c>
      <c r="P2174" s="1" t="str">
        <f>_xlfn.XLOOKUP(I2174,Parâmetros!A:A,Parâmetros!D:D,_xlfn.XLOOKUP(Q2174,Parâmetros!F:F,Parâmetros!I:I))</f>
        <v>SUPORTE OBT</v>
      </c>
      <c r="Q2174" s="1">
        <f t="shared" si="71"/>
        <v>1</v>
      </c>
    </row>
    <row r="2175" spans="1:17" x14ac:dyDescent="0.25">
      <c r="A2175" s="1" t="str">
        <f>_xlfn.XLOOKUP(D2175,'Novo relatório'!B:B,'Novo relatório'!C:C,"RESOLVIDO")</f>
        <v>SABRE</v>
      </c>
      <c r="C2175" t="str">
        <f t="shared" si="70"/>
        <v>PENDENTE</v>
      </c>
      <c r="D2175" s="1">
        <v>3469376</v>
      </c>
      <c r="E2175" s="1" t="s">
        <v>26</v>
      </c>
      <c r="F2175" s="2">
        <v>45814.621527777781</v>
      </c>
      <c r="G2175" s="1" t="s">
        <v>2696</v>
      </c>
      <c r="H2175" s="1" t="s">
        <v>2696</v>
      </c>
      <c r="I2175" s="1" t="s">
        <v>396</v>
      </c>
      <c r="J2175" s="2">
        <v>45814.712500000001</v>
      </c>
      <c r="L2175" s="1" t="s">
        <v>18</v>
      </c>
      <c r="M2175" s="1" t="str">
        <f>_xlfn.XLOOKUP(I2175,Parâmetros!A:A,Parâmetros!B:B,_xlfn.XLOOKUP(Q2175,Parâmetros!F:F,Parâmetros!G:G,"NOVA MENSAGEM"))</f>
        <v>CÓD. CLIENTE DIVERGENTE</v>
      </c>
      <c r="N2175" s="1" t="str">
        <f>_xlfn.XLOOKUP(M2175,Parâmetros!K:K,Parâmetros!L:L,"")</f>
        <v>CÓDIGO DIFERENTE DO CADASTRADO NO BENNER (CLIENTE X GRUPO)</v>
      </c>
      <c r="O2175" s="1" t="str">
        <f>_xlfn.XLOOKUP(M2175,Parâmetros!B:B,Parâmetros!C:C,_xlfn.XLOOKUP(Base!M2172,Parâmetros!G:G,Parâmetros!H:H))</f>
        <v>QUALIDADE DOS DADOS</v>
      </c>
      <c r="P2175" s="1" t="str">
        <f>_xlfn.XLOOKUP(I2175,Parâmetros!A:A,Parâmetros!D:D,_xlfn.XLOOKUP(Q2175,Parâmetros!F:F,Parâmetros!I:I))</f>
        <v>SUPORTE OBT</v>
      </c>
      <c r="Q2175" s="1">
        <f t="shared" si="71"/>
        <v>1</v>
      </c>
    </row>
    <row r="2176" spans="1:17" x14ac:dyDescent="0.25">
      <c r="A2176" s="1" t="str">
        <f>_xlfn.XLOOKUP(D2176,'Novo relatório'!B:B,'Novo relatório'!C:C,"RESOLVIDO")</f>
        <v>SABRE</v>
      </c>
      <c r="C2176" t="str">
        <f t="shared" si="70"/>
        <v>PENDENTE</v>
      </c>
      <c r="D2176" s="1">
        <v>3480234</v>
      </c>
      <c r="E2176" s="1" t="s">
        <v>26</v>
      </c>
      <c r="F2176" s="2">
        <v>45820.739583333336</v>
      </c>
      <c r="G2176" s="1" t="s">
        <v>2697</v>
      </c>
      <c r="H2176" s="1" t="s">
        <v>2697</v>
      </c>
      <c r="I2176" s="1" t="s">
        <v>408</v>
      </c>
      <c r="J2176" s="2">
        <v>45820.813194444447</v>
      </c>
      <c r="K2176" s="2">
        <v>45820.823611111111</v>
      </c>
      <c r="L2176" s="1" t="s">
        <v>18</v>
      </c>
      <c r="M2176" s="1" t="str">
        <f>_xlfn.XLOOKUP(I2176,Parâmetros!A:A,Parâmetros!B:B,_xlfn.XLOOKUP(Q2176,Parâmetros!F:F,Parâmetros!G:G,"NOVA MENSAGEM"))</f>
        <v>CÓD. CLIENTE DIVERGENTE</v>
      </c>
      <c r="N2176" s="1" t="str">
        <f>_xlfn.XLOOKUP(M2176,Parâmetros!K:K,Parâmetros!L:L,"")</f>
        <v>CÓDIGO DIFERENTE DO CADASTRADO NO BENNER (CLIENTE X GRUPO)</v>
      </c>
      <c r="O2176" s="1" t="str">
        <f>_xlfn.XLOOKUP(M2176,Parâmetros!B:B,Parâmetros!C:C,_xlfn.XLOOKUP(Base!M2173,Parâmetros!G:G,Parâmetros!H:H))</f>
        <v>QUALIDADE DOS DADOS</v>
      </c>
      <c r="P2176" s="1" t="str">
        <f>_xlfn.XLOOKUP(I2176,Parâmetros!A:A,Parâmetros!D:D,_xlfn.XLOOKUP(Q2176,Parâmetros!F:F,Parâmetros!I:I))</f>
        <v>SUPORTE OBT</v>
      </c>
      <c r="Q2176" s="1">
        <f t="shared" si="71"/>
        <v>1</v>
      </c>
    </row>
    <row r="2177" spans="1:17" x14ac:dyDescent="0.25">
      <c r="A2177" s="1" t="str">
        <f>_xlfn.XLOOKUP(D2177,'Novo relatório'!B:B,'Novo relatório'!C:C,"RESOLVIDO")</f>
        <v>SABRE</v>
      </c>
      <c r="C2177" t="str">
        <f t="shared" si="70"/>
        <v>PENDENTE</v>
      </c>
      <c r="D2177" s="1">
        <v>3480235</v>
      </c>
      <c r="E2177" s="1" t="s">
        <v>26</v>
      </c>
      <c r="F2177" s="2">
        <v>45820.739583333336</v>
      </c>
      <c r="G2177" s="1" t="s">
        <v>2698</v>
      </c>
      <c r="H2177" s="1" t="s">
        <v>2697</v>
      </c>
      <c r="I2177" s="1" t="s">
        <v>1202</v>
      </c>
      <c r="J2177" s="2">
        <v>45820.813194444447</v>
      </c>
      <c r="K2177" s="2">
        <v>45820.823611111111</v>
      </c>
      <c r="L2177" s="1" t="s">
        <v>18</v>
      </c>
      <c r="M2177" s="1" t="str">
        <f>_xlfn.XLOOKUP(I2177,Parâmetros!A:A,Parâmetros!B:B,_xlfn.XLOOKUP(Q2177,Parâmetros!F:F,Parâmetros!G:G,"NOVA MENSAGEM"))</f>
        <v>CÓD. CLIENTE DIVERGENTE</v>
      </c>
      <c r="N2177" s="1" t="str">
        <f>_xlfn.XLOOKUP(M2177,Parâmetros!K:K,Parâmetros!L:L,"")</f>
        <v>CÓDIGO DIFERENTE DO CADASTRADO NO BENNER (CLIENTE X GRUPO)</v>
      </c>
      <c r="O2177" s="1" t="str">
        <f>_xlfn.XLOOKUP(M2177,Parâmetros!B:B,Parâmetros!C:C,_xlfn.XLOOKUP(Base!M2174,Parâmetros!G:G,Parâmetros!H:H))</f>
        <v>QUALIDADE DOS DADOS</v>
      </c>
      <c r="P2177" s="1" t="str">
        <f>_xlfn.XLOOKUP(I2177,Parâmetros!A:A,Parâmetros!D:D,_xlfn.XLOOKUP(Q2177,Parâmetros!F:F,Parâmetros!I:I))</f>
        <v>SUPORTE OBT</v>
      </c>
      <c r="Q2177" s="1">
        <f t="shared" si="71"/>
        <v>1</v>
      </c>
    </row>
    <row r="2178" spans="1:17" x14ac:dyDescent="0.25">
      <c r="A2178" s="1" t="str">
        <f>_xlfn.XLOOKUP(D2178,'Novo relatório'!B:B,'Novo relatório'!C:C,"RESOLVIDO")</f>
        <v>SABRE</v>
      </c>
      <c r="C2178" t="str">
        <f t="shared" si="70"/>
        <v>PENDENTE</v>
      </c>
      <c r="D2178" s="1">
        <v>3469554</v>
      </c>
      <c r="E2178" s="1" t="s">
        <v>26</v>
      </c>
      <c r="F2178" s="2">
        <v>45820.407638888886</v>
      </c>
      <c r="G2178" s="1" t="s">
        <v>2699</v>
      </c>
      <c r="H2178" s="1" t="s">
        <v>2699</v>
      </c>
      <c r="I2178" s="1" t="s">
        <v>2700</v>
      </c>
      <c r="J2178" s="2">
        <v>45814.762499999997</v>
      </c>
      <c r="K2178" s="2">
        <v>45820.501388888886</v>
      </c>
      <c r="L2178" s="1" t="s">
        <v>19</v>
      </c>
      <c r="M2178" s="1" t="str">
        <f>_xlfn.XLOOKUP(I2178,Parâmetros!A:A,Parâmetros!B:B,_xlfn.XLOOKUP(Q2178,Parâmetros!F:F,Parâmetros!G:G,"NOVA MENSAGEM"))</f>
        <v>CONTRATO FORNECEDOR</v>
      </c>
      <c r="N2178" s="1" t="str">
        <f>_xlfn.XLOOKUP(M2178,Parâmetros!K:K,Parâmetros!L:L,"")</f>
        <v>CONTRATO INATIVO OU DIVERGENTE</v>
      </c>
      <c r="O2178" s="1" t="str">
        <f>_xlfn.XLOOKUP(M2178,Parâmetros!B:B,Parâmetros!C:C,_xlfn.XLOOKUP(Base!M2175,Parâmetros!G:G,Parâmetros!H:H))</f>
        <v>SISTEMA</v>
      </c>
      <c r="P2178" s="1" t="str">
        <f>_xlfn.XLOOKUP(I2178,Parâmetros!A:A,Parâmetros!D:D,_xlfn.XLOOKUP(Q2178,Parâmetros!F:F,Parâmetros!I:I))</f>
        <v>OPERAÇÕES / SUPORTE KCS</v>
      </c>
      <c r="Q2178" s="1">
        <f t="shared" si="71"/>
        <v>43</v>
      </c>
    </row>
    <row r="2179" spans="1:17" x14ac:dyDescent="0.25">
      <c r="A2179" s="1" t="str">
        <f>_xlfn.XLOOKUP(D2179,'Novo relatório'!B:B,'Novo relatório'!C:C,"RESOLVIDO")</f>
        <v>SABRE</v>
      </c>
      <c r="C2179" t="str">
        <f t="shared" si="70"/>
        <v>PENDENTE</v>
      </c>
      <c r="D2179" s="1">
        <v>3468861</v>
      </c>
      <c r="E2179" s="1" t="s">
        <v>26</v>
      </c>
      <c r="F2179" s="2">
        <v>45814.548611111109</v>
      </c>
      <c r="G2179" s="1" t="s">
        <v>2701</v>
      </c>
      <c r="H2179" s="1" t="s">
        <v>2701</v>
      </c>
      <c r="I2179" s="1" t="s">
        <v>652</v>
      </c>
      <c r="J2179" s="2">
        <v>45814.636805555558</v>
      </c>
      <c r="L2179" s="1" t="s">
        <v>18</v>
      </c>
      <c r="M2179" s="1" t="str">
        <f>_xlfn.XLOOKUP(I2179,Parâmetros!A:A,Parâmetros!B:B,_xlfn.XLOOKUP(Q2179,Parâmetros!F:F,Parâmetros!G:G,"NOVA MENSAGEM"))</f>
        <v>CÓD. CLIENTE DIVERGENTE</v>
      </c>
      <c r="N2179" s="1" t="str">
        <f>_xlfn.XLOOKUP(M2179,Parâmetros!K:K,Parâmetros!L:L,"")</f>
        <v>CÓDIGO DIFERENTE DO CADASTRADO NO BENNER (CLIENTE X GRUPO)</v>
      </c>
      <c r="O2179" s="1" t="str">
        <f>_xlfn.XLOOKUP(M2179,Parâmetros!B:B,Parâmetros!C:C,_xlfn.XLOOKUP(Base!M2176,Parâmetros!G:G,Parâmetros!H:H))</f>
        <v>QUALIDADE DOS DADOS</v>
      </c>
      <c r="P2179" s="1" t="str">
        <f>_xlfn.XLOOKUP(I2179,Parâmetros!A:A,Parâmetros!D:D,_xlfn.XLOOKUP(Q2179,Parâmetros!F:F,Parâmetros!I:I))</f>
        <v>SUPORTE OBT</v>
      </c>
      <c r="Q2179" s="1">
        <f t="shared" si="71"/>
        <v>1</v>
      </c>
    </row>
    <row r="2180" spans="1:17" x14ac:dyDescent="0.25">
      <c r="A2180" s="1" t="str">
        <f>_xlfn.XLOOKUP(D2180,'Novo relatório'!B:B,'Novo relatório'!C:C,"RESOLVIDO")</f>
        <v>SABRE</v>
      </c>
      <c r="C2180" t="str">
        <f t="shared" si="70"/>
        <v>PENDENTE</v>
      </c>
      <c r="D2180" s="1">
        <v>3468433</v>
      </c>
      <c r="E2180" s="1" t="s">
        <v>26</v>
      </c>
      <c r="F2180" s="2">
        <v>45814.484027777777</v>
      </c>
      <c r="G2180" s="1" t="s">
        <v>2702</v>
      </c>
      <c r="H2180" s="1" t="s">
        <v>2702</v>
      </c>
      <c r="I2180" s="1" t="s">
        <v>652</v>
      </c>
      <c r="J2180" s="2">
        <v>45814.574305555558</v>
      </c>
      <c r="L2180" s="1" t="s">
        <v>18</v>
      </c>
      <c r="M2180" s="1" t="str">
        <f>_xlfn.XLOOKUP(I2180,Parâmetros!A:A,Parâmetros!B:B,_xlfn.XLOOKUP(Q2180,Parâmetros!F:F,Parâmetros!G:G,"NOVA MENSAGEM"))</f>
        <v>CÓD. CLIENTE DIVERGENTE</v>
      </c>
      <c r="N2180" s="1" t="str">
        <f>_xlfn.XLOOKUP(M2180,Parâmetros!K:K,Parâmetros!L:L,"")</f>
        <v>CÓDIGO DIFERENTE DO CADASTRADO NO BENNER (CLIENTE X GRUPO)</v>
      </c>
      <c r="O2180" s="1" t="str">
        <f>_xlfn.XLOOKUP(M2180,Parâmetros!B:B,Parâmetros!C:C,_xlfn.XLOOKUP(Base!M2177,Parâmetros!G:G,Parâmetros!H:H))</f>
        <v>QUALIDADE DOS DADOS</v>
      </c>
      <c r="P2180" s="1" t="str">
        <f>_xlfn.XLOOKUP(I2180,Parâmetros!A:A,Parâmetros!D:D,_xlfn.XLOOKUP(Q2180,Parâmetros!F:F,Parâmetros!I:I))</f>
        <v>SUPORTE OBT</v>
      </c>
      <c r="Q2180" s="1">
        <f t="shared" si="71"/>
        <v>1</v>
      </c>
    </row>
    <row r="2181" spans="1:17" x14ac:dyDescent="0.25">
      <c r="A2181" s="1" t="str">
        <f>_xlfn.XLOOKUP(D2181,'Novo relatório'!B:B,'Novo relatório'!C:C,"RESOLVIDO")</f>
        <v>SABRE</v>
      </c>
      <c r="C2181" t="str">
        <f t="shared" si="70"/>
        <v>PENDENTE</v>
      </c>
      <c r="D2181" s="1">
        <v>3471294</v>
      </c>
      <c r="E2181" s="1" t="s">
        <v>26</v>
      </c>
      <c r="F2181" s="2">
        <v>45817.439583333333</v>
      </c>
      <c r="G2181" s="1" t="s">
        <v>2703</v>
      </c>
      <c r="H2181" s="1" t="s">
        <v>2703</v>
      </c>
      <c r="I2181" s="1" t="s">
        <v>83</v>
      </c>
      <c r="J2181" s="2">
        <v>45817.531944444447</v>
      </c>
      <c r="L2181" s="1" t="s">
        <v>18</v>
      </c>
      <c r="M2181" s="1" t="str">
        <f>_xlfn.XLOOKUP(I2181,Parâmetros!A:A,Parâmetros!B:B,_xlfn.XLOOKUP(Q2181,Parâmetros!F:F,Parâmetros!G:G,"NOVA MENSAGEM"))</f>
        <v>CLIENTE NÃO IDENTIFICADO</v>
      </c>
      <c r="N2181" s="1" t="str">
        <f>_xlfn.XLOOKUP(M2181,Parâmetros!K:K,Parâmetros!L:L,"")</f>
        <v>DK DE CLIENTE NÃO PREENCIDO / CLIENTE NÃO CONFIGURADO NO OBT</v>
      </c>
      <c r="O2181" s="1" t="str">
        <f>_xlfn.XLOOKUP(M2181,Parâmetros!B:B,Parâmetros!C:C,_xlfn.XLOOKUP(Base!M2178,Parâmetros!G:G,Parâmetros!H:H))</f>
        <v>INDEFINIDO</v>
      </c>
      <c r="P2181" s="1" t="str">
        <f>_xlfn.XLOOKUP(I2181,Parâmetros!A:A,Parâmetros!D:D,_xlfn.XLOOKUP(Q2181,Parâmetros!F:F,Parâmetros!I:I))</f>
        <v>OPERAÇÕES / SUPORTE KCS</v>
      </c>
      <c r="Q2181" s="1" t="str">
        <f t="shared" si="71"/>
        <v>COLUNA I</v>
      </c>
    </row>
    <row r="2182" spans="1:17" x14ac:dyDescent="0.25">
      <c r="A2182" s="1" t="str">
        <f>_xlfn.XLOOKUP(D2182,'Novo relatório'!B:B,'Novo relatório'!C:C,"RESOLVIDO")</f>
        <v>SABRE</v>
      </c>
      <c r="C2182" t="str">
        <f t="shared" si="70"/>
        <v>PENDENTE</v>
      </c>
      <c r="D2182" s="1">
        <v>3481539</v>
      </c>
      <c r="E2182" s="1" t="s">
        <v>26</v>
      </c>
      <c r="F2182" s="2">
        <v>45821.507638888892</v>
      </c>
      <c r="G2182" s="1" t="s">
        <v>2704</v>
      </c>
      <c r="H2182" s="1" t="s">
        <v>2705</v>
      </c>
      <c r="I2182" s="1" t="s">
        <v>64</v>
      </c>
      <c r="J2182" s="2">
        <v>45821.595138888886</v>
      </c>
      <c r="L2182" s="1" t="s">
        <v>1244</v>
      </c>
      <c r="M2182" s="1" t="str">
        <f>_xlfn.XLOOKUP(I2182,Parâmetros!A:A,Parâmetros!B:B,_xlfn.XLOOKUP(Q2182,Parâmetros!F:F,Parâmetros!G:G,"NOVA MENSAGEM"))</f>
        <v>FORMATO DE TEXTO</v>
      </c>
      <c r="N2182" s="1" t="str">
        <f>_xlfn.XLOOKUP(M2182,Parâmetros!K:K,Parâmetros!L:L,"")</f>
        <v>TEXTO FORA DO PADRÃO ACEITO NO CAMPO</v>
      </c>
      <c r="O2182" s="1" t="str">
        <f>_xlfn.XLOOKUP(M2182,Parâmetros!B:B,Parâmetros!C:C,_xlfn.XLOOKUP(Base!M2179,Parâmetros!G:G,Parâmetros!H:H))</f>
        <v>INDEFINIDO</v>
      </c>
      <c r="P2182" s="1" t="str">
        <f>_xlfn.XLOOKUP(I2182,Parâmetros!A:A,Parâmetros!D:D,_xlfn.XLOOKUP(Q2182,Parâmetros!F:F,Parâmetros!I:I))</f>
        <v>SUPORTE OBT</v>
      </c>
      <c r="Q2182" s="1" t="str">
        <f t="shared" si="71"/>
        <v>COLUNA I</v>
      </c>
    </row>
    <row r="2183" spans="1:17" x14ac:dyDescent="0.25">
      <c r="A2183" s="1" t="str">
        <f>_xlfn.XLOOKUP(D2183,'Novo relatório'!B:B,'Novo relatório'!C:C,"RESOLVIDO")</f>
        <v>SABRE</v>
      </c>
      <c r="C2183" t="str">
        <f t="shared" si="70"/>
        <v>PENDENTE</v>
      </c>
      <c r="D2183" s="1">
        <v>3478989</v>
      </c>
      <c r="E2183" s="1" t="s">
        <v>26</v>
      </c>
      <c r="F2183" s="2">
        <v>45820.524305555555</v>
      </c>
      <c r="G2183" s="1" t="s">
        <v>2706</v>
      </c>
      <c r="H2183" s="1" t="s">
        <v>2706</v>
      </c>
      <c r="I2183" s="1" t="s">
        <v>396</v>
      </c>
      <c r="J2183" s="2">
        <v>45820.615972222222</v>
      </c>
      <c r="L2183" s="1" t="s">
        <v>18</v>
      </c>
      <c r="M2183" s="1" t="str">
        <f>_xlfn.XLOOKUP(I2183,Parâmetros!A:A,Parâmetros!B:B,_xlfn.XLOOKUP(Q2183,Parâmetros!F:F,Parâmetros!G:G,"NOVA MENSAGEM"))</f>
        <v>CÓD. CLIENTE DIVERGENTE</v>
      </c>
      <c r="N2183" s="1" t="str">
        <f>_xlfn.XLOOKUP(M2183,Parâmetros!K:K,Parâmetros!L:L,"")</f>
        <v>CÓDIGO DIFERENTE DO CADASTRADO NO BENNER (CLIENTE X GRUPO)</v>
      </c>
      <c r="O2183" s="1" t="str">
        <f>_xlfn.XLOOKUP(M2183,Parâmetros!B:B,Parâmetros!C:C,_xlfn.XLOOKUP(Base!M2180,Parâmetros!G:G,Parâmetros!H:H))</f>
        <v>QUALIDADE DOS DADOS</v>
      </c>
      <c r="P2183" s="1" t="str">
        <f>_xlfn.XLOOKUP(I2183,Parâmetros!A:A,Parâmetros!D:D,_xlfn.XLOOKUP(Q2183,Parâmetros!F:F,Parâmetros!I:I))</f>
        <v>SUPORTE OBT</v>
      </c>
      <c r="Q2183" s="1">
        <f t="shared" si="71"/>
        <v>1</v>
      </c>
    </row>
    <row r="2184" spans="1:17" x14ac:dyDescent="0.25">
      <c r="A2184" s="1" t="str">
        <f>_xlfn.XLOOKUP(D2184,'Novo relatório'!B:B,'Novo relatório'!C:C,"RESOLVIDO")</f>
        <v>SABRE</v>
      </c>
      <c r="C2184" t="str">
        <f t="shared" si="70"/>
        <v>PENDENTE</v>
      </c>
      <c r="D2184" s="1">
        <v>3479156</v>
      </c>
      <c r="E2184" s="1" t="s">
        <v>26</v>
      </c>
      <c r="F2184" s="2">
        <v>45820.54791666667</v>
      </c>
      <c r="G2184" s="1" t="s">
        <v>2707</v>
      </c>
      <c r="H2184" s="1" t="s">
        <v>2708</v>
      </c>
      <c r="I2184" s="1" t="s">
        <v>64</v>
      </c>
      <c r="J2184" s="2">
        <v>45820.636805555558</v>
      </c>
      <c r="L2184" s="1" t="s">
        <v>1244</v>
      </c>
      <c r="M2184" s="1" t="str">
        <f>_xlfn.XLOOKUP(I2184,Parâmetros!A:A,Parâmetros!B:B,_xlfn.XLOOKUP(Q2184,Parâmetros!F:F,Parâmetros!G:G,"NOVA MENSAGEM"))</f>
        <v>FORMATO DE TEXTO</v>
      </c>
      <c r="N2184" s="1" t="str">
        <f>_xlfn.XLOOKUP(M2184,Parâmetros!K:K,Parâmetros!L:L,"")</f>
        <v>TEXTO FORA DO PADRÃO ACEITO NO CAMPO</v>
      </c>
      <c r="O2184" s="1" t="str">
        <f>_xlfn.XLOOKUP(M2184,Parâmetros!B:B,Parâmetros!C:C,_xlfn.XLOOKUP(Base!M2181,Parâmetros!G:G,Parâmetros!H:H))</f>
        <v>INDEFINIDO</v>
      </c>
      <c r="P2184" s="1" t="str">
        <f>_xlfn.XLOOKUP(I2184,Parâmetros!A:A,Parâmetros!D:D,_xlfn.XLOOKUP(Q2184,Parâmetros!F:F,Parâmetros!I:I))</f>
        <v>SUPORTE OBT</v>
      </c>
      <c r="Q2184" s="1" t="str">
        <f t="shared" si="71"/>
        <v>COLUNA I</v>
      </c>
    </row>
    <row r="2185" spans="1:17" x14ac:dyDescent="0.25">
      <c r="A2185" s="1" t="str">
        <f>_xlfn.XLOOKUP(D2185,'Novo relatório'!B:B,'Novo relatório'!C:C,"RESOLVIDO")</f>
        <v>SABRE</v>
      </c>
      <c r="C2185" t="str">
        <f t="shared" si="70"/>
        <v>PENDENTE</v>
      </c>
      <c r="D2185" s="1">
        <v>3476371</v>
      </c>
      <c r="E2185" s="1" t="s">
        <v>26</v>
      </c>
      <c r="F2185" s="2">
        <v>45819.410416666666</v>
      </c>
      <c r="G2185" s="1" t="s">
        <v>2709</v>
      </c>
      <c r="H2185" s="1" t="s">
        <v>2709</v>
      </c>
      <c r="I2185" s="1" t="s">
        <v>578</v>
      </c>
      <c r="J2185" s="2">
        <v>45819.480555555558</v>
      </c>
      <c r="K2185" s="2">
        <v>45819.501388888886</v>
      </c>
      <c r="L2185" s="1" t="s">
        <v>18</v>
      </c>
      <c r="M2185" s="1" t="str">
        <f>_xlfn.XLOOKUP(I2185,Parâmetros!A:A,Parâmetros!B:B,_xlfn.XLOOKUP(Q2185,Parâmetros!F:F,Parâmetros!G:G,"NOVA MENSAGEM"))</f>
        <v>REMARK - CNPJ</v>
      </c>
      <c r="N2185" s="1" t="str">
        <f>_xlfn.XLOOKUP(M2185,Parâmetros!K:K,Parâmetros!L:L,"")</f>
        <v/>
      </c>
      <c r="O2185" s="1" t="e">
        <f>_xlfn.XLOOKUP(M2185,Parâmetros!B:B,Parâmetros!C:C,_xlfn.XLOOKUP(Base!M2182,Parâmetros!G:G,Parâmetros!H:H))</f>
        <v>#N/A</v>
      </c>
      <c r="P2185" s="1" t="str">
        <f>_xlfn.XLOOKUP(I2185,Parâmetros!A:A,Parâmetros!D:D,_xlfn.XLOOKUP(Q2185,Parâmetros!F:F,Parâmetros!I:I))</f>
        <v>OPERAÇÕES / SUPORTE KCS</v>
      </c>
      <c r="Q2185" s="1">
        <f t="shared" si="71"/>
        <v>24</v>
      </c>
    </row>
    <row r="2186" spans="1:17" x14ac:dyDescent="0.25">
      <c r="A2186" s="1" t="str">
        <f>_xlfn.XLOOKUP(D2186,'Novo relatório'!B:B,'Novo relatório'!C:C,"RESOLVIDO")</f>
        <v>SABRE</v>
      </c>
      <c r="C2186" t="str">
        <f t="shared" si="70"/>
        <v>PENDENTE</v>
      </c>
      <c r="D2186" s="1">
        <v>3476372</v>
      </c>
      <c r="E2186" s="1" t="s">
        <v>26</v>
      </c>
      <c r="F2186" s="2">
        <v>45819.410416666666</v>
      </c>
      <c r="G2186" s="1" t="s">
        <v>2710</v>
      </c>
      <c r="H2186" s="1" t="s">
        <v>2709</v>
      </c>
      <c r="I2186" s="1" t="s">
        <v>2398</v>
      </c>
      <c r="J2186" s="2">
        <v>45819.480555555558</v>
      </c>
      <c r="K2186" s="2">
        <v>45819.502083333333</v>
      </c>
      <c r="L2186" s="1" t="s">
        <v>18</v>
      </c>
      <c r="M2186" s="1" t="str">
        <f>_xlfn.XLOOKUP(I2186,Parâmetros!A:A,Parâmetros!B:B,_xlfn.XLOOKUP(Q2186,Parâmetros!F:F,Parâmetros!G:G,"NOVA MENSAGEM"))</f>
        <v>REMARK - CNPJ</v>
      </c>
      <c r="N2186" s="1" t="str">
        <f>_xlfn.XLOOKUP(M2186,Parâmetros!K:K,Parâmetros!L:L,"")</f>
        <v/>
      </c>
      <c r="O2186" s="1" t="str">
        <f>_xlfn.XLOOKUP(M2186,Parâmetros!B:B,Parâmetros!C:C,_xlfn.XLOOKUP(Base!M2183,Parâmetros!G:G,Parâmetros!H:H))</f>
        <v>QUALIDADE DOS DADOS</v>
      </c>
      <c r="P2186" s="1" t="str">
        <f>_xlfn.XLOOKUP(I2186,Parâmetros!A:A,Parâmetros!D:D,_xlfn.XLOOKUP(Q2186,Parâmetros!F:F,Parâmetros!I:I))</f>
        <v>OPERAÇÕES / SUPORTE KCS</v>
      </c>
      <c r="Q2186" s="1">
        <f t="shared" si="71"/>
        <v>24</v>
      </c>
    </row>
    <row r="2187" spans="1:17" x14ac:dyDescent="0.25">
      <c r="A2187" s="1" t="str">
        <f>_xlfn.XLOOKUP(D2187,'Novo relatório'!B:B,'Novo relatório'!C:C,"RESOLVIDO")</f>
        <v>SABRE</v>
      </c>
      <c r="C2187" t="str">
        <f t="shared" si="70"/>
        <v>PENDENTE</v>
      </c>
      <c r="D2187" s="1">
        <v>3478426</v>
      </c>
      <c r="E2187" s="1" t="s">
        <v>26</v>
      </c>
      <c r="F2187" s="2">
        <v>45820.40347222222</v>
      </c>
      <c r="G2187" s="1" t="s">
        <v>2711</v>
      </c>
      <c r="H2187" s="1" t="s">
        <v>2711</v>
      </c>
      <c r="I2187" s="1" t="s">
        <v>620</v>
      </c>
      <c r="J2187" s="2">
        <v>45820.491666666669</v>
      </c>
      <c r="L2187" s="1" t="s">
        <v>18</v>
      </c>
      <c r="M2187" s="1" t="str">
        <f>_xlfn.XLOOKUP(I2187,Parâmetros!A:A,Parâmetros!B:B,_xlfn.XLOOKUP(Q2187,Parâmetros!F:F,Parâmetros!G:G,"NOVA MENSAGEM"))</f>
        <v>CÓD. CLIENTE DIVERGENTE</v>
      </c>
      <c r="N2187" s="1" t="str">
        <f>_xlfn.XLOOKUP(M2187,Parâmetros!K:K,Parâmetros!L:L,"")</f>
        <v>CÓDIGO DIFERENTE DO CADASTRADO NO BENNER (CLIENTE X GRUPO)</v>
      </c>
      <c r="O2187" s="1" t="str">
        <f>_xlfn.XLOOKUP(M2187,Parâmetros!B:B,Parâmetros!C:C,_xlfn.XLOOKUP(Base!M2184,Parâmetros!G:G,Parâmetros!H:H))</f>
        <v>QUALIDADE DOS DADOS</v>
      </c>
      <c r="P2187" s="1" t="str">
        <f>_xlfn.XLOOKUP(I2187,Parâmetros!A:A,Parâmetros!D:D,_xlfn.XLOOKUP(Q2187,Parâmetros!F:F,Parâmetros!I:I))</f>
        <v>SUPORTE OBT</v>
      </c>
      <c r="Q2187" s="1">
        <f t="shared" si="71"/>
        <v>1</v>
      </c>
    </row>
    <row r="2188" spans="1:17" x14ac:dyDescent="0.25">
      <c r="A2188" s="1" t="str">
        <f>_xlfn.XLOOKUP(D2188,'Novo relatório'!B:B,'Novo relatório'!C:C,"RESOLVIDO")</f>
        <v>SABRE</v>
      </c>
      <c r="C2188" t="str">
        <f t="shared" si="70"/>
        <v>PENDENTE</v>
      </c>
      <c r="D2188" s="1">
        <v>3469569</v>
      </c>
      <c r="E2188" s="1" t="s">
        <v>26</v>
      </c>
      <c r="F2188" s="2">
        <v>45814.681944444441</v>
      </c>
      <c r="G2188" s="1" t="s">
        <v>2712</v>
      </c>
      <c r="H2188" s="1" t="s">
        <v>2712</v>
      </c>
      <c r="I2188" s="1" t="s">
        <v>396</v>
      </c>
      <c r="J2188" s="2">
        <v>45814.772916666669</v>
      </c>
      <c r="L2188" s="1" t="s">
        <v>18</v>
      </c>
      <c r="M2188" s="1" t="str">
        <f>_xlfn.XLOOKUP(I2188,Parâmetros!A:A,Parâmetros!B:B,_xlfn.XLOOKUP(Q2188,Parâmetros!F:F,Parâmetros!G:G,"NOVA MENSAGEM"))</f>
        <v>CÓD. CLIENTE DIVERGENTE</v>
      </c>
      <c r="N2188" s="1" t="str">
        <f>_xlfn.XLOOKUP(M2188,Parâmetros!K:K,Parâmetros!L:L,"")</f>
        <v>CÓDIGO DIFERENTE DO CADASTRADO NO BENNER (CLIENTE X GRUPO)</v>
      </c>
      <c r="O2188" s="1" t="str">
        <f>_xlfn.XLOOKUP(M2188,Parâmetros!B:B,Parâmetros!C:C,_xlfn.XLOOKUP(Base!M2185,Parâmetros!G:G,Parâmetros!H:H))</f>
        <v>QUALIDADE DOS DADOS</v>
      </c>
      <c r="P2188" s="1" t="str">
        <f>_xlfn.XLOOKUP(I2188,Parâmetros!A:A,Parâmetros!D:D,_xlfn.XLOOKUP(Q2188,Parâmetros!F:F,Parâmetros!I:I))</f>
        <v>SUPORTE OBT</v>
      </c>
      <c r="Q2188" s="1">
        <f t="shared" si="71"/>
        <v>1</v>
      </c>
    </row>
    <row r="2189" spans="1:17" x14ac:dyDescent="0.25">
      <c r="A2189" s="1" t="str">
        <f>_xlfn.XLOOKUP(D2189,'Novo relatório'!B:B,'Novo relatório'!C:C,"RESOLVIDO")</f>
        <v>SABRE</v>
      </c>
      <c r="C2189" t="str">
        <f t="shared" si="70"/>
        <v>PENDENTE</v>
      </c>
      <c r="D2189" s="1">
        <v>3478990</v>
      </c>
      <c r="E2189" s="1" t="s">
        <v>26</v>
      </c>
      <c r="F2189" s="2">
        <v>45820.524305555555</v>
      </c>
      <c r="G2189" s="1" t="s">
        <v>2713</v>
      </c>
      <c r="H2189" s="1" t="s">
        <v>2713</v>
      </c>
      <c r="I2189" s="1" t="s">
        <v>396</v>
      </c>
      <c r="J2189" s="2">
        <v>45820.615972222222</v>
      </c>
      <c r="L2189" s="1" t="s">
        <v>18</v>
      </c>
      <c r="M2189" s="1" t="str">
        <f>_xlfn.XLOOKUP(I2189,Parâmetros!A:A,Parâmetros!B:B,_xlfn.XLOOKUP(Q2189,Parâmetros!F:F,Parâmetros!G:G,"NOVA MENSAGEM"))</f>
        <v>CÓD. CLIENTE DIVERGENTE</v>
      </c>
      <c r="N2189" s="1" t="str">
        <f>_xlfn.XLOOKUP(M2189,Parâmetros!K:K,Parâmetros!L:L,"")</f>
        <v>CÓDIGO DIFERENTE DO CADASTRADO NO BENNER (CLIENTE X GRUPO)</v>
      </c>
      <c r="O2189" s="1" t="str">
        <f>_xlfn.XLOOKUP(M2189,Parâmetros!B:B,Parâmetros!C:C,_xlfn.XLOOKUP(Base!M2186,Parâmetros!G:G,Parâmetros!H:H))</f>
        <v>QUALIDADE DOS DADOS</v>
      </c>
      <c r="P2189" s="1" t="str">
        <f>_xlfn.XLOOKUP(I2189,Parâmetros!A:A,Parâmetros!D:D,_xlfn.XLOOKUP(Q2189,Parâmetros!F:F,Parâmetros!I:I))</f>
        <v>SUPORTE OBT</v>
      </c>
      <c r="Q2189" s="1">
        <f t="shared" si="71"/>
        <v>1</v>
      </c>
    </row>
    <row r="2190" spans="1:17" x14ac:dyDescent="0.25">
      <c r="A2190" s="1" t="str">
        <f>_xlfn.XLOOKUP(D2190,'Novo relatório'!B:B,'Novo relatório'!C:C,"RESOLVIDO")</f>
        <v>SABRE</v>
      </c>
      <c r="C2190" t="str">
        <f t="shared" si="70"/>
        <v>PENDENTE</v>
      </c>
      <c r="D2190" s="1">
        <v>3479772</v>
      </c>
      <c r="E2190" s="1" t="s">
        <v>26</v>
      </c>
      <c r="F2190" s="2">
        <v>45820.617361111108</v>
      </c>
      <c r="G2190" s="1" t="s">
        <v>2714</v>
      </c>
      <c r="H2190" s="1" t="s">
        <v>2714</v>
      </c>
      <c r="I2190" s="1" t="s">
        <v>746</v>
      </c>
      <c r="J2190" s="2">
        <v>45820.709722222222</v>
      </c>
      <c r="L2190" s="1" t="s">
        <v>18</v>
      </c>
      <c r="M2190" s="1" t="str">
        <f>_xlfn.XLOOKUP(I2190,Parâmetros!A:A,Parâmetros!B:B,_xlfn.XLOOKUP(Q2190,Parâmetros!F:F,Parâmetros!G:G,"NOVA MENSAGEM"))</f>
        <v>CÓD. CLIENTE DIVERGENTE</v>
      </c>
      <c r="N2190" s="1" t="str">
        <f>_xlfn.XLOOKUP(M2190,Parâmetros!K:K,Parâmetros!L:L,"")</f>
        <v>CÓDIGO DIFERENTE DO CADASTRADO NO BENNER (CLIENTE X GRUPO)</v>
      </c>
      <c r="O2190" s="1" t="str">
        <f>_xlfn.XLOOKUP(M2190,Parâmetros!B:B,Parâmetros!C:C,_xlfn.XLOOKUP(Base!M2187,Parâmetros!G:G,Parâmetros!H:H))</f>
        <v>QUALIDADE DOS DADOS</v>
      </c>
      <c r="P2190" s="1" t="str">
        <f>_xlfn.XLOOKUP(I2190,Parâmetros!A:A,Parâmetros!D:D,_xlfn.XLOOKUP(Q2190,Parâmetros!F:F,Parâmetros!I:I))</f>
        <v>SUPORTE OBT</v>
      </c>
      <c r="Q2190" s="1">
        <f t="shared" si="71"/>
        <v>1</v>
      </c>
    </row>
    <row r="2191" spans="1:17" x14ac:dyDescent="0.25">
      <c r="A2191" s="1" t="str">
        <f>_xlfn.XLOOKUP(D2191,'Novo relatório'!B:B,'Novo relatório'!C:C,"RESOLVIDO")</f>
        <v>SABRE</v>
      </c>
      <c r="C2191" t="str">
        <f t="shared" si="70"/>
        <v>PENDENTE</v>
      </c>
      <c r="D2191" s="1">
        <v>3474030</v>
      </c>
      <c r="E2191" s="1" t="s">
        <v>26</v>
      </c>
      <c r="F2191" s="2">
        <v>45818.545138888891</v>
      </c>
      <c r="G2191" s="1" t="s">
        <v>2715</v>
      </c>
      <c r="H2191" s="1" t="s">
        <v>2715</v>
      </c>
      <c r="I2191" s="1" t="s">
        <v>840</v>
      </c>
      <c r="J2191" s="2">
        <v>45818.636805555558</v>
      </c>
      <c r="L2191" s="1" t="s">
        <v>18</v>
      </c>
      <c r="M2191" s="1" t="str">
        <f>_xlfn.XLOOKUP(I2191,Parâmetros!A:A,Parâmetros!B:B,_xlfn.XLOOKUP(Q2191,Parâmetros!F:F,Parâmetros!G:G,"NOVA MENSAGEM"))</f>
        <v>REMARK - CNPJ</v>
      </c>
      <c r="N2191" s="1" t="str">
        <f>_xlfn.XLOOKUP(M2191,Parâmetros!K:K,Parâmetros!L:L,"")</f>
        <v/>
      </c>
      <c r="O2191" s="1" t="str">
        <f>_xlfn.XLOOKUP(M2191,Parâmetros!B:B,Parâmetros!C:C,_xlfn.XLOOKUP(Base!M2188,Parâmetros!G:G,Parâmetros!H:H))</f>
        <v>QUALIDADE DOS DADOS</v>
      </c>
      <c r="P2191" s="1" t="str">
        <f>_xlfn.XLOOKUP(I2191,Parâmetros!A:A,Parâmetros!D:D,_xlfn.XLOOKUP(Q2191,Parâmetros!F:F,Parâmetros!I:I))</f>
        <v>OPERAÇÕES / SUPORTE KCS</v>
      </c>
      <c r="Q2191" s="1">
        <f t="shared" si="71"/>
        <v>24</v>
      </c>
    </row>
    <row r="2192" spans="1:17" x14ac:dyDescent="0.25">
      <c r="A2192" s="1" t="str">
        <f>_xlfn.XLOOKUP(D2192,'Novo relatório'!B:B,'Novo relatório'!C:C,"RESOLVIDO")</f>
        <v>SABRE</v>
      </c>
      <c r="C2192" t="str">
        <f t="shared" si="70"/>
        <v>PENDENTE</v>
      </c>
      <c r="D2192" s="1">
        <v>3474575</v>
      </c>
      <c r="E2192" s="1" t="s">
        <v>26</v>
      </c>
      <c r="F2192" s="2">
        <v>45818.736805555556</v>
      </c>
      <c r="G2192" s="1" t="s">
        <v>2716</v>
      </c>
      <c r="H2192" s="1" t="s">
        <v>2716</v>
      </c>
      <c r="I2192" s="1" t="s">
        <v>396</v>
      </c>
      <c r="J2192" s="2">
        <v>45818.823611111111</v>
      </c>
      <c r="L2192" s="1" t="s">
        <v>18</v>
      </c>
      <c r="M2192" s="1" t="str">
        <f>_xlfn.XLOOKUP(I2192,Parâmetros!A:A,Parâmetros!B:B,_xlfn.XLOOKUP(Q2192,Parâmetros!F:F,Parâmetros!G:G,"NOVA MENSAGEM"))</f>
        <v>CÓD. CLIENTE DIVERGENTE</v>
      </c>
      <c r="N2192" s="1" t="str">
        <f>_xlfn.XLOOKUP(M2192,Parâmetros!K:K,Parâmetros!L:L,"")</f>
        <v>CÓDIGO DIFERENTE DO CADASTRADO NO BENNER (CLIENTE X GRUPO)</v>
      </c>
      <c r="O2192" s="1" t="str">
        <f>_xlfn.XLOOKUP(M2192,Parâmetros!B:B,Parâmetros!C:C,_xlfn.XLOOKUP(Base!M2189,Parâmetros!G:G,Parâmetros!H:H))</f>
        <v>QUALIDADE DOS DADOS</v>
      </c>
      <c r="P2192" s="1" t="str">
        <f>_xlfn.XLOOKUP(I2192,Parâmetros!A:A,Parâmetros!D:D,_xlfn.XLOOKUP(Q2192,Parâmetros!F:F,Parâmetros!I:I))</f>
        <v>SUPORTE OBT</v>
      </c>
      <c r="Q2192" s="1">
        <f t="shared" si="71"/>
        <v>1</v>
      </c>
    </row>
    <row r="2193" spans="1:17" x14ac:dyDescent="0.25">
      <c r="A2193" s="1" t="str">
        <f>_xlfn.XLOOKUP(D2193,'Novo relatório'!B:B,'Novo relatório'!C:C,"RESOLVIDO")</f>
        <v>SABRE</v>
      </c>
      <c r="C2193" t="str">
        <f t="shared" si="70"/>
        <v>PENDENTE</v>
      </c>
      <c r="D2193" s="1">
        <v>3484224</v>
      </c>
      <c r="E2193" s="1" t="s">
        <v>26</v>
      </c>
      <c r="F2193" s="2">
        <v>45824.393750000003</v>
      </c>
      <c r="G2193" s="1" t="s">
        <v>2717</v>
      </c>
      <c r="H2193" s="1" t="s">
        <v>2718</v>
      </c>
      <c r="I2193" s="1" t="s">
        <v>84</v>
      </c>
      <c r="J2193" s="2">
        <v>45824.480555555558</v>
      </c>
      <c r="L2193" s="1" t="s">
        <v>1244</v>
      </c>
      <c r="M2193" s="1" t="str">
        <f>_xlfn.XLOOKUP(I2193,Parâmetros!A:A,Parâmetros!B:B,_xlfn.XLOOKUP(Q2193,Parâmetros!F:F,Parâmetros!G:G,"NOVA MENSAGEM"))</f>
        <v>REMARK - DATA INCORRETA</v>
      </c>
      <c r="N2193" s="1" t="str">
        <f>_xlfn.XLOOKUP(M2193,Parâmetros!K:K,Parâmetros!L:L,"")</f>
        <v>REMARK U*INFOPAG-CC/REC-CC PREENCHIDO INCORRETAMENTE</v>
      </c>
      <c r="O2193" s="1" t="str">
        <f>_xlfn.XLOOKUP(M2193,Parâmetros!B:B,Parâmetros!C:C,_xlfn.XLOOKUP(Base!M2190,Parâmetros!G:G,Parâmetros!H:H))</f>
        <v>QUALIDADE DOS DADOS</v>
      </c>
      <c r="P2193" s="1" t="str">
        <f>_xlfn.XLOOKUP(I2193,Parâmetros!A:A,Parâmetros!D:D,_xlfn.XLOOKUP(Q2193,Parâmetros!F:F,Parâmetros!I:I))</f>
        <v>OPERAÇÕES / SUPORTE KCS</v>
      </c>
      <c r="Q2193" s="1" t="str">
        <f t="shared" si="71"/>
        <v>COLUNA I</v>
      </c>
    </row>
    <row r="2194" spans="1:17" x14ac:dyDescent="0.25">
      <c r="A2194" s="1" t="str">
        <f>_xlfn.XLOOKUP(D2194,'Novo relatório'!B:B,'Novo relatório'!C:C,"RESOLVIDO")</f>
        <v>SABRE</v>
      </c>
      <c r="C2194" t="str">
        <f t="shared" si="70"/>
        <v>PENDENTE</v>
      </c>
      <c r="D2194" s="1">
        <v>3481959</v>
      </c>
      <c r="E2194" s="1" t="s">
        <v>26</v>
      </c>
      <c r="F2194" s="2">
        <v>45821.65625</v>
      </c>
      <c r="G2194" s="1" t="s">
        <v>2719</v>
      </c>
      <c r="H2194" s="1" t="s">
        <v>2720</v>
      </c>
      <c r="I2194" s="1" t="s">
        <v>84</v>
      </c>
      <c r="J2194" s="2">
        <v>45821.740972222222</v>
      </c>
      <c r="L2194" s="1" t="s">
        <v>1244</v>
      </c>
      <c r="M2194" s="1" t="str">
        <f>_xlfn.XLOOKUP(I2194,Parâmetros!A:A,Parâmetros!B:B,_xlfn.XLOOKUP(Q2194,Parâmetros!F:F,Parâmetros!G:G,"NOVA MENSAGEM"))</f>
        <v>REMARK - DATA INCORRETA</v>
      </c>
      <c r="N2194" s="1" t="str">
        <f>_xlfn.XLOOKUP(M2194,Parâmetros!K:K,Parâmetros!L:L,"")</f>
        <v>REMARK U*INFOPAG-CC/REC-CC PREENCHIDO INCORRETAMENTE</v>
      </c>
      <c r="O2194" s="1" t="str">
        <f>_xlfn.XLOOKUP(M2194,Parâmetros!B:B,Parâmetros!C:C,_xlfn.XLOOKUP(Base!M2191,Parâmetros!G:G,Parâmetros!H:H))</f>
        <v>QUALIDADE DOS DADOS</v>
      </c>
      <c r="P2194" s="1" t="str">
        <f>_xlfn.XLOOKUP(I2194,Parâmetros!A:A,Parâmetros!D:D,_xlfn.XLOOKUP(Q2194,Parâmetros!F:F,Parâmetros!I:I))</f>
        <v>OPERAÇÕES / SUPORTE KCS</v>
      </c>
      <c r="Q2194" s="1" t="str">
        <f t="shared" si="71"/>
        <v>COLUNA I</v>
      </c>
    </row>
    <row r="2195" spans="1:17" x14ac:dyDescent="0.25">
      <c r="A2195" s="1" t="str">
        <f>_xlfn.XLOOKUP(D2195,'Novo relatório'!B:B,'Novo relatório'!C:C,"RESOLVIDO")</f>
        <v>SABRE</v>
      </c>
      <c r="C2195" t="str">
        <f t="shared" si="70"/>
        <v>PENDENTE</v>
      </c>
      <c r="D2195" s="1">
        <v>3472155</v>
      </c>
      <c r="E2195" s="1" t="s">
        <v>26</v>
      </c>
      <c r="F2195" s="2">
        <v>45817.652777777781</v>
      </c>
      <c r="G2195" s="1" t="s">
        <v>2721</v>
      </c>
      <c r="H2195" s="1" t="s">
        <v>2721</v>
      </c>
      <c r="I2195" s="1" t="s">
        <v>707</v>
      </c>
      <c r="J2195" s="2">
        <v>45817.730555555558</v>
      </c>
      <c r="K2195" s="2">
        <v>45817.740972222222</v>
      </c>
      <c r="L2195" s="1" t="s">
        <v>18</v>
      </c>
      <c r="M2195" s="1" t="str">
        <f>_xlfn.XLOOKUP(I2195,Parâmetros!A:A,Parâmetros!B:B,_xlfn.XLOOKUP(Q2195,Parâmetros!F:F,Parâmetros!G:G,"NOVA MENSAGEM"))</f>
        <v>CÓD. CLIENTE DIVERGENTE</v>
      </c>
      <c r="N2195" s="1" t="str">
        <f>_xlfn.XLOOKUP(M2195,Parâmetros!K:K,Parâmetros!L:L,"")</f>
        <v>CÓDIGO DIFERENTE DO CADASTRADO NO BENNER (CLIENTE X GRUPO)</v>
      </c>
      <c r="O2195" s="1" t="str">
        <f>_xlfn.XLOOKUP(M2195,Parâmetros!B:B,Parâmetros!C:C,_xlfn.XLOOKUP(Base!M2192,Parâmetros!G:G,Parâmetros!H:H))</f>
        <v>QUALIDADE DOS DADOS</v>
      </c>
      <c r="P2195" s="1" t="str">
        <f>_xlfn.XLOOKUP(I2195,Parâmetros!A:A,Parâmetros!D:D,_xlfn.XLOOKUP(Q2195,Parâmetros!F:F,Parâmetros!I:I))</f>
        <v>SUPORTE OBT</v>
      </c>
      <c r="Q2195" s="1">
        <f t="shared" si="71"/>
        <v>1</v>
      </c>
    </row>
    <row r="2196" spans="1:17" x14ac:dyDescent="0.25">
      <c r="A2196" s="1" t="str">
        <f>_xlfn.XLOOKUP(D2196,'Novo relatório'!B:B,'Novo relatório'!C:C,"RESOLVIDO")</f>
        <v>SABRE</v>
      </c>
      <c r="C2196" t="str">
        <f t="shared" si="70"/>
        <v>PENDENTE</v>
      </c>
      <c r="D2196" s="1">
        <v>3474176</v>
      </c>
      <c r="E2196" s="1" t="s">
        <v>26</v>
      </c>
      <c r="F2196" s="2">
        <v>45818.590277777781</v>
      </c>
      <c r="G2196" s="1" t="s">
        <v>2722</v>
      </c>
      <c r="H2196" s="1" t="s">
        <v>2722</v>
      </c>
      <c r="I2196" s="1" t="s">
        <v>83</v>
      </c>
      <c r="J2196" s="2">
        <v>45818.678472222222</v>
      </c>
      <c r="L2196" s="1" t="s">
        <v>18</v>
      </c>
      <c r="M2196" s="1" t="str">
        <f>_xlfn.XLOOKUP(I2196,Parâmetros!A:A,Parâmetros!B:B,_xlfn.XLOOKUP(Q2196,Parâmetros!F:F,Parâmetros!G:G,"NOVA MENSAGEM"))</f>
        <v>CLIENTE NÃO IDENTIFICADO</v>
      </c>
      <c r="N2196" s="1" t="str">
        <f>_xlfn.XLOOKUP(M2196,Parâmetros!K:K,Parâmetros!L:L,"")</f>
        <v>DK DE CLIENTE NÃO PREENCIDO / CLIENTE NÃO CONFIGURADO NO OBT</v>
      </c>
      <c r="O2196" s="1" t="str">
        <f>_xlfn.XLOOKUP(M2196,Parâmetros!B:B,Parâmetros!C:C,_xlfn.XLOOKUP(Base!M2193,Parâmetros!G:G,Parâmetros!H:H))</f>
        <v>INDEFINIDO</v>
      </c>
      <c r="P2196" s="1" t="str">
        <f>_xlfn.XLOOKUP(I2196,Parâmetros!A:A,Parâmetros!D:D,_xlfn.XLOOKUP(Q2196,Parâmetros!F:F,Parâmetros!I:I))</f>
        <v>OPERAÇÕES / SUPORTE KCS</v>
      </c>
      <c r="Q2196" s="1" t="str">
        <f t="shared" si="71"/>
        <v>COLUNA I</v>
      </c>
    </row>
    <row r="2197" spans="1:17" x14ac:dyDescent="0.25">
      <c r="A2197" s="1" t="str">
        <f>_xlfn.XLOOKUP(D2197,'Novo relatório'!B:B,'Novo relatório'!C:C,"RESOLVIDO")</f>
        <v>SABRE</v>
      </c>
      <c r="C2197" t="str">
        <f t="shared" si="70"/>
        <v>PENDENTE</v>
      </c>
      <c r="D2197" s="1">
        <v>3468393</v>
      </c>
      <c r="E2197" s="1" t="s">
        <v>26</v>
      </c>
      <c r="F2197" s="2">
        <v>45814.484027777777</v>
      </c>
      <c r="G2197" s="1" t="s">
        <v>2723</v>
      </c>
      <c r="H2197" s="1" t="s">
        <v>2723</v>
      </c>
      <c r="I2197" s="1" t="s">
        <v>2477</v>
      </c>
      <c r="J2197" s="2">
        <v>45814.543055555558</v>
      </c>
      <c r="K2197" s="2">
        <v>45814.573611111111</v>
      </c>
      <c r="L2197" s="1" t="s">
        <v>18</v>
      </c>
      <c r="M2197" s="1" t="str">
        <f>_xlfn.XLOOKUP(I2197,Parâmetros!A:A,Parâmetros!B:B,_xlfn.XLOOKUP(Q2197,Parâmetros!F:F,Parâmetros!G:G,"NOVA MENSAGEM"))</f>
        <v>CÓD. CLIENTE DIVERGENTE</v>
      </c>
      <c r="N2197" s="1" t="str">
        <f>_xlfn.XLOOKUP(M2197,Parâmetros!K:K,Parâmetros!L:L,"")</f>
        <v>CÓDIGO DIFERENTE DO CADASTRADO NO BENNER (CLIENTE X GRUPO)</v>
      </c>
      <c r="O2197" s="1" t="str">
        <f>_xlfn.XLOOKUP(M2197,Parâmetros!B:B,Parâmetros!C:C,_xlfn.XLOOKUP(Base!M2194,Parâmetros!G:G,Parâmetros!H:H))</f>
        <v>QUALIDADE DOS DADOS</v>
      </c>
      <c r="P2197" s="1" t="str">
        <f>_xlfn.XLOOKUP(I2197,Parâmetros!A:A,Parâmetros!D:D,_xlfn.XLOOKUP(Q2197,Parâmetros!F:F,Parâmetros!I:I))</f>
        <v>SUPORTE OBT</v>
      </c>
      <c r="Q2197" s="1">
        <f t="shared" si="71"/>
        <v>1</v>
      </c>
    </row>
    <row r="2198" spans="1:17" x14ac:dyDescent="0.25">
      <c r="A2198" s="1" t="str">
        <f>_xlfn.XLOOKUP(D2198,'Novo relatório'!B:B,'Novo relatório'!C:C,"RESOLVIDO")</f>
        <v>SABRE</v>
      </c>
      <c r="C2198" t="str">
        <f t="shared" si="70"/>
        <v>PENDENTE</v>
      </c>
      <c r="D2198" s="1">
        <v>3484223</v>
      </c>
      <c r="E2198" s="1" t="s">
        <v>26</v>
      </c>
      <c r="F2198" s="2">
        <v>45824.392361111109</v>
      </c>
      <c r="G2198" s="1" t="s">
        <v>2724</v>
      </c>
      <c r="H2198" s="1" t="s">
        <v>2725</v>
      </c>
      <c r="I2198" s="1" t="s">
        <v>84</v>
      </c>
      <c r="J2198" s="2">
        <v>45824.480555555558</v>
      </c>
      <c r="L2198" s="1" t="s">
        <v>1244</v>
      </c>
      <c r="M2198" s="1" t="str">
        <f>_xlfn.XLOOKUP(I2198,Parâmetros!A:A,Parâmetros!B:B,_xlfn.XLOOKUP(Q2198,Parâmetros!F:F,Parâmetros!G:G,"NOVA MENSAGEM"))</f>
        <v>REMARK - DATA INCORRETA</v>
      </c>
      <c r="N2198" s="1" t="str">
        <f>_xlfn.XLOOKUP(M2198,Parâmetros!K:K,Parâmetros!L:L,"")</f>
        <v>REMARK U*INFOPAG-CC/REC-CC PREENCHIDO INCORRETAMENTE</v>
      </c>
      <c r="O2198" s="1" t="str">
        <f>_xlfn.XLOOKUP(M2198,Parâmetros!B:B,Parâmetros!C:C,_xlfn.XLOOKUP(Base!M2195,Parâmetros!G:G,Parâmetros!H:H))</f>
        <v>QUALIDADE DOS DADOS</v>
      </c>
      <c r="P2198" s="1" t="str">
        <f>_xlfn.XLOOKUP(I2198,Parâmetros!A:A,Parâmetros!D:D,_xlfn.XLOOKUP(Q2198,Parâmetros!F:F,Parâmetros!I:I))</f>
        <v>OPERAÇÕES / SUPORTE KCS</v>
      </c>
      <c r="Q2198" s="1" t="str">
        <f t="shared" si="71"/>
        <v>COLUNA I</v>
      </c>
    </row>
    <row r="2199" spans="1:17" x14ac:dyDescent="0.25">
      <c r="A2199" s="1" t="str">
        <f>_xlfn.XLOOKUP(D2199,'Novo relatório'!B:B,'Novo relatório'!C:C,"RESOLVIDO")</f>
        <v>SABRE</v>
      </c>
      <c r="C2199" t="str">
        <f t="shared" si="70"/>
        <v>PENDENTE</v>
      </c>
      <c r="D2199" s="1">
        <v>3481538</v>
      </c>
      <c r="E2199" s="1" t="s">
        <v>26</v>
      </c>
      <c r="F2199" s="2">
        <v>45821.504166666666</v>
      </c>
      <c r="G2199" s="1" t="s">
        <v>2726</v>
      </c>
      <c r="H2199" s="1" t="s">
        <v>2727</v>
      </c>
      <c r="I2199" s="1" t="s">
        <v>64</v>
      </c>
      <c r="J2199" s="2">
        <v>45821.595138888886</v>
      </c>
      <c r="L2199" s="1" t="s">
        <v>1244</v>
      </c>
      <c r="M2199" s="1" t="str">
        <f>_xlfn.XLOOKUP(I2199,Parâmetros!A:A,Parâmetros!B:B,_xlfn.XLOOKUP(Q2199,Parâmetros!F:F,Parâmetros!G:G,"NOVA MENSAGEM"))</f>
        <v>FORMATO DE TEXTO</v>
      </c>
      <c r="N2199" s="1" t="str">
        <f>_xlfn.XLOOKUP(M2199,Parâmetros!K:K,Parâmetros!L:L,"")</f>
        <v>TEXTO FORA DO PADRÃO ACEITO NO CAMPO</v>
      </c>
      <c r="O2199" s="1" t="str">
        <f>_xlfn.XLOOKUP(M2199,Parâmetros!B:B,Parâmetros!C:C,_xlfn.XLOOKUP(Base!M2196,Parâmetros!G:G,Parâmetros!H:H))</f>
        <v>INDEFINIDO</v>
      </c>
      <c r="P2199" s="1" t="str">
        <f>_xlfn.XLOOKUP(I2199,Parâmetros!A:A,Parâmetros!D:D,_xlfn.XLOOKUP(Q2199,Parâmetros!F:F,Parâmetros!I:I))</f>
        <v>SUPORTE OBT</v>
      </c>
      <c r="Q2199" s="1" t="str">
        <f t="shared" si="71"/>
        <v>COLUNA I</v>
      </c>
    </row>
    <row r="2200" spans="1:17" x14ac:dyDescent="0.25">
      <c r="A2200" s="1" t="str">
        <f>_xlfn.XLOOKUP(D2200,'Novo relatório'!B:B,'Novo relatório'!C:C,"RESOLVIDO")</f>
        <v>SABRE</v>
      </c>
      <c r="C2200" t="str">
        <f t="shared" si="70"/>
        <v>PENDENTE</v>
      </c>
      <c r="D2200" s="1">
        <v>3482130</v>
      </c>
      <c r="E2200" s="1" t="s">
        <v>26</v>
      </c>
      <c r="F2200" s="2">
        <v>45821.770138888889</v>
      </c>
      <c r="G2200" s="1" t="s">
        <v>2728</v>
      </c>
      <c r="H2200" s="1" t="s">
        <v>2728</v>
      </c>
      <c r="I2200" s="1" t="s">
        <v>746</v>
      </c>
      <c r="J2200" s="2">
        <v>45821.855555555558</v>
      </c>
      <c r="L2200" s="1" t="s">
        <v>18</v>
      </c>
      <c r="M2200" s="1" t="str">
        <f>_xlfn.XLOOKUP(I2200,Parâmetros!A:A,Parâmetros!B:B,_xlfn.XLOOKUP(Q2200,Parâmetros!F:F,Parâmetros!G:G,"NOVA MENSAGEM"))</f>
        <v>CÓD. CLIENTE DIVERGENTE</v>
      </c>
      <c r="N2200" s="1" t="str">
        <f>_xlfn.XLOOKUP(M2200,Parâmetros!K:K,Parâmetros!L:L,"")</f>
        <v>CÓDIGO DIFERENTE DO CADASTRADO NO BENNER (CLIENTE X GRUPO)</v>
      </c>
      <c r="O2200" s="1" t="str">
        <f>_xlfn.XLOOKUP(M2200,Parâmetros!B:B,Parâmetros!C:C,_xlfn.XLOOKUP(Base!M2197,Parâmetros!G:G,Parâmetros!H:H))</f>
        <v>QUALIDADE DOS DADOS</v>
      </c>
      <c r="P2200" s="1" t="str">
        <f>_xlfn.XLOOKUP(I2200,Parâmetros!A:A,Parâmetros!D:D,_xlfn.XLOOKUP(Q2200,Parâmetros!F:F,Parâmetros!I:I))</f>
        <v>SUPORTE OBT</v>
      </c>
      <c r="Q2200" s="1">
        <f t="shared" si="71"/>
        <v>1</v>
      </c>
    </row>
    <row r="2201" spans="1:17" x14ac:dyDescent="0.25">
      <c r="A2201" s="1" t="str">
        <f>_xlfn.XLOOKUP(D2201,'Novo relatório'!B:B,'Novo relatório'!C:C,"RESOLVIDO")</f>
        <v>SABRE</v>
      </c>
      <c r="C2201" t="str">
        <f t="shared" si="70"/>
        <v>PENDENTE</v>
      </c>
      <c r="D2201" s="1">
        <v>3476373</v>
      </c>
      <c r="E2201" s="1" t="s">
        <v>26</v>
      </c>
      <c r="F2201" s="2">
        <v>45819.394444444442</v>
      </c>
      <c r="G2201" s="1" t="s">
        <v>2729</v>
      </c>
      <c r="H2201" s="1" t="s">
        <v>2730</v>
      </c>
      <c r="I2201" s="1" t="s">
        <v>2731</v>
      </c>
      <c r="J2201" s="2">
        <v>45819.48333333333</v>
      </c>
      <c r="L2201" s="1" t="s">
        <v>14</v>
      </c>
      <c r="M2201" s="1" t="str">
        <f>_xlfn.XLOOKUP(I2201,Parâmetros!A:A,Parâmetros!B:B,_xlfn.XLOOKUP(Q2201,Parâmetros!F:F,Parâmetros!G:G,"NOVA MENSAGEM"))</f>
        <v>ERRO DE SQL</v>
      </c>
      <c r="N2201" s="1" t="str">
        <f>_xlfn.XLOOKUP(M2201,Parâmetros!K:K,Parâmetros!L:L,"")</f>
        <v>ERRO NA IMPORTAÇÃO/MODIFICAÇÃO DAS INFOMAÇÕES</v>
      </c>
      <c r="O2201" s="1" t="str">
        <f>_xlfn.XLOOKUP(M2201,Parâmetros!B:B,Parâmetros!C:C,_xlfn.XLOOKUP(Base!M2198,Parâmetros!G:G,Parâmetros!H:H))</f>
        <v>SISTEMA</v>
      </c>
      <c r="P2201" s="1" t="str">
        <f>_xlfn.XLOOKUP(I2201,Parâmetros!A:A,Parâmetros!D:D,_xlfn.XLOOKUP(Q2201,Parâmetros!F:F,Parâmetros!I:I))</f>
        <v>SUPORTE BENNER</v>
      </c>
      <c r="Q2201" s="1">
        <f t="shared" si="71"/>
        <v>163</v>
      </c>
    </row>
    <row r="2202" spans="1:17" x14ac:dyDescent="0.25">
      <c r="A2202" s="1" t="str">
        <f>_xlfn.XLOOKUP(D2202,'Novo relatório'!B:B,'Novo relatório'!C:C,"RESOLVIDO")</f>
        <v>SABRE</v>
      </c>
      <c r="C2202" t="str">
        <f t="shared" si="70"/>
        <v>PENDENTE</v>
      </c>
      <c r="D2202" s="1">
        <v>3469509</v>
      </c>
      <c r="E2202" s="1" t="s">
        <v>26</v>
      </c>
      <c r="F2202" s="2">
        <v>45814.663888888892</v>
      </c>
      <c r="G2202" s="1" t="s">
        <v>2732</v>
      </c>
      <c r="H2202" s="1" t="s">
        <v>2732</v>
      </c>
      <c r="I2202" s="1" t="s">
        <v>620</v>
      </c>
      <c r="J2202" s="2">
        <v>45814.751388888886</v>
      </c>
      <c r="L2202" s="1" t="s">
        <v>18</v>
      </c>
      <c r="M2202" s="1" t="str">
        <f>_xlfn.XLOOKUP(I2202,Parâmetros!A:A,Parâmetros!B:B,_xlfn.XLOOKUP(Q2202,Parâmetros!F:F,Parâmetros!G:G,"NOVA MENSAGEM"))</f>
        <v>CÓD. CLIENTE DIVERGENTE</v>
      </c>
      <c r="N2202" s="1" t="str">
        <f>_xlfn.XLOOKUP(M2202,Parâmetros!K:K,Parâmetros!L:L,"")</f>
        <v>CÓDIGO DIFERENTE DO CADASTRADO NO BENNER (CLIENTE X GRUPO)</v>
      </c>
      <c r="O2202" s="1" t="str">
        <f>_xlfn.XLOOKUP(M2202,Parâmetros!B:B,Parâmetros!C:C,_xlfn.XLOOKUP(Base!M2199,Parâmetros!G:G,Parâmetros!H:H))</f>
        <v>QUALIDADE DOS DADOS</v>
      </c>
      <c r="P2202" s="1" t="str">
        <f>_xlfn.XLOOKUP(I2202,Parâmetros!A:A,Parâmetros!D:D,_xlfn.XLOOKUP(Q2202,Parâmetros!F:F,Parâmetros!I:I))</f>
        <v>SUPORTE OBT</v>
      </c>
      <c r="Q2202" s="1">
        <f t="shared" si="71"/>
        <v>1</v>
      </c>
    </row>
    <row r="2203" spans="1:17" x14ac:dyDescent="0.25">
      <c r="A2203" s="1" t="str">
        <f>_xlfn.XLOOKUP(D2203,'Novo relatório'!B:B,'Novo relatório'!C:C,"RESOLVIDO")</f>
        <v>SABRE</v>
      </c>
      <c r="C2203" t="str">
        <f t="shared" si="70"/>
        <v>PENDENTE</v>
      </c>
      <c r="D2203" s="1">
        <v>3476364</v>
      </c>
      <c r="E2203" s="1" t="s">
        <v>26</v>
      </c>
      <c r="F2203" s="2">
        <v>45819.382638888892</v>
      </c>
      <c r="G2203" s="1" t="s">
        <v>2733</v>
      </c>
      <c r="H2203" s="1" t="s">
        <v>2733</v>
      </c>
      <c r="I2203" s="1" t="s">
        <v>83</v>
      </c>
      <c r="J2203" s="2">
        <v>45819.473611111112</v>
      </c>
      <c r="L2203" s="1" t="s">
        <v>18</v>
      </c>
      <c r="M2203" s="1" t="str">
        <f>_xlfn.XLOOKUP(I2203,Parâmetros!A:A,Parâmetros!B:B,_xlfn.XLOOKUP(Q2203,Parâmetros!F:F,Parâmetros!G:G,"NOVA MENSAGEM"))</f>
        <v>CLIENTE NÃO IDENTIFICADO</v>
      </c>
      <c r="N2203" s="1" t="str">
        <f>_xlfn.XLOOKUP(M2203,Parâmetros!K:K,Parâmetros!L:L,"")</f>
        <v>DK DE CLIENTE NÃO PREENCIDO / CLIENTE NÃO CONFIGURADO NO OBT</v>
      </c>
      <c r="O2203" s="1" t="str">
        <f>_xlfn.XLOOKUP(M2203,Parâmetros!B:B,Parâmetros!C:C,_xlfn.XLOOKUP(Base!M2200,Parâmetros!G:G,Parâmetros!H:H))</f>
        <v>INDEFINIDO</v>
      </c>
      <c r="P2203" s="1" t="str">
        <f>_xlfn.XLOOKUP(I2203,Parâmetros!A:A,Parâmetros!D:D,_xlfn.XLOOKUP(Q2203,Parâmetros!F:F,Parâmetros!I:I))</f>
        <v>OPERAÇÕES / SUPORTE KCS</v>
      </c>
      <c r="Q2203" s="1" t="str">
        <f t="shared" si="71"/>
        <v>COLUNA I</v>
      </c>
    </row>
    <row r="2204" spans="1:17" x14ac:dyDescent="0.25">
      <c r="A2204" s="1" t="str">
        <f>_xlfn.XLOOKUP(D2204,'Novo relatório'!B:B,'Novo relatório'!C:C,"RESOLVIDO")</f>
        <v>SABRE</v>
      </c>
      <c r="C2204" t="str">
        <f t="shared" si="70"/>
        <v>PENDENTE</v>
      </c>
      <c r="D2204" s="1">
        <v>3484654</v>
      </c>
      <c r="E2204" s="1" t="s">
        <v>26</v>
      </c>
      <c r="F2204" s="2">
        <v>45824.585416666669</v>
      </c>
      <c r="G2204" s="1" t="s">
        <v>2734</v>
      </c>
      <c r="H2204" s="1" t="s">
        <v>2735</v>
      </c>
      <c r="I2204" s="1" t="s">
        <v>84</v>
      </c>
      <c r="J2204" s="2">
        <v>45824.669444444444</v>
      </c>
      <c r="L2204" s="1" t="s">
        <v>1244</v>
      </c>
      <c r="M2204" s="1" t="str">
        <f>_xlfn.XLOOKUP(I2204,Parâmetros!A:A,Parâmetros!B:B,_xlfn.XLOOKUP(Q2204,Parâmetros!F:F,Parâmetros!G:G,"NOVA MENSAGEM"))</f>
        <v>REMARK - DATA INCORRETA</v>
      </c>
      <c r="N2204" s="1" t="str">
        <f>_xlfn.XLOOKUP(M2204,Parâmetros!K:K,Parâmetros!L:L,"")</f>
        <v>REMARK U*INFOPAG-CC/REC-CC PREENCHIDO INCORRETAMENTE</v>
      </c>
      <c r="O2204" s="1" t="str">
        <f>_xlfn.XLOOKUP(M2204,Parâmetros!B:B,Parâmetros!C:C,_xlfn.XLOOKUP(Base!M2201,Parâmetros!G:G,Parâmetros!H:H))</f>
        <v>QUALIDADE DOS DADOS</v>
      </c>
      <c r="P2204" s="1" t="str">
        <f>_xlfn.XLOOKUP(I2204,Parâmetros!A:A,Parâmetros!D:D,_xlfn.XLOOKUP(Q2204,Parâmetros!F:F,Parâmetros!I:I))</f>
        <v>OPERAÇÕES / SUPORTE KCS</v>
      </c>
      <c r="Q2204" s="1" t="str">
        <f t="shared" si="71"/>
        <v>COLUNA I</v>
      </c>
    </row>
    <row r="2205" spans="1:17" x14ac:dyDescent="0.25">
      <c r="A2205" s="1" t="str">
        <f>_xlfn.XLOOKUP(D2205,'Novo relatório'!B:B,'Novo relatório'!C:C,"RESOLVIDO")</f>
        <v>SABRE</v>
      </c>
      <c r="C2205" t="str">
        <f t="shared" si="70"/>
        <v>PENDENTE</v>
      </c>
      <c r="D2205" s="1">
        <v>3484400</v>
      </c>
      <c r="E2205" s="1" t="s">
        <v>26</v>
      </c>
      <c r="F2205" s="2">
        <v>45824.462500000001</v>
      </c>
      <c r="G2205" s="1" t="s">
        <v>2736</v>
      </c>
      <c r="H2205" s="1" t="s">
        <v>2736</v>
      </c>
      <c r="I2205" s="1" t="s">
        <v>411</v>
      </c>
      <c r="J2205" s="2">
        <v>45824.552777777775</v>
      </c>
      <c r="L2205" s="1" t="s">
        <v>18</v>
      </c>
      <c r="M2205" s="1" t="str">
        <f>_xlfn.XLOOKUP(I2205,Parâmetros!A:A,Parâmetros!B:B,_xlfn.XLOOKUP(Q2205,Parâmetros!F:F,Parâmetros!G:G,"NOVA MENSAGEM"))</f>
        <v>REMARK - CNPJ</v>
      </c>
      <c r="N2205" s="1" t="str">
        <f>_xlfn.XLOOKUP(M2205,Parâmetros!K:K,Parâmetros!L:L,"")</f>
        <v/>
      </c>
      <c r="O2205" s="1" t="str">
        <f>_xlfn.XLOOKUP(M2205,Parâmetros!B:B,Parâmetros!C:C,_xlfn.XLOOKUP(Base!M2202,Parâmetros!G:G,Parâmetros!H:H))</f>
        <v>QUALIDADE DOS DADOS</v>
      </c>
      <c r="P2205" s="1" t="str">
        <f>_xlfn.XLOOKUP(I2205,Parâmetros!A:A,Parâmetros!D:D,_xlfn.XLOOKUP(Q2205,Parâmetros!F:F,Parâmetros!I:I))</f>
        <v>OPERAÇÕES / SUPORTE KCS</v>
      </c>
      <c r="Q2205" s="1">
        <f t="shared" si="71"/>
        <v>24</v>
      </c>
    </row>
    <row r="2206" spans="1:17" x14ac:dyDescent="0.25">
      <c r="A2206" s="1" t="str">
        <f>_xlfn.XLOOKUP(D2206,'Novo relatório'!B:B,'Novo relatório'!C:C,"RESOLVIDO")</f>
        <v>SABRE</v>
      </c>
      <c r="C2206" t="str">
        <f t="shared" si="70"/>
        <v>PENDENTE</v>
      </c>
      <c r="D2206" s="1">
        <v>3478431</v>
      </c>
      <c r="E2206" s="1" t="s">
        <v>26</v>
      </c>
      <c r="F2206" s="2">
        <v>45820.40347222222</v>
      </c>
      <c r="G2206" s="1" t="s">
        <v>2737</v>
      </c>
      <c r="H2206" s="1" t="s">
        <v>2737</v>
      </c>
      <c r="I2206" s="1" t="s">
        <v>396</v>
      </c>
      <c r="J2206" s="2">
        <v>45820.491666666669</v>
      </c>
      <c r="L2206" s="1" t="s">
        <v>18</v>
      </c>
      <c r="M2206" s="1" t="str">
        <f>_xlfn.XLOOKUP(I2206,Parâmetros!A:A,Parâmetros!B:B,_xlfn.XLOOKUP(Q2206,Parâmetros!F:F,Parâmetros!G:G,"NOVA MENSAGEM"))</f>
        <v>CÓD. CLIENTE DIVERGENTE</v>
      </c>
      <c r="N2206" s="1" t="str">
        <f>_xlfn.XLOOKUP(M2206,Parâmetros!K:K,Parâmetros!L:L,"")</f>
        <v>CÓDIGO DIFERENTE DO CADASTRADO NO BENNER (CLIENTE X GRUPO)</v>
      </c>
      <c r="O2206" s="1" t="str">
        <f>_xlfn.XLOOKUP(M2206,Parâmetros!B:B,Parâmetros!C:C,_xlfn.XLOOKUP(Base!M2203,Parâmetros!G:G,Parâmetros!H:H))</f>
        <v>QUALIDADE DOS DADOS</v>
      </c>
      <c r="P2206" s="1" t="str">
        <f>_xlfn.XLOOKUP(I2206,Parâmetros!A:A,Parâmetros!D:D,_xlfn.XLOOKUP(Q2206,Parâmetros!F:F,Parâmetros!I:I))</f>
        <v>SUPORTE OBT</v>
      </c>
      <c r="Q2206" s="1">
        <f t="shared" si="71"/>
        <v>1</v>
      </c>
    </row>
    <row r="2207" spans="1:17" x14ac:dyDescent="0.25">
      <c r="A2207" s="1" t="str">
        <f>_xlfn.XLOOKUP(D2207,'Novo relatório'!B:B,'Novo relatório'!C:C,"RESOLVIDO")</f>
        <v>SABRE</v>
      </c>
      <c r="C2207" t="str">
        <f t="shared" si="70"/>
        <v>PENDENTE</v>
      </c>
      <c r="D2207" s="1">
        <v>3476522</v>
      </c>
      <c r="E2207" s="1" t="s">
        <v>26</v>
      </c>
      <c r="F2207" s="2">
        <v>45819.476388888892</v>
      </c>
      <c r="G2207" s="1" t="s">
        <v>2738</v>
      </c>
      <c r="H2207" s="1" t="s">
        <v>2738</v>
      </c>
      <c r="I2207" s="1" t="s">
        <v>83</v>
      </c>
      <c r="J2207" s="2">
        <v>45819.563888888886</v>
      </c>
      <c r="L2207" s="1" t="s">
        <v>18</v>
      </c>
      <c r="M2207" s="1" t="str">
        <f>_xlfn.XLOOKUP(I2207,Parâmetros!A:A,Parâmetros!B:B,_xlfn.XLOOKUP(Q2207,Parâmetros!F:F,Parâmetros!G:G,"NOVA MENSAGEM"))</f>
        <v>CLIENTE NÃO IDENTIFICADO</v>
      </c>
      <c r="N2207" s="1" t="str">
        <f>_xlfn.XLOOKUP(M2207,Parâmetros!K:K,Parâmetros!L:L,"")</f>
        <v>DK DE CLIENTE NÃO PREENCIDO / CLIENTE NÃO CONFIGURADO NO OBT</v>
      </c>
      <c r="O2207" s="1" t="str">
        <f>_xlfn.XLOOKUP(M2207,Parâmetros!B:B,Parâmetros!C:C,_xlfn.XLOOKUP(Base!M2204,Parâmetros!G:G,Parâmetros!H:H))</f>
        <v>INDEFINIDO</v>
      </c>
      <c r="P2207" s="1" t="str">
        <f>_xlfn.XLOOKUP(I2207,Parâmetros!A:A,Parâmetros!D:D,_xlfn.XLOOKUP(Q2207,Parâmetros!F:F,Parâmetros!I:I))</f>
        <v>OPERAÇÕES / SUPORTE KCS</v>
      </c>
      <c r="Q2207" s="1" t="str">
        <f t="shared" si="71"/>
        <v>COLUNA I</v>
      </c>
    </row>
    <row r="2208" spans="1:17" x14ac:dyDescent="0.25">
      <c r="A2208" s="1" t="str">
        <f>_xlfn.XLOOKUP(D2208,'Novo relatório'!B:B,'Novo relatório'!C:C,"RESOLVIDO")</f>
        <v>SABRE</v>
      </c>
      <c r="C2208" t="str">
        <f t="shared" si="70"/>
        <v>PENDENTE</v>
      </c>
      <c r="D2208" s="1">
        <v>3471262</v>
      </c>
      <c r="E2208" s="1" t="s">
        <v>26</v>
      </c>
      <c r="F2208" s="2">
        <v>45817.418055555558</v>
      </c>
      <c r="G2208" s="1" t="s">
        <v>2739</v>
      </c>
      <c r="H2208" s="1" t="s">
        <v>2740</v>
      </c>
      <c r="I2208" s="1" t="s">
        <v>64</v>
      </c>
      <c r="J2208" s="2">
        <v>45817.50277777778</v>
      </c>
      <c r="L2208" s="1" t="s">
        <v>1244</v>
      </c>
      <c r="M2208" s="1" t="str">
        <f>_xlfn.XLOOKUP(I2208,Parâmetros!A:A,Parâmetros!B:B,_xlfn.XLOOKUP(Q2208,Parâmetros!F:F,Parâmetros!G:G,"NOVA MENSAGEM"))</f>
        <v>FORMATO DE TEXTO</v>
      </c>
      <c r="N2208" s="1" t="str">
        <f>_xlfn.XLOOKUP(M2208,Parâmetros!K:K,Parâmetros!L:L,"")</f>
        <v>TEXTO FORA DO PADRÃO ACEITO NO CAMPO</v>
      </c>
      <c r="O2208" s="1" t="str">
        <f>_xlfn.XLOOKUP(M2208,Parâmetros!B:B,Parâmetros!C:C,_xlfn.XLOOKUP(Base!M2205,Parâmetros!G:G,Parâmetros!H:H))</f>
        <v>INDEFINIDO</v>
      </c>
      <c r="P2208" s="1" t="str">
        <f>_xlfn.XLOOKUP(I2208,Parâmetros!A:A,Parâmetros!D:D,_xlfn.XLOOKUP(Q2208,Parâmetros!F:F,Parâmetros!I:I))</f>
        <v>SUPORTE OBT</v>
      </c>
      <c r="Q2208" s="1" t="str">
        <f t="shared" si="71"/>
        <v>COLUNA I</v>
      </c>
    </row>
    <row r="2209" spans="1:17" x14ac:dyDescent="0.25">
      <c r="A2209" s="1" t="str">
        <f>_xlfn.XLOOKUP(D2209,'Novo relatório'!B:B,'Novo relatório'!C:C,"RESOLVIDO")</f>
        <v>SABRE</v>
      </c>
      <c r="C2209" t="str">
        <f t="shared" si="70"/>
        <v>PENDENTE</v>
      </c>
      <c r="D2209" s="1">
        <v>3471006</v>
      </c>
      <c r="E2209" s="1" t="s">
        <v>26</v>
      </c>
      <c r="F2209" s="2">
        <v>45817.324305555558</v>
      </c>
      <c r="G2209" s="1" t="s">
        <v>2741</v>
      </c>
      <c r="H2209" s="1" t="s">
        <v>2742</v>
      </c>
      <c r="I2209" s="1" t="s">
        <v>64</v>
      </c>
      <c r="J2209" s="2">
        <v>45817.40902777778</v>
      </c>
      <c r="L2209" s="1" t="s">
        <v>1244</v>
      </c>
      <c r="M2209" s="1" t="str">
        <f>_xlfn.XLOOKUP(I2209,Parâmetros!A:A,Parâmetros!B:B,_xlfn.XLOOKUP(Q2209,Parâmetros!F:F,Parâmetros!G:G,"NOVA MENSAGEM"))</f>
        <v>FORMATO DE TEXTO</v>
      </c>
      <c r="N2209" s="1" t="str">
        <f>_xlfn.XLOOKUP(M2209,Parâmetros!K:K,Parâmetros!L:L,"")</f>
        <v>TEXTO FORA DO PADRÃO ACEITO NO CAMPO</v>
      </c>
      <c r="O2209" s="1" t="str">
        <f>_xlfn.XLOOKUP(M2209,Parâmetros!B:B,Parâmetros!C:C,_xlfn.XLOOKUP(Base!M2206,Parâmetros!G:G,Parâmetros!H:H))</f>
        <v>INDEFINIDO</v>
      </c>
      <c r="P2209" s="1" t="str">
        <f>_xlfn.XLOOKUP(I2209,Parâmetros!A:A,Parâmetros!D:D,_xlfn.XLOOKUP(Q2209,Parâmetros!F:F,Parâmetros!I:I))</f>
        <v>SUPORTE OBT</v>
      </c>
      <c r="Q2209" s="1" t="str">
        <f t="shared" si="71"/>
        <v>COLUNA I</v>
      </c>
    </row>
    <row r="2210" spans="1:17" x14ac:dyDescent="0.25">
      <c r="A2210" s="1" t="str">
        <f>_xlfn.XLOOKUP(D2210,'Novo relatório'!B:B,'Novo relatório'!C:C,"RESOLVIDO")</f>
        <v>SABRE</v>
      </c>
      <c r="C2210" t="str">
        <f t="shared" si="70"/>
        <v>PENDENTE</v>
      </c>
      <c r="D2210" s="1">
        <v>3468554</v>
      </c>
      <c r="E2210" s="1" t="s">
        <v>26</v>
      </c>
      <c r="F2210" s="2">
        <v>45814.519444444442</v>
      </c>
      <c r="G2210" s="1" t="s">
        <v>2743</v>
      </c>
      <c r="H2210" s="1" t="s">
        <v>2743</v>
      </c>
      <c r="I2210" s="1" t="s">
        <v>396</v>
      </c>
      <c r="J2210" s="2">
        <v>45814.605555555558</v>
      </c>
      <c r="L2210" s="1" t="s">
        <v>18</v>
      </c>
      <c r="M2210" s="1" t="str">
        <f>_xlfn.XLOOKUP(I2210,Parâmetros!A:A,Parâmetros!B:B,_xlfn.XLOOKUP(Q2210,Parâmetros!F:F,Parâmetros!G:G,"NOVA MENSAGEM"))</f>
        <v>CÓD. CLIENTE DIVERGENTE</v>
      </c>
      <c r="N2210" s="1" t="str">
        <f>_xlfn.XLOOKUP(M2210,Parâmetros!K:K,Parâmetros!L:L,"")</f>
        <v>CÓDIGO DIFERENTE DO CADASTRADO NO BENNER (CLIENTE X GRUPO)</v>
      </c>
      <c r="O2210" s="1" t="str">
        <f>_xlfn.XLOOKUP(M2210,Parâmetros!B:B,Parâmetros!C:C,_xlfn.XLOOKUP(Base!M2207,Parâmetros!G:G,Parâmetros!H:H))</f>
        <v>QUALIDADE DOS DADOS</v>
      </c>
      <c r="P2210" s="1" t="str">
        <f>_xlfn.XLOOKUP(I2210,Parâmetros!A:A,Parâmetros!D:D,_xlfn.XLOOKUP(Q2210,Parâmetros!F:F,Parâmetros!I:I))</f>
        <v>SUPORTE OBT</v>
      </c>
      <c r="Q2210" s="1">
        <f t="shared" si="71"/>
        <v>1</v>
      </c>
    </row>
    <row r="2211" spans="1:17" x14ac:dyDescent="0.25">
      <c r="A2211" s="1" t="str">
        <f>_xlfn.XLOOKUP(D2211,'Novo relatório'!B:B,'Novo relatório'!C:C,"RESOLVIDO")</f>
        <v>SABRE</v>
      </c>
      <c r="C2211" t="str">
        <f t="shared" si="70"/>
        <v>PENDENTE</v>
      </c>
      <c r="D2211" s="1">
        <v>3485132</v>
      </c>
      <c r="E2211" s="1" t="s">
        <v>26</v>
      </c>
      <c r="F2211" s="2">
        <v>45824.724305555559</v>
      </c>
      <c r="G2211" s="1" t="s">
        <v>2744</v>
      </c>
      <c r="H2211" s="1" t="s">
        <v>2744</v>
      </c>
      <c r="I2211" s="1" t="s">
        <v>83</v>
      </c>
      <c r="J2211" s="2">
        <v>45824.814583333333</v>
      </c>
      <c r="L2211" s="1" t="s">
        <v>18</v>
      </c>
      <c r="M2211" s="1" t="str">
        <f>_xlfn.XLOOKUP(I2211,Parâmetros!A:A,Parâmetros!B:B,_xlfn.XLOOKUP(Q2211,Parâmetros!F:F,Parâmetros!G:G,"NOVA MENSAGEM"))</f>
        <v>CLIENTE NÃO IDENTIFICADO</v>
      </c>
      <c r="N2211" s="1" t="str">
        <f>_xlfn.XLOOKUP(M2211,Parâmetros!K:K,Parâmetros!L:L,"")</f>
        <v>DK DE CLIENTE NÃO PREENCIDO / CLIENTE NÃO CONFIGURADO NO OBT</v>
      </c>
      <c r="O2211" s="1" t="str">
        <f>_xlfn.XLOOKUP(M2211,Parâmetros!B:B,Parâmetros!C:C,_xlfn.XLOOKUP(Base!M2208,Parâmetros!G:G,Parâmetros!H:H))</f>
        <v>INDEFINIDO</v>
      </c>
      <c r="P2211" s="1" t="str">
        <f>_xlfn.XLOOKUP(I2211,Parâmetros!A:A,Parâmetros!D:D,_xlfn.XLOOKUP(Q2211,Parâmetros!F:F,Parâmetros!I:I))</f>
        <v>OPERAÇÕES / SUPORTE KCS</v>
      </c>
      <c r="Q2211" s="1" t="str">
        <f t="shared" si="71"/>
        <v>COLUNA I</v>
      </c>
    </row>
    <row r="2212" spans="1:17" x14ac:dyDescent="0.25">
      <c r="A2212" s="1" t="str">
        <f>_xlfn.XLOOKUP(D2212,'Novo relatório'!B:B,'Novo relatório'!C:C,"RESOLVIDO")</f>
        <v>SABRE</v>
      </c>
      <c r="C2212" t="str">
        <f t="shared" si="70"/>
        <v>PENDENTE</v>
      </c>
      <c r="D2212" s="1">
        <v>3480270</v>
      </c>
      <c r="E2212" s="1" t="s">
        <v>26</v>
      </c>
      <c r="F2212" s="2">
        <v>45820.759722222225</v>
      </c>
      <c r="G2212" s="1" t="s">
        <v>2745</v>
      </c>
      <c r="H2212" s="1" t="s">
        <v>2745</v>
      </c>
      <c r="I2212" s="1" t="s">
        <v>1280</v>
      </c>
      <c r="J2212" s="2">
        <v>45820.845138888886</v>
      </c>
      <c r="L2212" s="1" t="s">
        <v>18</v>
      </c>
      <c r="M2212" s="1" t="str">
        <f>_xlfn.XLOOKUP(I2212,Parâmetros!A:A,Parâmetros!B:B,_xlfn.XLOOKUP(Q2212,Parâmetros!F:F,Parâmetros!G:G,"NOVA MENSAGEM"))</f>
        <v>CÓD. CLIENTE DIVERGENTE</v>
      </c>
      <c r="N2212" s="1" t="str">
        <f>_xlfn.XLOOKUP(M2212,Parâmetros!K:K,Parâmetros!L:L,"")</f>
        <v>CÓDIGO DIFERENTE DO CADASTRADO NO BENNER (CLIENTE X GRUPO)</v>
      </c>
      <c r="O2212" s="1" t="str">
        <f>_xlfn.XLOOKUP(M2212,Parâmetros!B:B,Parâmetros!C:C,_xlfn.XLOOKUP(Base!M2209,Parâmetros!G:G,Parâmetros!H:H))</f>
        <v>QUALIDADE DOS DADOS</v>
      </c>
      <c r="P2212" s="1" t="str">
        <f>_xlfn.XLOOKUP(I2212,Parâmetros!A:A,Parâmetros!D:D,_xlfn.XLOOKUP(Q2212,Parâmetros!F:F,Parâmetros!I:I))</f>
        <v>SUPORTE OBT</v>
      </c>
      <c r="Q2212" s="1">
        <f t="shared" si="71"/>
        <v>1</v>
      </c>
    </row>
    <row r="2213" spans="1:17" x14ac:dyDescent="0.25">
      <c r="A2213" s="1" t="str">
        <f>_xlfn.XLOOKUP(D2213,'Novo relatório'!B:B,'Novo relatório'!C:C,"RESOLVIDO")</f>
        <v>SABRE</v>
      </c>
      <c r="C2213" t="str">
        <f t="shared" si="70"/>
        <v>PENDENTE</v>
      </c>
      <c r="D2213" s="1">
        <v>3474180</v>
      </c>
      <c r="E2213" s="1" t="s">
        <v>26</v>
      </c>
      <c r="F2213" s="2">
        <v>45818.590277777781</v>
      </c>
      <c r="G2213" s="1" t="s">
        <v>2746</v>
      </c>
      <c r="H2213" s="1" t="s">
        <v>2746</v>
      </c>
      <c r="I2213" s="1" t="s">
        <v>746</v>
      </c>
      <c r="J2213" s="2">
        <v>45818.679166666669</v>
      </c>
      <c r="L2213" s="1" t="s">
        <v>18</v>
      </c>
      <c r="M2213" s="1" t="str">
        <f>_xlfn.XLOOKUP(I2213,Parâmetros!A:A,Parâmetros!B:B,_xlfn.XLOOKUP(Q2213,Parâmetros!F:F,Parâmetros!G:G,"NOVA MENSAGEM"))</f>
        <v>CÓD. CLIENTE DIVERGENTE</v>
      </c>
      <c r="N2213" s="1" t="str">
        <f>_xlfn.XLOOKUP(M2213,Parâmetros!K:K,Parâmetros!L:L,"")</f>
        <v>CÓDIGO DIFERENTE DO CADASTRADO NO BENNER (CLIENTE X GRUPO)</v>
      </c>
      <c r="O2213" s="1" t="str">
        <f>_xlfn.XLOOKUP(M2213,Parâmetros!B:B,Parâmetros!C:C,_xlfn.XLOOKUP(Base!M2210,Parâmetros!G:G,Parâmetros!H:H))</f>
        <v>QUALIDADE DOS DADOS</v>
      </c>
      <c r="P2213" s="1" t="str">
        <f>_xlfn.XLOOKUP(I2213,Parâmetros!A:A,Parâmetros!D:D,_xlfn.XLOOKUP(Q2213,Parâmetros!F:F,Parâmetros!I:I))</f>
        <v>SUPORTE OBT</v>
      </c>
      <c r="Q2213" s="1">
        <f t="shared" si="71"/>
        <v>1</v>
      </c>
    </row>
    <row r="2214" spans="1:17" x14ac:dyDescent="0.25">
      <c r="A2214" s="1" t="str">
        <f>_xlfn.XLOOKUP(D2214,'Novo relatório'!B:B,'Novo relatório'!C:C,"RESOLVIDO")</f>
        <v>SABRE</v>
      </c>
      <c r="C2214" t="str">
        <f t="shared" si="70"/>
        <v>PENDENTE</v>
      </c>
      <c r="D2214" s="1">
        <v>3476904</v>
      </c>
      <c r="E2214" s="1" t="s">
        <v>26</v>
      </c>
      <c r="F2214" s="2">
        <v>45819.620833333334</v>
      </c>
      <c r="G2214" s="1" t="s">
        <v>2747</v>
      </c>
      <c r="H2214" s="1" t="s">
        <v>2747</v>
      </c>
      <c r="I2214" s="1" t="s">
        <v>746</v>
      </c>
      <c r="J2214" s="2">
        <v>45819.709722222222</v>
      </c>
      <c r="L2214" s="1" t="s">
        <v>18</v>
      </c>
      <c r="M2214" s="1" t="str">
        <f>_xlfn.XLOOKUP(I2214,Parâmetros!A:A,Parâmetros!B:B,_xlfn.XLOOKUP(Q2214,Parâmetros!F:F,Parâmetros!G:G,"NOVA MENSAGEM"))</f>
        <v>CÓD. CLIENTE DIVERGENTE</v>
      </c>
      <c r="N2214" s="1" t="str">
        <f>_xlfn.XLOOKUP(M2214,Parâmetros!K:K,Parâmetros!L:L,"")</f>
        <v>CÓDIGO DIFERENTE DO CADASTRADO NO BENNER (CLIENTE X GRUPO)</v>
      </c>
      <c r="O2214" s="1" t="str">
        <f>_xlfn.XLOOKUP(M2214,Parâmetros!B:B,Parâmetros!C:C,_xlfn.XLOOKUP(Base!M2211,Parâmetros!G:G,Parâmetros!H:H))</f>
        <v>QUALIDADE DOS DADOS</v>
      </c>
      <c r="P2214" s="1" t="str">
        <f>_xlfn.XLOOKUP(I2214,Parâmetros!A:A,Parâmetros!D:D,_xlfn.XLOOKUP(Q2214,Parâmetros!F:F,Parâmetros!I:I))</f>
        <v>SUPORTE OBT</v>
      </c>
      <c r="Q2214" s="1">
        <f t="shared" si="71"/>
        <v>1</v>
      </c>
    </row>
    <row r="2215" spans="1:17" x14ac:dyDescent="0.25">
      <c r="A2215" s="1" t="str">
        <f>_xlfn.XLOOKUP(D2215,'Novo relatório'!B:B,'Novo relatório'!C:C,"RESOLVIDO")</f>
        <v>SABRE</v>
      </c>
      <c r="C2215" t="str">
        <f t="shared" si="70"/>
        <v>PENDENTE</v>
      </c>
      <c r="D2215" s="1">
        <v>3468553</v>
      </c>
      <c r="E2215" s="1" t="s">
        <v>26</v>
      </c>
      <c r="F2215" s="2">
        <v>45814.519444444442</v>
      </c>
      <c r="G2215" s="1" t="s">
        <v>2748</v>
      </c>
      <c r="H2215" s="1" t="s">
        <v>2748</v>
      </c>
      <c r="I2215" s="1" t="s">
        <v>652</v>
      </c>
      <c r="J2215" s="2">
        <v>45814.605555555558</v>
      </c>
      <c r="L2215" s="1" t="s">
        <v>18</v>
      </c>
      <c r="M2215" s="1" t="str">
        <f>_xlfn.XLOOKUP(I2215,Parâmetros!A:A,Parâmetros!B:B,_xlfn.XLOOKUP(Q2215,Parâmetros!F:F,Parâmetros!G:G,"NOVA MENSAGEM"))</f>
        <v>CÓD. CLIENTE DIVERGENTE</v>
      </c>
      <c r="N2215" s="1" t="str">
        <f>_xlfn.XLOOKUP(M2215,Parâmetros!K:K,Parâmetros!L:L,"")</f>
        <v>CÓDIGO DIFERENTE DO CADASTRADO NO BENNER (CLIENTE X GRUPO)</v>
      </c>
      <c r="O2215" s="1" t="str">
        <f>_xlfn.XLOOKUP(M2215,Parâmetros!B:B,Parâmetros!C:C,_xlfn.XLOOKUP(Base!M2212,Parâmetros!G:G,Parâmetros!H:H))</f>
        <v>QUALIDADE DOS DADOS</v>
      </c>
      <c r="P2215" s="1" t="str">
        <f>_xlfn.XLOOKUP(I2215,Parâmetros!A:A,Parâmetros!D:D,_xlfn.XLOOKUP(Q2215,Parâmetros!F:F,Parâmetros!I:I))</f>
        <v>SUPORTE OBT</v>
      </c>
      <c r="Q2215" s="1">
        <f t="shared" si="71"/>
        <v>1</v>
      </c>
    </row>
    <row r="2216" spans="1:17" x14ac:dyDescent="0.25">
      <c r="A2216" s="1" t="str">
        <f>_xlfn.XLOOKUP(D2216,'Novo relatório'!B:B,'Novo relatório'!C:C,"RESOLVIDO")</f>
        <v>SABRE</v>
      </c>
      <c r="C2216" t="str">
        <f t="shared" si="70"/>
        <v>PENDENTE</v>
      </c>
      <c r="D2216" s="1">
        <v>3481954</v>
      </c>
      <c r="E2216" s="1" t="s">
        <v>26</v>
      </c>
      <c r="F2216" s="2">
        <v>45821.652083333334</v>
      </c>
      <c r="G2216" s="1" t="s">
        <v>2749</v>
      </c>
      <c r="H2216" s="1" t="s">
        <v>2750</v>
      </c>
      <c r="I2216" s="1" t="s">
        <v>84</v>
      </c>
      <c r="J2216" s="2">
        <v>45821.740972222222</v>
      </c>
      <c r="L2216" s="1" t="s">
        <v>1244</v>
      </c>
      <c r="M2216" s="1" t="str">
        <f>_xlfn.XLOOKUP(I2216,Parâmetros!A:A,Parâmetros!B:B,_xlfn.XLOOKUP(Q2216,Parâmetros!F:F,Parâmetros!G:G,"NOVA MENSAGEM"))</f>
        <v>REMARK - DATA INCORRETA</v>
      </c>
      <c r="N2216" s="1" t="str">
        <f>_xlfn.XLOOKUP(M2216,Parâmetros!K:K,Parâmetros!L:L,"")</f>
        <v>REMARK U*INFOPAG-CC/REC-CC PREENCHIDO INCORRETAMENTE</v>
      </c>
      <c r="O2216" s="1" t="str">
        <f>_xlfn.XLOOKUP(M2216,Parâmetros!B:B,Parâmetros!C:C,_xlfn.XLOOKUP(Base!M2213,Parâmetros!G:G,Parâmetros!H:H))</f>
        <v>QUALIDADE DOS DADOS</v>
      </c>
      <c r="P2216" s="1" t="str">
        <f>_xlfn.XLOOKUP(I2216,Parâmetros!A:A,Parâmetros!D:D,_xlfn.XLOOKUP(Q2216,Parâmetros!F:F,Parâmetros!I:I))</f>
        <v>OPERAÇÕES / SUPORTE KCS</v>
      </c>
      <c r="Q2216" s="1" t="str">
        <f t="shared" si="71"/>
        <v>COLUNA I</v>
      </c>
    </row>
    <row r="2217" spans="1:17" x14ac:dyDescent="0.25">
      <c r="A2217" s="1" t="str">
        <f>_xlfn.XLOOKUP(D2217,'Novo relatório'!B:B,'Novo relatório'!C:C,"RESOLVIDO")</f>
        <v>SABRE</v>
      </c>
      <c r="C2217" t="str">
        <f t="shared" si="70"/>
        <v>PENDENTE</v>
      </c>
      <c r="D2217" s="1">
        <v>3484221</v>
      </c>
      <c r="E2217" s="1" t="s">
        <v>26</v>
      </c>
      <c r="F2217" s="2">
        <v>45824.388888888891</v>
      </c>
      <c r="G2217" s="1" t="s">
        <v>2751</v>
      </c>
      <c r="H2217" s="1" t="s">
        <v>2752</v>
      </c>
      <c r="I2217" s="1" t="s">
        <v>84</v>
      </c>
      <c r="J2217" s="2">
        <v>45824.480555555558</v>
      </c>
      <c r="L2217" s="1" t="s">
        <v>1244</v>
      </c>
      <c r="M2217" s="1" t="str">
        <f>_xlfn.XLOOKUP(I2217,Parâmetros!A:A,Parâmetros!B:B,_xlfn.XLOOKUP(Q2217,Parâmetros!F:F,Parâmetros!G:G,"NOVA MENSAGEM"))</f>
        <v>REMARK - DATA INCORRETA</v>
      </c>
      <c r="N2217" s="1" t="str">
        <f>_xlfn.XLOOKUP(M2217,Parâmetros!K:K,Parâmetros!L:L,"")</f>
        <v>REMARK U*INFOPAG-CC/REC-CC PREENCHIDO INCORRETAMENTE</v>
      </c>
      <c r="O2217" s="1" t="str">
        <f>_xlfn.XLOOKUP(M2217,Parâmetros!B:B,Parâmetros!C:C,_xlfn.XLOOKUP(Base!M2214,Parâmetros!G:G,Parâmetros!H:H))</f>
        <v>QUALIDADE DOS DADOS</v>
      </c>
      <c r="P2217" s="1" t="str">
        <f>_xlfn.XLOOKUP(I2217,Parâmetros!A:A,Parâmetros!D:D,_xlfn.XLOOKUP(Q2217,Parâmetros!F:F,Parâmetros!I:I))</f>
        <v>OPERAÇÕES / SUPORTE KCS</v>
      </c>
      <c r="Q2217" s="1" t="str">
        <f t="shared" si="71"/>
        <v>COLUNA I</v>
      </c>
    </row>
    <row r="2218" spans="1:17" x14ac:dyDescent="0.25">
      <c r="A2218" s="1" t="str">
        <f>_xlfn.XLOOKUP(D2218,'Novo relatório'!B:B,'Novo relatório'!C:C,"RESOLVIDO")</f>
        <v>SABRE</v>
      </c>
      <c r="C2218" t="str">
        <f t="shared" si="70"/>
        <v>PENDENTE</v>
      </c>
      <c r="D2218" s="1">
        <v>3474576</v>
      </c>
      <c r="E2218" s="1" t="s">
        <v>26</v>
      </c>
      <c r="F2218" s="2">
        <v>45818.736805555556</v>
      </c>
      <c r="G2218" s="1" t="s">
        <v>2753</v>
      </c>
      <c r="H2218" s="1" t="s">
        <v>2753</v>
      </c>
      <c r="I2218" s="1" t="s">
        <v>746</v>
      </c>
      <c r="J2218" s="2">
        <v>45818.824305555558</v>
      </c>
      <c r="L2218" s="1" t="s">
        <v>18</v>
      </c>
      <c r="M2218" s="1" t="str">
        <f>_xlfn.XLOOKUP(I2218,Parâmetros!A:A,Parâmetros!B:B,_xlfn.XLOOKUP(Q2218,Parâmetros!F:F,Parâmetros!G:G,"NOVA MENSAGEM"))</f>
        <v>CÓD. CLIENTE DIVERGENTE</v>
      </c>
      <c r="N2218" s="1" t="str">
        <f>_xlfn.XLOOKUP(M2218,Parâmetros!K:K,Parâmetros!L:L,"")</f>
        <v>CÓDIGO DIFERENTE DO CADASTRADO NO BENNER (CLIENTE X GRUPO)</v>
      </c>
      <c r="O2218" s="1" t="str">
        <f>_xlfn.XLOOKUP(M2218,Parâmetros!B:B,Parâmetros!C:C,_xlfn.XLOOKUP(Base!M2215,Parâmetros!G:G,Parâmetros!H:H))</f>
        <v>QUALIDADE DOS DADOS</v>
      </c>
      <c r="P2218" s="1" t="str">
        <f>_xlfn.XLOOKUP(I2218,Parâmetros!A:A,Parâmetros!D:D,_xlfn.XLOOKUP(Q2218,Parâmetros!F:F,Parâmetros!I:I))</f>
        <v>SUPORTE OBT</v>
      </c>
      <c r="Q2218" s="1">
        <f t="shared" si="71"/>
        <v>1</v>
      </c>
    </row>
    <row r="2219" spans="1:17" x14ac:dyDescent="0.25">
      <c r="A2219" s="1" t="str">
        <f>_xlfn.XLOOKUP(D2219,'Novo relatório'!B:B,'Novo relatório'!C:C,"RESOLVIDO")</f>
        <v>SABRE</v>
      </c>
      <c r="C2219" t="str">
        <f t="shared" si="70"/>
        <v>PENDENTE</v>
      </c>
      <c r="D2219" s="1">
        <v>3478505</v>
      </c>
      <c r="E2219" s="1" t="s">
        <v>26</v>
      </c>
      <c r="F2219" s="2">
        <v>45820.407638888886</v>
      </c>
      <c r="G2219" s="1" t="s">
        <v>2754</v>
      </c>
      <c r="H2219" s="1" t="s">
        <v>2754</v>
      </c>
      <c r="I2219" s="1" t="s">
        <v>829</v>
      </c>
      <c r="J2219" s="2">
        <v>45820.501388888886</v>
      </c>
      <c r="L2219" s="1" t="s">
        <v>18</v>
      </c>
      <c r="M2219" s="1" t="str">
        <f>_xlfn.XLOOKUP(I2219,Parâmetros!A:A,Parâmetros!B:B,_xlfn.XLOOKUP(Q2219,Parâmetros!F:F,Parâmetros!G:G,"NOVA MENSAGEM"))</f>
        <v>REMARK - CNPJ</v>
      </c>
      <c r="N2219" s="1" t="str">
        <f>_xlfn.XLOOKUP(M2219,Parâmetros!K:K,Parâmetros!L:L,"")</f>
        <v/>
      </c>
      <c r="O2219" s="1" t="e">
        <f>_xlfn.XLOOKUP(M2219,Parâmetros!B:B,Parâmetros!C:C,_xlfn.XLOOKUP(Base!M2216,Parâmetros!G:G,Parâmetros!H:H))</f>
        <v>#N/A</v>
      </c>
      <c r="P2219" s="1" t="str">
        <f>_xlfn.XLOOKUP(I2219,Parâmetros!A:A,Parâmetros!D:D,_xlfn.XLOOKUP(Q2219,Parâmetros!F:F,Parâmetros!I:I))</f>
        <v>OPERAÇÕES / SUPORTE KCS</v>
      </c>
      <c r="Q2219" s="1">
        <f t="shared" si="71"/>
        <v>24</v>
      </c>
    </row>
    <row r="2220" spans="1:17" x14ac:dyDescent="0.25">
      <c r="A2220" s="1" t="str">
        <f>_xlfn.XLOOKUP(D2220,'Novo relatório'!B:B,'Novo relatório'!C:C,"RESOLVIDO")</f>
        <v>SABRE</v>
      </c>
      <c r="C2220" t="str">
        <f t="shared" si="70"/>
        <v>PENDENTE</v>
      </c>
      <c r="D2220" s="1">
        <v>3481789</v>
      </c>
      <c r="E2220" s="1" t="s">
        <v>26</v>
      </c>
      <c r="F2220" s="2">
        <v>45821.615277777775</v>
      </c>
      <c r="G2220" s="1" t="s">
        <v>2755</v>
      </c>
      <c r="H2220" s="1" t="s">
        <v>2756</v>
      </c>
      <c r="I2220" s="1" t="s">
        <v>84</v>
      </c>
      <c r="J2220" s="2">
        <v>45821.699305555558</v>
      </c>
      <c r="L2220" s="1" t="s">
        <v>1244</v>
      </c>
      <c r="M2220" s="1" t="str">
        <f>_xlfn.XLOOKUP(I2220,Parâmetros!A:A,Parâmetros!B:B,_xlfn.XLOOKUP(Q2220,Parâmetros!F:F,Parâmetros!G:G,"NOVA MENSAGEM"))</f>
        <v>REMARK - DATA INCORRETA</v>
      </c>
      <c r="N2220" s="1" t="str">
        <f>_xlfn.XLOOKUP(M2220,Parâmetros!K:K,Parâmetros!L:L,"")</f>
        <v>REMARK U*INFOPAG-CC/REC-CC PREENCHIDO INCORRETAMENTE</v>
      </c>
      <c r="O2220" s="1" t="str">
        <f>_xlfn.XLOOKUP(M2220,Parâmetros!B:B,Parâmetros!C:C,_xlfn.XLOOKUP(Base!M2217,Parâmetros!G:G,Parâmetros!H:H))</f>
        <v>QUALIDADE DOS DADOS</v>
      </c>
      <c r="P2220" s="1" t="str">
        <f>_xlfn.XLOOKUP(I2220,Parâmetros!A:A,Parâmetros!D:D,_xlfn.XLOOKUP(Q2220,Parâmetros!F:F,Parâmetros!I:I))</f>
        <v>OPERAÇÕES / SUPORTE KCS</v>
      </c>
      <c r="Q2220" s="1" t="str">
        <f t="shared" si="71"/>
        <v>COLUNA I</v>
      </c>
    </row>
    <row r="2221" spans="1:17" x14ac:dyDescent="0.25">
      <c r="A2221" s="1" t="str">
        <f>_xlfn.XLOOKUP(D2221,'Novo relatório'!B:B,'Novo relatório'!C:C,"RESOLVIDO")</f>
        <v>SABRE</v>
      </c>
      <c r="C2221" t="str">
        <f t="shared" si="70"/>
        <v>PENDENTE</v>
      </c>
      <c r="D2221" s="1">
        <v>3476374</v>
      </c>
      <c r="E2221" s="1" t="s">
        <v>26</v>
      </c>
      <c r="F2221" s="2">
        <v>45819.615972222222</v>
      </c>
      <c r="G2221" s="1" t="s">
        <v>2757</v>
      </c>
      <c r="H2221" s="1" t="s">
        <v>2758</v>
      </c>
      <c r="I2221" s="1" t="s">
        <v>2731</v>
      </c>
      <c r="J2221" s="2">
        <v>45819.48333333333</v>
      </c>
      <c r="K2221" s="2">
        <v>45819.700694444444</v>
      </c>
      <c r="L2221" s="1" t="s">
        <v>14</v>
      </c>
      <c r="M2221" s="1" t="str">
        <f>_xlfn.XLOOKUP(I2221,Parâmetros!A:A,Parâmetros!B:B,_xlfn.XLOOKUP(Q2221,Parâmetros!F:F,Parâmetros!G:G,"NOVA MENSAGEM"))</f>
        <v>ERRO DE SQL</v>
      </c>
      <c r="N2221" s="1" t="str">
        <f>_xlfn.XLOOKUP(M2221,Parâmetros!K:K,Parâmetros!L:L,"")</f>
        <v>ERRO NA IMPORTAÇÃO/MODIFICAÇÃO DAS INFOMAÇÕES</v>
      </c>
      <c r="O2221" s="1" t="str">
        <f>_xlfn.XLOOKUP(M2221,Parâmetros!B:B,Parâmetros!C:C,_xlfn.XLOOKUP(Base!M2218,Parâmetros!G:G,Parâmetros!H:H))</f>
        <v>SISTEMA</v>
      </c>
      <c r="P2221" s="1" t="str">
        <f>_xlfn.XLOOKUP(I2221,Parâmetros!A:A,Parâmetros!D:D,_xlfn.XLOOKUP(Q2221,Parâmetros!F:F,Parâmetros!I:I))</f>
        <v>SUPORTE BENNER</v>
      </c>
      <c r="Q2221" s="1">
        <f t="shared" si="71"/>
        <v>163</v>
      </c>
    </row>
    <row r="2222" spans="1:17" x14ac:dyDescent="0.25">
      <c r="A2222" s="1" t="str">
        <f>_xlfn.XLOOKUP(D2222,'Novo relatório'!B:B,'Novo relatório'!C:C,"RESOLVIDO")</f>
        <v>SABRE</v>
      </c>
      <c r="C2222" t="str">
        <f t="shared" si="70"/>
        <v>PENDENTE</v>
      </c>
      <c r="D2222" s="1">
        <v>3474177</v>
      </c>
      <c r="E2222" s="1" t="s">
        <v>26</v>
      </c>
      <c r="F2222" s="2">
        <v>45818.590277777781</v>
      </c>
      <c r="G2222" s="1" t="s">
        <v>2759</v>
      </c>
      <c r="H2222" s="1" t="s">
        <v>2759</v>
      </c>
      <c r="I2222" s="1" t="s">
        <v>746</v>
      </c>
      <c r="J2222" s="2">
        <v>45818.678472222222</v>
      </c>
      <c r="L2222" s="1" t="s">
        <v>18</v>
      </c>
      <c r="M2222" s="1" t="str">
        <f>_xlfn.XLOOKUP(I2222,Parâmetros!A:A,Parâmetros!B:B,_xlfn.XLOOKUP(Q2222,Parâmetros!F:F,Parâmetros!G:G,"NOVA MENSAGEM"))</f>
        <v>CÓD. CLIENTE DIVERGENTE</v>
      </c>
      <c r="N2222" s="1" t="str">
        <f>_xlfn.XLOOKUP(M2222,Parâmetros!K:K,Parâmetros!L:L,"")</f>
        <v>CÓDIGO DIFERENTE DO CADASTRADO NO BENNER (CLIENTE X GRUPO)</v>
      </c>
      <c r="O2222" s="1" t="str">
        <f>_xlfn.XLOOKUP(M2222,Parâmetros!B:B,Parâmetros!C:C,_xlfn.XLOOKUP(Base!M2219,Parâmetros!G:G,Parâmetros!H:H))</f>
        <v>QUALIDADE DOS DADOS</v>
      </c>
      <c r="P2222" s="1" t="str">
        <f>_xlfn.XLOOKUP(I2222,Parâmetros!A:A,Parâmetros!D:D,_xlfn.XLOOKUP(Q2222,Parâmetros!F:F,Parâmetros!I:I))</f>
        <v>SUPORTE OBT</v>
      </c>
      <c r="Q2222" s="1">
        <f t="shared" si="71"/>
        <v>1</v>
      </c>
    </row>
    <row r="2223" spans="1:17" x14ac:dyDescent="0.25">
      <c r="A2223" s="1" t="str">
        <f>_xlfn.XLOOKUP(D2223,'Novo relatório'!B:B,'Novo relatório'!C:C,"RESOLVIDO")</f>
        <v>TMS</v>
      </c>
      <c r="C2223" t="str">
        <f t="shared" si="70"/>
        <v>PENDENTE</v>
      </c>
      <c r="D2223" s="1">
        <v>3470361</v>
      </c>
      <c r="E2223" s="1" t="s">
        <v>12</v>
      </c>
      <c r="F2223" s="2">
        <v>45814.676388888889</v>
      </c>
      <c r="G2223" s="1">
        <v>163</v>
      </c>
      <c r="H2223" s="1">
        <v>163</v>
      </c>
      <c r="I2223" s="1" t="s">
        <v>16</v>
      </c>
      <c r="J2223" s="2">
        <v>45814.920138888891</v>
      </c>
      <c r="K2223" s="2">
        <v>45820.675694444442</v>
      </c>
      <c r="L2223" s="1" t="s">
        <v>14</v>
      </c>
      <c r="M2223" s="1" t="str">
        <f>_xlfn.XLOOKUP(I2223,Parâmetros!A:A,Parâmetros!B:B,_xlfn.XLOOKUP(Q2223,Parâmetros!F:F,Parâmetros!G:G,"NOVA MENSAGEM"))</f>
        <v>ASSENTO / BAGAGEM</v>
      </c>
      <c r="N2223" s="1" t="str">
        <f>_xlfn.XLOOKUP(M2223,Parâmetros!K:K,Parâmetros!L:L,"")</f>
        <v>CAMPO OBSERVAÇÃO PREENCHIDO INCORRETAMENTE</v>
      </c>
      <c r="O2223" s="1" t="str">
        <f>_xlfn.XLOOKUP(M2223,Parâmetros!B:B,Parâmetros!C:C,_xlfn.XLOOKUP(Base!M2220,Parâmetros!G:G,Parâmetros!H:H))</f>
        <v>QUALIDADE DOS DADOS</v>
      </c>
      <c r="P2223" s="1" t="str">
        <f>_xlfn.XLOOKUP(I2223,Parâmetros!A:A,Parâmetros!D:D,_xlfn.XLOOKUP(Q2223,Parâmetros!F:F,Parâmetros!I:I))</f>
        <v>OPERAÇÕES / SUPORTE KCS</v>
      </c>
      <c r="Q2223" s="1">
        <f t="shared" si="71"/>
        <v>118</v>
      </c>
    </row>
    <row r="2224" spans="1:17" x14ac:dyDescent="0.25">
      <c r="A2224" s="1" t="str">
        <f>_xlfn.XLOOKUP(D2224,'Novo relatório'!B:B,'Novo relatório'!C:C,"RESOLVIDO")</f>
        <v>TMS</v>
      </c>
      <c r="C2224" t="str">
        <f t="shared" si="70"/>
        <v>PENDENTE</v>
      </c>
      <c r="D2224" s="1">
        <v>3478153</v>
      </c>
      <c r="E2224" s="1" t="s">
        <v>12</v>
      </c>
      <c r="F2224" s="2">
        <v>45819.470833333333</v>
      </c>
      <c r="G2224" s="1">
        <v>2667</v>
      </c>
      <c r="H2224" s="1">
        <v>2667</v>
      </c>
      <c r="I2224" s="1" t="s">
        <v>2761</v>
      </c>
      <c r="J2224" s="2">
        <v>45820.456944444442</v>
      </c>
      <c r="K2224" s="2">
        <v>45824.519444444442</v>
      </c>
      <c r="L2224" s="1" t="s">
        <v>14</v>
      </c>
      <c r="M2224" s="1" t="str">
        <f>_xlfn.XLOOKUP(I2224,Parâmetros!A:A,Parâmetros!B:B,_xlfn.XLOOKUP(Q2224,Parâmetros!F:F,Parâmetros!G:G,"NOVA MENSAGEM"))</f>
        <v>ASSENTO / BAGAGEM</v>
      </c>
      <c r="N2224" s="1" t="str">
        <f>_xlfn.XLOOKUP(M2224,Parâmetros!K:K,Parâmetros!L:L,"")</f>
        <v>CAMPO OBSERVAÇÃO PREENCHIDO INCORRETAMENTE</v>
      </c>
      <c r="O2224" s="1" t="str">
        <f>_xlfn.XLOOKUP(M2224,Parâmetros!B:B,Parâmetros!C:C,_xlfn.XLOOKUP(Base!M2221,Parâmetros!G:G,Parâmetros!H:H))</f>
        <v>QUALIDADE DOS DADOS</v>
      </c>
      <c r="P2224" s="1" t="str">
        <f>_xlfn.XLOOKUP(I2224,Parâmetros!A:A,Parâmetros!D:D,_xlfn.XLOOKUP(Q2224,Parâmetros!F:F,Parâmetros!I:I))</f>
        <v>OPERAÇÕES / SUPORTE KCS</v>
      </c>
      <c r="Q2224" s="1">
        <f t="shared" si="71"/>
        <v>127</v>
      </c>
    </row>
    <row r="2225" spans="1:17" x14ac:dyDescent="0.25">
      <c r="A2225" s="1" t="str">
        <f>_xlfn.XLOOKUP(D2225,'Novo relatório'!B:B,'Novo relatório'!C:C,"RESOLVIDO")</f>
        <v>TMS</v>
      </c>
      <c r="C2225" t="str">
        <f t="shared" si="70"/>
        <v>PENDENTE</v>
      </c>
      <c r="D2225" s="1">
        <v>3485888</v>
      </c>
      <c r="E2225" s="1" t="s">
        <v>12</v>
      </c>
      <c r="F2225" s="2">
        <v>45824.73333333333</v>
      </c>
      <c r="G2225" s="1">
        <v>45234</v>
      </c>
      <c r="H2225" s="1">
        <v>45234</v>
      </c>
      <c r="I2225" s="1" t="s">
        <v>2762</v>
      </c>
      <c r="J2225" s="2">
        <v>45825.34375</v>
      </c>
      <c r="L2225" s="1" t="s">
        <v>19</v>
      </c>
      <c r="M2225" s="1" t="str">
        <f>_xlfn.XLOOKUP(I2225,Parâmetros!A:A,Parâmetros!B:B,_xlfn.XLOOKUP(Q2225,Parâmetros!F:F,Parâmetros!G:G,"NOVA MENSAGEM"))</f>
        <v>CONTRATO FORNECEDOR</v>
      </c>
      <c r="N2225" s="1" t="str">
        <f>_xlfn.XLOOKUP(M2225,Parâmetros!K:K,Parâmetros!L:L,"")</f>
        <v>CONTRATO INATIVO OU DIVERGENTE</v>
      </c>
      <c r="O2225" s="1" t="str">
        <f>_xlfn.XLOOKUP(M2225,Parâmetros!B:B,Parâmetros!C:C,_xlfn.XLOOKUP(Base!M2222,Parâmetros!G:G,Parâmetros!H:H))</f>
        <v>SISTEMA</v>
      </c>
      <c r="P2225" s="1" t="str">
        <f>_xlfn.XLOOKUP(I2225,Parâmetros!A:A,Parâmetros!D:D,_xlfn.XLOOKUP(Q2225,Parâmetros!F:F,Parâmetros!I:I))</f>
        <v>OPERAÇÕES / SUPORTE KCS</v>
      </c>
      <c r="Q2225" s="1">
        <f t="shared" si="71"/>
        <v>69</v>
      </c>
    </row>
    <row r="2226" spans="1:17" x14ac:dyDescent="0.25">
      <c r="A2226" s="1" t="str">
        <f>_xlfn.XLOOKUP(D2226,'Novo relatório'!B:B,'Novo relatório'!C:C,"RESOLVIDO")</f>
        <v>TMS</v>
      </c>
      <c r="C2226" t="str">
        <f t="shared" ref="C2226:C2253" si="72">IF(A2226="RESOLVIDO","RESOLVIDO",IF(B2226="","PENDENTE",IF(LEFT(B2226,7)="CHAMADO","AGUARDANDO FORNECEDOR",IF(B2226="CONTABILIZAR","CONTABILIZAR NO PORTAL"))))</f>
        <v>PENDENTE</v>
      </c>
      <c r="D2226" s="1">
        <v>3472356</v>
      </c>
      <c r="E2226" s="1" t="s">
        <v>12</v>
      </c>
      <c r="F2226" s="2">
        <v>45817.525000000001</v>
      </c>
      <c r="G2226" s="1">
        <v>66686</v>
      </c>
      <c r="H2226" s="1">
        <v>66686</v>
      </c>
      <c r="I2226" s="1" t="s">
        <v>1905</v>
      </c>
      <c r="J2226" s="2">
        <v>45817.751388888886</v>
      </c>
      <c r="K2226" s="2">
        <v>45824.527083333334</v>
      </c>
      <c r="L2226" s="1" t="s">
        <v>19</v>
      </c>
      <c r="M2226" s="1" t="str">
        <f>_xlfn.XLOOKUP(I2226,Parâmetros!A:A,Parâmetros!B:B,_xlfn.XLOOKUP(Q2226,Parâmetros!F:F,Parâmetros!G:G,"NOVA MENSAGEM"))</f>
        <v>CONTRATO FORNECEDOR</v>
      </c>
      <c r="N2226" s="1" t="str">
        <f>_xlfn.XLOOKUP(M2226,Parâmetros!K:K,Parâmetros!L:L,"")</f>
        <v>CONTRATO INATIVO OU DIVERGENTE</v>
      </c>
      <c r="O2226" s="1" t="str">
        <f>_xlfn.XLOOKUP(M2226,Parâmetros!B:B,Parâmetros!C:C,_xlfn.XLOOKUP(Base!M2223,Parâmetros!G:G,Parâmetros!H:H))</f>
        <v>SISTEMA</v>
      </c>
      <c r="P2226" s="1" t="str">
        <f>_xlfn.XLOOKUP(I2226,Parâmetros!A:A,Parâmetros!D:D,_xlfn.XLOOKUP(Q2226,Parâmetros!F:F,Parâmetros!I:I))</f>
        <v>OPERAÇÕES / SUPORTE KCS</v>
      </c>
      <c r="Q2226" s="1">
        <f t="shared" ref="Q2226:Q2253" si="73">IFERROR(FIND("Não foi possível localizar o contrato do fornecedor",I2226),IFERROR(FIND("veículo",I2226),IFERROR(FIND("agagem",I2226),IFERROR(FIND("error in XML document",I2226),IFERROR(FIND("Não localizado cliente código",I2226),IFERROR(FIND("lemontech",I2226),IFERROR(FIND("&gt;Fornecedor com o",I2226),IFERROR(FIND("INSERT",I2226),IFERROR(FIND("com CNPJ",I2226),IFERROR(FIND("Consultando Agente-&gt; O agente",I2226),IFERROR(FIND("Não foi possível determinar a validade do cartão, favor verificar os dados do cartão",I2226),"COLUNA I")))))))))))</f>
        <v>69</v>
      </c>
    </row>
    <row r="2227" spans="1:17" x14ac:dyDescent="0.25">
      <c r="A2227" s="1" t="str">
        <f>_xlfn.XLOOKUP(D2227,'Novo relatório'!B:B,'Novo relatório'!C:C,"RESOLVIDO")</f>
        <v>TMS</v>
      </c>
      <c r="C2227" t="str">
        <f t="shared" si="72"/>
        <v>PENDENTE</v>
      </c>
      <c r="D2227" s="1">
        <v>3482845</v>
      </c>
      <c r="E2227" s="1" t="s">
        <v>12</v>
      </c>
      <c r="F2227" s="2">
        <v>45821.722916666666</v>
      </c>
      <c r="G2227" s="1">
        <v>67364</v>
      </c>
      <c r="H2227" s="1">
        <v>67364</v>
      </c>
      <c r="I2227" s="1" t="s">
        <v>2763</v>
      </c>
      <c r="J2227" s="2">
        <v>45823.102083333331</v>
      </c>
      <c r="K2227" s="2">
        <v>45824.75277777778</v>
      </c>
      <c r="L2227" s="1" t="s">
        <v>14</v>
      </c>
      <c r="M2227" s="1" t="str">
        <f>_xlfn.XLOOKUP(I2227,Parâmetros!A:A,Parâmetros!B:B,_xlfn.XLOOKUP(Q2227,Parâmetros!F:F,Parâmetros!G:G,"NOVA MENSAGEM"))</f>
        <v>ASSENTO / BAGAGEM</v>
      </c>
      <c r="N2227" s="1" t="str">
        <f>_xlfn.XLOOKUP(M2227,Parâmetros!K:K,Parâmetros!L:L,"")</f>
        <v>CAMPO OBSERVAÇÃO PREENCHIDO INCORRETAMENTE</v>
      </c>
      <c r="O2227" s="1" t="str">
        <f>_xlfn.XLOOKUP(M2227,Parâmetros!B:B,Parâmetros!C:C,_xlfn.XLOOKUP(Base!M2224,Parâmetros!G:G,Parâmetros!H:H))</f>
        <v>QUALIDADE DOS DADOS</v>
      </c>
      <c r="P2227" s="1" t="str">
        <f>_xlfn.XLOOKUP(I2227,Parâmetros!A:A,Parâmetros!D:D,_xlfn.XLOOKUP(Q2227,Parâmetros!F:F,Parâmetros!I:I))</f>
        <v>OPERAÇÕES / SUPORTE KCS</v>
      </c>
      <c r="Q2227" s="1">
        <f t="shared" si="73"/>
        <v>127</v>
      </c>
    </row>
    <row r="2228" spans="1:17" x14ac:dyDescent="0.25">
      <c r="A2228" s="1" t="str">
        <f>_xlfn.XLOOKUP(D2228,'Novo relatório'!B:B,'Novo relatório'!C:C,"RESOLVIDO")</f>
        <v>TMS</v>
      </c>
      <c r="C2228" t="str">
        <f t="shared" si="72"/>
        <v>PENDENTE</v>
      </c>
      <c r="D2228" s="1">
        <v>3486189</v>
      </c>
      <c r="E2228" s="1" t="s">
        <v>12</v>
      </c>
      <c r="F2228" s="2">
        <v>45824.627083333333</v>
      </c>
      <c r="G2228" s="1">
        <v>67868</v>
      </c>
      <c r="H2228" s="1">
        <v>67868</v>
      </c>
      <c r="I2228" s="1" t="s">
        <v>2762</v>
      </c>
      <c r="J2228" s="2">
        <v>45825.442361111112</v>
      </c>
      <c r="L2228" s="1" t="s">
        <v>19</v>
      </c>
      <c r="M2228" s="1" t="str">
        <f>_xlfn.XLOOKUP(I2228,Parâmetros!A:A,Parâmetros!B:B,_xlfn.XLOOKUP(Q2228,Parâmetros!F:F,Parâmetros!G:G,"NOVA MENSAGEM"))</f>
        <v>CONTRATO FORNECEDOR</v>
      </c>
      <c r="N2228" s="1" t="str">
        <f>_xlfn.XLOOKUP(M2228,Parâmetros!K:K,Parâmetros!L:L,"")</f>
        <v>CONTRATO INATIVO OU DIVERGENTE</v>
      </c>
      <c r="O2228" s="1" t="str">
        <f>_xlfn.XLOOKUP(M2228,Parâmetros!B:B,Parâmetros!C:C,_xlfn.XLOOKUP(Base!M2225,Parâmetros!G:G,Parâmetros!H:H))</f>
        <v>SISTEMA</v>
      </c>
      <c r="P2228" s="1" t="str">
        <f>_xlfn.XLOOKUP(I2228,Parâmetros!A:A,Parâmetros!D:D,_xlfn.XLOOKUP(Q2228,Parâmetros!F:F,Parâmetros!I:I))</f>
        <v>OPERAÇÕES / SUPORTE KCS</v>
      </c>
      <c r="Q2228" s="1">
        <f t="shared" si="73"/>
        <v>69</v>
      </c>
    </row>
    <row r="2229" spans="1:17" x14ac:dyDescent="0.25">
      <c r="A2229" s="1" t="str">
        <f>_xlfn.XLOOKUP(D2229,'Novo relatório'!B:B,'Novo relatório'!C:C,"RESOLVIDO")</f>
        <v>TMS</v>
      </c>
      <c r="C2229" t="str">
        <f t="shared" si="72"/>
        <v>PENDENTE</v>
      </c>
      <c r="D2229" s="1">
        <v>3486166</v>
      </c>
      <c r="E2229" s="1" t="s">
        <v>12</v>
      </c>
      <c r="F2229" s="2">
        <v>45824.627083333333</v>
      </c>
      <c r="G2229" s="1">
        <v>67872</v>
      </c>
      <c r="H2229" s="1">
        <v>67872</v>
      </c>
      <c r="I2229" s="1" t="s">
        <v>2762</v>
      </c>
      <c r="J2229" s="2">
        <v>45825.436111111114</v>
      </c>
      <c r="L2229" s="1" t="s">
        <v>19</v>
      </c>
      <c r="M2229" s="1" t="str">
        <f>_xlfn.XLOOKUP(I2229,Parâmetros!A:A,Parâmetros!B:B,_xlfn.XLOOKUP(Q2229,Parâmetros!F:F,Parâmetros!G:G,"NOVA MENSAGEM"))</f>
        <v>CONTRATO FORNECEDOR</v>
      </c>
      <c r="N2229" s="1" t="str">
        <f>_xlfn.XLOOKUP(M2229,Parâmetros!K:K,Parâmetros!L:L,"")</f>
        <v>CONTRATO INATIVO OU DIVERGENTE</v>
      </c>
      <c r="O2229" s="1" t="str">
        <f>_xlfn.XLOOKUP(M2229,Parâmetros!B:B,Parâmetros!C:C,_xlfn.XLOOKUP(Base!M2226,Parâmetros!G:G,Parâmetros!H:H))</f>
        <v>SISTEMA</v>
      </c>
      <c r="P2229" s="1" t="str">
        <f>_xlfn.XLOOKUP(I2229,Parâmetros!A:A,Parâmetros!D:D,_xlfn.XLOOKUP(Q2229,Parâmetros!F:F,Parâmetros!I:I))</f>
        <v>OPERAÇÕES / SUPORTE KCS</v>
      </c>
      <c r="Q2229" s="1">
        <f t="shared" si="73"/>
        <v>69</v>
      </c>
    </row>
    <row r="2230" spans="1:17" x14ac:dyDescent="0.25">
      <c r="A2230" s="1" t="str">
        <f>_xlfn.XLOOKUP(D2230,'Novo relatório'!B:B,'Novo relatório'!C:C,"RESOLVIDO")</f>
        <v>TMS</v>
      </c>
      <c r="C2230" t="str">
        <f t="shared" si="72"/>
        <v>PENDENTE</v>
      </c>
      <c r="D2230" s="1">
        <v>3486099</v>
      </c>
      <c r="E2230" s="1" t="s">
        <v>12</v>
      </c>
      <c r="F2230" s="2">
        <v>45824.525000000001</v>
      </c>
      <c r="G2230" s="1">
        <v>67884</v>
      </c>
      <c r="H2230" s="1">
        <v>67884</v>
      </c>
      <c r="I2230" s="1" t="s">
        <v>2762</v>
      </c>
      <c r="J2230" s="2">
        <v>45825.420138888891</v>
      </c>
      <c r="L2230" s="1" t="s">
        <v>19</v>
      </c>
      <c r="M2230" s="1" t="str">
        <f>_xlfn.XLOOKUP(I2230,Parâmetros!A:A,Parâmetros!B:B,_xlfn.XLOOKUP(Q2230,Parâmetros!F:F,Parâmetros!G:G,"NOVA MENSAGEM"))</f>
        <v>CONTRATO FORNECEDOR</v>
      </c>
      <c r="N2230" s="1" t="str">
        <f>_xlfn.XLOOKUP(M2230,Parâmetros!K:K,Parâmetros!L:L,"")</f>
        <v>CONTRATO INATIVO OU DIVERGENTE</v>
      </c>
      <c r="O2230" s="1" t="str">
        <f>_xlfn.XLOOKUP(M2230,Parâmetros!B:B,Parâmetros!C:C,_xlfn.XLOOKUP(Base!M2227,Parâmetros!G:G,Parâmetros!H:H))</f>
        <v>SISTEMA</v>
      </c>
      <c r="P2230" s="1" t="str">
        <f>_xlfn.XLOOKUP(I2230,Parâmetros!A:A,Parâmetros!D:D,_xlfn.XLOOKUP(Q2230,Parâmetros!F:F,Parâmetros!I:I))</f>
        <v>OPERAÇÕES / SUPORTE KCS</v>
      </c>
      <c r="Q2230" s="1">
        <f t="shared" si="73"/>
        <v>69</v>
      </c>
    </row>
    <row r="2231" spans="1:17" x14ac:dyDescent="0.25">
      <c r="A2231" s="1" t="str">
        <f>_xlfn.XLOOKUP(D2231,'Novo relatório'!B:B,'Novo relatório'!C:C,"RESOLVIDO")</f>
        <v>TMS</v>
      </c>
      <c r="C2231" t="str">
        <f t="shared" si="72"/>
        <v>PENDENTE</v>
      </c>
      <c r="D2231" s="1">
        <v>3486059</v>
      </c>
      <c r="E2231" s="1" t="s">
        <v>12</v>
      </c>
      <c r="F2231" s="2">
        <v>45824.5625</v>
      </c>
      <c r="G2231" s="1">
        <v>67888</v>
      </c>
      <c r="H2231" s="1">
        <v>67888</v>
      </c>
      <c r="I2231" s="1" t="s">
        <v>2762</v>
      </c>
      <c r="J2231" s="2">
        <v>45825.415972222225</v>
      </c>
      <c r="L2231" s="1" t="s">
        <v>19</v>
      </c>
      <c r="M2231" s="1" t="str">
        <f>_xlfn.XLOOKUP(I2231,Parâmetros!A:A,Parâmetros!B:B,_xlfn.XLOOKUP(Q2231,Parâmetros!F:F,Parâmetros!G:G,"NOVA MENSAGEM"))</f>
        <v>CONTRATO FORNECEDOR</v>
      </c>
      <c r="N2231" s="1" t="str">
        <f>_xlfn.XLOOKUP(M2231,Parâmetros!K:K,Parâmetros!L:L,"")</f>
        <v>CONTRATO INATIVO OU DIVERGENTE</v>
      </c>
      <c r="O2231" s="1" t="str">
        <f>_xlfn.XLOOKUP(M2231,Parâmetros!B:B,Parâmetros!C:C,_xlfn.XLOOKUP(Base!M2228,Parâmetros!G:G,Parâmetros!H:H))</f>
        <v>SISTEMA</v>
      </c>
      <c r="P2231" s="1" t="str">
        <f>_xlfn.XLOOKUP(I2231,Parâmetros!A:A,Parâmetros!D:D,_xlfn.XLOOKUP(Q2231,Parâmetros!F:F,Parâmetros!I:I))</f>
        <v>OPERAÇÕES / SUPORTE KCS</v>
      </c>
      <c r="Q2231" s="1">
        <f t="shared" si="73"/>
        <v>69</v>
      </c>
    </row>
    <row r="2232" spans="1:17" x14ac:dyDescent="0.25">
      <c r="A2232" s="1" t="str">
        <f>_xlfn.XLOOKUP(D2232,'Novo relatório'!B:B,'Novo relatório'!C:C,"RESOLVIDO")</f>
        <v>TMS</v>
      </c>
      <c r="C2232" t="str">
        <f t="shared" si="72"/>
        <v>PENDENTE</v>
      </c>
      <c r="D2232" s="1">
        <v>3486057</v>
      </c>
      <c r="E2232" s="1" t="s">
        <v>12</v>
      </c>
      <c r="F2232" s="2">
        <v>45824.5625</v>
      </c>
      <c r="G2232" s="1">
        <v>67891</v>
      </c>
      <c r="H2232" s="1">
        <v>67891</v>
      </c>
      <c r="I2232" s="1" t="s">
        <v>2762</v>
      </c>
      <c r="J2232" s="2">
        <v>45825.414583333331</v>
      </c>
      <c r="L2232" s="1" t="s">
        <v>19</v>
      </c>
      <c r="M2232" s="1" t="str">
        <f>_xlfn.XLOOKUP(I2232,Parâmetros!A:A,Parâmetros!B:B,_xlfn.XLOOKUP(Q2232,Parâmetros!F:F,Parâmetros!G:G,"NOVA MENSAGEM"))</f>
        <v>CONTRATO FORNECEDOR</v>
      </c>
      <c r="N2232" s="1" t="str">
        <f>_xlfn.XLOOKUP(M2232,Parâmetros!K:K,Parâmetros!L:L,"")</f>
        <v>CONTRATO INATIVO OU DIVERGENTE</v>
      </c>
      <c r="O2232" s="1" t="str">
        <f>_xlfn.XLOOKUP(M2232,Parâmetros!B:B,Parâmetros!C:C,_xlfn.XLOOKUP(Base!M2229,Parâmetros!G:G,Parâmetros!H:H))</f>
        <v>SISTEMA</v>
      </c>
      <c r="P2232" s="1" t="str">
        <f>_xlfn.XLOOKUP(I2232,Parâmetros!A:A,Parâmetros!D:D,_xlfn.XLOOKUP(Q2232,Parâmetros!F:F,Parâmetros!I:I))</f>
        <v>OPERAÇÕES / SUPORTE KCS</v>
      </c>
      <c r="Q2232" s="1">
        <f t="shared" si="73"/>
        <v>69</v>
      </c>
    </row>
    <row r="2233" spans="1:17" x14ac:dyDescent="0.25">
      <c r="A2233" s="1" t="str">
        <f>_xlfn.XLOOKUP(D2233,'Novo relatório'!B:B,'Novo relatório'!C:C,"RESOLVIDO")</f>
        <v>TMS</v>
      </c>
      <c r="C2233" t="str">
        <f t="shared" si="72"/>
        <v>PENDENTE</v>
      </c>
      <c r="D2233" s="1">
        <v>3486053</v>
      </c>
      <c r="E2233" s="1" t="s">
        <v>12</v>
      </c>
      <c r="F2233" s="2">
        <v>45824.577777777777</v>
      </c>
      <c r="G2233" s="1">
        <v>67894</v>
      </c>
      <c r="H2233" s="1">
        <v>67894</v>
      </c>
      <c r="I2233" s="1" t="s">
        <v>2762</v>
      </c>
      <c r="J2233" s="2">
        <v>45825.411805555559</v>
      </c>
      <c r="L2233" s="1" t="s">
        <v>19</v>
      </c>
      <c r="M2233" s="1" t="str">
        <f>_xlfn.XLOOKUP(I2233,Parâmetros!A:A,Parâmetros!B:B,_xlfn.XLOOKUP(Q2233,Parâmetros!F:F,Parâmetros!G:G,"NOVA MENSAGEM"))</f>
        <v>CONTRATO FORNECEDOR</v>
      </c>
      <c r="N2233" s="1" t="str">
        <f>_xlfn.XLOOKUP(M2233,Parâmetros!K:K,Parâmetros!L:L,"")</f>
        <v>CONTRATO INATIVO OU DIVERGENTE</v>
      </c>
      <c r="O2233" s="1" t="str">
        <f>_xlfn.XLOOKUP(M2233,Parâmetros!B:B,Parâmetros!C:C,_xlfn.XLOOKUP(Base!M2230,Parâmetros!G:G,Parâmetros!H:H))</f>
        <v>SISTEMA</v>
      </c>
      <c r="P2233" s="1" t="str">
        <f>_xlfn.XLOOKUP(I2233,Parâmetros!A:A,Parâmetros!D:D,_xlfn.XLOOKUP(Q2233,Parâmetros!F:F,Parâmetros!I:I))</f>
        <v>OPERAÇÕES / SUPORTE KCS</v>
      </c>
      <c r="Q2233" s="1">
        <f t="shared" si="73"/>
        <v>69</v>
      </c>
    </row>
    <row r="2234" spans="1:17" x14ac:dyDescent="0.25">
      <c r="A2234" s="1" t="str">
        <f>_xlfn.XLOOKUP(D2234,'Novo relatório'!B:B,'Novo relatório'!C:C,"RESOLVIDO")</f>
        <v>TMS</v>
      </c>
      <c r="C2234" t="str">
        <f t="shared" si="72"/>
        <v>PENDENTE</v>
      </c>
      <c r="D2234" s="1">
        <v>3486036</v>
      </c>
      <c r="E2234" s="1" t="s">
        <v>12</v>
      </c>
      <c r="F2234" s="2">
        <v>45824.585416666669</v>
      </c>
      <c r="G2234" s="1">
        <v>67901</v>
      </c>
      <c r="H2234" s="1">
        <v>67901</v>
      </c>
      <c r="I2234" s="1" t="s">
        <v>2762</v>
      </c>
      <c r="J2234" s="2">
        <v>45825.400694444441</v>
      </c>
      <c r="L2234" s="1" t="s">
        <v>19</v>
      </c>
      <c r="M2234" s="1" t="str">
        <f>_xlfn.XLOOKUP(I2234,Parâmetros!A:A,Parâmetros!B:B,_xlfn.XLOOKUP(Q2234,Parâmetros!F:F,Parâmetros!G:G,"NOVA MENSAGEM"))</f>
        <v>CONTRATO FORNECEDOR</v>
      </c>
      <c r="N2234" s="1" t="str">
        <f>_xlfn.XLOOKUP(M2234,Parâmetros!K:K,Parâmetros!L:L,"")</f>
        <v>CONTRATO INATIVO OU DIVERGENTE</v>
      </c>
      <c r="O2234" s="1" t="str">
        <f>_xlfn.XLOOKUP(M2234,Parâmetros!B:B,Parâmetros!C:C,_xlfn.XLOOKUP(Base!M2231,Parâmetros!G:G,Parâmetros!H:H))</f>
        <v>SISTEMA</v>
      </c>
      <c r="P2234" s="1" t="str">
        <f>_xlfn.XLOOKUP(I2234,Parâmetros!A:A,Parâmetros!D:D,_xlfn.XLOOKUP(Q2234,Parâmetros!F:F,Parâmetros!I:I))</f>
        <v>OPERAÇÕES / SUPORTE KCS</v>
      </c>
      <c r="Q2234" s="1">
        <f t="shared" si="73"/>
        <v>69</v>
      </c>
    </row>
    <row r="2235" spans="1:17" x14ac:dyDescent="0.25">
      <c r="A2235" s="1" t="str">
        <f>_xlfn.XLOOKUP(D2235,'Novo relatório'!B:B,'Novo relatório'!C:C,"RESOLVIDO")</f>
        <v>TMS</v>
      </c>
      <c r="C2235" t="str">
        <f t="shared" si="72"/>
        <v>PENDENTE</v>
      </c>
      <c r="D2235" s="1">
        <v>3486017</v>
      </c>
      <c r="E2235" s="1" t="s">
        <v>12</v>
      </c>
      <c r="F2235" s="2">
        <v>45824.585416666669</v>
      </c>
      <c r="G2235" s="1">
        <v>67904</v>
      </c>
      <c r="H2235" s="1">
        <v>67904</v>
      </c>
      <c r="I2235" s="1" t="s">
        <v>2762</v>
      </c>
      <c r="J2235" s="2">
        <v>45825.397916666669</v>
      </c>
      <c r="L2235" s="1" t="s">
        <v>19</v>
      </c>
      <c r="M2235" s="1" t="str">
        <f>_xlfn.XLOOKUP(I2235,Parâmetros!A:A,Parâmetros!B:B,_xlfn.XLOOKUP(Q2235,Parâmetros!F:F,Parâmetros!G:G,"NOVA MENSAGEM"))</f>
        <v>CONTRATO FORNECEDOR</v>
      </c>
      <c r="N2235" s="1" t="str">
        <f>_xlfn.XLOOKUP(M2235,Parâmetros!K:K,Parâmetros!L:L,"")</f>
        <v>CONTRATO INATIVO OU DIVERGENTE</v>
      </c>
      <c r="O2235" s="1" t="str">
        <f>_xlfn.XLOOKUP(M2235,Parâmetros!B:B,Parâmetros!C:C,_xlfn.XLOOKUP(Base!M2232,Parâmetros!G:G,Parâmetros!H:H))</f>
        <v>SISTEMA</v>
      </c>
      <c r="P2235" s="1" t="str">
        <f>_xlfn.XLOOKUP(I2235,Parâmetros!A:A,Parâmetros!D:D,_xlfn.XLOOKUP(Q2235,Parâmetros!F:F,Parâmetros!I:I))</f>
        <v>OPERAÇÕES / SUPORTE KCS</v>
      </c>
      <c r="Q2235" s="1">
        <f t="shared" si="73"/>
        <v>69</v>
      </c>
    </row>
    <row r="2236" spans="1:17" x14ac:dyDescent="0.25">
      <c r="A2236" s="1" t="str">
        <f>_xlfn.XLOOKUP(D2236,'Novo relatório'!B:B,'Novo relatório'!C:C,"RESOLVIDO")</f>
        <v>TMS</v>
      </c>
      <c r="C2236" t="str">
        <f t="shared" si="72"/>
        <v>PENDENTE</v>
      </c>
      <c r="D2236" s="1">
        <v>3486013</v>
      </c>
      <c r="E2236" s="1" t="s">
        <v>12</v>
      </c>
      <c r="F2236" s="2">
        <v>45824.59375</v>
      </c>
      <c r="G2236" s="1">
        <v>67907</v>
      </c>
      <c r="H2236" s="1">
        <v>67907</v>
      </c>
      <c r="I2236" s="1" t="s">
        <v>2762</v>
      </c>
      <c r="J2236" s="2">
        <v>45825.395138888889</v>
      </c>
      <c r="L2236" s="1" t="s">
        <v>19</v>
      </c>
      <c r="M2236" s="1" t="str">
        <f>_xlfn.XLOOKUP(I2236,Parâmetros!A:A,Parâmetros!B:B,_xlfn.XLOOKUP(Q2236,Parâmetros!F:F,Parâmetros!G:G,"NOVA MENSAGEM"))</f>
        <v>CONTRATO FORNECEDOR</v>
      </c>
      <c r="N2236" s="1" t="str">
        <f>_xlfn.XLOOKUP(M2236,Parâmetros!K:K,Parâmetros!L:L,"")</f>
        <v>CONTRATO INATIVO OU DIVERGENTE</v>
      </c>
      <c r="O2236" s="1" t="str">
        <f>_xlfn.XLOOKUP(M2236,Parâmetros!B:B,Parâmetros!C:C,_xlfn.XLOOKUP(Base!M2233,Parâmetros!G:G,Parâmetros!H:H))</f>
        <v>SISTEMA</v>
      </c>
      <c r="P2236" s="1" t="str">
        <f>_xlfn.XLOOKUP(I2236,Parâmetros!A:A,Parâmetros!D:D,_xlfn.XLOOKUP(Q2236,Parâmetros!F:F,Parâmetros!I:I))</f>
        <v>OPERAÇÕES / SUPORTE KCS</v>
      </c>
      <c r="Q2236" s="1">
        <f t="shared" si="73"/>
        <v>69</v>
      </c>
    </row>
    <row r="2237" spans="1:17" x14ac:dyDescent="0.25">
      <c r="A2237" s="1" t="str">
        <f>_xlfn.XLOOKUP(D2237,'Novo relatório'!B:B,'Novo relatório'!C:C,"RESOLVIDO")</f>
        <v>TMS</v>
      </c>
      <c r="C2237" t="str">
        <f t="shared" si="72"/>
        <v>PENDENTE</v>
      </c>
      <c r="D2237" s="1">
        <v>3486002</v>
      </c>
      <c r="E2237" s="1" t="s">
        <v>12</v>
      </c>
      <c r="F2237" s="2">
        <v>45824.62777777778</v>
      </c>
      <c r="G2237" s="1">
        <v>67911</v>
      </c>
      <c r="H2237" s="1">
        <v>67911</v>
      </c>
      <c r="I2237" s="1" t="s">
        <v>2762</v>
      </c>
      <c r="J2237" s="2">
        <v>45825.39166666667</v>
      </c>
      <c r="L2237" s="1" t="s">
        <v>19</v>
      </c>
      <c r="M2237" s="1" t="str">
        <f>_xlfn.XLOOKUP(I2237,Parâmetros!A:A,Parâmetros!B:B,_xlfn.XLOOKUP(Q2237,Parâmetros!F:F,Parâmetros!G:G,"NOVA MENSAGEM"))</f>
        <v>CONTRATO FORNECEDOR</v>
      </c>
      <c r="N2237" s="1" t="str">
        <f>_xlfn.XLOOKUP(M2237,Parâmetros!K:K,Parâmetros!L:L,"")</f>
        <v>CONTRATO INATIVO OU DIVERGENTE</v>
      </c>
      <c r="O2237" s="1" t="str">
        <f>_xlfn.XLOOKUP(M2237,Parâmetros!B:B,Parâmetros!C:C,_xlfn.XLOOKUP(Base!M2234,Parâmetros!G:G,Parâmetros!H:H))</f>
        <v>SISTEMA</v>
      </c>
      <c r="P2237" s="1" t="str">
        <f>_xlfn.XLOOKUP(I2237,Parâmetros!A:A,Parâmetros!D:D,_xlfn.XLOOKUP(Q2237,Parâmetros!F:F,Parâmetros!I:I))</f>
        <v>OPERAÇÕES / SUPORTE KCS</v>
      </c>
      <c r="Q2237" s="1">
        <f t="shared" si="73"/>
        <v>69</v>
      </c>
    </row>
    <row r="2238" spans="1:17" x14ac:dyDescent="0.25">
      <c r="A2238" s="1" t="str">
        <f>_xlfn.XLOOKUP(D2238,'Novo relatório'!B:B,'Novo relatório'!C:C,"RESOLVIDO")</f>
        <v>TMS</v>
      </c>
      <c r="C2238" t="str">
        <f t="shared" si="72"/>
        <v>PENDENTE</v>
      </c>
      <c r="D2238" s="1">
        <v>3485909</v>
      </c>
      <c r="E2238" s="1" t="s">
        <v>12</v>
      </c>
      <c r="F2238" s="2">
        <v>45824.630555555559</v>
      </c>
      <c r="G2238" s="1">
        <v>67936</v>
      </c>
      <c r="H2238" s="1">
        <v>67936</v>
      </c>
      <c r="I2238" s="1" t="s">
        <v>416</v>
      </c>
      <c r="J2238" s="2">
        <v>45825.354861111111</v>
      </c>
      <c r="L2238" s="1" t="s">
        <v>19</v>
      </c>
      <c r="M2238" s="1" t="str">
        <f>_xlfn.XLOOKUP(I2238,Parâmetros!A:A,Parâmetros!B:B,_xlfn.XLOOKUP(Q2238,Parâmetros!F:F,Parâmetros!G:G,"NOVA MENSAGEM"))</f>
        <v>CONTRATO FORNECEDOR</v>
      </c>
      <c r="N2238" s="1" t="str">
        <f>_xlfn.XLOOKUP(M2238,Parâmetros!K:K,Parâmetros!L:L,"")</f>
        <v>CONTRATO INATIVO OU DIVERGENTE</v>
      </c>
      <c r="O2238" s="1" t="str">
        <f>_xlfn.XLOOKUP(M2238,Parâmetros!B:B,Parâmetros!C:C,_xlfn.XLOOKUP(Base!M2235,Parâmetros!G:G,Parâmetros!H:H))</f>
        <v>SISTEMA</v>
      </c>
      <c r="P2238" s="1" t="str">
        <f>_xlfn.XLOOKUP(I2238,Parâmetros!A:A,Parâmetros!D:D,_xlfn.XLOOKUP(Q2238,Parâmetros!F:F,Parâmetros!I:I))</f>
        <v>OPERAÇÕES / SUPORTE KCS</v>
      </c>
      <c r="Q2238" s="1">
        <f t="shared" si="73"/>
        <v>69</v>
      </c>
    </row>
    <row r="2239" spans="1:17" x14ac:dyDescent="0.25">
      <c r="A2239" s="1" t="str">
        <f>_xlfn.XLOOKUP(D2239,'Novo relatório'!B:B,'Novo relatório'!C:C,"RESOLVIDO")</f>
        <v>TMS</v>
      </c>
      <c r="C2239" t="str">
        <f t="shared" si="72"/>
        <v>PENDENTE</v>
      </c>
      <c r="D2239" s="1">
        <v>3485634</v>
      </c>
      <c r="E2239" s="1" t="s">
        <v>12</v>
      </c>
      <c r="F2239" s="2">
        <v>45824.696527777778</v>
      </c>
      <c r="G2239" s="1">
        <v>7069</v>
      </c>
      <c r="H2239" s="1">
        <v>7069</v>
      </c>
      <c r="I2239" s="1" t="s">
        <v>2762</v>
      </c>
      <c r="J2239" s="2">
        <v>45825.167361111111</v>
      </c>
      <c r="L2239" s="1" t="s">
        <v>19</v>
      </c>
      <c r="M2239" s="1" t="str">
        <f>_xlfn.XLOOKUP(I2239,Parâmetros!A:A,Parâmetros!B:B,_xlfn.XLOOKUP(Q2239,Parâmetros!F:F,Parâmetros!G:G,"NOVA MENSAGEM"))</f>
        <v>CONTRATO FORNECEDOR</v>
      </c>
      <c r="N2239" s="1" t="str">
        <f>_xlfn.XLOOKUP(M2239,Parâmetros!K:K,Parâmetros!L:L,"")</f>
        <v>CONTRATO INATIVO OU DIVERGENTE</v>
      </c>
      <c r="O2239" s="1" t="str">
        <f>_xlfn.XLOOKUP(M2239,Parâmetros!B:B,Parâmetros!C:C,_xlfn.XLOOKUP(Base!M2236,Parâmetros!G:G,Parâmetros!H:H))</f>
        <v>SISTEMA</v>
      </c>
      <c r="P2239" s="1" t="str">
        <f>_xlfn.XLOOKUP(I2239,Parâmetros!A:A,Parâmetros!D:D,_xlfn.XLOOKUP(Q2239,Parâmetros!F:F,Parâmetros!I:I))</f>
        <v>OPERAÇÕES / SUPORTE KCS</v>
      </c>
      <c r="Q2239" s="1">
        <f t="shared" si="73"/>
        <v>69</v>
      </c>
    </row>
    <row r="2240" spans="1:17" x14ac:dyDescent="0.25">
      <c r="A2240" s="1" t="str">
        <f>_xlfn.XLOOKUP(D2240,'Novo relatório'!B:B,'Novo relatório'!C:C,"RESOLVIDO")</f>
        <v>TMS</v>
      </c>
      <c r="C2240" t="str">
        <f t="shared" si="72"/>
        <v>PENDENTE</v>
      </c>
      <c r="D2240" s="1">
        <v>3485632</v>
      </c>
      <c r="E2240" s="1" t="s">
        <v>12</v>
      </c>
      <c r="F2240" s="2">
        <v>45824.698611111111</v>
      </c>
      <c r="G2240" s="1">
        <v>7070</v>
      </c>
      <c r="H2240" s="1">
        <v>7070</v>
      </c>
      <c r="I2240" s="1" t="s">
        <v>2762</v>
      </c>
      <c r="J2240" s="2">
        <v>45825.165972222225</v>
      </c>
      <c r="L2240" s="1" t="s">
        <v>19</v>
      </c>
      <c r="M2240" s="1" t="str">
        <f>_xlfn.XLOOKUP(I2240,Parâmetros!A:A,Parâmetros!B:B,_xlfn.XLOOKUP(Q2240,Parâmetros!F:F,Parâmetros!G:G,"NOVA MENSAGEM"))</f>
        <v>CONTRATO FORNECEDOR</v>
      </c>
      <c r="N2240" s="1" t="str">
        <f>_xlfn.XLOOKUP(M2240,Parâmetros!K:K,Parâmetros!L:L,"")</f>
        <v>CONTRATO INATIVO OU DIVERGENTE</v>
      </c>
      <c r="O2240" s="1" t="str">
        <f>_xlfn.XLOOKUP(M2240,Parâmetros!B:B,Parâmetros!C:C,_xlfn.XLOOKUP(Base!M2237,Parâmetros!G:G,Parâmetros!H:H))</f>
        <v>SISTEMA</v>
      </c>
      <c r="P2240" s="1" t="str">
        <f>_xlfn.XLOOKUP(I2240,Parâmetros!A:A,Parâmetros!D:D,_xlfn.XLOOKUP(Q2240,Parâmetros!F:F,Parâmetros!I:I))</f>
        <v>OPERAÇÕES / SUPORTE KCS</v>
      </c>
      <c r="Q2240" s="1">
        <f t="shared" si="73"/>
        <v>69</v>
      </c>
    </row>
    <row r="2241" spans="1:17" x14ac:dyDescent="0.25">
      <c r="A2241" s="1" t="str">
        <f>_xlfn.XLOOKUP(D2241,'Novo relatório'!B:B,'Novo relatório'!C:C,"RESOLVIDO")</f>
        <v>TMS</v>
      </c>
      <c r="C2241" t="str">
        <f t="shared" si="72"/>
        <v>PENDENTE</v>
      </c>
      <c r="D2241" s="1">
        <v>3485630</v>
      </c>
      <c r="E2241" s="1" t="s">
        <v>12</v>
      </c>
      <c r="F2241" s="2">
        <v>45824.702777777777</v>
      </c>
      <c r="G2241" s="1">
        <v>7071</v>
      </c>
      <c r="H2241" s="1">
        <v>7071</v>
      </c>
      <c r="I2241" s="1" t="s">
        <v>2762</v>
      </c>
      <c r="J2241" s="2">
        <v>45825.164583333331</v>
      </c>
      <c r="L2241" s="1" t="s">
        <v>19</v>
      </c>
      <c r="M2241" s="1" t="str">
        <f>_xlfn.XLOOKUP(I2241,Parâmetros!A:A,Parâmetros!B:B,_xlfn.XLOOKUP(Q2241,Parâmetros!F:F,Parâmetros!G:G,"NOVA MENSAGEM"))</f>
        <v>CONTRATO FORNECEDOR</v>
      </c>
      <c r="N2241" s="1" t="str">
        <f>_xlfn.XLOOKUP(M2241,Parâmetros!K:K,Parâmetros!L:L,"")</f>
        <v>CONTRATO INATIVO OU DIVERGENTE</v>
      </c>
      <c r="O2241" s="1" t="str">
        <f>_xlfn.XLOOKUP(M2241,Parâmetros!B:B,Parâmetros!C:C,_xlfn.XLOOKUP(Base!M2238,Parâmetros!G:G,Parâmetros!H:H))</f>
        <v>SISTEMA</v>
      </c>
      <c r="P2241" s="1" t="str">
        <f>_xlfn.XLOOKUP(I2241,Parâmetros!A:A,Parâmetros!D:D,_xlfn.XLOOKUP(Q2241,Parâmetros!F:F,Parâmetros!I:I))</f>
        <v>OPERAÇÕES / SUPORTE KCS</v>
      </c>
      <c r="Q2241" s="1">
        <f t="shared" si="73"/>
        <v>69</v>
      </c>
    </row>
    <row r="2242" spans="1:17" x14ac:dyDescent="0.25">
      <c r="A2242" s="1" t="str">
        <f>_xlfn.XLOOKUP(D2242,'Novo relatório'!B:B,'Novo relatório'!C:C,"RESOLVIDO")</f>
        <v>TMS</v>
      </c>
      <c r="C2242" t="str">
        <f t="shared" si="72"/>
        <v>PENDENTE</v>
      </c>
      <c r="D2242" s="1">
        <v>3485109</v>
      </c>
      <c r="E2242" s="1" t="s">
        <v>12</v>
      </c>
      <c r="F2242" s="2">
        <v>45824.663194444445</v>
      </c>
      <c r="G2242" s="1">
        <v>72037</v>
      </c>
      <c r="H2242" s="1">
        <v>72037</v>
      </c>
      <c r="I2242" s="1" t="s">
        <v>16</v>
      </c>
      <c r="J2242" s="2">
        <v>45824.79791666667</v>
      </c>
      <c r="K2242" s="2">
        <v>45825.103472222225</v>
      </c>
      <c r="L2242" s="1" t="s">
        <v>14</v>
      </c>
      <c r="M2242" s="1" t="str">
        <f>_xlfn.XLOOKUP(I2242,Parâmetros!A:A,Parâmetros!B:B,_xlfn.XLOOKUP(Q2242,Parâmetros!F:F,Parâmetros!G:G,"NOVA MENSAGEM"))</f>
        <v>ASSENTO / BAGAGEM</v>
      </c>
      <c r="N2242" s="1" t="str">
        <f>_xlfn.XLOOKUP(M2242,Parâmetros!K:K,Parâmetros!L:L,"")</f>
        <v>CAMPO OBSERVAÇÃO PREENCHIDO INCORRETAMENTE</v>
      </c>
      <c r="O2242" s="1" t="str">
        <f>_xlfn.XLOOKUP(M2242,Parâmetros!B:B,Parâmetros!C:C,_xlfn.XLOOKUP(Base!M2239,Parâmetros!G:G,Parâmetros!H:H))</f>
        <v>QUALIDADE DOS DADOS</v>
      </c>
      <c r="P2242" s="1" t="str">
        <f>_xlfn.XLOOKUP(I2242,Parâmetros!A:A,Parâmetros!D:D,_xlfn.XLOOKUP(Q2242,Parâmetros!F:F,Parâmetros!I:I))</f>
        <v>OPERAÇÕES / SUPORTE KCS</v>
      </c>
      <c r="Q2242" s="1">
        <f t="shared" si="73"/>
        <v>118</v>
      </c>
    </row>
    <row r="2243" spans="1:17" x14ac:dyDescent="0.25">
      <c r="A2243" s="1" t="str">
        <f>_xlfn.XLOOKUP(D2243,'Novo relatório'!B:B,'Novo relatório'!C:C,"RESOLVIDO")</f>
        <v>TMS</v>
      </c>
      <c r="C2243" t="str">
        <f t="shared" si="72"/>
        <v>PENDENTE</v>
      </c>
      <c r="D2243" s="1">
        <v>3485045</v>
      </c>
      <c r="E2243" s="1" t="s">
        <v>12</v>
      </c>
      <c r="F2243" s="2">
        <v>45824.537499999999</v>
      </c>
      <c r="G2243" s="1">
        <v>72176</v>
      </c>
      <c r="H2243" s="1">
        <v>72176</v>
      </c>
      <c r="I2243" s="1" t="s">
        <v>16</v>
      </c>
      <c r="J2243" s="2">
        <v>45824.772222222222</v>
      </c>
      <c r="K2243" s="2">
        <v>45825.088194444441</v>
      </c>
      <c r="L2243" s="1" t="s">
        <v>14</v>
      </c>
      <c r="M2243" s="1" t="str">
        <f>_xlfn.XLOOKUP(I2243,Parâmetros!A:A,Parâmetros!B:B,_xlfn.XLOOKUP(Q2243,Parâmetros!F:F,Parâmetros!G:G,"NOVA MENSAGEM"))</f>
        <v>ASSENTO / BAGAGEM</v>
      </c>
      <c r="N2243" s="1" t="str">
        <f>_xlfn.XLOOKUP(M2243,Parâmetros!K:K,Parâmetros!L:L,"")</f>
        <v>CAMPO OBSERVAÇÃO PREENCHIDO INCORRETAMENTE</v>
      </c>
      <c r="O2243" s="1" t="str">
        <f>_xlfn.XLOOKUP(M2243,Parâmetros!B:B,Parâmetros!C:C,_xlfn.XLOOKUP(Base!M2240,Parâmetros!G:G,Parâmetros!H:H))</f>
        <v>QUALIDADE DOS DADOS</v>
      </c>
      <c r="P2243" s="1" t="str">
        <f>_xlfn.XLOOKUP(I2243,Parâmetros!A:A,Parâmetros!D:D,_xlfn.XLOOKUP(Q2243,Parâmetros!F:F,Parâmetros!I:I))</f>
        <v>OPERAÇÕES / SUPORTE KCS</v>
      </c>
      <c r="Q2243" s="1">
        <f t="shared" si="73"/>
        <v>118</v>
      </c>
    </row>
    <row r="2244" spans="1:17" x14ac:dyDescent="0.25">
      <c r="A2244" s="1" t="str">
        <f>_xlfn.XLOOKUP(D2244,'Novo relatório'!B:B,'Novo relatório'!C:C,"RESOLVIDO")</f>
        <v>TMS</v>
      </c>
      <c r="C2244" t="str">
        <f t="shared" si="72"/>
        <v>PENDENTE</v>
      </c>
      <c r="D2244" s="1">
        <v>3484677</v>
      </c>
      <c r="E2244" s="1" t="s">
        <v>12</v>
      </c>
      <c r="F2244" s="2">
        <v>45824.443749999999</v>
      </c>
      <c r="G2244" s="1">
        <v>7353</v>
      </c>
      <c r="H2244" s="1">
        <v>7353</v>
      </c>
      <c r="I2244" s="1" t="s">
        <v>16</v>
      </c>
      <c r="J2244" s="2">
        <v>45824.680555555555</v>
      </c>
      <c r="K2244" s="2">
        <v>45824.996527777781</v>
      </c>
      <c r="L2244" s="1" t="s">
        <v>14</v>
      </c>
      <c r="M2244" s="1" t="str">
        <f>_xlfn.XLOOKUP(I2244,Parâmetros!A:A,Parâmetros!B:B,_xlfn.XLOOKUP(Q2244,Parâmetros!F:F,Parâmetros!G:G,"NOVA MENSAGEM"))</f>
        <v>ASSENTO / BAGAGEM</v>
      </c>
      <c r="N2244" s="1" t="str">
        <f>_xlfn.XLOOKUP(M2244,Parâmetros!K:K,Parâmetros!L:L,"")</f>
        <v>CAMPO OBSERVAÇÃO PREENCHIDO INCORRETAMENTE</v>
      </c>
      <c r="O2244" s="1" t="str">
        <f>_xlfn.XLOOKUP(M2244,Parâmetros!B:B,Parâmetros!C:C,_xlfn.XLOOKUP(Base!M2241,Parâmetros!G:G,Parâmetros!H:H))</f>
        <v>QUALIDADE DOS DADOS</v>
      </c>
      <c r="P2244" s="1" t="str">
        <f>_xlfn.XLOOKUP(I2244,Parâmetros!A:A,Parâmetros!D:D,_xlfn.XLOOKUP(Q2244,Parâmetros!F:F,Parâmetros!I:I))</f>
        <v>OPERAÇÕES / SUPORTE KCS</v>
      </c>
      <c r="Q2244" s="1">
        <f t="shared" si="73"/>
        <v>118</v>
      </c>
    </row>
    <row r="2245" spans="1:17" x14ac:dyDescent="0.25">
      <c r="A2245" s="1" t="str">
        <f>_xlfn.XLOOKUP(D2245,'Novo relatório'!B:B,'Novo relatório'!C:C,"RESOLVIDO")</f>
        <v>GOVER</v>
      </c>
      <c r="C2245" t="str">
        <f t="shared" si="72"/>
        <v>PENDENTE</v>
      </c>
      <c r="D2245" s="1">
        <v>3479925</v>
      </c>
      <c r="E2245" s="1" t="s">
        <v>24</v>
      </c>
      <c r="F2245" s="2">
        <v>45779.717361111114</v>
      </c>
      <c r="G2245" s="1">
        <v>4531374</v>
      </c>
      <c r="H2245" s="1">
        <v>4531374</v>
      </c>
      <c r="I2245" s="1" t="s">
        <v>77</v>
      </c>
      <c r="J2245" s="2">
        <v>45820.71875</v>
      </c>
      <c r="K2245" s="2">
        <v>45825.441666666666</v>
      </c>
      <c r="L2245" s="1" t="s">
        <v>14</v>
      </c>
      <c r="M2245" s="1" t="str">
        <f>_xlfn.XLOOKUP(I2245,Parâmetros!A:A,Parâmetros!B:B,_xlfn.XLOOKUP(Q2245,Parâmetros!F:F,Parâmetros!G:G,"NOVA MENSAGEM"))</f>
        <v>RLOC NÃO INFORMADO</v>
      </c>
      <c r="N2245" s="1" t="str">
        <f>_xlfn.XLOOKUP(M2245,Parâmetros!K:K,Parâmetros!L:L,"")</f>
        <v>RLOC NÃO PREENCHIDO NA RESERVA</v>
      </c>
      <c r="O2245" s="1" t="str">
        <f>_xlfn.XLOOKUP(M2245,Parâmetros!B:B,Parâmetros!C:C,_xlfn.XLOOKUP(Base!M2242,Parâmetros!G:G,Parâmetros!H:H))</f>
        <v>QUALIDADE DOS DADOS</v>
      </c>
      <c r="P2245" s="1" t="str">
        <f>_xlfn.XLOOKUP(I2245,Parâmetros!A:A,Parâmetros!D:D,_xlfn.XLOOKUP(Q2245,Parâmetros!F:F,Parâmetros!I:I))</f>
        <v>SUPORTE OBT</v>
      </c>
      <c r="Q2245" s="1" t="str">
        <f t="shared" si="73"/>
        <v>COLUNA I</v>
      </c>
    </row>
    <row r="2246" spans="1:17" x14ac:dyDescent="0.25">
      <c r="A2246" s="1" t="str">
        <f>_xlfn.XLOOKUP(D2246,'Novo relatório'!B:B,'Novo relatório'!C:C,"RESOLVIDO")</f>
        <v>GOVER</v>
      </c>
      <c r="C2246" t="str">
        <f t="shared" si="72"/>
        <v>PENDENTE</v>
      </c>
      <c r="D2246" s="1">
        <v>3473736</v>
      </c>
      <c r="E2246" s="1" t="s">
        <v>24</v>
      </c>
      <c r="F2246" s="2">
        <v>45813.682638888888</v>
      </c>
      <c r="G2246" s="1">
        <v>4548607</v>
      </c>
      <c r="H2246" s="1" t="s">
        <v>2764</v>
      </c>
      <c r="I2246" s="1" t="s">
        <v>2645</v>
      </c>
      <c r="J2246" s="2">
        <v>45818.490972222222</v>
      </c>
      <c r="K2246" s="2">
        <v>45825.441666666666</v>
      </c>
      <c r="L2246" s="1" t="s">
        <v>19</v>
      </c>
      <c r="M2246" s="1" t="str">
        <f>_xlfn.XLOOKUP(I2246,Parâmetros!A:A,Parâmetros!B:B,_xlfn.XLOOKUP(Q2246,Parâmetros!F:F,Parâmetros!G:G,"NOVA MENSAGEM"))</f>
        <v>CONTRATO FORNECEDOR</v>
      </c>
      <c r="N2246" s="1" t="str">
        <f>_xlfn.XLOOKUP(M2246,Parâmetros!K:K,Parâmetros!L:L,"")</f>
        <v>CONTRATO INATIVO OU DIVERGENTE</v>
      </c>
      <c r="O2246" s="1" t="str">
        <f>_xlfn.XLOOKUP(M2246,Parâmetros!B:B,Parâmetros!C:C,_xlfn.XLOOKUP(Base!M2243,Parâmetros!G:G,Parâmetros!H:H))</f>
        <v>SISTEMA</v>
      </c>
      <c r="P2246" s="1" t="str">
        <f>_xlfn.XLOOKUP(I2246,Parâmetros!A:A,Parâmetros!D:D,_xlfn.XLOOKUP(Q2246,Parâmetros!F:F,Parâmetros!I:I))</f>
        <v>OPERAÇÕES / SUPORTE KCS</v>
      </c>
      <c r="Q2246" s="1">
        <f t="shared" si="73"/>
        <v>55</v>
      </c>
    </row>
    <row r="2247" spans="1:17" x14ac:dyDescent="0.25">
      <c r="A2247" s="1" t="str">
        <f>_xlfn.XLOOKUP(D2247,'Novo relatório'!B:B,'Novo relatório'!C:C,"RESOLVIDO")</f>
        <v>GOVER</v>
      </c>
      <c r="C2247" t="str">
        <f t="shared" si="72"/>
        <v>PENDENTE</v>
      </c>
      <c r="D2247" s="1">
        <v>3470547</v>
      </c>
      <c r="E2247" s="1" t="s">
        <v>24</v>
      </c>
      <c r="F2247" s="2">
        <v>45814.938194444447</v>
      </c>
      <c r="G2247" s="1">
        <v>4549295</v>
      </c>
      <c r="H2247" s="1">
        <v>4549295</v>
      </c>
      <c r="I2247" s="1" t="s">
        <v>77</v>
      </c>
      <c r="J2247" s="2">
        <v>45814.948611111111</v>
      </c>
      <c r="K2247" s="2">
        <v>45825.441666666666</v>
      </c>
      <c r="L2247" s="1" t="s">
        <v>14</v>
      </c>
      <c r="M2247" s="1" t="str">
        <f>_xlfn.XLOOKUP(I2247,Parâmetros!A:A,Parâmetros!B:B,_xlfn.XLOOKUP(Q2247,Parâmetros!F:F,Parâmetros!G:G,"NOVA MENSAGEM"))</f>
        <v>RLOC NÃO INFORMADO</v>
      </c>
      <c r="N2247" s="1" t="str">
        <f>_xlfn.XLOOKUP(M2247,Parâmetros!K:K,Parâmetros!L:L,"")</f>
        <v>RLOC NÃO PREENCHIDO NA RESERVA</v>
      </c>
      <c r="O2247" s="1" t="str">
        <f>_xlfn.XLOOKUP(M2247,Parâmetros!B:B,Parâmetros!C:C,_xlfn.XLOOKUP(Base!M2244,Parâmetros!G:G,Parâmetros!H:H))</f>
        <v>QUALIDADE DOS DADOS</v>
      </c>
      <c r="P2247" s="1" t="str">
        <f>_xlfn.XLOOKUP(I2247,Parâmetros!A:A,Parâmetros!D:D,_xlfn.XLOOKUP(Q2247,Parâmetros!F:F,Parâmetros!I:I))</f>
        <v>SUPORTE OBT</v>
      </c>
      <c r="Q2247" s="1" t="str">
        <f t="shared" si="73"/>
        <v>COLUNA I</v>
      </c>
    </row>
    <row r="2248" spans="1:17" x14ac:dyDescent="0.25">
      <c r="A2248" s="1" t="str">
        <f>_xlfn.XLOOKUP(D2248,'Novo relatório'!B:B,'Novo relatório'!C:C,"RESOLVIDO")</f>
        <v>GOVER</v>
      </c>
      <c r="C2248" t="str">
        <f t="shared" si="72"/>
        <v>PENDENTE</v>
      </c>
      <c r="D2248" s="1">
        <v>3470701</v>
      </c>
      <c r="E2248" s="1" t="s">
        <v>24</v>
      </c>
      <c r="F2248" s="2">
        <v>45815.756249999999</v>
      </c>
      <c r="G2248" s="1">
        <v>4549319</v>
      </c>
      <c r="H2248" s="1">
        <v>4549319</v>
      </c>
      <c r="I2248" s="1" t="s">
        <v>77</v>
      </c>
      <c r="J2248" s="2">
        <v>45815.76666666667</v>
      </c>
      <c r="K2248" s="2">
        <v>45825.441666666666</v>
      </c>
      <c r="L2248" s="1" t="s">
        <v>14</v>
      </c>
      <c r="M2248" s="1" t="str">
        <f>_xlfn.XLOOKUP(I2248,Parâmetros!A:A,Parâmetros!B:B,_xlfn.XLOOKUP(Q2248,Parâmetros!F:F,Parâmetros!G:G,"NOVA MENSAGEM"))</f>
        <v>RLOC NÃO INFORMADO</v>
      </c>
      <c r="N2248" s="1" t="str">
        <f>_xlfn.XLOOKUP(M2248,Parâmetros!K:K,Parâmetros!L:L,"")</f>
        <v>RLOC NÃO PREENCHIDO NA RESERVA</v>
      </c>
      <c r="O2248" s="1" t="str">
        <f>_xlfn.XLOOKUP(M2248,Parâmetros!B:B,Parâmetros!C:C,_xlfn.XLOOKUP(Base!M2245,Parâmetros!G:G,Parâmetros!H:H))</f>
        <v>QUALIDADE DOS DADOS</v>
      </c>
      <c r="P2248" s="1" t="str">
        <f>_xlfn.XLOOKUP(I2248,Parâmetros!A:A,Parâmetros!D:D,_xlfn.XLOOKUP(Q2248,Parâmetros!F:F,Parâmetros!I:I))</f>
        <v>SUPORTE OBT</v>
      </c>
      <c r="Q2248" s="1" t="str">
        <f t="shared" si="73"/>
        <v>COLUNA I</v>
      </c>
    </row>
    <row r="2249" spans="1:17" x14ac:dyDescent="0.25">
      <c r="A2249" s="1" t="str">
        <f>_xlfn.XLOOKUP(D2249,'Novo relatório'!B:B,'Novo relatório'!C:C,"RESOLVIDO")</f>
        <v>GOVER</v>
      </c>
      <c r="C2249" t="str">
        <f t="shared" si="72"/>
        <v>PENDENTE</v>
      </c>
      <c r="D2249" s="1">
        <v>3470724</v>
      </c>
      <c r="E2249" s="1" t="s">
        <v>24</v>
      </c>
      <c r="F2249" s="2">
        <v>45815.822916666664</v>
      </c>
      <c r="G2249" s="1">
        <v>4549321</v>
      </c>
      <c r="H2249" s="1">
        <v>4549321</v>
      </c>
      <c r="I2249" s="1" t="s">
        <v>77</v>
      </c>
      <c r="J2249" s="2">
        <v>45815.85</v>
      </c>
      <c r="K2249" s="2">
        <v>45825.441666666666</v>
      </c>
      <c r="L2249" s="1" t="s">
        <v>14</v>
      </c>
      <c r="M2249" s="1" t="str">
        <f>_xlfn.XLOOKUP(I2249,Parâmetros!A:A,Parâmetros!B:B,_xlfn.XLOOKUP(Q2249,Parâmetros!F:F,Parâmetros!G:G,"NOVA MENSAGEM"))</f>
        <v>RLOC NÃO INFORMADO</v>
      </c>
      <c r="N2249" s="1" t="str">
        <f>_xlfn.XLOOKUP(M2249,Parâmetros!K:K,Parâmetros!L:L,"")</f>
        <v>RLOC NÃO PREENCHIDO NA RESERVA</v>
      </c>
      <c r="O2249" s="1" t="str">
        <f>_xlfn.XLOOKUP(M2249,Parâmetros!B:B,Parâmetros!C:C,_xlfn.XLOOKUP(Base!M2246,Parâmetros!G:G,Parâmetros!H:H))</f>
        <v>QUALIDADE DOS DADOS</v>
      </c>
      <c r="P2249" s="1" t="str">
        <f>_xlfn.XLOOKUP(I2249,Parâmetros!A:A,Parâmetros!D:D,_xlfn.XLOOKUP(Q2249,Parâmetros!F:F,Parâmetros!I:I))</f>
        <v>SUPORTE OBT</v>
      </c>
      <c r="Q2249" s="1" t="str">
        <f t="shared" si="73"/>
        <v>COLUNA I</v>
      </c>
    </row>
    <row r="2250" spans="1:17" x14ac:dyDescent="0.25">
      <c r="A2250" s="1" t="str">
        <f>_xlfn.XLOOKUP(D2250,'Novo relatório'!B:B,'Novo relatório'!C:C,"RESOLVIDO")</f>
        <v>GOVER</v>
      </c>
      <c r="C2250" t="str">
        <f t="shared" si="72"/>
        <v>PENDENTE</v>
      </c>
      <c r="D2250" s="1">
        <v>3472734</v>
      </c>
      <c r="E2250" s="1" t="s">
        <v>24</v>
      </c>
      <c r="F2250" s="2">
        <v>45817.820138888892</v>
      </c>
      <c r="G2250" s="1">
        <v>4550080</v>
      </c>
      <c r="H2250" s="1">
        <v>4550080</v>
      </c>
      <c r="I2250" s="1" t="s">
        <v>77</v>
      </c>
      <c r="J2250" s="2">
        <v>45817.82916666667</v>
      </c>
      <c r="K2250" s="2">
        <v>45825.441666666666</v>
      </c>
      <c r="L2250" s="1" t="s">
        <v>14</v>
      </c>
      <c r="M2250" s="1" t="str">
        <f>_xlfn.XLOOKUP(I2250,Parâmetros!A:A,Parâmetros!B:B,_xlfn.XLOOKUP(Q2250,Parâmetros!F:F,Parâmetros!G:G,"NOVA MENSAGEM"))</f>
        <v>RLOC NÃO INFORMADO</v>
      </c>
      <c r="N2250" s="1" t="str">
        <f>_xlfn.XLOOKUP(M2250,Parâmetros!K:K,Parâmetros!L:L,"")</f>
        <v>RLOC NÃO PREENCHIDO NA RESERVA</v>
      </c>
      <c r="O2250" s="1" t="str">
        <f>_xlfn.XLOOKUP(M2250,Parâmetros!B:B,Parâmetros!C:C,_xlfn.XLOOKUP(Base!M2247,Parâmetros!G:G,Parâmetros!H:H))</f>
        <v>QUALIDADE DOS DADOS</v>
      </c>
      <c r="P2250" s="1" t="str">
        <f>_xlfn.XLOOKUP(I2250,Parâmetros!A:A,Parâmetros!D:D,_xlfn.XLOOKUP(Q2250,Parâmetros!F:F,Parâmetros!I:I))</f>
        <v>SUPORTE OBT</v>
      </c>
      <c r="Q2250" s="1" t="str">
        <f t="shared" si="73"/>
        <v>COLUNA I</v>
      </c>
    </row>
    <row r="2251" spans="1:17" x14ac:dyDescent="0.25">
      <c r="A2251" s="1" t="str">
        <f>_xlfn.XLOOKUP(D2251,'Novo relatório'!B:B,'Novo relatório'!C:C,"RESOLVIDO")</f>
        <v>GOVER</v>
      </c>
      <c r="C2251" t="str">
        <f t="shared" si="72"/>
        <v>PENDENTE</v>
      </c>
      <c r="D2251" s="1">
        <v>3480276</v>
      </c>
      <c r="E2251" s="1" t="s">
        <v>24</v>
      </c>
      <c r="F2251" s="2">
        <v>45818.431250000001</v>
      </c>
      <c r="G2251" s="1">
        <v>4550215</v>
      </c>
      <c r="H2251" s="1">
        <v>4550215</v>
      </c>
      <c r="I2251" s="1" t="s">
        <v>77</v>
      </c>
      <c r="J2251" s="2">
        <v>45820.870833333334</v>
      </c>
      <c r="K2251" s="2">
        <v>45825.441666666666</v>
      </c>
      <c r="L2251" s="1" t="s">
        <v>14</v>
      </c>
      <c r="M2251" s="1" t="str">
        <f>_xlfn.XLOOKUP(I2251,Parâmetros!A:A,Parâmetros!B:B,_xlfn.XLOOKUP(Q2251,Parâmetros!F:F,Parâmetros!G:G,"NOVA MENSAGEM"))</f>
        <v>RLOC NÃO INFORMADO</v>
      </c>
      <c r="N2251" s="1" t="str">
        <f>_xlfn.XLOOKUP(M2251,Parâmetros!K:K,Parâmetros!L:L,"")</f>
        <v>RLOC NÃO PREENCHIDO NA RESERVA</v>
      </c>
      <c r="O2251" s="1" t="str">
        <f>_xlfn.XLOOKUP(M2251,Parâmetros!B:B,Parâmetros!C:C,_xlfn.XLOOKUP(Base!M2248,Parâmetros!G:G,Parâmetros!H:H))</f>
        <v>QUALIDADE DOS DADOS</v>
      </c>
      <c r="P2251" s="1" t="str">
        <f>_xlfn.XLOOKUP(I2251,Parâmetros!A:A,Parâmetros!D:D,_xlfn.XLOOKUP(Q2251,Parâmetros!F:F,Parâmetros!I:I))</f>
        <v>SUPORTE OBT</v>
      </c>
      <c r="Q2251" s="1" t="str">
        <f t="shared" si="73"/>
        <v>COLUNA I</v>
      </c>
    </row>
    <row r="2252" spans="1:17" x14ac:dyDescent="0.25">
      <c r="A2252" s="1" t="str">
        <f>_xlfn.XLOOKUP(D2252,'Novo relatório'!B:B,'Novo relatório'!C:C,"RESOLVIDO")</f>
        <v>GOVER</v>
      </c>
      <c r="C2252" t="str">
        <f t="shared" si="72"/>
        <v>PENDENTE</v>
      </c>
      <c r="D2252" s="1">
        <v>3474170</v>
      </c>
      <c r="E2252" s="1" t="s">
        <v>24</v>
      </c>
      <c r="F2252" s="2">
        <v>45818.606249999997</v>
      </c>
      <c r="G2252" s="1">
        <v>4550483</v>
      </c>
      <c r="H2252" s="1">
        <v>4550483</v>
      </c>
      <c r="I2252" s="1" t="s">
        <v>77</v>
      </c>
      <c r="J2252" s="2">
        <v>45818.678472222222</v>
      </c>
      <c r="K2252" s="2">
        <v>45825.441666666666</v>
      </c>
      <c r="L2252" s="1" t="s">
        <v>14</v>
      </c>
      <c r="M2252" s="1" t="str">
        <f>_xlfn.XLOOKUP(I2252,Parâmetros!A:A,Parâmetros!B:B,_xlfn.XLOOKUP(Q2252,Parâmetros!F:F,Parâmetros!G:G,"NOVA MENSAGEM"))</f>
        <v>RLOC NÃO INFORMADO</v>
      </c>
      <c r="N2252" s="1" t="str">
        <f>_xlfn.XLOOKUP(M2252,Parâmetros!K:K,Parâmetros!L:L,"")</f>
        <v>RLOC NÃO PREENCHIDO NA RESERVA</v>
      </c>
      <c r="O2252" s="1" t="str">
        <f>_xlfn.XLOOKUP(M2252,Parâmetros!B:B,Parâmetros!C:C,_xlfn.XLOOKUP(Base!M2249,Parâmetros!G:G,Parâmetros!H:H))</f>
        <v>QUALIDADE DOS DADOS</v>
      </c>
      <c r="P2252" s="1" t="str">
        <f>_xlfn.XLOOKUP(I2252,Parâmetros!A:A,Parâmetros!D:D,_xlfn.XLOOKUP(Q2252,Parâmetros!F:F,Parâmetros!I:I))</f>
        <v>SUPORTE OBT</v>
      </c>
      <c r="Q2252" s="1" t="str">
        <f t="shared" si="73"/>
        <v>COLUNA I</v>
      </c>
    </row>
    <row r="2253" spans="1:17" x14ac:dyDescent="0.25">
      <c r="A2253" s="1" t="str">
        <f>_xlfn.XLOOKUP(D2253,'Novo relatório'!B:B,'Novo relatório'!C:C,"RESOLVIDO")</f>
        <v>GOVER</v>
      </c>
      <c r="C2253" t="str">
        <f t="shared" si="72"/>
        <v>PENDENTE</v>
      </c>
      <c r="D2253" s="1">
        <v>3482124</v>
      </c>
      <c r="E2253" s="1" t="s">
        <v>24</v>
      </c>
      <c r="F2253" s="2">
        <v>45821.813194444447</v>
      </c>
      <c r="G2253" s="1">
        <v>4552535</v>
      </c>
      <c r="H2253" s="1">
        <v>4552535</v>
      </c>
      <c r="I2253" s="1" t="s">
        <v>77</v>
      </c>
      <c r="J2253" s="2">
        <v>45821.822222222225</v>
      </c>
      <c r="K2253" s="2">
        <v>45825.441666666666</v>
      </c>
      <c r="L2253" s="1" t="s">
        <v>14</v>
      </c>
      <c r="M2253" s="1" t="str">
        <f>_xlfn.XLOOKUP(I2253,Parâmetros!A:A,Parâmetros!B:B,_xlfn.XLOOKUP(Q2253,Parâmetros!F:F,Parâmetros!G:G,"NOVA MENSAGEM"))</f>
        <v>RLOC NÃO INFORMADO</v>
      </c>
      <c r="N2253" s="1" t="str">
        <f>_xlfn.XLOOKUP(M2253,Parâmetros!K:K,Parâmetros!L:L,"")</f>
        <v>RLOC NÃO PREENCHIDO NA RESERVA</v>
      </c>
      <c r="O2253" s="1" t="str">
        <f>_xlfn.XLOOKUP(M2253,Parâmetros!B:B,Parâmetros!C:C,_xlfn.XLOOKUP(Base!M2250,Parâmetros!G:G,Parâmetros!H:H))</f>
        <v>QUALIDADE DOS DADOS</v>
      </c>
      <c r="P2253" s="1" t="str">
        <f>_xlfn.XLOOKUP(I2253,Parâmetros!A:A,Parâmetros!D:D,_xlfn.XLOOKUP(Q2253,Parâmetros!F:F,Parâmetros!I:I))</f>
        <v>SUPORTE OBT</v>
      </c>
      <c r="Q2253" s="1" t="str">
        <f t="shared" si="73"/>
        <v>COLUNA I</v>
      </c>
    </row>
  </sheetData>
  <autoFilter ref="A1:Q2086" xr:uid="{F6F7F457-53A8-464B-965D-50161C72DA9F}">
    <sortState xmlns:xlrd2="http://schemas.microsoft.com/office/spreadsheetml/2017/richdata2" ref="A2:Q2086">
      <sortCondition ref="D1:D2086"/>
    </sortState>
  </autoFilter>
  <conditionalFormatting sqref="A1:A1048576">
    <cfRule type="cellIs" dxfId="20" priority="47" operator="equal">
      <formula>"RESOLVIDO"</formula>
    </cfRule>
  </conditionalFormatting>
  <conditionalFormatting sqref="C1:C1048576">
    <cfRule type="cellIs" dxfId="19" priority="16" operator="equal">
      <formula>"resolvido"</formula>
    </cfRule>
    <cfRule type="cellIs" dxfId="18" priority="19" operator="equal">
      <formula>"AGUARDANDO FORNECEDOR"</formula>
    </cfRule>
  </conditionalFormatting>
  <conditionalFormatting sqref="D1">
    <cfRule type="cellIs" dxfId="17" priority="49" operator="equal">
      <formula>"aguardando fornecedor"</formula>
    </cfRule>
    <cfRule type="cellIs" dxfId="16" priority="54" operator="equal">
      <formula>"resolvido"</formula>
    </cfRule>
  </conditionalFormatting>
  <conditionalFormatting sqref="D2:D1388 D2075:D2086">
    <cfRule type="cellIs" dxfId="15" priority="18" operator="equal">
      <formula>"NOVO"</formula>
    </cfRule>
  </conditionalFormatting>
  <conditionalFormatting sqref="M1:M1048576">
    <cfRule type="cellIs" dxfId="14" priority="59" operator="equal">
      <formula>"NOVA MENSAGEM"</formula>
    </cfRule>
  </conditionalFormatting>
  <conditionalFormatting sqref="M1:P1 M2:M52 N2:P2253">
    <cfRule type="cellIs" dxfId="13" priority="63" operator="equal">
      <formula>"OUTROS"</formula>
    </cfRule>
  </conditionalFormatting>
  <conditionalFormatting sqref="D1389:D1642">
    <cfRule type="cellIs" dxfId="12" priority="8" operator="equal">
      <formula>"NOVO"</formula>
    </cfRule>
  </conditionalFormatting>
  <conditionalFormatting sqref="D1643:D1754">
    <cfRule type="cellIs" dxfId="11" priority="7" operator="equal">
      <formula>"NOVO"</formula>
    </cfRule>
  </conditionalFormatting>
  <conditionalFormatting sqref="D1755:D1843">
    <cfRule type="cellIs" dxfId="10" priority="6" operator="equal">
      <formula>"NOVO"</formula>
    </cfRule>
  </conditionalFormatting>
  <conditionalFormatting sqref="D1844:D2025">
    <cfRule type="cellIs" dxfId="9" priority="5" operator="equal">
      <formula>"NOVO"</formula>
    </cfRule>
  </conditionalFormatting>
  <conditionalFormatting sqref="D2026:D2074">
    <cfRule type="cellIs" dxfId="8" priority="4" operator="equal">
      <formula>"NOVO"</formula>
    </cfRule>
  </conditionalFormatting>
  <conditionalFormatting sqref="D2087:D2161">
    <cfRule type="cellIs" dxfId="7" priority="2" operator="equal">
      <formula>"NOVO"</formula>
    </cfRule>
  </conditionalFormatting>
  <conditionalFormatting sqref="D2162:D2253">
    <cfRule type="cellIs" dxfId="0" priority="1" operator="equal">
      <formula>"NOVO"</formula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784EC-4CF2-4AF1-B19D-34DD762A8513}">
  <sheetPr codeName="Planilha6" filterMode="1">
    <tabColor rgb="FF9C2BA5"/>
  </sheetPr>
  <dimension ref="A1:J1828"/>
  <sheetViews>
    <sheetView zoomScale="80" zoomScaleNormal="80" workbookViewId="0">
      <pane ySplit="1" topLeftCell="A28" activePane="bottomLeft" state="frozen"/>
      <selection activeCell="G1" sqref="G1"/>
      <selection pane="bottomLeft" activeCell="G1391" sqref="G1391"/>
    </sheetView>
  </sheetViews>
  <sheetFormatPr defaultColWidth="12.42578125" defaultRowHeight="15" x14ac:dyDescent="0.25"/>
  <cols>
    <col min="1" max="1" width="26" style="1" bestFit="1" customWidth="1"/>
    <col min="2" max="2" width="14.140625" style="1" customWidth="1"/>
    <col min="3" max="3" width="12.42578125" style="1" bestFit="1" customWidth="1"/>
    <col min="4" max="4" width="17.42578125" style="1" bestFit="1" customWidth="1"/>
    <col min="5" max="6" width="19.85546875" style="1" bestFit="1" customWidth="1"/>
    <col min="7" max="7" width="157" style="1" customWidth="1"/>
    <col min="8" max="8" width="17.140625" style="1" bestFit="1" customWidth="1"/>
    <col min="9" max="9" width="17.28515625" style="1" bestFit="1" customWidth="1"/>
    <col min="10" max="10" width="27.7109375" style="1" bestFit="1" customWidth="1"/>
    <col min="11" max="16384" width="12.42578125" style="1"/>
  </cols>
  <sheetData>
    <row r="1" spans="1:10" s="11" customFormat="1" x14ac:dyDescent="0.25">
      <c r="A1" s="11" t="s">
        <v>417</v>
      </c>
      <c r="B1" s="11" t="s">
        <v>2</v>
      </c>
      <c r="C1" s="11" t="s">
        <v>17</v>
      </c>
      <c r="D1" s="11" t="s">
        <v>4</v>
      </c>
      <c r="E1" s="11" t="s">
        <v>5</v>
      </c>
      <c r="F1" s="11" t="s">
        <v>6</v>
      </c>
      <c r="G1" s="11" t="s">
        <v>7</v>
      </c>
      <c r="H1" s="11" t="s">
        <v>8</v>
      </c>
      <c r="I1" s="11" t="s">
        <v>9</v>
      </c>
      <c r="J1" s="11" t="s">
        <v>10</v>
      </c>
    </row>
    <row r="2" spans="1:10" hidden="1" x14ac:dyDescent="0.25">
      <c r="A2" s="1" t="str">
        <f>_xlfn.XLOOKUP(E2,Base!G:G,Base!C:C,"NOVO")</f>
        <v>PENDENTE</v>
      </c>
      <c r="B2" s="1">
        <v>3221807</v>
      </c>
      <c r="C2" s="1" t="s">
        <v>26</v>
      </c>
      <c r="D2" s="2">
        <v>45691.709027777775</v>
      </c>
      <c r="E2" s="1" t="s">
        <v>688</v>
      </c>
      <c r="F2" s="1" t="s">
        <v>688</v>
      </c>
      <c r="G2" s="1" t="s">
        <v>83</v>
      </c>
      <c r="H2" s="2">
        <v>45691.840277777781</v>
      </c>
      <c r="I2" s="2"/>
      <c r="J2" s="1" t="s">
        <v>18</v>
      </c>
    </row>
    <row r="3" spans="1:10" hidden="1" x14ac:dyDescent="0.25">
      <c r="A3" s="1" t="str">
        <f>_xlfn.XLOOKUP(E3,Base!G:G,Base!C:C,"NOVO")</f>
        <v>PENDENTE</v>
      </c>
      <c r="B3" s="1">
        <v>3465789</v>
      </c>
      <c r="C3" s="1" t="s">
        <v>26</v>
      </c>
      <c r="D3" s="2">
        <v>45813.402083333334</v>
      </c>
      <c r="E3" s="1" t="s">
        <v>2594</v>
      </c>
      <c r="F3" s="1" t="s">
        <v>2594</v>
      </c>
      <c r="G3" s="1" t="s">
        <v>2477</v>
      </c>
      <c r="H3" s="2">
        <v>45813.490972222222</v>
      </c>
      <c r="J3" s="1" t="s">
        <v>18</v>
      </c>
    </row>
    <row r="4" spans="1:10" hidden="1" x14ac:dyDescent="0.25">
      <c r="A4" s="1" t="str">
        <f>_xlfn.XLOOKUP(E4,Base!G:G,Base!C:C,"NOVO")</f>
        <v>PENDENTE</v>
      </c>
      <c r="B4" s="1">
        <v>3362755</v>
      </c>
      <c r="C4" s="1" t="s">
        <v>26</v>
      </c>
      <c r="D4" s="2">
        <v>45760.638194444444</v>
      </c>
      <c r="E4" s="1" t="s">
        <v>1929</v>
      </c>
      <c r="F4" s="1" t="s">
        <v>1929</v>
      </c>
      <c r="G4" s="1" t="s">
        <v>83</v>
      </c>
      <c r="H4" s="2">
        <v>45760.734027777777</v>
      </c>
      <c r="J4" s="1" t="s">
        <v>18</v>
      </c>
    </row>
    <row r="5" spans="1:10" hidden="1" x14ac:dyDescent="0.25">
      <c r="A5" s="1" t="str">
        <f>_xlfn.XLOOKUP(E5,Base!G:G,Base!C:C,"NOVO")</f>
        <v>PENDENTE</v>
      </c>
      <c r="B5" s="1">
        <v>3221800</v>
      </c>
      <c r="C5" s="1" t="s">
        <v>26</v>
      </c>
      <c r="D5" s="2">
        <v>45691.709027777775</v>
      </c>
      <c r="E5" s="1" t="s">
        <v>689</v>
      </c>
      <c r="F5" s="1" t="s">
        <v>689</v>
      </c>
      <c r="G5" s="1" t="s">
        <v>83</v>
      </c>
      <c r="H5" s="2">
        <v>45691.838888888888</v>
      </c>
      <c r="J5" s="1" t="s">
        <v>18</v>
      </c>
    </row>
    <row r="6" spans="1:10" hidden="1" x14ac:dyDescent="0.25">
      <c r="A6" s="1" t="str">
        <f>_xlfn.XLOOKUP(E6,Base!G:G,Base!C:C,"NOVO")</f>
        <v>PENDENTE</v>
      </c>
      <c r="B6" s="1">
        <v>3343061</v>
      </c>
      <c r="C6" s="1" t="s">
        <v>26</v>
      </c>
      <c r="D6" s="2">
        <v>45749.73333333333</v>
      </c>
      <c r="E6" s="1" t="s">
        <v>1645</v>
      </c>
      <c r="F6" s="1" t="s">
        <v>1645</v>
      </c>
      <c r="G6" s="1" t="s">
        <v>396</v>
      </c>
      <c r="H6" s="2">
        <v>45749.824999999997</v>
      </c>
      <c r="J6" s="1" t="s">
        <v>18</v>
      </c>
    </row>
    <row r="7" spans="1:10" hidden="1" x14ac:dyDescent="0.25">
      <c r="A7" s="1" t="str">
        <f>_xlfn.XLOOKUP(E7,Base!G:G,Base!C:C,"NOVO")</f>
        <v>PENDENTE</v>
      </c>
      <c r="B7" s="1">
        <v>3314832</v>
      </c>
      <c r="C7" s="1" t="s">
        <v>26</v>
      </c>
      <c r="D7" s="2">
        <v>45736.708333333336</v>
      </c>
      <c r="E7" s="1" t="s">
        <v>1646</v>
      </c>
      <c r="F7" s="1" t="s">
        <v>1646</v>
      </c>
      <c r="G7" s="1" t="s">
        <v>652</v>
      </c>
      <c r="H7" s="2">
        <v>45736.79583333333</v>
      </c>
      <c r="J7" s="1" t="s">
        <v>18</v>
      </c>
    </row>
    <row r="8" spans="1:10" hidden="1" x14ac:dyDescent="0.25">
      <c r="A8" s="1" t="str">
        <f>_xlfn.XLOOKUP(E8,Base!G:G,Base!C:C,"NOVO")</f>
        <v>PENDENTE</v>
      </c>
      <c r="B8" s="1">
        <v>3243989</v>
      </c>
      <c r="C8" s="1" t="s">
        <v>26</v>
      </c>
      <c r="D8" s="2">
        <v>45701.382638888892</v>
      </c>
      <c r="E8" s="1" t="s">
        <v>1051</v>
      </c>
      <c r="F8" s="1" t="s">
        <v>1051</v>
      </c>
      <c r="G8" s="1" t="s">
        <v>408</v>
      </c>
      <c r="H8" s="2">
        <v>45701.519444444442</v>
      </c>
      <c r="J8" s="1" t="s">
        <v>18</v>
      </c>
    </row>
    <row r="9" spans="1:10" hidden="1" x14ac:dyDescent="0.25">
      <c r="A9" s="1" t="str">
        <f>_xlfn.XLOOKUP(E9,Base!G:G,Base!C:C,"NOVO")</f>
        <v>PENDENTE</v>
      </c>
      <c r="B9" s="1">
        <v>3302611</v>
      </c>
      <c r="C9" s="1" t="s">
        <v>26</v>
      </c>
      <c r="D9" s="2">
        <v>45733.345138888886</v>
      </c>
      <c r="E9" s="1" t="s">
        <v>1371</v>
      </c>
      <c r="F9" s="1" t="s">
        <v>1371</v>
      </c>
      <c r="G9" s="1" t="s">
        <v>1054</v>
      </c>
      <c r="H9" s="2">
        <v>45730.82708333333</v>
      </c>
      <c r="I9" s="2">
        <v>45733.429861111108</v>
      </c>
      <c r="J9" s="1" t="s">
        <v>18</v>
      </c>
    </row>
    <row r="10" spans="1:10" hidden="1" x14ac:dyDescent="0.25">
      <c r="A10" s="1" t="str">
        <f>_xlfn.XLOOKUP(E10,Base!G:G,Base!C:C,"NOVO")</f>
        <v>PENDENTE</v>
      </c>
      <c r="B10" s="1">
        <v>3314078</v>
      </c>
      <c r="C10" s="1" t="s">
        <v>26</v>
      </c>
      <c r="D10" s="2">
        <v>45736.570138888892</v>
      </c>
      <c r="E10" s="1" t="s">
        <v>1647</v>
      </c>
      <c r="F10" s="1" t="s">
        <v>1647</v>
      </c>
      <c r="G10" s="1" t="s">
        <v>410</v>
      </c>
      <c r="H10" s="2">
        <v>45736.663194444445</v>
      </c>
      <c r="J10" s="1" t="s">
        <v>18</v>
      </c>
    </row>
    <row r="11" spans="1:10" hidden="1" x14ac:dyDescent="0.25">
      <c r="A11" s="1" t="str">
        <f>_xlfn.XLOOKUP(E11,Base!G:G,Base!C:C,"NOVO")</f>
        <v>PENDENTE</v>
      </c>
      <c r="B11" s="1">
        <v>3293545</v>
      </c>
      <c r="C11" s="1" t="s">
        <v>26</v>
      </c>
      <c r="D11" s="2">
        <v>45727.770833333336</v>
      </c>
      <c r="E11" s="1" t="s">
        <v>1372</v>
      </c>
      <c r="F11" s="1" t="s">
        <v>1372</v>
      </c>
      <c r="G11" s="1" t="s">
        <v>83</v>
      </c>
      <c r="H11" s="2">
        <v>45727.86041666667</v>
      </c>
      <c r="J11" s="1" t="s">
        <v>18</v>
      </c>
    </row>
    <row r="12" spans="1:10" hidden="1" x14ac:dyDescent="0.25">
      <c r="A12" s="1" t="str">
        <f>_xlfn.XLOOKUP(E12,Base!G:G,Base!C:C,"NOVO")</f>
        <v>PENDENTE</v>
      </c>
      <c r="B12" s="1">
        <v>3307428</v>
      </c>
      <c r="C12" s="1" t="s">
        <v>26</v>
      </c>
      <c r="D12" s="2">
        <v>45735.486805555556</v>
      </c>
      <c r="E12" s="1" t="s">
        <v>1635</v>
      </c>
      <c r="F12" s="1" t="s">
        <v>1635</v>
      </c>
      <c r="G12" s="1" t="s">
        <v>1060</v>
      </c>
      <c r="H12" s="2">
        <v>45734.504166666666</v>
      </c>
      <c r="I12" s="2">
        <v>45735.575694444444</v>
      </c>
      <c r="J12" s="1" t="s">
        <v>18</v>
      </c>
    </row>
    <row r="13" spans="1:10" hidden="1" x14ac:dyDescent="0.25">
      <c r="A13" s="1" t="str">
        <f>_xlfn.XLOOKUP(E13,Base!G:G,Base!C:C,"NOVO")</f>
        <v>PENDENTE</v>
      </c>
      <c r="B13" s="1">
        <v>3390941</v>
      </c>
      <c r="C13" s="1" t="s">
        <v>26</v>
      </c>
      <c r="D13" s="2">
        <v>45776.627083333333</v>
      </c>
      <c r="E13" s="1" t="s">
        <v>2179</v>
      </c>
      <c r="F13" s="1" t="s">
        <v>2180</v>
      </c>
      <c r="G13" s="1" t="s">
        <v>2100</v>
      </c>
      <c r="H13" s="2">
        <v>45776.713194444441</v>
      </c>
      <c r="J13" s="1" t="s">
        <v>19</v>
      </c>
    </row>
    <row r="14" spans="1:10" hidden="1" x14ac:dyDescent="0.25">
      <c r="A14" s="1" t="str">
        <f>_xlfn.XLOOKUP(E14,Base!G:G,Base!C:C,"NOVO")</f>
        <v>PENDENTE</v>
      </c>
      <c r="B14" s="1">
        <v>3432284</v>
      </c>
      <c r="C14" s="1" t="s">
        <v>26</v>
      </c>
      <c r="D14" s="2">
        <v>45797.62777777778</v>
      </c>
      <c r="E14" s="1" t="s">
        <v>2360</v>
      </c>
      <c r="F14" s="1" t="s">
        <v>2360</v>
      </c>
      <c r="G14" s="1" t="s">
        <v>707</v>
      </c>
      <c r="H14" s="2">
        <v>45797.727777777778</v>
      </c>
      <c r="J14" s="1" t="s">
        <v>18</v>
      </c>
    </row>
    <row r="15" spans="1:10" hidden="1" x14ac:dyDescent="0.25">
      <c r="A15" s="1" t="str">
        <f>_xlfn.XLOOKUP(E15,Base!G:G,Base!C:C,"NOVO")</f>
        <v>PENDENTE</v>
      </c>
      <c r="B15" s="1">
        <v>3362746</v>
      </c>
      <c r="C15" s="1" t="s">
        <v>26</v>
      </c>
      <c r="D15" s="2">
        <v>45760.638194444444</v>
      </c>
      <c r="E15" s="1" t="s">
        <v>1930</v>
      </c>
      <c r="F15" s="1" t="s">
        <v>1930</v>
      </c>
      <c r="G15" s="1" t="s">
        <v>83</v>
      </c>
      <c r="H15" s="2">
        <v>45760.731944444444</v>
      </c>
      <c r="J15" s="1" t="s">
        <v>18</v>
      </c>
    </row>
    <row r="16" spans="1:10" hidden="1" x14ac:dyDescent="0.25">
      <c r="A16" s="1" t="str">
        <f>_xlfn.XLOOKUP(E16,Base!G:G,Base!C:C,"NOVO")</f>
        <v>PENDENTE</v>
      </c>
      <c r="B16" s="1">
        <v>3260926</v>
      </c>
      <c r="C16" s="1" t="s">
        <v>26</v>
      </c>
      <c r="D16" s="2">
        <v>45709.45416666667</v>
      </c>
      <c r="E16" s="1" t="s">
        <v>1052</v>
      </c>
      <c r="F16" s="1" t="s">
        <v>1052</v>
      </c>
      <c r="G16" s="1" t="s">
        <v>83</v>
      </c>
      <c r="H16" s="2">
        <v>45709.585416666669</v>
      </c>
      <c r="J16" s="1" t="s">
        <v>18</v>
      </c>
    </row>
    <row r="17" spans="1:10" hidden="1" x14ac:dyDescent="0.25">
      <c r="A17" s="1" t="str">
        <f>_xlfn.XLOOKUP(E17,Base!G:G,Base!C:C,"NOVO")</f>
        <v>PENDENTE</v>
      </c>
      <c r="B17" s="1">
        <v>3293555</v>
      </c>
      <c r="C17" s="1" t="s">
        <v>26</v>
      </c>
      <c r="D17" s="2">
        <v>45728.413888888892</v>
      </c>
      <c r="E17" s="1" t="s">
        <v>1373</v>
      </c>
      <c r="F17" s="1" t="s">
        <v>1373</v>
      </c>
      <c r="G17" s="1" t="s">
        <v>83</v>
      </c>
      <c r="H17" s="2">
        <v>45727.861111111109</v>
      </c>
      <c r="I17" s="2">
        <v>45728.50277777778</v>
      </c>
      <c r="J17" s="1" t="s">
        <v>18</v>
      </c>
    </row>
    <row r="18" spans="1:10" hidden="1" x14ac:dyDescent="0.25">
      <c r="A18" s="1" t="str">
        <f>_xlfn.XLOOKUP(E18,Base!G:G,Base!C:C,"NOVO")</f>
        <v>PENDENTE</v>
      </c>
      <c r="B18" s="1">
        <v>3362766</v>
      </c>
      <c r="C18" s="1" t="s">
        <v>26</v>
      </c>
      <c r="D18" s="2">
        <v>45760.638194444444</v>
      </c>
      <c r="E18" s="1" t="s">
        <v>1931</v>
      </c>
      <c r="F18" s="1" t="s">
        <v>1931</v>
      </c>
      <c r="G18" s="1" t="s">
        <v>83</v>
      </c>
      <c r="H18" s="2">
        <v>45760.734722222223</v>
      </c>
      <c r="J18" s="1" t="s">
        <v>18</v>
      </c>
    </row>
    <row r="19" spans="1:10" hidden="1" x14ac:dyDescent="0.25">
      <c r="A19" s="1" t="str">
        <f>_xlfn.XLOOKUP(E19,Base!G:G,Base!C:C,"NOVO")</f>
        <v>PENDENTE</v>
      </c>
      <c r="B19" s="1">
        <v>3383186</v>
      </c>
      <c r="C19" s="1" t="s">
        <v>26</v>
      </c>
      <c r="D19" s="2">
        <v>45775.477083333331</v>
      </c>
      <c r="E19" s="1" t="s">
        <v>1932</v>
      </c>
      <c r="F19" s="1" t="s">
        <v>1932</v>
      </c>
      <c r="G19" s="1" t="s">
        <v>829</v>
      </c>
      <c r="H19" s="2">
        <v>45772.481944444444</v>
      </c>
      <c r="I19" s="2">
        <v>45775.56527777778</v>
      </c>
      <c r="J19" s="1" t="s">
        <v>18</v>
      </c>
    </row>
    <row r="20" spans="1:10" hidden="1" x14ac:dyDescent="0.25">
      <c r="A20" s="1" t="str">
        <f>_xlfn.XLOOKUP(E20,Base!G:G,Base!C:C,"NOVO")</f>
        <v>PENDENTE</v>
      </c>
      <c r="B20" s="1">
        <v>3436384</v>
      </c>
      <c r="C20" s="1" t="s">
        <v>26</v>
      </c>
      <c r="D20" s="2">
        <v>45799.382638888892</v>
      </c>
      <c r="E20" s="1" t="s">
        <v>2361</v>
      </c>
      <c r="F20" s="1" t="s">
        <v>2361</v>
      </c>
      <c r="G20" s="1" t="s">
        <v>746</v>
      </c>
      <c r="H20" s="2">
        <v>45799.472222222219</v>
      </c>
      <c r="J20" s="1" t="s">
        <v>18</v>
      </c>
    </row>
    <row r="21" spans="1:10" hidden="1" x14ac:dyDescent="0.25">
      <c r="A21" s="1" t="str">
        <f>_xlfn.XLOOKUP(E21,Base!G:G,Base!C:C,"NOVO")</f>
        <v>PENDENTE</v>
      </c>
      <c r="B21" s="1">
        <v>3257749</v>
      </c>
      <c r="C21" s="1" t="s">
        <v>26</v>
      </c>
      <c r="D21" s="2">
        <v>45708.417361111111</v>
      </c>
      <c r="E21" s="1" t="s">
        <v>1053</v>
      </c>
      <c r="F21" s="1" t="s">
        <v>1053</v>
      </c>
      <c r="G21" s="1" t="s">
        <v>1054</v>
      </c>
      <c r="H21" s="2">
        <v>45708.548611111109</v>
      </c>
      <c r="J21" s="1" t="s">
        <v>18</v>
      </c>
    </row>
    <row r="22" spans="1:10" hidden="1" x14ac:dyDescent="0.25">
      <c r="A22" s="1" t="str">
        <f>_xlfn.XLOOKUP(E22,Base!G:G,Base!C:C,"NOVO")</f>
        <v>PENDENTE</v>
      </c>
      <c r="B22" s="1">
        <v>3276765</v>
      </c>
      <c r="C22" s="1" t="s">
        <v>26</v>
      </c>
      <c r="D22" s="2">
        <v>45721.290277777778</v>
      </c>
      <c r="E22" s="1" t="s">
        <v>1246</v>
      </c>
      <c r="F22" s="1" t="s">
        <v>1247</v>
      </c>
      <c r="G22" s="1" t="s">
        <v>64</v>
      </c>
      <c r="H22" s="2">
        <v>45716.797222222223</v>
      </c>
      <c r="I22" s="2">
        <v>45721.52847222222</v>
      </c>
      <c r="J22" s="1" t="s">
        <v>1244</v>
      </c>
    </row>
    <row r="23" spans="1:10" hidden="1" x14ac:dyDescent="0.25">
      <c r="A23" s="1" t="str">
        <f>_xlfn.XLOOKUP(E23,Base!G:G,Base!C:C,"NOVO")</f>
        <v>PENDENTE</v>
      </c>
      <c r="B23" s="1">
        <v>3411822</v>
      </c>
      <c r="C23" s="1" t="s">
        <v>26</v>
      </c>
      <c r="D23" s="2">
        <v>45786.597916666666</v>
      </c>
      <c r="E23" s="1" t="s">
        <v>2277</v>
      </c>
      <c r="F23" s="1" t="s">
        <v>2277</v>
      </c>
      <c r="G23" s="1" t="s">
        <v>2278</v>
      </c>
      <c r="H23" s="2">
        <v>45786.690972222219</v>
      </c>
      <c r="J23" s="1" t="s">
        <v>18</v>
      </c>
    </row>
    <row r="24" spans="1:10" hidden="1" x14ac:dyDescent="0.25">
      <c r="A24" s="1" t="str">
        <f>_xlfn.XLOOKUP(E24,Base!G:G,Base!C:C,"NOVO")</f>
        <v>PENDENTE</v>
      </c>
      <c r="B24" s="1">
        <v>3291660</v>
      </c>
      <c r="C24" s="1" t="s">
        <v>26</v>
      </c>
      <c r="D24" s="2">
        <v>45728.416666666664</v>
      </c>
      <c r="E24" s="1" t="s">
        <v>1374</v>
      </c>
      <c r="F24" s="1" t="s">
        <v>1374</v>
      </c>
      <c r="G24" s="1" t="s">
        <v>1060</v>
      </c>
      <c r="H24" s="2">
        <v>45727.481249999997</v>
      </c>
      <c r="I24" s="2">
        <v>45728.50277777778</v>
      </c>
      <c r="J24" s="1" t="s">
        <v>18</v>
      </c>
    </row>
    <row r="25" spans="1:10" hidden="1" x14ac:dyDescent="0.25">
      <c r="A25" s="1" t="str">
        <f>_xlfn.XLOOKUP(E25,Base!G:G,Base!C:C,"NOVO")</f>
        <v>PENDENTE</v>
      </c>
      <c r="B25" s="1">
        <v>3291744</v>
      </c>
      <c r="C25" s="1" t="s">
        <v>26</v>
      </c>
      <c r="D25" s="2">
        <v>45727.42291666667</v>
      </c>
      <c r="E25" s="1" t="s">
        <v>1375</v>
      </c>
      <c r="F25" s="1" t="s">
        <v>1375</v>
      </c>
      <c r="G25" s="1" t="s">
        <v>1215</v>
      </c>
      <c r="H25" s="2">
        <v>45727.512499999997</v>
      </c>
      <c r="J25" s="1" t="s">
        <v>18</v>
      </c>
    </row>
    <row r="26" spans="1:10" hidden="1" x14ac:dyDescent="0.25">
      <c r="A26" s="1" t="str">
        <f>_xlfn.XLOOKUP(E26,Base!G:G,Base!C:C,"NOVO")</f>
        <v>PENDENTE</v>
      </c>
      <c r="B26" s="1">
        <v>3312691</v>
      </c>
      <c r="C26" s="1" t="s">
        <v>26</v>
      </c>
      <c r="D26" s="2">
        <v>45735.756944444445</v>
      </c>
      <c r="E26" s="1" t="s">
        <v>1648</v>
      </c>
      <c r="F26" s="1" t="s">
        <v>1648</v>
      </c>
      <c r="G26" s="1" t="s">
        <v>83</v>
      </c>
      <c r="H26" s="2">
        <v>45735.850694444445</v>
      </c>
      <c r="J26" s="1" t="s">
        <v>18</v>
      </c>
    </row>
    <row r="27" spans="1:10" hidden="1" x14ac:dyDescent="0.25">
      <c r="A27" s="1" t="str">
        <f>_xlfn.XLOOKUP(E27,Base!G:G,Base!C:C,"NOVO")</f>
        <v>PENDENTE</v>
      </c>
      <c r="B27" s="1">
        <v>3381646</v>
      </c>
      <c r="C27" s="1" t="s">
        <v>26</v>
      </c>
      <c r="D27" s="2">
        <v>45771.647222222222</v>
      </c>
      <c r="E27" s="1" t="s">
        <v>1933</v>
      </c>
      <c r="F27" s="1" t="s">
        <v>1934</v>
      </c>
      <c r="G27" s="1" t="s">
        <v>64</v>
      </c>
      <c r="H27" s="2">
        <v>45771.732638888891</v>
      </c>
      <c r="J27" s="1" t="s">
        <v>1244</v>
      </c>
    </row>
    <row r="28" spans="1:10" x14ac:dyDescent="0.25">
      <c r="A28" s="1" t="str">
        <f>_xlfn.XLOOKUP(E28,Base!G:G,Base!C:C,"NOVO")</f>
        <v>PENDENTE</v>
      </c>
      <c r="B28" s="1">
        <v>3472251</v>
      </c>
      <c r="C28" s="1" t="s">
        <v>26</v>
      </c>
      <c r="D28" s="2">
        <v>45817.654861111114</v>
      </c>
      <c r="E28" s="1" t="s">
        <v>2680</v>
      </c>
      <c r="F28" s="1" t="s">
        <v>2681</v>
      </c>
      <c r="G28" s="1" t="s">
        <v>64</v>
      </c>
      <c r="H28" s="2">
        <v>45817.740972222222</v>
      </c>
      <c r="J28" s="1" t="s">
        <v>1244</v>
      </c>
    </row>
    <row r="29" spans="1:10" hidden="1" x14ac:dyDescent="0.25">
      <c r="A29" s="1" t="str">
        <f>_xlfn.XLOOKUP(E29,Base!G:G,Base!C:C,"NOVO")</f>
        <v>PENDENTE</v>
      </c>
      <c r="B29" s="1">
        <v>3313046</v>
      </c>
      <c r="C29" s="1" t="s">
        <v>26</v>
      </c>
      <c r="D29" s="2">
        <v>45736.327777777777</v>
      </c>
      <c r="E29" s="1" t="s">
        <v>1649</v>
      </c>
      <c r="F29" s="1" t="s">
        <v>1650</v>
      </c>
      <c r="G29" s="1" t="s">
        <v>64</v>
      </c>
      <c r="H29" s="2">
        <v>45736.420138888891</v>
      </c>
      <c r="J29" s="1" t="s">
        <v>1244</v>
      </c>
    </row>
    <row r="30" spans="1:10" hidden="1" x14ac:dyDescent="0.25">
      <c r="A30" s="1" t="str">
        <f>_xlfn.XLOOKUP(E30,Base!G:G,Base!C:C,"NOVO")</f>
        <v>PENDENTE</v>
      </c>
      <c r="B30" s="1">
        <v>3333733</v>
      </c>
      <c r="C30" s="1" t="s">
        <v>26</v>
      </c>
      <c r="D30" s="2">
        <v>45747.398611111108</v>
      </c>
      <c r="E30" s="1" t="s">
        <v>1651</v>
      </c>
      <c r="F30" s="1" t="s">
        <v>1652</v>
      </c>
      <c r="G30" s="1" t="s">
        <v>64</v>
      </c>
      <c r="H30" s="2">
        <v>45747.482638888891</v>
      </c>
      <c r="J30" s="1" t="s">
        <v>1244</v>
      </c>
    </row>
    <row r="31" spans="1:10" hidden="1" x14ac:dyDescent="0.25">
      <c r="A31" s="1" t="str">
        <f>_xlfn.XLOOKUP(E31,Base!G:G,Base!C:C,"NOVO")</f>
        <v>PENDENTE</v>
      </c>
      <c r="B31" s="1">
        <v>3411437</v>
      </c>
      <c r="C31" s="1" t="s">
        <v>26</v>
      </c>
      <c r="D31" s="2">
        <v>45789.425000000003</v>
      </c>
      <c r="E31" s="1" t="s">
        <v>2279</v>
      </c>
      <c r="F31" s="1" t="s">
        <v>2279</v>
      </c>
      <c r="G31" s="1" t="s">
        <v>83</v>
      </c>
      <c r="H31" s="2">
        <v>45786.565972222219</v>
      </c>
      <c r="I31" s="2">
        <v>45789.512499999997</v>
      </c>
      <c r="J31" s="1" t="s">
        <v>18</v>
      </c>
    </row>
    <row r="32" spans="1:10" hidden="1" x14ac:dyDescent="0.25">
      <c r="A32" s="1" t="str">
        <f>_xlfn.XLOOKUP(E32,Base!G:G,Base!C:C,"NOVO")</f>
        <v>PENDENTE</v>
      </c>
      <c r="B32" s="1">
        <v>3373501</v>
      </c>
      <c r="C32" s="1" t="s">
        <v>26</v>
      </c>
      <c r="D32" s="2">
        <v>45764.701388888891</v>
      </c>
      <c r="E32" s="1" t="s">
        <v>1935</v>
      </c>
      <c r="F32" s="1" t="s">
        <v>1935</v>
      </c>
      <c r="G32" s="1" t="s">
        <v>83</v>
      </c>
      <c r="H32" s="2">
        <v>45764.797222222223</v>
      </c>
      <c r="J32" s="1" t="s">
        <v>18</v>
      </c>
    </row>
    <row r="33" spans="1:10" hidden="1" x14ac:dyDescent="0.25">
      <c r="A33" s="1" t="str">
        <f>_xlfn.XLOOKUP(E33,Base!G:G,Base!C:C,"NOVO")</f>
        <v>PENDENTE</v>
      </c>
      <c r="B33" s="1">
        <v>3411442</v>
      </c>
      <c r="C33" s="1" t="s">
        <v>26</v>
      </c>
      <c r="D33" s="2">
        <v>45789.42291666667</v>
      </c>
      <c r="E33" s="1" t="s">
        <v>2280</v>
      </c>
      <c r="F33" s="1" t="s">
        <v>2280</v>
      </c>
      <c r="G33" s="1" t="s">
        <v>83</v>
      </c>
      <c r="H33" s="2">
        <v>45786.565972222219</v>
      </c>
      <c r="I33" s="2">
        <v>45789.511805555558</v>
      </c>
      <c r="J33" s="1" t="s">
        <v>18</v>
      </c>
    </row>
    <row r="34" spans="1:10" hidden="1" x14ac:dyDescent="0.25">
      <c r="A34" s="1" t="str">
        <f>_xlfn.XLOOKUP(E34,Base!G:G,Base!C:C,"NOVO")</f>
        <v>PENDENTE</v>
      </c>
      <c r="B34" s="1">
        <v>3311345</v>
      </c>
      <c r="C34" s="1" t="s">
        <v>26</v>
      </c>
      <c r="D34" s="2">
        <v>45735.560416666667</v>
      </c>
      <c r="E34" s="1" t="s">
        <v>1653</v>
      </c>
      <c r="F34" s="1" t="s">
        <v>1654</v>
      </c>
      <c r="G34" s="1" t="s">
        <v>64</v>
      </c>
      <c r="H34" s="2">
        <v>45735.649305555555</v>
      </c>
      <c r="J34" s="1" t="s">
        <v>1244</v>
      </c>
    </row>
    <row r="35" spans="1:10" hidden="1" x14ac:dyDescent="0.25">
      <c r="A35" s="1" t="str">
        <f>_xlfn.XLOOKUP(E35,Base!G:G,Base!C:C,"NOVO")</f>
        <v>PENDENTE</v>
      </c>
      <c r="B35" s="1">
        <v>3251452</v>
      </c>
      <c r="C35" s="1" t="s">
        <v>26</v>
      </c>
      <c r="D35" s="2">
        <v>45705.770138888889</v>
      </c>
      <c r="E35" s="1" t="s">
        <v>1055</v>
      </c>
      <c r="F35" s="1" t="s">
        <v>1055</v>
      </c>
      <c r="G35" s="1" t="s">
        <v>83</v>
      </c>
      <c r="H35" s="2">
        <v>45705.900694444441</v>
      </c>
      <c r="J35" s="1" t="s">
        <v>18</v>
      </c>
    </row>
    <row r="36" spans="1:10" hidden="1" x14ac:dyDescent="0.25">
      <c r="A36" s="1" t="str">
        <f>_xlfn.XLOOKUP(E36,Base!G:G,Base!C:C,"NOVO")</f>
        <v>PENDENTE</v>
      </c>
      <c r="B36" s="1">
        <v>3353698</v>
      </c>
      <c r="C36" s="1" t="s">
        <v>26</v>
      </c>
      <c r="D36" s="2">
        <v>45755.634027777778</v>
      </c>
      <c r="E36" s="1" t="s">
        <v>1655</v>
      </c>
      <c r="F36" s="1" t="s">
        <v>1655</v>
      </c>
      <c r="G36" s="1" t="s">
        <v>396</v>
      </c>
      <c r="H36" s="2">
        <v>45755.722916666666</v>
      </c>
      <c r="J36" s="1" t="s">
        <v>18</v>
      </c>
    </row>
    <row r="37" spans="1:10" hidden="1" x14ac:dyDescent="0.25">
      <c r="A37" s="1" t="str">
        <f>_xlfn.XLOOKUP(E37,Base!G:G,Base!C:C,"NOVO")</f>
        <v>PENDENTE</v>
      </c>
      <c r="B37" s="1">
        <v>3429685</v>
      </c>
      <c r="C37" s="1" t="s">
        <v>26</v>
      </c>
      <c r="D37" s="2">
        <v>45796.71875</v>
      </c>
      <c r="E37" s="1" t="s">
        <v>2362</v>
      </c>
      <c r="F37" s="1" t="s">
        <v>2362</v>
      </c>
      <c r="G37" s="1" t="s">
        <v>410</v>
      </c>
      <c r="H37" s="2">
        <v>45796.804861111108</v>
      </c>
      <c r="J37" s="1" t="s">
        <v>18</v>
      </c>
    </row>
    <row r="38" spans="1:10" hidden="1" x14ac:dyDescent="0.25">
      <c r="A38" s="1" t="str">
        <f>_xlfn.XLOOKUP(E38,Base!G:G,Base!C:C,"NOVO")</f>
        <v>PENDENTE</v>
      </c>
      <c r="B38" s="1">
        <v>3240678</v>
      </c>
      <c r="C38" s="1" t="s">
        <v>26</v>
      </c>
      <c r="D38" s="2">
        <v>45699.737500000003</v>
      </c>
      <c r="E38" s="1" t="s">
        <v>1056</v>
      </c>
      <c r="F38" s="1" t="s">
        <v>1056</v>
      </c>
      <c r="G38" s="1" t="s">
        <v>1057</v>
      </c>
      <c r="H38" s="2">
        <v>45699.870138888888</v>
      </c>
      <c r="J38" s="1" t="s">
        <v>18</v>
      </c>
    </row>
    <row r="39" spans="1:10" x14ac:dyDescent="0.25">
      <c r="A39" s="1" t="str">
        <f>_xlfn.XLOOKUP(E39,Base!G:G,Base!C:C,"NOVO")</f>
        <v>PENDENTE</v>
      </c>
      <c r="B39" s="1">
        <v>3477207</v>
      </c>
      <c r="C39" s="1" t="s">
        <v>26</v>
      </c>
      <c r="D39" s="2">
        <v>45819.724305555559</v>
      </c>
      <c r="E39" s="1" t="s">
        <v>2682</v>
      </c>
      <c r="F39" s="1" t="s">
        <v>2682</v>
      </c>
      <c r="G39" s="1" t="s">
        <v>746</v>
      </c>
      <c r="H39" s="2">
        <v>45819.813888888886</v>
      </c>
      <c r="J39" s="1" t="s">
        <v>18</v>
      </c>
    </row>
    <row r="40" spans="1:10" hidden="1" x14ac:dyDescent="0.25">
      <c r="A40" s="1" t="str">
        <f>_xlfn.XLOOKUP(E40,Base!G:G,Base!C:C,"NOVO")</f>
        <v>PENDENTE</v>
      </c>
      <c r="B40" s="1">
        <v>3324894</v>
      </c>
      <c r="C40" s="1" t="s">
        <v>26</v>
      </c>
      <c r="D40" s="2">
        <v>45742.313194444447</v>
      </c>
      <c r="E40" s="1" t="s">
        <v>1656</v>
      </c>
      <c r="F40" s="1" t="s">
        <v>1656</v>
      </c>
      <c r="G40" s="1" t="s">
        <v>273</v>
      </c>
      <c r="H40" s="2">
        <v>45742.406944444447</v>
      </c>
      <c r="J40" s="1" t="s">
        <v>1245</v>
      </c>
    </row>
    <row r="41" spans="1:10" hidden="1" x14ac:dyDescent="0.25">
      <c r="A41" s="1" t="str">
        <f>_xlfn.XLOOKUP(E41,Base!G:G,Base!C:C,"NOVO")</f>
        <v>PENDENTE</v>
      </c>
      <c r="B41" s="1">
        <v>3332251</v>
      </c>
      <c r="C41" s="1" t="s">
        <v>26</v>
      </c>
      <c r="D41" s="2">
        <v>45747.413194444445</v>
      </c>
      <c r="E41" s="1" t="s">
        <v>1657</v>
      </c>
      <c r="F41" s="1" t="s">
        <v>1657</v>
      </c>
      <c r="G41" s="1" t="s">
        <v>83</v>
      </c>
      <c r="H41" s="2">
        <v>45744.85833333333</v>
      </c>
      <c r="I41" s="2">
        <v>45747.502083333333</v>
      </c>
      <c r="J41" s="1" t="s">
        <v>18</v>
      </c>
    </row>
    <row r="42" spans="1:10" hidden="1" x14ac:dyDescent="0.25">
      <c r="A42" s="1" t="str">
        <f>_xlfn.XLOOKUP(E42,Base!G:G,Base!C:C,"NOVO")</f>
        <v>PENDENTE</v>
      </c>
      <c r="B42" s="1">
        <v>3251422</v>
      </c>
      <c r="C42" s="1" t="s">
        <v>26</v>
      </c>
      <c r="D42" s="2">
        <v>45706.319444444445</v>
      </c>
      <c r="E42" s="1" t="s">
        <v>1058</v>
      </c>
      <c r="F42" s="1" t="s">
        <v>1058</v>
      </c>
      <c r="G42" s="1" t="s">
        <v>1059</v>
      </c>
      <c r="H42" s="2">
        <v>45705.899305555555</v>
      </c>
      <c r="I42" s="2">
        <v>45706.451388888891</v>
      </c>
      <c r="J42" s="1" t="s">
        <v>18</v>
      </c>
    </row>
    <row r="43" spans="1:10" hidden="1" x14ac:dyDescent="0.25">
      <c r="A43" s="1" t="str">
        <f>_xlfn.XLOOKUP(E43,Base!G:G,Base!C:C,"NOVO")</f>
        <v>PENDENTE</v>
      </c>
      <c r="B43" s="1">
        <v>3292267</v>
      </c>
      <c r="C43" s="1" t="s">
        <v>26</v>
      </c>
      <c r="D43" s="2">
        <v>45727.578472222223</v>
      </c>
      <c r="E43" s="1" t="s">
        <v>1376</v>
      </c>
      <c r="F43" s="1" t="s">
        <v>1377</v>
      </c>
      <c r="G43" s="1" t="s">
        <v>64</v>
      </c>
      <c r="H43" s="2">
        <v>45727.670138888891</v>
      </c>
      <c r="J43" s="1" t="s">
        <v>1244</v>
      </c>
    </row>
    <row r="44" spans="1:10" hidden="1" x14ac:dyDescent="0.25">
      <c r="A44" s="1" t="str">
        <f>_xlfn.XLOOKUP(E44,Base!G:G,Base!C:C,"NOVO")</f>
        <v>PENDENTE</v>
      </c>
      <c r="B44" s="1">
        <v>3290320</v>
      </c>
      <c r="C44" s="1" t="s">
        <v>26</v>
      </c>
      <c r="D44" s="2">
        <v>45726.756944444445</v>
      </c>
      <c r="E44" s="1" t="s">
        <v>1378</v>
      </c>
      <c r="F44" s="1" t="s">
        <v>1378</v>
      </c>
      <c r="G44" s="1" t="s">
        <v>83</v>
      </c>
      <c r="H44" s="2">
        <v>45726.850694444445</v>
      </c>
      <c r="J44" s="1" t="s">
        <v>18</v>
      </c>
    </row>
    <row r="45" spans="1:10" hidden="1" x14ac:dyDescent="0.25">
      <c r="A45" s="1" t="str">
        <f>_xlfn.XLOOKUP(E45,Base!G:G,Base!C:C,"NOVO")</f>
        <v>PENDENTE</v>
      </c>
      <c r="B45" s="1">
        <v>3323956</v>
      </c>
      <c r="C45" s="1" t="s">
        <v>26</v>
      </c>
      <c r="D45" s="2">
        <v>45715.265972222223</v>
      </c>
      <c r="E45" s="1" t="s">
        <v>1658</v>
      </c>
      <c r="F45" s="1" t="s">
        <v>1659</v>
      </c>
      <c r="G45" s="1" t="s">
        <v>64</v>
      </c>
      <c r="H45" s="2">
        <v>45741.949305555558</v>
      </c>
      <c r="J45" s="1" t="s">
        <v>1244</v>
      </c>
    </row>
    <row r="46" spans="1:10" hidden="1" x14ac:dyDescent="0.25">
      <c r="A46" s="1" t="str">
        <f>_xlfn.XLOOKUP(E46,Base!G:G,Base!C:C,"NOVO")</f>
        <v>PENDENTE</v>
      </c>
      <c r="B46" s="1">
        <v>3336867</v>
      </c>
      <c r="C46" s="1" t="s">
        <v>26</v>
      </c>
      <c r="D46" s="2">
        <v>45748.425000000003</v>
      </c>
      <c r="E46" s="1" t="s">
        <v>1660</v>
      </c>
      <c r="F46" s="1" t="s">
        <v>1660</v>
      </c>
      <c r="G46" s="1" t="s">
        <v>408</v>
      </c>
      <c r="H46" s="2">
        <v>45748.511805555558</v>
      </c>
      <c r="J46" s="1" t="s">
        <v>18</v>
      </c>
    </row>
    <row r="47" spans="1:10" hidden="1" x14ac:dyDescent="0.25">
      <c r="A47" s="1" t="str">
        <f>_xlfn.XLOOKUP(E47,Base!G:G,Base!C:C,"NOVO")</f>
        <v>PENDENTE</v>
      </c>
      <c r="B47" s="1">
        <v>3336869</v>
      </c>
      <c r="C47" s="1" t="s">
        <v>26</v>
      </c>
      <c r="D47" s="2">
        <v>45748.425000000003</v>
      </c>
      <c r="E47" s="1" t="s">
        <v>1661</v>
      </c>
      <c r="F47" s="1" t="s">
        <v>1660</v>
      </c>
      <c r="G47" s="1" t="s">
        <v>1423</v>
      </c>
      <c r="H47" s="2">
        <v>45748.511805555558</v>
      </c>
      <c r="J47" s="1" t="s">
        <v>18</v>
      </c>
    </row>
    <row r="48" spans="1:10" hidden="1" x14ac:dyDescent="0.25">
      <c r="A48" s="1" t="str">
        <f>_xlfn.XLOOKUP(E48,Base!G:G,Base!C:C,"NOVO")</f>
        <v>PENDENTE</v>
      </c>
      <c r="B48" s="1">
        <v>3336868</v>
      </c>
      <c r="C48" s="1" t="s">
        <v>26</v>
      </c>
      <c r="D48" s="2">
        <v>45748.425000000003</v>
      </c>
      <c r="E48" s="1" t="s">
        <v>1662</v>
      </c>
      <c r="F48" s="1" t="s">
        <v>1660</v>
      </c>
      <c r="G48" s="1" t="s">
        <v>1202</v>
      </c>
      <c r="H48" s="2">
        <v>45748.511805555558</v>
      </c>
      <c r="J48" s="1" t="s">
        <v>18</v>
      </c>
    </row>
    <row r="49" spans="1:10" hidden="1" x14ac:dyDescent="0.25">
      <c r="A49" s="1" t="str">
        <f>_xlfn.XLOOKUP(E49,Base!G:G,Base!C:C,"NOVO")</f>
        <v>PENDENTE</v>
      </c>
      <c r="B49" s="1">
        <v>3338341</v>
      </c>
      <c r="C49" s="1" t="s">
        <v>26</v>
      </c>
      <c r="D49" s="2">
        <v>45748.759722222225</v>
      </c>
      <c r="E49" s="1" t="s">
        <v>1663</v>
      </c>
      <c r="F49" s="1" t="s">
        <v>1663</v>
      </c>
      <c r="G49" s="1" t="s">
        <v>652</v>
      </c>
      <c r="H49" s="2">
        <v>45748.845138888886</v>
      </c>
      <c r="J49" s="1" t="s">
        <v>18</v>
      </c>
    </row>
    <row r="50" spans="1:10" hidden="1" x14ac:dyDescent="0.25">
      <c r="A50" s="1" t="str">
        <f>_xlfn.XLOOKUP(E50,Base!G:G,Base!C:C,"NOVO")</f>
        <v>PENDENTE</v>
      </c>
      <c r="B50" s="1">
        <v>3318348</v>
      </c>
      <c r="C50" s="1" t="s">
        <v>26</v>
      </c>
      <c r="D50" s="2">
        <v>45737.770138888889</v>
      </c>
      <c r="E50" s="1" t="s">
        <v>1664</v>
      </c>
      <c r="F50" s="1" t="s">
        <v>1664</v>
      </c>
      <c r="G50" s="1" t="s">
        <v>83</v>
      </c>
      <c r="H50" s="2">
        <v>45737.861111111109</v>
      </c>
      <c r="J50" s="1" t="s">
        <v>18</v>
      </c>
    </row>
    <row r="51" spans="1:10" hidden="1" x14ac:dyDescent="0.25">
      <c r="A51" s="1" t="str">
        <f>_xlfn.XLOOKUP(E51,Base!G:G,Base!C:C,"NOVO")</f>
        <v>PENDENTE</v>
      </c>
      <c r="B51" s="1">
        <v>3445828</v>
      </c>
      <c r="C51" s="1" t="s">
        <v>26</v>
      </c>
      <c r="D51" s="2">
        <v>45805.620138888888</v>
      </c>
      <c r="E51" s="1" t="s">
        <v>2363</v>
      </c>
      <c r="F51" s="1" t="s">
        <v>2363</v>
      </c>
      <c r="G51" s="1" t="s">
        <v>829</v>
      </c>
      <c r="H51" s="2">
        <v>45804.693055555559</v>
      </c>
      <c r="I51" s="2">
        <v>45805.710416666669</v>
      </c>
      <c r="J51" s="1" t="s">
        <v>18</v>
      </c>
    </row>
    <row r="52" spans="1:10" hidden="1" x14ac:dyDescent="0.25">
      <c r="A52" s="1" t="str">
        <f>_xlfn.XLOOKUP(E52,Base!G:G,Base!C:C,"NOVO")</f>
        <v>PENDENTE</v>
      </c>
      <c r="B52" s="1">
        <v>3268878</v>
      </c>
      <c r="C52" s="1" t="s">
        <v>26</v>
      </c>
      <c r="D52" s="2">
        <v>45713.710416666669</v>
      </c>
      <c r="E52" s="1" t="s">
        <v>1248</v>
      </c>
      <c r="F52" s="1" t="s">
        <v>1248</v>
      </c>
      <c r="G52" s="1" t="s">
        <v>1054</v>
      </c>
      <c r="H52" s="2">
        <v>45713.847916666666</v>
      </c>
      <c r="J52" s="1" t="s">
        <v>18</v>
      </c>
    </row>
    <row r="53" spans="1:10" hidden="1" x14ac:dyDescent="0.25">
      <c r="A53" s="1" t="str">
        <f>_xlfn.XLOOKUP(E53,Base!G:G,Base!C:C,"NOVO")</f>
        <v>PENDENTE</v>
      </c>
      <c r="B53" s="1">
        <v>3318737</v>
      </c>
      <c r="C53" s="1" t="s">
        <v>26</v>
      </c>
      <c r="D53" s="2">
        <v>45559.665277777778</v>
      </c>
      <c r="E53" s="1" t="s">
        <v>1665</v>
      </c>
      <c r="F53" s="1" t="s">
        <v>1665</v>
      </c>
      <c r="G53" s="1" t="s">
        <v>1666</v>
      </c>
      <c r="H53" s="2">
        <v>45739.563194444447</v>
      </c>
      <c r="I53" s="2">
        <v>45739.604861111111</v>
      </c>
      <c r="J53" s="1" t="s">
        <v>18</v>
      </c>
    </row>
    <row r="54" spans="1:10" hidden="1" x14ac:dyDescent="0.25">
      <c r="A54" s="1" t="str">
        <f>_xlfn.XLOOKUP(E54,Base!G:G,Base!C:C,"NOVO")</f>
        <v>PENDENTE</v>
      </c>
      <c r="B54" s="1">
        <v>3299220</v>
      </c>
      <c r="C54" s="1" t="s">
        <v>26</v>
      </c>
      <c r="D54" s="2">
        <v>45729.665972222225</v>
      </c>
      <c r="E54" s="1" t="s">
        <v>1379</v>
      </c>
      <c r="F54" s="1" t="s">
        <v>1380</v>
      </c>
      <c r="G54" s="1" t="s">
        <v>64</v>
      </c>
      <c r="H54" s="2">
        <v>45729.752083333333</v>
      </c>
      <c r="J54" s="1" t="s">
        <v>1244</v>
      </c>
    </row>
    <row r="55" spans="1:10" hidden="1" x14ac:dyDescent="0.25">
      <c r="A55" s="1" t="str">
        <f>_xlfn.XLOOKUP(E55,Base!G:G,Base!C:C,"NOVO")</f>
        <v>PENDENTE</v>
      </c>
      <c r="B55" s="1">
        <v>3392529</v>
      </c>
      <c r="C55" s="1" t="s">
        <v>26</v>
      </c>
      <c r="D55" s="2">
        <v>45777.438194444447</v>
      </c>
      <c r="E55" s="1" t="s">
        <v>2181</v>
      </c>
      <c r="F55" s="1" t="s">
        <v>2181</v>
      </c>
      <c r="G55" s="1" t="s">
        <v>410</v>
      </c>
      <c r="H55" s="2">
        <v>45777.502083333333</v>
      </c>
      <c r="I55" s="2">
        <v>45777.522916666669</v>
      </c>
      <c r="J55" s="1" t="s">
        <v>18</v>
      </c>
    </row>
    <row r="56" spans="1:10" hidden="1" x14ac:dyDescent="0.25">
      <c r="A56" s="1" t="str">
        <f>_xlfn.XLOOKUP(E56,Base!G:G,Base!C:C,"NOVO")</f>
        <v>PENDENTE</v>
      </c>
      <c r="B56" s="1">
        <v>3399324</v>
      </c>
      <c r="C56" s="1" t="s">
        <v>26</v>
      </c>
      <c r="D56" s="2">
        <v>45780.701388888891</v>
      </c>
      <c r="E56" s="1" t="s">
        <v>2182</v>
      </c>
      <c r="F56" s="1" t="s">
        <v>2182</v>
      </c>
      <c r="G56" s="1" t="s">
        <v>83</v>
      </c>
      <c r="H56" s="2">
        <v>45780.793749999997</v>
      </c>
      <c r="J56" s="1" t="s">
        <v>18</v>
      </c>
    </row>
    <row r="57" spans="1:10" hidden="1" x14ac:dyDescent="0.25">
      <c r="A57" s="1" t="str">
        <f>_xlfn.XLOOKUP(E57,Base!G:G,Base!C:C,"NOVO")</f>
        <v>PENDENTE</v>
      </c>
      <c r="B57" s="1">
        <v>3437776</v>
      </c>
      <c r="C57" s="1" t="s">
        <v>26</v>
      </c>
      <c r="D57" s="2">
        <v>45799.64166666667</v>
      </c>
      <c r="E57" s="1" t="s">
        <v>2364</v>
      </c>
      <c r="F57" s="1" t="s">
        <v>2364</v>
      </c>
      <c r="G57" s="1" t="s">
        <v>620</v>
      </c>
      <c r="H57" s="2">
        <v>45799.731944444444</v>
      </c>
      <c r="J57" s="1" t="s">
        <v>18</v>
      </c>
    </row>
    <row r="58" spans="1:10" hidden="1" x14ac:dyDescent="0.25">
      <c r="A58" s="1" t="str">
        <f>_xlfn.XLOOKUP(E58,Base!G:G,Base!C:C,"NOVO")</f>
        <v>PENDENTE</v>
      </c>
      <c r="B58" s="1">
        <v>3299830</v>
      </c>
      <c r="C58" s="1" t="s">
        <v>26</v>
      </c>
      <c r="D58" s="2">
        <v>45730.575694444444</v>
      </c>
      <c r="E58" s="1" t="s">
        <v>1381</v>
      </c>
      <c r="F58" s="1" t="s">
        <v>1381</v>
      </c>
      <c r="G58" s="1" t="s">
        <v>1060</v>
      </c>
      <c r="H58" s="2">
        <v>45729.862500000003</v>
      </c>
      <c r="I58" s="2">
        <v>45730.668749999997</v>
      </c>
      <c r="J58" s="1" t="s">
        <v>18</v>
      </c>
    </row>
    <row r="59" spans="1:10" hidden="1" x14ac:dyDescent="0.25">
      <c r="A59" s="1" t="str">
        <f>_xlfn.XLOOKUP(E59,Base!G:G,Base!C:C,"NOVO")</f>
        <v>PENDENTE</v>
      </c>
      <c r="B59" s="1">
        <v>3221802</v>
      </c>
      <c r="C59" s="1" t="s">
        <v>26</v>
      </c>
      <c r="D59" s="2">
        <v>45692.328472222223</v>
      </c>
      <c r="E59" s="1" t="s">
        <v>691</v>
      </c>
      <c r="F59" s="1" t="s">
        <v>691</v>
      </c>
      <c r="G59" s="1" t="s">
        <v>692</v>
      </c>
      <c r="H59" s="2">
        <v>45691.839583333334</v>
      </c>
      <c r="I59" s="2">
        <v>45694.926388888889</v>
      </c>
      <c r="J59" s="1" t="s">
        <v>18</v>
      </c>
    </row>
    <row r="60" spans="1:10" hidden="1" x14ac:dyDescent="0.25">
      <c r="A60" s="1" t="str">
        <f>_xlfn.XLOOKUP(E60,Base!G:G,Base!C:C,"NOVO")</f>
        <v>PENDENTE</v>
      </c>
      <c r="B60" s="1">
        <v>3364391</v>
      </c>
      <c r="C60" s="1" t="s">
        <v>26</v>
      </c>
      <c r="D60" s="2">
        <v>45761.615277777775</v>
      </c>
      <c r="E60" s="1" t="s">
        <v>1936</v>
      </c>
      <c r="F60" s="1" t="s">
        <v>1936</v>
      </c>
      <c r="G60" s="1" t="s">
        <v>410</v>
      </c>
      <c r="H60" s="2">
        <v>45761.701388888891</v>
      </c>
      <c r="J60" s="1" t="s">
        <v>18</v>
      </c>
    </row>
    <row r="61" spans="1:10" hidden="1" x14ac:dyDescent="0.25">
      <c r="A61" s="1" t="str">
        <f>_xlfn.XLOOKUP(E61,Base!G:G,Base!C:C,"NOVO")</f>
        <v>PENDENTE</v>
      </c>
      <c r="B61" s="1">
        <v>3426125</v>
      </c>
      <c r="C61" s="1" t="s">
        <v>26</v>
      </c>
      <c r="D61" s="2">
        <v>45793.659722222219</v>
      </c>
      <c r="E61" s="1" t="s">
        <v>2365</v>
      </c>
      <c r="F61" s="1" t="s">
        <v>2365</v>
      </c>
      <c r="G61" s="1" t="s">
        <v>410</v>
      </c>
      <c r="H61" s="2">
        <v>45793.752083333333</v>
      </c>
      <c r="J61" s="1" t="s">
        <v>18</v>
      </c>
    </row>
    <row r="62" spans="1:10" hidden="1" x14ac:dyDescent="0.25">
      <c r="A62" s="1" t="str">
        <f>_xlfn.XLOOKUP(E62,Base!G:G,Base!C:C,"NOVO")</f>
        <v>PENDENTE</v>
      </c>
      <c r="B62" s="1">
        <v>3399325</v>
      </c>
      <c r="C62" s="1" t="s">
        <v>26</v>
      </c>
      <c r="D62" s="2">
        <v>45780.701388888891</v>
      </c>
      <c r="E62" s="1" t="s">
        <v>2183</v>
      </c>
      <c r="F62" s="1" t="s">
        <v>2183</v>
      </c>
      <c r="G62" s="1" t="s">
        <v>83</v>
      </c>
      <c r="H62" s="2">
        <v>45780.793749999997</v>
      </c>
      <c r="J62" s="1" t="s">
        <v>18</v>
      </c>
    </row>
    <row r="63" spans="1:10" hidden="1" x14ac:dyDescent="0.25">
      <c r="A63" s="1" t="str">
        <f>_xlfn.XLOOKUP(E63,Base!G:G,Base!C:C,"NOVO")</f>
        <v>PENDENTE</v>
      </c>
      <c r="B63" s="1">
        <v>3300259</v>
      </c>
      <c r="C63" s="1" t="s">
        <v>26</v>
      </c>
      <c r="D63" s="2">
        <v>45730.231944444444</v>
      </c>
      <c r="E63" s="1" t="s">
        <v>1382</v>
      </c>
      <c r="F63" s="1" t="s">
        <v>1383</v>
      </c>
      <c r="G63" s="1" t="s">
        <v>1384</v>
      </c>
      <c r="H63" s="2">
        <v>45730.324999999997</v>
      </c>
      <c r="J63" s="1" t="s">
        <v>19</v>
      </c>
    </row>
    <row r="64" spans="1:10" hidden="1" x14ac:dyDescent="0.25">
      <c r="A64" s="1" t="str">
        <f>_xlfn.XLOOKUP(E64,Base!G:G,Base!C:C,"NOVO")</f>
        <v>PENDENTE</v>
      </c>
      <c r="B64" s="1">
        <v>3437150</v>
      </c>
      <c r="C64" s="1" t="s">
        <v>26</v>
      </c>
      <c r="D64" s="2">
        <v>45799.591666666667</v>
      </c>
      <c r="E64" s="1" t="s">
        <v>2366</v>
      </c>
      <c r="F64" s="1" t="s">
        <v>2366</v>
      </c>
      <c r="G64" s="1" t="s">
        <v>620</v>
      </c>
      <c r="H64" s="2">
        <v>45799.679861111108</v>
      </c>
      <c r="J64" s="1" t="s">
        <v>18</v>
      </c>
    </row>
    <row r="65" spans="1:10" hidden="1" x14ac:dyDescent="0.25">
      <c r="A65" s="1" t="str">
        <f>_xlfn.XLOOKUP(E65,Base!G:G,Base!C:C,"NOVO")</f>
        <v>PENDENTE</v>
      </c>
      <c r="B65" s="1">
        <v>3221580</v>
      </c>
      <c r="C65" s="1" t="s">
        <v>26</v>
      </c>
      <c r="D65" s="2">
        <v>45691.709027777775</v>
      </c>
      <c r="E65" s="1" t="s">
        <v>693</v>
      </c>
      <c r="F65" s="1" t="s">
        <v>693</v>
      </c>
      <c r="G65" s="1" t="s">
        <v>692</v>
      </c>
      <c r="H65" s="2">
        <v>45691.774305555555</v>
      </c>
      <c r="I65" s="2">
        <v>45691.836805555555</v>
      </c>
      <c r="J65" s="1" t="s">
        <v>18</v>
      </c>
    </row>
    <row r="66" spans="1:10" hidden="1" x14ac:dyDescent="0.25">
      <c r="A66" s="1" t="str">
        <f>_xlfn.XLOOKUP(E66,Base!G:G,Base!C:C,"NOVO")</f>
        <v>PENDENTE</v>
      </c>
      <c r="B66" s="1">
        <v>3313045</v>
      </c>
      <c r="C66" s="1" t="s">
        <v>26</v>
      </c>
      <c r="D66" s="2">
        <v>45736.327777777777</v>
      </c>
      <c r="E66" s="1" t="s">
        <v>1667</v>
      </c>
      <c r="F66" s="1" t="s">
        <v>1668</v>
      </c>
      <c r="G66" s="1" t="s">
        <v>64</v>
      </c>
      <c r="H66" s="2">
        <v>45736.420138888891</v>
      </c>
      <c r="J66" s="1" t="s">
        <v>1244</v>
      </c>
    </row>
    <row r="67" spans="1:10" hidden="1" x14ac:dyDescent="0.25">
      <c r="A67" s="1" t="str">
        <f>_xlfn.XLOOKUP(E67,Base!G:G,Base!C:C,"NOVO")</f>
        <v>PENDENTE</v>
      </c>
      <c r="B67" s="1">
        <v>3271840</v>
      </c>
      <c r="C67" s="1" t="s">
        <v>26</v>
      </c>
      <c r="D67" s="2">
        <v>45715.265277777777</v>
      </c>
      <c r="E67" s="1" t="s">
        <v>1249</v>
      </c>
      <c r="F67" s="1" t="s">
        <v>1250</v>
      </c>
      <c r="G67" s="1" t="s">
        <v>64</v>
      </c>
      <c r="H67" s="2">
        <v>45715.397916666669</v>
      </c>
      <c r="J67" s="1" t="s">
        <v>1244</v>
      </c>
    </row>
    <row r="68" spans="1:10" x14ac:dyDescent="0.25">
      <c r="A68" s="1" t="str">
        <f>_xlfn.XLOOKUP(E68,Base!G:G,Base!C:C,"NOVO")</f>
        <v>PENDENTE</v>
      </c>
      <c r="B68" s="1">
        <v>3468390</v>
      </c>
      <c r="C68" s="1" t="s">
        <v>26</v>
      </c>
      <c r="D68" s="2">
        <v>45814.449305555558</v>
      </c>
      <c r="E68" s="1" t="s">
        <v>2683</v>
      </c>
      <c r="F68" s="1" t="s">
        <v>2683</v>
      </c>
      <c r="G68" s="1" t="s">
        <v>652</v>
      </c>
      <c r="H68" s="2">
        <v>45814.543055555558</v>
      </c>
      <c r="J68" s="1" t="s">
        <v>18</v>
      </c>
    </row>
    <row r="69" spans="1:10" hidden="1" x14ac:dyDescent="0.25">
      <c r="A69" s="1" t="str">
        <f>_xlfn.XLOOKUP(E69,Base!G:G,Base!C:C,"NOVO")</f>
        <v>PENDENTE</v>
      </c>
      <c r="B69" s="1">
        <v>3322162</v>
      </c>
      <c r="C69" s="1" t="s">
        <v>26</v>
      </c>
      <c r="D69" s="2">
        <v>45741.395138888889</v>
      </c>
      <c r="E69" s="1" t="s">
        <v>1669</v>
      </c>
      <c r="F69" s="1" t="s">
        <v>1669</v>
      </c>
      <c r="G69" s="1" t="s">
        <v>83</v>
      </c>
      <c r="H69" s="2">
        <v>45741.482638888891</v>
      </c>
      <c r="J69" s="1" t="s">
        <v>18</v>
      </c>
    </row>
    <row r="70" spans="1:10" x14ac:dyDescent="0.25">
      <c r="A70" s="1" t="str">
        <f>_xlfn.XLOOKUP(E70,Base!G:G,Base!C:C,"NOVO")</f>
        <v>PENDENTE</v>
      </c>
      <c r="B70" s="1">
        <v>3471646</v>
      </c>
      <c r="C70" s="1" t="s">
        <v>26</v>
      </c>
      <c r="D70" s="2">
        <v>45817.660416666666</v>
      </c>
      <c r="E70" s="1" t="s">
        <v>2684</v>
      </c>
      <c r="F70" s="1" t="s">
        <v>2685</v>
      </c>
      <c r="G70" s="1" t="s">
        <v>84</v>
      </c>
      <c r="H70" s="2">
        <v>45817.659722222219</v>
      </c>
      <c r="I70" s="2">
        <v>45817.753472222219</v>
      </c>
      <c r="J70" s="1" t="s">
        <v>1244</v>
      </c>
    </row>
    <row r="71" spans="1:10" hidden="1" x14ac:dyDescent="0.25">
      <c r="A71" s="1" t="str">
        <f>_xlfn.XLOOKUP(E71,Base!G:G,Base!C:C,"NOVO")</f>
        <v>PENDENTE</v>
      </c>
      <c r="B71" s="1">
        <v>3420993</v>
      </c>
      <c r="C71" s="1" t="s">
        <v>26</v>
      </c>
      <c r="D71" s="2">
        <v>45791.7</v>
      </c>
      <c r="E71" s="1" t="s">
        <v>2367</v>
      </c>
      <c r="F71" s="1" t="s">
        <v>2367</v>
      </c>
      <c r="G71" s="1" t="s">
        <v>410</v>
      </c>
      <c r="H71" s="2">
        <v>45791.794444444444</v>
      </c>
      <c r="J71" s="1" t="s">
        <v>18</v>
      </c>
    </row>
    <row r="72" spans="1:10" hidden="1" x14ac:dyDescent="0.25">
      <c r="A72" s="1" t="str">
        <f>_xlfn.XLOOKUP(E72,Base!G:G,Base!C:C,"NOVO")</f>
        <v>PENDENTE</v>
      </c>
      <c r="B72" s="1">
        <v>3246001</v>
      </c>
      <c r="C72" s="1" t="s">
        <v>26</v>
      </c>
      <c r="D72" s="2">
        <v>45701.897916666669</v>
      </c>
      <c r="E72" s="1" t="s">
        <v>1061</v>
      </c>
      <c r="F72" s="1" t="s">
        <v>1061</v>
      </c>
      <c r="G72" s="1" t="s">
        <v>652</v>
      </c>
      <c r="H72" s="2">
        <v>45702.036805555559</v>
      </c>
      <c r="J72" s="1" t="s">
        <v>18</v>
      </c>
    </row>
    <row r="73" spans="1:10" hidden="1" x14ac:dyDescent="0.25">
      <c r="A73" s="1" t="str">
        <f>_xlfn.XLOOKUP(E73,Base!G:G,Base!C:C,"NOVO")</f>
        <v>PENDENTE</v>
      </c>
      <c r="B73" s="1">
        <v>3391268</v>
      </c>
      <c r="C73" s="1" t="s">
        <v>26</v>
      </c>
      <c r="D73" s="2">
        <v>45776.70416666667</v>
      </c>
      <c r="E73" s="1" t="s">
        <v>2184</v>
      </c>
      <c r="F73" s="1" t="s">
        <v>2184</v>
      </c>
      <c r="G73" s="1" t="s">
        <v>622</v>
      </c>
      <c r="H73" s="2">
        <v>45776.79583333333</v>
      </c>
      <c r="J73" s="1" t="s">
        <v>14</v>
      </c>
    </row>
    <row r="74" spans="1:10" hidden="1" x14ac:dyDescent="0.25">
      <c r="A74" s="1" t="str">
        <f>_xlfn.XLOOKUP(E74,Base!G:G,Base!C:C,"NOVO")</f>
        <v>PENDENTE</v>
      </c>
      <c r="B74" s="1">
        <v>3314072</v>
      </c>
      <c r="C74" s="1" t="s">
        <v>26</v>
      </c>
      <c r="D74" s="2">
        <v>45736.570138888892</v>
      </c>
      <c r="E74" s="1" t="s">
        <v>1670</v>
      </c>
      <c r="F74" s="1" t="s">
        <v>1670</v>
      </c>
      <c r="G74" s="1" t="s">
        <v>83</v>
      </c>
      <c r="H74" s="2">
        <v>45736.661805555559</v>
      </c>
      <c r="J74" s="1" t="s">
        <v>18</v>
      </c>
    </row>
    <row r="75" spans="1:10" hidden="1" x14ac:dyDescent="0.25">
      <c r="A75" s="1" t="str">
        <f>_xlfn.XLOOKUP(E75,Base!G:G,Base!C:C,"NOVO")</f>
        <v>PENDENTE</v>
      </c>
      <c r="B75" s="1">
        <v>3357365</v>
      </c>
      <c r="C75" s="1" t="s">
        <v>26</v>
      </c>
      <c r="D75" s="2">
        <v>45756.784722222219</v>
      </c>
      <c r="E75" s="1" t="s">
        <v>1937</v>
      </c>
      <c r="F75" s="1" t="s">
        <v>1937</v>
      </c>
      <c r="G75" s="1" t="s">
        <v>620</v>
      </c>
      <c r="H75" s="2">
        <v>45756.876388888886</v>
      </c>
      <c r="J75" s="1" t="s">
        <v>18</v>
      </c>
    </row>
    <row r="76" spans="1:10" hidden="1" x14ac:dyDescent="0.25">
      <c r="A76" s="1" t="str">
        <f>_xlfn.XLOOKUP(E76,Base!G:G,Base!C:C,"NOVO")</f>
        <v>PENDENTE</v>
      </c>
      <c r="B76" s="1">
        <v>3227033</v>
      </c>
      <c r="C76" s="1" t="s">
        <v>26</v>
      </c>
      <c r="D76" s="2">
        <v>45693.563194444447</v>
      </c>
      <c r="E76" s="1" t="s">
        <v>950</v>
      </c>
      <c r="F76" s="1" t="s">
        <v>950</v>
      </c>
      <c r="G76" s="1" t="s">
        <v>394</v>
      </c>
      <c r="H76" s="2">
        <v>45693.713194444441</v>
      </c>
      <c r="I76" s="2">
        <v>45694.958333333336</v>
      </c>
      <c r="J76" s="1" t="s">
        <v>18</v>
      </c>
    </row>
    <row r="77" spans="1:10" hidden="1" x14ac:dyDescent="0.25">
      <c r="A77" s="1" t="str">
        <f>_xlfn.XLOOKUP(E77,Base!G:G,Base!C:C,"NOVO")</f>
        <v>PENDENTE</v>
      </c>
      <c r="B77" s="1">
        <v>3288752</v>
      </c>
      <c r="C77" s="1" t="s">
        <v>26</v>
      </c>
      <c r="D77" s="2">
        <v>45726.480555555558</v>
      </c>
      <c r="E77" s="1" t="s">
        <v>1385</v>
      </c>
      <c r="F77" s="1" t="s">
        <v>1385</v>
      </c>
      <c r="G77" s="1" t="s">
        <v>83</v>
      </c>
      <c r="H77" s="2">
        <v>45726.57708333333</v>
      </c>
      <c r="J77" s="1" t="s">
        <v>18</v>
      </c>
    </row>
    <row r="78" spans="1:10" hidden="1" x14ac:dyDescent="0.25">
      <c r="A78" s="1" t="str">
        <f>_xlfn.XLOOKUP(E78,Base!G:G,Base!C:C,"NOVO")</f>
        <v>PENDENTE</v>
      </c>
      <c r="B78" s="1">
        <v>3411412</v>
      </c>
      <c r="C78" s="1" t="s">
        <v>26</v>
      </c>
      <c r="D78" s="2">
        <v>45786.479166666664</v>
      </c>
      <c r="E78" s="1" t="s">
        <v>2281</v>
      </c>
      <c r="F78" s="1" t="s">
        <v>2281</v>
      </c>
      <c r="G78" s="1" t="s">
        <v>408</v>
      </c>
      <c r="H78" s="2">
        <v>45786.563888888886</v>
      </c>
      <c r="J78" s="1" t="s">
        <v>18</v>
      </c>
    </row>
    <row r="79" spans="1:10" hidden="1" x14ac:dyDescent="0.25">
      <c r="A79" s="1" t="str">
        <f>_xlfn.XLOOKUP(E79,Base!G:G,Base!C:C,"NOVO")</f>
        <v>PENDENTE</v>
      </c>
      <c r="B79" s="1">
        <v>3358225</v>
      </c>
      <c r="C79" s="1" t="s">
        <v>26</v>
      </c>
      <c r="D79" s="2">
        <v>45757.520138888889</v>
      </c>
      <c r="E79" s="1" t="s">
        <v>1938</v>
      </c>
      <c r="F79" s="1" t="s">
        <v>1938</v>
      </c>
      <c r="G79" s="1" t="s">
        <v>83</v>
      </c>
      <c r="H79" s="2">
        <v>45757.607638888891</v>
      </c>
      <c r="J79" s="1" t="s">
        <v>18</v>
      </c>
    </row>
    <row r="80" spans="1:10" hidden="1" x14ac:dyDescent="0.25">
      <c r="A80" s="1" t="str">
        <f>_xlfn.XLOOKUP(E80,Base!G:G,Base!C:C,"NOVO")</f>
        <v>PENDENTE</v>
      </c>
      <c r="B80" s="1">
        <v>3319423</v>
      </c>
      <c r="C80" s="1" t="s">
        <v>26</v>
      </c>
      <c r="D80" s="2">
        <v>45740.459722222222</v>
      </c>
      <c r="E80" s="1" t="s">
        <v>1671</v>
      </c>
      <c r="F80" s="1" t="s">
        <v>1672</v>
      </c>
      <c r="G80" s="1" t="s">
        <v>64</v>
      </c>
      <c r="H80" s="2">
        <v>45740.54791666667</v>
      </c>
      <c r="J80" s="1" t="s">
        <v>1244</v>
      </c>
    </row>
    <row r="81" spans="1:10" hidden="1" x14ac:dyDescent="0.25">
      <c r="A81" s="1" t="str">
        <f>_xlfn.XLOOKUP(E81,Base!G:G,Base!C:C,"NOVO")</f>
        <v>PENDENTE</v>
      </c>
      <c r="B81" s="1">
        <v>3309393</v>
      </c>
      <c r="C81" s="1" t="s">
        <v>26</v>
      </c>
      <c r="D81" s="2">
        <v>45734.734027777777</v>
      </c>
      <c r="E81" s="1" t="s">
        <v>1673</v>
      </c>
      <c r="F81" s="1" t="s">
        <v>1674</v>
      </c>
      <c r="G81" s="1" t="s">
        <v>64</v>
      </c>
      <c r="H81" s="2">
        <v>45734.825694444444</v>
      </c>
      <c r="J81" s="1" t="s">
        <v>1244</v>
      </c>
    </row>
    <row r="82" spans="1:10" hidden="1" x14ac:dyDescent="0.25">
      <c r="A82" s="1" t="str">
        <f>_xlfn.XLOOKUP(E82,Base!G:G,Base!C:C,"NOVO")</f>
        <v>PENDENTE</v>
      </c>
      <c r="B82" s="1">
        <v>3323957</v>
      </c>
      <c r="C82" s="1" t="s">
        <v>26</v>
      </c>
      <c r="D82" s="2">
        <v>45736.326388888891</v>
      </c>
      <c r="E82" s="1" t="s">
        <v>1675</v>
      </c>
      <c r="F82" s="1" t="s">
        <v>1676</v>
      </c>
      <c r="G82" s="1" t="s">
        <v>64</v>
      </c>
      <c r="H82" s="2">
        <v>45741.949305555558</v>
      </c>
      <c r="J82" s="1" t="s">
        <v>1244</v>
      </c>
    </row>
    <row r="83" spans="1:10" hidden="1" x14ac:dyDescent="0.25">
      <c r="A83" s="1" t="str">
        <f>_xlfn.XLOOKUP(E83,Base!G:G,Base!C:C,"NOVO")</f>
        <v>PENDENTE</v>
      </c>
      <c r="B83" s="1">
        <v>3413863</v>
      </c>
      <c r="C83" s="1" t="s">
        <v>26</v>
      </c>
      <c r="D83" s="2">
        <v>45789.364583333336</v>
      </c>
      <c r="E83" s="1" t="s">
        <v>2282</v>
      </c>
      <c r="F83" s="1" t="s">
        <v>2282</v>
      </c>
      <c r="G83" s="1" t="s">
        <v>2283</v>
      </c>
      <c r="H83" s="2">
        <v>45789.449305555558</v>
      </c>
      <c r="J83" s="1" t="s">
        <v>18</v>
      </c>
    </row>
    <row r="84" spans="1:10" hidden="1" x14ac:dyDescent="0.25">
      <c r="A84" s="1" t="str">
        <f>_xlfn.XLOOKUP(E84,Base!G:G,Base!C:C,"NOVO")</f>
        <v>PENDENTE</v>
      </c>
      <c r="B84" s="1">
        <v>3413864</v>
      </c>
      <c r="C84" s="1" t="s">
        <v>26</v>
      </c>
      <c r="D84" s="2">
        <v>45789.364583333336</v>
      </c>
      <c r="E84" s="1" t="s">
        <v>2284</v>
      </c>
      <c r="F84" s="1" t="s">
        <v>2282</v>
      </c>
      <c r="G84" s="1" t="s">
        <v>2285</v>
      </c>
      <c r="H84" s="2">
        <v>45789.449305555558</v>
      </c>
      <c r="J84" s="1" t="s">
        <v>18</v>
      </c>
    </row>
    <row r="85" spans="1:10" hidden="1" x14ac:dyDescent="0.25">
      <c r="A85" s="1" t="str">
        <f>_xlfn.XLOOKUP(E85,Base!G:G,Base!C:C,"NOVO")</f>
        <v>PENDENTE</v>
      </c>
      <c r="B85" s="1">
        <v>3410281</v>
      </c>
      <c r="C85" s="1" t="s">
        <v>26</v>
      </c>
      <c r="D85" s="2">
        <v>45785.744444444441</v>
      </c>
      <c r="E85" s="1" t="s">
        <v>2286</v>
      </c>
      <c r="F85" s="1" t="s">
        <v>2286</v>
      </c>
      <c r="G85" s="1" t="s">
        <v>408</v>
      </c>
      <c r="H85" s="2">
        <v>45785.838888888888</v>
      </c>
      <c r="J85" s="1" t="s">
        <v>18</v>
      </c>
    </row>
    <row r="86" spans="1:10" hidden="1" x14ac:dyDescent="0.25">
      <c r="A86" s="1" t="str">
        <f>_xlfn.XLOOKUP(E86,Base!G:G,Base!C:C,"NOVO")</f>
        <v>PENDENTE</v>
      </c>
      <c r="B86" s="1">
        <v>3268864</v>
      </c>
      <c r="C86" s="1" t="s">
        <v>26</v>
      </c>
      <c r="D86" s="2">
        <v>45713.710416666669</v>
      </c>
      <c r="E86" s="1" t="s">
        <v>1251</v>
      </c>
      <c r="F86" s="1" t="s">
        <v>1251</v>
      </c>
      <c r="G86" s="1" t="s">
        <v>83</v>
      </c>
      <c r="H86" s="2">
        <v>45713.845833333333</v>
      </c>
      <c r="J86" s="1" t="s">
        <v>18</v>
      </c>
    </row>
    <row r="87" spans="1:10" hidden="1" x14ac:dyDescent="0.25">
      <c r="A87" s="1" t="str">
        <f>_xlfn.XLOOKUP(E87,Base!G:G,Base!C:C,"NOVO")</f>
        <v>PENDENTE</v>
      </c>
      <c r="B87" s="1">
        <v>3267310</v>
      </c>
      <c r="C87" s="1" t="s">
        <v>26</v>
      </c>
      <c r="D87" s="2">
        <v>45713.571527777778</v>
      </c>
      <c r="E87" s="1" t="s">
        <v>1252</v>
      </c>
      <c r="F87" s="1" t="s">
        <v>1252</v>
      </c>
      <c r="G87" s="1" t="s">
        <v>1054</v>
      </c>
      <c r="H87" s="2">
        <v>45713.545138888891</v>
      </c>
      <c r="I87" s="2">
        <v>45713.7</v>
      </c>
      <c r="J87" s="1" t="s">
        <v>18</v>
      </c>
    </row>
    <row r="88" spans="1:10" hidden="1" x14ac:dyDescent="0.25">
      <c r="A88" s="1" t="str">
        <f>_xlfn.XLOOKUP(E88,Base!G:G,Base!C:C,"NOVO")</f>
        <v>PENDENTE</v>
      </c>
      <c r="B88" s="1">
        <v>3368968</v>
      </c>
      <c r="C88" s="1" t="s">
        <v>26</v>
      </c>
      <c r="D88" s="2">
        <v>45763.481944444444</v>
      </c>
      <c r="E88" s="1" t="s">
        <v>1939</v>
      </c>
      <c r="F88" s="1" t="s">
        <v>1939</v>
      </c>
      <c r="G88" s="1" t="s">
        <v>83</v>
      </c>
      <c r="H88" s="2">
        <v>45763.575694444444</v>
      </c>
      <c r="J88" s="1" t="s">
        <v>18</v>
      </c>
    </row>
    <row r="89" spans="1:10" hidden="1" x14ac:dyDescent="0.25">
      <c r="A89" s="1" t="str">
        <f>_xlfn.XLOOKUP(E89,Base!G:G,Base!C:C,"NOVO")</f>
        <v>PENDENTE</v>
      </c>
      <c r="B89" s="1">
        <v>3428168</v>
      </c>
      <c r="C89" s="1" t="s">
        <v>26</v>
      </c>
      <c r="D89" s="2">
        <v>45812.568749999999</v>
      </c>
      <c r="E89" s="1" t="s">
        <v>2368</v>
      </c>
      <c r="F89" s="1" t="s">
        <v>2368</v>
      </c>
      <c r="G89" s="1" t="s">
        <v>620</v>
      </c>
      <c r="H89" s="2">
        <v>45796.55972222222</v>
      </c>
      <c r="I89" s="2">
        <v>45812.658333333333</v>
      </c>
      <c r="J89" s="1" t="s">
        <v>18</v>
      </c>
    </row>
    <row r="90" spans="1:10" hidden="1" x14ac:dyDescent="0.25">
      <c r="A90" s="1" t="str">
        <f>_xlfn.XLOOKUP(E90,Base!G:G,Base!C:C,"NOVO")</f>
        <v>PENDENTE</v>
      </c>
      <c r="B90" s="1">
        <v>3296206</v>
      </c>
      <c r="C90" s="1" t="s">
        <v>26</v>
      </c>
      <c r="D90" s="2">
        <v>45728.75277777778</v>
      </c>
      <c r="E90" s="1" t="s">
        <v>1386</v>
      </c>
      <c r="F90" s="1" t="s">
        <v>1386</v>
      </c>
      <c r="G90" s="1" t="s">
        <v>1060</v>
      </c>
      <c r="H90" s="2">
        <v>45728.845138888886</v>
      </c>
      <c r="J90" s="1" t="s">
        <v>18</v>
      </c>
    </row>
    <row r="91" spans="1:10" hidden="1" x14ac:dyDescent="0.25">
      <c r="A91" s="1" t="str">
        <f>_xlfn.XLOOKUP(E91,Base!G:G,Base!C:C,"NOVO")</f>
        <v>PENDENTE</v>
      </c>
      <c r="B91" s="1">
        <v>3436593</v>
      </c>
      <c r="C91" s="1" t="s">
        <v>26</v>
      </c>
      <c r="D91" s="2">
        <v>45799.500694444447</v>
      </c>
      <c r="E91" s="1" t="s">
        <v>2369</v>
      </c>
      <c r="F91" s="1" t="s">
        <v>2369</v>
      </c>
      <c r="G91" s="1" t="s">
        <v>83</v>
      </c>
      <c r="H91" s="2">
        <v>45799.586805555555</v>
      </c>
      <c r="J91" s="1" t="s">
        <v>18</v>
      </c>
    </row>
    <row r="92" spans="1:10" hidden="1" x14ac:dyDescent="0.25">
      <c r="A92" s="1" t="str">
        <f>_xlfn.XLOOKUP(E92,Base!G:G,Base!C:C,"NOVO")</f>
        <v>PENDENTE</v>
      </c>
      <c r="B92" s="1">
        <v>3228018</v>
      </c>
      <c r="C92" s="1" t="s">
        <v>26</v>
      </c>
      <c r="D92" s="2">
        <v>45694.273611111108</v>
      </c>
      <c r="E92" s="1" t="s">
        <v>951</v>
      </c>
      <c r="F92" s="1" t="s">
        <v>951</v>
      </c>
      <c r="G92" s="1" t="s">
        <v>692</v>
      </c>
      <c r="H92" s="2">
        <v>45693.95208333333</v>
      </c>
      <c r="I92" s="2">
        <v>45694.942361111112</v>
      </c>
      <c r="J92" s="1" t="s">
        <v>18</v>
      </c>
    </row>
    <row r="93" spans="1:10" hidden="1" x14ac:dyDescent="0.25">
      <c r="A93" s="1" t="str">
        <f>_xlfn.XLOOKUP(E93,Base!G:G,Base!C:C,"NOVO")</f>
        <v>PENDENTE</v>
      </c>
      <c r="B93" s="1">
        <v>3266514</v>
      </c>
      <c r="C93" s="1" t="s">
        <v>26</v>
      </c>
      <c r="D93" s="2">
        <v>45713.268750000003</v>
      </c>
      <c r="E93" s="1" t="s">
        <v>1062</v>
      </c>
      <c r="F93" s="1" t="s">
        <v>1062</v>
      </c>
      <c r="G93" s="1" t="s">
        <v>83</v>
      </c>
      <c r="H93" s="2">
        <v>45713.40625</v>
      </c>
      <c r="J93" s="1" t="s">
        <v>18</v>
      </c>
    </row>
    <row r="94" spans="1:10" hidden="1" x14ac:dyDescent="0.25">
      <c r="A94" s="1" t="str">
        <f>_xlfn.XLOOKUP(E94,Base!G:G,Base!C:C,"NOVO")</f>
        <v>PENDENTE</v>
      </c>
      <c r="B94" s="1">
        <v>3274240</v>
      </c>
      <c r="C94" s="1" t="s">
        <v>26</v>
      </c>
      <c r="D94" s="2">
        <v>45715.689583333333</v>
      </c>
      <c r="E94" s="1" t="s">
        <v>1253</v>
      </c>
      <c r="F94" s="1" t="s">
        <v>1254</v>
      </c>
      <c r="G94" s="1" t="s">
        <v>64</v>
      </c>
      <c r="H94" s="2">
        <v>45715.824999999997</v>
      </c>
      <c r="J94" s="1" t="s">
        <v>1244</v>
      </c>
    </row>
    <row r="95" spans="1:10" hidden="1" x14ac:dyDescent="0.25">
      <c r="A95" s="1" t="str">
        <f>_xlfn.XLOOKUP(E95,Base!G:G,Base!C:C,"NOVO")</f>
        <v>PENDENTE</v>
      </c>
      <c r="B95" s="1">
        <v>3228605</v>
      </c>
      <c r="C95" s="1" t="s">
        <v>26</v>
      </c>
      <c r="D95" s="2">
        <v>45694.273611111108</v>
      </c>
      <c r="E95" s="1" t="s">
        <v>952</v>
      </c>
      <c r="F95" s="1" t="s">
        <v>952</v>
      </c>
      <c r="G95" s="1" t="s">
        <v>692</v>
      </c>
      <c r="H95" s="2">
        <v>45694.462500000001</v>
      </c>
      <c r="I95" s="2">
        <v>45694.942361111112</v>
      </c>
      <c r="J95" s="1" t="s">
        <v>18</v>
      </c>
    </row>
    <row r="96" spans="1:10" hidden="1" x14ac:dyDescent="0.25">
      <c r="A96" s="1" t="str">
        <f>_xlfn.XLOOKUP(E96,Base!G:G,Base!C:C,"NOVO")</f>
        <v>PENDENTE</v>
      </c>
      <c r="B96" s="1">
        <v>3228606</v>
      </c>
      <c r="C96" s="1" t="s">
        <v>26</v>
      </c>
      <c r="D96" s="2">
        <v>45694.273611111108</v>
      </c>
      <c r="E96" s="1" t="s">
        <v>953</v>
      </c>
      <c r="F96" s="1" t="s">
        <v>952</v>
      </c>
      <c r="G96" s="1" t="s">
        <v>898</v>
      </c>
      <c r="H96" s="2">
        <v>45694.462500000001</v>
      </c>
      <c r="I96" s="2">
        <v>45694.942361111112</v>
      </c>
      <c r="J96" s="1" t="s">
        <v>18</v>
      </c>
    </row>
    <row r="97" spans="1:10" x14ac:dyDescent="0.25">
      <c r="A97" s="1" t="str">
        <f>_xlfn.XLOOKUP(E97,Base!G:G,Base!C:C,"NOVO")</f>
        <v>PENDENTE</v>
      </c>
      <c r="B97" s="1">
        <v>3474355</v>
      </c>
      <c r="C97" s="1" t="s">
        <v>26</v>
      </c>
      <c r="D97" s="2">
        <v>45818.736111111109</v>
      </c>
      <c r="E97" s="1" t="s">
        <v>2686</v>
      </c>
      <c r="F97" s="1" t="s">
        <v>2686</v>
      </c>
      <c r="G97" s="1" t="s">
        <v>1761</v>
      </c>
      <c r="H97" s="2">
        <v>45818.740277777775</v>
      </c>
      <c r="I97" s="2">
        <v>45818.823611111111</v>
      </c>
      <c r="J97" s="1" t="s">
        <v>18</v>
      </c>
    </row>
    <row r="98" spans="1:10" x14ac:dyDescent="0.25">
      <c r="A98" s="1" t="str">
        <f>_xlfn.XLOOKUP(E98,Base!G:G,Base!C:C,"NOVO")</f>
        <v>PENDENTE</v>
      </c>
      <c r="B98" s="1">
        <v>3482134</v>
      </c>
      <c r="C98" s="1" t="s">
        <v>26</v>
      </c>
      <c r="D98" s="2">
        <v>45821.770138888889</v>
      </c>
      <c r="E98" s="1" t="s">
        <v>2687</v>
      </c>
      <c r="F98" s="1" t="s">
        <v>2687</v>
      </c>
      <c r="G98" s="1" t="s">
        <v>652</v>
      </c>
      <c r="H98" s="2">
        <v>45821.855555555558</v>
      </c>
      <c r="J98" s="1" t="s">
        <v>18</v>
      </c>
    </row>
    <row r="99" spans="1:10" hidden="1" x14ac:dyDescent="0.25">
      <c r="A99" s="1" t="str">
        <f>_xlfn.XLOOKUP(E99,Base!G:G,Base!C:C,"NOVO")</f>
        <v>PENDENTE</v>
      </c>
      <c r="B99" s="1">
        <v>3287153</v>
      </c>
      <c r="C99" s="1" t="s">
        <v>26</v>
      </c>
      <c r="D99" s="2">
        <v>45723.736805555556</v>
      </c>
      <c r="E99" s="1" t="s">
        <v>1387</v>
      </c>
      <c r="F99" s="1" t="s">
        <v>1387</v>
      </c>
      <c r="G99" s="1" t="s">
        <v>707</v>
      </c>
      <c r="H99" s="2">
        <v>45723.87222222222</v>
      </c>
      <c r="J99" s="1" t="s">
        <v>18</v>
      </c>
    </row>
    <row r="100" spans="1:10" hidden="1" x14ac:dyDescent="0.25">
      <c r="A100" s="1" t="str">
        <f>_xlfn.XLOOKUP(E100,Base!G:G,Base!C:C,"NOVO")</f>
        <v>PENDENTE</v>
      </c>
      <c r="B100" s="1">
        <v>3307352</v>
      </c>
      <c r="C100" s="1" t="s">
        <v>26</v>
      </c>
      <c r="D100" s="2">
        <v>45734.398611111108</v>
      </c>
      <c r="E100" s="1" t="s">
        <v>1629</v>
      </c>
      <c r="F100" s="1" t="s">
        <v>1630</v>
      </c>
      <c r="G100" s="1" t="s">
        <v>64</v>
      </c>
      <c r="H100" s="2">
        <v>45734.484027777777</v>
      </c>
      <c r="J100" s="1" t="s">
        <v>1244</v>
      </c>
    </row>
    <row r="101" spans="1:10" hidden="1" x14ac:dyDescent="0.25">
      <c r="A101" s="1" t="str">
        <f>_xlfn.XLOOKUP(E101,Base!G:G,Base!C:C,"NOVO")</f>
        <v>PENDENTE</v>
      </c>
      <c r="B101" s="1">
        <v>3266483</v>
      </c>
      <c r="C101" s="1" t="s">
        <v>26</v>
      </c>
      <c r="D101" s="2">
        <v>45713.268750000003</v>
      </c>
      <c r="E101" s="1" t="s">
        <v>1063</v>
      </c>
      <c r="F101" s="1" t="s">
        <v>1063</v>
      </c>
      <c r="G101" s="1" t="s">
        <v>1064</v>
      </c>
      <c r="H101" s="2">
        <v>45713.402083333334</v>
      </c>
      <c r="J101" s="1" t="s">
        <v>19</v>
      </c>
    </row>
    <row r="102" spans="1:10" hidden="1" x14ac:dyDescent="0.25">
      <c r="A102" s="1" t="str">
        <f>_xlfn.XLOOKUP(E102,Base!G:G,Base!C:C,"NOVO")</f>
        <v>PENDENTE</v>
      </c>
      <c r="B102" s="1">
        <v>3410265</v>
      </c>
      <c r="C102" s="1" t="s">
        <v>26</v>
      </c>
      <c r="D102" s="2">
        <v>45785.744444444441</v>
      </c>
      <c r="E102" s="1" t="s">
        <v>2287</v>
      </c>
      <c r="F102" s="1" t="s">
        <v>2287</v>
      </c>
      <c r="G102" s="1" t="s">
        <v>1174</v>
      </c>
      <c r="H102" s="2">
        <v>45785.835416666669</v>
      </c>
      <c r="J102" s="1" t="s">
        <v>18</v>
      </c>
    </row>
    <row r="103" spans="1:10" hidden="1" x14ac:dyDescent="0.25">
      <c r="A103" s="1" t="str">
        <f>_xlfn.XLOOKUP(E103,Base!G:G,Base!C:C,"NOVO")</f>
        <v>PENDENTE</v>
      </c>
      <c r="B103" s="1">
        <v>3441938</v>
      </c>
      <c r="C103" s="1" t="s">
        <v>26</v>
      </c>
      <c r="D103" s="2">
        <v>45803.334027777775</v>
      </c>
      <c r="E103" s="1" t="s">
        <v>2370</v>
      </c>
      <c r="F103" s="1" t="s">
        <v>2371</v>
      </c>
      <c r="G103" s="1" t="s">
        <v>64</v>
      </c>
      <c r="H103" s="2">
        <v>45803.420138888891</v>
      </c>
      <c r="J103" s="1" t="s">
        <v>1244</v>
      </c>
    </row>
    <row r="104" spans="1:10" hidden="1" x14ac:dyDescent="0.25">
      <c r="A104" s="1" t="str">
        <f>_xlfn.XLOOKUP(E104,Base!G:G,Base!C:C,"NOVO")</f>
        <v>PENDENTE</v>
      </c>
      <c r="B104" s="1">
        <v>3368736</v>
      </c>
      <c r="C104" s="1" t="s">
        <v>26</v>
      </c>
      <c r="D104" s="2">
        <v>45763.405555555553</v>
      </c>
      <c r="E104" s="1" t="s">
        <v>1940</v>
      </c>
      <c r="F104" s="1" t="s">
        <v>1941</v>
      </c>
      <c r="G104" s="1" t="s">
        <v>393</v>
      </c>
      <c r="H104" s="2">
        <v>45763.490277777775</v>
      </c>
      <c r="J104" s="1" t="s">
        <v>19</v>
      </c>
    </row>
    <row r="105" spans="1:10" hidden="1" x14ac:dyDescent="0.25">
      <c r="A105" s="1" t="str">
        <f>_xlfn.XLOOKUP(E105,Base!G:G,Base!C:C,"NOVO")</f>
        <v>PENDENTE</v>
      </c>
      <c r="B105" s="1">
        <v>3311372</v>
      </c>
      <c r="C105" s="1" t="s">
        <v>26</v>
      </c>
      <c r="D105" s="2">
        <v>45735.569444444445</v>
      </c>
      <c r="E105" s="1" t="s">
        <v>1678</v>
      </c>
      <c r="F105" s="1" t="s">
        <v>1679</v>
      </c>
      <c r="G105" s="1" t="s">
        <v>64</v>
      </c>
      <c r="H105" s="2">
        <v>45735.65902777778</v>
      </c>
      <c r="J105" s="1" t="s">
        <v>1244</v>
      </c>
    </row>
    <row r="106" spans="1:10" hidden="1" x14ac:dyDescent="0.25">
      <c r="A106" s="1" t="str">
        <f>_xlfn.XLOOKUP(E106,Base!G:G,Base!C:C,"NOVO")</f>
        <v>PENDENTE</v>
      </c>
      <c r="B106" s="1">
        <v>3464806</v>
      </c>
      <c r="C106" s="1" t="s">
        <v>26</v>
      </c>
      <c r="D106" s="2">
        <v>45812.746527777781</v>
      </c>
      <c r="E106" s="1" t="s">
        <v>2595</v>
      </c>
      <c r="F106" s="1" t="s">
        <v>2595</v>
      </c>
      <c r="G106" s="1" t="s">
        <v>83</v>
      </c>
      <c r="H106" s="2">
        <v>45812.836111111108</v>
      </c>
      <c r="J106" s="1" t="s">
        <v>18</v>
      </c>
    </row>
    <row r="107" spans="1:10" hidden="1" x14ac:dyDescent="0.25">
      <c r="A107" s="1" t="str">
        <f>_xlfn.XLOOKUP(E107,Base!G:G,Base!C:C,"NOVO")</f>
        <v>PENDENTE</v>
      </c>
      <c r="B107" s="1">
        <v>3260098</v>
      </c>
      <c r="C107" s="1" t="s">
        <v>26</v>
      </c>
      <c r="D107" s="2">
        <v>45709.220138888886</v>
      </c>
      <c r="E107" s="1" t="s">
        <v>1065</v>
      </c>
      <c r="F107" s="1" t="s">
        <v>1065</v>
      </c>
      <c r="G107" s="1" t="s">
        <v>83</v>
      </c>
      <c r="H107" s="2">
        <v>45709.345833333333</v>
      </c>
      <c r="J107" s="1" t="s">
        <v>18</v>
      </c>
    </row>
    <row r="108" spans="1:10" hidden="1" x14ac:dyDescent="0.25">
      <c r="A108" s="1" t="str">
        <f>_xlfn.XLOOKUP(E108,Base!G:G,Base!C:C,"NOVO")</f>
        <v>PENDENTE</v>
      </c>
      <c r="B108" s="1">
        <v>3418876</v>
      </c>
      <c r="C108" s="1" t="s">
        <v>26</v>
      </c>
      <c r="D108" s="2">
        <v>45790.774305555555</v>
      </c>
      <c r="E108" s="1" t="s">
        <v>2288</v>
      </c>
      <c r="F108" s="1" t="s">
        <v>2288</v>
      </c>
      <c r="G108" s="1" t="s">
        <v>620</v>
      </c>
      <c r="H108" s="2">
        <v>45790.868055555555</v>
      </c>
      <c r="J108" s="1" t="s">
        <v>18</v>
      </c>
    </row>
    <row r="109" spans="1:10" hidden="1" x14ac:dyDescent="0.25">
      <c r="A109" s="1" t="str">
        <f>_xlfn.XLOOKUP(E109,Base!G:G,Base!C:C,"NOVO")</f>
        <v>PENDENTE</v>
      </c>
      <c r="B109" s="1">
        <v>3233354</v>
      </c>
      <c r="C109" s="1" t="s">
        <v>26</v>
      </c>
      <c r="D109" s="2">
        <v>45695.722916666666</v>
      </c>
      <c r="E109" s="1" t="s">
        <v>954</v>
      </c>
      <c r="F109" s="1" t="s">
        <v>954</v>
      </c>
      <c r="G109" s="1" t="s">
        <v>83</v>
      </c>
      <c r="H109" s="2">
        <v>45695.867361111108</v>
      </c>
      <c r="J109" s="1" t="s">
        <v>18</v>
      </c>
    </row>
    <row r="110" spans="1:10" hidden="1" x14ac:dyDescent="0.25">
      <c r="A110" s="1" t="str">
        <f>_xlfn.XLOOKUP(E110,Base!G:G,Base!C:C,"NOVO")</f>
        <v>PENDENTE</v>
      </c>
      <c r="B110" s="1">
        <v>3449908</v>
      </c>
      <c r="C110" s="1" t="s">
        <v>26</v>
      </c>
      <c r="D110" s="2">
        <v>45805.755555555559</v>
      </c>
      <c r="E110" s="1" t="s">
        <v>2372</v>
      </c>
      <c r="F110" s="1" t="s">
        <v>2372</v>
      </c>
      <c r="G110" s="1" t="s">
        <v>707</v>
      </c>
      <c r="H110" s="2">
        <v>45805.845138888886</v>
      </c>
      <c r="J110" s="1" t="s">
        <v>18</v>
      </c>
    </row>
    <row r="111" spans="1:10" hidden="1" x14ac:dyDescent="0.25">
      <c r="A111" s="1" t="str">
        <f>_xlfn.XLOOKUP(E111,Base!G:G,Base!C:C,"NOVO")</f>
        <v>PENDENTE</v>
      </c>
      <c r="B111" s="1">
        <v>3418871</v>
      </c>
      <c r="C111" s="1" t="s">
        <v>26</v>
      </c>
      <c r="D111" s="2">
        <v>45790.774305555555</v>
      </c>
      <c r="E111" s="1" t="s">
        <v>2289</v>
      </c>
      <c r="F111" s="1" t="s">
        <v>2289</v>
      </c>
      <c r="G111" s="1" t="s">
        <v>410</v>
      </c>
      <c r="H111" s="2">
        <v>45790.867361111108</v>
      </c>
      <c r="J111" s="1" t="s">
        <v>18</v>
      </c>
    </row>
    <row r="112" spans="1:10" hidden="1" x14ac:dyDescent="0.25">
      <c r="A112" s="1" t="str">
        <f>_xlfn.XLOOKUP(E112,Base!G:G,Base!C:C,"NOVO")</f>
        <v>PENDENTE</v>
      </c>
      <c r="B112" s="1">
        <v>3275940</v>
      </c>
      <c r="C112" s="1" t="s">
        <v>26</v>
      </c>
      <c r="D112" s="2">
        <v>45716.587500000001</v>
      </c>
      <c r="E112" s="1" t="s">
        <v>1255</v>
      </c>
      <c r="F112" s="1" t="s">
        <v>1255</v>
      </c>
      <c r="G112" s="1" t="s">
        <v>396</v>
      </c>
      <c r="H112" s="2">
        <v>45716.723611111112</v>
      </c>
      <c r="J112" s="1" t="s">
        <v>18</v>
      </c>
    </row>
    <row r="113" spans="1:10" hidden="1" x14ac:dyDescent="0.25">
      <c r="A113" s="1" t="str">
        <f>_xlfn.XLOOKUP(E113,Base!G:G,Base!C:C,"NOVO")</f>
        <v>PENDENTE</v>
      </c>
      <c r="B113" s="1">
        <v>3283593</v>
      </c>
      <c r="C113" s="1" t="s">
        <v>26</v>
      </c>
      <c r="D113" s="2">
        <v>45722.591666666667</v>
      </c>
      <c r="E113" s="1" t="s">
        <v>1388</v>
      </c>
      <c r="F113" s="1" t="s">
        <v>1389</v>
      </c>
      <c r="G113" s="1" t="s">
        <v>64</v>
      </c>
      <c r="H113" s="2">
        <v>45722.720833333333</v>
      </c>
      <c r="J113" s="1" t="s">
        <v>1244</v>
      </c>
    </row>
    <row r="114" spans="1:10" hidden="1" x14ac:dyDescent="0.25">
      <c r="A114" s="1" t="str">
        <f>_xlfn.XLOOKUP(E114,Base!G:G,Base!C:C,"NOVO")</f>
        <v>PENDENTE</v>
      </c>
      <c r="B114" s="1">
        <v>3220299</v>
      </c>
      <c r="C114" s="1" t="s">
        <v>26</v>
      </c>
      <c r="D114" s="2">
        <v>45693.54791666667</v>
      </c>
      <c r="E114" s="1" t="s">
        <v>728</v>
      </c>
      <c r="F114" s="1" t="s">
        <v>728</v>
      </c>
      <c r="G114" s="1" t="s">
        <v>394</v>
      </c>
      <c r="H114" s="2">
        <v>45691.618750000001</v>
      </c>
      <c r="I114" s="2">
        <v>45694.902777777781</v>
      </c>
      <c r="J114" s="1" t="s">
        <v>18</v>
      </c>
    </row>
    <row r="115" spans="1:10" hidden="1" x14ac:dyDescent="0.25">
      <c r="A115" s="1" t="str">
        <f>_xlfn.XLOOKUP(E115,Base!G:G,Base!C:C,"NOVO")</f>
        <v>PENDENTE</v>
      </c>
      <c r="B115" s="1">
        <v>3451272</v>
      </c>
      <c r="C115" s="1" t="s">
        <v>26</v>
      </c>
      <c r="D115" s="2">
        <v>45811.658333333333</v>
      </c>
      <c r="E115" s="1" t="s">
        <v>2544</v>
      </c>
      <c r="F115" s="1" t="s">
        <v>2544</v>
      </c>
      <c r="G115" s="1" t="s">
        <v>2545</v>
      </c>
      <c r="H115" s="2">
        <v>45806.710416666669</v>
      </c>
      <c r="I115" s="2">
        <v>45811.742361111108</v>
      </c>
      <c r="J115" s="1" t="s">
        <v>19</v>
      </c>
    </row>
    <row r="116" spans="1:10" hidden="1" x14ac:dyDescent="0.25">
      <c r="A116" s="1" t="str">
        <f>_xlfn.XLOOKUP(E116,Base!G:G,Base!C:C,"NOVO")</f>
        <v>PENDENTE</v>
      </c>
      <c r="B116" s="1">
        <v>3307351</v>
      </c>
      <c r="C116" s="1" t="s">
        <v>26</v>
      </c>
      <c r="D116" s="2">
        <v>45734.398611111108</v>
      </c>
      <c r="E116" s="1" t="s">
        <v>1631</v>
      </c>
      <c r="F116" s="1" t="s">
        <v>1632</v>
      </c>
      <c r="G116" s="1" t="s">
        <v>64</v>
      </c>
      <c r="H116" s="2">
        <v>45734.48333333333</v>
      </c>
      <c r="J116" s="1" t="s">
        <v>1244</v>
      </c>
    </row>
    <row r="117" spans="1:10" hidden="1" x14ac:dyDescent="0.25">
      <c r="A117" s="1" t="str">
        <f>_xlfn.XLOOKUP(E117,Base!G:G,Base!C:C,"NOVO")</f>
        <v>PENDENTE</v>
      </c>
      <c r="B117" s="1">
        <v>3320544</v>
      </c>
      <c r="C117" s="1" t="s">
        <v>26</v>
      </c>
      <c r="D117" s="2">
        <v>45741.259722222225</v>
      </c>
      <c r="E117" s="1" t="s">
        <v>1680</v>
      </c>
      <c r="F117" s="1" t="s">
        <v>1680</v>
      </c>
      <c r="G117" s="1" t="s">
        <v>273</v>
      </c>
      <c r="H117" s="2">
        <v>45740.702777777777</v>
      </c>
      <c r="I117" s="2">
        <v>45741.348611111112</v>
      </c>
      <c r="J117" s="1" t="s">
        <v>1245</v>
      </c>
    </row>
    <row r="118" spans="1:10" hidden="1" x14ac:dyDescent="0.25">
      <c r="A118" s="1" t="str">
        <f>_xlfn.XLOOKUP(E118,Base!G:G,Base!C:C,"NOVO")</f>
        <v>PENDENTE</v>
      </c>
      <c r="B118" s="1">
        <v>3296208</v>
      </c>
      <c r="C118" s="1" t="s">
        <v>26</v>
      </c>
      <c r="D118" s="2">
        <v>45728.75277777778</v>
      </c>
      <c r="E118" s="1" t="s">
        <v>1390</v>
      </c>
      <c r="F118" s="1" t="s">
        <v>1390</v>
      </c>
      <c r="G118" s="1" t="s">
        <v>1060</v>
      </c>
      <c r="H118" s="2">
        <v>45728.845138888886</v>
      </c>
      <c r="J118" s="1" t="s">
        <v>18</v>
      </c>
    </row>
    <row r="119" spans="1:10" hidden="1" x14ac:dyDescent="0.25">
      <c r="A119" s="1" t="str">
        <f>_xlfn.XLOOKUP(E119,Base!G:G,Base!C:C,"NOVO")</f>
        <v>PENDENTE</v>
      </c>
      <c r="B119" s="1">
        <v>3320224</v>
      </c>
      <c r="C119" s="1" t="s">
        <v>26</v>
      </c>
      <c r="D119" s="2">
        <v>45740.548611111109</v>
      </c>
      <c r="E119" s="1" t="s">
        <v>1681</v>
      </c>
      <c r="F119" s="1" t="s">
        <v>1682</v>
      </c>
      <c r="G119" s="1" t="s">
        <v>64</v>
      </c>
      <c r="H119" s="2">
        <v>45740.638888888891</v>
      </c>
      <c r="J119" s="1" t="s">
        <v>1244</v>
      </c>
    </row>
    <row r="120" spans="1:10" hidden="1" x14ac:dyDescent="0.25">
      <c r="A120" s="1" t="str">
        <f>_xlfn.XLOOKUP(E120,Base!G:G,Base!C:C,"NOVO")</f>
        <v>PENDENTE</v>
      </c>
      <c r="B120" s="1">
        <v>3390676</v>
      </c>
      <c r="C120" s="1" t="s">
        <v>26</v>
      </c>
      <c r="D120" s="2">
        <v>45776.68472222222</v>
      </c>
      <c r="E120" s="1" t="s">
        <v>2185</v>
      </c>
      <c r="F120" s="1" t="s">
        <v>2185</v>
      </c>
      <c r="G120" s="1" t="s">
        <v>408</v>
      </c>
      <c r="H120" s="2">
        <v>45776.65902777778</v>
      </c>
      <c r="I120" s="2">
        <v>45776.771527777775</v>
      </c>
      <c r="J120" s="1" t="s">
        <v>18</v>
      </c>
    </row>
    <row r="121" spans="1:10" hidden="1" x14ac:dyDescent="0.25">
      <c r="A121" s="1" t="str">
        <f>_xlfn.XLOOKUP(E121,Base!G:G,Base!C:C,"NOVO")</f>
        <v>PENDENTE</v>
      </c>
      <c r="B121" s="1">
        <v>3437160</v>
      </c>
      <c r="C121" s="1" t="s">
        <v>26</v>
      </c>
      <c r="D121" s="2">
        <v>45799.593055555553</v>
      </c>
      <c r="E121" s="1" t="s">
        <v>2373</v>
      </c>
      <c r="F121" s="1" t="s">
        <v>2373</v>
      </c>
      <c r="G121" s="1" t="s">
        <v>707</v>
      </c>
      <c r="H121" s="2">
        <v>45799.680555555555</v>
      </c>
      <c r="J121" s="1" t="s">
        <v>18</v>
      </c>
    </row>
    <row r="122" spans="1:10" hidden="1" x14ac:dyDescent="0.25">
      <c r="A122" s="1" t="str">
        <f>_xlfn.XLOOKUP(E122,Base!G:G,Base!C:C,"NOVO")</f>
        <v>PENDENTE</v>
      </c>
      <c r="B122" s="1">
        <v>3351313</v>
      </c>
      <c r="C122" s="1" t="s">
        <v>26</v>
      </c>
      <c r="D122" s="2">
        <v>45754.696527777778</v>
      </c>
      <c r="E122" s="1" t="s">
        <v>1683</v>
      </c>
      <c r="F122" s="1" t="s">
        <v>1683</v>
      </c>
      <c r="G122" s="1" t="s">
        <v>409</v>
      </c>
      <c r="H122" s="2">
        <v>45754.78402777778</v>
      </c>
      <c r="J122" s="1" t="s">
        <v>18</v>
      </c>
    </row>
    <row r="123" spans="1:10" hidden="1" x14ac:dyDescent="0.25">
      <c r="A123" s="1" t="str">
        <f>_xlfn.XLOOKUP(E123,Base!G:G,Base!C:C,"NOVO")</f>
        <v>PENDENTE</v>
      </c>
      <c r="B123" s="1">
        <v>3428174</v>
      </c>
      <c r="C123" s="1" t="s">
        <v>26</v>
      </c>
      <c r="D123" s="2">
        <v>45796.469444444447</v>
      </c>
      <c r="E123" s="1" t="s">
        <v>2374</v>
      </c>
      <c r="F123" s="1" t="s">
        <v>2374</v>
      </c>
      <c r="G123" s="1" t="s">
        <v>746</v>
      </c>
      <c r="H123" s="2">
        <v>45796.563888888886</v>
      </c>
      <c r="J123" s="1" t="s">
        <v>18</v>
      </c>
    </row>
    <row r="124" spans="1:10" hidden="1" x14ac:dyDescent="0.25">
      <c r="A124" s="1" t="str">
        <f>_xlfn.XLOOKUP(E124,Base!G:G,Base!C:C,"NOVO")</f>
        <v>PENDENTE</v>
      </c>
      <c r="B124" s="1">
        <v>3293521</v>
      </c>
      <c r="C124" s="1" t="s">
        <v>26</v>
      </c>
      <c r="D124" s="2">
        <v>45728.607638888891</v>
      </c>
      <c r="E124" s="1" t="s">
        <v>1391</v>
      </c>
      <c r="F124" s="1" t="s">
        <v>1391</v>
      </c>
      <c r="G124" s="1" t="s">
        <v>1060</v>
      </c>
      <c r="H124" s="2">
        <v>45727.859027777777</v>
      </c>
      <c r="I124" s="2">
        <v>45728.7</v>
      </c>
      <c r="J124" s="1" t="s">
        <v>18</v>
      </c>
    </row>
    <row r="125" spans="1:10" hidden="1" x14ac:dyDescent="0.25">
      <c r="A125" s="1" t="str">
        <f>_xlfn.XLOOKUP(E125,Base!G:G,Base!C:C,"NOVO")</f>
        <v>PENDENTE</v>
      </c>
      <c r="B125" s="1">
        <v>3428214</v>
      </c>
      <c r="C125" s="1" t="s">
        <v>26</v>
      </c>
      <c r="D125" s="2">
        <v>45796.489583333336</v>
      </c>
      <c r="E125" s="1" t="s">
        <v>2375</v>
      </c>
      <c r="F125" s="1" t="s">
        <v>2375</v>
      </c>
      <c r="G125" s="1" t="s">
        <v>746</v>
      </c>
      <c r="H125" s="2">
        <v>45796.575694444444</v>
      </c>
      <c r="J125" s="1" t="s">
        <v>18</v>
      </c>
    </row>
    <row r="126" spans="1:10" hidden="1" x14ac:dyDescent="0.25">
      <c r="A126" s="1" t="str">
        <f>_xlfn.XLOOKUP(E126,Base!G:G,Base!C:C,"NOVO")</f>
        <v>PENDENTE</v>
      </c>
      <c r="B126" s="1">
        <v>3305218</v>
      </c>
      <c r="C126" s="1" t="s">
        <v>26</v>
      </c>
      <c r="D126" s="2">
        <v>45736.570138888892</v>
      </c>
      <c r="E126" s="1" t="s">
        <v>1392</v>
      </c>
      <c r="F126" s="1" t="s">
        <v>1392</v>
      </c>
      <c r="G126" s="1" t="s">
        <v>83</v>
      </c>
      <c r="H126" s="2">
        <v>45733.736111111109</v>
      </c>
      <c r="I126" s="2">
        <v>45736.668749999997</v>
      </c>
      <c r="J126" s="1" t="s">
        <v>18</v>
      </c>
    </row>
    <row r="127" spans="1:10" hidden="1" x14ac:dyDescent="0.25">
      <c r="A127" s="1" t="str">
        <f>_xlfn.XLOOKUP(E127,Base!G:G,Base!C:C,"NOVO")</f>
        <v>PENDENTE</v>
      </c>
      <c r="B127" s="1">
        <v>3364773</v>
      </c>
      <c r="C127" s="1" t="s">
        <v>26</v>
      </c>
      <c r="D127" s="2">
        <v>45761.760416666664</v>
      </c>
      <c r="E127" s="1" t="s">
        <v>1942</v>
      </c>
      <c r="F127" s="1" t="s">
        <v>1942</v>
      </c>
      <c r="G127" s="1" t="s">
        <v>411</v>
      </c>
      <c r="H127" s="2">
        <v>45761.845138888886</v>
      </c>
      <c r="J127" s="1" t="s">
        <v>18</v>
      </c>
    </row>
    <row r="128" spans="1:10" hidden="1" x14ac:dyDescent="0.25">
      <c r="A128" s="1" t="str">
        <f>_xlfn.XLOOKUP(E128,Base!G:G,Base!C:C,"NOVO")</f>
        <v>PENDENTE</v>
      </c>
      <c r="B128" s="1">
        <v>3411413</v>
      </c>
      <c r="C128" s="1" t="s">
        <v>26</v>
      </c>
      <c r="D128" s="2">
        <v>45786.479166666664</v>
      </c>
      <c r="E128" s="1" t="s">
        <v>2290</v>
      </c>
      <c r="F128" s="1" t="s">
        <v>2290</v>
      </c>
      <c r="G128" s="1" t="s">
        <v>707</v>
      </c>
      <c r="H128" s="2">
        <v>45786.564583333333</v>
      </c>
      <c r="J128" s="1" t="s">
        <v>18</v>
      </c>
    </row>
    <row r="129" spans="1:10" hidden="1" x14ac:dyDescent="0.25">
      <c r="A129" s="1" t="str">
        <f>_xlfn.XLOOKUP(E129,Base!G:G,Base!C:C,"NOVO")</f>
        <v>PENDENTE</v>
      </c>
      <c r="B129" s="1">
        <v>3382280</v>
      </c>
      <c r="C129" s="1" t="s">
        <v>26</v>
      </c>
      <c r="D129" s="2">
        <v>45771.7</v>
      </c>
      <c r="E129" s="1" t="s">
        <v>1943</v>
      </c>
      <c r="F129" s="1" t="s">
        <v>1943</v>
      </c>
      <c r="G129" s="1" t="s">
        <v>746</v>
      </c>
      <c r="H129" s="2">
        <v>45771.79791666667</v>
      </c>
      <c r="J129" s="1" t="s">
        <v>18</v>
      </c>
    </row>
    <row r="130" spans="1:10" hidden="1" x14ac:dyDescent="0.25">
      <c r="A130" s="1" t="str">
        <f>_xlfn.XLOOKUP(E130,Base!G:G,Base!C:C,"NOVO")</f>
        <v>PENDENTE</v>
      </c>
      <c r="B130" s="1">
        <v>3465660</v>
      </c>
      <c r="C130" s="1" t="s">
        <v>26</v>
      </c>
      <c r="D130" s="2">
        <v>45813.348611111112</v>
      </c>
      <c r="E130" s="1" t="s">
        <v>2596</v>
      </c>
      <c r="F130" s="1" t="s">
        <v>2596</v>
      </c>
      <c r="G130" s="1" t="s">
        <v>746</v>
      </c>
      <c r="H130" s="2">
        <v>45813.439583333333</v>
      </c>
      <c r="J130" s="1" t="s">
        <v>18</v>
      </c>
    </row>
    <row r="131" spans="1:10" hidden="1" x14ac:dyDescent="0.25">
      <c r="A131" s="1" t="str">
        <f>_xlfn.XLOOKUP(E131,Base!G:G,Base!C:C,"NOVO")</f>
        <v>PENDENTE</v>
      </c>
      <c r="B131" s="1">
        <v>3305499</v>
      </c>
      <c r="C131" s="1" t="s">
        <v>26</v>
      </c>
      <c r="D131" s="2">
        <v>45733.669444444444</v>
      </c>
      <c r="E131" s="1" t="s">
        <v>1393</v>
      </c>
      <c r="F131" s="1" t="s">
        <v>1394</v>
      </c>
      <c r="G131" s="1" t="s">
        <v>64</v>
      </c>
      <c r="H131" s="2">
        <v>45733.754166666666</v>
      </c>
      <c r="J131" s="1" t="s">
        <v>1244</v>
      </c>
    </row>
    <row r="132" spans="1:10" hidden="1" x14ac:dyDescent="0.25">
      <c r="A132" s="1" t="str">
        <f>_xlfn.XLOOKUP(E132,Base!G:G,Base!C:C,"NOVO")</f>
        <v>PENDENTE</v>
      </c>
      <c r="B132" s="1">
        <v>3281885</v>
      </c>
      <c r="C132" s="1" t="s">
        <v>26</v>
      </c>
      <c r="D132" s="2">
        <v>45727.770833333336</v>
      </c>
      <c r="E132" s="1" t="s">
        <v>1256</v>
      </c>
      <c r="F132" s="1" t="s">
        <v>1256</v>
      </c>
      <c r="G132" s="1" t="s">
        <v>83</v>
      </c>
      <c r="H132" s="2">
        <v>45721.887499999997</v>
      </c>
      <c r="I132" s="2">
        <v>45727.856944444444</v>
      </c>
      <c r="J132" s="1" t="s">
        <v>18</v>
      </c>
    </row>
    <row r="133" spans="1:10" hidden="1" x14ac:dyDescent="0.25">
      <c r="A133" s="1" t="str">
        <f>_xlfn.XLOOKUP(E133,Base!G:G,Base!C:C,"NOVO")</f>
        <v>PENDENTE</v>
      </c>
      <c r="B133" s="1">
        <v>3257726</v>
      </c>
      <c r="C133" s="1" t="s">
        <v>26</v>
      </c>
      <c r="D133" s="2">
        <v>45709.222222222219</v>
      </c>
      <c r="E133" s="1" t="s">
        <v>1066</v>
      </c>
      <c r="F133" s="1" t="s">
        <v>1066</v>
      </c>
      <c r="G133" s="1" t="s">
        <v>1067</v>
      </c>
      <c r="H133" s="2">
        <v>45708.545138888891</v>
      </c>
      <c r="I133" s="2">
        <v>45709.356249999997</v>
      </c>
      <c r="J133" s="1" t="s">
        <v>18</v>
      </c>
    </row>
    <row r="134" spans="1:10" hidden="1" x14ac:dyDescent="0.25">
      <c r="A134" s="1" t="str">
        <f>_xlfn.XLOOKUP(E134,Base!G:G,Base!C:C,"NOVO")</f>
        <v>PENDENTE</v>
      </c>
      <c r="B134" s="1">
        <v>3444824</v>
      </c>
      <c r="C134" s="1" t="s">
        <v>26</v>
      </c>
      <c r="D134" s="2">
        <v>45804.336111111108</v>
      </c>
      <c r="E134" s="1" t="s">
        <v>2376</v>
      </c>
      <c r="F134" s="1" t="s">
        <v>2376</v>
      </c>
      <c r="G134" s="1" t="s">
        <v>746</v>
      </c>
      <c r="H134" s="2">
        <v>45804.431250000001</v>
      </c>
      <c r="J134" s="1" t="s">
        <v>18</v>
      </c>
    </row>
    <row r="135" spans="1:10" hidden="1" x14ac:dyDescent="0.25">
      <c r="A135" s="1" t="str">
        <f>_xlfn.XLOOKUP(E135,Base!G:G,Base!C:C,"NOVO")</f>
        <v>PENDENTE</v>
      </c>
      <c r="B135" s="1">
        <v>3292269</v>
      </c>
      <c r="C135" s="1" t="s">
        <v>26</v>
      </c>
      <c r="D135" s="2">
        <v>45727.578472222223</v>
      </c>
      <c r="E135" s="1" t="s">
        <v>1395</v>
      </c>
      <c r="F135" s="1" t="s">
        <v>1396</v>
      </c>
      <c r="G135" s="1" t="s">
        <v>64</v>
      </c>
      <c r="H135" s="2">
        <v>45727.670138888891</v>
      </c>
      <c r="J135" s="1" t="s">
        <v>1244</v>
      </c>
    </row>
    <row r="136" spans="1:10" hidden="1" x14ac:dyDescent="0.25">
      <c r="A136" s="1" t="str">
        <f>_xlfn.XLOOKUP(E136,Base!G:G,Base!C:C,"NOVO")</f>
        <v>PENDENTE</v>
      </c>
      <c r="B136" s="1">
        <v>3356460</v>
      </c>
      <c r="C136" s="1" t="s">
        <v>26</v>
      </c>
      <c r="D136" s="2">
        <v>45756.70416666667</v>
      </c>
      <c r="E136" s="1" t="s">
        <v>1944</v>
      </c>
      <c r="F136" s="1" t="s">
        <v>1944</v>
      </c>
      <c r="G136" s="1" t="s">
        <v>396</v>
      </c>
      <c r="H136" s="2">
        <v>45756.793749999997</v>
      </c>
      <c r="J136" s="1" t="s">
        <v>18</v>
      </c>
    </row>
    <row r="137" spans="1:10" x14ac:dyDescent="0.25">
      <c r="A137" s="1" t="str">
        <f>_xlfn.XLOOKUP(E137,Base!G:G,Base!C:C,"NOVO")</f>
        <v>PENDENTE</v>
      </c>
      <c r="B137" s="1">
        <v>3472699</v>
      </c>
      <c r="C137" s="1" t="s">
        <v>26</v>
      </c>
      <c r="D137" s="2">
        <v>45817.726388888892</v>
      </c>
      <c r="E137" s="1" t="s">
        <v>2688</v>
      </c>
      <c r="F137" s="1" t="s">
        <v>2688</v>
      </c>
      <c r="G137" s="1" t="s">
        <v>411</v>
      </c>
      <c r="H137" s="2">
        <v>45817.813888888886</v>
      </c>
      <c r="J137" s="1" t="s">
        <v>18</v>
      </c>
    </row>
    <row r="138" spans="1:10" hidden="1" x14ac:dyDescent="0.25">
      <c r="A138" s="1" t="str">
        <f>_xlfn.XLOOKUP(E138,Base!G:G,Base!C:C,"NOVO")</f>
        <v>PENDENTE</v>
      </c>
      <c r="B138" s="1">
        <v>3417833</v>
      </c>
      <c r="C138" s="1" t="s">
        <v>26</v>
      </c>
      <c r="D138" s="2">
        <v>45790.660416666666</v>
      </c>
      <c r="E138" s="1" t="s">
        <v>2291</v>
      </c>
      <c r="F138" s="1" t="s">
        <v>2292</v>
      </c>
      <c r="G138" s="1" t="s">
        <v>393</v>
      </c>
      <c r="H138" s="2">
        <v>45790.753472222219</v>
      </c>
      <c r="J138" s="1" t="s">
        <v>19</v>
      </c>
    </row>
    <row r="139" spans="1:10" hidden="1" x14ac:dyDescent="0.25">
      <c r="A139" s="1" t="str">
        <f>_xlfn.XLOOKUP(E139,Base!G:G,Base!C:C,"NOVO")</f>
        <v>PENDENTE</v>
      </c>
      <c r="B139" s="1">
        <v>3353712</v>
      </c>
      <c r="C139" s="1" t="s">
        <v>26</v>
      </c>
      <c r="D139" s="2">
        <v>45791.7</v>
      </c>
      <c r="E139" s="1" t="s">
        <v>1684</v>
      </c>
      <c r="F139" s="1" t="s">
        <v>1684</v>
      </c>
      <c r="G139" s="1" t="s">
        <v>410</v>
      </c>
      <c r="H139" s="2">
        <v>45755.724305555559</v>
      </c>
      <c r="I139" s="2">
        <v>45791.794444444444</v>
      </c>
      <c r="J139" s="1" t="s">
        <v>18</v>
      </c>
    </row>
    <row r="140" spans="1:10" hidden="1" x14ac:dyDescent="0.25">
      <c r="A140" s="1" t="str">
        <f>_xlfn.XLOOKUP(E140,Base!G:G,Base!C:C,"NOVO")</f>
        <v>PENDENTE</v>
      </c>
      <c r="B140" s="1">
        <v>3290301</v>
      </c>
      <c r="C140" s="1" t="s">
        <v>26</v>
      </c>
      <c r="D140" s="2">
        <v>45727.477777777778</v>
      </c>
      <c r="E140" s="1" t="s">
        <v>1397</v>
      </c>
      <c r="F140" s="1" t="s">
        <v>1397</v>
      </c>
      <c r="G140" s="1" t="s">
        <v>1054</v>
      </c>
      <c r="H140" s="2">
        <v>45726.848611111112</v>
      </c>
      <c r="I140" s="2">
        <v>45727.564583333333</v>
      </c>
      <c r="J140" s="1" t="s">
        <v>18</v>
      </c>
    </row>
    <row r="141" spans="1:10" hidden="1" x14ac:dyDescent="0.25">
      <c r="A141" s="1" t="str">
        <f>_xlfn.XLOOKUP(E141,Base!G:G,Base!C:C,"NOVO")</f>
        <v>PENDENTE</v>
      </c>
      <c r="B141" s="1">
        <v>3404680</v>
      </c>
      <c r="C141" s="1" t="s">
        <v>26</v>
      </c>
      <c r="D141" s="2">
        <v>45783.753472222219</v>
      </c>
      <c r="E141" s="1" t="s">
        <v>2186</v>
      </c>
      <c r="F141" s="1" t="s">
        <v>2186</v>
      </c>
      <c r="G141" s="1" t="s">
        <v>707</v>
      </c>
      <c r="H141" s="2">
        <v>45783.844444444447</v>
      </c>
      <c r="J141" s="1" t="s">
        <v>18</v>
      </c>
    </row>
    <row r="142" spans="1:10" hidden="1" x14ac:dyDescent="0.25">
      <c r="A142" s="1" t="str">
        <f>_xlfn.XLOOKUP(E142,Base!G:G,Base!C:C,"NOVO")</f>
        <v>PENDENTE</v>
      </c>
      <c r="B142" s="1">
        <v>3238573</v>
      </c>
      <c r="C142" s="1" t="s">
        <v>26</v>
      </c>
      <c r="D142" s="2">
        <v>45699.368750000001</v>
      </c>
      <c r="E142" s="1" t="s">
        <v>1068</v>
      </c>
      <c r="F142" s="1" t="s">
        <v>1068</v>
      </c>
      <c r="G142" s="1" t="s">
        <v>692</v>
      </c>
      <c r="H142" s="2">
        <v>45699.504166666666</v>
      </c>
      <c r="J142" s="1" t="s">
        <v>18</v>
      </c>
    </row>
    <row r="143" spans="1:10" hidden="1" x14ac:dyDescent="0.25">
      <c r="A143" s="1" t="str">
        <f>_xlfn.XLOOKUP(E143,Base!G:G,Base!C:C,"NOVO")</f>
        <v>PENDENTE</v>
      </c>
      <c r="B143" s="1">
        <v>3238574</v>
      </c>
      <c r="C143" s="1" t="s">
        <v>26</v>
      </c>
      <c r="D143" s="2">
        <v>45699.368750000001</v>
      </c>
      <c r="E143" s="1" t="s">
        <v>1069</v>
      </c>
      <c r="F143" s="1" t="s">
        <v>1068</v>
      </c>
      <c r="G143" s="1" t="s">
        <v>898</v>
      </c>
      <c r="H143" s="2">
        <v>45699.504166666666</v>
      </c>
      <c r="J143" s="1" t="s">
        <v>18</v>
      </c>
    </row>
    <row r="144" spans="1:10" hidden="1" x14ac:dyDescent="0.25">
      <c r="A144" s="1" t="str">
        <f>_xlfn.XLOOKUP(E144,Base!G:G,Base!C:C,"NOVO")</f>
        <v>PENDENTE</v>
      </c>
      <c r="B144" s="1">
        <v>3296193</v>
      </c>
      <c r="C144" s="1" t="s">
        <v>26</v>
      </c>
      <c r="D144" s="2">
        <v>45728.75277777778</v>
      </c>
      <c r="E144" s="1" t="s">
        <v>1398</v>
      </c>
      <c r="F144" s="1" t="s">
        <v>1398</v>
      </c>
      <c r="G144" s="1" t="s">
        <v>620</v>
      </c>
      <c r="H144" s="2">
        <v>45728.84375</v>
      </c>
      <c r="J144" s="1" t="s">
        <v>18</v>
      </c>
    </row>
    <row r="145" spans="1:10" hidden="1" x14ac:dyDescent="0.25">
      <c r="A145" s="1" t="str">
        <f>_xlfn.XLOOKUP(E145,Base!G:G,Base!C:C,"NOVO")</f>
        <v>PENDENTE</v>
      </c>
      <c r="B145" s="1">
        <v>3373499</v>
      </c>
      <c r="C145" s="1" t="s">
        <v>26</v>
      </c>
      <c r="D145" s="2">
        <v>45764.701388888891</v>
      </c>
      <c r="E145" s="1" t="s">
        <v>1945</v>
      </c>
      <c r="F145" s="1" t="s">
        <v>1945</v>
      </c>
      <c r="G145" s="1" t="s">
        <v>652</v>
      </c>
      <c r="H145" s="2">
        <v>45764.797222222223</v>
      </c>
      <c r="J145" s="1" t="s">
        <v>18</v>
      </c>
    </row>
    <row r="146" spans="1:10" hidden="1" x14ac:dyDescent="0.25">
      <c r="A146" s="1" t="str">
        <f>_xlfn.XLOOKUP(E146,Base!G:G,Base!C:C,"NOVO")</f>
        <v>PENDENTE</v>
      </c>
      <c r="B146" s="1">
        <v>3465757</v>
      </c>
      <c r="C146" s="1" t="s">
        <v>26</v>
      </c>
      <c r="D146" s="2">
        <v>45813.390277777777</v>
      </c>
      <c r="E146" s="1" t="s">
        <v>2597</v>
      </c>
      <c r="F146" s="1" t="s">
        <v>2598</v>
      </c>
      <c r="G146" s="1" t="s">
        <v>64</v>
      </c>
      <c r="H146" s="2">
        <v>45813.480555555558</v>
      </c>
      <c r="J146" s="1" t="s">
        <v>1244</v>
      </c>
    </row>
    <row r="147" spans="1:10" hidden="1" x14ac:dyDescent="0.25">
      <c r="A147" s="1" t="str">
        <f>_xlfn.XLOOKUP(E147,Base!G:G,Base!C:C,"NOVO")</f>
        <v>PENDENTE</v>
      </c>
      <c r="B147" s="1">
        <v>3428041</v>
      </c>
      <c r="C147" s="1" t="s">
        <v>26</v>
      </c>
      <c r="D147" s="2">
        <v>45804.348611111112</v>
      </c>
      <c r="E147" s="1" t="s">
        <v>2377</v>
      </c>
      <c r="F147" s="1" t="s">
        <v>2377</v>
      </c>
      <c r="G147" s="1" t="s">
        <v>2378</v>
      </c>
      <c r="H147" s="2">
        <v>45796.513888888891</v>
      </c>
      <c r="I147" s="2">
        <v>45804.439583333333</v>
      </c>
      <c r="J147" s="1" t="s">
        <v>19</v>
      </c>
    </row>
    <row r="148" spans="1:10" hidden="1" x14ac:dyDescent="0.25">
      <c r="A148" s="1" t="str">
        <f>_xlfn.XLOOKUP(E148,Base!G:G,Base!C:C,"NOVO")</f>
        <v>PENDENTE</v>
      </c>
      <c r="B148" s="1">
        <v>3250730</v>
      </c>
      <c r="C148" s="1" t="s">
        <v>26</v>
      </c>
      <c r="D148" s="2">
        <v>45705.620833333334</v>
      </c>
      <c r="E148" s="1" t="s">
        <v>1070</v>
      </c>
      <c r="F148" s="1" t="s">
        <v>1070</v>
      </c>
      <c r="G148" s="1" t="s">
        <v>83</v>
      </c>
      <c r="H148" s="2">
        <v>45705.755555555559</v>
      </c>
      <c r="J148" s="1" t="s">
        <v>18</v>
      </c>
    </row>
    <row r="149" spans="1:10" hidden="1" x14ac:dyDescent="0.25">
      <c r="A149" s="1" t="str">
        <f>_xlfn.XLOOKUP(E149,Base!G:G,Base!C:C,"NOVO")</f>
        <v>PENDENTE</v>
      </c>
      <c r="B149" s="1">
        <v>3386729</v>
      </c>
      <c r="C149" s="1" t="s">
        <v>26</v>
      </c>
      <c r="D149" s="2">
        <v>45775.400694444441</v>
      </c>
      <c r="E149" s="1" t="s">
        <v>1946</v>
      </c>
      <c r="F149" s="1" t="s">
        <v>1946</v>
      </c>
      <c r="G149" s="1" t="s">
        <v>746</v>
      </c>
      <c r="H149" s="2">
        <v>45775.493055555555</v>
      </c>
      <c r="J149" s="1" t="s">
        <v>18</v>
      </c>
    </row>
    <row r="150" spans="1:10" hidden="1" x14ac:dyDescent="0.25">
      <c r="A150" s="1" t="str">
        <f>_xlfn.XLOOKUP(E150,Base!G:G,Base!C:C,"NOVO")</f>
        <v>PENDENTE</v>
      </c>
      <c r="B150" s="1">
        <v>3356469</v>
      </c>
      <c r="C150" s="1" t="s">
        <v>26</v>
      </c>
      <c r="D150" s="2">
        <v>45756.70416666667</v>
      </c>
      <c r="E150" s="1" t="s">
        <v>1947</v>
      </c>
      <c r="F150" s="1" t="s">
        <v>1947</v>
      </c>
      <c r="G150" s="1" t="s">
        <v>83</v>
      </c>
      <c r="H150" s="2">
        <v>45756.794444444444</v>
      </c>
      <c r="J150" s="1" t="s">
        <v>18</v>
      </c>
    </row>
    <row r="151" spans="1:10" hidden="1" x14ac:dyDescent="0.25">
      <c r="A151" s="1" t="str">
        <f>_xlfn.XLOOKUP(E151,Base!G:G,Base!C:C,"NOVO")</f>
        <v>PENDENTE</v>
      </c>
      <c r="B151" s="1">
        <v>3330384</v>
      </c>
      <c r="C151" s="1" t="s">
        <v>26</v>
      </c>
      <c r="D151" s="2">
        <v>45744.306250000001</v>
      </c>
      <c r="E151" s="1" t="s">
        <v>1685</v>
      </c>
      <c r="F151" s="1" t="s">
        <v>1685</v>
      </c>
      <c r="G151" s="1" t="s">
        <v>273</v>
      </c>
      <c r="H151" s="2">
        <v>45744.396527777775</v>
      </c>
      <c r="J151" s="1" t="s">
        <v>1245</v>
      </c>
    </row>
    <row r="152" spans="1:10" hidden="1" x14ac:dyDescent="0.25">
      <c r="A152" s="1" t="str">
        <f>_xlfn.XLOOKUP(E152,Base!G:G,Base!C:C,"NOVO")</f>
        <v>PENDENTE</v>
      </c>
      <c r="B152" s="1">
        <v>3288748</v>
      </c>
      <c r="C152" s="1" t="s">
        <v>26</v>
      </c>
      <c r="D152" s="2">
        <v>45726.480555555558</v>
      </c>
      <c r="E152" s="1" t="s">
        <v>1399</v>
      </c>
      <c r="F152" s="1" t="s">
        <v>1399</v>
      </c>
      <c r="G152" s="1" t="s">
        <v>83</v>
      </c>
      <c r="H152" s="2">
        <v>45726.57708333333</v>
      </c>
      <c r="J152" s="1" t="s">
        <v>18</v>
      </c>
    </row>
    <row r="153" spans="1:10" hidden="1" x14ac:dyDescent="0.25">
      <c r="A153" s="1" t="str">
        <f>_xlfn.XLOOKUP(E153,Base!G:G,Base!C:C,"NOVO")</f>
        <v>PENDENTE</v>
      </c>
      <c r="B153" s="1">
        <v>3243997</v>
      </c>
      <c r="C153" s="1" t="s">
        <v>26</v>
      </c>
      <c r="D153" s="2">
        <v>45701.382638888892</v>
      </c>
      <c r="E153" s="1" t="s">
        <v>1071</v>
      </c>
      <c r="F153" s="1" t="s">
        <v>1071</v>
      </c>
      <c r="G153" s="1" t="s">
        <v>396</v>
      </c>
      <c r="H153" s="2">
        <v>45701.520138888889</v>
      </c>
      <c r="J153" s="1" t="s">
        <v>18</v>
      </c>
    </row>
    <row r="154" spans="1:10" hidden="1" x14ac:dyDescent="0.25">
      <c r="A154" s="1" t="str">
        <f>_xlfn.XLOOKUP(E154,Base!G:G,Base!C:C,"NOVO")</f>
        <v>PENDENTE</v>
      </c>
      <c r="B154" s="1">
        <v>3329551</v>
      </c>
      <c r="C154" s="1" t="s">
        <v>26</v>
      </c>
      <c r="D154" s="2">
        <v>45744.618055555555</v>
      </c>
      <c r="E154" s="1" t="s">
        <v>1686</v>
      </c>
      <c r="F154" s="1" t="s">
        <v>1686</v>
      </c>
      <c r="G154" s="1" t="s">
        <v>83</v>
      </c>
      <c r="H154" s="2">
        <v>45743.845833333333</v>
      </c>
      <c r="I154" s="2">
        <v>45744.711111111108</v>
      </c>
      <c r="J154" s="1" t="s">
        <v>18</v>
      </c>
    </row>
    <row r="155" spans="1:10" hidden="1" x14ac:dyDescent="0.25">
      <c r="A155" s="1" t="str">
        <f>_xlfn.XLOOKUP(E155,Base!G:G,Base!C:C,"NOVO")</f>
        <v>PENDENTE</v>
      </c>
      <c r="B155" s="1">
        <v>3296851</v>
      </c>
      <c r="C155" s="1" t="s">
        <v>26</v>
      </c>
      <c r="D155" s="2">
        <v>45729.306944444441</v>
      </c>
      <c r="E155" s="1" t="s">
        <v>1400</v>
      </c>
      <c r="F155" s="1" t="s">
        <v>1401</v>
      </c>
      <c r="G155" s="1" t="s">
        <v>64</v>
      </c>
      <c r="H155" s="2">
        <v>45729.398611111108</v>
      </c>
      <c r="J155" s="1" t="s">
        <v>1244</v>
      </c>
    </row>
    <row r="156" spans="1:10" hidden="1" x14ac:dyDescent="0.25">
      <c r="A156" s="1" t="str">
        <f>_xlfn.XLOOKUP(E156,Base!G:G,Base!C:C,"NOVO")</f>
        <v>PENDENTE</v>
      </c>
      <c r="B156" s="1">
        <v>3405615</v>
      </c>
      <c r="C156" s="1" t="s">
        <v>26</v>
      </c>
      <c r="D156" s="2">
        <v>45784.456944444442</v>
      </c>
      <c r="E156" s="1" t="s">
        <v>2187</v>
      </c>
      <c r="F156" s="1" t="s">
        <v>2187</v>
      </c>
      <c r="G156" s="1" t="s">
        <v>396</v>
      </c>
      <c r="H156" s="2">
        <v>45784.544444444444</v>
      </c>
      <c r="J156" s="1" t="s">
        <v>18</v>
      </c>
    </row>
    <row r="157" spans="1:10" hidden="1" x14ac:dyDescent="0.25">
      <c r="A157" s="1" t="str">
        <f>_xlfn.XLOOKUP(E157,Base!G:G,Base!C:C,"NOVO")</f>
        <v>PENDENTE</v>
      </c>
      <c r="B157" s="1">
        <v>3382329</v>
      </c>
      <c r="C157" s="1" t="s">
        <v>26</v>
      </c>
      <c r="D157" s="2">
        <v>45771.7</v>
      </c>
      <c r="E157" s="1" t="s">
        <v>1948</v>
      </c>
      <c r="F157" s="1" t="s">
        <v>1948</v>
      </c>
      <c r="G157" s="1" t="s">
        <v>83</v>
      </c>
      <c r="H157" s="2">
        <v>45771.801388888889</v>
      </c>
      <c r="J157" s="1" t="s">
        <v>18</v>
      </c>
    </row>
    <row r="158" spans="1:10" hidden="1" x14ac:dyDescent="0.25">
      <c r="A158" s="1" t="str">
        <f>_xlfn.XLOOKUP(E158,Base!G:G,Base!C:C,"NOVO")</f>
        <v>PENDENTE</v>
      </c>
      <c r="B158" s="1">
        <v>3362763</v>
      </c>
      <c r="C158" s="1" t="s">
        <v>26</v>
      </c>
      <c r="D158" s="2">
        <v>45760.638194444444</v>
      </c>
      <c r="E158" s="1" t="s">
        <v>1949</v>
      </c>
      <c r="F158" s="1" t="s">
        <v>1949</v>
      </c>
      <c r="G158" s="1" t="s">
        <v>83</v>
      </c>
      <c r="H158" s="2">
        <v>45760.734722222223</v>
      </c>
      <c r="J158" s="1" t="s">
        <v>18</v>
      </c>
    </row>
    <row r="159" spans="1:10" hidden="1" x14ac:dyDescent="0.25">
      <c r="A159" s="1" t="str">
        <f>_xlfn.XLOOKUP(E159,Base!G:G,Base!C:C,"NOVO")</f>
        <v>PENDENTE</v>
      </c>
      <c r="B159" s="1">
        <v>3464801</v>
      </c>
      <c r="C159" s="1" t="s">
        <v>26</v>
      </c>
      <c r="D159" s="2">
        <v>45812.746527777781</v>
      </c>
      <c r="E159" s="1" t="s">
        <v>2599</v>
      </c>
      <c r="F159" s="1" t="s">
        <v>2599</v>
      </c>
      <c r="G159" s="1" t="s">
        <v>83</v>
      </c>
      <c r="H159" s="2">
        <v>45812.836111111108</v>
      </c>
      <c r="J159" s="1" t="s">
        <v>18</v>
      </c>
    </row>
    <row r="160" spans="1:10" hidden="1" x14ac:dyDescent="0.25">
      <c r="A160" s="1" t="str">
        <f>_xlfn.XLOOKUP(E160,Base!G:G,Base!C:C,"NOVO")</f>
        <v>PENDENTE</v>
      </c>
      <c r="B160" s="1">
        <v>3288296</v>
      </c>
      <c r="C160" s="1" t="s">
        <v>26</v>
      </c>
      <c r="D160" s="2">
        <v>45729.35833333333</v>
      </c>
      <c r="E160" s="1" t="s">
        <v>1402</v>
      </c>
      <c r="F160" s="1" t="s">
        <v>1402</v>
      </c>
      <c r="G160" s="1" t="s">
        <v>1403</v>
      </c>
      <c r="H160" s="2">
        <v>45726.429166666669</v>
      </c>
      <c r="I160" s="2">
        <v>45729.45</v>
      </c>
      <c r="J160" s="1" t="s">
        <v>18</v>
      </c>
    </row>
    <row r="161" spans="1:10" hidden="1" x14ac:dyDescent="0.25">
      <c r="A161" s="1" t="str">
        <f>_xlfn.XLOOKUP(E161,Base!G:G,Base!C:C,"NOVO")</f>
        <v>PENDENTE</v>
      </c>
      <c r="B161" s="1">
        <v>3285531</v>
      </c>
      <c r="C161" s="1" t="s">
        <v>26</v>
      </c>
      <c r="D161" s="2">
        <v>45723.484027777777</v>
      </c>
      <c r="E161" s="1" t="s">
        <v>1404</v>
      </c>
      <c r="F161" s="1" t="s">
        <v>1404</v>
      </c>
      <c r="G161" s="1" t="s">
        <v>1189</v>
      </c>
      <c r="H161" s="2">
        <v>45723.615972222222</v>
      </c>
      <c r="J161" s="1" t="s">
        <v>18</v>
      </c>
    </row>
    <row r="162" spans="1:10" hidden="1" x14ac:dyDescent="0.25">
      <c r="A162" s="1" t="str">
        <f>_xlfn.XLOOKUP(E162,Base!G:G,Base!C:C,"NOVO")</f>
        <v>PENDENTE</v>
      </c>
      <c r="B162" s="1">
        <v>3275692</v>
      </c>
      <c r="C162" s="1" t="s">
        <v>26</v>
      </c>
      <c r="D162" s="2">
        <v>45721.758333333331</v>
      </c>
      <c r="E162" s="1" t="s">
        <v>1257</v>
      </c>
      <c r="F162" s="1" t="s">
        <v>1257</v>
      </c>
      <c r="G162" s="1" t="s">
        <v>1215</v>
      </c>
      <c r="H162" s="2">
        <v>45716.668749999997</v>
      </c>
      <c r="I162" s="2">
        <v>45721.890277777777</v>
      </c>
      <c r="J162" s="1" t="s">
        <v>18</v>
      </c>
    </row>
    <row r="163" spans="1:10" hidden="1" x14ac:dyDescent="0.25">
      <c r="A163" s="1" t="str">
        <f>_xlfn.XLOOKUP(E163,Base!G:G,Base!C:C,"NOVO")</f>
        <v>PENDENTE</v>
      </c>
      <c r="B163" s="1">
        <v>3382313</v>
      </c>
      <c r="C163" s="1" t="s">
        <v>26</v>
      </c>
      <c r="D163" s="2">
        <v>45771.7</v>
      </c>
      <c r="E163" s="1" t="s">
        <v>1950</v>
      </c>
      <c r="F163" s="1" t="s">
        <v>1950</v>
      </c>
      <c r="G163" s="1" t="s">
        <v>707</v>
      </c>
      <c r="H163" s="2">
        <v>45771.8</v>
      </c>
      <c r="J163" s="1" t="s">
        <v>18</v>
      </c>
    </row>
    <row r="164" spans="1:10" hidden="1" x14ac:dyDescent="0.25">
      <c r="A164" s="1" t="str">
        <f>_xlfn.XLOOKUP(E164,Base!G:G,Base!C:C,"NOVO")</f>
        <v>PENDENTE</v>
      </c>
      <c r="B164" s="1">
        <v>3329547</v>
      </c>
      <c r="C164" s="1" t="s">
        <v>26</v>
      </c>
      <c r="D164" s="2">
        <v>45744.410416666666</v>
      </c>
      <c r="E164" s="1" t="s">
        <v>1687</v>
      </c>
      <c r="F164" s="1" t="s">
        <v>1687</v>
      </c>
      <c r="G164" s="1" t="s">
        <v>83</v>
      </c>
      <c r="H164" s="2">
        <v>45743.845138888886</v>
      </c>
      <c r="I164" s="2">
        <v>45744.501388888886</v>
      </c>
      <c r="J164" s="1" t="s">
        <v>18</v>
      </c>
    </row>
    <row r="165" spans="1:10" hidden="1" x14ac:dyDescent="0.25">
      <c r="A165" s="1" t="str">
        <f>_xlfn.XLOOKUP(E165,Base!G:G,Base!C:C,"NOVO")</f>
        <v>PENDENTE</v>
      </c>
      <c r="B165" s="1">
        <v>3391079</v>
      </c>
      <c r="C165" s="1" t="s">
        <v>26</v>
      </c>
      <c r="D165" s="2">
        <v>45779.523611111108</v>
      </c>
      <c r="E165" s="1" t="s">
        <v>2188</v>
      </c>
      <c r="F165" s="1" t="s">
        <v>2189</v>
      </c>
      <c r="G165" s="1" t="s">
        <v>64</v>
      </c>
      <c r="H165" s="2">
        <v>45776.740277777775</v>
      </c>
      <c r="I165" s="2">
        <v>45779.615277777775</v>
      </c>
      <c r="J165" s="1" t="s">
        <v>1244</v>
      </c>
    </row>
    <row r="166" spans="1:10" hidden="1" x14ac:dyDescent="0.25">
      <c r="A166" s="1" t="str">
        <f>_xlfn.XLOOKUP(E166,Base!G:G,Base!C:C,"NOVO")</f>
        <v>PENDENTE</v>
      </c>
      <c r="B166" s="1">
        <v>3397508</v>
      </c>
      <c r="C166" s="1" t="s">
        <v>26</v>
      </c>
      <c r="D166" s="2">
        <v>45782.388194444444</v>
      </c>
      <c r="E166" s="1" t="s">
        <v>2190</v>
      </c>
      <c r="F166" s="1" t="s">
        <v>2190</v>
      </c>
      <c r="G166" s="1" t="s">
        <v>1761</v>
      </c>
      <c r="H166" s="2">
        <v>45779.629166666666</v>
      </c>
      <c r="I166" s="2">
        <v>45782.481249999997</v>
      </c>
      <c r="J166" s="1" t="s">
        <v>18</v>
      </c>
    </row>
    <row r="167" spans="1:10" hidden="1" x14ac:dyDescent="0.25">
      <c r="A167" s="1" t="str">
        <f>_xlfn.XLOOKUP(E167,Base!G:G,Base!C:C,"NOVO")</f>
        <v>PENDENTE</v>
      </c>
      <c r="B167" s="1">
        <v>3397326</v>
      </c>
      <c r="C167" s="1" t="s">
        <v>26</v>
      </c>
      <c r="D167" s="2">
        <v>45779.447916666664</v>
      </c>
      <c r="E167" s="1" t="s">
        <v>2191</v>
      </c>
      <c r="F167" s="1" t="s">
        <v>2192</v>
      </c>
      <c r="G167" s="1" t="s">
        <v>64</v>
      </c>
      <c r="H167" s="2">
        <v>45779.531944444447</v>
      </c>
      <c r="J167" s="1" t="s">
        <v>1244</v>
      </c>
    </row>
    <row r="168" spans="1:10" hidden="1" x14ac:dyDescent="0.25">
      <c r="A168" s="1" t="str">
        <f>_xlfn.XLOOKUP(E168,Base!G:G,Base!C:C,"NOVO")</f>
        <v>PENDENTE</v>
      </c>
      <c r="B168" s="1">
        <v>3224608</v>
      </c>
      <c r="C168" s="1" t="s">
        <v>26</v>
      </c>
      <c r="D168" s="2">
        <v>45695.402083333334</v>
      </c>
      <c r="E168" s="1" t="s">
        <v>710</v>
      </c>
      <c r="F168" s="1" t="s">
        <v>710</v>
      </c>
      <c r="G168" s="1" t="s">
        <v>692</v>
      </c>
      <c r="H168" s="2">
        <v>45692.879166666666</v>
      </c>
      <c r="I168" s="2">
        <v>45695.533333333333</v>
      </c>
      <c r="J168" s="1" t="s">
        <v>18</v>
      </c>
    </row>
    <row r="169" spans="1:10" hidden="1" x14ac:dyDescent="0.25">
      <c r="A169" s="1" t="str">
        <f>_xlfn.XLOOKUP(E169,Base!G:G,Base!C:C,"NOVO")</f>
        <v>PENDENTE</v>
      </c>
      <c r="B169" s="1">
        <v>3224058</v>
      </c>
      <c r="C169" s="1" t="s">
        <v>26</v>
      </c>
      <c r="D169" s="2">
        <v>45692.579861111109</v>
      </c>
      <c r="E169" s="1" t="s">
        <v>711</v>
      </c>
      <c r="F169" s="1" t="s">
        <v>712</v>
      </c>
      <c r="G169" s="1" t="s">
        <v>166</v>
      </c>
      <c r="H169" s="2">
        <v>45692.743750000001</v>
      </c>
      <c r="I169" s="2">
        <v>45694.928472222222</v>
      </c>
      <c r="J169" s="1" t="s">
        <v>19</v>
      </c>
    </row>
    <row r="170" spans="1:10" hidden="1" x14ac:dyDescent="0.25">
      <c r="A170" s="1" t="str">
        <f>_xlfn.XLOOKUP(E170,Base!G:G,Base!C:C,"NOVO")</f>
        <v>PENDENTE</v>
      </c>
      <c r="B170" s="1">
        <v>3382670</v>
      </c>
      <c r="C170" s="1" t="s">
        <v>26</v>
      </c>
      <c r="D170" s="2">
        <v>45771.760416666664</v>
      </c>
      <c r="E170" s="1" t="s">
        <v>1951</v>
      </c>
      <c r="F170" s="1" t="s">
        <v>1951</v>
      </c>
      <c r="G170" s="1" t="s">
        <v>83</v>
      </c>
      <c r="H170" s="2">
        <v>45771.84652777778</v>
      </c>
      <c r="J170" s="1" t="s">
        <v>18</v>
      </c>
    </row>
    <row r="171" spans="1:10" hidden="1" x14ac:dyDescent="0.25">
      <c r="A171" s="1" t="str">
        <f>_xlfn.XLOOKUP(E171,Base!G:G,Base!C:C,"NOVO")</f>
        <v>PENDENTE</v>
      </c>
      <c r="B171" s="1">
        <v>3266488</v>
      </c>
      <c r="C171" s="1" t="s">
        <v>26</v>
      </c>
      <c r="D171" s="2">
        <v>45713.268750000003</v>
      </c>
      <c r="E171" s="1" t="s">
        <v>1073</v>
      </c>
      <c r="F171" s="1" t="s">
        <v>1073</v>
      </c>
      <c r="G171" s="1" t="s">
        <v>488</v>
      </c>
      <c r="H171" s="2">
        <v>45713.402777777781</v>
      </c>
      <c r="J171" s="1" t="s">
        <v>18</v>
      </c>
    </row>
    <row r="172" spans="1:10" hidden="1" x14ac:dyDescent="0.25">
      <c r="A172" s="1" t="str">
        <f>_xlfn.XLOOKUP(E172,Base!G:G,Base!C:C,"NOVO")</f>
        <v>PENDENTE</v>
      </c>
      <c r="B172" s="1">
        <v>3240675</v>
      </c>
      <c r="C172" s="1" t="s">
        <v>26</v>
      </c>
      <c r="D172" s="2">
        <v>45699.737500000003</v>
      </c>
      <c r="E172" s="1" t="s">
        <v>1074</v>
      </c>
      <c r="F172" s="1" t="s">
        <v>1074</v>
      </c>
      <c r="G172" s="1" t="s">
        <v>410</v>
      </c>
      <c r="H172" s="2">
        <v>45699.869444444441</v>
      </c>
      <c r="J172" s="1" t="s">
        <v>18</v>
      </c>
    </row>
    <row r="173" spans="1:10" hidden="1" x14ac:dyDescent="0.25">
      <c r="A173" s="1" t="str">
        <f>_xlfn.XLOOKUP(E173,Base!G:G,Base!C:C,"NOVO")</f>
        <v>PENDENTE</v>
      </c>
      <c r="B173" s="1">
        <v>3223331</v>
      </c>
      <c r="C173" s="1" t="s">
        <v>26</v>
      </c>
      <c r="D173" s="2">
        <v>45692.547222222223</v>
      </c>
      <c r="E173" s="1" t="s">
        <v>713</v>
      </c>
      <c r="F173" s="1" t="s">
        <v>714</v>
      </c>
      <c r="G173" s="1" t="s">
        <v>85</v>
      </c>
      <c r="H173" s="2">
        <v>45692.684027777781</v>
      </c>
      <c r="I173" s="2">
        <v>45694.927083333336</v>
      </c>
      <c r="J173" s="1" t="s">
        <v>18</v>
      </c>
    </row>
    <row r="174" spans="1:10" hidden="1" x14ac:dyDescent="0.25">
      <c r="A174" s="1" t="str">
        <f>_xlfn.XLOOKUP(E174,Base!G:G,Base!C:C,"NOVO")</f>
        <v>PENDENTE</v>
      </c>
      <c r="B174" s="1">
        <v>3326520</v>
      </c>
      <c r="C174" s="1" t="s">
        <v>26</v>
      </c>
      <c r="D174" s="2">
        <v>45742.662499999999</v>
      </c>
      <c r="E174" s="1" t="s">
        <v>1688</v>
      </c>
      <c r="F174" s="1" t="s">
        <v>1688</v>
      </c>
      <c r="G174" s="1" t="s">
        <v>620</v>
      </c>
      <c r="H174" s="2">
        <v>45742.756249999999</v>
      </c>
      <c r="J174" s="1" t="s">
        <v>18</v>
      </c>
    </row>
    <row r="175" spans="1:10" hidden="1" x14ac:dyDescent="0.25">
      <c r="A175" s="1" t="str">
        <f>_xlfn.XLOOKUP(E175,Base!G:G,Base!C:C,"NOVO")</f>
        <v>PENDENTE</v>
      </c>
      <c r="B175" s="1">
        <v>3238010</v>
      </c>
      <c r="C175" s="1" t="s">
        <v>26</v>
      </c>
      <c r="D175" s="2">
        <v>45698.729861111111</v>
      </c>
      <c r="E175" s="1" t="s">
        <v>955</v>
      </c>
      <c r="F175" s="1" t="s">
        <v>955</v>
      </c>
      <c r="G175" s="1" t="s">
        <v>671</v>
      </c>
      <c r="H175" s="2">
        <v>45698.861805555556</v>
      </c>
      <c r="J175" s="1" t="s">
        <v>18</v>
      </c>
    </row>
    <row r="176" spans="1:10" hidden="1" x14ac:dyDescent="0.25">
      <c r="A176" s="1" t="str">
        <f>_xlfn.XLOOKUP(E176,Base!G:G,Base!C:C,"NOVO")</f>
        <v>PENDENTE</v>
      </c>
      <c r="B176" s="1">
        <v>3413674</v>
      </c>
      <c r="C176" s="1" t="s">
        <v>26</v>
      </c>
      <c r="D176" s="2">
        <v>45789.481944444444</v>
      </c>
      <c r="E176" s="1" t="s">
        <v>2293</v>
      </c>
      <c r="F176" s="1" t="s">
        <v>2293</v>
      </c>
      <c r="G176" s="1" t="s">
        <v>408</v>
      </c>
      <c r="H176" s="2">
        <v>45789.365972222222</v>
      </c>
      <c r="I176" s="2">
        <v>45789.574305555558</v>
      </c>
      <c r="J176" s="1" t="s">
        <v>18</v>
      </c>
    </row>
    <row r="177" spans="1:10" hidden="1" x14ac:dyDescent="0.25">
      <c r="A177" s="1" t="str">
        <f>_xlfn.XLOOKUP(E177,Base!G:G,Base!C:C,"NOVO")</f>
        <v>PENDENTE</v>
      </c>
      <c r="B177" s="1">
        <v>3413676</v>
      </c>
      <c r="C177" s="1" t="s">
        <v>26</v>
      </c>
      <c r="D177" s="2">
        <v>45789.481944444444</v>
      </c>
      <c r="E177" s="1" t="s">
        <v>2294</v>
      </c>
      <c r="F177" s="1" t="s">
        <v>2293</v>
      </c>
      <c r="G177" s="1" t="s">
        <v>1423</v>
      </c>
      <c r="H177" s="2">
        <v>45789.365972222222</v>
      </c>
      <c r="I177" s="2">
        <v>45789.574305555558</v>
      </c>
      <c r="J177" s="1" t="s">
        <v>18</v>
      </c>
    </row>
    <row r="178" spans="1:10" hidden="1" x14ac:dyDescent="0.25">
      <c r="A178" s="1" t="str">
        <f>_xlfn.XLOOKUP(E178,Base!G:G,Base!C:C,"NOVO")</f>
        <v>PENDENTE</v>
      </c>
      <c r="B178" s="1">
        <v>3413675</v>
      </c>
      <c r="C178" s="1" t="s">
        <v>26</v>
      </c>
      <c r="D178" s="2">
        <v>45789.481944444444</v>
      </c>
      <c r="E178" s="1" t="s">
        <v>2295</v>
      </c>
      <c r="F178" s="1" t="s">
        <v>2293</v>
      </c>
      <c r="G178" s="1" t="s">
        <v>1202</v>
      </c>
      <c r="H178" s="2">
        <v>45789.365972222222</v>
      </c>
      <c r="I178" s="2">
        <v>45789.574305555558</v>
      </c>
      <c r="J178" s="1" t="s">
        <v>18</v>
      </c>
    </row>
    <row r="179" spans="1:10" hidden="1" x14ac:dyDescent="0.25">
      <c r="A179" s="1" t="str">
        <f>_xlfn.XLOOKUP(E179,Base!G:G,Base!C:C,"NOVO")</f>
        <v>PENDENTE</v>
      </c>
      <c r="B179" s="1">
        <v>3417831</v>
      </c>
      <c r="C179" s="1" t="s">
        <v>26</v>
      </c>
      <c r="D179" s="2">
        <v>45790.774305555555</v>
      </c>
      <c r="E179" s="1" t="s">
        <v>2296</v>
      </c>
      <c r="F179" s="1" t="s">
        <v>2296</v>
      </c>
      <c r="G179" s="1" t="s">
        <v>707</v>
      </c>
      <c r="H179" s="2">
        <v>45790.75277777778</v>
      </c>
      <c r="I179" s="2">
        <v>45790.868750000001</v>
      </c>
      <c r="J179" s="1" t="s">
        <v>18</v>
      </c>
    </row>
    <row r="180" spans="1:10" hidden="1" x14ac:dyDescent="0.25">
      <c r="A180" s="1" t="str">
        <f>_xlfn.XLOOKUP(E180,Base!G:G,Base!C:C,"NOVO")</f>
        <v>PENDENTE</v>
      </c>
      <c r="B180" s="1">
        <v>3468152</v>
      </c>
      <c r="C180" s="1" t="s">
        <v>26</v>
      </c>
      <c r="D180" s="2">
        <v>45814.341666666667</v>
      </c>
      <c r="E180" s="1" t="s">
        <v>2600</v>
      </c>
      <c r="F180" s="1" t="s">
        <v>2600</v>
      </c>
      <c r="G180" s="1" t="s">
        <v>410</v>
      </c>
      <c r="H180" s="2">
        <v>45814.428472222222</v>
      </c>
      <c r="J180" s="1" t="s">
        <v>18</v>
      </c>
    </row>
    <row r="181" spans="1:10" hidden="1" x14ac:dyDescent="0.25">
      <c r="A181" s="1" t="str">
        <f>_xlfn.XLOOKUP(E181,Base!G:G,Base!C:C,"NOVO")</f>
        <v>PENDENTE</v>
      </c>
      <c r="B181" s="1">
        <v>3415333</v>
      </c>
      <c r="C181" s="1" t="s">
        <v>26</v>
      </c>
      <c r="D181" s="2">
        <v>45789.681944444441</v>
      </c>
      <c r="E181" s="1" t="s">
        <v>2297</v>
      </c>
      <c r="F181" s="1" t="s">
        <v>2297</v>
      </c>
      <c r="G181" s="1" t="s">
        <v>707</v>
      </c>
      <c r="H181" s="2">
        <v>45789.773611111108</v>
      </c>
      <c r="J181" s="1" t="s">
        <v>18</v>
      </c>
    </row>
    <row r="182" spans="1:10" hidden="1" x14ac:dyDescent="0.25">
      <c r="A182" s="1" t="str">
        <f>_xlfn.XLOOKUP(E182,Base!G:G,Base!C:C,"NOVO")</f>
        <v>PENDENTE</v>
      </c>
      <c r="B182" s="1">
        <v>3280857</v>
      </c>
      <c r="C182" s="1" t="s">
        <v>26</v>
      </c>
      <c r="D182" s="2">
        <v>45721.525000000001</v>
      </c>
      <c r="E182" s="1" t="s">
        <v>1258</v>
      </c>
      <c r="F182" s="1" t="s">
        <v>1258</v>
      </c>
      <c r="G182" s="1" t="s">
        <v>1054</v>
      </c>
      <c r="H182" s="2">
        <v>45721.658333333333</v>
      </c>
      <c r="J182" s="1" t="s">
        <v>18</v>
      </c>
    </row>
    <row r="183" spans="1:10" x14ac:dyDescent="0.25">
      <c r="A183" s="1" t="str">
        <f>_xlfn.XLOOKUP(E183,Base!G:G,Base!C:C,"NOVO")</f>
        <v>PENDENTE</v>
      </c>
      <c r="B183" s="1">
        <v>3468644</v>
      </c>
      <c r="C183" s="1" t="s">
        <v>26</v>
      </c>
      <c r="D183" s="2">
        <v>45819.517361111109</v>
      </c>
      <c r="E183" s="1" t="s">
        <v>2689</v>
      </c>
      <c r="F183" s="1" t="s">
        <v>2690</v>
      </c>
      <c r="G183" s="1" t="s">
        <v>64</v>
      </c>
      <c r="H183" s="2">
        <v>45814.615277777775</v>
      </c>
      <c r="I183" s="2">
        <v>45819.604861111111</v>
      </c>
      <c r="J183" s="1" t="s">
        <v>1244</v>
      </c>
    </row>
    <row r="184" spans="1:10" hidden="1" x14ac:dyDescent="0.25">
      <c r="A184" s="1" t="str">
        <f>_xlfn.XLOOKUP(E184,Base!G:G,Base!C:C,"NOVO")</f>
        <v>PENDENTE</v>
      </c>
      <c r="B184" s="1">
        <v>3377170</v>
      </c>
      <c r="C184" s="1" t="s">
        <v>26</v>
      </c>
      <c r="D184" s="2">
        <v>45769.744444444441</v>
      </c>
      <c r="E184" s="1" t="s">
        <v>1952</v>
      </c>
      <c r="F184" s="1" t="s">
        <v>1952</v>
      </c>
      <c r="G184" s="1" t="s">
        <v>169</v>
      </c>
      <c r="H184" s="2">
        <v>45769.835416666669</v>
      </c>
      <c r="J184" s="1" t="s">
        <v>18</v>
      </c>
    </row>
    <row r="185" spans="1:10" hidden="1" x14ac:dyDescent="0.25">
      <c r="A185" s="1" t="str">
        <f>_xlfn.XLOOKUP(E185,Base!G:G,Base!C:C,"NOVO")</f>
        <v>PENDENTE</v>
      </c>
      <c r="B185" s="1">
        <v>3385393</v>
      </c>
      <c r="C185" s="1" t="s">
        <v>26</v>
      </c>
      <c r="D185" s="2">
        <v>45772.72152777778</v>
      </c>
      <c r="E185" s="1" t="s">
        <v>1953</v>
      </c>
      <c r="F185" s="1" t="s">
        <v>1953</v>
      </c>
      <c r="G185" s="1" t="s">
        <v>620</v>
      </c>
      <c r="H185" s="2">
        <v>45772.818055555559</v>
      </c>
      <c r="J185" s="1" t="s">
        <v>18</v>
      </c>
    </row>
    <row r="186" spans="1:10" hidden="1" x14ac:dyDescent="0.25">
      <c r="A186" s="1" t="str">
        <f>_xlfn.XLOOKUP(E186,Base!G:G,Base!C:C,"NOVO")</f>
        <v>PENDENTE</v>
      </c>
      <c r="B186" s="1">
        <v>3411415</v>
      </c>
      <c r="C186" s="1" t="s">
        <v>26</v>
      </c>
      <c r="D186" s="2">
        <v>45786.479166666664</v>
      </c>
      <c r="E186" s="1" t="s">
        <v>2298</v>
      </c>
      <c r="F186" s="1" t="s">
        <v>2298</v>
      </c>
      <c r="G186" s="1" t="s">
        <v>83</v>
      </c>
      <c r="H186" s="2">
        <v>45786.564583333333</v>
      </c>
      <c r="J186" s="1" t="s">
        <v>18</v>
      </c>
    </row>
    <row r="187" spans="1:10" hidden="1" x14ac:dyDescent="0.25">
      <c r="A187" s="1" t="str">
        <f>_xlfn.XLOOKUP(E187,Base!G:G,Base!C:C,"NOVO")</f>
        <v>PENDENTE</v>
      </c>
      <c r="B187" s="1">
        <v>3382304</v>
      </c>
      <c r="C187" s="1" t="s">
        <v>26</v>
      </c>
      <c r="D187" s="2">
        <v>45771.7</v>
      </c>
      <c r="E187" s="1" t="s">
        <v>1954</v>
      </c>
      <c r="F187" s="1" t="s">
        <v>1954</v>
      </c>
      <c r="G187" s="1" t="s">
        <v>1280</v>
      </c>
      <c r="H187" s="2">
        <v>45771.799305555556</v>
      </c>
      <c r="J187" s="1" t="s">
        <v>18</v>
      </c>
    </row>
    <row r="188" spans="1:10" hidden="1" x14ac:dyDescent="0.25">
      <c r="A188" s="1" t="str">
        <f>_xlfn.XLOOKUP(E188,Base!G:G,Base!C:C,"NOVO")</f>
        <v>PENDENTE</v>
      </c>
      <c r="B188" s="1">
        <v>3448986</v>
      </c>
      <c r="C188" s="1" t="s">
        <v>26</v>
      </c>
      <c r="D188" s="2">
        <v>45805.702777777777</v>
      </c>
      <c r="E188" s="1" t="s">
        <v>2379</v>
      </c>
      <c r="F188" s="1" t="s">
        <v>2379</v>
      </c>
      <c r="G188" s="1" t="s">
        <v>707</v>
      </c>
      <c r="H188" s="2">
        <v>45805.740972222222</v>
      </c>
      <c r="I188" s="2">
        <v>45805.796527777777</v>
      </c>
      <c r="J188" s="1" t="s">
        <v>18</v>
      </c>
    </row>
    <row r="189" spans="1:10" hidden="1" x14ac:dyDescent="0.25">
      <c r="A189" s="1" t="str">
        <f>_xlfn.XLOOKUP(E189,Base!G:G,Base!C:C,"NOVO")</f>
        <v>PENDENTE</v>
      </c>
      <c r="B189" s="1">
        <v>3266517</v>
      </c>
      <c r="C189" s="1" t="s">
        <v>26</v>
      </c>
      <c r="D189" s="2">
        <v>45713.268750000003</v>
      </c>
      <c r="E189" s="1" t="s">
        <v>1075</v>
      </c>
      <c r="F189" s="1" t="s">
        <v>1075</v>
      </c>
      <c r="G189" s="1" t="s">
        <v>1060</v>
      </c>
      <c r="H189" s="2">
        <v>45713.40625</v>
      </c>
      <c r="J189" s="1" t="s">
        <v>18</v>
      </c>
    </row>
    <row r="190" spans="1:10" hidden="1" x14ac:dyDescent="0.25">
      <c r="A190" s="1" t="str">
        <f>_xlfn.XLOOKUP(E190,Base!G:G,Base!C:C,"NOVO")</f>
        <v>PENDENTE</v>
      </c>
      <c r="B190" s="1">
        <v>3382307</v>
      </c>
      <c r="C190" s="1" t="s">
        <v>26</v>
      </c>
      <c r="D190" s="2">
        <v>45771.7</v>
      </c>
      <c r="E190" s="1" t="s">
        <v>1955</v>
      </c>
      <c r="F190" s="1" t="s">
        <v>1955</v>
      </c>
      <c r="G190" s="1" t="s">
        <v>1280</v>
      </c>
      <c r="H190" s="2">
        <v>45771.799305555556</v>
      </c>
      <c r="J190" s="1" t="s">
        <v>18</v>
      </c>
    </row>
    <row r="191" spans="1:10" hidden="1" x14ac:dyDescent="0.25">
      <c r="A191" s="1" t="str">
        <f>_xlfn.XLOOKUP(E191,Base!G:G,Base!C:C,"NOVO")</f>
        <v>PENDENTE</v>
      </c>
      <c r="B191" s="1">
        <v>3425937</v>
      </c>
      <c r="C191" s="1" t="s">
        <v>26</v>
      </c>
      <c r="D191" s="2">
        <v>45793.622916666667</v>
      </c>
      <c r="E191" s="1" t="s">
        <v>2380</v>
      </c>
      <c r="F191" s="1" t="s">
        <v>2380</v>
      </c>
      <c r="G191" s="1" t="s">
        <v>273</v>
      </c>
      <c r="H191" s="2">
        <v>45793.711111111108</v>
      </c>
      <c r="J191" s="1" t="s">
        <v>1245</v>
      </c>
    </row>
    <row r="192" spans="1:10" hidden="1" x14ac:dyDescent="0.25">
      <c r="A192" s="1" t="str">
        <f>_xlfn.XLOOKUP(E192,Base!G:G,Base!C:C,"NOVO")</f>
        <v>PENDENTE</v>
      </c>
      <c r="B192" s="1">
        <v>3318307</v>
      </c>
      <c r="C192" s="1" t="s">
        <v>26</v>
      </c>
      <c r="D192" s="2">
        <v>45737.770138888889</v>
      </c>
      <c r="E192" s="1" t="s">
        <v>1690</v>
      </c>
      <c r="F192" s="1" t="s">
        <v>1690</v>
      </c>
      <c r="G192" s="1" t="s">
        <v>83</v>
      </c>
      <c r="H192" s="2">
        <v>45737.85833333333</v>
      </c>
      <c r="J192" s="1" t="s">
        <v>18</v>
      </c>
    </row>
    <row r="193" spans="1:10" hidden="1" x14ac:dyDescent="0.25">
      <c r="A193" s="1" t="str">
        <f>_xlfn.XLOOKUP(E193,Base!G:G,Base!C:C,"NOVO")</f>
        <v>PENDENTE</v>
      </c>
      <c r="B193" s="1">
        <v>3445831</v>
      </c>
      <c r="C193" s="1" t="s">
        <v>26</v>
      </c>
      <c r="D193" s="2">
        <v>45804.597916666666</v>
      </c>
      <c r="E193" s="1" t="s">
        <v>2381</v>
      </c>
      <c r="F193" s="1" t="s">
        <v>2381</v>
      </c>
      <c r="G193" s="1" t="s">
        <v>396</v>
      </c>
      <c r="H193" s="2">
        <v>45804.693055555559</v>
      </c>
      <c r="J193" s="1" t="s">
        <v>18</v>
      </c>
    </row>
    <row r="194" spans="1:10" hidden="1" x14ac:dyDescent="0.25">
      <c r="A194" s="1" t="str">
        <f>_xlfn.XLOOKUP(E194,Base!G:G,Base!C:C,"NOVO")</f>
        <v>PENDENTE</v>
      </c>
      <c r="B194" s="1">
        <v>3301477</v>
      </c>
      <c r="C194" s="1" t="s">
        <v>26</v>
      </c>
      <c r="D194" s="2">
        <v>45730.614583333336</v>
      </c>
      <c r="E194" s="1" t="s">
        <v>1405</v>
      </c>
      <c r="F194" s="1" t="s">
        <v>1405</v>
      </c>
      <c r="G194" s="1" t="s">
        <v>1406</v>
      </c>
      <c r="H194" s="2">
        <v>45730.700694444444</v>
      </c>
      <c r="J194" s="1" t="s">
        <v>18</v>
      </c>
    </row>
    <row r="195" spans="1:10" hidden="1" x14ac:dyDescent="0.25">
      <c r="A195" s="1" t="str">
        <f>_xlfn.XLOOKUP(E195,Base!G:G,Base!C:C,"NOVO")</f>
        <v>PENDENTE</v>
      </c>
      <c r="B195" s="1">
        <v>3426489</v>
      </c>
      <c r="C195" s="1" t="s">
        <v>26</v>
      </c>
      <c r="D195" s="2">
        <v>45796.469444444447</v>
      </c>
      <c r="E195" s="1" t="s">
        <v>2382</v>
      </c>
      <c r="F195" s="1" t="s">
        <v>2382</v>
      </c>
      <c r="G195" s="1" t="s">
        <v>411</v>
      </c>
      <c r="H195" s="2">
        <v>45793.824999999997</v>
      </c>
      <c r="I195" s="2">
        <v>45796.5625</v>
      </c>
      <c r="J195" s="1" t="s">
        <v>18</v>
      </c>
    </row>
    <row r="196" spans="1:10" hidden="1" x14ac:dyDescent="0.25">
      <c r="A196" s="1" t="str">
        <f>_xlfn.XLOOKUP(E196,Base!G:G,Base!C:C,"NOVO")</f>
        <v>PENDENTE</v>
      </c>
      <c r="B196" s="1">
        <v>3380033</v>
      </c>
      <c r="C196" s="1" t="s">
        <v>26</v>
      </c>
      <c r="D196" s="2">
        <v>45770.770138888889</v>
      </c>
      <c r="E196" s="1" t="s">
        <v>1956</v>
      </c>
      <c r="F196" s="1" t="s">
        <v>1956</v>
      </c>
      <c r="G196" s="1" t="s">
        <v>396</v>
      </c>
      <c r="H196" s="2">
        <v>45770.856249999997</v>
      </c>
      <c r="J196" s="1" t="s">
        <v>18</v>
      </c>
    </row>
    <row r="197" spans="1:10" hidden="1" x14ac:dyDescent="0.25">
      <c r="A197" s="1" t="str">
        <f>_xlfn.XLOOKUP(E197,Base!G:G,Base!C:C,"NOVO")</f>
        <v>PENDENTE</v>
      </c>
      <c r="B197" s="1">
        <v>3425067</v>
      </c>
      <c r="C197" s="1" t="s">
        <v>26</v>
      </c>
      <c r="D197" s="2">
        <v>45793.474999999999</v>
      </c>
      <c r="E197" s="1" t="s">
        <v>2383</v>
      </c>
      <c r="F197" s="1" t="s">
        <v>2384</v>
      </c>
      <c r="G197" s="1" t="s">
        <v>393</v>
      </c>
      <c r="H197" s="2">
        <v>45793.563194444447</v>
      </c>
      <c r="J197" s="1" t="s">
        <v>19</v>
      </c>
    </row>
    <row r="198" spans="1:10" hidden="1" x14ac:dyDescent="0.25">
      <c r="A198" s="1" t="str">
        <f>_xlfn.XLOOKUP(E198,Base!G:G,Base!C:C,"NOVO")</f>
        <v>PENDENTE</v>
      </c>
      <c r="B198" s="1">
        <v>3290302</v>
      </c>
      <c r="C198" s="1" t="s">
        <v>26</v>
      </c>
      <c r="D198" s="2">
        <v>45727.4375</v>
      </c>
      <c r="E198" s="1" t="s">
        <v>1407</v>
      </c>
      <c r="F198" s="1" t="s">
        <v>1407</v>
      </c>
      <c r="G198" s="1" t="s">
        <v>1054</v>
      </c>
      <c r="H198" s="2">
        <v>45726.848611111112</v>
      </c>
      <c r="I198" s="2">
        <v>45727.522916666669</v>
      </c>
      <c r="J198" s="1" t="s">
        <v>18</v>
      </c>
    </row>
    <row r="199" spans="1:10" hidden="1" x14ac:dyDescent="0.25">
      <c r="A199" s="1" t="str">
        <f>_xlfn.XLOOKUP(E199,Base!G:G,Base!C:C,"NOVO")</f>
        <v>PENDENTE</v>
      </c>
      <c r="B199" s="1">
        <v>3362737</v>
      </c>
      <c r="C199" s="1" t="s">
        <v>26</v>
      </c>
      <c r="D199" s="2">
        <v>45760.638194444444</v>
      </c>
      <c r="E199" s="1" t="s">
        <v>1957</v>
      </c>
      <c r="F199" s="1" t="s">
        <v>1957</v>
      </c>
      <c r="G199" s="1" t="s">
        <v>707</v>
      </c>
      <c r="H199" s="2">
        <v>45760.731249999997</v>
      </c>
      <c r="J199" s="1" t="s">
        <v>18</v>
      </c>
    </row>
    <row r="200" spans="1:10" hidden="1" x14ac:dyDescent="0.25">
      <c r="A200" s="1" t="str">
        <f>_xlfn.XLOOKUP(E200,Base!G:G,Base!C:C,"NOVO")</f>
        <v>PENDENTE</v>
      </c>
      <c r="B200" s="1">
        <v>3275925</v>
      </c>
      <c r="C200" s="1" t="s">
        <v>26</v>
      </c>
      <c r="D200" s="2">
        <v>45716.587500000001</v>
      </c>
      <c r="E200" s="1" t="s">
        <v>1259</v>
      </c>
      <c r="F200" s="1" t="s">
        <v>1259</v>
      </c>
      <c r="G200" s="1" t="s">
        <v>707</v>
      </c>
      <c r="H200" s="2">
        <v>45716.722222222219</v>
      </c>
      <c r="J200" s="1" t="s">
        <v>18</v>
      </c>
    </row>
    <row r="201" spans="1:10" hidden="1" x14ac:dyDescent="0.25">
      <c r="A201" s="1" t="str">
        <f>_xlfn.XLOOKUP(E201,Base!G:G,Base!C:C,"NOVO")</f>
        <v>PENDENTE</v>
      </c>
      <c r="B201" s="1">
        <v>3267303</v>
      </c>
      <c r="C201" s="1" t="s">
        <v>26</v>
      </c>
      <c r="D201" s="2">
        <v>45713.411111111112</v>
      </c>
      <c r="E201" s="1" t="s">
        <v>1260</v>
      </c>
      <c r="F201" s="1" t="s">
        <v>1260</v>
      </c>
      <c r="G201" s="1" t="s">
        <v>707</v>
      </c>
      <c r="H201" s="2">
        <v>45713.544444444444</v>
      </c>
      <c r="J201" s="1" t="s">
        <v>18</v>
      </c>
    </row>
    <row r="202" spans="1:10" hidden="1" x14ac:dyDescent="0.25">
      <c r="A202" s="1" t="str">
        <f>_xlfn.XLOOKUP(E202,Base!G:G,Base!C:C,"NOVO")</f>
        <v>PENDENTE</v>
      </c>
      <c r="B202" s="1">
        <v>3451269</v>
      </c>
      <c r="C202" s="1" t="s">
        <v>26</v>
      </c>
      <c r="D202" s="2">
        <v>45806.617361111108</v>
      </c>
      <c r="E202" s="1" t="s">
        <v>2546</v>
      </c>
      <c r="F202" s="1" t="s">
        <v>2546</v>
      </c>
      <c r="G202" s="1" t="s">
        <v>620</v>
      </c>
      <c r="H202" s="2">
        <v>45806.710416666669</v>
      </c>
      <c r="J202" s="1" t="s">
        <v>18</v>
      </c>
    </row>
    <row r="203" spans="1:10" hidden="1" x14ac:dyDescent="0.25">
      <c r="A203" s="1" t="str">
        <f>_xlfn.XLOOKUP(E203,Base!G:G,Base!C:C,"NOVO")</f>
        <v>PENDENTE</v>
      </c>
      <c r="B203" s="1">
        <v>3382310</v>
      </c>
      <c r="C203" s="1" t="s">
        <v>26</v>
      </c>
      <c r="D203" s="2">
        <v>45771.7</v>
      </c>
      <c r="E203" s="1" t="s">
        <v>1958</v>
      </c>
      <c r="F203" s="1" t="s">
        <v>1958</v>
      </c>
      <c r="G203" s="1" t="s">
        <v>746</v>
      </c>
      <c r="H203" s="2">
        <v>45771.8</v>
      </c>
      <c r="J203" s="1" t="s">
        <v>18</v>
      </c>
    </row>
    <row r="204" spans="1:10" hidden="1" x14ac:dyDescent="0.25">
      <c r="A204" s="1" t="str">
        <f>_xlfn.XLOOKUP(E204,Base!G:G,Base!C:C,"NOVO")</f>
        <v>PENDENTE</v>
      </c>
      <c r="B204" s="1">
        <v>3321185</v>
      </c>
      <c r="C204" s="1" t="s">
        <v>26</v>
      </c>
      <c r="D204" s="2">
        <v>45740.754861111112</v>
      </c>
      <c r="E204" s="1" t="s">
        <v>1691</v>
      </c>
      <c r="F204" s="1" t="s">
        <v>1691</v>
      </c>
      <c r="G204" s="1" t="s">
        <v>620</v>
      </c>
      <c r="H204" s="2">
        <v>45740.845833333333</v>
      </c>
      <c r="J204" s="1" t="s">
        <v>18</v>
      </c>
    </row>
    <row r="205" spans="1:10" hidden="1" x14ac:dyDescent="0.25">
      <c r="A205" s="1" t="str">
        <f>_xlfn.XLOOKUP(E205,Base!G:G,Base!C:C,"NOVO")</f>
        <v>PENDENTE</v>
      </c>
      <c r="B205" s="1">
        <v>3377167</v>
      </c>
      <c r="C205" s="1" t="s">
        <v>26</v>
      </c>
      <c r="D205" s="2">
        <v>45769.744444444441</v>
      </c>
      <c r="E205" s="1" t="s">
        <v>1959</v>
      </c>
      <c r="F205" s="1" t="s">
        <v>1959</v>
      </c>
      <c r="G205" s="1" t="s">
        <v>83</v>
      </c>
      <c r="H205" s="2">
        <v>45769.834722222222</v>
      </c>
      <c r="J205" s="1" t="s">
        <v>18</v>
      </c>
    </row>
    <row r="206" spans="1:10" hidden="1" x14ac:dyDescent="0.25">
      <c r="A206" s="1" t="str">
        <f>_xlfn.XLOOKUP(E206,Base!G:G,Base!C:C,"NOVO")</f>
        <v>PENDENTE</v>
      </c>
      <c r="B206" s="1">
        <v>3357584</v>
      </c>
      <c r="C206" s="1" t="s">
        <v>26</v>
      </c>
      <c r="D206" s="2">
        <v>45757.306250000001</v>
      </c>
      <c r="E206" s="1" t="s">
        <v>1960</v>
      </c>
      <c r="F206" s="1" t="s">
        <v>1961</v>
      </c>
      <c r="G206" s="1" t="s">
        <v>393</v>
      </c>
      <c r="H206" s="2">
        <v>45757.396527777775</v>
      </c>
      <c r="J206" s="1" t="s">
        <v>19</v>
      </c>
    </row>
    <row r="207" spans="1:10" hidden="1" x14ac:dyDescent="0.25">
      <c r="A207" s="1" t="str">
        <f>_xlfn.XLOOKUP(E207,Base!G:G,Base!C:C,"NOVO")</f>
        <v>PENDENTE</v>
      </c>
      <c r="B207" s="1">
        <v>3399880</v>
      </c>
      <c r="C207" s="1" t="s">
        <v>26</v>
      </c>
      <c r="D207" s="2">
        <v>45782.402083333334</v>
      </c>
      <c r="E207" s="1" t="s">
        <v>2193</v>
      </c>
      <c r="F207" s="1" t="s">
        <v>2194</v>
      </c>
      <c r="G207" s="1" t="s">
        <v>393</v>
      </c>
      <c r="H207" s="2">
        <v>45782.490277777775</v>
      </c>
      <c r="J207" s="1" t="s">
        <v>19</v>
      </c>
    </row>
    <row r="208" spans="1:10" hidden="1" x14ac:dyDescent="0.25">
      <c r="A208" s="1" t="str">
        <f>_xlfn.XLOOKUP(E208,Base!G:G,Base!C:C,"NOVO")</f>
        <v>PENDENTE</v>
      </c>
      <c r="B208" s="1">
        <v>3465696</v>
      </c>
      <c r="C208" s="1" t="s">
        <v>26</v>
      </c>
      <c r="D208" s="2">
        <v>45813.372916666667</v>
      </c>
      <c r="E208" s="1" t="s">
        <v>2601</v>
      </c>
      <c r="F208" s="1" t="s">
        <v>2602</v>
      </c>
      <c r="G208" s="1" t="s">
        <v>64</v>
      </c>
      <c r="H208" s="2">
        <v>45813.461111111108</v>
      </c>
      <c r="J208" s="1" t="s">
        <v>1244</v>
      </c>
    </row>
    <row r="209" spans="1:10" hidden="1" x14ac:dyDescent="0.25">
      <c r="A209" s="1" t="str">
        <f>_xlfn.XLOOKUP(E209,Base!G:G,Base!C:C,"NOVO")</f>
        <v>PENDENTE</v>
      </c>
      <c r="B209" s="1">
        <v>3296169</v>
      </c>
      <c r="C209" s="1" t="s">
        <v>26</v>
      </c>
      <c r="D209" s="2">
        <v>45729.603472222225</v>
      </c>
      <c r="E209" s="1" t="s">
        <v>1409</v>
      </c>
      <c r="F209" s="1" t="s">
        <v>1409</v>
      </c>
      <c r="G209" s="1" t="s">
        <v>1060</v>
      </c>
      <c r="H209" s="2">
        <v>45728.840277777781</v>
      </c>
      <c r="I209" s="2">
        <v>45729.689583333333</v>
      </c>
      <c r="J209" s="1" t="s">
        <v>18</v>
      </c>
    </row>
    <row r="210" spans="1:10" hidden="1" x14ac:dyDescent="0.25">
      <c r="A210" s="1" t="str">
        <f>_xlfn.XLOOKUP(E210,Base!G:G,Base!C:C,"NOVO")</f>
        <v>PENDENTE</v>
      </c>
      <c r="B210" s="1">
        <v>3309022</v>
      </c>
      <c r="C210" s="1" t="s">
        <v>26</v>
      </c>
      <c r="D210" s="2">
        <v>45734.696527777778</v>
      </c>
      <c r="E210" s="1" t="s">
        <v>1692</v>
      </c>
      <c r="F210" s="1" t="s">
        <v>1692</v>
      </c>
      <c r="G210" s="1" t="s">
        <v>83</v>
      </c>
      <c r="H210" s="2">
        <v>45734.786805555559</v>
      </c>
      <c r="J210" s="1" t="s">
        <v>18</v>
      </c>
    </row>
    <row r="211" spans="1:10" hidden="1" x14ac:dyDescent="0.25">
      <c r="A211" s="1" t="str">
        <f>_xlfn.XLOOKUP(E211,Base!G:G,Base!C:C,"NOVO")</f>
        <v>PENDENTE</v>
      </c>
      <c r="B211" s="1">
        <v>3322169</v>
      </c>
      <c r="C211" s="1" t="s">
        <v>26</v>
      </c>
      <c r="D211" s="2">
        <v>45741.395138888889</v>
      </c>
      <c r="E211" s="1" t="s">
        <v>1693</v>
      </c>
      <c r="F211" s="1" t="s">
        <v>1693</v>
      </c>
      <c r="G211" s="1" t="s">
        <v>83</v>
      </c>
      <c r="H211" s="2">
        <v>45741.48333333333</v>
      </c>
      <c r="J211" s="1" t="s">
        <v>18</v>
      </c>
    </row>
    <row r="212" spans="1:10" hidden="1" x14ac:dyDescent="0.25">
      <c r="A212" s="1" t="str">
        <f>_xlfn.XLOOKUP(E212,Base!G:G,Base!C:C,"NOVO")</f>
        <v>PENDENTE</v>
      </c>
      <c r="B212" s="1">
        <v>3441939</v>
      </c>
      <c r="C212" s="1" t="s">
        <v>26</v>
      </c>
      <c r="D212" s="2">
        <v>45803.334027777775</v>
      </c>
      <c r="E212" s="1" t="s">
        <v>2385</v>
      </c>
      <c r="F212" s="1" t="s">
        <v>2386</v>
      </c>
      <c r="G212" s="1" t="s">
        <v>64</v>
      </c>
      <c r="H212" s="2">
        <v>45803.420138888891</v>
      </c>
      <c r="J212" s="1" t="s">
        <v>1244</v>
      </c>
    </row>
    <row r="213" spans="1:10" hidden="1" x14ac:dyDescent="0.25">
      <c r="A213" s="1" t="str">
        <f>_xlfn.XLOOKUP(E213,Base!G:G,Base!C:C,"NOVO")</f>
        <v>PENDENTE</v>
      </c>
      <c r="B213" s="1">
        <v>3294769</v>
      </c>
      <c r="C213" s="1" t="s">
        <v>26</v>
      </c>
      <c r="D213" s="2">
        <v>45728.447916666664</v>
      </c>
      <c r="E213" s="1" t="s">
        <v>1410</v>
      </c>
      <c r="F213" s="1" t="s">
        <v>1411</v>
      </c>
      <c r="G213" s="1" t="s">
        <v>64</v>
      </c>
      <c r="H213" s="2">
        <v>45728.53402777778</v>
      </c>
      <c r="J213" s="1" t="s">
        <v>1244</v>
      </c>
    </row>
    <row r="214" spans="1:10" x14ac:dyDescent="0.25">
      <c r="A214" s="1" t="str">
        <f>_xlfn.XLOOKUP(E214,Base!G:G,Base!C:C,"NOVO")</f>
        <v>PENDENTE</v>
      </c>
      <c r="B214" s="1">
        <v>3476905</v>
      </c>
      <c r="C214" s="1" t="s">
        <v>26</v>
      </c>
      <c r="D214" s="2">
        <v>45819.620833333334</v>
      </c>
      <c r="E214" s="1" t="s">
        <v>2691</v>
      </c>
      <c r="F214" s="1" t="s">
        <v>2691</v>
      </c>
      <c r="G214" s="1" t="s">
        <v>1280</v>
      </c>
      <c r="H214" s="2">
        <v>45819.709722222222</v>
      </c>
      <c r="J214" s="1" t="s">
        <v>18</v>
      </c>
    </row>
    <row r="215" spans="1:10" hidden="1" x14ac:dyDescent="0.25">
      <c r="A215" s="1" t="str">
        <f>_xlfn.XLOOKUP(E215,Base!G:G,Base!C:C,"NOVO")</f>
        <v>PENDENTE</v>
      </c>
      <c r="B215" s="1">
        <v>3417851</v>
      </c>
      <c r="C215" s="1" t="s">
        <v>26</v>
      </c>
      <c r="D215" s="2">
        <v>45790.669444444444</v>
      </c>
      <c r="E215" s="1" t="s">
        <v>2299</v>
      </c>
      <c r="F215" s="1" t="s">
        <v>2299</v>
      </c>
      <c r="G215" s="1" t="s">
        <v>622</v>
      </c>
      <c r="H215" s="2">
        <v>45790.756249999999</v>
      </c>
      <c r="J215" s="1" t="s">
        <v>14</v>
      </c>
    </row>
    <row r="216" spans="1:10" hidden="1" x14ac:dyDescent="0.25">
      <c r="A216" s="1" t="str">
        <f>_xlfn.XLOOKUP(E216,Base!G:G,Base!C:C,"NOVO")</f>
        <v>PENDENTE</v>
      </c>
      <c r="B216" s="1">
        <v>3437791</v>
      </c>
      <c r="C216" s="1" t="s">
        <v>26</v>
      </c>
      <c r="D216" s="2">
        <v>45800.412499999999</v>
      </c>
      <c r="E216" s="1" t="s">
        <v>2387</v>
      </c>
      <c r="F216" s="1" t="s">
        <v>2387</v>
      </c>
      <c r="G216" s="1" t="s">
        <v>829</v>
      </c>
      <c r="H216" s="2">
        <v>45799.732638888891</v>
      </c>
      <c r="I216" s="2">
        <v>45800.503472222219</v>
      </c>
      <c r="J216" s="1" t="s">
        <v>18</v>
      </c>
    </row>
    <row r="217" spans="1:10" hidden="1" x14ac:dyDescent="0.25">
      <c r="A217" s="1" t="str">
        <f>_xlfn.XLOOKUP(E217,Base!G:G,Base!C:C,"NOVO")</f>
        <v>PENDENTE</v>
      </c>
      <c r="B217" s="1">
        <v>3406854</v>
      </c>
      <c r="C217" s="1" t="s">
        <v>26</v>
      </c>
      <c r="D217" s="2">
        <v>45784.763194444444</v>
      </c>
      <c r="E217" s="1" t="s">
        <v>2195</v>
      </c>
      <c r="F217" s="1" t="s">
        <v>2195</v>
      </c>
      <c r="G217" s="1" t="s">
        <v>83</v>
      </c>
      <c r="H217" s="2">
        <v>45784.855555555558</v>
      </c>
      <c r="J217" s="1" t="s">
        <v>18</v>
      </c>
    </row>
    <row r="218" spans="1:10" x14ac:dyDescent="0.25">
      <c r="A218" s="1" t="str">
        <f>_xlfn.XLOOKUP(E218,Base!G:G,Base!C:C,"NOVO")</f>
        <v>PENDENTE</v>
      </c>
      <c r="B218" s="1">
        <v>3476628</v>
      </c>
      <c r="C218" s="1" t="s">
        <v>26</v>
      </c>
      <c r="D218" s="2">
        <v>45819.538888888892</v>
      </c>
      <c r="E218" s="1" t="s">
        <v>2692</v>
      </c>
      <c r="F218" s="1" t="s">
        <v>2692</v>
      </c>
      <c r="G218" s="1" t="s">
        <v>1280</v>
      </c>
      <c r="H218" s="2">
        <v>45819.626388888886</v>
      </c>
      <c r="J218" s="1" t="s">
        <v>18</v>
      </c>
    </row>
    <row r="219" spans="1:10" hidden="1" x14ac:dyDescent="0.25">
      <c r="A219" s="1" t="str">
        <f>_xlfn.XLOOKUP(E219,Base!G:G,Base!C:C,"NOVO")</f>
        <v>PENDENTE</v>
      </c>
      <c r="B219" s="1">
        <v>3403998</v>
      </c>
      <c r="C219" s="1" t="s">
        <v>26</v>
      </c>
      <c r="D219" s="2">
        <v>45784.410416666666</v>
      </c>
      <c r="E219" s="1" t="s">
        <v>2196</v>
      </c>
      <c r="F219" s="1" t="s">
        <v>2196</v>
      </c>
      <c r="G219" s="1" t="s">
        <v>746</v>
      </c>
      <c r="H219" s="2">
        <v>45783.734722222223</v>
      </c>
      <c r="I219" s="2">
        <v>45784.502083333333</v>
      </c>
      <c r="J219" s="1" t="s">
        <v>18</v>
      </c>
    </row>
    <row r="220" spans="1:10" hidden="1" x14ac:dyDescent="0.25">
      <c r="A220" s="1" t="str">
        <f>_xlfn.XLOOKUP(E220,Base!G:G,Base!C:C,"NOVO")</f>
        <v>PENDENTE</v>
      </c>
      <c r="B220" s="1">
        <v>3343809</v>
      </c>
      <c r="C220" s="1" t="s">
        <v>26</v>
      </c>
      <c r="D220" s="2">
        <v>45750.379166666666</v>
      </c>
      <c r="E220" s="1" t="s">
        <v>1694</v>
      </c>
      <c r="F220" s="1" t="s">
        <v>1694</v>
      </c>
      <c r="G220" s="1" t="s">
        <v>409</v>
      </c>
      <c r="H220" s="2">
        <v>45750.470833333333</v>
      </c>
      <c r="J220" s="1" t="s">
        <v>18</v>
      </c>
    </row>
    <row r="221" spans="1:10" hidden="1" x14ac:dyDescent="0.25">
      <c r="A221" s="1" t="str">
        <f>_xlfn.XLOOKUP(E221,Base!G:G,Base!C:C,"NOVO")</f>
        <v>PENDENTE</v>
      </c>
      <c r="B221" s="1">
        <v>3321198</v>
      </c>
      <c r="C221" s="1" t="s">
        <v>26</v>
      </c>
      <c r="D221" s="2">
        <v>45740.754861111112</v>
      </c>
      <c r="E221" s="1" t="s">
        <v>1695</v>
      </c>
      <c r="F221" s="1" t="s">
        <v>1695</v>
      </c>
      <c r="G221" s="1" t="s">
        <v>652</v>
      </c>
      <c r="H221" s="2">
        <v>45740.84652777778</v>
      </c>
      <c r="J221" s="1" t="s">
        <v>18</v>
      </c>
    </row>
    <row r="222" spans="1:10" hidden="1" x14ac:dyDescent="0.25">
      <c r="A222" s="1" t="str">
        <f>_xlfn.XLOOKUP(E222,Base!G:G,Base!C:C,"NOVO")</f>
        <v>PENDENTE</v>
      </c>
      <c r="B222" s="1">
        <v>3437773</v>
      </c>
      <c r="C222" s="1" t="s">
        <v>26</v>
      </c>
      <c r="D222" s="2">
        <v>45799.64166666667</v>
      </c>
      <c r="E222" s="1" t="s">
        <v>2388</v>
      </c>
      <c r="F222" s="1" t="s">
        <v>2388</v>
      </c>
      <c r="G222" s="1" t="s">
        <v>707</v>
      </c>
      <c r="H222" s="2">
        <v>45799.731944444444</v>
      </c>
      <c r="J222" s="1" t="s">
        <v>18</v>
      </c>
    </row>
    <row r="223" spans="1:10" hidden="1" x14ac:dyDescent="0.25">
      <c r="A223" s="1" t="str">
        <f>_xlfn.XLOOKUP(E223,Base!G:G,Base!C:C,"NOVO")</f>
        <v>PENDENTE</v>
      </c>
      <c r="B223" s="1">
        <v>3226448</v>
      </c>
      <c r="C223" s="1" t="s">
        <v>26</v>
      </c>
      <c r="D223" s="2">
        <v>45693.396527777775</v>
      </c>
      <c r="E223" s="1" t="s">
        <v>956</v>
      </c>
      <c r="F223" s="1" t="s">
        <v>956</v>
      </c>
      <c r="G223" s="1" t="s">
        <v>410</v>
      </c>
      <c r="H223" s="2">
        <v>45693.588888888888</v>
      </c>
      <c r="I223" s="2">
        <v>45694.9</v>
      </c>
      <c r="J223" s="1" t="s">
        <v>18</v>
      </c>
    </row>
    <row r="224" spans="1:10" hidden="1" x14ac:dyDescent="0.25">
      <c r="A224" s="1" t="str">
        <f>_xlfn.XLOOKUP(E224,Base!G:G,Base!C:C,"NOVO")</f>
        <v>PENDENTE</v>
      </c>
      <c r="B224" s="1">
        <v>3387743</v>
      </c>
      <c r="C224" s="1" t="s">
        <v>26</v>
      </c>
      <c r="D224" s="2">
        <v>45784.763194444444</v>
      </c>
      <c r="E224" s="1" t="s">
        <v>1962</v>
      </c>
      <c r="F224" s="1" t="s">
        <v>1962</v>
      </c>
      <c r="G224" s="1" t="s">
        <v>411</v>
      </c>
      <c r="H224" s="2">
        <v>45775.660416666666</v>
      </c>
      <c r="I224" s="2">
        <v>45784.855555555558</v>
      </c>
      <c r="J224" s="1" t="s">
        <v>18</v>
      </c>
    </row>
    <row r="225" spans="1:10" hidden="1" x14ac:dyDescent="0.25">
      <c r="A225" s="1" t="str">
        <f>_xlfn.XLOOKUP(E225,Base!G:G,Base!C:C,"NOVO")</f>
        <v>PENDENTE</v>
      </c>
      <c r="B225" s="1">
        <v>3307349</v>
      </c>
      <c r="C225" s="1" t="s">
        <v>26</v>
      </c>
      <c r="D225" s="2">
        <v>45735.408333333333</v>
      </c>
      <c r="E225" s="1" t="s">
        <v>1633</v>
      </c>
      <c r="F225" s="1" t="s">
        <v>1633</v>
      </c>
      <c r="G225" s="1" t="s">
        <v>1060</v>
      </c>
      <c r="H225" s="2">
        <v>45734.48333333333</v>
      </c>
      <c r="I225" s="2">
        <v>45735.50277777778</v>
      </c>
      <c r="J225" s="1" t="s">
        <v>18</v>
      </c>
    </row>
    <row r="226" spans="1:10" hidden="1" x14ac:dyDescent="0.25">
      <c r="A226" s="1" t="str">
        <f>_xlfn.XLOOKUP(E226,Base!G:G,Base!C:C,"NOVO")</f>
        <v>PENDENTE</v>
      </c>
      <c r="B226" s="1">
        <v>3445352</v>
      </c>
      <c r="C226" s="1" t="s">
        <v>26</v>
      </c>
      <c r="D226" s="2">
        <v>45804.597916666666</v>
      </c>
      <c r="E226" s="1" t="s">
        <v>2389</v>
      </c>
      <c r="F226" s="1" t="s">
        <v>2389</v>
      </c>
      <c r="G226" s="1" t="s">
        <v>1280</v>
      </c>
      <c r="H226" s="2">
        <v>45804.522916666669</v>
      </c>
      <c r="I226" s="2">
        <v>45804.689583333333</v>
      </c>
      <c r="J226" s="1" t="s">
        <v>18</v>
      </c>
    </row>
    <row r="227" spans="1:10" hidden="1" x14ac:dyDescent="0.25">
      <c r="A227" s="1" t="str">
        <f>_xlfn.XLOOKUP(E227,Base!G:G,Base!C:C,"NOVO")</f>
        <v>PENDENTE</v>
      </c>
      <c r="B227" s="1">
        <v>3313107</v>
      </c>
      <c r="C227" s="1" t="s">
        <v>26</v>
      </c>
      <c r="D227" s="2">
        <v>45736.345138888886</v>
      </c>
      <c r="E227" s="1" t="s">
        <v>1696</v>
      </c>
      <c r="F227" s="1" t="s">
        <v>1696</v>
      </c>
      <c r="G227" s="1" t="s">
        <v>1215</v>
      </c>
      <c r="H227" s="2">
        <v>45736.431250000001</v>
      </c>
      <c r="J227" s="1" t="s">
        <v>18</v>
      </c>
    </row>
    <row r="228" spans="1:10" hidden="1" x14ac:dyDescent="0.25">
      <c r="A228" s="1" t="str">
        <f>_xlfn.XLOOKUP(E228,Base!G:G,Base!C:C,"NOVO")</f>
        <v>PENDENTE</v>
      </c>
      <c r="B228" s="1">
        <v>3313047</v>
      </c>
      <c r="C228" s="1" t="s">
        <v>26</v>
      </c>
      <c r="D228" s="2">
        <v>45736.327777777777</v>
      </c>
      <c r="E228" s="1" t="s">
        <v>1697</v>
      </c>
      <c r="F228" s="1" t="s">
        <v>1698</v>
      </c>
      <c r="G228" s="1" t="s">
        <v>64</v>
      </c>
      <c r="H228" s="2">
        <v>45736.420138888891</v>
      </c>
      <c r="J228" s="1" t="s">
        <v>1244</v>
      </c>
    </row>
    <row r="229" spans="1:10" hidden="1" x14ac:dyDescent="0.25">
      <c r="A229" s="1" t="str">
        <f>_xlfn.XLOOKUP(E229,Base!G:G,Base!C:C,"NOVO")</f>
        <v>PENDENTE</v>
      </c>
      <c r="B229" s="1">
        <v>3299223</v>
      </c>
      <c r="C229" s="1" t="s">
        <v>26</v>
      </c>
      <c r="D229" s="2">
        <v>45729.665972222225</v>
      </c>
      <c r="E229" s="1" t="s">
        <v>1412</v>
      </c>
      <c r="F229" s="1" t="s">
        <v>1413</v>
      </c>
      <c r="G229" s="1" t="s">
        <v>64</v>
      </c>
      <c r="H229" s="2">
        <v>45729.75277777778</v>
      </c>
      <c r="J229" s="1" t="s">
        <v>1244</v>
      </c>
    </row>
    <row r="230" spans="1:10" hidden="1" x14ac:dyDescent="0.25">
      <c r="A230" s="1" t="str">
        <f>_xlfn.XLOOKUP(E230,Base!G:G,Base!C:C,"NOVO")</f>
        <v>PENDENTE</v>
      </c>
      <c r="B230" s="1">
        <v>3249546</v>
      </c>
      <c r="C230" s="1" t="s">
        <v>26</v>
      </c>
      <c r="D230" s="2">
        <v>45705.503472222219</v>
      </c>
      <c r="E230" s="1" t="s">
        <v>1076</v>
      </c>
      <c r="F230" s="1" t="s">
        <v>1076</v>
      </c>
      <c r="G230" s="1" t="s">
        <v>409</v>
      </c>
      <c r="H230" s="2">
        <v>45705.439583333333</v>
      </c>
      <c r="I230" s="2">
        <v>45705.638888888891</v>
      </c>
      <c r="J230" s="1" t="s">
        <v>18</v>
      </c>
    </row>
    <row r="231" spans="1:10" hidden="1" x14ac:dyDescent="0.25">
      <c r="A231" s="1" t="str">
        <f>_xlfn.XLOOKUP(E231,Base!G:G,Base!C:C,"NOVO")</f>
        <v>PENDENTE</v>
      </c>
      <c r="B231" s="1">
        <v>3286269</v>
      </c>
      <c r="C231" s="1" t="s">
        <v>26</v>
      </c>
      <c r="D231" s="2">
        <v>45723.679861111108</v>
      </c>
      <c r="E231" s="1" t="s">
        <v>1414</v>
      </c>
      <c r="F231" s="1" t="s">
        <v>1414</v>
      </c>
      <c r="G231" s="1" t="s">
        <v>83</v>
      </c>
      <c r="H231" s="2">
        <v>45723.7</v>
      </c>
      <c r="I231" s="2">
        <v>45723.814583333333</v>
      </c>
      <c r="J231" s="1" t="s">
        <v>18</v>
      </c>
    </row>
    <row r="232" spans="1:10" hidden="1" x14ac:dyDescent="0.25">
      <c r="A232" s="1" t="str">
        <f>_xlfn.XLOOKUP(E232,Base!G:G,Base!C:C,"NOVO")</f>
        <v>PENDENTE</v>
      </c>
      <c r="B232" s="1">
        <v>3309560</v>
      </c>
      <c r="C232" s="1" t="s">
        <v>26</v>
      </c>
      <c r="D232" s="2">
        <v>45734.760416666664</v>
      </c>
      <c r="E232" s="1" t="s">
        <v>1699</v>
      </c>
      <c r="F232" s="1" t="s">
        <v>1699</v>
      </c>
      <c r="G232" s="1" t="s">
        <v>83</v>
      </c>
      <c r="H232" s="2">
        <v>45734.84652777778</v>
      </c>
      <c r="J232" s="1" t="s">
        <v>18</v>
      </c>
    </row>
    <row r="233" spans="1:10" hidden="1" x14ac:dyDescent="0.25">
      <c r="A233" s="1" t="str">
        <f>_xlfn.XLOOKUP(E233,Base!G:G,Base!C:C,"NOVO")</f>
        <v>PENDENTE</v>
      </c>
      <c r="B233" s="1">
        <v>3385381</v>
      </c>
      <c r="C233" s="1" t="s">
        <v>26</v>
      </c>
      <c r="D233" s="2">
        <v>45772.72152777778</v>
      </c>
      <c r="E233" s="1" t="s">
        <v>1963</v>
      </c>
      <c r="F233" s="1" t="s">
        <v>1963</v>
      </c>
      <c r="G233" s="1" t="s">
        <v>396</v>
      </c>
      <c r="H233" s="2">
        <v>45772.817361111112</v>
      </c>
      <c r="J233" s="1" t="s">
        <v>18</v>
      </c>
    </row>
    <row r="234" spans="1:10" hidden="1" x14ac:dyDescent="0.25">
      <c r="A234" s="1" t="str">
        <f>_xlfn.XLOOKUP(E234,Base!G:G,Base!C:C,"NOVO")</f>
        <v>PENDENTE</v>
      </c>
      <c r="B234" s="1">
        <v>3245998</v>
      </c>
      <c r="C234" s="1" t="s">
        <v>26</v>
      </c>
      <c r="D234" s="2">
        <v>45705.503472222219</v>
      </c>
      <c r="E234" s="1" t="s">
        <v>1077</v>
      </c>
      <c r="F234" s="1" t="s">
        <v>1077</v>
      </c>
      <c r="G234" s="1" t="s">
        <v>620</v>
      </c>
      <c r="H234" s="2">
        <v>45702.036111111112</v>
      </c>
      <c r="I234" s="2">
        <v>45705.63958333333</v>
      </c>
      <c r="J234" s="1" t="s">
        <v>18</v>
      </c>
    </row>
    <row r="235" spans="1:10" hidden="1" x14ac:dyDescent="0.25">
      <c r="A235" s="1" t="str">
        <f>_xlfn.XLOOKUP(E235,Base!G:G,Base!C:C,"NOVO")</f>
        <v>PENDENTE</v>
      </c>
      <c r="B235" s="1">
        <v>3221799</v>
      </c>
      <c r="C235" s="1" t="s">
        <v>26</v>
      </c>
      <c r="D235" s="2">
        <v>45691.709027777775</v>
      </c>
      <c r="E235" s="1" t="s">
        <v>731</v>
      </c>
      <c r="F235" s="1" t="s">
        <v>731</v>
      </c>
      <c r="G235" s="1" t="s">
        <v>394</v>
      </c>
      <c r="H235" s="2">
        <v>45691.838888888888</v>
      </c>
      <c r="J235" s="1" t="s">
        <v>18</v>
      </c>
    </row>
    <row r="236" spans="1:10" hidden="1" x14ac:dyDescent="0.25">
      <c r="A236" s="1" t="str">
        <f>_xlfn.XLOOKUP(E236,Base!G:G,Base!C:C,"NOVO")</f>
        <v>PENDENTE</v>
      </c>
      <c r="B236" s="1">
        <v>3256265</v>
      </c>
      <c r="C236" s="1" t="s">
        <v>26</v>
      </c>
      <c r="D236" s="2">
        <v>45707.724999999999</v>
      </c>
      <c r="E236" s="1" t="s">
        <v>1078</v>
      </c>
      <c r="F236" s="1" t="s">
        <v>1078</v>
      </c>
      <c r="G236" s="1" t="s">
        <v>83</v>
      </c>
      <c r="H236" s="2">
        <v>45707.855555555558</v>
      </c>
      <c r="J236" s="1" t="s">
        <v>18</v>
      </c>
    </row>
    <row r="237" spans="1:10" hidden="1" x14ac:dyDescent="0.25">
      <c r="A237" s="1" t="str">
        <f>_xlfn.XLOOKUP(E237,Base!G:G,Base!C:C,"NOVO")</f>
        <v>PENDENTE</v>
      </c>
      <c r="B237" s="1">
        <v>3232099</v>
      </c>
      <c r="C237" s="1" t="s">
        <v>26</v>
      </c>
      <c r="D237" s="2">
        <v>45695.531944444447</v>
      </c>
      <c r="E237" s="1" t="s">
        <v>957</v>
      </c>
      <c r="F237" s="1" t="s">
        <v>957</v>
      </c>
      <c r="G237" s="1" t="s">
        <v>83</v>
      </c>
      <c r="H237" s="2">
        <v>45695.663194444445</v>
      </c>
      <c r="J237" s="1" t="s">
        <v>18</v>
      </c>
    </row>
    <row r="238" spans="1:10" hidden="1" x14ac:dyDescent="0.25">
      <c r="A238" s="1" t="str">
        <f>_xlfn.XLOOKUP(E238,Base!G:G,Base!C:C,"NOVO")</f>
        <v>PENDENTE</v>
      </c>
      <c r="B238" s="1">
        <v>3241114</v>
      </c>
      <c r="C238" s="1" t="s">
        <v>26</v>
      </c>
      <c r="D238" s="2">
        <v>45701.655555555553</v>
      </c>
      <c r="E238" s="1" t="s">
        <v>1079</v>
      </c>
      <c r="F238" s="1" t="s">
        <v>1080</v>
      </c>
      <c r="G238" s="1" t="s">
        <v>64</v>
      </c>
      <c r="H238" s="2">
        <v>45700.522916666669</v>
      </c>
      <c r="I238" s="2">
        <v>45701.783333333333</v>
      </c>
      <c r="J238" s="1" t="s">
        <v>1244</v>
      </c>
    </row>
    <row r="239" spans="1:10" hidden="1" x14ac:dyDescent="0.25">
      <c r="A239" s="1" t="str">
        <f>_xlfn.XLOOKUP(E239,Base!G:G,Base!C:C,"NOVO")</f>
        <v>PENDENTE</v>
      </c>
      <c r="B239" s="1">
        <v>3384270</v>
      </c>
      <c r="C239" s="1" t="s">
        <v>26</v>
      </c>
      <c r="D239" s="2">
        <v>45772.586111111108</v>
      </c>
      <c r="E239" s="1" t="s">
        <v>1964</v>
      </c>
      <c r="F239" s="1" t="s">
        <v>1964</v>
      </c>
      <c r="G239" s="1" t="s">
        <v>622</v>
      </c>
      <c r="H239" s="2">
        <v>45772.672222222223</v>
      </c>
      <c r="J239" s="1" t="s">
        <v>14</v>
      </c>
    </row>
    <row r="240" spans="1:10" hidden="1" x14ac:dyDescent="0.25">
      <c r="A240" s="1" t="str">
        <f>_xlfn.XLOOKUP(E240,Base!G:G,Base!C:C,"NOVO")</f>
        <v>PENDENTE</v>
      </c>
      <c r="B240" s="1">
        <v>3418886</v>
      </c>
      <c r="C240" s="1" t="s">
        <v>26</v>
      </c>
      <c r="D240" s="2">
        <v>45790.774305555555</v>
      </c>
      <c r="E240" s="1" t="s">
        <v>2300</v>
      </c>
      <c r="F240" s="1" t="s">
        <v>2300</v>
      </c>
      <c r="G240" s="1" t="s">
        <v>746</v>
      </c>
      <c r="H240" s="2">
        <v>45790.869444444441</v>
      </c>
      <c r="J240" s="1" t="s">
        <v>18</v>
      </c>
    </row>
    <row r="241" spans="1:10" hidden="1" x14ac:dyDescent="0.25">
      <c r="A241" s="1" t="str">
        <f>_xlfn.XLOOKUP(E241,Base!G:G,Base!C:C,"NOVO")</f>
        <v>PENDENTE</v>
      </c>
      <c r="B241" s="1">
        <v>3255238</v>
      </c>
      <c r="C241" s="1" t="s">
        <v>26</v>
      </c>
      <c r="D241" s="2">
        <v>45707.247916666667</v>
      </c>
      <c r="E241" s="1" t="s">
        <v>1081</v>
      </c>
      <c r="F241" s="1" t="s">
        <v>1081</v>
      </c>
      <c r="G241" s="1" t="s">
        <v>409</v>
      </c>
      <c r="H241" s="2">
        <v>45707.378472222219</v>
      </c>
      <c r="J241" s="1" t="s">
        <v>18</v>
      </c>
    </row>
    <row r="242" spans="1:10" x14ac:dyDescent="0.25">
      <c r="A242" s="1" t="str">
        <f>_xlfn.XLOOKUP(E242,Base!G:G,Base!C:C,"NOVO")</f>
        <v>PENDENTE</v>
      </c>
      <c r="B242" s="1">
        <v>3474173</v>
      </c>
      <c r="C242" s="1" t="s">
        <v>26</v>
      </c>
      <c r="D242" s="2">
        <v>45818.590277777781</v>
      </c>
      <c r="E242" s="1" t="s">
        <v>2693</v>
      </c>
      <c r="F242" s="1" t="s">
        <v>2693</v>
      </c>
      <c r="G242" s="1" t="s">
        <v>746</v>
      </c>
      <c r="H242" s="2">
        <v>45818.678472222222</v>
      </c>
      <c r="J242" s="1" t="s">
        <v>18</v>
      </c>
    </row>
    <row r="243" spans="1:10" hidden="1" x14ac:dyDescent="0.25">
      <c r="A243" s="1" t="str">
        <f>_xlfn.XLOOKUP(E243,Base!G:G,Base!C:C,"NOVO")</f>
        <v>PENDENTE</v>
      </c>
      <c r="B243" s="1">
        <v>3357887</v>
      </c>
      <c r="C243" s="1" t="s">
        <v>26</v>
      </c>
      <c r="D243" s="2">
        <v>45758.694444444445</v>
      </c>
      <c r="E243" s="1" t="s">
        <v>1965</v>
      </c>
      <c r="F243" s="1" t="s">
        <v>1965</v>
      </c>
      <c r="G243" s="1" t="s">
        <v>83</v>
      </c>
      <c r="H243" s="2">
        <v>45757.543749999997</v>
      </c>
      <c r="I243" s="2">
        <v>45758.781944444447</v>
      </c>
      <c r="J243" s="1" t="s">
        <v>18</v>
      </c>
    </row>
    <row r="244" spans="1:10" hidden="1" x14ac:dyDescent="0.25">
      <c r="A244" s="1" t="str">
        <f>_xlfn.XLOOKUP(E244,Base!G:G,Base!C:C,"NOVO")</f>
        <v>PENDENTE</v>
      </c>
      <c r="B244" s="1">
        <v>3414697</v>
      </c>
      <c r="C244" s="1" t="s">
        <v>26</v>
      </c>
      <c r="D244" s="2">
        <v>45789.505555555559</v>
      </c>
      <c r="E244" s="1" t="s">
        <v>2301</v>
      </c>
      <c r="F244" s="1" t="s">
        <v>2301</v>
      </c>
      <c r="G244" s="1" t="s">
        <v>620</v>
      </c>
      <c r="H244" s="2">
        <v>45789.598611111112</v>
      </c>
      <c r="J244" s="1" t="s">
        <v>18</v>
      </c>
    </row>
    <row r="245" spans="1:10" hidden="1" x14ac:dyDescent="0.25">
      <c r="A245" s="1" t="str">
        <f>_xlfn.XLOOKUP(E245,Base!G:G,Base!C:C,"NOVO")</f>
        <v>PENDENTE</v>
      </c>
      <c r="B245" s="1">
        <v>3274667</v>
      </c>
      <c r="C245" s="1" t="s">
        <v>26</v>
      </c>
      <c r="D245" s="2">
        <v>45721.758333333331</v>
      </c>
      <c r="E245" s="1" t="s">
        <v>1261</v>
      </c>
      <c r="F245" s="1" t="s">
        <v>1261</v>
      </c>
      <c r="G245" s="1" t="s">
        <v>829</v>
      </c>
      <c r="H245" s="2">
        <v>45716.428472222222</v>
      </c>
      <c r="I245" s="2">
        <v>45721.893750000003</v>
      </c>
      <c r="J245" s="1" t="s">
        <v>18</v>
      </c>
    </row>
    <row r="246" spans="1:10" hidden="1" x14ac:dyDescent="0.25">
      <c r="A246" s="1" t="str">
        <f>_xlfn.XLOOKUP(E246,Base!G:G,Base!C:C,"NOVO")</f>
        <v>PENDENTE</v>
      </c>
      <c r="B246" s="1">
        <v>3346221</v>
      </c>
      <c r="C246" s="1" t="s">
        <v>26</v>
      </c>
      <c r="D246" s="2">
        <v>45756.469444444447</v>
      </c>
      <c r="E246" s="1" t="s">
        <v>1701</v>
      </c>
      <c r="F246" s="1" t="s">
        <v>1701</v>
      </c>
      <c r="G246" s="1" t="s">
        <v>652</v>
      </c>
      <c r="H246" s="2">
        <v>45750.845138888886</v>
      </c>
      <c r="I246" s="2">
        <v>45756.554166666669</v>
      </c>
      <c r="J246" s="1" t="s">
        <v>18</v>
      </c>
    </row>
    <row r="247" spans="1:10" hidden="1" x14ac:dyDescent="0.25">
      <c r="A247" s="1" t="str">
        <f>_xlfn.XLOOKUP(E247,Base!G:G,Base!C:C,"NOVO")</f>
        <v>PENDENTE</v>
      </c>
      <c r="B247" s="1">
        <v>3415336</v>
      </c>
      <c r="C247" s="1" t="s">
        <v>26</v>
      </c>
      <c r="D247" s="2">
        <v>45789.681944444441</v>
      </c>
      <c r="E247" s="1" t="s">
        <v>2302</v>
      </c>
      <c r="F247" s="1" t="s">
        <v>2302</v>
      </c>
      <c r="G247" s="1" t="s">
        <v>620</v>
      </c>
      <c r="H247" s="2">
        <v>45789.774305555555</v>
      </c>
      <c r="J247" s="1" t="s">
        <v>18</v>
      </c>
    </row>
    <row r="248" spans="1:10" hidden="1" x14ac:dyDescent="0.25">
      <c r="A248" s="1" t="str">
        <f>_xlfn.XLOOKUP(E248,Base!G:G,Base!C:C,"NOVO")</f>
        <v>PENDENTE</v>
      </c>
      <c r="B248" s="1">
        <v>3383214</v>
      </c>
      <c r="C248" s="1" t="s">
        <v>26</v>
      </c>
      <c r="D248" s="2">
        <v>45772.39166666667</v>
      </c>
      <c r="E248" s="1" t="s">
        <v>1966</v>
      </c>
      <c r="F248" s="1" t="s">
        <v>1966</v>
      </c>
      <c r="G248" s="1" t="s">
        <v>83</v>
      </c>
      <c r="H248" s="2">
        <v>45772.48333333333</v>
      </c>
      <c r="J248" s="1" t="s">
        <v>18</v>
      </c>
    </row>
    <row r="249" spans="1:10" hidden="1" x14ac:dyDescent="0.25">
      <c r="A249" s="1" t="str">
        <f>_xlfn.XLOOKUP(E249,Base!G:G,Base!C:C,"NOVO")</f>
        <v>PENDENTE</v>
      </c>
      <c r="B249" s="1">
        <v>3376180</v>
      </c>
      <c r="C249" s="1" t="s">
        <v>26</v>
      </c>
      <c r="D249" s="2">
        <v>45769.745138888888</v>
      </c>
      <c r="E249" s="1" t="s">
        <v>1967</v>
      </c>
      <c r="F249" s="1" t="s">
        <v>1967</v>
      </c>
      <c r="G249" s="1" t="s">
        <v>408</v>
      </c>
      <c r="H249" s="2">
        <v>45769.730555555558</v>
      </c>
      <c r="I249" s="2">
        <v>45769.836805555555</v>
      </c>
      <c r="J249" s="1" t="s">
        <v>18</v>
      </c>
    </row>
    <row r="250" spans="1:10" hidden="1" x14ac:dyDescent="0.25">
      <c r="A250" s="1" t="str">
        <f>_xlfn.XLOOKUP(E250,Base!G:G,Base!C:C,"NOVO")</f>
        <v>PENDENTE</v>
      </c>
      <c r="B250" s="1">
        <v>3465782</v>
      </c>
      <c r="C250" s="1" t="s">
        <v>26</v>
      </c>
      <c r="D250" s="2">
        <v>45813.402083333334</v>
      </c>
      <c r="E250" s="1" t="s">
        <v>2603</v>
      </c>
      <c r="F250" s="1" t="s">
        <v>2603</v>
      </c>
      <c r="G250" s="1" t="s">
        <v>746</v>
      </c>
      <c r="H250" s="2">
        <v>45813.490972222222</v>
      </c>
      <c r="J250" s="1" t="s">
        <v>18</v>
      </c>
    </row>
    <row r="251" spans="1:10" hidden="1" x14ac:dyDescent="0.25">
      <c r="A251" s="1" t="str">
        <f>_xlfn.XLOOKUP(E251,Base!G:G,Base!C:C,"NOVO")</f>
        <v>PENDENTE</v>
      </c>
      <c r="B251" s="1">
        <v>3433953</v>
      </c>
      <c r="C251" s="1" t="s">
        <v>26</v>
      </c>
      <c r="D251" s="2">
        <v>45798.458333333336</v>
      </c>
      <c r="E251" s="1" t="s">
        <v>2390</v>
      </c>
      <c r="F251" s="1" t="s">
        <v>2390</v>
      </c>
      <c r="G251" s="1" t="s">
        <v>396</v>
      </c>
      <c r="H251" s="2">
        <v>45798.54583333333</v>
      </c>
      <c r="J251" s="1" t="s">
        <v>18</v>
      </c>
    </row>
    <row r="252" spans="1:10" hidden="1" x14ac:dyDescent="0.25">
      <c r="A252" s="1" t="str">
        <f>_xlfn.XLOOKUP(E252,Base!G:G,Base!C:C,"NOVO")</f>
        <v>PENDENTE</v>
      </c>
      <c r="B252" s="1">
        <v>3292055</v>
      </c>
      <c r="C252" s="1" t="s">
        <v>26</v>
      </c>
      <c r="D252" s="2">
        <v>45727.770833333336</v>
      </c>
      <c r="E252" s="1" t="s">
        <v>1415</v>
      </c>
      <c r="F252" s="1" t="s">
        <v>1415</v>
      </c>
      <c r="G252" s="1" t="s">
        <v>840</v>
      </c>
      <c r="H252" s="2">
        <v>45727.647916666669</v>
      </c>
      <c r="I252" s="2">
        <v>45727.856944444444</v>
      </c>
      <c r="J252" s="1" t="s">
        <v>18</v>
      </c>
    </row>
    <row r="253" spans="1:10" hidden="1" x14ac:dyDescent="0.25">
      <c r="A253" s="1" t="str">
        <f>_xlfn.XLOOKUP(E253,Base!G:G,Base!C:C,"NOVO")</f>
        <v>PENDENTE</v>
      </c>
      <c r="B253" s="1">
        <v>3429896</v>
      </c>
      <c r="C253" s="1" t="s">
        <v>26</v>
      </c>
      <c r="D253" s="2">
        <v>45796.772916666669</v>
      </c>
      <c r="E253" s="1" t="s">
        <v>2391</v>
      </c>
      <c r="F253" s="1" t="s">
        <v>2391</v>
      </c>
      <c r="G253" s="1" t="s">
        <v>396</v>
      </c>
      <c r="H253" s="2">
        <v>45796.867361111108</v>
      </c>
      <c r="J253" s="1" t="s">
        <v>18</v>
      </c>
    </row>
    <row r="254" spans="1:10" hidden="1" x14ac:dyDescent="0.25">
      <c r="A254" s="1" t="str">
        <f>_xlfn.XLOOKUP(E254,Base!G:G,Base!C:C,"NOVO")</f>
        <v>PENDENTE</v>
      </c>
      <c r="B254" s="1">
        <v>3465781</v>
      </c>
      <c r="C254" s="1" t="s">
        <v>26</v>
      </c>
      <c r="D254" s="2">
        <v>45813.402083333334</v>
      </c>
      <c r="E254" s="1" t="s">
        <v>2604</v>
      </c>
      <c r="F254" s="1" t="s">
        <v>2604</v>
      </c>
      <c r="G254" s="1" t="s">
        <v>746</v>
      </c>
      <c r="H254" s="2">
        <v>45813.490277777775</v>
      </c>
      <c r="J254" s="1" t="s">
        <v>18</v>
      </c>
    </row>
    <row r="255" spans="1:10" hidden="1" x14ac:dyDescent="0.25">
      <c r="A255" s="1" t="str">
        <f>_xlfn.XLOOKUP(E255,Base!G:G,Base!C:C,"NOVO")</f>
        <v>PENDENTE</v>
      </c>
      <c r="B255" s="1">
        <v>3369039</v>
      </c>
      <c r="C255" s="1" t="s">
        <v>26</v>
      </c>
      <c r="D255" s="2">
        <v>45763.529166666667</v>
      </c>
      <c r="E255" s="1" t="s">
        <v>1968</v>
      </c>
      <c r="F255" s="1" t="s">
        <v>1968</v>
      </c>
      <c r="G255" s="1" t="s">
        <v>396</v>
      </c>
      <c r="H255" s="2">
        <v>45763.615972222222</v>
      </c>
      <c r="J255" s="1" t="s">
        <v>18</v>
      </c>
    </row>
    <row r="256" spans="1:10" hidden="1" x14ac:dyDescent="0.25">
      <c r="A256" s="1" t="str">
        <f>_xlfn.XLOOKUP(E256,Base!G:G,Base!C:C,"NOVO")</f>
        <v>PENDENTE</v>
      </c>
      <c r="B256" s="1">
        <v>3245970</v>
      </c>
      <c r="C256" s="1" t="s">
        <v>26</v>
      </c>
      <c r="D256" s="2">
        <v>45701.897916666669</v>
      </c>
      <c r="E256" s="1" t="s">
        <v>1082</v>
      </c>
      <c r="F256" s="1" t="s">
        <v>1082</v>
      </c>
      <c r="G256" s="1" t="s">
        <v>1083</v>
      </c>
      <c r="H256" s="2">
        <v>45702.033333333333</v>
      </c>
      <c r="J256" s="1" t="s">
        <v>18</v>
      </c>
    </row>
    <row r="257" spans="1:10" hidden="1" x14ac:dyDescent="0.25">
      <c r="A257" s="1" t="str">
        <f>_xlfn.XLOOKUP(E257,Base!G:G,Base!C:C,"NOVO")</f>
        <v>PENDENTE</v>
      </c>
      <c r="B257" s="1">
        <v>3275916</v>
      </c>
      <c r="C257" s="1" t="s">
        <v>26</v>
      </c>
      <c r="D257" s="2">
        <v>45716.587500000001</v>
      </c>
      <c r="E257" s="1" t="s">
        <v>1262</v>
      </c>
      <c r="F257" s="1" t="s">
        <v>1262</v>
      </c>
      <c r="G257" s="1" t="s">
        <v>620</v>
      </c>
      <c r="H257" s="2">
        <v>45716.72152777778</v>
      </c>
      <c r="J257" s="1" t="s">
        <v>18</v>
      </c>
    </row>
    <row r="258" spans="1:10" hidden="1" x14ac:dyDescent="0.25">
      <c r="A258" s="1" t="str">
        <f>_xlfn.XLOOKUP(E258,Base!G:G,Base!C:C,"NOVO")</f>
        <v>PENDENTE</v>
      </c>
      <c r="B258" s="1">
        <v>3333753</v>
      </c>
      <c r="C258" s="1" t="s">
        <v>26</v>
      </c>
      <c r="D258" s="2">
        <v>45747.398611111108</v>
      </c>
      <c r="E258" s="1" t="s">
        <v>1702</v>
      </c>
      <c r="F258" s="1" t="s">
        <v>1702</v>
      </c>
      <c r="G258" s="1" t="s">
        <v>273</v>
      </c>
      <c r="H258" s="2">
        <v>45747.490277777775</v>
      </c>
      <c r="J258" s="1" t="s">
        <v>1245</v>
      </c>
    </row>
    <row r="259" spans="1:10" hidden="1" x14ac:dyDescent="0.25">
      <c r="A259" s="1" t="str">
        <f>_xlfn.XLOOKUP(E259,Base!G:G,Base!C:C,"NOVO")</f>
        <v>PENDENTE</v>
      </c>
      <c r="B259" s="1">
        <v>3225353</v>
      </c>
      <c r="C259" s="1" t="s">
        <v>26</v>
      </c>
      <c r="D259" s="2">
        <v>45693.262499999997</v>
      </c>
      <c r="E259" s="1" t="s">
        <v>958</v>
      </c>
      <c r="F259" s="1" t="s">
        <v>958</v>
      </c>
      <c r="G259" s="1" t="s">
        <v>865</v>
      </c>
      <c r="H259" s="2">
        <v>45693.429166666669</v>
      </c>
      <c r="I259" s="2">
        <v>45694.933333333334</v>
      </c>
      <c r="J259" s="1" t="s">
        <v>18</v>
      </c>
    </row>
    <row r="260" spans="1:10" hidden="1" x14ac:dyDescent="0.25">
      <c r="A260" s="1" t="str">
        <f>_xlfn.XLOOKUP(E260,Base!G:G,Base!C:C,"NOVO")</f>
        <v>PENDENTE</v>
      </c>
      <c r="B260" s="1">
        <v>3225354</v>
      </c>
      <c r="C260" s="1" t="s">
        <v>26</v>
      </c>
      <c r="D260" s="2">
        <v>45693.262499999997</v>
      </c>
      <c r="E260" s="1" t="s">
        <v>959</v>
      </c>
      <c r="F260" s="1" t="s">
        <v>958</v>
      </c>
      <c r="G260" s="1" t="s">
        <v>867</v>
      </c>
      <c r="H260" s="2">
        <v>45693.429166666669</v>
      </c>
      <c r="I260" s="2">
        <v>45694.933333333334</v>
      </c>
      <c r="J260" s="1" t="s">
        <v>18</v>
      </c>
    </row>
    <row r="261" spans="1:10" hidden="1" x14ac:dyDescent="0.25">
      <c r="A261" s="1" t="str">
        <f>_xlfn.XLOOKUP(E261,Base!G:G,Base!C:C,"NOVO")</f>
        <v>PENDENTE</v>
      </c>
      <c r="B261" s="1">
        <v>3376168</v>
      </c>
      <c r="C261" s="1" t="s">
        <v>26</v>
      </c>
      <c r="D261" s="2">
        <v>45769.745138888888</v>
      </c>
      <c r="E261" s="1" t="s">
        <v>1969</v>
      </c>
      <c r="F261" s="1" t="s">
        <v>1969</v>
      </c>
      <c r="G261" s="1" t="s">
        <v>408</v>
      </c>
      <c r="H261" s="2">
        <v>45769.722222222219</v>
      </c>
      <c r="I261" s="2">
        <v>45769.836805555555</v>
      </c>
      <c r="J261" s="1" t="s">
        <v>18</v>
      </c>
    </row>
    <row r="262" spans="1:10" hidden="1" x14ac:dyDescent="0.25">
      <c r="A262" s="1" t="str">
        <f>_xlfn.XLOOKUP(E262,Base!G:G,Base!C:C,"NOVO")</f>
        <v>PENDENTE</v>
      </c>
      <c r="B262" s="1">
        <v>3275924</v>
      </c>
      <c r="C262" s="1" t="s">
        <v>26</v>
      </c>
      <c r="D262" s="2">
        <v>45716.587500000001</v>
      </c>
      <c r="E262" s="1" t="s">
        <v>1263</v>
      </c>
      <c r="F262" s="1" t="s">
        <v>1263</v>
      </c>
      <c r="G262" s="1" t="s">
        <v>620</v>
      </c>
      <c r="H262" s="2">
        <v>45716.722222222219</v>
      </c>
      <c r="J262" s="1" t="s">
        <v>18</v>
      </c>
    </row>
    <row r="263" spans="1:10" hidden="1" x14ac:dyDescent="0.25">
      <c r="A263" s="1" t="str">
        <f>_xlfn.XLOOKUP(E263,Base!G:G,Base!C:C,"NOVO")</f>
        <v>PENDENTE</v>
      </c>
      <c r="B263" s="1">
        <v>3245973</v>
      </c>
      <c r="C263" s="1" t="s">
        <v>26</v>
      </c>
      <c r="D263" s="2">
        <v>45701.897916666669</v>
      </c>
      <c r="E263" s="1" t="s">
        <v>1084</v>
      </c>
      <c r="F263" s="1" t="s">
        <v>1084</v>
      </c>
      <c r="G263" s="1" t="s">
        <v>83</v>
      </c>
      <c r="H263" s="2">
        <v>45702.033333333333</v>
      </c>
      <c r="J263" s="1" t="s">
        <v>18</v>
      </c>
    </row>
    <row r="264" spans="1:10" hidden="1" x14ac:dyDescent="0.25">
      <c r="A264" s="1" t="str">
        <f>_xlfn.XLOOKUP(E264,Base!G:G,Base!C:C,"NOVO")</f>
        <v>PENDENTE</v>
      </c>
      <c r="B264" s="1">
        <v>3233049</v>
      </c>
      <c r="C264" s="1" t="s">
        <v>26</v>
      </c>
      <c r="D264" s="2">
        <v>45695.722916666666</v>
      </c>
      <c r="E264" s="1" t="s">
        <v>960</v>
      </c>
      <c r="F264" s="1" t="s">
        <v>960</v>
      </c>
      <c r="G264" s="1" t="s">
        <v>692</v>
      </c>
      <c r="H264" s="2">
        <v>45695.786111111112</v>
      </c>
      <c r="I264" s="2">
        <v>45695.866666666669</v>
      </c>
      <c r="J264" s="1" t="s">
        <v>18</v>
      </c>
    </row>
    <row r="265" spans="1:10" hidden="1" x14ac:dyDescent="0.25">
      <c r="A265" s="1" t="str">
        <f>_xlfn.XLOOKUP(E265,Base!G:G,Base!C:C,"NOVO")</f>
        <v>PENDENTE</v>
      </c>
      <c r="B265" s="1">
        <v>3260766</v>
      </c>
      <c r="C265" s="1" t="s">
        <v>26</v>
      </c>
      <c r="D265" s="2">
        <v>45712.49722222222</v>
      </c>
      <c r="E265" s="1" t="s">
        <v>1085</v>
      </c>
      <c r="F265" s="1" t="s">
        <v>1085</v>
      </c>
      <c r="G265" s="1" t="s">
        <v>1060</v>
      </c>
      <c r="H265" s="2">
        <v>45709.523611111108</v>
      </c>
      <c r="I265" s="2">
        <v>45712.627083333333</v>
      </c>
      <c r="J265" s="1" t="s">
        <v>18</v>
      </c>
    </row>
    <row r="266" spans="1:10" hidden="1" x14ac:dyDescent="0.25">
      <c r="A266" s="1" t="str">
        <f>_xlfn.XLOOKUP(E266,Base!G:G,Base!C:C,"NOVO")</f>
        <v>PENDENTE</v>
      </c>
      <c r="B266" s="1">
        <v>3232322</v>
      </c>
      <c r="C266" s="1" t="s">
        <v>26</v>
      </c>
      <c r="D266" s="2">
        <v>45695.722916666666</v>
      </c>
      <c r="E266" s="1" t="s">
        <v>961</v>
      </c>
      <c r="F266" s="1" t="s">
        <v>961</v>
      </c>
      <c r="G266" s="1" t="s">
        <v>394</v>
      </c>
      <c r="H266" s="2">
        <v>45695.72152777778</v>
      </c>
      <c r="I266" s="2">
        <v>45695.866666666669</v>
      </c>
      <c r="J266" s="1" t="s">
        <v>18</v>
      </c>
    </row>
    <row r="267" spans="1:10" hidden="1" x14ac:dyDescent="0.25">
      <c r="A267" s="1" t="str">
        <f>_xlfn.XLOOKUP(E267,Base!G:G,Base!C:C,"NOVO")</f>
        <v>PENDENTE</v>
      </c>
      <c r="B267" s="1">
        <v>3280903</v>
      </c>
      <c r="C267" s="1" t="s">
        <v>26</v>
      </c>
      <c r="D267" s="2">
        <v>45721.525000000001</v>
      </c>
      <c r="E267" s="1" t="s">
        <v>1264</v>
      </c>
      <c r="F267" s="1" t="s">
        <v>1264</v>
      </c>
      <c r="G267" s="1" t="s">
        <v>1054</v>
      </c>
      <c r="H267" s="2">
        <v>45721.660416666666</v>
      </c>
      <c r="J267" s="1" t="s">
        <v>18</v>
      </c>
    </row>
    <row r="268" spans="1:10" hidden="1" x14ac:dyDescent="0.25">
      <c r="A268" s="1" t="str">
        <f>_xlfn.XLOOKUP(E268,Base!G:G,Base!C:C,"NOVO")</f>
        <v>PENDENTE</v>
      </c>
      <c r="B268" s="1">
        <v>3326652</v>
      </c>
      <c r="C268" s="1" t="s">
        <v>26</v>
      </c>
      <c r="D268" s="2">
        <v>45742.662499999999</v>
      </c>
      <c r="E268" s="1" t="s">
        <v>1703</v>
      </c>
      <c r="F268" s="1" t="s">
        <v>1703</v>
      </c>
      <c r="G268" s="1" t="s">
        <v>652</v>
      </c>
      <c r="H268" s="2">
        <v>45742.760416666664</v>
      </c>
      <c r="J268" s="1" t="s">
        <v>18</v>
      </c>
    </row>
    <row r="269" spans="1:10" hidden="1" x14ac:dyDescent="0.25">
      <c r="A269" s="1" t="str">
        <f>_xlfn.XLOOKUP(E269,Base!G:G,Base!C:C,"NOVO")</f>
        <v>PENDENTE</v>
      </c>
      <c r="B269" s="1">
        <v>3266502</v>
      </c>
      <c r="C269" s="1" t="s">
        <v>26</v>
      </c>
      <c r="D269" s="2">
        <v>45713.268750000003</v>
      </c>
      <c r="E269" s="1" t="s">
        <v>1086</v>
      </c>
      <c r="F269" s="1" t="s">
        <v>1086</v>
      </c>
      <c r="G269" s="1" t="s">
        <v>1054</v>
      </c>
      <c r="H269" s="2">
        <v>45713.404861111114</v>
      </c>
      <c r="J269" s="1" t="s">
        <v>18</v>
      </c>
    </row>
    <row r="270" spans="1:10" hidden="1" x14ac:dyDescent="0.25">
      <c r="A270" s="1" t="str">
        <f>_xlfn.XLOOKUP(E270,Base!G:G,Base!C:C,"NOVO")</f>
        <v>PENDENTE</v>
      </c>
      <c r="B270" s="1">
        <v>3428172</v>
      </c>
      <c r="C270" s="1" t="s">
        <v>26</v>
      </c>
      <c r="D270" s="2">
        <v>45796.469444444447</v>
      </c>
      <c r="E270" s="1" t="s">
        <v>2392</v>
      </c>
      <c r="F270" s="1" t="s">
        <v>2392</v>
      </c>
      <c r="G270" s="1" t="s">
        <v>2278</v>
      </c>
      <c r="H270" s="2">
        <v>45796.561805555553</v>
      </c>
      <c r="J270" s="1" t="s">
        <v>18</v>
      </c>
    </row>
    <row r="271" spans="1:10" hidden="1" x14ac:dyDescent="0.25">
      <c r="A271" s="1" t="str">
        <f>_xlfn.XLOOKUP(E271,Base!G:G,Base!C:C,"NOVO")</f>
        <v>PENDENTE</v>
      </c>
      <c r="B271" s="1">
        <v>3445800</v>
      </c>
      <c r="C271" s="1" t="s">
        <v>26</v>
      </c>
      <c r="D271" s="2">
        <v>45804.597916666666</v>
      </c>
      <c r="E271" s="1" t="s">
        <v>2393</v>
      </c>
      <c r="F271" s="1" t="s">
        <v>2393</v>
      </c>
      <c r="G271" s="1" t="s">
        <v>396</v>
      </c>
      <c r="H271" s="2">
        <v>45804.69027777778</v>
      </c>
      <c r="J271" s="1" t="s">
        <v>18</v>
      </c>
    </row>
    <row r="272" spans="1:10" hidden="1" x14ac:dyDescent="0.25">
      <c r="A272" s="1" t="str">
        <f>_xlfn.XLOOKUP(E272,Base!G:G,Base!C:C,"NOVO")</f>
        <v>PENDENTE</v>
      </c>
      <c r="B272" s="1">
        <v>3400938</v>
      </c>
      <c r="C272" s="1" t="s">
        <v>26</v>
      </c>
      <c r="D272" s="2">
        <v>45782.635416666664</v>
      </c>
      <c r="E272" s="1" t="s">
        <v>2197</v>
      </c>
      <c r="F272" s="1" t="s">
        <v>2198</v>
      </c>
      <c r="G272" s="1" t="s">
        <v>114</v>
      </c>
      <c r="H272" s="2">
        <v>45782.709722222222</v>
      </c>
      <c r="I272" s="2">
        <v>45782.720138888886</v>
      </c>
      <c r="J272" s="1" t="s">
        <v>14</v>
      </c>
    </row>
    <row r="273" spans="1:10" hidden="1" x14ac:dyDescent="0.25">
      <c r="A273" s="1" t="str">
        <f>_xlfn.XLOOKUP(E273,Base!G:G,Base!C:C,"NOVO")</f>
        <v>PENDENTE</v>
      </c>
      <c r="B273" s="1">
        <v>3457044</v>
      </c>
      <c r="C273" s="1" t="s">
        <v>26</v>
      </c>
      <c r="D273" s="2">
        <v>45810.306944444441</v>
      </c>
      <c r="E273" s="1" t="s">
        <v>2547</v>
      </c>
      <c r="F273" s="1" t="s">
        <v>2548</v>
      </c>
      <c r="G273" s="1" t="s">
        <v>166</v>
      </c>
      <c r="H273" s="2">
        <v>45810.396527777775</v>
      </c>
      <c r="J273" s="1" t="s">
        <v>19</v>
      </c>
    </row>
    <row r="274" spans="1:10" hidden="1" x14ac:dyDescent="0.25">
      <c r="A274" s="1" t="str">
        <f>_xlfn.XLOOKUP(E274,Base!G:G,Base!C:C,"NOVO")</f>
        <v>PENDENTE</v>
      </c>
      <c r="B274" s="1">
        <v>3220293</v>
      </c>
      <c r="C274" s="1" t="s">
        <v>26</v>
      </c>
      <c r="D274" s="2">
        <v>45691.480555555558</v>
      </c>
      <c r="E274" s="1" t="s">
        <v>738</v>
      </c>
      <c r="F274" s="1" t="s">
        <v>738</v>
      </c>
      <c r="G274" s="1" t="s">
        <v>394</v>
      </c>
      <c r="H274" s="2">
        <v>45691.618055555555</v>
      </c>
      <c r="J274" s="1" t="s">
        <v>18</v>
      </c>
    </row>
    <row r="275" spans="1:10" hidden="1" x14ac:dyDescent="0.25">
      <c r="A275" s="1" t="str">
        <f>_xlfn.XLOOKUP(E275,Base!G:G,Base!C:C,"NOVO")</f>
        <v>PENDENTE</v>
      </c>
      <c r="B275" s="1">
        <v>3266493</v>
      </c>
      <c r="C275" s="1" t="s">
        <v>26</v>
      </c>
      <c r="D275" s="2">
        <v>45713.268750000003</v>
      </c>
      <c r="E275" s="1" t="s">
        <v>1087</v>
      </c>
      <c r="F275" s="1" t="s">
        <v>1087</v>
      </c>
      <c r="G275" s="1" t="s">
        <v>1060</v>
      </c>
      <c r="H275" s="2">
        <v>45713.40347222222</v>
      </c>
      <c r="J275" s="1" t="s">
        <v>18</v>
      </c>
    </row>
    <row r="276" spans="1:10" hidden="1" x14ac:dyDescent="0.25">
      <c r="A276" s="1" t="str">
        <f>_xlfn.XLOOKUP(E276,Base!G:G,Base!C:C,"NOVO")</f>
        <v>PENDENTE</v>
      </c>
      <c r="B276" s="1">
        <v>3220290</v>
      </c>
      <c r="C276" s="1" t="s">
        <v>26</v>
      </c>
      <c r="D276" s="2">
        <v>45691.480555555558</v>
      </c>
      <c r="E276" s="1" t="s">
        <v>762</v>
      </c>
      <c r="F276" s="1" t="s">
        <v>762</v>
      </c>
      <c r="G276" s="1" t="s">
        <v>409</v>
      </c>
      <c r="H276" s="2">
        <v>45691.617361111108</v>
      </c>
      <c r="J276" s="1" t="s">
        <v>18</v>
      </c>
    </row>
    <row r="277" spans="1:10" hidden="1" x14ac:dyDescent="0.25">
      <c r="A277" s="1" t="str">
        <f>_xlfn.XLOOKUP(E277,Base!G:G,Base!C:C,"NOVO")</f>
        <v>PENDENTE</v>
      </c>
      <c r="B277" s="1">
        <v>3293551</v>
      </c>
      <c r="C277" s="1" t="s">
        <v>26</v>
      </c>
      <c r="D277" s="2">
        <v>45728.617361111108</v>
      </c>
      <c r="E277" s="1" t="s">
        <v>1416</v>
      </c>
      <c r="F277" s="1" t="s">
        <v>1416</v>
      </c>
      <c r="G277" s="1" t="s">
        <v>1060</v>
      </c>
      <c r="H277" s="2">
        <v>45727.86041666667</v>
      </c>
      <c r="I277" s="2">
        <v>45728.711111111108</v>
      </c>
      <c r="J277" s="1" t="s">
        <v>18</v>
      </c>
    </row>
    <row r="278" spans="1:10" hidden="1" x14ac:dyDescent="0.25">
      <c r="A278" s="1" t="str">
        <f>_xlfn.XLOOKUP(E278,Base!G:G,Base!C:C,"NOVO")</f>
        <v>PENDENTE</v>
      </c>
      <c r="B278" s="1">
        <v>3389884</v>
      </c>
      <c r="C278" s="1" t="s">
        <v>26</v>
      </c>
      <c r="D278" s="2">
        <v>45776.69027777778</v>
      </c>
      <c r="E278" s="1" t="s">
        <v>2199</v>
      </c>
      <c r="F278" s="1" t="s">
        <v>2200</v>
      </c>
      <c r="G278" s="1" t="s">
        <v>2201</v>
      </c>
      <c r="H278" s="2">
        <v>45776.576388888891</v>
      </c>
      <c r="I278" s="2">
        <v>45776.775000000001</v>
      </c>
      <c r="J278" s="1" t="s">
        <v>19</v>
      </c>
    </row>
    <row r="279" spans="1:10" hidden="1" x14ac:dyDescent="0.25">
      <c r="A279" s="1" t="str">
        <f>_xlfn.XLOOKUP(E279,Base!G:G,Base!C:C,"NOVO")</f>
        <v>PENDENTE</v>
      </c>
      <c r="B279" s="1">
        <v>3309060</v>
      </c>
      <c r="C279" s="1" t="s">
        <v>26</v>
      </c>
      <c r="D279" s="2">
        <v>45735.551388888889</v>
      </c>
      <c r="E279" s="1" t="s">
        <v>1704</v>
      </c>
      <c r="F279" s="1" t="s">
        <v>1704</v>
      </c>
      <c r="G279" s="1" t="s">
        <v>1189</v>
      </c>
      <c r="H279" s="2">
        <v>45734.789583333331</v>
      </c>
      <c r="I279" s="2">
        <v>45735.638194444444</v>
      </c>
      <c r="J279" s="1" t="s">
        <v>18</v>
      </c>
    </row>
    <row r="280" spans="1:10" hidden="1" x14ac:dyDescent="0.25">
      <c r="A280" s="1" t="str">
        <f>_xlfn.XLOOKUP(E280,Base!G:G,Base!C:C,"NOVO")</f>
        <v>PENDENTE</v>
      </c>
      <c r="B280" s="1">
        <v>3403463</v>
      </c>
      <c r="C280" s="1" t="s">
        <v>26</v>
      </c>
      <c r="D280" s="2">
        <v>45783.586805555555</v>
      </c>
      <c r="E280" s="1" t="s">
        <v>2202</v>
      </c>
      <c r="F280" s="1" t="s">
        <v>2202</v>
      </c>
      <c r="G280" s="1" t="s">
        <v>746</v>
      </c>
      <c r="H280" s="2">
        <v>45783.679166666669</v>
      </c>
      <c r="J280" s="1" t="s">
        <v>18</v>
      </c>
    </row>
    <row r="281" spans="1:10" hidden="1" x14ac:dyDescent="0.25">
      <c r="A281" s="1" t="str">
        <f>_xlfn.XLOOKUP(E281,Base!G:G,Base!C:C,"NOVO")</f>
        <v>PENDENTE</v>
      </c>
      <c r="B281" s="1">
        <v>3344690</v>
      </c>
      <c r="C281" s="1" t="s">
        <v>26</v>
      </c>
      <c r="D281" s="2">
        <v>45750.592361111114</v>
      </c>
      <c r="E281" s="1" t="s">
        <v>1705</v>
      </c>
      <c r="F281" s="1" t="s">
        <v>1705</v>
      </c>
      <c r="G281" s="1" t="s">
        <v>1060</v>
      </c>
      <c r="H281" s="2">
        <v>45750.681944444441</v>
      </c>
      <c r="J281" s="1" t="s">
        <v>18</v>
      </c>
    </row>
    <row r="282" spans="1:10" hidden="1" x14ac:dyDescent="0.25">
      <c r="A282" s="1" t="str">
        <f>_xlfn.XLOOKUP(E282,Base!G:G,Base!C:C,"NOVO")</f>
        <v>PENDENTE</v>
      </c>
      <c r="B282" s="1">
        <v>3326549</v>
      </c>
      <c r="C282" s="1" t="s">
        <v>26</v>
      </c>
      <c r="D282" s="2">
        <v>45744.441666666666</v>
      </c>
      <c r="E282" s="1" t="s">
        <v>1706</v>
      </c>
      <c r="F282" s="1" t="s">
        <v>1706</v>
      </c>
      <c r="G282" s="1" t="s">
        <v>83</v>
      </c>
      <c r="H282" s="2">
        <v>45742.757638888892</v>
      </c>
      <c r="I282" s="2">
        <v>45744.531944444447</v>
      </c>
      <c r="J282" s="1" t="s">
        <v>18</v>
      </c>
    </row>
    <row r="283" spans="1:10" hidden="1" x14ac:dyDescent="0.25">
      <c r="A283" s="1" t="str">
        <f>_xlfn.XLOOKUP(E283,Base!G:G,Base!C:C,"NOVO")</f>
        <v>PENDENTE</v>
      </c>
      <c r="B283" s="1">
        <v>3238068</v>
      </c>
      <c r="C283" s="1" t="s">
        <v>26</v>
      </c>
      <c r="D283" s="2">
        <v>45698.879166666666</v>
      </c>
      <c r="E283" s="1" t="s">
        <v>962</v>
      </c>
      <c r="F283" s="1" t="s">
        <v>962</v>
      </c>
      <c r="G283" s="1" t="s">
        <v>83</v>
      </c>
      <c r="H283" s="2">
        <v>45699.012499999997</v>
      </c>
      <c r="J283" s="1" t="s">
        <v>18</v>
      </c>
    </row>
    <row r="284" spans="1:10" hidden="1" x14ac:dyDescent="0.25">
      <c r="A284" s="1" t="str">
        <f>_xlfn.XLOOKUP(E284,Base!G:G,Base!C:C,"NOVO")</f>
        <v>PENDENTE</v>
      </c>
      <c r="B284" s="1">
        <v>3376609</v>
      </c>
      <c r="C284" s="1" t="s">
        <v>26</v>
      </c>
      <c r="D284" s="2">
        <v>45770.57916666667</v>
      </c>
      <c r="E284" s="1" t="s">
        <v>1970</v>
      </c>
      <c r="F284" s="1" t="s">
        <v>1970</v>
      </c>
      <c r="G284" s="1" t="s">
        <v>829</v>
      </c>
      <c r="H284" s="2">
        <v>45769.762499999997</v>
      </c>
      <c r="I284" s="2">
        <v>45770.669444444444</v>
      </c>
      <c r="J284" s="1" t="s">
        <v>18</v>
      </c>
    </row>
    <row r="285" spans="1:10" hidden="1" x14ac:dyDescent="0.25">
      <c r="A285" s="1" t="str">
        <f>_xlfn.XLOOKUP(E285,Base!G:G,Base!C:C,"NOVO")</f>
        <v>PENDENTE</v>
      </c>
      <c r="B285" s="1">
        <v>3377168</v>
      </c>
      <c r="C285" s="1" t="s">
        <v>26</v>
      </c>
      <c r="D285" s="2">
        <v>45769.744444444441</v>
      </c>
      <c r="E285" s="1" t="s">
        <v>1971</v>
      </c>
      <c r="F285" s="1" t="s">
        <v>1971</v>
      </c>
      <c r="G285" s="1" t="s">
        <v>746</v>
      </c>
      <c r="H285" s="2">
        <v>45769.835416666669</v>
      </c>
      <c r="J285" s="1" t="s">
        <v>18</v>
      </c>
    </row>
    <row r="286" spans="1:10" hidden="1" x14ac:dyDescent="0.25">
      <c r="A286" s="1" t="str">
        <f>_xlfn.XLOOKUP(E286,Base!G:G,Base!C:C,"NOVO")</f>
        <v>PENDENTE</v>
      </c>
      <c r="B286" s="1">
        <v>3293519</v>
      </c>
      <c r="C286" s="1" t="s">
        <v>26</v>
      </c>
      <c r="D286" s="2">
        <v>45728.421527777777</v>
      </c>
      <c r="E286" s="1" t="s">
        <v>1417</v>
      </c>
      <c r="F286" s="1" t="s">
        <v>1417</v>
      </c>
      <c r="G286" s="1" t="s">
        <v>1134</v>
      </c>
      <c r="H286" s="2">
        <v>45727.85833333333</v>
      </c>
      <c r="I286" s="2">
        <v>45728.511805555558</v>
      </c>
      <c r="J286" s="1" t="s">
        <v>18</v>
      </c>
    </row>
    <row r="287" spans="1:10" hidden="1" x14ac:dyDescent="0.25">
      <c r="A287" s="1" t="str">
        <f>_xlfn.XLOOKUP(E287,Base!G:G,Base!C:C,"NOVO")</f>
        <v>PENDENTE</v>
      </c>
      <c r="B287" s="1">
        <v>3345296</v>
      </c>
      <c r="C287" s="1" t="s">
        <v>26</v>
      </c>
      <c r="D287" s="2">
        <v>45750.651388888888</v>
      </c>
      <c r="E287" s="1" t="s">
        <v>1707</v>
      </c>
      <c r="F287" s="1" t="s">
        <v>1707</v>
      </c>
      <c r="G287" s="1" t="s">
        <v>410</v>
      </c>
      <c r="H287" s="2">
        <v>45750.741666666669</v>
      </c>
      <c r="J287" s="1" t="s">
        <v>18</v>
      </c>
    </row>
    <row r="288" spans="1:10" hidden="1" x14ac:dyDescent="0.25">
      <c r="A288" s="1" t="str">
        <f>_xlfn.XLOOKUP(E288,Base!G:G,Base!C:C,"NOVO")</f>
        <v>PENDENTE</v>
      </c>
      <c r="B288" s="1">
        <v>3280905</v>
      </c>
      <c r="C288" s="1" t="s">
        <v>26</v>
      </c>
      <c r="D288" s="2">
        <v>45722.283333333333</v>
      </c>
      <c r="E288" s="1" t="s">
        <v>1265</v>
      </c>
      <c r="F288" s="1" t="s">
        <v>1265</v>
      </c>
      <c r="G288" s="1" t="s">
        <v>1131</v>
      </c>
      <c r="H288" s="2">
        <v>45721.660416666666</v>
      </c>
      <c r="I288" s="2">
        <v>45722.419444444444</v>
      </c>
      <c r="J288" s="1" t="s">
        <v>18</v>
      </c>
    </row>
    <row r="289" spans="1:10" hidden="1" x14ac:dyDescent="0.25">
      <c r="A289" s="1" t="str">
        <f>_xlfn.XLOOKUP(E289,Base!G:G,Base!C:C,"NOVO")</f>
        <v>PENDENTE</v>
      </c>
      <c r="B289" s="1">
        <v>3378812</v>
      </c>
      <c r="C289" s="1" t="s">
        <v>26</v>
      </c>
      <c r="D289" s="2">
        <v>45770.6</v>
      </c>
      <c r="E289" s="1" t="s">
        <v>1972</v>
      </c>
      <c r="F289" s="1" t="s">
        <v>1972</v>
      </c>
      <c r="G289" s="1" t="s">
        <v>83</v>
      </c>
      <c r="H289" s="2">
        <v>45770.691666666666</v>
      </c>
      <c r="J289" s="1" t="s">
        <v>18</v>
      </c>
    </row>
    <row r="290" spans="1:10" hidden="1" x14ac:dyDescent="0.25">
      <c r="A290" s="1" t="str">
        <f>_xlfn.XLOOKUP(E290,Base!G:G,Base!C:C,"NOVO")</f>
        <v>PENDENTE</v>
      </c>
      <c r="B290" s="1">
        <v>3378806</v>
      </c>
      <c r="C290" s="1" t="s">
        <v>26</v>
      </c>
      <c r="D290" s="2">
        <v>45770.6</v>
      </c>
      <c r="E290" s="1" t="s">
        <v>1973</v>
      </c>
      <c r="F290" s="1" t="s">
        <v>1973</v>
      </c>
      <c r="G290" s="1" t="s">
        <v>1974</v>
      </c>
      <c r="H290" s="2">
        <v>45770.690972222219</v>
      </c>
      <c r="J290" s="1" t="s">
        <v>18</v>
      </c>
    </row>
    <row r="291" spans="1:10" hidden="1" x14ac:dyDescent="0.25">
      <c r="A291" s="1" t="str">
        <f>_xlfn.XLOOKUP(E291,Base!G:G,Base!C:C,"NOVO")</f>
        <v>PENDENTE</v>
      </c>
      <c r="B291" s="1">
        <v>3293506</v>
      </c>
      <c r="C291" s="1" t="s">
        <v>26</v>
      </c>
      <c r="D291" s="2">
        <v>45727.770833333336</v>
      </c>
      <c r="E291" s="1" t="s">
        <v>1418</v>
      </c>
      <c r="F291" s="1" t="s">
        <v>1418</v>
      </c>
      <c r="G291" s="1" t="s">
        <v>410</v>
      </c>
      <c r="H291" s="2">
        <v>45727.857638888891</v>
      </c>
      <c r="J291" s="1" t="s">
        <v>18</v>
      </c>
    </row>
    <row r="292" spans="1:10" hidden="1" x14ac:dyDescent="0.25">
      <c r="A292" s="1" t="str">
        <f>_xlfn.XLOOKUP(E292,Base!G:G,Base!C:C,"NOVO")</f>
        <v>PENDENTE</v>
      </c>
      <c r="B292" s="1">
        <v>3329549</v>
      </c>
      <c r="C292" s="1" t="s">
        <v>26</v>
      </c>
      <c r="D292" s="2">
        <v>45744.617361111108</v>
      </c>
      <c r="E292" s="1" t="s">
        <v>1708</v>
      </c>
      <c r="F292" s="1" t="s">
        <v>1708</v>
      </c>
      <c r="G292" s="1" t="s">
        <v>83</v>
      </c>
      <c r="H292" s="2">
        <v>45743.845833333333</v>
      </c>
      <c r="I292" s="2">
        <v>45744.711111111108</v>
      </c>
      <c r="J292" s="1" t="s">
        <v>18</v>
      </c>
    </row>
    <row r="293" spans="1:10" hidden="1" x14ac:dyDescent="0.25">
      <c r="A293" s="1" t="str">
        <f>_xlfn.XLOOKUP(E293,Base!G:G,Base!C:C,"NOVO")</f>
        <v>PENDENTE</v>
      </c>
      <c r="B293" s="1">
        <v>3293513</v>
      </c>
      <c r="C293" s="1" t="s">
        <v>26</v>
      </c>
      <c r="D293" s="2">
        <v>45727.770833333336</v>
      </c>
      <c r="E293" s="1" t="s">
        <v>1419</v>
      </c>
      <c r="F293" s="1" t="s">
        <v>1419</v>
      </c>
      <c r="G293" s="1" t="s">
        <v>707</v>
      </c>
      <c r="H293" s="2">
        <v>45727.85833333333</v>
      </c>
      <c r="J293" s="1" t="s">
        <v>18</v>
      </c>
    </row>
    <row r="294" spans="1:10" hidden="1" x14ac:dyDescent="0.25">
      <c r="A294" s="1" t="str">
        <f>_xlfn.XLOOKUP(E294,Base!G:G,Base!C:C,"NOVO")</f>
        <v>PENDENTE</v>
      </c>
      <c r="B294" s="1">
        <v>3413082</v>
      </c>
      <c r="C294" s="1" t="s">
        <v>26</v>
      </c>
      <c r="D294" s="2">
        <v>45786.754166666666</v>
      </c>
      <c r="E294" s="1" t="s">
        <v>2303</v>
      </c>
      <c r="F294" s="1" t="s">
        <v>2303</v>
      </c>
      <c r="G294" s="1" t="s">
        <v>83</v>
      </c>
      <c r="H294" s="2">
        <v>45786.847222222219</v>
      </c>
      <c r="J294" s="1" t="s">
        <v>18</v>
      </c>
    </row>
    <row r="295" spans="1:10" hidden="1" x14ac:dyDescent="0.25">
      <c r="A295" s="1" t="str">
        <f>_xlfn.XLOOKUP(E295,Base!G:G,Base!C:C,"NOVO")</f>
        <v>PENDENTE</v>
      </c>
      <c r="B295" s="1">
        <v>3385370</v>
      </c>
      <c r="C295" s="1" t="s">
        <v>26</v>
      </c>
      <c r="D295" s="2">
        <v>45772.72152777778</v>
      </c>
      <c r="E295" s="1" t="s">
        <v>1975</v>
      </c>
      <c r="F295" s="1" t="s">
        <v>1975</v>
      </c>
      <c r="G295" s="1" t="s">
        <v>83</v>
      </c>
      <c r="H295" s="2">
        <v>45772.816666666666</v>
      </c>
      <c r="J295" s="1" t="s">
        <v>18</v>
      </c>
    </row>
    <row r="296" spans="1:10" hidden="1" x14ac:dyDescent="0.25">
      <c r="A296" s="1" t="str">
        <f>_xlfn.XLOOKUP(E296,Base!G:G,Base!C:C,"NOVO")</f>
        <v>PENDENTE</v>
      </c>
      <c r="B296" s="1">
        <v>3296021</v>
      </c>
      <c r="C296" s="1" t="s">
        <v>26</v>
      </c>
      <c r="D296" s="2">
        <v>45729.372916666667</v>
      </c>
      <c r="E296" s="1" t="s">
        <v>1420</v>
      </c>
      <c r="F296" s="1" t="s">
        <v>1420</v>
      </c>
      <c r="G296" s="1" t="s">
        <v>1060</v>
      </c>
      <c r="H296" s="2">
        <v>45728.772222222222</v>
      </c>
      <c r="I296" s="2">
        <v>45729.460416666669</v>
      </c>
      <c r="J296" s="1" t="s">
        <v>18</v>
      </c>
    </row>
    <row r="297" spans="1:10" hidden="1" x14ac:dyDescent="0.25">
      <c r="A297" s="1" t="str">
        <f>_xlfn.XLOOKUP(E297,Base!G:G,Base!C:C,"NOVO")</f>
        <v>PENDENTE</v>
      </c>
      <c r="B297" s="1">
        <v>3295048</v>
      </c>
      <c r="C297" s="1" t="s">
        <v>26</v>
      </c>
      <c r="D297" s="2">
        <v>45728.57916666667</v>
      </c>
      <c r="E297" s="1" t="s">
        <v>1421</v>
      </c>
      <c r="F297" s="1" t="s">
        <v>1421</v>
      </c>
      <c r="G297" s="1" t="s">
        <v>408</v>
      </c>
      <c r="H297" s="2">
        <v>45728.668055555558</v>
      </c>
      <c r="J297" s="1" t="s">
        <v>18</v>
      </c>
    </row>
    <row r="298" spans="1:10" hidden="1" x14ac:dyDescent="0.25">
      <c r="A298" s="1" t="str">
        <f>_xlfn.XLOOKUP(E298,Base!G:G,Base!C:C,"NOVO")</f>
        <v>PENDENTE</v>
      </c>
      <c r="B298" s="1">
        <v>3295050</v>
      </c>
      <c r="C298" s="1" t="s">
        <v>26</v>
      </c>
      <c r="D298" s="2">
        <v>45728.57916666667</v>
      </c>
      <c r="E298" s="1" t="s">
        <v>1422</v>
      </c>
      <c r="F298" s="1" t="s">
        <v>1421</v>
      </c>
      <c r="G298" s="1" t="s">
        <v>1423</v>
      </c>
      <c r="H298" s="2">
        <v>45728.668055555558</v>
      </c>
      <c r="J298" s="1" t="s">
        <v>18</v>
      </c>
    </row>
    <row r="299" spans="1:10" hidden="1" x14ac:dyDescent="0.25">
      <c r="A299" s="1" t="str">
        <f>_xlfn.XLOOKUP(E299,Base!G:G,Base!C:C,"NOVO")</f>
        <v>PENDENTE</v>
      </c>
      <c r="B299" s="1">
        <v>3343804</v>
      </c>
      <c r="C299" s="1" t="s">
        <v>26</v>
      </c>
      <c r="D299" s="2">
        <v>45750.379166666666</v>
      </c>
      <c r="E299" s="1" t="s">
        <v>1709</v>
      </c>
      <c r="F299" s="1" t="s">
        <v>1709</v>
      </c>
      <c r="G299" s="1" t="s">
        <v>396</v>
      </c>
      <c r="H299" s="2">
        <v>45750.470138888886</v>
      </c>
      <c r="J299" s="1" t="s">
        <v>18</v>
      </c>
    </row>
    <row r="300" spans="1:10" hidden="1" x14ac:dyDescent="0.25">
      <c r="A300" s="1" t="str">
        <f>_xlfn.XLOOKUP(E300,Base!G:G,Base!C:C,"NOVO")</f>
        <v>PENDENTE</v>
      </c>
      <c r="B300" s="1">
        <v>3385405</v>
      </c>
      <c r="C300" s="1" t="s">
        <v>26</v>
      </c>
      <c r="D300" s="2">
        <v>45772.72152777778</v>
      </c>
      <c r="E300" s="1" t="s">
        <v>1976</v>
      </c>
      <c r="F300" s="1" t="s">
        <v>1976</v>
      </c>
      <c r="G300" s="1" t="s">
        <v>83</v>
      </c>
      <c r="H300" s="2">
        <v>45772.818055555559</v>
      </c>
      <c r="J300" s="1" t="s">
        <v>18</v>
      </c>
    </row>
    <row r="301" spans="1:10" hidden="1" x14ac:dyDescent="0.25">
      <c r="A301" s="1" t="str">
        <f>_xlfn.XLOOKUP(E301,Base!G:G,Base!C:C,"NOVO")</f>
        <v>PENDENTE</v>
      </c>
      <c r="B301" s="1">
        <v>3427903</v>
      </c>
      <c r="C301" s="1" t="s">
        <v>26</v>
      </c>
      <c r="D301" s="2">
        <v>45796.469444444447</v>
      </c>
      <c r="E301" s="1" t="s">
        <v>2394</v>
      </c>
      <c r="F301" s="1" t="s">
        <v>2394</v>
      </c>
      <c r="G301" s="1" t="s">
        <v>829</v>
      </c>
      <c r="H301" s="2">
        <v>45796.472222222219</v>
      </c>
      <c r="I301" s="2">
        <v>45796.561111111114</v>
      </c>
      <c r="J301" s="1" t="s">
        <v>18</v>
      </c>
    </row>
    <row r="302" spans="1:10" hidden="1" x14ac:dyDescent="0.25">
      <c r="A302" s="1" t="str">
        <f>_xlfn.XLOOKUP(E302,Base!G:G,Base!C:C,"NOVO")</f>
        <v>PENDENTE</v>
      </c>
      <c r="B302" s="1">
        <v>3338357</v>
      </c>
      <c r="C302" s="1" t="s">
        <v>26</v>
      </c>
      <c r="D302" s="2">
        <v>45748.759722222225</v>
      </c>
      <c r="E302" s="1" t="s">
        <v>1710</v>
      </c>
      <c r="F302" s="1" t="s">
        <v>1710</v>
      </c>
      <c r="G302" s="1" t="s">
        <v>1711</v>
      </c>
      <c r="H302" s="2">
        <v>45748.84652777778</v>
      </c>
      <c r="J302" s="1" t="s">
        <v>18</v>
      </c>
    </row>
    <row r="303" spans="1:10" hidden="1" x14ac:dyDescent="0.25">
      <c r="A303" s="1" t="str">
        <f>_xlfn.XLOOKUP(E303,Base!G:G,Base!C:C,"NOVO")</f>
        <v>PENDENTE</v>
      </c>
      <c r="B303" s="1">
        <v>3216577</v>
      </c>
      <c r="C303" s="1" t="s">
        <v>26</v>
      </c>
      <c r="D303" s="2">
        <v>45688.710416666669</v>
      </c>
      <c r="E303" s="1" t="s">
        <v>741</v>
      </c>
      <c r="F303" s="1" t="s">
        <v>741</v>
      </c>
      <c r="G303" s="1" t="s">
        <v>581</v>
      </c>
      <c r="H303" s="2">
        <v>45688.847916666666</v>
      </c>
      <c r="J303" s="1" t="s">
        <v>18</v>
      </c>
    </row>
    <row r="304" spans="1:10" x14ac:dyDescent="0.25">
      <c r="A304" s="1" t="str">
        <f>_xlfn.XLOOKUP(E304,Base!G:G,Base!C:C,"NOVO")</f>
        <v>PENDENTE</v>
      </c>
      <c r="B304" s="1">
        <v>3480264</v>
      </c>
      <c r="C304" s="1" t="s">
        <v>26</v>
      </c>
      <c r="D304" s="2">
        <v>45821.364583333336</v>
      </c>
      <c r="E304" s="1" t="s">
        <v>2694</v>
      </c>
      <c r="F304" s="1" t="s">
        <v>2694</v>
      </c>
      <c r="G304" s="1" t="s">
        <v>829</v>
      </c>
      <c r="H304" s="2">
        <v>45820.844444444447</v>
      </c>
      <c r="I304" s="2">
        <v>45821.449305555558</v>
      </c>
      <c r="J304" s="1" t="s">
        <v>18</v>
      </c>
    </row>
    <row r="305" spans="1:10" hidden="1" x14ac:dyDescent="0.25">
      <c r="A305" s="1" t="str">
        <f>_xlfn.XLOOKUP(E305,Base!G:G,Base!C:C,"NOVO")</f>
        <v>PENDENTE</v>
      </c>
      <c r="B305" s="1">
        <v>3370392</v>
      </c>
      <c r="C305" s="1" t="s">
        <v>26</v>
      </c>
      <c r="D305" s="2">
        <v>45763.762499999997</v>
      </c>
      <c r="E305" s="1" t="s">
        <v>1977</v>
      </c>
      <c r="F305" s="1" t="s">
        <v>1977</v>
      </c>
      <c r="G305" s="1" t="s">
        <v>169</v>
      </c>
      <c r="H305" s="2">
        <v>45763.855555555558</v>
      </c>
      <c r="J305" s="1" t="s">
        <v>18</v>
      </c>
    </row>
    <row r="306" spans="1:10" hidden="1" x14ac:dyDescent="0.25">
      <c r="A306" s="1" t="str">
        <f>_xlfn.XLOOKUP(E306,Base!G:G,Base!C:C,"NOVO")</f>
        <v>PENDENTE</v>
      </c>
      <c r="B306" s="1">
        <v>3352057</v>
      </c>
      <c r="C306" s="1" t="s">
        <v>26</v>
      </c>
      <c r="D306" s="2">
        <v>45754.746527777781</v>
      </c>
      <c r="E306" s="1" t="s">
        <v>1712</v>
      </c>
      <c r="F306" s="1" t="s">
        <v>1712</v>
      </c>
      <c r="G306" s="1" t="s">
        <v>409</v>
      </c>
      <c r="H306" s="2">
        <v>45754.834722222222</v>
      </c>
      <c r="J306" s="1" t="s">
        <v>18</v>
      </c>
    </row>
    <row r="307" spans="1:10" hidden="1" x14ac:dyDescent="0.25">
      <c r="A307" s="1" t="str">
        <f>_xlfn.XLOOKUP(E307,Base!G:G,Base!C:C,"NOVO")</f>
        <v>PENDENTE</v>
      </c>
      <c r="B307" s="1">
        <v>3391432</v>
      </c>
      <c r="C307" s="1" t="s">
        <v>26</v>
      </c>
      <c r="D307" s="2">
        <v>45776.75</v>
      </c>
      <c r="E307" s="1" t="s">
        <v>2203</v>
      </c>
      <c r="F307" s="1" t="s">
        <v>2203</v>
      </c>
      <c r="G307" s="1" t="s">
        <v>83</v>
      </c>
      <c r="H307" s="2">
        <v>45776.835416666669</v>
      </c>
      <c r="J307" s="1" t="s">
        <v>18</v>
      </c>
    </row>
    <row r="308" spans="1:10" hidden="1" x14ac:dyDescent="0.25">
      <c r="A308" s="1" t="str">
        <f>_xlfn.XLOOKUP(E308,Base!G:G,Base!C:C,"NOVO")</f>
        <v>PENDENTE</v>
      </c>
      <c r="B308" s="1">
        <v>3434163</v>
      </c>
      <c r="C308" s="1" t="s">
        <v>26</v>
      </c>
      <c r="D308" s="2">
        <v>45798.544444444444</v>
      </c>
      <c r="E308" s="1" t="s">
        <v>2395</v>
      </c>
      <c r="F308" s="1" t="s">
        <v>2395</v>
      </c>
      <c r="G308" s="1" t="s">
        <v>622</v>
      </c>
      <c r="H308" s="2">
        <v>45798.630555555559</v>
      </c>
      <c r="J308" s="1" t="s">
        <v>14</v>
      </c>
    </row>
    <row r="309" spans="1:10" hidden="1" x14ac:dyDescent="0.25">
      <c r="A309" s="1" t="str">
        <f>_xlfn.XLOOKUP(E309,Base!G:G,Base!C:C,"NOVO")</f>
        <v>PENDENTE</v>
      </c>
      <c r="B309" s="1">
        <v>3232094</v>
      </c>
      <c r="C309" s="1" t="s">
        <v>26</v>
      </c>
      <c r="D309" s="2">
        <v>45744.763194444444</v>
      </c>
      <c r="E309" s="1" t="s">
        <v>963</v>
      </c>
      <c r="F309" s="1" t="s">
        <v>963</v>
      </c>
      <c r="G309" s="1" t="s">
        <v>581</v>
      </c>
      <c r="H309" s="2">
        <v>45695.662499999999</v>
      </c>
      <c r="I309" s="2">
        <v>45744.86041666667</v>
      </c>
      <c r="J309" s="1" t="s">
        <v>18</v>
      </c>
    </row>
    <row r="310" spans="1:10" x14ac:dyDescent="0.25">
      <c r="A310" s="1" t="str">
        <f>_xlfn.XLOOKUP(E310,Base!G:G,Base!C:C,"NOVO")</f>
        <v>PENDENTE</v>
      </c>
      <c r="B310" s="1">
        <v>3473728</v>
      </c>
      <c r="C310" s="1" t="s">
        <v>26</v>
      </c>
      <c r="D310" s="2">
        <v>45818.39166666667</v>
      </c>
      <c r="E310" s="1" t="s">
        <v>2695</v>
      </c>
      <c r="F310" s="1" t="s">
        <v>2695</v>
      </c>
      <c r="G310" s="1" t="s">
        <v>396</v>
      </c>
      <c r="H310" s="2">
        <v>45818.484722222223</v>
      </c>
      <c r="J310" s="1" t="s">
        <v>18</v>
      </c>
    </row>
    <row r="311" spans="1:10" hidden="1" x14ac:dyDescent="0.25">
      <c r="A311" s="1" t="str">
        <f>_xlfn.XLOOKUP(E311,Base!G:G,Base!C:C,"NOVO")</f>
        <v>PENDENTE</v>
      </c>
      <c r="B311" s="1">
        <v>3429580</v>
      </c>
      <c r="C311" s="1" t="s">
        <v>26</v>
      </c>
      <c r="D311" s="2">
        <v>45797.294444444444</v>
      </c>
      <c r="E311" s="1" t="s">
        <v>2396</v>
      </c>
      <c r="F311" s="1" t="s">
        <v>2396</v>
      </c>
      <c r="G311" s="1" t="s">
        <v>578</v>
      </c>
      <c r="H311" s="2">
        <v>45796.76458333333</v>
      </c>
      <c r="I311" s="2">
        <v>45797.386805555558</v>
      </c>
      <c r="J311" s="1" t="s">
        <v>18</v>
      </c>
    </row>
    <row r="312" spans="1:10" hidden="1" x14ac:dyDescent="0.25">
      <c r="A312" s="1" t="str">
        <f>_xlfn.XLOOKUP(E312,Base!G:G,Base!C:C,"NOVO")</f>
        <v>PENDENTE</v>
      </c>
      <c r="B312" s="1">
        <v>3429581</v>
      </c>
      <c r="C312" s="1" t="s">
        <v>26</v>
      </c>
      <c r="D312" s="2">
        <v>45797.294444444444</v>
      </c>
      <c r="E312" s="1" t="s">
        <v>2397</v>
      </c>
      <c r="F312" s="1" t="s">
        <v>2396</v>
      </c>
      <c r="G312" s="1" t="s">
        <v>2398</v>
      </c>
      <c r="H312" s="2">
        <v>45796.76458333333</v>
      </c>
      <c r="I312" s="2">
        <v>45797.386805555558</v>
      </c>
      <c r="J312" s="1" t="s">
        <v>18</v>
      </c>
    </row>
    <row r="313" spans="1:10" x14ac:dyDescent="0.25">
      <c r="A313" s="1" t="str">
        <f>_xlfn.XLOOKUP(E313,Base!G:G,Base!C:C,"NOVO")</f>
        <v>PENDENTE</v>
      </c>
      <c r="B313" s="1">
        <v>3469376</v>
      </c>
      <c r="C313" s="1" t="s">
        <v>26</v>
      </c>
      <c r="D313" s="2">
        <v>45814.621527777781</v>
      </c>
      <c r="E313" s="1" t="s">
        <v>2696</v>
      </c>
      <c r="F313" s="1" t="s">
        <v>2696</v>
      </c>
      <c r="G313" s="1" t="s">
        <v>396</v>
      </c>
      <c r="H313" s="2">
        <v>45814.712500000001</v>
      </c>
      <c r="J313" s="1" t="s">
        <v>18</v>
      </c>
    </row>
    <row r="314" spans="1:10" hidden="1" x14ac:dyDescent="0.25">
      <c r="A314" s="1" t="str">
        <f>_xlfn.XLOOKUP(E314,Base!G:G,Base!C:C,"NOVO")</f>
        <v>PENDENTE</v>
      </c>
      <c r="B314" s="1">
        <v>3249132</v>
      </c>
      <c r="C314" s="1" t="s">
        <v>26</v>
      </c>
      <c r="D314" s="2">
        <v>45702.765277777777</v>
      </c>
      <c r="E314" s="1" t="s">
        <v>1088</v>
      </c>
      <c r="F314" s="1" t="s">
        <v>1088</v>
      </c>
      <c r="G314" s="1" t="s">
        <v>83</v>
      </c>
      <c r="H314" s="2">
        <v>45702.898611111108</v>
      </c>
      <c r="J314" s="1" t="s">
        <v>18</v>
      </c>
    </row>
    <row r="315" spans="1:10" hidden="1" x14ac:dyDescent="0.25">
      <c r="A315" s="1" t="str">
        <f>_xlfn.XLOOKUP(E315,Base!G:G,Base!C:C,"NOVO")</f>
        <v>PENDENTE</v>
      </c>
      <c r="B315" s="1">
        <v>3305920</v>
      </c>
      <c r="C315" s="1" t="s">
        <v>26</v>
      </c>
      <c r="D315" s="2">
        <v>45733.729861111111</v>
      </c>
      <c r="E315" s="1" t="s">
        <v>1424</v>
      </c>
      <c r="F315" s="1" t="s">
        <v>1424</v>
      </c>
      <c r="G315" s="1" t="s">
        <v>83</v>
      </c>
      <c r="H315" s="2">
        <v>45733.816666666666</v>
      </c>
      <c r="J315" s="1" t="s">
        <v>18</v>
      </c>
    </row>
    <row r="316" spans="1:10" hidden="1" x14ac:dyDescent="0.25">
      <c r="A316" s="1" t="str">
        <f>_xlfn.XLOOKUP(E316,Base!G:G,Base!C:C,"NOVO")</f>
        <v>PENDENTE</v>
      </c>
      <c r="B316" s="1">
        <v>3413080</v>
      </c>
      <c r="C316" s="1" t="s">
        <v>26</v>
      </c>
      <c r="D316" s="2">
        <v>45786.754166666666</v>
      </c>
      <c r="E316" s="1" t="s">
        <v>2304</v>
      </c>
      <c r="F316" s="1" t="s">
        <v>2304</v>
      </c>
      <c r="G316" s="1" t="s">
        <v>746</v>
      </c>
      <c r="H316" s="2">
        <v>45786.847222222219</v>
      </c>
      <c r="J316" s="1" t="s">
        <v>18</v>
      </c>
    </row>
    <row r="317" spans="1:10" hidden="1" x14ac:dyDescent="0.25">
      <c r="A317" s="1" t="str">
        <f>_xlfn.XLOOKUP(E317,Base!G:G,Base!C:C,"NOVO")</f>
        <v>PENDENTE</v>
      </c>
      <c r="B317" s="1">
        <v>3325180</v>
      </c>
      <c r="C317" s="1" t="s">
        <v>26</v>
      </c>
      <c r="D317" s="2">
        <v>45742.431944444441</v>
      </c>
      <c r="E317" s="1" t="s">
        <v>1713</v>
      </c>
      <c r="F317" s="1" t="s">
        <v>1713</v>
      </c>
      <c r="G317" s="1" t="s">
        <v>83</v>
      </c>
      <c r="H317" s="2">
        <v>45742.522916666669</v>
      </c>
      <c r="J317" s="1" t="s">
        <v>18</v>
      </c>
    </row>
    <row r="318" spans="1:10" hidden="1" x14ac:dyDescent="0.25">
      <c r="A318" s="1" t="str">
        <f>_xlfn.XLOOKUP(E318,Base!G:G,Base!C:C,"NOVO")</f>
        <v>PENDENTE</v>
      </c>
      <c r="B318" s="1">
        <v>3309006</v>
      </c>
      <c r="C318" s="1" t="s">
        <v>26</v>
      </c>
      <c r="D318" s="2">
        <v>45735.489583333336</v>
      </c>
      <c r="E318" s="1" t="s">
        <v>1714</v>
      </c>
      <c r="F318" s="1" t="s">
        <v>1714</v>
      </c>
      <c r="G318" s="1" t="s">
        <v>1054</v>
      </c>
      <c r="H318" s="2">
        <v>45734.784722222219</v>
      </c>
      <c r="I318" s="2">
        <v>45735.575694444444</v>
      </c>
      <c r="J318" s="1" t="s">
        <v>18</v>
      </c>
    </row>
    <row r="319" spans="1:10" hidden="1" x14ac:dyDescent="0.25">
      <c r="A319" s="1" t="str">
        <f>_xlfn.XLOOKUP(E319,Base!G:G,Base!C:C,"NOVO")</f>
        <v>PENDENTE</v>
      </c>
      <c r="B319" s="1">
        <v>3293548</v>
      </c>
      <c r="C319" s="1" t="s">
        <v>26</v>
      </c>
      <c r="D319" s="2">
        <v>45728.617361111108</v>
      </c>
      <c r="E319" s="1" t="s">
        <v>1426</v>
      </c>
      <c r="F319" s="1" t="s">
        <v>1426</v>
      </c>
      <c r="G319" s="1" t="s">
        <v>1060</v>
      </c>
      <c r="H319" s="2">
        <v>45727.86041666667</v>
      </c>
      <c r="I319" s="2">
        <v>45728.711111111108</v>
      </c>
      <c r="J319" s="1" t="s">
        <v>18</v>
      </c>
    </row>
    <row r="320" spans="1:10" x14ac:dyDescent="0.25">
      <c r="A320" s="1" t="str">
        <f>_xlfn.XLOOKUP(E320,Base!G:G,Base!C:C,"NOVO")</f>
        <v>PENDENTE</v>
      </c>
      <c r="B320" s="1">
        <v>3480234</v>
      </c>
      <c r="C320" s="1" t="s">
        <v>26</v>
      </c>
      <c r="D320" s="2">
        <v>45820.739583333336</v>
      </c>
      <c r="E320" s="1" t="s">
        <v>2697</v>
      </c>
      <c r="F320" s="1" t="s">
        <v>2697</v>
      </c>
      <c r="G320" s="1" t="s">
        <v>408</v>
      </c>
      <c r="H320" s="2">
        <v>45820.813194444447</v>
      </c>
      <c r="I320" s="2">
        <v>45820.823611111111</v>
      </c>
      <c r="J320" s="1" t="s">
        <v>18</v>
      </c>
    </row>
    <row r="321" spans="1:10" x14ac:dyDescent="0.25">
      <c r="A321" s="1" t="str">
        <f>_xlfn.XLOOKUP(E321,Base!G:G,Base!C:C,"NOVO")</f>
        <v>PENDENTE</v>
      </c>
      <c r="B321" s="1">
        <v>3480235</v>
      </c>
      <c r="C321" s="1" t="s">
        <v>26</v>
      </c>
      <c r="D321" s="2">
        <v>45820.739583333336</v>
      </c>
      <c r="E321" s="1" t="s">
        <v>2698</v>
      </c>
      <c r="F321" s="1" t="s">
        <v>2697</v>
      </c>
      <c r="G321" s="1" t="s">
        <v>1202</v>
      </c>
      <c r="H321" s="2">
        <v>45820.813194444447</v>
      </c>
      <c r="I321" s="2">
        <v>45820.823611111111</v>
      </c>
      <c r="J321" s="1" t="s">
        <v>18</v>
      </c>
    </row>
    <row r="322" spans="1:10" hidden="1" x14ac:dyDescent="0.25">
      <c r="A322" s="1" t="str">
        <f>_xlfn.XLOOKUP(E322,Base!G:G,Base!C:C,"NOVO")</f>
        <v>PENDENTE</v>
      </c>
      <c r="B322" s="1">
        <v>3413085</v>
      </c>
      <c r="C322" s="1" t="s">
        <v>26</v>
      </c>
      <c r="D322" s="2">
        <v>45786.754166666666</v>
      </c>
      <c r="E322" s="1" t="s">
        <v>2305</v>
      </c>
      <c r="F322" s="1" t="s">
        <v>2305</v>
      </c>
      <c r="G322" s="1" t="s">
        <v>83</v>
      </c>
      <c r="H322" s="2">
        <v>45786.847916666666</v>
      </c>
      <c r="J322" s="1" t="s">
        <v>18</v>
      </c>
    </row>
    <row r="323" spans="1:10" hidden="1" x14ac:dyDescent="0.25">
      <c r="A323" s="1" t="str">
        <f>_xlfn.XLOOKUP(E323,Base!G:G,Base!C:C,"NOVO")</f>
        <v>PENDENTE</v>
      </c>
      <c r="B323" s="1">
        <v>3293546</v>
      </c>
      <c r="C323" s="1" t="s">
        <v>26</v>
      </c>
      <c r="D323" s="2">
        <v>45727.770833333336</v>
      </c>
      <c r="E323" s="1" t="s">
        <v>1427</v>
      </c>
      <c r="F323" s="1" t="s">
        <v>1427</v>
      </c>
      <c r="G323" s="1" t="s">
        <v>83</v>
      </c>
      <c r="H323" s="2">
        <v>45727.86041666667</v>
      </c>
      <c r="J323" s="1" t="s">
        <v>18</v>
      </c>
    </row>
    <row r="324" spans="1:10" hidden="1" x14ac:dyDescent="0.25">
      <c r="A324" s="1" t="str">
        <f>_xlfn.XLOOKUP(E324,Base!G:G,Base!C:C,"NOVO")</f>
        <v>PENDENTE</v>
      </c>
      <c r="B324" s="1">
        <v>3362757</v>
      </c>
      <c r="C324" s="1" t="s">
        <v>26</v>
      </c>
      <c r="D324" s="2">
        <v>45760.638194444444</v>
      </c>
      <c r="E324" s="1" t="s">
        <v>1978</v>
      </c>
      <c r="F324" s="1" t="s">
        <v>1978</v>
      </c>
      <c r="G324" s="1" t="s">
        <v>83</v>
      </c>
      <c r="H324" s="2">
        <v>45760.734027777777</v>
      </c>
      <c r="J324" s="1" t="s">
        <v>18</v>
      </c>
    </row>
    <row r="325" spans="1:10" hidden="1" x14ac:dyDescent="0.25">
      <c r="A325" s="1" t="str">
        <f>_xlfn.XLOOKUP(E325,Base!G:G,Base!C:C,"NOVO")</f>
        <v>PENDENTE</v>
      </c>
      <c r="B325" s="1">
        <v>3293553</v>
      </c>
      <c r="C325" s="1" t="s">
        <v>26</v>
      </c>
      <c r="D325" s="2">
        <v>45728.404166666667</v>
      </c>
      <c r="E325" s="1" t="s">
        <v>1428</v>
      </c>
      <c r="F325" s="1" t="s">
        <v>1428</v>
      </c>
      <c r="G325" s="1" t="s">
        <v>1060</v>
      </c>
      <c r="H325" s="2">
        <v>45727.861111111109</v>
      </c>
      <c r="I325" s="2">
        <v>45728.490277777775</v>
      </c>
      <c r="J325" s="1" t="s">
        <v>18</v>
      </c>
    </row>
    <row r="326" spans="1:10" hidden="1" x14ac:dyDescent="0.25">
      <c r="A326" s="1" t="str">
        <f>_xlfn.XLOOKUP(E326,Base!G:G,Base!C:C,"NOVO")</f>
        <v>PENDENTE</v>
      </c>
      <c r="B326" s="1">
        <v>3293552</v>
      </c>
      <c r="C326" s="1" t="s">
        <v>26</v>
      </c>
      <c r="D326" s="2">
        <v>45728.421527777777</v>
      </c>
      <c r="E326" s="1" t="s">
        <v>1429</v>
      </c>
      <c r="F326" s="1" t="s">
        <v>1429</v>
      </c>
      <c r="G326" s="1" t="s">
        <v>1054</v>
      </c>
      <c r="H326" s="2">
        <v>45727.86041666667</v>
      </c>
      <c r="I326" s="2">
        <v>45728.512499999997</v>
      </c>
      <c r="J326" s="1" t="s">
        <v>18</v>
      </c>
    </row>
    <row r="327" spans="1:10" hidden="1" x14ac:dyDescent="0.25">
      <c r="A327" s="1" t="str">
        <f>_xlfn.XLOOKUP(E327,Base!G:G,Base!C:C,"NOVO")</f>
        <v>PENDENTE</v>
      </c>
      <c r="B327" s="1">
        <v>3429577</v>
      </c>
      <c r="C327" s="1" t="s">
        <v>26</v>
      </c>
      <c r="D327" s="2">
        <v>45796.676388888889</v>
      </c>
      <c r="E327" s="1" t="s">
        <v>2399</v>
      </c>
      <c r="F327" s="1" t="s">
        <v>2399</v>
      </c>
      <c r="G327" s="1" t="s">
        <v>746</v>
      </c>
      <c r="H327" s="2">
        <v>45796.763888888891</v>
      </c>
      <c r="J327" s="1" t="s">
        <v>18</v>
      </c>
    </row>
    <row r="328" spans="1:10" hidden="1" x14ac:dyDescent="0.25">
      <c r="A328" s="1" t="str">
        <f>_xlfn.XLOOKUP(E328,Base!G:G,Base!C:C,"NOVO")</f>
        <v>PENDENTE</v>
      </c>
      <c r="B328" s="1">
        <v>3309046</v>
      </c>
      <c r="C328" s="1" t="s">
        <v>26</v>
      </c>
      <c r="D328" s="2">
        <v>45735.55</v>
      </c>
      <c r="E328" s="1" t="s">
        <v>1715</v>
      </c>
      <c r="F328" s="1" t="s">
        <v>1715</v>
      </c>
      <c r="G328" s="1" t="s">
        <v>1054</v>
      </c>
      <c r="H328" s="2">
        <v>45734.788888888892</v>
      </c>
      <c r="I328" s="2">
        <v>45735.638194444444</v>
      </c>
      <c r="J328" s="1" t="s">
        <v>18</v>
      </c>
    </row>
    <row r="329" spans="1:10" hidden="1" x14ac:dyDescent="0.25">
      <c r="A329" s="1" t="str">
        <f>_xlfn.XLOOKUP(E329,Base!G:G,Base!C:C,"NOVO")</f>
        <v>PENDENTE</v>
      </c>
      <c r="B329" s="1">
        <v>3365996</v>
      </c>
      <c r="C329" s="1" t="s">
        <v>26</v>
      </c>
      <c r="D329" s="2">
        <v>45762.415972222225</v>
      </c>
      <c r="E329" s="1" t="s">
        <v>1979</v>
      </c>
      <c r="F329" s="1" t="s">
        <v>1979</v>
      </c>
      <c r="G329" s="1" t="s">
        <v>1857</v>
      </c>
      <c r="H329" s="2">
        <v>45762.502083333333</v>
      </c>
      <c r="J329" s="1" t="s">
        <v>18</v>
      </c>
    </row>
    <row r="330" spans="1:10" hidden="1" x14ac:dyDescent="0.25">
      <c r="A330" s="1" t="str">
        <f>_xlfn.XLOOKUP(E330,Base!G:G,Base!C:C,"NOVO")</f>
        <v>PENDENTE</v>
      </c>
      <c r="B330" s="1">
        <v>3271849</v>
      </c>
      <c r="C330" s="1" t="s">
        <v>26</v>
      </c>
      <c r="D330" s="2">
        <v>45715.267361111109</v>
      </c>
      <c r="E330" s="1" t="s">
        <v>1266</v>
      </c>
      <c r="F330" s="1" t="s">
        <v>1267</v>
      </c>
      <c r="G330" s="1" t="s">
        <v>64</v>
      </c>
      <c r="H330" s="2">
        <v>45715.397916666669</v>
      </c>
      <c r="J330" s="1" t="s">
        <v>1244</v>
      </c>
    </row>
    <row r="331" spans="1:10" hidden="1" x14ac:dyDescent="0.25">
      <c r="A331" s="1" t="str">
        <f>_xlfn.XLOOKUP(E331,Base!G:G,Base!C:C,"NOVO")</f>
        <v>PENDENTE</v>
      </c>
      <c r="B331" s="1">
        <v>3241014</v>
      </c>
      <c r="C331" s="1" t="s">
        <v>26</v>
      </c>
      <c r="D331" s="2">
        <v>45700.373611111114</v>
      </c>
      <c r="E331" s="1" t="s">
        <v>1089</v>
      </c>
      <c r="F331" s="1" t="s">
        <v>1090</v>
      </c>
      <c r="G331" s="1" t="s">
        <v>64</v>
      </c>
      <c r="H331" s="2">
        <v>45700.481944444444</v>
      </c>
      <c r="I331" s="2">
        <v>45700.502083333333</v>
      </c>
      <c r="J331" s="1" t="s">
        <v>1244</v>
      </c>
    </row>
    <row r="332" spans="1:10" hidden="1" x14ac:dyDescent="0.25">
      <c r="A332" s="1" t="str">
        <f>_xlfn.XLOOKUP(E332,Base!G:G,Base!C:C,"NOVO")</f>
        <v>PENDENTE</v>
      </c>
      <c r="B332" s="1">
        <v>3322173</v>
      </c>
      <c r="C332" s="1" t="s">
        <v>26</v>
      </c>
      <c r="D332" s="2">
        <v>45776.813888888886</v>
      </c>
      <c r="E332" s="1" t="s">
        <v>1716</v>
      </c>
      <c r="F332" s="1" t="s">
        <v>1716</v>
      </c>
      <c r="G332" s="1" t="s">
        <v>620</v>
      </c>
      <c r="H332" s="2">
        <v>45741.48333333333</v>
      </c>
      <c r="I332" s="2">
        <v>45776.908333333333</v>
      </c>
      <c r="J332" s="1" t="s">
        <v>18</v>
      </c>
    </row>
    <row r="333" spans="1:10" hidden="1" x14ac:dyDescent="0.25">
      <c r="A333" s="1" t="str">
        <f>_xlfn.XLOOKUP(E333,Base!G:G,Base!C:C,"NOVO")</f>
        <v>PENDENTE</v>
      </c>
      <c r="B333" s="1">
        <v>3436600</v>
      </c>
      <c r="C333" s="1" t="s">
        <v>26</v>
      </c>
      <c r="D333" s="2">
        <v>45799.500694444447</v>
      </c>
      <c r="E333" s="1" t="s">
        <v>2400</v>
      </c>
      <c r="F333" s="1" t="s">
        <v>2400</v>
      </c>
      <c r="G333" s="1" t="s">
        <v>83</v>
      </c>
      <c r="H333" s="2">
        <v>45799.586805555555</v>
      </c>
      <c r="J333" s="1" t="s">
        <v>18</v>
      </c>
    </row>
    <row r="334" spans="1:10" hidden="1" x14ac:dyDescent="0.25">
      <c r="A334" s="1" t="str">
        <f>_xlfn.XLOOKUP(E334,Base!G:G,Base!C:C,"NOVO")</f>
        <v>PENDENTE</v>
      </c>
      <c r="B334" s="1">
        <v>3260963</v>
      </c>
      <c r="C334" s="1" t="s">
        <v>26</v>
      </c>
      <c r="D334" s="2">
        <v>45709.469444444447</v>
      </c>
      <c r="E334" s="1" t="s">
        <v>1091</v>
      </c>
      <c r="F334" s="1" t="s">
        <v>1092</v>
      </c>
      <c r="G334" s="1" t="s">
        <v>1093</v>
      </c>
      <c r="H334" s="2">
        <v>45709.597916666666</v>
      </c>
      <c r="J334" s="1" t="s">
        <v>18</v>
      </c>
    </row>
    <row r="335" spans="1:10" hidden="1" x14ac:dyDescent="0.25">
      <c r="A335" s="1" t="str">
        <f>_xlfn.XLOOKUP(E335,Base!G:G,Base!C:C,"NOVO")</f>
        <v>PENDENTE</v>
      </c>
      <c r="B335" s="1">
        <v>3271846</v>
      </c>
      <c r="C335" s="1" t="s">
        <v>26</v>
      </c>
      <c r="D335" s="2">
        <v>45715.26666666667</v>
      </c>
      <c r="E335" s="1" t="s">
        <v>1268</v>
      </c>
      <c r="F335" s="1" t="s">
        <v>1269</v>
      </c>
      <c r="G335" s="1" t="s">
        <v>64</v>
      </c>
      <c r="H335" s="2">
        <v>45715.397916666669</v>
      </c>
      <c r="J335" s="1" t="s">
        <v>1244</v>
      </c>
    </row>
    <row r="336" spans="1:10" hidden="1" x14ac:dyDescent="0.25">
      <c r="A336" s="1" t="str">
        <f>_xlfn.XLOOKUP(E336,Base!G:G,Base!C:C,"NOVO")</f>
        <v>PENDENTE</v>
      </c>
      <c r="B336" s="1">
        <v>3336921</v>
      </c>
      <c r="C336" s="1" t="s">
        <v>26</v>
      </c>
      <c r="D336" s="2">
        <v>45749.654166666667</v>
      </c>
      <c r="E336" s="1" t="s">
        <v>1717</v>
      </c>
      <c r="F336" s="1" t="s">
        <v>1717</v>
      </c>
      <c r="G336" s="1" t="s">
        <v>83</v>
      </c>
      <c r="H336" s="2">
        <v>45748.542361111111</v>
      </c>
      <c r="I336" s="2">
        <v>45749.740277777775</v>
      </c>
      <c r="J336" s="1" t="s">
        <v>18</v>
      </c>
    </row>
    <row r="337" spans="1:10" hidden="1" x14ac:dyDescent="0.25">
      <c r="A337" s="1" t="str">
        <f>_xlfn.XLOOKUP(E337,Base!G:G,Base!C:C,"NOVO")</f>
        <v>PENDENTE</v>
      </c>
      <c r="B337" s="1">
        <v>3364744</v>
      </c>
      <c r="C337" s="1" t="s">
        <v>26</v>
      </c>
      <c r="D337" s="2">
        <v>45761.734722222223</v>
      </c>
      <c r="E337" s="1" t="s">
        <v>1980</v>
      </c>
      <c r="F337" s="1" t="s">
        <v>1980</v>
      </c>
      <c r="G337" s="1" t="s">
        <v>409</v>
      </c>
      <c r="H337" s="2">
        <v>45761.824305555558</v>
      </c>
      <c r="J337" s="1" t="s">
        <v>18</v>
      </c>
    </row>
    <row r="338" spans="1:10" hidden="1" x14ac:dyDescent="0.25">
      <c r="A338" s="1" t="str">
        <f>_xlfn.XLOOKUP(E338,Base!G:G,Base!C:C,"NOVO")</f>
        <v>PENDENTE</v>
      </c>
      <c r="B338" s="1">
        <v>3240679</v>
      </c>
      <c r="C338" s="1" t="s">
        <v>26</v>
      </c>
      <c r="D338" s="2">
        <v>45699.737500000003</v>
      </c>
      <c r="E338" s="1" t="s">
        <v>1094</v>
      </c>
      <c r="F338" s="1" t="s">
        <v>1094</v>
      </c>
      <c r="G338" s="1" t="s">
        <v>83</v>
      </c>
      <c r="H338" s="2">
        <v>45699.870138888888</v>
      </c>
      <c r="J338" s="1" t="s">
        <v>18</v>
      </c>
    </row>
    <row r="339" spans="1:10" hidden="1" x14ac:dyDescent="0.25">
      <c r="A339" s="1" t="str">
        <f>_xlfn.XLOOKUP(E339,Base!G:G,Base!C:C,"NOVO")</f>
        <v>PENDENTE</v>
      </c>
      <c r="B339" s="1">
        <v>3358719</v>
      </c>
      <c r="C339" s="1" t="s">
        <v>26</v>
      </c>
      <c r="D339" s="2">
        <v>45757.588194444441</v>
      </c>
      <c r="E339" s="1" t="s">
        <v>1981</v>
      </c>
      <c r="F339" s="1" t="s">
        <v>1981</v>
      </c>
      <c r="G339" s="1" t="s">
        <v>83</v>
      </c>
      <c r="H339" s="2">
        <v>45757.679861111108</v>
      </c>
      <c r="J339" s="1" t="s">
        <v>18</v>
      </c>
    </row>
    <row r="340" spans="1:10" hidden="1" x14ac:dyDescent="0.25">
      <c r="A340" s="1" t="str">
        <f>_xlfn.XLOOKUP(E340,Base!G:G,Base!C:C,"NOVO")</f>
        <v>PENDENTE</v>
      </c>
      <c r="B340" s="1">
        <v>3240680</v>
      </c>
      <c r="C340" s="1" t="s">
        <v>26</v>
      </c>
      <c r="D340" s="2">
        <v>45699.737500000003</v>
      </c>
      <c r="E340" s="1" t="s">
        <v>1095</v>
      </c>
      <c r="F340" s="1" t="s">
        <v>1095</v>
      </c>
      <c r="G340" s="1" t="s">
        <v>83</v>
      </c>
      <c r="H340" s="2">
        <v>45699.870138888888</v>
      </c>
      <c r="J340" s="1" t="s">
        <v>18</v>
      </c>
    </row>
    <row r="341" spans="1:10" x14ac:dyDescent="0.25">
      <c r="A341" s="1" t="str">
        <f>_xlfn.XLOOKUP(E341,Base!G:G,Base!C:C,"NOVO")</f>
        <v>PENDENTE</v>
      </c>
      <c r="B341" s="1">
        <v>3469554</v>
      </c>
      <c r="C341" s="1" t="s">
        <v>26</v>
      </c>
      <c r="D341" s="2">
        <v>45820.407638888886</v>
      </c>
      <c r="E341" s="1" t="s">
        <v>2699</v>
      </c>
      <c r="F341" s="1" t="s">
        <v>2699</v>
      </c>
      <c r="G341" s="1" t="s">
        <v>2700</v>
      </c>
      <c r="H341" s="2">
        <v>45814.762499999997</v>
      </c>
      <c r="I341" s="2">
        <v>45820.501388888886</v>
      </c>
      <c r="J341" s="1" t="s">
        <v>19</v>
      </c>
    </row>
    <row r="342" spans="1:10" hidden="1" x14ac:dyDescent="0.25">
      <c r="A342" s="1" t="str">
        <f>_xlfn.XLOOKUP(E342,Base!G:G,Base!C:C,"NOVO")</f>
        <v>PENDENTE</v>
      </c>
      <c r="B342" s="1">
        <v>3314860</v>
      </c>
      <c r="C342" s="1" t="s">
        <v>26</v>
      </c>
      <c r="D342" s="2">
        <v>45737.770138888889</v>
      </c>
      <c r="E342" s="1" t="s">
        <v>1718</v>
      </c>
      <c r="F342" s="1" t="s">
        <v>1718</v>
      </c>
      <c r="G342" s="1" t="s">
        <v>1189</v>
      </c>
      <c r="H342" s="2">
        <v>45736.79791666667</v>
      </c>
      <c r="I342" s="2">
        <v>45737.85833333333</v>
      </c>
      <c r="J342" s="1" t="s">
        <v>18</v>
      </c>
    </row>
    <row r="343" spans="1:10" hidden="1" x14ac:dyDescent="0.25">
      <c r="A343" s="1" t="str">
        <f>_xlfn.XLOOKUP(E343,Base!G:G,Base!C:C,"NOVO")</f>
        <v>PENDENTE</v>
      </c>
      <c r="B343" s="1">
        <v>3359377</v>
      </c>
      <c r="C343" s="1" t="s">
        <v>26</v>
      </c>
      <c r="D343" s="2">
        <v>45758.536111111112</v>
      </c>
      <c r="E343" s="1" t="s">
        <v>1982</v>
      </c>
      <c r="F343" s="1" t="s">
        <v>1982</v>
      </c>
      <c r="G343" s="1" t="s">
        <v>1131</v>
      </c>
      <c r="H343" s="2">
        <v>45757.845138888886</v>
      </c>
      <c r="I343" s="2">
        <v>45758.626388888886</v>
      </c>
      <c r="J343" s="1" t="s">
        <v>18</v>
      </c>
    </row>
    <row r="344" spans="1:10" hidden="1" x14ac:dyDescent="0.25">
      <c r="A344" s="1" t="str">
        <f>_xlfn.XLOOKUP(E344,Base!G:G,Base!C:C,"NOVO")</f>
        <v>PENDENTE</v>
      </c>
      <c r="B344" s="1">
        <v>3249544</v>
      </c>
      <c r="C344" s="1" t="s">
        <v>26</v>
      </c>
      <c r="D344" s="2">
        <v>45705.503472222219</v>
      </c>
      <c r="E344" s="1" t="s">
        <v>1096</v>
      </c>
      <c r="F344" s="1" t="s">
        <v>1096</v>
      </c>
      <c r="G344" s="1" t="s">
        <v>409</v>
      </c>
      <c r="H344" s="2">
        <v>45705.439583333333</v>
      </c>
      <c r="I344" s="2">
        <v>45705.640277777777</v>
      </c>
      <c r="J344" s="1" t="s">
        <v>18</v>
      </c>
    </row>
    <row r="345" spans="1:10" hidden="1" x14ac:dyDescent="0.25">
      <c r="A345" s="1" t="str">
        <f>_xlfn.XLOOKUP(E345,Base!G:G,Base!C:C,"NOVO")</f>
        <v>PENDENTE</v>
      </c>
      <c r="B345" s="1">
        <v>3370409</v>
      </c>
      <c r="C345" s="1" t="s">
        <v>26</v>
      </c>
      <c r="D345" s="2">
        <v>45763.762499999997</v>
      </c>
      <c r="E345" s="1" t="s">
        <v>1983</v>
      </c>
      <c r="F345" s="1" t="s">
        <v>1983</v>
      </c>
      <c r="G345" s="1" t="s">
        <v>83</v>
      </c>
      <c r="H345" s="2">
        <v>45763.857638888891</v>
      </c>
      <c r="J345" s="1" t="s">
        <v>18</v>
      </c>
    </row>
    <row r="346" spans="1:10" hidden="1" x14ac:dyDescent="0.25">
      <c r="A346" s="1" t="str">
        <f>_xlfn.XLOOKUP(E346,Base!G:G,Base!C:C,"NOVO")</f>
        <v>PENDENTE</v>
      </c>
      <c r="B346" s="1">
        <v>3245155</v>
      </c>
      <c r="C346" s="1" t="s">
        <v>26</v>
      </c>
      <c r="D346" s="2">
        <v>45702.335416666669</v>
      </c>
      <c r="E346" s="1" t="s">
        <v>1097</v>
      </c>
      <c r="F346" s="1" t="s">
        <v>1098</v>
      </c>
      <c r="G346" s="1" t="s">
        <v>64</v>
      </c>
      <c r="H346" s="2">
        <v>45701.783333333333</v>
      </c>
      <c r="I346" s="2">
        <v>45702.462500000001</v>
      </c>
      <c r="J346" s="1" t="s">
        <v>1244</v>
      </c>
    </row>
    <row r="347" spans="1:10" hidden="1" x14ac:dyDescent="0.25">
      <c r="A347" s="1" t="str">
        <f>_xlfn.XLOOKUP(E347,Base!G:G,Base!C:C,"NOVO")</f>
        <v>PENDENTE</v>
      </c>
      <c r="B347" s="1">
        <v>3234556</v>
      </c>
      <c r="C347" s="1" t="s">
        <v>26</v>
      </c>
      <c r="D347" s="2">
        <v>45698.236111111109</v>
      </c>
      <c r="E347" s="1" t="s">
        <v>964</v>
      </c>
      <c r="F347" s="1" t="s">
        <v>964</v>
      </c>
      <c r="G347" s="1" t="s">
        <v>394</v>
      </c>
      <c r="H347" s="2">
        <v>45698.366666666669</v>
      </c>
      <c r="J347" s="1" t="s">
        <v>18</v>
      </c>
    </row>
    <row r="348" spans="1:10" hidden="1" x14ac:dyDescent="0.25">
      <c r="A348" s="1" t="str">
        <f>_xlfn.XLOOKUP(E348,Base!G:G,Base!C:C,"NOVO")</f>
        <v>PENDENTE</v>
      </c>
      <c r="B348" s="1">
        <v>3225198</v>
      </c>
      <c r="C348" s="1" t="s">
        <v>26</v>
      </c>
      <c r="D348" s="2">
        <v>45693.396527777775</v>
      </c>
      <c r="E348" s="1" t="s">
        <v>965</v>
      </c>
      <c r="F348" s="1" t="s">
        <v>965</v>
      </c>
      <c r="G348" s="1" t="s">
        <v>394</v>
      </c>
      <c r="H348" s="2">
        <v>45693.404861111114</v>
      </c>
      <c r="I348" s="2">
        <v>45694.898611111108</v>
      </c>
      <c r="J348" s="1" t="s">
        <v>18</v>
      </c>
    </row>
    <row r="349" spans="1:10" hidden="1" x14ac:dyDescent="0.25">
      <c r="A349" s="1" t="str">
        <f>_xlfn.XLOOKUP(E349,Base!G:G,Base!C:C,"NOVO")</f>
        <v>PENDENTE</v>
      </c>
      <c r="B349" s="1">
        <v>3451836</v>
      </c>
      <c r="C349" s="1" t="s">
        <v>26</v>
      </c>
      <c r="D349" s="2">
        <v>45806.697916666664</v>
      </c>
      <c r="E349" s="1" t="s">
        <v>2549</v>
      </c>
      <c r="F349" s="1" t="s">
        <v>2549</v>
      </c>
      <c r="G349" s="1" t="s">
        <v>707</v>
      </c>
      <c r="H349" s="2">
        <v>45806.782638888886</v>
      </c>
      <c r="J349" s="1" t="s">
        <v>18</v>
      </c>
    </row>
    <row r="350" spans="1:10" hidden="1" x14ac:dyDescent="0.25">
      <c r="A350" s="1" t="str">
        <f>_xlfn.XLOOKUP(E350,Base!G:G,Base!C:C,"NOVO")</f>
        <v>PENDENTE</v>
      </c>
      <c r="B350" s="1">
        <v>3428169</v>
      </c>
      <c r="C350" s="1" t="s">
        <v>26</v>
      </c>
      <c r="D350" s="2">
        <v>45796.469444444447</v>
      </c>
      <c r="E350" s="1" t="s">
        <v>2401</v>
      </c>
      <c r="F350" s="1" t="s">
        <v>2401</v>
      </c>
      <c r="G350" s="1" t="s">
        <v>620</v>
      </c>
      <c r="H350" s="2">
        <v>45796.560416666667</v>
      </c>
      <c r="J350" s="1" t="s">
        <v>18</v>
      </c>
    </row>
    <row r="351" spans="1:10" hidden="1" x14ac:dyDescent="0.25">
      <c r="A351" s="1" t="str">
        <f>_xlfn.XLOOKUP(E351,Base!G:G,Base!C:C,"NOVO")</f>
        <v>PENDENTE</v>
      </c>
      <c r="B351" s="1">
        <v>3270053</v>
      </c>
      <c r="C351" s="1" t="s">
        <v>26</v>
      </c>
      <c r="D351" s="2">
        <v>45714.54583333333</v>
      </c>
      <c r="E351" s="1" t="s">
        <v>1270</v>
      </c>
      <c r="F351" s="1" t="s">
        <v>1270</v>
      </c>
      <c r="G351" s="1" t="s">
        <v>1136</v>
      </c>
      <c r="H351" s="2">
        <v>45714.574305555558</v>
      </c>
      <c r="I351" s="2">
        <v>45714.678472222222</v>
      </c>
      <c r="J351" s="1" t="s">
        <v>18</v>
      </c>
    </row>
    <row r="352" spans="1:10" hidden="1" x14ac:dyDescent="0.25">
      <c r="A352" s="1" t="str">
        <f>_xlfn.XLOOKUP(E352,Base!G:G,Base!C:C,"NOVO")</f>
        <v>PENDENTE</v>
      </c>
      <c r="B352" s="1">
        <v>3402793</v>
      </c>
      <c r="C352" s="1" t="s">
        <v>26</v>
      </c>
      <c r="D352" s="2">
        <v>45783.370833333334</v>
      </c>
      <c r="E352" s="1" t="s">
        <v>2204</v>
      </c>
      <c r="F352" s="1" t="s">
        <v>2204</v>
      </c>
      <c r="G352" s="1" t="s">
        <v>396</v>
      </c>
      <c r="H352" s="2">
        <v>45783.461111111108</v>
      </c>
      <c r="J352" s="1" t="s">
        <v>18</v>
      </c>
    </row>
    <row r="353" spans="1:10" hidden="1" x14ac:dyDescent="0.25">
      <c r="A353" s="1" t="str">
        <f>_xlfn.XLOOKUP(E353,Base!G:G,Base!C:C,"NOVO")</f>
        <v>PENDENTE</v>
      </c>
      <c r="B353" s="1">
        <v>3402794</v>
      </c>
      <c r="C353" s="1" t="s">
        <v>26</v>
      </c>
      <c r="D353" s="2">
        <v>45783.370833333334</v>
      </c>
      <c r="E353" s="1" t="s">
        <v>2205</v>
      </c>
      <c r="F353" s="1" t="s">
        <v>2204</v>
      </c>
      <c r="G353" s="1" t="s">
        <v>2206</v>
      </c>
      <c r="H353" s="2">
        <v>45783.461111111108</v>
      </c>
      <c r="J353" s="1" t="s">
        <v>18</v>
      </c>
    </row>
    <row r="354" spans="1:10" x14ac:dyDescent="0.25">
      <c r="A354" s="1" t="str">
        <f>_xlfn.XLOOKUP(E354,Base!G:G,Base!C:C,"NOVO")</f>
        <v>PENDENTE</v>
      </c>
      <c r="B354" s="1">
        <v>3468861</v>
      </c>
      <c r="C354" s="1" t="s">
        <v>26</v>
      </c>
      <c r="D354" s="2">
        <v>45814.548611111109</v>
      </c>
      <c r="E354" s="1" t="s">
        <v>2701</v>
      </c>
      <c r="F354" s="1" t="s">
        <v>2701</v>
      </c>
      <c r="G354" s="1" t="s">
        <v>652</v>
      </c>
      <c r="H354" s="2">
        <v>45814.636805555558</v>
      </c>
      <c r="J354" s="1" t="s">
        <v>18</v>
      </c>
    </row>
    <row r="355" spans="1:10" hidden="1" x14ac:dyDescent="0.25">
      <c r="A355" s="1" t="str">
        <f>_xlfn.XLOOKUP(E355,Base!G:G,Base!C:C,"NOVO")</f>
        <v>PENDENTE</v>
      </c>
      <c r="B355" s="1">
        <v>3392449</v>
      </c>
      <c r="C355" s="1" t="s">
        <v>26</v>
      </c>
      <c r="D355" s="2">
        <v>45777.381944444445</v>
      </c>
      <c r="E355" s="1" t="s">
        <v>2207</v>
      </c>
      <c r="F355" s="1" t="s">
        <v>2207</v>
      </c>
      <c r="G355" s="1" t="s">
        <v>396</v>
      </c>
      <c r="H355" s="2">
        <v>45777.472222222219</v>
      </c>
      <c r="J355" s="1" t="s">
        <v>18</v>
      </c>
    </row>
    <row r="356" spans="1:10" hidden="1" x14ac:dyDescent="0.25">
      <c r="A356" s="1" t="str">
        <f>_xlfn.XLOOKUP(E356,Base!G:G,Base!C:C,"NOVO")</f>
        <v>PENDENTE</v>
      </c>
      <c r="B356" s="1">
        <v>3290261</v>
      </c>
      <c r="C356" s="1" t="s">
        <v>26</v>
      </c>
      <c r="D356" s="2">
        <v>45726.724305555559</v>
      </c>
      <c r="E356" s="1" t="s">
        <v>1430</v>
      </c>
      <c r="F356" s="1" t="s">
        <v>1431</v>
      </c>
      <c r="G356" s="1" t="s">
        <v>64</v>
      </c>
      <c r="H356" s="2">
        <v>45726.814583333333</v>
      </c>
      <c r="J356" s="1" t="s">
        <v>1244</v>
      </c>
    </row>
    <row r="357" spans="1:10" hidden="1" x14ac:dyDescent="0.25">
      <c r="A357" s="1" t="str">
        <f>_xlfn.XLOOKUP(E357,Base!G:G,Base!C:C,"NOVO")</f>
        <v>PENDENTE</v>
      </c>
      <c r="B357" s="1">
        <v>3271843</v>
      </c>
      <c r="C357" s="1" t="s">
        <v>26</v>
      </c>
      <c r="D357" s="2">
        <v>45715.265972222223</v>
      </c>
      <c r="E357" s="1" t="s">
        <v>1271</v>
      </c>
      <c r="F357" s="1" t="s">
        <v>1272</v>
      </c>
      <c r="G357" s="1" t="s">
        <v>64</v>
      </c>
      <c r="H357" s="2">
        <v>45715.397916666669</v>
      </c>
      <c r="J357" s="1" t="s">
        <v>1244</v>
      </c>
    </row>
    <row r="358" spans="1:10" hidden="1" x14ac:dyDescent="0.25">
      <c r="A358" s="1" t="str">
        <f>_xlfn.XLOOKUP(E358,Base!G:G,Base!C:C,"NOVO")</f>
        <v>PENDENTE</v>
      </c>
      <c r="B358" s="1">
        <v>3370410</v>
      </c>
      <c r="C358" s="1" t="s">
        <v>26</v>
      </c>
      <c r="D358" s="2">
        <v>45763.762499999997</v>
      </c>
      <c r="E358" s="1" t="s">
        <v>1984</v>
      </c>
      <c r="F358" s="1" t="s">
        <v>1984</v>
      </c>
      <c r="G358" s="1" t="s">
        <v>396</v>
      </c>
      <c r="H358" s="2">
        <v>45763.857638888891</v>
      </c>
      <c r="J358" s="1" t="s">
        <v>18</v>
      </c>
    </row>
    <row r="359" spans="1:10" hidden="1" x14ac:dyDescent="0.25">
      <c r="A359" s="1" t="str">
        <f>_xlfn.XLOOKUP(E359,Base!G:G,Base!C:C,"NOVO")</f>
        <v>PENDENTE</v>
      </c>
      <c r="B359" s="1">
        <v>3282128</v>
      </c>
      <c r="C359" s="1" t="s">
        <v>26</v>
      </c>
      <c r="D359" s="2">
        <v>45722.275694444441</v>
      </c>
      <c r="E359" s="1" t="s">
        <v>1273</v>
      </c>
      <c r="F359" s="1" t="s">
        <v>1274</v>
      </c>
      <c r="G359" s="1" t="s">
        <v>64</v>
      </c>
      <c r="H359" s="2">
        <v>45722.409722222219</v>
      </c>
      <c r="J359" s="1" t="s">
        <v>1244</v>
      </c>
    </row>
    <row r="360" spans="1:10" hidden="1" x14ac:dyDescent="0.25">
      <c r="A360" s="1" t="str">
        <f>_xlfn.XLOOKUP(E360,Base!G:G,Base!C:C,"NOVO")</f>
        <v>PENDENTE</v>
      </c>
      <c r="B360" s="1">
        <v>3330248</v>
      </c>
      <c r="C360" s="1" t="s">
        <v>26</v>
      </c>
      <c r="D360" s="2">
        <v>45776.813888888886</v>
      </c>
      <c r="E360" s="1" t="s">
        <v>1719</v>
      </c>
      <c r="F360" s="1" t="s">
        <v>1719</v>
      </c>
      <c r="G360" s="1" t="s">
        <v>620</v>
      </c>
      <c r="H360" s="2">
        <v>45744.336111111108</v>
      </c>
      <c r="I360" s="2">
        <v>45776.907638888886</v>
      </c>
      <c r="J360" s="1" t="s">
        <v>18</v>
      </c>
    </row>
    <row r="361" spans="1:10" hidden="1" x14ac:dyDescent="0.25">
      <c r="A361" s="1" t="str">
        <f>_xlfn.XLOOKUP(E361,Base!G:G,Base!C:C,"NOVO")</f>
        <v>PENDENTE</v>
      </c>
      <c r="B361" s="1">
        <v>3281901</v>
      </c>
      <c r="C361" s="1" t="s">
        <v>26</v>
      </c>
      <c r="D361" s="2">
        <v>45734.696527777778</v>
      </c>
      <c r="E361" s="1" t="s">
        <v>1275</v>
      </c>
      <c r="F361" s="1" t="s">
        <v>1275</v>
      </c>
      <c r="G361" s="1" t="s">
        <v>1189</v>
      </c>
      <c r="H361" s="2">
        <v>45721.892361111109</v>
      </c>
      <c r="I361" s="2">
        <v>45734.787499999999</v>
      </c>
      <c r="J361" s="1" t="s">
        <v>18</v>
      </c>
    </row>
    <row r="362" spans="1:10" hidden="1" x14ac:dyDescent="0.25">
      <c r="A362" s="1" t="str">
        <f>_xlfn.XLOOKUP(E362,Base!G:G,Base!C:C,"NOVO")</f>
        <v>PENDENTE</v>
      </c>
      <c r="B362" s="1">
        <v>3293499</v>
      </c>
      <c r="C362" s="1" t="s">
        <v>26</v>
      </c>
      <c r="D362" s="2">
        <v>45728.603472222225</v>
      </c>
      <c r="E362" s="1" t="s">
        <v>1432</v>
      </c>
      <c r="F362" s="1" t="s">
        <v>1432</v>
      </c>
      <c r="G362" s="1" t="s">
        <v>1189</v>
      </c>
      <c r="H362" s="2">
        <v>45727.856249999997</v>
      </c>
      <c r="I362" s="2">
        <v>45728.689583333333</v>
      </c>
      <c r="J362" s="1" t="s">
        <v>18</v>
      </c>
    </row>
    <row r="363" spans="1:10" hidden="1" x14ac:dyDescent="0.25">
      <c r="A363" s="1" t="str">
        <f>_xlfn.XLOOKUP(E363,Base!G:G,Base!C:C,"NOVO")</f>
        <v>PENDENTE</v>
      </c>
      <c r="B363" s="1">
        <v>3447992</v>
      </c>
      <c r="C363" s="1" t="s">
        <v>26</v>
      </c>
      <c r="D363" s="2">
        <v>45805.647916666669</v>
      </c>
      <c r="E363" s="1" t="s">
        <v>2402</v>
      </c>
      <c r="F363" s="1" t="s">
        <v>2402</v>
      </c>
      <c r="G363" s="1" t="s">
        <v>2403</v>
      </c>
      <c r="H363" s="2">
        <v>45805.492361111108</v>
      </c>
      <c r="I363" s="2">
        <v>45805.73333333333</v>
      </c>
      <c r="J363" s="1" t="s">
        <v>18</v>
      </c>
    </row>
    <row r="364" spans="1:10" hidden="1" x14ac:dyDescent="0.25">
      <c r="A364" s="1" t="str">
        <f>_xlfn.XLOOKUP(E364,Base!G:G,Base!C:C,"NOVO")</f>
        <v>PENDENTE</v>
      </c>
      <c r="B364" s="1">
        <v>3293502</v>
      </c>
      <c r="C364" s="1" t="s">
        <v>26</v>
      </c>
      <c r="D364" s="2">
        <v>45727.770833333336</v>
      </c>
      <c r="E364" s="1" t="s">
        <v>1433</v>
      </c>
      <c r="F364" s="1" t="s">
        <v>1433</v>
      </c>
      <c r="G364" s="1" t="s">
        <v>83</v>
      </c>
      <c r="H364" s="2">
        <v>45727.856944444444</v>
      </c>
      <c r="J364" s="1" t="s">
        <v>18</v>
      </c>
    </row>
    <row r="365" spans="1:10" x14ac:dyDescent="0.25">
      <c r="A365" s="1" t="str">
        <f>_xlfn.XLOOKUP(E365,Base!G:G,Base!C:C,"NOVO")</f>
        <v>PENDENTE</v>
      </c>
      <c r="B365" s="1">
        <v>3468433</v>
      </c>
      <c r="C365" s="1" t="s">
        <v>26</v>
      </c>
      <c r="D365" s="2">
        <v>45814.484027777777</v>
      </c>
      <c r="E365" s="1" t="s">
        <v>2702</v>
      </c>
      <c r="F365" s="1" t="s">
        <v>2702</v>
      </c>
      <c r="G365" s="1" t="s">
        <v>652</v>
      </c>
      <c r="H365" s="2">
        <v>45814.574305555558</v>
      </c>
      <c r="J365" s="1" t="s">
        <v>18</v>
      </c>
    </row>
    <row r="366" spans="1:10" hidden="1" x14ac:dyDescent="0.25">
      <c r="A366" s="1" t="str">
        <f>_xlfn.XLOOKUP(E366,Base!G:G,Base!C:C,"NOVO")</f>
        <v>PENDENTE</v>
      </c>
      <c r="B366" s="1">
        <v>3287133</v>
      </c>
      <c r="C366" s="1" t="s">
        <v>26</v>
      </c>
      <c r="D366" s="2">
        <v>45727.404166666667</v>
      </c>
      <c r="E366" s="1" t="s">
        <v>1434</v>
      </c>
      <c r="F366" s="1" t="s">
        <v>1434</v>
      </c>
      <c r="G366" s="1" t="s">
        <v>1054</v>
      </c>
      <c r="H366" s="2">
        <v>45723.870833333334</v>
      </c>
      <c r="I366" s="2">
        <v>45727.496527777781</v>
      </c>
      <c r="J366" s="1" t="s">
        <v>18</v>
      </c>
    </row>
    <row r="367" spans="1:10" hidden="1" x14ac:dyDescent="0.25">
      <c r="A367" s="1" t="str">
        <f>_xlfn.XLOOKUP(E367,Base!G:G,Base!C:C,"NOVO")</f>
        <v>PENDENTE</v>
      </c>
      <c r="B367" s="1">
        <v>3290322</v>
      </c>
      <c r="C367" s="1" t="s">
        <v>26</v>
      </c>
      <c r="D367" s="2">
        <v>45726.756944444445</v>
      </c>
      <c r="E367" s="1" t="s">
        <v>1435</v>
      </c>
      <c r="F367" s="1" t="s">
        <v>1435</v>
      </c>
      <c r="G367" s="1" t="s">
        <v>83</v>
      </c>
      <c r="H367" s="2">
        <v>45726.850694444445</v>
      </c>
      <c r="J367" s="1" t="s">
        <v>18</v>
      </c>
    </row>
    <row r="368" spans="1:10" hidden="1" x14ac:dyDescent="0.25">
      <c r="A368" s="1" t="str">
        <f>_xlfn.XLOOKUP(E368,Base!G:G,Base!C:C,"NOVO")</f>
        <v>PENDENTE</v>
      </c>
      <c r="B368" s="1">
        <v>3318330</v>
      </c>
      <c r="C368" s="1" t="s">
        <v>26</v>
      </c>
      <c r="D368" s="2">
        <v>45737.770138888889</v>
      </c>
      <c r="E368" s="1" t="s">
        <v>1720</v>
      </c>
      <c r="F368" s="1" t="s">
        <v>1720</v>
      </c>
      <c r="G368" s="1" t="s">
        <v>620</v>
      </c>
      <c r="H368" s="2">
        <v>45737.86041666667</v>
      </c>
      <c r="J368" s="1" t="s">
        <v>18</v>
      </c>
    </row>
    <row r="369" spans="1:10" hidden="1" x14ac:dyDescent="0.25">
      <c r="A369" s="1" t="str">
        <f>_xlfn.XLOOKUP(E369,Base!G:G,Base!C:C,"NOVO")</f>
        <v>PENDENTE</v>
      </c>
      <c r="B369" s="1">
        <v>3341528</v>
      </c>
      <c r="C369" s="1" t="s">
        <v>26</v>
      </c>
      <c r="D369" s="2">
        <v>45749.5</v>
      </c>
      <c r="E369" s="1" t="s">
        <v>1721</v>
      </c>
      <c r="F369" s="1" t="s">
        <v>1721</v>
      </c>
      <c r="G369" s="1" t="s">
        <v>707</v>
      </c>
      <c r="H369" s="2">
        <v>45749.587500000001</v>
      </c>
      <c r="J369" s="1" t="s">
        <v>18</v>
      </c>
    </row>
    <row r="370" spans="1:10" hidden="1" x14ac:dyDescent="0.25">
      <c r="A370" s="1" t="str">
        <f>_xlfn.XLOOKUP(E370,Base!G:G,Base!C:C,"NOVO")</f>
        <v>PENDENTE</v>
      </c>
      <c r="B370" s="1">
        <v>3328866</v>
      </c>
      <c r="C370" s="1" t="s">
        <v>26</v>
      </c>
      <c r="D370" s="2">
        <v>45743.359722222223</v>
      </c>
      <c r="E370" s="1" t="s">
        <v>1722</v>
      </c>
      <c r="F370" s="1" t="s">
        <v>1722</v>
      </c>
      <c r="G370" s="1" t="s">
        <v>408</v>
      </c>
      <c r="H370" s="2">
        <v>45743.703472222223</v>
      </c>
      <c r="J370" s="1" t="s">
        <v>18</v>
      </c>
    </row>
    <row r="371" spans="1:10" hidden="1" x14ac:dyDescent="0.25">
      <c r="A371" s="1" t="str">
        <f>_xlfn.XLOOKUP(E371,Base!G:G,Base!C:C,"NOVO")</f>
        <v>PENDENTE</v>
      </c>
      <c r="B371" s="1">
        <v>3245977</v>
      </c>
      <c r="C371" s="1" t="s">
        <v>26</v>
      </c>
      <c r="D371" s="2">
        <v>45702.411805555559</v>
      </c>
      <c r="E371" s="1" t="s">
        <v>1100</v>
      </c>
      <c r="F371" s="1" t="s">
        <v>1100</v>
      </c>
      <c r="G371" s="1" t="s">
        <v>1101</v>
      </c>
      <c r="H371" s="2">
        <v>45702.03402777778</v>
      </c>
      <c r="I371" s="2">
        <v>45702.543749999997</v>
      </c>
      <c r="J371" s="1" t="s">
        <v>18</v>
      </c>
    </row>
    <row r="372" spans="1:10" x14ac:dyDescent="0.25">
      <c r="A372" s="1" t="str">
        <f>_xlfn.XLOOKUP(E372,Base!G:G,Base!C:C,"NOVO")</f>
        <v>PENDENTE</v>
      </c>
      <c r="B372" s="1">
        <v>3471294</v>
      </c>
      <c r="C372" s="1" t="s">
        <v>26</v>
      </c>
      <c r="D372" s="2">
        <v>45817.439583333333</v>
      </c>
      <c r="E372" s="1" t="s">
        <v>2703</v>
      </c>
      <c r="F372" s="1" t="s">
        <v>2703</v>
      </c>
      <c r="G372" s="1" t="s">
        <v>83</v>
      </c>
      <c r="H372" s="2">
        <v>45817.531944444447</v>
      </c>
      <c r="J372" s="1" t="s">
        <v>18</v>
      </c>
    </row>
    <row r="373" spans="1:10" hidden="1" x14ac:dyDescent="0.25">
      <c r="A373" s="1" t="str">
        <f>_xlfn.XLOOKUP(E373,Base!G:G,Base!C:C,"NOVO")</f>
        <v>PENDENTE</v>
      </c>
      <c r="B373" s="1">
        <v>3266507</v>
      </c>
      <c r="C373" s="1" t="s">
        <v>26</v>
      </c>
      <c r="D373" s="2">
        <v>45713.268750000003</v>
      </c>
      <c r="E373" s="1" t="s">
        <v>1102</v>
      </c>
      <c r="F373" s="1" t="s">
        <v>1102</v>
      </c>
      <c r="G373" s="1" t="s">
        <v>83</v>
      </c>
      <c r="H373" s="2">
        <v>45713.405555555553</v>
      </c>
      <c r="J373" s="1" t="s">
        <v>18</v>
      </c>
    </row>
    <row r="374" spans="1:10" hidden="1" x14ac:dyDescent="0.25">
      <c r="A374" s="1" t="str">
        <f>_xlfn.XLOOKUP(E374,Base!G:G,Base!C:C,"NOVO")</f>
        <v>PENDENTE</v>
      </c>
      <c r="B374" s="1">
        <v>3319424</v>
      </c>
      <c r="C374" s="1" t="s">
        <v>26</v>
      </c>
      <c r="D374" s="2">
        <v>45740.459722222222</v>
      </c>
      <c r="E374" s="1" t="s">
        <v>1723</v>
      </c>
      <c r="F374" s="1" t="s">
        <v>1724</v>
      </c>
      <c r="G374" s="1" t="s">
        <v>64</v>
      </c>
      <c r="H374" s="2">
        <v>45740.54791666667</v>
      </c>
      <c r="J374" s="1" t="s">
        <v>1244</v>
      </c>
    </row>
    <row r="375" spans="1:10" hidden="1" x14ac:dyDescent="0.25">
      <c r="A375" s="1" t="str">
        <f>_xlfn.XLOOKUP(E375,Base!G:G,Base!C:C,"NOVO")</f>
        <v>PENDENTE</v>
      </c>
      <c r="B375" s="1">
        <v>3325087</v>
      </c>
      <c r="C375" s="1" t="s">
        <v>26</v>
      </c>
      <c r="D375" s="2">
        <v>45744.242361111108</v>
      </c>
      <c r="E375" s="1" t="s">
        <v>1725</v>
      </c>
      <c r="F375" s="1" t="s">
        <v>1725</v>
      </c>
      <c r="G375" s="1" t="s">
        <v>1215</v>
      </c>
      <c r="H375" s="2">
        <v>45742.481249999997</v>
      </c>
      <c r="I375" s="2">
        <v>45744.336805555555</v>
      </c>
      <c r="J375" s="1" t="s">
        <v>18</v>
      </c>
    </row>
    <row r="376" spans="1:10" hidden="1" x14ac:dyDescent="0.25">
      <c r="A376" s="1" t="str">
        <f>_xlfn.XLOOKUP(E376,Base!G:G,Base!C:C,"NOVO")</f>
        <v>PENDENTE</v>
      </c>
      <c r="B376" s="1">
        <v>3453615</v>
      </c>
      <c r="C376" s="1" t="s">
        <v>26</v>
      </c>
      <c r="D376" s="2">
        <v>45807.561111111114</v>
      </c>
      <c r="E376" s="1" t="s">
        <v>2550</v>
      </c>
      <c r="F376" s="1" t="s">
        <v>2550</v>
      </c>
      <c r="G376" s="1" t="s">
        <v>83</v>
      </c>
      <c r="H376" s="2">
        <v>45807.650694444441</v>
      </c>
      <c r="J376" s="1" t="s">
        <v>18</v>
      </c>
    </row>
    <row r="377" spans="1:10" hidden="1" x14ac:dyDescent="0.25">
      <c r="A377" s="1" t="str">
        <f>_xlfn.XLOOKUP(E377,Base!G:G,Base!C:C,"NOVO")</f>
        <v>PENDENTE</v>
      </c>
      <c r="B377" s="1">
        <v>3341543</v>
      </c>
      <c r="C377" s="1" t="s">
        <v>26</v>
      </c>
      <c r="D377" s="2">
        <v>45779.520138888889</v>
      </c>
      <c r="E377" s="1" t="s">
        <v>1726</v>
      </c>
      <c r="F377" s="1" t="s">
        <v>1726</v>
      </c>
      <c r="G377" s="1" t="s">
        <v>707</v>
      </c>
      <c r="H377" s="2">
        <v>45749.588888888888</v>
      </c>
      <c r="I377" s="2">
        <v>45779.605555555558</v>
      </c>
      <c r="J377" s="1" t="s">
        <v>18</v>
      </c>
    </row>
    <row r="378" spans="1:10" hidden="1" x14ac:dyDescent="0.25">
      <c r="A378" s="1" t="str">
        <f>_xlfn.XLOOKUP(E378,Base!G:G,Base!C:C,"NOVO")</f>
        <v>PENDENTE</v>
      </c>
      <c r="B378" s="1">
        <v>3417829</v>
      </c>
      <c r="C378" s="1" t="s">
        <v>26</v>
      </c>
      <c r="D378" s="2">
        <v>45790.774305555555</v>
      </c>
      <c r="E378" s="1" t="s">
        <v>2306</v>
      </c>
      <c r="F378" s="1" t="s">
        <v>2306</v>
      </c>
      <c r="G378" s="1" t="s">
        <v>83</v>
      </c>
      <c r="H378" s="2">
        <v>45790.75277777778</v>
      </c>
      <c r="I378" s="2">
        <v>45790.868750000001</v>
      </c>
      <c r="J378" s="1" t="s">
        <v>18</v>
      </c>
    </row>
    <row r="379" spans="1:10" hidden="1" x14ac:dyDescent="0.25">
      <c r="A379" s="1" t="str">
        <f>_xlfn.XLOOKUP(E379,Base!G:G,Base!C:C,"NOVO")</f>
        <v>PENDENTE</v>
      </c>
      <c r="B379" s="1">
        <v>3410258</v>
      </c>
      <c r="C379" s="1" t="s">
        <v>26</v>
      </c>
      <c r="D379" s="2">
        <v>45785.744444444441</v>
      </c>
      <c r="E379" s="1" t="s">
        <v>2307</v>
      </c>
      <c r="F379" s="1" t="s">
        <v>2307</v>
      </c>
      <c r="G379" s="1" t="s">
        <v>83</v>
      </c>
      <c r="H379" s="2">
        <v>45785.835416666669</v>
      </c>
      <c r="J379" s="1" t="s">
        <v>18</v>
      </c>
    </row>
    <row r="380" spans="1:10" hidden="1" x14ac:dyDescent="0.25">
      <c r="A380" s="1" t="str">
        <f>_xlfn.XLOOKUP(E380,Base!G:G,Base!C:C,"NOVO")</f>
        <v>PENDENTE</v>
      </c>
      <c r="B380" s="1">
        <v>3406586</v>
      </c>
      <c r="C380" s="1" t="s">
        <v>26</v>
      </c>
      <c r="D380" s="2">
        <v>45807.536805555559</v>
      </c>
      <c r="E380" s="1" t="s">
        <v>2208</v>
      </c>
      <c r="F380" s="1" t="s">
        <v>2208</v>
      </c>
      <c r="G380" s="1" t="s">
        <v>83</v>
      </c>
      <c r="H380" s="2">
        <v>45784.782638888886</v>
      </c>
      <c r="I380" s="2">
        <v>45807.629861111112</v>
      </c>
      <c r="J380" s="1" t="s">
        <v>18</v>
      </c>
    </row>
    <row r="381" spans="1:10" hidden="1" x14ac:dyDescent="0.25">
      <c r="A381" s="1" t="str">
        <f>_xlfn.XLOOKUP(E381,Base!G:G,Base!C:C,"NOVO")</f>
        <v>PENDENTE</v>
      </c>
      <c r="B381" s="1">
        <v>3346222</v>
      </c>
      <c r="C381" s="1" t="s">
        <v>26</v>
      </c>
      <c r="D381" s="2">
        <v>45750.75277777778</v>
      </c>
      <c r="E381" s="1" t="s">
        <v>1727</v>
      </c>
      <c r="F381" s="1" t="s">
        <v>1727</v>
      </c>
      <c r="G381" s="1" t="s">
        <v>83</v>
      </c>
      <c r="H381" s="2">
        <v>45750.845138888886</v>
      </c>
      <c r="J381" s="1" t="s">
        <v>18</v>
      </c>
    </row>
    <row r="382" spans="1:10" hidden="1" x14ac:dyDescent="0.25">
      <c r="A382" s="1" t="str">
        <f>_xlfn.XLOOKUP(E382,Base!G:G,Base!C:C,"NOVO")</f>
        <v>PENDENTE</v>
      </c>
      <c r="B382" s="1">
        <v>3290316</v>
      </c>
      <c r="C382" s="1" t="s">
        <v>26</v>
      </c>
      <c r="D382" s="2">
        <v>45726.756944444445</v>
      </c>
      <c r="E382" s="1" t="s">
        <v>1436</v>
      </c>
      <c r="F382" s="1" t="s">
        <v>1436</v>
      </c>
      <c r="G382" s="1" t="s">
        <v>83</v>
      </c>
      <c r="H382" s="2">
        <v>45726.85</v>
      </c>
      <c r="J382" s="1" t="s">
        <v>18</v>
      </c>
    </row>
    <row r="383" spans="1:10" hidden="1" x14ac:dyDescent="0.25">
      <c r="A383" s="1" t="str">
        <f>_xlfn.XLOOKUP(E383,Base!G:G,Base!C:C,"NOVO")</f>
        <v>PENDENTE</v>
      </c>
      <c r="B383" s="1">
        <v>3441872</v>
      </c>
      <c r="C383" s="1" t="s">
        <v>26</v>
      </c>
      <c r="D383" s="2">
        <v>45803.304861111108</v>
      </c>
      <c r="E383" s="1" t="s">
        <v>2404</v>
      </c>
      <c r="F383" s="1" t="s">
        <v>2404</v>
      </c>
      <c r="G383" s="1" t="s">
        <v>273</v>
      </c>
      <c r="H383" s="2">
        <v>45803.386111111111</v>
      </c>
      <c r="I383" s="2">
        <v>45803.395833333336</v>
      </c>
      <c r="J383" s="1" t="s">
        <v>1245</v>
      </c>
    </row>
    <row r="384" spans="1:10" hidden="1" x14ac:dyDescent="0.25">
      <c r="A384" s="1" t="str">
        <f>_xlfn.XLOOKUP(E384,Base!G:G,Base!C:C,"NOVO")</f>
        <v>PENDENTE</v>
      </c>
      <c r="B384" s="1">
        <v>3441873</v>
      </c>
      <c r="C384" s="1" t="s">
        <v>26</v>
      </c>
      <c r="D384" s="2">
        <v>45803.304861111108</v>
      </c>
      <c r="E384" s="1" t="s">
        <v>2405</v>
      </c>
      <c r="F384" s="1" t="s">
        <v>2404</v>
      </c>
      <c r="G384" s="1" t="s">
        <v>393</v>
      </c>
      <c r="H384" s="2">
        <v>45803.386111111111</v>
      </c>
      <c r="I384" s="2">
        <v>45803.395833333336</v>
      </c>
      <c r="J384" s="1" t="s">
        <v>19</v>
      </c>
    </row>
    <row r="385" spans="1:10" hidden="1" x14ac:dyDescent="0.25">
      <c r="A385" s="1" t="str">
        <f>_xlfn.XLOOKUP(E385,Base!G:G,Base!C:C,"NOVO")</f>
        <v>PENDENTE</v>
      </c>
      <c r="B385" s="1">
        <v>3323894</v>
      </c>
      <c r="C385" s="1" t="s">
        <v>26</v>
      </c>
      <c r="D385" s="2">
        <v>45741.755555555559</v>
      </c>
      <c r="E385" s="1" t="s">
        <v>1728</v>
      </c>
      <c r="F385" s="1" t="s">
        <v>1728</v>
      </c>
      <c r="G385" s="1" t="s">
        <v>83</v>
      </c>
      <c r="H385" s="2">
        <v>45741.84652777778</v>
      </c>
      <c r="J385" s="1" t="s">
        <v>18</v>
      </c>
    </row>
    <row r="386" spans="1:10" hidden="1" x14ac:dyDescent="0.25">
      <c r="A386" s="1" t="str">
        <f>_xlfn.XLOOKUP(E386,Base!G:G,Base!C:C,"NOVO")</f>
        <v>PENDENTE</v>
      </c>
      <c r="B386" s="1">
        <v>3338351</v>
      </c>
      <c r="C386" s="1" t="s">
        <v>26</v>
      </c>
      <c r="D386" s="2">
        <v>45748.759722222225</v>
      </c>
      <c r="E386" s="1" t="s">
        <v>1729</v>
      </c>
      <c r="F386" s="1" t="s">
        <v>1729</v>
      </c>
      <c r="G386" s="1" t="s">
        <v>83</v>
      </c>
      <c r="H386" s="2">
        <v>45748.84652777778</v>
      </c>
      <c r="J386" s="1" t="s">
        <v>18</v>
      </c>
    </row>
    <row r="387" spans="1:10" hidden="1" x14ac:dyDescent="0.25">
      <c r="A387" s="1" t="str">
        <f>_xlfn.XLOOKUP(E387,Base!G:G,Base!C:C,"NOVO")</f>
        <v>PENDENTE</v>
      </c>
      <c r="B387" s="1">
        <v>3337543</v>
      </c>
      <c r="C387" s="1" t="s">
        <v>26</v>
      </c>
      <c r="D387" s="2">
        <v>45748.631249999999</v>
      </c>
      <c r="E387" s="1" t="s">
        <v>1730</v>
      </c>
      <c r="F387" s="1" t="s">
        <v>1730</v>
      </c>
      <c r="G387" s="1" t="s">
        <v>1215</v>
      </c>
      <c r="H387" s="2">
        <v>45748.725694444445</v>
      </c>
      <c r="J387" s="1" t="s">
        <v>18</v>
      </c>
    </row>
    <row r="388" spans="1:10" hidden="1" x14ac:dyDescent="0.25">
      <c r="A388" s="1" t="str">
        <f>_xlfn.XLOOKUP(E388,Base!G:G,Base!C:C,"NOVO")</f>
        <v>PENDENTE</v>
      </c>
      <c r="B388" s="1">
        <v>3337544</v>
      </c>
      <c r="C388" s="1" t="s">
        <v>26</v>
      </c>
      <c r="D388" s="2">
        <v>45748.631249999999</v>
      </c>
      <c r="E388" s="1" t="s">
        <v>1731</v>
      </c>
      <c r="F388" s="1" t="s">
        <v>1730</v>
      </c>
      <c r="G388" s="1" t="s">
        <v>1216</v>
      </c>
      <c r="H388" s="2">
        <v>45748.725694444445</v>
      </c>
      <c r="J388" s="1" t="s">
        <v>18</v>
      </c>
    </row>
    <row r="389" spans="1:10" hidden="1" x14ac:dyDescent="0.25">
      <c r="A389" s="1" t="str">
        <f>_xlfn.XLOOKUP(E389,Base!G:G,Base!C:C,"NOVO")</f>
        <v>PENDENTE</v>
      </c>
      <c r="B389" s="1">
        <v>3413077</v>
      </c>
      <c r="C389" s="1" t="s">
        <v>26</v>
      </c>
      <c r="D389" s="2">
        <v>45786.754166666666</v>
      </c>
      <c r="E389" s="1" t="s">
        <v>2308</v>
      </c>
      <c r="F389" s="1" t="s">
        <v>2308</v>
      </c>
      <c r="G389" s="1" t="s">
        <v>746</v>
      </c>
      <c r="H389" s="2">
        <v>45786.847222222219</v>
      </c>
      <c r="J389" s="1" t="s">
        <v>18</v>
      </c>
    </row>
    <row r="390" spans="1:10" hidden="1" x14ac:dyDescent="0.25">
      <c r="A390" s="1" t="str">
        <f>_xlfn.XLOOKUP(E390,Base!G:G,Base!C:C,"NOVO")</f>
        <v>PENDENTE</v>
      </c>
      <c r="B390" s="1">
        <v>3414687</v>
      </c>
      <c r="C390" s="1" t="s">
        <v>26</v>
      </c>
      <c r="D390" s="2">
        <v>45821.563194444447</v>
      </c>
      <c r="E390" s="1" t="s">
        <v>2309</v>
      </c>
      <c r="F390" s="1" t="s">
        <v>2309</v>
      </c>
      <c r="G390" s="1" t="s">
        <v>746</v>
      </c>
      <c r="H390" s="2">
        <v>45789.595138888886</v>
      </c>
      <c r="I390" s="2">
        <v>45821.647222222222</v>
      </c>
      <c r="J390" s="1" t="s">
        <v>18</v>
      </c>
    </row>
    <row r="391" spans="1:10" hidden="1" x14ac:dyDescent="0.25">
      <c r="A391" s="1" t="str">
        <f>_xlfn.XLOOKUP(E391,Base!G:G,Base!C:C,"NOVO")</f>
        <v>PENDENTE</v>
      </c>
      <c r="B391" s="1">
        <v>3351339</v>
      </c>
      <c r="C391" s="1" t="s">
        <v>26</v>
      </c>
      <c r="D391" s="2">
        <v>45754.696527777778</v>
      </c>
      <c r="E391" s="1" t="s">
        <v>1732</v>
      </c>
      <c r="F391" s="1" t="s">
        <v>1732</v>
      </c>
      <c r="G391" s="1" t="s">
        <v>83</v>
      </c>
      <c r="H391" s="2">
        <v>45754.784722222219</v>
      </c>
      <c r="J391" s="1" t="s">
        <v>18</v>
      </c>
    </row>
    <row r="392" spans="1:10" hidden="1" x14ac:dyDescent="0.25">
      <c r="A392" s="1" t="str">
        <f>_xlfn.XLOOKUP(E392,Base!G:G,Base!C:C,"NOVO")</f>
        <v>PENDENTE</v>
      </c>
      <c r="B392" s="1">
        <v>3351342</v>
      </c>
      <c r="C392" s="1" t="s">
        <v>26</v>
      </c>
      <c r="D392" s="2">
        <v>45754.696527777778</v>
      </c>
      <c r="E392" s="1" t="s">
        <v>1733</v>
      </c>
      <c r="F392" s="1" t="s">
        <v>1733</v>
      </c>
      <c r="G392" s="1" t="s">
        <v>83</v>
      </c>
      <c r="H392" s="2">
        <v>45754.784722222219</v>
      </c>
      <c r="J392" s="1" t="s">
        <v>18</v>
      </c>
    </row>
    <row r="393" spans="1:10" hidden="1" x14ac:dyDescent="0.25">
      <c r="A393" s="1" t="str">
        <f>_xlfn.XLOOKUP(E393,Base!G:G,Base!C:C,"NOVO")</f>
        <v>PENDENTE</v>
      </c>
      <c r="B393" s="1">
        <v>3314129</v>
      </c>
      <c r="C393" s="1" t="s">
        <v>26</v>
      </c>
      <c r="D393" s="2">
        <v>45736.570138888892</v>
      </c>
      <c r="E393" s="1" t="s">
        <v>1734</v>
      </c>
      <c r="F393" s="1" t="s">
        <v>1734</v>
      </c>
      <c r="G393" s="1" t="s">
        <v>1054</v>
      </c>
      <c r="H393" s="2">
        <v>45736.665972222225</v>
      </c>
      <c r="J393" s="1" t="s">
        <v>18</v>
      </c>
    </row>
    <row r="394" spans="1:10" x14ac:dyDescent="0.25">
      <c r="A394" s="1" t="str">
        <f>_xlfn.XLOOKUP(E394,Base!G:G,Base!C:C,"NOVO")</f>
        <v>PENDENTE</v>
      </c>
      <c r="B394" s="1">
        <v>3481539</v>
      </c>
      <c r="C394" s="1" t="s">
        <v>26</v>
      </c>
      <c r="D394" s="2">
        <v>45821.507638888892</v>
      </c>
      <c r="E394" s="1" t="s">
        <v>2704</v>
      </c>
      <c r="F394" s="1" t="s">
        <v>2705</v>
      </c>
      <c r="G394" s="1" t="s">
        <v>64</v>
      </c>
      <c r="H394" s="2">
        <v>45821.595138888886</v>
      </c>
      <c r="J394" s="1" t="s">
        <v>1244</v>
      </c>
    </row>
    <row r="395" spans="1:10" hidden="1" x14ac:dyDescent="0.25">
      <c r="A395" s="1" t="str">
        <f>_xlfn.XLOOKUP(E395,Base!G:G,Base!C:C,"NOVO")</f>
        <v>PENDENTE</v>
      </c>
      <c r="B395" s="1">
        <v>3276545</v>
      </c>
      <c r="C395" s="1" t="s">
        <v>26</v>
      </c>
      <c r="D395" s="2">
        <v>45716.650694444441</v>
      </c>
      <c r="E395" s="1" t="s">
        <v>1276</v>
      </c>
      <c r="F395" s="1" t="s">
        <v>1276</v>
      </c>
      <c r="G395" s="1" t="s">
        <v>83</v>
      </c>
      <c r="H395" s="2">
        <v>45716.784722222219</v>
      </c>
      <c r="J395" s="1" t="s">
        <v>18</v>
      </c>
    </row>
    <row r="396" spans="1:10" hidden="1" x14ac:dyDescent="0.25">
      <c r="A396" s="1" t="str">
        <f>_xlfn.XLOOKUP(E396,Base!G:G,Base!C:C,"NOVO")</f>
        <v>PENDENTE</v>
      </c>
      <c r="B396" s="1">
        <v>3251425</v>
      </c>
      <c r="C396" s="1" t="s">
        <v>26</v>
      </c>
      <c r="D396" s="2">
        <v>45713.268750000003</v>
      </c>
      <c r="E396" s="1" t="s">
        <v>1103</v>
      </c>
      <c r="F396" s="1" t="s">
        <v>1103</v>
      </c>
      <c r="G396" s="1" t="s">
        <v>1054</v>
      </c>
      <c r="H396" s="2">
        <v>45705.899305555555</v>
      </c>
      <c r="I396" s="2">
        <v>45713.408333333333</v>
      </c>
      <c r="J396" s="1" t="s">
        <v>18</v>
      </c>
    </row>
    <row r="397" spans="1:10" hidden="1" x14ac:dyDescent="0.25">
      <c r="A397" s="1" t="str">
        <f>_xlfn.XLOOKUP(E397,Base!G:G,Base!C:C,"NOVO")</f>
        <v>PENDENTE</v>
      </c>
      <c r="B397" s="1">
        <v>3276781</v>
      </c>
      <c r="C397" s="1" t="s">
        <v>26</v>
      </c>
      <c r="D397" s="2">
        <v>45716.665972222225</v>
      </c>
      <c r="E397" s="1" t="s">
        <v>1277</v>
      </c>
      <c r="F397" s="1" t="s">
        <v>1278</v>
      </c>
      <c r="G397" s="1" t="s">
        <v>64</v>
      </c>
      <c r="H397" s="2">
        <v>45716.797222222223</v>
      </c>
      <c r="J397" s="1" t="s">
        <v>1244</v>
      </c>
    </row>
    <row r="398" spans="1:10" hidden="1" x14ac:dyDescent="0.25">
      <c r="A398" s="1" t="str">
        <f>_xlfn.XLOOKUP(E398,Base!G:G,Base!C:C,"NOVO")</f>
        <v>PENDENTE</v>
      </c>
      <c r="B398" s="1">
        <v>3388050</v>
      </c>
      <c r="C398" s="1" t="s">
        <v>26</v>
      </c>
      <c r="D398" s="2">
        <v>45775.629166666666</v>
      </c>
      <c r="E398" s="1" t="s">
        <v>1985</v>
      </c>
      <c r="F398" s="1" t="s">
        <v>1985</v>
      </c>
      <c r="G398" s="1" t="s">
        <v>620</v>
      </c>
      <c r="H398" s="2">
        <v>45775.724305555559</v>
      </c>
      <c r="J398" s="1" t="s">
        <v>18</v>
      </c>
    </row>
    <row r="399" spans="1:10" hidden="1" x14ac:dyDescent="0.25">
      <c r="A399" s="1" t="str">
        <f>_xlfn.XLOOKUP(E399,Base!G:G,Base!C:C,"NOVO")</f>
        <v>PENDENTE</v>
      </c>
      <c r="B399" s="1">
        <v>3337093</v>
      </c>
      <c r="C399" s="1" t="s">
        <v>26</v>
      </c>
      <c r="D399" s="2">
        <v>45748.530555555553</v>
      </c>
      <c r="E399" s="1" t="s">
        <v>1735</v>
      </c>
      <c r="F399" s="1" t="s">
        <v>1735</v>
      </c>
      <c r="G399" s="1" t="s">
        <v>83</v>
      </c>
      <c r="H399" s="2">
        <v>45748.618055555555</v>
      </c>
      <c r="J399" s="1" t="s">
        <v>18</v>
      </c>
    </row>
    <row r="400" spans="1:10" hidden="1" x14ac:dyDescent="0.25">
      <c r="A400" s="1" t="str">
        <f>_xlfn.XLOOKUP(E400,Base!G:G,Base!C:C,"NOVO")</f>
        <v>PENDENTE</v>
      </c>
      <c r="B400" s="1">
        <v>3275963</v>
      </c>
      <c r="C400" s="1" t="s">
        <v>26</v>
      </c>
      <c r="D400" s="2">
        <v>45716.587500000001</v>
      </c>
      <c r="E400" s="1" t="s">
        <v>1279</v>
      </c>
      <c r="F400" s="1" t="s">
        <v>1279</v>
      </c>
      <c r="G400" s="1" t="s">
        <v>1280</v>
      </c>
      <c r="H400" s="2">
        <v>45716.725694444445</v>
      </c>
      <c r="J400" s="1" t="s">
        <v>18</v>
      </c>
    </row>
    <row r="401" spans="1:10" hidden="1" x14ac:dyDescent="0.25">
      <c r="A401" s="1" t="str">
        <f>_xlfn.XLOOKUP(E401,Base!G:G,Base!C:C,"NOVO")</f>
        <v>PENDENTE</v>
      </c>
      <c r="B401" s="1">
        <v>3381923</v>
      </c>
      <c r="C401" s="1" t="s">
        <v>26</v>
      </c>
      <c r="D401" s="2">
        <v>45779.595138888886</v>
      </c>
      <c r="E401" s="1" t="s">
        <v>1986</v>
      </c>
      <c r="F401" s="1" t="s">
        <v>1986</v>
      </c>
      <c r="G401" s="1" t="s">
        <v>83</v>
      </c>
      <c r="H401" s="2">
        <v>45771.772222222222</v>
      </c>
      <c r="I401" s="2">
        <v>45779.688888888886</v>
      </c>
      <c r="J401" s="1" t="s">
        <v>18</v>
      </c>
    </row>
    <row r="402" spans="1:10" hidden="1" x14ac:dyDescent="0.25">
      <c r="A402" s="1" t="str">
        <f>_xlfn.XLOOKUP(E402,Base!G:G,Base!C:C,"NOVO")</f>
        <v>PENDENTE</v>
      </c>
      <c r="B402" s="1">
        <v>3466971</v>
      </c>
      <c r="C402" s="1" t="s">
        <v>26</v>
      </c>
      <c r="D402" s="2">
        <v>45813.647916666669</v>
      </c>
      <c r="E402" s="1" t="s">
        <v>2605</v>
      </c>
      <c r="F402" s="1" t="s">
        <v>2605</v>
      </c>
      <c r="G402" s="1" t="s">
        <v>83</v>
      </c>
      <c r="H402" s="2">
        <v>45813.740277777775</v>
      </c>
      <c r="J402" s="1" t="s">
        <v>18</v>
      </c>
    </row>
    <row r="403" spans="1:10" hidden="1" x14ac:dyDescent="0.25">
      <c r="A403" s="1" t="str">
        <f>_xlfn.XLOOKUP(E403,Base!G:G,Base!C:C,"NOVO")</f>
        <v>PENDENTE</v>
      </c>
      <c r="B403" s="1">
        <v>3271848</v>
      </c>
      <c r="C403" s="1" t="s">
        <v>26</v>
      </c>
      <c r="D403" s="2">
        <v>45715.267361111109</v>
      </c>
      <c r="E403" s="1" t="s">
        <v>1281</v>
      </c>
      <c r="F403" s="1" t="s">
        <v>1282</v>
      </c>
      <c r="G403" s="1" t="s">
        <v>64</v>
      </c>
      <c r="H403" s="2">
        <v>45715.397916666669</v>
      </c>
      <c r="J403" s="1" t="s">
        <v>1244</v>
      </c>
    </row>
    <row r="404" spans="1:10" hidden="1" x14ac:dyDescent="0.25">
      <c r="A404" s="1" t="str">
        <f>_xlfn.XLOOKUP(E404,Base!G:G,Base!C:C,"NOVO")</f>
        <v>PENDENTE</v>
      </c>
      <c r="B404" s="1">
        <v>3405559</v>
      </c>
      <c r="C404" s="1" t="s">
        <v>26</v>
      </c>
      <c r="D404" s="2">
        <v>45784.426388888889</v>
      </c>
      <c r="E404" s="1" t="s">
        <v>2209</v>
      </c>
      <c r="F404" s="1" t="s">
        <v>2209</v>
      </c>
      <c r="G404" s="1" t="s">
        <v>746</v>
      </c>
      <c r="H404" s="2">
        <v>45784.511805555558</v>
      </c>
      <c r="J404" s="1" t="s">
        <v>18</v>
      </c>
    </row>
    <row r="405" spans="1:10" hidden="1" x14ac:dyDescent="0.25">
      <c r="A405" s="1" t="str">
        <f>_xlfn.XLOOKUP(E405,Base!G:G,Base!C:C,"NOVO")</f>
        <v>PENDENTE</v>
      </c>
      <c r="B405" s="1">
        <v>3432263</v>
      </c>
      <c r="C405" s="1" t="s">
        <v>26</v>
      </c>
      <c r="D405" s="2">
        <v>45797.62777777778</v>
      </c>
      <c r="E405" s="1" t="s">
        <v>2406</v>
      </c>
      <c r="F405" s="1" t="s">
        <v>2406</v>
      </c>
      <c r="G405" s="1" t="s">
        <v>652</v>
      </c>
      <c r="H405" s="2">
        <v>45797.724305555559</v>
      </c>
      <c r="J405" s="1" t="s">
        <v>18</v>
      </c>
    </row>
    <row r="406" spans="1:10" hidden="1" x14ac:dyDescent="0.25">
      <c r="A406" s="1" t="str">
        <f>_xlfn.XLOOKUP(E406,Base!G:G,Base!C:C,"NOVO")</f>
        <v>PENDENTE</v>
      </c>
      <c r="B406" s="1">
        <v>3382666</v>
      </c>
      <c r="C406" s="1" t="s">
        <v>26</v>
      </c>
      <c r="D406" s="2">
        <v>45771.760416666664</v>
      </c>
      <c r="E406" s="1" t="s">
        <v>1987</v>
      </c>
      <c r="F406" s="1" t="s">
        <v>1987</v>
      </c>
      <c r="G406" s="1" t="s">
        <v>83</v>
      </c>
      <c r="H406" s="2">
        <v>45771.84652777778</v>
      </c>
      <c r="J406" s="1" t="s">
        <v>18</v>
      </c>
    </row>
    <row r="407" spans="1:10" hidden="1" x14ac:dyDescent="0.25">
      <c r="A407" s="1" t="str">
        <f>_xlfn.XLOOKUP(E407,Base!G:G,Base!C:C,"NOVO")</f>
        <v>PENDENTE</v>
      </c>
      <c r="B407" s="1">
        <v>3237989</v>
      </c>
      <c r="C407" s="1" t="s">
        <v>26</v>
      </c>
      <c r="D407" s="2">
        <v>45698.729861111111</v>
      </c>
      <c r="E407" s="1" t="s">
        <v>966</v>
      </c>
      <c r="F407" s="1" t="s">
        <v>966</v>
      </c>
      <c r="G407" s="1" t="s">
        <v>394</v>
      </c>
      <c r="H407" s="2">
        <v>45698.859722222223</v>
      </c>
      <c r="J407" s="1" t="s">
        <v>18</v>
      </c>
    </row>
    <row r="408" spans="1:10" hidden="1" x14ac:dyDescent="0.25">
      <c r="A408" s="1" t="str">
        <f>_xlfn.XLOOKUP(E408,Base!G:G,Base!C:C,"NOVO")</f>
        <v>PENDENTE</v>
      </c>
      <c r="B408" s="1">
        <v>3426202</v>
      </c>
      <c r="C408" s="1" t="s">
        <v>26</v>
      </c>
      <c r="D408" s="2">
        <v>45793.682638888888</v>
      </c>
      <c r="E408" s="1" t="s">
        <v>2407</v>
      </c>
      <c r="F408" s="1" t="s">
        <v>2408</v>
      </c>
      <c r="G408" s="1" t="s">
        <v>64</v>
      </c>
      <c r="H408" s="2">
        <v>45793.771527777775</v>
      </c>
      <c r="J408" s="1" t="s">
        <v>1244</v>
      </c>
    </row>
    <row r="409" spans="1:10" hidden="1" x14ac:dyDescent="0.25">
      <c r="A409" s="1" t="str">
        <f>_xlfn.XLOOKUP(E409,Base!G:G,Base!C:C,"NOVO")</f>
        <v>PENDENTE</v>
      </c>
      <c r="B409" s="1">
        <v>3296186</v>
      </c>
      <c r="C409" s="1" t="s">
        <v>26</v>
      </c>
      <c r="D409" s="2">
        <v>45728.75277777778</v>
      </c>
      <c r="E409" s="1" t="s">
        <v>1437</v>
      </c>
      <c r="F409" s="1" t="s">
        <v>1437</v>
      </c>
      <c r="G409" s="1" t="s">
        <v>620</v>
      </c>
      <c r="H409" s="2">
        <v>45728.843055555553</v>
      </c>
      <c r="J409" s="1" t="s">
        <v>18</v>
      </c>
    </row>
    <row r="410" spans="1:10" hidden="1" x14ac:dyDescent="0.25">
      <c r="A410" s="1" t="str">
        <f>_xlfn.XLOOKUP(E410,Base!G:G,Base!C:C,"NOVO")</f>
        <v>PENDENTE</v>
      </c>
      <c r="B410" s="1">
        <v>3457133</v>
      </c>
      <c r="C410" s="1" t="s">
        <v>26</v>
      </c>
      <c r="D410" s="2">
        <v>45810.347222222219</v>
      </c>
      <c r="E410" s="1" t="s">
        <v>2551</v>
      </c>
      <c r="F410" s="1" t="s">
        <v>2552</v>
      </c>
      <c r="G410" s="1" t="s">
        <v>64</v>
      </c>
      <c r="H410" s="2">
        <v>45810.438888888886</v>
      </c>
      <c r="J410" s="1" t="s">
        <v>1244</v>
      </c>
    </row>
    <row r="411" spans="1:10" hidden="1" x14ac:dyDescent="0.25">
      <c r="A411" s="1" t="str">
        <f>_xlfn.XLOOKUP(E411,Base!G:G,Base!C:C,"NOVO")</f>
        <v>PENDENTE</v>
      </c>
      <c r="B411" s="1">
        <v>3334035</v>
      </c>
      <c r="C411" s="1" t="s">
        <v>26</v>
      </c>
      <c r="D411" s="2">
        <v>45747.52847222222</v>
      </c>
      <c r="E411" s="1" t="s">
        <v>1736</v>
      </c>
      <c r="F411" s="1" t="s">
        <v>1736</v>
      </c>
      <c r="G411" s="1" t="s">
        <v>396</v>
      </c>
      <c r="H411" s="2">
        <v>45747.615972222222</v>
      </c>
      <c r="J411" s="1" t="s">
        <v>18</v>
      </c>
    </row>
    <row r="412" spans="1:10" hidden="1" x14ac:dyDescent="0.25">
      <c r="A412" s="1" t="str">
        <f>_xlfn.XLOOKUP(E412,Base!G:G,Base!C:C,"NOVO")</f>
        <v>PENDENTE</v>
      </c>
      <c r="B412" s="1">
        <v>3296020</v>
      </c>
      <c r="C412" s="1" t="s">
        <v>26</v>
      </c>
      <c r="D412" s="2">
        <v>45729.32916666667</v>
      </c>
      <c r="E412" s="1" t="s">
        <v>1438</v>
      </c>
      <c r="F412" s="1" t="s">
        <v>1438</v>
      </c>
      <c r="G412" s="1" t="s">
        <v>1060</v>
      </c>
      <c r="H412" s="2">
        <v>45728.772222222222</v>
      </c>
      <c r="I412" s="2">
        <v>45729.418749999997</v>
      </c>
      <c r="J412" s="1" t="s">
        <v>18</v>
      </c>
    </row>
    <row r="413" spans="1:10" hidden="1" x14ac:dyDescent="0.25">
      <c r="A413" s="1" t="str">
        <f>_xlfn.XLOOKUP(E413,Base!G:G,Base!C:C,"NOVO")</f>
        <v>PENDENTE</v>
      </c>
      <c r="B413" s="1">
        <v>3231626</v>
      </c>
      <c r="C413" s="1" t="s">
        <v>26</v>
      </c>
      <c r="D413" s="2">
        <v>45695.362500000003</v>
      </c>
      <c r="E413" s="1" t="s">
        <v>967</v>
      </c>
      <c r="F413" s="1" t="s">
        <v>967</v>
      </c>
      <c r="G413" s="1" t="s">
        <v>692</v>
      </c>
      <c r="H413" s="2">
        <v>45695.493750000001</v>
      </c>
      <c r="J413" s="1" t="s">
        <v>18</v>
      </c>
    </row>
    <row r="414" spans="1:10" hidden="1" x14ac:dyDescent="0.25">
      <c r="A414" s="1" t="str">
        <f>_xlfn.XLOOKUP(E414,Base!G:G,Base!C:C,"NOVO")</f>
        <v>PENDENTE</v>
      </c>
      <c r="B414" s="1">
        <v>3231628</v>
      </c>
      <c r="C414" s="1" t="s">
        <v>26</v>
      </c>
      <c r="D414" s="2">
        <v>45695.362500000003</v>
      </c>
      <c r="E414" s="1" t="s">
        <v>968</v>
      </c>
      <c r="F414" s="1" t="s">
        <v>967</v>
      </c>
      <c r="G414" s="1" t="s">
        <v>898</v>
      </c>
      <c r="H414" s="2">
        <v>45695.493750000001</v>
      </c>
      <c r="J414" s="1" t="s">
        <v>18</v>
      </c>
    </row>
    <row r="415" spans="1:10" hidden="1" x14ac:dyDescent="0.25">
      <c r="A415" s="1" t="str">
        <f>_xlfn.XLOOKUP(E415,Base!G:G,Base!C:C,"NOVO")</f>
        <v>PENDENTE</v>
      </c>
      <c r="B415" s="1">
        <v>3382264</v>
      </c>
      <c r="C415" s="1" t="s">
        <v>26</v>
      </c>
      <c r="D415" s="2">
        <v>45771.7</v>
      </c>
      <c r="E415" s="1" t="s">
        <v>1988</v>
      </c>
      <c r="F415" s="1" t="s">
        <v>1988</v>
      </c>
      <c r="G415" s="1" t="s">
        <v>652</v>
      </c>
      <c r="H415" s="2">
        <v>45771.796527777777</v>
      </c>
      <c r="J415" s="1" t="s">
        <v>18</v>
      </c>
    </row>
    <row r="416" spans="1:10" hidden="1" x14ac:dyDescent="0.25">
      <c r="A416" s="1" t="str">
        <f>_xlfn.XLOOKUP(E416,Base!G:G,Base!C:C,"NOVO")</f>
        <v>PENDENTE</v>
      </c>
      <c r="B416" s="1">
        <v>3453504</v>
      </c>
      <c r="C416" s="1" t="s">
        <v>26</v>
      </c>
      <c r="D416" s="2">
        <v>45807.536805555559</v>
      </c>
      <c r="E416" s="1" t="s">
        <v>2553</v>
      </c>
      <c r="F416" s="1" t="s">
        <v>2553</v>
      </c>
      <c r="G416" s="1" t="s">
        <v>2554</v>
      </c>
      <c r="H416" s="2">
        <v>45807.630555555559</v>
      </c>
      <c r="J416" s="1" t="s">
        <v>18</v>
      </c>
    </row>
    <row r="417" spans="1:10" hidden="1" x14ac:dyDescent="0.25">
      <c r="A417" s="1" t="str">
        <f>_xlfn.XLOOKUP(E417,Base!G:G,Base!C:C,"NOVO")</f>
        <v>PENDENTE</v>
      </c>
      <c r="B417" s="1">
        <v>3290318</v>
      </c>
      <c r="C417" s="1" t="s">
        <v>26</v>
      </c>
      <c r="D417" s="2">
        <v>45726.756944444445</v>
      </c>
      <c r="E417" s="1" t="s">
        <v>1439</v>
      </c>
      <c r="F417" s="1" t="s">
        <v>1439</v>
      </c>
      <c r="G417" s="1" t="s">
        <v>83</v>
      </c>
      <c r="H417" s="2">
        <v>45726.850694444445</v>
      </c>
      <c r="J417" s="1" t="s">
        <v>18</v>
      </c>
    </row>
    <row r="418" spans="1:10" hidden="1" x14ac:dyDescent="0.25">
      <c r="A418" s="1" t="str">
        <f>_xlfn.XLOOKUP(E418,Base!G:G,Base!C:C,"NOVO")</f>
        <v>PENDENTE</v>
      </c>
      <c r="B418" s="1">
        <v>3406604</v>
      </c>
      <c r="C418" s="1" t="s">
        <v>26</v>
      </c>
      <c r="D418" s="2">
        <v>45784.692361111112</v>
      </c>
      <c r="E418" s="1" t="s">
        <v>2210</v>
      </c>
      <c r="F418" s="1" t="s">
        <v>2210</v>
      </c>
      <c r="G418" s="1" t="s">
        <v>396</v>
      </c>
      <c r="H418" s="2">
        <v>45784.783333333333</v>
      </c>
      <c r="J418" s="1" t="s">
        <v>18</v>
      </c>
    </row>
    <row r="419" spans="1:10" hidden="1" x14ac:dyDescent="0.25">
      <c r="A419" s="1" t="str">
        <f>_xlfn.XLOOKUP(E419,Base!G:G,Base!C:C,"NOVO")</f>
        <v>PENDENTE</v>
      </c>
      <c r="B419" s="1">
        <v>3451841</v>
      </c>
      <c r="C419" s="1" t="s">
        <v>26</v>
      </c>
      <c r="D419" s="2">
        <v>45807.386111111111</v>
      </c>
      <c r="E419" s="1" t="s">
        <v>2555</v>
      </c>
      <c r="F419" s="1" t="s">
        <v>2555</v>
      </c>
      <c r="G419" s="1" t="s">
        <v>829</v>
      </c>
      <c r="H419" s="2">
        <v>45806.782638888886</v>
      </c>
      <c r="I419" s="2">
        <v>45807.470833333333</v>
      </c>
      <c r="J419" s="1" t="s">
        <v>18</v>
      </c>
    </row>
    <row r="420" spans="1:10" hidden="1" x14ac:dyDescent="0.25">
      <c r="A420" s="1" t="str">
        <f>_xlfn.XLOOKUP(E420,Base!G:G,Base!C:C,"NOVO")</f>
        <v>PENDENTE</v>
      </c>
      <c r="B420" s="1">
        <v>3290321</v>
      </c>
      <c r="C420" s="1" t="s">
        <v>26</v>
      </c>
      <c r="D420" s="2">
        <v>45726.756944444445</v>
      </c>
      <c r="E420" s="1" t="s">
        <v>1440</v>
      </c>
      <c r="F420" s="1" t="s">
        <v>1440</v>
      </c>
      <c r="G420" s="1" t="s">
        <v>83</v>
      </c>
      <c r="H420" s="2">
        <v>45726.850694444445</v>
      </c>
      <c r="J420" s="1" t="s">
        <v>18</v>
      </c>
    </row>
    <row r="421" spans="1:10" x14ac:dyDescent="0.25">
      <c r="A421" s="1" t="str">
        <f>_xlfn.XLOOKUP(E421,Base!G:G,Base!C:C,"NOVO")</f>
        <v>PENDENTE</v>
      </c>
      <c r="B421" s="1">
        <v>3478989</v>
      </c>
      <c r="C421" s="1" t="s">
        <v>26</v>
      </c>
      <c r="D421" s="2">
        <v>45820.524305555555</v>
      </c>
      <c r="E421" s="1" t="s">
        <v>2706</v>
      </c>
      <c r="F421" s="1" t="s">
        <v>2706</v>
      </c>
      <c r="G421" s="1" t="s">
        <v>396</v>
      </c>
      <c r="H421" s="2">
        <v>45820.615972222222</v>
      </c>
      <c r="J421" s="1" t="s">
        <v>18</v>
      </c>
    </row>
    <row r="422" spans="1:10" hidden="1" x14ac:dyDescent="0.25">
      <c r="A422" s="1" t="str">
        <f>_xlfn.XLOOKUP(E422,Base!G:G,Base!C:C,"NOVO")</f>
        <v>PENDENTE</v>
      </c>
      <c r="B422" s="1">
        <v>3397462</v>
      </c>
      <c r="C422" s="1" t="s">
        <v>26</v>
      </c>
      <c r="D422" s="2">
        <v>45779.520138888889</v>
      </c>
      <c r="E422" s="1" t="s">
        <v>2211</v>
      </c>
      <c r="F422" s="1" t="s">
        <v>2211</v>
      </c>
      <c r="G422" s="1" t="s">
        <v>410</v>
      </c>
      <c r="H422" s="2">
        <v>45779.606944444444</v>
      </c>
      <c r="J422" s="1" t="s">
        <v>18</v>
      </c>
    </row>
    <row r="423" spans="1:10" hidden="1" x14ac:dyDescent="0.25">
      <c r="A423" s="1" t="str">
        <f>_xlfn.XLOOKUP(E423,Base!G:G,Base!C:C,"NOVO")</f>
        <v>PENDENTE</v>
      </c>
      <c r="B423" s="1">
        <v>3222923</v>
      </c>
      <c r="C423" s="1" t="s">
        <v>26</v>
      </c>
      <c r="D423" s="2">
        <v>45692.363194444442</v>
      </c>
      <c r="E423" s="1" t="s">
        <v>755</v>
      </c>
      <c r="F423" s="1" t="s">
        <v>756</v>
      </c>
      <c r="G423" s="1" t="s">
        <v>85</v>
      </c>
      <c r="H423" s="2">
        <v>45692.51458333333</v>
      </c>
      <c r="I423" s="2">
        <v>45694.926388888889</v>
      </c>
      <c r="J423" s="1" t="s">
        <v>18</v>
      </c>
    </row>
    <row r="424" spans="1:10" hidden="1" x14ac:dyDescent="0.25">
      <c r="A424" s="1" t="str">
        <f>_xlfn.XLOOKUP(E424,Base!G:G,Base!C:C,"NOVO")</f>
        <v>PENDENTE</v>
      </c>
      <c r="B424" s="1">
        <v>3353887</v>
      </c>
      <c r="C424" s="1" t="s">
        <v>26</v>
      </c>
      <c r="D424" s="2">
        <v>45755.672222222223</v>
      </c>
      <c r="E424" s="1" t="s">
        <v>1737</v>
      </c>
      <c r="F424" s="1" t="s">
        <v>1737</v>
      </c>
      <c r="G424" s="1" t="s">
        <v>396</v>
      </c>
      <c r="H424" s="2">
        <v>45755.762499999997</v>
      </c>
      <c r="J424" s="1" t="s">
        <v>18</v>
      </c>
    </row>
    <row r="425" spans="1:10" hidden="1" x14ac:dyDescent="0.25">
      <c r="A425" s="1" t="str">
        <f>_xlfn.XLOOKUP(E425,Base!G:G,Base!C:C,"NOVO")</f>
        <v>PENDENTE</v>
      </c>
      <c r="B425" s="1">
        <v>3325110</v>
      </c>
      <c r="C425" s="1" t="s">
        <v>26</v>
      </c>
      <c r="D425" s="2">
        <v>45742.397916666669</v>
      </c>
      <c r="E425" s="1" t="s">
        <v>1738</v>
      </c>
      <c r="F425" s="1" t="s">
        <v>1738</v>
      </c>
      <c r="G425" s="1" t="s">
        <v>671</v>
      </c>
      <c r="H425" s="2">
        <v>45742.491666666669</v>
      </c>
      <c r="J425" s="1" t="s">
        <v>18</v>
      </c>
    </row>
    <row r="426" spans="1:10" hidden="1" x14ac:dyDescent="0.25">
      <c r="A426" s="1" t="str">
        <f>_xlfn.XLOOKUP(E426,Base!G:G,Base!C:C,"NOVO")</f>
        <v>PENDENTE</v>
      </c>
      <c r="B426" s="1">
        <v>3286613</v>
      </c>
      <c r="C426" s="1" t="s">
        <v>26</v>
      </c>
      <c r="D426" s="2">
        <v>45723.631944444445</v>
      </c>
      <c r="E426" s="1" t="s">
        <v>1441</v>
      </c>
      <c r="F426" s="1" t="s">
        <v>1442</v>
      </c>
      <c r="G426" s="1" t="s">
        <v>64</v>
      </c>
      <c r="H426" s="2">
        <v>45723.762499999997</v>
      </c>
      <c r="J426" s="1" t="s">
        <v>1244</v>
      </c>
    </row>
    <row r="427" spans="1:10" hidden="1" x14ac:dyDescent="0.25">
      <c r="A427" s="1" t="str">
        <f>_xlfn.XLOOKUP(E427,Base!G:G,Base!C:C,"NOVO")</f>
        <v>PENDENTE</v>
      </c>
      <c r="B427" s="1">
        <v>3267323</v>
      </c>
      <c r="C427" s="1" t="s">
        <v>26</v>
      </c>
      <c r="D427" s="2">
        <v>45713.572222222225</v>
      </c>
      <c r="E427" s="1" t="s">
        <v>1283</v>
      </c>
      <c r="F427" s="1" t="s">
        <v>1283</v>
      </c>
      <c r="G427" s="1" t="s">
        <v>1054</v>
      </c>
      <c r="H427" s="2">
        <v>45713.54583333333</v>
      </c>
      <c r="I427" s="2">
        <v>45713.7</v>
      </c>
      <c r="J427" s="1" t="s">
        <v>18</v>
      </c>
    </row>
    <row r="428" spans="1:10" hidden="1" x14ac:dyDescent="0.25">
      <c r="A428" s="1" t="str">
        <f>_xlfn.XLOOKUP(E428,Base!G:G,Base!C:C,"NOVO")</f>
        <v>PENDENTE</v>
      </c>
      <c r="B428" s="1">
        <v>3422573</v>
      </c>
      <c r="C428" s="1" t="s">
        <v>26</v>
      </c>
      <c r="D428" s="2">
        <v>45792.479166666664</v>
      </c>
      <c r="E428" s="1" t="s">
        <v>2409</v>
      </c>
      <c r="F428" s="1" t="s">
        <v>2409</v>
      </c>
      <c r="G428" s="1" t="s">
        <v>1060</v>
      </c>
      <c r="H428" s="2">
        <v>45792.567361111112</v>
      </c>
      <c r="J428" s="1" t="s">
        <v>18</v>
      </c>
    </row>
    <row r="429" spans="1:10" hidden="1" x14ac:dyDescent="0.25">
      <c r="A429" s="1" t="str">
        <f>_xlfn.XLOOKUP(E429,Base!G:G,Base!C:C,"NOVO")</f>
        <v>PENDENTE</v>
      </c>
      <c r="B429" s="1">
        <v>3436589</v>
      </c>
      <c r="C429" s="1" t="s">
        <v>26</v>
      </c>
      <c r="D429" s="2">
        <v>45799.500694444447</v>
      </c>
      <c r="E429" s="1" t="s">
        <v>2410</v>
      </c>
      <c r="F429" s="1" t="s">
        <v>2410</v>
      </c>
      <c r="G429" s="1" t="s">
        <v>746</v>
      </c>
      <c r="H429" s="2">
        <v>45799.586805555555</v>
      </c>
      <c r="J429" s="1" t="s">
        <v>18</v>
      </c>
    </row>
    <row r="430" spans="1:10" hidden="1" x14ac:dyDescent="0.25">
      <c r="A430" s="1" t="str">
        <f>_xlfn.XLOOKUP(E430,Base!G:G,Base!C:C,"NOVO")</f>
        <v>PENDENTE</v>
      </c>
      <c r="B430" s="1">
        <v>3266593</v>
      </c>
      <c r="C430" s="1" t="s">
        <v>26</v>
      </c>
      <c r="D430" s="2">
        <v>45713.293749999997</v>
      </c>
      <c r="E430" s="1" t="s">
        <v>1104</v>
      </c>
      <c r="F430" s="1" t="s">
        <v>1105</v>
      </c>
      <c r="G430" s="1" t="s">
        <v>85</v>
      </c>
      <c r="H430" s="2">
        <v>45713.42083333333</v>
      </c>
      <c r="J430" s="1" t="s">
        <v>18</v>
      </c>
    </row>
    <row r="431" spans="1:10" hidden="1" x14ac:dyDescent="0.25">
      <c r="A431" s="1" t="str">
        <f>_xlfn.XLOOKUP(E431,Base!G:G,Base!C:C,"NOVO")</f>
        <v>PENDENTE</v>
      </c>
      <c r="B431" s="1">
        <v>3435184</v>
      </c>
      <c r="C431" s="1" t="s">
        <v>26</v>
      </c>
      <c r="D431" s="2">
        <v>45798.697222222225</v>
      </c>
      <c r="E431" s="1" t="s">
        <v>2411</v>
      </c>
      <c r="F431" s="1" t="s">
        <v>2412</v>
      </c>
      <c r="G431" s="1" t="s">
        <v>392</v>
      </c>
      <c r="H431" s="2">
        <v>45798.781944444447</v>
      </c>
      <c r="J431" s="1" t="s">
        <v>19</v>
      </c>
    </row>
    <row r="432" spans="1:10" x14ac:dyDescent="0.25">
      <c r="A432" s="1" t="str">
        <f>_xlfn.XLOOKUP(E432,Base!G:G,Base!C:C,"NOVO")</f>
        <v>PENDENTE</v>
      </c>
      <c r="B432" s="1">
        <v>3479156</v>
      </c>
      <c r="C432" s="1" t="s">
        <v>26</v>
      </c>
      <c r="D432" s="2">
        <v>45820.54791666667</v>
      </c>
      <c r="E432" s="1" t="s">
        <v>2707</v>
      </c>
      <c r="F432" s="1" t="s">
        <v>2708</v>
      </c>
      <c r="G432" s="1" t="s">
        <v>64</v>
      </c>
      <c r="H432" s="2">
        <v>45820.636805555558</v>
      </c>
      <c r="J432" s="1" t="s">
        <v>1244</v>
      </c>
    </row>
    <row r="433" spans="1:10" hidden="1" x14ac:dyDescent="0.25">
      <c r="A433" s="1" t="str">
        <f>_xlfn.XLOOKUP(E433,Base!G:G,Base!C:C,"NOVO")</f>
        <v>PENDENTE</v>
      </c>
      <c r="B433" s="1">
        <v>3221812</v>
      </c>
      <c r="C433" s="1" t="s">
        <v>26</v>
      </c>
      <c r="D433" s="2">
        <v>45691.709027777775</v>
      </c>
      <c r="E433" s="1" t="s">
        <v>760</v>
      </c>
      <c r="F433" s="1" t="s">
        <v>760</v>
      </c>
      <c r="G433" s="1" t="s">
        <v>83</v>
      </c>
      <c r="H433" s="2">
        <v>45691.84097222222</v>
      </c>
      <c r="J433" s="1" t="s">
        <v>18</v>
      </c>
    </row>
    <row r="434" spans="1:10" hidden="1" x14ac:dyDescent="0.25">
      <c r="A434" s="1" t="str">
        <f>_xlfn.XLOOKUP(E434,Base!G:G,Base!C:C,"NOVO")</f>
        <v>PENDENTE</v>
      </c>
      <c r="B434" s="1">
        <v>3221581</v>
      </c>
      <c r="C434" s="1" t="s">
        <v>26</v>
      </c>
      <c r="D434" s="2">
        <v>45691.709027777775</v>
      </c>
      <c r="E434" s="1" t="s">
        <v>761</v>
      </c>
      <c r="F434" s="1" t="s">
        <v>761</v>
      </c>
      <c r="G434" s="1" t="s">
        <v>692</v>
      </c>
      <c r="H434" s="2">
        <v>45691.775000000001</v>
      </c>
      <c r="I434" s="2">
        <v>45691.836805555555</v>
      </c>
      <c r="J434" s="1" t="s">
        <v>18</v>
      </c>
    </row>
    <row r="435" spans="1:10" hidden="1" x14ac:dyDescent="0.25">
      <c r="A435" s="1" t="str">
        <f>_xlfn.XLOOKUP(E435,Base!G:G,Base!C:C,"NOVO")</f>
        <v>PENDENTE</v>
      </c>
      <c r="B435" s="1">
        <v>3376605</v>
      </c>
      <c r="C435" s="1" t="s">
        <v>26</v>
      </c>
      <c r="D435" s="2">
        <v>45769.670138888891</v>
      </c>
      <c r="E435" s="1" t="s">
        <v>1993</v>
      </c>
      <c r="F435" s="1" t="s">
        <v>1993</v>
      </c>
      <c r="G435" s="1" t="s">
        <v>652</v>
      </c>
      <c r="H435" s="2">
        <v>45769.762499999997</v>
      </c>
      <c r="J435" s="1" t="s">
        <v>18</v>
      </c>
    </row>
    <row r="436" spans="1:10" hidden="1" x14ac:dyDescent="0.25">
      <c r="A436" s="1" t="str">
        <f>_xlfn.XLOOKUP(E436,Base!G:G,Base!C:C,"NOVO")</f>
        <v>PENDENTE</v>
      </c>
      <c r="B436" s="1">
        <v>3405649</v>
      </c>
      <c r="C436" s="1" t="s">
        <v>26</v>
      </c>
      <c r="D436" s="2">
        <v>45784.472222222219</v>
      </c>
      <c r="E436" s="1" t="s">
        <v>2212</v>
      </c>
      <c r="F436" s="1" t="s">
        <v>2213</v>
      </c>
      <c r="G436" s="1" t="s">
        <v>85</v>
      </c>
      <c r="H436" s="2">
        <v>45784.563888888886</v>
      </c>
      <c r="J436" s="1" t="s">
        <v>18</v>
      </c>
    </row>
    <row r="437" spans="1:10" hidden="1" x14ac:dyDescent="0.25">
      <c r="A437" s="1" t="str">
        <f>_xlfn.XLOOKUP(E437,Base!G:G,Base!C:C,"NOVO")</f>
        <v>PENDENTE</v>
      </c>
      <c r="B437" s="1">
        <v>3459022</v>
      </c>
      <c r="C437" s="1" t="s">
        <v>26</v>
      </c>
      <c r="D437" s="2">
        <v>45811.36041666667</v>
      </c>
      <c r="E437" s="1" t="s">
        <v>2583</v>
      </c>
      <c r="F437" s="1" t="s">
        <v>2583</v>
      </c>
      <c r="G437" s="1" t="s">
        <v>829</v>
      </c>
      <c r="H437" s="2">
        <v>45810.824999999997</v>
      </c>
      <c r="I437" s="2">
        <v>45811.449305555558</v>
      </c>
      <c r="J437" s="1" t="s">
        <v>18</v>
      </c>
    </row>
    <row r="438" spans="1:10" hidden="1" x14ac:dyDescent="0.25">
      <c r="A438" s="1" t="str">
        <f>_xlfn.XLOOKUP(E438,Base!G:G,Base!C:C,"NOVO")</f>
        <v>PENDENTE</v>
      </c>
      <c r="B438" s="1">
        <v>3266525</v>
      </c>
      <c r="C438" s="1" t="s">
        <v>26</v>
      </c>
      <c r="D438" s="2">
        <v>45713.268750000003</v>
      </c>
      <c r="E438" s="1" t="s">
        <v>1106</v>
      </c>
      <c r="F438" s="1" t="s">
        <v>1106</v>
      </c>
      <c r="G438" s="1" t="s">
        <v>1060</v>
      </c>
      <c r="H438" s="2">
        <v>45713.406944444447</v>
      </c>
      <c r="J438" s="1" t="s">
        <v>18</v>
      </c>
    </row>
    <row r="439" spans="1:10" hidden="1" x14ac:dyDescent="0.25">
      <c r="A439" s="1" t="str">
        <f>_xlfn.XLOOKUP(E439,Base!G:G,Base!C:C,"NOVO")</f>
        <v>PENDENTE</v>
      </c>
      <c r="B439" s="1">
        <v>3260945</v>
      </c>
      <c r="C439" s="1" t="s">
        <v>26</v>
      </c>
      <c r="D439" s="2">
        <v>45709.45416666667</v>
      </c>
      <c r="E439" s="1" t="s">
        <v>1107</v>
      </c>
      <c r="F439" s="1" t="s">
        <v>1107</v>
      </c>
      <c r="G439" s="1" t="s">
        <v>620</v>
      </c>
      <c r="H439" s="2">
        <v>45709.586805555555</v>
      </c>
      <c r="J439" s="1" t="s">
        <v>18</v>
      </c>
    </row>
    <row r="440" spans="1:10" hidden="1" x14ac:dyDescent="0.25">
      <c r="A440" s="1" t="str">
        <f>_xlfn.XLOOKUP(E440,Base!G:G,Base!C:C,"NOVO")</f>
        <v>PENDENTE</v>
      </c>
      <c r="B440" s="1">
        <v>3402336</v>
      </c>
      <c r="C440" s="1" t="s">
        <v>26</v>
      </c>
      <c r="D440" s="2">
        <v>45783.501388888886</v>
      </c>
      <c r="E440" s="1" t="s">
        <v>2214</v>
      </c>
      <c r="F440" s="1" t="s">
        <v>2215</v>
      </c>
      <c r="G440" s="1" t="s">
        <v>84</v>
      </c>
      <c r="H440" s="2">
        <v>45783.365277777775</v>
      </c>
      <c r="I440" s="2">
        <v>45783.586111111108</v>
      </c>
      <c r="J440" s="1" t="s">
        <v>1244</v>
      </c>
    </row>
    <row r="441" spans="1:10" hidden="1" x14ac:dyDescent="0.25">
      <c r="A441" s="1" t="str">
        <f>_xlfn.XLOOKUP(E441,Base!G:G,Base!C:C,"NOVO")</f>
        <v>PENDENTE</v>
      </c>
      <c r="B441" s="1">
        <v>3299217</v>
      </c>
      <c r="C441" s="1" t="s">
        <v>26</v>
      </c>
      <c r="D441" s="2">
        <v>45729.665277777778</v>
      </c>
      <c r="E441" s="1" t="s">
        <v>1443</v>
      </c>
      <c r="F441" s="1" t="s">
        <v>1444</v>
      </c>
      <c r="G441" s="1" t="s">
        <v>64</v>
      </c>
      <c r="H441" s="2">
        <v>45729.752083333333</v>
      </c>
      <c r="J441" s="1" t="s">
        <v>1244</v>
      </c>
    </row>
    <row r="442" spans="1:10" hidden="1" x14ac:dyDescent="0.25">
      <c r="A442" s="1" t="str">
        <f>_xlfn.XLOOKUP(E442,Base!G:G,Base!C:C,"NOVO")</f>
        <v>PENDENTE</v>
      </c>
      <c r="B442" s="1">
        <v>3453464</v>
      </c>
      <c r="C442" s="1" t="s">
        <v>26</v>
      </c>
      <c r="D442" s="2">
        <v>45807.536805555559</v>
      </c>
      <c r="E442" s="1" t="s">
        <v>2556</v>
      </c>
      <c r="F442" s="1" t="s">
        <v>2556</v>
      </c>
      <c r="G442" s="1" t="s">
        <v>746</v>
      </c>
      <c r="H442" s="2">
        <v>45807.62777777778</v>
      </c>
      <c r="J442" s="1" t="s">
        <v>18</v>
      </c>
    </row>
    <row r="443" spans="1:10" hidden="1" x14ac:dyDescent="0.25">
      <c r="A443" s="1" t="str">
        <f>_xlfn.XLOOKUP(E443,Base!G:G,Base!C:C,"NOVO")</f>
        <v>PENDENTE</v>
      </c>
      <c r="B443" s="1">
        <v>3390857</v>
      </c>
      <c r="C443" s="1" t="s">
        <v>26</v>
      </c>
      <c r="D443" s="2">
        <v>45783.620138888888</v>
      </c>
      <c r="E443" s="1" t="s">
        <v>2216</v>
      </c>
      <c r="F443" s="1" t="s">
        <v>2217</v>
      </c>
      <c r="G443" s="1" t="s">
        <v>575</v>
      </c>
      <c r="H443" s="2">
        <v>45776.709027777775</v>
      </c>
      <c r="I443" s="2">
        <v>45783.709027777775</v>
      </c>
      <c r="J443" s="1" t="s">
        <v>19</v>
      </c>
    </row>
    <row r="444" spans="1:10" hidden="1" x14ac:dyDescent="0.25">
      <c r="A444" s="1" t="str">
        <f>_xlfn.XLOOKUP(E444,Base!G:G,Base!C:C,"NOVO")</f>
        <v>PENDENTE</v>
      </c>
      <c r="B444" s="1">
        <v>3254373</v>
      </c>
      <c r="C444" s="1" t="s">
        <v>26</v>
      </c>
      <c r="D444" s="2">
        <v>45706.676388888889</v>
      </c>
      <c r="E444" s="1" t="s">
        <v>1108</v>
      </c>
      <c r="F444" s="1" t="s">
        <v>1109</v>
      </c>
      <c r="G444" s="1" t="s">
        <v>64</v>
      </c>
      <c r="H444" s="2">
        <v>45706.806250000001</v>
      </c>
      <c r="J444" s="1" t="s">
        <v>1244</v>
      </c>
    </row>
    <row r="445" spans="1:10" hidden="1" x14ac:dyDescent="0.25">
      <c r="A445" s="1" t="str">
        <f>_xlfn.XLOOKUP(E445,Base!G:G,Base!C:C,"NOVO")</f>
        <v>PENDENTE</v>
      </c>
      <c r="B445" s="1">
        <v>3221585</v>
      </c>
      <c r="C445" s="1" t="s">
        <v>26</v>
      </c>
      <c r="D445" s="2">
        <v>45693.595138888886</v>
      </c>
      <c r="E445" s="1" t="s">
        <v>763</v>
      </c>
      <c r="F445" s="1" t="s">
        <v>763</v>
      </c>
      <c r="G445" s="1" t="s">
        <v>692</v>
      </c>
      <c r="H445" s="2">
        <v>45691.775000000001</v>
      </c>
      <c r="I445" s="2">
        <v>45694.902777777781</v>
      </c>
      <c r="J445" s="1" t="s">
        <v>18</v>
      </c>
    </row>
    <row r="446" spans="1:10" hidden="1" x14ac:dyDescent="0.25">
      <c r="A446" s="1" t="str">
        <f>_xlfn.XLOOKUP(E446,Base!G:G,Base!C:C,"NOVO")</f>
        <v>PENDENTE</v>
      </c>
      <c r="B446" s="1">
        <v>3313044</v>
      </c>
      <c r="C446" s="1" t="s">
        <v>26</v>
      </c>
      <c r="D446" s="2">
        <v>45736.326388888891</v>
      </c>
      <c r="E446" s="1" t="s">
        <v>1739</v>
      </c>
      <c r="F446" s="1" t="s">
        <v>1740</v>
      </c>
      <c r="G446" s="1" t="s">
        <v>64</v>
      </c>
      <c r="H446" s="2">
        <v>45736.420138888891</v>
      </c>
      <c r="J446" s="1" t="s">
        <v>1244</v>
      </c>
    </row>
    <row r="447" spans="1:10" hidden="1" x14ac:dyDescent="0.25">
      <c r="A447" s="1" t="str">
        <f>_xlfn.XLOOKUP(E447,Base!G:G,Base!C:C,"NOVO")</f>
        <v>PENDENTE</v>
      </c>
      <c r="B447" s="1">
        <v>3324931</v>
      </c>
      <c r="C447" s="1" t="s">
        <v>26</v>
      </c>
      <c r="D447" s="2">
        <v>45742.326388888891</v>
      </c>
      <c r="E447" s="1" t="s">
        <v>1741</v>
      </c>
      <c r="F447" s="1" t="s">
        <v>1742</v>
      </c>
      <c r="G447" s="1" t="s">
        <v>64</v>
      </c>
      <c r="H447" s="2">
        <v>45742.418749999997</v>
      </c>
      <c r="J447" s="1" t="s">
        <v>1244</v>
      </c>
    </row>
    <row r="448" spans="1:10" hidden="1" x14ac:dyDescent="0.25">
      <c r="A448" s="1" t="str">
        <f>_xlfn.XLOOKUP(E448,Base!G:G,Base!C:C,"NOVO")</f>
        <v>PENDENTE</v>
      </c>
      <c r="B448" s="1">
        <v>3228913</v>
      </c>
      <c r="C448" s="1" t="s">
        <v>26</v>
      </c>
      <c r="D448" s="2">
        <v>45694.3125</v>
      </c>
      <c r="E448" s="1" t="s">
        <v>971</v>
      </c>
      <c r="F448" s="1" t="s">
        <v>971</v>
      </c>
      <c r="G448" s="1" t="s">
        <v>394</v>
      </c>
      <c r="H448" s="2">
        <v>45694.509722222225</v>
      </c>
      <c r="I448" s="2">
        <v>45694.885416666664</v>
      </c>
      <c r="J448" s="1" t="s">
        <v>18</v>
      </c>
    </row>
    <row r="449" spans="1:10" hidden="1" x14ac:dyDescent="0.25">
      <c r="A449" s="1" t="str">
        <f>_xlfn.XLOOKUP(E449,Base!G:G,Base!C:C,"NOVO")</f>
        <v>PENDENTE</v>
      </c>
      <c r="B449" s="1">
        <v>3419802</v>
      </c>
      <c r="C449" s="1" t="s">
        <v>26</v>
      </c>
      <c r="D449" s="2">
        <v>45799.784722222219</v>
      </c>
      <c r="E449" s="1" t="s">
        <v>2310</v>
      </c>
      <c r="F449" s="1" t="s">
        <v>2310</v>
      </c>
      <c r="G449" s="1" t="s">
        <v>396</v>
      </c>
      <c r="H449" s="2">
        <v>45791.556944444441</v>
      </c>
      <c r="I449" s="2">
        <v>45799.879166666666</v>
      </c>
      <c r="J449" s="1" t="s">
        <v>18</v>
      </c>
    </row>
    <row r="450" spans="1:10" x14ac:dyDescent="0.25">
      <c r="A450" s="1" t="str">
        <f>_xlfn.XLOOKUP(E450,Base!G:G,Base!C:C,"NOVO")</f>
        <v>PENDENTE</v>
      </c>
      <c r="B450" s="1">
        <v>3476371</v>
      </c>
      <c r="C450" s="1" t="s">
        <v>26</v>
      </c>
      <c r="D450" s="2">
        <v>45819.410416666666</v>
      </c>
      <c r="E450" s="1" t="s">
        <v>2709</v>
      </c>
      <c r="F450" s="1" t="s">
        <v>2709</v>
      </c>
      <c r="G450" s="1" t="s">
        <v>578</v>
      </c>
      <c r="H450" s="2">
        <v>45819.480555555558</v>
      </c>
      <c r="I450" s="2">
        <v>45819.501388888886</v>
      </c>
      <c r="J450" s="1" t="s">
        <v>18</v>
      </c>
    </row>
    <row r="451" spans="1:10" x14ac:dyDescent="0.25">
      <c r="A451" s="1" t="str">
        <f>_xlfn.XLOOKUP(E451,Base!G:G,Base!C:C,"NOVO")</f>
        <v>PENDENTE</v>
      </c>
      <c r="B451" s="1">
        <v>3476372</v>
      </c>
      <c r="C451" s="1" t="s">
        <v>26</v>
      </c>
      <c r="D451" s="2">
        <v>45819.410416666666</v>
      </c>
      <c r="E451" s="1" t="s">
        <v>2710</v>
      </c>
      <c r="F451" s="1" t="s">
        <v>2709</v>
      </c>
      <c r="G451" s="1" t="s">
        <v>2398</v>
      </c>
      <c r="H451" s="2">
        <v>45819.480555555558</v>
      </c>
      <c r="I451" s="2">
        <v>45819.502083333333</v>
      </c>
      <c r="J451" s="1" t="s">
        <v>18</v>
      </c>
    </row>
    <row r="452" spans="1:10" hidden="1" x14ac:dyDescent="0.25">
      <c r="A452" s="1" t="str">
        <f>_xlfn.XLOOKUP(E452,Base!G:G,Base!C:C,"NOVO")</f>
        <v>PENDENTE</v>
      </c>
      <c r="B452" s="1">
        <v>3364376</v>
      </c>
      <c r="C452" s="1" t="s">
        <v>26</v>
      </c>
      <c r="D452" s="2">
        <v>45761.615277777775</v>
      </c>
      <c r="E452" s="1" t="s">
        <v>1994</v>
      </c>
      <c r="F452" s="1" t="s">
        <v>1994</v>
      </c>
      <c r="G452" s="1" t="s">
        <v>396</v>
      </c>
      <c r="H452" s="2">
        <v>45761.7</v>
      </c>
      <c r="J452" s="1" t="s">
        <v>18</v>
      </c>
    </row>
    <row r="453" spans="1:10" x14ac:dyDescent="0.25">
      <c r="A453" s="1" t="str">
        <f>_xlfn.XLOOKUP(E453,Base!G:G,Base!C:C,"NOVO")</f>
        <v>PENDENTE</v>
      </c>
      <c r="B453" s="1">
        <v>3478426</v>
      </c>
      <c r="C453" s="1" t="s">
        <v>26</v>
      </c>
      <c r="D453" s="2">
        <v>45820.40347222222</v>
      </c>
      <c r="E453" s="1" t="s">
        <v>2711</v>
      </c>
      <c r="F453" s="1" t="s">
        <v>2711</v>
      </c>
      <c r="G453" s="1" t="s">
        <v>620</v>
      </c>
      <c r="H453" s="2">
        <v>45820.491666666669</v>
      </c>
      <c r="J453" s="1" t="s">
        <v>18</v>
      </c>
    </row>
    <row r="454" spans="1:10" hidden="1" x14ac:dyDescent="0.25">
      <c r="A454" s="1" t="str">
        <f>_xlfn.XLOOKUP(E454,Base!G:G,Base!C:C,"NOVO")</f>
        <v>PENDENTE</v>
      </c>
      <c r="B454" s="1">
        <v>3362735</v>
      </c>
      <c r="C454" s="1" t="s">
        <v>26</v>
      </c>
      <c r="D454" s="2">
        <v>45805.702777777777</v>
      </c>
      <c r="E454" s="1" t="s">
        <v>1995</v>
      </c>
      <c r="F454" s="1" t="s">
        <v>1995</v>
      </c>
      <c r="G454" s="1" t="s">
        <v>83</v>
      </c>
      <c r="H454" s="2">
        <v>45760.730555555558</v>
      </c>
      <c r="I454" s="2">
        <v>45805.797222222223</v>
      </c>
      <c r="J454" s="1" t="s">
        <v>18</v>
      </c>
    </row>
    <row r="455" spans="1:10" hidden="1" x14ac:dyDescent="0.25">
      <c r="A455" s="1" t="str">
        <f>_xlfn.XLOOKUP(E455,Base!G:G,Base!C:C,"NOVO")</f>
        <v>PENDENTE</v>
      </c>
      <c r="B455" s="1">
        <v>3232093</v>
      </c>
      <c r="C455" s="1" t="s">
        <v>26</v>
      </c>
      <c r="D455" s="2">
        <v>45695.531944444447</v>
      </c>
      <c r="E455" s="1" t="s">
        <v>972</v>
      </c>
      <c r="F455" s="1" t="s">
        <v>972</v>
      </c>
      <c r="G455" s="1" t="s">
        <v>589</v>
      </c>
      <c r="H455" s="2">
        <v>45695.662499999999</v>
      </c>
      <c r="J455" s="1" t="s">
        <v>18</v>
      </c>
    </row>
    <row r="456" spans="1:10" x14ac:dyDescent="0.25">
      <c r="A456" s="1" t="str">
        <f>_xlfn.XLOOKUP(E456,Base!G:G,Base!C:C,"NOVO")</f>
        <v>PENDENTE</v>
      </c>
      <c r="B456" s="1">
        <v>3469569</v>
      </c>
      <c r="C456" s="1" t="s">
        <v>26</v>
      </c>
      <c r="D456" s="2">
        <v>45814.681944444441</v>
      </c>
      <c r="E456" s="1" t="s">
        <v>2712</v>
      </c>
      <c r="F456" s="1" t="s">
        <v>2712</v>
      </c>
      <c r="G456" s="1" t="s">
        <v>396</v>
      </c>
      <c r="H456" s="2">
        <v>45814.772916666669</v>
      </c>
      <c r="J456" s="1" t="s">
        <v>18</v>
      </c>
    </row>
    <row r="457" spans="1:10" hidden="1" x14ac:dyDescent="0.25">
      <c r="A457" s="1" t="str">
        <f>_xlfn.XLOOKUP(E457,Base!G:G,Base!C:C,"NOVO")</f>
        <v>PENDENTE</v>
      </c>
      <c r="B457" s="1">
        <v>3418894</v>
      </c>
      <c r="C457" s="1" t="s">
        <v>26</v>
      </c>
      <c r="D457" s="2">
        <v>45790.774305555555</v>
      </c>
      <c r="E457" s="1" t="s">
        <v>2311</v>
      </c>
      <c r="F457" s="1" t="s">
        <v>2311</v>
      </c>
      <c r="G457" s="1" t="s">
        <v>652</v>
      </c>
      <c r="H457" s="2">
        <v>45790.870138888888</v>
      </c>
      <c r="J457" s="1" t="s">
        <v>18</v>
      </c>
    </row>
    <row r="458" spans="1:10" hidden="1" x14ac:dyDescent="0.25">
      <c r="A458" s="1" t="str">
        <f>_xlfn.XLOOKUP(E458,Base!G:G,Base!C:C,"NOVO")</f>
        <v>PENDENTE</v>
      </c>
      <c r="B458" s="1">
        <v>3233355</v>
      </c>
      <c r="C458" s="1" t="s">
        <v>26</v>
      </c>
      <c r="D458" s="2">
        <v>45695.722916666666</v>
      </c>
      <c r="E458" s="1" t="s">
        <v>973</v>
      </c>
      <c r="F458" s="1" t="s">
        <v>973</v>
      </c>
      <c r="G458" s="1" t="s">
        <v>83</v>
      </c>
      <c r="H458" s="2">
        <v>45695.868055555555</v>
      </c>
      <c r="J458" s="1" t="s">
        <v>18</v>
      </c>
    </row>
    <row r="459" spans="1:10" hidden="1" x14ac:dyDescent="0.25">
      <c r="A459" s="1" t="str">
        <f>_xlfn.XLOOKUP(E459,Base!G:G,Base!C:C,"NOVO")</f>
        <v>PENDENTE</v>
      </c>
      <c r="B459" s="1">
        <v>3263662</v>
      </c>
      <c r="C459" s="1" t="s">
        <v>26</v>
      </c>
      <c r="D459" s="2">
        <v>45712.306944444441</v>
      </c>
      <c r="E459" s="1" t="s">
        <v>1110</v>
      </c>
      <c r="F459" s="1" t="s">
        <v>1110</v>
      </c>
      <c r="G459" s="1" t="s">
        <v>398</v>
      </c>
      <c r="H459" s="2">
        <v>45712.445138888892</v>
      </c>
      <c r="J459" s="1" t="s">
        <v>18</v>
      </c>
    </row>
    <row r="460" spans="1:10" hidden="1" x14ac:dyDescent="0.25">
      <c r="A460" s="1" t="str">
        <f>_xlfn.XLOOKUP(E460,Base!G:G,Base!C:C,"NOVO")</f>
        <v>PENDENTE</v>
      </c>
      <c r="B460" s="1">
        <v>3266494</v>
      </c>
      <c r="C460" s="1" t="s">
        <v>26</v>
      </c>
      <c r="D460" s="2">
        <v>45713.268750000003</v>
      </c>
      <c r="E460" s="1" t="s">
        <v>1111</v>
      </c>
      <c r="F460" s="1" t="s">
        <v>1111</v>
      </c>
      <c r="G460" s="1" t="s">
        <v>1064</v>
      </c>
      <c r="H460" s="2">
        <v>45713.404166666667</v>
      </c>
      <c r="J460" s="1" t="s">
        <v>19</v>
      </c>
    </row>
    <row r="461" spans="1:10" hidden="1" x14ac:dyDescent="0.25">
      <c r="A461" s="1" t="str">
        <f>_xlfn.XLOOKUP(E461,Base!G:G,Base!C:C,"NOVO")</f>
        <v>PENDENTE</v>
      </c>
      <c r="B461" s="1">
        <v>3318332</v>
      </c>
      <c r="C461" s="1" t="s">
        <v>26</v>
      </c>
      <c r="D461" s="2">
        <v>45740.330555555556</v>
      </c>
      <c r="E461" s="1" t="s">
        <v>1743</v>
      </c>
      <c r="F461" s="1" t="s">
        <v>1743</v>
      </c>
      <c r="G461" s="1" t="s">
        <v>83</v>
      </c>
      <c r="H461" s="2">
        <v>45737.86041666667</v>
      </c>
      <c r="I461" s="2">
        <v>45740.420138888891</v>
      </c>
      <c r="J461" s="1" t="s">
        <v>18</v>
      </c>
    </row>
    <row r="462" spans="1:10" hidden="1" x14ac:dyDescent="0.25">
      <c r="A462" s="1" t="str">
        <f>_xlfn.XLOOKUP(E462,Base!G:G,Base!C:C,"NOVO")</f>
        <v>PENDENTE</v>
      </c>
      <c r="B462" s="1">
        <v>3226268</v>
      </c>
      <c r="C462" s="1" t="s">
        <v>26</v>
      </c>
      <c r="D462" s="2">
        <v>45693.349305555559</v>
      </c>
      <c r="E462" s="1" t="s">
        <v>974</v>
      </c>
      <c r="F462" s="1" t="s">
        <v>974</v>
      </c>
      <c r="G462" s="1" t="s">
        <v>692</v>
      </c>
      <c r="H462" s="2">
        <v>45693.543749999997</v>
      </c>
      <c r="I462" s="2">
        <v>45694.936111111114</v>
      </c>
      <c r="J462" s="1" t="s">
        <v>18</v>
      </c>
    </row>
    <row r="463" spans="1:10" hidden="1" x14ac:dyDescent="0.25">
      <c r="A463" s="1" t="str">
        <f>_xlfn.XLOOKUP(E463,Base!G:G,Base!C:C,"NOVO")</f>
        <v>PENDENTE</v>
      </c>
      <c r="B463" s="1">
        <v>3309052</v>
      </c>
      <c r="C463" s="1" t="s">
        <v>26</v>
      </c>
      <c r="D463" s="2">
        <v>45735.381249999999</v>
      </c>
      <c r="E463" s="1" t="s">
        <v>1744</v>
      </c>
      <c r="F463" s="1" t="s">
        <v>1744</v>
      </c>
      <c r="G463" s="1" t="s">
        <v>408</v>
      </c>
      <c r="H463" s="2">
        <v>45734.788888888892</v>
      </c>
      <c r="I463" s="2">
        <v>45735.47152777778</v>
      </c>
      <c r="J463" s="1" t="s">
        <v>18</v>
      </c>
    </row>
    <row r="464" spans="1:10" hidden="1" x14ac:dyDescent="0.25">
      <c r="A464" s="1" t="str">
        <f>_xlfn.XLOOKUP(E464,Base!G:G,Base!C:C,"NOVO")</f>
        <v>PENDENTE</v>
      </c>
      <c r="B464" s="1">
        <v>3404628</v>
      </c>
      <c r="C464" s="1" t="s">
        <v>26</v>
      </c>
      <c r="D464" s="2">
        <v>45783.7</v>
      </c>
      <c r="E464" s="1" t="s">
        <v>2218</v>
      </c>
      <c r="F464" s="1" t="s">
        <v>2218</v>
      </c>
      <c r="G464" s="1" t="s">
        <v>620</v>
      </c>
      <c r="H464" s="2">
        <v>45783.793749999997</v>
      </c>
      <c r="J464" s="1" t="s">
        <v>18</v>
      </c>
    </row>
    <row r="465" spans="1:10" hidden="1" x14ac:dyDescent="0.25">
      <c r="A465" s="1" t="str">
        <f>_xlfn.XLOOKUP(E465,Base!G:G,Base!C:C,"NOVO")</f>
        <v>PENDENTE</v>
      </c>
      <c r="B465" s="1">
        <v>3226449</v>
      </c>
      <c r="C465" s="1" t="s">
        <v>26</v>
      </c>
      <c r="D465" s="2">
        <v>45693.53402777778</v>
      </c>
      <c r="E465" s="1" t="s">
        <v>975</v>
      </c>
      <c r="F465" s="1" t="s">
        <v>975</v>
      </c>
      <c r="G465" s="1" t="s">
        <v>692</v>
      </c>
      <c r="H465" s="2">
        <v>45693.589583333334</v>
      </c>
      <c r="I465" s="2">
        <v>45694.9375</v>
      </c>
      <c r="J465" s="1" t="s">
        <v>18</v>
      </c>
    </row>
    <row r="466" spans="1:10" hidden="1" x14ac:dyDescent="0.25">
      <c r="A466" s="1" t="str">
        <f>_xlfn.XLOOKUP(E466,Base!G:G,Base!C:C,"NOVO")</f>
        <v>PENDENTE</v>
      </c>
      <c r="B466" s="1">
        <v>3312670</v>
      </c>
      <c r="C466" s="1" t="s">
        <v>26</v>
      </c>
      <c r="D466" s="2">
        <v>45736.440972222219</v>
      </c>
      <c r="E466" s="1" t="s">
        <v>1745</v>
      </c>
      <c r="F466" s="1" t="s">
        <v>1745</v>
      </c>
      <c r="G466" s="1" t="s">
        <v>1060</v>
      </c>
      <c r="H466" s="2">
        <v>45735.848611111112</v>
      </c>
      <c r="I466" s="2">
        <v>45736.53402777778</v>
      </c>
      <c r="J466" s="1" t="s">
        <v>18</v>
      </c>
    </row>
    <row r="467" spans="1:10" hidden="1" x14ac:dyDescent="0.25">
      <c r="A467" s="1" t="str">
        <f>_xlfn.XLOOKUP(E467,Base!G:G,Base!C:C,"NOVO")</f>
        <v>PENDENTE</v>
      </c>
      <c r="B467" s="1">
        <v>3379973</v>
      </c>
      <c r="C467" s="1" t="s">
        <v>26</v>
      </c>
      <c r="D467" s="2">
        <v>45770.730555555558</v>
      </c>
      <c r="E467" s="1" t="s">
        <v>1996</v>
      </c>
      <c r="F467" s="1" t="s">
        <v>1996</v>
      </c>
      <c r="G467" s="1" t="s">
        <v>410</v>
      </c>
      <c r="H467" s="2">
        <v>45770.824999999997</v>
      </c>
      <c r="J467" s="1" t="s">
        <v>18</v>
      </c>
    </row>
    <row r="468" spans="1:10" hidden="1" x14ac:dyDescent="0.25">
      <c r="A468" s="1" t="str">
        <f>_xlfn.XLOOKUP(E468,Base!G:G,Base!C:C,"NOVO")</f>
        <v>PENDENTE</v>
      </c>
      <c r="B468" s="1">
        <v>3385413</v>
      </c>
      <c r="C468" s="1" t="s">
        <v>26</v>
      </c>
      <c r="D468" s="2">
        <v>45772.72152777778</v>
      </c>
      <c r="E468" s="1" t="s">
        <v>1997</v>
      </c>
      <c r="F468" s="1" t="s">
        <v>1997</v>
      </c>
      <c r="G468" s="1" t="s">
        <v>83</v>
      </c>
      <c r="H468" s="2">
        <v>45772.818749999999</v>
      </c>
      <c r="J468" s="1" t="s">
        <v>18</v>
      </c>
    </row>
    <row r="469" spans="1:10" hidden="1" x14ac:dyDescent="0.25">
      <c r="A469" s="1" t="str">
        <f>_xlfn.XLOOKUP(E469,Base!G:G,Base!C:C,"NOVO")</f>
        <v>PENDENTE</v>
      </c>
      <c r="B469" s="1">
        <v>3403308</v>
      </c>
      <c r="C469" s="1" t="s">
        <v>26</v>
      </c>
      <c r="D469" s="2">
        <v>45796.719444444447</v>
      </c>
      <c r="E469" s="1" t="s">
        <v>2219</v>
      </c>
      <c r="F469" s="1" t="s">
        <v>2219</v>
      </c>
      <c r="G469" s="1" t="s">
        <v>620</v>
      </c>
      <c r="H469" s="2">
        <v>45783.647222222222</v>
      </c>
      <c r="I469" s="2">
        <v>45796.804861111108</v>
      </c>
      <c r="J469" s="1" t="s">
        <v>18</v>
      </c>
    </row>
    <row r="470" spans="1:10" hidden="1" x14ac:dyDescent="0.25">
      <c r="A470" s="1" t="str">
        <f>_xlfn.XLOOKUP(E470,Base!G:G,Base!C:C,"NOVO")</f>
        <v>PENDENTE</v>
      </c>
      <c r="B470" s="1">
        <v>3359018</v>
      </c>
      <c r="C470" s="1" t="s">
        <v>26</v>
      </c>
      <c r="D470" s="2">
        <v>45758.561805555553</v>
      </c>
      <c r="E470" s="1" t="s">
        <v>1998</v>
      </c>
      <c r="F470" s="1" t="s">
        <v>1998</v>
      </c>
      <c r="G470" s="1" t="s">
        <v>1131</v>
      </c>
      <c r="H470" s="2">
        <v>45757.775694444441</v>
      </c>
      <c r="I470" s="2">
        <v>45758.647222222222</v>
      </c>
      <c r="J470" s="1" t="s">
        <v>18</v>
      </c>
    </row>
    <row r="471" spans="1:10" hidden="1" x14ac:dyDescent="0.25">
      <c r="A471" s="1" t="str">
        <f>_xlfn.XLOOKUP(E471,Base!G:G,Base!C:C,"NOVO")</f>
        <v>PENDENTE</v>
      </c>
      <c r="B471" s="1">
        <v>3270188</v>
      </c>
      <c r="C471" s="1" t="s">
        <v>26</v>
      </c>
      <c r="D471" s="2">
        <v>45714.616666666669</v>
      </c>
      <c r="E471" s="1" t="s">
        <v>1284</v>
      </c>
      <c r="F471" s="1" t="s">
        <v>1284</v>
      </c>
      <c r="G471" s="1" t="s">
        <v>1054</v>
      </c>
      <c r="H471" s="2">
        <v>45714.627083333333</v>
      </c>
      <c r="I471" s="2">
        <v>45714.743750000001</v>
      </c>
      <c r="J471" s="1" t="s">
        <v>18</v>
      </c>
    </row>
    <row r="472" spans="1:10" hidden="1" x14ac:dyDescent="0.25">
      <c r="A472" s="1" t="str">
        <f>_xlfn.XLOOKUP(E472,Base!G:G,Base!C:C,"NOVO")</f>
        <v>PENDENTE</v>
      </c>
      <c r="B472" s="1">
        <v>3383929</v>
      </c>
      <c r="C472" s="1" t="s">
        <v>26</v>
      </c>
      <c r="D472" s="2">
        <v>45772.496527777781</v>
      </c>
      <c r="E472" s="1" t="s">
        <v>1999</v>
      </c>
      <c r="F472" s="1" t="s">
        <v>2000</v>
      </c>
      <c r="G472" s="1" t="s">
        <v>575</v>
      </c>
      <c r="H472" s="2">
        <v>45772.584027777775</v>
      </c>
      <c r="J472" s="1" t="s">
        <v>19</v>
      </c>
    </row>
    <row r="473" spans="1:10" hidden="1" x14ac:dyDescent="0.25">
      <c r="A473" s="1" t="str">
        <f>_xlfn.XLOOKUP(E473,Base!G:G,Base!C:C,"NOVO")</f>
        <v>PENDENTE</v>
      </c>
      <c r="B473" s="1">
        <v>3271842</v>
      </c>
      <c r="C473" s="1" t="s">
        <v>26</v>
      </c>
      <c r="D473" s="2">
        <v>45715.265972222223</v>
      </c>
      <c r="E473" s="1" t="s">
        <v>1285</v>
      </c>
      <c r="F473" s="1" t="s">
        <v>1286</v>
      </c>
      <c r="G473" s="1" t="s">
        <v>64</v>
      </c>
      <c r="H473" s="2">
        <v>45715.397916666669</v>
      </c>
      <c r="J473" s="1" t="s">
        <v>1244</v>
      </c>
    </row>
    <row r="474" spans="1:10" hidden="1" x14ac:dyDescent="0.25">
      <c r="A474" s="1" t="str">
        <f>_xlfn.XLOOKUP(E474,Base!G:G,Base!C:C,"NOVO")</f>
        <v>PENDENTE</v>
      </c>
      <c r="B474" s="1">
        <v>3399942</v>
      </c>
      <c r="C474" s="1" t="s">
        <v>26</v>
      </c>
      <c r="D474" s="2">
        <v>45782.409722222219</v>
      </c>
      <c r="E474" s="1" t="s">
        <v>2220</v>
      </c>
      <c r="F474" s="1" t="s">
        <v>2220</v>
      </c>
      <c r="G474" s="1" t="s">
        <v>83</v>
      </c>
      <c r="H474" s="2">
        <v>45782.502083333333</v>
      </c>
      <c r="J474" s="1" t="s">
        <v>18</v>
      </c>
    </row>
    <row r="475" spans="1:10" hidden="1" x14ac:dyDescent="0.25">
      <c r="A475" s="1" t="str">
        <f>_xlfn.XLOOKUP(E475,Base!G:G,Base!C:C,"NOVO")</f>
        <v>PENDENTE</v>
      </c>
      <c r="B475" s="1">
        <v>3240677</v>
      </c>
      <c r="C475" s="1" t="s">
        <v>26</v>
      </c>
      <c r="D475" s="2">
        <v>45699.737500000003</v>
      </c>
      <c r="E475" s="1" t="s">
        <v>1112</v>
      </c>
      <c r="F475" s="1" t="s">
        <v>1112</v>
      </c>
      <c r="G475" s="1" t="s">
        <v>396</v>
      </c>
      <c r="H475" s="2">
        <v>45699.870138888888</v>
      </c>
      <c r="J475" s="1" t="s">
        <v>18</v>
      </c>
    </row>
    <row r="476" spans="1:10" hidden="1" x14ac:dyDescent="0.25">
      <c r="A476" s="1" t="str">
        <f>_xlfn.XLOOKUP(E476,Base!G:G,Base!C:C,"NOVO")</f>
        <v>PENDENTE</v>
      </c>
      <c r="B476" s="1">
        <v>3226461</v>
      </c>
      <c r="C476" s="1" t="s">
        <v>26</v>
      </c>
      <c r="D476" s="2">
        <v>45693.443055555559</v>
      </c>
      <c r="E476" s="1" t="s">
        <v>976</v>
      </c>
      <c r="F476" s="1" t="s">
        <v>976</v>
      </c>
      <c r="G476" s="1" t="s">
        <v>404</v>
      </c>
      <c r="H476" s="2">
        <v>45693.59097222222</v>
      </c>
      <c r="I476" s="2">
        <v>45694.902083333334</v>
      </c>
      <c r="J476" s="1" t="s">
        <v>18</v>
      </c>
    </row>
    <row r="477" spans="1:10" hidden="1" x14ac:dyDescent="0.25">
      <c r="A477" s="1" t="str">
        <f>_xlfn.XLOOKUP(E477,Base!G:G,Base!C:C,"NOVO")</f>
        <v>PENDENTE</v>
      </c>
      <c r="B477" s="1">
        <v>3400119</v>
      </c>
      <c r="C477" s="1" t="s">
        <v>26</v>
      </c>
      <c r="D477" s="2">
        <v>45782.495138888888</v>
      </c>
      <c r="E477" s="1" t="s">
        <v>2221</v>
      </c>
      <c r="F477" s="1" t="s">
        <v>2221</v>
      </c>
      <c r="G477" s="1" t="s">
        <v>746</v>
      </c>
      <c r="H477" s="2">
        <v>45782.585416666669</v>
      </c>
      <c r="J477" s="1" t="s">
        <v>18</v>
      </c>
    </row>
    <row r="478" spans="1:10" hidden="1" x14ac:dyDescent="0.25">
      <c r="A478" s="1" t="str">
        <f>_xlfn.XLOOKUP(E478,Base!G:G,Base!C:C,"NOVO")</f>
        <v>PENDENTE</v>
      </c>
      <c r="B478" s="1">
        <v>3318346</v>
      </c>
      <c r="C478" s="1" t="s">
        <v>26</v>
      </c>
      <c r="D478" s="2">
        <v>45737.770138888889</v>
      </c>
      <c r="E478" s="1" t="s">
        <v>1746</v>
      </c>
      <c r="F478" s="1" t="s">
        <v>1746</v>
      </c>
      <c r="G478" s="1" t="s">
        <v>83</v>
      </c>
      <c r="H478" s="2">
        <v>45737.861111111109</v>
      </c>
      <c r="J478" s="1" t="s">
        <v>18</v>
      </c>
    </row>
    <row r="479" spans="1:10" hidden="1" x14ac:dyDescent="0.25">
      <c r="A479" s="1" t="str">
        <f>_xlfn.XLOOKUP(E479,Base!G:G,Base!C:C,"NOVO")</f>
        <v>PENDENTE</v>
      </c>
      <c r="B479" s="1">
        <v>3332254</v>
      </c>
      <c r="C479" s="1" t="s">
        <v>26</v>
      </c>
      <c r="D479" s="2">
        <v>45783.439583333333</v>
      </c>
      <c r="E479" s="1" t="s">
        <v>1747</v>
      </c>
      <c r="F479" s="1" t="s">
        <v>1747</v>
      </c>
      <c r="G479" s="1" t="s">
        <v>83</v>
      </c>
      <c r="H479" s="2">
        <v>45744.85833333333</v>
      </c>
      <c r="I479" s="2">
        <v>45783.534722222219</v>
      </c>
      <c r="J479" s="1" t="s">
        <v>18</v>
      </c>
    </row>
    <row r="480" spans="1:10" hidden="1" x14ac:dyDescent="0.25">
      <c r="A480" s="1" t="str">
        <f>_xlfn.XLOOKUP(E480,Base!G:G,Base!C:C,"NOVO")</f>
        <v>PENDENTE</v>
      </c>
      <c r="B480" s="1">
        <v>3251454</v>
      </c>
      <c r="C480" s="1" t="s">
        <v>26</v>
      </c>
      <c r="D480" s="2">
        <v>45705.770138888889</v>
      </c>
      <c r="E480" s="1" t="s">
        <v>1113</v>
      </c>
      <c r="F480" s="1" t="s">
        <v>1113</v>
      </c>
      <c r="G480" s="1" t="s">
        <v>1114</v>
      </c>
      <c r="H480" s="2">
        <v>45705.900694444441</v>
      </c>
      <c r="J480" s="1" t="s">
        <v>18</v>
      </c>
    </row>
    <row r="481" spans="1:10" hidden="1" x14ac:dyDescent="0.25">
      <c r="A481" s="1" t="str">
        <f>_xlfn.XLOOKUP(E481,Base!G:G,Base!C:C,"NOVO")</f>
        <v>PENDENTE</v>
      </c>
      <c r="B481" s="1">
        <v>3359775</v>
      </c>
      <c r="C481" s="1" t="s">
        <v>26</v>
      </c>
      <c r="D481" s="2">
        <v>45757.811805555553</v>
      </c>
      <c r="E481" s="1" t="s">
        <v>2001</v>
      </c>
      <c r="F481" s="1" t="s">
        <v>2001</v>
      </c>
      <c r="G481" s="1" t="s">
        <v>410</v>
      </c>
      <c r="H481" s="2">
        <v>45757.896527777775</v>
      </c>
      <c r="J481" s="1" t="s">
        <v>18</v>
      </c>
    </row>
    <row r="482" spans="1:10" hidden="1" x14ac:dyDescent="0.25">
      <c r="A482" s="1" t="str">
        <f>_xlfn.XLOOKUP(E482,Base!G:G,Base!C:C,"NOVO")</f>
        <v>PENDENTE</v>
      </c>
      <c r="B482" s="1">
        <v>3227490</v>
      </c>
      <c r="C482" s="1" t="s">
        <v>26</v>
      </c>
      <c r="D482" s="2">
        <v>45693.602083333331</v>
      </c>
      <c r="E482" s="1" t="s">
        <v>977</v>
      </c>
      <c r="F482" s="1" t="s">
        <v>977</v>
      </c>
      <c r="G482" s="1" t="s">
        <v>865</v>
      </c>
      <c r="H482" s="2">
        <v>45693.754166666666</v>
      </c>
      <c r="I482" s="2">
        <v>45694.938888888886</v>
      </c>
      <c r="J482" s="1" t="s">
        <v>18</v>
      </c>
    </row>
    <row r="483" spans="1:10" hidden="1" x14ac:dyDescent="0.25">
      <c r="A483" s="1" t="str">
        <f>_xlfn.XLOOKUP(E483,Base!G:G,Base!C:C,"NOVO")</f>
        <v>PENDENTE</v>
      </c>
      <c r="B483" s="1">
        <v>3351354</v>
      </c>
      <c r="C483" s="1" t="s">
        <v>26</v>
      </c>
      <c r="D483" s="2">
        <v>45754.696527777778</v>
      </c>
      <c r="E483" s="1" t="s">
        <v>1748</v>
      </c>
      <c r="F483" s="1" t="s">
        <v>1748</v>
      </c>
      <c r="G483" s="1" t="s">
        <v>652</v>
      </c>
      <c r="H483" s="2">
        <v>45754.784722222219</v>
      </c>
      <c r="J483" s="1" t="s">
        <v>18</v>
      </c>
    </row>
    <row r="484" spans="1:10" hidden="1" x14ac:dyDescent="0.25">
      <c r="A484" s="1" t="str">
        <f>_xlfn.XLOOKUP(E484,Base!G:G,Base!C:C,"NOVO")</f>
        <v>PENDENTE</v>
      </c>
      <c r="B484" s="1">
        <v>3386733</v>
      </c>
      <c r="C484" s="1" t="s">
        <v>26</v>
      </c>
      <c r="D484" s="2">
        <v>45775.400694444441</v>
      </c>
      <c r="E484" s="1" t="s">
        <v>2002</v>
      </c>
      <c r="F484" s="1" t="s">
        <v>2002</v>
      </c>
      <c r="G484" s="1" t="s">
        <v>83</v>
      </c>
      <c r="H484" s="2">
        <v>45775.493055555555</v>
      </c>
      <c r="J484" s="1" t="s">
        <v>18</v>
      </c>
    </row>
    <row r="485" spans="1:10" hidden="1" x14ac:dyDescent="0.25">
      <c r="A485" s="1" t="str">
        <f>_xlfn.XLOOKUP(E485,Base!G:G,Base!C:C,"NOVO")</f>
        <v>PENDENTE</v>
      </c>
      <c r="B485" s="1">
        <v>3392117</v>
      </c>
      <c r="C485" s="1" t="s">
        <v>26</v>
      </c>
      <c r="D485" s="2">
        <v>45776.813888888886</v>
      </c>
      <c r="E485" s="1" t="s">
        <v>2222</v>
      </c>
      <c r="F485" s="1" t="s">
        <v>2222</v>
      </c>
      <c r="G485" s="1" t="s">
        <v>1711</v>
      </c>
      <c r="H485" s="2">
        <v>45776.908333333333</v>
      </c>
      <c r="J485" s="1" t="s">
        <v>18</v>
      </c>
    </row>
    <row r="486" spans="1:10" hidden="1" x14ac:dyDescent="0.25">
      <c r="A486" s="1" t="str">
        <f>_xlfn.XLOOKUP(E486,Base!G:G,Base!C:C,"NOVO")</f>
        <v>PENDENTE</v>
      </c>
      <c r="B486" s="1">
        <v>3302081</v>
      </c>
      <c r="C486" s="1" t="s">
        <v>26</v>
      </c>
      <c r="D486" s="2">
        <v>45730.657638888886</v>
      </c>
      <c r="E486" s="1" t="s">
        <v>1445</v>
      </c>
      <c r="F486" s="1" t="s">
        <v>1445</v>
      </c>
      <c r="G486" s="1" t="s">
        <v>707</v>
      </c>
      <c r="H486" s="2">
        <v>45730.745833333334</v>
      </c>
      <c r="J486" s="1" t="s">
        <v>18</v>
      </c>
    </row>
    <row r="487" spans="1:10" hidden="1" x14ac:dyDescent="0.25">
      <c r="A487" s="1" t="str">
        <f>_xlfn.XLOOKUP(E487,Base!G:G,Base!C:C,"NOVO")</f>
        <v>PENDENTE</v>
      </c>
      <c r="B487" s="1">
        <v>3240673</v>
      </c>
      <c r="C487" s="1" t="s">
        <v>26</v>
      </c>
      <c r="D487" s="2">
        <v>45699.737500000003</v>
      </c>
      <c r="E487" s="1" t="s">
        <v>1116</v>
      </c>
      <c r="F487" s="1" t="s">
        <v>1116</v>
      </c>
      <c r="G487" s="1" t="s">
        <v>1057</v>
      </c>
      <c r="H487" s="2">
        <v>45699.869444444441</v>
      </c>
      <c r="J487" s="1" t="s">
        <v>18</v>
      </c>
    </row>
    <row r="488" spans="1:10" hidden="1" x14ac:dyDescent="0.25">
      <c r="A488" s="1" t="str">
        <f>_xlfn.XLOOKUP(E488,Base!G:G,Base!C:C,"NOVO")</f>
        <v>PENDENTE</v>
      </c>
      <c r="B488" s="1">
        <v>3351334</v>
      </c>
      <c r="C488" s="1" t="s">
        <v>26</v>
      </c>
      <c r="D488" s="2">
        <v>45754.696527777778</v>
      </c>
      <c r="E488" s="1" t="s">
        <v>1749</v>
      </c>
      <c r="F488" s="1" t="s">
        <v>1749</v>
      </c>
      <c r="G488" s="1" t="s">
        <v>707</v>
      </c>
      <c r="H488" s="2">
        <v>45754.78402777778</v>
      </c>
      <c r="J488" s="1" t="s">
        <v>18</v>
      </c>
    </row>
    <row r="489" spans="1:10" hidden="1" x14ac:dyDescent="0.25">
      <c r="A489" s="1" t="str">
        <f>_xlfn.XLOOKUP(E489,Base!G:G,Base!C:C,"NOVO")</f>
        <v>PENDENTE</v>
      </c>
      <c r="B489" s="1">
        <v>3293505</v>
      </c>
      <c r="C489" s="1" t="s">
        <v>26</v>
      </c>
      <c r="D489" s="2">
        <v>45742.662499999999</v>
      </c>
      <c r="E489" s="1" t="s">
        <v>1446</v>
      </c>
      <c r="F489" s="1" t="s">
        <v>1446</v>
      </c>
      <c r="G489" s="1" t="s">
        <v>410</v>
      </c>
      <c r="H489" s="2">
        <v>45727.856944444444</v>
      </c>
      <c r="I489" s="2">
        <v>45742.758333333331</v>
      </c>
      <c r="J489" s="1" t="s">
        <v>18</v>
      </c>
    </row>
    <row r="490" spans="1:10" hidden="1" x14ac:dyDescent="0.25">
      <c r="A490" s="1" t="str">
        <f>_xlfn.XLOOKUP(E490,Base!G:G,Base!C:C,"NOVO")</f>
        <v>PENDENTE</v>
      </c>
      <c r="B490" s="1">
        <v>3307683</v>
      </c>
      <c r="C490" s="1" t="s">
        <v>26</v>
      </c>
      <c r="D490" s="2">
        <v>45734.443055555559</v>
      </c>
      <c r="E490" s="1" t="s">
        <v>1636</v>
      </c>
      <c r="F490" s="1" t="s">
        <v>1636</v>
      </c>
      <c r="G490" s="1" t="s">
        <v>408</v>
      </c>
      <c r="H490" s="2">
        <v>45734.53402777778</v>
      </c>
      <c r="J490" s="1" t="s">
        <v>18</v>
      </c>
    </row>
    <row r="491" spans="1:10" hidden="1" x14ac:dyDescent="0.25">
      <c r="A491" s="1" t="str">
        <f>_xlfn.XLOOKUP(E491,Base!G:G,Base!C:C,"NOVO")</f>
        <v>PENDENTE</v>
      </c>
      <c r="B491" s="1">
        <v>3307684</v>
      </c>
      <c r="C491" s="1" t="s">
        <v>26</v>
      </c>
      <c r="D491" s="2">
        <v>45734.443055555559</v>
      </c>
      <c r="E491" s="1" t="s">
        <v>1637</v>
      </c>
      <c r="F491" s="1" t="s">
        <v>1636</v>
      </c>
      <c r="G491" s="1" t="s">
        <v>1202</v>
      </c>
      <c r="H491" s="2">
        <v>45734.53402777778</v>
      </c>
      <c r="J491" s="1" t="s">
        <v>18</v>
      </c>
    </row>
    <row r="492" spans="1:10" hidden="1" x14ac:dyDescent="0.25">
      <c r="A492" s="1" t="str">
        <f>_xlfn.XLOOKUP(E492,Base!G:G,Base!C:C,"NOVO")</f>
        <v>PENDENTE</v>
      </c>
      <c r="B492" s="1">
        <v>3368969</v>
      </c>
      <c r="C492" s="1" t="s">
        <v>26</v>
      </c>
      <c r="D492" s="2">
        <v>45763.481944444444</v>
      </c>
      <c r="E492" s="1" t="s">
        <v>2003</v>
      </c>
      <c r="F492" s="1" t="s">
        <v>2003</v>
      </c>
      <c r="G492" s="1" t="s">
        <v>410</v>
      </c>
      <c r="H492" s="2">
        <v>45763.575694444444</v>
      </c>
      <c r="J492" s="1" t="s">
        <v>18</v>
      </c>
    </row>
    <row r="493" spans="1:10" hidden="1" x14ac:dyDescent="0.25">
      <c r="A493" s="1" t="str">
        <f>_xlfn.XLOOKUP(E493,Base!G:G,Base!C:C,"NOVO")</f>
        <v>PENDENTE</v>
      </c>
      <c r="B493" s="1">
        <v>3391046</v>
      </c>
      <c r="C493" s="1" t="s">
        <v>26</v>
      </c>
      <c r="D493" s="2">
        <v>45776.627083333333</v>
      </c>
      <c r="E493" s="1" t="s">
        <v>2223</v>
      </c>
      <c r="F493" s="1" t="s">
        <v>2223</v>
      </c>
      <c r="G493" s="1" t="s">
        <v>83</v>
      </c>
      <c r="H493" s="2">
        <v>45776.724999999999</v>
      </c>
      <c r="J493" s="1" t="s">
        <v>18</v>
      </c>
    </row>
    <row r="494" spans="1:10" hidden="1" x14ac:dyDescent="0.25">
      <c r="A494" s="1" t="str">
        <f>_xlfn.XLOOKUP(E494,Base!G:G,Base!C:C,"NOVO")</f>
        <v>PENDENTE</v>
      </c>
      <c r="B494" s="1">
        <v>3344466</v>
      </c>
      <c r="C494" s="1" t="s">
        <v>26</v>
      </c>
      <c r="D494" s="2">
        <v>45750.512499999997</v>
      </c>
      <c r="E494" s="1" t="s">
        <v>1750</v>
      </c>
      <c r="F494" s="1" t="s">
        <v>1750</v>
      </c>
      <c r="G494" s="1" t="s">
        <v>396</v>
      </c>
      <c r="H494" s="2">
        <v>45750.606249999997</v>
      </c>
      <c r="J494" s="1" t="s">
        <v>18</v>
      </c>
    </row>
    <row r="495" spans="1:10" hidden="1" x14ac:dyDescent="0.25">
      <c r="A495" s="1" t="str">
        <f>_xlfn.XLOOKUP(E495,Base!G:G,Base!C:C,"NOVO")</f>
        <v>PENDENTE</v>
      </c>
      <c r="B495" s="1">
        <v>3438058</v>
      </c>
      <c r="C495" s="1" t="s">
        <v>26</v>
      </c>
      <c r="D495" s="2">
        <v>45799.784722222219</v>
      </c>
      <c r="E495" s="1" t="s">
        <v>2413</v>
      </c>
      <c r="F495" s="1" t="s">
        <v>2413</v>
      </c>
      <c r="G495" s="1" t="s">
        <v>396</v>
      </c>
      <c r="H495" s="2">
        <v>45799.879166666666</v>
      </c>
      <c r="J495" s="1" t="s">
        <v>18</v>
      </c>
    </row>
    <row r="496" spans="1:10" hidden="1" x14ac:dyDescent="0.25">
      <c r="A496" s="1" t="str">
        <f>_xlfn.XLOOKUP(E496,Base!G:G,Base!C:C,"NOVO")</f>
        <v>PENDENTE</v>
      </c>
      <c r="B496" s="1">
        <v>3243958</v>
      </c>
      <c r="C496" s="1" t="s">
        <v>26</v>
      </c>
      <c r="D496" s="2">
        <v>45701.382638888892</v>
      </c>
      <c r="E496" s="1" t="s">
        <v>1117</v>
      </c>
      <c r="F496" s="1" t="s">
        <v>1117</v>
      </c>
      <c r="G496" s="1" t="s">
        <v>620</v>
      </c>
      <c r="H496" s="2">
        <v>45701.515972222223</v>
      </c>
      <c r="J496" s="1" t="s">
        <v>18</v>
      </c>
    </row>
    <row r="497" spans="1:10" hidden="1" x14ac:dyDescent="0.25">
      <c r="A497" s="1" t="str">
        <f>_xlfn.XLOOKUP(E497,Base!G:G,Base!C:C,"NOVO")</f>
        <v>PENDENTE</v>
      </c>
      <c r="B497" s="1">
        <v>3330250</v>
      </c>
      <c r="C497" s="1" t="s">
        <v>26</v>
      </c>
      <c r="D497" s="2">
        <v>45744.242361111108</v>
      </c>
      <c r="E497" s="1" t="s">
        <v>1751</v>
      </c>
      <c r="F497" s="1" t="s">
        <v>1751</v>
      </c>
      <c r="G497" s="1" t="s">
        <v>169</v>
      </c>
      <c r="H497" s="2">
        <v>45744.336805555555</v>
      </c>
      <c r="J497" s="1" t="s">
        <v>18</v>
      </c>
    </row>
    <row r="498" spans="1:10" hidden="1" x14ac:dyDescent="0.25">
      <c r="A498" s="1" t="str">
        <f>_xlfn.XLOOKUP(E498,Base!G:G,Base!C:C,"NOVO")</f>
        <v>PENDENTE</v>
      </c>
      <c r="B498" s="1">
        <v>3452886</v>
      </c>
      <c r="C498" s="1" t="s">
        <v>26</v>
      </c>
      <c r="D498" s="2">
        <v>45807.536805555559</v>
      </c>
      <c r="E498" s="1" t="s">
        <v>2557</v>
      </c>
      <c r="F498" s="1" t="s">
        <v>2557</v>
      </c>
      <c r="G498" s="1" t="s">
        <v>746</v>
      </c>
      <c r="H498" s="2">
        <v>45807.53402777778</v>
      </c>
      <c r="I498" s="2">
        <v>45807.629166666666</v>
      </c>
      <c r="J498" s="1" t="s">
        <v>18</v>
      </c>
    </row>
    <row r="499" spans="1:10" hidden="1" x14ac:dyDescent="0.25">
      <c r="A499" s="1" t="str">
        <f>_xlfn.XLOOKUP(E499,Base!G:G,Base!C:C,"NOVO")</f>
        <v>PENDENTE</v>
      </c>
      <c r="B499" s="1">
        <v>3257793</v>
      </c>
      <c r="C499" s="1" t="s">
        <v>26</v>
      </c>
      <c r="D499" s="2">
        <v>45708.489583333336</v>
      </c>
      <c r="E499" s="1" t="s">
        <v>1118</v>
      </c>
      <c r="F499" s="1" t="s">
        <v>1119</v>
      </c>
      <c r="G499" s="1" t="s">
        <v>64</v>
      </c>
      <c r="H499" s="2">
        <v>45708.616666666669</v>
      </c>
      <c r="J499" s="1" t="s">
        <v>1244</v>
      </c>
    </row>
    <row r="500" spans="1:10" hidden="1" x14ac:dyDescent="0.25">
      <c r="A500" s="1" t="str">
        <f>_xlfn.XLOOKUP(E500,Base!G:G,Base!C:C,"NOVO")</f>
        <v>PENDENTE</v>
      </c>
      <c r="B500" s="1">
        <v>3229213</v>
      </c>
      <c r="C500" s="1" t="s">
        <v>26</v>
      </c>
      <c r="D500" s="2">
        <v>45694.473611111112</v>
      </c>
      <c r="E500" s="1" t="s">
        <v>978</v>
      </c>
      <c r="F500" s="1" t="s">
        <v>978</v>
      </c>
      <c r="G500" s="1" t="s">
        <v>652</v>
      </c>
      <c r="H500" s="2">
        <v>45694.668055555558</v>
      </c>
      <c r="I500" s="2">
        <v>45694.911111111112</v>
      </c>
      <c r="J500" s="1" t="s">
        <v>18</v>
      </c>
    </row>
    <row r="501" spans="1:10" hidden="1" x14ac:dyDescent="0.25">
      <c r="A501" s="1" t="str">
        <f>_xlfn.XLOOKUP(E501,Base!G:G,Base!C:C,"NOVO")</f>
        <v>PENDENTE</v>
      </c>
      <c r="B501" s="1">
        <v>3270324</v>
      </c>
      <c r="C501" s="1" t="s">
        <v>26</v>
      </c>
      <c r="D501" s="2">
        <v>45721.758333333331</v>
      </c>
      <c r="E501" s="1" t="s">
        <v>1287</v>
      </c>
      <c r="F501" s="1" t="s">
        <v>1287</v>
      </c>
      <c r="G501" s="1" t="s">
        <v>1054</v>
      </c>
      <c r="H501" s="2">
        <v>45714.678472222222</v>
      </c>
      <c r="I501" s="2">
        <v>45721.887499999997</v>
      </c>
      <c r="J501" s="1" t="s">
        <v>18</v>
      </c>
    </row>
    <row r="502" spans="1:10" hidden="1" x14ac:dyDescent="0.25">
      <c r="A502" s="1" t="str">
        <f>_xlfn.XLOOKUP(E502,Base!G:G,Base!C:C,"NOVO")</f>
        <v>PENDENTE</v>
      </c>
      <c r="B502" s="1">
        <v>3453463</v>
      </c>
      <c r="C502" s="1" t="s">
        <v>26</v>
      </c>
      <c r="D502" s="2">
        <v>45807.536805555559</v>
      </c>
      <c r="E502" s="1" t="s">
        <v>2558</v>
      </c>
      <c r="F502" s="1" t="s">
        <v>2558</v>
      </c>
      <c r="G502" s="1" t="s">
        <v>746</v>
      </c>
      <c r="H502" s="2">
        <v>45807.62777777778</v>
      </c>
      <c r="J502" s="1" t="s">
        <v>18</v>
      </c>
    </row>
    <row r="503" spans="1:10" hidden="1" x14ac:dyDescent="0.25">
      <c r="A503" s="1" t="str">
        <f>_xlfn.XLOOKUP(E503,Base!G:G,Base!C:C,"NOVO")</f>
        <v>PENDENTE</v>
      </c>
      <c r="B503" s="1">
        <v>3305162</v>
      </c>
      <c r="C503" s="1" t="s">
        <v>26</v>
      </c>
      <c r="D503" s="2">
        <v>45734.447222222225</v>
      </c>
      <c r="E503" s="1" t="s">
        <v>1447</v>
      </c>
      <c r="F503" s="1" t="s">
        <v>1447</v>
      </c>
      <c r="G503" s="1" t="s">
        <v>1189</v>
      </c>
      <c r="H503" s="2">
        <v>45733.73333333333</v>
      </c>
      <c r="I503" s="2">
        <v>45734.53402777778</v>
      </c>
      <c r="J503" s="1" t="s">
        <v>18</v>
      </c>
    </row>
    <row r="504" spans="1:10" hidden="1" x14ac:dyDescent="0.25">
      <c r="A504" s="1" t="str">
        <f>_xlfn.XLOOKUP(E504,Base!G:G,Base!C:C,"NOVO")</f>
        <v>PENDENTE</v>
      </c>
      <c r="B504" s="1">
        <v>3367491</v>
      </c>
      <c r="C504" s="1" t="s">
        <v>26</v>
      </c>
      <c r="D504" s="2">
        <v>45762.784722222219</v>
      </c>
      <c r="E504" s="1" t="s">
        <v>2004</v>
      </c>
      <c r="F504" s="1" t="s">
        <v>2004</v>
      </c>
      <c r="G504" s="1" t="s">
        <v>396</v>
      </c>
      <c r="H504" s="2">
        <v>45762.876388888886</v>
      </c>
      <c r="J504" s="1" t="s">
        <v>18</v>
      </c>
    </row>
    <row r="505" spans="1:10" hidden="1" x14ac:dyDescent="0.25">
      <c r="A505" s="1" t="str">
        <f>_xlfn.XLOOKUP(E505,Base!G:G,Base!C:C,"NOVO")</f>
        <v>PENDENTE</v>
      </c>
      <c r="B505" s="1">
        <v>3356462</v>
      </c>
      <c r="C505" s="1" t="s">
        <v>26</v>
      </c>
      <c r="D505" s="2">
        <v>45756.70416666667</v>
      </c>
      <c r="E505" s="1" t="s">
        <v>2005</v>
      </c>
      <c r="F505" s="1" t="s">
        <v>2005</v>
      </c>
      <c r="G505" s="1" t="s">
        <v>396</v>
      </c>
      <c r="H505" s="2">
        <v>45756.793749999997</v>
      </c>
      <c r="J505" s="1" t="s">
        <v>18</v>
      </c>
    </row>
    <row r="506" spans="1:10" hidden="1" x14ac:dyDescent="0.25">
      <c r="A506" s="1" t="str">
        <f>_xlfn.XLOOKUP(E506,Base!G:G,Base!C:C,"NOVO")</f>
        <v>PENDENTE</v>
      </c>
      <c r="B506" s="1">
        <v>3454505</v>
      </c>
      <c r="C506" s="1" t="s">
        <v>26</v>
      </c>
      <c r="D506" s="2">
        <v>45807.704861111109</v>
      </c>
      <c r="E506" s="1" t="s">
        <v>2559</v>
      </c>
      <c r="F506" s="1" t="s">
        <v>2559</v>
      </c>
      <c r="G506" s="1" t="s">
        <v>83</v>
      </c>
      <c r="H506" s="2">
        <v>45807.793749999997</v>
      </c>
      <c r="J506" s="1" t="s">
        <v>18</v>
      </c>
    </row>
    <row r="507" spans="1:10" hidden="1" x14ac:dyDescent="0.25">
      <c r="A507" s="1" t="str">
        <f>_xlfn.XLOOKUP(E507,Base!G:G,Base!C:C,"NOVO")</f>
        <v>PENDENTE</v>
      </c>
      <c r="B507" s="1">
        <v>3232092</v>
      </c>
      <c r="C507" s="1" t="s">
        <v>26</v>
      </c>
      <c r="D507" s="2">
        <v>45695.531944444447</v>
      </c>
      <c r="E507" s="1" t="s">
        <v>979</v>
      </c>
      <c r="F507" s="1" t="s">
        <v>979</v>
      </c>
      <c r="G507" s="1" t="s">
        <v>620</v>
      </c>
      <c r="H507" s="2">
        <v>45695.661805555559</v>
      </c>
      <c r="J507" s="1" t="s">
        <v>18</v>
      </c>
    </row>
    <row r="508" spans="1:10" hidden="1" x14ac:dyDescent="0.25">
      <c r="A508" s="1" t="str">
        <f>_xlfn.XLOOKUP(E508,Base!G:G,Base!C:C,"NOVO")</f>
        <v>PENDENTE</v>
      </c>
      <c r="B508" s="1">
        <v>3419805</v>
      </c>
      <c r="C508" s="1" t="s">
        <v>26</v>
      </c>
      <c r="D508" s="2">
        <v>45791.468055555553</v>
      </c>
      <c r="E508" s="1" t="s">
        <v>2312</v>
      </c>
      <c r="F508" s="1" t="s">
        <v>2312</v>
      </c>
      <c r="G508" s="1" t="s">
        <v>169</v>
      </c>
      <c r="H508" s="2">
        <v>45791.556944444441</v>
      </c>
      <c r="J508" s="1" t="s">
        <v>18</v>
      </c>
    </row>
    <row r="509" spans="1:10" hidden="1" x14ac:dyDescent="0.25">
      <c r="A509" s="1" t="str">
        <f>_xlfn.XLOOKUP(E509,Base!G:G,Base!C:C,"NOVO")</f>
        <v>PENDENTE</v>
      </c>
      <c r="B509" s="1">
        <v>3353715</v>
      </c>
      <c r="C509" s="1" t="s">
        <v>26</v>
      </c>
      <c r="D509" s="2">
        <v>45791.468055555553</v>
      </c>
      <c r="E509" s="1" t="s">
        <v>1752</v>
      </c>
      <c r="F509" s="1" t="s">
        <v>1752</v>
      </c>
      <c r="G509" s="1" t="s">
        <v>410</v>
      </c>
      <c r="H509" s="2">
        <v>45755.724305555559</v>
      </c>
      <c r="I509" s="2">
        <v>45791.556944444441</v>
      </c>
      <c r="J509" s="1" t="s">
        <v>18</v>
      </c>
    </row>
    <row r="510" spans="1:10" x14ac:dyDescent="0.25">
      <c r="A510" s="1" t="str">
        <f>_xlfn.XLOOKUP(E510,Base!G:G,Base!C:C,"NOVO")</f>
        <v>PENDENTE</v>
      </c>
      <c r="B510" s="1">
        <v>3478990</v>
      </c>
      <c r="C510" s="1" t="s">
        <v>26</v>
      </c>
      <c r="D510" s="2">
        <v>45820.524305555555</v>
      </c>
      <c r="E510" s="1" t="s">
        <v>2713</v>
      </c>
      <c r="F510" s="1" t="s">
        <v>2713</v>
      </c>
      <c r="G510" s="1" t="s">
        <v>396</v>
      </c>
      <c r="H510" s="2">
        <v>45820.615972222222</v>
      </c>
      <c r="J510" s="1" t="s">
        <v>18</v>
      </c>
    </row>
    <row r="511" spans="1:10" hidden="1" x14ac:dyDescent="0.25">
      <c r="A511" s="1" t="str">
        <f>_xlfn.XLOOKUP(E511,Base!G:G,Base!C:C,"NOVO")</f>
        <v>PENDENTE</v>
      </c>
      <c r="B511" s="1">
        <v>3275968</v>
      </c>
      <c r="C511" s="1" t="s">
        <v>26</v>
      </c>
      <c r="D511" s="2">
        <v>45716.587500000001</v>
      </c>
      <c r="E511" s="1" t="s">
        <v>1288</v>
      </c>
      <c r="F511" s="1" t="s">
        <v>1288</v>
      </c>
      <c r="G511" s="1" t="s">
        <v>1189</v>
      </c>
      <c r="H511" s="2">
        <v>45716.725694444445</v>
      </c>
      <c r="J511" s="1" t="s">
        <v>18</v>
      </c>
    </row>
    <row r="512" spans="1:10" hidden="1" x14ac:dyDescent="0.25">
      <c r="A512" s="1" t="str">
        <f>_xlfn.XLOOKUP(E512,Base!G:G,Base!C:C,"NOVO")</f>
        <v>PENDENTE</v>
      </c>
      <c r="B512" s="1">
        <v>3410262</v>
      </c>
      <c r="C512" s="1" t="s">
        <v>26</v>
      </c>
      <c r="D512" s="2">
        <v>45785.744444444441</v>
      </c>
      <c r="E512" s="1" t="s">
        <v>2313</v>
      </c>
      <c r="F512" s="1" t="s">
        <v>2313</v>
      </c>
      <c r="G512" s="1" t="s">
        <v>83</v>
      </c>
      <c r="H512" s="2">
        <v>45785.835416666669</v>
      </c>
      <c r="J512" s="1" t="s">
        <v>18</v>
      </c>
    </row>
    <row r="513" spans="1:10" hidden="1" x14ac:dyDescent="0.25">
      <c r="A513" s="1" t="str">
        <f>_xlfn.XLOOKUP(E513,Base!G:G,Base!C:C,"NOVO")</f>
        <v>PENDENTE</v>
      </c>
      <c r="B513" s="1">
        <v>3360301</v>
      </c>
      <c r="C513" s="1" t="s">
        <v>26</v>
      </c>
      <c r="D513" s="2">
        <v>45758.461111111108</v>
      </c>
      <c r="E513" s="1" t="s">
        <v>2006</v>
      </c>
      <c r="F513" s="1" t="s">
        <v>2006</v>
      </c>
      <c r="G513" s="1" t="s">
        <v>754</v>
      </c>
      <c r="H513" s="2">
        <v>45758.547222222223</v>
      </c>
      <c r="J513" s="1" t="s">
        <v>18</v>
      </c>
    </row>
    <row r="514" spans="1:10" hidden="1" x14ac:dyDescent="0.25">
      <c r="A514" s="1" t="str">
        <f>_xlfn.XLOOKUP(E514,Base!G:G,Base!C:C,"NOVO")</f>
        <v>PENDENTE</v>
      </c>
      <c r="B514" s="1">
        <v>3268879</v>
      </c>
      <c r="C514" s="1" t="s">
        <v>26</v>
      </c>
      <c r="D514" s="2">
        <v>45713.710416666669</v>
      </c>
      <c r="E514" s="1" t="s">
        <v>1289</v>
      </c>
      <c r="F514" s="1" t="s">
        <v>1289</v>
      </c>
      <c r="G514" s="1" t="s">
        <v>1054</v>
      </c>
      <c r="H514" s="2">
        <v>45713.847916666666</v>
      </c>
      <c r="J514" s="1" t="s">
        <v>18</v>
      </c>
    </row>
    <row r="515" spans="1:10" hidden="1" x14ac:dyDescent="0.25">
      <c r="A515" s="1" t="str">
        <f>_xlfn.XLOOKUP(E515,Base!G:G,Base!C:C,"NOVO")</f>
        <v>PENDENTE</v>
      </c>
      <c r="B515" s="1">
        <v>3276712</v>
      </c>
      <c r="C515" s="1" t="s">
        <v>26</v>
      </c>
      <c r="D515" s="2">
        <v>45716.657638888886</v>
      </c>
      <c r="E515" s="1" t="s">
        <v>1290</v>
      </c>
      <c r="F515" s="1" t="s">
        <v>1290</v>
      </c>
      <c r="G515" s="1" t="s">
        <v>620</v>
      </c>
      <c r="H515" s="2">
        <v>45716.795138888891</v>
      </c>
      <c r="J515" s="1" t="s">
        <v>18</v>
      </c>
    </row>
    <row r="516" spans="1:10" hidden="1" x14ac:dyDescent="0.25">
      <c r="A516" s="1" t="str">
        <f>_xlfn.XLOOKUP(E516,Base!G:G,Base!C:C,"NOVO")</f>
        <v>PENDENTE</v>
      </c>
      <c r="B516" s="1">
        <v>3353904</v>
      </c>
      <c r="C516" s="1" t="s">
        <v>26</v>
      </c>
      <c r="D516" s="2">
        <v>45791.729861111111</v>
      </c>
      <c r="E516" s="1" t="s">
        <v>1753</v>
      </c>
      <c r="F516" s="1" t="s">
        <v>1753</v>
      </c>
      <c r="G516" s="1" t="s">
        <v>83</v>
      </c>
      <c r="H516" s="2">
        <v>45755.774305555555</v>
      </c>
      <c r="I516" s="2">
        <v>45791.814583333333</v>
      </c>
      <c r="J516" s="1" t="s">
        <v>18</v>
      </c>
    </row>
    <row r="517" spans="1:10" hidden="1" x14ac:dyDescent="0.25">
      <c r="A517" s="1" t="str">
        <f>_xlfn.XLOOKUP(E517,Base!G:G,Base!C:C,"NOVO")</f>
        <v>PENDENTE</v>
      </c>
      <c r="B517" s="1">
        <v>3268881</v>
      </c>
      <c r="C517" s="1" t="s">
        <v>26</v>
      </c>
      <c r="D517" s="2">
        <v>45713.710416666669</v>
      </c>
      <c r="E517" s="1" t="s">
        <v>1291</v>
      </c>
      <c r="F517" s="1" t="s">
        <v>1291</v>
      </c>
      <c r="G517" s="1" t="s">
        <v>83</v>
      </c>
      <c r="H517" s="2">
        <v>45713.847916666666</v>
      </c>
      <c r="J517" s="1" t="s">
        <v>18</v>
      </c>
    </row>
    <row r="518" spans="1:10" hidden="1" x14ac:dyDescent="0.25">
      <c r="A518" s="1" t="str">
        <f>_xlfn.XLOOKUP(E518,Base!G:G,Base!C:C,"NOVO")</f>
        <v>PENDENTE</v>
      </c>
      <c r="B518" s="1">
        <v>3302645</v>
      </c>
      <c r="C518" s="1" t="s">
        <v>26</v>
      </c>
      <c r="D518" s="2">
        <v>45730.745138888888</v>
      </c>
      <c r="E518" s="1" t="s">
        <v>1448</v>
      </c>
      <c r="F518" s="1" t="s">
        <v>1448</v>
      </c>
      <c r="G518" s="1" t="s">
        <v>83</v>
      </c>
      <c r="H518" s="2">
        <v>45730.836805555555</v>
      </c>
      <c r="J518" s="1" t="s">
        <v>18</v>
      </c>
    </row>
    <row r="519" spans="1:10" hidden="1" x14ac:dyDescent="0.25">
      <c r="A519" s="1" t="str">
        <f>_xlfn.XLOOKUP(E519,Base!G:G,Base!C:C,"NOVO")</f>
        <v>PENDENTE</v>
      </c>
      <c r="B519" s="1">
        <v>3393293</v>
      </c>
      <c r="C519" s="1" t="s">
        <v>26</v>
      </c>
      <c r="D519" s="2">
        <v>45779.394444444442</v>
      </c>
      <c r="E519" s="1" t="s">
        <v>2224</v>
      </c>
      <c r="F519" s="1" t="s">
        <v>2224</v>
      </c>
      <c r="G519" s="1" t="s">
        <v>1761</v>
      </c>
      <c r="H519" s="2">
        <v>45777.659722222219</v>
      </c>
      <c r="I519" s="2">
        <v>45779.480555555558</v>
      </c>
      <c r="J519" s="1" t="s">
        <v>18</v>
      </c>
    </row>
    <row r="520" spans="1:10" hidden="1" x14ac:dyDescent="0.25">
      <c r="A520" s="1" t="str">
        <f>_xlfn.XLOOKUP(E520,Base!G:G,Base!C:C,"NOVO")</f>
        <v>PENDENTE</v>
      </c>
      <c r="B520" s="1">
        <v>3239533</v>
      </c>
      <c r="C520" s="1" t="s">
        <v>26</v>
      </c>
      <c r="D520" s="2">
        <v>45699.584027777775</v>
      </c>
      <c r="E520" s="1" t="s">
        <v>1120</v>
      </c>
      <c r="F520" s="1" t="s">
        <v>1120</v>
      </c>
      <c r="G520" s="1" t="s">
        <v>692</v>
      </c>
      <c r="H520" s="2">
        <v>45699.713888888888</v>
      </c>
      <c r="J520" s="1" t="s">
        <v>18</v>
      </c>
    </row>
    <row r="521" spans="1:10" hidden="1" x14ac:dyDescent="0.25">
      <c r="A521" s="1" t="str">
        <f>_xlfn.XLOOKUP(E521,Base!G:G,Base!C:C,"NOVO")</f>
        <v>PENDENTE</v>
      </c>
      <c r="B521" s="1">
        <v>3239534</v>
      </c>
      <c r="C521" s="1" t="s">
        <v>26</v>
      </c>
      <c r="D521" s="2">
        <v>45699.584027777775</v>
      </c>
      <c r="E521" s="1" t="s">
        <v>1121</v>
      </c>
      <c r="F521" s="1" t="s">
        <v>1120</v>
      </c>
      <c r="G521" s="1" t="s">
        <v>898</v>
      </c>
      <c r="H521" s="2">
        <v>45699.714583333334</v>
      </c>
      <c r="J521" s="1" t="s">
        <v>18</v>
      </c>
    </row>
    <row r="522" spans="1:10" hidden="1" x14ac:dyDescent="0.25">
      <c r="A522" s="1" t="str">
        <f>_xlfn.XLOOKUP(E522,Base!G:G,Base!C:C,"NOVO")</f>
        <v>PENDENTE</v>
      </c>
      <c r="B522" s="1">
        <v>3461717</v>
      </c>
      <c r="C522" s="1" t="s">
        <v>26</v>
      </c>
      <c r="D522" s="2">
        <v>45811.685416666667</v>
      </c>
      <c r="E522" s="1" t="s">
        <v>2606</v>
      </c>
      <c r="F522" s="1" t="s">
        <v>2606</v>
      </c>
      <c r="G522" s="1" t="s">
        <v>83</v>
      </c>
      <c r="H522" s="2">
        <v>45811.772222222222</v>
      </c>
      <c r="J522" s="1" t="s">
        <v>18</v>
      </c>
    </row>
    <row r="523" spans="1:10" hidden="1" x14ac:dyDescent="0.25">
      <c r="A523" s="1" t="str">
        <f>_xlfn.XLOOKUP(E523,Base!G:G,Base!C:C,"NOVO")</f>
        <v>PENDENTE</v>
      </c>
      <c r="B523" s="1">
        <v>3302050</v>
      </c>
      <c r="C523" s="1" t="s">
        <v>26</v>
      </c>
      <c r="D523" s="2">
        <v>45730.657638888886</v>
      </c>
      <c r="E523" s="1" t="s">
        <v>1449</v>
      </c>
      <c r="F523" s="1" t="s">
        <v>1449</v>
      </c>
      <c r="G523" s="1" t="s">
        <v>83</v>
      </c>
      <c r="H523" s="2">
        <v>45730.742361111108</v>
      </c>
      <c r="J523" s="1" t="s">
        <v>18</v>
      </c>
    </row>
    <row r="524" spans="1:10" hidden="1" x14ac:dyDescent="0.25">
      <c r="A524" s="1" t="str">
        <f>_xlfn.XLOOKUP(E524,Base!G:G,Base!C:C,"NOVO")</f>
        <v>PENDENTE</v>
      </c>
      <c r="B524" s="1">
        <v>3299831</v>
      </c>
      <c r="C524" s="1" t="s">
        <v>26</v>
      </c>
      <c r="D524" s="2">
        <v>45730.576388888891</v>
      </c>
      <c r="E524" s="1" t="s">
        <v>1450</v>
      </c>
      <c r="F524" s="1" t="s">
        <v>1450</v>
      </c>
      <c r="G524" s="1" t="s">
        <v>1060</v>
      </c>
      <c r="H524" s="2">
        <v>45729.862500000003</v>
      </c>
      <c r="I524" s="2">
        <v>45730.668749999997</v>
      </c>
      <c r="J524" s="1" t="s">
        <v>18</v>
      </c>
    </row>
    <row r="525" spans="1:10" hidden="1" x14ac:dyDescent="0.25">
      <c r="A525" s="1" t="str">
        <f>_xlfn.XLOOKUP(E525,Base!G:G,Base!C:C,"NOVO")</f>
        <v>PENDENTE</v>
      </c>
      <c r="B525" s="1">
        <v>3465791</v>
      </c>
      <c r="C525" s="1" t="s">
        <v>26</v>
      </c>
      <c r="D525" s="2">
        <v>45813.402083333334</v>
      </c>
      <c r="E525" s="1" t="s">
        <v>2607</v>
      </c>
      <c r="F525" s="1" t="s">
        <v>2608</v>
      </c>
      <c r="G525" s="1" t="s">
        <v>64</v>
      </c>
      <c r="H525" s="2">
        <v>45813.491666666669</v>
      </c>
      <c r="J525" s="1" t="s">
        <v>1244</v>
      </c>
    </row>
    <row r="526" spans="1:10" hidden="1" x14ac:dyDescent="0.25">
      <c r="A526" s="1" t="str">
        <f>_xlfn.XLOOKUP(E526,Base!G:G,Base!C:C,"NOVO")</f>
        <v>PENDENTE</v>
      </c>
      <c r="B526" s="1">
        <v>3400121</v>
      </c>
      <c r="C526" s="1" t="s">
        <v>26</v>
      </c>
      <c r="D526" s="2">
        <v>45782.495138888888</v>
      </c>
      <c r="E526" s="1" t="s">
        <v>2225</v>
      </c>
      <c r="F526" s="1" t="s">
        <v>2225</v>
      </c>
      <c r="G526" s="1" t="s">
        <v>746</v>
      </c>
      <c r="H526" s="2">
        <v>45782.585416666669</v>
      </c>
      <c r="J526" s="1" t="s">
        <v>18</v>
      </c>
    </row>
    <row r="527" spans="1:10" hidden="1" x14ac:dyDescent="0.25">
      <c r="A527" s="1" t="str">
        <f>_xlfn.XLOOKUP(E527,Base!G:G,Base!C:C,"NOVO")</f>
        <v>PENDENTE</v>
      </c>
      <c r="B527" s="1">
        <v>3312671</v>
      </c>
      <c r="C527" s="1" t="s">
        <v>26</v>
      </c>
      <c r="D527" s="2">
        <v>45756.469444444447</v>
      </c>
      <c r="E527" s="1" t="s">
        <v>1754</v>
      </c>
      <c r="F527" s="1" t="s">
        <v>1754</v>
      </c>
      <c r="G527" s="1" t="s">
        <v>410</v>
      </c>
      <c r="H527" s="2">
        <v>45735.848611111112</v>
      </c>
      <c r="I527" s="2">
        <v>45756.553472222222</v>
      </c>
      <c r="J527" s="1" t="s">
        <v>18</v>
      </c>
    </row>
    <row r="528" spans="1:10" x14ac:dyDescent="0.25">
      <c r="A528" s="1" t="str">
        <f>_xlfn.XLOOKUP(E528,Base!G:G,Base!C:C,"NOVO")</f>
        <v>PENDENTE</v>
      </c>
      <c r="B528" s="1">
        <v>3479772</v>
      </c>
      <c r="C528" s="1" t="s">
        <v>26</v>
      </c>
      <c r="D528" s="2">
        <v>45820.617361111108</v>
      </c>
      <c r="E528" s="1" t="s">
        <v>2714</v>
      </c>
      <c r="F528" s="1" t="s">
        <v>2714</v>
      </c>
      <c r="G528" s="1" t="s">
        <v>746</v>
      </c>
      <c r="H528" s="2">
        <v>45820.709722222222</v>
      </c>
      <c r="J528" s="1" t="s">
        <v>18</v>
      </c>
    </row>
    <row r="529" spans="1:10" hidden="1" x14ac:dyDescent="0.25">
      <c r="A529" s="1" t="str">
        <f>_xlfn.XLOOKUP(E529,Base!G:G,Base!C:C,"NOVO")</f>
        <v>PENDENTE</v>
      </c>
      <c r="B529" s="1">
        <v>3271847</v>
      </c>
      <c r="C529" s="1" t="s">
        <v>26</v>
      </c>
      <c r="D529" s="2">
        <v>45715.26666666667</v>
      </c>
      <c r="E529" s="1" t="s">
        <v>1292</v>
      </c>
      <c r="F529" s="1" t="s">
        <v>1293</v>
      </c>
      <c r="G529" s="1" t="s">
        <v>64</v>
      </c>
      <c r="H529" s="2">
        <v>45715.397916666669</v>
      </c>
      <c r="J529" s="1" t="s">
        <v>1244</v>
      </c>
    </row>
    <row r="530" spans="1:10" hidden="1" x14ac:dyDescent="0.25">
      <c r="A530" s="1" t="str">
        <f>_xlfn.XLOOKUP(E530,Base!G:G,Base!C:C,"NOVO")</f>
        <v>PENDENTE</v>
      </c>
      <c r="B530" s="1">
        <v>3297518</v>
      </c>
      <c r="C530" s="1" t="s">
        <v>26</v>
      </c>
      <c r="D530" s="2">
        <v>45729.509027777778</v>
      </c>
      <c r="E530" s="1" t="s">
        <v>1451</v>
      </c>
      <c r="F530" s="1" t="s">
        <v>1452</v>
      </c>
      <c r="G530" s="1" t="s">
        <v>64</v>
      </c>
      <c r="H530" s="2">
        <v>45729.595833333333</v>
      </c>
      <c r="J530" s="1" t="s">
        <v>1244</v>
      </c>
    </row>
    <row r="531" spans="1:10" hidden="1" x14ac:dyDescent="0.25">
      <c r="A531" s="1" t="str">
        <f>_xlfn.XLOOKUP(E531,Base!G:G,Base!C:C,"NOVO")</f>
        <v>PENDENTE</v>
      </c>
      <c r="B531" s="1">
        <v>3283727</v>
      </c>
      <c r="C531" s="1" t="s">
        <v>26</v>
      </c>
      <c r="D531" s="2">
        <v>45723.670138888891</v>
      </c>
      <c r="E531" s="1" t="s">
        <v>1453</v>
      </c>
      <c r="F531" s="1" t="s">
        <v>1453</v>
      </c>
      <c r="G531" s="1" t="s">
        <v>1134</v>
      </c>
      <c r="H531" s="2">
        <v>45722.755555555559</v>
      </c>
      <c r="I531" s="2">
        <v>45723.804861111108</v>
      </c>
      <c r="J531" s="1" t="s">
        <v>18</v>
      </c>
    </row>
    <row r="532" spans="1:10" hidden="1" x14ac:dyDescent="0.25">
      <c r="A532" s="1" t="str">
        <f>_xlfn.XLOOKUP(E532,Base!G:G,Base!C:C,"NOVO")</f>
        <v>PENDENTE</v>
      </c>
      <c r="B532" s="1">
        <v>3350398</v>
      </c>
      <c r="C532" s="1" t="s">
        <v>26</v>
      </c>
      <c r="D532" s="2">
        <v>45754.461805555555</v>
      </c>
      <c r="E532" s="1" t="s">
        <v>1755</v>
      </c>
      <c r="F532" s="1" t="s">
        <v>1755</v>
      </c>
      <c r="G532" s="1" t="s">
        <v>1131</v>
      </c>
      <c r="H532" s="2">
        <v>45754.554861111108</v>
      </c>
      <c r="J532" s="1" t="s">
        <v>18</v>
      </c>
    </row>
    <row r="533" spans="1:10" hidden="1" x14ac:dyDescent="0.25">
      <c r="A533" s="1" t="str">
        <f>_xlfn.XLOOKUP(E533,Base!G:G,Base!C:C,"NOVO")</f>
        <v>PENDENTE</v>
      </c>
      <c r="B533" s="1">
        <v>3460295</v>
      </c>
      <c r="C533" s="1" t="s">
        <v>26</v>
      </c>
      <c r="D533" s="2">
        <v>45811.329861111109</v>
      </c>
      <c r="E533" s="1" t="s">
        <v>2584</v>
      </c>
      <c r="F533" s="1" t="s">
        <v>2585</v>
      </c>
      <c r="G533" s="1" t="s">
        <v>64</v>
      </c>
      <c r="H533" s="2">
        <v>45811.418749999997</v>
      </c>
      <c r="J533" s="1" t="s">
        <v>1244</v>
      </c>
    </row>
    <row r="534" spans="1:10" hidden="1" x14ac:dyDescent="0.25">
      <c r="A534" s="1" t="str">
        <f>_xlfn.XLOOKUP(E534,Base!G:G,Base!C:C,"NOVO")</f>
        <v>PENDENTE</v>
      </c>
      <c r="B534" s="1">
        <v>3359391</v>
      </c>
      <c r="C534" s="1" t="s">
        <v>26</v>
      </c>
      <c r="D534" s="2">
        <v>45757.752083333333</v>
      </c>
      <c r="E534" s="1" t="s">
        <v>2007</v>
      </c>
      <c r="F534" s="1" t="s">
        <v>2007</v>
      </c>
      <c r="G534" s="1" t="s">
        <v>671</v>
      </c>
      <c r="H534" s="2">
        <v>45757.845833333333</v>
      </c>
      <c r="J534" s="1" t="s">
        <v>18</v>
      </c>
    </row>
    <row r="535" spans="1:10" hidden="1" x14ac:dyDescent="0.25">
      <c r="A535" s="1" t="str">
        <f>_xlfn.XLOOKUP(E535,Base!G:G,Base!C:C,"NOVO")</f>
        <v>PENDENTE</v>
      </c>
      <c r="B535" s="1">
        <v>3297408</v>
      </c>
      <c r="C535" s="1" t="s">
        <v>26</v>
      </c>
      <c r="D535" s="2">
        <v>45729.467361111114</v>
      </c>
      <c r="E535" s="1" t="s">
        <v>1454</v>
      </c>
      <c r="F535" s="1" t="s">
        <v>1455</v>
      </c>
      <c r="G535" s="1" t="s">
        <v>64</v>
      </c>
      <c r="H535" s="2">
        <v>45729.554861111108</v>
      </c>
      <c r="J535" s="1" t="s">
        <v>1244</v>
      </c>
    </row>
    <row r="536" spans="1:10" hidden="1" x14ac:dyDescent="0.25">
      <c r="A536" s="1" t="str">
        <f>_xlfn.XLOOKUP(E536,Base!G:G,Base!C:C,"NOVO")</f>
        <v>PENDENTE</v>
      </c>
      <c r="B536" s="1">
        <v>3453495</v>
      </c>
      <c r="C536" s="1" t="s">
        <v>26</v>
      </c>
      <c r="D536" s="2">
        <v>45807.536805555559</v>
      </c>
      <c r="E536" s="1" t="s">
        <v>2560</v>
      </c>
      <c r="F536" s="1" t="s">
        <v>2560</v>
      </c>
      <c r="G536" s="1" t="s">
        <v>746</v>
      </c>
      <c r="H536" s="2">
        <v>45807.629166666666</v>
      </c>
      <c r="J536" s="1" t="s">
        <v>18</v>
      </c>
    </row>
    <row r="537" spans="1:10" hidden="1" x14ac:dyDescent="0.25">
      <c r="A537" s="1" t="str">
        <f>_xlfn.XLOOKUP(E537,Base!G:G,Base!C:C,"NOVO")</f>
        <v>PENDENTE</v>
      </c>
      <c r="B537" s="1">
        <v>3370408</v>
      </c>
      <c r="C537" s="1" t="s">
        <v>26</v>
      </c>
      <c r="D537" s="2">
        <v>45763.762499999997</v>
      </c>
      <c r="E537" s="1" t="s">
        <v>2008</v>
      </c>
      <c r="F537" s="1" t="s">
        <v>2008</v>
      </c>
      <c r="G537" s="1" t="s">
        <v>83</v>
      </c>
      <c r="H537" s="2">
        <v>45763.857638888891</v>
      </c>
      <c r="J537" s="1" t="s">
        <v>18</v>
      </c>
    </row>
    <row r="538" spans="1:10" hidden="1" x14ac:dyDescent="0.25">
      <c r="A538" s="1" t="str">
        <f>_xlfn.XLOOKUP(E538,Base!G:G,Base!C:C,"NOVO")</f>
        <v>PENDENTE</v>
      </c>
      <c r="B538" s="1">
        <v>3290315</v>
      </c>
      <c r="C538" s="1" t="s">
        <v>26</v>
      </c>
      <c r="D538" s="2">
        <v>45726.756944444445</v>
      </c>
      <c r="E538" s="1" t="s">
        <v>1456</v>
      </c>
      <c r="F538" s="1" t="s">
        <v>1456</v>
      </c>
      <c r="G538" s="1" t="s">
        <v>83</v>
      </c>
      <c r="H538" s="2">
        <v>45726.85</v>
      </c>
      <c r="J538" s="1" t="s">
        <v>18</v>
      </c>
    </row>
    <row r="539" spans="1:10" hidden="1" x14ac:dyDescent="0.25">
      <c r="A539" s="1" t="str">
        <f>_xlfn.XLOOKUP(E539,Base!G:G,Base!C:C,"NOVO")</f>
        <v>PENDENTE</v>
      </c>
      <c r="B539" s="1">
        <v>3267309</v>
      </c>
      <c r="C539" s="1" t="s">
        <v>26</v>
      </c>
      <c r="D539" s="2">
        <v>45729.765277777777</v>
      </c>
      <c r="E539" s="1" t="s">
        <v>1294</v>
      </c>
      <c r="F539" s="1" t="s">
        <v>1294</v>
      </c>
      <c r="G539" s="1" t="s">
        <v>83</v>
      </c>
      <c r="H539" s="2">
        <v>45713.545138888891</v>
      </c>
      <c r="I539" s="2">
        <v>45729.86041666667</v>
      </c>
      <c r="J539" s="1" t="s">
        <v>18</v>
      </c>
    </row>
    <row r="540" spans="1:10" hidden="1" x14ac:dyDescent="0.25">
      <c r="A540" s="1" t="str">
        <f>_xlfn.XLOOKUP(E540,Base!G:G,Base!C:C,"NOVO")</f>
        <v>PENDENTE</v>
      </c>
      <c r="B540" s="1">
        <v>3404629</v>
      </c>
      <c r="C540" s="1" t="s">
        <v>26</v>
      </c>
      <c r="D540" s="2">
        <v>45783.7</v>
      </c>
      <c r="E540" s="1" t="s">
        <v>2226</v>
      </c>
      <c r="F540" s="1" t="s">
        <v>2226</v>
      </c>
      <c r="G540" s="1" t="s">
        <v>707</v>
      </c>
      <c r="H540" s="2">
        <v>45783.793749999997</v>
      </c>
      <c r="J540" s="1" t="s">
        <v>18</v>
      </c>
    </row>
    <row r="541" spans="1:10" hidden="1" x14ac:dyDescent="0.25">
      <c r="A541" s="1" t="str">
        <f>_xlfn.XLOOKUP(E541,Base!G:G,Base!C:C,"NOVO")</f>
        <v>PENDENTE</v>
      </c>
      <c r="B541" s="1">
        <v>3362741</v>
      </c>
      <c r="C541" s="1" t="s">
        <v>26</v>
      </c>
      <c r="D541" s="2">
        <v>45760.638194444444</v>
      </c>
      <c r="E541" s="1" t="s">
        <v>2009</v>
      </c>
      <c r="F541" s="1" t="s">
        <v>2009</v>
      </c>
      <c r="G541" s="1" t="s">
        <v>396</v>
      </c>
      <c r="H541" s="2">
        <v>45760.731249999997</v>
      </c>
      <c r="J541" s="1" t="s">
        <v>18</v>
      </c>
    </row>
    <row r="542" spans="1:10" hidden="1" x14ac:dyDescent="0.25">
      <c r="A542" s="1" t="str">
        <f>_xlfn.XLOOKUP(E542,Base!G:G,Base!C:C,"NOVO")</f>
        <v>PENDENTE</v>
      </c>
      <c r="B542" s="1">
        <v>3411805</v>
      </c>
      <c r="C542" s="1" t="s">
        <v>26</v>
      </c>
      <c r="D542" s="2">
        <v>45786.597916666666</v>
      </c>
      <c r="E542" s="1" t="s">
        <v>2314</v>
      </c>
      <c r="F542" s="1" t="s">
        <v>2314</v>
      </c>
      <c r="G542" s="1" t="s">
        <v>746</v>
      </c>
      <c r="H542" s="2">
        <v>45786.689583333333</v>
      </c>
      <c r="J542" s="1" t="s">
        <v>18</v>
      </c>
    </row>
    <row r="543" spans="1:10" hidden="1" x14ac:dyDescent="0.25">
      <c r="A543" s="1" t="str">
        <f>_xlfn.XLOOKUP(E543,Base!G:G,Base!C:C,"NOVO")</f>
        <v>PENDENTE</v>
      </c>
      <c r="B543" s="1">
        <v>3404685</v>
      </c>
      <c r="C543" s="1" t="s">
        <v>26</v>
      </c>
      <c r="D543" s="2">
        <v>45783.753472222219</v>
      </c>
      <c r="E543" s="1" t="s">
        <v>2227</v>
      </c>
      <c r="F543" s="1" t="s">
        <v>2227</v>
      </c>
      <c r="G543" s="1" t="s">
        <v>83</v>
      </c>
      <c r="H543" s="2">
        <v>45783.845138888886</v>
      </c>
      <c r="J543" s="1" t="s">
        <v>18</v>
      </c>
    </row>
    <row r="544" spans="1:10" hidden="1" x14ac:dyDescent="0.25">
      <c r="A544" s="1" t="str">
        <f>_xlfn.XLOOKUP(E544,Base!G:G,Base!C:C,"NOVO")</f>
        <v>PENDENTE</v>
      </c>
      <c r="B544" s="1">
        <v>3404690</v>
      </c>
      <c r="C544" s="1" t="s">
        <v>26</v>
      </c>
      <c r="D544" s="2">
        <v>45783.753472222219</v>
      </c>
      <c r="E544" s="1" t="s">
        <v>2228</v>
      </c>
      <c r="F544" s="1" t="s">
        <v>2228</v>
      </c>
      <c r="G544" s="1" t="s">
        <v>408</v>
      </c>
      <c r="H544" s="2">
        <v>45783.845138888886</v>
      </c>
      <c r="J544" s="1" t="s">
        <v>18</v>
      </c>
    </row>
    <row r="545" spans="1:10" hidden="1" x14ac:dyDescent="0.25">
      <c r="A545" s="1" t="str">
        <f>_xlfn.XLOOKUP(E545,Base!G:G,Base!C:C,"NOVO")</f>
        <v>PENDENTE</v>
      </c>
      <c r="B545" s="1">
        <v>3247891</v>
      </c>
      <c r="C545" s="1" t="s">
        <v>26</v>
      </c>
      <c r="D545" s="2">
        <v>45702.583333333336</v>
      </c>
      <c r="E545" s="1" t="s">
        <v>1122</v>
      </c>
      <c r="F545" s="1" t="s">
        <v>1122</v>
      </c>
      <c r="G545" s="1" t="s">
        <v>1123</v>
      </c>
      <c r="H545" s="2">
        <v>45702.711111111108</v>
      </c>
      <c r="J545" s="1" t="s">
        <v>18</v>
      </c>
    </row>
    <row r="546" spans="1:10" hidden="1" x14ac:dyDescent="0.25">
      <c r="A546" s="1" t="str">
        <f>_xlfn.XLOOKUP(E546,Base!G:G,Base!C:C,"NOVO")</f>
        <v>PENDENTE</v>
      </c>
      <c r="B546" s="1">
        <v>3247893</v>
      </c>
      <c r="C546" s="1" t="s">
        <v>26</v>
      </c>
      <c r="D546" s="2">
        <v>45702.583333333336</v>
      </c>
      <c r="E546" s="1" t="s">
        <v>1124</v>
      </c>
      <c r="F546" s="1" t="s">
        <v>1122</v>
      </c>
      <c r="G546" s="1" t="s">
        <v>1125</v>
      </c>
      <c r="H546" s="2">
        <v>45702.711805555555</v>
      </c>
      <c r="J546" s="1" t="s">
        <v>18</v>
      </c>
    </row>
    <row r="547" spans="1:10" hidden="1" x14ac:dyDescent="0.25">
      <c r="A547" s="1" t="str">
        <f>_xlfn.XLOOKUP(E547,Base!G:G,Base!C:C,"NOVO")</f>
        <v>PENDENTE</v>
      </c>
      <c r="B547" s="1">
        <v>3410280</v>
      </c>
      <c r="C547" s="1" t="s">
        <v>26</v>
      </c>
      <c r="D547" s="2">
        <v>45785.744444444441</v>
      </c>
      <c r="E547" s="1" t="s">
        <v>2315</v>
      </c>
      <c r="F547" s="1" t="s">
        <v>2315</v>
      </c>
      <c r="G547" s="1" t="s">
        <v>408</v>
      </c>
      <c r="H547" s="2">
        <v>45785.838888888888</v>
      </c>
      <c r="J547" s="1" t="s">
        <v>18</v>
      </c>
    </row>
    <row r="548" spans="1:10" x14ac:dyDescent="0.25">
      <c r="A548" s="1" t="str">
        <f>_xlfn.XLOOKUP(E548,Base!G:G,Base!C:C,"NOVO")</f>
        <v>PENDENTE</v>
      </c>
      <c r="B548" s="1">
        <v>3474030</v>
      </c>
      <c r="C548" s="1" t="s">
        <v>26</v>
      </c>
      <c r="D548" s="2">
        <v>45818.545138888891</v>
      </c>
      <c r="E548" s="1" t="s">
        <v>2715</v>
      </c>
      <c r="F548" s="1" t="s">
        <v>2715</v>
      </c>
      <c r="G548" s="1" t="s">
        <v>840</v>
      </c>
      <c r="H548" s="2">
        <v>45818.636805555558</v>
      </c>
      <c r="J548" s="1" t="s">
        <v>18</v>
      </c>
    </row>
    <row r="549" spans="1:10" hidden="1" x14ac:dyDescent="0.25">
      <c r="A549" s="1" t="str">
        <f>_xlfn.XLOOKUP(E549,Base!G:G,Base!C:C,"NOVO")</f>
        <v>PENDENTE</v>
      </c>
      <c r="B549" s="1">
        <v>3309001</v>
      </c>
      <c r="C549" s="1" t="s">
        <v>26</v>
      </c>
      <c r="D549" s="2">
        <v>45735.489583333336</v>
      </c>
      <c r="E549" s="1" t="s">
        <v>1756</v>
      </c>
      <c r="F549" s="1" t="s">
        <v>1756</v>
      </c>
      <c r="G549" s="1" t="s">
        <v>1060</v>
      </c>
      <c r="H549" s="2">
        <v>45734.78402777778</v>
      </c>
      <c r="I549" s="2">
        <v>45735.575694444444</v>
      </c>
      <c r="J549" s="1" t="s">
        <v>18</v>
      </c>
    </row>
    <row r="550" spans="1:10" hidden="1" x14ac:dyDescent="0.25">
      <c r="A550" s="1" t="str">
        <f>_xlfn.XLOOKUP(E550,Base!G:G,Base!C:C,"NOVO")</f>
        <v>PENDENTE</v>
      </c>
      <c r="B550" s="1">
        <v>3432279</v>
      </c>
      <c r="C550" s="1" t="s">
        <v>26</v>
      </c>
      <c r="D550" s="2">
        <v>45797.62777777778</v>
      </c>
      <c r="E550" s="1" t="s">
        <v>2414</v>
      </c>
      <c r="F550" s="1" t="s">
        <v>2414</v>
      </c>
      <c r="G550" s="1" t="s">
        <v>396</v>
      </c>
      <c r="H550" s="2">
        <v>45797.726388888892</v>
      </c>
      <c r="J550" s="1" t="s">
        <v>18</v>
      </c>
    </row>
    <row r="551" spans="1:10" hidden="1" x14ac:dyDescent="0.25">
      <c r="A551" s="1" t="str">
        <f>_xlfn.XLOOKUP(E551,Base!G:G,Base!C:C,"NOVO")</f>
        <v>PENDENTE</v>
      </c>
      <c r="B551" s="1">
        <v>3460532</v>
      </c>
      <c r="C551" s="1" t="s">
        <v>26</v>
      </c>
      <c r="D551" s="2">
        <v>45811.719444444447</v>
      </c>
      <c r="E551" s="1" t="s">
        <v>2586</v>
      </c>
      <c r="F551" s="1" t="s">
        <v>2586</v>
      </c>
      <c r="G551" s="1" t="s">
        <v>829</v>
      </c>
      <c r="H551" s="2">
        <v>45811.532638888886</v>
      </c>
      <c r="I551" s="2">
        <v>45811.802777777775</v>
      </c>
      <c r="J551" s="1" t="s">
        <v>18</v>
      </c>
    </row>
    <row r="552" spans="1:10" hidden="1" x14ac:dyDescent="0.25">
      <c r="A552" s="1" t="str">
        <f>_xlfn.XLOOKUP(E552,Base!G:G,Base!C:C,"NOVO")</f>
        <v>PENDENTE</v>
      </c>
      <c r="B552" s="1">
        <v>3410261</v>
      </c>
      <c r="C552" s="1" t="s">
        <v>26</v>
      </c>
      <c r="D552" s="2">
        <v>45785.744444444441</v>
      </c>
      <c r="E552" s="1" t="s">
        <v>2316</v>
      </c>
      <c r="F552" s="1" t="s">
        <v>2316</v>
      </c>
      <c r="G552" s="1" t="s">
        <v>396</v>
      </c>
      <c r="H552" s="2">
        <v>45785.835416666669</v>
      </c>
      <c r="J552" s="1" t="s">
        <v>18</v>
      </c>
    </row>
    <row r="553" spans="1:10" hidden="1" x14ac:dyDescent="0.25">
      <c r="A553" s="1" t="str">
        <f>_xlfn.XLOOKUP(E553,Base!G:G,Base!C:C,"NOVO")</f>
        <v>PENDENTE</v>
      </c>
      <c r="B553" s="1">
        <v>3303590</v>
      </c>
      <c r="C553" s="1" t="s">
        <v>26</v>
      </c>
      <c r="D553" s="2">
        <v>45733.27847222222</v>
      </c>
      <c r="E553" s="1" t="s">
        <v>1457</v>
      </c>
      <c r="F553" s="1" t="s">
        <v>1458</v>
      </c>
      <c r="G553" s="1" t="s">
        <v>64</v>
      </c>
      <c r="H553" s="2">
        <v>45733.367361111108</v>
      </c>
      <c r="J553" s="1" t="s">
        <v>1244</v>
      </c>
    </row>
    <row r="554" spans="1:10" hidden="1" x14ac:dyDescent="0.25">
      <c r="A554" s="1" t="str">
        <f>_xlfn.XLOOKUP(E554,Base!G:G,Base!C:C,"NOVO")</f>
        <v>PENDENTE</v>
      </c>
      <c r="B554" s="1">
        <v>3453472</v>
      </c>
      <c r="C554" s="1" t="s">
        <v>26</v>
      </c>
      <c r="D554" s="2">
        <v>45807.536805555559</v>
      </c>
      <c r="E554" s="1" t="s">
        <v>2561</v>
      </c>
      <c r="F554" s="1" t="s">
        <v>2561</v>
      </c>
      <c r="G554" s="1" t="s">
        <v>746</v>
      </c>
      <c r="H554" s="2">
        <v>45807.628472222219</v>
      </c>
      <c r="J554" s="1" t="s">
        <v>18</v>
      </c>
    </row>
    <row r="555" spans="1:10" hidden="1" x14ac:dyDescent="0.25">
      <c r="A555" s="1" t="str">
        <f>_xlfn.XLOOKUP(E555,Base!G:G,Base!C:C,"NOVO")</f>
        <v>PENDENTE</v>
      </c>
      <c r="B555" s="1">
        <v>3305494</v>
      </c>
      <c r="C555" s="1" t="s">
        <v>26</v>
      </c>
      <c r="D555" s="2">
        <v>45733.666666666664</v>
      </c>
      <c r="E555" s="1" t="s">
        <v>1459</v>
      </c>
      <c r="F555" s="1" t="s">
        <v>1460</v>
      </c>
      <c r="G555" s="1" t="s">
        <v>64</v>
      </c>
      <c r="H555" s="2">
        <v>45733.754166666666</v>
      </c>
      <c r="J555" s="1" t="s">
        <v>1244</v>
      </c>
    </row>
    <row r="556" spans="1:10" hidden="1" x14ac:dyDescent="0.25">
      <c r="A556" s="1" t="str">
        <f>_xlfn.XLOOKUP(E556,Base!G:G,Base!C:C,"NOVO")</f>
        <v>PENDENTE</v>
      </c>
      <c r="B556" s="1">
        <v>3427885</v>
      </c>
      <c r="C556" s="1" t="s">
        <v>26</v>
      </c>
      <c r="D556" s="2">
        <v>45796.373611111114</v>
      </c>
      <c r="E556" s="1" t="s">
        <v>2415</v>
      </c>
      <c r="F556" s="1" t="s">
        <v>2416</v>
      </c>
      <c r="G556" s="1" t="s">
        <v>101</v>
      </c>
      <c r="H556" s="2">
        <v>45796.463888888888</v>
      </c>
      <c r="J556" s="1" t="s">
        <v>1244</v>
      </c>
    </row>
    <row r="557" spans="1:10" x14ac:dyDescent="0.25">
      <c r="A557" s="1" t="str">
        <f>_xlfn.XLOOKUP(E557,Base!G:G,Base!C:C,"NOVO")</f>
        <v>PENDENTE</v>
      </c>
      <c r="B557" s="1">
        <v>3474575</v>
      </c>
      <c r="C557" s="1" t="s">
        <v>26</v>
      </c>
      <c r="D557" s="2">
        <v>45818.736805555556</v>
      </c>
      <c r="E557" s="1" t="s">
        <v>2716</v>
      </c>
      <c r="F557" s="1" t="s">
        <v>2716</v>
      </c>
      <c r="G557" s="1" t="s">
        <v>396</v>
      </c>
      <c r="H557" s="2">
        <v>45818.823611111111</v>
      </c>
      <c r="J557" s="1" t="s">
        <v>18</v>
      </c>
    </row>
    <row r="558" spans="1:10" hidden="1" x14ac:dyDescent="0.25">
      <c r="A558" s="1" t="str">
        <f>_xlfn.XLOOKUP(E558,Base!G:G,Base!C:C,"NOVO")</f>
        <v>PENDENTE</v>
      </c>
      <c r="B558" s="1">
        <v>3296166</v>
      </c>
      <c r="C558" s="1" t="s">
        <v>26</v>
      </c>
      <c r="D558" s="2">
        <v>45728.75277777778</v>
      </c>
      <c r="E558" s="1" t="s">
        <v>1461</v>
      </c>
      <c r="F558" s="1" t="s">
        <v>1461</v>
      </c>
      <c r="G558" s="1" t="s">
        <v>652</v>
      </c>
      <c r="H558" s="2">
        <v>45728.839583333334</v>
      </c>
      <c r="J558" s="1" t="s">
        <v>18</v>
      </c>
    </row>
    <row r="559" spans="1:10" hidden="1" x14ac:dyDescent="0.25">
      <c r="A559" s="1" t="str">
        <f>_xlfn.XLOOKUP(E559,Base!G:G,Base!C:C,"NOVO")</f>
        <v>PENDENTE</v>
      </c>
      <c r="B559" s="1">
        <v>3305493</v>
      </c>
      <c r="C559" s="1" t="s">
        <v>26</v>
      </c>
      <c r="D559" s="2">
        <v>45733.665972222225</v>
      </c>
      <c r="E559" s="1" t="s">
        <v>1462</v>
      </c>
      <c r="F559" s="1" t="s">
        <v>1463</v>
      </c>
      <c r="G559" s="1" t="s">
        <v>64</v>
      </c>
      <c r="H559" s="2">
        <v>45733.754166666666</v>
      </c>
      <c r="J559" s="1" t="s">
        <v>1244</v>
      </c>
    </row>
    <row r="560" spans="1:10" hidden="1" x14ac:dyDescent="0.25">
      <c r="A560" s="1" t="str">
        <f>_xlfn.XLOOKUP(E560,Base!G:G,Base!C:C,"NOVO")</f>
        <v>PENDENTE</v>
      </c>
      <c r="B560" s="1">
        <v>3237963</v>
      </c>
      <c r="C560" s="1" t="s">
        <v>26</v>
      </c>
      <c r="D560" s="2">
        <v>45698.729861111111</v>
      </c>
      <c r="E560" s="1" t="s">
        <v>980</v>
      </c>
      <c r="F560" s="1" t="s">
        <v>980</v>
      </c>
      <c r="G560" s="1" t="s">
        <v>83</v>
      </c>
      <c r="H560" s="2">
        <v>45698.856249999997</v>
      </c>
      <c r="J560" s="1" t="s">
        <v>18</v>
      </c>
    </row>
    <row r="561" spans="1:10" hidden="1" x14ac:dyDescent="0.25">
      <c r="A561" s="1" t="str">
        <f>_xlfn.XLOOKUP(E561,Base!G:G,Base!C:C,"NOVO")</f>
        <v>PENDENTE</v>
      </c>
      <c r="B561" s="1">
        <v>3297519</v>
      </c>
      <c r="C561" s="1" t="s">
        <v>26</v>
      </c>
      <c r="D561" s="2">
        <v>45729.509027777778</v>
      </c>
      <c r="E561" s="1" t="s">
        <v>1464</v>
      </c>
      <c r="F561" s="1" t="s">
        <v>1465</v>
      </c>
      <c r="G561" s="1" t="s">
        <v>64</v>
      </c>
      <c r="H561" s="2">
        <v>45729.595833333333</v>
      </c>
      <c r="J561" s="1" t="s">
        <v>1244</v>
      </c>
    </row>
    <row r="562" spans="1:10" hidden="1" x14ac:dyDescent="0.25">
      <c r="A562" s="1" t="str">
        <f>_xlfn.XLOOKUP(E562,Base!G:G,Base!C:C,"NOVO")</f>
        <v>PENDENTE</v>
      </c>
      <c r="B562" s="1">
        <v>3237974</v>
      </c>
      <c r="C562" s="1" t="s">
        <v>26</v>
      </c>
      <c r="D562" s="2">
        <v>45702.587500000001</v>
      </c>
      <c r="E562" s="1" t="s">
        <v>981</v>
      </c>
      <c r="F562" s="1" t="s">
        <v>981</v>
      </c>
      <c r="G562" s="1" t="s">
        <v>395</v>
      </c>
      <c r="H562" s="2">
        <v>45698.856944444444</v>
      </c>
      <c r="I562" s="2">
        <v>45702.72152777778</v>
      </c>
      <c r="J562" s="1" t="s">
        <v>18</v>
      </c>
    </row>
    <row r="563" spans="1:10" hidden="1" x14ac:dyDescent="0.25">
      <c r="A563" s="1" t="str">
        <f>_xlfn.XLOOKUP(E563,Base!G:G,Base!C:C,"NOVO")</f>
        <v>PENDENTE</v>
      </c>
      <c r="B563" s="1">
        <v>3259586</v>
      </c>
      <c r="C563" s="1" t="s">
        <v>26</v>
      </c>
      <c r="D563" s="2">
        <v>45708.71597222222</v>
      </c>
      <c r="E563" s="1" t="s">
        <v>1126</v>
      </c>
      <c r="F563" s="1" t="s">
        <v>1126</v>
      </c>
      <c r="G563" s="1" t="s">
        <v>620</v>
      </c>
      <c r="H563" s="2">
        <v>45708.84652777778</v>
      </c>
      <c r="J563" s="1" t="s">
        <v>18</v>
      </c>
    </row>
    <row r="564" spans="1:10" hidden="1" x14ac:dyDescent="0.25">
      <c r="A564" s="1" t="str">
        <f>_xlfn.XLOOKUP(E564,Base!G:G,Base!C:C,"NOVO")</f>
        <v>PENDENTE</v>
      </c>
      <c r="B564" s="1">
        <v>3465659</v>
      </c>
      <c r="C564" s="1" t="s">
        <v>26</v>
      </c>
      <c r="D564" s="2">
        <v>45813.348611111112</v>
      </c>
      <c r="E564" s="1" t="s">
        <v>2609</v>
      </c>
      <c r="F564" s="1" t="s">
        <v>2609</v>
      </c>
      <c r="G564" s="1" t="s">
        <v>746</v>
      </c>
      <c r="H564" s="2">
        <v>45813.439583333333</v>
      </c>
      <c r="J564" s="1" t="s">
        <v>18</v>
      </c>
    </row>
    <row r="565" spans="1:10" hidden="1" x14ac:dyDescent="0.25">
      <c r="A565" s="1" t="str">
        <f>_xlfn.XLOOKUP(E565,Base!G:G,Base!C:C,"NOVO")</f>
        <v>PENDENTE</v>
      </c>
      <c r="B565" s="1">
        <v>3270475</v>
      </c>
      <c r="C565" s="1" t="s">
        <v>26</v>
      </c>
      <c r="D565" s="2">
        <v>45714.588194444441</v>
      </c>
      <c r="E565" s="1" t="s">
        <v>1295</v>
      </c>
      <c r="F565" s="1" t="s">
        <v>1295</v>
      </c>
      <c r="G565" s="1" t="s">
        <v>83</v>
      </c>
      <c r="H565" s="2">
        <v>45714.722916666666</v>
      </c>
      <c r="J565" s="1" t="s">
        <v>18</v>
      </c>
    </row>
    <row r="566" spans="1:10" hidden="1" x14ac:dyDescent="0.25">
      <c r="A566" s="1" t="str">
        <f>_xlfn.XLOOKUP(E566,Base!G:G,Base!C:C,"NOVO")</f>
        <v>PENDENTE</v>
      </c>
      <c r="B566" s="1">
        <v>3445801</v>
      </c>
      <c r="C566" s="1" t="s">
        <v>26</v>
      </c>
      <c r="D566" s="2">
        <v>45804.597916666666</v>
      </c>
      <c r="E566" s="1" t="s">
        <v>2417</v>
      </c>
      <c r="F566" s="1" t="s">
        <v>2417</v>
      </c>
      <c r="G566" s="1" t="s">
        <v>396</v>
      </c>
      <c r="H566" s="2">
        <v>45804.69027777778</v>
      </c>
      <c r="J566" s="1" t="s">
        <v>18</v>
      </c>
    </row>
    <row r="567" spans="1:10" hidden="1" x14ac:dyDescent="0.25">
      <c r="A567" s="1" t="str">
        <f>_xlfn.XLOOKUP(E567,Base!G:G,Base!C:C,"NOVO")</f>
        <v>PENDENTE</v>
      </c>
      <c r="B567" s="1">
        <v>3465658</v>
      </c>
      <c r="C567" s="1" t="s">
        <v>26</v>
      </c>
      <c r="D567" s="2">
        <v>45813.348611111112</v>
      </c>
      <c r="E567" s="1" t="s">
        <v>2610</v>
      </c>
      <c r="F567" s="1" t="s">
        <v>2610</v>
      </c>
      <c r="G567" s="1" t="s">
        <v>746</v>
      </c>
      <c r="H567" s="2">
        <v>45813.439583333333</v>
      </c>
      <c r="J567" s="1" t="s">
        <v>18</v>
      </c>
    </row>
    <row r="568" spans="1:10" x14ac:dyDescent="0.25">
      <c r="A568" s="1" t="str">
        <f>_xlfn.XLOOKUP(E568,Base!G:G,Base!C:C,"NOVO")</f>
        <v>PENDENTE</v>
      </c>
      <c r="B568" s="1">
        <v>3484224</v>
      </c>
      <c r="C568" s="1" t="s">
        <v>26</v>
      </c>
      <c r="D568" s="2">
        <v>45824.393750000003</v>
      </c>
      <c r="E568" s="1" t="s">
        <v>2717</v>
      </c>
      <c r="F568" s="1" t="s">
        <v>2718</v>
      </c>
      <c r="G568" s="1" t="s">
        <v>84</v>
      </c>
      <c r="H568" s="2">
        <v>45824.480555555558</v>
      </c>
      <c r="J568" s="1" t="s">
        <v>1244</v>
      </c>
    </row>
    <row r="569" spans="1:10" hidden="1" x14ac:dyDescent="0.25">
      <c r="A569" s="1" t="str">
        <f>_xlfn.XLOOKUP(E569,Base!G:G,Base!C:C,"NOVO")</f>
        <v>PENDENTE</v>
      </c>
      <c r="B569" s="1">
        <v>3313048</v>
      </c>
      <c r="C569" s="1" t="s">
        <v>26</v>
      </c>
      <c r="D569" s="2">
        <v>45736.327777777777</v>
      </c>
      <c r="E569" s="1" t="s">
        <v>1757</v>
      </c>
      <c r="F569" s="1" t="s">
        <v>1758</v>
      </c>
      <c r="G569" s="1" t="s">
        <v>64</v>
      </c>
      <c r="H569" s="2">
        <v>45736.42083333333</v>
      </c>
      <c r="J569" s="1" t="s">
        <v>1244</v>
      </c>
    </row>
    <row r="570" spans="1:10" hidden="1" x14ac:dyDescent="0.25">
      <c r="A570" s="1" t="str">
        <f>_xlfn.XLOOKUP(E570,Base!G:G,Base!C:C,"NOVO")</f>
        <v>PENDENTE</v>
      </c>
      <c r="B570" s="1">
        <v>3299829</v>
      </c>
      <c r="C570" s="1" t="s">
        <v>26</v>
      </c>
      <c r="D570" s="2">
        <v>45729.765277777777</v>
      </c>
      <c r="E570" s="1" t="s">
        <v>1466</v>
      </c>
      <c r="F570" s="1" t="s">
        <v>1466</v>
      </c>
      <c r="G570" s="1" t="s">
        <v>1060</v>
      </c>
      <c r="H570" s="2">
        <v>45729.862500000003</v>
      </c>
      <c r="J570" s="1" t="s">
        <v>18</v>
      </c>
    </row>
    <row r="571" spans="1:10" hidden="1" x14ac:dyDescent="0.25">
      <c r="A571" s="1" t="str">
        <f>_xlfn.XLOOKUP(E571,Base!G:G,Base!C:C,"NOVO")</f>
        <v>PENDENTE</v>
      </c>
      <c r="B571" s="1">
        <v>3216572</v>
      </c>
      <c r="C571" s="1" t="s">
        <v>26</v>
      </c>
      <c r="D571" s="2">
        <v>45688.710416666669</v>
      </c>
      <c r="E571" s="1" t="s">
        <v>781</v>
      </c>
      <c r="F571" s="1" t="s">
        <v>781</v>
      </c>
      <c r="G571" s="1" t="s">
        <v>409</v>
      </c>
      <c r="H571" s="2">
        <v>45688.847222222219</v>
      </c>
      <c r="J571" s="1" t="s">
        <v>18</v>
      </c>
    </row>
    <row r="572" spans="1:10" hidden="1" x14ac:dyDescent="0.25">
      <c r="A572" s="1" t="str">
        <f>_xlfn.XLOOKUP(E572,Base!G:G,Base!C:C,"NOVO")</f>
        <v>PENDENTE</v>
      </c>
      <c r="B572" s="1">
        <v>3374901</v>
      </c>
      <c r="C572" s="1" t="s">
        <v>26</v>
      </c>
      <c r="D572" s="2">
        <v>45769.65</v>
      </c>
      <c r="E572" s="1" t="s">
        <v>2010</v>
      </c>
      <c r="F572" s="1" t="s">
        <v>2011</v>
      </c>
      <c r="G572" s="1" t="s">
        <v>519</v>
      </c>
      <c r="H572" s="2">
        <v>45769.376388888886</v>
      </c>
      <c r="I572" s="2">
        <v>45769.740277777775</v>
      </c>
      <c r="J572" s="1" t="s">
        <v>19</v>
      </c>
    </row>
    <row r="573" spans="1:10" hidden="1" x14ac:dyDescent="0.25">
      <c r="A573" s="1" t="str">
        <f>_xlfn.XLOOKUP(E573,Base!G:G,Base!C:C,"NOVO")</f>
        <v>PENDENTE</v>
      </c>
      <c r="B573" s="1">
        <v>3223156</v>
      </c>
      <c r="C573" s="1" t="s">
        <v>26</v>
      </c>
      <c r="D573" s="2">
        <v>45695.304166666669</v>
      </c>
      <c r="E573" s="1" t="s">
        <v>782</v>
      </c>
      <c r="F573" s="1" t="s">
        <v>782</v>
      </c>
      <c r="G573" s="1" t="s">
        <v>394</v>
      </c>
      <c r="H573" s="2">
        <v>45692.631944444445</v>
      </c>
      <c r="I573" s="2">
        <v>45695.438888888886</v>
      </c>
      <c r="J573" s="1" t="s">
        <v>18</v>
      </c>
    </row>
    <row r="574" spans="1:10" hidden="1" x14ac:dyDescent="0.25">
      <c r="A574" s="1" t="str">
        <f>_xlfn.XLOOKUP(E574,Base!G:G,Base!C:C,"NOVO")</f>
        <v>PENDENTE</v>
      </c>
      <c r="B574" s="1">
        <v>3237965</v>
      </c>
      <c r="C574" s="1" t="s">
        <v>26</v>
      </c>
      <c r="D574" s="2">
        <v>45698.729861111111</v>
      </c>
      <c r="E574" s="1" t="s">
        <v>982</v>
      </c>
      <c r="F574" s="1" t="s">
        <v>982</v>
      </c>
      <c r="G574" s="1" t="s">
        <v>83</v>
      </c>
      <c r="H574" s="2">
        <v>45698.856249999997</v>
      </c>
      <c r="J574" s="1" t="s">
        <v>18</v>
      </c>
    </row>
    <row r="575" spans="1:10" hidden="1" x14ac:dyDescent="0.25">
      <c r="A575" s="1" t="str">
        <f>_xlfn.XLOOKUP(E575,Base!G:G,Base!C:C,"NOVO")</f>
        <v>PENDENTE</v>
      </c>
      <c r="B575" s="1">
        <v>3428173</v>
      </c>
      <c r="C575" s="1" t="s">
        <v>26</v>
      </c>
      <c r="D575" s="2">
        <v>45796.469444444447</v>
      </c>
      <c r="E575" s="1" t="s">
        <v>2418</v>
      </c>
      <c r="F575" s="1" t="s">
        <v>2418</v>
      </c>
      <c r="G575" s="1" t="s">
        <v>410</v>
      </c>
      <c r="H575" s="2">
        <v>45796.5625</v>
      </c>
      <c r="J575" s="1" t="s">
        <v>18</v>
      </c>
    </row>
    <row r="576" spans="1:10" hidden="1" x14ac:dyDescent="0.25">
      <c r="A576" s="1" t="str">
        <f>_xlfn.XLOOKUP(E576,Base!G:G,Base!C:C,"NOVO")</f>
        <v>PENDENTE</v>
      </c>
      <c r="B576" s="1">
        <v>3244002</v>
      </c>
      <c r="C576" s="1" t="s">
        <v>26</v>
      </c>
      <c r="D576" s="2">
        <v>45701.382638888892</v>
      </c>
      <c r="E576" s="1" t="s">
        <v>1127</v>
      </c>
      <c r="F576" s="1" t="s">
        <v>1127</v>
      </c>
      <c r="G576" s="1" t="s">
        <v>652</v>
      </c>
      <c r="H576" s="2">
        <v>45701.520833333336</v>
      </c>
      <c r="J576" s="1" t="s">
        <v>18</v>
      </c>
    </row>
    <row r="577" spans="1:10" x14ac:dyDescent="0.25">
      <c r="A577" s="1" t="str">
        <f>_xlfn.XLOOKUP(E577,Base!G:G,Base!C:C,"NOVO")</f>
        <v>PENDENTE</v>
      </c>
      <c r="B577" s="1">
        <v>3481959</v>
      </c>
      <c r="C577" s="1" t="s">
        <v>26</v>
      </c>
      <c r="D577" s="2">
        <v>45821.65625</v>
      </c>
      <c r="E577" s="1" t="s">
        <v>2719</v>
      </c>
      <c r="F577" s="1" t="s">
        <v>2720</v>
      </c>
      <c r="G577" s="1" t="s">
        <v>84</v>
      </c>
      <c r="H577" s="2">
        <v>45821.740972222222</v>
      </c>
      <c r="J577" s="1" t="s">
        <v>1244</v>
      </c>
    </row>
    <row r="578" spans="1:10" hidden="1" x14ac:dyDescent="0.25">
      <c r="A578" s="1" t="str">
        <f>_xlfn.XLOOKUP(E578,Base!G:G,Base!C:C,"NOVO")</f>
        <v>PENDENTE</v>
      </c>
      <c r="B578" s="1">
        <v>3333717</v>
      </c>
      <c r="C578" s="1" t="s">
        <v>26</v>
      </c>
      <c r="D578" s="2">
        <v>45747.395138888889</v>
      </c>
      <c r="E578" s="1" t="s">
        <v>1759</v>
      </c>
      <c r="F578" s="1" t="s">
        <v>1759</v>
      </c>
      <c r="G578" s="1" t="s">
        <v>273</v>
      </c>
      <c r="H578" s="2">
        <v>45747.479861111111</v>
      </c>
      <c r="J578" s="1" t="s">
        <v>1245</v>
      </c>
    </row>
    <row r="579" spans="1:10" hidden="1" x14ac:dyDescent="0.25">
      <c r="A579" s="1" t="str">
        <f>_xlfn.XLOOKUP(E579,Base!G:G,Base!C:C,"NOVO")</f>
        <v>PENDENTE</v>
      </c>
      <c r="B579" s="1">
        <v>3361962</v>
      </c>
      <c r="C579" s="1" t="s">
        <v>26</v>
      </c>
      <c r="D579" s="2">
        <v>45758.761111111111</v>
      </c>
      <c r="E579" s="1" t="s">
        <v>2012</v>
      </c>
      <c r="F579" s="1" t="s">
        <v>2012</v>
      </c>
      <c r="G579" s="1" t="s">
        <v>409</v>
      </c>
      <c r="H579" s="2">
        <v>45758.854861111111</v>
      </c>
      <c r="J579" s="1" t="s">
        <v>18</v>
      </c>
    </row>
    <row r="580" spans="1:10" hidden="1" x14ac:dyDescent="0.25">
      <c r="A580" s="1" t="str">
        <f>_xlfn.XLOOKUP(E580,Base!G:G,Base!C:C,"NOVO")</f>
        <v>PENDENTE</v>
      </c>
      <c r="B580" s="1">
        <v>3237980</v>
      </c>
      <c r="C580" s="1" t="s">
        <v>26</v>
      </c>
      <c r="D580" s="2">
        <v>45698.729861111111</v>
      </c>
      <c r="E580" s="1" t="s">
        <v>983</v>
      </c>
      <c r="F580" s="1" t="s">
        <v>983</v>
      </c>
      <c r="G580" s="1" t="s">
        <v>83</v>
      </c>
      <c r="H580" s="2">
        <v>45698.85833333333</v>
      </c>
      <c r="J580" s="1" t="s">
        <v>18</v>
      </c>
    </row>
    <row r="581" spans="1:10" hidden="1" x14ac:dyDescent="0.25">
      <c r="A581" s="1" t="str">
        <f>_xlfn.XLOOKUP(E581,Base!G:G,Base!C:C,"NOVO")</f>
        <v>PENDENTE</v>
      </c>
      <c r="B581" s="1">
        <v>3433982</v>
      </c>
      <c r="C581" s="1" t="s">
        <v>26</v>
      </c>
      <c r="D581" s="2">
        <v>45798.463888888888</v>
      </c>
      <c r="E581" s="1" t="s">
        <v>2419</v>
      </c>
      <c r="F581" s="1" t="s">
        <v>2419</v>
      </c>
      <c r="G581" s="1" t="s">
        <v>83</v>
      </c>
      <c r="H581" s="2">
        <v>45798.554861111108</v>
      </c>
      <c r="J581" s="1" t="s">
        <v>18</v>
      </c>
    </row>
    <row r="582" spans="1:10" hidden="1" x14ac:dyDescent="0.25">
      <c r="A582" s="1" t="str">
        <f>_xlfn.XLOOKUP(E582,Base!G:G,Base!C:C,"NOVO")</f>
        <v>PENDENTE</v>
      </c>
      <c r="B582" s="1">
        <v>3441824</v>
      </c>
      <c r="C582" s="1" t="s">
        <v>26</v>
      </c>
      <c r="D582" s="2">
        <v>45803.273611111108</v>
      </c>
      <c r="E582" s="1" t="s">
        <v>2420</v>
      </c>
      <c r="F582" s="1" t="s">
        <v>2420</v>
      </c>
      <c r="G582" s="1" t="s">
        <v>273</v>
      </c>
      <c r="H582" s="2">
        <v>45803.357638888891</v>
      </c>
      <c r="J582" s="1" t="s">
        <v>1245</v>
      </c>
    </row>
    <row r="583" spans="1:10" hidden="1" x14ac:dyDescent="0.25">
      <c r="A583" s="1" t="str">
        <f>_xlfn.XLOOKUP(E583,Base!G:G,Base!C:C,"NOVO")</f>
        <v>PENDENTE</v>
      </c>
      <c r="B583" s="1">
        <v>3249534</v>
      </c>
      <c r="C583" s="1" t="s">
        <v>26</v>
      </c>
      <c r="D583" s="2">
        <v>45705.503472222219</v>
      </c>
      <c r="E583" s="1" t="s">
        <v>1128</v>
      </c>
      <c r="F583" s="1" t="s">
        <v>1128</v>
      </c>
      <c r="G583" s="1" t="s">
        <v>409</v>
      </c>
      <c r="H583" s="2">
        <v>45705.429861111108</v>
      </c>
      <c r="I583" s="2">
        <v>45705.640277777777</v>
      </c>
      <c r="J583" s="1" t="s">
        <v>18</v>
      </c>
    </row>
    <row r="584" spans="1:10" hidden="1" x14ac:dyDescent="0.25">
      <c r="A584" s="1" t="str">
        <f>_xlfn.XLOOKUP(E584,Base!G:G,Base!C:C,"NOVO")</f>
        <v>PENDENTE</v>
      </c>
      <c r="B584" s="1">
        <v>3332269</v>
      </c>
      <c r="C584" s="1" t="s">
        <v>26</v>
      </c>
      <c r="D584" s="2">
        <v>45747.604166666664</v>
      </c>
      <c r="E584" s="1" t="s">
        <v>1760</v>
      </c>
      <c r="F584" s="1" t="s">
        <v>1760</v>
      </c>
      <c r="G584" s="1" t="s">
        <v>1761</v>
      </c>
      <c r="H584" s="2">
        <v>45744.86041666667</v>
      </c>
      <c r="I584" s="2">
        <v>45747.692361111112</v>
      </c>
      <c r="J584" s="1" t="s">
        <v>18</v>
      </c>
    </row>
    <row r="585" spans="1:10" x14ac:dyDescent="0.25">
      <c r="A585" s="1" t="str">
        <f>_xlfn.XLOOKUP(E585,Base!G:G,Base!C:C,"NOVO")</f>
        <v>PENDENTE</v>
      </c>
      <c r="B585" s="1">
        <v>3472155</v>
      </c>
      <c r="C585" s="1" t="s">
        <v>26</v>
      </c>
      <c r="D585" s="2">
        <v>45817.652777777781</v>
      </c>
      <c r="E585" s="1" t="s">
        <v>2721</v>
      </c>
      <c r="F585" s="1" t="s">
        <v>2721</v>
      </c>
      <c r="G585" s="1" t="s">
        <v>707</v>
      </c>
      <c r="H585" s="2">
        <v>45817.730555555558</v>
      </c>
      <c r="I585" s="2">
        <v>45817.740972222222</v>
      </c>
      <c r="J585" s="1" t="s">
        <v>18</v>
      </c>
    </row>
    <row r="586" spans="1:10" hidden="1" x14ac:dyDescent="0.25">
      <c r="A586" s="1" t="str">
        <f>_xlfn.XLOOKUP(E586,Base!G:G,Base!C:C,"NOVO")</f>
        <v>PENDENTE</v>
      </c>
      <c r="B586" s="1">
        <v>3369034</v>
      </c>
      <c r="C586" s="1" t="s">
        <v>26</v>
      </c>
      <c r="D586" s="2">
        <v>45763.526388888888</v>
      </c>
      <c r="E586" s="1" t="s">
        <v>2013</v>
      </c>
      <c r="F586" s="1" t="s">
        <v>2014</v>
      </c>
      <c r="G586" s="1" t="s">
        <v>393</v>
      </c>
      <c r="H586" s="2">
        <v>45763.615277777775</v>
      </c>
      <c r="J586" s="1" t="s">
        <v>19</v>
      </c>
    </row>
    <row r="587" spans="1:10" hidden="1" x14ac:dyDescent="0.25">
      <c r="A587" s="1" t="str">
        <f>_xlfn.XLOOKUP(E587,Base!G:G,Base!C:C,"NOVO")</f>
        <v>PENDENTE</v>
      </c>
      <c r="B587" s="1">
        <v>3343979</v>
      </c>
      <c r="C587" s="1" t="s">
        <v>26</v>
      </c>
      <c r="D587" s="2">
        <v>45763.529166666667</v>
      </c>
      <c r="E587" s="1" t="s">
        <v>1762</v>
      </c>
      <c r="F587" s="1" t="s">
        <v>1762</v>
      </c>
      <c r="G587" s="1" t="s">
        <v>408</v>
      </c>
      <c r="H587" s="2">
        <v>45750.490972222222</v>
      </c>
      <c r="I587" s="2">
        <v>45763.615972222222</v>
      </c>
      <c r="J587" s="1" t="s">
        <v>18</v>
      </c>
    </row>
    <row r="588" spans="1:10" hidden="1" x14ac:dyDescent="0.25">
      <c r="A588" s="1" t="str">
        <f>_xlfn.XLOOKUP(E588,Base!G:G,Base!C:C,"NOVO")</f>
        <v>PENDENTE</v>
      </c>
      <c r="B588" s="1">
        <v>3343981</v>
      </c>
      <c r="C588" s="1" t="s">
        <v>26</v>
      </c>
      <c r="D588" s="2">
        <v>45763.529166666667</v>
      </c>
      <c r="E588" s="1" t="s">
        <v>1763</v>
      </c>
      <c r="F588" s="1" t="s">
        <v>1762</v>
      </c>
      <c r="G588" s="1" t="s">
        <v>1423</v>
      </c>
      <c r="H588" s="2">
        <v>45750.490972222222</v>
      </c>
      <c r="I588" s="2">
        <v>45763.615972222222</v>
      </c>
      <c r="J588" s="1" t="s">
        <v>18</v>
      </c>
    </row>
    <row r="589" spans="1:10" hidden="1" x14ac:dyDescent="0.25">
      <c r="A589" s="1" t="str">
        <f>_xlfn.XLOOKUP(E589,Base!G:G,Base!C:C,"NOVO")</f>
        <v>PENDENTE</v>
      </c>
      <c r="B589" s="1">
        <v>3343980</v>
      </c>
      <c r="C589" s="1" t="s">
        <v>26</v>
      </c>
      <c r="D589" s="2">
        <v>45763.529166666667</v>
      </c>
      <c r="E589" s="1" t="s">
        <v>1764</v>
      </c>
      <c r="F589" s="1" t="s">
        <v>1762</v>
      </c>
      <c r="G589" s="1" t="s">
        <v>1202</v>
      </c>
      <c r="H589" s="2">
        <v>45750.490972222222</v>
      </c>
      <c r="I589" s="2">
        <v>45763.615972222222</v>
      </c>
      <c r="J589" s="1" t="s">
        <v>18</v>
      </c>
    </row>
    <row r="590" spans="1:10" hidden="1" x14ac:dyDescent="0.25">
      <c r="A590" s="1" t="str">
        <f>_xlfn.XLOOKUP(E590,Base!G:G,Base!C:C,"NOVO")</f>
        <v>PENDENTE</v>
      </c>
      <c r="B590" s="1">
        <v>3429485</v>
      </c>
      <c r="C590" s="1" t="s">
        <v>26</v>
      </c>
      <c r="D590" s="2">
        <v>45797.296527777777</v>
      </c>
      <c r="E590" s="1" t="s">
        <v>2421</v>
      </c>
      <c r="F590" s="1" t="s">
        <v>2422</v>
      </c>
      <c r="G590" s="1" t="s">
        <v>2052</v>
      </c>
      <c r="H590" s="2">
        <v>45796.743750000001</v>
      </c>
      <c r="I590" s="2">
        <v>45797.380555555559</v>
      </c>
      <c r="J590" s="1" t="s">
        <v>18</v>
      </c>
    </row>
    <row r="591" spans="1:10" hidden="1" x14ac:dyDescent="0.25">
      <c r="A591" s="1" t="str">
        <f>_xlfn.XLOOKUP(E591,Base!G:G,Base!C:C,"NOVO")</f>
        <v>PENDENTE</v>
      </c>
      <c r="B591" s="1">
        <v>3397459</v>
      </c>
      <c r="C591" s="1" t="s">
        <v>26</v>
      </c>
      <c r="D591" s="2">
        <v>45779.520138888889</v>
      </c>
      <c r="E591" s="1" t="s">
        <v>2229</v>
      </c>
      <c r="F591" s="1" t="s">
        <v>2229</v>
      </c>
      <c r="G591" s="1" t="s">
        <v>620</v>
      </c>
      <c r="H591" s="2">
        <v>45779.606249999997</v>
      </c>
      <c r="J591" s="1" t="s">
        <v>18</v>
      </c>
    </row>
    <row r="592" spans="1:10" x14ac:dyDescent="0.25">
      <c r="A592" s="1" t="str">
        <f>_xlfn.XLOOKUP(E592,Base!G:G,Base!C:C,"NOVO")</f>
        <v>PENDENTE</v>
      </c>
      <c r="B592" s="1">
        <v>3474176</v>
      </c>
      <c r="C592" s="1" t="s">
        <v>26</v>
      </c>
      <c r="D592" s="2">
        <v>45818.590277777781</v>
      </c>
      <c r="E592" s="1" t="s">
        <v>2722</v>
      </c>
      <c r="F592" s="1" t="s">
        <v>2722</v>
      </c>
      <c r="G592" s="1" t="s">
        <v>83</v>
      </c>
      <c r="H592" s="2">
        <v>45818.678472222222</v>
      </c>
      <c r="J592" s="1" t="s">
        <v>18</v>
      </c>
    </row>
    <row r="593" spans="1:10" hidden="1" x14ac:dyDescent="0.25">
      <c r="A593" s="1" t="str">
        <f>_xlfn.XLOOKUP(E593,Base!G:G,Base!C:C,"NOVO")</f>
        <v>PENDENTE</v>
      </c>
      <c r="B593" s="1">
        <v>3285916</v>
      </c>
      <c r="C593" s="1" t="s">
        <v>26</v>
      </c>
      <c r="D593" s="2">
        <v>45723.527083333334</v>
      </c>
      <c r="E593" s="1" t="s">
        <v>1467</v>
      </c>
      <c r="F593" s="1" t="s">
        <v>1467</v>
      </c>
      <c r="G593" s="1" t="s">
        <v>1215</v>
      </c>
      <c r="H593" s="2">
        <v>45723.65902777778</v>
      </c>
      <c r="J593" s="1" t="s">
        <v>18</v>
      </c>
    </row>
    <row r="594" spans="1:10" hidden="1" x14ac:dyDescent="0.25">
      <c r="A594" s="1" t="str">
        <f>_xlfn.XLOOKUP(E594,Base!G:G,Base!C:C,"NOVO")</f>
        <v>PENDENTE</v>
      </c>
      <c r="B594" s="1">
        <v>3444818</v>
      </c>
      <c r="C594" s="1" t="s">
        <v>26</v>
      </c>
      <c r="D594" s="2">
        <v>45804.336111111108</v>
      </c>
      <c r="E594" s="1" t="s">
        <v>2423</v>
      </c>
      <c r="F594" s="1" t="s">
        <v>2423</v>
      </c>
      <c r="G594" s="1" t="s">
        <v>83</v>
      </c>
      <c r="H594" s="2">
        <v>45804.429166666669</v>
      </c>
      <c r="J594" s="1" t="s">
        <v>18</v>
      </c>
    </row>
    <row r="595" spans="1:10" hidden="1" x14ac:dyDescent="0.25">
      <c r="A595" s="1" t="str">
        <f>_xlfn.XLOOKUP(E595,Base!G:G,Base!C:C,"NOVO")</f>
        <v>PENDENTE</v>
      </c>
      <c r="B595" s="1">
        <v>3303591</v>
      </c>
      <c r="C595" s="1" t="s">
        <v>26</v>
      </c>
      <c r="D595" s="2">
        <v>45733.27847222222</v>
      </c>
      <c r="E595" s="1" t="s">
        <v>1468</v>
      </c>
      <c r="F595" s="1" t="s">
        <v>1469</v>
      </c>
      <c r="G595" s="1" t="s">
        <v>64</v>
      </c>
      <c r="H595" s="2">
        <v>45733.367361111108</v>
      </c>
      <c r="J595" s="1" t="s">
        <v>1244</v>
      </c>
    </row>
    <row r="596" spans="1:10" hidden="1" x14ac:dyDescent="0.25">
      <c r="A596" s="1" t="str">
        <f>_xlfn.XLOOKUP(E596,Base!G:G,Base!C:C,"NOVO")</f>
        <v>PENDENTE</v>
      </c>
      <c r="B596" s="1">
        <v>3283598</v>
      </c>
      <c r="C596" s="1" t="s">
        <v>26</v>
      </c>
      <c r="D596" s="2">
        <v>45722.595138888886</v>
      </c>
      <c r="E596" s="1" t="s">
        <v>1470</v>
      </c>
      <c r="F596" s="1" t="s">
        <v>1471</v>
      </c>
      <c r="G596" s="1" t="s">
        <v>64</v>
      </c>
      <c r="H596" s="2">
        <v>45722.72152777778</v>
      </c>
      <c r="J596" s="1" t="s">
        <v>1244</v>
      </c>
    </row>
    <row r="597" spans="1:10" hidden="1" x14ac:dyDescent="0.25">
      <c r="A597" s="1" t="str">
        <f>_xlfn.XLOOKUP(E597,Base!G:G,Base!C:C,"NOVO")</f>
        <v>PENDENTE</v>
      </c>
      <c r="B597" s="1">
        <v>3436302</v>
      </c>
      <c r="C597" s="1" t="s">
        <v>26</v>
      </c>
      <c r="D597" s="2">
        <v>45799.414583333331</v>
      </c>
      <c r="E597" s="1" t="s">
        <v>2424</v>
      </c>
      <c r="F597" s="1" t="s">
        <v>2425</v>
      </c>
      <c r="G597" s="1" t="s">
        <v>84</v>
      </c>
      <c r="H597" s="2">
        <v>45799.45208333333</v>
      </c>
      <c r="I597" s="2">
        <v>45799.505555555559</v>
      </c>
      <c r="J597" s="1" t="s">
        <v>1244</v>
      </c>
    </row>
    <row r="598" spans="1:10" hidden="1" x14ac:dyDescent="0.25">
      <c r="A598" s="1" t="str">
        <f>_xlfn.XLOOKUP(E598,Base!G:G,Base!C:C,"NOVO")</f>
        <v>PENDENTE</v>
      </c>
      <c r="B598" s="1">
        <v>3259587</v>
      </c>
      <c r="C598" s="1" t="s">
        <v>26</v>
      </c>
      <c r="D598" s="2">
        <v>45708.71597222222</v>
      </c>
      <c r="E598" s="1" t="s">
        <v>1129</v>
      </c>
      <c r="F598" s="1" t="s">
        <v>1129</v>
      </c>
      <c r="G598" s="1" t="s">
        <v>83</v>
      </c>
      <c r="H598" s="2">
        <v>45708.84652777778</v>
      </c>
      <c r="J598" s="1" t="s">
        <v>18</v>
      </c>
    </row>
    <row r="599" spans="1:10" hidden="1" x14ac:dyDescent="0.25">
      <c r="A599" s="1" t="str">
        <f>_xlfn.XLOOKUP(E599,Base!G:G,Base!C:C,"NOVO")</f>
        <v>PENDENTE</v>
      </c>
      <c r="B599" s="1">
        <v>3368970</v>
      </c>
      <c r="C599" s="1" t="s">
        <v>26</v>
      </c>
      <c r="D599" s="2">
        <v>45763.481944444444</v>
      </c>
      <c r="E599" s="1" t="s">
        <v>2015</v>
      </c>
      <c r="F599" s="1" t="s">
        <v>2015</v>
      </c>
      <c r="G599" s="1" t="s">
        <v>410</v>
      </c>
      <c r="H599" s="2">
        <v>45763.575694444444</v>
      </c>
      <c r="J599" s="1" t="s">
        <v>18</v>
      </c>
    </row>
    <row r="600" spans="1:10" hidden="1" x14ac:dyDescent="0.25">
      <c r="A600" s="1" t="str">
        <f>_xlfn.XLOOKUP(E600,Base!G:G,Base!C:C,"NOVO")</f>
        <v>PENDENTE</v>
      </c>
      <c r="B600" s="1">
        <v>3280906</v>
      </c>
      <c r="C600" s="1" t="s">
        <v>26</v>
      </c>
      <c r="D600" s="2">
        <v>45721.525000000001</v>
      </c>
      <c r="E600" s="1" t="s">
        <v>1296</v>
      </c>
      <c r="F600" s="1" t="s">
        <v>1296</v>
      </c>
      <c r="G600" s="1" t="s">
        <v>1054</v>
      </c>
      <c r="H600" s="2">
        <v>45721.660416666666</v>
      </c>
      <c r="J600" s="1" t="s">
        <v>18</v>
      </c>
    </row>
    <row r="601" spans="1:10" hidden="1" x14ac:dyDescent="0.25">
      <c r="A601" s="1" t="str">
        <f>_xlfn.XLOOKUP(E601,Base!G:G,Base!C:C,"NOVO")</f>
        <v>PENDENTE</v>
      </c>
      <c r="B601" s="1">
        <v>3248121</v>
      </c>
      <c r="C601" s="1" t="s">
        <v>26</v>
      </c>
      <c r="D601" s="2">
        <v>45705.313194444447</v>
      </c>
      <c r="E601" s="1" t="s">
        <v>1130</v>
      </c>
      <c r="F601" s="1" t="s">
        <v>1130</v>
      </c>
      <c r="G601" s="1" t="s">
        <v>1131</v>
      </c>
      <c r="H601" s="2">
        <v>45702.762499999997</v>
      </c>
      <c r="I601" s="2">
        <v>45705.44027777778</v>
      </c>
      <c r="J601" s="1" t="s">
        <v>18</v>
      </c>
    </row>
    <row r="602" spans="1:10" hidden="1" x14ac:dyDescent="0.25">
      <c r="A602" s="1" t="str">
        <f>_xlfn.XLOOKUP(E602,Base!G:G,Base!C:C,"NOVO")</f>
        <v>PENDENTE</v>
      </c>
      <c r="B602" s="1">
        <v>3343810</v>
      </c>
      <c r="C602" s="1" t="s">
        <v>26</v>
      </c>
      <c r="D602" s="2">
        <v>45750.379166666666</v>
      </c>
      <c r="E602" s="1" t="s">
        <v>1765</v>
      </c>
      <c r="F602" s="1" t="s">
        <v>1765</v>
      </c>
      <c r="G602" s="1" t="s">
        <v>409</v>
      </c>
      <c r="H602" s="2">
        <v>45750.470833333333</v>
      </c>
      <c r="J602" s="1" t="s">
        <v>18</v>
      </c>
    </row>
    <row r="603" spans="1:10" hidden="1" x14ac:dyDescent="0.25">
      <c r="A603" s="1" t="str">
        <f>_xlfn.XLOOKUP(E603,Base!G:G,Base!C:C,"NOVO")</f>
        <v>PENDENTE</v>
      </c>
      <c r="B603" s="1">
        <v>3296200</v>
      </c>
      <c r="C603" s="1" t="s">
        <v>26</v>
      </c>
      <c r="D603" s="2">
        <v>45729.637499999997</v>
      </c>
      <c r="E603" s="1" t="s">
        <v>1472</v>
      </c>
      <c r="F603" s="1" t="s">
        <v>1472</v>
      </c>
      <c r="G603" s="1" t="s">
        <v>1060</v>
      </c>
      <c r="H603" s="2">
        <v>45728.844444444447</v>
      </c>
      <c r="I603" s="2">
        <v>45729.732638888891</v>
      </c>
      <c r="J603" s="1" t="s">
        <v>18</v>
      </c>
    </row>
    <row r="604" spans="1:10" hidden="1" x14ac:dyDescent="0.25">
      <c r="A604" s="1" t="str">
        <f>_xlfn.XLOOKUP(E604,Base!G:G,Base!C:C,"NOVO")</f>
        <v>PENDENTE</v>
      </c>
      <c r="B604" s="1">
        <v>3403050</v>
      </c>
      <c r="C604" s="1" t="s">
        <v>26</v>
      </c>
      <c r="D604" s="2">
        <v>45783.462500000001</v>
      </c>
      <c r="E604" s="1" t="s">
        <v>2230</v>
      </c>
      <c r="F604" s="1" t="s">
        <v>2230</v>
      </c>
      <c r="G604" s="1" t="s">
        <v>396</v>
      </c>
      <c r="H604" s="2">
        <v>45783.554166666669</v>
      </c>
      <c r="J604" s="1" t="s">
        <v>18</v>
      </c>
    </row>
    <row r="605" spans="1:10" hidden="1" x14ac:dyDescent="0.25">
      <c r="A605" s="1" t="str">
        <f>_xlfn.XLOOKUP(E605,Base!G:G,Base!C:C,"NOVO")</f>
        <v>PENDENTE</v>
      </c>
      <c r="B605" s="1">
        <v>3240665</v>
      </c>
      <c r="C605" s="1" t="s">
        <v>26</v>
      </c>
      <c r="D605" s="2">
        <v>45699.737500000003</v>
      </c>
      <c r="E605" s="1" t="s">
        <v>1132</v>
      </c>
      <c r="F605" s="1" t="s">
        <v>1132</v>
      </c>
      <c r="G605" s="1" t="s">
        <v>620</v>
      </c>
      <c r="H605" s="2">
        <v>45699.868055555555</v>
      </c>
      <c r="J605" s="1" t="s">
        <v>18</v>
      </c>
    </row>
    <row r="606" spans="1:10" hidden="1" x14ac:dyDescent="0.25">
      <c r="A606" s="1" t="str">
        <f>_xlfn.XLOOKUP(E606,Base!G:G,Base!C:C,"NOVO")</f>
        <v>PENDENTE</v>
      </c>
      <c r="B606" s="1">
        <v>3323654</v>
      </c>
      <c r="C606" s="1" t="s">
        <v>26</v>
      </c>
      <c r="D606" s="2">
        <v>45741.678472222222</v>
      </c>
      <c r="E606" s="1" t="s">
        <v>1766</v>
      </c>
      <c r="F606" s="1" t="s">
        <v>1766</v>
      </c>
      <c r="G606" s="1" t="s">
        <v>410</v>
      </c>
      <c r="H606" s="2">
        <v>45741.775000000001</v>
      </c>
      <c r="J606" s="1" t="s">
        <v>18</v>
      </c>
    </row>
    <row r="607" spans="1:10" x14ac:dyDescent="0.25">
      <c r="A607" s="1" t="str">
        <f>_xlfn.XLOOKUP(E607,Base!G:G,Base!C:C,"NOVO")</f>
        <v>PENDENTE</v>
      </c>
      <c r="B607" s="1">
        <v>3468393</v>
      </c>
      <c r="C607" s="1" t="s">
        <v>26</v>
      </c>
      <c r="D607" s="2">
        <v>45814.484027777777</v>
      </c>
      <c r="E607" s="1" t="s">
        <v>2723</v>
      </c>
      <c r="F607" s="1" t="s">
        <v>2723</v>
      </c>
      <c r="G607" s="1" t="s">
        <v>2477</v>
      </c>
      <c r="H607" s="2">
        <v>45814.543055555558</v>
      </c>
      <c r="I607" s="2">
        <v>45814.573611111111</v>
      </c>
      <c r="J607" s="1" t="s">
        <v>18</v>
      </c>
    </row>
    <row r="608" spans="1:10" x14ac:dyDescent="0.25">
      <c r="A608" s="1" t="str">
        <f>_xlfn.XLOOKUP(E608,Base!G:G,Base!C:C,"NOVO")</f>
        <v>PENDENTE</v>
      </c>
      <c r="B608" s="1">
        <v>3484223</v>
      </c>
      <c r="C608" s="1" t="s">
        <v>26</v>
      </c>
      <c r="D608" s="2">
        <v>45824.392361111109</v>
      </c>
      <c r="E608" s="1" t="s">
        <v>2724</v>
      </c>
      <c r="F608" s="1" t="s">
        <v>2725</v>
      </c>
      <c r="G608" s="1" t="s">
        <v>84</v>
      </c>
      <c r="H608" s="2">
        <v>45824.480555555558</v>
      </c>
      <c r="J608" s="1" t="s">
        <v>1244</v>
      </c>
    </row>
    <row r="609" spans="1:10" hidden="1" x14ac:dyDescent="0.25">
      <c r="A609" s="1" t="str">
        <f>_xlfn.XLOOKUP(E609,Base!G:G,Base!C:C,"NOVO")</f>
        <v>PENDENTE</v>
      </c>
      <c r="B609" s="1">
        <v>3464790</v>
      </c>
      <c r="C609" s="1" t="s">
        <v>26</v>
      </c>
      <c r="D609" s="2">
        <v>45812.746527777781</v>
      </c>
      <c r="E609" s="1" t="s">
        <v>2611</v>
      </c>
      <c r="F609" s="1" t="s">
        <v>2611</v>
      </c>
      <c r="G609" s="1" t="s">
        <v>83</v>
      </c>
      <c r="H609" s="2">
        <v>45812.835416666669</v>
      </c>
      <c r="J609" s="1" t="s">
        <v>18</v>
      </c>
    </row>
    <row r="610" spans="1:10" hidden="1" x14ac:dyDescent="0.25">
      <c r="A610" s="1" t="str">
        <f>_xlfn.XLOOKUP(E610,Base!G:G,Base!C:C,"NOVO")</f>
        <v>PENDENTE</v>
      </c>
      <c r="B610" s="1">
        <v>3361960</v>
      </c>
      <c r="C610" s="1" t="s">
        <v>26</v>
      </c>
      <c r="D610" s="2">
        <v>45758.761111111111</v>
      </c>
      <c r="E610" s="1" t="s">
        <v>2016</v>
      </c>
      <c r="F610" s="1" t="s">
        <v>2016</v>
      </c>
      <c r="G610" s="1" t="s">
        <v>83</v>
      </c>
      <c r="H610" s="2">
        <v>45758.854861111111</v>
      </c>
      <c r="J610" s="1" t="s">
        <v>18</v>
      </c>
    </row>
    <row r="611" spans="1:10" hidden="1" x14ac:dyDescent="0.25">
      <c r="A611" s="1" t="str">
        <f>_xlfn.XLOOKUP(E611,Base!G:G,Base!C:C,"NOVO")</f>
        <v>PENDENTE</v>
      </c>
      <c r="B611" s="1">
        <v>3437793</v>
      </c>
      <c r="C611" s="1" t="s">
        <v>26</v>
      </c>
      <c r="D611" s="2">
        <v>45800.412499999999</v>
      </c>
      <c r="E611" s="1" t="s">
        <v>2426</v>
      </c>
      <c r="F611" s="1" t="s">
        <v>2426</v>
      </c>
      <c r="G611" s="1" t="s">
        <v>829</v>
      </c>
      <c r="H611" s="2">
        <v>45799.732638888891</v>
      </c>
      <c r="I611" s="2">
        <v>45800.504166666666</v>
      </c>
      <c r="J611" s="1" t="s">
        <v>18</v>
      </c>
    </row>
    <row r="612" spans="1:10" hidden="1" x14ac:dyDescent="0.25">
      <c r="A612" s="1" t="str">
        <f>_xlfn.XLOOKUP(E612,Base!G:G,Base!C:C,"NOVO")</f>
        <v>PENDENTE</v>
      </c>
      <c r="B612" s="1">
        <v>3290314</v>
      </c>
      <c r="C612" s="1" t="s">
        <v>26</v>
      </c>
      <c r="D612" s="2">
        <v>45737.770138888889</v>
      </c>
      <c r="E612" s="1" t="s">
        <v>1473</v>
      </c>
      <c r="F612" s="1" t="s">
        <v>1473</v>
      </c>
      <c r="G612" s="1" t="s">
        <v>83</v>
      </c>
      <c r="H612" s="2">
        <v>45726.85</v>
      </c>
      <c r="I612" s="2">
        <v>45737.86041666667</v>
      </c>
      <c r="J612" s="1" t="s">
        <v>18</v>
      </c>
    </row>
    <row r="613" spans="1:10" hidden="1" x14ac:dyDescent="0.25">
      <c r="A613" s="1" t="str">
        <f>_xlfn.XLOOKUP(E613,Base!G:G,Base!C:C,"NOVO")</f>
        <v>PENDENTE</v>
      </c>
      <c r="B613" s="1">
        <v>3431001</v>
      </c>
      <c r="C613" s="1" t="s">
        <v>26</v>
      </c>
      <c r="D613" s="2">
        <v>45797.396527777775</v>
      </c>
      <c r="E613" s="1" t="s">
        <v>2427</v>
      </c>
      <c r="F613" s="1" t="s">
        <v>2428</v>
      </c>
      <c r="G613" s="1" t="s">
        <v>2429</v>
      </c>
      <c r="H613" s="2">
        <v>45797.493055555555</v>
      </c>
      <c r="J613" s="1" t="s">
        <v>19</v>
      </c>
    </row>
    <row r="614" spans="1:10" hidden="1" x14ac:dyDescent="0.25">
      <c r="A614" s="1" t="str">
        <f>_xlfn.XLOOKUP(E614,Base!G:G,Base!C:C,"NOVO")</f>
        <v>PENDENTE</v>
      </c>
      <c r="B614" s="1">
        <v>3437797</v>
      </c>
      <c r="C614" s="1" t="s">
        <v>26</v>
      </c>
      <c r="D614" s="2">
        <v>45799.644444444442</v>
      </c>
      <c r="E614" s="1" t="s">
        <v>2430</v>
      </c>
      <c r="F614" s="1" t="s">
        <v>2430</v>
      </c>
      <c r="G614" s="1" t="s">
        <v>1974</v>
      </c>
      <c r="H614" s="2">
        <v>45799.73333333333</v>
      </c>
      <c r="J614" s="1" t="s">
        <v>18</v>
      </c>
    </row>
    <row r="615" spans="1:10" hidden="1" x14ac:dyDescent="0.25">
      <c r="A615" s="1" t="str">
        <f>_xlfn.XLOOKUP(E615,Base!G:G,Base!C:C,"NOVO")</f>
        <v>PENDENTE</v>
      </c>
      <c r="B615" s="1">
        <v>3299818</v>
      </c>
      <c r="C615" s="1" t="s">
        <v>26</v>
      </c>
      <c r="D615" s="2">
        <v>45729.765277777777</v>
      </c>
      <c r="E615" s="1" t="s">
        <v>1474</v>
      </c>
      <c r="F615" s="1" t="s">
        <v>1474</v>
      </c>
      <c r="G615" s="1" t="s">
        <v>83</v>
      </c>
      <c r="H615" s="2">
        <v>45729.86041666667</v>
      </c>
      <c r="J615" s="1" t="s">
        <v>18</v>
      </c>
    </row>
    <row r="616" spans="1:10" x14ac:dyDescent="0.25">
      <c r="A616" s="1" t="str">
        <f>_xlfn.XLOOKUP(E616,Base!G:G,Base!C:C,"NOVO")</f>
        <v>PENDENTE</v>
      </c>
      <c r="B616" s="1">
        <v>3481538</v>
      </c>
      <c r="C616" s="1" t="s">
        <v>26</v>
      </c>
      <c r="D616" s="2">
        <v>45821.504166666666</v>
      </c>
      <c r="E616" s="1" t="s">
        <v>2726</v>
      </c>
      <c r="F616" s="1" t="s">
        <v>2727</v>
      </c>
      <c r="G616" s="1" t="s">
        <v>64</v>
      </c>
      <c r="H616" s="2">
        <v>45821.595138888886</v>
      </c>
      <c r="J616" s="1" t="s">
        <v>1244</v>
      </c>
    </row>
    <row r="617" spans="1:10" hidden="1" x14ac:dyDescent="0.25">
      <c r="A617" s="1" t="str">
        <f>_xlfn.XLOOKUP(E617,Base!G:G,Base!C:C,"NOVO")</f>
        <v>PENDENTE</v>
      </c>
      <c r="B617" s="1">
        <v>3250713</v>
      </c>
      <c r="C617" s="1" t="s">
        <v>26</v>
      </c>
      <c r="D617" s="2">
        <v>45706.380555555559</v>
      </c>
      <c r="E617" s="1" t="s">
        <v>1133</v>
      </c>
      <c r="F617" s="1" t="s">
        <v>1133</v>
      </c>
      <c r="G617" s="1" t="s">
        <v>1134</v>
      </c>
      <c r="H617" s="2">
        <v>45705.753472222219</v>
      </c>
      <c r="I617" s="2">
        <v>45706.513194444444</v>
      </c>
      <c r="J617" s="1" t="s">
        <v>18</v>
      </c>
    </row>
    <row r="618" spans="1:10" hidden="1" x14ac:dyDescent="0.25">
      <c r="A618" s="1" t="str">
        <f>_xlfn.XLOOKUP(E618,Base!G:G,Base!C:C,"NOVO")</f>
        <v>PENDENTE</v>
      </c>
      <c r="B618" s="1">
        <v>3271841</v>
      </c>
      <c r="C618" s="1" t="s">
        <v>26</v>
      </c>
      <c r="D618" s="2">
        <v>45715.265972222223</v>
      </c>
      <c r="E618" s="1" t="s">
        <v>1297</v>
      </c>
      <c r="F618" s="1" t="s">
        <v>1298</v>
      </c>
      <c r="G618" s="1" t="s">
        <v>64</v>
      </c>
      <c r="H618" s="2">
        <v>45715.397916666669</v>
      </c>
      <c r="J618" s="1" t="s">
        <v>1244</v>
      </c>
    </row>
    <row r="619" spans="1:10" hidden="1" x14ac:dyDescent="0.25">
      <c r="A619" s="1" t="str">
        <f>_xlfn.XLOOKUP(E619,Base!G:G,Base!C:C,"NOVO")</f>
        <v>PENDENTE</v>
      </c>
      <c r="B619" s="1">
        <v>3287152</v>
      </c>
      <c r="C619" s="1" t="s">
        <v>26</v>
      </c>
      <c r="D619" s="2">
        <v>45723.736805555556</v>
      </c>
      <c r="E619" s="1" t="s">
        <v>1475</v>
      </c>
      <c r="F619" s="1" t="s">
        <v>1475</v>
      </c>
      <c r="G619" s="1" t="s">
        <v>707</v>
      </c>
      <c r="H619" s="2">
        <v>45723.871527777781</v>
      </c>
      <c r="J619" s="1" t="s">
        <v>18</v>
      </c>
    </row>
    <row r="620" spans="1:10" hidden="1" x14ac:dyDescent="0.25">
      <c r="A620" s="1" t="str">
        <f>_xlfn.XLOOKUP(E620,Base!G:G,Base!C:C,"NOVO")</f>
        <v>PENDENTE</v>
      </c>
      <c r="B620" s="1">
        <v>3291657</v>
      </c>
      <c r="C620" s="1" t="s">
        <v>26</v>
      </c>
      <c r="D620" s="2">
        <v>45727.387499999997</v>
      </c>
      <c r="E620" s="1" t="s">
        <v>1476</v>
      </c>
      <c r="F620" s="1" t="s">
        <v>1476</v>
      </c>
      <c r="G620" s="1" t="s">
        <v>1215</v>
      </c>
      <c r="H620" s="2">
        <v>45727.481249999997</v>
      </c>
      <c r="J620" s="1" t="s">
        <v>18</v>
      </c>
    </row>
    <row r="621" spans="1:10" hidden="1" x14ac:dyDescent="0.25">
      <c r="A621" s="1" t="str">
        <f>_xlfn.XLOOKUP(E621,Base!G:G,Base!C:C,"NOVO")</f>
        <v>PENDENTE</v>
      </c>
      <c r="B621" s="1">
        <v>3332247</v>
      </c>
      <c r="C621" s="1" t="s">
        <v>26</v>
      </c>
      <c r="D621" s="2">
        <v>45744.763194444444</v>
      </c>
      <c r="E621" s="1" t="s">
        <v>1767</v>
      </c>
      <c r="F621" s="1" t="s">
        <v>1767</v>
      </c>
      <c r="G621" s="1" t="s">
        <v>410</v>
      </c>
      <c r="H621" s="2">
        <v>45744.857638888891</v>
      </c>
      <c r="J621" s="1" t="s">
        <v>18</v>
      </c>
    </row>
    <row r="622" spans="1:10" hidden="1" x14ac:dyDescent="0.25">
      <c r="A622" s="1" t="str">
        <f>_xlfn.XLOOKUP(E622,Base!G:G,Base!C:C,"NOVO")</f>
        <v>PENDENTE</v>
      </c>
      <c r="B622" s="1">
        <v>3399326</v>
      </c>
      <c r="C622" s="1" t="s">
        <v>26</v>
      </c>
      <c r="D622" s="2">
        <v>45782.383333333331</v>
      </c>
      <c r="E622" s="1" t="s">
        <v>2231</v>
      </c>
      <c r="F622" s="1" t="s">
        <v>2231</v>
      </c>
      <c r="G622" s="1" t="s">
        <v>408</v>
      </c>
      <c r="H622" s="2">
        <v>45780.794444444444</v>
      </c>
      <c r="I622" s="2">
        <v>45782.470833333333</v>
      </c>
      <c r="J622" s="1" t="s">
        <v>18</v>
      </c>
    </row>
    <row r="623" spans="1:10" hidden="1" x14ac:dyDescent="0.25">
      <c r="A623" s="1" t="str">
        <f>_xlfn.XLOOKUP(E623,Base!G:G,Base!C:C,"NOVO")</f>
        <v>PENDENTE</v>
      </c>
      <c r="B623" s="1">
        <v>3445803</v>
      </c>
      <c r="C623" s="1" t="s">
        <v>26</v>
      </c>
      <c r="D623" s="2">
        <v>45804.597916666666</v>
      </c>
      <c r="E623" s="1" t="s">
        <v>2431</v>
      </c>
      <c r="F623" s="1" t="s">
        <v>2431</v>
      </c>
      <c r="G623" s="1" t="s">
        <v>746</v>
      </c>
      <c r="H623" s="2">
        <v>45804.690972222219</v>
      </c>
      <c r="J623" s="1" t="s">
        <v>18</v>
      </c>
    </row>
    <row r="624" spans="1:10" hidden="1" x14ac:dyDescent="0.25">
      <c r="A624" s="1" t="str">
        <f>_xlfn.XLOOKUP(E624,Base!G:G,Base!C:C,"NOVO")</f>
        <v>PENDENTE</v>
      </c>
      <c r="B624" s="1">
        <v>3466395</v>
      </c>
      <c r="C624" s="1" t="s">
        <v>26</v>
      </c>
      <c r="D624" s="2">
        <v>45817.271527777775</v>
      </c>
      <c r="E624" s="1" t="s">
        <v>2612</v>
      </c>
      <c r="F624" s="1" t="s">
        <v>2612</v>
      </c>
      <c r="G624" s="1" t="s">
        <v>578</v>
      </c>
      <c r="H624" s="2">
        <v>45813.626388888886</v>
      </c>
      <c r="I624" s="2">
        <v>45817.354861111111</v>
      </c>
      <c r="J624" s="1" t="s">
        <v>18</v>
      </c>
    </row>
    <row r="625" spans="1:10" hidden="1" x14ac:dyDescent="0.25">
      <c r="A625" s="1" t="str">
        <f>_xlfn.XLOOKUP(E625,Base!G:G,Base!C:C,"NOVO")</f>
        <v>PENDENTE</v>
      </c>
      <c r="B625" s="1">
        <v>3466397</v>
      </c>
      <c r="C625" s="1" t="s">
        <v>26</v>
      </c>
      <c r="D625" s="2">
        <v>45817.271527777775</v>
      </c>
      <c r="E625" s="1" t="s">
        <v>2613</v>
      </c>
      <c r="F625" s="1" t="s">
        <v>2612</v>
      </c>
      <c r="G625" s="1" t="s">
        <v>2398</v>
      </c>
      <c r="H625" s="2">
        <v>45813.626388888886</v>
      </c>
      <c r="I625" s="2">
        <v>45817.354861111111</v>
      </c>
      <c r="J625" s="1" t="s">
        <v>18</v>
      </c>
    </row>
    <row r="626" spans="1:10" hidden="1" x14ac:dyDescent="0.25">
      <c r="A626" s="1" t="str">
        <f>_xlfn.XLOOKUP(E626,Base!G:G,Base!C:C,"NOVO")</f>
        <v>PENDENTE</v>
      </c>
      <c r="B626" s="1">
        <v>3442473</v>
      </c>
      <c r="C626" s="1" t="s">
        <v>26</v>
      </c>
      <c r="D626" s="2">
        <v>45803.415972222225</v>
      </c>
      <c r="E626" s="1" t="s">
        <v>2432</v>
      </c>
      <c r="F626" s="1" t="s">
        <v>2432</v>
      </c>
      <c r="G626" s="1" t="s">
        <v>2433</v>
      </c>
      <c r="H626" s="2">
        <v>45803.503472222219</v>
      </c>
      <c r="J626" s="1" t="s">
        <v>18</v>
      </c>
    </row>
    <row r="627" spans="1:10" hidden="1" x14ac:dyDescent="0.25">
      <c r="A627" s="1" t="str">
        <f>_xlfn.XLOOKUP(E627,Base!G:G,Base!C:C,"NOVO")</f>
        <v>PENDENTE</v>
      </c>
      <c r="B627" s="1">
        <v>3442474</v>
      </c>
      <c r="C627" s="1" t="s">
        <v>26</v>
      </c>
      <c r="D627" s="2">
        <v>45803.415972222225</v>
      </c>
      <c r="E627" s="1" t="s">
        <v>2434</v>
      </c>
      <c r="F627" s="1" t="s">
        <v>2432</v>
      </c>
      <c r="G627" s="1" t="s">
        <v>2435</v>
      </c>
      <c r="H627" s="2">
        <v>45803.504166666666</v>
      </c>
      <c r="J627" s="1" t="s">
        <v>18</v>
      </c>
    </row>
    <row r="628" spans="1:10" hidden="1" x14ac:dyDescent="0.25">
      <c r="A628" s="1" t="str">
        <f>_xlfn.XLOOKUP(E628,Base!G:G,Base!C:C,"NOVO")</f>
        <v>PENDENTE</v>
      </c>
      <c r="B628" s="1">
        <v>3399858</v>
      </c>
      <c r="C628" s="1" t="s">
        <v>26</v>
      </c>
      <c r="D628" s="2">
        <v>45779.388194444444</v>
      </c>
      <c r="E628" s="1" t="s">
        <v>2232</v>
      </c>
      <c r="F628" s="1" t="s">
        <v>2232</v>
      </c>
      <c r="G628" s="1" t="s">
        <v>1215</v>
      </c>
      <c r="H628" s="2">
        <v>45782.47152777778</v>
      </c>
      <c r="I628" s="2">
        <v>45782.473611111112</v>
      </c>
      <c r="J628" s="1" t="s">
        <v>18</v>
      </c>
    </row>
    <row r="629" spans="1:10" hidden="1" x14ac:dyDescent="0.25">
      <c r="A629" s="1" t="str">
        <f>_xlfn.XLOOKUP(E629,Base!G:G,Base!C:C,"NOVO")</f>
        <v>PENDENTE</v>
      </c>
      <c r="B629" s="1">
        <v>3399327</v>
      </c>
      <c r="C629" s="1" t="s">
        <v>26</v>
      </c>
      <c r="D629" s="2">
        <v>45780.701388888891</v>
      </c>
      <c r="E629" s="1" t="s">
        <v>2233</v>
      </c>
      <c r="F629" s="1" t="s">
        <v>2233</v>
      </c>
      <c r="G629" s="1" t="s">
        <v>620</v>
      </c>
      <c r="H629" s="2">
        <v>45780.794444444444</v>
      </c>
      <c r="J629" s="1" t="s">
        <v>18</v>
      </c>
    </row>
    <row r="630" spans="1:10" hidden="1" x14ac:dyDescent="0.25">
      <c r="A630" s="1" t="str">
        <f>_xlfn.XLOOKUP(E630,Base!G:G,Base!C:C,"NOVO")</f>
        <v>PENDENTE</v>
      </c>
      <c r="B630" s="1">
        <v>3275921</v>
      </c>
      <c r="C630" s="1" t="s">
        <v>26</v>
      </c>
      <c r="D630" s="2">
        <v>45716.587500000001</v>
      </c>
      <c r="E630" s="1" t="s">
        <v>1299</v>
      </c>
      <c r="F630" s="1" t="s">
        <v>1299</v>
      </c>
      <c r="G630" s="1" t="s">
        <v>83</v>
      </c>
      <c r="H630" s="2">
        <v>45716.722222222219</v>
      </c>
      <c r="J630" s="1" t="s">
        <v>18</v>
      </c>
    </row>
    <row r="631" spans="1:10" hidden="1" x14ac:dyDescent="0.25">
      <c r="A631" s="1" t="str">
        <f>_xlfn.XLOOKUP(E631,Base!G:G,Base!C:C,"NOVO")</f>
        <v>PENDENTE</v>
      </c>
      <c r="B631" s="1">
        <v>3389698</v>
      </c>
      <c r="C631" s="1" t="s">
        <v>26</v>
      </c>
      <c r="D631" s="2">
        <v>45776.400694444441</v>
      </c>
      <c r="E631" s="1" t="s">
        <v>2234</v>
      </c>
      <c r="F631" s="1" t="s">
        <v>2235</v>
      </c>
      <c r="G631" s="1" t="s">
        <v>2100</v>
      </c>
      <c r="H631" s="2">
        <v>45776.493055555555</v>
      </c>
      <c r="J631" s="1" t="s">
        <v>19</v>
      </c>
    </row>
    <row r="632" spans="1:10" hidden="1" x14ac:dyDescent="0.25">
      <c r="A632" s="1" t="str">
        <f>_xlfn.XLOOKUP(E632,Base!G:G,Base!C:C,"NOVO")</f>
        <v>PENDENTE</v>
      </c>
      <c r="B632" s="1">
        <v>3358715</v>
      </c>
      <c r="C632" s="1" t="s">
        <v>26</v>
      </c>
      <c r="D632" s="2">
        <v>45790.774305555555</v>
      </c>
      <c r="E632" s="1" t="s">
        <v>2017</v>
      </c>
      <c r="F632" s="1" t="s">
        <v>2017</v>
      </c>
      <c r="G632" s="1" t="s">
        <v>396</v>
      </c>
      <c r="H632" s="2">
        <v>45757.679166666669</v>
      </c>
      <c r="I632" s="2">
        <v>45790.866666666669</v>
      </c>
      <c r="J632" s="1" t="s">
        <v>18</v>
      </c>
    </row>
    <row r="633" spans="1:10" hidden="1" x14ac:dyDescent="0.25">
      <c r="A633" s="1" t="str">
        <f>_xlfn.XLOOKUP(E633,Base!G:G,Base!C:C,"NOVO")</f>
        <v>PENDENTE</v>
      </c>
      <c r="B633" s="1">
        <v>3233056</v>
      </c>
      <c r="C633" s="1" t="s">
        <v>26</v>
      </c>
      <c r="D633" s="2">
        <v>45695.722916666666</v>
      </c>
      <c r="E633" s="1" t="s">
        <v>984</v>
      </c>
      <c r="F633" s="1" t="s">
        <v>984</v>
      </c>
      <c r="G633" s="1" t="s">
        <v>692</v>
      </c>
      <c r="H633" s="2">
        <v>45695.786111111112</v>
      </c>
      <c r="I633" s="2">
        <v>45695.866666666669</v>
      </c>
      <c r="J633" s="1" t="s">
        <v>18</v>
      </c>
    </row>
    <row r="634" spans="1:10" hidden="1" x14ac:dyDescent="0.25">
      <c r="A634" s="1" t="str">
        <f>_xlfn.XLOOKUP(E634,Base!G:G,Base!C:C,"NOVO")</f>
        <v>PENDENTE</v>
      </c>
      <c r="B634" s="1">
        <v>3397461</v>
      </c>
      <c r="C634" s="1" t="s">
        <v>26</v>
      </c>
      <c r="D634" s="2">
        <v>45779.520138888889</v>
      </c>
      <c r="E634" s="1" t="s">
        <v>2236</v>
      </c>
      <c r="F634" s="1" t="s">
        <v>2236</v>
      </c>
      <c r="G634" s="1" t="s">
        <v>1174</v>
      </c>
      <c r="H634" s="2">
        <v>45779.606944444444</v>
      </c>
      <c r="J634" s="1" t="s">
        <v>18</v>
      </c>
    </row>
    <row r="635" spans="1:10" hidden="1" x14ac:dyDescent="0.25">
      <c r="A635" s="1" t="str">
        <f>_xlfn.XLOOKUP(E635,Base!G:G,Base!C:C,"NOVO")</f>
        <v>PENDENTE</v>
      </c>
      <c r="B635" s="1">
        <v>3386734</v>
      </c>
      <c r="C635" s="1" t="s">
        <v>26</v>
      </c>
      <c r="D635" s="2">
        <v>45775.400694444441</v>
      </c>
      <c r="E635" s="1" t="s">
        <v>2018</v>
      </c>
      <c r="F635" s="1" t="s">
        <v>2018</v>
      </c>
      <c r="G635" s="1" t="s">
        <v>83</v>
      </c>
      <c r="H635" s="2">
        <v>45775.493055555555</v>
      </c>
      <c r="J635" s="1" t="s">
        <v>18</v>
      </c>
    </row>
    <row r="636" spans="1:10" hidden="1" x14ac:dyDescent="0.25">
      <c r="A636" s="1" t="str">
        <f>_xlfn.XLOOKUP(E636,Base!G:G,Base!C:C,"NOVO")</f>
        <v>PENDENTE</v>
      </c>
      <c r="B636" s="1">
        <v>3362760</v>
      </c>
      <c r="C636" s="1" t="s">
        <v>26</v>
      </c>
      <c r="D636" s="2">
        <v>45760.638194444444</v>
      </c>
      <c r="E636" s="1" t="s">
        <v>2019</v>
      </c>
      <c r="F636" s="1" t="s">
        <v>2019</v>
      </c>
      <c r="G636" s="1" t="s">
        <v>83</v>
      </c>
      <c r="H636" s="2">
        <v>45760.734027777777</v>
      </c>
      <c r="J636" s="1" t="s">
        <v>18</v>
      </c>
    </row>
    <row r="637" spans="1:10" hidden="1" x14ac:dyDescent="0.25">
      <c r="A637" s="1" t="str">
        <f>_xlfn.XLOOKUP(E637,Base!G:G,Base!C:C,"NOVO")</f>
        <v>PENDENTE</v>
      </c>
      <c r="B637" s="1">
        <v>3345288</v>
      </c>
      <c r="C637" s="1" t="s">
        <v>26</v>
      </c>
      <c r="D637" s="2">
        <v>45750.651388888888</v>
      </c>
      <c r="E637" s="1" t="s">
        <v>1768</v>
      </c>
      <c r="F637" s="1" t="s">
        <v>1768</v>
      </c>
      <c r="G637" s="1" t="s">
        <v>410</v>
      </c>
      <c r="H637" s="2">
        <v>45750.740972222222</v>
      </c>
      <c r="J637" s="1" t="s">
        <v>18</v>
      </c>
    </row>
    <row r="638" spans="1:10" hidden="1" x14ac:dyDescent="0.25">
      <c r="A638" s="1" t="str">
        <f>_xlfn.XLOOKUP(E638,Base!G:G,Base!C:C,"NOVO")</f>
        <v>PENDENTE</v>
      </c>
      <c r="B638" s="1">
        <v>3357293</v>
      </c>
      <c r="C638" s="1" t="s">
        <v>26</v>
      </c>
      <c r="D638" s="2">
        <v>45756.78125</v>
      </c>
      <c r="E638" s="1" t="s">
        <v>2020</v>
      </c>
      <c r="F638" s="1" t="s">
        <v>2020</v>
      </c>
      <c r="G638" s="1" t="s">
        <v>396</v>
      </c>
      <c r="H638" s="2">
        <v>45756.865972222222</v>
      </c>
      <c r="J638" s="1" t="s">
        <v>18</v>
      </c>
    </row>
    <row r="639" spans="1:10" hidden="1" x14ac:dyDescent="0.25">
      <c r="A639" s="1" t="str">
        <f>_xlfn.XLOOKUP(E639,Base!G:G,Base!C:C,"NOVO")</f>
        <v>PENDENTE</v>
      </c>
      <c r="B639" s="1">
        <v>3465572</v>
      </c>
      <c r="C639" s="1" t="s">
        <v>26</v>
      </c>
      <c r="D639" s="2">
        <v>45817.497916666667</v>
      </c>
      <c r="E639" s="1" t="s">
        <v>2614</v>
      </c>
      <c r="F639" s="1" t="s">
        <v>2615</v>
      </c>
      <c r="G639" s="1" t="s">
        <v>2616</v>
      </c>
      <c r="H639" s="2">
        <v>45813.417361111111</v>
      </c>
      <c r="I639" s="2">
        <v>45817.59375</v>
      </c>
      <c r="J639" s="1" t="s">
        <v>19</v>
      </c>
    </row>
    <row r="640" spans="1:10" hidden="1" x14ac:dyDescent="0.25">
      <c r="A640" s="1" t="str">
        <f>_xlfn.XLOOKUP(E640,Base!G:G,Base!C:C,"NOVO")</f>
        <v>PENDENTE</v>
      </c>
      <c r="B640" s="1">
        <v>3248151</v>
      </c>
      <c r="C640" s="1" t="s">
        <v>26</v>
      </c>
      <c r="D640" s="2">
        <v>45705.503472222219</v>
      </c>
      <c r="E640" s="1" t="s">
        <v>1135</v>
      </c>
      <c r="F640" s="1" t="s">
        <v>1135</v>
      </c>
      <c r="G640" s="1" t="s">
        <v>707</v>
      </c>
      <c r="H640" s="2">
        <v>45702.772916666669</v>
      </c>
      <c r="I640" s="2">
        <v>45705.638888888891</v>
      </c>
      <c r="J640" s="1" t="s">
        <v>18</v>
      </c>
    </row>
    <row r="641" spans="1:10" hidden="1" x14ac:dyDescent="0.25">
      <c r="A641" s="1" t="str">
        <f>_xlfn.XLOOKUP(E641,Base!G:G,Base!C:C,"NOVO")</f>
        <v>PENDENTE</v>
      </c>
      <c r="B641" s="1">
        <v>3374902</v>
      </c>
      <c r="C641" s="1" t="s">
        <v>26</v>
      </c>
      <c r="D641" s="2">
        <v>45769.649305555555</v>
      </c>
      <c r="E641" s="1" t="s">
        <v>2021</v>
      </c>
      <c r="F641" s="1" t="s">
        <v>2022</v>
      </c>
      <c r="G641" s="1" t="s">
        <v>519</v>
      </c>
      <c r="H641" s="2">
        <v>45769.376388888886</v>
      </c>
      <c r="I641" s="2">
        <v>45769.740277777775</v>
      </c>
      <c r="J641" s="1" t="s">
        <v>19</v>
      </c>
    </row>
    <row r="642" spans="1:10" hidden="1" x14ac:dyDescent="0.25">
      <c r="A642" s="1" t="str">
        <f>_xlfn.XLOOKUP(E642,Base!G:G,Base!C:C,"NOVO")</f>
        <v>PENDENTE</v>
      </c>
      <c r="B642" s="1">
        <v>3418867</v>
      </c>
      <c r="C642" s="1" t="s">
        <v>26</v>
      </c>
      <c r="D642" s="2">
        <v>45790.774305555555</v>
      </c>
      <c r="E642" s="1" t="s">
        <v>2317</v>
      </c>
      <c r="F642" s="1" t="s">
        <v>2317</v>
      </c>
      <c r="G642" s="1" t="s">
        <v>1280</v>
      </c>
      <c r="H642" s="2">
        <v>45790.867361111108</v>
      </c>
      <c r="J642" s="1" t="s">
        <v>18</v>
      </c>
    </row>
    <row r="643" spans="1:10" hidden="1" x14ac:dyDescent="0.25">
      <c r="A643" s="1" t="str">
        <f>_xlfn.XLOOKUP(E643,Base!G:G,Base!C:C,"NOVO")</f>
        <v>PENDENTE</v>
      </c>
      <c r="B643" s="1">
        <v>3404412</v>
      </c>
      <c r="C643" s="1" t="s">
        <v>26</v>
      </c>
      <c r="D643" s="2">
        <v>45783.73541666667</v>
      </c>
      <c r="E643" s="1" t="s">
        <v>2237</v>
      </c>
      <c r="F643" s="1" t="s">
        <v>2237</v>
      </c>
      <c r="G643" s="1" t="s">
        <v>408</v>
      </c>
      <c r="H643" s="2">
        <v>45783.773611111108</v>
      </c>
      <c r="I643" s="2">
        <v>45783.823611111111</v>
      </c>
      <c r="J643" s="1" t="s">
        <v>18</v>
      </c>
    </row>
    <row r="644" spans="1:10" hidden="1" x14ac:dyDescent="0.25">
      <c r="A644" s="1" t="str">
        <f>_xlfn.XLOOKUP(E644,Base!G:G,Base!C:C,"NOVO")</f>
        <v>PENDENTE</v>
      </c>
      <c r="B644" s="1">
        <v>3360302</v>
      </c>
      <c r="C644" s="1" t="s">
        <v>26</v>
      </c>
      <c r="D644" s="2">
        <v>45758.461805555555</v>
      </c>
      <c r="E644" s="1" t="s">
        <v>2023</v>
      </c>
      <c r="F644" s="1" t="s">
        <v>2023</v>
      </c>
      <c r="G644" s="1" t="s">
        <v>754</v>
      </c>
      <c r="H644" s="2">
        <v>45758.547222222223</v>
      </c>
      <c r="J644" s="1" t="s">
        <v>18</v>
      </c>
    </row>
    <row r="645" spans="1:10" hidden="1" x14ac:dyDescent="0.25">
      <c r="A645" s="1" t="str">
        <f>_xlfn.XLOOKUP(E645,Base!G:G,Base!C:C,"NOVO")</f>
        <v>PENDENTE</v>
      </c>
      <c r="B645" s="1">
        <v>3249761</v>
      </c>
      <c r="C645" s="1" t="s">
        <v>26</v>
      </c>
      <c r="D645" s="2">
        <v>45705.430555555555</v>
      </c>
      <c r="E645" s="1" t="s">
        <v>1137</v>
      </c>
      <c r="F645" s="1" t="s">
        <v>1137</v>
      </c>
      <c r="G645" s="1" t="s">
        <v>83</v>
      </c>
      <c r="H645" s="2">
        <v>45705.565972222219</v>
      </c>
      <c r="J645" s="1" t="s">
        <v>18</v>
      </c>
    </row>
    <row r="646" spans="1:10" hidden="1" x14ac:dyDescent="0.25">
      <c r="A646" s="1" t="str">
        <f>_xlfn.XLOOKUP(E646,Base!G:G,Base!C:C,"NOVO")</f>
        <v>PENDENTE</v>
      </c>
      <c r="B646" s="1">
        <v>3314854</v>
      </c>
      <c r="C646" s="1" t="s">
        <v>26</v>
      </c>
      <c r="D646" s="2">
        <v>45736.708333333336</v>
      </c>
      <c r="E646" s="1" t="s">
        <v>1769</v>
      </c>
      <c r="F646" s="1" t="s">
        <v>1769</v>
      </c>
      <c r="G646" s="1" t="s">
        <v>707</v>
      </c>
      <c r="H646" s="2">
        <v>45736.797222222223</v>
      </c>
      <c r="J646" s="1" t="s">
        <v>18</v>
      </c>
    </row>
    <row r="647" spans="1:10" hidden="1" x14ac:dyDescent="0.25">
      <c r="A647" s="1" t="str">
        <f>_xlfn.XLOOKUP(E647,Base!G:G,Base!C:C,"NOVO")</f>
        <v>PENDENTE</v>
      </c>
      <c r="B647" s="1">
        <v>3353895</v>
      </c>
      <c r="C647" s="1" t="s">
        <v>26</v>
      </c>
      <c r="D647" s="2">
        <v>45756.508333333331</v>
      </c>
      <c r="E647" s="1" t="s">
        <v>1770</v>
      </c>
      <c r="F647" s="1" t="s">
        <v>1770</v>
      </c>
      <c r="G647" s="1" t="s">
        <v>83</v>
      </c>
      <c r="H647" s="2">
        <v>45755.765277777777</v>
      </c>
      <c r="I647" s="2">
        <v>45756.595138888886</v>
      </c>
      <c r="J647" s="1" t="s">
        <v>18</v>
      </c>
    </row>
    <row r="648" spans="1:10" hidden="1" x14ac:dyDescent="0.25">
      <c r="A648" s="1" t="str">
        <f>_xlfn.XLOOKUP(E648,Base!G:G,Base!C:C,"NOVO")</f>
        <v>PENDENTE</v>
      </c>
      <c r="B648" s="1">
        <v>3404409</v>
      </c>
      <c r="C648" s="1" t="s">
        <v>26</v>
      </c>
      <c r="D648" s="2">
        <v>45791.468055555553</v>
      </c>
      <c r="E648" s="1" t="s">
        <v>2238</v>
      </c>
      <c r="F648" s="1" t="s">
        <v>2238</v>
      </c>
      <c r="G648" s="1" t="s">
        <v>746</v>
      </c>
      <c r="H648" s="2">
        <v>45783.772916666669</v>
      </c>
      <c r="I648" s="2">
        <v>45791.557638888888</v>
      </c>
      <c r="J648" s="1" t="s">
        <v>18</v>
      </c>
    </row>
    <row r="649" spans="1:10" hidden="1" x14ac:dyDescent="0.25">
      <c r="A649" s="1" t="str">
        <f>_xlfn.XLOOKUP(E649,Base!G:G,Base!C:C,"NOVO")</f>
        <v>PENDENTE</v>
      </c>
      <c r="B649" s="1">
        <v>3233364</v>
      </c>
      <c r="C649" s="1" t="s">
        <v>26</v>
      </c>
      <c r="D649" s="2">
        <v>45695.722916666666</v>
      </c>
      <c r="E649" s="1" t="s">
        <v>985</v>
      </c>
      <c r="F649" s="1" t="s">
        <v>985</v>
      </c>
      <c r="G649" s="1" t="s">
        <v>986</v>
      </c>
      <c r="H649" s="2">
        <v>45695.868750000001</v>
      </c>
      <c r="J649" s="1" t="s">
        <v>18</v>
      </c>
    </row>
    <row r="650" spans="1:10" hidden="1" x14ac:dyDescent="0.25">
      <c r="A650" s="1" t="str">
        <f>_xlfn.XLOOKUP(E650,Base!G:G,Base!C:C,"NOVO")</f>
        <v>PENDENTE</v>
      </c>
      <c r="B650" s="1">
        <v>3328867</v>
      </c>
      <c r="C650" s="1" t="s">
        <v>26</v>
      </c>
      <c r="D650" s="2">
        <v>45754.260416666664</v>
      </c>
      <c r="E650" s="1" t="s">
        <v>1772</v>
      </c>
      <c r="F650" s="1" t="s">
        <v>1772</v>
      </c>
      <c r="G650" s="1" t="s">
        <v>1215</v>
      </c>
      <c r="H650" s="2">
        <v>45743.703472222223</v>
      </c>
      <c r="I650" s="2">
        <v>45754.347916666666</v>
      </c>
      <c r="J650" s="1" t="s">
        <v>18</v>
      </c>
    </row>
    <row r="651" spans="1:10" hidden="1" x14ac:dyDescent="0.25">
      <c r="A651" s="1" t="str">
        <f>_xlfn.XLOOKUP(E651,Base!G:G,Base!C:C,"NOVO")</f>
        <v>PENDENTE</v>
      </c>
      <c r="B651" s="1">
        <v>3349551</v>
      </c>
      <c r="C651" s="1" t="s">
        <v>26</v>
      </c>
      <c r="D651" s="2">
        <v>45754.260416666664</v>
      </c>
      <c r="E651" s="1" t="s">
        <v>1773</v>
      </c>
      <c r="F651" s="1" t="s">
        <v>1772</v>
      </c>
      <c r="G651" s="1" t="s">
        <v>1216</v>
      </c>
      <c r="H651" s="2">
        <v>45754.347916666666</v>
      </c>
      <c r="J651" s="1" t="s">
        <v>18</v>
      </c>
    </row>
    <row r="652" spans="1:10" hidden="1" x14ac:dyDescent="0.25">
      <c r="A652" s="1" t="str">
        <f>_xlfn.XLOOKUP(E652,Base!G:G,Base!C:C,"NOVO")</f>
        <v>PENDENTE</v>
      </c>
      <c r="B652" s="1">
        <v>3354583</v>
      </c>
      <c r="C652" s="1" t="s">
        <v>26</v>
      </c>
      <c r="D652" s="2">
        <v>45797.62777777778</v>
      </c>
      <c r="E652" s="1" t="s">
        <v>1774</v>
      </c>
      <c r="F652" s="1" t="s">
        <v>1774</v>
      </c>
      <c r="G652" s="1" t="s">
        <v>620</v>
      </c>
      <c r="H652" s="2">
        <v>45755.836111111108</v>
      </c>
      <c r="I652" s="2">
        <v>45797.726388888892</v>
      </c>
      <c r="J652" s="1" t="s">
        <v>18</v>
      </c>
    </row>
    <row r="653" spans="1:10" hidden="1" x14ac:dyDescent="0.25">
      <c r="A653" s="1" t="str">
        <f>_xlfn.XLOOKUP(E653,Base!G:G,Base!C:C,"NOVO")</f>
        <v>PENDENTE</v>
      </c>
      <c r="B653" s="1">
        <v>3418880</v>
      </c>
      <c r="C653" s="1" t="s">
        <v>26</v>
      </c>
      <c r="D653" s="2">
        <v>45790.774305555555</v>
      </c>
      <c r="E653" s="1" t="s">
        <v>2318</v>
      </c>
      <c r="F653" s="1" t="s">
        <v>2318</v>
      </c>
      <c r="G653" s="1" t="s">
        <v>83</v>
      </c>
      <c r="H653" s="2">
        <v>45790.868750000001</v>
      </c>
      <c r="J653" s="1" t="s">
        <v>18</v>
      </c>
    </row>
    <row r="654" spans="1:10" hidden="1" x14ac:dyDescent="0.25">
      <c r="A654" s="1" t="str">
        <f>_xlfn.XLOOKUP(E654,Base!G:G,Base!C:C,"NOVO")</f>
        <v>PENDENTE</v>
      </c>
      <c r="B654" s="1">
        <v>3249130</v>
      </c>
      <c r="C654" s="1" t="s">
        <v>26</v>
      </c>
      <c r="D654" s="2">
        <v>45702.765277777777</v>
      </c>
      <c r="E654" s="1" t="s">
        <v>1138</v>
      </c>
      <c r="F654" s="1" t="s">
        <v>1138</v>
      </c>
      <c r="G654" s="1" t="s">
        <v>83</v>
      </c>
      <c r="H654" s="2">
        <v>45702.898611111108</v>
      </c>
      <c r="J654" s="1" t="s">
        <v>18</v>
      </c>
    </row>
    <row r="655" spans="1:10" hidden="1" x14ac:dyDescent="0.25">
      <c r="A655" s="1" t="str">
        <f>_xlfn.XLOOKUP(E655,Base!G:G,Base!C:C,"NOVO")</f>
        <v>PENDENTE</v>
      </c>
      <c r="B655" s="1">
        <v>3328873</v>
      </c>
      <c r="C655" s="1" t="s">
        <v>26</v>
      </c>
      <c r="D655" s="2">
        <v>45743.377083333333</v>
      </c>
      <c r="E655" s="1" t="s">
        <v>1775</v>
      </c>
      <c r="F655" s="1" t="s">
        <v>1775</v>
      </c>
      <c r="G655" s="1" t="s">
        <v>1067</v>
      </c>
      <c r="H655" s="2">
        <v>45743.703472222223</v>
      </c>
      <c r="J655" s="1" t="s">
        <v>18</v>
      </c>
    </row>
    <row r="656" spans="1:10" hidden="1" x14ac:dyDescent="0.25">
      <c r="A656" s="1" t="str">
        <f>_xlfn.XLOOKUP(E656,Base!G:G,Base!C:C,"NOVO")</f>
        <v>PENDENTE</v>
      </c>
      <c r="B656" s="1">
        <v>3419774</v>
      </c>
      <c r="C656" s="1" t="s">
        <v>26</v>
      </c>
      <c r="D656" s="2">
        <v>45791.468055555553</v>
      </c>
      <c r="E656" s="1" t="s">
        <v>2319</v>
      </c>
      <c r="F656" s="1" t="s">
        <v>2319</v>
      </c>
      <c r="G656" s="1" t="s">
        <v>410</v>
      </c>
      <c r="H656" s="2">
        <v>45791.554861111108</v>
      </c>
      <c r="J656" s="1" t="s">
        <v>18</v>
      </c>
    </row>
    <row r="657" spans="1:10" hidden="1" x14ac:dyDescent="0.25">
      <c r="A657" s="1" t="str">
        <f>_xlfn.XLOOKUP(E657,Base!G:G,Base!C:C,"NOVO")</f>
        <v>PENDENTE</v>
      </c>
      <c r="B657" s="1">
        <v>3418878</v>
      </c>
      <c r="C657" s="1" t="s">
        <v>26</v>
      </c>
      <c r="D657" s="2">
        <v>45790.774305555555</v>
      </c>
      <c r="E657" s="1" t="s">
        <v>2320</v>
      </c>
      <c r="F657" s="1" t="s">
        <v>2320</v>
      </c>
      <c r="G657" s="1" t="s">
        <v>83</v>
      </c>
      <c r="H657" s="2">
        <v>45790.868055555555</v>
      </c>
      <c r="J657" s="1" t="s">
        <v>18</v>
      </c>
    </row>
    <row r="658" spans="1:10" hidden="1" x14ac:dyDescent="0.25">
      <c r="A658" s="1" t="str">
        <f>_xlfn.XLOOKUP(E658,Base!G:G,Base!C:C,"NOVO")</f>
        <v>PENDENTE</v>
      </c>
      <c r="B658" s="1">
        <v>3274666</v>
      </c>
      <c r="C658" s="1" t="s">
        <v>26</v>
      </c>
      <c r="D658" s="2">
        <v>45721.758333333331</v>
      </c>
      <c r="E658" s="1" t="s">
        <v>1300</v>
      </c>
      <c r="F658" s="1" t="s">
        <v>1300</v>
      </c>
      <c r="G658" s="1" t="s">
        <v>1054</v>
      </c>
      <c r="H658" s="2">
        <v>45716.428472222222</v>
      </c>
      <c r="I658" s="2">
        <v>45721.893750000003</v>
      </c>
      <c r="J658" s="1" t="s">
        <v>18</v>
      </c>
    </row>
    <row r="659" spans="1:10" hidden="1" x14ac:dyDescent="0.25">
      <c r="A659" s="1" t="str">
        <f>_xlfn.XLOOKUP(E659,Base!G:G,Base!C:C,"NOVO")</f>
        <v>PENDENTE</v>
      </c>
      <c r="B659" s="1">
        <v>3305237</v>
      </c>
      <c r="C659" s="1" t="s">
        <v>26</v>
      </c>
      <c r="D659" s="2">
        <v>45733.645833333336</v>
      </c>
      <c r="E659" s="1" t="s">
        <v>1477</v>
      </c>
      <c r="F659" s="1" t="s">
        <v>1477</v>
      </c>
      <c r="G659" s="1" t="s">
        <v>410</v>
      </c>
      <c r="H659" s="2">
        <v>45733.737500000003</v>
      </c>
      <c r="J659" s="1" t="s">
        <v>18</v>
      </c>
    </row>
    <row r="660" spans="1:10" hidden="1" x14ac:dyDescent="0.25">
      <c r="A660" s="1" t="str">
        <f>_xlfn.XLOOKUP(E660,Base!G:G,Base!C:C,"NOVO")</f>
        <v>PENDENTE</v>
      </c>
      <c r="B660" s="1">
        <v>3298613</v>
      </c>
      <c r="C660" s="1" t="s">
        <v>26</v>
      </c>
      <c r="D660" s="2">
        <v>45729.575694444444</v>
      </c>
      <c r="E660" s="1" t="s">
        <v>1478</v>
      </c>
      <c r="F660" s="1" t="s">
        <v>1478</v>
      </c>
      <c r="G660" s="1" t="s">
        <v>1215</v>
      </c>
      <c r="H660" s="2">
        <v>45729.668749999997</v>
      </c>
      <c r="J660" s="1" t="s">
        <v>18</v>
      </c>
    </row>
    <row r="661" spans="1:10" hidden="1" x14ac:dyDescent="0.25">
      <c r="A661" s="1" t="str">
        <f>_xlfn.XLOOKUP(E661,Base!G:G,Base!C:C,"NOVO")</f>
        <v>PENDENTE</v>
      </c>
      <c r="B661" s="1">
        <v>3298614</v>
      </c>
      <c r="C661" s="1" t="s">
        <v>26</v>
      </c>
      <c r="D661" s="2">
        <v>45729.575694444444</v>
      </c>
      <c r="E661" s="1" t="s">
        <v>1479</v>
      </c>
      <c r="F661" s="1" t="s">
        <v>1478</v>
      </c>
      <c r="G661" s="1" t="s">
        <v>1216</v>
      </c>
      <c r="H661" s="2">
        <v>45729.668749999997</v>
      </c>
      <c r="J661" s="1" t="s">
        <v>18</v>
      </c>
    </row>
    <row r="662" spans="1:10" hidden="1" x14ac:dyDescent="0.25">
      <c r="A662" s="1" t="str">
        <f>_xlfn.XLOOKUP(E662,Base!G:G,Base!C:C,"NOVO")</f>
        <v>PENDENTE</v>
      </c>
      <c r="B662" s="1">
        <v>3304747</v>
      </c>
      <c r="C662" s="1" t="s">
        <v>26</v>
      </c>
      <c r="D662" s="2">
        <v>45733.645833333336</v>
      </c>
      <c r="E662" s="1" t="s">
        <v>1480</v>
      </c>
      <c r="F662" s="1" t="s">
        <v>1480</v>
      </c>
      <c r="G662" s="1" t="s">
        <v>396</v>
      </c>
      <c r="H662" s="2">
        <v>45733.659722222219</v>
      </c>
      <c r="I662" s="2">
        <v>45733.736805555556</v>
      </c>
      <c r="J662" s="1" t="s">
        <v>18</v>
      </c>
    </row>
    <row r="663" spans="1:10" hidden="1" x14ac:dyDescent="0.25">
      <c r="A663" s="1" t="str">
        <f>_xlfn.XLOOKUP(E663,Base!G:G,Base!C:C,"NOVO")</f>
        <v>PENDENTE</v>
      </c>
      <c r="B663" s="1">
        <v>3432265</v>
      </c>
      <c r="C663" s="1" t="s">
        <v>26</v>
      </c>
      <c r="D663" s="2">
        <v>45797.62777777778</v>
      </c>
      <c r="E663" s="1" t="s">
        <v>2436</v>
      </c>
      <c r="F663" s="1" t="s">
        <v>2436</v>
      </c>
      <c r="G663" s="1" t="s">
        <v>83</v>
      </c>
      <c r="H663" s="2">
        <v>45797.724999999999</v>
      </c>
      <c r="J663" s="1" t="s">
        <v>18</v>
      </c>
    </row>
    <row r="664" spans="1:10" hidden="1" x14ac:dyDescent="0.25">
      <c r="A664" s="1" t="str">
        <f>_xlfn.XLOOKUP(E664,Base!G:G,Base!C:C,"NOVO")</f>
        <v>PENDENTE</v>
      </c>
      <c r="B664" s="1">
        <v>3237994</v>
      </c>
      <c r="C664" s="1" t="s">
        <v>26</v>
      </c>
      <c r="D664" s="2">
        <v>45698.729861111111</v>
      </c>
      <c r="E664" s="1" t="s">
        <v>987</v>
      </c>
      <c r="F664" s="1" t="s">
        <v>987</v>
      </c>
      <c r="G664" s="1" t="s">
        <v>751</v>
      </c>
      <c r="H664" s="2">
        <v>45698.86041666667</v>
      </c>
      <c r="J664" s="1" t="s">
        <v>19</v>
      </c>
    </row>
    <row r="665" spans="1:10" hidden="1" x14ac:dyDescent="0.25">
      <c r="A665" s="1" t="str">
        <f>_xlfn.XLOOKUP(E665,Base!G:G,Base!C:C,"NOVO")</f>
        <v>PENDENTE</v>
      </c>
      <c r="B665" s="1">
        <v>3427904</v>
      </c>
      <c r="C665" s="1" t="s">
        <v>26</v>
      </c>
      <c r="D665" s="2">
        <v>45796.431944444441</v>
      </c>
      <c r="E665" s="1" t="s">
        <v>2437</v>
      </c>
      <c r="F665" s="1" t="s">
        <v>2437</v>
      </c>
      <c r="G665" s="1" t="s">
        <v>83</v>
      </c>
      <c r="H665" s="2">
        <v>45796.472222222219</v>
      </c>
      <c r="I665" s="2">
        <v>45796.520138888889</v>
      </c>
      <c r="J665" s="1" t="s">
        <v>18</v>
      </c>
    </row>
    <row r="666" spans="1:10" hidden="1" x14ac:dyDescent="0.25">
      <c r="A666" s="1" t="str">
        <f>_xlfn.XLOOKUP(E666,Base!G:G,Base!C:C,"NOVO")</f>
        <v>PENDENTE</v>
      </c>
      <c r="B666" s="1">
        <v>3293543</v>
      </c>
      <c r="C666" s="1" t="s">
        <v>26</v>
      </c>
      <c r="D666" s="2">
        <v>45728.617361111108</v>
      </c>
      <c r="E666" s="1" t="s">
        <v>1481</v>
      </c>
      <c r="F666" s="1" t="s">
        <v>1481</v>
      </c>
      <c r="G666" s="1" t="s">
        <v>1189</v>
      </c>
      <c r="H666" s="2">
        <v>45727.86041666667</v>
      </c>
      <c r="I666" s="2">
        <v>45728.711111111108</v>
      </c>
      <c r="J666" s="1" t="s">
        <v>18</v>
      </c>
    </row>
    <row r="667" spans="1:10" hidden="1" x14ac:dyDescent="0.25">
      <c r="A667" s="1" t="str">
        <f>_xlfn.XLOOKUP(E667,Base!G:G,Base!C:C,"NOVO")</f>
        <v>PENDENTE</v>
      </c>
      <c r="B667" s="1">
        <v>3281699</v>
      </c>
      <c r="C667" s="1" t="s">
        <v>26</v>
      </c>
      <c r="D667" s="2">
        <v>45722.518750000003</v>
      </c>
      <c r="E667" s="1" t="s">
        <v>1301</v>
      </c>
      <c r="F667" s="1" t="s">
        <v>1301</v>
      </c>
      <c r="G667" s="1" t="s">
        <v>1302</v>
      </c>
      <c r="H667" s="2">
        <v>45721.856249999997</v>
      </c>
      <c r="I667" s="2">
        <v>45722.647916666669</v>
      </c>
      <c r="J667" s="1" t="s">
        <v>18</v>
      </c>
    </row>
    <row r="668" spans="1:10" hidden="1" x14ac:dyDescent="0.25">
      <c r="A668" s="1" t="str">
        <f>_xlfn.XLOOKUP(E668,Base!G:G,Base!C:C,"NOVO")</f>
        <v>PENDENTE</v>
      </c>
      <c r="B668" s="1">
        <v>3290329</v>
      </c>
      <c r="C668" s="1" t="s">
        <v>26</v>
      </c>
      <c r="D668" s="2">
        <v>45726.756944444445</v>
      </c>
      <c r="E668" s="1" t="s">
        <v>1482</v>
      </c>
      <c r="F668" s="1" t="s">
        <v>1482</v>
      </c>
      <c r="G668" s="1" t="s">
        <v>83</v>
      </c>
      <c r="H668" s="2">
        <v>45726.851388888892</v>
      </c>
      <c r="J668" s="1" t="s">
        <v>18</v>
      </c>
    </row>
    <row r="669" spans="1:10" hidden="1" x14ac:dyDescent="0.25">
      <c r="A669" s="1" t="str">
        <f>_xlfn.XLOOKUP(E669,Base!G:G,Base!C:C,"NOVO")</f>
        <v>PENDENTE</v>
      </c>
      <c r="B669" s="1">
        <v>3439404</v>
      </c>
      <c r="C669" s="1" t="s">
        <v>26</v>
      </c>
      <c r="D669" s="2">
        <v>45800.513888888891</v>
      </c>
      <c r="E669" s="1" t="s">
        <v>2438</v>
      </c>
      <c r="F669" s="1" t="s">
        <v>2438</v>
      </c>
      <c r="G669" s="1" t="s">
        <v>273</v>
      </c>
      <c r="H669" s="2">
        <v>45800.604861111111</v>
      </c>
      <c r="J669" s="1" t="s">
        <v>1245</v>
      </c>
    </row>
    <row r="670" spans="1:10" hidden="1" x14ac:dyDescent="0.25">
      <c r="A670" s="1" t="str">
        <f>_xlfn.XLOOKUP(E670,Base!G:G,Base!C:C,"NOVO")</f>
        <v>PENDENTE</v>
      </c>
      <c r="B670" s="1">
        <v>3386910</v>
      </c>
      <c r="C670" s="1" t="s">
        <v>26</v>
      </c>
      <c r="D670" s="2">
        <v>45775.479166666664</v>
      </c>
      <c r="E670" s="1" t="s">
        <v>2024</v>
      </c>
      <c r="F670" s="1" t="s">
        <v>2024</v>
      </c>
      <c r="G670" s="1" t="s">
        <v>1403</v>
      </c>
      <c r="H670" s="2">
        <v>45775.565972222219</v>
      </c>
      <c r="J670" s="1" t="s">
        <v>18</v>
      </c>
    </row>
    <row r="671" spans="1:10" hidden="1" x14ac:dyDescent="0.25">
      <c r="A671" s="1" t="str">
        <f>_xlfn.XLOOKUP(E671,Base!G:G,Base!C:C,"NOVO")</f>
        <v>PENDENTE</v>
      </c>
      <c r="B671" s="1">
        <v>3450420</v>
      </c>
      <c r="C671" s="1" t="s">
        <v>26</v>
      </c>
      <c r="D671" s="2">
        <v>45806.443749999999</v>
      </c>
      <c r="E671" s="1" t="s">
        <v>2439</v>
      </c>
      <c r="F671" s="1" t="s">
        <v>2439</v>
      </c>
      <c r="G671" s="1" t="s">
        <v>746</v>
      </c>
      <c r="H671" s="2">
        <v>45806.460416666669</v>
      </c>
      <c r="I671" s="2">
        <v>45806.532638888886</v>
      </c>
      <c r="J671" s="1" t="s">
        <v>18</v>
      </c>
    </row>
    <row r="672" spans="1:10" hidden="1" x14ac:dyDescent="0.25">
      <c r="A672" s="1" t="str">
        <f>_xlfn.XLOOKUP(E672,Base!G:G,Base!C:C,"NOVO")</f>
        <v>PENDENTE</v>
      </c>
      <c r="B672" s="1">
        <v>3376164</v>
      </c>
      <c r="C672" s="1" t="s">
        <v>26</v>
      </c>
      <c r="D672" s="2">
        <v>45769.745138888888</v>
      </c>
      <c r="E672" s="1" t="s">
        <v>2025</v>
      </c>
      <c r="F672" s="1" t="s">
        <v>2025</v>
      </c>
      <c r="G672" s="1" t="s">
        <v>1857</v>
      </c>
      <c r="H672" s="2">
        <v>45769.72152777778</v>
      </c>
      <c r="I672" s="2">
        <v>45769.836805555555</v>
      </c>
      <c r="J672" s="1" t="s">
        <v>18</v>
      </c>
    </row>
    <row r="673" spans="1:10" hidden="1" x14ac:dyDescent="0.25">
      <c r="A673" s="1" t="str">
        <f>_xlfn.XLOOKUP(E673,Base!G:G,Base!C:C,"NOVO")</f>
        <v>PENDENTE</v>
      </c>
      <c r="B673" s="1">
        <v>3375886</v>
      </c>
      <c r="C673" s="1" t="s">
        <v>26</v>
      </c>
      <c r="D673" s="2">
        <v>45800.722222222219</v>
      </c>
      <c r="E673" s="1" t="s">
        <v>2026</v>
      </c>
      <c r="F673" s="1" t="s">
        <v>2026</v>
      </c>
      <c r="G673" s="1" t="s">
        <v>408</v>
      </c>
      <c r="H673" s="2">
        <v>45769.627083333333</v>
      </c>
      <c r="I673" s="2">
        <v>45800.81527777778</v>
      </c>
      <c r="J673" s="1" t="s">
        <v>18</v>
      </c>
    </row>
    <row r="674" spans="1:10" hidden="1" x14ac:dyDescent="0.25">
      <c r="A674" s="1" t="str">
        <f>_xlfn.XLOOKUP(E674,Base!G:G,Base!C:C,"NOVO")</f>
        <v>PENDENTE</v>
      </c>
      <c r="B674" s="1">
        <v>3329566</v>
      </c>
      <c r="C674" s="1" t="s">
        <v>26</v>
      </c>
      <c r="D674" s="2">
        <v>45744.738194444442</v>
      </c>
      <c r="E674" s="1" t="s">
        <v>1776</v>
      </c>
      <c r="F674" s="1" t="s">
        <v>1776</v>
      </c>
      <c r="G674" s="1" t="s">
        <v>840</v>
      </c>
      <c r="H674" s="2">
        <v>45743.848611111112</v>
      </c>
      <c r="I674" s="2">
        <v>45744.823611111111</v>
      </c>
      <c r="J674" s="1" t="s">
        <v>18</v>
      </c>
    </row>
    <row r="675" spans="1:10" hidden="1" x14ac:dyDescent="0.25">
      <c r="A675" s="1" t="str">
        <f>_xlfn.XLOOKUP(E675,Base!G:G,Base!C:C,"NOVO")</f>
        <v>PENDENTE</v>
      </c>
      <c r="B675" s="1">
        <v>3367490</v>
      </c>
      <c r="C675" s="1" t="s">
        <v>26</v>
      </c>
      <c r="D675" s="2">
        <v>45762.784722222219</v>
      </c>
      <c r="E675" s="1" t="s">
        <v>2027</v>
      </c>
      <c r="F675" s="1" t="s">
        <v>2027</v>
      </c>
      <c r="G675" s="1" t="s">
        <v>83</v>
      </c>
      <c r="H675" s="2">
        <v>45762.876388888886</v>
      </c>
      <c r="J675" s="1" t="s">
        <v>18</v>
      </c>
    </row>
    <row r="676" spans="1:10" hidden="1" x14ac:dyDescent="0.25">
      <c r="A676" s="1" t="str">
        <f>_xlfn.XLOOKUP(E676,Base!G:G,Base!C:C,"NOVO")</f>
        <v>PENDENTE</v>
      </c>
      <c r="B676" s="1">
        <v>3316795</v>
      </c>
      <c r="C676" s="1" t="s">
        <v>26</v>
      </c>
      <c r="D676" s="2">
        <v>45737.52847222222</v>
      </c>
      <c r="E676" s="1" t="s">
        <v>1777</v>
      </c>
      <c r="F676" s="1" t="s">
        <v>1778</v>
      </c>
      <c r="G676" s="1" t="s">
        <v>64</v>
      </c>
      <c r="H676" s="2">
        <v>45737.618055555555</v>
      </c>
      <c r="J676" s="1" t="s">
        <v>1244</v>
      </c>
    </row>
    <row r="677" spans="1:10" hidden="1" x14ac:dyDescent="0.25">
      <c r="A677" s="1" t="str">
        <f>_xlfn.XLOOKUP(E677,Base!G:G,Base!C:C,"NOVO")</f>
        <v>PENDENTE</v>
      </c>
      <c r="B677" s="1">
        <v>3317358</v>
      </c>
      <c r="C677" s="1" t="s">
        <v>26</v>
      </c>
      <c r="D677" s="2">
        <v>45737.770138888889</v>
      </c>
      <c r="E677" s="1" t="s">
        <v>1779</v>
      </c>
      <c r="F677" s="1" t="s">
        <v>1779</v>
      </c>
      <c r="G677" s="1" t="s">
        <v>1067</v>
      </c>
      <c r="H677" s="2">
        <v>45737.742361111108</v>
      </c>
      <c r="I677" s="2">
        <v>45737.859722222223</v>
      </c>
      <c r="J677" s="1" t="s">
        <v>18</v>
      </c>
    </row>
    <row r="678" spans="1:10" hidden="1" x14ac:dyDescent="0.25">
      <c r="A678" s="1" t="str">
        <f>_xlfn.XLOOKUP(E678,Base!G:G,Base!C:C,"NOVO")</f>
        <v>PENDENTE</v>
      </c>
      <c r="B678" s="1">
        <v>3313255</v>
      </c>
      <c r="C678" s="1" t="s">
        <v>26</v>
      </c>
      <c r="D678" s="2">
        <v>45736.390972222223</v>
      </c>
      <c r="E678" s="1" t="s">
        <v>1780</v>
      </c>
      <c r="F678" s="1" t="s">
        <v>1781</v>
      </c>
      <c r="G678" s="1" t="s">
        <v>64</v>
      </c>
      <c r="H678" s="2">
        <v>45736.484722222223</v>
      </c>
      <c r="J678" s="1" t="s">
        <v>1244</v>
      </c>
    </row>
    <row r="679" spans="1:10" hidden="1" x14ac:dyDescent="0.25">
      <c r="A679" s="1" t="str">
        <f>_xlfn.XLOOKUP(E679,Base!G:G,Base!C:C,"NOVO")</f>
        <v>PENDENTE</v>
      </c>
      <c r="B679" s="1">
        <v>3316796</v>
      </c>
      <c r="C679" s="1" t="s">
        <v>26</v>
      </c>
      <c r="D679" s="2">
        <v>45737.52847222222</v>
      </c>
      <c r="E679" s="1" t="s">
        <v>1782</v>
      </c>
      <c r="F679" s="1" t="s">
        <v>1783</v>
      </c>
      <c r="G679" s="1" t="s">
        <v>64</v>
      </c>
      <c r="H679" s="2">
        <v>45737.618055555555</v>
      </c>
      <c r="J679" s="1" t="s">
        <v>1244</v>
      </c>
    </row>
    <row r="680" spans="1:10" hidden="1" x14ac:dyDescent="0.25">
      <c r="A680" s="1" t="str">
        <f>_xlfn.XLOOKUP(E680,Base!G:G,Base!C:C,"NOVO")</f>
        <v>PENDENTE</v>
      </c>
      <c r="B680" s="1">
        <v>3322021</v>
      </c>
      <c r="C680" s="1" t="s">
        <v>26</v>
      </c>
      <c r="D680" s="2">
        <v>45741.324999999997</v>
      </c>
      <c r="E680" s="1" t="s">
        <v>1784</v>
      </c>
      <c r="F680" s="1" t="s">
        <v>1785</v>
      </c>
      <c r="G680" s="1" t="s">
        <v>64</v>
      </c>
      <c r="H680" s="2">
        <v>45741.40902777778</v>
      </c>
      <c r="J680" s="1" t="s">
        <v>1244</v>
      </c>
    </row>
    <row r="681" spans="1:10" hidden="1" x14ac:dyDescent="0.25">
      <c r="A681" s="1" t="str">
        <f>_xlfn.XLOOKUP(E681,Base!G:G,Base!C:C,"NOVO")</f>
        <v>PENDENTE</v>
      </c>
      <c r="B681" s="1">
        <v>3445809</v>
      </c>
      <c r="C681" s="1" t="s">
        <v>26</v>
      </c>
      <c r="D681" s="2">
        <v>45804.597916666666</v>
      </c>
      <c r="E681" s="1" t="s">
        <v>2440</v>
      </c>
      <c r="F681" s="1" t="s">
        <v>2440</v>
      </c>
      <c r="G681" s="1" t="s">
        <v>652</v>
      </c>
      <c r="H681" s="2">
        <v>45804.692361111112</v>
      </c>
      <c r="J681" s="1" t="s">
        <v>18</v>
      </c>
    </row>
    <row r="682" spans="1:10" hidden="1" x14ac:dyDescent="0.25">
      <c r="A682" s="1" t="str">
        <f>_xlfn.XLOOKUP(E682,Base!G:G,Base!C:C,"NOVO")</f>
        <v>PENDENTE</v>
      </c>
      <c r="B682" s="1">
        <v>3411319</v>
      </c>
      <c r="C682" s="1" t="s">
        <v>26</v>
      </c>
      <c r="D682" s="2">
        <v>45786.424305555556</v>
      </c>
      <c r="E682" s="1" t="s">
        <v>2321</v>
      </c>
      <c r="F682" s="1" t="s">
        <v>2321</v>
      </c>
      <c r="G682" s="1" t="s">
        <v>273</v>
      </c>
      <c r="H682" s="2">
        <v>45786.511111111111</v>
      </c>
      <c r="J682" s="1" t="s">
        <v>1245</v>
      </c>
    </row>
    <row r="683" spans="1:10" hidden="1" x14ac:dyDescent="0.25">
      <c r="A683" s="1" t="str">
        <f>_xlfn.XLOOKUP(E683,Base!G:G,Base!C:C,"NOVO")</f>
        <v>PENDENTE</v>
      </c>
      <c r="B683" s="1">
        <v>3362758</v>
      </c>
      <c r="C683" s="1" t="s">
        <v>26</v>
      </c>
      <c r="D683" s="2">
        <v>45760.638194444444</v>
      </c>
      <c r="E683" s="1" t="s">
        <v>2028</v>
      </c>
      <c r="F683" s="1" t="s">
        <v>2028</v>
      </c>
      <c r="G683" s="1" t="s">
        <v>83</v>
      </c>
      <c r="H683" s="2">
        <v>45760.734027777777</v>
      </c>
      <c r="J683" s="1" t="s">
        <v>18</v>
      </c>
    </row>
    <row r="684" spans="1:10" hidden="1" x14ac:dyDescent="0.25">
      <c r="A684" s="1" t="str">
        <f>_xlfn.XLOOKUP(E684,Base!G:G,Base!C:C,"NOVO")</f>
        <v>PENDENTE</v>
      </c>
      <c r="B684" s="1">
        <v>3250289</v>
      </c>
      <c r="C684" s="1" t="s">
        <v>26</v>
      </c>
      <c r="D684" s="2">
        <v>45705.503472222219</v>
      </c>
      <c r="E684" s="1" t="s">
        <v>1140</v>
      </c>
      <c r="F684" s="1" t="s">
        <v>1140</v>
      </c>
      <c r="G684" s="1" t="s">
        <v>620</v>
      </c>
      <c r="H684" s="2">
        <v>45705.640277777777</v>
      </c>
      <c r="J684" s="1" t="s">
        <v>18</v>
      </c>
    </row>
    <row r="685" spans="1:10" hidden="1" x14ac:dyDescent="0.25">
      <c r="A685" s="1" t="str">
        <f>_xlfn.XLOOKUP(E685,Base!G:G,Base!C:C,"NOVO")</f>
        <v>PENDENTE</v>
      </c>
      <c r="B685" s="1">
        <v>3311343</v>
      </c>
      <c r="C685" s="1" t="s">
        <v>26</v>
      </c>
      <c r="D685" s="2">
        <v>45735.560416666667</v>
      </c>
      <c r="E685" s="1" t="s">
        <v>1786</v>
      </c>
      <c r="F685" s="1" t="s">
        <v>1787</v>
      </c>
      <c r="G685" s="1" t="s">
        <v>64</v>
      </c>
      <c r="H685" s="2">
        <v>45735.648611111108</v>
      </c>
      <c r="J685" s="1" t="s">
        <v>1244</v>
      </c>
    </row>
    <row r="686" spans="1:10" hidden="1" x14ac:dyDescent="0.25">
      <c r="A686" s="1" t="str">
        <f>_xlfn.XLOOKUP(E686,Base!G:G,Base!C:C,"NOVO")</f>
        <v>PENDENTE</v>
      </c>
      <c r="B686" s="1">
        <v>3271465</v>
      </c>
      <c r="C686" s="1" t="s">
        <v>26</v>
      </c>
      <c r="D686" s="2">
        <v>45715.313194444447</v>
      </c>
      <c r="E686" s="1" t="s">
        <v>1303</v>
      </c>
      <c r="F686" s="1" t="s">
        <v>1303</v>
      </c>
      <c r="G686" s="1" t="s">
        <v>589</v>
      </c>
      <c r="H686" s="2">
        <v>45714.856249999997</v>
      </c>
      <c r="I686" s="2">
        <v>45715.439583333333</v>
      </c>
      <c r="J686" s="1" t="s">
        <v>18</v>
      </c>
    </row>
    <row r="687" spans="1:10" hidden="1" x14ac:dyDescent="0.25">
      <c r="A687" s="1" t="str">
        <f>_xlfn.XLOOKUP(E687,Base!G:G,Base!C:C,"NOVO")</f>
        <v>PENDENTE</v>
      </c>
      <c r="B687" s="1">
        <v>3243998</v>
      </c>
      <c r="C687" s="1" t="s">
        <v>26</v>
      </c>
      <c r="D687" s="2">
        <v>45701.382638888892</v>
      </c>
      <c r="E687" s="1" t="s">
        <v>1141</v>
      </c>
      <c r="F687" s="1" t="s">
        <v>1141</v>
      </c>
      <c r="G687" s="1" t="s">
        <v>83</v>
      </c>
      <c r="H687" s="2">
        <v>45701.520138888889</v>
      </c>
      <c r="J687" s="1" t="s">
        <v>18</v>
      </c>
    </row>
    <row r="688" spans="1:10" hidden="1" x14ac:dyDescent="0.25">
      <c r="A688" s="1" t="str">
        <f>_xlfn.XLOOKUP(E688,Base!G:G,Base!C:C,"NOVO")</f>
        <v>PENDENTE</v>
      </c>
      <c r="B688" s="1">
        <v>3302080</v>
      </c>
      <c r="C688" s="1" t="s">
        <v>26</v>
      </c>
      <c r="D688" s="2">
        <v>45730.657638888886</v>
      </c>
      <c r="E688" s="1" t="s">
        <v>1483</v>
      </c>
      <c r="F688" s="1" t="s">
        <v>1483</v>
      </c>
      <c r="G688" s="1" t="s">
        <v>169</v>
      </c>
      <c r="H688" s="2">
        <v>45730.745833333334</v>
      </c>
      <c r="J688" s="1" t="s">
        <v>18</v>
      </c>
    </row>
    <row r="689" spans="1:10" hidden="1" x14ac:dyDescent="0.25">
      <c r="A689" s="1" t="str">
        <f>_xlfn.XLOOKUP(E689,Base!G:G,Base!C:C,"NOVO")</f>
        <v>PENDENTE</v>
      </c>
      <c r="B689" s="1">
        <v>3300605</v>
      </c>
      <c r="C689" s="1" t="s">
        <v>26</v>
      </c>
      <c r="D689" s="2">
        <v>45730.369444444441</v>
      </c>
      <c r="E689" s="1" t="s">
        <v>1484</v>
      </c>
      <c r="F689" s="1" t="s">
        <v>1485</v>
      </c>
      <c r="G689" s="1" t="s">
        <v>64</v>
      </c>
      <c r="H689" s="2">
        <v>45730.463888888888</v>
      </c>
      <c r="J689" s="1" t="s">
        <v>1244</v>
      </c>
    </row>
    <row r="690" spans="1:10" hidden="1" x14ac:dyDescent="0.25">
      <c r="A690" s="1" t="str">
        <f>_xlfn.XLOOKUP(E690,Base!G:G,Base!C:C,"NOVO")</f>
        <v>PENDENTE</v>
      </c>
      <c r="B690" s="1">
        <v>3289730</v>
      </c>
      <c r="C690" s="1" t="s">
        <v>26</v>
      </c>
      <c r="D690" s="2">
        <v>45726.643750000003</v>
      </c>
      <c r="E690" s="1" t="s">
        <v>1486</v>
      </c>
      <c r="F690" s="1" t="s">
        <v>1486</v>
      </c>
      <c r="G690" s="1" t="s">
        <v>1403</v>
      </c>
      <c r="H690" s="2">
        <v>45726.731944444444</v>
      </c>
      <c r="J690" s="1" t="s">
        <v>18</v>
      </c>
    </row>
    <row r="691" spans="1:10" hidden="1" x14ac:dyDescent="0.25">
      <c r="A691" s="1" t="str">
        <f>_xlfn.XLOOKUP(E691,Base!G:G,Base!C:C,"NOVO")</f>
        <v>PENDENTE</v>
      </c>
      <c r="B691" s="1">
        <v>3411416</v>
      </c>
      <c r="C691" s="1" t="s">
        <v>26</v>
      </c>
      <c r="D691" s="2">
        <v>45786.479166666664</v>
      </c>
      <c r="E691" s="1" t="s">
        <v>2322</v>
      </c>
      <c r="F691" s="1" t="s">
        <v>2322</v>
      </c>
      <c r="G691" s="1" t="s">
        <v>707</v>
      </c>
      <c r="H691" s="2">
        <v>45786.564583333333</v>
      </c>
      <c r="J691" s="1" t="s">
        <v>18</v>
      </c>
    </row>
    <row r="692" spans="1:10" hidden="1" x14ac:dyDescent="0.25">
      <c r="A692" s="1" t="str">
        <f>_xlfn.XLOOKUP(E692,Base!G:G,Base!C:C,"NOVO")</f>
        <v>PENDENTE</v>
      </c>
      <c r="B692" s="1">
        <v>3312672</v>
      </c>
      <c r="C692" s="1" t="s">
        <v>26</v>
      </c>
      <c r="D692" s="2">
        <v>45735.756944444445</v>
      </c>
      <c r="E692" s="1" t="s">
        <v>1788</v>
      </c>
      <c r="F692" s="1" t="s">
        <v>1788</v>
      </c>
      <c r="G692" s="1" t="s">
        <v>620</v>
      </c>
      <c r="H692" s="2">
        <v>45735.848611111112</v>
      </c>
      <c r="J692" s="1" t="s">
        <v>18</v>
      </c>
    </row>
    <row r="693" spans="1:10" hidden="1" x14ac:dyDescent="0.25">
      <c r="A693" s="1" t="str">
        <f>_xlfn.XLOOKUP(E693,Base!G:G,Base!C:C,"NOVO")</f>
        <v>PENDENTE</v>
      </c>
      <c r="B693" s="1">
        <v>3330637</v>
      </c>
      <c r="C693" s="1" t="s">
        <v>26</v>
      </c>
      <c r="D693" s="2">
        <v>45744.392361111109</v>
      </c>
      <c r="E693" s="1" t="s">
        <v>1789</v>
      </c>
      <c r="F693" s="1" t="s">
        <v>1790</v>
      </c>
      <c r="G693" s="1" t="s">
        <v>64</v>
      </c>
      <c r="H693" s="2">
        <v>45744.480555555558</v>
      </c>
      <c r="J693" s="1" t="s">
        <v>1244</v>
      </c>
    </row>
    <row r="694" spans="1:10" hidden="1" x14ac:dyDescent="0.25">
      <c r="A694" s="1" t="str">
        <f>_xlfn.XLOOKUP(E694,Base!G:G,Base!C:C,"NOVO")</f>
        <v>PENDENTE</v>
      </c>
      <c r="B694" s="1">
        <v>3287105</v>
      </c>
      <c r="C694" s="1" t="s">
        <v>26</v>
      </c>
      <c r="D694" s="2">
        <v>45727.37777777778</v>
      </c>
      <c r="E694" s="1" t="s">
        <v>1487</v>
      </c>
      <c r="F694" s="1" t="s">
        <v>1487</v>
      </c>
      <c r="G694" s="1" t="s">
        <v>1189</v>
      </c>
      <c r="H694" s="2">
        <v>45723.869444444441</v>
      </c>
      <c r="I694" s="2">
        <v>45727.463888888888</v>
      </c>
      <c r="J694" s="1" t="s">
        <v>18</v>
      </c>
    </row>
    <row r="695" spans="1:10" hidden="1" x14ac:dyDescent="0.25">
      <c r="A695" s="1" t="str">
        <f>_xlfn.XLOOKUP(E695,Base!G:G,Base!C:C,"NOVO")</f>
        <v>PENDENTE</v>
      </c>
      <c r="B695" s="1">
        <v>3312690</v>
      </c>
      <c r="C695" s="1" t="s">
        <v>26</v>
      </c>
      <c r="D695" s="2">
        <v>45735.756944444445</v>
      </c>
      <c r="E695" s="1" t="s">
        <v>1791</v>
      </c>
      <c r="F695" s="1" t="s">
        <v>1791</v>
      </c>
      <c r="G695" s="1" t="s">
        <v>83</v>
      </c>
      <c r="H695" s="2">
        <v>45735.850694444445</v>
      </c>
      <c r="J695" s="1" t="s">
        <v>18</v>
      </c>
    </row>
    <row r="696" spans="1:10" hidden="1" x14ac:dyDescent="0.25">
      <c r="A696" s="1" t="str">
        <f>_xlfn.XLOOKUP(E696,Base!G:G,Base!C:C,"NOVO")</f>
        <v>PENDENTE</v>
      </c>
      <c r="B696" s="1">
        <v>3286574</v>
      </c>
      <c r="C696" s="1" t="s">
        <v>26</v>
      </c>
      <c r="D696" s="2">
        <v>45723.625694444447</v>
      </c>
      <c r="E696" s="1" t="s">
        <v>1488</v>
      </c>
      <c r="F696" s="1" t="s">
        <v>1489</v>
      </c>
      <c r="G696" s="1" t="s">
        <v>64</v>
      </c>
      <c r="H696" s="2">
        <v>45723.75277777778</v>
      </c>
      <c r="J696" s="1" t="s">
        <v>1244</v>
      </c>
    </row>
    <row r="697" spans="1:10" hidden="1" x14ac:dyDescent="0.25">
      <c r="A697" s="1" t="str">
        <f>_xlfn.XLOOKUP(E697,Base!G:G,Base!C:C,"NOVO")</f>
        <v>PENDENTE</v>
      </c>
      <c r="B697" s="1">
        <v>3313043</v>
      </c>
      <c r="C697" s="1" t="s">
        <v>26</v>
      </c>
      <c r="D697" s="2">
        <v>45736.326388888891</v>
      </c>
      <c r="E697" s="1" t="s">
        <v>1792</v>
      </c>
      <c r="F697" s="1" t="s">
        <v>1793</v>
      </c>
      <c r="G697" s="1" t="s">
        <v>64</v>
      </c>
      <c r="H697" s="2">
        <v>45736.420138888891</v>
      </c>
      <c r="J697" s="1" t="s">
        <v>1244</v>
      </c>
    </row>
    <row r="698" spans="1:10" hidden="1" x14ac:dyDescent="0.25">
      <c r="A698" s="1" t="str">
        <f>_xlfn.XLOOKUP(E698,Base!G:G,Base!C:C,"NOVO")</f>
        <v>PENDENTE</v>
      </c>
      <c r="B698" s="1">
        <v>3367487</v>
      </c>
      <c r="C698" s="1" t="s">
        <v>26</v>
      </c>
      <c r="D698" s="2">
        <v>45762.784722222219</v>
      </c>
      <c r="E698" s="1" t="s">
        <v>2029</v>
      </c>
      <c r="F698" s="1" t="s">
        <v>2029</v>
      </c>
      <c r="G698" s="1" t="s">
        <v>83</v>
      </c>
      <c r="H698" s="2">
        <v>45762.876388888886</v>
      </c>
      <c r="J698" s="1" t="s">
        <v>18</v>
      </c>
    </row>
    <row r="699" spans="1:10" hidden="1" x14ac:dyDescent="0.25">
      <c r="A699" s="1" t="str">
        <f>_xlfn.XLOOKUP(E699,Base!G:G,Base!C:C,"NOVO")</f>
        <v>PENDENTE</v>
      </c>
      <c r="B699" s="1">
        <v>3227844</v>
      </c>
      <c r="C699" s="1" t="s">
        <v>26</v>
      </c>
      <c r="D699" s="2">
        <v>45693.658333333333</v>
      </c>
      <c r="E699" s="1" t="s">
        <v>988</v>
      </c>
      <c r="F699" s="1" t="s">
        <v>988</v>
      </c>
      <c r="G699" s="1" t="s">
        <v>692</v>
      </c>
      <c r="H699" s="2">
        <v>45693.826388888891</v>
      </c>
      <c r="I699" s="2">
        <v>45694.941666666666</v>
      </c>
      <c r="J699" s="1" t="s">
        <v>18</v>
      </c>
    </row>
    <row r="700" spans="1:10" hidden="1" x14ac:dyDescent="0.25">
      <c r="A700" s="1" t="str">
        <f>_xlfn.XLOOKUP(E700,Base!G:G,Base!C:C,"NOVO")</f>
        <v>PENDENTE</v>
      </c>
      <c r="B700" s="1">
        <v>3352055</v>
      </c>
      <c r="C700" s="1" t="s">
        <v>26</v>
      </c>
      <c r="D700" s="2">
        <v>45754.746527777781</v>
      </c>
      <c r="E700" s="1" t="s">
        <v>1794</v>
      </c>
      <c r="F700" s="1" t="s">
        <v>1794</v>
      </c>
      <c r="G700" s="1" t="s">
        <v>83</v>
      </c>
      <c r="H700" s="2">
        <v>45754.834722222222</v>
      </c>
      <c r="J700" s="1" t="s">
        <v>18</v>
      </c>
    </row>
    <row r="701" spans="1:10" hidden="1" x14ac:dyDescent="0.25">
      <c r="A701" s="1" t="str">
        <f>_xlfn.XLOOKUP(E701,Base!G:G,Base!C:C,"NOVO")</f>
        <v>PENDENTE</v>
      </c>
      <c r="B701" s="1">
        <v>3335698</v>
      </c>
      <c r="C701" s="1" t="s">
        <v>26</v>
      </c>
      <c r="D701" s="2">
        <v>45747.761805555558</v>
      </c>
      <c r="E701" s="1" t="s">
        <v>1795</v>
      </c>
      <c r="F701" s="1" t="s">
        <v>1795</v>
      </c>
      <c r="G701" s="1" t="s">
        <v>1711</v>
      </c>
      <c r="H701" s="2">
        <v>45747.856249999997</v>
      </c>
      <c r="J701" s="1" t="s">
        <v>18</v>
      </c>
    </row>
    <row r="702" spans="1:10" hidden="1" x14ac:dyDescent="0.25">
      <c r="A702" s="1" t="str">
        <f>_xlfn.XLOOKUP(E702,Base!G:G,Base!C:C,"NOVO")</f>
        <v>PENDENTE</v>
      </c>
      <c r="B702" s="1">
        <v>3408580</v>
      </c>
      <c r="C702" s="1" t="s">
        <v>26</v>
      </c>
      <c r="D702" s="2">
        <v>45785.45416666667</v>
      </c>
      <c r="E702" s="1" t="s">
        <v>2239</v>
      </c>
      <c r="F702" s="1" t="s">
        <v>2239</v>
      </c>
      <c r="G702" s="1" t="s">
        <v>746</v>
      </c>
      <c r="H702" s="2">
        <v>45785.545138888891</v>
      </c>
      <c r="J702" s="1" t="s">
        <v>18</v>
      </c>
    </row>
    <row r="703" spans="1:10" hidden="1" x14ac:dyDescent="0.25">
      <c r="A703" s="1" t="str">
        <f>_xlfn.XLOOKUP(E703,Base!G:G,Base!C:C,"NOVO")</f>
        <v>PENDENTE</v>
      </c>
      <c r="B703" s="1">
        <v>3287024</v>
      </c>
      <c r="C703" s="1" t="s">
        <v>26</v>
      </c>
      <c r="D703" s="2">
        <v>45723.736805555556</v>
      </c>
      <c r="E703" s="1" t="s">
        <v>1490</v>
      </c>
      <c r="F703" s="1" t="s">
        <v>1490</v>
      </c>
      <c r="G703" s="1" t="s">
        <v>83</v>
      </c>
      <c r="H703" s="2">
        <v>45723.865972222222</v>
      </c>
      <c r="J703" s="1" t="s">
        <v>18</v>
      </c>
    </row>
    <row r="704" spans="1:10" hidden="1" x14ac:dyDescent="0.25">
      <c r="A704" s="1" t="str">
        <f>_xlfn.XLOOKUP(E704,Base!G:G,Base!C:C,"NOVO")</f>
        <v>PENDENTE</v>
      </c>
      <c r="B704" s="1">
        <v>3422667</v>
      </c>
      <c r="C704" s="1" t="s">
        <v>26</v>
      </c>
      <c r="D704" s="2">
        <v>45792.484027777777</v>
      </c>
      <c r="E704" s="1" t="s">
        <v>2441</v>
      </c>
      <c r="F704" s="1" t="s">
        <v>2441</v>
      </c>
      <c r="G704" s="1" t="s">
        <v>1060</v>
      </c>
      <c r="H704" s="2">
        <v>45792.57708333333</v>
      </c>
      <c r="J704" s="1" t="s">
        <v>18</v>
      </c>
    </row>
    <row r="705" spans="1:10" hidden="1" x14ac:dyDescent="0.25">
      <c r="A705" s="1" t="str">
        <f>_xlfn.XLOOKUP(E705,Base!G:G,Base!C:C,"NOVO")</f>
        <v>PENDENTE</v>
      </c>
      <c r="B705" s="1">
        <v>3357913</v>
      </c>
      <c r="C705" s="1" t="s">
        <v>26</v>
      </c>
      <c r="D705" s="2">
        <v>45757.460416666669</v>
      </c>
      <c r="E705" s="1" t="s">
        <v>2030</v>
      </c>
      <c r="F705" s="1" t="s">
        <v>2030</v>
      </c>
      <c r="G705" s="1" t="s">
        <v>273</v>
      </c>
      <c r="H705" s="2">
        <v>45757.553472222222</v>
      </c>
      <c r="J705" s="1" t="s">
        <v>1245</v>
      </c>
    </row>
    <row r="706" spans="1:10" hidden="1" x14ac:dyDescent="0.25">
      <c r="A706" s="1" t="str">
        <f>_xlfn.XLOOKUP(E706,Base!G:G,Base!C:C,"NOVO")</f>
        <v>PENDENTE</v>
      </c>
      <c r="B706" s="1">
        <v>3402969</v>
      </c>
      <c r="C706" s="1" t="s">
        <v>26</v>
      </c>
      <c r="D706" s="2">
        <v>45796.719444444447</v>
      </c>
      <c r="E706" s="1" t="s">
        <v>2240</v>
      </c>
      <c r="F706" s="1" t="s">
        <v>2240</v>
      </c>
      <c r="G706" s="1" t="s">
        <v>620</v>
      </c>
      <c r="H706" s="2">
        <v>45783.533333333333</v>
      </c>
      <c r="I706" s="2">
        <v>45796.805555555555</v>
      </c>
      <c r="J706" s="1" t="s">
        <v>18</v>
      </c>
    </row>
    <row r="707" spans="1:10" hidden="1" x14ac:dyDescent="0.25">
      <c r="A707" s="1" t="str">
        <f>_xlfn.XLOOKUP(E707,Base!G:G,Base!C:C,"NOVO")</f>
        <v>PENDENTE</v>
      </c>
      <c r="B707" s="1">
        <v>3359403</v>
      </c>
      <c r="C707" s="1" t="s">
        <v>26</v>
      </c>
      <c r="D707" s="2">
        <v>45757.752083333333</v>
      </c>
      <c r="E707" s="1" t="s">
        <v>2031</v>
      </c>
      <c r="F707" s="1" t="s">
        <v>2031</v>
      </c>
      <c r="G707" s="1" t="s">
        <v>83</v>
      </c>
      <c r="H707" s="2">
        <v>45757.845833333333</v>
      </c>
      <c r="J707" s="1" t="s">
        <v>18</v>
      </c>
    </row>
    <row r="708" spans="1:10" hidden="1" x14ac:dyDescent="0.25">
      <c r="A708" s="1" t="str">
        <f>_xlfn.XLOOKUP(E708,Base!G:G,Base!C:C,"NOVO")</f>
        <v>PENDENTE</v>
      </c>
      <c r="B708" s="1">
        <v>3284942</v>
      </c>
      <c r="C708" s="1" t="s">
        <v>26</v>
      </c>
      <c r="D708" s="2">
        <v>45723.331944444442</v>
      </c>
      <c r="E708" s="1" t="s">
        <v>1491</v>
      </c>
      <c r="F708" s="1" t="s">
        <v>1491</v>
      </c>
      <c r="G708" s="1" t="s">
        <v>1060</v>
      </c>
      <c r="H708" s="2">
        <v>45723.460416666669</v>
      </c>
      <c r="J708" s="1" t="s">
        <v>18</v>
      </c>
    </row>
    <row r="709" spans="1:10" hidden="1" x14ac:dyDescent="0.25">
      <c r="A709" s="1" t="str">
        <f>_xlfn.XLOOKUP(E709,Base!G:G,Base!C:C,"NOVO")</f>
        <v>PENDENTE</v>
      </c>
      <c r="B709" s="1">
        <v>3319422</v>
      </c>
      <c r="C709" s="1" t="s">
        <v>26</v>
      </c>
      <c r="D709" s="2">
        <v>45740.459027777775</v>
      </c>
      <c r="E709" s="1" t="s">
        <v>1796</v>
      </c>
      <c r="F709" s="1" t="s">
        <v>1797</v>
      </c>
      <c r="G709" s="1" t="s">
        <v>64</v>
      </c>
      <c r="H709" s="2">
        <v>45740.54791666667</v>
      </c>
      <c r="J709" s="1" t="s">
        <v>1244</v>
      </c>
    </row>
    <row r="710" spans="1:10" hidden="1" x14ac:dyDescent="0.25">
      <c r="A710" s="1" t="str">
        <f>_xlfn.XLOOKUP(E710,Base!G:G,Base!C:C,"NOVO")</f>
        <v>PENDENTE</v>
      </c>
      <c r="B710" s="1">
        <v>3357933</v>
      </c>
      <c r="C710" s="1" t="s">
        <v>26</v>
      </c>
      <c r="D710" s="2">
        <v>45757.465277777781</v>
      </c>
      <c r="E710" s="1" t="s">
        <v>2032</v>
      </c>
      <c r="F710" s="1" t="s">
        <v>2032</v>
      </c>
      <c r="G710" s="1" t="s">
        <v>754</v>
      </c>
      <c r="H710" s="2">
        <v>45757.557638888888</v>
      </c>
      <c r="J710" s="1" t="s">
        <v>18</v>
      </c>
    </row>
    <row r="711" spans="1:10" hidden="1" x14ac:dyDescent="0.25">
      <c r="A711" s="1" t="str">
        <f>_xlfn.XLOOKUP(E711,Base!G:G,Base!C:C,"NOVO")</f>
        <v>PENDENTE</v>
      </c>
      <c r="B711" s="1">
        <v>3285124</v>
      </c>
      <c r="C711" s="1" t="s">
        <v>26</v>
      </c>
      <c r="D711" s="2">
        <v>45723.37777777778</v>
      </c>
      <c r="E711" s="1" t="s">
        <v>1492</v>
      </c>
      <c r="F711" s="1" t="s">
        <v>1492</v>
      </c>
      <c r="G711" s="1" t="s">
        <v>1054</v>
      </c>
      <c r="H711" s="2">
        <v>45723.515277777777</v>
      </c>
      <c r="J711" s="1" t="s">
        <v>18</v>
      </c>
    </row>
    <row r="712" spans="1:10" hidden="1" x14ac:dyDescent="0.25">
      <c r="A712" s="1" t="str">
        <f>_xlfn.XLOOKUP(E712,Base!G:G,Base!C:C,"NOVO")</f>
        <v>PENDENTE</v>
      </c>
      <c r="B712" s="1">
        <v>3400120</v>
      </c>
      <c r="C712" s="1" t="s">
        <v>26</v>
      </c>
      <c r="D712" s="2">
        <v>45782.495138888888</v>
      </c>
      <c r="E712" s="1" t="s">
        <v>2241</v>
      </c>
      <c r="F712" s="1" t="s">
        <v>2241</v>
      </c>
      <c r="G712" s="1" t="s">
        <v>746</v>
      </c>
      <c r="H712" s="2">
        <v>45782.585416666669</v>
      </c>
      <c r="J712" s="1" t="s">
        <v>18</v>
      </c>
    </row>
    <row r="713" spans="1:10" hidden="1" x14ac:dyDescent="0.25">
      <c r="A713" s="1" t="str">
        <f>_xlfn.XLOOKUP(E713,Base!G:G,Base!C:C,"NOVO")</f>
        <v>PENDENTE</v>
      </c>
      <c r="B713" s="1">
        <v>3250791</v>
      </c>
      <c r="C713" s="1" t="s">
        <v>26</v>
      </c>
      <c r="D713" s="2">
        <v>45705.659722222219</v>
      </c>
      <c r="E713" s="1" t="s">
        <v>1142</v>
      </c>
      <c r="F713" s="1" t="s">
        <v>1142</v>
      </c>
      <c r="G713" s="1" t="s">
        <v>865</v>
      </c>
      <c r="H713" s="2">
        <v>45705.79583333333</v>
      </c>
      <c r="J713" s="1" t="s">
        <v>18</v>
      </c>
    </row>
    <row r="714" spans="1:10" hidden="1" x14ac:dyDescent="0.25">
      <c r="A714" s="1" t="str">
        <f>_xlfn.XLOOKUP(E714,Base!G:G,Base!C:C,"NOVO")</f>
        <v>PENDENTE</v>
      </c>
      <c r="B714" s="1">
        <v>3250793</v>
      </c>
      <c r="C714" s="1" t="s">
        <v>26</v>
      </c>
      <c r="D714" s="2">
        <v>45705.659722222219</v>
      </c>
      <c r="E714" s="1" t="s">
        <v>1143</v>
      </c>
      <c r="F714" s="1" t="s">
        <v>1142</v>
      </c>
      <c r="G714" s="1" t="s">
        <v>1144</v>
      </c>
      <c r="H714" s="2">
        <v>45705.796527777777</v>
      </c>
      <c r="J714" s="1" t="s">
        <v>18</v>
      </c>
    </row>
    <row r="715" spans="1:10" hidden="1" x14ac:dyDescent="0.25">
      <c r="A715" s="1" t="str">
        <f>_xlfn.XLOOKUP(E715,Base!G:G,Base!C:C,"NOVO")</f>
        <v>PENDENTE</v>
      </c>
      <c r="B715" s="1">
        <v>3250792</v>
      </c>
      <c r="C715" s="1" t="s">
        <v>26</v>
      </c>
      <c r="D715" s="2">
        <v>45705.659722222219</v>
      </c>
      <c r="E715" s="1" t="s">
        <v>1145</v>
      </c>
      <c r="F715" s="1" t="s">
        <v>1142</v>
      </c>
      <c r="G715" s="1" t="s">
        <v>867</v>
      </c>
      <c r="H715" s="2">
        <v>45705.796527777777</v>
      </c>
      <c r="J715" s="1" t="s">
        <v>18</v>
      </c>
    </row>
    <row r="716" spans="1:10" hidden="1" x14ac:dyDescent="0.25">
      <c r="A716" s="1" t="str">
        <f>_xlfn.XLOOKUP(E716,Base!G:G,Base!C:C,"NOVO")</f>
        <v>PENDENTE</v>
      </c>
      <c r="B716" s="1">
        <v>3287018</v>
      </c>
      <c r="C716" s="1" t="s">
        <v>26</v>
      </c>
      <c r="D716" s="2">
        <v>45723.736805555556</v>
      </c>
      <c r="E716" s="1" t="s">
        <v>1493</v>
      </c>
      <c r="F716" s="1" t="s">
        <v>1493</v>
      </c>
      <c r="G716" s="1" t="s">
        <v>396</v>
      </c>
      <c r="H716" s="2">
        <v>45723.865972222222</v>
      </c>
      <c r="J716" s="1" t="s">
        <v>18</v>
      </c>
    </row>
    <row r="717" spans="1:10" hidden="1" x14ac:dyDescent="0.25">
      <c r="A717" s="1" t="str">
        <f>_xlfn.XLOOKUP(E717,Base!G:G,Base!C:C,"NOVO")</f>
        <v>PENDENTE</v>
      </c>
      <c r="B717" s="1">
        <v>3438054</v>
      </c>
      <c r="C717" s="1" t="s">
        <v>26</v>
      </c>
      <c r="D717" s="2">
        <v>45799.784722222219</v>
      </c>
      <c r="E717" s="1" t="s">
        <v>2442</v>
      </c>
      <c r="F717" s="1" t="s">
        <v>2442</v>
      </c>
      <c r="G717" s="1" t="s">
        <v>1280</v>
      </c>
      <c r="H717" s="2">
        <v>45799.878472222219</v>
      </c>
      <c r="J717" s="1" t="s">
        <v>18</v>
      </c>
    </row>
    <row r="718" spans="1:10" hidden="1" x14ac:dyDescent="0.25">
      <c r="A718" s="1" t="str">
        <f>_xlfn.XLOOKUP(E718,Base!G:G,Base!C:C,"NOVO")</f>
        <v>PENDENTE</v>
      </c>
      <c r="B718" s="1">
        <v>3296850</v>
      </c>
      <c r="C718" s="1" t="s">
        <v>26</v>
      </c>
      <c r="D718" s="2">
        <v>45729.306944444441</v>
      </c>
      <c r="E718" s="1" t="s">
        <v>1494</v>
      </c>
      <c r="F718" s="1" t="s">
        <v>1495</v>
      </c>
      <c r="G718" s="1" t="s">
        <v>64</v>
      </c>
      <c r="H718" s="2">
        <v>45729.397916666669</v>
      </c>
      <c r="J718" s="1" t="s">
        <v>1244</v>
      </c>
    </row>
    <row r="719" spans="1:10" hidden="1" x14ac:dyDescent="0.25">
      <c r="A719" s="1" t="str">
        <f>_xlfn.XLOOKUP(E719,Base!G:G,Base!C:C,"NOVO")</f>
        <v>PENDENTE</v>
      </c>
      <c r="B719" s="1">
        <v>3438055</v>
      </c>
      <c r="C719" s="1" t="s">
        <v>26</v>
      </c>
      <c r="D719" s="2">
        <v>45799.784722222219</v>
      </c>
      <c r="E719" s="1" t="s">
        <v>2443</v>
      </c>
      <c r="F719" s="1" t="s">
        <v>2443</v>
      </c>
      <c r="G719" s="1" t="s">
        <v>1280</v>
      </c>
      <c r="H719" s="2">
        <v>45799.878472222219</v>
      </c>
      <c r="J719" s="1" t="s">
        <v>18</v>
      </c>
    </row>
    <row r="720" spans="1:10" hidden="1" x14ac:dyDescent="0.25">
      <c r="A720" s="1" t="str">
        <f>_xlfn.XLOOKUP(E720,Base!G:G,Base!C:C,"NOVO")</f>
        <v>PENDENTE</v>
      </c>
      <c r="B720" s="1">
        <v>3281696</v>
      </c>
      <c r="C720" s="1" t="s">
        <v>26</v>
      </c>
      <c r="D720" s="2">
        <v>45721.724305555559</v>
      </c>
      <c r="E720" s="1" t="s">
        <v>1304</v>
      </c>
      <c r="F720" s="1" t="s">
        <v>1304</v>
      </c>
      <c r="G720" s="1" t="s">
        <v>83</v>
      </c>
      <c r="H720" s="2">
        <v>45721.855555555558</v>
      </c>
      <c r="J720" s="1" t="s">
        <v>18</v>
      </c>
    </row>
    <row r="721" spans="1:10" hidden="1" x14ac:dyDescent="0.25">
      <c r="A721" s="1" t="str">
        <f>_xlfn.XLOOKUP(E721,Base!G:G,Base!C:C,"NOVO")</f>
        <v>PENDENTE</v>
      </c>
      <c r="B721" s="1">
        <v>3418893</v>
      </c>
      <c r="C721" s="1" t="s">
        <v>26</v>
      </c>
      <c r="D721" s="2">
        <v>45790.774305555555</v>
      </c>
      <c r="E721" s="1" t="s">
        <v>2323</v>
      </c>
      <c r="F721" s="1" t="s">
        <v>2323</v>
      </c>
      <c r="G721" s="1" t="s">
        <v>652</v>
      </c>
      <c r="H721" s="2">
        <v>45790.870138888888</v>
      </c>
      <c r="J721" s="1" t="s">
        <v>18</v>
      </c>
    </row>
    <row r="722" spans="1:10" hidden="1" x14ac:dyDescent="0.25">
      <c r="A722" s="1" t="str">
        <f>_xlfn.XLOOKUP(E722,Base!G:G,Base!C:C,"NOVO")</f>
        <v>PENDENTE</v>
      </c>
      <c r="B722" s="1">
        <v>3432267</v>
      </c>
      <c r="C722" s="1" t="s">
        <v>26</v>
      </c>
      <c r="D722" s="2">
        <v>45797.62777777778</v>
      </c>
      <c r="E722" s="1" t="s">
        <v>2444</v>
      </c>
      <c r="F722" s="1" t="s">
        <v>2444</v>
      </c>
      <c r="G722" s="1" t="s">
        <v>83</v>
      </c>
      <c r="H722" s="2">
        <v>45797.724999999999</v>
      </c>
      <c r="J722" s="1" t="s">
        <v>18</v>
      </c>
    </row>
    <row r="723" spans="1:10" hidden="1" x14ac:dyDescent="0.25">
      <c r="A723" s="1" t="str">
        <f>_xlfn.XLOOKUP(E723,Base!G:G,Base!C:C,"NOVO")</f>
        <v>PENDENTE</v>
      </c>
      <c r="B723" s="1">
        <v>3296189</v>
      </c>
      <c r="C723" s="1" t="s">
        <v>26</v>
      </c>
      <c r="D723" s="2">
        <v>45728.75277777778</v>
      </c>
      <c r="E723" s="1" t="s">
        <v>1496</v>
      </c>
      <c r="F723" s="1" t="s">
        <v>1496</v>
      </c>
      <c r="G723" s="1" t="s">
        <v>83</v>
      </c>
      <c r="H723" s="2">
        <v>45728.843055555553</v>
      </c>
      <c r="J723" s="1" t="s">
        <v>18</v>
      </c>
    </row>
    <row r="724" spans="1:10" hidden="1" x14ac:dyDescent="0.25">
      <c r="A724" s="1" t="str">
        <f>_xlfn.XLOOKUP(E724,Base!G:G,Base!C:C,"NOVO")</f>
        <v>PENDENTE</v>
      </c>
      <c r="B724" s="1">
        <v>3432261</v>
      </c>
      <c r="C724" s="1" t="s">
        <v>26</v>
      </c>
      <c r="D724" s="2">
        <v>45797.62777777778</v>
      </c>
      <c r="E724" s="1" t="s">
        <v>2445</v>
      </c>
      <c r="F724" s="1" t="s">
        <v>2445</v>
      </c>
      <c r="G724" s="1" t="s">
        <v>652</v>
      </c>
      <c r="H724" s="2">
        <v>45797.723611111112</v>
      </c>
      <c r="J724" s="1" t="s">
        <v>18</v>
      </c>
    </row>
    <row r="725" spans="1:10" hidden="1" x14ac:dyDescent="0.25">
      <c r="A725" s="1" t="str">
        <f>_xlfn.XLOOKUP(E725,Base!G:G,Base!C:C,"NOVO")</f>
        <v>PENDENTE</v>
      </c>
      <c r="B725" s="1">
        <v>3444820</v>
      </c>
      <c r="C725" s="1" t="s">
        <v>26</v>
      </c>
      <c r="D725" s="2">
        <v>45804.336111111108</v>
      </c>
      <c r="E725" s="1" t="s">
        <v>2446</v>
      </c>
      <c r="F725" s="1" t="s">
        <v>2446</v>
      </c>
      <c r="G725" s="1" t="s">
        <v>620</v>
      </c>
      <c r="H725" s="2">
        <v>45804.429166666669</v>
      </c>
      <c r="J725" s="1" t="s">
        <v>18</v>
      </c>
    </row>
    <row r="726" spans="1:10" hidden="1" x14ac:dyDescent="0.25">
      <c r="A726" s="1" t="str">
        <f>_xlfn.XLOOKUP(E726,Base!G:G,Base!C:C,"NOVO")</f>
        <v>PENDENTE</v>
      </c>
      <c r="B726" s="1">
        <v>3444819</v>
      </c>
      <c r="C726" s="1" t="s">
        <v>26</v>
      </c>
      <c r="D726" s="2">
        <v>45804.336111111108</v>
      </c>
      <c r="E726" s="1" t="s">
        <v>2447</v>
      </c>
      <c r="F726" s="1" t="s">
        <v>2447</v>
      </c>
      <c r="G726" s="1" t="s">
        <v>620</v>
      </c>
      <c r="H726" s="2">
        <v>45804.429166666669</v>
      </c>
      <c r="J726" s="1" t="s">
        <v>18</v>
      </c>
    </row>
    <row r="727" spans="1:10" hidden="1" x14ac:dyDescent="0.25">
      <c r="A727" s="1" t="str">
        <f>_xlfn.XLOOKUP(E727,Base!G:G,Base!C:C,"NOVO")</f>
        <v>PENDENTE</v>
      </c>
      <c r="B727" s="1">
        <v>3364777</v>
      </c>
      <c r="C727" s="1" t="s">
        <v>26</v>
      </c>
      <c r="D727" s="2">
        <v>45761.760416666664</v>
      </c>
      <c r="E727" s="1" t="s">
        <v>2033</v>
      </c>
      <c r="F727" s="1" t="s">
        <v>2033</v>
      </c>
      <c r="G727" s="1" t="s">
        <v>410</v>
      </c>
      <c r="H727" s="2">
        <v>45761.845833333333</v>
      </c>
      <c r="J727" s="1" t="s">
        <v>18</v>
      </c>
    </row>
    <row r="728" spans="1:10" hidden="1" x14ac:dyDescent="0.25">
      <c r="A728" s="1" t="str">
        <f>_xlfn.XLOOKUP(E728,Base!G:G,Base!C:C,"NOVO")</f>
        <v>PENDENTE</v>
      </c>
      <c r="B728" s="1">
        <v>3296201</v>
      </c>
      <c r="C728" s="1" t="s">
        <v>26</v>
      </c>
      <c r="D728" s="2">
        <v>45729.638194444444</v>
      </c>
      <c r="E728" s="1" t="s">
        <v>1498</v>
      </c>
      <c r="F728" s="1" t="s">
        <v>1498</v>
      </c>
      <c r="G728" s="1" t="s">
        <v>1060</v>
      </c>
      <c r="H728" s="2">
        <v>45728.844444444447</v>
      </c>
      <c r="I728" s="2">
        <v>45729.732638888891</v>
      </c>
      <c r="J728" s="1" t="s">
        <v>18</v>
      </c>
    </row>
    <row r="729" spans="1:10" hidden="1" x14ac:dyDescent="0.25">
      <c r="A729" s="1" t="str">
        <f>_xlfn.XLOOKUP(E729,Base!G:G,Base!C:C,"NOVO")</f>
        <v>PENDENTE</v>
      </c>
      <c r="B729" s="1">
        <v>3243995</v>
      </c>
      <c r="C729" s="1" t="s">
        <v>26</v>
      </c>
      <c r="D729" s="2">
        <v>45701.382638888892</v>
      </c>
      <c r="E729" s="1" t="s">
        <v>1146</v>
      </c>
      <c r="F729" s="1" t="s">
        <v>1146</v>
      </c>
      <c r="G729" s="1" t="s">
        <v>83</v>
      </c>
      <c r="H729" s="2">
        <v>45701.520138888889</v>
      </c>
      <c r="J729" s="1" t="s">
        <v>18</v>
      </c>
    </row>
    <row r="730" spans="1:10" hidden="1" x14ac:dyDescent="0.25">
      <c r="A730" s="1" t="str">
        <f>_xlfn.XLOOKUP(E730,Base!G:G,Base!C:C,"NOVO")</f>
        <v>PENDENTE</v>
      </c>
      <c r="B730" s="1">
        <v>3221790</v>
      </c>
      <c r="C730" s="1" t="s">
        <v>26</v>
      </c>
      <c r="D730" s="2">
        <v>45693.569444444445</v>
      </c>
      <c r="E730" s="1" t="s">
        <v>812</v>
      </c>
      <c r="F730" s="1" t="s">
        <v>812</v>
      </c>
      <c r="G730" s="1" t="s">
        <v>394</v>
      </c>
      <c r="H730" s="2">
        <v>45691.837500000001</v>
      </c>
      <c r="I730" s="2">
        <v>45694.902777777781</v>
      </c>
      <c r="J730" s="1" t="s">
        <v>18</v>
      </c>
    </row>
    <row r="731" spans="1:10" hidden="1" x14ac:dyDescent="0.25">
      <c r="A731" s="1" t="str">
        <f>_xlfn.XLOOKUP(E731,Base!G:G,Base!C:C,"NOVO")</f>
        <v>PENDENTE</v>
      </c>
      <c r="B731" s="1">
        <v>3364761</v>
      </c>
      <c r="C731" s="1" t="s">
        <v>26</v>
      </c>
      <c r="D731" s="2">
        <v>45761.734722222223</v>
      </c>
      <c r="E731" s="1" t="s">
        <v>2034</v>
      </c>
      <c r="F731" s="1" t="s">
        <v>2034</v>
      </c>
      <c r="G731" s="1" t="s">
        <v>410</v>
      </c>
      <c r="H731" s="2">
        <v>45761.825694444444</v>
      </c>
      <c r="J731" s="1" t="s">
        <v>18</v>
      </c>
    </row>
    <row r="732" spans="1:10" hidden="1" x14ac:dyDescent="0.25">
      <c r="A732" s="1" t="str">
        <f>_xlfn.XLOOKUP(E732,Base!G:G,Base!C:C,"NOVO")</f>
        <v>PENDENTE</v>
      </c>
      <c r="B732" s="1">
        <v>3280915</v>
      </c>
      <c r="C732" s="1" t="s">
        <v>26</v>
      </c>
      <c r="D732" s="2">
        <v>45722.679861111108</v>
      </c>
      <c r="E732" s="1" t="s">
        <v>1305</v>
      </c>
      <c r="F732" s="1" t="s">
        <v>1305</v>
      </c>
      <c r="G732" s="1" t="s">
        <v>1060</v>
      </c>
      <c r="H732" s="2">
        <v>45721.661111111112</v>
      </c>
      <c r="I732" s="2">
        <v>45722.814583333333</v>
      </c>
      <c r="J732" s="1" t="s">
        <v>18</v>
      </c>
    </row>
    <row r="733" spans="1:10" hidden="1" x14ac:dyDescent="0.25">
      <c r="A733" s="1" t="str">
        <f>_xlfn.XLOOKUP(E733,Base!G:G,Base!C:C,"NOVO")</f>
        <v>PENDENTE</v>
      </c>
      <c r="B733" s="1">
        <v>3242204</v>
      </c>
      <c r="C733" s="1" t="s">
        <v>26</v>
      </c>
      <c r="D733" s="2">
        <v>45700.563194444447</v>
      </c>
      <c r="E733" s="1" t="s">
        <v>1147</v>
      </c>
      <c r="F733" s="1" t="s">
        <v>1147</v>
      </c>
      <c r="G733" s="1" t="s">
        <v>692</v>
      </c>
      <c r="H733" s="2">
        <v>45700.693055555559</v>
      </c>
      <c r="J733" s="1" t="s">
        <v>18</v>
      </c>
    </row>
    <row r="734" spans="1:10" hidden="1" x14ac:dyDescent="0.25">
      <c r="A734" s="1" t="str">
        <f>_xlfn.XLOOKUP(E734,Base!G:G,Base!C:C,"NOVO")</f>
        <v>PENDENTE</v>
      </c>
      <c r="B734" s="1">
        <v>3242205</v>
      </c>
      <c r="C734" s="1" t="s">
        <v>26</v>
      </c>
      <c r="D734" s="2">
        <v>45700.563194444447</v>
      </c>
      <c r="E734" s="1" t="s">
        <v>1148</v>
      </c>
      <c r="F734" s="1" t="s">
        <v>1147</v>
      </c>
      <c r="G734" s="1" t="s">
        <v>898</v>
      </c>
      <c r="H734" s="2">
        <v>45700.693055555559</v>
      </c>
      <c r="J734" s="1" t="s">
        <v>18</v>
      </c>
    </row>
    <row r="735" spans="1:10" hidden="1" x14ac:dyDescent="0.25">
      <c r="A735" s="1" t="str">
        <f>_xlfn.XLOOKUP(E735,Base!G:G,Base!C:C,"NOVO")</f>
        <v>PENDENTE</v>
      </c>
      <c r="B735" s="1">
        <v>3444823</v>
      </c>
      <c r="C735" s="1" t="s">
        <v>26</v>
      </c>
      <c r="D735" s="2">
        <v>45804.336111111108</v>
      </c>
      <c r="E735" s="1" t="s">
        <v>2448</v>
      </c>
      <c r="F735" s="1" t="s">
        <v>2448</v>
      </c>
      <c r="G735" s="1" t="s">
        <v>746</v>
      </c>
      <c r="H735" s="2">
        <v>45804.430555555555</v>
      </c>
      <c r="J735" s="1" t="s">
        <v>18</v>
      </c>
    </row>
    <row r="736" spans="1:10" hidden="1" x14ac:dyDescent="0.25">
      <c r="A736" s="1" t="str">
        <f>_xlfn.XLOOKUP(E736,Base!G:G,Base!C:C,"NOVO")</f>
        <v>PENDENTE</v>
      </c>
      <c r="B736" s="1">
        <v>3302079</v>
      </c>
      <c r="C736" s="1" t="s">
        <v>26</v>
      </c>
      <c r="D736" s="2">
        <v>45733.530555555553</v>
      </c>
      <c r="E736" s="1" t="s">
        <v>1499</v>
      </c>
      <c r="F736" s="1" t="s">
        <v>1499</v>
      </c>
      <c r="G736" s="1" t="s">
        <v>1060</v>
      </c>
      <c r="H736" s="2">
        <v>45730.745138888888</v>
      </c>
      <c r="I736" s="2">
        <v>45733.616666666669</v>
      </c>
      <c r="J736" s="1" t="s">
        <v>18</v>
      </c>
    </row>
    <row r="737" spans="1:10" x14ac:dyDescent="0.25">
      <c r="A737" s="1" t="str">
        <f>_xlfn.XLOOKUP(E737,Base!G:G,Base!C:C,"NOVO")</f>
        <v>PENDENTE</v>
      </c>
      <c r="B737" s="1">
        <v>3482130</v>
      </c>
      <c r="C737" s="1" t="s">
        <v>26</v>
      </c>
      <c r="D737" s="2">
        <v>45821.770138888889</v>
      </c>
      <c r="E737" s="1" t="s">
        <v>2728</v>
      </c>
      <c r="F737" s="1" t="s">
        <v>2728</v>
      </c>
      <c r="G737" s="1" t="s">
        <v>746</v>
      </c>
      <c r="H737" s="2">
        <v>45821.855555555558</v>
      </c>
      <c r="J737" s="1" t="s">
        <v>18</v>
      </c>
    </row>
    <row r="738" spans="1:10" hidden="1" x14ac:dyDescent="0.25">
      <c r="A738" s="1" t="str">
        <f>_xlfn.XLOOKUP(E738,Base!G:G,Base!C:C,"NOVO")</f>
        <v>PENDENTE</v>
      </c>
      <c r="B738" s="1">
        <v>3300946</v>
      </c>
      <c r="C738" s="1" t="s">
        <v>26</v>
      </c>
      <c r="D738" s="2">
        <v>45733.451388888891</v>
      </c>
      <c r="E738" s="1" t="s">
        <v>1500</v>
      </c>
      <c r="F738" s="1" t="s">
        <v>1500</v>
      </c>
      <c r="G738" s="1" t="s">
        <v>588</v>
      </c>
      <c r="H738" s="2">
        <v>45730.513888888891</v>
      </c>
      <c r="I738" s="2">
        <v>45733.545138888891</v>
      </c>
      <c r="J738" s="1" t="s">
        <v>14</v>
      </c>
    </row>
    <row r="739" spans="1:10" x14ac:dyDescent="0.25">
      <c r="A739" s="1" t="str">
        <f>_xlfn.XLOOKUP(E739,Base!G:G,Base!C:C,"NOVO")</f>
        <v>PENDENTE</v>
      </c>
      <c r="B739" s="1">
        <v>3476373</v>
      </c>
      <c r="C739" s="1" t="s">
        <v>26</v>
      </c>
      <c r="D739" s="2">
        <v>45819.394444444442</v>
      </c>
      <c r="E739" s="1" t="s">
        <v>2729</v>
      </c>
      <c r="F739" s="1" t="s">
        <v>2730</v>
      </c>
      <c r="G739" s="1" t="s">
        <v>2731</v>
      </c>
      <c r="H739" s="2">
        <v>45819.48333333333</v>
      </c>
      <c r="J739" s="1" t="s">
        <v>14</v>
      </c>
    </row>
    <row r="740" spans="1:10" hidden="1" x14ac:dyDescent="0.25">
      <c r="A740" s="1" t="str">
        <f>_xlfn.XLOOKUP(E740,Base!G:G,Base!C:C,"NOVO")</f>
        <v>PENDENTE</v>
      </c>
      <c r="B740" s="1">
        <v>3293511</v>
      </c>
      <c r="C740" s="1" t="s">
        <v>26</v>
      </c>
      <c r="D740" s="2">
        <v>45727.770833333336</v>
      </c>
      <c r="E740" s="1" t="s">
        <v>1501</v>
      </c>
      <c r="F740" s="1" t="s">
        <v>1501</v>
      </c>
      <c r="G740" s="1" t="s">
        <v>620</v>
      </c>
      <c r="H740" s="2">
        <v>45727.857638888891</v>
      </c>
      <c r="J740" s="1" t="s">
        <v>18</v>
      </c>
    </row>
    <row r="741" spans="1:10" hidden="1" x14ac:dyDescent="0.25">
      <c r="A741" s="1" t="str">
        <f>_xlfn.XLOOKUP(E741,Base!G:G,Base!C:C,"NOVO")</f>
        <v>PENDENTE</v>
      </c>
      <c r="B741" s="1">
        <v>3420655</v>
      </c>
      <c r="C741" s="1" t="s">
        <v>26</v>
      </c>
      <c r="D741" s="2">
        <v>45791.743750000001</v>
      </c>
      <c r="E741" s="1" t="s">
        <v>2449</v>
      </c>
      <c r="F741" s="1" t="s">
        <v>2449</v>
      </c>
      <c r="G741" s="1" t="s">
        <v>1761</v>
      </c>
      <c r="H741" s="2">
        <v>45791.724999999999</v>
      </c>
      <c r="I741" s="2">
        <v>45791.834722222222</v>
      </c>
      <c r="J741" s="1" t="s">
        <v>18</v>
      </c>
    </row>
    <row r="742" spans="1:10" hidden="1" x14ac:dyDescent="0.25">
      <c r="A742" s="1" t="str">
        <f>_xlfn.XLOOKUP(E742,Base!G:G,Base!C:C,"NOVO")</f>
        <v>PENDENTE</v>
      </c>
      <c r="B742" s="1">
        <v>3330819</v>
      </c>
      <c r="C742" s="1" t="s">
        <v>26</v>
      </c>
      <c r="D742" s="2">
        <v>45744.477777777778</v>
      </c>
      <c r="E742" s="1" t="s">
        <v>1798</v>
      </c>
      <c r="F742" s="1" t="s">
        <v>1798</v>
      </c>
      <c r="G742" s="1" t="s">
        <v>83</v>
      </c>
      <c r="H742" s="2">
        <v>45744.563194444447</v>
      </c>
      <c r="J742" s="1" t="s">
        <v>18</v>
      </c>
    </row>
    <row r="743" spans="1:10" hidden="1" x14ac:dyDescent="0.25">
      <c r="A743" s="1" t="str">
        <f>_xlfn.XLOOKUP(E743,Base!G:G,Base!C:C,"NOVO")</f>
        <v>PENDENTE</v>
      </c>
      <c r="B743" s="1">
        <v>3309043</v>
      </c>
      <c r="C743" s="1" t="s">
        <v>26</v>
      </c>
      <c r="D743" s="2">
        <v>45735.549305555556</v>
      </c>
      <c r="E743" s="1" t="s">
        <v>1799</v>
      </c>
      <c r="F743" s="1" t="s">
        <v>1799</v>
      </c>
      <c r="G743" s="1" t="s">
        <v>1054</v>
      </c>
      <c r="H743" s="2">
        <v>45734.788194444445</v>
      </c>
      <c r="I743" s="2">
        <v>45735.638194444444</v>
      </c>
      <c r="J743" s="1" t="s">
        <v>18</v>
      </c>
    </row>
    <row r="744" spans="1:10" hidden="1" x14ac:dyDescent="0.25">
      <c r="A744" s="1" t="str">
        <f>_xlfn.XLOOKUP(E744,Base!G:G,Base!C:C,"NOVO")</f>
        <v>PENDENTE</v>
      </c>
      <c r="B744" s="1">
        <v>3309563</v>
      </c>
      <c r="C744" s="1" t="s">
        <v>26</v>
      </c>
      <c r="D744" s="2">
        <v>45735.551388888889</v>
      </c>
      <c r="E744" s="1" t="s">
        <v>1800</v>
      </c>
      <c r="F744" s="1" t="s">
        <v>1800</v>
      </c>
      <c r="G744" s="1" t="s">
        <v>1054</v>
      </c>
      <c r="H744" s="2">
        <v>45734.84652777778</v>
      </c>
      <c r="I744" s="2">
        <v>45735.638888888891</v>
      </c>
      <c r="J744" s="1" t="s">
        <v>18</v>
      </c>
    </row>
    <row r="745" spans="1:10" hidden="1" x14ac:dyDescent="0.25">
      <c r="A745" s="1" t="str">
        <f>_xlfn.XLOOKUP(E745,Base!G:G,Base!C:C,"NOVO")</f>
        <v>PENDENTE</v>
      </c>
      <c r="B745" s="1">
        <v>3452476</v>
      </c>
      <c r="C745" s="1" t="s">
        <v>26</v>
      </c>
      <c r="D745" s="2">
        <v>45811.677777777775</v>
      </c>
      <c r="E745" s="1" t="s">
        <v>2562</v>
      </c>
      <c r="F745" s="1" t="s">
        <v>2562</v>
      </c>
      <c r="G745" s="1" t="s">
        <v>2563</v>
      </c>
      <c r="H745" s="2">
        <v>45807.432638888888</v>
      </c>
      <c r="I745" s="2">
        <v>45811.761805555558</v>
      </c>
      <c r="J745" s="1" t="s">
        <v>19</v>
      </c>
    </row>
    <row r="746" spans="1:10" hidden="1" x14ac:dyDescent="0.25">
      <c r="A746" s="1" t="str">
        <f>_xlfn.XLOOKUP(E746,Base!G:G,Base!C:C,"NOVO")</f>
        <v>PENDENTE</v>
      </c>
      <c r="B746" s="1">
        <v>3245976</v>
      </c>
      <c r="C746" s="1" t="s">
        <v>26</v>
      </c>
      <c r="D746" s="2">
        <v>45701.897916666669</v>
      </c>
      <c r="E746" s="1" t="s">
        <v>1149</v>
      </c>
      <c r="F746" s="1" t="s">
        <v>1149</v>
      </c>
      <c r="G746" s="1" t="s">
        <v>1083</v>
      </c>
      <c r="H746" s="2">
        <v>45702.03402777778</v>
      </c>
      <c r="J746" s="1" t="s">
        <v>18</v>
      </c>
    </row>
    <row r="747" spans="1:10" hidden="1" x14ac:dyDescent="0.25">
      <c r="A747" s="1" t="str">
        <f>_xlfn.XLOOKUP(E747,Base!G:G,Base!C:C,"NOVO")</f>
        <v>PENDENTE</v>
      </c>
      <c r="B747" s="1">
        <v>3338353</v>
      </c>
      <c r="C747" s="1" t="s">
        <v>26</v>
      </c>
      <c r="D747" s="2">
        <v>45749.599999999999</v>
      </c>
      <c r="E747" s="1" t="s">
        <v>1801</v>
      </c>
      <c r="F747" s="1" t="s">
        <v>1801</v>
      </c>
      <c r="G747" s="1" t="s">
        <v>83</v>
      </c>
      <c r="H747" s="2">
        <v>45748.84652777778</v>
      </c>
      <c r="I747" s="2">
        <v>45749.689583333333</v>
      </c>
      <c r="J747" s="1" t="s">
        <v>18</v>
      </c>
    </row>
    <row r="748" spans="1:10" hidden="1" x14ac:dyDescent="0.25">
      <c r="A748" s="1" t="str">
        <f>_xlfn.XLOOKUP(E748,Base!G:G,Base!C:C,"NOVO")</f>
        <v>PENDENTE</v>
      </c>
      <c r="B748" s="1">
        <v>3312693</v>
      </c>
      <c r="C748" s="1" t="s">
        <v>26</v>
      </c>
      <c r="D748" s="2">
        <v>45736.34375</v>
      </c>
      <c r="E748" s="1" t="s">
        <v>1802</v>
      </c>
      <c r="F748" s="1" t="s">
        <v>1802</v>
      </c>
      <c r="G748" s="1" t="s">
        <v>83</v>
      </c>
      <c r="H748" s="2">
        <v>45735.850694444445</v>
      </c>
      <c r="I748" s="2">
        <v>45736.430555555555</v>
      </c>
      <c r="J748" s="1" t="s">
        <v>18</v>
      </c>
    </row>
    <row r="749" spans="1:10" hidden="1" x14ac:dyDescent="0.25">
      <c r="A749" s="1" t="str">
        <f>_xlfn.XLOOKUP(E749,Base!G:G,Base!C:C,"NOVO")</f>
        <v>PENDENTE</v>
      </c>
      <c r="B749" s="1">
        <v>3447098</v>
      </c>
      <c r="C749" s="1" t="s">
        <v>26</v>
      </c>
      <c r="D749" s="2">
        <v>45804.768750000003</v>
      </c>
      <c r="E749" s="1" t="s">
        <v>2450</v>
      </c>
      <c r="F749" s="1" t="s">
        <v>2450</v>
      </c>
      <c r="G749" s="1" t="s">
        <v>83</v>
      </c>
      <c r="H749" s="2">
        <v>45804.857638888891</v>
      </c>
      <c r="J749" s="1" t="s">
        <v>18</v>
      </c>
    </row>
    <row r="750" spans="1:10" hidden="1" x14ac:dyDescent="0.25">
      <c r="A750" s="1" t="str">
        <f>_xlfn.XLOOKUP(E750,Base!G:G,Base!C:C,"NOVO")</f>
        <v>PENDENTE</v>
      </c>
      <c r="B750" s="1">
        <v>3359015</v>
      </c>
      <c r="C750" s="1" t="s">
        <v>26</v>
      </c>
      <c r="D750" s="2">
        <v>45757.686111111114</v>
      </c>
      <c r="E750" s="1" t="s">
        <v>2035</v>
      </c>
      <c r="F750" s="1" t="s">
        <v>2035</v>
      </c>
      <c r="G750" s="1" t="s">
        <v>620</v>
      </c>
      <c r="H750" s="2">
        <v>45757.773611111108</v>
      </c>
      <c r="J750" s="1" t="s">
        <v>18</v>
      </c>
    </row>
    <row r="751" spans="1:10" hidden="1" x14ac:dyDescent="0.25">
      <c r="A751" s="1" t="str">
        <f>_xlfn.XLOOKUP(E751,Base!G:G,Base!C:C,"NOVO")</f>
        <v>PENDENTE</v>
      </c>
      <c r="B751" s="1">
        <v>3285212</v>
      </c>
      <c r="C751" s="1" t="s">
        <v>26</v>
      </c>
      <c r="D751" s="2">
        <v>45723.411805555559</v>
      </c>
      <c r="E751" s="1" t="s">
        <v>1502</v>
      </c>
      <c r="F751" s="1" t="s">
        <v>1503</v>
      </c>
      <c r="G751" s="1" t="s">
        <v>64</v>
      </c>
      <c r="H751" s="2">
        <v>45723.544444444444</v>
      </c>
      <c r="J751" s="1" t="s">
        <v>1244</v>
      </c>
    </row>
    <row r="752" spans="1:10" hidden="1" x14ac:dyDescent="0.25">
      <c r="A752" s="1" t="str">
        <f>_xlfn.XLOOKUP(E752,Base!G:G,Base!C:C,"NOVO")</f>
        <v>PENDENTE</v>
      </c>
      <c r="B752" s="1">
        <v>3356315</v>
      </c>
      <c r="C752" s="1" t="s">
        <v>26</v>
      </c>
      <c r="D752" s="2">
        <v>45777.308333333334</v>
      </c>
      <c r="E752" s="1" t="s">
        <v>2036</v>
      </c>
      <c r="F752" s="1" t="s">
        <v>2037</v>
      </c>
      <c r="G752" s="1" t="s">
        <v>64</v>
      </c>
      <c r="H752" s="2">
        <v>45756.742361111108</v>
      </c>
      <c r="I752" s="2">
        <v>45777.397222222222</v>
      </c>
      <c r="J752" s="1" t="s">
        <v>1244</v>
      </c>
    </row>
    <row r="753" spans="1:10" hidden="1" x14ac:dyDescent="0.25">
      <c r="A753" s="1" t="str">
        <f>_xlfn.XLOOKUP(E753,Base!G:G,Base!C:C,"NOVO")</f>
        <v>PENDENTE</v>
      </c>
      <c r="B753" s="1">
        <v>3415297</v>
      </c>
      <c r="C753" s="1" t="s">
        <v>26</v>
      </c>
      <c r="D753" s="2">
        <v>45789.681944444441</v>
      </c>
      <c r="E753" s="1" t="s">
        <v>2324</v>
      </c>
      <c r="F753" s="1" t="s">
        <v>2324</v>
      </c>
      <c r="G753" s="1" t="s">
        <v>620</v>
      </c>
      <c r="H753" s="2">
        <v>45789.772916666669</v>
      </c>
      <c r="J753" s="1" t="s">
        <v>18</v>
      </c>
    </row>
    <row r="754" spans="1:10" hidden="1" x14ac:dyDescent="0.25">
      <c r="A754" s="1" t="str">
        <f>_xlfn.XLOOKUP(E754,Base!G:G,Base!C:C,"NOVO")</f>
        <v>PENDENTE</v>
      </c>
      <c r="B754" s="1">
        <v>3383758</v>
      </c>
      <c r="C754" s="1" t="s">
        <v>26</v>
      </c>
      <c r="D754" s="2">
        <v>45772.506249999999</v>
      </c>
      <c r="E754" s="1" t="s">
        <v>2038</v>
      </c>
      <c r="F754" s="1" t="s">
        <v>2039</v>
      </c>
      <c r="G754" s="1" t="s">
        <v>2040</v>
      </c>
      <c r="H754" s="2">
        <v>45772.566666666666</v>
      </c>
      <c r="I754" s="2">
        <v>45772.597916666666</v>
      </c>
      <c r="J754" s="1" t="s">
        <v>19</v>
      </c>
    </row>
    <row r="755" spans="1:10" hidden="1" x14ac:dyDescent="0.25">
      <c r="A755" s="1" t="str">
        <f>_xlfn.XLOOKUP(E755,Base!G:G,Base!C:C,"NOVO")</f>
        <v>PENDENTE</v>
      </c>
      <c r="B755" s="1">
        <v>3367149</v>
      </c>
      <c r="C755" s="1" t="s">
        <v>26</v>
      </c>
      <c r="D755" s="2">
        <v>45763.375694444447</v>
      </c>
      <c r="E755" s="1" t="s">
        <v>2041</v>
      </c>
      <c r="F755" s="1" t="s">
        <v>2041</v>
      </c>
      <c r="G755" s="1" t="s">
        <v>1761</v>
      </c>
      <c r="H755" s="2">
        <v>45762.712500000001</v>
      </c>
      <c r="I755" s="2">
        <v>45763.461805555555</v>
      </c>
      <c r="J755" s="1" t="s">
        <v>18</v>
      </c>
    </row>
    <row r="756" spans="1:10" hidden="1" x14ac:dyDescent="0.25">
      <c r="A756" s="1" t="str">
        <f>_xlfn.XLOOKUP(E756,Base!G:G,Base!C:C,"NOVO")</f>
        <v>PENDENTE</v>
      </c>
      <c r="B756" s="1">
        <v>3251413</v>
      </c>
      <c r="C756" s="1" t="s">
        <v>26</v>
      </c>
      <c r="D756" s="2">
        <v>45706.319444444445</v>
      </c>
      <c r="E756" s="1" t="s">
        <v>1150</v>
      </c>
      <c r="F756" s="1" t="s">
        <v>1150</v>
      </c>
      <c r="G756" s="1" t="s">
        <v>829</v>
      </c>
      <c r="H756" s="2">
        <v>45705.898611111108</v>
      </c>
      <c r="I756" s="2">
        <v>45706.450694444444</v>
      </c>
      <c r="J756" s="1" t="s">
        <v>18</v>
      </c>
    </row>
    <row r="757" spans="1:10" hidden="1" x14ac:dyDescent="0.25">
      <c r="A757" s="1" t="str">
        <f>_xlfn.XLOOKUP(E757,Base!G:G,Base!C:C,"NOVO")</f>
        <v>PENDENTE</v>
      </c>
      <c r="B757" s="1">
        <v>3382261</v>
      </c>
      <c r="C757" s="1" t="s">
        <v>26</v>
      </c>
      <c r="D757" s="2">
        <v>45771.7</v>
      </c>
      <c r="E757" s="1" t="s">
        <v>2042</v>
      </c>
      <c r="F757" s="1" t="s">
        <v>2042</v>
      </c>
      <c r="G757" s="1" t="s">
        <v>652</v>
      </c>
      <c r="H757" s="2">
        <v>45771.796527777777</v>
      </c>
      <c r="J757" s="1" t="s">
        <v>18</v>
      </c>
    </row>
    <row r="758" spans="1:10" hidden="1" x14ac:dyDescent="0.25">
      <c r="A758" s="1" t="str">
        <f>_xlfn.XLOOKUP(E758,Base!G:G,Base!C:C,"NOVO")</f>
        <v>PENDENTE</v>
      </c>
      <c r="B758" s="1">
        <v>3251407</v>
      </c>
      <c r="C758" s="1" t="s">
        <v>26</v>
      </c>
      <c r="D758" s="2">
        <v>45706.318749999999</v>
      </c>
      <c r="E758" s="1" t="s">
        <v>1151</v>
      </c>
      <c r="F758" s="1" t="s">
        <v>1151</v>
      </c>
      <c r="G758" s="1" t="s">
        <v>829</v>
      </c>
      <c r="H758" s="2">
        <v>45705.898611111108</v>
      </c>
      <c r="I758" s="2">
        <v>45706.450694444444</v>
      </c>
      <c r="J758" s="1" t="s">
        <v>18</v>
      </c>
    </row>
    <row r="759" spans="1:10" hidden="1" x14ac:dyDescent="0.25">
      <c r="A759" s="1" t="str">
        <f>_xlfn.XLOOKUP(E759,Base!G:G,Base!C:C,"NOVO")</f>
        <v>PENDENTE</v>
      </c>
      <c r="B759" s="1">
        <v>3280907</v>
      </c>
      <c r="C759" s="1" t="s">
        <v>26</v>
      </c>
      <c r="D759" s="2">
        <v>45721.525000000001</v>
      </c>
      <c r="E759" s="1" t="s">
        <v>1306</v>
      </c>
      <c r="F759" s="1" t="s">
        <v>1306</v>
      </c>
      <c r="G759" s="1" t="s">
        <v>1060</v>
      </c>
      <c r="H759" s="2">
        <v>45721.661111111112</v>
      </c>
      <c r="J759" s="1" t="s">
        <v>18</v>
      </c>
    </row>
    <row r="760" spans="1:10" hidden="1" x14ac:dyDescent="0.25">
      <c r="A760" s="1" t="str">
        <f>_xlfn.XLOOKUP(E760,Base!G:G,Base!C:C,"NOVO")</f>
        <v>PENDENTE</v>
      </c>
      <c r="B760" s="1">
        <v>3250280</v>
      </c>
      <c r="C760" s="1" t="s">
        <v>26</v>
      </c>
      <c r="D760" s="2">
        <v>45709.395138888889</v>
      </c>
      <c r="E760" s="1" t="s">
        <v>1153</v>
      </c>
      <c r="F760" s="1" t="s">
        <v>1153</v>
      </c>
      <c r="G760" s="1" t="s">
        <v>652</v>
      </c>
      <c r="H760" s="2">
        <v>45705.63958333333</v>
      </c>
      <c r="I760" s="2">
        <v>45709.522222222222</v>
      </c>
      <c r="J760" s="1" t="s">
        <v>18</v>
      </c>
    </row>
    <row r="761" spans="1:10" hidden="1" x14ac:dyDescent="0.25">
      <c r="A761" s="1" t="str">
        <f>_xlfn.XLOOKUP(E761,Base!G:G,Base!C:C,"NOVO")</f>
        <v>PENDENTE</v>
      </c>
      <c r="B761" s="1">
        <v>3444821</v>
      </c>
      <c r="C761" s="1" t="s">
        <v>26</v>
      </c>
      <c r="D761" s="2">
        <v>45804.336111111108</v>
      </c>
      <c r="E761" s="1" t="s">
        <v>2451</v>
      </c>
      <c r="F761" s="1" t="s">
        <v>2451</v>
      </c>
      <c r="G761" s="1" t="s">
        <v>620</v>
      </c>
      <c r="H761" s="2">
        <v>45804.429166666669</v>
      </c>
      <c r="J761" s="1" t="s">
        <v>18</v>
      </c>
    </row>
    <row r="762" spans="1:10" hidden="1" x14ac:dyDescent="0.25">
      <c r="A762" s="1" t="str">
        <f>_xlfn.XLOOKUP(E762,Base!G:G,Base!C:C,"NOVO")</f>
        <v>PENDENTE</v>
      </c>
      <c r="B762" s="1">
        <v>3281289</v>
      </c>
      <c r="C762" s="1" t="s">
        <v>26</v>
      </c>
      <c r="D762" s="2">
        <v>45721.724305555559</v>
      </c>
      <c r="E762" s="1" t="s">
        <v>1307</v>
      </c>
      <c r="F762" s="1" t="s">
        <v>1307</v>
      </c>
      <c r="G762" s="1" t="s">
        <v>1060</v>
      </c>
      <c r="H762" s="2">
        <v>45721.79791666667</v>
      </c>
      <c r="I762" s="2">
        <v>45721.856249999997</v>
      </c>
      <c r="J762" s="1" t="s">
        <v>18</v>
      </c>
    </row>
    <row r="763" spans="1:10" hidden="1" x14ac:dyDescent="0.25">
      <c r="A763" s="1" t="str">
        <f>_xlfn.XLOOKUP(E763,Base!G:G,Base!C:C,"NOVO")</f>
        <v>PENDENTE</v>
      </c>
      <c r="B763" s="1">
        <v>3246780</v>
      </c>
      <c r="C763" s="1" t="s">
        <v>26</v>
      </c>
      <c r="D763" s="2">
        <v>45702.397222222222</v>
      </c>
      <c r="E763" s="1" t="s">
        <v>1154</v>
      </c>
      <c r="F763" s="1" t="s">
        <v>1155</v>
      </c>
      <c r="G763" s="1" t="s">
        <v>64</v>
      </c>
      <c r="H763" s="2">
        <v>45702.513194444444</v>
      </c>
      <c r="I763" s="2">
        <v>45702.523611111108</v>
      </c>
      <c r="J763" s="1" t="s">
        <v>1244</v>
      </c>
    </row>
    <row r="764" spans="1:10" hidden="1" x14ac:dyDescent="0.25">
      <c r="A764" s="1" t="str">
        <f>_xlfn.XLOOKUP(E764,Base!G:G,Base!C:C,"NOVO")</f>
        <v>PENDENTE</v>
      </c>
      <c r="B764" s="1">
        <v>3325118</v>
      </c>
      <c r="C764" s="1" t="s">
        <v>26</v>
      </c>
      <c r="D764" s="2">
        <v>45742.397916666669</v>
      </c>
      <c r="E764" s="1" t="s">
        <v>1804</v>
      </c>
      <c r="F764" s="1" t="s">
        <v>1804</v>
      </c>
      <c r="G764" s="1" t="s">
        <v>83</v>
      </c>
      <c r="H764" s="2">
        <v>45742.492361111108</v>
      </c>
      <c r="J764" s="1" t="s">
        <v>18</v>
      </c>
    </row>
    <row r="765" spans="1:10" hidden="1" x14ac:dyDescent="0.25">
      <c r="A765" s="1" t="str">
        <f>_xlfn.XLOOKUP(E765,Base!G:G,Base!C:C,"NOVO")</f>
        <v>PENDENTE</v>
      </c>
      <c r="B765" s="1">
        <v>3309057</v>
      </c>
      <c r="C765" s="1" t="s">
        <v>26</v>
      </c>
      <c r="D765" s="2">
        <v>45735.550694444442</v>
      </c>
      <c r="E765" s="1" t="s">
        <v>1805</v>
      </c>
      <c r="F765" s="1" t="s">
        <v>1805</v>
      </c>
      <c r="G765" s="1" t="s">
        <v>1054</v>
      </c>
      <c r="H765" s="2">
        <v>45734.789583333331</v>
      </c>
      <c r="I765" s="2">
        <v>45735.638194444444</v>
      </c>
      <c r="J765" s="1" t="s">
        <v>18</v>
      </c>
    </row>
    <row r="766" spans="1:10" hidden="1" x14ac:dyDescent="0.25">
      <c r="A766" s="1" t="str">
        <f>_xlfn.XLOOKUP(E766,Base!G:G,Base!C:C,"NOVO")</f>
        <v>PENDENTE</v>
      </c>
      <c r="B766" s="1">
        <v>3309026</v>
      </c>
      <c r="C766" s="1" t="s">
        <v>26</v>
      </c>
      <c r="D766" s="2">
        <v>45735.489583333336</v>
      </c>
      <c r="E766" s="1" t="s">
        <v>1806</v>
      </c>
      <c r="F766" s="1" t="s">
        <v>1806</v>
      </c>
      <c r="G766" s="1" t="s">
        <v>1054</v>
      </c>
      <c r="H766" s="2">
        <v>45734.786805555559</v>
      </c>
      <c r="I766" s="2">
        <v>45735.575694444444</v>
      </c>
      <c r="J766" s="1" t="s">
        <v>18</v>
      </c>
    </row>
    <row r="767" spans="1:10" hidden="1" x14ac:dyDescent="0.25">
      <c r="A767" s="1" t="str">
        <f>_xlfn.XLOOKUP(E767,Base!G:G,Base!C:C,"NOVO")</f>
        <v>PENDENTE</v>
      </c>
      <c r="B767" s="1">
        <v>3240691</v>
      </c>
      <c r="C767" s="1" t="s">
        <v>26</v>
      </c>
      <c r="D767" s="2">
        <v>45702.590277777781</v>
      </c>
      <c r="E767" s="1" t="s">
        <v>1156</v>
      </c>
      <c r="F767" s="1" t="s">
        <v>1156</v>
      </c>
      <c r="G767" s="1" t="s">
        <v>83</v>
      </c>
      <c r="H767" s="2">
        <v>45699.871527777781</v>
      </c>
      <c r="I767" s="2">
        <v>45702.72152777778</v>
      </c>
      <c r="J767" s="1" t="s">
        <v>18</v>
      </c>
    </row>
    <row r="768" spans="1:10" hidden="1" x14ac:dyDescent="0.25">
      <c r="A768" s="1" t="str">
        <f>_xlfn.XLOOKUP(E768,Base!G:G,Base!C:C,"NOVO")</f>
        <v>PENDENTE</v>
      </c>
      <c r="B768" s="1">
        <v>3305243</v>
      </c>
      <c r="C768" s="1" t="s">
        <v>26</v>
      </c>
      <c r="D768" s="2">
        <v>45733.645833333336</v>
      </c>
      <c r="E768" s="1" t="s">
        <v>1504</v>
      </c>
      <c r="F768" s="1" t="s">
        <v>1504</v>
      </c>
      <c r="G768" s="1" t="s">
        <v>396</v>
      </c>
      <c r="H768" s="2">
        <v>45733.738194444442</v>
      </c>
      <c r="J768" s="1" t="s">
        <v>18</v>
      </c>
    </row>
    <row r="769" spans="1:10" hidden="1" x14ac:dyDescent="0.25">
      <c r="A769" s="1" t="str">
        <f>_xlfn.XLOOKUP(E769,Base!G:G,Base!C:C,"NOVO")</f>
        <v>PENDENTE</v>
      </c>
      <c r="B769" s="1">
        <v>3432605</v>
      </c>
      <c r="C769" s="1" t="s">
        <v>26</v>
      </c>
      <c r="D769" s="2">
        <v>45797.761111111111</v>
      </c>
      <c r="E769" s="1" t="s">
        <v>2452</v>
      </c>
      <c r="F769" s="1" t="s">
        <v>2452</v>
      </c>
      <c r="G769" s="1" t="s">
        <v>707</v>
      </c>
      <c r="H769" s="2">
        <v>45797.84652777778</v>
      </c>
      <c r="J769" s="1" t="s">
        <v>18</v>
      </c>
    </row>
    <row r="770" spans="1:10" hidden="1" x14ac:dyDescent="0.25">
      <c r="A770" s="1" t="str">
        <f>_xlfn.XLOOKUP(E770,Base!G:G,Base!C:C,"NOVO")</f>
        <v>PENDENTE</v>
      </c>
      <c r="B770" s="1">
        <v>3293463</v>
      </c>
      <c r="C770" s="1" t="s">
        <v>26</v>
      </c>
      <c r="D770" s="2">
        <v>45727.718055555553</v>
      </c>
      <c r="E770" s="1" t="s">
        <v>1505</v>
      </c>
      <c r="F770" s="1" t="s">
        <v>1506</v>
      </c>
      <c r="G770" s="1" t="s">
        <v>64</v>
      </c>
      <c r="H770" s="2">
        <v>45727.803472222222</v>
      </c>
      <c r="J770" s="1" t="s">
        <v>1244</v>
      </c>
    </row>
    <row r="771" spans="1:10" hidden="1" x14ac:dyDescent="0.25">
      <c r="A771" s="1" t="str">
        <f>_xlfn.XLOOKUP(E771,Base!G:G,Base!C:C,"NOVO")</f>
        <v>PENDENTE</v>
      </c>
      <c r="B771" s="1">
        <v>3346220</v>
      </c>
      <c r="C771" s="1" t="s">
        <v>26</v>
      </c>
      <c r="D771" s="2">
        <v>45750.75277777778</v>
      </c>
      <c r="E771" s="1" t="s">
        <v>1807</v>
      </c>
      <c r="F771" s="1" t="s">
        <v>1807</v>
      </c>
      <c r="G771" s="1" t="s">
        <v>707</v>
      </c>
      <c r="H771" s="2">
        <v>45750.845138888886</v>
      </c>
      <c r="J771" s="1" t="s">
        <v>18</v>
      </c>
    </row>
    <row r="772" spans="1:10" hidden="1" x14ac:dyDescent="0.25">
      <c r="A772" s="1" t="str">
        <f>_xlfn.XLOOKUP(E772,Base!G:G,Base!C:C,"NOVO")</f>
        <v>PENDENTE</v>
      </c>
      <c r="B772" s="1">
        <v>3246476</v>
      </c>
      <c r="C772" s="1" t="s">
        <v>26</v>
      </c>
      <c r="D772" s="2">
        <v>45702.396527777775</v>
      </c>
      <c r="E772" s="1" t="s">
        <v>1157</v>
      </c>
      <c r="F772" s="1" t="s">
        <v>1158</v>
      </c>
      <c r="G772" s="1" t="s">
        <v>64</v>
      </c>
      <c r="H772" s="2">
        <v>45702.462500000001</v>
      </c>
      <c r="I772" s="2">
        <v>45702.522916666669</v>
      </c>
      <c r="J772" s="1" t="s">
        <v>1244</v>
      </c>
    </row>
    <row r="773" spans="1:10" hidden="1" x14ac:dyDescent="0.25">
      <c r="A773" s="1" t="str">
        <f>_xlfn.XLOOKUP(E773,Base!G:G,Base!C:C,"NOVO")</f>
        <v>PENDENTE</v>
      </c>
      <c r="B773" s="1">
        <v>3296191</v>
      </c>
      <c r="C773" s="1" t="s">
        <v>26</v>
      </c>
      <c r="D773" s="2">
        <v>45729.633333333331</v>
      </c>
      <c r="E773" s="1" t="s">
        <v>1507</v>
      </c>
      <c r="F773" s="1" t="s">
        <v>1507</v>
      </c>
      <c r="G773" s="1" t="s">
        <v>1189</v>
      </c>
      <c r="H773" s="2">
        <v>45728.84375</v>
      </c>
      <c r="I773" s="2">
        <v>45729.72152777778</v>
      </c>
      <c r="J773" s="1" t="s">
        <v>18</v>
      </c>
    </row>
    <row r="774" spans="1:10" hidden="1" x14ac:dyDescent="0.25">
      <c r="A774" s="1" t="str">
        <f>_xlfn.XLOOKUP(E774,Base!G:G,Base!C:C,"NOVO")</f>
        <v>PENDENTE</v>
      </c>
      <c r="B774" s="1">
        <v>3305939</v>
      </c>
      <c r="C774" s="1" t="s">
        <v>26</v>
      </c>
      <c r="D774" s="2">
        <v>45733.729861111111</v>
      </c>
      <c r="E774" s="1" t="s">
        <v>1508</v>
      </c>
      <c r="F774" s="1" t="s">
        <v>1508</v>
      </c>
      <c r="G774" s="1" t="s">
        <v>83</v>
      </c>
      <c r="H774" s="2">
        <v>45733.817361111112</v>
      </c>
      <c r="J774" s="1" t="s">
        <v>18</v>
      </c>
    </row>
    <row r="775" spans="1:10" hidden="1" x14ac:dyDescent="0.25">
      <c r="A775" s="1" t="str">
        <f>_xlfn.XLOOKUP(E775,Base!G:G,Base!C:C,"NOVO")</f>
        <v>PENDENTE</v>
      </c>
      <c r="B775" s="1">
        <v>3301059</v>
      </c>
      <c r="C775" s="1" t="s">
        <v>26</v>
      </c>
      <c r="D775" s="2">
        <v>45733.436805555553</v>
      </c>
      <c r="E775" s="1" t="s">
        <v>1509</v>
      </c>
      <c r="F775" s="1" t="s">
        <v>1509</v>
      </c>
      <c r="G775" s="1" t="s">
        <v>1060</v>
      </c>
      <c r="H775" s="2">
        <v>45730.565972222219</v>
      </c>
      <c r="I775" s="2">
        <v>45733.523611111108</v>
      </c>
      <c r="J775" s="1" t="s">
        <v>18</v>
      </c>
    </row>
    <row r="776" spans="1:10" hidden="1" x14ac:dyDescent="0.25">
      <c r="A776" s="1" t="str">
        <f>_xlfn.XLOOKUP(E776,Base!G:G,Base!C:C,"NOVO")</f>
        <v>PENDENTE</v>
      </c>
      <c r="B776" s="1">
        <v>3293549</v>
      </c>
      <c r="C776" s="1" t="s">
        <v>26</v>
      </c>
      <c r="D776" s="2">
        <v>45727.770833333336</v>
      </c>
      <c r="E776" s="1" t="s">
        <v>1510</v>
      </c>
      <c r="F776" s="1" t="s">
        <v>1510</v>
      </c>
      <c r="G776" s="1" t="s">
        <v>83</v>
      </c>
      <c r="H776" s="2">
        <v>45727.86041666667</v>
      </c>
      <c r="J776" s="1" t="s">
        <v>18</v>
      </c>
    </row>
    <row r="777" spans="1:10" hidden="1" x14ac:dyDescent="0.25">
      <c r="A777" s="1" t="str">
        <f>_xlfn.XLOOKUP(E777,Base!G:G,Base!C:C,"NOVO")</f>
        <v>PENDENTE</v>
      </c>
      <c r="B777" s="1">
        <v>3287116</v>
      </c>
      <c r="C777" s="1" t="s">
        <v>26</v>
      </c>
      <c r="D777" s="2">
        <v>45727.38958333333</v>
      </c>
      <c r="E777" s="1" t="s">
        <v>1511</v>
      </c>
      <c r="F777" s="1" t="s">
        <v>1511</v>
      </c>
      <c r="G777" s="1" t="s">
        <v>1189</v>
      </c>
      <c r="H777" s="2">
        <v>45723.870138888888</v>
      </c>
      <c r="I777" s="2">
        <v>45727.474999999999</v>
      </c>
      <c r="J777" s="1" t="s">
        <v>18</v>
      </c>
    </row>
    <row r="778" spans="1:10" hidden="1" x14ac:dyDescent="0.25">
      <c r="A778" s="1" t="str">
        <f>_xlfn.XLOOKUP(E778,Base!G:G,Base!C:C,"NOVO")</f>
        <v>PENDENTE</v>
      </c>
      <c r="B778" s="1">
        <v>3291655</v>
      </c>
      <c r="C778" s="1" t="s">
        <v>26</v>
      </c>
      <c r="D778" s="2">
        <v>45727.386805555558</v>
      </c>
      <c r="E778" s="1" t="s">
        <v>1512</v>
      </c>
      <c r="F778" s="1" t="s">
        <v>1512</v>
      </c>
      <c r="G778" s="1" t="s">
        <v>1215</v>
      </c>
      <c r="H778" s="2">
        <v>45727.480555555558</v>
      </c>
      <c r="J778" s="1" t="s">
        <v>18</v>
      </c>
    </row>
    <row r="779" spans="1:10" hidden="1" x14ac:dyDescent="0.25">
      <c r="A779" s="1" t="str">
        <f>_xlfn.XLOOKUP(E779,Base!G:G,Base!C:C,"NOVO")</f>
        <v>PENDENTE</v>
      </c>
      <c r="B779" s="1">
        <v>3287137</v>
      </c>
      <c r="C779" s="1" t="s">
        <v>26</v>
      </c>
      <c r="D779" s="2">
        <v>45723.736805555556</v>
      </c>
      <c r="E779" s="1" t="s">
        <v>1513</v>
      </c>
      <c r="F779" s="1" t="s">
        <v>1513</v>
      </c>
      <c r="G779" s="1" t="s">
        <v>396</v>
      </c>
      <c r="H779" s="2">
        <v>45723.871527777781</v>
      </c>
      <c r="J779" s="1" t="s">
        <v>18</v>
      </c>
    </row>
    <row r="780" spans="1:10" hidden="1" x14ac:dyDescent="0.25">
      <c r="A780" s="1" t="str">
        <f>_xlfn.XLOOKUP(E780,Base!G:G,Base!C:C,"NOVO")</f>
        <v>PENDENTE</v>
      </c>
      <c r="B780" s="1">
        <v>3288566</v>
      </c>
      <c r="C780" s="1" t="s">
        <v>26</v>
      </c>
      <c r="D780" s="2">
        <v>45726.429166666669</v>
      </c>
      <c r="E780" s="1" t="s">
        <v>1514</v>
      </c>
      <c r="F780" s="1" t="s">
        <v>1514</v>
      </c>
      <c r="G780" s="1" t="s">
        <v>1215</v>
      </c>
      <c r="H780" s="2">
        <v>45726.522916666669</v>
      </c>
      <c r="J780" s="1" t="s">
        <v>18</v>
      </c>
    </row>
    <row r="781" spans="1:10" hidden="1" x14ac:dyDescent="0.25">
      <c r="A781" s="1" t="str">
        <f>_xlfn.XLOOKUP(E781,Base!G:G,Base!C:C,"NOVO")</f>
        <v>PENDENTE</v>
      </c>
      <c r="B781" s="1">
        <v>3288567</v>
      </c>
      <c r="C781" s="1" t="s">
        <v>26</v>
      </c>
      <c r="D781" s="2">
        <v>45726.429166666669</v>
      </c>
      <c r="E781" s="1" t="s">
        <v>1515</v>
      </c>
      <c r="F781" s="1" t="s">
        <v>1514</v>
      </c>
      <c r="G781" s="1" t="s">
        <v>1216</v>
      </c>
      <c r="H781" s="2">
        <v>45726.522916666669</v>
      </c>
      <c r="J781" s="1" t="s">
        <v>18</v>
      </c>
    </row>
    <row r="782" spans="1:10" hidden="1" x14ac:dyDescent="0.25">
      <c r="A782" s="1" t="str">
        <f>_xlfn.XLOOKUP(E782,Base!G:G,Base!C:C,"NOVO")</f>
        <v>PENDENTE</v>
      </c>
      <c r="B782" s="1">
        <v>3323892</v>
      </c>
      <c r="C782" s="1" t="s">
        <v>26</v>
      </c>
      <c r="D782" s="2">
        <v>45742.40347222222</v>
      </c>
      <c r="E782" s="1" t="s">
        <v>1808</v>
      </c>
      <c r="F782" s="1" t="s">
        <v>1808</v>
      </c>
      <c r="G782" s="1" t="s">
        <v>410</v>
      </c>
      <c r="H782" s="2">
        <v>45741.84652777778</v>
      </c>
      <c r="I782" s="2">
        <v>45742.493750000001</v>
      </c>
      <c r="J782" s="1" t="s">
        <v>18</v>
      </c>
    </row>
    <row r="783" spans="1:10" hidden="1" x14ac:dyDescent="0.25">
      <c r="A783" s="1" t="str">
        <f>_xlfn.XLOOKUP(E783,Base!G:G,Base!C:C,"NOVO")</f>
        <v>PENDENTE</v>
      </c>
      <c r="B783" s="1">
        <v>3413072</v>
      </c>
      <c r="C783" s="1" t="s">
        <v>26</v>
      </c>
      <c r="D783" s="2">
        <v>45786.754166666666</v>
      </c>
      <c r="E783" s="1" t="s">
        <v>2325</v>
      </c>
      <c r="F783" s="1" t="s">
        <v>2325</v>
      </c>
      <c r="G783" s="1" t="s">
        <v>169</v>
      </c>
      <c r="H783" s="2">
        <v>45786.845833333333</v>
      </c>
      <c r="J783" s="1" t="s">
        <v>18</v>
      </c>
    </row>
    <row r="784" spans="1:10" hidden="1" x14ac:dyDescent="0.25">
      <c r="A784" s="1" t="str">
        <f>_xlfn.XLOOKUP(E784,Base!G:G,Base!C:C,"NOVO")</f>
        <v>PENDENTE</v>
      </c>
      <c r="B784" s="1">
        <v>3324901</v>
      </c>
      <c r="C784" s="1" t="s">
        <v>26</v>
      </c>
      <c r="D784" s="2">
        <v>45742.322916666664</v>
      </c>
      <c r="E784" s="1" t="s">
        <v>1809</v>
      </c>
      <c r="F784" s="1" t="s">
        <v>1810</v>
      </c>
      <c r="G784" s="1" t="s">
        <v>64</v>
      </c>
      <c r="H784" s="2">
        <v>45742.407638888886</v>
      </c>
      <c r="J784" s="1" t="s">
        <v>1244</v>
      </c>
    </row>
    <row r="785" spans="1:10" hidden="1" x14ac:dyDescent="0.25">
      <c r="A785" s="1" t="str">
        <f>_xlfn.XLOOKUP(E785,Base!G:G,Base!C:C,"NOVO")</f>
        <v>PENDENTE</v>
      </c>
      <c r="B785" s="1">
        <v>3240668</v>
      </c>
      <c r="C785" s="1" t="s">
        <v>26</v>
      </c>
      <c r="D785" s="2">
        <v>45699.737500000003</v>
      </c>
      <c r="E785" s="1" t="s">
        <v>1159</v>
      </c>
      <c r="F785" s="1" t="s">
        <v>1159</v>
      </c>
      <c r="G785" s="1" t="s">
        <v>620</v>
      </c>
      <c r="H785" s="2">
        <v>45699.868750000001</v>
      </c>
      <c r="J785" s="1" t="s">
        <v>18</v>
      </c>
    </row>
    <row r="786" spans="1:10" x14ac:dyDescent="0.25">
      <c r="A786" s="1" t="str">
        <f>_xlfn.XLOOKUP(E786,Base!G:G,Base!C:C,"NOVO")</f>
        <v>PENDENTE</v>
      </c>
      <c r="B786" s="1">
        <v>3469509</v>
      </c>
      <c r="C786" s="1" t="s">
        <v>26</v>
      </c>
      <c r="D786" s="2">
        <v>45814.663888888892</v>
      </c>
      <c r="E786" s="1" t="s">
        <v>2732</v>
      </c>
      <c r="F786" s="1" t="s">
        <v>2732</v>
      </c>
      <c r="G786" s="1" t="s">
        <v>620</v>
      </c>
      <c r="H786" s="2">
        <v>45814.751388888886</v>
      </c>
      <c r="J786" s="1" t="s">
        <v>18</v>
      </c>
    </row>
    <row r="787" spans="1:10" hidden="1" x14ac:dyDescent="0.25">
      <c r="A787" s="1" t="str">
        <f>_xlfn.XLOOKUP(E787,Base!G:G,Base!C:C,"NOVO")</f>
        <v>PENDENTE</v>
      </c>
      <c r="B787" s="1">
        <v>3377870</v>
      </c>
      <c r="C787" s="1" t="s">
        <v>26</v>
      </c>
      <c r="D787" s="2">
        <v>45770.349305555559</v>
      </c>
      <c r="E787" s="1" t="s">
        <v>2043</v>
      </c>
      <c r="F787" s="1" t="s">
        <v>2043</v>
      </c>
      <c r="G787" s="1" t="s">
        <v>83</v>
      </c>
      <c r="H787" s="2">
        <v>45770.44027777778</v>
      </c>
      <c r="J787" s="1" t="s">
        <v>18</v>
      </c>
    </row>
    <row r="788" spans="1:10" hidden="1" x14ac:dyDescent="0.25">
      <c r="A788" s="1" t="str">
        <f>_xlfn.XLOOKUP(E788,Base!G:G,Base!C:C,"NOVO")</f>
        <v>PENDENTE</v>
      </c>
      <c r="B788" s="1">
        <v>3408579</v>
      </c>
      <c r="C788" s="1" t="s">
        <v>26</v>
      </c>
      <c r="D788" s="2">
        <v>45785.45416666667</v>
      </c>
      <c r="E788" s="1" t="s">
        <v>2242</v>
      </c>
      <c r="F788" s="1" t="s">
        <v>2242</v>
      </c>
      <c r="G788" s="1" t="s">
        <v>620</v>
      </c>
      <c r="H788" s="2">
        <v>45785.544444444444</v>
      </c>
      <c r="J788" s="1" t="s">
        <v>18</v>
      </c>
    </row>
    <row r="789" spans="1:10" hidden="1" x14ac:dyDescent="0.25">
      <c r="A789" s="1" t="str">
        <f>_xlfn.XLOOKUP(E789,Base!G:G,Base!C:C,"NOVO")</f>
        <v>PENDENTE</v>
      </c>
      <c r="B789" s="1">
        <v>3351376</v>
      </c>
      <c r="C789" s="1" t="s">
        <v>26</v>
      </c>
      <c r="D789" s="2">
        <v>45754.696527777778</v>
      </c>
      <c r="E789" s="1" t="s">
        <v>1811</v>
      </c>
      <c r="F789" s="1" t="s">
        <v>1811</v>
      </c>
      <c r="G789" s="1" t="s">
        <v>396</v>
      </c>
      <c r="H789" s="2">
        <v>45754.786111111112</v>
      </c>
      <c r="J789" s="1" t="s">
        <v>18</v>
      </c>
    </row>
    <row r="790" spans="1:10" hidden="1" x14ac:dyDescent="0.25">
      <c r="A790" s="1" t="str">
        <f>_xlfn.XLOOKUP(E790,Base!G:G,Base!C:C,"NOVO")</f>
        <v>PENDENTE</v>
      </c>
      <c r="B790" s="1">
        <v>3448504</v>
      </c>
      <c r="C790" s="1" t="s">
        <v>26</v>
      </c>
      <c r="D790" s="2">
        <v>45805.581944444442</v>
      </c>
      <c r="E790" s="1" t="s">
        <v>2453</v>
      </c>
      <c r="F790" s="1" t="s">
        <v>2454</v>
      </c>
      <c r="G790" s="1" t="s">
        <v>64</v>
      </c>
      <c r="H790" s="2">
        <v>45805.668055555558</v>
      </c>
      <c r="J790" s="1" t="s">
        <v>1244</v>
      </c>
    </row>
    <row r="791" spans="1:10" hidden="1" x14ac:dyDescent="0.25">
      <c r="A791" s="1" t="str">
        <f>_xlfn.XLOOKUP(E791,Base!G:G,Base!C:C,"NOVO")</f>
        <v>PENDENTE</v>
      </c>
      <c r="B791" s="1">
        <v>3240666</v>
      </c>
      <c r="C791" s="1" t="s">
        <v>26</v>
      </c>
      <c r="D791" s="2">
        <v>45699.737500000003</v>
      </c>
      <c r="E791" s="1" t="s">
        <v>1160</v>
      </c>
      <c r="F791" s="1" t="s">
        <v>1160</v>
      </c>
      <c r="G791" s="1" t="s">
        <v>620</v>
      </c>
      <c r="H791" s="2">
        <v>45699.868750000001</v>
      </c>
      <c r="J791" s="1" t="s">
        <v>18</v>
      </c>
    </row>
    <row r="792" spans="1:10" hidden="1" x14ac:dyDescent="0.25">
      <c r="A792" s="1" t="str">
        <f>_xlfn.XLOOKUP(E792,Base!G:G,Base!C:C,"NOVO")</f>
        <v>PENDENTE</v>
      </c>
      <c r="B792" s="1">
        <v>3297309</v>
      </c>
      <c r="C792" s="1" t="s">
        <v>26</v>
      </c>
      <c r="D792" s="2">
        <v>45729.425694444442</v>
      </c>
      <c r="E792" s="1" t="s">
        <v>1516</v>
      </c>
      <c r="F792" s="1" t="s">
        <v>1517</v>
      </c>
      <c r="G792" s="1" t="s">
        <v>64</v>
      </c>
      <c r="H792" s="2">
        <v>45729.512499999997</v>
      </c>
      <c r="J792" s="1" t="s">
        <v>1244</v>
      </c>
    </row>
    <row r="793" spans="1:10" hidden="1" x14ac:dyDescent="0.25">
      <c r="A793" s="1" t="str">
        <f>_xlfn.XLOOKUP(E793,Base!G:G,Base!C:C,"NOVO")</f>
        <v>PENDENTE</v>
      </c>
      <c r="B793" s="1">
        <v>3424336</v>
      </c>
      <c r="C793" s="1" t="s">
        <v>26</v>
      </c>
      <c r="D793" s="2">
        <v>45792.761111111111</v>
      </c>
      <c r="E793" s="1" t="s">
        <v>2455</v>
      </c>
      <c r="F793" s="1" t="s">
        <v>2455</v>
      </c>
      <c r="G793" s="1" t="s">
        <v>396</v>
      </c>
      <c r="H793" s="2">
        <v>45792.856249999997</v>
      </c>
      <c r="J793" s="1" t="s">
        <v>18</v>
      </c>
    </row>
    <row r="794" spans="1:10" hidden="1" x14ac:dyDescent="0.25">
      <c r="A794" s="1" t="str">
        <f>_xlfn.XLOOKUP(E794,Base!G:G,Base!C:C,"NOVO")</f>
        <v>PENDENTE</v>
      </c>
      <c r="B794" s="1">
        <v>3418865</v>
      </c>
      <c r="C794" s="1" t="s">
        <v>26</v>
      </c>
      <c r="D794" s="2">
        <v>45790.774305555555</v>
      </c>
      <c r="E794" s="1" t="s">
        <v>2326</v>
      </c>
      <c r="F794" s="1" t="s">
        <v>2326</v>
      </c>
      <c r="G794" s="1" t="s">
        <v>83</v>
      </c>
      <c r="H794" s="2">
        <v>45790.866666666669</v>
      </c>
      <c r="J794" s="1" t="s">
        <v>18</v>
      </c>
    </row>
    <row r="795" spans="1:10" hidden="1" x14ac:dyDescent="0.25">
      <c r="A795" s="1" t="str">
        <f>_xlfn.XLOOKUP(E795,Base!G:G,Base!C:C,"NOVO")</f>
        <v>PENDENTE</v>
      </c>
      <c r="B795" s="1">
        <v>3411936</v>
      </c>
      <c r="C795" s="1" t="s">
        <v>26</v>
      </c>
      <c r="D795" s="2">
        <v>45786.625694444447</v>
      </c>
      <c r="E795" s="1" t="s">
        <v>2327</v>
      </c>
      <c r="F795" s="1" t="s">
        <v>2327</v>
      </c>
      <c r="G795" s="1" t="s">
        <v>1761</v>
      </c>
      <c r="H795" s="2">
        <v>45786.713888888888</v>
      </c>
      <c r="J795" s="1" t="s">
        <v>18</v>
      </c>
    </row>
    <row r="796" spans="1:10" hidden="1" x14ac:dyDescent="0.25">
      <c r="A796" s="1" t="str">
        <f>_xlfn.XLOOKUP(E796,Base!G:G,Base!C:C,"NOVO")</f>
        <v>PENDENTE</v>
      </c>
      <c r="B796" s="1">
        <v>3348258</v>
      </c>
      <c r="C796" s="1" t="s">
        <v>26</v>
      </c>
      <c r="D796" s="2">
        <v>45751.675694444442</v>
      </c>
      <c r="E796" s="1" t="s">
        <v>1812</v>
      </c>
      <c r="F796" s="1" t="s">
        <v>1812</v>
      </c>
      <c r="G796" s="1" t="s">
        <v>83</v>
      </c>
      <c r="H796" s="2">
        <v>45751.762499999997</v>
      </c>
      <c r="J796" s="1" t="s">
        <v>18</v>
      </c>
    </row>
    <row r="797" spans="1:10" hidden="1" x14ac:dyDescent="0.25">
      <c r="A797" s="1" t="str">
        <f>_xlfn.XLOOKUP(E797,Base!G:G,Base!C:C,"NOVO")</f>
        <v>PENDENTE</v>
      </c>
      <c r="B797" s="1">
        <v>3270083</v>
      </c>
      <c r="C797" s="1" t="s">
        <v>26</v>
      </c>
      <c r="D797" s="2">
        <v>45714.609027777777</v>
      </c>
      <c r="E797" s="1" t="s">
        <v>1308</v>
      </c>
      <c r="F797" s="1" t="s">
        <v>1308</v>
      </c>
      <c r="G797" s="1" t="s">
        <v>589</v>
      </c>
      <c r="H797" s="2">
        <v>45714.577777777777</v>
      </c>
      <c r="I797" s="2">
        <v>45714.740972222222</v>
      </c>
      <c r="J797" s="1" t="s">
        <v>18</v>
      </c>
    </row>
    <row r="798" spans="1:10" hidden="1" x14ac:dyDescent="0.25">
      <c r="A798" s="1" t="str">
        <f>_xlfn.XLOOKUP(E798,Base!G:G,Base!C:C,"NOVO")</f>
        <v>PENDENTE</v>
      </c>
      <c r="B798" s="1">
        <v>3377169</v>
      </c>
      <c r="C798" s="1" t="s">
        <v>26</v>
      </c>
      <c r="D798" s="2">
        <v>45771.7</v>
      </c>
      <c r="E798" s="1" t="s">
        <v>2044</v>
      </c>
      <c r="F798" s="1" t="s">
        <v>2044</v>
      </c>
      <c r="G798" s="1" t="s">
        <v>1280</v>
      </c>
      <c r="H798" s="2">
        <v>45769.835416666669</v>
      </c>
      <c r="I798" s="2">
        <v>45771.8</v>
      </c>
      <c r="J798" s="1" t="s">
        <v>18</v>
      </c>
    </row>
    <row r="799" spans="1:10" hidden="1" x14ac:dyDescent="0.25">
      <c r="A799" s="1" t="str">
        <f>_xlfn.XLOOKUP(E799,Base!G:G,Base!C:C,"NOVO")</f>
        <v>PENDENTE</v>
      </c>
      <c r="B799" s="1">
        <v>3385373</v>
      </c>
      <c r="C799" s="1" t="s">
        <v>26</v>
      </c>
      <c r="D799" s="2">
        <v>45799.784722222219</v>
      </c>
      <c r="E799" s="1" t="s">
        <v>2045</v>
      </c>
      <c r="F799" s="1" t="s">
        <v>2045</v>
      </c>
      <c r="G799" s="1" t="s">
        <v>83</v>
      </c>
      <c r="H799" s="2">
        <v>45772.816666666666</v>
      </c>
      <c r="I799" s="2">
        <v>45799.878472222219</v>
      </c>
      <c r="J799" s="1" t="s">
        <v>18</v>
      </c>
    </row>
    <row r="800" spans="1:10" hidden="1" x14ac:dyDescent="0.25">
      <c r="A800" s="1" t="str">
        <f>_xlfn.XLOOKUP(E800,Base!G:G,Base!C:C,"NOVO")</f>
        <v>PENDENTE</v>
      </c>
      <c r="B800" s="1">
        <v>3429889</v>
      </c>
      <c r="C800" s="1" t="s">
        <v>26</v>
      </c>
      <c r="D800" s="2">
        <v>45796.772916666669</v>
      </c>
      <c r="E800" s="1" t="s">
        <v>2456</v>
      </c>
      <c r="F800" s="1" t="s">
        <v>2456</v>
      </c>
      <c r="G800" s="1" t="s">
        <v>707</v>
      </c>
      <c r="H800" s="2">
        <v>45796.867361111108</v>
      </c>
      <c r="J800" s="1" t="s">
        <v>18</v>
      </c>
    </row>
    <row r="801" spans="1:10" hidden="1" x14ac:dyDescent="0.25">
      <c r="A801" s="1" t="str">
        <f>_xlfn.XLOOKUP(E801,Base!G:G,Base!C:C,"NOVO")</f>
        <v>PENDENTE</v>
      </c>
      <c r="B801" s="1">
        <v>3312694</v>
      </c>
      <c r="C801" s="1" t="s">
        <v>26</v>
      </c>
      <c r="D801" s="2">
        <v>45735.756944444445</v>
      </c>
      <c r="E801" s="1" t="s">
        <v>1813</v>
      </c>
      <c r="F801" s="1" t="s">
        <v>1813</v>
      </c>
      <c r="G801" s="1" t="s">
        <v>83</v>
      </c>
      <c r="H801" s="2">
        <v>45735.850694444445</v>
      </c>
      <c r="J801" s="1" t="s">
        <v>18</v>
      </c>
    </row>
    <row r="802" spans="1:10" hidden="1" x14ac:dyDescent="0.25">
      <c r="A802" s="1" t="str">
        <f>_xlfn.XLOOKUP(E802,Base!G:G,Base!C:C,"NOVO")</f>
        <v>PENDENTE</v>
      </c>
      <c r="B802" s="1">
        <v>3417801</v>
      </c>
      <c r="C802" s="1" t="s">
        <v>26</v>
      </c>
      <c r="D802" s="2">
        <v>45797.648611111108</v>
      </c>
      <c r="E802" s="1" t="s">
        <v>2330</v>
      </c>
      <c r="F802" s="1" t="s">
        <v>2330</v>
      </c>
      <c r="G802" s="1" t="s">
        <v>273</v>
      </c>
      <c r="H802" s="2">
        <v>45790.750694444447</v>
      </c>
      <c r="I802" s="2">
        <v>45797.740277777775</v>
      </c>
      <c r="J802" s="1" t="s">
        <v>1245</v>
      </c>
    </row>
    <row r="803" spans="1:10" hidden="1" x14ac:dyDescent="0.25">
      <c r="A803" s="1" t="str">
        <f>_xlfn.XLOOKUP(E803,Base!G:G,Base!C:C,"NOVO")</f>
        <v>PENDENTE</v>
      </c>
      <c r="B803" s="1">
        <v>3434018</v>
      </c>
      <c r="C803" s="1" t="s">
        <v>26</v>
      </c>
      <c r="D803" s="2">
        <v>45798.487500000003</v>
      </c>
      <c r="E803" s="1" t="s">
        <v>2457</v>
      </c>
      <c r="F803" s="1" t="s">
        <v>2457</v>
      </c>
      <c r="G803" s="1" t="s">
        <v>2458</v>
      </c>
      <c r="H803" s="2">
        <v>45798.575694444444</v>
      </c>
      <c r="J803" s="1" t="s">
        <v>18</v>
      </c>
    </row>
    <row r="804" spans="1:10" hidden="1" x14ac:dyDescent="0.25">
      <c r="A804" s="1" t="str">
        <f>_xlfn.XLOOKUP(E804,Base!G:G,Base!C:C,"NOVO")</f>
        <v>PENDENTE</v>
      </c>
      <c r="B804" s="1">
        <v>3467127</v>
      </c>
      <c r="C804" s="1" t="s">
        <v>26</v>
      </c>
      <c r="D804" s="2">
        <v>45813.737500000003</v>
      </c>
      <c r="E804" s="1" t="s">
        <v>2617</v>
      </c>
      <c r="F804" s="1" t="s">
        <v>2617</v>
      </c>
      <c r="G804" s="1" t="s">
        <v>83</v>
      </c>
      <c r="H804" s="2">
        <v>45813.823611111111</v>
      </c>
      <c r="J804" s="1" t="s">
        <v>18</v>
      </c>
    </row>
    <row r="805" spans="1:10" hidden="1" x14ac:dyDescent="0.25">
      <c r="A805" s="1" t="str">
        <f>_xlfn.XLOOKUP(E805,Base!G:G,Base!C:C,"NOVO")</f>
        <v>PENDENTE</v>
      </c>
      <c r="B805" s="1">
        <v>3252768</v>
      </c>
      <c r="C805" s="1" t="s">
        <v>26</v>
      </c>
      <c r="D805" s="2">
        <v>45706.35833333333</v>
      </c>
      <c r="E805" s="1" t="s">
        <v>1161</v>
      </c>
      <c r="F805" s="1" t="s">
        <v>1162</v>
      </c>
      <c r="G805" s="1" t="s">
        <v>64</v>
      </c>
      <c r="H805" s="2">
        <v>45706.481944444444</v>
      </c>
      <c r="I805" s="2">
        <v>45706.493750000001</v>
      </c>
      <c r="J805" s="1" t="s">
        <v>1244</v>
      </c>
    </row>
    <row r="806" spans="1:10" hidden="1" x14ac:dyDescent="0.25">
      <c r="A806" s="1" t="str">
        <f>_xlfn.XLOOKUP(E806,Base!G:G,Base!C:C,"NOVO")</f>
        <v>PENDENTE</v>
      </c>
      <c r="B806" s="1">
        <v>3233348</v>
      </c>
      <c r="C806" s="1" t="s">
        <v>26</v>
      </c>
      <c r="D806" s="2">
        <v>45695.722916666666</v>
      </c>
      <c r="E806" s="1" t="s">
        <v>991</v>
      </c>
      <c r="F806" s="1" t="s">
        <v>991</v>
      </c>
      <c r="G806" s="1" t="s">
        <v>83</v>
      </c>
      <c r="H806" s="2">
        <v>45695.867361111108</v>
      </c>
      <c r="J806" s="1" t="s">
        <v>18</v>
      </c>
    </row>
    <row r="807" spans="1:10" hidden="1" x14ac:dyDescent="0.25">
      <c r="A807" s="1" t="str">
        <f>_xlfn.XLOOKUP(E807,Base!G:G,Base!C:C,"NOVO")</f>
        <v>PENDENTE</v>
      </c>
      <c r="B807" s="1">
        <v>3220295</v>
      </c>
      <c r="C807" s="1" t="s">
        <v>26</v>
      </c>
      <c r="D807" s="2">
        <v>45691.480555555558</v>
      </c>
      <c r="E807" s="1" t="s">
        <v>819</v>
      </c>
      <c r="F807" s="1" t="s">
        <v>819</v>
      </c>
      <c r="G807" s="1" t="s">
        <v>394</v>
      </c>
      <c r="H807" s="2">
        <v>45691.618055555555</v>
      </c>
      <c r="J807" s="1" t="s">
        <v>18</v>
      </c>
    </row>
    <row r="808" spans="1:10" hidden="1" x14ac:dyDescent="0.25">
      <c r="A808" s="1" t="str">
        <f>_xlfn.XLOOKUP(E808,Base!G:G,Base!C:C,"NOVO")</f>
        <v>PENDENTE</v>
      </c>
      <c r="B808" s="1">
        <v>3428216</v>
      </c>
      <c r="C808" s="1" t="s">
        <v>26</v>
      </c>
      <c r="D808" s="2">
        <v>45796.574305555558</v>
      </c>
      <c r="E808" s="1" t="s">
        <v>2459</v>
      </c>
      <c r="F808" s="1" t="s">
        <v>2459</v>
      </c>
      <c r="G808" s="1" t="s">
        <v>1761</v>
      </c>
      <c r="H808" s="2">
        <v>45796.575694444444</v>
      </c>
      <c r="I808" s="2">
        <v>45796.65902777778</v>
      </c>
      <c r="J808" s="1" t="s">
        <v>18</v>
      </c>
    </row>
    <row r="809" spans="1:10" hidden="1" x14ac:dyDescent="0.25">
      <c r="A809" s="1" t="str">
        <f>_xlfn.XLOOKUP(E809,Base!G:G,Base!C:C,"NOVO")</f>
        <v>PENDENTE</v>
      </c>
      <c r="B809" s="1">
        <v>3270078</v>
      </c>
      <c r="C809" s="1" t="s">
        <v>26</v>
      </c>
      <c r="D809" s="2">
        <v>45723.736805555556</v>
      </c>
      <c r="E809" s="1" t="s">
        <v>1309</v>
      </c>
      <c r="F809" s="1" t="s">
        <v>1309</v>
      </c>
      <c r="G809" s="1" t="s">
        <v>410</v>
      </c>
      <c r="H809" s="2">
        <v>45714.57708333333</v>
      </c>
      <c r="I809" s="2">
        <v>45723.867361111108</v>
      </c>
      <c r="J809" s="1" t="s">
        <v>18</v>
      </c>
    </row>
    <row r="810" spans="1:10" hidden="1" x14ac:dyDescent="0.25">
      <c r="A810" s="1" t="str">
        <f>_xlfn.XLOOKUP(E810,Base!G:G,Base!C:C,"NOVO")</f>
        <v>PENDENTE</v>
      </c>
      <c r="B810" s="1">
        <v>3341542</v>
      </c>
      <c r="C810" s="1" t="s">
        <v>26</v>
      </c>
      <c r="D810" s="2">
        <v>45749.5</v>
      </c>
      <c r="E810" s="1" t="s">
        <v>1814</v>
      </c>
      <c r="F810" s="1" t="s">
        <v>1814</v>
      </c>
      <c r="G810" s="1" t="s">
        <v>707</v>
      </c>
      <c r="H810" s="2">
        <v>45749.588888888888</v>
      </c>
      <c r="J810" s="1" t="s">
        <v>18</v>
      </c>
    </row>
    <row r="811" spans="1:10" hidden="1" x14ac:dyDescent="0.25">
      <c r="A811" s="1" t="str">
        <f>_xlfn.XLOOKUP(E811,Base!G:G,Base!C:C,"NOVO")</f>
        <v>PENDENTE</v>
      </c>
      <c r="B811" s="1">
        <v>3249147</v>
      </c>
      <c r="C811" s="1" t="s">
        <v>26</v>
      </c>
      <c r="D811" s="2">
        <v>45705.318749999999</v>
      </c>
      <c r="E811" s="1" t="s">
        <v>1163</v>
      </c>
      <c r="F811" s="1" t="s">
        <v>1163</v>
      </c>
      <c r="G811" s="1" t="s">
        <v>1164</v>
      </c>
      <c r="H811" s="2">
        <v>45702.9</v>
      </c>
      <c r="I811" s="2">
        <v>45705.450694444444</v>
      </c>
      <c r="J811" s="1" t="s">
        <v>18</v>
      </c>
    </row>
    <row r="812" spans="1:10" hidden="1" x14ac:dyDescent="0.25">
      <c r="A812" s="1" t="str">
        <f>_xlfn.XLOOKUP(E812,Base!G:G,Base!C:C,"NOVO")</f>
        <v>PENDENTE</v>
      </c>
      <c r="B812" s="1">
        <v>3432277</v>
      </c>
      <c r="C812" s="1" t="s">
        <v>26</v>
      </c>
      <c r="D812" s="2">
        <v>45797.62777777778</v>
      </c>
      <c r="E812" s="1" t="s">
        <v>2460</v>
      </c>
      <c r="F812" s="1" t="s">
        <v>2460</v>
      </c>
      <c r="G812" s="1" t="s">
        <v>83</v>
      </c>
      <c r="H812" s="2">
        <v>45797.725694444445</v>
      </c>
      <c r="J812" s="1" t="s">
        <v>18</v>
      </c>
    </row>
    <row r="813" spans="1:10" hidden="1" x14ac:dyDescent="0.25">
      <c r="A813" s="1" t="str">
        <f>_xlfn.XLOOKUP(E813,Base!G:G,Base!C:C,"NOVO")</f>
        <v>PENDENTE</v>
      </c>
      <c r="B813" s="1">
        <v>3467121</v>
      </c>
      <c r="C813" s="1" t="s">
        <v>26</v>
      </c>
      <c r="D813" s="2">
        <v>45813.720138888886</v>
      </c>
      <c r="E813" s="1" t="s">
        <v>2618</v>
      </c>
      <c r="F813" s="1" t="s">
        <v>2618</v>
      </c>
      <c r="G813" s="1" t="s">
        <v>83</v>
      </c>
      <c r="H813" s="2">
        <v>45813.813888888886</v>
      </c>
      <c r="J813" s="1" t="s">
        <v>18</v>
      </c>
    </row>
    <row r="814" spans="1:10" hidden="1" x14ac:dyDescent="0.25">
      <c r="A814" s="1" t="str">
        <f>_xlfn.XLOOKUP(E814,Base!G:G,Base!C:C,"NOVO")</f>
        <v>PENDENTE</v>
      </c>
      <c r="B814" s="1">
        <v>3351345</v>
      </c>
      <c r="C814" s="1" t="s">
        <v>26</v>
      </c>
      <c r="D814" s="2">
        <v>45754.696527777778</v>
      </c>
      <c r="E814" s="1" t="s">
        <v>1815</v>
      </c>
      <c r="F814" s="1" t="s">
        <v>1815</v>
      </c>
      <c r="G814" s="1" t="s">
        <v>394</v>
      </c>
      <c r="H814" s="2">
        <v>45754.784722222219</v>
      </c>
      <c r="J814" s="1" t="s">
        <v>18</v>
      </c>
    </row>
    <row r="815" spans="1:10" hidden="1" x14ac:dyDescent="0.25">
      <c r="A815" s="1" t="str">
        <f>_xlfn.XLOOKUP(E815,Base!G:G,Base!C:C,"NOVO")</f>
        <v>PENDENTE</v>
      </c>
      <c r="B815" s="1">
        <v>3361614</v>
      </c>
      <c r="C815" s="1" t="s">
        <v>26</v>
      </c>
      <c r="D815" s="2">
        <v>45761.42291666667</v>
      </c>
      <c r="E815" s="1" t="s">
        <v>2046</v>
      </c>
      <c r="F815" s="1" t="s">
        <v>2046</v>
      </c>
      <c r="G815" s="1" t="s">
        <v>411</v>
      </c>
      <c r="H815" s="2">
        <v>45758.813194444447</v>
      </c>
      <c r="I815" s="2">
        <v>45761.511805555558</v>
      </c>
      <c r="J815" s="1" t="s">
        <v>18</v>
      </c>
    </row>
    <row r="816" spans="1:10" x14ac:dyDescent="0.25">
      <c r="A816" s="1" t="str">
        <f>_xlfn.XLOOKUP(E816,Base!G:G,Base!C:C,"NOVO")</f>
        <v>PENDENTE</v>
      </c>
      <c r="B816" s="1">
        <v>3476364</v>
      </c>
      <c r="C816" s="1" t="s">
        <v>26</v>
      </c>
      <c r="D816" s="2">
        <v>45819.382638888892</v>
      </c>
      <c r="E816" s="1" t="s">
        <v>2733</v>
      </c>
      <c r="F816" s="1" t="s">
        <v>2733</v>
      </c>
      <c r="G816" s="1" t="s">
        <v>83</v>
      </c>
      <c r="H816" s="2">
        <v>45819.473611111112</v>
      </c>
      <c r="J816" s="1" t="s">
        <v>18</v>
      </c>
    </row>
    <row r="817" spans="1:10" hidden="1" x14ac:dyDescent="0.25">
      <c r="A817" s="1" t="str">
        <f>_xlfn.XLOOKUP(E817,Base!G:G,Base!C:C,"NOVO")</f>
        <v>PENDENTE</v>
      </c>
      <c r="B817" s="1">
        <v>3293554</v>
      </c>
      <c r="C817" s="1" t="s">
        <v>26</v>
      </c>
      <c r="D817" s="2">
        <v>45728.445833333331</v>
      </c>
      <c r="E817" s="1" t="s">
        <v>1518</v>
      </c>
      <c r="F817" s="1" t="s">
        <v>1518</v>
      </c>
      <c r="G817" s="1" t="s">
        <v>1060</v>
      </c>
      <c r="H817" s="2">
        <v>45727.861111111109</v>
      </c>
      <c r="I817" s="2">
        <v>45728.533333333333</v>
      </c>
      <c r="J817" s="1" t="s">
        <v>18</v>
      </c>
    </row>
    <row r="818" spans="1:10" hidden="1" x14ac:dyDescent="0.25">
      <c r="A818" s="1" t="str">
        <f>_xlfn.XLOOKUP(E818,Base!G:G,Base!C:C,"NOVO")</f>
        <v>PENDENTE</v>
      </c>
      <c r="B818" s="1">
        <v>3280910</v>
      </c>
      <c r="C818" s="1" t="s">
        <v>26</v>
      </c>
      <c r="D818" s="2">
        <v>45722.679166666669</v>
      </c>
      <c r="E818" s="1" t="s">
        <v>1310</v>
      </c>
      <c r="F818" s="1" t="s">
        <v>1310</v>
      </c>
      <c r="G818" s="1" t="s">
        <v>1060</v>
      </c>
      <c r="H818" s="2">
        <v>45721.661111111112</v>
      </c>
      <c r="I818" s="2">
        <v>45722.814583333333</v>
      </c>
      <c r="J818" s="1" t="s">
        <v>18</v>
      </c>
    </row>
    <row r="819" spans="1:10" hidden="1" x14ac:dyDescent="0.25">
      <c r="A819" s="1" t="str">
        <f>_xlfn.XLOOKUP(E819,Base!G:G,Base!C:C,"NOVO")</f>
        <v>PENDENTE</v>
      </c>
      <c r="B819" s="1">
        <v>3420980</v>
      </c>
      <c r="C819" s="1" t="s">
        <v>26</v>
      </c>
      <c r="D819" s="2">
        <v>45791.7</v>
      </c>
      <c r="E819" s="1" t="s">
        <v>2461</v>
      </c>
      <c r="F819" s="1" t="s">
        <v>2461</v>
      </c>
      <c r="G819" s="1" t="s">
        <v>396</v>
      </c>
      <c r="H819" s="2">
        <v>45791.793749999997</v>
      </c>
      <c r="J819" s="1" t="s">
        <v>18</v>
      </c>
    </row>
    <row r="820" spans="1:10" hidden="1" x14ac:dyDescent="0.25">
      <c r="A820" s="1" t="str">
        <f>_xlfn.XLOOKUP(E820,Base!G:G,Base!C:C,"NOVO")</f>
        <v>PENDENTE</v>
      </c>
      <c r="B820" s="1">
        <v>3263629</v>
      </c>
      <c r="C820" s="1" t="s">
        <v>26</v>
      </c>
      <c r="D820" s="2">
        <v>45712.306944444441</v>
      </c>
      <c r="E820" s="1" t="s">
        <v>1165</v>
      </c>
      <c r="F820" s="1" t="s">
        <v>1165</v>
      </c>
      <c r="G820" s="1" t="s">
        <v>1060</v>
      </c>
      <c r="H820" s="2">
        <v>45712.440972222219</v>
      </c>
      <c r="J820" s="1" t="s">
        <v>18</v>
      </c>
    </row>
    <row r="821" spans="1:10" hidden="1" x14ac:dyDescent="0.25">
      <c r="A821" s="1" t="str">
        <f>_xlfn.XLOOKUP(E821,Base!G:G,Base!C:C,"NOVO")</f>
        <v>PENDENTE</v>
      </c>
      <c r="B821" s="1">
        <v>3432465</v>
      </c>
      <c r="C821" s="1" t="s">
        <v>26</v>
      </c>
      <c r="D821" s="2">
        <v>45797.761111111111</v>
      </c>
      <c r="E821" s="1" t="s">
        <v>2462</v>
      </c>
      <c r="F821" s="1" t="s">
        <v>2462</v>
      </c>
      <c r="G821" s="1" t="s">
        <v>746</v>
      </c>
      <c r="H821" s="2">
        <v>45797.774305555555</v>
      </c>
      <c r="I821" s="2">
        <v>45797.847222222219</v>
      </c>
      <c r="J821" s="1" t="s">
        <v>18</v>
      </c>
    </row>
    <row r="822" spans="1:10" hidden="1" x14ac:dyDescent="0.25">
      <c r="A822" s="1" t="str">
        <f>_xlfn.XLOOKUP(E822,Base!G:G,Base!C:C,"NOVO")</f>
        <v>PENDENTE</v>
      </c>
      <c r="B822" s="1">
        <v>3305496</v>
      </c>
      <c r="C822" s="1" t="s">
        <v>26</v>
      </c>
      <c r="D822" s="2">
        <v>45733.666666666664</v>
      </c>
      <c r="E822" s="1" t="s">
        <v>1519</v>
      </c>
      <c r="F822" s="1" t="s">
        <v>1520</v>
      </c>
      <c r="G822" s="1" t="s">
        <v>64</v>
      </c>
      <c r="H822" s="2">
        <v>45733.754166666666</v>
      </c>
      <c r="J822" s="1" t="s">
        <v>1244</v>
      </c>
    </row>
    <row r="823" spans="1:10" hidden="1" x14ac:dyDescent="0.25">
      <c r="A823" s="1" t="str">
        <f>_xlfn.XLOOKUP(E823,Base!G:G,Base!C:C,"NOVO")</f>
        <v>PENDENTE</v>
      </c>
      <c r="B823" s="1">
        <v>3326508</v>
      </c>
      <c r="C823" s="1" t="s">
        <v>26</v>
      </c>
      <c r="D823" s="2">
        <v>45764.701388888891</v>
      </c>
      <c r="E823" s="1" t="s">
        <v>1816</v>
      </c>
      <c r="F823" s="1" t="s">
        <v>1816</v>
      </c>
      <c r="G823" s="1" t="s">
        <v>620</v>
      </c>
      <c r="H823" s="2">
        <v>45742.754861111112</v>
      </c>
      <c r="I823" s="2">
        <v>45764.794444444444</v>
      </c>
      <c r="J823" s="1" t="s">
        <v>18</v>
      </c>
    </row>
    <row r="824" spans="1:10" hidden="1" x14ac:dyDescent="0.25">
      <c r="A824" s="1" t="str">
        <f>_xlfn.XLOOKUP(E824,Base!G:G,Base!C:C,"NOVO")</f>
        <v>PENDENTE</v>
      </c>
      <c r="B824" s="1">
        <v>3432459</v>
      </c>
      <c r="C824" s="1" t="s">
        <v>26</v>
      </c>
      <c r="D824" s="2">
        <v>45797.761111111111</v>
      </c>
      <c r="E824" s="1" t="s">
        <v>2463</v>
      </c>
      <c r="F824" s="1" t="s">
        <v>2463</v>
      </c>
      <c r="G824" s="1" t="s">
        <v>707</v>
      </c>
      <c r="H824" s="2">
        <v>45797.773611111108</v>
      </c>
      <c r="I824" s="2">
        <v>45797.84652777778</v>
      </c>
      <c r="J824" s="1" t="s">
        <v>18</v>
      </c>
    </row>
    <row r="825" spans="1:10" hidden="1" x14ac:dyDescent="0.25">
      <c r="A825" s="1" t="str">
        <f>_xlfn.XLOOKUP(E825,Base!G:G,Base!C:C,"NOVO")</f>
        <v>PENDENTE</v>
      </c>
      <c r="B825" s="1">
        <v>3237966</v>
      </c>
      <c r="C825" s="1" t="s">
        <v>26</v>
      </c>
      <c r="D825" s="2">
        <v>45698.729861111111</v>
      </c>
      <c r="E825" s="1" t="s">
        <v>993</v>
      </c>
      <c r="F825" s="1" t="s">
        <v>993</v>
      </c>
      <c r="G825" s="1" t="s">
        <v>83</v>
      </c>
      <c r="H825" s="2">
        <v>45698.856249999997</v>
      </c>
      <c r="J825" s="1" t="s">
        <v>18</v>
      </c>
    </row>
    <row r="826" spans="1:10" hidden="1" x14ac:dyDescent="0.25">
      <c r="A826" s="1" t="str">
        <f>_xlfn.XLOOKUP(E826,Base!G:G,Base!C:C,"NOVO")</f>
        <v>PENDENTE</v>
      </c>
      <c r="B826" s="1">
        <v>3386966</v>
      </c>
      <c r="C826" s="1" t="s">
        <v>26</v>
      </c>
      <c r="D826" s="2">
        <v>45775.533333333333</v>
      </c>
      <c r="E826" s="1" t="s">
        <v>2049</v>
      </c>
      <c r="F826" s="1" t="s">
        <v>2049</v>
      </c>
      <c r="G826" s="1" t="s">
        <v>273</v>
      </c>
      <c r="H826" s="2">
        <v>45775.573611111111</v>
      </c>
      <c r="I826" s="2">
        <v>45775.626388888886</v>
      </c>
      <c r="J826" s="1" t="s">
        <v>1245</v>
      </c>
    </row>
    <row r="827" spans="1:10" hidden="1" x14ac:dyDescent="0.25">
      <c r="A827" s="1" t="str">
        <f>_xlfn.XLOOKUP(E827,Base!G:G,Base!C:C,"NOVO")</f>
        <v>PENDENTE</v>
      </c>
      <c r="B827" s="1">
        <v>3266523</v>
      </c>
      <c r="C827" s="1" t="s">
        <v>26</v>
      </c>
      <c r="D827" s="2">
        <v>45713.268750000003</v>
      </c>
      <c r="E827" s="1" t="s">
        <v>1166</v>
      </c>
      <c r="F827" s="1" t="s">
        <v>1166</v>
      </c>
      <c r="G827" s="1" t="s">
        <v>83</v>
      </c>
      <c r="H827" s="2">
        <v>45713.406944444447</v>
      </c>
      <c r="J827" s="1" t="s">
        <v>18</v>
      </c>
    </row>
    <row r="828" spans="1:10" hidden="1" x14ac:dyDescent="0.25">
      <c r="A828" s="1" t="str">
        <f>_xlfn.XLOOKUP(E828,Base!G:G,Base!C:C,"NOVO")</f>
        <v>PENDENTE</v>
      </c>
      <c r="B828" s="1">
        <v>3374833</v>
      </c>
      <c r="C828" s="1" t="s">
        <v>26</v>
      </c>
      <c r="D828" s="2">
        <v>45769.244444444441</v>
      </c>
      <c r="E828" s="1" t="s">
        <v>2050</v>
      </c>
      <c r="F828" s="1" t="s">
        <v>2050</v>
      </c>
      <c r="G828" s="1" t="s">
        <v>1761</v>
      </c>
      <c r="H828" s="2">
        <v>45769.336805555555</v>
      </c>
      <c r="J828" s="1" t="s">
        <v>18</v>
      </c>
    </row>
    <row r="829" spans="1:10" hidden="1" x14ac:dyDescent="0.25">
      <c r="A829" s="1" t="str">
        <f>_xlfn.XLOOKUP(E829,Base!G:G,Base!C:C,"NOVO")</f>
        <v>PENDENTE</v>
      </c>
      <c r="B829" s="1">
        <v>3374834</v>
      </c>
      <c r="C829" s="1" t="s">
        <v>26</v>
      </c>
      <c r="D829" s="2">
        <v>45769.244444444441</v>
      </c>
      <c r="E829" s="1" t="s">
        <v>2051</v>
      </c>
      <c r="F829" s="1" t="s">
        <v>2050</v>
      </c>
      <c r="G829" s="1" t="s">
        <v>2052</v>
      </c>
      <c r="H829" s="2">
        <v>45769.336805555555</v>
      </c>
      <c r="J829" s="1" t="s">
        <v>18</v>
      </c>
    </row>
    <row r="830" spans="1:10" hidden="1" x14ac:dyDescent="0.25">
      <c r="A830" s="1" t="str">
        <f>_xlfn.XLOOKUP(E830,Base!G:G,Base!C:C,"NOVO")</f>
        <v>PENDENTE</v>
      </c>
      <c r="B830" s="1">
        <v>3227810</v>
      </c>
      <c r="C830" s="1" t="s">
        <v>26</v>
      </c>
      <c r="D830" s="2">
        <v>45693.621527777781</v>
      </c>
      <c r="E830" s="1" t="s">
        <v>994</v>
      </c>
      <c r="F830" s="1" t="s">
        <v>994</v>
      </c>
      <c r="G830" s="1" t="s">
        <v>692</v>
      </c>
      <c r="H830" s="2">
        <v>45693.824305555558</v>
      </c>
      <c r="I830" s="2">
        <v>45694.939583333333</v>
      </c>
      <c r="J830" s="1" t="s">
        <v>18</v>
      </c>
    </row>
    <row r="831" spans="1:10" x14ac:dyDescent="0.25">
      <c r="A831" s="1" t="str">
        <f>_xlfn.XLOOKUP(E831,Base!G:G,Base!C:C,"NOVO")</f>
        <v>PENDENTE</v>
      </c>
      <c r="B831" s="1">
        <v>3484654</v>
      </c>
      <c r="C831" s="1" t="s">
        <v>26</v>
      </c>
      <c r="D831" s="2">
        <v>45824.585416666669</v>
      </c>
      <c r="E831" s="1" t="s">
        <v>2734</v>
      </c>
      <c r="F831" s="1" t="s">
        <v>2735</v>
      </c>
      <c r="G831" s="1" t="s">
        <v>84</v>
      </c>
      <c r="H831" s="2">
        <v>45824.669444444444</v>
      </c>
      <c r="J831" s="1" t="s">
        <v>1244</v>
      </c>
    </row>
    <row r="832" spans="1:10" hidden="1" x14ac:dyDescent="0.25">
      <c r="A832" s="1" t="str">
        <f>_xlfn.XLOOKUP(E832,Base!G:G,Base!C:C,"NOVO")</f>
        <v>PENDENTE</v>
      </c>
      <c r="B832" s="1">
        <v>3423571</v>
      </c>
      <c r="C832" s="1" t="s">
        <v>26</v>
      </c>
      <c r="D832" s="2">
        <v>45792.669444444444</v>
      </c>
      <c r="E832" s="1" t="s">
        <v>2464</v>
      </c>
      <c r="F832" s="1" t="s">
        <v>2464</v>
      </c>
      <c r="G832" s="1" t="s">
        <v>620</v>
      </c>
      <c r="H832" s="2">
        <v>45792.768055555556</v>
      </c>
      <c r="J832" s="1" t="s">
        <v>18</v>
      </c>
    </row>
    <row r="833" spans="1:10" hidden="1" x14ac:dyDescent="0.25">
      <c r="A833" s="1" t="str">
        <f>_xlfn.XLOOKUP(E833,Base!G:G,Base!C:C,"NOVO")</f>
        <v>PENDENTE</v>
      </c>
      <c r="B833" s="1">
        <v>3309053</v>
      </c>
      <c r="C833" s="1" t="s">
        <v>26</v>
      </c>
      <c r="D833" s="2">
        <v>45735.55</v>
      </c>
      <c r="E833" s="1" t="s">
        <v>1817</v>
      </c>
      <c r="F833" s="1" t="s">
        <v>1817</v>
      </c>
      <c r="G833" s="1" t="s">
        <v>1060</v>
      </c>
      <c r="H833" s="2">
        <v>45734.788888888892</v>
      </c>
      <c r="I833" s="2">
        <v>45735.638194444444</v>
      </c>
      <c r="J833" s="1" t="s">
        <v>18</v>
      </c>
    </row>
    <row r="834" spans="1:10" hidden="1" x14ac:dyDescent="0.25">
      <c r="A834" s="1" t="str">
        <f>_xlfn.XLOOKUP(E834,Base!G:G,Base!C:C,"NOVO")</f>
        <v>PENDENTE</v>
      </c>
      <c r="B834" s="1">
        <v>3449672</v>
      </c>
      <c r="C834" s="1" t="s">
        <v>26</v>
      </c>
      <c r="D834" s="2">
        <v>45805.702777777777</v>
      </c>
      <c r="E834" s="1" t="s">
        <v>2465</v>
      </c>
      <c r="F834" s="1" t="s">
        <v>2465</v>
      </c>
      <c r="G834" s="1" t="s">
        <v>621</v>
      </c>
      <c r="H834" s="2">
        <v>45805.796527777777</v>
      </c>
      <c r="J834" s="1" t="s">
        <v>18</v>
      </c>
    </row>
    <row r="835" spans="1:10" hidden="1" x14ac:dyDescent="0.25">
      <c r="A835" s="1" t="str">
        <f>_xlfn.XLOOKUP(E835,Base!G:G,Base!C:C,"NOVO")</f>
        <v>PENDENTE</v>
      </c>
      <c r="B835" s="1">
        <v>3297307</v>
      </c>
      <c r="C835" s="1" t="s">
        <v>26</v>
      </c>
      <c r="D835" s="2">
        <v>45729.425000000003</v>
      </c>
      <c r="E835" s="1" t="s">
        <v>1521</v>
      </c>
      <c r="F835" s="1" t="s">
        <v>1522</v>
      </c>
      <c r="G835" s="1" t="s">
        <v>64</v>
      </c>
      <c r="H835" s="2">
        <v>45729.512499999997</v>
      </c>
      <c r="J835" s="1" t="s">
        <v>1244</v>
      </c>
    </row>
    <row r="836" spans="1:10" hidden="1" x14ac:dyDescent="0.25">
      <c r="A836" s="1" t="str">
        <f>_xlfn.XLOOKUP(E836,Base!G:G,Base!C:C,"NOVO")</f>
        <v>PENDENTE</v>
      </c>
      <c r="B836" s="1">
        <v>3318327</v>
      </c>
      <c r="C836" s="1" t="s">
        <v>26</v>
      </c>
      <c r="D836" s="2">
        <v>45737.770138888889</v>
      </c>
      <c r="E836" s="1" t="s">
        <v>1818</v>
      </c>
      <c r="F836" s="1" t="s">
        <v>1818</v>
      </c>
      <c r="G836" s="1" t="s">
        <v>620</v>
      </c>
      <c r="H836" s="2">
        <v>45737.86041666667</v>
      </c>
      <c r="J836" s="1" t="s">
        <v>18</v>
      </c>
    </row>
    <row r="837" spans="1:10" hidden="1" x14ac:dyDescent="0.25">
      <c r="A837" s="1" t="str">
        <f>_xlfn.XLOOKUP(E837,Base!G:G,Base!C:C,"NOVO")</f>
        <v>PENDENTE</v>
      </c>
      <c r="B837" s="1">
        <v>3296852</v>
      </c>
      <c r="C837" s="1" t="s">
        <v>26</v>
      </c>
      <c r="D837" s="2">
        <v>45729.306944444441</v>
      </c>
      <c r="E837" s="1" t="s">
        <v>1523</v>
      </c>
      <c r="F837" s="1" t="s">
        <v>1524</v>
      </c>
      <c r="G837" s="1" t="s">
        <v>64</v>
      </c>
      <c r="H837" s="2">
        <v>45729.398611111108</v>
      </c>
      <c r="J837" s="1" t="s">
        <v>1244</v>
      </c>
    </row>
    <row r="838" spans="1:10" hidden="1" x14ac:dyDescent="0.25">
      <c r="A838" s="1" t="str">
        <f>_xlfn.XLOOKUP(E838,Base!G:G,Base!C:C,"NOVO")</f>
        <v>PENDENTE</v>
      </c>
      <c r="B838" s="1">
        <v>3318300</v>
      </c>
      <c r="C838" s="1" t="s">
        <v>26</v>
      </c>
      <c r="D838" s="2">
        <v>45737.770138888889</v>
      </c>
      <c r="E838" s="1" t="s">
        <v>1819</v>
      </c>
      <c r="F838" s="1" t="s">
        <v>1819</v>
      </c>
      <c r="G838" s="1" t="s">
        <v>83</v>
      </c>
      <c r="H838" s="2">
        <v>45737.857638888891</v>
      </c>
      <c r="J838" s="1" t="s">
        <v>18</v>
      </c>
    </row>
    <row r="839" spans="1:10" hidden="1" x14ac:dyDescent="0.25">
      <c r="A839" s="1" t="str">
        <f>_xlfn.XLOOKUP(E839,Base!G:G,Base!C:C,"NOVO")</f>
        <v>PENDENTE</v>
      </c>
      <c r="B839" s="1">
        <v>3350988</v>
      </c>
      <c r="C839" s="1" t="s">
        <v>26</v>
      </c>
      <c r="D839" s="2">
        <v>45754.629861111112</v>
      </c>
      <c r="E839" s="1" t="s">
        <v>1820</v>
      </c>
      <c r="F839" s="1" t="s">
        <v>1821</v>
      </c>
      <c r="G839" s="1" t="s">
        <v>64</v>
      </c>
      <c r="H839" s="2">
        <v>45754.720138888886</v>
      </c>
      <c r="J839" s="1" t="s">
        <v>1244</v>
      </c>
    </row>
    <row r="840" spans="1:10" hidden="1" x14ac:dyDescent="0.25">
      <c r="A840" s="1" t="str">
        <f>_xlfn.XLOOKUP(E840,Base!G:G,Base!C:C,"NOVO")</f>
        <v>PENDENTE</v>
      </c>
      <c r="B840" s="1">
        <v>3423574</v>
      </c>
      <c r="C840" s="1" t="s">
        <v>26</v>
      </c>
      <c r="D840" s="2">
        <v>45792.669444444444</v>
      </c>
      <c r="E840" s="1" t="s">
        <v>2466</v>
      </c>
      <c r="F840" s="1" t="s">
        <v>2466</v>
      </c>
      <c r="G840" s="1" t="s">
        <v>746</v>
      </c>
      <c r="H840" s="2">
        <v>45792.768750000003</v>
      </c>
      <c r="J840" s="1" t="s">
        <v>18</v>
      </c>
    </row>
    <row r="841" spans="1:10" hidden="1" x14ac:dyDescent="0.25">
      <c r="A841" s="1" t="str">
        <f>_xlfn.XLOOKUP(E841,Base!G:G,Base!C:C,"NOVO")</f>
        <v>PENDENTE</v>
      </c>
      <c r="B841" s="1">
        <v>3452003</v>
      </c>
      <c r="C841" s="1" t="s">
        <v>26</v>
      </c>
      <c r="D841" s="2">
        <v>45806.695138888892</v>
      </c>
      <c r="E841" s="1" t="s">
        <v>2564</v>
      </c>
      <c r="F841" s="1" t="s">
        <v>2564</v>
      </c>
      <c r="G841" s="1" t="s">
        <v>2403</v>
      </c>
      <c r="H841" s="2">
        <v>45806.79583333333</v>
      </c>
      <c r="J841" s="1" t="s">
        <v>18</v>
      </c>
    </row>
    <row r="842" spans="1:10" hidden="1" x14ac:dyDescent="0.25">
      <c r="A842" s="1" t="str">
        <f>_xlfn.XLOOKUP(E842,Base!G:G,Base!C:C,"NOVO")</f>
        <v>PENDENTE</v>
      </c>
      <c r="B842" s="1">
        <v>3427634</v>
      </c>
      <c r="C842" s="1" t="s">
        <v>26</v>
      </c>
      <c r="D842" s="2">
        <v>45797.480555555558</v>
      </c>
      <c r="E842" s="1" t="s">
        <v>2467</v>
      </c>
      <c r="F842" s="1" t="s">
        <v>2467</v>
      </c>
      <c r="G842" s="1" t="s">
        <v>578</v>
      </c>
      <c r="H842" s="2">
        <v>45796.365972222222</v>
      </c>
      <c r="I842" s="2">
        <v>45797.573611111111</v>
      </c>
      <c r="J842" s="1" t="s">
        <v>18</v>
      </c>
    </row>
    <row r="843" spans="1:10" hidden="1" x14ac:dyDescent="0.25">
      <c r="A843" s="1" t="str">
        <f>_xlfn.XLOOKUP(E843,Base!G:G,Base!C:C,"NOVO")</f>
        <v>PENDENTE</v>
      </c>
      <c r="B843" s="1">
        <v>3427635</v>
      </c>
      <c r="C843" s="1" t="s">
        <v>26</v>
      </c>
      <c r="D843" s="2">
        <v>45797.480555555558</v>
      </c>
      <c r="E843" s="1" t="s">
        <v>2468</v>
      </c>
      <c r="F843" s="1" t="s">
        <v>2467</v>
      </c>
      <c r="G843" s="1" t="s">
        <v>2398</v>
      </c>
      <c r="H843" s="2">
        <v>45796.365972222222</v>
      </c>
      <c r="I843" s="2">
        <v>45797.573611111111</v>
      </c>
      <c r="J843" s="1" t="s">
        <v>18</v>
      </c>
    </row>
    <row r="844" spans="1:10" hidden="1" x14ac:dyDescent="0.25">
      <c r="A844" s="1" t="str">
        <f>_xlfn.XLOOKUP(E844,Base!G:G,Base!C:C,"NOVO")</f>
        <v>PENDENTE</v>
      </c>
      <c r="B844" s="1">
        <v>3267306</v>
      </c>
      <c r="C844" s="1" t="s">
        <v>26</v>
      </c>
      <c r="D844" s="2">
        <v>45713.411111111112</v>
      </c>
      <c r="E844" s="1" t="s">
        <v>1311</v>
      </c>
      <c r="F844" s="1" t="s">
        <v>1311</v>
      </c>
      <c r="G844" s="1" t="s">
        <v>652</v>
      </c>
      <c r="H844" s="2">
        <v>45713.544444444444</v>
      </c>
      <c r="J844" s="1" t="s">
        <v>18</v>
      </c>
    </row>
    <row r="845" spans="1:10" hidden="1" x14ac:dyDescent="0.25">
      <c r="A845" s="1" t="str">
        <f>_xlfn.XLOOKUP(E845,Base!G:G,Base!C:C,"NOVO")</f>
        <v>PENDENTE</v>
      </c>
      <c r="B845" s="1">
        <v>3330690</v>
      </c>
      <c r="C845" s="1" t="s">
        <v>26</v>
      </c>
      <c r="D845" s="2">
        <v>45744.429861111108</v>
      </c>
      <c r="E845" s="1" t="s">
        <v>1822</v>
      </c>
      <c r="F845" s="1" t="s">
        <v>1823</v>
      </c>
      <c r="G845" s="1" t="s">
        <v>64</v>
      </c>
      <c r="H845" s="2">
        <v>45744.521527777775</v>
      </c>
      <c r="J845" s="1" t="s">
        <v>1244</v>
      </c>
    </row>
    <row r="846" spans="1:10" hidden="1" x14ac:dyDescent="0.25">
      <c r="A846" s="1" t="str">
        <f>_xlfn.XLOOKUP(E846,Base!G:G,Base!C:C,"NOVO")</f>
        <v>PENDENTE</v>
      </c>
      <c r="B846" s="1">
        <v>3405560</v>
      </c>
      <c r="C846" s="1" t="s">
        <v>26</v>
      </c>
      <c r="D846" s="2">
        <v>45785.61041666667</v>
      </c>
      <c r="E846" s="1" t="s">
        <v>2243</v>
      </c>
      <c r="F846" s="1" t="s">
        <v>2243</v>
      </c>
      <c r="G846" s="1" t="s">
        <v>83</v>
      </c>
      <c r="H846" s="2">
        <v>45784.511805555558</v>
      </c>
      <c r="I846" s="2">
        <v>45785.699305555558</v>
      </c>
      <c r="J846" s="1" t="s">
        <v>18</v>
      </c>
    </row>
    <row r="847" spans="1:10" hidden="1" x14ac:dyDescent="0.25">
      <c r="A847" s="1" t="str">
        <f>_xlfn.XLOOKUP(E847,Base!G:G,Base!C:C,"NOVO")</f>
        <v>PENDENTE</v>
      </c>
      <c r="B847" s="1">
        <v>3246011</v>
      </c>
      <c r="C847" s="1" t="s">
        <v>26</v>
      </c>
      <c r="D847" s="2">
        <v>45701.897916666669</v>
      </c>
      <c r="E847" s="1" t="s">
        <v>1167</v>
      </c>
      <c r="F847" s="1" t="s">
        <v>1167</v>
      </c>
      <c r="G847" s="1" t="s">
        <v>620</v>
      </c>
      <c r="H847" s="2">
        <v>45702.038194444445</v>
      </c>
      <c r="J847" s="1" t="s">
        <v>18</v>
      </c>
    </row>
    <row r="848" spans="1:10" hidden="1" x14ac:dyDescent="0.25">
      <c r="A848" s="1" t="str">
        <f>_xlfn.XLOOKUP(E848,Base!G:G,Base!C:C,"NOVO")</f>
        <v>PENDENTE</v>
      </c>
      <c r="B848" s="1">
        <v>3398438</v>
      </c>
      <c r="C848" s="1" t="s">
        <v>26</v>
      </c>
      <c r="D848" s="2">
        <v>45782.371527777781</v>
      </c>
      <c r="E848" s="1" t="s">
        <v>2244</v>
      </c>
      <c r="F848" s="1" t="s">
        <v>2244</v>
      </c>
      <c r="G848" s="1" t="s">
        <v>2245</v>
      </c>
      <c r="H848" s="2">
        <v>45779.740277777775</v>
      </c>
      <c r="I848" s="2">
        <v>45782.459722222222</v>
      </c>
      <c r="J848" s="1" t="s">
        <v>19</v>
      </c>
    </row>
    <row r="849" spans="1:10" hidden="1" x14ac:dyDescent="0.25">
      <c r="A849" s="1" t="str">
        <f>_xlfn.XLOOKUP(E849,Base!G:G,Base!C:C,"NOVO")</f>
        <v>PENDENTE</v>
      </c>
      <c r="B849" s="1">
        <v>3271476</v>
      </c>
      <c r="C849" s="1" t="s">
        <v>26</v>
      </c>
      <c r="D849" s="2">
        <v>45728.75277777778</v>
      </c>
      <c r="E849" s="1" t="s">
        <v>1312</v>
      </c>
      <c r="F849" s="1" t="s">
        <v>1312</v>
      </c>
      <c r="G849" s="1" t="s">
        <v>83</v>
      </c>
      <c r="H849" s="2">
        <v>45714.857638888891</v>
      </c>
      <c r="I849" s="2">
        <v>45728.843055555553</v>
      </c>
      <c r="J849" s="1" t="s">
        <v>18</v>
      </c>
    </row>
    <row r="850" spans="1:10" hidden="1" x14ac:dyDescent="0.25">
      <c r="A850" s="1" t="str">
        <f>_xlfn.XLOOKUP(E850,Base!G:G,Base!C:C,"NOVO")</f>
        <v>PENDENTE</v>
      </c>
      <c r="B850" s="1">
        <v>3240656</v>
      </c>
      <c r="C850" s="1" t="s">
        <v>26</v>
      </c>
      <c r="D850" s="2">
        <v>45699.737500000003</v>
      </c>
      <c r="E850" s="1" t="s">
        <v>1168</v>
      </c>
      <c r="F850" s="1" t="s">
        <v>1168</v>
      </c>
      <c r="G850" s="1" t="s">
        <v>83</v>
      </c>
      <c r="H850" s="2">
        <v>45699.867361111108</v>
      </c>
      <c r="J850" s="1" t="s">
        <v>18</v>
      </c>
    </row>
    <row r="851" spans="1:10" hidden="1" x14ac:dyDescent="0.25">
      <c r="A851" s="1" t="str">
        <f>_xlfn.XLOOKUP(E851,Base!G:G,Base!C:C,"NOVO")</f>
        <v>PENDENTE</v>
      </c>
      <c r="B851" s="1">
        <v>3305236</v>
      </c>
      <c r="C851" s="1" t="s">
        <v>26</v>
      </c>
      <c r="D851" s="2">
        <v>45734.450694444444</v>
      </c>
      <c r="E851" s="1" t="s">
        <v>1525</v>
      </c>
      <c r="F851" s="1" t="s">
        <v>1525</v>
      </c>
      <c r="G851" s="1" t="s">
        <v>1054</v>
      </c>
      <c r="H851" s="2">
        <v>45733.736805555556</v>
      </c>
      <c r="I851" s="2">
        <v>45734.545138888891</v>
      </c>
      <c r="J851" s="1" t="s">
        <v>18</v>
      </c>
    </row>
    <row r="852" spans="1:10" hidden="1" x14ac:dyDescent="0.25">
      <c r="A852" s="1" t="str">
        <f>_xlfn.XLOOKUP(E852,Base!G:G,Base!C:C,"NOVO")</f>
        <v>PENDENTE</v>
      </c>
      <c r="B852" s="1">
        <v>3305211</v>
      </c>
      <c r="C852" s="1" t="s">
        <v>26</v>
      </c>
      <c r="D852" s="2">
        <v>45733.645833333336</v>
      </c>
      <c r="E852" s="1" t="s">
        <v>1526</v>
      </c>
      <c r="F852" s="1" t="s">
        <v>1526</v>
      </c>
      <c r="G852" s="1" t="s">
        <v>83</v>
      </c>
      <c r="H852" s="2">
        <v>45733.73541666667</v>
      </c>
      <c r="J852" s="1" t="s">
        <v>18</v>
      </c>
    </row>
    <row r="853" spans="1:10" hidden="1" x14ac:dyDescent="0.25">
      <c r="A853" s="1" t="str">
        <f>_xlfn.XLOOKUP(E853,Base!G:G,Base!C:C,"NOVO")</f>
        <v>PENDENTE</v>
      </c>
      <c r="B853" s="1">
        <v>3408581</v>
      </c>
      <c r="C853" s="1" t="s">
        <v>26</v>
      </c>
      <c r="D853" s="2">
        <v>45785.45416666667</v>
      </c>
      <c r="E853" s="1" t="s">
        <v>2246</v>
      </c>
      <c r="F853" s="1" t="s">
        <v>2246</v>
      </c>
      <c r="G853" s="1" t="s">
        <v>396</v>
      </c>
      <c r="H853" s="2">
        <v>45785.545138888891</v>
      </c>
      <c r="J853" s="1" t="s">
        <v>18</v>
      </c>
    </row>
    <row r="854" spans="1:10" hidden="1" x14ac:dyDescent="0.25">
      <c r="A854" s="1" t="str">
        <f>_xlfn.XLOOKUP(E854,Base!G:G,Base!C:C,"NOVO")</f>
        <v>PENDENTE</v>
      </c>
      <c r="B854" s="1">
        <v>3343814</v>
      </c>
      <c r="C854" s="1" t="s">
        <v>26</v>
      </c>
      <c r="D854" s="2">
        <v>45751.334027777775</v>
      </c>
      <c r="E854" s="1" t="s">
        <v>1824</v>
      </c>
      <c r="F854" s="1" t="s">
        <v>1824</v>
      </c>
      <c r="G854" s="1" t="s">
        <v>83</v>
      </c>
      <c r="H854" s="2">
        <v>45750.470833333333</v>
      </c>
      <c r="I854" s="2">
        <v>45751.418055555558</v>
      </c>
      <c r="J854" s="1" t="s">
        <v>18</v>
      </c>
    </row>
    <row r="855" spans="1:10" hidden="1" x14ac:dyDescent="0.25">
      <c r="A855" s="1" t="str">
        <f>_xlfn.XLOOKUP(E855,Base!G:G,Base!C:C,"NOVO")</f>
        <v>PENDENTE</v>
      </c>
      <c r="B855" s="1">
        <v>3302630</v>
      </c>
      <c r="C855" s="1" t="s">
        <v>26</v>
      </c>
      <c r="D855" s="2">
        <v>45730.745138888888</v>
      </c>
      <c r="E855" s="1" t="s">
        <v>1527</v>
      </c>
      <c r="F855" s="1" t="s">
        <v>1527</v>
      </c>
      <c r="G855" s="1" t="s">
        <v>83</v>
      </c>
      <c r="H855" s="2">
        <v>45730.835416666669</v>
      </c>
      <c r="J855" s="1" t="s">
        <v>18</v>
      </c>
    </row>
    <row r="856" spans="1:10" hidden="1" x14ac:dyDescent="0.25">
      <c r="A856" s="1" t="str">
        <f>_xlfn.XLOOKUP(E856,Base!G:G,Base!C:C,"NOVO")</f>
        <v>PENDENTE</v>
      </c>
      <c r="B856" s="1">
        <v>3385400</v>
      </c>
      <c r="C856" s="1" t="s">
        <v>26</v>
      </c>
      <c r="D856" s="2">
        <v>45772.72152777778</v>
      </c>
      <c r="E856" s="1" t="s">
        <v>2055</v>
      </c>
      <c r="F856" s="1" t="s">
        <v>2055</v>
      </c>
      <c r="G856" s="1" t="s">
        <v>652</v>
      </c>
      <c r="H856" s="2">
        <v>45772.818055555559</v>
      </c>
      <c r="J856" s="1" t="s">
        <v>18</v>
      </c>
    </row>
    <row r="857" spans="1:10" hidden="1" x14ac:dyDescent="0.25">
      <c r="A857" s="1" t="str">
        <f>_xlfn.XLOOKUP(E857,Base!G:G,Base!C:C,"NOVO")</f>
        <v>PENDENTE</v>
      </c>
      <c r="B857" s="1">
        <v>3227601</v>
      </c>
      <c r="C857" s="1" t="s">
        <v>26</v>
      </c>
      <c r="D857" s="2">
        <v>45700.658333333333</v>
      </c>
      <c r="E857" s="1" t="s">
        <v>995</v>
      </c>
      <c r="F857" s="1" t="s">
        <v>996</v>
      </c>
      <c r="G857" s="1" t="s">
        <v>757</v>
      </c>
      <c r="H857" s="2">
        <v>45693.759722222225</v>
      </c>
      <c r="I857" s="2">
        <v>45700.784722222219</v>
      </c>
      <c r="J857" s="1" t="s">
        <v>18</v>
      </c>
    </row>
    <row r="858" spans="1:10" hidden="1" x14ac:dyDescent="0.25">
      <c r="A858" s="1" t="str">
        <f>_xlfn.XLOOKUP(E858,Base!G:G,Base!C:C,"NOVO")</f>
        <v>PENDENTE</v>
      </c>
      <c r="B858" s="1">
        <v>3431637</v>
      </c>
      <c r="C858" s="1" t="s">
        <v>26</v>
      </c>
      <c r="D858" s="2">
        <v>45797.62777777778</v>
      </c>
      <c r="E858" s="1" t="s">
        <v>2469</v>
      </c>
      <c r="F858" s="1" t="s">
        <v>2469</v>
      </c>
      <c r="G858" s="1" t="s">
        <v>1761</v>
      </c>
      <c r="H858" s="2">
        <v>45797.640972222223</v>
      </c>
      <c r="I858" s="2">
        <v>45797.727777777778</v>
      </c>
      <c r="J858" s="1" t="s">
        <v>18</v>
      </c>
    </row>
    <row r="859" spans="1:10" hidden="1" x14ac:dyDescent="0.25">
      <c r="A859" s="1" t="str">
        <f>_xlfn.XLOOKUP(E859,Base!G:G,Base!C:C,"NOVO")</f>
        <v>PENDENTE</v>
      </c>
      <c r="B859" s="1">
        <v>3321256</v>
      </c>
      <c r="C859" s="1" t="s">
        <v>26</v>
      </c>
      <c r="D859" s="2">
        <v>45741.304166666669</v>
      </c>
      <c r="E859" s="1" t="s">
        <v>1825</v>
      </c>
      <c r="F859" s="1" t="s">
        <v>1825</v>
      </c>
      <c r="G859" s="1" t="s">
        <v>83</v>
      </c>
      <c r="H859" s="2">
        <v>45740.849305555559</v>
      </c>
      <c r="I859" s="2">
        <v>45741.398611111108</v>
      </c>
      <c r="J859" s="1" t="s">
        <v>18</v>
      </c>
    </row>
    <row r="860" spans="1:10" hidden="1" x14ac:dyDescent="0.25">
      <c r="A860" s="1" t="str">
        <f>_xlfn.XLOOKUP(E860,Base!G:G,Base!C:C,"NOVO")</f>
        <v>PENDENTE</v>
      </c>
      <c r="B860" s="1">
        <v>3449627</v>
      </c>
      <c r="C860" s="1" t="s">
        <v>26</v>
      </c>
      <c r="D860" s="2">
        <v>45805.702777777777</v>
      </c>
      <c r="E860" s="1" t="s">
        <v>2470</v>
      </c>
      <c r="F860" s="1" t="s">
        <v>2470</v>
      </c>
      <c r="G860" s="1" t="s">
        <v>404</v>
      </c>
      <c r="H860" s="2">
        <v>45805.793749999997</v>
      </c>
      <c r="J860" s="1" t="s">
        <v>18</v>
      </c>
    </row>
    <row r="861" spans="1:10" hidden="1" x14ac:dyDescent="0.25">
      <c r="A861" s="1" t="str">
        <f>_xlfn.XLOOKUP(E861,Base!G:G,Base!C:C,"NOVO")</f>
        <v>PENDENTE</v>
      </c>
      <c r="B861" s="1">
        <v>3248086</v>
      </c>
      <c r="C861" s="1" t="s">
        <v>26</v>
      </c>
      <c r="D861" s="2">
        <v>45705.320833333331</v>
      </c>
      <c r="E861" s="1" t="s">
        <v>1169</v>
      </c>
      <c r="F861" s="1" t="s">
        <v>1169</v>
      </c>
      <c r="G861" s="1" t="s">
        <v>865</v>
      </c>
      <c r="H861" s="2">
        <v>45702.754861111112</v>
      </c>
      <c r="I861" s="2">
        <v>45705.450694444444</v>
      </c>
      <c r="J861" s="1" t="s">
        <v>18</v>
      </c>
    </row>
    <row r="862" spans="1:10" hidden="1" x14ac:dyDescent="0.25">
      <c r="A862" s="1" t="str">
        <f>_xlfn.XLOOKUP(E862,Base!G:G,Base!C:C,"NOVO")</f>
        <v>PENDENTE</v>
      </c>
      <c r="B862" s="1">
        <v>3384347</v>
      </c>
      <c r="C862" s="1" t="s">
        <v>26</v>
      </c>
      <c r="D862" s="2">
        <v>45772.604166666664</v>
      </c>
      <c r="E862" s="1" t="s">
        <v>2056</v>
      </c>
      <c r="F862" s="1" t="s">
        <v>2056</v>
      </c>
      <c r="G862" s="1" t="s">
        <v>622</v>
      </c>
      <c r="H862" s="2">
        <v>45772.692361111112</v>
      </c>
      <c r="J862" s="1" t="s">
        <v>14</v>
      </c>
    </row>
    <row r="863" spans="1:10" hidden="1" x14ac:dyDescent="0.25">
      <c r="A863" s="1" t="str">
        <f>_xlfn.XLOOKUP(E863,Base!G:G,Base!C:C,"NOVO")</f>
        <v>PENDENTE</v>
      </c>
      <c r="B863" s="1">
        <v>3458139</v>
      </c>
      <c r="C863" s="1" t="s">
        <v>26</v>
      </c>
      <c r="D863" s="2">
        <v>45810.532638888886</v>
      </c>
      <c r="E863" s="1" t="s">
        <v>2565</v>
      </c>
      <c r="F863" s="1" t="s">
        <v>2566</v>
      </c>
      <c r="G863" s="1" t="s">
        <v>64</v>
      </c>
      <c r="H863" s="2">
        <v>45810.627083333333</v>
      </c>
      <c r="J863" s="1" t="s">
        <v>1244</v>
      </c>
    </row>
    <row r="864" spans="1:10" hidden="1" x14ac:dyDescent="0.25">
      <c r="A864" s="1" t="str">
        <f>_xlfn.XLOOKUP(E864,Base!G:G,Base!C:C,"NOVO")</f>
        <v>PENDENTE</v>
      </c>
      <c r="B864" s="1">
        <v>3305245</v>
      </c>
      <c r="C864" s="1" t="s">
        <v>26</v>
      </c>
      <c r="D864" s="2">
        <v>45734.531944444447</v>
      </c>
      <c r="E864" s="1" t="s">
        <v>1528</v>
      </c>
      <c r="F864" s="1" t="s">
        <v>1528</v>
      </c>
      <c r="G864" s="1" t="s">
        <v>1060</v>
      </c>
      <c r="H864" s="2">
        <v>45733.738194444442</v>
      </c>
      <c r="I864" s="2">
        <v>45734.617361111108</v>
      </c>
      <c r="J864" s="1" t="s">
        <v>18</v>
      </c>
    </row>
    <row r="865" spans="1:10" hidden="1" x14ac:dyDescent="0.25">
      <c r="A865" s="1" t="str">
        <f>_xlfn.XLOOKUP(E865,Base!G:G,Base!C:C,"NOVO")</f>
        <v>PENDENTE</v>
      </c>
      <c r="B865" s="1">
        <v>3460535</v>
      </c>
      <c r="C865" s="1" t="s">
        <v>26</v>
      </c>
      <c r="D865" s="2">
        <v>45812.28125</v>
      </c>
      <c r="E865" s="1" t="s">
        <v>2587</v>
      </c>
      <c r="F865" s="1" t="s">
        <v>2587</v>
      </c>
      <c r="G865" s="1" t="s">
        <v>829</v>
      </c>
      <c r="H865" s="2">
        <v>45811.53402777778</v>
      </c>
      <c r="I865" s="2">
        <v>45812.365277777775</v>
      </c>
      <c r="J865" s="1" t="s">
        <v>18</v>
      </c>
    </row>
    <row r="866" spans="1:10" hidden="1" x14ac:dyDescent="0.25">
      <c r="A866" s="1" t="str">
        <f>_xlfn.XLOOKUP(E866,Base!G:G,Base!C:C,"NOVO")</f>
        <v>PENDENTE</v>
      </c>
      <c r="B866" s="1">
        <v>3263693</v>
      </c>
      <c r="C866" s="1" t="s">
        <v>26</v>
      </c>
      <c r="D866" s="2">
        <v>45712.306944444441</v>
      </c>
      <c r="E866" s="1" t="s">
        <v>1170</v>
      </c>
      <c r="F866" s="1" t="s">
        <v>1170</v>
      </c>
      <c r="G866" s="1" t="s">
        <v>396</v>
      </c>
      <c r="H866" s="2">
        <v>45712.451388888891</v>
      </c>
      <c r="J866" s="1" t="s">
        <v>18</v>
      </c>
    </row>
    <row r="867" spans="1:10" hidden="1" x14ac:dyDescent="0.25">
      <c r="A867" s="1" t="str">
        <f>_xlfn.XLOOKUP(E867,Base!G:G,Base!C:C,"NOVO")</f>
        <v>PENDENTE</v>
      </c>
      <c r="B867" s="1">
        <v>3246802</v>
      </c>
      <c r="C867" s="1" t="s">
        <v>26</v>
      </c>
      <c r="D867" s="2">
        <v>45705.322222222225</v>
      </c>
      <c r="E867" s="1" t="s">
        <v>1171</v>
      </c>
      <c r="F867" s="1" t="s">
        <v>1172</v>
      </c>
      <c r="G867" s="1" t="s">
        <v>64</v>
      </c>
      <c r="H867" s="2">
        <v>45702.522916666669</v>
      </c>
      <c r="I867" s="2">
        <v>45705.45208333333</v>
      </c>
      <c r="J867" s="1" t="s">
        <v>1244</v>
      </c>
    </row>
    <row r="868" spans="1:10" hidden="1" x14ac:dyDescent="0.25">
      <c r="A868" s="1" t="str">
        <f>_xlfn.XLOOKUP(E868,Base!G:G,Base!C:C,"NOVO")</f>
        <v>PENDENTE</v>
      </c>
      <c r="B868" s="1">
        <v>3260784</v>
      </c>
      <c r="C868" s="1" t="s">
        <v>26</v>
      </c>
      <c r="D868" s="2">
        <v>45709.395138888889</v>
      </c>
      <c r="E868" s="1" t="s">
        <v>1173</v>
      </c>
      <c r="F868" s="1" t="s">
        <v>1173</v>
      </c>
      <c r="G868" s="1" t="s">
        <v>1174</v>
      </c>
      <c r="H868" s="2">
        <v>45709.525000000001</v>
      </c>
      <c r="J868" s="1" t="s">
        <v>18</v>
      </c>
    </row>
    <row r="869" spans="1:10" hidden="1" x14ac:dyDescent="0.25">
      <c r="A869" s="1" t="str">
        <f>_xlfn.XLOOKUP(E869,Base!G:G,Base!C:C,"NOVO")</f>
        <v>PENDENTE</v>
      </c>
      <c r="B869" s="1">
        <v>3250754</v>
      </c>
      <c r="C869" s="1" t="s">
        <v>26</v>
      </c>
      <c r="D869" s="2">
        <v>45705.645138888889</v>
      </c>
      <c r="E869" s="1" t="s">
        <v>1175</v>
      </c>
      <c r="F869" s="1" t="s">
        <v>1175</v>
      </c>
      <c r="G869" s="1" t="s">
        <v>692</v>
      </c>
      <c r="H869" s="2">
        <v>45705.775694444441</v>
      </c>
      <c r="J869" s="1" t="s">
        <v>18</v>
      </c>
    </row>
    <row r="870" spans="1:10" hidden="1" x14ac:dyDescent="0.25">
      <c r="A870" s="1" t="str">
        <f>_xlfn.XLOOKUP(E870,Base!G:G,Base!C:C,"NOVO")</f>
        <v>PENDENTE</v>
      </c>
      <c r="B870" s="1">
        <v>3235417</v>
      </c>
      <c r="C870" s="1" t="s">
        <v>26</v>
      </c>
      <c r="D870" s="2">
        <v>45698.351388888892</v>
      </c>
      <c r="E870" s="1" t="s">
        <v>997</v>
      </c>
      <c r="F870" s="1" t="s">
        <v>997</v>
      </c>
      <c r="G870" s="1" t="s">
        <v>394</v>
      </c>
      <c r="H870" s="2">
        <v>45698.480555555558</v>
      </c>
      <c r="J870" s="1" t="s">
        <v>18</v>
      </c>
    </row>
    <row r="871" spans="1:10" hidden="1" x14ac:dyDescent="0.25">
      <c r="A871" s="1" t="str">
        <f>_xlfn.XLOOKUP(E871,Base!G:G,Base!C:C,"NOVO")</f>
        <v>PENDENTE</v>
      </c>
      <c r="B871" s="1">
        <v>3307677</v>
      </c>
      <c r="C871" s="1" t="s">
        <v>26</v>
      </c>
      <c r="D871" s="2">
        <v>45734.443055555559</v>
      </c>
      <c r="E871" s="1" t="s">
        <v>1638</v>
      </c>
      <c r="F871" s="1" t="s">
        <v>1638</v>
      </c>
      <c r="G871" s="1" t="s">
        <v>408</v>
      </c>
      <c r="H871" s="2">
        <v>45734.53402777778</v>
      </c>
      <c r="J871" s="1" t="s">
        <v>18</v>
      </c>
    </row>
    <row r="872" spans="1:10" hidden="1" x14ac:dyDescent="0.25">
      <c r="A872" s="1" t="str">
        <f>_xlfn.XLOOKUP(E872,Base!G:G,Base!C:C,"NOVO")</f>
        <v>PENDENTE</v>
      </c>
      <c r="B872" s="1">
        <v>3307682</v>
      </c>
      <c r="C872" s="1" t="s">
        <v>26</v>
      </c>
      <c r="D872" s="2">
        <v>45734.443055555559</v>
      </c>
      <c r="E872" s="1" t="s">
        <v>1639</v>
      </c>
      <c r="F872" s="1" t="s">
        <v>1638</v>
      </c>
      <c r="G872" s="1" t="s">
        <v>1423</v>
      </c>
      <c r="H872" s="2">
        <v>45734.53402777778</v>
      </c>
      <c r="J872" s="1" t="s">
        <v>18</v>
      </c>
    </row>
    <row r="873" spans="1:10" hidden="1" x14ac:dyDescent="0.25">
      <c r="A873" s="1" t="str">
        <f>_xlfn.XLOOKUP(E873,Base!G:G,Base!C:C,"NOVO")</f>
        <v>PENDENTE</v>
      </c>
      <c r="B873" s="1">
        <v>3307681</v>
      </c>
      <c r="C873" s="1" t="s">
        <v>26</v>
      </c>
      <c r="D873" s="2">
        <v>45734.443055555559</v>
      </c>
      <c r="E873" s="1" t="s">
        <v>1640</v>
      </c>
      <c r="F873" s="1" t="s">
        <v>1638</v>
      </c>
      <c r="G873" s="1" t="s">
        <v>1202</v>
      </c>
      <c r="H873" s="2">
        <v>45734.53402777778</v>
      </c>
      <c r="J873" s="1" t="s">
        <v>18</v>
      </c>
    </row>
    <row r="874" spans="1:10" hidden="1" x14ac:dyDescent="0.25">
      <c r="A874" s="1" t="str">
        <f>_xlfn.XLOOKUP(E874,Base!G:G,Base!C:C,"NOVO")</f>
        <v>PENDENTE</v>
      </c>
      <c r="B874" s="1">
        <v>3447084</v>
      </c>
      <c r="C874" s="1" t="s">
        <v>26</v>
      </c>
      <c r="D874" s="2">
        <v>45804.768750000003</v>
      </c>
      <c r="E874" s="1" t="s">
        <v>2471</v>
      </c>
      <c r="F874" s="1" t="s">
        <v>2471</v>
      </c>
      <c r="G874" s="1" t="s">
        <v>707</v>
      </c>
      <c r="H874" s="2">
        <v>45804.856249999997</v>
      </c>
      <c r="J874" s="1" t="s">
        <v>18</v>
      </c>
    </row>
    <row r="875" spans="1:10" hidden="1" x14ac:dyDescent="0.25">
      <c r="A875" s="1" t="str">
        <f>_xlfn.XLOOKUP(E875,Base!G:G,Base!C:C,"NOVO")</f>
        <v>PENDENTE</v>
      </c>
      <c r="B875" s="1">
        <v>3368963</v>
      </c>
      <c r="C875" s="1" t="s">
        <v>26</v>
      </c>
      <c r="D875" s="2">
        <v>45763.481944444444</v>
      </c>
      <c r="E875" s="1" t="s">
        <v>2057</v>
      </c>
      <c r="F875" s="1" t="s">
        <v>2057</v>
      </c>
      <c r="G875" s="1" t="s">
        <v>83</v>
      </c>
      <c r="H875" s="2">
        <v>45763.574999999997</v>
      </c>
      <c r="J875" s="1" t="s">
        <v>18</v>
      </c>
    </row>
    <row r="876" spans="1:10" hidden="1" x14ac:dyDescent="0.25">
      <c r="A876" s="1" t="str">
        <f>_xlfn.XLOOKUP(E876,Base!G:G,Base!C:C,"NOVO")</f>
        <v>PENDENTE</v>
      </c>
      <c r="B876" s="1">
        <v>3290324</v>
      </c>
      <c r="C876" s="1" t="s">
        <v>26</v>
      </c>
      <c r="D876" s="2">
        <v>45726.756944444445</v>
      </c>
      <c r="E876" s="1" t="s">
        <v>1529</v>
      </c>
      <c r="F876" s="1" t="s">
        <v>1529</v>
      </c>
      <c r="G876" s="1" t="s">
        <v>83</v>
      </c>
      <c r="H876" s="2">
        <v>45726.850694444445</v>
      </c>
      <c r="J876" s="1" t="s">
        <v>18</v>
      </c>
    </row>
    <row r="877" spans="1:10" hidden="1" x14ac:dyDescent="0.25">
      <c r="A877" s="1" t="str">
        <f>_xlfn.XLOOKUP(E877,Base!G:G,Base!C:C,"NOVO")</f>
        <v>PENDENTE</v>
      </c>
      <c r="B877" s="1">
        <v>3392114</v>
      </c>
      <c r="C877" s="1" t="s">
        <v>26</v>
      </c>
      <c r="D877" s="2">
        <v>45776.813888888886</v>
      </c>
      <c r="E877" s="1" t="s">
        <v>2247</v>
      </c>
      <c r="F877" s="1" t="s">
        <v>2247</v>
      </c>
      <c r="G877" s="1" t="s">
        <v>83</v>
      </c>
      <c r="H877" s="2">
        <v>45776.907638888886</v>
      </c>
      <c r="J877" s="1" t="s">
        <v>18</v>
      </c>
    </row>
    <row r="878" spans="1:10" hidden="1" x14ac:dyDescent="0.25">
      <c r="A878" s="1" t="str">
        <f>_xlfn.XLOOKUP(E878,Base!G:G,Base!C:C,"NOVO")</f>
        <v>PENDENTE</v>
      </c>
      <c r="B878" s="1">
        <v>3264451</v>
      </c>
      <c r="C878" s="1" t="s">
        <v>26</v>
      </c>
      <c r="D878" s="2">
        <v>45712.636111111111</v>
      </c>
      <c r="E878" s="1" t="s">
        <v>1176</v>
      </c>
      <c r="F878" s="1" t="s">
        <v>1176</v>
      </c>
      <c r="G878" s="1" t="s">
        <v>83</v>
      </c>
      <c r="H878" s="2">
        <v>45712.656944444447</v>
      </c>
      <c r="I878" s="2">
        <v>45712.761805555558</v>
      </c>
      <c r="J878" s="1" t="s">
        <v>18</v>
      </c>
    </row>
    <row r="879" spans="1:10" hidden="1" x14ac:dyDescent="0.25">
      <c r="A879" s="1" t="str">
        <f>_xlfn.XLOOKUP(E879,Base!G:G,Base!C:C,"NOVO")</f>
        <v>PENDENTE</v>
      </c>
      <c r="B879" s="1">
        <v>3293520</v>
      </c>
      <c r="C879" s="1" t="s">
        <v>26</v>
      </c>
      <c r="D879" s="2">
        <v>45734.696527777778</v>
      </c>
      <c r="E879" s="1" t="s">
        <v>1530</v>
      </c>
      <c r="F879" s="1" t="s">
        <v>1530</v>
      </c>
      <c r="G879" s="1" t="s">
        <v>1060</v>
      </c>
      <c r="H879" s="2">
        <v>45727.85833333333</v>
      </c>
      <c r="I879" s="2">
        <v>45734.787499999999</v>
      </c>
      <c r="J879" s="1" t="s">
        <v>18</v>
      </c>
    </row>
    <row r="880" spans="1:10" hidden="1" x14ac:dyDescent="0.25">
      <c r="A880" s="1" t="str">
        <f>_xlfn.XLOOKUP(E880,Base!G:G,Base!C:C,"NOVO")</f>
        <v>PENDENTE</v>
      </c>
      <c r="B880" s="1">
        <v>3388051</v>
      </c>
      <c r="C880" s="1" t="s">
        <v>26</v>
      </c>
      <c r="D880" s="2">
        <v>45775.629166666666</v>
      </c>
      <c r="E880" s="1" t="s">
        <v>2058</v>
      </c>
      <c r="F880" s="1" t="s">
        <v>2058</v>
      </c>
      <c r="G880" s="1" t="s">
        <v>396</v>
      </c>
      <c r="H880" s="2">
        <v>45775.724305555559</v>
      </c>
      <c r="J880" s="1" t="s">
        <v>18</v>
      </c>
    </row>
    <row r="881" spans="1:10" hidden="1" x14ac:dyDescent="0.25">
      <c r="A881" s="1" t="str">
        <f>_xlfn.XLOOKUP(E881,Base!G:G,Base!C:C,"NOVO")</f>
        <v>PENDENTE</v>
      </c>
      <c r="B881" s="1">
        <v>3376182</v>
      </c>
      <c r="C881" s="1" t="s">
        <v>26</v>
      </c>
      <c r="D881" s="2">
        <v>45770.276388888888</v>
      </c>
      <c r="E881" s="1" t="s">
        <v>2059</v>
      </c>
      <c r="F881" s="1" t="s">
        <v>2059</v>
      </c>
      <c r="G881" s="1" t="s">
        <v>408</v>
      </c>
      <c r="H881" s="2">
        <v>45769.731249999997</v>
      </c>
      <c r="I881" s="2">
        <v>45770.366666666669</v>
      </c>
      <c r="J881" s="1" t="s">
        <v>18</v>
      </c>
    </row>
    <row r="882" spans="1:10" hidden="1" x14ac:dyDescent="0.25">
      <c r="A882" s="1" t="str">
        <f>_xlfn.XLOOKUP(E882,Base!G:G,Base!C:C,"NOVO")</f>
        <v>PENDENTE</v>
      </c>
      <c r="B882" s="1">
        <v>3318358</v>
      </c>
      <c r="C882" s="1" t="s">
        <v>26</v>
      </c>
      <c r="D882" s="2">
        <v>45737.770138888889</v>
      </c>
      <c r="E882" s="1" t="s">
        <v>1826</v>
      </c>
      <c r="F882" s="1" t="s">
        <v>1826</v>
      </c>
      <c r="G882" s="1" t="s">
        <v>409</v>
      </c>
      <c r="H882" s="2">
        <v>45737.861805555556</v>
      </c>
      <c r="J882" s="1" t="s">
        <v>18</v>
      </c>
    </row>
    <row r="883" spans="1:10" hidden="1" x14ac:dyDescent="0.25">
      <c r="A883" s="1" t="str">
        <f>_xlfn.XLOOKUP(E883,Base!G:G,Base!C:C,"NOVO")</f>
        <v>PENDENTE</v>
      </c>
      <c r="B883" s="1">
        <v>3357366</v>
      </c>
      <c r="C883" s="1" t="s">
        <v>26</v>
      </c>
      <c r="D883" s="2">
        <v>45756.784722222219</v>
      </c>
      <c r="E883" s="1" t="s">
        <v>2060</v>
      </c>
      <c r="F883" s="1" t="s">
        <v>2060</v>
      </c>
      <c r="G883" s="1" t="s">
        <v>83</v>
      </c>
      <c r="H883" s="2">
        <v>45756.87777777778</v>
      </c>
      <c r="J883" s="1" t="s">
        <v>18</v>
      </c>
    </row>
    <row r="884" spans="1:10" hidden="1" x14ac:dyDescent="0.25">
      <c r="A884" s="1" t="str">
        <f>_xlfn.XLOOKUP(E884,Base!G:G,Base!C:C,"NOVO")</f>
        <v>PENDENTE</v>
      </c>
      <c r="B884" s="1">
        <v>3335266</v>
      </c>
      <c r="C884" s="1" t="s">
        <v>26</v>
      </c>
      <c r="D884" s="2">
        <v>45747.671527777777</v>
      </c>
      <c r="E884" s="1" t="s">
        <v>1827</v>
      </c>
      <c r="F884" s="1" t="s">
        <v>1827</v>
      </c>
      <c r="G884" s="1" t="s">
        <v>410</v>
      </c>
      <c r="H884" s="2">
        <v>45747.763194444444</v>
      </c>
      <c r="J884" s="1" t="s">
        <v>18</v>
      </c>
    </row>
    <row r="885" spans="1:10" hidden="1" x14ac:dyDescent="0.25">
      <c r="A885" s="1" t="str">
        <f>_xlfn.XLOOKUP(E885,Base!G:G,Base!C:C,"NOVO")</f>
        <v>PENDENTE</v>
      </c>
      <c r="B885" s="1">
        <v>3367488</v>
      </c>
      <c r="C885" s="1" t="s">
        <v>26</v>
      </c>
      <c r="D885" s="2">
        <v>45762.784722222219</v>
      </c>
      <c r="E885" s="1" t="s">
        <v>2061</v>
      </c>
      <c r="F885" s="1" t="s">
        <v>2061</v>
      </c>
      <c r="G885" s="1" t="s">
        <v>83</v>
      </c>
      <c r="H885" s="2">
        <v>45762.876388888886</v>
      </c>
      <c r="J885" s="1" t="s">
        <v>18</v>
      </c>
    </row>
    <row r="886" spans="1:10" hidden="1" x14ac:dyDescent="0.25">
      <c r="A886" s="1" t="str">
        <f>_xlfn.XLOOKUP(E886,Base!G:G,Base!C:C,"NOVO")</f>
        <v>PENDENTE</v>
      </c>
      <c r="B886" s="1">
        <v>3356276</v>
      </c>
      <c r="C886" s="1" t="s">
        <v>26</v>
      </c>
      <c r="D886" s="2">
        <v>45756.784722222219</v>
      </c>
      <c r="E886" s="1" t="s">
        <v>2062</v>
      </c>
      <c r="F886" s="1" t="s">
        <v>2062</v>
      </c>
      <c r="G886" s="1" t="s">
        <v>1215</v>
      </c>
      <c r="H886" s="2">
        <v>45756.730555555558</v>
      </c>
      <c r="I886" s="2">
        <v>45756.87777777778</v>
      </c>
      <c r="J886" s="1" t="s">
        <v>18</v>
      </c>
    </row>
    <row r="887" spans="1:10" hidden="1" x14ac:dyDescent="0.25">
      <c r="A887" s="1" t="str">
        <f>_xlfn.XLOOKUP(E887,Base!G:G,Base!C:C,"NOVO")</f>
        <v>PENDENTE</v>
      </c>
      <c r="B887" s="1">
        <v>3400331</v>
      </c>
      <c r="C887" s="1" t="s">
        <v>26</v>
      </c>
      <c r="D887" s="2">
        <v>45782.570833333331</v>
      </c>
      <c r="E887" s="1" t="s">
        <v>2248</v>
      </c>
      <c r="F887" s="1" t="s">
        <v>2248</v>
      </c>
      <c r="G887" s="1" t="s">
        <v>410</v>
      </c>
      <c r="H887" s="2">
        <v>45782.657638888886</v>
      </c>
      <c r="J887" s="1" t="s">
        <v>18</v>
      </c>
    </row>
    <row r="888" spans="1:10" hidden="1" x14ac:dyDescent="0.25">
      <c r="A888" s="1" t="str">
        <f>_xlfn.XLOOKUP(E888,Base!G:G,Base!C:C,"NOVO")</f>
        <v>PENDENTE</v>
      </c>
      <c r="B888" s="1">
        <v>3224547</v>
      </c>
      <c r="C888" s="1" t="s">
        <v>26</v>
      </c>
      <c r="D888" s="2">
        <v>45692.661805555559</v>
      </c>
      <c r="E888" s="1" t="s">
        <v>836</v>
      </c>
      <c r="F888" s="1" t="s">
        <v>837</v>
      </c>
      <c r="G888" s="1" t="s">
        <v>838</v>
      </c>
      <c r="H888" s="2">
        <v>45692.816666666666</v>
      </c>
      <c r="I888" s="2">
        <v>45694.931944444441</v>
      </c>
      <c r="J888" s="1" t="s">
        <v>18</v>
      </c>
    </row>
    <row r="889" spans="1:10" hidden="1" x14ac:dyDescent="0.25">
      <c r="A889" s="1" t="str">
        <f>_xlfn.XLOOKUP(E889,Base!G:G,Base!C:C,"NOVO")</f>
        <v>PENDENTE</v>
      </c>
      <c r="B889" s="1">
        <v>3400332</v>
      </c>
      <c r="C889" s="1" t="s">
        <v>26</v>
      </c>
      <c r="D889" s="2">
        <v>45782.570833333331</v>
      </c>
      <c r="E889" s="1" t="s">
        <v>2249</v>
      </c>
      <c r="F889" s="1" t="s">
        <v>2249</v>
      </c>
      <c r="G889" s="1" t="s">
        <v>410</v>
      </c>
      <c r="H889" s="2">
        <v>45782.657638888886</v>
      </c>
      <c r="J889" s="1" t="s">
        <v>18</v>
      </c>
    </row>
    <row r="890" spans="1:10" hidden="1" x14ac:dyDescent="0.25">
      <c r="A890" s="1" t="str">
        <f>_xlfn.XLOOKUP(E890,Base!G:G,Base!C:C,"NOVO")</f>
        <v>PENDENTE</v>
      </c>
      <c r="B890" s="1">
        <v>3221780</v>
      </c>
      <c r="C890" s="1" t="s">
        <v>26</v>
      </c>
      <c r="D890" s="2">
        <v>45691.709027777775</v>
      </c>
      <c r="E890" s="1" t="s">
        <v>839</v>
      </c>
      <c r="F890" s="1" t="s">
        <v>839</v>
      </c>
      <c r="G890" s="1" t="s">
        <v>840</v>
      </c>
      <c r="H890" s="2">
        <v>45691.835416666669</v>
      </c>
      <c r="J890" s="1" t="s">
        <v>18</v>
      </c>
    </row>
    <row r="891" spans="1:10" hidden="1" x14ac:dyDescent="0.25">
      <c r="A891" s="1" t="str">
        <f>_xlfn.XLOOKUP(E891,Base!G:G,Base!C:C,"NOVO")</f>
        <v>PENDENTE</v>
      </c>
      <c r="B891" s="1">
        <v>3408591</v>
      </c>
      <c r="C891" s="1" t="s">
        <v>26</v>
      </c>
      <c r="D891" s="2">
        <v>45785.45416666667</v>
      </c>
      <c r="E891" s="1" t="s">
        <v>2250</v>
      </c>
      <c r="F891" s="1" t="s">
        <v>2250</v>
      </c>
      <c r="G891" s="1" t="s">
        <v>396</v>
      </c>
      <c r="H891" s="2">
        <v>45785.547222222223</v>
      </c>
      <c r="J891" s="1" t="s">
        <v>18</v>
      </c>
    </row>
    <row r="892" spans="1:10" hidden="1" x14ac:dyDescent="0.25">
      <c r="A892" s="1" t="str">
        <f>_xlfn.XLOOKUP(E892,Base!G:G,Base!C:C,"NOVO")</f>
        <v>PENDENTE</v>
      </c>
      <c r="B892" s="1">
        <v>3221788</v>
      </c>
      <c r="C892" s="1" t="s">
        <v>26</v>
      </c>
      <c r="D892" s="2">
        <v>45691.709027777775</v>
      </c>
      <c r="E892" s="1" t="s">
        <v>841</v>
      </c>
      <c r="F892" s="1" t="s">
        <v>841</v>
      </c>
      <c r="G892" s="1" t="s">
        <v>410</v>
      </c>
      <c r="H892" s="2">
        <v>45691.836805555555</v>
      </c>
      <c r="J892" s="1" t="s">
        <v>18</v>
      </c>
    </row>
    <row r="893" spans="1:10" hidden="1" x14ac:dyDescent="0.25">
      <c r="A893" s="1" t="str">
        <f>_xlfn.XLOOKUP(E893,Base!G:G,Base!C:C,"NOVO")</f>
        <v>PENDENTE</v>
      </c>
      <c r="B893" s="1">
        <v>3314855</v>
      </c>
      <c r="C893" s="1" t="s">
        <v>26</v>
      </c>
      <c r="D893" s="2">
        <v>45736.708333333336</v>
      </c>
      <c r="E893" s="1" t="s">
        <v>1828</v>
      </c>
      <c r="F893" s="1" t="s">
        <v>1828</v>
      </c>
      <c r="G893" s="1" t="s">
        <v>707</v>
      </c>
      <c r="H893" s="2">
        <v>45736.79791666667</v>
      </c>
      <c r="J893" s="1" t="s">
        <v>18</v>
      </c>
    </row>
    <row r="894" spans="1:10" hidden="1" x14ac:dyDescent="0.25">
      <c r="A894" s="1" t="str">
        <f>_xlfn.XLOOKUP(E894,Base!G:G,Base!C:C,"NOVO")</f>
        <v>PENDENTE</v>
      </c>
      <c r="B894" s="1">
        <v>3330635</v>
      </c>
      <c r="C894" s="1" t="s">
        <v>26</v>
      </c>
      <c r="D894" s="2">
        <v>45744.392361111109</v>
      </c>
      <c r="E894" s="1" t="s">
        <v>1829</v>
      </c>
      <c r="F894" s="1" t="s">
        <v>1830</v>
      </c>
      <c r="G894" s="1" t="s">
        <v>64</v>
      </c>
      <c r="H894" s="2">
        <v>45744.480555555558</v>
      </c>
      <c r="J894" s="1" t="s">
        <v>1244</v>
      </c>
    </row>
    <row r="895" spans="1:10" hidden="1" x14ac:dyDescent="0.25">
      <c r="A895" s="1" t="str">
        <f>_xlfn.XLOOKUP(E895,Base!G:G,Base!C:C,"NOVO")</f>
        <v>PENDENTE</v>
      </c>
      <c r="B895" s="1">
        <v>3221792</v>
      </c>
      <c r="C895" s="1" t="s">
        <v>26</v>
      </c>
      <c r="D895" s="2">
        <v>45691.709027777775</v>
      </c>
      <c r="E895" s="1" t="s">
        <v>842</v>
      </c>
      <c r="F895" s="1" t="s">
        <v>842</v>
      </c>
      <c r="G895" s="1" t="s">
        <v>589</v>
      </c>
      <c r="H895" s="2">
        <v>45691.837500000001</v>
      </c>
      <c r="J895" s="1" t="s">
        <v>18</v>
      </c>
    </row>
    <row r="896" spans="1:10" hidden="1" x14ac:dyDescent="0.25">
      <c r="A896" s="1" t="str">
        <f>_xlfn.XLOOKUP(E896,Base!G:G,Base!C:C,"NOVO")</f>
        <v>PENDENTE</v>
      </c>
      <c r="B896" s="1">
        <v>3268280</v>
      </c>
      <c r="C896" s="1" t="s">
        <v>26</v>
      </c>
      <c r="D896" s="2">
        <v>45713.710416666669</v>
      </c>
      <c r="E896" s="1" t="s">
        <v>1313</v>
      </c>
      <c r="F896" s="1" t="s">
        <v>1313</v>
      </c>
      <c r="G896" s="1" t="s">
        <v>83</v>
      </c>
      <c r="H896" s="2">
        <v>45713.741666666669</v>
      </c>
      <c r="I896" s="2">
        <v>45713.845138888886</v>
      </c>
      <c r="J896" s="1" t="s">
        <v>18</v>
      </c>
    </row>
    <row r="897" spans="1:10" hidden="1" x14ac:dyDescent="0.25">
      <c r="A897" s="1" t="str">
        <f>_xlfn.XLOOKUP(E897,Base!G:G,Base!C:C,"NOVO")</f>
        <v>PENDENTE</v>
      </c>
      <c r="B897" s="1">
        <v>3385372</v>
      </c>
      <c r="C897" s="1" t="s">
        <v>26</v>
      </c>
      <c r="D897" s="2">
        <v>45799.784722222219</v>
      </c>
      <c r="E897" s="1" t="s">
        <v>2063</v>
      </c>
      <c r="F897" s="1" t="s">
        <v>2063</v>
      </c>
      <c r="G897" s="1" t="s">
        <v>83</v>
      </c>
      <c r="H897" s="2">
        <v>45772.816666666666</v>
      </c>
      <c r="I897" s="2">
        <v>45799.878472222219</v>
      </c>
      <c r="J897" s="1" t="s">
        <v>18</v>
      </c>
    </row>
    <row r="898" spans="1:10" hidden="1" x14ac:dyDescent="0.25">
      <c r="A898" s="1" t="str">
        <f>_xlfn.XLOOKUP(E898,Base!G:G,Base!C:C,"NOVO")</f>
        <v>PENDENTE</v>
      </c>
      <c r="B898" s="1">
        <v>3221797</v>
      </c>
      <c r="C898" s="1" t="s">
        <v>26</v>
      </c>
      <c r="D898" s="2">
        <v>45691.709027777775</v>
      </c>
      <c r="E898" s="1" t="s">
        <v>843</v>
      </c>
      <c r="F898" s="1" t="s">
        <v>843</v>
      </c>
      <c r="G898" s="1" t="s">
        <v>83</v>
      </c>
      <c r="H898" s="2">
        <v>45691.838194444441</v>
      </c>
      <c r="J898" s="1" t="s">
        <v>18</v>
      </c>
    </row>
    <row r="899" spans="1:10" hidden="1" x14ac:dyDescent="0.25">
      <c r="A899" s="1" t="str">
        <f>_xlfn.XLOOKUP(E899,Base!G:G,Base!C:C,"NOVO")</f>
        <v>PENDENTE</v>
      </c>
      <c r="B899" s="1">
        <v>3319364</v>
      </c>
      <c r="C899" s="1" t="s">
        <v>26</v>
      </c>
      <c r="D899" s="2">
        <v>45740.448611111111</v>
      </c>
      <c r="E899" s="1" t="s">
        <v>1831</v>
      </c>
      <c r="F899" s="1" t="s">
        <v>1831</v>
      </c>
      <c r="G899" s="1" t="s">
        <v>83</v>
      </c>
      <c r="H899" s="2">
        <v>45740.536111111112</v>
      </c>
      <c r="J899" s="1" t="s">
        <v>18</v>
      </c>
    </row>
    <row r="900" spans="1:10" hidden="1" x14ac:dyDescent="0.25">
      <c r="A900" s="1" t="str">
        <f>_xlfn.XLOOKUP(E900,Base!G:G,Base!C:C,"NOVO")</f>
        <v>PENDENTE</v>
      </c>
      <c r="B900" s="1">
        <v>3466804</v>
      </c>
      <c r="C900" s="1" t="s">
        <v>26</v>
      </c>
      <c r="D900" s="2">
        <v>45813.590277777781</v>
      </c>
      <c r="E900" s="1" t="s">
        <v>2619</v>
      </c>
      <c r="F900" s="1" t="s">
        <v>2619</v>
      </c>
      <c r="G900" s="1" t="s">
        <v>169</v>
      </c>
      <c r="H900" s="2">
        <v>45813.678472222222</v>
      </c>
      <c r="J900" s="1" t="s">
        <v>18</v>
      </c>
    </row>
    <row r="901" spans="1:10" hidden="1" x14ac:dyDescent="0.25">
      <c r="A901" s="1" t="str">
        <f>_xlfn.XLOOKUP(E901,Base!G:G,Base!C:C,"NOVO")</f>
        <v>PENDENTE</v>
      </c>
      <c r="B901" s="1">
        <v>3220285</v>
      </c>
      <c r="C901" s="1" t="s">
        <v>26</v>
      </c>
      <c r="D901" s="2">
        <v>45691.480555555558</v>
      </c>
      <c r="E901" s="1" t="s">
        <v>844</v>
      </c>
      <c r="F901" s="1" t="s">
        <v>844</v>
      </c>
      <c r="G901" s="1" t="s">
        <v>410</v>
      </c>
      <c r="H901" s="2">
        <v>45691.616666666669</v>
      </c>
      <c r="J901" s="1" t="s">
        <v>18</v>
      </c>
    </row>
    <row r="902" spans="1:10" hidden="1" x14ac:dyDescent="0.25">
      <c r="A902" s="1" t="str">
        <f>_xlfn.XLOOKUP(E902,Base!G:G,Base!C:C,"NOVO")</f>
        <v>PENDENTE</v>
      </c>
      <c r="B902" s="1">
        <v>3220287</v>
      </c>
      <c r="C902" s="1" t="s">
        <v>26</v>
      </c>
      <c r="D902" s="2">
        <v>45691.480555555558</v>
      </c>
      <c r="E902" s="1" t="s">
        <v>845</v>
      </c>
      <c r="F902" s="1" t="s">
        <v>845</v>
      </c>
      <c r="G902" s="1" t="s">
        <v>410</v>
      </c>
      <c r="H902" s="2">
        <v>45691.616666666669</v>
      </c>
      <c r="J902" s="1" t="s">
        <v>18</v>
      </c>
    </row>
    <row r="903" spans="1:10" hidden="1" x14ac:dyDescent="0.25">
      <c r="A903" s="1" t="str">
        <f>_xlfn.XLOOKUP(E903,Base!G:G,Base!C:C,"NOVO")</f>
        <v>PENDENTE</v>
      </c>
      <c r="B903" s="1">
        <v>3414698</v>
      </c>
      <c r="C903" s="1" t="s">
        <v>26</v>
      </c>
      <c r="D903" s="2">
        <v>45789.506944444445</v>
      </c>
      <c r="E903" s="1" t="s">
        <v>2331</v>
      </c>
      <c r="F903" s="1" t="s">
        <v>2331</v>
      </c>
      <c r="G903" s="1" t="s">
        <v>83</v>
      </c>
      <c r="H903" s="2">
        <v>45789.598611111112</v>
      </c>
      <c r="J903" s="1" t="s">
        <v>18</v>
      </c>
    </row>
    <row r="904" spans="1:10" hidden="1" x14ac:dyDescent="0.25">
      <c r="A904" s="1" t="str">
        <f>_xlfn.XLOOKUP(E904,Base!G:G,Base!C:C,"NOVO")</f>
        <v>PENDENTE</v>
      </c>
      <c r="B904" s="1">
        <v>3357288</v>
      </c>
      <c r="C904" s="1" t="s">
        <v>26</v>
      </c>
      <c r="D904" s="2">
        <v>45756.78125</v>
      </c>
      <c r="E904" s="1" t="s">
        <v>2064</v>
      </c>
      <c r="F904" s="1" t="s">
        <v>2064</v>
      </c>
      <c r="G904" s="1" t="s">
        <v>83</v>
      </c>
      <c r="H904" s="2">
        <v>45756.865277777775</v>
      </c>
      <c r="J904" s="1" t="s">
        <v>18</v>
      </c>
    </row>
    <row r="905" spans="1:10" hidden="1" x14ac:dyDescent="0.25">
      <c r="A905" s="1" t="str">
        <f>_xlfn.XLOOKUP(E905,Base!G:G,Base!C:C,"NOVO")</f>
        <v>PENDENTE</v>
      </c>
      <c r="B905" s="1">
        <v>3282130</v>
      </c>
      <c r="C905" s="1" t="s">
        <v>26</v>
      </c>
      <c r="D905" s="2">
        <v>45722.275694444441</v>
      </c>
      <c r="E905" s="1" t="s">
        <v>1314</v>
      </c>
      <c r="F905" s="1" t="s">
        <v>1315</v>
      </c>
      <c r="G905" s="1" t="s">
        <v>64</v>
      </c>
      <c r="H905" s="2">
        <v>45722.409722222219</v>
      </c>
      <c r="J905" s="1" t="s">
        <v>1244</v>
      </c>
    </row>
    <row r="906" spans="1:10" hidden="1" x14ac:dyDescent="0.25">
      <c r="A906" s="1" t="str">
        <f>_xlfn.XLOOKUP(E906,Base!G:G,Base!C:C,"NOVO")</f>
        <v>PENDENTE</v>
      </c>
      <c r="B906" s="1">
        <v>3405538</v>
      </c>
      <c r="C906" s="1" t="s">
        <v>26</v>
      </c>
      <c r="D906" s="2">
        <v>45784.464583333334</v>
      </c>
      <c r="E906" s="1" t="s">
        <v>2251</v>
      </c>
      <c r="F906" s="1" t="s">
        <v>2251</v>
      </c>
      <c r="G906" s="1" t="s">
        <v>83</v>
      </c>
      <c r="H906" s="2">
        <v>45784.503472222219</v>
      </c>
      <c r="I906" s="2">
        <v>45784.554166666669</v>
      </c>
      <c r="J906" s="1" t="s">
        <v>18</v>
      </c>
    </row>
    <row r="907" spans="1:10" hidden="1" x14ac:dyDescent="0.25">
      <c r="A907" s="1" t="str">
        <f>_xlfn.XLOOKUP(E907,Base!G:G,Base!C:C,"NOVO")</f>
        <v>PENDENTE</v>
      </c>
      <c r="B907" s="1">
        <v>3290275</v>
      </c>
      <c r="C907" s="1" t="s">
        <v>26</v>
      </c>
      <c r="D907" s="2">
        <v>45727.412499999999</v>
      </c>
      <c r="E907" s="1" t="s">
        <v>1531</v>
      </c>
      <c r="F907" s="1" t="s">
        <v>1531</v>
      </c>
      <c r="G907" s="1" t="s">
        <v>1532</v>
      </c>
      <c r="H907" s="2">
        <v>45726.835416666669</v>
      </c>
      <c r="I907" s="2">
        <v>45727.502083333333</v>
      </c>
      <c r="J907" s="1" t="s">
        <v>18</v>
      </c>
    </row>
    <row r="908" spans="1:10" hidden="1" x14ac:dyDescent="0.25">
      <c r="A908" s="1" t="str">
        <f>_xlfn.XLOOKUP(E908,Base!G:G,Base!C:C,"NOVO")</f>
        <v>PENDENTE</v>
      </c>
      <c r="B908" s="1">
        <v>3290323</v>
      </c>
      <c r="C908" s="1" t="s">
        <v>26</v>
      </c>
      <c r="D908" s="2">
        <v>45726.756944444445</v>
      </c>
      <c r="E908" s="1" t="s">
        <v>1533</v>
      </c>
      <c r="F908" s="1" t="s">
        <v>1533</v>
      </c>
      <c r="G908" s="1" t="s">
        <v>83</v>
      </c>
      <c r="H908" s="2">
        <v>45726.850694444445</v>
      </c>
      <c r="J908" s="1" t="s">
        <v>18</v>
      </c>
    </row>
    <row r="909" spans="1:10" hidden="1" x14ac:dyDescent="0.25">
      <c r="A909" s="1" t="str">
        <f>_xlfn.XLOOKUP(E909,Base!G:G,Base!C:C,"NOVO")</f>
        <v>PENDENTE</v>
      </c>
      <c r="B909" s="1">
        <v>3274107</v>
      </c>
      <c r="C909" s="1" t="s">
        <v>26</v>
      </c>
      <c r="D909" s="2">
        <v>45721.758333333331</v>
      </c>
      <c r="E909" s="1" t="s">
        <v>1316</v>
      </c>
      <c r="F909" s="1" t="s">
        <v>1316</v>
      </c>
      <c r="G909" s="1" t="s">
        <v>829</v>
      </c>
      <c r="H909" s="2">
        <v>45715.804166666669</v>
      </c>
      <c r="I909" s="2">
        <v>45721.892361111109</v>
      </c>
      <c r="J909" s="1" t="s">
        <v>18</v>
      </c>
    </row>
    <row r="910" spans="1:10" hidden="1" x14ac:dyDescent="0.25">
      <c r="A910" s="1" t="str">
        <f>_xlfn.XLOOKUP(E910,Base!G:G,Base!C:C,"NOVO")</f>
        <v>PENDENTE</v>
      </c>
      <c r="B910" s="1">
        <v>3423558</v>
      </c>
      <c r="C910" s="1" t="s">
        <v>26</v>
      </c>
      <c r="D910" s="2">
        <v>45792.669444444444</v>
      </c>
      <c r="E910" s="1" t="s">
        <v>2472</v>
      </c>
      <c r="F910" s="1" t="s">
        <v>2472</v>
      </c>
      <c r="G910" s="1" t="s">
        <v>746</v>
      </c>
      <c r="H910" s="2">
        <v>45792.763888888891</v>
      </c>
      <c r="J910" s="1" t="s">
        <v>18</v>
      </c>
    </row>
    <row r="911" spans="1:10" hidden="1" x14ac:dyDescent="0.25">
      <c r="A911" s="1" t="str">
        <f>_xlfn.XLOOKUP(E911,Base!G:G,Base!C:C,"NOVO")</f>
        <v>PENDENTE</v>
      </c>
      <c r="B911" s="1">
        <v>3249128</v>
      </c>
      <c r="C911" s="1" t="s">
        <v>26</v>
      </c>
      <c r="D911" s="2">
        <v>45702.765277777777</v>
      </c>
      <c r="E911" s="1" t="s">
        <v>1177</v>
      </c>
      <c r="F911" s="1" t="s">
        <v>1177</v>
      </c>
      <c r="G911" s="1" t="s">
        <v>83</v>
      </c>
      <c r="H911" s="2">
        <v>45702.897916666669</v>
      </c>
      <c r="J911" s="1" t="s">
        <v>18</v>
      </c>
    </row>
    <row r="912" spans="1:10" hidden="1" x14ac:dyDescent="0.25">
      <c r="A912" s="1" t="str">
        <f>_xlfn.XLOOKUP(E912,Base!G:G,Base!C:C,"NOVO")</f>
        <v>PENDENTE</v>
      </c>
      <c r="B912" s="1">
        <v>3330249</v>
      </c>
      <c r="C912" s="1" t="s">
        <v>26</v>
      </c>
      <c r="D912" s="2">
        <v>45776.813888888886</v>
      </c>
      <c r="E912" s="1" t="s">
        <v>1832</v>
      </c>
      <c r="F912" s="1" t="s">
        <v>1832</v>
      </c>
      <c r="G912" s="1" t="s">
        <v>620</v>
      </c>
      <c r="H912" s="2">
        <v>45744.336111111108</v>
      </c>
      <c r="I912" s="2">
        <v>45776.908333333333</v>
      </c>
      <c r="J912" s="1" t="s">
        <v>18</v>
      </c>
    </row>
    <row r="913" spans="1:10" hidden="1" x14ac:dyDescent="0.25">
      <c r="A913" s="1" t="str">
        <f>_xlfn.XLOOKUP(E913,Base!G:G,Base!C:C,"NOVO")</f>
        <v>PENDENTE</v>
      </c>
      <c r="B913" s="1">
        <v>3246354</v>
      </c>
      <c r="C913" s="1" t="s">
        <v>26</v>
      </c>
      <c r="D913" s="2">
        <v>45702.295138888891</v>
      </c>
      <c r="E913" s="1" t="s">
        <v>1178</v>
      </c>
      <c r="F913" s="1" t="s">
        <v>1179</v>
      </c>
      <c r="G913" s="1" t="s">
        <v>1180</v>
      </c>
      <c r="H913" s="2">
        <v>45702.430555555555</v>
      </c>
      <c r="J913" s="1" t="s">
        <v>18</v>
      </c>
    </row>
    <row r="914" spans="1:10" hidden="1" x14ac:dyDescent="0.25">
      <c r="A914" s="1" t="str">
        <f>_xlfn.XLOOKUP(E914,Base!G:G,Base!C:C,"NOVO")</f>
        <v>PENDENTE</v>
      </c>
      <c r="B914" s="1">
        <v>3353891</v>
      </c>
      <c r="C914" s="1" t="s">
        <v>26</v>
      </c>
      <c r="D914" s="2">
        <v>45756.618750000001</v>
      </c>
      <c r="E914" s="1" t="s">
        <v>1833</v>
      </c>
      <c r="F914" s="1" t="s">
        <v>1833</v>
      </c>
      <c r="G914" s="1" t="s">
        <v>1761</v>
      </c>
      <c r="H914" s="2">
        <v>45755.762499999997</v>
      </c>
      <c r="I914" s="2">
        <v>45756.713888888888</v>
      </c>
      <c r="J914" s="1" t="s">
        <v>18</v>
      </c>
    </row>
    <row r="915" spans="1:10" hidden="1" x14ac:dyDescent="0.25">
      <c r="A915" s="1" t="str">
        <f>_xlfn.XLOOKUP(E915,Base!G:G,Base!C:C,"NOVO")</f>
        <v>PENDENTE</v>
      </c>
      <c r="B915" s="1">
        <v>3318350</v>
      </c>
      <c r="C915" s="1" t="s">
        <v>26</v>
      </c>
      <c r="D915" s="2">
        <v>45737.770138888889</v>
      </c>
      <c r="E915" s="1" t="s">
        <v>1834</v>
      </c>
      <c r="F915" s="1" t="s">
        <v>1834</v>
      </c>
      <c r="G915" s="1" t="s">
        <v>410</v>
      </c>
      <c r="H915" s="2">
        <v>45737.861805555556</v>
      </c>
      <c r="J915" s="1" t="s">
        <v>18</v>
      </c>
    </row>
    <row r="916" spans="1:10" hidden="1" x14ac:dyDescent="0.25">
      <c r="A916" s="1" t="str">
        <f>_xlfn.XLOOKUP(E916,Base!G:G,Base!C:C,"NOVO")</f>
        <v>PENDENTE</v>
      </c>
      <c r="B916" s="1">
        <v>3375363</v>
      </c>
      <c r="C916" s="1" t="s">
        <v>26</v>
      </c>
      <c r="D916" s="2">
        <v>45769.407638888886</v>
      </c>
      <c r="E916" s="1" t="s">
        <v>2065</v>
      </c>
      <c r="F916" s="1" t="s">
        <v>2065</v>
      </c>
      <c r="G916" s="1" t="s">
        <v>1974</v>
      </c>
      <c r="H916" s="2">
        <v>45769.502083333333</v>
      </c>
      <c r="J916" s="1" t="s">
        <v>18</v>
      </c>
    </row>
    <row r="917" spans="1:10" hidden="1" x14ac:dyDescent="0.25">
      <c r="A917" s="1" t="str">
        <f>_xlfn.XLOOKUP(E917,Base!G:G,Base!C:C,"NOVO")</f>
        <v>PENDENTE</v>
      </c>
      <c r="B917" s="1">
        <v>3364621</v>
      </c>
      <c r="C917" s="1" t="s">
        <v>26</v>
      </c>
      <c r="D917" s="2">
        <v>45761.668749999997</v>
      </c>
      <c r="E917" s="1" t="s">
        <v>2066</v>
      </c>
      <c r="F917" s="1" t="s">
        <v>2067</v>
      </c>
      <c r="G917" s="1" t="s">
        <v>85</v>
      </c>
      <c r="H917" s="2">
        <v>45761.761111111111</v>
      </c>
      <c r="J917" s="1" t="s">
        <v>18</v>
      </c>
    </row>
    <row r="918" spans="1:10" hidden="1" x14ac:dyDescent="0.25">
      <c r="A918" s="1" t="str">
        <f>_xlfn.XLOOKUP(E918,Base!G:G,Base!C:C,"NOVO")</f>
        <v>PENDENTE</v>
      </c>
      <c r="B918" s="1">
        <v>3322160</v>
      </c>
      <c r="C918" s="1" t="s">
        <v>26</v>
      </c>
      <c r="D918" s="2">
        <v>45776.415277777778</v>
      </c>
      <c r="E918" s="1" t="s">
        <v>1835</v>
      </c>
      <c r="F918" s="1" t="s">
        <v>1835</v>
      </c>
      <c r="G918" s="1" t="s">
        <v>620</v>
      </c>
      <c r="H918" s="2">
        <v>45741.482638888891</v>
      </c>
      <c r="I918" s="2">
        <v>45776.503472222219</v>
      </c>
      <c r="J918" s="1" t="s">
        <v>18</v>
      </c>
    </row>
    <row r="919" spans="1:10" hidden="1" x14ac:dyDescent="0.25">
      <c r="A919" s="1" t="str">
        <f>_xlfn.XLOOKUP(E919,Base!G:G,Base!C:C,"NOVO")</f>
        <v>PENDENTE</v>
      </c>
      <c r="B919" s="1">
        <v>3330247</v>
      </c>
      <c r="C919" s="1" t="s">
        <v>26</v>
      </c>
      <c r="D919" s="2">
        <v>45776.813888888886</v>
      </c>
      <c r="E919" s="1" t="s">
        <v>1836</v>
      </c>
      <c r="F919" s="1" t="s">
        <v>1836</v>
      </c>
      <c r="G919" s="1" t="s">
        <v>620</v>
      </c>
      <c r="H919" s="2">
        <v>45744.336111111108</v>
      </c>
      <c r="I919" s="2">
        <v>45776.908333333333</v>
      </c>
      <c r="J919" s="1" t="s">
        <v>18</v>
      </c>
    </row>
    <row r="920" spans="1:10" x14ac:dyDescent="0.25">
      <c r="A920" s="1" t="str">
        <f>_xlfn.XLOOKUP(E920,Base!G:G,Base!C:C,"NOVO")</f>
        <v>PENDENTE</v>
      </c>
      <c r="B920" s="1">
        <v>3484400</v>
      </c>
      <c r="C920" s="1" t="s">
        <v>26</v>
      </c>
      <c r="D920" s="2">
        <v>45824.462500000001</v>
      </c>
      <c r="E920" s="1" t="s">
        <v>2736</v>
      </c>
      <c r="F920" s="1" t="s">
        <v>2736</v>
      </c>
      <c r="G920" s="1" t="s">
        <v>411</v>
      </c>
      <c r="H920" s="2">
        <v>45824.552777777775</v>
      </c>
      <c r="J920" s="1" t="s">
        <v>18</v>
      </c>
    </row>
    <row r="921" spans="1:10" hidden="1" x14ac:dyDescent="0.25">
      <c r="A921" s="1" t="str">
        <f>_xlfn.XLOOKUP(E921,Base!G:G,Base!C:C,"NOVO")</f>
        <v>PENDENTE</v>
      </c>
      <c r="B921" s="1">
        <v>3273228</v>
      </c>
      <c r="C921" s="1" t="s">
        <v>26</v>
      </c>
      <c r="D921" s="2">
        <v>45715.59375</v>
      </c>
      <c r="E921" s="1" t="s">
        <v>1317</v>
      </c>
      <c r="F921" s="1" t="s">
        <v>1318</v>
      </c>
      <c r="G921" s="1" t="s">
        <v>85</v>
      </c>
      <c r="H921" s="2">
        <v>45715.722222222219</v>
      </c>
      <c r="J921" s="1" t="s">
        <v>18</v>
      </c>
    </row>
    <row r="922" spans="1:10" hidden="1" x14ac:dyDescent="0.25">
      <c r="A922" s="1" t="str">
        <f>_xlfn.XLOOKUP(E922,Base!G:G,Base!C:C,"NOVO")</f>
        <v>PENDENTE</v>
      </c>
      <c r="B922" s="1">
        <v>3288751</v>
      </c>
      <c r="C922" s="1" t="s">
        <v>26</v>
      </c>
      <c r="D922" s="2">
        <v>45742.662499999999</v>
      </c>
      <c r="E922" s="1" t="s">
        <v>1534</v>
      </c>
      <c r="F922" s="1" t="s">
        <v>1534</v>
      </c>
      <c r="G922" s="1" t="s">
        <v>652</v>
      </c>
      <c r="H922" s="2">
        <v>45726.57708333333</v>
      </c>
      <c r="I922" s="2">
        <v>45742.754861111112</v>
      </c>
      <c r="J922" s="1" t="s">
        <v>18</v>
      </c>
    </row>
    <row r="923" spans="1:10" hidden="1" x14ac:dyDescent="0.25">
      <c r="A923" s="1" t="str">
        <f>_xlfn.XLOOKUP(E923,Base!G:G,Base!C:C,"NOVO")</f>
        <v>PENDENTE</v>
      </c>
      <c r="B923" s="1">
        <v>3373506</v>
      </c>
      <c r="C923" s="1" t="s">
        <v>26</v>
      </c>
      <c r="D923" s="2">
        <v>45764.701388888891</v>
      </c>
      <c r="E923" s="1" t="s">
        <v>2068</v>
      </c>
      <c r="F923" s="1" t="s">
        <v>2068</v>
      </c>
      <c r="G923" s="1" t="s">
        <v>829</v>
      </c>
      <c r="H923" s="2">
        <v>45764.79791666667</v>
      </c>
      <c r="J923" s="1" t="s">
        <v>18</v>
      </c>
    </row>
    <row r="924" spans="1:10" hidden="1" x14ac:dyDescent="0.25">
      <c r="A924" s="1" t="str">
        <f>_xlfn.XLOOKUP(E924,Base!G:G,Base!C:C,"NOVO")</f>
        <v>PENDENTE</v>
      </c>
      <c r="B924" s="1">
        <v>3334041</v>
      </c>
      <c r="C924" s="1" t="s">
        <v>26</v>
      </c>
      <c r="D924" s="2">
        <v>45747.52847222222</v>
      </c>
      <c r="E924" s="1" t="s">
        <v>1837</v>
      </c>
      <c r="F924" s="1" t="s">
        <v>1837</v>
      </c>
      <c r="G924" s="1" t="s">
        <v>396</v>
      </c>
      <c r="H924" s="2">
        <v>45747.617361111108</v>
      </c>
      <c r="J924" s="1" t="s">
        <v>18</v>
      </c>
    </row>
    <row r="925" spans="1:10" hidden="1" x14ac:dyDescent="0.25">
      <c r="A925" s="1" t="str">
        <f>_xlfn.XLOOKUP(E925,Base!G:G,Base!C:C,"NOVO")</f>
        <v>PENDENTE</v>
      </c>
      <c r="B925" s="1">
        <v>3440904</v>
      </c>
      <c r="C925" s="1" t="s">
        <v>26</v>
      </c>
      <c r="D925" s="2">
        <v>45800.738194444442</v>
      </c>
      <c r="E925" s="1" t="s">
        <v>2473</v>
      </c>
      <c r="F925" s="1" t="s">
        <v>2473</v>
      </c>
      <c r="G925" s="1" t="s">
        <v>622</v>
      </c>
      <c r="H925" s="2">
        <v>45800.827777777777</v>
      </c>
      <c r="J925" s="1" t="s">
        <v>14</v>
      </c>
    </row>
    <row r="926" spans="1:10" hidden="1" x14ac:dyDescent="0.25">
      <c r="A926" s="1" t="str">
        <f>_xlfn.XLOOKUP(E926,Base!G:G,Base!C:C,"NOVO")</f>
        <v>PENDENTE</v>
      </c>
      <c r="B926" s="1">
        <v>3333730</v>
      </c>
      <c r="C926" s="1" t="s">
        <v>26</v>
      </c>
      <c r="D926" s="2">
        <v>45777.469444444447</v>
      </c>
      <c r="E926" s="1" t="s">
        <v>1838</v>
      </c>
      <c r="F926" s="1" t="s">
        <v>1838</v>
      </c>
      <c r="G926" s="1" t="s">
        <v>83</v>
      </c>
      <c r="H926" s="2">
        <v>45747.482638888891</v>
      </c>
      <c r="I926" s="2">
        <v>45777.556250000001</v>
      </c>
      <c r="J926" s="1" t="s">
        <v>18</v>
      </c>
    </row>
    <row r="927" spans="1:10" x14ac:dyDescent="0.25">
      <c r="A927" s="1" t="str">
        <f>_xlfn.XLOOKUP(E927,Base!G:G,Base!C:C,"NOVO")</f>
        <v>PENDENTE</v>
      </c>
      <c r="B927" s="1">
        <v>3478431</v>
      </c>
      <c r="C927" s="1" t="s">
        <v>26</v>
      </c>
      <c r="D927" s="2">
        <v>45820.40347222222</v>
      </c>
      <c r="E927" s="1" t="s">
        <v>2737</v>
      </c>
      <c r="F927" s="1" t="s">
        <v>2737</v>
      </c>
      <c r="G927" s="1" t="s">
        <v>396</v>
      </c>
      <c r="H927" s="2">
        <v>45820.491666666669</v>
      </c>
      <c r="J927" s="1" t="s">
        <v>18</v>
      </c>
    </row>
    <row r="928" spans="1:10" hidden="1" x14ac:dyDescent="0.25">
      <c r="A928" s="1" t="str">
        <f>_xlfn.XLOOKUP(E928,Base!G:G,Base!C:C,"NOVO")</f>
        <v>PENDENTE</v>
      </c>
      <c r="B928" s="1">
        <v>3415947</v>
      </c>
      <c r="C928" s="1" t="s">
        <v>26</v>
      </c>
      <c r="D928" s="2">
        <v>45789.773611111108</v>
      </c>
      <c r="E928" s="1" t="s">
        <v>2332</v>
      </c>
      <c r="F928" s="1" t="s">
        <v>2332</v>
      </c>
      <c r="G928" s="1" t="s">
        <v>1280</v>
      </c>
      <c r="H928" s="2">
        <v>45789.865972222222</v>
      </c>
      <c r="J928" s="1" t="s">
        <v>18</v>
      </c>
    </row>
    <row r="929" spans="1:10" hidden="1" x14ac:dyDescent="0.25">
      <c r="A929" s="1" t="str">
        <f>_xlfn.XLOOKUP(E929,Base!G:G,Base!C:C,"NOVO")</f>
        <v>PENDENTE</v>
      </c>
      <c r="B929" s="1">
        <v>3276711</v>
      </c>
      <c r="C929" s="1" t="s">
        <v>26</v>
      </c>
      <c r="D929" s="2">
        <v>45716.657638888886</v>
      </c>
      <c r="E929" s="1" t="s">
        <v>1319</v>
      </c>
      <c r="F929" s="1" t="s">
        <v>1319</v>
      </c>
      <c r="G929" s="1" t="s">
        <v>1280</v>
      </c>
      <c r="H929" s="2">
        <v>45716.795138888891</v>
      </c>
      <c r="J929" s="1" t="s">
        <v>18</v>
      </c>
    </row>
    <row r="930" spans="1:10" hidden="1" x14ac:dyDescent="0.25">
      <c r="A930" s="1" t="str">
        <f>_xlfn.XLOOKUP(E930,Base!G:G,Base!C:C,"NOVO")</f>
        <v>PENDENTE</v>
      </c>
      <c r="B930" s="1">
        <v>3453467</v>
      </c>
      <c r="C930" s="1" t="s">
        <v>26</v>
      </c>
      <c r="D930" s="2">
        <v>45807.536805555559</v>
      </c>
      <c r="E930" s="1" t="s">
        <v>2567</v>
      </c>
      <c r="F930" s="1" t="s">
        <v>2567</v>
      </c>
      <c r="G930" s="1" t="s">
        <v>746</v>
      </c>
      <c r="H930" s="2">
        <v>45807.62777777778</v>
      </c>
      <c r="J930" s="1" t="s">
        <v>18</v>
      </c>
    </row>
    <row r="931" spans="1:10" hidden="1" x14ac:dyDescent="0.25">
      <c r="A931" s="1" t="str">
        <f>_xlfn.XLOOKUP(E931,Base!G:G,Base!C:C,"NOVO")</f>
        <v>PENDENTE</v>
      </c>
      <c r="B931" s="1">
        <v>3316792</v>
      </c>
      <c r="C931" s="1" t="s">
        <v>26</v>
      </c>
      <c r="D931" s="2">
        <v>45737.52847222222</v>
      </c>
      <c r="E931" s="1" t="s">
        <v>1839</v>
      </c>
      <c r="F931" s="1" t="s">
        <v>1840</v>
      </c>
      <c r="G931" s="1" t="s">
        <v>64</v>
      </c>
      <c r="H931" s="2">
        <v>45737.618055555555</v>
      </c>
      <c r="J931" s="1" t="s">
        <v>1244</v>
      </c>
    </row>
    <row r="932" spans="1:10" hidden="1" x14ac:dyDescent="0.25">
      <c r="A932" s="1" t="str">
        <f>_xlfn.XLOOKUP(E932,Base!G:G,Base!C:C,"NOVO")</f>
        <v>PENDENTE</v>
      </c>
      <c r="B932" s="1">
        <v>3423562</v>
      </c>
      <c r="C932" s="1" t="s">
        <v>26</v>
      </c>
      <c r="D932" s="2">
        <v>45793.406944444447</v>
      </c>
      <c r="E932" s="1" t="s">
        <v>2474</v>
      </c>
      <c r="F932" s="1" t="s">
        <v>2474</v>
      </c>
      <c r="G932" s="1" t="s">
        <v>408</v>
      </c>
      <c r="H932" s="2">
        <v>45792.765277777777</v>
      </c>
      <c r="I932" s="2">
        <v>45793.491666666669</v>
      </c>
      <c r="J932" s="1" t="s">
        <v>18</v>
      </c>
    </row>
    <row r="933" spans="1:10" hidden="1" x14ac:dyDescent="0.25">
      <c r="A933" s="1" t="str">
        <f>_xlfn.XLOOKUP(E933,Base!G:G,Base!C:C,"NOVO")</f>
        <v>PENDENTE</v>
      </c>
      <c r="B933" s="1">
        <v>3453474</v>
      </c>
      <c r="C933" s="1" t="s">
        <v>26</v>
      </c>
      <c r="D933" s="2">
        <v>45807.536805555559</v>
      </c>
      <c r="E933" s="1" t="s">
        <v>2568</v>
      </c>
      <c r="F933" s="1" t="s">
        <v>2568</v>
      </c>
      <c r="G933" s="1" t="s">
        <v>746</v>
      </c>
      <c r="H933" s="2">
        <v>45807.628472222219</v>
      </c>
      <c r="J933" s="1" t="s">
        <v>18</v>
      </c>
    </row>
    <row r="934" spans="1:10" hidden="1" x14ac:dyDescent="0.25">
      <c r="A934" s="1" t="str">
        <f>_xlfn.XLOOKUP(E934,Base!G:G,Base!C:C,"NOVO")</f>
        <v>PENDENTE</v>
      </c>
      <c r="B934" s="1">
        <v>3421277</v>
      </c>
      <c r="C934" s="1" t="s">
        <v>26</v>
      </c>
      <c r="D934" s="2">
        <v>45791.729861111111</v>
      </c>
      <c r="E934" s="1" t="s">
        <v>2475</v>
      </c>
      <c r="F934" s="1" t="s">
        <v>2475</v>
      </c>
      <c r="G934" s="1" t="s">
        <v>746</v>
      </c>
      <c r="H934" s="2">
        <v>45791.814583333333</v>
      </c>
      <c r="J934" s="1" t="s">
        <v>18</v>
      </c>
    </row>
    <row r="935" spans="1:10" hidden="1" x14ac:dyDescent="0.25">
      <c r="A935" s="1" t="str">
        <f>_xlfn.XLOOKUP(E935,Base!G:G,Base!C:C,"NOVO")</f>
        <v>PENDENTE</v>
      </c>
      <c r="B935" s="1">
        <v>3447078</v>
      </c>
      <c r="C935" s="1" t="s">
        <v>26</v>
      </c>
      <c r="D935" s="2">
        <v>45804.768750000003</v>
      </c>
      <c r="E935" s="1" t="s">
        <v>2476</v>
      </c>
      <c r="F935" s="1" t="s">
        <v>2476</v>
      </c>
      <c r="G935" s="1" t="s">
        <v>2477</v>
      </c>
      <c r="H935" s="2">
        <v>45804.855555555558</v>
      </c>
      <c r="J935" s="1" t="s">
        <v>18</v>
      </c>
    </row>
    <row r="936" spans="1:10" hidden="1" x14ac:dyDescent="0.25">
      <c r="A936" s="1" t="str">
        <f>_xlfn.XLOOKUP(E936,Base!G:G,Base!C:C,"NOVO")</f>
        <v>PENDENTE</v>
      </c>
      <c r="B936" s="1">
        <v>3290284</v>
      </c>
      <c r="C936" s="1" t="s">
        <v>26</v>
      </c>
      <c r="D936" s="2">
        <v>45727.722916666666</v>
      </c>
      <c r="E936" s="1" t="s">
        <v>1535</v>
      </c>
      <c r="F936" s="1" t="s">
        <v>1535</v>
      </c>
      <c r="G936" s="1" t="s">
        <v>1189</v>
      </c>
      <c r="H936" s="2">
        <v>45726.84652777778</v>
      </c>
      <c r="I936" s="2">
        <v>45727.816666666666</v>
      </c>
      <c r="J936" s="1" t="s">
        <v>18</v>
      </c>
    </row>
    <row r="937" spans="1:10" hidden="1" x14ac:dyDescent="0.25">
      <c r="A937" s="1" t="str">
        <f>_xlfn.XLOOKUP(E937,Base!G:G,Base!C:C,"NOVO")</f>
        <v>PENDENTE</v>
      </c>
      <c r="B937" s="1">
        <v>3442624</v>
      </c>
      <c r="C937" s="1" t="s">
        <v>26</v>
      </c>
      <c r="D937" s="2">
        <v>45804.320833333331</v>
      </c>
      <c r="E937" s="1" t="s">
        <v>2478</v>
      </c>
      <c r="F937" s="1" t="s">
        <v>2478</v>
      </c>
      <c r="G937" s="1" t="s">
        <v>273</v>
      </c>
      <c r="H937" s="2">
        <v>45803.584027777775</v>
      </c>
      <c r="I937" s="2">
        <v>45804.407638888886</v>
      </c>
      <c r="J937" s="1" t="s">
        <v>1245</v>
      </c>
    </row>
    <row r="938" spans="1:10" hidden="1" x14ac:dyDescent="0.25">
      <c r="A938" s="1" t="str">
        <f>_xlfn.XLOOKUP(E938,Base!G:G,Base!C:C,"NOVO")</f>
        <v>PENDENTE</v>
      </c>
      <c r="B938" s="1">
        <v>3309574</v>
      </c>
      <c r="C938" s="1" t="s">
        <v>26</v>
      </c>
      <c r="D938" s="2">
        <v>45734.760416666664</v>
      </c>
      <c r="E938" s="1" t="s">
        <v>1841</v>
      </c>
      <c r="F938" s="1" t="s">
        <v>1841</v>
      </c>
      <c r="G938" s="1" t="s">
        <v>83</v>
      </c>
      <c r="H938" s="2">
        <v>45734.847222222219</v>
      </c>
      <c r="J938" s="1" t="s">
        <v>18</v>
      </c>
    </row>
    <row r="939" spans="1:10" hidden="1" x14ac:dyDescent="0.25">
      <c r="A939" s="1" t="str">
        <f>_xlfn.XLOOKUP(E939,Base!G:G,Base!C:C,"NOVO")</f>
        <v>PENDENTE</v>
      </c>
      <c r="B939" s="1">
        <v>3297308</v>
      </c>
      <c r="C939" s="1" t="s">
        <v>26</v>
      </c>
      <c r="D939" s="2">
        <v>45729.425694444442</v>
      </c>
      <c r="E939" s="1" t="s">
        <v>1536</v>
      </c>
      <c r="F939" s="1" t="s">
        <v>1537</v>
      </c>
      <c r="G939" s="1" t="s">
        <v>64</v>
      </c>
      <c r="H939" s="2">
        <v>45729.512499999997</v>
      </c>
      <c r="J939" s="1" t="s">
        <v>1244</v>
      </c>
    </row>
    <row r="940" spans="1:10" hidden="1" x14ac:dyDescent="0.25">
      <c r="A940" s="1" t="str">
        <f>_xlfn.XLOOKUP(E940,Base!G:G,Base!C:C,"NOVO")</f>
        <v>PENDENTE</v>
      </c>
      <c r="B940" s="1">
        <v>3229238</v>
      </c>
      <c r="C940" s="1" t="s">
        <v>26</v>
      </c>
      <c r="D940" s="2">
        <v>45694.473611111112</v>
      </c>
      <c r="E940" s="1" t="s">
        <v>998</v>
      </c>
      <c r="F940" s="1" t="s">
        <v>998</v>
      </c>
      <c r="G940" s="1" t="s">
        <v>406</v>
      </c>
      <c r="H940" s="2">
        <v>45694.67083333333</v>
      </c>
      <c r="I940" s="2">
        <v>45694.913194444445</v>
      </c>
      <c r="J940" s="1" t="s">
        <v>18</v>
      </c>
    </row>
    <row r="941" spans="1:10" hidden="1" x14ac:dyDescent="0.25">
      <c r="A941" s="1" t="str">
        <f>_xlfn.XLOOKUP(E941,Base!G:G,Base!C:C,"NOVO")</f>
        <v>PENDENTE</v>
      </c>
      <c r="B941" s="1">
        <v>3318352</v>
      </c>
      <c r="C941" s="1" t="s">
        <v>26</v>
      </c>
      <c r="D941" s="2">
        <v>45737.770138888889</v>
      </c>
      <c r="E941" s="1" t="s">
        <v>1842</v>
      </c>
      <c r="F941" s="1" t="s">
        <v>1842</v>
      </c>
      <c r="G941" s="1" t="s">
        <v>671</v>
      </c>
      <c r="H941" s="2">
        <v>45737.861805555556</v>
      </c>
      <c r="J941" s="1" t="s">
        <v>18</v>
      </c>
    </row>
    <row r="942" spans="1:10" hidden="1" x14ac:dyDescent="0.25">
      <c r="A942" s="1" t="str">
        <f>_xlfn.XLOOKUP(E942,Base!G:G,Base!C:C,"NOVO")</f>
        <v>PENDENTE</v>
      </c>
      <c r="B942" s="1">
        <v>3461720</v>
      </c>
      <c r="C942" s="1" t="s">
        <v>26</v>
      </c>
      <c r="D942" s="2">
        <v>45811.685416666667</v>
      </c>
      <c r="E942" s="1" t="s">
        <v>2620</v>
      </c>
      <c r="F942" s="1" t="s">
        <v>2620</v>
      </c>
      <c r="G942" s="1" t="s">
        <v>396</v>
      </c>
      <c r="H942" s="2">
        <v>45811.772222222222</v>
      </c>
      <c r="J942" s="1" t="s">
        <v>18</v>
      </c>
    </row>
    <row r="943" spans="1:10" hidden="1" x14ac:dyDescent="0.25">
      <c r="A943" s="1" t="str">
        <f>_xlfn.XLOOKUP(E943,Base!G:G,Base!C:C,"NOVO")</f>
        <v>PENDENTE</v>
      </c>
      <c r="B943" s="1">
        <v>3288750</v>
      </c>
      <c r="C943" s="1" t="s">
        <v>26</v>
      </c>
      <c r="D943" s="2">
        <v>45726.480555555558</v>
      </c>
      <c r="E943" s="1" t="s">
        <v>1538</v>
      </c>
      <c r="F943" s="1" t="s">
        <v>1538</v>
      </c>
      <c r="G943" s="1" t="s">
        <v>652</v>
      </c>
      <c r="H943" s="2">
        <v>45726.57708333333</v>
      </c>
      <c r="J943" s="1" t="s">
        <v>18</v>
      </c>
    </row>
    <row r="944" spans="1:10" hidden="1" x14ac:dyDescent="0.25">
      <c r="A944" s="1" t="str">
        <f>_xlfn.XLOOKUP(E944,Base!G:G,Base!C:C,"NOVO")</f>
        <v>PENDENTE</v>
      </c>
      <c r="B944" s="1">
        <v>3290332</v>
      </c>
      <c r="C944" s="1" t="s">
        <v>26</v>
      </c>
      <c r="D944" s="2">
        <v>45726.756944444445</v>
      </c>
      <c r="E944" s="1" t="s">
        <v>1539</v>
      </c>
      <c r="F944" s="1" t="s">
        <v>1539</v>
      </c>
      <c r="G944" s="1" t="s">
        <v>83</v>
      </c>
      <c r="H944" s="2">
        <v>45726.851388888892</v>
      </c>
      <c r="J944" s="1" t="s">
        <v>18</v>
      </c>
    </row>
    <row r="945" spans="1:10" hidden="1" x14ac:dyDescent="0.25">
      <c r="A945" s="1" t="str">
        <f>_xlfn.XLOOKUP(E945,Base!G:G,Base!C:C,"NOVO")</f>
        <v>PENDENTE</v>
      </c>
      <c r="B945" s="1">
        <v>3299815</v>
      </c>
      <c r="C945" s="1" t="s">
        <v>26</v>
      </c>
      <c r="D945" s="2">
        <v>45769.744444444441</v>
      </c>
      <c r="E945" s="1" t="s">
        <v>1540</v>
      </c>
      <c r="F945" s="1" t="s">
        <v>1540</v>
      </c>
      <c r="G945" s="1" t="s">
        <v>83</v>
      </c>
      <c r="H945" s="2">
        <v>45729.85833333333</v>
      </c>
      <c r="I945" s="2">
        <v>45769.835416666669</v>
      </c>
      <c r="J945" s="1" t="s">
        <v>18</v>
      </c>
    </row>
    <row r="946" spans="1:10" hidden="1" x14ac:dyDescent="0.25">
      <c r="A946" s="1" t="str">
        <f>_xlfn.XLOOKUP(E946,Base!G:G,Base!C:C,"NOVO")</f>
        <v>PENDENTE</v>
      </c>
      <c r="B946" s="1">
        <v>3362738</v>
      </c>
      <c r="C946" s="1" t="s">
        <v>26</v>
      </c>
      <c r="D946" s="2">
        <v>45760.638194444444</v>
      </c>
      <c r="E946" s="1" t="s">
        <v>2073</v>
      </c>
      <c r="F946" s="1" t="s">
        <v>2073</v>
      </c>
      <c r="G946" s="1" t="s">
        <v>410</v>
      </c>
      <c r="H946" s="2">
        <v>45760.731249999997</v>
      </c>
      <c r="J946" s="1" t="s">
        <v>18</v>
      </c>
    </row>
    <row r="947" spans="1:10" hidden="1" x14ac:dyDescent="0.25">
      <c r="A947" s="1" t="str">
        <f>_xlfn.XLOOKUP(E947,Base!G:G,Base!C:C,"NOVO")</f>
        <v>PENDENTE</v>
      </c>
      <c r="B947" s="1">
        <v>3468241</v>
      </c>
      <c r="C947" s="1" t="s">
        <v>26</v>
      </c>
      <c r="D947" s="2">
        <v>45814.378472222219</v>
      </c>
      <c r="E947" s="1" t="s">
        <v>2621</v>
      </c>
      <c r="F947" s="1" t="s">
        <v>2622</v>
      </c>
      <c r="G947" s="1" t="s">
        <v>64</v>
      </c>
      <c r="H947" s="2">
        <v>45814.47152777778</v>
      </c>
      <c r="J947" s="1" t="s">
        <v>1244</v>
      </c>
    </row>
    <row r="948" spans="1:10" hidden="1" x14ac:dyDescent="0.25">
      <c r="A948" s="1" t="str">
        <f>_xlfn.XLOOKUP(E948,Base!G:G,Base!C:C,"NOVO")</f>
        <v>PENDENTE</v>
      </c>
      <c r="B948" s="1">
        <v>3433812</v>
      </c>
      <c r="C948" s="1" t="s">
        <v>26</v>
      </c>
      <c r="D948" s="2">
        <v>45798.393055555556</v>
      </c>
      <c r="E948" s="1" t="s">
        <v>2479</v>
      </c>
      <c r="F948" s="1" t="s">
        <v>2480</v>
      </c>
      <c r="G948" s="1" t="s">
        <v>2481</v>
      </c>
      <c r="H948" s="2">
        <v>45798.479861111111</v>
      </c>
      <c r="J948" s="1" t="s">
        <v>19</v>
      </c>
    </row>
    <row r="949" spans="1:10" hidden="1" x14ac:dyDescent="0.25">
      <c r="A949" s="1" t="str">
        <f>_xlfn.XLOOKUP(E949,Base!G:G,Base!C:C,"NOVO")</f>
        <v>PENDENTE</v>
      </c>
      <c r="B949" s="1">
        <v>3462990</v>
      </c>
      <c r="C949" s="1" t="s">
        <v>26</v>
      </c>
      <c r="D949" s="2">
        <v>45812.405555555553</v>
      </c>
      <c r="E949" s="1" t="s">
        <v>2623</v>
      </c>
      <c r="F949" s="1" t="s">
        <v>2623</v>
      </c>
      <c r="G949" s="1" t="s">
        <v>746</v>
      </c>
      <c r="H949" s="2">
        <v>45812.490972222222</v>
      </c>
      <c r="J949" s="1" t="s">
        <v>18</v>
      </c>
    </row>
    <row r="950" spans="1:10" hidden="1" x14ac:dyDescent="0.25">
      <c r="A950" s="1" t="str">
        <f>_xlfn.XLOOKUP(E950,Base!G:G,Base!C:C,"NOVO")</f>
        <v>PENDENTE</v>
      </c>
      <c r="B950" s="1">
        <v>3460348</v>
      </c>
      <c r="C950" s="1" t="s">
        <v>26</v>
      </c>
      <c r="D950" s="2">
        <v>45811.347222222219</v>
      </c>
      <c r="E950" s="1" t="s">
        <v>2588</v>
      </c>
      <c r="F950" s="1" t="s">
        <v>2589</v>
      </c>
      <c r="G950" s="1" t="s">
        <v>2052</v>
      </c>
      <c r="H950" s="2">
        <v>45811.431250000001</v>
      </c>
      <c r="J950" s="1" t="s">
        <v>18</v>
      </c>
    </row>
    <row r="951" spans="1:10" hidden="1" x14ac:dyDescent="0.25">
      <c r="A951" s="1" t="str">
        <f>_xlfn.XLOOKUP(E951,Base!G:G,Base!C:C,"NOVO")</f>
        <v>PENDENTE</v>
      </c>
      <c r="B951" s="1">
        <v>3432264</v>
      </c>
      <c r="C951" s="1" t="s">
        <v>26</v>
      </c>
      <c r="D951" s="2">
        <v>45797.62777777778</v>
      </c>
      <c r="E951" s="1" t="s">
        <v>2482</v>
      </c>
      <c r="F951" s="1" t="s">
        <v>2482</v>
      </c>
      <c r="G951" s="1" t="s">
        <v>83</v>
      </c>
      <c r="H951" s="2">
        <v>45797.724305555559</v>
      </c>
      <c r="J951" s="1" t="s">
        <v>18</v>
      </c>
    </row>
    <row r="952" spans="1:10" hidden="1" x14ac:dyDescent="0.25">
      <c r="A952" s="1" t="str">
        <f>_xlfn.XLOOKUP(E952,Base!G:G,Base!C:C,"NOVO")</f>
        <v>PENDENTE</v>
      </c>
      <c r="B952" s="1">
        <v>3321221</v>
      </c>
      <c r="C952" s="1" t="s">
        <v>26</v>
      </c>
      <c r="D952" s="2">
        <v>45740.754861111112</v>
      </c>
      <c r="E952" s="1" t="s">
        <v>1843</v>
      </c>
      <c r="F952" s="1" t="s">
        <v>1843</v>
      </c>
      <c r="G952" s="1" t="s">
        <v>652</v>
      </c>
      <c r="H952" s="2">
        <v>45740.847916666666</v>
      </c>
      <c r="J952" s="1" t="s">
        <v>18</v>
      </c>
    </row>
    <row r="953" spans="1:10" hidden="1" x14ac:dyDescent="0.25">
      <c r="A953" s="1" t="str">
        <f>_xlfn.XLOOKUP(E953,Base!G:G,Base!C:C,"NOVO")</f>
        <v>PENDENTE</v>
      </c>
      <c r="B953" s="1">
        <v>3320495</v>
      </c>
      <c r="C953" s="1" t="s">
        <v>26</v>
      </c>
      <c r="D953" s="2">
        <v>45740.590277777781</v>
      </c>
      <c r="E953" s="1" t="s">
        <v>1844</v>
      </c>
      <c r="F953" s="1" t="s">
        <v>1844</v>
      </c>
      <c r="G953" s="1" t="s">
        <v>396</v>
      </c>
      <c r="H953" s="2">
        <v>45740.681944444441</v>
      </c>
      <c r="J953" s="1" t="s">
        <v>18</v>
      </c>
    </row>
    <row r="954" spans="1:10" hidden="1" x14ac:dyDescent="0.25">
      <c r="A954" s="1" t="str">
        <f>_xlfn.XLOOKUP(E954,Base!G:G,Base!C:C,"NOVO")</f>
        <v>PENDENTE</v>
      </c>
      <c r="B954" s="1">
        <v>3309035</v>
      </c>
      <c r="C954" s="1" t="s">
        <v>26</v>
      </c>
      <c r="D954" s="2">
        <v>45735.494444444441</v>
      </c>
      <c r="E954" s="1" t="s">
        <v>1845</v>
      </c>
      <c r="F954" s="1" t="s">
        <v>1845</v>
      </c>
      <c r="G954" s="1" t="s">
        <v>1060</v>
      </c>
      <c r="H954" s="2">
        <v>45734.787499999999</v>
      </c>
      <c r="I954" s="2">
        <v>45735.586111111108</v>
      </c>
      <c r="J954" s="1" t="s">
        <v>18</v>
      </c>
    </row>
    <row r="955" spans="1:10" hidden="1" x14ac:dyDescent="0.25">
      <c r="A955" s="1" t="str">
        <f>_xlfn.XLOOKUP(E955,Base!G:G,Base!C:C,"NOVO")</f>
        <v>PENDENTE</v>
      </c>
      <c r="B955" s="1">
        <v>3239472</v>
      </c>
      <c r="C955" s="1" t="s">
        <v>26</v>
      </c>
      <c r="D955" s="2">
        <v>45699.563194444447</v>
      </c>
      <c r="E955" s="1" t="s">
        <v>1181</v>
      </c>
      <c r="F955" s="1" t="s">
        <v>1181</v>
      </c>
      <c r="G955" s="1" t="s">
        <v>865</v>
      </c>
      <c r="H955" s="2">
        <v>45699.691666666666</v>
      </c>
      <c r="J955" s="1" t="s">
        <v>18</v>
      </c>
    </row>
    <row r="956" spans="1:10" hidden="1" x14ac:dyDescent="0.25">
      <c r="A956" s="1" t="str">
        <f>_xlfn.XLOOKUP(E956,Base!G:G,Base!C:C,"NOVO")</f>
        <v>PENDENTE</v>
      </c>
      <c r="B956" s="1">
        <v>3239473</v>
      </c>
      <c r="C956" s="1" t="s">
        <v>26</v>
      </c>
      <c r="D956" s="2">
        <v>45699.563194444447</v>
      </c>
      <c r="E956" s="1" t="s">
        <v>1182</v>
      </c>
      <c r="F956" s="1" t="s">
        <v>1181</v>
      </c>
      <c r="G956" s="1" t="s">
        <v>867</v>
      </c>
      <c r="H956" s="2">
        <v>45699.691666666666</v>
      </c>
      <c r="J956" s="1" t="s">
        <v>18</v>
      </c>
    </row>
    <row r="957" spans="1:10" hidden="1" x14ac:dyDescent="0.25">
      <c r="A957" s="1" t="str">
        <f>_xlfn.XLOOKUP(E957,Base!G:G,Base!C:C,"NOVO")</f>
        <v>PENDENTE</v>
      </c>
      <c r="B957" s="1">
        <v>3230538</v>
      </c>
      <c r="C957" s="1" t="s">
        <v>26</v>
      </c>
      <c r="D957" s="2">
        <v>45694.697916666664</v>
      </c>
      <c r="E957" s="1" t="s">
        <v>999</v>
      </c>
      <c r="F957" s="1" t="s">
        <v>999</v>
      </c>
      <c r="G957" s="1" t="s">
        <v>620</v>
      </c>
      <c r="H957" s="2">
        <v>45694.913888888892</v>
      </c>
      <c r="J957" s="1" t="s">
        <v>18</v>
      </c>
    </row>
    <row r="958" spans="1:10" hidden="1" x14ac:dyDescent="0.25">
      <c r="A958" s="1" t="str">
        <f>_xlfn.XLOOKUP(E958,Base!G:G,Base!C:C,"NOVO")</f>
        <v>PENDENTE</v>
      </c>
      <c r="B958" s="1">
        <v>3281716</v>
      </c>
      <c r="C958" s="1" t="s">
        <v>26</v>
      </c>
      <c r="D958" s="2">
        <v>45721.724305555559</v>
      </c>
      <c r="E958" s="1" t="s">
        <v>1320</v>
      </c>
      <c r="F958" s="1" t="s">
        <v>1320</v>
      </c>
      <c r="G958" s="1" t="s">
        <v>83</v>
      </c>
      <c r="H958" s="2">
        <v>45721.856944444444</v>
      </c>
      <c r="J958" s="1" t="s">
        <v>18</v>
      </c>
    </row>
    <row r="959" spans="1:10" hidden="1" x14ac:dyDescent="0.25">
      <c r="A959" s="1" t="str">
        <f>_xlfn.XLOOKUP(E959,Base!G:G,Base!C:C,"NOVO")</f>
        <v>PENDENTE</v>
      </c>
      <c r="B959" s="1">
        <v>3236652</v>
      </c>
      <c r="C959" s="1" t="s">
        <v>26</v>
      </c>
      <c r="D959" s="2">
        <v>45698.572222222225</v>
      </c>
      <c r="E959" s="1" t="s">
        <v>1000</v>
      </c>
      <c r="F959" s="1" t="s">
        <v>1000</v>
      </c>
      <c r="G959" s="1" t="s">
        <v>692</v>
      </c>
      <c r="H959" s="2">
        <v>45698.70208333333</v>
      </c>
      <c r="J959" s="1" t="s">
        <v>18</v>
      </c>
    </row>
    <row r="960" spans="1:10" hidden="1" x14ac:dyDescent="0.25">
      <c r="A960" s="1" t="str">
        <f>_xlfn.XLOOKUP(E960,Base!G:G,Base!C:C,"NOVO")</f>
        <v>PENDENTE</v>
      </c>
      <c r="B960" s="1">
        <v>3236653</v>
      </c>
      <c r="C960" s="1" t="s">
        <v>26</v>
      </c>
      <c r="D960" s="2">
        <v>45698.572222222225</v>
      </c>
      <c r="E960" s="1" t="s">
        <v>1001</v>
      </c>
      <c r="F960" s="1" t="s">
        <v>1000</v>
      </c>
      <c r="G960" s="1" t="s">
        <v>898</v>
      </c>
      <c r="H960" s="2">
        <v>45698.70208333333</v>
      </c>
      <c r="J960" s="1" t="s">
        <v>18</v>
      </c>
    </row>
    <row r="961" spans="1:10" hidden="1" x14ac:dyDescent="0.25">
      <c r="A961" s="1" t="str">
        <f>_xlfn.XLOOKUP(E961,Base!G:G,Base!C:C,"NOVO")</f>
        <v>PENDENTE</v>
      </c>
      <c r="B961" s="1">
        <v>3238013</v>
      </c>
      <c r="C961" s="1" t="s">
        <v>26</v>
      </c>
      <c r="D961" s="2">
        <v>45698.729861111111</v>
      </c>
      <c r="E961" s="1" t="s">
        <v>1002</v>
      </c>
      <c r="F961" s="1" t="s">
        <v>1002</v>
      </c>
      <c r="G961" s="1" t="s">
        <v>169</v>
      </c>
      <c r="H961" s="2">
        <v>45698.861805555556</v>
      </c>
      <c r="J961" s="1" t="s">
        <v>18</v>
      </c>
    </row>
    <row r="962" spans="1:10" hidden="1" x14ac:dyDescent="0.25">
      <c r="A962" s="1" t="str">
        <f>_xlfn.XLOOKUP(E962,Base!G:G,Base!C:C,"NOVO")</f>
        <v>PENDENTE</v>
      </c>
      <c r="B962" s="1">
        <v>3450939</v>
      </c>
      <c r="C962" s="1" t="s">
        <v>26</v>
      </c>
      <c r="D962" s="2">
        <v>45806.443749999999</v>
      </c>
      <c r="E962" s="1" t="s">
        <v>2483</v>
      </c>
      <c r="F962" s="1" t="s">
        <v>2483</v>
      </c>
      <c r="G962" s="1" t="s">
        <v>621</v>
      </c>
      <c r="H962" s="2">
        <v>45806.53402777778</v>
      </c>
      <c r="J962" s="1" t="s">
        <v>18</v>
      </c>
    </row>
    <row r="963" spans="1:10" hidden="1" x14ac:dyDescent="0.25">
      <c r="A963" s="1" t="str">
        <f>_xlfn.XLOOKUP(E963,Base!G:G,Base!C:C,"NOVO")</f>
        <v>PENDENTE</v>
      </c>
      <c r="B963" s="1">
        <v>3370411</v>
      </c>
      <c r="C963" s="1" t="s">
        <v>26</v>
      </c>
      <c r="D963" s="2">
        <v>45763.762499999997</v>
      </c>
      <c r="E963" s="1" t="s">
        <v>2076</v>
      </c>
      <c r="F963" s="1" t="s">
        <v>2076</v>
      </c>
      <c r="G963" s="1" t="s">
        <v>2077</v>
      </c>
      <c r="H963" s="2">
        <v>45763.857638888891</v>
      </c>
      <c r="J963" s="1" t="s">
        <v>18</v>
      </c>
    </row>
    <row r="964" spans="1:10" hidden="1" x14ac:dyDescent="0.25">
      <c r="A964" s="1" t="str">
        <f>_xlfn.XLOOKUP(E964,Base!G:G,Base!C:C,"NOVO")</f>
        <v>PENDENTE</v>
      </c>
      <c r="B964" s="1">
        <v>3299224</v>
      </c>
      <c r="C964" s="1" t="s">
        <v>26</v>
      </c>
      <c r="D964" s="2">
        <v>45729.665972222225</v>
      </c>
      <c r="E964" s="1" t="s">
        <v>1541</v>
      </c>
      <c r="F964" s="1" t="s">
        <v>1542</v>
      </c>
      <c r="G964" s="1" t="s">
        <v>64</v>
      </c>
      <c r="H964" s="2">
        <v>45729.75277777778</v>
      </c>
      <c r="J964" s="1" t="s">
        <v>1244</v>
      </c>
    </row>
    <row r="965" spans="1:10" hidden="1" x14ac:dyDescent="0.25">
      <c r="A965" s="1" t="str">
        <f>_xlfn.XLOOKUP(E965,Base!G:G,Base!C:C,"NOVO")</f>
        <v>PENDENTE</v>
      </c>
      <c r="B965" s="1">
        <v>3428171</v>
      </c>
      <c r="C965" s="1" t="s">
        <v>26</v>
      </c>
      <c r="D965" s="2">
        <v>45796.469444444447</v>
      </c>
      <c r="E965" s="1" t="s">
        <v>2484</v>
      </c>
      <c r="F965" s="1" t="s">
        <v>2484</v>
      </c>
      <c r="G965" s="1" t="s">
        <v>746</v>
      </c>
      <c r="H965" s="2">
        <v>45796.561111111114</v>
      </c>
      <c r="J965" s="1" t="s">
        <v>18</v>
      </c>
    </row>
    <row r="966" spans="1:10" hidden="1" x14ac:dyDescent="0.25">
      <c r="A966" s="1" t="str">
        <f>_xlfn.XLOOKUP(E966,Base!G:G,Base!C:C,"NOVO")</f>
        <v>PENDENTE</v>
      </c>
      <c r="B966" s="1">
        <v>3287148</v>
      </c>
      <c r="C966" s="1" t="s">
        <v>26</v>
      </c>
      <c r="D966" s="2">
        <v>45727.770833333336</v>
      </c>
      <c r="E966" s="1" t="s">
        <v>1543</v>
      </c>
      <c r="F966" s="1" t="s">
        <v>1543</v>
      </c>
      <c r="G966" s="1" t="s">
        <v>1189</v>
      </c>
      <c r="H966" s="2">
        <v>45723.871527777781</v>
      </c>
      <c r="I966" s="2">
        <v>45727.856249999997</v>
      </c>
      <c r="J966" s="1" t="s">
        <v>18</v>
      </c>
    </row>
    <row r="967" spans="1:10" hidden="1" x14ac:dyDescent="0.25">
      <c r="A967" s="1" t="str">
        <f>_xlfn.XLOOKUP(E967,Base!G:G,Base!C:C,"NOVO")</f>
        <v>PENDENTE</v>
      </c>
      <c r="B967" s="1">
        <v>3424338</v>
      </c>
      <c r="C967" s="1" t="s">
        <v>26</v>
      </c>
      <c r="D967" s="2">
        <v>45792.761111111111</v>
      </c>
      <c r="E967" s="1" t="s">
        <v>2485</v>
      </c>
      <c r="F967" s="1" t="s">
        <v>2485</v>
      </c>
      <c r="G967" s="1" t="s">
        <v>396</v>
      </c>
      <c r="H967" s="2">
        <v>45792.856249999997</v>
      </c>
      <c r="J967" s="1" t="s">
        <v>18</v>
      </c>
    </row>
    <row r="968" spans="1:10" hidden="1" x14ac:dyDescent="0.25">
      <c r="A968" s="1" t="str">
        <f>_xlfn.XLOOKUP(E968,Base!G:G,Base!C:C,"NOVO")</f>
        <v>PENDENTE</v>
      </c>
      <c r="B968" s="1">
        <v>3429883</v>
      </c>
      <c r="C968" s="1" t="s">
        <v>26</v>
      </c>
      <c r="D968" s="2">
        <v>45796.772916666669</v>
      </c>
      <c r="E968" s="1" t="s">
        <v>2486</v>
      </c>
      <c r="F968" s="1" t="s">
        <v>2486</v>
      </c>
      <c r="G968" s="1" t="s">
        <v>707</v>
      </c>
      <c r="H968" s="2">
        <v>45796.867361111108</v>
      </c>
      <c r="J968" s="1" t="s">
        <v>18</v>
      </c>
    </row>
    <row r="969" spans="1:10" hidden="1" x14ac:dyDescent="0.25">
      <c r="A969" s="1" t="str">
        <f>_xlfn.XLOOKUP(E969,Base!G:G,Base!C:C,"NOVO")</f>
        <v>PENDENTE</v>
      </c>
      <c r="B969" s="1">
        <v>3308203</v>
      </c>
      <c r="C969" s="1" t="s">
        <v>26</v>
      </c>
      <c r="D969" s="2">
        <v>45735.381249999999</v>
      </c>
      <c r="E969" s="1" t="s">
        <v>1641</v>
      </c>
      <c r="F969" s="1" t="s">
        <v>1641</v>
      </c>
      <c r="G969" s="1" t="s">
        <v>408</v>
      </c>
      <c r="H969" s="2">
        <v>45734.638194444444</v>
      </c>
      <c r="I969" s="2">
        <v>45735.47152777778</v>
      </c>
      <c r="J969" s="1" t="s">
        <v>18</v>
      </c>
    </row>
    <row r="970" spans="1:10" hidden="1" x14ac:dyDescent="0.25">
      <c r="A970" s="1" t="str">
        <f>_xlfn.XLOOKUP(E970,Base!G:G,Base!C:C,"NOVO")</f>
        <v>PENDENTE</v>
      </c>
      <c r="B970" s="1">
        <v>3451105</v>
      </c>
      <c r="C970" s="1" t="s">
        <v>26</v>
      </c>
      <c r="D970" s="2">
        <v>45806.531944444447</v>
      </c>
      <c r="E970" s="1" t="s">
        <v>2487</v>
      </c>
      <c r="F970" s="1" t="s">
        <v>2487</v>
      </c>
      <c r="G970" s="1" t="s">
        <v>652</v>
      </c>
      <c r="H970" s="2">
        <v>45806.615972222222</v>
      </c>
      <c r="J970" s="1" t="s">
        <v>18</v>
      </c>
    </row>
    <row r="971" spans="1:10" x14ac:dyDescent="0.25">
      <c r="A971" s="1" t="str">
        <f>_xlfn.XLOOKUP(E971,Base!G:G,Base!C:C,"NOVO")</f>
        <v>PENDENTE</v>
      </c>
      <c r="B971" s="1">
        <v>3476522</v>
      </c>
      <c r="C971" s="1" t="s">
        <v>26</v>
      </c>
      <c r="D971" s="2">
        <v>45819.476388888892</v>
      </c>
      <c r="E971" s="1" t="s">
        <v>2738</v>
      </c>
      <c r="F971" s="1" t="s">
        <v>2738</v>
      </c>
      <c r="G971" s="1" t="s">
        <v>83</v>
      </c>
      <c r="H971" s="2">
        <v>45819.563888888886</v>
      </c>
      <c r="J971" s="1" t="s">
        <v>18</v>
      </c>
    </row>
    <row r="972" spans="1:10" hidden="1" x14ac:dyDescent="0.25">
      <c r="A972" s="1" t="str">
        <f>_xlfn.XLOOKUP(E972,Base!G:G,Base!C:C,"NOVO")</f>
        <v>PENDENTE</v>
      </c>
      <c r="B972" s="1">
        <v>3411834</v>
      </c>
      <c r="C972" s="1" t="s">
        <v>26</v>
      </c>
      <c r="D972" s="2">
        <v>45786.597916666666</v>
      </c>
      <c r="E972" s="1" t="s">
        <v>2333</v>
      </c>
      <c r="F972" s="1" t="s">
        <v>2333</v>
      </c>
      <c r="G972" s="1" t="s">
        <v>410</v>
      </c>
      <c r="H972" s="2">
        <v>45786.691666666666</v>
      </c>
      <c r="J972" s="1" t="s">
        <v>18</v>
      </c>
    </row>
    <row r="973" spans="1:10" hidden="1" x14ac:dyDescent="0.25">
      <c r="A973" s="1" t="str">
        <f>_xlfn.XLOOKUP(E973,Base!G:G,Base!C:C,"NOVO")</f>
        <v>PENDENTE</v>
      </c>
      <c r="B973" s="1">
        <v>3411801</v>
      </c>
      <c r="C973" s="1" t="s">
        <v>26</v>
      </c>
      <c r="D973" s="2">
        <v>45786.597916666666</v>
      </c>
      <c r="E973" s="1" t="s">
        <v>2334</v>
      </c>
      <c r="F973" s="1" t="s">
        <v>2334</v>
      </c>
      <c r="G973" s="1" t="s">
        <v>83</v>
      </c>
      <c r="H973" s="2">
        <v>45786.688888888886</v>
      </c>
      <c r="J973" s="1" t="s">
        <v>18</v>
      </c>
    </row>
    <row r="974" spans="1:10" hidden="1" x14ac:dyDescent="0.25">
      <c r="A974" s="1" t="str">
        <f>_xlfn.XLOOKUP(E974,Base!G:G,Base!C:C,"NOVO")</f>
        <v>PENDENTE</v>
      </c>
      <c r="B974" s="1">
        <v>3259588</v>
      </c>
      <c r="C974" s="1" t="s">
        <v>26</v>
      </c>
      <c r="D974" s="2">
        <v>45709.220833333333</v>
      </c>
      <c r="E974" s="1" t="s">
        <v>1183</v>
      </c>
      <c r="F974" s="1" t="s">
        <v>1183</v>
      </c>
      <c r="G974" s="1" t="s">
        <v>578</v>
      </c>
      <c r="H974" s="2">
        <v>45708.847222222219</v>
      </c>
      <c r="I974" s="2">
        <v>45709.356249999997</v>
      </c>
      <c r="J974" s="1" t="s">
        <v>18</v>
      </c>
    </row>
    <row r="975" spans="1:10" hidden="1" x14ac:dyDescent="0.25">
      <c r="A975" s="1" t="str">
        <f>_xlfn.XLOOKUP(E975,Base!G:G,Base!C:C,"NOVO")</f>
        <v>PENDENTE</v>
      </c>
      <c r="B975" s="1">
        <v>3362747</v>
      </c>
      <c r="C975" s="1" t="s">
        <v>26</v>
      </c>
      <c r="D975" s="2">
        <v>45790.774305555555</v>
      </c>
      <c r="E975" s="1" t="s">
        <v>2080</v>
      </c>
      <c r="F975" s="1" t="s">
        <v>2080</v>
      </c>
      <c r="G975" s="1" t="s">
        <v>396</v>
      </c>
      <c r="H975" s="2">
        <v>45760.731944444444</v>
      </c>
      <c r="I975" s="2">
        <v>45790.870138888888</v>
      </c>
      <c r="J975" s="1" t="s">
        <v>18</v>
      </c>
    </row>
    <row r="976" spans="1:10" hidden="1" x14ac:dyDescent="0.25">
      <c r="A976" s="1" t="str">
        <f>_xlfn.XLOOKUP(E976,Base!G:G,Base!C:C,"NOVO")</f>
        <v>PENDENTE</v>
      </c>
      <c r="B976" s="1">
        <v>3423559</v>
      </c>
      <c r="C976" s="1" t="s">
        <v>26</v>
      </c>
      <c r="D976" s="2">
        <v>45792.669444444444</v>
      </c>
      <c r="E976" s="1" t="s">
        <v>2488</v>
      </c>
      <c r="F976" s="1" t="s">
        <v>2488</v>
      </c>
      <c r="G976" s="1" t="s">
        <v>746</v>
      </c>
      <c r="H976" s="2">
        <v>45792.763888888891</v>
      </c>
      <c r="J976" s="1" t="s">
        <v>18</v>
      </c>
    </row>
    <row r="977" spans="1:10" hidden="1" x14ac:dyDescent="0.25">
      <c r="A977" s="1" t="str">
        <f>_xlfn.XLOOKUP(E977,Base!G:G,Base!C:C,"NOVO")</f>
        <v>PENDENTE</v>
      </c>
      <c r="B977" s="1">
        <v>3467027</v>
      </c>
      <c r="C977" s="1" t="s">
        <v>26</v>
      </c>
      <c r="D977" s="2">
        <v>45813.693055555559</v>
      </c>
      <c r="E977" s="1" t="s">
        <v>2624</v>
      </c>
      <c r="F977" s="1" t="s">
        <v>2624</v>
      </c>
      <c r="G977" s="1" t="s">
        <v>746</v>
      </c>
      <c r="H977" s="2">
        <v>45813.761805555558</v>
      </c>
      <c r="I977" s="2">
        <v>45813.781944444447</v>
      </c>
      <c r="J977" s="1" t="s">
        <v>18</v>
      </c>
    </row>
    <row r="978" spans="1:10" hidden="1" x14ac:dyDescent="0.25">
      <c r="A978" s="1" t="str">
        <f>_xlfn.XLOOKUP(E978,Base!G:G,Base!C:C,"NOVO")</f>
        <v>PENDENTE</v>
      </c>
      <c r="B978" s="1">
        <v>3283596</v>
      </c>
      <c r="C978" s="1" t="s">
        <v>26</v>
      </c>
      <c r="D978" s="2">
        <v>45722.592361111114</v>
      </c>
      <c r="E978" s="1" t="s">
        <v>1544</v>
      </c>
      <c r="F978" s="1" t="s">
        <v>1545</v>
      </c>
      <c r="G978" s="1" t="s">
        <v>64</v>
      </c>
      <c r="H978" s="2">
        <v>45722.72152777778</v>
      </c>
      <c r="J978" s="1" t="s">
        <v>1244</v>
      </c>
    </row>
    <row r="979" spans="1:10" hidden="1" x14ac:dyDescent="0.25">
      <c r="A979" s="1" t="str">
        <f>_xlfn.XLOOKUP(E979,Base!G:G,Base!C:C,"NOVO")</f>
        <v>PENDENTE</v>
      </c>
      <c r="B979" s="1">
        <v>3446291</v>
      </c>
      <c r="C979" s="1" t="s">
        <v>26</v>
      </c>
      <c r="D979" s="2">
        <v>45804.655555555553</v>
      </c>
      <c r="E979" s="1" t="s">
        <v>2489</v>
      </c>
      <c r="F979" s="1" t="s">
        <v>2490</v>
      </c>
      <c r="G979" s="1" t="s">
        <v>64</v>
      </c>
      <c r="H979" s="2">
        <v>45804.740972222222</v>
      </c>
      <c r="J979" s="1" t="s">
        <v>1244</v>
      </c>
    </row>
    <row r="980" spans="1:10" hidden="1" x14ac:dyDescent="0.25">
      <c r="A980" s="1" t="str">
        <f>_xlfn.XLOOKUP(E980,Base!G:G,Base!C:C,"NOVO")</f>
        <v>PENDENTE</v>
      </c>
      <c r="B980" s="1">
        <v>3309558</v>
      </c>
      <c r="C980" s="1" t="s">
        <v>26</v>
      </c>
      <c r="D980" s="2">
        <v>45734.760416666664</v>
      </c>
      <c r="E980" s="1" t="s">
        <v>1846</v>
      </c>
      <c r="F980" s="1" t="s">
        <v>1846</v>
      </c>
      <c r="G980" s="1" t="s">
        <v>83</v>
      </c>
      <c r="H980" s="2">
        <v>45734.845833333333</v>
      </c>
      <c r="J980" s="1" t="s">
        <v>18</v>
      </c>
    </row>
    <row r="981" spans="1:10" hidden="1" x14ac:dyDescent="0.25">
      <c r="A981" s="1" t="str">
        <f>_xlfn.XLOOKUP(E981,Base!G:G,Base!C:C,"NOVO")</f>
        <v>PENDENTE</v>
      </c>
      <c r="B981" s="1">
        <v>3329555</v>
      </c>
      <c r="C981" s="1" t="s">
        <v>26</v>
      </c>
      <c r="D981" s="2">
        <v>45743.756249999999</v>
      </c>
      <c r="E981" s="1" t="s">
        <v>1847</v>
      </c>
      <c r="F981" s="1" t="s">
        <v>1847</v>
      </c>
      <c r="G981" s="1" t="s">
        <v>83</v>
      </c>
      <c r="H981" s="2">
        <v>45743.847222222219</v>
      </c>
      <c r="J981" s="1" t="s">
        <v>18</v>
      </c>
    </row>
    <row r="982" spans="1:10" hidden="1" x14ac:dyDescent="0.25">
      <c r="A982" s="1" t="str">
        <f>_xlfn.XLOOKUP(E982,Base!G:G,Base!C:C,"NOVO")</f>
        <v>PENDENTE</v>
      </c>
      <c r="B982" s="1">
        <v>3449681</v>
      </c>
      <c r="C982" s="1" t="s">
        <v>26</v>
      </c>
      <c r="D982" s="2">
        <v>45805.760416666664</v>
      </c>
      <c r="E982" s="1" t="s">
        <v>2491</v>
      </c>
      <c r="F982" s="1" t="s">
        <v>2491</v>
      </c>
      <c r="G982" s="1" t="s">
        <v>746</v>
      </c>
      <c r="H982" s="2">
        <v>45805.797222222223</v>
      </c>
      <c r="I982" s="2">
        <v>45805.845138888886</v>
      </c>
      <c r="J982" s="1" t="s">
        <v>18</v>
      </c>
    </row>
    <row r="983" spans="1:10" x14ac:dyDescent="0.25">
      <c r="A983" s="1" t="str">
        <f>_xlfn.XLOOKUP(E983,Base!G:G,Base!C:C,"NOVO")</f>
        <v>PENDENTE</v>
      </c>
      <c r="B983" s="1">
        <v>3471262</v>
      </c>
      <c r="C983" s="1" t="s">
        <v>26</v>
      </c>
      <c r="D983" s="2">
        <v>45817.418055555558</v>
      </c>
      <c r="E983" s="1" t="s">
        <v>2739</v>
      </c>
      <c r="F983" s="1" t="s">
        <v>2740</v>
      </c>
      <c r="G983" s="1" t="s">
        <v>64</v>
      </c>
      <c r="H983" s="2">
        <v>45817.50277777778</v>
      </c>
      <c r="J983" s="1" t="s">
        <v>1244</v>
      </c>
    </row>
    <row r="984" spans="1:10" hidden="1" x14ac:dyDescent="0.25">
      <c r="A984" s="1" t="str">
        <f>_xlfn.XLOOKUP(E984,Base!G:G,Base!C:C,"NOVO")</f>
        <v>PENDENTE</v>
      </c>
      <c r="B984" s="1">
        <v>3299532</v>
      </c>
      <c r="C984" s="1" t="s">
        <v>26</v>
      </c>
      <c r="D984" s="2">
        <v>45729.705555555556</v>
      </c>
      <c r="E984" s="1" t="s">
        <v>1546</v>
      </c>
      <c r="F984" s="1" t="s">
        <v>1547</v>
      </c>
      <c r="G984" s="1" t="s">
        <v>64</v>
      </c>
      <c r="H984" s="2">
        <v>45729.794444444444</v>
      </c>
      <c r="J984" s="1" t="s">
        <v>1244</v>
      </c>
    </row>
    <row r="985" spans="1:10" hidden="1" x14ac:dyDescent="0.25">
      <c r="A985" s="1" t="str">
        <f>_xlfn.XLOOKUP(E985,Base!G:G,Base!C:C,"NOVO")</f>
        <v>PENDENTE</v>
      </c>
      <c r="B985" s="1">
        <v>3216438</v>
      </c>
      <c r="C985" s="1" t="s">
        <v>26</v>
      </c>
      <c r="D985" s="2">
        <v>45692.583333333336</v>
      </c>
      <c r="E985" s="1" t="s">
        <v>864</v>
      </c>
      <c r="F985" s="1" t="s">
        <v>864</v>
      </c>
      <c r="G985" s="1" t="s">
        <v>865</v>
      </c>
      <c r="H985" s="2">
        <v>45688.774305555555</v>
      </c>
      <c r="I985" s="2">
        <v>45694.89166666667</v>
      </c>
      <c r="J985" s="1" t="s">
        <v>18</v>
      </c>
    </row>
    <row r="986" spans="1:10" hidden="1" x14ac:dyDescent="0.25">
      <c r="A986" s="1" t="str">
        <f>_xlfn.XLOOKUP(E986,Base!G:G,Base!C:C,"NOVO")</f>
        <v>PENDENTE</v>
      </c>
      <c r="B986" s="1">
        <v>3216439</v>
      </c>
      <c r="C986" s="1" t="s">
        <v>26</v>
      </c>
      <c r="D986" s="2">
        <v>45692.583333333336</v>
      </c>
      <c r="E986" s="1" t="s">
        <v>866</v>
      </c>
      <c r="F986" s="1" t="s">
        <v>864</v>
      </c>
      <c r="G986" s="1" t="s">
        <v>867</v>
      </c>
      <c r="H986" s="2">
        <v>45688.774305555555</v>
      </c>
      <c r="I986" s="2">
        <v>45694.89166666667</v>
      </c>
      <c r="J986" s="1" t="s">
        <v>18</v>
      </c>
    </row>
    <row r="987" spans="1:10" hidden="1" x14ac:dyDescent="0.25">
      <c r="A987" s="1" t="str">
        <f>_xlfn.XLOOKUP(E987,Base!G:G,Base!C:C,"NOVO")</f>
        <v>PENDENTE</v>
      </c>
      <c r="B987" s="1">
        <v>3299845</v>
      </c>
      <c r="C987" s="1" t="s">
        <v>26</v>
      </c>
      <c r="D987" s="2">
        <v>45729.765277777777</v>
      </c>
      <c r="E987" s="1" t="s">
        <v>1548</v>
      </c>
      <c r="F987" s="1" t="s">
        <v>1548</v>
      </c>
      <c r="G987" s="1" t="s">
        <v>83</v>
      </c>
      <c r="H987" s="2">
        <v>45729.863888888889</v>
      </c>
      <c r="J987" s="1" t="s">
        <v>18</v>
      </c>
    </row>
    <row r="988" spans="1:10" hidden="1" x14ac:dyDescent="0.25">
      <c r="A988" s="1" t="str">
        <f>_xlfn.XLOOKUP(E988,Base!G:G,Base!C:C,"NOVO")</f>
        <v>PENDENTE</v>
      </c>
      <c r="B988" s="1">
        <v>3233369</v>
      </c>
      <c r="C988" s="1" t="s">
        <v>26</v>
      </c>
      <c r="D988" s="2">
        <v>45695.722916666666</v>
      </c>
      <c r="E988" s="1" t="s">
        <v>1003</v>
      </c>
      <c r="F988" s="1" t="s">
        <v>1003</v>
      </c>
      <c r="G988" s="1" t="s">
        <v>83</v>
      </c>
      <c r="H988" s="2">
        <v>45695.868750000001</v>
      </c>
      <c r="J988" s="1" t="s">
        <v>18</v>
      </c>
    </row>
    <row r="989" spans="1:10" hidden="1" x14ac:dyDescent="0.25">
      <c r="A989" s="1" t="str">
        <f>_xlfn.XLOOKUP(E989,Base!G:G,Base!C:C,"NOVO")</f>
        <v>PENDENTE</v>
      </c>
      <c r="B989" s="1">
        <v>3414869</v>
      </c>
      <c r="C989" s="1" t="s">
        <v>26</v>
      </c>
      <c r="D989" s="2">
        <v>45790.774305555555</v>
      </c>
      <c r="E989" s="1" t="s">
        <v>2335</v>
      </c>
      <c r="F989" s="1" t="s">
        <v>2335</v>
      </c>
      <c r="G989" s="1" t="s">
        <v>83</v>
      </c>
      <c r="H989" s="2">
        <v>45789.657638888886</v>
      </c>
      <c r="I989" s="2">
        <v>45790.866666666669</v>
      </c>
      <c r="J989" s="1" t="s">
        <v>18</v>
      </c>
    </row>
    <row r="990" spans="1:10" hidden="1" x14ac:dyDescent="0.25">
      <c r="A990" s="1" t="str">
        <f>_xlfn.XLOOKUP(E990,Base!G:G,Base!C:C,"NOVO")</f>
        <v>PENDENTE</v>
      </c>
      <c r="B990" s="1">
        <v>3453500</v>
      </c>
      <c r="C990" s="1" t="s">
        <v>26</v>
      </c>
      <c r="D990" s="2">
        <v>45807.536805555559</v>
      </c>
      <c r="E990" s="1" t="s">
        <v>2569</v>
      </c>
      <c r="F990" s="1" t="s">
        <v>2569</v>
      </c>
      <c r="G990" s="1" t="s">
        <v>2554</v>
      </c>
      <c r="H990" s="2">
        <v>45807.629861111112</v>
      </c>
      <c r="J990" s="1" t="s">
        <v>18</v>
      </c>
    </row>
    <row r="991" spans="1:10" hidden="1" x14ac:dyDescent="0.25">
      <c r="A991" s="1" t="str">
        <f>_xlfn.XLOOKUP(E991,Base!G:G,Base!C:C,"NOVO")</f>
        <v>PENDENTE</v>
      </c>
      <c r="B991" s="1">
        <v>3322168</v>
      </c>
      <c r="C991" s="1" t="s">
        <v>26</v>
      </c>
      <c r="D991" s="2">
        <v>45776.813888888886</v>
      </c>
      <c r="E991" s="1" t="s">
        <v>1848</v>
      </c>
      <c r="F991" s="1" t="s">
        <v>1848</v>
      </c>
      <c r="G991" s="1" t="s">
        <v>620</v>
      </c>
      <c r="H991" s="2">
        <v>45741.48333333333</v>
      </c>
      <c r="I991" s="2">
        <v>45776.907638888886</v>
      </c>
      <c r="J991" s="1" t="s">
        <v>18</v>
      </c>
    </row>
    <row r="992" spans="1:10" hidden="1" x14ac:dyDescent="0.25">
      <c r="A992" s="1" t="str">
        <f>_xlfn.XLOOKUP(E992,Base!G:G,Base!C:C,"NOVO")</f>
        <v>PENDENTE</v>
      </c>
      <c r="B992" s="1">
        <v>3431201</v>
      </c>
      <c r="C992" s="1" t="s">
        <v>26</v>
      </c>
      <c r="D992" s="2">
        <v>45797.495833333334</v>
      </c>
      <c r="E992" s="1" t="s">
        <v>2492</v>
      </c>
      <c r="F992" s="1" t="s">
        <v>2493</v>
      </c>
      <c r="G992" s="1" t="s">
        <v>393</v>
      </c>
      <c r="H992" s="2">
        <v>45797.584722222222</v>
      </c>
      <c r="J992" s="1" t="s">
        <v>19</v>
      </c>
    </row>
    <row r="993" spans="1:10" hidden="1" x14ac:dyDescent="0.25">
      <c r="A993" s="1" t="str">
        <f>_xlfn.XLOOKUP(E993,Base!G:G,Base!C:C,"NOVO")</f>
        <v>PENDENTE</v>
      </c>
      <c r="B993" s="1">
        <v>3392116</v>
      </c>
      <c r="C993" s="1" t="s">
        <v>26</v>
      </c>
      <c r="D993" s="2">
        <v>45776.813888888886</v>
      </c>
      <c r="E993" s="1" t="s">
        <v>2252</v>
      </c>
      <c r="F993" s="1" t="s">
        <v>2252</v>
      </c>
      <c r="G993" s="1" t="s">
        <v>707</v>
      </c>
      <c r="H993" s="2">
        <v>45776.908333333333</v>
      </c>
      <c r="J993" s="1" t="s">
        <v>18</v>
      </c>
    </row>
    <row r="994" spans="1:10" hidden="1" x14ac:dyDescent="0.25">
      <c r="A994" s="1" t="str">
        <f>_xlfn.XLOOKUP(E994,Base!G:G,Base!C:C,"NOVO")</f>
        <v>PENDENTE</v>
      </c>
      <c r="B994" s="1">
        <v>3276779</v>
      </c>
      <c r="C994" s="1" t="s">
        <v>26</v>
      </c>
      <c r="D994" s="2">
        <v>45716.665972222225</v>
      </c>
      <c r="E994" s="1" t="s">
        <v>1321</v>
      </c>
      <c r="F994" s="1" t="s">
        <v>1322</v>
      </c>
      <c r="G994" s="1" t="s">
        <v>64</v>
      </c>
      <c r="H994" s="2">
        <v>45716.797222222223</v>
      </c>
      <c r="J994" s="1" t="s">
        <v>1244</v>
      </c>
    </row>
    <row r="995" spans="1:10" hidden="1" x14ac:dyDescent="0.25">
      <c r="A995" s="1" t="str">
        <f>_xlfn.XLOOKUP(E995,Base!G:G,Base!C:C,"NOVO")</f>
        <v>PENDENTE</v>
      </c>
      <c r="B995" s="1">
        <v>3281883</v>
      </c>
      <c r="C995" s="1" t="s">
        <v>26</v>
      </c>
      <c r="D995" s="2">
        <v>45721.758333333331</v>
      </c>
      <c r="E995" s="1" t="s">
        <v>1323</v>
      </c>
      <c r="F995" s="1" t="s">
        <v>1323</v>
      </c>
      <c r="G995" s="1" t="s">
        <v>707</v>
      </c>
      <c r="H995" s="2">
        <v>45721.887499999997</v>
      </c>
      <c r="J995" s="1" t="s">
        <v>18</v>
      </c>
    </row>
    <row r="996" spans="1:10" hidden="1" x14ac:dyDescent="0.25">
      <c r="A996" s="1" t="str">
        <f>_xlfn.XLOOKUP(E996,Base!G:G,Base!C:C,"NOVO")</f>
        <v>PENDENTE</v>
      </c>
      <c r="B996" s="1">
        <v>3401662</v>
      </c>
      <c r="C996" s="1" t="s">
        <v>26</v>
      </c>
      <c r="D996" s="2">
        <v>45782.75</v>
      </c>
      <c r="E996" s="1" t="s">
        <v>2253</v>
      </c>
      <c r="F996" s="1" t="s">
        <v>2253</v>
      </c>
      <c r="G996" s="1" t="s">
        <v>652</v>
      </c>
      <c r="H996" s="2">
        <v>45782.834027777775</v>
      </c>
      <c r="J996" s="1" t="s">
        <v>18</v>
      </c>
    </row>
    <row r="997" spans="1:10" hidden="1" x14ac:dyDescent="0.25">
      <c r="A997" s="1" t="str">
        <f>_xlfn.XLOOKUP(E997,Base!G:G,Base!C:C,"NOVO")</f>
        <v>PENDENTE</v>
      </c>
      <c r="B997" s="1">
        <v>3338355</v>
      </c>
      <c r="C997" s="1" t="s">
        <v>26</v>
      </c>
      <c r="D997" s="2">
        <v>45748.759722222225</v>
      </c>
      <c r="E997" s="1" t="s">
        <v>1849</v>
      </c>
      <c r="F997" s="1" t="s">
        <v>1849</v>
      </c>
      <c r="G997" s="1" t="s">
        <v>83</v>
      </c>
      <c r="H997" s="2">
        <v>45748.84652777778</v>
      </c>
      <c r="J997" s="1" t="s">
        <v>18</v>
      </c>
    </row>
    <row r="998" spans="1:10" hidden="1" x14ac:dyDescent="0.25">
      <c r="A998" s="1" t="str">
        <f>_xlfn.XLOOKUP(E998,Base!G:G,Base!C:C,"NOVO")</f>
        <v>PENDENTE</v>
      </c>
      <c r="B998" s="1">
        <v>3390674</v>
      </c>
      <c r="C998" s="1" t="s">
        <v>26</v>
      </c>
      <c r="D998" s="2">
        <v>45776.571527777778</v>
      </c>
      <c r="E998" s="1" t="s">
        <v>2254</v>
      </c>
      <c r="F998" s="1" t="s">
        <v>2254</v>
      </c>
      <c r="G998" s="1" t="s">
        <v>707</v>
      </c>
      <c r="H998" s="2">
        <v>45776.658333333333</v>
      </c>
      <c r="J998" s="1" t="s">
        <v>18</v>
      </c>
    </row>
    <row r="999" spans="1:10" hidden="1" x14ac:dyDescent="0.25">
      <c r="A999" s="1" t="str">
        <f>_xlfn.XLOOKUP(E999,Base!G:G,Base!C:C,"NOVO")</f>
        <v>PENDENTE</v>
      </c>
      <c r="B999" s="1">
        <v>3403459</v>
      </c>
      <c r="C999" s="1" t="s">
        <v>26</v>
      </c>
      <c r="D999" s="2">
        <v>45783.586805555555</v>
      </c>
      <c r="E999" s="1" t="s">
        <v>2255</v>
      </c>
      <c r="F999" s="1" t="s">
        <v>2255</v>
      </c>
      <c r="G999" s="1" t="s">
        <v>746</v>
      </c>
      <c r="H999" s="2">
        <v>45783.679166666669</v>
      </c>
      <c r="J999" s="1" t="s">
        <v>18</v>
      </c>
    </row>
    <row r="1000" spans="1:10" hidden="1" x14ac:dyDescent="0.25">
      <c r="A1000" s="1" t="str">
        <f>_xlfn.XLOOKUP(E1000,Base!G:G,Base!C:C,"NOVO")</f>
        <v>PENDENTE</v>
      </c>
      <c r="B1000" s="1">
        <v>3357367</v>
      </c>
      <c r="C1000" s="1" t="s">
        <v>26</v>
      </c>
      <c r="D1000" s="2">
        <v>45756.784722222219</v>
      </c>
      <c r="E1000" s="1" t="s">
        <v>2081</v>
      </c>
      <c r="F1000" s="1" t="s">
        <v>2081</v>
      </c>
      <c r="G1000" s="1" t="s">
        <v>83</v>
      </c>
      <c r="H1000" s="2">
        <v>45756.87777777778</v>
      </c>
      <c r="J1000" s="1" t="s">
        <v>18</v>
      </c>
    </row>
    <row r="1001" spans="1:10" hidden="1" x14ac:dyDescent="0.25">
      <c r="A1001" s="1" t="str">
        <f>_xlfn.XLOOKUP(E1001,Base!G:G,Base!C:C,"NOVO")</f>
        <v>PENDENTE</v>
      </c>
      <c r="B1001" s="1">
        <v>3398543</v>
      </c>
      <c r="C1001" s="1" t="s">
        <v>26</v>
      </c>
      <c r="D1001" s="2">
        <v>45779.703472222223</v>
      </c>
      <c r="E1001" s="1" t="s">
        <v>2256</v>
      </c>
      <c r="F1001" s="1" t="s">
        <v>2256</v>
      </c>
      <c r="G1001" s="1" t="s">
        <v>83</v>
      </c>
      <c r="H1001" s="2">
        <v>45779.784722222219</v>
      </c>
      <c r="I1001" s="2">
        <v>45779.795138888891</v>
      </c>
      <c r="J1001" s="1" t="s">
        <v>18</v>
      </c>
    </row>
    <row r="1002" spans="1:10" hidden="1" x14ac:dyDescent="0.25">
      <c r="A1002" s="1" t="str">
        <f>_xlfn.XLOOKUP(E1002,Base!G:G,Base!C:C,"NOVO")</f>
        <v>PENDENTE</v>
      </c>
      <c r="B1002" s="1">
        <v>3417830</v>
      </c>
      <c r="C1002" s="1" t="s">
        <v>26</v>
      </c>
      <c r="D1002" s="2">
        <v>45790.774305555555</v>
      </c>
      <c r="E1002" s="1" t="s">
        <v>2336</v>
      </c>
      <c r="F1002" s="1" t="s">
        <v>2336</v>
      </c>
      <c r="G1002" s="1" t="s">
        <v>1711</v>
      </c>
      <c r="H1002" s="2">
        <v>45790.75277777778</v>
      </c>
      <c r="I1002" s="2">
        <v>45790.868750000001</v>
      </c>
      <c r="J1002" s="1" t="s">
        <v>18</v>
      </c>
    </row>
    <row r="1003" spans="1:10" hidden="1" x14ac:dyDescent="0.25">
      <c r="A1003" s="1" t="str">
        <f>_xlfn.XLOOKUP(E1003,Base!G:G,Base!C:C,"NOVO")</f>
        <v>PENDENTE</v>
      </c>
      <c r="B1003" s="1">
        <v>3334036</v>
      </c>
      <c r="C1003" s="1" t="s">
        <v>26</v>
      </c>
      <c r="D1003" s="2">
        <v>45747.52847222222</v>
      </c>
      <c r="E1003" s="1" t="s">
        <v>1850</v>
      </c>
      <c r="F1003" s="1" t="s">
        <v>1850</v>
      </c>
      <c r="G1003" s="1" t="s">
        <v>396</v>
      </c>
      <c r="H1003" s="2">
        <v>45747.616666666669</v>
      </c>
      <c r="J1003" s="1" t="s">
        <v>18</v>
      </c>
    </row>
    <row r="1004" spans="1:10" hidden="1" x14ac:dyDescent="0.25">
      <c r="A1004" s="1" t="str">
        <f>_xlfn.XLOOKUP(E1004,Base!G:G,Base!C:C,"NOVO")</f>
        <v>PENDENTE</v>
      </c>
      <c r="B1004" s="1">
        <v>3229216</v>
      </c>
      <c r="C1004" s="1" t="s">
        <v>26</v>
      </c>
      <c r="D1004" s="2">
        <v>45694.473611111112</v>
      </c>
      <c r="E1004" s="1" t="s">
        <v>1004</v>
      </c>
      <c r="F1004" s="1" t="s">
        <v>1004</v>
      </c>
      <c r="G1004" s="1" t="s">
        <v>83</v>
      </c>
      <c r="H1004" s="2">
        <v>45694.668749999997</v>
      </c>
      <c r="I1004" s="2">
        <v>45694.911805555559</v>
      </c>
      <c r="J1004" s="1" t="s">
        <v>18</v>
      </c>
    </row>
    <row r="1005" spans="1:10" hidden="1" x14ac:dyDescent="0.25">
      <c r="A1005" s="1" t="str">
        <f>_xlfn.XLOOKUP(E1005,Base!G:G,Base!C:C,"NOVO")</f>
        <v>PENDENTE</v>
      </c>
      <c r="B1005" s="1">
        <v>3308383</v>
      </c>
      <c r="C1005" s="1" t="s">
        <v>26</v>
      </c>
      <c r="D1005" s="2">
        <v>45734.590277777781</v>
      </c>
      <c r="E1005" s="1" t="s">
        <v>1851</v>
      </c>
      <c r="F1005" s="1" t="s">
        <v>1852</v>
      </c>
      <c r="G1005" s="1" t="s">
        <v>64</v>
      </c>
      <c r="H1005" s="2">
        <v>45734.681250000001</v>
      </c>
      <c r="J1005" s="1" t="s">
        <v>1244</v>
      </c>
    </row>
    <row r="1006" spans="1:10" hidden="1" x14ac:dyDescent="0.25">
      <c r="A1006" s="1" t="str">
        <f>_xlfn.XLOOKUP(E1006,Base!G:G,Base!C:C,"NOVO")</f>
        <v>PENDENTE</v>
      </c>
      <c r="B1006" s="1">
        <v>3429575</v>
      </c>
      <c r="C1006" s="1" t="s">
        <v>26</v>
      </c>
      <c r="D1006" s="2">
        <v>45796.675694444442</v>
      </c>
      <c r="E1006" s="1" t="s">
        <v>2494</v>
      </c>
      <c r="F1006" s="1" t="s">
        <v>2494</v>
      </c>
      <c r="G1006" s="1" t="s">
        <v>578</v>
      </c>
      <c r="H1006" s="2">
        <v>45796.763888888891</v>
      </c>
      <c r="J1006" s="1" t="s">
        <v>18</v>
      </c>
    </row>
    <row r="1007" spans="1:10" hidden="1" x14ac:dyDescent="0.25">
      <c r="A1007" s="1" t="str">
        <f>_xlfn.XLOOKUP(E1007,Base!G:G,Base!C:C,"NOVO")</f>
        <v>PENDENTE</v>
      </c>
      <c r="B1007" s="1">
        <v>3429583</v>
      </c>
      <c r="C1007" s="1" t="s">
        <v>26</v>
      </c>
      <c r="D1007" s="2">
        <v>45796.677083333336</v>
      </c>
      <c r="E1007" s="1" t="s">
        <v>2495</v>
      </c>
      <c r="F1007" s="1" t="s">
        <v>2495</v>
      </c>
      <c r="G1007" s="1" t="s">
        <v>396</v>
      </c>
      <c r="H1007" s="2">
        <v>45796.765277777777</v>
      </c>
      <c r="J1007" s="1" t="s">
        <v>18</v>
      </c>
    </row>
    <row r="1008" spans="1:10" hidden="1" x14ac:dyDescent="0.25">
      <c r="A1008" s="1" t="str">
        <f>_xlfn.XLOOKUP(E1008,Base!G:G,Base!C:C,"NOVO")</f>
        <v>PENDENTE</v>
      </c>
      <c r="B1008" s="1">
        <v>3301066</v>
      </c>
      <c r="C1008" s="1" t="s">
        <v>26</v>
      </c>
      <c r="D1008" s="2">
        <v>45730.472916666666</v>
      </c>
      <c r="E1008" s="1" t="s">
        <v>1549</v>
      </c>
      <c r="F1008" s="1" t="s">
        <v>1549</v>
      </c>
      <c r="G1008" s="1" t="s">
        <v>83</v>
      </c>
      <c r="H1008" s="2">
        <v>45730.568055555559</v>
      </c>
      <c r="J1008" s="1" t="s">
        <v>18</v>
      </c>
    </row>
    <row r="1009" spans="1:10" hidden="1" x14ac:dyDescent="0.25">
      <c r="A1009" s="1" t="str">
        <f>_xlfn.XLOOKUP(E1009,Base!G:G,Base!C:C,"NOVO")</f>
        <v>PENDENTE</v>
      </c>
      <c r="B1009" s="1">
        <v>3296192</v>
      </c>
      <c r="C1009" s="1" t="s">
        <v>26</v>
      </c>
      <c r="D1009" s="2">
        <v>45729.40625</v>
      </c>
      <c r="E1009" s="1" t="s">
        <v>1550</v>
      </c>
      <c r="F1009" s="1" t="s">
        <v>1550</v>
      </c>
      <c r="G1009" s="1" t="s">
        <v>83</v>
      </c>
      <c r="H1009" s="2">
        <v>45728.84375</v>
      </c>
      <c r="I1009" s="2">
        <v>45729.491666666669</v>
      </c>
      <c r="J1009" s="1" t="s">
        <v>18</v>
      </c>
    </row>
    <row r="1010" spans="1:10" hidden="1" x14ac:dyDescent="0.25">
      <c r="A1010" s="1" t="str">
        <f>_xlfn.XLOOKUP(E1010,Base!G:G,Base!C:C,"NOVO")</f>
        <v>PENDENTE</v>
      </c>
      <c r="B1010" s="1">
        <v>3309036</v>
      </c>
      <c r="C1010" s="1" t="s">
        <v>26</v>
      </c>
      <c r="D1010" s="2">
        <v>45735.494444444441</v>
      </c>
      <c r="E1010" s="1" t="s">
        <v>1853</v>
      </c>
      <c r="F1010" s="1" t="s">
        <v>1853</v>
      </c>
      <c r="G1010" s="1" t="s">
        <v>1060</v>
      </c>
      <c r="H1010" s="2">
        <v>45734.788194444445</v>
      </c>
      <c r="I1010" s="2">
        <v>45735.586111111108</v>
      </c>
      <c r="J1010" s="1" t="s">
        <v>18</v>
      </c>
    </row>
    <row r="1011" spans="1:10" hidden="1" x14ac:dyDescent="0.25">
      <c r="A1011" s="1" t="str">
        <f>_xlfn.XLOOKUP(E1011,Base!G:G,Base!C:C,"NOVO")</f>
        <v>PENDENTE</v>
      </c>
      <c r="B1011" s="1">
        <v>3319421</v>
      </c>
      <c r="C1011" s="1" t="s">
        <v>26</v>
      </c>
      <c r="D1011" s="2">
        <v>45740.459027777775</v>
      </c>
      <c r="E1011" s="1" t="s">
        <v>1854</v>
      </c>
      <c r="F1011" s="1" t="s">
        <v>1855</v>
      </c>
      <c r="G1011" s="1" t="s">
        <v>64</v>
      </c>
      <c r="H1011" s="2">
        <v>45740.54791666667</v>
      </c>
      <c r="J1011" s="1" t="s">
        <v>1244</v>
      </c>
    </row>
    <row r="1012" spans="1:10" hidden="1" x14ac:dyDescent="0.25">
      <c r="A1012" s="1" t="str">
        <f>_xlfn.XLOOKUP(E1012,Base!G:G,Base!C:C,"NOVO")</f>
        <v>PENDENTE</v>
      </c>
      <c r="B1012" s="1">
        <v>3249153</v>
      </c>
      <c r="C1012" s="1" t="s">
        <v>26</v>
      </c>
      <c r="D1012" s="2">
        <v>45741.755555555559</v>
      </c>
      <c r="E1012" s="1" t="s">
        <v>1184</v>
      </c>
      <c r="F1012" s="1" t="s">
        <v>1184</v>
      </c>
      <c r="G1012" s="1" t="s">
        <v>83</v>
      </c>
      <c r="H1012" s="2">
        <v>45702.900694444441</v>
      </c>
      <c r="I1012" s="2">
        <v>45741.845833333333</v>
      </c>
      <c r="J1012" s="1" t="s">
        <v>18</v>
      </c>
    </row>
    <row r="1013" spans="1:10" hidden="1" x14ac:dyDescent="0.25">
      <c r="A1013" s="1" t="str">
        <f>_xlfn.XLOOKUP(E1013,Base!G:G,Base!C:C,"NOVO")</f>
        <v>PENDENTE</v>
      </c>
      <c r="B1013" s="1">
        <v>3245146</v>
      </c>
      <c r="C1013" s="1" t="s">
        <v>26</v>
      </c>
      <c r="D1013" s="2">
        <v>45701.655555555553</v>
      </c>
      <c r="E1013" s="1" t="s">
        <v>1185</v>
      </c>
      <c r="F1013" s="1" t="s">
        <v>1186</v>
      </c>
      <c r="G1013" s="1" t="s">
        <v>64</v>
      </c>
      <c r="H1013" s="2">
        <v>45701.773611111108</v>
      </c>
      <c r="I1013" s="2">
        <v>45701.78402777778</v>
      </c>
      <c r="J1013" s="1" t="s">
        <v>1244</v>
      </c>
    </row>
    <row r="1014" spans="1:10" hidden="1" x14ac:dyDescent="0.25">
      <c r="A1014" s="1" t="str">
        <f>_xlfn.XLOOKUP(E1014,Base!G:G,Base!C:C,"NOVO")</f>
        <v>PENDENTE</v>
      </c>
      <c r="B1014" s="1">
        <v>3249545</v>
      </c>
      <c r="C1014" s="1" t="s">
        <v>26</v>
      </c>
      <c r="D1014" s="2">
        <v>45705.309027777781</v>
      </c>
      <c r="E1014" s="1" t="s">
        <v>1187</v>
      </c>
      <c r="F1014" s="1" t="s">
        <v>1187</v>
      </c>
      <c r="G1014" s="1" t="s">
        <v>409</v>
      </c>
      <c r="H1014" s="2">
        <v>45705.439583333333</v>
      </c>
      <c r="J1014" s="1" t="s">
        <v>18</v>
      </c>
    </row>
    <row r="1015" spans="1:10" hidden="1" x14ac:dyDescent="0.25">
      <c r="A1015" s="1" t="str">
        <f>_xlfn.XLOOKUP(E1015,Base!G:G,Base!C:C,"NOVO")</f>
        <v>PENDENTE</v>
      </c>
      <c r="B1015" s="1">
        <v>3257723</v>
      </c>
      <c r="C1015" s="1" t="s">
        <v>26</v>
      </c>
      <c r="D1015" s="2">
        <v>45790.629166666666</v>
      </c>
      <c r="E1015" s="1" t="s">
        <v>1188</v>
      </c>
      <c r="F1015" s="1" t="s">
        <v>1188</v>
      </c>
      <c r="G1015" s="1" t="s">
        <v>1189</v>
      </c>
      <c r="H1015" s="2">
        <v>45708.544444444444</v>
      </c>
      <c r="I1015" s="2">
        <v>45790.714583333334</v>
      </c>
      <c r="J1015" s="1" t="s">
        <v>18</v>
      </c>
    </row>
    <row r="1016" spans="1:10" hidden="1" x14ac:dyDescent="0.25">
      <c r="A1016" s="1" t="str">
        <f>_xlfn.XLOOKUP(E1016,Base!G:G,Base!C:C,"NOVO")</f>
        <v>PENDENTE</v>
      </c>
      <c r="B1016" s="1">
        <v>3432285</v>
      </c>
      <c r="C1016" s="1" t="s">
        <v>26</v>
      </c>
      <c r="D1016" s="2">
        <v>45810.738194444442</v>
      </c>
      <c r="E1016" s="1" t="s">
        <v>2496</v>
      </c>
      <c r="F1016" s="1" t="s">
        <v>2496</v>
      </c>
      <c r="G1016" s="1" t="s">
        <v>620</v>
      </c>
      <c r="H1016" s="2">
        <v>45797.727777777778</v>
      </c>
      <c r="I1016" s="2">
        <v>45810.824999999997</v>
      </c>
      <c r="J1016" s="1" t="s">
        <v>18</v>
      </c>
    </row>
    <row r="1017" spans="1:10" hidden="1" x14ac:dyDescent="0.25">
      <c r="A1017" s="1" t="str">
        <f>_xlfn.XLOOKUP(E1017,Base!G:G,Base!C:C,"NOVO")</f>
        <v>PENDENTE</v>
      </c>
      <c r="B1017" s="1">
        <v>3276778</v>
      </c>
      <c r="C1017" s="1" t="s">
        <v>26</v>
      </c>
      <c r="D1017" s="2">
        <v>45716.665277777778</v>
      </c>
      <c r="E1017" s="1" t="s">
        <v>1325</v>
      </c>
      <c r="F1017" s="1" t="s">
        <v>1326</v>
      </c>
      <c r="G1017" s="1" t="s">
        <v>64</v>
      </c>
      <c r="H1017" s="2">
        <v>45716.797222222223</v>
      </c>
      <c r="J1017" s="1" t="s">
        <v>1244</v>
      </c>
    </row>
    <row r="1018" spans="1:10" hidden="1" x14ac:dyDescent="0.25">
      <c r="A1018" s="1" t="str">
        <f>_xlfn.XLOOKUP(E1018,Base!G:G,Base!C:C,"NOVO")</f>
        <v>PENDENTE</v>
      </c>
      <c r="B1018" s="1">
        <v>3310656</v>
      </c>
      <c r="C1018" s="1" t="s">
        <v>26</v>
      </c>
      <c r="D1018" s="2">
        <v>45735.45</v>
      </c>
      <c r="E1018" s="1" t="s">
        <v>1856</v>
      </c>
      <c r="F1018" s="1" t="s">
        <v>1856</v>
      </c>
      <c r="G1018" s="1" t="s">
        <v>1857</v>
      </c>
      <c r="H1018" s="2">
        <v>45735.53402777778</v>
      </c>
      <c r="J1018" s="1" t="s">
        <v>18</v>
      </c>
    </row>
    <row r="1019" spans="1:10" hidden="1" x14ac:dyDescent="0.25">
      <c r="A1019" s="1" t="str">
        <f>_xlfn.XLOOKUP(E1019,Base!G:G,Base!C:C,"NOVO")</f>
        <v>PENDENTE</v>
      </c>
      <c r="B1019" s="1">
        <v>3292266</v>
      </c>
      <c r="C1019" s="1" t="s">
        <v>26</v>
      </c>
      <c r="D1019" s="2">
        <v>45727.577777777777</v>
      </c>
      <c r="E1019" s="1" t="s">
        <v>1551</v>
      </c>
      <c r="F1019" s="1" t="s">
        <v>1552</v>
      </c>
      <c r="G1019" s="1" t="s">
        <v>64</v>
      </c>
      <c r="H1019" s="2">
        <v>45727.669444444444</v>
      </c>
      <c r="J1019" s="1" t="s">
        <v>1244</v>
      </c>
    </row>
    <row r="1020" spans="1:10" hidden="1" x14ac:dyDescent="0.25">
      <c r="A1020" s="1" t="str">
        <f>_xlfn.XLOOKUP(E1020,Base!G:G,Base!C:C,"NOVO")</f>
        <v>PENDENTE</v>
      </c>
      <c r="B1020" s="1">
        <v>3317359</v>
      </c>
      <c r="C1020" s="1" t="s">
        <v>26</v>
      </c>
      <c r="D1020" s="2">
        <v>45737.770138888889</v>
      </c>
      <c r="E1020" s="1" t="s">
        <v>1858</v>
      </c>
      <c r="F1020" s="1" t="s">
        <v>1858</v>
      </c>
      <c r="G1020" s="1" t="s">
        <v>1067</v>
      </c>
      <c r="H1020" s="2">
        <v>45737.742361111108</v>
      </c>
      <c r="I1020" s="2">
        <v>45737.859722222223</v>
      </c>
      <c r="J1020" s="1" t="s">
        <v>18</v>
      </c>
    </row>
    <row r="1021" spans="1:10" hidden="1" x14ac:dyDescent="0.25">
      <c r="A1021" s="1" t="str">
        <f>_xlfn.XLOOKUP(E1021,Base!G:G,Base!C:C,"NOVO")</f>
        <v>PENDENTE</v>
      </c>
      <c r="B1021" s="1">
        <v>3330251</v>
      </c>
      <c r="C1021" s="1" t="s">
        <v>26</v>
      </c>
      <c r="D1021" s="2">
        <v>45744.242361111108</v>
      </c>
      <c r="E1021" s="1" t="s">
        <v>1859</v>
      </c>
      <c r="F1021" s="1" t="s">
        <v>1859</v>
      </c>
      <c r="G1021" s="1" t="s">
        <v>1860</v>
      </c>
      <c r="H1021" s="2">
        <v>45744.337500000001</v>
      </c>
      <c r="J1021" s="1" t="s">
        <v>18</v>
      </c>
    </row>
    <row r="1022" spans="1:10" hidden="1" x14ac:dyDescent="0.25">
      <c r="A1022" s="1" t="str">
        <f>_xlfn.XLOOKUP(E1022,Base!G:G,Base!C:C,"NOVO")</f>
        <v>PENDENTE</v>
      </c>
      <c r="B1022" s="1">
        <v>3315383</v>
      </c>
      <c r="C1022" s="1" t="s">
        <v>26</v>
      </c>
      <c r="D1022" s="2">
        <v>45736.763888888891</v>
      </c>
      <c r="E1022" s="1" t="s">
        <v>1861</v>
      </c>
      <c r="F1022" s="1" t="s">
        <v>1861</v>
      </c>
      <c r="G1022" s="1" t="s">
        <v>83</v>
      </c>
      <c r="H1022" s="2">
        <v>45736.856249999997</v>
      </c>
      <c r="J1022" s="1" t="s">
        <v>18</v>
      </c>
    </row>
    <row r="1023" spans="1:10" hidden="1" x14ac:dyDescent="0.25">
      <c r="A1023" s="1" t="str">
        <f>_xlfn.XLOOKUP(E1023,Base!G:G,Base!C:C,"NOVO")</f>
        <v>PENDENTE</v>
      </c>
      <c r="B1023" s="1">
        <v>3352073</v>
      </c>
      <c r="C1023" s="1" t="s">
        <v>26</v>
      </c>
      <c r="D1023" s="2">
        <v>45754.756944444445</v>
      </c>
      <c r="E1023" s="1" t="s">
        <v>1862</v>
      </c>
      <c r="F1023" s="1" t="s">
        <v>1862</v>
      </c>
      <c r="G1023" s="1" t="s">
        <v>409</v>
      </c>
      <c r="H1023" s="2">
        <v>45754.845138888886</v>
      </c>
      <c r="J1023" s="1" t="s">
        <v>18</v>
      </c>
    </row>
    <row r="1024" spans="1:10" hidden="1" x14ac:dyDescent="0.25">
      <c r="A1024" s="1" t="str">
        <f>_xlfn.XLOOKUP(E1024,Base!G:G,Base!C:C,"NOVO")</f>
        <v>PENDENTE</v>
      </c>
      <c r="B1024" s="1">
        <v>3302653</v>
      </c>
      <c r="C1024" s="1" t="s">
        <v>26</v>
      </c>
      <c r="D1024" s="2">
        <v>45730.745138888888</v>
      </c>
      <c r="E1024" s="1" t="s">
        <v>1553</v>
      </c>
      <c r="F1024" s="1" t="s">
        <v>1553</v>
      </c>
      <c r="G1024" s="1" t="s">
        <v>396</v>
      </c>
      <c r="H1024" s="2">
        <v>45730.838194444441</v>
      </c>
      <c r="J1024" s="1" t="s">
        <v>18</v>
      </c>
    </row>
    <row r="1025" spans="1:10" hidden="1" x14ac:dyDescent="0.25">
      <c r="A1025" s="1" t="str">
        <f>_xlfn.XLOOKUP(E1025,Base!G:G,Base!C:C,"NOVO")</f>
        <v>PENDENTE</v>
      </c>
      <c r="B1025" s="1">
        <v>3403352</v>
      </c>
      <c r="C1025" s="1" t="s">
        <v>26</v>
      </c>
      <c r="D1025" s="2">
        <v>45783.568749999999</v>
      </c>
      <c r="E1025" s="1" t="s">
        <v>2257</v>
      </c>
      <c r="F1025" s="1" t="s">
        <v>2257</v>
      </c>
      <c r="G1025" s="1" t="s">
        <v>83</v>
      </c>
      <c r="H1025" s="2">
        <v>45783.658333333333</v>
      </c>
      <c r="J1025" s="1" t="s">
        <v>18</v>
      </c>
    </row>
    <row r="1026" spans="1:10" hidden="1" x14ac:dyDescent="0.25">
      <c r="A1026" s="1" t="str">
        <f>_xlfn.XLOOKUP(E1026,Base!G:G,Base!C:C,"NOVO")</f>
        <v>PENDENTE</v>
      </c>
      <c r="B1026" s="1">
        <v>3385390</v>
      </c>
      <c r="C1026" s="1" t="s">
        <v>26</v>
      </c>
      <c r="D1026" s="2">
        <v>45772.72152777778</v>
      </c>
      <c r="E1026" s="1" t="s">
        <v>2082</v>
      </c>
      <c r="F1026" s="1" t="s">
        <v>2082</v>
      </c>
      <c r="G1026" s="1" t="s">
        <v>620</v>
      </c>
      <c r="H1026" s="2">
        <v>45772.817361111112</v>
      </c>
      <c r="J1026" s="1" t="s">
        <v>18</v>
      </c>
    </row>
    <row r="1027" spans="1:10" hidden="1" x14ac:dyDescent="0.25">
      <c r="A1027" s="1" t="str">
        <f>_xlfn.XLOOKUP(E1027,Base!G:G,Base!C:C,"NOVO")</f>
        <v>PENDENTE</v>
      </c>
      <c r="B1027" s="1">
        <v>3382290</v>
      </c>
      <c r="C1027" s="1" t="s">
        <v>26</v>
      </c>
      <c r="D1027" s="2">
        <v>45771.7</v>
      </c>
      <c r="E1027" s="1" t="s">
        <v>2083</v>
      </c>
      <c r="F1027" s="1" t="s">
        <v>2083</v>
      </c>
      <c r="G1027" s="1" t="s">
        <v>396</v>
      </c>
      <c r="H1027" s="2">
        <v>45771.798611111109</v>
      </c>
      <c r="J1027" s="1" t="s">
        <v>18</v>
      </c>
    </row>
    <row r="1028" spans="1:10" hidden="1" x14ac:dyDescent="0.25">
      <c r="A1028" s="1" t="str">
        <f>_xlfn.XLOOKUP(E1028,Base!G:G,Base!C:C,"NOVO")</f>
        <v>PENDENTE</v>
      </c>
      <c r="B1028" s="1">
        <v>3220057</v>
      </c>
      <c r="C1028" s="1" t="s">
        <v>26</v>
      </c>
      <c r="D1028" s="2">
        <v>45691.375694444447</v>
      </c>
      <c r="E1028" s="1" t="s">
        <v>873</v>
      </c>
      <c r="F1028" s="1" t="s">
        <v>873</v>
      </c>
      <c r="G1028" s="1" t="s">
        <v>83</v>
      </c>
      <c r="H1028" s="2">
        <v>45691.504166666666</v>
      </c>
      <c r="J1028" s="1" t="s">
        <v>18</v>
      </c>
    </row>
    <row r="1029" spans="1:10" hidden="1" x14ac:dyDescent="0.25">
      <c r="A1029" s="1" t="str">
        <f>_xlfn.XLOOKUP(E1029,Base!G:G,Base!C:C,"NOVO")</f>
        <v>PENDENTE</v>
      </c>
      <c r="B1029" s="1">
        <v>3268866</v>
      </c>
      <c r="C1029" s="1" t="s">
        <v>26</v>
      </c>
      <c r="D1029" s="2">
        <v>45713.710416666669</v>
      </c>
      <c r="E1029" s="1" t="s">
        <v>1327</v>
      </c>
      <c r="F1029" s="1" t="s">
        <v>1327</v>
      </c>
      <c r="G1029" s="1" t="s">
        <v>410</v>
      </c>
      <c r="H1029" s="2">
        <v>45713.84652777778</v>
      </c>
      <c r="J1029" s="1" t="s">
        <v>18</v>
      </c>
    </row>
    <row r="1030" spans="1:10" hidden="1" x14ac:dyDescent="0.25">
      <c r="A1030" s="1" t="str">
        <f>_xlfn.XLOOKUP(E1030,Base!G:G,Base!C:C,"NOVO")</f>
        <v>PENDENTE</v>
      </c>
      <c r="B1030" s="1">
        <v>3370391</v>
      </c>
      <c r="C1030" s="1" t="s">
        <v>26</v>
      </c>
      <c r="D1030" s="2">
        <v>45763.762499999997</v>
      </c>
      <c r="E1030" s="1" t="s">
        <v>2084</v>
      </c>
      <c r="F1030" s="1" t="s">
        <v>2084</v>
      </c>
      <c r="G1030" s="1" t="s">
        <v>83</v>
      </c>
      <c r="H1030" s="2">
        <v>45763.855555555558</v>
      </c>
      <c r="J1030" s="1" t="s">
        <v>18</v>
      </c>
    </row>
    <row r="1031" spans="1:10" hidden="1" x14ac:dyDescent="0.25">
      <c r="A1031" s="1" t="str">
        <f>_xlfn.XLOOKUP(E1031,Base!G:G,Base!C:C,"NOVO")</f>
        <v>PENDENTE</v>
      </c>
      <c r="B1031" s="1">
        <v>3275957</v>
      </c>
      <c r="C1031" s="1" t="s">
        <v>26</v>
      </c>
      <c r="D1031" s="2">
        <v>45716.683333333334</v>
      </c>
      <c r="E1031" s="1" t="s">
        <v>1328</v>
      </c>
      <c r="F1031" s="1" t="s">
        <v>1328</v>
      </c>
      <c r="G1031" s="1" t="s">
        <v>1060</v>
      </c>
      <c r="H1031" s="2">
        <v>45716.724999999999</v>
      </c>
      <c r="I1031" s="2">
        <v>45716.813888888886</v>
      </c>
      <c r="J1031" s="1" t="s">
        <v>18</v>
      </c>
    </row>
    <row r="1032" spans="1:10" x14ac:dyDescent="0.25">
      <c r="A1032" s="1" t="str">
        <f>_xlfn.XLOOKUP(E1032,Base!G:G,Base!C:C,"NOVO")</f>
        <v>PENDENTE</v>
      </c>
      <c r="B1032" s="1">
        <v>3471006</v>
      </c>
      <c r="C1032" s="1" t="s">
        <v>26</v>
      </c>
      <c r="D1032" s="2">
        <v>45817.324305555558</v>
      </c>
      <c r="E1032" s="1" t="s">
        <v>2741</v>
      </c>
      <c r="F1032" s="1" t="s">
        <v>2742</v>
      </c>
      <c r="G1032" s="1" t="s">
        <v>64</v>
      </c>
      <c r="H1032" s="2">
        <v>45817.40902777778</v>
      </c>
      <c r="J1032" s="1" t="s">
        <v>1244</v>
      </c>
    </row>
    <row r="1033" spans="1:10" hidden="1" x14ac:dyDescent="0.25">
      <c r="A1033" s="1" t="str">
        <f>_xlfn.XLOOKUP(E1033,Base!G:G,Base!C:C,"NOVO")</f>
        <v>PENDENTE</v>
      </c>
      <c r="B1033" s="1">
        <v>3296177</v>
      </c>
      <c r="C1033" s="1" t="s">
        <v>26</v>
      </c>
      <c r="D1033" s="2">
        <v>45728.75277777778</v>
      </c>
      <c r="E1033" s="1" t="s">
        <v>1554</v>
      </c>
      <c r="F1033" s="1" t="s">
        <v>1554</v>
      </c>
      <c r="G1033" s="1" t="s">
        <v>83</v>
      </c>
      <c r="H1033" s="2">
        <v>45728.84097222222</v>
      </c>
      <c r="J1033" s="1" t="s">
        <v>18</v>
      </c>
    </row>
    <row r="1034" spans="1:10" hidden="1" x14ac:dyDescent="0.25">
      <c r="A1034" s="1" t="str">
        <f>_xlfn.XLOOKUP(E1034,Base!G:G,Base!C:C,"NOVO")</f>
        <v>PENDENTE</v>
      </c>
      <c r="B1034" s="1">
        <v>3305495</v>
      </c>
      <c r="C1034" s="1" t="s">
        <v>26</v>
      </c>
      <c r="D1034" s="2">
        <v>45733.666666666664</v>
      </c>
      <c r="E1034" s="1" t="s">
        <v>1555</v>
      </c>
      <c r="F1034" s="1" t="s">
        <v>1556</v>
      </c>
      <c r="G1034" s="1" t="s">
        <v>64</v>
      </c>
      <c r="H1034" s="2">
        <v>45733.754166666666</v>
      </c>
      <c r="J1034" s="1" t="s">
        <v>1244</v>
      </c>
    </row>
    <row r="1035" spans="1:10" hidden="1" x14ac:dyDescent="0.25">
      <c r="A1035" s="1" t="str">
        <f>_xlfn.XLOOKUP(E1035,Base!G:G,Base!C:C,"NOVO")</f>
        <v>PENDENTE</v>
      </c>
      <c r="B1035" s="1">
        <v>3454609</v>
      </c>
      <c r="C1035" s="1" t="s">
        <v>26</v>
      </c>
      <c r="D1035" s="2">
        <v>45807.71875</v>
      </c>
      <c r="E1035" s="1" t="s">
        <v>2570</v>
      </c>
      <c r="F1035" s="1" t="s">
        <v>2570</v>
      </c>
      <c r="G1035" s="1" t="s">
        <v>746</v>
      </c>
      <c r="H1035" s="2">
        <v>45807.803472222222</v>
      </c>
      <c r="J1035" s="1" t="s">
        <v>18</v>
      </c>
    </row>
    <row r="1036" spans="1:10" hidden="1" x14ac:dyDescent="0.25">
      <c r="A1036" s="1" t="str">
        <f>_xlfn.XLOOKUP(E1036,Base!G:G,Base!C:C,"NOVO")</f>
        <v>PENDENTE</v>
      </c>
      <c r="B1036" s="1">
        <v>3428163</v>
      </c>
      <c r="C1036" s="1" t="s">
        <v>26</v>
      </c>
      <c r="D1036" s="2">
        <v>45796.469444444447</v>
      </c>
      <c r="E1036" s="1" t="s">
        <v>2497</v>
      </c>
      <c r="F1036" s="1" t="s">
        <v>2497</v>
      </c>
      <c r="G1036" s="1" t="s">
        <v>83</v>
      </c>
      <c r="H1036" s="2">
        <v>45796.558333333334</v>
      </c>
      <c r="J1036" s="1" t="s">
        <v>18</v>
      </c>
    </row>
    <row r="1037" spans="1:10" hidden="1" x14ac:dyDescent="0.25">
      <c r="A1037" s="1" t="str">
        <f>_xlfn.XLOOKUP(E1037,Base!G:G,Base!C:C,"NOVO")</f>
        <v>PENDENTE</v>
      </c>
      <c r="B1037" s="1">
        <v>3325224</v>
      </c>
      <c r="C1037" s="1" t="s">
        <v>26</v>
      </c>
      <c r="D1037" s="2">
        <v>45742.45416666667</v>
      </c>
      <c r="E1037" s="1" t="s">
        <v>1863</v>
      </c>
      <c r="F1037" s="1" t="s">
        <v>1864</v>
      </c>
      <c r="G1037" s="1" t="s">
        <v>64</v>
      </c>
      <c r="H1037" s="2">
        <v>45742.543055555558</v>
      </c>
      <c r="J1037" s="1" t="s">
        <v>1244</v>
      </c>
    </row>
    <row r="1038" spans="1:10" hidden="1" x14ac:dyDescent="0.25">
      <c r="A1038" s="1" t="str">
        <f>_xlfn.XLOOKUP(E1038,Base!G:G,Base!C:C,"NOVO")</f>
        <v>PENDENTE</v>
      </c>
      <c r="B1038" s="1">
        <v>3249549</v>
      </c>
      <c r="C1038" s="1" t="s">
        <v>26</v>
      </c>
      <c r="D1038" s="2">
        <v>45705.503472222219</v>
      </c>
      <c r="E1038" s="1" t="s">
        <v>1190</v>
      </c>
      <c r="F1038" s="1" t="s">
        <v>1190</v>
      </c>
      <c r="G1038" s="1" t="s">
        <v>409</v>
      </c>
      <c r="H1038" s="2">
        <v>45705.439583333333</v>
      </c>
      <c r="I1038" s="2">
        <v>45705.63958333333</v>
      </c>
      <c r="J1038" s="1" t="s">
        <v>18</v>
      </c>
    </row>
    <row r="1039" spans="1:10" hidden="1" x14ac:dyDescent="0.25">
      <c r="A1039" s="1" t="str">
        <f>_xlfn.XLOOKUP(E1039,Base!G:G,Base!C:C,"NOVO")</f>
        <v>PENDENTE</v>
      </c>
      <c r="B1039" s="1">
        <v>3227759</v>
      </c>
      <c r="C1039" s="1" t="s">
        <v>26</v>
      </c>
      <c r="D1039" s="2">
        <v>45693.79791666667</v>
      </c>
      <c r="E1039" s="1" t="s">
        <v>1005</v>
      </c>
      <c r="F1039" s="1" t="s">
        <v>1005</v>
      </c>
      <c r="G1039" s="1" t="s">
        <v>394</v>
      </c>
      <c r="H1039" s="2">
        <v>45693.786111111112</v>
      </c>
      <c r="I1039" s="2">
        <v>45694.905555555553</v>
      </c>
      <c r="J1039" s="1" t="s">
        <v>18</v>
      </c>
    </row>
    <row r="1040" spans="1:10" hidden="1" x14ac:dyDescent="0.25">
      <c r="A1040" s="1" t="str">
        <f>_xlfn.XLOOKUP(E1040,Base!G:G,Base!C:C,"NOVO")</f>
        <v>PENDENTE</v>
      </c>
      <c r="B1040" s="1">
        <v>3227037</v>
      </c>
      <c r="C1040" s="1" t="s">
        <v>26</v>
      </c>
      <c r="D1040" s="2">
        <v>45693.79791666667</v>
      </c>
      <c r="E1040" s="1" t="s">
        <v>1006</v>
      </c>
      <c r="F1040" s="1" t="s">
        <v>1006</v>
      </c>
      <c r="G1040" s="1" t="s">
        <v>394</v>
      </c>
      <c r="H1040" s="2">
        <v>45693.713194444441</v>
      </c>
      <c r="I1040" s="2">
        <v>45694.905555555553</v>
      </c>
      <c r="J1040" s="1" t="s">
        <v>18</v>
      </c>
    </row>
    <row r="1041" spans="1:10" hidden="1" x14ac:dyDescent="0.25">
      <c r="A1041" s="1" t="str">
        <f>_xlfn.XLOOKUP(E1041,Base!G:G,Base!C:C,"NOVO")</f>
        <v>PENDENTE</v>
      </c>
      <c r="B1041" s="1">
        <v>3314867</v>
      </c>
      <c r="C1041" s="1" t="s">
        <v>26</v>
      </c>
      <c r="D1041" s="2">
        <v>45736.708333333336</v>
      </c>
      <c r="E1041" s="1" t="s">
        <v>1865</v>
      </c>
      <c r="F1041" s="1" t="s">
        <v>1865</v>
      </c>
      <c r="G1041" s="1" t="s">
        <v>83</v>
      </c>
      <c r="H1041" s="2">
        <v>45736.798611111109</v>
      </c>
      <c r="J1041" s="1" t="s">
        <v>18</v>
      </c>
    </row>
    <row r="1042" spans="1:10" hidden="1" x14ac:dyDescent="0.25">
      <c r="A1042" s="1" t="str">
        <f>_xlfn.XLOOKUP(E1042,Base!G:G,Base!C:C,"NOVO")</f>
        <v>PENDENTE</v>
      </c>
      <c r="B1042" s="1">
        <v>3435190</v>
      </c>
      <c r="C1042" s="1" t="s">
        <v>26</v>
      </c>
      <c r="D1042" s="2">
        <v>45799.481944444444</v>
      </c>
      <c r="E1042" s="1" t="s">
        <v>2498</v>
      </c>
      <c r="F1042" s="1" t="s">
        <v>2498</v>
      </c>
      <c r="G1042" s="1" t="s">
        <v>578</v>
      </c>
      <c r="H1042" s="2">
        <v>45798.78402777778</v>
      </c>
      <c r="I1042" s="2">
        <v>45799.575694444444</v>
      </c>
      <c r="J1042" s="1" t="s">
        <v>18</v>
      </c>
    </row>
    <row r="1043" spans="1:10" x14ac:dyDescent="0.25">
      <c r="A1043" s="1" t="str">
        <f>_xlfn.XLOOKUP(E1043,Base!G:G,Base!C:C,"NOVO")</f>
        <v>PENDENTE</v>
      </c>
      <c r="B1043" s="1">
        <v>3468554</v>
      </c>
      <c r="C1043" s="1" t="s">
        <v>26</v>
      </c>
      <c r="D1043" s="2">
        <v>45814.519444444442</v>
      </c>
      <c r="E1043" s="1" t="s">
        <v>2743</v>
      </c>
      <c r="F1043" s="1" t="s">
        <v>2743</v>
      </c>
      <c r="G1043" s="1" t="s">
        <v>396</v>
      </c>
      <c r="H1043" s="2">
        <v>45814.605555555558</v>
      </c>
      <c r="J1043" s="1" t="s">
        <v>18</v>
      </c>
    </row>
    <row r="1044" spans="1:10" hidden="1" x14ac:dyDescent="0.25">
      <c r="A1044" s="1" t="str">
        <f>_xlfn.XLOOKUP(E1044,Base!G:G,Base!C:C,"NOVO")</f>
        <v>PENDENTE</v>
      </c>
      <c r="B1044" s="1">
        <v>3302648</v>
      </c>
      <c r="C1044" s="1" t="s">
        <v>26</v>
      </c>
      <c r="D1044" s="2">
        <v>45730.745138888888</v>
      </c>
      <c r="E1044" s="1" t="s">
        <v>1557</v>
      </c>
      <c r="F1044" s="1" t="s">
        <v>1557</v>
      </c>
      <c r="G1044" s="1" t="s">
        <v>396</v>
      </c>
      <c r="H1044" s="2">
        <v>45730.836805555555</v>
      </c>
      <c r="J1044" s="1" t="s">
        <v>18</v>
      </c>
    </row>
    <row r="1045" spans="1:10" hidden="1" x14ac:dyDescent="0.25">
      <c r="A1045" s="1" t="str">
        <f>_xlfn.XLOOKUP(E1045,Base!G:G,Base!C:C,"NOVO")</f>
        <v>PENDENTE</v>
      </c>
      <c r="B1045" s="1">
        <v>3282126</v>
      </c>
      <c r="C1045" s="1" t="s">
        <v>26</v>
      </c>
      <c r="D1045" s="2">
        <v>45722.275000000001</v>
      </c>
      <c r="E1045" s="1" t="s">
        <v>1329</v>
      </c>
      <c r="F1045" s="1" t="s">
        <v>1330</v>
      </c>
      <c r="G1045" s="1" t="s">
        <v>64</v>
      </c>
      <c r="H1045" s="2">
        <v>45722.409722222219</v>
      </c>
      <c r="J1045" s="1" t="s">
        <v>1244</v>
      </c>
    </row>
    <row r="1046" spans="1:10" hidden="1" x14ac:dyDescent="0.25">
      <c r="A1046" s="1" t="str">
        <f>_xlfn.XLOOKUP(E1046,Base!G:G,Base!C:C,"NOVO")</f>
        <v>PENDENTE</v>
      </c>
      <c r="B1046" s="1">
        <v>3329049</v>
      </c>
      <c r="C1046" s="1" t="s">
        <v>26</v>
      </c>
      <c r="D1046" s="2">
        <v>45743.474305555559</v>
      </c>
      <c r="E1046" s="1" t="s">
        <v>1866</v>
      </c>
      <c r="F1046" s="1" t="s">
        <v>1867</v>
      </c>
      <c r="G1046" s="1" t="s">
        <v>64</v>
      </c>
      <c r="H1046" s="2">
        <v>45743.712500000001</v>
      </c>
      <c r="J1046" s="1" t="s">
        <v>1244</v>
      </c>
    </row>
    <row r="1047" spans="1:10" hidden="1" x14ac:dyDescent="0.25">
      <c r="A1047" s="1" t="str">
        <f>_xlfn.XLOOKUP(E1047,Base!G:G,Base!C:C,"NOVO")</f>
        <v>PENDENTE</v>
      </c>
      <c r="B1047" s="1">
        <v>3249548</v>
      </c>
      <c r="C1047" s="1" t="s">
        <v>26</v>
      </c>
      <c r="D1047" s="2">
        <v>45705.503472222219</v>
      </c>
      <c r="E1047" s="1" t="s">
        <v>1192</v>
      </c>
      <c r="F1047" s="1" t="s">
        <v>1192</v>
      </c>
      <c r="G1047" s="1" t="s">
        <v>409</v>
      </c>
      <c r="H1047" s="2">
        <v>45705.439583333333</v>
      </c>
      <c r="I1047" s="2">
        <v>45705.63958333333</v>
      </c>
      <c r="J1047" s="1" t="s">
        <v>18</v>
      </c>
    </row>
    <row r="1048" spans="1:10" hidden="1" x14ac:dyDescent="0.25">
      <c r="A1048" s="1" t="str">
        <f>_xlfn.XLOOKUP(E1048,Base!G:G,Base!C:C,"NOVO")</f>
        <v>PENDENTE</v>
      </c>
      <c r="B1048" s="1">
        <v>3283594</v>
      </c>
      <c r="C1048" s="1" t="s">
        <v>26</v>
      </c>
      <c r="D1048" s="2">
        <v>45722.592361111114</v>
      </c>
      <c r="E1048" s="1" t="s">
        <v>1558</v>
      </c>
      <c r="F1048" s="1" t="s">
        <v>1559</v>
      </c>
      <c r="G1048" s="1" t="s">
        <v>64</v>
      </c>
      <c r="H1048" s="2">
        <v>45722.720833333333</v>
      </c>
      <c r="J1048" s="1" t="s">
        <v>1244</v>
      </c>
    </row>
    <row r="1049" spans="1:10" hidden="1" x14ac:dyDescent="0.25">
      <c r="A1049" s="1" t="str">
        <f>_xlfn.XLOOKUP(E1049,Base!G:G,Base!C:C,"NOVO")</f>
        <v>PENDENTE</v>
      </c>
      <c r="B1049" s="1">
        <v>3434017</v>
      </c>
      <c r="C1049" s="1" t="s">
        <v>26</v>
      </c>
      <c r="D1049" s="2">
        <v>45798.487500000003</v>
      </c>
      <c r="E1049" s="1" t="s">
        <v>2499</v>
      </c>
      <c r="F1049" s="1" t="s">
        <v>2499</v>
      </c>
      <c r="G1049" s="1" t="s">
        <v>652</v>
      </c>
      <c r="H1049" s="2">
        <v>45798.575694444444</v>
      </c>
      <c r="J1049" s="1" t="s">
        <v>18</v>
      </c>
    </row>
    <row r="1050" spans="1:10" hidden="1" x14ac:dyDescent="0.25">
      <c r="A1050" s="1" t="str">
        <f>_xlfn.XLOOKUP(E1050,Base!G:G,Base!C:C,"NOVO")</f>
        <v>PENDENTE</v>
      </c>
      <c r="B1050" s="1">
        <v>3282125</v>
      </c>
      <c r="C1050" s="1" t="s">
        <v>26</v>
      </c>
      <c r="D1050" s="2">
        <v>45722.274305555555</v>
      </c>
      <c r="E1050" s="1" t="s">
        <v>1331</v>
      </c>
      <c r="F1050" s="1" t="s">
        <v>1332</v>
      </c>
      <c r="G1050" s="1" t="s">
        <v>64</v>
      </c>
      <c r="H1050" s="2">
        <v>45722.40902777778</v>
      </c>
      <c r="J1050" s="1" t="s">
        <v>1244</v>
      </c>
    </row>
    <row r="1051" spans="1:10" hidden="1" x14ac:dyDescent="0.25">
      <c r="A1051" s="1" t="str">
        <f>_xlfn.XLOOKUP(E1051,Base!G:G,Base!C:C,"NOVO")</f>
        <v>PENDENTE</v>
      </c>
      <c r="B1051" s="1">
        <v>3281900</v>
      </c>
      <c r="C1051" s="1" t="s">
        <v>26</v>
      </c>
      <c r="D1051" s="2">
        <v>45721.758333333331</v>
      </c>
      <c r="E1051" s="1" t="s">
        <v>1333</v>
      </c>
      <c r="F1051" s="1" t="s">
        <v>1333</v>
      </c>
      <c r="G1051" s="1" t="s">
        <v>1060</v>
      </c>
      <c r="H1051" s="2">
        <v>45721.892361111109</v>
      </c>
      <c r="J1051" s="1" t="s">
        <v>18</v>
      </c>
    </row>
    <row r="1052" spans="1:10" hidden="1" x14ac:dyDescent="0.25">
      <c r="A1052" s="1" t="str">
        <f>_xlfn.XLOOKUP(E1052,Base!G:G,Base!C:C,"NOVO")</f>
        <v>PENDENTE</v>
      </c>
      <c r="B1052" s="1">
        <v>3454648</v>
      </c>
      <c r="C1052" s="1" t="s">
        <v>26</v>
      </c>
      <c r="D1052" s="2">
        <v>45807.71875</v>
      </c>
      <c r="E1052" s="1" t="s">
        <v>2571</v>
      </c>
      <c r="F1052" s="1" t="s">
        <v>2571</v>
      </c>
      <c r="G1052" s="1" t="s">
        <v>83</v>
      </c>
      <c r="H1052" s="2">
        <v>45807.806250000001</v>
      </c>
      <c r="J1052" s="1" t="s">
        <v>18</v>
      </c>
    </row>
    <row r="1053" spans="1:10" hidden="1" x14ac:dyDescent="0.25">
      <c r="A1053" s="1" t="str">
        <f>_xlfn.XLOOKUP(E1053,Base!G:G,Base!C:C,"NOVO")</f>
        <v>PENDENTE</v>
      </c>
      <c r="B1053" s="1">
        <v>3460332</v>
      </c>
      <c r="C1053" s="1" t="s">
        <v>26</v>
      </c>
      <c r="D1053" s="2">
        <v>45811.340277777781</v>
      </c>
      <c r="E1053" s="1" t="s">
        <v>2590</v>
      </c>
      <c r="F1053" s="1" t="s">
        <v>2591</v>
      </c>
      <c r="G1053" s="1" t="s">
        <v>64</v>
      </c>
      <c r="H1053" s="2">
        <v>45811.428472222222</v>
      </c>
      <c r="J1053" s="1" t="s">
        <v>1244</v>
      </c>
    </row>
    <row r="1054" spans="1:10" hidden="1" x14ac:dyDescent="0.25">
      <c r="A1054" s="1" t="str">
        <f>_xlfn.XLOOKUP(E1054,Base!G:G,Base!C:C,"NOVO")</f>
        <v>PENDENTE</v>
      </c>
      <c r="B1054" s="1">
        <v>3468240</v>
      </c>
      <c r="C1054" s="1" t="s">
        <v>26</v>
      </c>
      <c r="D1054" s="2">
        <v>45814.378472222219</v>
      </c>
      <c r="E1054" s="1" t="s">
        <v>2625</v>
      </c>
      <c r="F1054" s="1" t="s">
        <v>2626</v>
      </c>
      <c r="G1054" s="1" t="s">
        <v>64</v>
      </c>
      <c r="H1054" s="2">
        <v>45814.47152777778</v>
      </c>
      <c r="J1054" s="1" t="s">
        <v>1244</v>
      </c>
    </row>
    <row r="1055" spans="1:10" hidden="1" x14ac:dyDescent="0.25">
      <c r="A1055" s="1" t="str">
        <f>_xlfn.XLOOKUP(E1055,Base!G:G,Base!C:C,"NOVO")</f>
        <v>PENDENTE</v>
      </c>
      <c r="B1055" s="1">
        <v>3435086</v>
      </c>
      <c r="C1055" s="1" t="s">
        <v>26</v>
      </c>
      <c r="D1055" s="2">
        <v>45798.652083333334</v>
      </c>
      <c r="E1055" s="1" t="s">
        <v>2500</v>
      </c>
      <c r="F1055" s="1" t="s">
        <v>2500</v>
      </c>
      <c r="G1055" s="1" t="s">
        <v>620</v>
      </c>
      <c r="H1055" s="2">
        <v>45798.743750000001</v>
      </c>
      <c r="J1055" s="1" t="s">
        <v>18</v>
      </c>
    </row>
    <row r="1056" spans="1:10" hidden="1" x14ac:dyDescent="0.25">
      <c r="A1056" s="1" t="str">
        <f>_xlfn.XLOOKUP(E1056,Base!G:G,Base!C:C,"NOVO")</f>
        <v>PENDENTE</v>
      </c>
      <c r="B1056" s="1">
        <v>3311342</v>
      </c>
      <c r="C1056" s="1" t="s">
        <v>26</v>
      </c>
      <c r="D1056" s="2">
        <v>45735.560416666667</v>
      </c>
      <c r="E1056" s="1" t="s">
        <v>1868</v>
      </c>
      <c r="F1056" s="1" t="s">
        <v>1869</v>
      </c>
      <c r="G1056" s="1" t="s">
        <v>64</v>
      </c>
      <c r="H1056" s="2">
        <v>45735.648611111108</v>
      </c>
      <c r="J1056" s="1" t="s">
        <v>1244</v>
      </c>
    </row>
    <row r="1057" spans="1:10" hidden="1" x14ac:dyDescent="0.25">
      <c r="A1057" s="1" t="str">
        <f>_xlfn.XLOOKUP(E1057,Base!G:G,Base!C:C,"NOVO")</f>
        <v>PENDENTE</v>
      </c>
      <c r="B1057" s="1">
        <v>3334037</v>
      </c>
      <c r="C1057" s="1" t="s">
        <v>26</v>
      </c>
      <c r="D1057" s="2">
        <v>45747.52847222222</v>
      </c>
      <c r="E1057" s="1" t="s">
        <v>1870</v>
      </c>
      <c r="F1057" s="1" t="s">
        <v>1870</v>
      </c>
      <c r="G1057" s="1" t="s">
        <v>83</v>
      </c>
      <c r="H1057" s="2">
        <v>45747.616666666669</v>
      </c>
      <c r="J1057" s="1" t="s">
        <v>18</v>
      </c>
    </row>
    <row r="1058" spans="1:10" hidden="1" x14ac:dyDescent="0.25">
      <c r="A1058" s="1" t="str">
        <f>_xlfn.XLOOKUP(E1058,Base!G:G,Base!C:C,"NOVO")</f>
        <v>PENDENTE</v>
      </c>
      <c r="B1058" s="1">
        <v>3309054</v>
      </c>
      <c r="C1058" s="1" t="s">
        <v>26</v>
      </c>
      <c r="D1058" s="2">
        <v>45734.696527777778</v>
      </c>
      <c r="E1058" s="1" t="s">
        <v>1871</v>
      </c>
      <c r="F1058" s="1" t="s">
        <v>1871</v>
      </c>
      <c r="G1058" s="1" t="s">
        <v>83</v>
      </c>
      <c r="H1058" s="2">
        <v>45734.788888888892</v>
      </c>
      <c r="J1058" s="1" t="s">
        <v>18</v>
      </c>
    </row>
    <row r="1059" spans="1:10" hidden="1" x14ac:dyDescent="0.25">
      <c r="A1059" s="1" t="str">
        <f>_xlfn.XLOOKUP(E1059,Base!G:G,Base!C:C,"NOVO")</f>
        <v>PENDENTE</v>
      </c>
      <c r="B1059" s="1">
        <v>3334043</v>
      </c>
      <c r="C1059" s="1" t="s">
        <v>26</v>
      </c>
      <c r="D1059" s="2">
        <v>45747.52847222222</v>
      </c>
      <c r="E1059" s="1" t="s">
        <v>1872</v>
      </c>
      <c r="F1059" s="1" t="s">
        <v>1872</v>
      </c>
      <c r="G1059" s="1" t="s">
        <v>396</v>
      </c>
      <c r="H1059" s="2">
        <v>45747.617361111108</v>
      </c>
      <c r="J1059" s="1" t="s">
        <v>18</v>
      </c>
    </row>
    <row r="1060" spans="1:10" hidden="1" x14ac:dyDescent="0.25">
      <c r="A1060" s="1" t="str">
        <f>_xlfn.XLOOKUP(E1060,Base!G:G,Base!C:C,"NOVO")</f>
        <v>PENDENTE</v>
      </c>
      <c r="B1060" s="1">
        <v>3271845</v>
      </c>
      <c r="C1060" s="1" t="s">
        <v>26</v>
      </c>
      <c r="D1060" s="2">
        <v>45715.265972222223</v>
      </c>
      <c r="E1060" s="1" t="s">
        <v>1334</v>
      </c>
      <c r="F1060" s="1" t="s">
        <v>1335</v>
      </c>
      <c r="G1060" s="1" t="s">
        <v>64</v>
      </c>
      <c r="H1060" s="2">
        <v>45715.397916666669</v>
      </c>
      <c r="J1060" s="1" t="s">
        <v>1244</v>
      </c>
    </row>
    <row r="1061" spans="1:10" hidden="1" x14ac:dyDescent="0.25">
      <c r="A1061" s="1" t="str">
        <f>_xlfn.XLOOKUP(E1061,Base!G:G,Base!C:C,"NOVO")</f>
        <v>PENDENTE</v>
      </c>
      <c r="B1061" s="1">
        <v>3296198</v>
      </c>
      <c r="C1061" s="1" t="s">
        <v>26</v>
      </c>
      <c r="D1061" s="2">
        <v>45742.662499999999</v>
      </c>
      <c r="E1061" s="1" t="s">
        <v>1560</v>
      </c>
      <c r="F1061" s="1" t="s">
        <v>1560</v>
      </c>
      <c r="G1061" s="1" t="s">
        <v>410</v>
      </c>
      <c r="H1061" s="2">
        <v>45728.844444444447</v>
      </c>
      <c r="I1061" s="2">
        <v>45742.760416666664</v>
      </c>
      <c r="J1061" s="1" t="s">
        <v>18</v>
      </c>
    </row>
    <row r="1062" spans="1:10" hidden="1" x14ac:dyDescent="0.25">
      <c r="A1062" s="1" t="str">
        <f>_xlfn.XLOOKUP(E1062,Base!G:G,Base!C:C,"NOVO")</f>
        <v>PENDENTE</v>
      </c>
      <c r="B1062" s="1">
        <v>3378829</v>
      </c>
      <c r="C1062" s="1" t="s">
        <v>26</v>
      </c>
      <c r="D1062" s="2">
        <v>45770.613888888889</v>
      </c>
      <c r="E1062" s="1" t="s">
        <v>2085</v>
      </c>
      <c r="F1062" s="1" t="s">
        <v>2086</v>
      </c>
      <c r="G1062" s="1" t="s">
        <v>393</v>
      </c>
      <c r="H1062" s="2">
        <v>45770.698611111111</v>
      </c>
      <c r="J1062" s="1" t="s">
        <v>19</v>
      </c>
    </row>
    <row r="1063" spans="1:10" hidden="1" x14ac:dyDescent="0.25">
      <c r="A1063" s="1" t="str">
        <f>_xlfn.XLOOKUP(E1063,Base!G:G,Base!C:C,"NOVO")</f>
        <v>PENDENTE</v>
      </c>
      <c r="B1063" s="1">
        <v>3318340</v>
      </c>
      <c r="C1063" s="1" t="s">
        <v>26</v>
      </c>
      <c r="D1063" s="2">
        <v>45737.770138888889</v>
      </c>
      <c r="E1063" s="1" t="s">
        <v>1873</v>
      </c>
      <c r="F1063" s="1" t="s">
        <v>1873</v>
      </c>
      <c r="G1063" s="1" t="s">
        <v>620</v>
      </c>
      <c r="H1063" s="2">
        <v>45737.861111111109</v>
      </c>
      <c r="J1063" s="1" t="s">
        <v>18</v>
      </c>
    </row>
    <row r="1064" spans="1:10" hidden="1" x14ac:dyDescent="0.25">
      <c r="A1064" s="1" t="str">
        <f>_xlfn.XLOOKUP(E1064,Base!G:G,Base!C:C,"NOVO")</f>
        <v>PENDENTE</v>
      </c>
      <c r="B1064" s="1">
        <v>3362751</v>
      </c>
      <c r="C1064" s="1" t="s">
        <v>26</v>
      </c>
      <c r="D1064" s="2">
        <v>45760.638194444444</v>
      </c>
      <c r="E1064" s="1" t="s">
        <v>2087</v>
      </c>
      <c r="F1064" s="1" t="s">
        <v>2087</v>
      </c>
      <c r="G1064" s="1" t="s">
        <v>169</v>
      </c>
      <c r="H1064" s="2">
        <v>45760.73333333333</v>
      </c>
      <c r="J1064" s="1" t="s">
        <v>18</v>
      </c>
    </row>
    <row r="1065" spans="1:10" hidden="1" x14ac:dyDescent="0.25">
      <c r="A1065" s="1" t="str">
        <f>_xlfn.XLOOKUP(E1065,Base!G:G,Base!C:C,"NOVO")</f>
        <v>PENDENTE</v>
      </c>
      <c r="B1065" s="1">
        <v>3323109</v>
      </c>
      <c r="C1065" s="1" t="s">
        <v>26</v>
      </c>
      <c r="D1065" s="2">
        <v>45744.242361111108</v>
      </c>
      <c r="E1065" s="1" t="s">
        <v>1874</v>
      </c>
      <c r="F1065" s="1" t="s">
        <v>1874</v>
      </c>
      <c r="G1065" s="1" t="s">
        <v>408</v>
      </c>
      <c r="H1065" s="2">
        <v>45741.742361111108</v>
      </c>
      <c r="I1065" s="2">
        <v>45744.336111111108</v>
      </c>
      <c r="J1065" s="1" t="s">
        <v>18</v>
      </c>
    </row>
    <row r="1066" spans="1:10" hidden="1" x14ac:dyDescent="0.25">
      <c r="A1066" s="1" t="str">
        <f>_xlfn.XLOOKUP(E1066,Base!G:G,Base!C:C,"NOVO")</f>
        <v>PENDENTE</v>
      </c>
      <c r="B1066" s="1">
        <v>3373071</v>
      </c>
      <c r="C1066" s="1" t="s">
        <v>26</v>
      </c>
      <c r="D1066" s="2">
        <v>45769.327777777777</v>
      </c>
      <c r="E1066" s="1" t="s">
        <v>2088</v>
      </c>
      <c r="F1066" s="1" t="s">
        <v>2089</v>
      </c>
      <c r="G1066" s="1" t="s">
        <v>101</v>
      </c>
      <c r="H1066" s="2">
        <v>45764.743750000001</v>
      </c>
      <c r="I1066" s="2">
        <v>45769.420138888891</v>
      </c>
      <c r="J1066" s="1" t="s">
        <v>1244</v>
      </c>
    </row>
    <row r="1067" spans="1:10" x14ac:dyDescent="0.25">
      <c r="A1067" s="1" t="str">
        <f>_xlfn.XLOOKUP(E1067,Base!G:G,Base!C:C,"NOVO")</f>
        <v>PENDENTE</v>
      </c>
      <c r="B1067" s="1">
        <v>3485132</v>
      </c>
      <c r="C1067" s="1" t="s">
        <v>26</v>
      </c>
      <c r="D1067" s="2">
        <v>45824.724305555559</v>
      </c>
      <c r="E1067" s="1" t="s">
        <v>2744</v>
      </c>
      <c r="F1067" s="1" t="s">
        <v>2744</v>
      </c>
      <c r="G1067" s="1" t="s">
        <v>83</v>
      </c>
      <c r="H1067" s="2">
        <v>45824.814583333333</v>
      </c>
      <c r="J1067" s="1" t="s">
        <v>18</v>
      </c>
    </row>
    <row r="1068" spans="1:10" hidden="1" x14ac:dyDescent="0.25">
      <c r="A1068" s="1" t="str">
        <f>_xlfn.XLOOKUP(E1068,Base!G:G,Base!C:C,"NOVO")</f>
        <v>PENDENTE</v>
      </c>
      <c r="B1068" s="1">
        <v>3255642</v>
      </c>
      <c r="C1068" s="1" t="s">
        <v>26</v>
      </c>
      <c r="D1068" s="2">
        <v>45707.372916666667</v>
      </c>
      <c r="E1068" s="1" t="s">
        <v>1194</v>
      </c>
      <c r="F1068" s="1" t="s">
        <v>1195</v>
      </c>
      <c r="G1068" s="1" t="s">
        <v>85</v>
      </c>
      <c r="H1068" s="2">
        <v>45707.505555555559</v>
      </c>
      <c r="J1068" s="1" t="s">
        <v>18</v>
      </c>
    </row>
    <row r="1069" spans="1:10" hidden="1" x14ac:dyDescent="0.25">
      <c r="A1069" s="1" t="str">
        <f>_xlfn.XLOOKUP(E1069,Base!G:G,Base!C:C,"NOVO")</f>
        <v>PENDENTE</v>
      </c>
      <c r="B1069" s="1">
        <v>3406597</v>
      </c>
      <c r="C1069" s="1" t="s">
        <v>26</v>
      </c>
      <c r="D1069" s="2">
        <v>45784.692361111112</v>
      </c>
      <c r="E1069" s="1" t="s">
        <v>2258</v>
      </c>
      <c r="F1069" s="1" t="s">
        <v>2258</v>
      </c>
      <c r="G1069" s="1" t="s">
        <v>396</v>
      </c>
      <c r="H1069" s="2">
        <v>45784.783333333333</v>
      </c>
      <c r="J1069" s="1" t="s">
        <v>18</v>
      </c>
    </row>
    <row r="1070" spans="1:10" hidden="1" x14ac:dyDescent="0.25">
      <c r="A1070" s="1" t="str">
        <f>_xlfn.XLOOKUP(E1070,Base!G:G,Base!C:C,"NOVO")</f>
        <v>PENDENTE</v>
      </c>
      <c r="B1070" s="1">
        <v>3287129</v>
      </c>
      <c r="C1070" s="1" t="s">
        <v>26</v>
      </c>
      <c r="D1070" s="2">
        <v>45723.736805555556</v>
      </c>
      <c r="E1070" s="1" t="s">
        <v>1561</v>
      </c>
      <c r="F1070" s="1" t="s">
        <v>1561</v>
      </c>
      <c r="G1070" s="1" t="s">
        <v>396</v>
      </c>
      <c r="H1070" s="2">
        <v>45723.870833333334</v>
      </c>
      <c r="J1070" s="1" t="s">
        <v>18</v>
      </c>
    </row>
    <row r="1071" spans="1:10" hidden="1" x14ac:dyDescent="0.25">
      <c r="A1071" s="1" t="str">
        <f>_xlfn.XLOOKUP(E1071,Base!G:G,Base!C:C,"NOVO")</f>
        <v>PENDENTE</v>
      </c>
      <c r="B1071" s="1">
        <v>3299813</v>
      </c>
      <c r="C1071" s="1" t="s">
        <v>26</v>
      </c>
      <c r="D1071" s="2">
        <v>45730.561111111114</v>
      </c>
      <c r="E1071" s="1" t="s">
        <v>1562</v>
      </c>
      <c r="F1071" s="1" t="s">
        <v>1562</v>
      </c>
      <c r="G1071" s="1" t="s">
        <v>1189</v>
      </c>
      <c r="H1071" s="2">
        <v>45729.857638888891</v>
      </c>
      <c r="I1071" s="2">
        <v>45730.649305555555</v>
      </c>
      <c r="J1071" s="1" t="s">
        <v>18</v>
      </c>
    </row>
    <row r="1072" spans="1:10" hidden="1" x14ac:dyDescent="0.25">
      <c r="A1072" s="1" t="str">
        <f>_xlfn.XLOOKUP(E1072,Base!G:G,Base!C:C,"NOVO")</f>
        <v>PENDENTE</v>
      </c>
      <c r="B1072" s="1">
        <v>3378807</v>
      </c>
      <c r="C1072" s="1" t="s">
        <v>26</v>
      </c>
      <c r="D1072" s="2">
        <v>45770.6</v>
      </c>
      <c r="E1072" s="1" t="s">
        <v>2090</v>
      </c>
      <c r="F1072" s="1" t="s">
        <v>2090</v>
      </c>
      <c r="G1072" s="1" t="s">
        <v>1974</v>
      </c>
      <c r="H1072" s="2">
        <v>45770.690972222219</v>
      </c>
      <c r="J1072" s="1" t="s">
        <v>18</v>
      </c>
    </row>
    <row r="1073" spans="1:10" hidden="1" x14ac:dyDescent="0.25">
      <c r="A1073" s="1" t="str">
        <f>_xlfn.XLOOKUP(E1073,Base!G:G,Base!C:C,"NOVO")</f>
        <v>PENDENTE</v>
      </c>
      <c r="B1073" s="1">
        <v>3357858</v>
      </c>
      <c r="C1073" s="1" t="s">
        <v>26</v>
      </c>
      <c r="D1073" s="2">
        <v>45757.441666666666</v>
      </c>
      <c r="E1073" s="1" t="s">
        <v>2091</v>
      </c>
      <c r="F1073" s="1" t="s">
        <v>2092</v>
      </c>
      <c r="G1073" s="1" t="s">
        <v>393</v>
      </c>
      <c r="H1073" s="2">
        <v>45757.531944444447</v>
      </c>
      <c r="J1073" s="1" t="s">
        <v>19</v>
      </c>
    </row>
    <row r="1074" spans="1:10" hidden="1" x14ac:dyDescent="0.25">
      <c r="A1074" s="1" t="str">
        <f>_xlfn.XLOOKUP(E1074,Base!G:G,Base!C:C,"NOVO")</f>
        <v>PENDENTE</v>
      </c>
      <c r="B1074" s="1">
        <v>3453501</v>
      </c>
      <c r="C1074" s="1" t="s">
        <v>26</v>
      </c>
      <c r="D1074" s="2">
        <v>45807.536805555559</v>
      </c>
      <c r="E1074" s="1" t="s">
        <v>2572</v>
      </c>
      <c r="F1074" s="1" t="s">
        <v>2572</v>
      </c>
      <c r="G1074" s="1" t="s">
        <v>83</v>
      </c>
      <c r="H1074" s="2">
        <v>45807.629861111112</v>
      </c>
      <c r="J1074" s="1" t="s">
        <v>18</v>
      </c>
    </row>
    <row r="1075" spans="1:10" hidden="1" x14ac:dyDescent="0.25">
      <c r="A1075" s="1" t="str">
        <f>_xlfn.XLOOKUP(E1075,Base!G:G,Base!C:C,"NOVO")</f>
        <v>PENDENTE</v>
      </c>
      <c r="B1075" s="1">
        <v>3287021</v>
      </c>
      <c r="C1075" s="1" t="s">
        <v>26</v>
      </c>
      <c r="D1075" s="2">
        <v>45723.736805555556</v>
      </c>
      <c r="E1075" s="1" t="s">
        <v>1563</v>
      </c>
      <c r="F1075" s="1" t="s">
        <v>1563</v>
      </c>
      <c r="G1075" s="1" t="s">
        <v>1060</v>
      </c>
      <c r="H1075" s="2">
        <v>45723.865972222222</v>
      </c>
      <c r="J1075" s="1" t="s">
        <v>18</v>
      </c>
    </row>
    <row r="1076" spans="1:10" hidden="1" x14ac:dyDescent="0.25">
      <c r="A1076" s="1" t="str">
        <f>_xlfn.XLOOKUP(E1076,Base!G:G,Base!C:C,"NOVO")</f>
        <v>PENDENTE</v>
      </c>
      <c r="B1076" s="1">
        <v>3415342</v>
      </c>
      <c r="C1076" s="1" t="s">
        <v>26</v>
      </c>
      <c r="D1076" s="2">
        <v>45789.681944444441</v>
      </c>
      <c r="E1076" s="1" t="s">
        <v>2337</v>
      </c>
      <c r="F1076" s="1" t="s">
        <v>2337</v>
      </c>
      <c r="G1076" s="1" t="s">
        <v>707</v>
      </c>
      <c r="H1076" s="2">
        <v>45789.774305555555</v>
      </c>
      <c r="J1076" s="1" t="s">
        <v>18</v>
      </c>
    </row>
    <row r="1077" spans="1:10" hidden="1" x14ac:dyDescent="0.25">
      <c r="A1077" s="1" t="str">
        <f>_xlfn.XLOOKUP(E1077,Base!G:G,Base!C:C,"NOVO")</f>
        <v>PENDENTE</v>
      </c>
      <c r="B1077" s="1">
        <v>3385371</v>
      </c>
      <c r="C1077" s="1" t="s">
        <v>26</v>
      </c>
      <c r="D1077" s="2">
        <v>45772.72152777778</v>
      </c>
      <c r="E1077" s="1" t="s">
        <v>2093</v>
      </c>
      <c r="F1077" s="1" t="s">
        <v>2093</v>
      </c>
      <c r="G1077" s="1" t="s">
        <v>83</v>
      </c>
      <c r="H1077" s="2">
        <v>45772.816666666666</v>
      </c>
      <c r="J1077" s="1" t="s">
        <v>18</v>
      </c>
    </row>
    <row r="1078" spans="1:10" hidden="1" x14ac:dyDescent="0.25">
      <c r="A1078" s="1" t="str">
        <f>_xlfn.XLOOKUP(E1078,Base!G:G,Base!C:C,"NOVO")</f>
        <v>PENDENTE</v>
      </c>
      <c r="B1078" s="1">
        <v>3287051</v>
      </c>
      <c r="C1078" s="1" t="s">
        <v>26</v>
      </c>
      <c r="D1078" s="2">
        <v>45726.624305555553</v>
      </c>
      <c r="E1078" s="1" t="s">
        <v>1564</v>
      </c>
      <c r="F1078" s="1" t="s">
        <v>1564</v>
      </c>
      <c r="G1078" s="1" t="s">
        <v>83</v>
      </c>
      <c r="H1078" s="2">
        <v>45723.867361111108</v>
      </c>
      <c r="I1078" s="2">
        <v>45726.711805555555</v>
      </c>
      <c r="J1078" s="1" t="s">
        <v>18</v>
      </c>
    </row>
    <row r="1079" spans="1:10" hidden="1" x14ac:dyDescent="0.25">
      <c r="A1079" s="1" t="str">
        <f>_xlfn.XLOOKUP(E1079,Base!G:G,Base!C:C,"NOVO")</f>
        <v>PENDENTE</v>
      </c>
      <c r="B1079" s="1">
        <v>3356484</v>
      </c>
      <c r="C1079" s="1" t="s">
        <v>26</v>
      </c>
      <c r="D1079" s="2">
        <v>45756.70416666667</v>
      </c>
      <c r="E1079" s="1" t="s">
        <v>2094</v>
      </c>
      <c r="F1079" s="1" t="s">
        <v>2094</v>
      </c>
      <c r="G1079" s="1" t="s">
        <v>620</v>
      </c>
      <c r="H1079" s="2">
        <v>45756.795138888891</v>
      </c>
      <c r="J1079" s="1" t="s">
        <v>18</v>
      </c>
    </row>
    <row r="1080" spans="1:10" hidden="1" x14ac:dyDescent="0.25">
      <c r="A1080" s="1" t="str">
        <f>_xlfn.XLOOKUP(E1080,Base!G:G,Base!C:C,"NOVO")</f>
        <v>PENDENTE</v>
      </c>
      <c r="B1080" s="1">
        <v>3385379</v>
      </c>
      <c r="C1080" s="1" t="s">
        <v>26</v>
      </c>
      <c r="D1080" s="2">
        <v>45772.72152777778</v>
      </c>
      <c r="E1080" s="1" t="s">
        <v>2095</v>
      </c>
      <c r="F1080" s="1" t="s">
        <v>2095</v>
      </c>
      <c r="G1080" s="1" t="s">
        <v>396</v>
      </c>
      <c r="H1080" s="2">
        <v>45772.817361111112</v>
      </c>
      <c r="J1080" s="1" t="s">
        <v>18</v>
      </c>
    </row>
    <row r="1081" spans="1:10" hidden="1" x14ac:dyDescent="0.25">
      <c r="A1081" s="1" t="str">
        <f>_xlfn.XLOOKUP(E1081,Base!G:G,Base!C:C,"NOVO")</f>
        <v>PENDENTE</v>
      </c>
      <c r="B1081" s="1">
        <v>3449685</v>
      </c>
      <c r="C1081" s="1" t="s">
        <v>26</v>
      </c>
      <c r="D1081" s="2">
        <v>45805.702777777777</v>
      </c>
      <c r="E1081" s="1" t="s">
        <v>2501</v>
      </c>
      <c r="F1081" s="1" t="s">
        <v>2501</v>
      </c>
      <c r="G1081" s="1" t="s">
        <v>83</v>
      </c>
      <c r="H1081" s="2">
        <v>45805.797222222223</v>
      </c>
      <c r="J1081" s="1" t="s">
        <v>18</v>
      </c>
    </row>
    <row r="1082" spans="1:10" hidden="1" x14ac:dyDescent="0.25">
      <c r="A1082" s="1" t="str">
        <f>_xlfn.XLOOKUP(E1082,Base!G:G,Base!C:C,"NOVO")</f>
        <v>PENDENTE</v>
      </c>
      <c r="B1082" s="1">
        <v>3326514</v>
      </c>
      <c r="C1082" s="1" t="s">
        <v>26</v>
      </c>
      <c r="D1082" s="2">
        <v>45772.72152777778</v>
      </c>
      <c r="E1082" s="1" t="s">
        <v>1875</v>
      </c>
      <c r="F1082" s="1" t="s">
        <v>1875</v>
      </c>
      <c r="G1082" s="1" t="s">
        <v>620</v>
      </c>
      <c r="H1082" s="2">
        <v>45742.755555555559</v>
      </c>
      <c r="I1082" s="2">
        <v>45772.818749999999</v>
      </c>
      <c r="J1082" s="1" t="s">
        <v>18</v>
      </c>
    </row>
    <row r="1083" spans="1:10" hidden="1" x14ac:dyDescent="0.25">
      <c r="A1083" s="1" t="str">
        <f>_xlfn.XLOOKUP(E1083,Base!G:G,Base!C:C,"NOVO")</f>
        <v>PENDENTE</v>
      </c>
      <c r="B1083" s="1">
        <v>3285128</v>
      </c>
      <c r="C1083" s="1" t="s">
        <v>26</v>
      </c>
      <c r="D1083" s="2">
        <v>45723.37777777778</v>
      </c>
      <c r="E1083" s="1" t="s">
        <v>1565</v>
      </c>
      <c r="F1083" s="1" t="s">
        <v>1565</v>
      </c>
      <c r="G1083" s="1" t="s">
        <v>83</v>
      </c>
      <c r="H1083" s="2">
        <v>45723.515972222223</v>
      </c>
      <c r="J1083" s="1" t="s">
        <v>18</v>
      </c>
    </row>
    <row r="1084" spans="1:10" hidden="1" x14ac:dyDescent="0.25">
      <c r="A1084" s="1" t="str">
        <f>_xlfn.XLOOKUP(E1084,Base!G:G,Base!C:C,"NOVO")</f>
        <v>PENDENTE</v>
      </c>
      <c r="B1084" s="1">
        <v>3378173</v>
      </c>
      <c r="C1084" s="1" t="s">
        <v>26</v>
      </c>
      <c r="D1084" s="2">
        <v>45770.425694444442</v>
      </c>
      <c r="E1084" s="1" t="s">
        <v>2096</v>
      </c>
      <c r="F1084" s="1" t="s">
        <v>2096</v>
      </c>
      <c r="G1084" s="1" t="s">
        <v>83</v>
      </c>
      <c r="H1084" s="2">
        <v>45770.512499999997</v>
      </c>
      <c r="J1084" s="1" t="s">
        <v>18</v>
      </c>
    </row>
    <row r="1085" spans="1:10" hidden="1" x14ac:dyDescent="0.25">
      <c r="A1085" s="1" t="str">
        <f>_xlfn.XLOOKUP(E1085,Base!G:G,Base!C:C,"NOVO")</f>
        <v>PENDENTE</v>
      </c>
      <c r="B1085" s="1">
        <v>3440903</v>
      </c>
      <c r="C1085" s="1" t="s">
        <v>26</v>
      </c>
      <c r="D1085" s="2">
        <v>45800.73541666667</v>
      </c>
      <c r="E1085" s="1" t="s">
        <v>2502</v>
      </c>
      <c r="F1085" s="1" t="s">
        <v>2502</v>
      </c>
      <c r="G1085" s="1" t="s">
        <v>83</v>
      </c>
      <c r="H1085" s="2">
        <v>45800.827777777777</v>
      </c>
      <c r="J1085" s="1" t="s">
        <v>18</v>
      </c>
    </row>
    <row r="1086" spans="1:10" hidden="1" x14ac:dyDescent="0.25">
      <c r="A1086" s="1" t="str">
        <f>_xlfn.XLOOKUP(E1086,Base!G:G,Base!C:C,"NOVO")</f>
        <v>PENDENTE</v>
      </c>
      <c r="B1086" s="1">
        <v>3325112</v>
      </c>
      <c r="C1086" s="1" t="s">
        <v>26</v>
      </c>
      <c r="D1086" s="2">
        <v>45742.397916666669</v>
      </c>
      <c r="E1086" s="1" t="s">
        <v>1876</v>
      </c>
      <c r="F1086" s="1" t="s">
        <v>1876</v>
      </c>
      <c r="G1086" s="1" t="s">
        <v>404</v>
      </c>
      <c r="H1086" s="2">
        <v>45742.492361111108</v>
      </c>
      <c r="J1086" s="1" t="s">
        <v>18</v>
      </c>
    </row>
    <row r="1087" spans="1:10" hidden="1" x14ac:dyDescent="0.25">
      <c r="A1087" s="1" t="str">
        <f>_xlfn.XLOOKUP(E1087,Base!G:G,Base!C:C,"NOVO")</f>
        <v>PENDENTE</v>
      </c>
      <c r="B1087" s="1">
        <v>3220340</v>
      </c>
      <c r="C1087" s="1" t="s">
        <v>26</v>
      </c>
      <c r="D1087" s="2">
        <v>45691.508333333331</v>
      </c>
      <c r="E1087" s="1" t="s">
        <v>879</v>
      </c>
      <c r="F1087" s="1" t="s">
        <v>879</v>
      </c>
      <c r="G1087" s="1" t="s">
        <v>83</v>
      </c>
      <c r="H1087" s="2">
        <v>45691.638888888891</v>
      </c>
      <c r="J1087" s="1" t="s">
        <v>18</v>
      </c>
    </row>
    <row r="1088" spans="1:10" hidden="1" x14ac:dyDescent="0.25">
      <c r="A1088" s="1" t="str">
        <f>_xlfn.XLOOKUP(E1088,Base!G:G,Base!C:C,"NOVO")</f>
        <v>PENDENTE</v>
      </c>
      <c r="B1088" s="1">
        <v>3250768</v>
      </c>
      <c r="C1088" s="1" t="s">
        <v>26</v>
      </c>
      <c r="D1088" s="2">
        <v>45705.65347222222</v>
      </c>
      <c r="E1088" s="1" t="s">
        <v>1196</v>
      </c>
      <c r="F1088" s="1" t="s">
        <v>1196</v>
      </c>
      <c r="G1088" s="1" t="s">
        <v>692</v>
      </c>
      <c r="H1088" s="2">
        <v>45705.786805555559</v>
      </c>
      <c r="J1088" s="1" t="s">
        <v>18</v>
      </c>
    </row>
    <row r="1089" spans="1:10" hidden="1" x14ac:dyDescent="0.25">
      <c r="A1089" s="1" t="str">
        <f>_xlfn.XLOOKUP(E1089,Base!G:G,Base!C:C,"NOVO")</f>
        <v>PENDENTE</v>
      </c>
      <c r="B1089" s="1">
        <v>3250769</v>
      </c>
      <c r="C1089" s="1" t="s">
        <v>26</v>
      </c>
      <c r="D1089" s="2">
        <v>45705.65347222222</v>
      </c>
      <c r="E1089" s="1" t="s">
        <v>1197</v>
      </c>
      <c r="F1089" s="1" t="s">
        <v>1196</v>
      </c>
      <c r="G1089" s="1" t="s">
        <v>898</v>
      </c>
      <c r="H1089" s="2">
        <v>45705.786805555559</v>
      </c>
      <c r="J1089" s="1" t="s">
        <v>18</v>
      </c>
    </row>
    <row r="1090" spans="1:10" hidden="1" x14ac:dyDescent="0.25">
      <c r="A1090" s="1" t="str">
        <f>_xlfn.XLOOKUP(E1090,Base!G:G,Base!C:C,"NOVO")</f>
        <v>PENDENTE</v>
      </c>
      <c r="B1090" s="1">
        <v>3444822</v>
      </c>
      <c r="C1090" s="1" t="s">
        <v>26</v>
      </c>
      <c r="D1090" s="2">
        <v>45804.336111111108</v>
      </c>
      <c r="E1090" s="1" t="s">
        <v>2503</v>
      </c>
      <c r="F1090" s="1" t="s">
        <v>2503</v>
      </c>
      <c r="G1090" s="1" t="s">
        <v>746</v>
      </c>
      <c r="H1090" s="2">
        <v>45804.430555555555</v>
      </c>
      <c r="J1090" s="1" t="s">
        <v>18</v>
      </c>
    </row>
    <row r="1091" spans="1:10" hidden="1" x14ac:dyDescent="0.25">
      <c r="A1091" s="1" t="str">
        <f>_xlfn.XLOOKUP(E1091,Base!G:G,Base!C:C,"NOVO")</f>
        <v>PENDENTE</v>
      </c>
      <c r="B1091" s="1">
        <v>3385401</v>
      </c>
      <c r="C1091" s="1" t="s">
        <v>26</v>
      </c>
      <c r="D1091" s="2">
        <v>45772.72152777778</v>
      </c>
      <c r="E1091" s="1" t="s">
        <v>2097</v>
      </c>
      <c r="F1091" s="1" t="s">
        <v>2097</v>
      </c>
      <c r="G1091" s="1" t="s">
        <v>83</v>
      </c>
      <c r="H1091" s="2">
        <v>45772.818055555559</v>
      </c>
      <c r="J1091" s="1" t="s">
        <v>18</v>
      </c>
    </row>
    <row r="1092" spans="1:10" hidden="1" x14ac:dyDescent="0.25">
      <c r="A1092" s="1" t="str">
        <f>_xlfn.XLOOKUP(E1092,Base!G:G,Base!C:C,"NOVO")</f>
        <v>PENDENTE</v>
      </c>
      <c r="B1092" s="1">
        <v>3392115</v>
      </c>
      <c r="C1092" s="1" t="s">
        <v>26</v>
      </c>
      <c r="D1092" s="2">
        <v>45776.813888888886</v>
      </c>
      <c r="E1092" s="1" t="s">
        <v>2259</v>
      </c>
      <c r="F1092" s="1" t="s">
        <v>2259</v>
      </c>
      <c r="G1092" s="1" t="s">
        <v>707</v>
      </c>
      <c r="H1092" s="2">
        <v>45776.907638888886</v>
      </c>
      <c r="J1092" s="1" t="s">
        <v>18</v>
      </c>
    </row>
    <row r="1093" spans="1:10" hidden="1" x14ac:dyDescent="0.25">
      <c r="A1093" s="1" t="str">
        <f>_xlfn.XLOOKUP(E1093,Base!G:G,Base!C:C,"NOVO")</f>
        <v>PENDENTE</v>
      </c>
      <c r="B1093" s="1">
        <v>3287108</v>
      </c>
      <c r="C1093" s="1" t="s">
        <v>26</v>
      </c>
      <c r="D1093" s="2">
        <v>45727.381944444445</v>
      </c>
      <c r="E1093" s="1" t="s">
        <v>1566</v>
      </c>
      <c r="F1093" s="1" t="s">
        <v>1566</v>
      </c>
      <c r="G1093" s="1" t="s">
        <v>1060</v>
      </c>
      <c r="H1093" s="2">
        <v>45723.870138888888</v>
      </c>
      <c r="I1093" s="2">
        <v>45727.474305555559</v>
      </c>
      <c r="J1093" s="1" t="s">
        <v>18</v>
      </c>
    </row>
    <row r="1094" spans="1:10" hidden="1" x14ac:dyDescent="0.25">
      <c r="A1094" s="1" t="str">
        <f>_xlfn.XLOOKUP(E1094,Base!G:G,Base!C:C,"NOVO")</f>
        <v>PENDENTE</v>
      </c>
      <c r="B1094" s="1">
        <v>3384634</v>
      </c>
      <c r="C1094" s="1" t="s">
        <v>26</v>
      </c>
      <c r="D1094" s="2">
        <v>45772.667361111111</v>
      </c>
      <c r="E1094" s="1" t="s">
        <v>2098</v>
      </c>
      <c r="F1094" s="1" t="s">
        <v>2099</v>
      </c>
      <c r="G1094" s="1" t="s">
        <v>2100</v>
      </c>
      <c r="H1094" s="2">
        <v>45772.754861111112</v>
      </c>
      <c r="J1094" s="1" t="s">
        <v>19</v>
      </c>
    </row>
    <row r="1095" spans="1:10" hidden="1" x14ac:dyDescent="0.25">
      <c r="A1095" s="1" t="str">
        <f>_xlfn.XLOOKUP(E1095,Base!G:G,Base!C:C,"NOVO")</f>
        <v>PENDENTE</v>
      </c>
      <c r="B1095" s="1">
        <v>3286573</v>
      </c>
      <c r="C1095" s="1" t="s">
        <v>26</v>
      </c>
      <c r="D1095" s="2">
        <v>45723.625694444447</v>
      </c>
      <c r="E1095" s="1" t="s">
        <v>1567</v>
      </c>
      <c r="F1095" s="1" t="s">
        <v>1568</v>
      </c>
      <c r="G1095" s="1" t="s">
        <v>64</v>
      </c>
      <c r="H1095" s="2">
        <v>45723.75277777778</v>
      </c>
      <c r="J1095" s="1" t="s">
        <v>1244</v>
      </c>
    </row>
    <row r="1096" spans="1:10" x14ac:dyDescent="0.25">
      <c r="A1096" s="1" t="str">
        <f>_xlfn.XLOOKUP(E1096,Base!G:G,Base!C:C,"NOVO")</f>
        <v>PENDENTE</v>
      </c>
      <c r="B1096" s="1">
        <v>3480270</v>
      </c>
      <c r="C1096" s="1" t="s">
        <v>26</v>
      </c>
      <c r="D1096" s="2">
        <v>45820.759722222225</v>
      </c>
      <c r="E1096" s="1" t="s">
        <v>2745</v>
      </c>
      <c r="F1096" s="1" t="s">
        <v>2745</v>
      </c>
      <c r="G1096" s="1" t="s">
        <v>1280</v>
      </c>
      <c r="H1096" s="2">
        <v>45820.845138888886</v>
      </c>
      <c r="J1096" s="1" t="s">
        <v>18</v>
      </c>
    </row>
    <row r="1097" spans="1:10" hidden="1" x14ac:dyDescent="0.25">
      <c r="A1097" s="1" t="str">
        <f>_xlfn.XLOOKUP(E1097,Base!G:G,Base!C:C,"NOVO")</f>
        <v>PENDENTE</v>
      </c>
      <c r="B1097" s="1">
        <v>3287112</v>
      </c>
      <c r="C1097" s="1" t="s">
        <v>26</v>
      </c>
      <c r="D1097" s="2">
        <v>45723.736805555556</v>
      </c>
      <c r="E1097" s="1" t="s">
        <v>1569</v>
      </c>
      <c r="F1097" s="1" t="s">
        <v>1569</v>
      </c>
      <c r="G1097" s="1" t="s">
        <v>1060</v>
      </c>
      <c r="H1097" s="2">
        <v>45723.870138888888</v>
      </c>
      <c r="J1097" s="1" t="s">
        <v>18</v>
      </c>
    </row>
    <row r="1098" spans="1:10" hidden="1" x14ac:dyDescent="0.25">
      <c r="A1098" s="1" t="str">
        <f>_xlfn.XLOOKUP(E1098,Base!G:G,Base!C:C,"NOVO")</f>
        <v>PENDENTE</v>
      </c>
      <c r="B1098" s="1">
        <v>3440901</v>
      </c>
      <c r="C1098" s="1" t="s">
        <v>26</v>
      </c>
      <c r="D1098" s="2">
        <v>45803.271527777775</v>
      </c>
      <c r="E1098" s="1" t="s">
        <v>2504</v>
      </c>
      <c r="F1098" s="1" t="s">
        <v>2504</v>
      </c>
      <c r="G1098" s="1" t="s">
        <v>83</v>
      </c>
      <c r="H1098" s="2">
        <v>45800.816666666666</v>
      </c>
      <c r="I1098" s="2">
        <v>45803.356944444444</v>
      </c>
      <c r="J1098" s="1" t="s">
        <v>18</v>
      </c>
    </row>
    <row r="1099" spans="1:10" hidden="1" x14ac:dyDescent="0.25">
      <c r="A1099" s="1" t="str">
        <f>_xlfn.XLOOKUP(E1099,Base!G:G,Base!C:C,"NOVO")</f>
        <v>PENDENTE</v>
      </c>
      <c r="B1099" s="1">
        <v>3287140</v>
      </c>
      <c r="C1099" s="1" t="s">
        <v>26</v>
      </c>
      <c r="D1099" s="2">
        <v>45723.736805555556</v>
      </c>
      <c r="E1099" s="1" t="s">
        <v>1570</v>
      </c>
      <c r="F1099" s="1" t="s">
        <v>1570</v>
      </c>
      <c r="G1099" s="1" t="s">
        <v>707</v>
      </c>
      <c r="H1099" s="2">
        <v>45723.871527777781</v>
      </c>
      <c r="J1099" s="1" t="s">
        <v>18</v>
      </c>
    </row>
    <row r="1100" spans="1:10" hidden="1" x14ac:dyDescent="0.25">
      <c r="A1100" s="1" t="str">
        <f>_xlfn.XLOOKUP(E1100,Base!G:G,Base!C:C,"NOVO")</f>
        <v>PENDENTE</v>
      </c>
      <c r="B1100" s="1">
        <v>3332270</v>
      </c>
      <c r="C1100" s="1" t="s">
        <v>26</v>
      </c>
      <c r="D1100" s="2">
        <v>45744.763194444444</v>
      </c>
      <c r="E1100" s="1" t="s">
        <v>1877</v>
      </c>
      <c r="F1100" s="1" t="s">
        <v>1877</v>
      </c>
      <c r="G1100" s="1" t="s">
        <v>1711</v>
      </c>
      <c r="H1100" s="2">
        <v>45744.86041666667</v>
      </c>
      <c r="J1100" s="1" t="s">
        <v>18</v>
      </c>
    </row>
    <row r="1101" spans="1:10" hidden="1" x14ac:dyDescent="0.25">
      <c r="A1101" s="1" t="str">
        <f>_xlfn.XLOOKUP(E1101,Base!G:G,Base!C:C,"NOVO")</f>
        <v>PENDENTE</v>
      </c>
      <c r="B1101" s="1">
        <v>3359402</v>
      </c>
      <c r="C1101" s="1" t="s">
        <v>26</v>
      </c>
      <c r="D1101" s="2">
        <v>45757.752083333333</v>
      </c>
      <c r="E1101" s="1" t="s">
        <v>2101</v>
      </c>
      <c r="F1101" s="1" t="s">
        <v>2101</v>
      </c>
      <c r="G1101" s="1" t="s">
        <v>396</v>
      </c>
      <c r="H1101" s="2">
        <v>45757.845833333333</v>
      </c>
      <c r="J1101" s="1" t="s">
        <v>18</v>
      </c>
    </row>
    <row r="1102" spans="1:10" hidden="1" x14ac:dyDescent="0.25">
      <c r="A1102" s="1" t="str">
        <f>_xlfn.XLOOKUP(E1102,Base!G:G,Base!C:C,"NOVO")</f>
        <v>PENDENTE</v>
      </c>
      <c r="B1102" s="1">
        <v>3286792</v>
      </c>
      <c r="C1102" s="1" t="s">
        <v>26</v>
      </c>
      <c r="D1102" s="2">
        <v>45726.643055555556</v>
      </c>
      <c r="E1102" s="1" t="s">
        <v>1571</v>
      </c>
      <c r="F1102" s="1" t="s">
        <v>1571</v>
      </c>
      <c r="G1102" s="1" t="s">
        <v>588</v>
      </c>
      <c r="H1102" s="2">
        <v>45723.817361111112</v>
      </c>
      <c r="I1102" s="2">
        <v>45726.731944444444</v>
      </c>
      <c r="J1102" s="1" t="s">
        <v>14</v>
      </c>
    </row>
    <row r="1103" spans="1:10" hidden="1" x14ac:dyDescent="0.25">
      <c r="A1103" s="1" t="str">
        <f>_xlfn.XLOOKUP(E1103,Base!G:G,Base!C:C,"NOVO")</f>
        <v>PENDENTE</v>
      </c>
      <c r="B1103" s="1">
        <v>3324885</v>
      </c>
      <c r="C1103" s="1" t="s">
        <v>26</v>
      </c>
      <c r="D1103" s="2">
        <v>45742.404861111114</v>
      </c>
      <c r="E1103" s="1" t="s">
        <v>1878</v>
      </c>
      <c r="F1103" s="1" t="s">
        <v>1878</v>
      </c>
      <c r="G1103" s="1" t="s">
        <v>1711</v>
      </c>
      <c r="H1103" s="2">
        <v>45742.397222222222</v>
      </c>
      <c r="I1103" s="2">
        <v>45742.493750000001</v>
      </c>
      <c r="J1103" s="1" t="s">
        <v>18</v>
      </c>
    </row>
    <row r="1104" spans="1:10" hidden="1" x14ac:dyDescent="0.25">
      <c r="A1104" s="1" t="str">
        <f>_xlfn.XLOOKUP(E1104,Base!G:G,Base!C:C,"NOVO")</f>
        <v>PENDENTE</v>
      </c>
      <c r="B1104" s="1">
        <v>3311433</v>
      </c>
      <c r="C1104" s="1" t="s">
        <v>26</v>
      </c>
      <c r="D1104" s="2">
        <v>45736.424305555556</v>
      </c>
      <c r="E1104" s="1" t="s">
        <v>1879</v>
      </c>
      <c r="F1104" s="1" t="s">
        <v>1879</v>
      </c>
      <c r="G1104" s="1" t="s">
        <v>1060</v>
      </c>
      <c r="H1104" s="2">
        <v>45735.67291666667</v>
      </c>
      <c r="I1104" s="2">
        <v>45736.513194444444</v>
      </c>
      <c r="J1104" s="1" t="s">
        <v>18</v>
      </c>
    </row>
    <row r="1105" spans="1:10" hidden="1" x14ac:dyDescent="0.25">
      <c r="A1105" s="1" t="str">
        <f>_xlfn.XLOOKUP(E1105,Base!G:G,Base!C:C,"NOVO")</f>
        <v>PENDENTE</v>
      </c>
      <c r="B1105" s="1">
        <v>3432613</v>
      </c>
      <c r="C1105" s="1" t="s">
        <v>26</v>
      </c>
      <c r="D1105" s="2">
        <v>45797.761111111111</v>
      </c>
      <c r="E1105" s="1" t="s">
        <v>2505</v>
      </c>
      <c r="F1105" s="1" t="s">
        <v>2505</v>
      </c>
      <c r="G1105" s="1" t="s">
        <v>396</v>
      </c>
      <c r="H1105" s="2">
        <v>45797.847916666666</v>
      </c>
      <c r="J1105" s="1" t="s">
        <v>18</v>
      </c>
    </row>
    <row r="1106" spans="1:10" hidden="1" x14ac:dyDescent="0.25">
      <c r="A1106" s="1" t="str">
        <f>_xlfn.XLOOKUP(E1106,Base!G:G,Base!C:C,"NOVO")</f>
        <v>PENDENTE</v>
      </c>
      <c r="B1106" s="1">
        <v>3389697</v>
      </c>
      <c r="C1106" s="1" t="s">
        <v>26</v>
      </c>
      <c r="D1106" s="2">
        <v>45776.4</v>
      </c>
      <c r="E1106" s="1" t="s">
        <v>2260</v>
      </c>
      <c r="F1106" s="1" t="s">
        <v>2261</v>
      </c>
      <c r="G1106" s="1" t="s">
        <v>2100</v>
      </c>
      <c r="H1106" s="2">
        <v>45776.493055555555</v>
      </c>
      <c r="J1106" s="1" t="s">
        <v>19</v>
      </c>
    </row>
    <row r="1107" spans="1:10" hidden="1" x14ac:dyDescent="0.25">
      <c r="A1107" s="1" t="str">
        <f>_xlfn.XLOOKUP(E1107,Base!G:G,Base!C:C,"NOVO")</f>
        <v>PENDENTE</v>
      </c>
      <c r="B1107" s="1">
        <v>3404402</v>
      </c>
      <c r="C1107" s="1" t="s">
        <v>26</v>
      </c>
      <c r="D1107" s="2">
        <v>45783.680555555555</v>
      </c>
      <c r="E1107" s="1" t="s">
        <v>2262</v>
      </c>
      <c r="F1107" s="1" t="s">
        <v>2262</v>
      </c>
      <c r="G1107" s="1" t="s">
        <v>396</v>
      </c>
      <c r="H1107" s="2">
        <v>45783.772222222222</v>
      </c>
      <c r="J1107" s="1" t="s">
        <v>18</v>
      </c>
    </row>
    <row r="1108" spans="1:10" hidden="1" x14ac:dyDescent="0.25">
      <c r="A1108" s="1" t="str">
        <f>_xlfn.XLOOKUP(E1108,Base!G:G,Base!C:C,"NOVO")</f>
        <v>PENDENTE</v>
      </c>
      <c r="B1108" s="1">
        <v>3404403</v>
      </c>
      <c r="C1108" s="1" t="s">
        <v>26</v>
      </c>
      <c r="D1108" s="2">
        <v>45783.680555555555</v>
      </c>
      <c r="E1108" s="1" t="s">
        <v>2263</v>
      </c>
      <c r="F1108" s="1" t="s">
        <v>2262</v>
      </c>
      <c r="G1108" s="1" t="s">
        <v>2206</v>
      </c>
      <c r="H1108" s="2">
        <v>45783.772222222222</v>
      </c>
      <c r="J1108" s="1" t="s">
        <v>18</v>
      </c>
    </row>
    <row r="1109" spans="1:10" hidden="1" x14ac:dyDescent="0.25">
      <c r="A1109" s="1" t="str">
        <f>_xlfn.XLOOKUP(E1109,Base!G:G,Base!C:C,"NOVO")</f>
        <v>PENDENTE</v>
      </c>
      <c r="B1109" s="1">
        <v>3274104</v>
      </c>
      <c r="C1109" s="1" t="s">
        <v>26</v>
      </c>
      <c r="D1109" s="2">
        <v>45721.758333333331</v>
      </c>
      <c r="E1109" s="1" t="s">
        <v>1336</v>
      </c>
      <c r="F1109" s="1" t="s">
        <v>1336</v>
      </c>
      <c r="G1109" s="1" t="s">
        <v>1054</v>
      </c>
      <c r="H1109" s="2">
        <v>45715.803472222222</v>
      </c>
      <c r="I1109" s="2">
        <v>45721.892361111109</v>
      </c>
      <c r="J1109" s="1" t="s">
        <v>18</v>
      </c>
    </row>
    <row r="1110" spans="1:10" hidden="1" x14ac:dyDescent="0.25">
      <c r="A1110" s="1" t="str">
        <f>_xlfn.XLOOKUP(E1110,Base!G:G,Base!C:C,"NOVO")</f>
        <v>PENDENTE</v>
      </c>
      <c r="B1110" s="1">
        <v>3229215</v>
      </c>
      <c r="C1110" s="1" t="s">
        <v>26</v>
      </c>
      <c r="D1110" s="2">
        <v>45694.473611111112</v>
      </c>
      <c r="E1110" s="1" t="s">
        <v>1007</v>
      </c>
      <c r="F1110" s="1" t="s">
        <v>1007</v>
      </c>
      <c r="G1110" s="1" t="s">
        <v>394</v>
      </c>
      <c r="H1110" s="2">
        <v>45694.668749999997</v>
      </c>
      <c r="I1110" s="2">
        <v>45694.911805555559</v>
      </c>
      <c r="J1110" s="1" t="s">
        <v>18</v>
      </c>
    </row>
    <row r="1111" spans="1:10" hidden="1" x14ac:dyDescent="0.25">
      <c r="A1111" s="1" t="str">
        <f>_xlfn.XLOOKUP(E1111,Base!G:G,Base!C:C,"NOVO")</f>
        <v>PENDENTE</v>
      </c>
      <c r="B1111" s="1">
        <v>3272950</v>
      </c>
      <c r="C1111" s="1" t="s">
        <v>26</v>
      </c>
      <c r="D1111" s="2">
        <v>45715.525000000001</v>
      </c>
      <c r="E1111" s="1" t="s">
        <v>1337</v>
      </c>
      <c r="F1111" s="1" t="s">
        <v>1338</v>
      </c>
      <c r="G1111" s="1" t="s">
        <v>64</v>
      </c>
      <c r="H1111" s="2">
        <v>45715.657638888886</v>
      </c>
      <c r="J1111" s="1" t="s">
        <v>1244</v>
      </c>
    </row>
    <row r="1112" spans="1:10" x14ac:dyDescent="0.25">
      <c r="A1112" s="1" t="str">
        <f>_xlfn.XLOOKUP(E1112,Base!G:G,Base!C:C,"NOVO")</f>
        <v>PENDENTE</v>
      </c>
      <c r="B1112" s="1">
        <v>3474180</v>
      </c>
      <c r="C1112" s="1" t="s">
        <v>26</v>
      </c>
      <c r="D1112" s="2">
        <v>45818.590277777781</v>
      </c>
      <c r="E1112" s="1" t="s">
        <v>2746</v>
      </c>
      <c r="F1112" s="1" t="s">
        <v>2746</v>
      </c>
      <c r="G1112" s="1" t="s">
        <v>746</v>
      </c>
      <c r="H1112" s="2">
        <v>45818.679166666669</v>
      </c>
      <c r="J1112" s="1" t="s">
        <v>18</v>
      </c>
    </row>
    <row r="1113" spans="1:10" hidden="1" x14ac:dyDescent="0.25">
      <c r="A1113" s="1" t="str">
        <f>_xlfn.XLOOKUP(E1113,Base!G:G,Base!C:C,"NOVO")</f>
        <v>PENDENTE</v>
      </c>
      <c r="B1113" s="1">
        <v>3311344</v>
      </c>
      <c r="C1113" s="1" t="s">
        <v>26</v>
      </c>
      <c r="D1113" s="2">
        <v>45735.560416666667</v>
      </c>
      <c r="E1113" s="1" t="s">
        <v>1880</v>
      </c>
      <c r="F1113" s="1" t="s">
        <v>1881</v>
      </c>
      <c r="G1113" s="1" t="s">
        <v>64</v>
      </c>
      <c r="H1113" s="2">
        <v>45735.649305555555</v>
      </c>
      <c r="J1113" s="1" t="s">
        <v>1244</v>
      </c>
    </row>
    <row r="1114" spans="1:10" hidden="1" x14ac:dyDescent="0.25">
      <c r="A1114" s="1" t="str">
        <f>_xlfn.XLOOKUP(E1114,Base!G:G,Base!C:C,"NOVO")</f>
        <v>PENDENTE</v>
      </c>
      <c r="B1114" s="1">
        <v>3281899</v>
      </c>
      <c r="C1114" s="1" t="s">
        <v>26</v>
      </c>
      <c r="D1114" s="2">
        <v>45721.758333333331</v>
      </c>
      <c r="E1114" s="1" t="s">
        <v>1339</v>
      </c>
      <c r="F1114" s="1" t="s">
        <v>1339</v>
      </c>
      <c r="G1114" s="1" t="s">
        <v>83</v>
      </c>
      <c r="H1114" s="2">
        <v>45721.892361111109</v>
      </c>
      <c r="J1114" s="1" t="s">
        <v>18</v>
      </c>
    </row>
    <row r="1115" spans="1:10" hidden="1" x14ac:dyDescent="0.25">
      <c r="A1115" s="1" t="str">
        <f>_xlfn.XLOOKUP(E1115,Base!G:G,Base!C:C,"NOVO")</f>
        <v>PENDENTE</v>
      </c>
      <c r="B1115" s="1">
        <v>3435076</v>
      </c>
      <c r="C1115" s="1" t="s">
        <v>26</v>
      </c>
      <c r="D1115" s="2">
        <v>45798.652083333334</v>
      </c>
      <c r="E1115" s="1" t="s">
        <v>2506</v>
      </c>
      <c r="F1115" s="1" t="s">
        <v>2506</v>
      </c>
      <c r="G1115" s="1" t="s">
        <v>620</v>
      </c>
      <c r="H1115" s="2">
        <v>45798.742361111108</v>
      </c>
      <c r="J1115" s="1" t="s">
        <v>18</v>
      </c>
    </row>
    <row r="1116" spans="1:10" hidden="1" x14ac:dyDescent="0.25">
      <c r="A1116" s="1" t="str">
        <f>_xlfn.XLOOKUP(E1116,Base!G:G,Base!C:C,"NOVO")</f>
        <v>PENDENTE</v>
      </c>
      <c r="B1116" s="1">
        <v>3368957</v>
      </c>
      <c r="C1116" s="1" t="s">
        <v>26</v>
      </c>
      <c r="D1116" s="2">
        <v>45764.456250000003</v>
      </c>
      <c r="E1116" s="1" t="s">
        <v>2102</v>
      </c>
      <c r="F1116" s="1" t="s">
        <v>2102</v>
      </c>
      <c r="G1116" s="1" t="s">
        <v>829</v>
      </c>
      <c r="H1116" s="2">
        <v>45763.574999999997</v>
      </c>
      <c r="I1116" s="2">
        <v>45764.543749999997</v>
      </c>
      <c r="J1116" s="1" t="s">
        <v>18</v>
      </c>
    </row>
    <row r="1117" spans="1:10" hidden="1" x14ac:dyDescent="0.25">
      <c r="A1117" s="1" t="str">
        <f>_xlfn.XLOOKUP(E1117,Base!G:G,Base!C:C,"NOVO")</f>
        <v>PENDENTE</v>
      </c>
      <c r="B1117" s="1">
        <v>3415952</v>
      </c>
      <c r="C1117" s="1" t="s">
        <v>26</v>
      </c>
      <c r="D1117" s="2">
        <v>45789.773611111108</v>
      </c>
      <c r="E1117" s="1" t="s">
        <v>2338</v>
      </c>
      <c r="F1117" s="1" t="s">
        <v>2338</v>
      </c>
      <c r="G1117" s="1" t="s">
        <v>83</v>
      </c>
      <c r="H1117" s="2">
        <v>45789.865972222222</v>
      </c>
      <c r="J1117" s="1" t="s">
        <v>18</v>
      </c>
    </row>
    <row r="1118" spans="1:10" hidden="1" x14ac:dyDescent="0.25">
      <c r="A1118" s="1" t="str">
        <f>_xlfn.XLOOKUP(E1118,Base!G:G,Base!C:C,"NOVO")</f>
        <v>PENDENTE</v>
      </c>
      <c r="B1118" s="1">
        <v>3440893</v>
      </c>
      <c r="C1118" s="1" t="s">
        <v>26</v>
      </c>
      <c r="D1118" s="2">
        <v>45800.722222222219</v>
      </c>
      <c r="E1118" s="1" t="s">
        <v>2507</v>
      </c>
      <c r="F1118" s="1" t="s">
        <v>2507</v>
      </c>
      <c r="G1118" s="1" t="s">
        <v>396</v>
      </c>
      <c r="H1118" s="2">
        <v>45800.81527777778</v>
      </c>
      <c r="J1118" s="1" t="s">
        <v>18</v>
      </c>
    </row>
    <row r="1119" spans="1:10" hidden="1" x14ac:dyDescent="0.25">
      <c r="A1119" s="1" t="str">
        <f>_xlfn.XLOOKUP(E1119,Base!G:G,Base!C:C,"NOVO")</f>
        <v>PENDENTE</v>
      </c>
      <c r="B1119" s="1">
        <v>3293531</v>
      </c>
      <c r="C1119" s="1" t="s">
        <v>26</v>
      </c>
      <c r="D1119" s="2">
        <v>45728.61041666667</v>
      </c>
      <c r="E1119" s="1" t="s">
        <v>1573</v>
      </c>
      <c r="F1119" s="1" t="s">
        <v>1573</v>
      </c>
      <c r="G1119" s="1" t="s">
        <v>1054</v>
      </c>
      <c r="H1119" s="2">
        <v>45727.859027777777</v>
      </c>
      <c r="I1119" s="2">
        <v>45728.7</v>
      </c>
      <c r="J1119" s="1" t="s">
        <v>18</v>
      </c>
    </row>
    <row r="1120" spans="1:10" hidden="1" x14ac:dyDescent="0.25">
      <c r="A1120" s="1" t="str">
        <f>_xlfn.XLOOKUP(E1120,Base!G:G,Base!C:C,"NOVO")</f>
        <v>PENDENTE</v>
      </c>
      <c r="B1120" s="1">
        <v>3293507</v>
      </c>
      <c r="C1120" s="1" t="s">
        <v>26</v>
      </c>
      <c r="D1120" s="2">
        <v>45727.770833333336</v>
      </c>
      <c r="E1120" s="1" t="s">
        <v>1574</v>
      </c>
      <c r="F1120" s="1" t="s">
        <v>1574</v>
      </c>
      <c r="G1120" s="1" t="s">
        <v>620</v>
      </c>
      <c r="H1120" s="2">
        <v>45727.857638888891</v>
      </c>
      <c r="J1120" s="1" t="s">
        <v>18</v>
      </c>
    </row>
    <row r="1121" spans="1:10" hidden="1" x14ac:dyDescent="0.25">
      <c r="A1121" s="1" t="str">
        <f>_xlfn.XLOOKUP(E1121,Base!G:G,Base!C:C,"NOVO")</f>
        <v>PENDENTE</v>
      </c>
      <c r="B1121" s="1">
        <v>3304707</v>
      </c>
      <c r="C1121" s="1" t="s">
        <v>26</v>
      </c>
      <c r="D1121" s="2">
        <v>45733.554166666669</v>
      </c>
      <c r="E1121" s="1" t="s">
        <v>1575</v>
      </c>
      <c r="F1121" s="1" t="s">
        <v>1576</v>
      </c>
      <c r="G1121" s="1" t="s">
        <v>574</v>
      </c>
      <c r="H1121" s="2">
        <v>45733.638194444444</v>
      </c>
      <c r="J1121" s="1" t="s">
        <v>19</v>
      </c>
    </row>
    <row r="1122" spans="1:10" x14ac:dyDescent="0.25">
      <c r="A1122" s="1" t="str">
        <f>_xlfn.XLOOKUP(E1122,Base!G:G,Base!C:C,"NOVO")</f>
        <v>PENDENTE</v>
      </c>
      <c r="B1122" s="1">
        <v>3476904</v>
      </c>
      <c r="C1122" s="1" t="s">
        <v>26</v>
      </c>
      <c r="D1122" s="2">
        <v>45819.620833333334</v>
      </c>
      <c r="E1122" s="1" t="s">
        <v>2747</v>
      </c>
      <c r="F1122" s="1" t="s">
        <v>2747</v>
      </c>
      <c r="G1122" s="1" t="s">
        <v>746</v>
      </c>
      <c r="H1122" s="2">
        <v>45819.709722222222</v>
      </c>
      <c r="J1122" s="1" t="s">
        <v>18</v>
      </c>
    </row>
    <row r="1123" spans="1:10" hidden="1" x14ac:dyDescent="0.25">
      <c r="A1123" s="1" t="str">
        <f>_xlfn.XLOOKUP(E1123,Base!G:G,Base!C:C,"NOVO")</f>
        <v>PENDENTE</v>
      </c>
      <c r="B1123" s="1">
        <v>3387196</v>
      </c>
      <c r="C1123" s="1" t="s">
        <v>26</v>
      </c>
      <c r="D1123" s="2">
        <v>45785.29791666667</v>
      </c>
      <c r="E1123" s="1" t="s">
        <v>2103</v>
      </c>
      <c r="F1123" s="1" t="s">
        <v>2104</v>
      </c>
      <c r="G1123" s="1" t="s">
        <v>575</v>
      </c>
      <c r="H1123" s="2">
        <v>45775.595138888886</v>
      </c>
      <c r="I1123" s="2">
        <v>45785.386111111111</v>
      </c>
      <c r="J1123" s="1" t="s">
        <v>19</v>
      </c>
    </row>
    <row r="1124" spans="1:10" hidden="1" x14ac:dyDescent="0.25">
      <c r="A1124" s="1" t="str">
        <f>_xlfn.XLOOKUP(E1124,Base!G:G,Base!C:C,"NOVO")</f>
        <v>PENDENTE</v>
      </c>
      <c r="B1124" s="1">
        <v>3367338</v>
      </c>
      <c r="C1124" s="1" t="s">
        <v>26</v>
      </c>
      <c r="D1124" s="2">
        <v>45763.600694444445</v>
      </c>
      <c r="E1124" s="1" t="s">
        <v>2105</v>
      </c>
      <c r="F1124" s="1" t="s">
        <v>2105</v>
      </c>
      <c r="G1124" s="1" t="s">
        <v>83</v>
      </c>
      <c r="H1124" s="2">
        <v>45762.772222222222</v>
      </c>
      <c r="I1124" s="2">
        <v>45763.688888888886</v>
      </c>
      <c r="J1124" s="1" t="s">
        <v>18</v>
      </c>
    </row>
    <row r="1125" spans="1:10" hidden="1" x14ac:dyDescent="0.25">
      <c r="A1125" s="1" t="str">
        <f>_xlfn.XLOOKUP(E1125,Base!G:G,Base!C:C,"NOVO")</f>
        <v>PENDENTE</v>
      </c>
      <c r="B1125" s="1">
        <v>3287088</v>
      </c>
      <c r="C1125" s="1" t="s">
        <v>26</v>
      </c>
      <c r="D1125" s="2">
        <v>45723.736805555556</v>
      </c>
      <c r="E1125" s="1" t="s">
        <v>1577</v>
      </c>
      <c r="F1125" s="1" t="s">
        <v>1577</v>
      </c>
      <c r="G1125" s="1" t="s">
        <v>1134</v>
      </c>
      <c r="H1125" s="2">
        <v>45723.868750000001</v>
      </c>
      <c r="J1125" s="1" t="s">
        <v>18</v>
      </c>
    </row>
    <row r="1126" spans="1:10" hidden="1" x14ac:dyDescent="0.25">
      <c r="A1126" s="1" t="str">
        <f>_xlfn.XLOOKUP(E1126,Base!G:G,Base!C:C,"NOVO")</f>
        <v>PENDENTE</v>
      </c>
      <c r="B1126" s="1">
        <v>3223878</v>
      </c>
      <c r="C1126" s="1" t="s">
        <v>26</v>
      </c>
      <c r="D1126" s="2">
        <v>45692.571527777778</v>
      </c>
      <c r="E1126" s="1" t="s">
        <v>886</v>
      </c>
      <c r="F1126" s="1" t="s">
        <v>886</v>
      </c>
      <c r="G1126" s="1" t="s">
        <v>398</v>
      </c>
      <c r="H1126" s="2">
        <v>45692.729166666664</v>
      </c>
      <c r="I1126" s="2">
        <v>45694.888888888891</v>
      </c>
      <c r="J1126" s="1" t="s">
        <v>18</v>
      </c>
    </row>
    <row r="1127" spans="1:10" hidden="1" x14ac:dyDescent="0.25">
      <c r="A1127" s="1" t="str">
        <f>_xlfn.XLOOKUP(E1127,Base!G:G,Base!C:C,"NOVO")</f>
        <v>PENDENTE</v>
      </c>
      <c r="B1127" s="1">
        <v>3221582</v>
      </c>
      <c r="C1127" s="1" t="s">
        <v>26</v>
      </c>
      <c r="D1127" s="2">
        <v>45691.709027777775</v>
      </c>
      <c r="E1127" s="1" t="s">
        <v>887</v>
      </c>
      <c r="F1127" s="1" t="s">
        <v>887</v>
      </c>
      <c r="G1127" s="1" t="s">
        <v>692</v>
      </c>
      <c r="H1127" s="2">
        <v>45691.775000000001</v>
      </c>
      <c r="I1127" s="2">
        <v>45691.837500000001</v>
      </c>
      <c r="J1127" s="1" t="s">
        <v>18</v>
      </c>
    </row>
    <row r="1128" spans="1:10" hidden="1" x14ac:dyDescent="0.25">
      <c r="A1128" s="1" t="str">
        <f>_xlfn.XLOOKUP(E1128,Base!G:G,Base!C:C,"NOVO")</f>
        <v>PENDENTE</v>
      </c>
      <c r="B1128" s="1">
        <v>3465896</v>
      </c>
      <c r="C1128" s="1" t="s">
        <v>26</v>
      </c>
      <c r="D1128" s="2">
        <v>45820.406944444447</v>
      </c>
      <c r="E1128" s="1" t="s">
        <v>2627</v>
      </c>
      <c r="F1128" s="1" t="s">
        <v>2627</v>
      </c>
      <c r="G1128" s="1" t="s">
        <v>829</v>
      </c>
      <c r="H1128" s="2">
        <v>45813.543055555558</v>
      </c>
      <c r="I1128" s="2">
        <v>45820.492361111108</v>
      </c>
      <c r="J1128" s="1" t="s">
        <v>18</v>
      </c>
    </row>
    <row r="1129" spans="1:10" hidden="1" x14ac:dyDescent="0.25">
      <c r="A1129" s="1" t="str">
        <f>_xlfn.XLOOKUP(E1129,Base!G:G,Base!C:C,"NOVO")</f>
        <v>PENDENTE</v>
      </c>
      <c r="B1129" s="1">
        <v>3387739</v>
      </c>
      <c r="C1129" s="1" t="s">
        <v>26</v>
      </c>
      <c r="D1129" s="2">
        <v>45806.443749999999</v>
      </c>
      <c r="E1129" s="1" t="s">
        <v>2106</v>
      </c>
      <c r="F1129" s="1" t="s">
        <v>2106</v>
      </c>
      <c r="G1129" s="1" t="s">
        <v>410</v>
      </c>
      <c r="H1129" s="2">
        <v>45775.659722222219</v>
      </c>
      <c r="I1129" s="2">
        <v>45806.533333333333</v>
      </c>
      <c r="J1129" s="1" t="s">
        <v>18</v>
      </c>
    </row>
    <row r="1130" spans="1:10" hidden="1" x14ac:dyDescent="0.25">
      <c r="A1130" s="1" t="str">
        <f>_xlfn.XLOOKUP(E1130,Base!G:G,Base!C:C,"NOVO")</f>
        <v>PENDENTE</v>
      </c>
      <c r="B1130" s="1">
        <v>3465661</v>
      </c>
      <c r="C1130" s="1" t="s">
        <v>26</v>
      </c>
      <c r="D1130" s="2">
        <v>45813.348611111112</v>
      </c>
      <c r="E1130" s="1" t="s">
        <v>2628</v>
      </c>
      <c r="F1130" s="1" t="s">
        <v>2628</v>
      </c>
      <c r="G1130" s="1" t="s">
        <v>746</v>
      </c>
      <c r="H1130" s="2">
        <v>45813.439583333333</v>
      </c>
      <c r="J1130" s="1" t="s">
        <v>18</v>
      </c>
    </row>
    <row r="1131" spans="1:10" hidden="1" x14ac:dyDescent="0.25">
      <c r="A1131" s="1" t="str">
        <f>_xlfn.XLOOKUP(E1131,Base!G:G,Base!C:C,"NOVO")</f>
        <v>PENDENTE</v>
      </c>
      <c r="B1131" s="1">
        <v>3286791</v>
      </c>
      <c r="C1131" s="1" t="s">
        <v>26</v>
      </c>
      <c r="D1131" s="2">
        <v>45726.431944444441</v>
      </c>
      <c r="E1131" s="1" t="s">
        <v>1578</v>
      </c>
      <c r="F1131" s="1" t="s">
        <v>1578</v>
      </c>
      <c r="G1131" s="1" t="s">
        <v>588</v>
      </c>
      <c r="H1131" s="2">
        <v>45723.817361111112</v>
      </c>
      <c r="I1131" s="2">
        <v>45726.523611111108</v>
      </c>
      <c r="J1131" s="1" t="s">
        <v>14</v>
      </c>
    </row>
    <row r="1132" spans="1:10" hidden="1" x14ac:dyDescent="0.25">
      <c r="A1132" s="1" t="str">
        <f>_xlfn.XLOOKUP(E1132,Base!G:G,Base!C:C,"NOVO")</f>
        <v>PENDENTE</v>
      </c>
      <c r="B1132" s="1">
        <v>3255240</v>
      </c>
      <c r="C1132" s="1" t="s">
        <v>26</v>
      </c>
      <c r="D1132" s="2">
        <v>45707.247916666667</v>
      </c>
      <c r="E1132" s="1" t="s">
        <v>1198</v>
      </c>
      <c r="F1132" s="1" t="s">
        <v>1198</v>
      </c>
      <c r="G1132" s="1" t="s">
        <v>409</v>
      </c>
      <c r="H1132" s="2">
        <v>45707.378472222219</v>
      </c>
      <c r="J1132" s="1" t="s">
        <v>18</v>
      </c>
    </row>
    <row r="1133" spans="1:10" hidden="1" x14ac:dyDescent="0.25">
      <c r="A1133" s="1" t="str">
        <f>_xlfn.XLOOKUP(E1133,Base!G:G,Base!C:C,"NOVO")</f>
        <v>PENDENTE</v>
      </c>
      <c r="B1133" s="1">
        <v>3285237</v>
      </c>
      <c r="C1133" s="1" t="s">
        <v>26</v>
      </c>
      <c r="D1133" s="2">
        <v>45723.419444444444</v>
      </c>
      <c r="E1133" s="1" t="s">
        <v>1579</v>
      </c>
      <c r="F1133" s="1" t="s">
        <v>1580</v>
      </c>
      <c r="G1133" s="1" t="s">
        <v>64</v>
      </c>
      <c r="H1133" s="2">
        <v>45723.554166666669</v>
      </c>
      <c r="J1133" s="1" t="s">
        <v>1244</v>
      </c>
    </row>
    <row r="1134" spans="1:10" hidden="1" x14ac:dyDescent="0.25">
      <c r="A1134" s="1" t="str">
        <f>_xlfn.XLOOKUP(E1134,Base!G:G,Base!C:C,"NOVO")</f>
        <v>PENDENTE</v>
      </c>
      <c r="B1134" s="1">
        <v>3325179</v>
      </c>
      <c r="C1134" s="1" t="s">
        <v>26</v>
      </c>
      <c r="D1134" s="2">
        <v>45742.431944444441</v>
      </c>
      <c r="E1134" s="1" t="s">
        <v>1882</v>
      </c>
      <c r="F1134" s="1" t="s">
        <v>1882</v>
      </c>
      <c r="G1134" s="1" t="s">
        <v>83</v>
      </c>
      <c r="H1134" s="2">
        <v>45742.522916666669</v>
      </c>
      <c r="J1134" s="1" t="s">
        <v>18</v>
      </c>
    </row>
    <row r="1135" spans="1:10" hidden="1" x14ac:dyDescent="0.25">
      <c r="A1135" s="1" t="str">
        <f>_xlfn.XLOOKUP(E1135,Base!G:G,Base!C:C,"NOVO")</f>
        <v>PENDENTE</v>
      </c>
      <c r="B1135" s="1">
        <v>3452666</v>
      </c>
      <c r="C1135" s="1" t="s">
        <v>26</v>
      </c>
      <c r="D1135" s="2">
        <v>45807.410416666666</v>
      </c>
      <c r="E1135" s="1" t="s">
        <v>2573</v>
      </c>
      <c r="F1135" s="1" t="s">
        <v>2573</v>
      </c>
      <c r="G1135" s="1" t="s">
        <v>83</v>
      </c>
      <c r="H1135" s="2">
        <v>45807.502083333333</v>
      </c>
      <c r="J1135" s="1" t="s">
        <v>18</v>
      </c>
    </row>
    <row r="1136" spans="1:10" hidden="1" x14ac:dyDescent="0.25">
      <c r="A1136" s="1" t="str">
        <f>_xlfn.XLOOKUP(E1136,Base!G:G,Base!C:C,"NOVO")</f>
        <v>PENDENTE</v>
      </c>
      <c r="B1136" s="1">
        <v>3361498</v>
      </c>
      <c r="C1136" s="1" t="s">
        <v>26</v>
      </c>
      <c r="D1136" s="2">
        <v>45758.661111111112</v>
      </c>
      <c r="E1136" s="1" t="s">
        <v>2107</v>
      </c>
      <c r="F1136" s="1" t="s">
        <v>2107</v>
      </c>
      <c r="G1136" s="1" t="s">
        <v>622</v>
      </c>
      <c r="H1136" s="2">
        <v>45758.753472222219</v>
      </c>
      <c r="J1136" s="1" t="s">
        <v>14</v>
      </c>
    </row>
    <row r="1137" spans="1:10" hidden="1" x14ac:dyDescent="0.25">
      <c r="A1137" s="1" t="str">
        <f>_xlfn.XLOOKUP(E1137,Base!G:G,Base!C:C,"NOVO")</f>
        <v>PENDENTE</v>
      </c>
      <c r="B1137" s="1">
        <v>3464811</v>
      </c>
      <c r="C1137" s="1" t="s">
        <v>26</v>
      </c>
      <c r="D1137" s="2">
        <v>45812.746527777781</v>
      </c>
      <c r="E1137" s="1" t="s">
        <v>2629</v>
      </c>
      <c r="F1137" s="1" t="s">
        <v>2629</v>
      </c>
      <c r="G1137" s="1" t="s">
        <v>83</v>
      </c>
      <c r="H1137" s="2">
        <v>45812.836111111108</v>
      </c>
      <c r="J1137" s="1" t="s">
        <v>18</v>
      </c>
    </row>
    <row r="1138" spans="1:10" hidden="1" x14ac:dyDescent="0.25">
      <c r="A1138" s="1" t="str">
        <f>_xlfn.XLOOKUP(E1138,Base!G:G,Base!C:C,"NOVO")</f>
        <v>PENDENTE</v>
      </c>
      <c r="B1138" s="1">
        <v>3285114</v>
      </c>
      <c r="C1138" s="1" t="s">
        <v>26</v>
      </c>
      <c r="D1138" s="2">
        <v>45723.37777777778</v>
      </c>
      <c r="E1138" s="1" t="s">
        <v>1581</v>
      </c>
      <c r="F1138" s="1" t="s">
        <v>1581</v>
      </c>
      <c r="G1138" s="1" t="s">
        <v>1134</v>
      </c>
      <c r="H1138" s="2">
        <v>45723.51458333333</v>
      </c>
      <c r="J1138" s="1" t="s">
        <v>18</v>
      </c>
    </row>
    <row r="1139" spans="1:10" hidden="1" x14ac:dyDescent="0.25">
      <c r="A1139" s="1" t="str">
        <f>_xlfn.XLOOKUP(E1139,Base!G:G,Base!C:C,"NOVO")</f>
        <v>PENDENTE</v>
      </c>
      <c r="B1139" s="1">
        <v>3249148</v>
      </c>
      <c r="C1139" s="1" t="s">
        <v>26</v>
      </c>
      <c r="D1139" s="2">
        <v>45705.279861111114</v>
      </c>
      <c r="E1139" s="1" t="s">
        <v>1199</v>
      </c>
      <c r="F1139" s="1" t="s">
        <v>1199</v>
      </c>
      <c r="G1139" s="1" t="s">
        <v>1164</v>
      </c>
      <c r="H1139" s="2">
        <v>45702.9</v>
      </c>
      <c r="I1139" s="2">
        <v>45705.408333333333</v>
      </c>
      <c r="J1139" s="1" t="s">
        <v>18</v>
      </c>
    </row>
    <row r="1140" spans="1:10" hidden="1" x14ac:dyDescent="0.25">
      <c r="A1140" s="1" t="str">
        <f>_xlfn.XLOOKUP(E1140,Base!G:G,Base!C:C,"NOVO")</f>
        <v>PENDENTE</v>
      </c>
      <c r="B1140" s="1">
        <v>3275927</v>
      </c>
      <c r="C1140" s="1" t="s">
        <v>26</v>
      </c>
      <c r="D1140" s="2">
        <v>45716.587500000001</v>
      </c>
      <c r="E1140" s="1" t="s">
        <v>1340</v>
      </c>
      <c r="F1140" s="1" t="s">
        <v>1340</v>
      </c>
      <c r="G1140" s="1" t="s">
        <v>83</v>
      </c>
      <c r="H1140" s="2">
        <v>45716.722222222219</v>
      </c>
      <c r="J1140" s="1" t="s">
        <v>18</v>
      </c>
    </row>
    <row r="1141" spans="1:10" hidden="1" x14ac:dyDescent="0.25">
      <c r="A1141" s="1" t="str">
        <f>_xlfn.XLOOKUP(E1141,Base!G:G,Base!C:C,"NOVO")</f>
        <v>PENDENTE</v>
      </c>
      <c r="B1141" s="1">
        <v>3249600</v>
      </c>
      <c r="C1141" s="1" t="s">
        <v>26</v>
      </c>
      <c r="D1141" s="2">
        <v>45705.324305555558</v>
      </c>
      <c r="E1141" s="1" t="s">
        <v>1200</v>
      </c>
      <c r="F1141" s="1" t="s">
        <v>1200</v>
      </c>
      <c r="G1141" s="1" t="s">
        <v>408</v>
      </c>
      <c r="H1141" s="2">
        <v>45705.461111111108</v>
      </c>
      <c r="J1141" s="1" t="s">
        <v>18</v>
      </c>
    </row>
    <row r="1142" spans="1:10" hidden="1" x14ac:dyDescent="0.25">
      <c r="A1142" s="1" t="str">
        <f>_xlfn.XLOOKUP(E1142,Base!G:G,Base!C:C,"NOVO")</f>
        <v>PENDENTE</v>
      </c>
      <c r="B1142" s="1">
        <v>3249601</v>
      </c>
      <c r="C1142" s="1" t="s">
        <v>26</v>
      </c>
      <c r="D1142" s="2">
        <v>45705.324305555558</v>
      </c>
      <c r="E1142" s="1" t="s">
        <v>1201</v>
      </c>
      <c r="F1142" s="1" t="s">
        <v>1200</v>
      </c>
      <c r="G1142" s="1" t="s">
        <v>1202</v>
      </c>
      <c r="H1142" s="2">
        <v>45705.461111111108</v>
      </c>
      <c r="J1142" s="1" t="s">
        <v>18</v>
      </c>
    </row>
    <row r="1143" spans="1:10" x14ac:dyDescent="0.25">
      <c r="A1143" s="1" t="str">
        <f>_xlfn.XLOOKUP(E1143,Base!G:G,Base!C:C,"NOVO")</f>
        <v>PENDENTE</v>
      </c>
      <c r="B1143" s="1">
        <v>3468553</v>
      </c>
      <c r="C1143" s="1" t="s">
        <v>26</v>
      </c>
      <c r="D1143" s="2">
        <v>45814.519444444442</v>
      </c>
      <c r="E1143" s="1" t="s">
        <v>2748</v>
      </c>
      <c r="F1143" s="1" t="s">
        <v>2748</v>
      </c>
      <c r="G1143" s="1" t="s">
        <v>652</v>
      </c>
      <c r="H1143" s="2">
        <v>45814.605555555558</v>
      </c>
      <c r="J1143" s="1" t="s">
        <v>18</v>
      </c>
    </row>
    <row r="1144" spans="1:10" hidden="1" x14ac:dyDescent="0.25">
      <c r="A1144" s="1" t="str">
        <f>_xlfn.XLOOKUP(E1144,Base!G:G,Base!C:C,"NOVO")</f>
        <v>PENDENTE</v>
      </c>
      <c r="B1144" s="1">
        <v>3299810</v>
      </c>
      <c r="C1144" s="1" t="s">
        <v>26</v>
      </c>
      <c r="D1144" s="2">
        <v>45730.561111111114</v>
      </c>
      <c r="E1144" s="1" t="s">
        <v>1582</v>
      </c>
      <c r="F1144" s="1" t="s">
        <v>1582</v>
      </c>
      <c r="G1144" s="1" t="s">
        <v>1189</v>
      </c>
      <c r="H1144" s="2">
        <v>45729.856944444444</v>
      </c>
      <c r="I1144" s="2">
        <v>45730.649305555555</v>
      </c>
      <c r="J1144" s="1" t="s">
        <v>18</v>
      </c>
    </row>
    <row r="1145" spans="1:10" hidden="1" x14ac:dyDescent="0.25">
      <c r="A1145" s="1" t="str">
        <f>_xlfn.XLOOKUP(E1145,Base!G:G,Base!C:C,"NOVO")</f>
        <v>PENDENTE</v>
      </c>
      <c r="B1145" s="1">
        <v>3464803</v>
      </c>
      <c r="C1145" s="1" t="s">
        <v>26</v>
      </c>
      <c r="D1145" s="2">
        <v>45812.746527777781</v>
      </c>
      <c r="E1145" s="1" t="s">
        <v>2630</v>
      </c>
      <c r="F1145" s="1" t="s">
        <v>2630</v>
      </c>
      <c r="G1145" s="1" t="s">
        <v>83</v>
      </c>
      <c r="H1145" s="2">
        <v>45812.836111111108</v>
      </c>
      <c r="J1145" s="1" t="s">
        <v>18</v>
      </c>
    </row>
    <row r="1146" spans="1:10" hidden="1" x14ac:dyDescent="0.25">
      <c r="A1146" s="1" t="str">
        <f>_xlfn.XLOOKUP(E1146,Base!G:G,Base!C:C,"NOVO")</f>
        <v>PENDENTE</v>
      </c>
      <c r="B1146" s="1">
        <v>3283820</v>
      </c>
      <c r="C1146" s="1" t="s">
        <v>26</v>
      </c>
      <c r="D1146" s="2">
        <v>45722.663888888892</v>
      </c>
      <c r="E1146" s="1" t="s">
        <v>1583</v>
      </c>
      <c r="F1146" s="1" t="s">
        <v>1584</v>
      </c>
      <c r="G1146" s="1" t="s">
        <v>64</v>
      </c>
      <c r="H1146" s="2">
        <v>45722.794444444444</v>
      </c>
      <c r="J1146" s="1" t="s">
        <v>1244</v>
      </c>
    </row>
    <row r="1147" spans="1:10" hidden="1" x14ac:dyDescent="0.25">
      <c r="A1147" s="1" t="str">
        <f>_xlfn.XLOOKUP(E1147,Base!G:G,Base!C:C,"NOVO")</f>
        <v>PENDENTE</v>
      </c>
      <c r="B1147" s="1">
        <v>3216560</v>
      </c>
      <c r="C1147" s="1" t="s">
        <v>26</v>
      </c>
      <c r="D1147" s="2">
        <v>45688.710416666669</v>
      </c>
      <c r="E1147" s="1" t="s">
        <v>892</v>
      </c>
      <c r="F1147" s="1" t="s">
        <v>892</v>
      </c>
      <c r="G1147" s="1" t="s">
        <v>83</v>
      </c>
      <c r="H1147" s="2">
        <v>45688.845138888886</v>
      </c>
      <c r="J1147" s="1" t="s">
        <v>18</v>
      </c>
    </row>
    <row r="1148" spans="1:10" hidden="1" x14ac:dyDescent="0.25">
      <c r="A1148" s="1" t="str">
        <f>_xlfn.XLOOKUP(E1148,Base!G:G,Base!C:C,"NOVO")</f>
        <v>PENDENTE</v>
      </c>
      <c r="B1148" s="1">
        <v>3424334</v>
      </c>
      <c r="C1148" s="1" t="s">
        <v>26</v>
      </c>
      <c r="D1148" s="2">
        <v>45792.761111111111</v>
      </c>
      <c r="E1148" s="1" t="s">
        <v>2508</v>
      </c>
      <c r="F1148" s="1" t="s">
        <v>2508</v>
      </c>
      <c r="G1148" s="1" t="s">
        <v>396</v>
      </c>
      <c r="H1148" s="2">
        <v>45792.856249999997</v>
      </c>
      <c r="J1148" s="1" t="s">
        <v>18</v>
      </c>
    </row>
    <row r="1149" spans="1:10" hidden="1" x14ac:dyDescent="0.25">
      <c r="A1149" s="1" t="str">
        <f>_xlfn.XLOOKUP(E1149,Base!G:G,Base!C:C,"NOVO")</f>
        <v>PENDENTE</v>
      </c>
      <c r="B1149" s="1">
        <v>3283595</v>
      </c>
      <c r="C1149" s="1" t="s">
        <v>26</v>
      </c>
      <c r="D1149" s="2">
        <v>45722.592361111114</v>
      </c>
      <c r="E1149" s="1" t="s">
        <v>1585</v>
      </c>
      <c r="F1149" s="1" t="s">
        <v>1586</v>
      </c>
      <c r="G1149" s="1" t="s">
        <v>64</v>
      </c>
      <c r="H1149" s="2">
        <v>45722.72152777778</v>
      </c>
      <c r="J1149" s="1" t="s">
        <v>1244</v>
      </c>
    </row>
    <row r="1150" spans="1:10" hidden="1" x14ac:dyDescent="0.25">
      <c r="A1150" s="1" t="str">
        <f>_xlfn.XLOOKUP(E1150,Base!G:G,Base!C:C,"NOVO")</f>
        <v>PENDENTE</v>
      </c>
      <c r="B1150" s="1">
        <v>3245971</v>
      </c>
      <c r="C1150" s="1" t="s">
        <v>26</v>
      </c>
      <c r="D1150" s="2">
        <v>45701.897916666669</v>
      </c>
      <c r="E1150" s="1" t="s">
        <v>1204</v>
      </c>
      <c r="F1150" s="1" t="s">
        <v>1204</v>
      </c>
      <c r="G1150" s="1" t="s">
        <v>840</v>
      </c>
      <c r="H1150" s="2">
        <v>45702.033333333333</v>
      </c>
      <c r="J1150" s="1" t="s">
        <v>18</v>
      </c>
    </row>
    <row r="1151" spans="1:10" hidden="1" x14ac:dyDescent="0.25">
      <c r="A1151" s="1" t="str">
        <f>_xlfn.XLOOKUP(E1151,Base!G:G,Base!C:C,"NOVO")</f>
        <v>PENDENTE</v>
      </c>
      <c r="B1151" s="1">
        <v>3453461</v>
      </c>
      <c r="C1151" s="1" t="s">
        <v>26</v>
      </c>
      <c r="D1151" s="2">
        <v>45807.536805555559</v>
      </c>
      <c r="E1151" s="1" t="s">
        <v>2574</v>
      </c>
      <c r="F1151" s="1" t="s">
        <v>2574</v>
      </c>
      <c r="G1151" s="1" t="s">
        <v>746</v>
      </c>
      <c r="H1151" s="2">
        <v>45807.62777777778</v>
      </c>
      <c r="J1151" s="1" t="s">
        <v>18</v>
      </c>
    </row>
    <row r="1152" spans="1:10" hidden="1" x14ac:dyDescent="0.25">
      <c r="A1152" s="1" t="str">
        <f>_xlfn.XLOOKUP(E1152,Base!G:G,Base!C:C,"NOVO")</f>
        <v>PENDENTE</v>
      </c>
      <c r="B1152" s="1">
        <v>3453478</v>
      </c>
      <c r="C1152" s="1" t="s">
        <v>26</v>
      </c>
      <c r="D1152" s="2">
        <v>45807.536805555559</v>
      </c>
      <c r="E1152" s="1" t="s">
        <v>2575</v>
      </c>
      <c r="F1152" s="1" t="s">
        <v>2575</v>
      </c>
      <c r="G1152" s="1" t="s">
        <v>746</v>
      </c>
      <c r="H1152" s="2">
        <v>45807.628472222219</v>
      </c>
      <c r="J1152" s="1" t="s">
        <v>18</v>
      </c>
    </row>
    <row r="1153" spans="1:10" hidden="1" x14ac:dyDescent="0.25">
      <c r="A1153" s="1" t="str">
        <f>_xlfn.XLOOKUP(E1153,Base!G:G,Base!C:C,"NOVO")</f>
        <v>PENDENTE</v>
      </c>
      <c r="B1153" s="1">
        <v>3453468</v>
      </c>
      <c r="C1153" s="1" t="s">
        <v>26</v>
      </c>
      <c r="D1153" s="2">
        <v>45807.536805555559</v>
      </c>
      <c r="E1153" s="1" t="s">
        <v>2576</v>
      </c>
      <c r="F1153" s="1" t="s">
        <v>2576</v>
      </c>
      <c r="G1153" s="1" t="s">
        <v>746</v>
      </c>
      <c r="H1153" s="2">
        <v>45807.62777777778</v>
      </c>
      <c r="J1153" s="1" t="s">
        <v>18</v>
      </c>
    </row>
    <row r="1154" spans="1:10" hidden="1" x14ac:dyDescent="0.25">
      <c r="A1154" s="1" t="str">
        <f>_xlfn.XLOOKUP(E1154,Base!G:G,Base!C:C,"NOVO")</f>
        <v>PENDENTE</v>
      </c>
      <c r="B1154" s="1">
        <v>3336919</v>
      </c>
      <c r="C1154" s="1" t="s">
        <v>26</v>
      </c>
      <c r="D1154" s="2">
        <v>45749.654166666667</v>
      </c>
      <c r="E1154" s="1" t="s">
        <v>1883</v>
      </c>
      <c r="F1154" s="1" t="s">
        <v>1883</v>
      </c>
      <c r="G1154" s="1" t="s">
        <v>83</v>
      </c>
      <c r="H1154" s="2">
        <v>45748.542361111111</v>
      </c>
      <c r="I1154" s="2">
        <v>45749.740277777775</v>
      </c>
      <c r="J1154" s="1" t="s">
        <v>18</v>
      </c>
    </row>
    <row r="1155" spans="1:10" hidden="1" x14ac:dyDescent="0.25">
      <c r="A1155" s="1" t="str">
        <f>_xlfn.XLOOKUP(E1155,Base!G:G,Base!C:C,"NOVO")</f>
        <v>PENDENTE</v>
      </c>
      <c r="B1155" s="1">
        <v>3281896</v>
      </c>
      <c r="C1155" s="1" t="s">
        <v>26</v>
      </c>
      <c r="D1155" s="2">
        <v>45721.758333333331</v>
      </c>
      <c r="E1155" s="1" t="s">
        <v>1341</v>
      </c>
      <c r="F1155" s="1" t="s">
        <v>1341</v>
      </c>
      <c r="G1155" s="1" t="s">
        <v>652</v>
      </c>
      <c r="H1155" s="2">
        <v>45721.890277777777</v>
      </c>
      <c r="J1155" s="1" t="s">
        <v>18</v>
      </c>
    </row>
    <row r="1156" spans="1:10" hidden="1" x14ac:dyDescent="0.25">
      <c r="A1156" s="1" t="str">
        <f>_xlfn.XLOOKUP(E1156,Base!G:G,Base!C:C,"NOVO")</f>
        <v>PENDENTE</v>
      </c>
      <c r="B1156" s="1">
        <v>3364771</v>
      </c>
      <c r="C1156" s="1" t="s">
        <v>26</v>
      </c>
      <c r="D1156" s="2">
        <v>45761.760416666664</v>
      </c>
      <c r="E1156" s="1" t="s">
        <v>2108</v>
      </c>
      <c r="F1156" s="1" t="s">
        <v>2108</v>
      </c>
      <c r="G1156" s="1" t="s">
        <v>83</v>
      </c>
      <c r="H1156" s="2">
        <v>45761.845138888886</v>
      </c>
      <c r="J1156" s="1" t="s">
        <v>18</v>
      </c>
    </row>
    <row r="1157" spans="1:10" hidden="1" x14ac:dyDescent="0.25">
      <c r="A1157" s="1" t="str">
        <f>_xlfn.XLOOKUP(E1157,Base!G:G,Base!C:C,"NOVO")</f>
        <v>PENDENTE</v>
      </c>
      <c r="B1157" s="1">
        <v>3270295</v>
      </c>
      <c r="C1157" s="1" t="s">
        <v>26</v>
      </c>
      <c r="D1157" s="2">
        <v>45721.758333333331</v>
      </c>
      <c r="E1157" s="1" t="s">
        <v>1342</v>
      </c>
      <c r="F1157" s="1" t="s">
        <v>1342</v>
      </c>
      <c r="G1157" s="1" t="s">
        <v>1189</v>
      </c>
      <c r="H1157" s="2">
        <v>45714.668749999997</v>
      </c>
      <c r="I1157" s="2">
        <v>45721.887499999997</v>
      </c>
      <c r="J1157" s="1" t="s">
        <v>18</v>
      </c>
    </row>
    <row r="1158" spans="1:10" hidden="1" x14ac:dyDescent="0.25">
      <c r="A1158" s="1" t="str">
        <f>_xlfn.XLOOKUP(E1158,Base!G:G,Base!C:C,"NOVO")</f>
        <v>PENDENTE</v>
      </c>
      <c r="B1158" s="1">
        <v>3453480</v>
      </c>
      <c r="C1158" s="1" t="s">
        <v>26</v>
      </c>
      <c r="D1158" s="2">
        <v>45807.536805555559</v>
      </c>
      <c r="E1158" s="1" t="s">
        <v>2577</v>
      </c>
      <c r="F1158" s="1" t="s">
        <v>2577</v>
      </c>
      <c r="G1158" s="1" t="s">
        <v>746</v>
      </c>
      <c r="H1158" s="2">
        <v>45807.628472222219</v>
      </c>
      <c r="J1158" s="1" t="s">
        <v>18</v>
      </c>
    </row>
    <row r="1159" spans="1:10" hidden="1" x14ac:dyDescent="0.25">
      <c r="A1159" s="1" t="str">
        <f>_xlfn.XLOOKUP(E1159,Base!G:G,Base!C:C,"NOVO")</f>
        <v>PENDENTE</v>
      </c>
      <c r="B1159" s="1">
        <v>3337079</v>
      </c>
      <c r="C1159" s="1" t="s">
        <v>26</v>
      </c>
      <c r="D1159" s="2">
        <v>45748.661805555559</v>
      </c>
      <c r="E1159" s="1" t="s">
        <v>1884</v>
      </c>
      <c r="F1159" s="1" t="s">
        <v>1884</v>
      </c>
      <c r="G1159" s="1" t="s">
        <v>83</v>
      </c>
      <c r="H1159" s="2">
        <v>45748.617361111108</v>
      </c>
      <c r="I1159" s="2">
        <v>45748.752083333333</v>
      </c>
      <c r="J1159" s="1" t="s">
        <v>18</v>
      </c>
    </row>
    <row r="1160" spans="1:10" hidden="1" x14ac:dyDescent="0.25">
      <c r="A1160" s="1" t="str">
        <f>_xlfn.XLOOKUP(E1160,Base!G:G,Base!C:C,"NOVO")</f>
        <v>PENDENTE</v>
      </c>
      <c r="B1160" s="1">
        <v>3307688</v>
      </c>
      <c r="C1160" s="1" t="s">
        <v>26</v>
      </c>
      <c r="D1160" s="2">
        <v>45734.44027777778</v>
      </c>
      <c r="E1160" s="1" t="s">
        <v>1643</v>
      </c>
      <c r="F1160" s="1" t="s">
        <v>1644</v>
      </c>
      <c r="G1160" s="1" t="s">
        <v>64</v>
      </c>
      <c r="H1160" s="2">
        <v>45734.53402777778</v>
      </c>
      <c r="J1160" s="1" t="s">
        <v>1244</v>
      </c>
    </row>
    <row r="1161" spans="1:10" hidden="1" x14ac:dyDescent="0.25">
      <c r="A1161" s="1" t="str">
        <f>_xlfn.XLOOKUP(E1161,Base!G:G,Base!C:C,"NOVO")</f>
        <v>PENDENTE</v>
      </c>
      <c r="B1161" s="1">
        <v>3382668</v>
      </c>
      <c r="C1161" s="1" t="s">
        <v>26</v>
      </c>
      <c r="D1161" s="2">
        <v>45771.760416666664</v>
      </c>
      <c r="E1161" s="1" t="s">
        <v>2109</v>
      </c>
      <c r="F1161" s="1" t="s">
        <v>2109</v>
      </c>
      <c r="G1161" s="1" t="s">
        <v>83</v>
      </c>
      <c r="H1161" s="2">
        <v>45771.84652777778</v>
      </c>
      <c r="J1161" s="1" t="s">
        <v>18</v>
      </c>
    </row>
    <row r="1162" spans="1:10" x14ac:dyDescent="0.25">
      <c r="A1162" s="1" t="str">
        <f>_xlfn.XLOOKUP(E1162,Base!G:G,Base!C:C,"NOVO")</f>
        <v>PENDENTE</v>
      </c>
      <c r="B1162" s="1">
        <v>3481954</v>
      </c>
      <c r="C1162" s="1" t="s">
        <v>26</v>
      </c>
      <c r="D1162" s="2">
        <v>45821.652083333334</v>
      </c>
      <c r="E1162" s="1" t="s">
        <v>2749</v>
      </c>
      <c r="F1162" s="1" t="s">
        <v>2750</v>
      </c>
      <c r="G1162" s="1" t="s">
        <v>84</v>
      </c>
      <c r="H1162" s="2">
        <v>45821.740972222222</v>
      </c>
      <c r="J1162" s="1" t="s">
        <v>1244</v>
      </c>
    </row>
    <row r="1163" spans="1:10" hidden="1" x14ac:dyDescent="0.25">
      <c r="A1163" s="1" t="str">
        <f>_xlfn.XLOOKUP(E1163,Base!G:G,Base!C:C,"NOVO")</f>
        <v>PENDENTE</v>
      </c>
      <c r="B1163" s="1">
        <v>3449909</v>
      </c>
      <c r="C1163" s="1" t="s">
        <v>26</v>
      </c>
      <c r="D1163" s="2">
        <v>45805.755555555559</v>
      </c>
      <c r="E1163" s="1" t="s">
        <v>2509</v>
      </c>
      <c r="F1163" s="1" t="s">
        <v>2509</v>
      </c>
      <c r="G1163" s="1" t="s">
        <v>83</v>
      </c>
      <c r="H1163" s="2">
        <v>45805.845138888886</v>
      </c>
      <c r="J1163" s="1" t="s">
        <v>18</v>
      </c>
    </row>
    <row r="1164" spans="1:10" x14ac:dyDescent="0.25">
      <c r="A1164" s="1" t="str">
        <f>_xlfn.XLOOKUP(E1164,Base!G:G,Base!C:C,"NOVO")</f>
        <v>PENDENTE</v>
      </c>
      <c r="B1164" s="1">
        <v>3484221</v>
      </c>
      <c r="C1164" s="1" t="s">
        <v>26</v>
      </c>
      <c r="D1164" s="2">
        <v>45824.388888888891</v>
      </c>
      <c r="E1164" s="1" t="s">
        <v>2751</v>
      </c>
      <c r="F1164" s="1" t="s">
        <v>2752</v>
      </c>
      <c r="G1164" s="1" t="s">
        <v>84</v>
      </c>
      <c r="H1164" s="2">
        <v>45824.480555555558</v>
      </c>
      <c r="J1164" s="1" t="s">
        <v>1244</v>
      </c>
    </row>
    <row r="1165" spans="1:10" hidden="1" x14ac:dyDescent="0.25">
      <c r="A1165" s="1" t="str">
        <f>_xlfn.XLOOKUP(E1165,Base!G:G,Base!C:C,"NOVO")</f>
        <v>PENDENTE</v>
      </c>
      <c r="B1165" s="1">
        <v>3363262</v>
      </c>
      <c r="C1165" s="1" t="s">
        <v>26</v>
      </c>
      <c r="D1165" s="2">
        <v>45761.427083333336</v>
      </c>
      <c r="E1165" s="1" t="s">
        <v>2110</v>
      </c>
      <c r="F1165" s="1" t="s">
        <v>2110</v>
      </c>
      <c r="G1165" s="1" t="s">
        <v>707</v>
      </c>
      <c r="H1165" s="2">
        <v>45761.513194444444</v>
      </c>
      <c r="J1165" s="1" t="s">
        <v>18</v>
      </c>
    </row>
    <row r="1166" spans="1:10" hidden="1" x14ac:dyDescent="0.25">
      <c r="A1166" s="1" t="str">
        <f>_xlfn.XLOOKUP(E1166,Base!G:G,Base!C:C,"NOVO")</f>
        <v>PENDENTE</v>
      </c>
      <c r="B1166" s="1">
        <v>3294767</v>
      </c>
      <c r="C1166" s="1" t="s">
        <v>26</v>
      </c>
      <c r="D1166" s="2">
        <v>45728.447222222225</v>
      </c>
      <c r="E1166" s="1" t="s">
        <v>1588</v>
      </c>
      <c r="F1166" s="1" t="s">
        <v>1589</v>
      </c>
      <c r="G1166" s="1" t="s">
        <v>64</v>
      </c>
      <c r="H1166" s="2">
        <v>45728.533333333333</v>
      </c>
      <c r="J1166" s="1" t="s">
        <v>1244</v>
      </c>
    </row>
    <row r="1167" spans="1:10" hidden="1" x14ac:dyDescent="0.25">
      <c r="A1167" s="1" t="str">
        <f>_xlfn.XLOOKUP(E1167,Base!G:G,Base!C:C,"NOVO")</f>
        <v>PENDENTE</v>
      </c>
      <c r="B1167" s="1">
        <v>3281897</v>
      </c>
      <c r="C1167" s="1" t="s">
        <v>26</v>
      </c>
      <c r="D1167" s="2">
        <v>45721.758333333331</v>
      </c>
      <c r="E1167" s="1" t="s">
        <v>1343</v>
      </c>
      <c r="F1167" s="1" t="s">
        <v>1343</v>
      </c>
      <c r="G1167" s="1" t="s">
        <v>829</v>
      </c>
      <c r="H1167" s="2">
        <v>45721.890277777777</v>
      </c>
      <c r="J1167" s="1" t="s">
        <v>18</v>
      </c>
    </row>
    <row r="1168" spans="1:10" hidden="1" x14ac:dyDescent="0.25">
      <c r="A1168" s="1" t="str">
        <f>_xlfn.XLOOKUP(E1168,Base!G:G,Base!C:C,"NOVO")</f>
        <v>PENDENTE</v>
      </c>
      <c r="B1168" s="1">
        <v>3438057</v>
      </c>
      <c r="C1168" s="1" t="s">
        <v>26</v>
      </c>
      <c r="D1168" s="2">
        <v>45799.784722222219</v>
      </c>
      <c r="E1168" s="1" t="s">
        <v>2510</v>
      </c>
      <c r="F1168" s="1" t="s">
        <v>2510</v>
      </c>
      <c r="G1168" s="1" t="s">
        <v>1280</v>
      </c>
      <c r="H1168" s="2">
        <v>45799.878472222219</v>
      </c>
      <c r="J1168" s="1" t="s">
        <v>18</v>
      </c>
    </row>
    <row r="1169" spans="1:10" x14ac:dyDescent="0.25">
      <c r="A1169" s="1" t="str">
        <f>_xlfn.XLOOKUP(E1169,Base!G:G,Base!C:C,"NOVO")</f>
        <v>PENDENTE</v>
      </c>
      <c r="B1169" s="1">
        <v>3474576</v>
      </c>
      <c r="C1169" s="1" t="s">
        <v>26</v>
      </c>
      <c r="D1169" s="2">
        <v>45818.736805555556</v>
      </c>
      <c r="E1169" s="1" t="s">
        <v>2753</v>
      </c>
      <c r="F1169" s="1" t="s">
        <v>2753</v>
      </c>
      <c r="G1169" s="1" t="s">
        <v>746</v>
      </c>
      <c r="H1169" s="2">
        <v>45818.824305555558</v>
      </c>
      <c r="J1169" s="1" t="s">
        <v>18</v>
      </c>
    </row>
    <row r="1170" spans="1:10" hidden="1" x14ac:dyDescent="0.25">
      <c r="A1170" s="1" t="str">
        <f>_xlfn.XLOOKUP(E1170,Base!G:G,Base!C:C,"NOVO")</f>
        <v>PENDENTE</v>
      </c>
      <c r="B1170" s="1">
        <v>3435273</v>
      </c>
      <c r="C1170" s="1" t="s">
        <v>26</v>
      </c>
      <c r="D1170" s="2">
        <v>45798.768055555556</v>
      </c>
      <c r="E1170" s="1" t="s">
        <v>2511</v>
      </c>
      <c r="F1170" s="1" t="s">
        <v>2511</v>
      </c>
      <c r="G1170" s="1" t="s">
        <v>83</v>
      </c>
      <c r="H1170" s="2">
        <v>45798.856944444444</v>
      </c>
      <c r="J1170" s="1" t="s">
        <v>18</v>
      </c>
    </row>
    <row r="1171" spans="1:10" x14ac:dyDescent="0.25">
      <c r="A1171" s="1" t="str">
        <f>_xlfn.XLOOKUP(E1171,Base!G:G,Base!C:C,"NOVO")</f>
        <v>PENDENTE</v>
      </c>
      <c r="B1171" s="1">
        <v>3478505</v>
      </c>
      <c r="C1171" s="1" t="s">
        <v>26</v>
      </c>
      <c r="D1171" s="2">
        <v>45820.407638888886</v>
      </c>
      <c r="E1171" s="1" t="s">
        <v>2754</v>
      </c>
      <c r="F1171" s="1" t="s">
        <v>2754</v>
      </c>
      <c r="G1171" s="1" t="s">
        <v>829</v>
      </c>
      <c r="H1171" s="2">
        <v>45820.501388888886</v>
      </c>
      <c r="J1171" s="1" t="s">
        <v>18</v>
      </c>
    </row>
    <row r="1172" spans="1:10" hidden="1" x14ac:dyDescent="0.25">
      <c r="A1172" s="1" t="str">
        <f>_xlfn.XLOOKUP(E1172,Base!G:G,Base!C:C,"NOVO")</f>
        <v>PENDENTE</v>
      </c>
      <c r="B1172" s="1">
        <v>3401663</v>
      </c>
      <c r="C1172" s="1" t="s">
        <v>26</v>
      </c>
      <c r="D1172" s="2">
        <v>45782.75</v>
      </c>
      <c r="E1172" s="1" t="s">
        <v>2264</v>
      </c>
      <c r="F1172" s="1" t="s">
        <v>2264</v>
      </c>
      <c r="G1172" s="1" t="s">
        <v>652</v>
      </c>
      <c r="H1172" s="2">
        <v>45782.834722222222</v>
      </c>
      <c r="J1172" s="1" t="s">
        <v>18</v>
      </c>
    </row>
    <row r="1173" spans="1:10" hidden="1" x14ac:dyDescent="0.25">
      <c r="A1173" s="1" t="str">
        <f>_xlfn.XLOOKUP(E1173,Base!G:G,Base!C:C,"NOVO")</f>
        <v>PENDENTE</v>
      </c>
      <c r="B1173" s="1">
        <v>3432278</v>
      </c>
      <c r="C1173" s="1" t="s">
        <v>26</v>
      </c>
      <c r="D1173" s="2">
        <v>45797.62777777778</v>
      </c>
      <c r="E1173" s="1" t="s">
        <v>2512</v>
      </c>
      <c r="F1173" s="1" t="s">
        <v>2512</v>
      </c>
      <c r="G1173" s="1" t="s">
        <v>83</v>
      </c>
      <c r="H1173" s="2">
        <v>45797.726388888892</v>
      </c>
      <c r="J1173" s="1" t="s">
        <v>18</v>
      </c>
    </row>
    <row r="1174" spans="1:10" hidden="1" x14ac:dyDescent="0.25">
      <c r="A1174" s="1" t="str">
        <f>_xlfn.XLOOKUP(E1174,Base!G:G,Base!C:C,"NOVO")</f>
        <v>PENDENTE</v>
      </c>
      <c r="B1174" s="1">
        <v>3356491</v>
      </c>
      <c r="C1174" s="1" t="s">
        <v>26</v>
      </c>
      <c r="D1174" s="2">
        <v>45756.70416666667</v>
      </c>
      <c r="E1174" s="1" t="s">
        <v>2111</v>
      </c>
      <c r="F1174" s="1" t="s">
        <v>2111</v>
      </c>
      <c r="G1174" s="1" t="s">
        <v>83</v>
      </c>
      <c r="H1174" s="2">
        <v>45756.795138888891</v>
      </c>
      <c r="J1174" s="1" t="s">
        <v>18</v>
      </c>
    </row>
    <row r="1175" spans="1:10" hidden="1" x14ac:dyDescent="0.25">
      <c r="A1175" s="1" t="str">
        <f>_xlfn.XLOOKUP(E1175,Base!G:G,Base!C:C,"NOVO")</f>
        <v>PENDENTE</v>
      </c>
      <c r="B1175" s="1">
        <v>3385403</v>
      </c>
      <c r="C1175" s="1" t="s">
        <v>26</v>
      </c>
      <c r="D1175" s="2">
        <v>45772.72152777778</v>
      </c>
      <c r="E1175" s="1" t="s">
        <v>2112</v>
      </c>
      <c r="F1175" s="1" t="s">
        <v>2112</v>
      </c>
      <c r="G1175" s="1" t="s">
        <v>83</v>
      </c>
      <c r="H1175" s="2">
        <v>45772.818055555559</v>
      </c>
      <c r="J1175" s="1" t="s">
        <v>18</v>
      </c>
    </row>
    <row r="1176" spans="1:10" hidden="1" x14ac:dyDescent="0.25">
      <c r="A1176" s="1" t="str">
        <f>_xlfn.XLOOKUP(E1176,Base!G:G,Base!C:C,"NOVO")</f>
        <v>PENDENTE</v>
      </c>
      <c r="B1176" s="1">
        <v>3305175</v>
      </c>
      <c r="C1176" s="1" t="s">
        <v>26</v>
      </c>
      <c r="D1176" s="2">
        <v>45733.645833333336</v>
      </c>
      <c r="E1176" s="1" t="s">
        <v>1590</v>
      </c>
      <c r="F1176" s="1" t="s">
        <v>1590</v>
      </c>
      <c r="G1176" s="1" t="s">
        <v>83</v>
      </c>
      <c r="H1176" s="2">
        <v>45733.734722222223</v>
      </c>
      <c r="J1176" s="1" t="s">
        <v>18</v>
      </c>
    </row>
    <row r="1177" spans="1:10" x14ac:dyDescent="0.25">
      <c r="A1177" s="1" t="str">
        <f>_xlfn.XLOOKUP(E1177,Base!G:G,Base!C:C,"NOVO")</f>
        <v>PENDENTE</v>
      </c>
      <c r="B1177" s="1">
        <v>3481789</v>
      </c>
      <c r="C1177" s="1" t="s">
        <v>26</v>
      </c>
      <c r="D1177" s="2">
        <v>45821.615277777775</v>
      </c>
      <c r="E1177" s="1" t="s">
        <v>2755</v>
      </c>
      <c r="F1177" s="1" t="s">
        <v>2756</v>
      </c>
      <c r="G1177" s="1" t="s">
        <v>84</v>
      </c>
      <c r="H1177" s="2">
        <v>45821.699305555558</v>
      </c>
      <c r="J1177" s="1" t="s">
        <v>1244</v>
      </c>
    </row>
    <row r="1178" spans="1:10" hidden="1" x14ac:dyDescent="0.25">
      <c r="A1178" s="1" t="str">
        <f>_xlfn.XLOOKUP(E1178,Base!G:G,Base!C:C,"NOVO")</f>
        <v>PENDENTE</v>
      </c>
      <c r="B1178" s="1">
        <v>3256240</v>
      </c>
      <c r="C1178" s="1" t="s">
        <v>26</v>
      </c>
      <c r="D1178" s="2">
        <v>45707.665277777778</v>
      </c>
      <c r="E1178" s="1" t="s">
        <v>1205</v>
      </c>
      <c r="F1178" s="1" t="s">
        <v>1205</v>
      </c>
      <c r="G1178" s="1" t="s">
        <v>1060</v>
      </c>
      <c r="H1178" s="2">
        <v>45707.794444444444</v>
      </c>
      <c r="J1178" s="1" t="s">
        <v>18</v>
      </c>
    </row>
    <row r="1179" spans="1:10" hidden="1" x14ac:dyDescent="0.25">
      <c r="A1179" s="1" t="str">
        <f>_xlfn.XLOOKUP(E1179,Base!G:G,Base!C:C,"NOVO")</f>
        <v>PENDENTE</v>
      </c>
      <c r="B1179" s="1">
        <v>3429887</v>
      </c>
      <c r="C1179" s="1" t="s">
        <v>26</v>
      </c>
      <c r="D1179" s="2">
        <v>45796.772916666669</v>
      </c>
      <c r="E1179" s="1" t="s">
        <v>2513</v>
      </c>
      <c r="F1179" s="1" t="s">
        <v>2513</v>
      </c>
      <c r="G1179" s="1" t="s">
        <v>83</v>
      </c>
      <c r="H1179" s="2">
        <v>45796.867361111108</v>
      </c>
      <c r="J1179" s="1" t="s">
        <v>18</v>
      </c>
    </row>
    <row r="1180" spans="1:10" hidden="1" x14ac:dyDescent="0.25">
      <c r="A1180" s="1" t="str">
        <f>_xlfn.XLOOKUP(E1180,Base!G:G,Base!C:C,"NOVO")</f>
        <v>PENDENTE</v>
      </c>
      <c r="B1180" s="1">
        <v>3437775</v>
      </c>
      <c r="C1180" s="1" t="s">
        <v>26</v>
      </c>
      <c r="D1180" s="2">
        <v>45799.64166666667</v>
      </c>
      <c r="E1180" s="1" t="s">
        <v>2514</v>
      </c>
      <c r="F1180" s="1" t="s">
        <v>2514</v>
      </c>
      <c r="G1180" s="1" t="s">
        <v>620</v>
      </c>
      <c r="H1180" s="2">
        <v>45799.731944444444</v>
      </c>
      <c r="J1180" s="1" t="s">
        <v>18</v>
      </c>
    </row>
    <row r="1181" spans="1:10" hidden="1" x14ac:dyDescent="0.25">
      <c r="A1181" s="1" t="str">
        <f>_xlfn.XLOOKUP(E1181,Base!G:G,Base!C:C,"NOVO")</f>
        <v>PENDENTE</v>
      </c>
      <c r="B1181" s="1">
        <v>3274012</v>
      </c>
      <c r="C1181" s="1" t="s">
        <v>26</v>
      </c>
      <c r="D1181" s="2">
        <v>45721.758333333331</v>
      </c>
      <c r="E1181" s="1" t="s">
        <v>1344</v>
      </c>
      <c r="F1181" s="1" t="s">
        <v>1344</v>
      </c>
      <c r="G1181" s="1" t="s">
        <v>829</v>
      </c>
      <c r="H1181" s="2">
        <v>45715.793749999997</v>
      </c>
      <c r="I1181" s="2">
        <v>45721.890277777777</v>
      </c>
      <c r="J1181" s="1" t="s">
        <v>18</v>
      </c>
    </row>
    <row r="1182" spans="1:10" hidden="1" x14ac:dyDescent="0.25">
      <c r="A1182" s="1" t="str">
        <f>_xlfn.XLOOKUP(E1182,Base!G:G,Base!C:C,"NOVO")</f>
        <v>PENDENTE</v>
      </c>
      <c r="B1182" s="1">
        <v>3312491</v>
      </c>
      <c r="C1182" s="1" t="s">
        <v>26</v>
      </c>
      <c r="D1182" s="2">
        <v>45735.738194444442</v>
      </c>
      <c r="E1182" s="1" t="s">
        <v>1885</v>
      </c>
      <c r="F1182" s="1" t="s">
        <v>1885</v>
      </c>
      <c r="G1182" s="1" t="s">
        <v>273</v>
      </c>
      <c r="H1182" s="2">
        <v>45735.824305555558</v>
      </c>
      <c r="J1182" s="1" t="s">
        <v>1245</v>
      </c>
    </row>
    <row r="1183" spans="1:10" hidden="1" x14ac:dyDescent="0.25">
      <c r="A1183" s="1" t="str">
        <f>_xlfn.XLOOKUP(E1183,Base!G:G,Base!C:C,"NOVO")</f>
        <v>PENDENTE</v>
      </c>
      <c r="B1183" s="1">
        <v>3377705</v>
      </c>
      <c r="C1183" s="1" t="s">
        <v>26</v>
      </c>
      <c r="D1183" s="2">
        <v>45770.270138888889</v>
      </c>
      <c r="E1183" s="1" t="s">
        <v>2113</v>
      </c>
      <c r="F1183" s="1" t="s">
        <v>2113</v>
      </c>
      <c r="G1183" s="1" t="s">
        <v>273</v>
      </c>
      <c r="H1183" s="2">
        <v>45770.354861111111</v>
      </c>
      <c r="J1183" s="1" t="s">
        <v>1245</v>
      </c>
    </row>
    <row r="1184" spans="1:10" hidden="1" x14ac:dyDescent="0.25">
      <c r="A1184" s="1" t="str">
        <f>_xlfn.XLOOKUP(E1184,Base!G:G,Base!C:C,"NOVO")</f>
        <v>PENDENTE</v>
      </c>
      <c r="B1184" s="1">
        <v>3437178</v>
      </c>
      <c r="C1184" s="1" t="s">
        <v>26</v>
      </c>
      <c r="D1184" s="2">
        <v>45799.59375</v>
      </c>
      <c r="E1184" s="1" t="s">
        <v>2515</v>
      </c>
      <c r="F1184" s="1" t="s">
        <v>2515</v>
      </c>
      <c r="G1184" s="1" t="s">
        <v>620</v>
      </c>
      <c r="H1184" s="2">
        <v>45799.681944444441</v>
      </c>
      <c r="J1184" s="1" t="s">
        <v>18</v>
      </c>
    </row>
    <row r="1185" spans="1:10" hidden="1" x14ac:dyDescent="0.25">
      <c r="A1185" s="1" t="str">
        <f>_xlfn.XLOOKUP(E1185,Base!G:G,Base!C:C,"NOVO")</f>
        <v>PENDENTE</v>
      </c>
      <c r="B1185" s="1">
        <v>3418892</v>
      </c>
      <c r="C1185" s="1" t="s">
        <v>26</v>
      </c>
      <c r="D1185" s="2">
        <v>45790.774305555555</v>
      </c>
      <c r="E1185" s="1" t="s">
        <v>2339</v>
      </c>
      <c r="F1185" s="1" t="s">
        <v>2339</v>
      </c>
      <c r="G1185" s="1" t="s">
        <v>396</v>
      </c>
      <c r="H1185" s="2">
        <v>45790.870138888888</v>
      </c>
      <c r="J1185" s="1" t="s">
        <v>18</v>
      </c>
    </row>
    <row r="1186" spans="1:10" hidden="1" x14ac:dyDescent="0.25">
      <c r="A1186" s="1" t="str">
        <f>_xlfn.XLOOKUP(E1186,Base!G:G,Base!C:C,"NOVO")</f>
        <v>PENDENTE</v>
      </c>
      <c r="B1186" s="1">
        <v>3464792</v>
      </c>
      <c r="C1186" s="1" t="s">
        <v>26</v>
      </c>
      <c r="D1186" s="2">
        <v>45812.746527777781</v>
      </c>
      <c r="E1186" s="1" t="s">
        <v>2631</v>
      </c>
      <c r="F1186" s="1" t="s">
        <v>2631</v>
      </c>
      <c r="G1186" s="1" t="s">
        <v>83</v>
      </c>
      <c r="H1186" s="2">
        <v>45812.835416666669</v>
      </c>
      <c r="J1186" s="1" t="s">
        <v>18</v>
      </c>
    </row>
    <row r="1187" spans="1:10" hidden="1" x14ac:dyDescent="0.25">
      <c r="A1187" s="1" t="str">
        <f>_xlfn.XLOOKUP(E1187,Base!G:G,Base!C:C,"NOVO")</f>
        <v>PENDENTE</v>
      </c>
      <c r="B1187" s="1">
        <v>3344463</v>
      </c>
      <c r="C1187" s="1" t="s">
        <v>26</v>
      </c>
      <c r="D1187" s="2">
        <v>45750.512499999997</v>
      </c>
      <c r="E1187" s="1" t="s">
        <v>1886</v>
      </c>
      <c r="F1187" s="1" t="s">
        <v>1886</v>
      </c>
      <c r="G1187" s="1" t="s">
        <v>410</v>
      </c>
      <c r="H1187" s="2">
        <v>45750.606249999997</v>
      </c>
      <c r="J1187" s="1" t="s">
        <v>18</v>
      </c>
    </row>
    <row r="1188" spans="1:10" hidden="1" x14ac:dyDescent="0.25">
      <c r="A1188" s="1" t="str">
        <f>_xlfn.XLOOKUP(E1188,Base!G:G,Base!C:C,"NOVO")</f>
        <v>PENDENTE</v>
      </c>
      <c r="B1188" s="1">
        <v>3250291</v>
      </c>
      <c r="C1188" s="1" t="s">
        <v>26</v>
      </c>
      <c r="D1188" s="2">
        <v>45726.480555555558</v>
      </c>
      <c r="E1188" s="1" t="s">
        <v>1206</v>
      </c>
      <c r="F1188" s="1" t="s">
        <v>1206</v>
      </c>
      <c r="G1188" s="1" t="s">
        <v>169</v>
      </c>
      <c r="H1188" s="2">
        <v>45705.640972222223</v>
      </c>
      <c r="I1188" s="2">
        <v>45726.577777777777</v>
      </c>
      <c r="J1188" s="1" t="s">
        <v>18</v>
      </c>
    </row>
    <row r="1189" spans="1:10" hidden="1" x14ac:dyDescent="0.25">
      <c r="A1189" s="1" t="str">
        <f>_xlfn.XLOOKUP(E1189,Base!G:G,Base!C:C,"NOVO")</f>
        <v>PENDENTE</v>
      </c>
      <c r="B1189" s="1">
        <v>3230426</v>
      </c>
      <c r="C1189" s="1" t="s">
        <v>26</v>
      </c>
      <c r="D1189" s="2">
        <v>45694.552777777775</v>
      </c>
      <c r="E1189" s="1" t="s">
        <v>1009</v>
      </c>
      <c r="F1189" s="1" t="s">
        <v>1010</v>
      </c>
      <c r="G1189" s="1" t="s">
        <v>85</v>
      </c>
      <c r="H1189" s="2">
        <v>45694.826388888891</v>
      </c>
      <c r="I1189" s="2">
        <v>45694.944444444445</v>
      </c>
      <c r="J1189" s="1" t="s">
        <v>18</v>
      </c>
    </row>
    <row r="1190" spans="1:10" hidden="1" x14ac:dyDescent="0.25">
      <c r="A1190" s="1" t="str">
        <f>_xlfn.XLOOKUP(E1190,Base!G:G,Base!C:C,"NOVO")</f>
        <v>PENDENTE</v>
      </c>
      <c r="B1190" s="1">
        <v>3275912</v>
      </c>
      <c r="C1190" s="1" t="s">
        <v>26</v>
      </c>
      <c r="D1190" s="2">
        <v>45716.587500000001</v>
      </c>
      <c r="E1190" s="1" t="s">
        <v>1345</v>
      </c>
      <c r="F1190" s="1" t="s">
        <v>1345</v>
      </c>
      <c r="G1190" s="1" t="s">
        <v>1060</v>
      </c>
      <c r="H1190" s="2">
        <v>45716.72152777778</v>
      </c>
      <c r="J1190" s="1" t="s">
        <v>18</v>
      </c>
    </row>
    <row r="1191" spans="1:10" hidden="1" x14ac:dyDescent="0.25">
      <c r="A1191" s="1" t="str">
        <f>_xlfn.XLOOKUP(E1191,Base!G:G,Base!C:C,"NOVO")</f>
        <v>PENDENTE</v>
      </c>
      <c r="B1191" s="1">
        <v>3286793</v>
      </c>
      <c r="C1191" s="1" t="s">
        <v>26</v>
      </c>
      <c r="D1191" s="2">
        <v>45726.643750000003</v>
      </c>
      <c r="E1191" s="1" t="s">
        <v>1591</v>
      </c>
      <c r="F1191" s="1" t="s">
        <v>1591</v>
      </c>
      <c r="G1191" s="1" t="s">
        <v>588</v>
      </c>
      <c r="H1191" s="2">
        <v>45723.817361111112</v>
      </c>
      <c r="I1191" s="2">
        <v>45726.731944444444</v>
      </c>
      <c r="J1191" s="1" t="s">
        <v>14</v>
      </c>
    </row>
    <row r="1192" spans="1:10" hidden="1" x14ac:dyDescent="0.25">
      <c r="A1192" s="1" t="str">
        <f>_xlfn.XLOOKUP(E1192,Base!G:G,Base!C:C,"NOVO")</f>
        <v>PENDENTE</v>
      </c>
      <c r="B1192" s="1">
        <v>3293509</v>
      </c>
      <c r="C1192" s="1" t="s">
        <v>26</v>
      </c>
      <c r="D1192" s="2">
        <v>45727.770833333336</v>
      </c>
      <c r="E1192" s="1" t="s">
        <v>1592</v>
      </c>
      <c r="F1192" s="1" t="s">
        <v>1592</v>
      </c>
      <c r="G1192" s="1" t="s">
        <v>707</v>
      </c>
      <c r="H1192" s="2">
        <v>45727.857638888891</v>
      </c>
      <c r="J1192" s="1" t="s">
        <v>18</v>
      </c>
    </row>
    <row r="1193" spans="1:10" hidden="1" x14ac:dyDescent="0.25">
      <c r="A1193" s="1" t="str">
        <f>_xlfn.XLOOKUP(E1193,Base!G:G,Base!C:C,"NOVO")</f>
        <v>PENDENTE</v>
      </c>
      <c r="B1193" s="1">
        <v>3287115</v>
      </c>
      <c r="C1193" s="1" t="s">
        <v>26</v>
      </c>
      <c r="D1193" s="2">
        <v>45723.736805555556</v>
      </c>
      <c r="E1193" s="1" t="s">
        <v>1593</v>
      </c>
      <c r="F1193" s="1" t="s">
        <v>1593</v>
      </c>
      <c r="G1193" s="1" t="s">
        <v>620</v>
      </c>
      <c r="H1193" s="2">
        <v>45723.870138888888</v>
      </c>
      <c r="J1193" s="1" t="s">
        <v>18</v>
      </c>
    </row>
    <row r="1194" spans="1:10" hidden="1" x14ac:dyDescent="0.25">
      <c r="A1194" s="1" t="str">
        <f>_xlfn.XLOOKUP(E1194,Base!G:G,Base!C:C,"NOVO")</f>
        <v>PENDENTE</v>
      </c>
      <c r="B1194" s="1">
        <v>3281955</v>
      </c>
      <c r="C1194" s="1" t="s">
        <v>26</v>
      </c>
      <c r="D1194" s="2">
        <v>45722.301388888889</v>
      </c>
      <c r="E1194" s="1" t="s">
        <v>1346</v>
      </c>
      <c r="F1194" s="1" t="s">
        <v>1346</v>
      </c>
      <c r="G1194" s="1" t="s">
        <v>1347</v>
      </c>
      <c r="H1194" s="2">
        <v>45722.316666666666</v>
      </c>
      <c r="I1194" s="2">
        <v>45722.431944444441</v>
      </c>
      <c r="J1194" s="1" t="s">
        <v>18</v>
      </c>
    </row>
    <row r="1195" spans="1:10" hidden="1" x14ac:dyDescent="0.25">
      <c r="A1195" s="1" t="str">
        <f>_xlfn.XLOOKUP(E1195,Base!G:G,Base!C:C,"NOVO")</f>
        <v>PENDENTE</v>
      </c>
      <c r="B1195" s="1">
        <v>3280860</v>
      </c>
      <c r="C1195" s="1" t="s">
        <v>26</v>
      </c>
      <c r="D1195" s="2">
        <v>45721.525000000001</v>
      </c>
      <c r="E1195" s="1" t="s">
        <v>1348</v>
      </c>
      <c r="F1195" s="1" t="s">
        <v>1348</v>
      </c>
      <c r="G1195" s="1" t="s">
        <v>1054</v>
      </c>
      <c r="H1195" s="2">
        <v>45721.658333333333</v>
      </c>
      <c r="J1195" s="1" t="s">
        <v>18</v>
      </c>
    </row>
    <row r="1196" spans="1:10" hidden="1" x14ac:dyDescent="0.25">
      <c r="A1196" s="1" t="str">
        <f>_xlfn.XLOOKUP(E1196,Base!G:G,Base!C:C,"NOVO")</f>
        <v>PENDENTE</v>
      </c>
      <c r="B1196" s="1">
        <v>3285213</v>
      </c>
      <c r="C1196" s="1" t="s">
        <v>26</v>
      </c>
      <c r="D1196" s="2">
        <v>45723.418749999997</v>
      </c>
      <c r="E1196" s="1" t="s">
        <v>1594</v>
      </c>
      <c r="F1196" s="1" t="s">
        <v>1595</v>
      </c>
      <c r="G1196" s="1" t="s">
        <v>64</v>
      </c>
      <c r="H1196" s="2">
        <v>45723.544444444444</v>
      </c>
      <c r="J1196" s="1" t="s">
        <v>1244</v>
      </c>
    </row>
    <row r="1197" spans="1:10" hidden="1" x14ac:dyDescent="0.25">
      <c r="A1197" s="1" t="str">
        <f>_xlfn.XLOOKUP(E1197,Base!G:G,Base!C:C,"NOVO")</f>
        <v>PENDENTE</v>
      </c>
      <c r="B1197" s="1">
        <v>3415948</v>
      </c>
      <c r="C1197" s="1" t="s">
        <v>26</v>
      </c>
      <c r="D1197" s="2">
        <v>45789.773611111108</v>
      </c>
      <c r="E1197" s="1" t="s">
        <v>2340</v>
      </c>
      <c r="F1197" s="1" t="s">
        <v>2340</v>
      </c>
      <c r="G1197" s="1" t="s">
        <v>707</v>
      </c>
      <c r="H1197" s="2">
        <v>45789.865972222222</v>
      </c>
      <c r="J1197" s="1" t="s">
        <v>18</v>
      </c>
    </row>
    <row r="1198" spans="1:10" hidden="1" x14ac:dyDescent="0.25">
      <c r="A1198" s="1" t="str">
        <f>_xlfn.XLOOKUP(E1198,Base!G:G,Base!C:C,"NOVO")</f>
        <v>PENDENTE</v>
      </c>
      <c r="B1198" s="1">
        <v>3270200</v>
      </c>
      <c r="C1198" s="1" t="s">
        <v>26</v>
      </c>
      <c r="D1198" s="2">
        <v>45714.491666666669</v>
      </c>
      <c r="E1198" s="1" t="s">
        <v>1349</v>
      </c>
      <c r="F1198" s="1" t="s">
        <v>1349</v>
      </c>
      <c r="G1198" s="1" t="s">
        <v>83</v>
      </c>
      <c r="H1198" s="2">
        <v>45714.628472222219</v>
      </c>
      <c r="J1198" s="1" t="s">
        <v>18</v>
      </c>
    </row>
    <row r="1199" spans="1:10" hidden="1" x14ac:dyDescent="0.25">
      <c r="A1199" s="1" t="str">
        <f>_xlfn.XLOOKUP(E1199,Base!G:G,Base!C:C,"NOVO")</f>
        <v>PENDENTE</v>
      </c>
      <c r="B1199" s="1">
        <v>3229243</v>
      </c>
      <c r="C1199" s="1" t="s">
        <v>26</v>
      </c>
      <c r="D1199" s="2">
        <v>45694.473611111112</v>
      </c>
      <c r="E1199" s="1" t="s">
        <v>1011</v>
      </c>
      <c r="F1199" s="1" t="s">
        <v>1011</v>
      </c>
      <c r="G1199" s="1" t="s">
        <v>620</v>
      </c>
      <c r="H1199" s="2">
        <v>45694.671527777777</v>
      </c>
      <c r="I1199" s="2">
        <v>45694.913888888892</v>
      </c>
      <c r="J1199" s="1" t="s">
        <v>18</v>
      </c>
    </row>
    <row r="1200" spans="1:10" hidden="1" x14ac:dyDescent="0.25">
      <c r="A1200" s="1" t="str">
        <f>_xlfn.XLOOKUP(E1200,Base!G:G,Base!C:C,"NOVO")</f>
        <v>PENDENTE</v>
      </c>
      <c r="B1200" s="1">
        <v>3415349</v>
      </c>
      <c r="C1200" s="1" t="s">
        <v>26</v>
      </c>
      <c r="D1200" s="2">
        <v>45789.681944444441</v>
      </c>
      <c r="E1200" s="1" t="s">
        <v>2341</v>
      </c>
      <c r="F1200" s="1" t="s">
        <v>2341</v>
      </c>
      <c r="G1200" s="1" t="s">
        <v>1280</v>
      </c>
      <c r="H1200" s="2">
        <v>45789.774305555555</v>
      </c>
      <c r="J1200" s="1" t="s">
        <v>18</v>
      </c>
    </row>
    <row r="1201" spans="1:10" hidden="1" x14ac:dyDescent="0.25">
      <c r="A1201" s="1" t="str">
        <f>_xlfn.XLOOKUP(E1201,Base!G:G,Base!C:C,"NOVO")</f>
        <v>PENDENTE</v>
      </c>
      <c r="B1201" s="1">
        <v>3415954</v>
      </c>
      <c r="C1201" s="1" t="s">
        <v>26</v>
      </c>
      <c r="D1201" s="2">
        <v>45789.773611111108</v>
      </c>
      <c r="E1201" s="1" t="s">
        <v>2342</v>
      </c>
      <c r="F1201" s="1" t="s">
        <v>2342</v>
      </c>
      <c r="G1201" s="1" t="s">
        <v>707</v>
      </c>
      <c r="H1201" s="2">
        <v>45789.866666666669</v>
      </c>
      <c r="J1201" s="1" t="s">
        <v>18</v>
      </c>
    </row>
    <row r="1202" spans="1:10" hidden="1" x14ac:dyDescent="0.25">
      <c r="A1202" s="1" t="str">
        <f>_xlfn.XLOOKUP(E1202,Base!G:G,Base!C:C,"NOVO")</f>
        <v>PENDENTE</v>
      </c>
      <c r="B1202" s="1">
        <v>3447080</v>
      </c>
      <c r="C1202" s="1" t="s">
        <v>26</v>
      </c>
      <c r="D1202" s="2">
        <v>45804.768750000003</v>
      </c>
      <c r="E1202" s="1" t="s">
        <v>2516</v>
      </c>
      <c r="F1202" s="1" t="s">
        <v>2516</v>
      </c>
      <c r="G1202" s="1" t="s">
        <v>83</v>
      </c>
      <c r="H1202" s="2">
        <v>45804.855555555558</v>
      </c>
      <c r="J1202" s="1" t="s">
        <v>18</v>
      </c>
    </row>
    <row r="1203" spans="1:10" hidden="1" x14ac:dyDescent="0.25">
      <c r="A1203" s="1" t="str">
        <f>_xlfn.XLOOKUP(E1203,Base!G:G,Base!C:C,"NOVO")</f>
        <v>PENDENTE</v>
      </c>
      <c r="B1203" s="1">
        <v>3382669</v>
      </c>
      <c r="C1203" s="1" t="s">
        <v>26</v>
      </c>
      <c r="D1203" s="2">
        <v>45771.760416666664</v>
      </c>
      <c r="E1203" s="1" t="s">
        <v>2114</v>
      </c>
      <c r="F1203" s="1" t="s">
        <v>2114</v>
      </c>
      <c r="G1203" s="1" t="s">
        <v>83</v>
      </c>
      <c r="H1203" s="2">
        <v>45771.84652777778</v>
      </c>
      <c r="J1203" s="1" t="s">
        <v>18</v>
      </c>
    </row>
    <row r="1204" spans="1:10" hidden="1" x14ac:dyDescent="0.25">
      <c r="A1204" s="1" t="str">
        <f>_xlfn.XLOOKUP(E1204,Base!G:G,Base!C:C,"NOVO")</f>
        <v>PENDENTE</v>
      </c>
      <c r="B1204" s="1">
        <v>3248152</v>
      </c>
      <c r="C1204" s="1" t="s">
        <v>26</v>
      </c>
      <c r="D1204" s="2">
        <v>45705.503472222219</v>
      </c>
      <c r="E1204" s="1" t="s">
        <v>1207</v>
      </c>
      <c r="F1204" s="1" t="s">
        <v>1207</v>
      </c>
      <c r="G1204" s="1" t="s">
        <v>408</v>
      </c>
      <c r="H1204" s="2">
        <v>45702.773611111108</v>
      </c>
      <c r="I1204" s="2">
        <v>45705.638888888891</v>
      </c>
      <c r="J1204" s="1" t="s">
        <v>18</v>
      </c>
    </row>
    <row r="1205" spans="1:10" hidden="1" x14ac:dyDescent="0.25">
      <c r="A1205" s="1" t="str">
        <f>_xlfn.XLOOKUP(E1205,Base!G:G,Base!C:C,"NOVO")</f>
        <v>PENDENTE</v>
      </c>
      <c r="B1205" s="1">
        <v>3230559</v>
      </c>
      <c r="C1205" s="1" t="s">
        <v>26</v>
      </c>
      <c r="D1205" s="2">
        <v>45695.270833333336</v>
      </c>
      <c r="E1205" s="1" t="s">
        <v>1012</v>
      </c>
      <c r="F1205" s="1" t="s">
        <v>1012</v>
      </c>
      <c r="G1205" s="1" t="s">
        <v>692</v>
      </c>
      <c r="H1205" s="2">
        <v>45694.916666666664</v>
      </c>
      <c r="I1205" s="2">
        <v>45695.399305555555</v>
      </c>
      <c r="J1205" s="1" t="s">
        <v>18</v>
      </c>
    </row>
    <row r="1206" spans="1:10" hidden="1" x14ac:dyDescent="0.25">
      <c r="A1206" s="1" t="str">
        <f>_xlfn.XLOOKUP(E1206,Base!G:G,Base!C:C,"NOVO")</f>
        <v>PENDENTE</v>
      </c>
      <c r="B1206" s="1">
        <v>3405528</v>
      </c>
      <c r="C1206" s="1" t="s">
        <v>26</v>
      </c>
      <c r="D1206" s="2">
        <v>45784.415277777778</v>
      </c>
      <c r="E1206" s="1" t="s">
        <v>2265</v>
      </c>
      <c r="F1206" s="1" t="s">
        <v>2265</v>
      </c>
      <c r="G1206" s="1" t="s">
        <v>396</v>
      </c>
      <c r="H1206" s="2">
        <v>45784.50277777778</v>
      </c>
      <c r="J1206" s="1" t="s">
        <v>18</v>
      </c>
    </row>
    <row r="1207" spans="1:10" hidden="1" x14ac:dyDescent="0.25">
      <c r="A1207" s="1" t="str">
        <f>_xlfn.XLOOKUP(E1207,Base!G:G,Base!C:C,"NOVO")</f>
        <v>PENDENTE</v>
      </c>
      <c r="B1207" s="1">
        <v>3447081</v>
      </c>
      <c r="C1207" s="1" t="s">
        <v>26</v>
      </c>
      <c r="D1207" s="2">
        <v>45804.768750000003</v>
      </c>
      <c r="E1207" s="1" t="s">
        <v>2517</v>
      </c>
      <c r="F1207" s="1" t="s">
        <v>2517</v>
      </c>
      <c r="G1207" s="1" t="s">
        <v>396</v>
      </c>
      <c r="H1207" s="2">
        <v>45804.856249999997</v>
      </c>
      <c r="J1207" s="1" t="s">
        <v>18</v>
      </c>
    </row>
    <row r="1208" spans="1:10" hidden="1" x14ac:dyDescent="0.25">
      <c r="A1208" s="1" t="str">
        <f>_xlfn.XLOOKUP(E1208,Base!G:G,Base!C:C,"NOVO")</f>
        <v>PENDENTE</v>
      </c>
      <c r="B1208" s="1">
        <v>3241113</v>
      </c>
      <c r="C1208" s="1" t="s">
        <v>26</v>
      </c>
      <c r="D1208" s="2">
        <v>45700.390277777777</v>
      </c>
      <c r="E1208" s="1" t="s">
        <v>1208</v>
      </c>
      <c r="F1208" s="1" t="s">
        <v>1209</v>
      </c>
      <c r="G1208" s="1" t="s">
        <v>64</v>
      </c>
      <c r="H1208" s="2">
        <v>45700.522916666669</v>
      </c>
      <c r="J1208" s="1" t="s">
        <v>1244</v>
      </c>
    </row>
    <row r="1209" spans="1:10" hidden="1" x14ac:dyDescent="0.25">
      <c r="A1209" s="1" t="str">
        <f>_xlfn.XLOOKUP(E1209,Base!G:G,Base!C:C,"NOVO")</f>
        <v>PENDENTE</v>
      </c>
      <c r="B1209" s="1">
        <v>3364398</v>
      </c>
      <c r="C1209" s="1" t="s">
        <v>26</v>
      </c>
      <c r="D1209" s="2">
        <v>45761.615277777775</v>
      </c>
      <c r="E1209" s="1" t="s">
        <v>2115</v>
      </c>
      <c r="F1209" s="1" t="s">
        <v>2115</v>
      </c>
      <c r="G1209" s="1" t="s">
        <v>409</v>
      </c>
      <c r="H1209" s="2">
        <v>45761.70208333333</v>
      </c>
      <c r="J1209" s="1" t="s">
        <v>18</v>
      </c>
    </row>
    <row r="1210" spans="1:10" hidden="1" x14ac:dyDescent="0.25">
      <c r="A1210" s="1" t="str">
        <f>_xlfn.XLOOKUP(E1210,Base!G:G,Base!C:C,"NOVO")</f>
        <v>PENDENTE</v>
      </c>
      <c r="B1210" s="1">
        <v>3243939</v>
      </c>
      <c r="C1210" s="1" t="s">
        <v>26</v>
      </c>
      <c r="D1210" s="2">
        <v>45713.268750000003</v>
      </c>
      <c r="E1210" s="1" t="s">
        <v>1210</v>
      </c>
      <c r="F1210" s="1" t="s">
        <v>1210</v>
      </c>
      <c r="G1210" s="1" t="s">
        <v>589</v>
      </c>
      <c r="H1210" s="2">
        <v>45701.513888888891</v>
      </c>
      <c r="I1210" s="2">
        <v>45713.40625</v>
      </c>
      <c r="J1210" s="1" t="s">
        <v>18</v>
      </c>
    </row>
    <row r="1211" spans="1:10" hidden="1" x14ac:dyDescent="0.25">
      <c r="A1211" s="1" t="str">
        <f>_xlfn.XLOOKUP(E1211,Base!G:G,Base!C:C,"NOVO")</f>
        <v>PENDENTE</v>
      </c>
      <c r="B1211" s="1">
        <v>3417828</v>
      </c>
      <c r="C1211" s="1" t="s">
        <v>26</v>
      </c>
      <c r="D1211" s="2">
        <v>45790.774305555555</v>
      </c>
      <c r="E1211" s="1" t="s">
        <v>2343</v>
      </c>
      <c r="F1211" s="1" t="s">
        <v>2343</v>
      </c>
      <c r="G1211" s="1" t="s">
        <v>83</v>
      </c>
      <c r="H1211" s="2">
        <v>45790.75277777778</v>
      </c>
      <c r="I1211" s="2">
        <v>45790.868750000001</v>
      </c>
      <c r="J1211" s="1" t="s">
        <v>18</v>
      </c>
    </row>
    <row r="1212" spans="1:10" hidden="1" x14ac:dyDescent="0.25">
      <c r="A1212" s="1" t="str">
        <f>_xlfn.XLOOKUP(E1212,Base!G:G,Base!C:C,"NOVO")</f>
        <v>PENDENTE</v>
      </c>
      <c r="B1212" s="1">
        <v>3229244</v>
      </c>
      <c r="C1212" s="1" t="s">
        <v>26</v>
      </c>
      <c r="D1212" s="2">
        <v>45694.473611111112</v>
      </c>
      <c r="E1212" s="1" t="s">
        <v>1013</v>
      </c>
      <c r="F1212" s="1" t="s">
        <v>1013</v>
      </c>
      <c r="G1212" s="1" t="s">
        <v>620</v>
      </c>
      <c r="H1212" s="2">
        <v>45694.671527777777</v>
      </c>
      <c r="I1212" s="2">
        <v>45694.913888888892</v>
      </c>
      <c r="J1212" s="1" t="s">
        <v>18</v>
      </c>
    </row>
    <row r="1213" spans="1:10" hidden="1" x14ac:dyDescent="0.25">
      <c r="A1213" s="1" t="str">
        <f>_xlfn.XLOOKUP(E1213,Base!G:G,Base!C:C,"NOVO")</f>
        <v>PENDENTE</v>
      </c>
      <c r="B1213" s="1">
        <v>3290308</v>
      </c>
      <c r="C1213" s="1" t="s">
        <v>26</v>
      </c>
      <c r="D1213" s="2">
        <v>45727.479166666664</v>
      </c>
      <c r="E1213" s="1" t="s">
        <v>1596</v>
      </c>
      <c r="F1213" s="1" t="s">
        <v>1596</v>
      </c>
      <c r="G1213" s="1" t="s">
        <v>1054</v>
      </c>
      <c r="H1213" s="2">
        <v>45726.849305555559</v>
      </c>
      <c r="I1213" s="2">
        <v>45727.56527777778</v>
      </c>
      <c r="J1213" s="1" t="s">
        <v>18</v>
      </c>
    </row>
    <row r="1214" spans="1:10" hidden="1" x14ac:dyDescent="0.25">
      <c r="A1214" s="1" t="str">
        <f>_xlfn.XLOOKUP(E1214,Base!G:G,Base!C:C,"NOVO")</f>
        <v>PENDENTE</v>
      </c>
      <c r="B1214" s="1">
        <v>3286794</v>
      </c>
      <c r="C1214" s="1" t="s">
        <v>26</v>
      </c>
      <c r="D1214" s="2">
        <v>45726.643750000003</v>
      </c>
      <c r="E1214" s="1" t="s">
        <v>1597</v>
      </c>
      <c r="F1214" s="1" t="s">
        <v>1597</v>
      </c>
      <c r="G1214" s="1" t="s">
        <v>1189</v>
      </c>
      <c r="H1214" s="2">
        <v>45723.817361111112</v>
      </c>
      <c r="I1214" s="2">
        <v>45726.731944444444</v>
      </c>
      <c r="J1214" s="1" t="s">
        <v>18</v>
      </c>
    </row>
    <row r="1215" spans="1:10" hidden="1" x14ac:dyDescent="0.25">
      <c r="A1215" s="1" t="str">
        <f>_xlfn.XLOOKUP(E1215,Base!G:G,Base!C:C,"NOVO")</f>
        <v>PENDENTE</v>
      </c>
      <c r="B1215" s="1">
        <v>3255185</v>
      </c>
      <c r="C1215" s="1" t="s">
        <v>26</v>
      </c>
      <c r="D1215" s="2">
        <v>45707.217361111114</v>
      </c>
      <c r="E1215" s="1" t="s">
        <v>1211</v>
      </c>
      <c r="F1215" s="1" t="s">
        <v>1211</v>
      </c>
      <c r="G1215" s="1" t="s">
        <v>83</v>
      </c>
      <c r="H1215" s="2">
        <v>45707.347916666666</v>
      </c>
      <c r="J1215" s="1" t="s">
        <v>18</v>
      </c>
    </row>
    <row r="1216" spans="1:10" hidden="1" x14ac:dyDescent="0.25">
      <c r="A1216" s="1" t="str">
        <f>_xlfn.XLOOKUP(E1216,Base!G:G,Base!C:C,"NOVO")</f>
        <v>PENDENTE</v>
      </c>
      <c r="B1216" s="1">
        <v>3468304</v>
      </c>
      <c r="C1216" s="1" t="s">
        <v>26</v>
      </c>
      <c r="D1216" s="2">
        <v>45814.416666666664</v>
      </c>
      <c r="E1216" s="1" t="s">
        <v>2632</v>
      </c>
      <c r="F1216" s="1" t="s">
        <v>2632</v>
      </c>
      <c r="G1216" s="1" t="s">
        <v>396</v>
      </c>
      <c r="H1216" s="2">
        <v>45814.502083333333</v>
      </c>
      <c r="J1216" s="1" t="s">
        <v>18</v>
      </c>
    </row>
    <row r="1217" spans="1:10" hidden="1" x14ac:dyDescent="0.25">
      <c r="A1217" s="1" t="str">
        <f>_xlfn.XLOOKUP(E1217,Base!G:G,Base!C:C,"NOVO")</f>
        <v>PENDENTE</v>
      </c>
      <c r="B1217" s="1">
        <v>3373073</v>
      </c>
      <c r="C1217" s="1" t="s">
        <v>26</v>
      </c>
      <c r="D1217" s="2">
        <v>45769.32916666667</v>
      </c>
      <c r="E1217" s="1" t="s">
        <v>2116</v>
      </c>
      <c r="F1217" s="1" t="s">
        <v>2117</v>
      </c>
      <c r="G1217" s="1" t="s">
        <v>101</v>
      </c>
      <c r="H1217" s="2">
        <v>45764.743750000001</v>
      </c>
      <c r="I1217" s="2">
        <v>45769.420138888891</v>
      </c>
      <c r="J1217" s="1" t="s">
        <v>1244</v>
      </c>
    </row>
    <row r="1218" spans="1:10" hidden="1" x14ac:dyDescent="0.25">
      <c r="A1218" s="1" t="str">
        <f>_xlfn.XLOOKUP(E1218,Base!G:G,Base!C:C,"NOVO")</f>
        <v>PENDENTE</v>
      </c>
      <c r="B1218" s="1">
        <v>3435081</v>
      </c>
      <c r="C1218" s="1" t="s">
        <v>26</v>
      </c>
      <c r="D1218" s="2">
        <v>45798.652083333334</v>
      </c>
      <c r="E1218" s="1" t="s">
        <v>2518</v>
      </c>
      <c r="F1218" s="1" t="s">
        <v>2518</v>
      </c>
      <c r="G1218" s="1" t="s">
        <v>620</v>
      </c>
      <c r="H1218" s="2">
        <v>45798.743055555555</v>
      </c>
      <c r="J1218" s="1" t="s">
        <v>18</v>
      </c>
    </row>
    <row r="1219" spans="1:10" hidden="1" x14ac:dyDescent="0.25">
      <c r="A1219" s="1" t="str">
        <f>_xlfn.XLOOKUP(E1219,Base!G:G,Base!C:C,"NOVO")</f>
        <v>PENDENTE</v>
      </c>
      <c r="B1219" s="1">
        <v>3467043</v>
      </c>
      <c r="C1219" s="1" t="s">
        <v>26</v>
      </c>
      <c r="D1219" s="2">
        <v>45817.502083333333</v>
      </c>
      <c r="E1219" s="1" t="s">
        <v>2633</v>
      </c>
      <c r="F1219" s="1" t="s">
        <v>2634</v>
      </c>
      <c r="G1219" s="1" t="s">
        <v>64</v>
      </c>
      <c r="H1219" s="2">
        <v>45813.771527777775</v>
      </c>
      <c r="I1219" s="2">
        <v>45817.59375</v>
      </c>
      <c r="J1219" s="1" t="s">
        <v>1244</v>
      </c>
    </row>
    <row r="1220" spans="1:10" hidden="1" x14ac:dyDescent="0.25">
      <c r="A1220" s="1" t="str">
        <f>_xlfn.XLOOKUP(E1220,Base!G:G,Base!C:C,"NOVO")</f>
        <v>PENDENTE</v>
      </c>
      <c r="B1220" s="1">
        <v>3239939</v>
      </c>
      <c r="C1220" s="1" t="s">
        <v>26</v>
      </c>
      <c r="D1220" s="2">
        <v>45699.648611111108</v>
      </c>
      <c r="E1220" s="1" t="s">
        <v>1212</v>
      </c>
      <c r="F1220" s="1" t="s">
        <v>1213</v>
      </c>
      <c r="G1220" s="1" t="s">
        <v>64</v>
      </c>
      <c r="H1220" s="2">
        <v>45699.782638888886</v>
      </c>
      <c r="J1220" s="1" t="s">
        <v>1244</v>
      </c>
    </row>
    <row r="1221" spans="1:10" hidden="1" x14ac:dyDescent="0.25">
      <c r="A1221" s="1" t="str">
        <f>_xlfn.XLOOKUP(E1221,Base!G:G,Base!C:C,"NOVO")</f>
        <v>PENDENTE</v>
      </c>
      <c r="B1221" s="1">
        <v>3233358</v>
      </c>
      <c r="C1221" s="1" t="s">
        <v>26</v>
      </c>
      <c r="D1221" s="2">
        <v>45695.722916666666</v>
      </c>
      <c r="E1221" s="1" t="s">
        <v>1015</v>
      </c>
      <c r="F1221" s="1" t="s">
        <v>1015</v>
      </c>
      <c r="G1221" s="1" t="s">
        <v>83</v>
      </c>
      <c r="H1221" s="2">
        <v>45695.868055555555</v>
      </c>
      <c r="J1221" s="1" t="s">
        <v>18</v>
      </c>
    </row>
    <row r="1222" spans="1:10" hidden="1" x14ac:dyDescent="0.25">
      <c r="A1222" s="1" t="str">
        <f>_xlfn.XLOOKUP(E1222,Base!G:G,Base!C:C,"NOVO")</f>
        <v>PENDENTE</v>
      </c>
      <c r="B1222" s="1">
        <v>3424344</v>
      </c>
      <c r="C1222" s="1" t="s">
        <v>26</v>
      </c>
      <c r="D1222" s="2">
        <v>45792.761111111111</v>
      </c>
      <c r="E1222" s="1" t="s">
        <v>2519</v>
      </c>
      <c r="F1222" s="1" t="s">
        <v>2519</v>
      </c>
      <c r="G1222" s="1" t="s">
        <v>83</v>
      </c>
      <c r="H1222" s="2">
        <v>45792.856944444444</v>
      </c>
      <c r="J1222" s="1" t="s">
        <v>18</v>
      </c>
    </row>
    <row r="1223" spans="1:10" hidden="1" x14ac:dyDescent="0.25">
      <c r="A1223" s="1" t="str">
        <f>_xlfn.XLOOKUP(E1223,Base!G:G,Base!C:C,"NOVO")</f>
        <v>PENDENTE</v>
      </c>
      <c r="B1223" s="1">
        <v>3419799</v>
      </c>
      <c r="C1223" s="1" t="s">
        <v>26</v>
      </c>
      <c r="D1223" s="2">
        <v>45791.468055555553</v>
      </c>
      <c r="E1223" s="1" t="s">
        <v>2344</v>
      </c>
      <c r="F1223" s="1" t="s">
        <v>2344</v>
      </c>
      <c r="G1223" s="1" t="s">
        <v>707</v>
      </c>
      <c r="H1223" s="2">
        <v>45791.556944444441</v>
      </c>
      <c r="J1223" s="1" t="s">
        <v>18</v>
      </c>
    </row>
    <row r="1224" spans="1:10" hidden="1" x14ac:dyDescent="0.25">
      <c r="A1224" s="1" t="str">
        <f>_xlfn.XLOOKUP(E1224,Base!G:G,Base!C:C,"NOVO")</f>
        <v>PENDENTE</v>
      </c>
      <c r="B1224" s="1">
        <v>3462989</v>
      </c>
      <c r="C1224" s="1" t="s">
        <v>26</v>
      </c>
      <c r="D1224" s="2">
        <v>45812.405555555553</v>
      </c>
      <c r="E1224" s="1" t="s">
        <v>2635</v>
      </c>
      <c r="F1224" s="1" t="s">
        <v>2635</v>
      </c>
      <c r="G1224" s="1" t="s">
        <v>746</v>
      </c>
      <c r="H1224" s="2">
        <v>45812.490972222222</v>
      </c>
      <c r="J1224" s="1" t="s">
        <v>18</v>
      </c>
    </row>
    <row r="1225" spans="1:10" hidden="1" x14ac:dyDescent="0.25">
      <c r="A1225" s="1" t="str">
        <f>_xlfn.XLOOKUP(E1225,Base!G:G,Base!C:C,"NOVO")</f>
        <v>PENDENTE</v>
      </c>
      <c r="B1225" s="1">
        <v>3462991</v>
      </c>
      <c r="C1225" s="1" t="s">
        <v>26</v>
      </c>
      <c r="D1225" s="2">
        <v>45812.405555555553</v>
      </c>
      <c r="E1225" s="1" t="s">
        <v>2636</v>
      </c>
      <c r="F1225" s="1" t="s">
        <v>2636</v>
      </c>
      <c r="G1225" s="1" t="s">
        <v>746</v>
      </c>
      <c r="H1225" s="2">
        <v>45812.490972222222</v>
      </c>
      <c r="J1225" s="1" t="s">
        <v>18</v>
      </c>
    </row>
    <row r="1226" spans="1:10" hidden="1" x14ac:dyDescent="0.25">
      <c r="A1226" s="1" t="str">
        <f>_xlfn.XLOOKUP(E1226,Base!G:G,Base!C:C,"NOVO")</f>
        <v>PENDENTE</v>
      </c>
      <c r="B1226" s="1">
        <v>3374900</v>
      </c>
      <c r="C1226" s="1" t="s">
        <v>26</v>
      </c>
      <c r="D1226" s="2">
        <v>45769.284722222219</v>
      </c>
      <c r="E1226" s="1" t="s">
        <v>2118</v>
      </c>
      <c r="F1226" s="1" t="s">
        <v>2119</v>
      </c>
      <c r="G1226" s="1" t="s">
        <v>519</v>
      </c>
      <c r="H1226" s="2">
        <v>45769.376388888886</v>
      </c>
      <c r="J1226" s="1" t="s">
        <v>19</v>
      </c>
    </row>
    <row r="1227" spans="1:10" hidden="1" x14ac:dyDescent="0.25">
      <c r="A1227" s="1" t="str">
        <f>_xlfn.XLOOKUP(E1227,Base!G:G,Base!C:C,"NOVO")</f>
        <v>PENDENTE</v>
      </c>
      <c r="B1227" s="1">
        <v>3394211</v>
      </c>
      <c r="C1227" s="1" t="s">
        <v>26</v>
      </c>
      <c r="D1227" s="2">
        <v>45796.772916666669</v>
      </c>
      <c r="E1227" s="1" t="s">
        <v>2266</v>
      </c>
      <c r="F1227" s="1" t="s">
        <v>2266</v>
      </c>
      <c r="G1227" s="1" t="s">
        <v>2267</v>
      </c>
      <c r="H1227" s="2">
        <v>45777.845138888886</v>
      </c>
      <c r="I1227" s="2">
        <v>45796.867361111108</v>
      </c>
      <c r="J1227" s="1" t="s">
        <v>18</v>
      </c>
    </row>
    <row r="1228" spans="1:10" hidden="1" x14ac:dyDescent="0.25">
      <c r="A1228" s="1" t="str">
        <f>_xlfn.XLOOKUP(E1228,Base!G:G,Base!C:C,"NOVO")</f>
        <v>PENDENTE</v>
      </c>
      <c r="B1228" s="1">
        <v>3411410</v>
      </c>
      <c r="C1228" s="1" t="s">
        <v>26</v>
      </c>
      <c r="D1228" s="2">
        <v>45786.479166666664</v>
      </c>
      <c r="E1228" s="1" t="s">
        <v>2345</v>
      </c>
      <c r="F1228" s="1" t="s">
        <v>2345</v>
      </c>
      <c r="G1228" s="1" t="s">
        <v>396</v>
      </c>
      <c r="H1228" s="2">
        <v>45786.563888888886</v>
      </c>
      <c r="J1228" s="1" t="s">
        <v>18</v>
      </c>
    </row>
    <row r="1229" spans="1:10" hidden="1" x14ac:dyDescent="0.25">
      <c r="A1229" s="1" t="str">
        <f>_xlfn.XLOOKUP(E1229,Base!G:G,Base!C:C,"NOVO")</f>
        <v>PENDENTE</v>
      </c>
      <c r="B1229" s="1">
        <v>3228600</v>
      </c>
      <c r="C1229" s="1" t="s">
        <v>26</v>
      </c>
      <c r="D1229" s="2">
        <v>45694.273611111108</v>
      </c>
      <c r="E1229" s="1" t="s">
        <v>1016</v>
      </c>
      <c r="F1229" s="1" t="s">
        <v>1016</v>
      </c>
      <c r="G1229" s="1" t="s">
        <v>692</v>
      </c>
      <c r="H1229" s="2">
        <v>45694.461805555555</v>
      </c>
      <c r="I1229" s="2">
        <v>45694.942361111112</v>
      </c>
      <c r="J1229" s="1" t="s">
        <v>18</v>
      </c>
    </row>
    <row r="1230" spans="1:10" hidden="1" x14ac:dyDescent="0.25">
      <c r="A1230" s="1" t="str">
        <f>_xlfn.XLOOKUP(E1230,Base!G:G,Base!C:C,"NOVO")</f>
        <v>PENDENTE</v>
      </c>
      <c r="B1230" s="1">
        <v>3228602</v>
      </c>
      <c r="C1230" s="1" t="s">
        <v>26</v>
      </c>
      <c r="D1230" s="2">
        <v>45694.273611111108</v>
      </c>
      <c r="E1230" s="1" t="s">
        <v>1017</v>
      </c>
      <c r="F1230" s="1" t="s">
        <v>1016</v>
      </c>
      <c r="G1230" s="1" t="s">
        <v>898</v>
      </c>
      <c r="H1230" s="2">
        <v>45694.461805555555</v>
      </c>
      <c r="I1230" s="2">
        <v>45694.942361111112</v>
      </c>
      <c r="J1230" s="1" t="s">
        <v>18</v>
      </c>
    </row>
    <row r="1231" spans="1:10" hidden="1" x14ac:dyDescent="0.25">
      <c r="A1231" s="1" t="str">
        <f>_xlfn.XLOOKUP(E1231,Base!G:G,Base!C:C,"NOVO")</f>
        <v>PENDENTE</v>
      </c>
      <c r="B1231" s="1">
        <v>3314833</v>
      </c>
      <c r="C1231" s="1" t="s">
        <v>26</v>
      </c>
      <c r="D1231" s="2">
        <v>45736.708333333336</v>
      </c>
      <c r="E1231" s="1" t="s">
        <v>1887</v>
      </c>
      <c r="F1231" s="1" t="s">
        <v>1887</v>
      </c>
      <c r="G1231" s="1" t="s">
        <v>652</v>
      </c>
      <c r="H1231" s="2">
        <v>45736.796527777777</v>
      </c>
      <c r="J1231" s="1" t="s">
        <v>18</v>
      </c>
    </row>
    <row r="1232" spans="1:10" hidden="1" x14ac:dyDescent="0.25">
      <c r="A1232" s="1" t="str">
        <f>_xlfn.XLOOKUP(E1232,Base!G:G,Base!C:C,"NOVO")</f>
        <v>PENDENTE</v>
      </c>
      <c r="B1232" s="1">
        <v>3415950</v>
      </c>
      <c r="C1232" s="1" t="s">
        <v>26</v>
      </c>
      <c r="D1232" s="2">
        <v>45789.773611111108</v>
      </c>
      <c r="E1232" s="1" t="s">
        <v>2346</v>
      </c>
      <c r="F1232" s="1" t="s">
        <v>2346</v>
      </c>
      <c r="G1232" s="1" t="s">
        <v>707</v>
      </c>
      <c r="H1232" s="2">
        <v>45789.865972222222</v>
      </c>
      <c r="J1232" s="1" t="s">
        <v>18</v>
      </c>
    </row>
    <row r="1233" spans="1:10" x14ac:dyDescent="0.25">
      <c r="A1233" s="1" t="str">
        <f>_xlfn.XLOOKUP(E1233,Base!G:G,Base!C:C,"NOVO")</f>
        <v>PENDENTE</v>
      </c>
      <c r="B1233" s="1">
        <v>3476374</v>
      </c>
      <c r="C1233" s="1" t="s">
        <v>26</v>
      </c>
      <c r="D1233" s="2">
        <v>45819.615972222222</v>
      </c>
      <c r="E1233" s="1" t="s">
        <v>2757</v>
      </c>
      <c r="F1233" s="1" t="s">
        <v>2758</v>
      </c>
      <c r="G1233" s="1" t="s">
        <v>2731</v>
      </c>
      <c r="H1233" s="2">
        <v>45819.48333333333</v>
      </c>
      <c r="I1233" s="2">
        <v>45819.700694444444</v>
      </c>
      <c r="J1233" s="1" t="s">
        <v>14</v>
      </c>
    </row>
    <row r="1234" spans="1:10" hidden="1" x14ac:dyDescent="0.25">
      <c r="A1234" s="1" t="str">
        <f>_xlfn.XLOOKUP(E1234,Base!G:G,Base!C:C,"NOVO")</f>
        <v>PENDENTE</v>
      </c>
      <c r="B1234" s="1">
        <v>3280215</v>
      </c>
      <c r="C1234" s="1" t="s">
        <v>26</v>
      </c>
      <c r="D1234" s="2">
        <v>45721.29583333333</v>
      </c>
      <c r="E1234" s="1" t="s">
        <v>1350</v>
      </c>
      <c r="F1234" s="1" t="s">
        <v>1351</v>
      </c>
      <c r="G1234" s="1" t="s">
        <v>64</v>
      </c>
      <c r="H1234" s="2">
        <v>45721.529166666667</v>
      </c>
      <c r="J1234" s="1" t="s">
        <v>1244</v>
      </c>
    </row>
    <row r="1235" spans="1:10" hidden="1" x14ac:dyDescent="0.25">
      <c r="A1235" s="1" t="str">
        <f>_xlfn.XLOOKUP(E1235,Base!G:G,Base!C:C,"NOVO")</f>
        <v>PENDENTE</v>
      </c>
      <c r="B1235" s="1">
        <v>3433981</v>
      </c>
      <c r="C1235" s="1" t="s">
        <v>26</v>
      </c>
      <c r="D1235" s="2">
        <v>45798.463888888888</v>
      </c>
      <c r="E1235" s="1" t="s">
        <v>2520</v>
      </c>
      <c r="F1235" s="1" t="s">
        <v>2520</v>
      </c>
      <c r="G1235" s="1" t="s">
        <v>396</v>
      </c>
      <c r="H1235" s="2">
        <v>45798.554861111108</v>
      </c>
      <c r="J1235" s="1" t="s">
        <v>18</v>
      </c>
    </row>
    <row r="1236" spans="1:10" hidden="1" x14ac:dyDescent="0.25">
      <c r="A1236" s="1" t="str">
        <f>_xlfn.XLOOKUP(E1236,Base!G:G,Base!C:C,"NOVO")</f>
        <v>PENDENTE</v>
      </c>
      <c r="B1236" s="1">
        <v>3462814</v>
      </c>
      <c r="C1236" s="1" t="s">
        <v>26</v>
      </c>
      <c r="D1236" s="2">
        <v>45812.310416666667</v>
      </c>
      <c r="E1236" s="1" t="s">
        <v>2637</v>
      </c>
      <c r="F1236" s="1" t="s">
        <v>2637</v>
      </c>
      <c r="G1236" s="1" t="s">
        <v>273</v>
      </c>
      <c r="H1236" s="2">
        <v>45812.396527777775</v>
      </c>
      <c r="J1236" s="1" t="s">
        <v>1245</v>
      </c>
    </row>
    <row r="1237" spans="1:10" hidden="1" x14ac:dyDescent="0.25">
      <c r="A1237" s="1" t="str">
        <f>_xlfn.XLOOKUP(E1237,Base!G:G,Base!C:C,"NOVO")</f>
        <v>PENDENTE</v>
      </c>
      <c r="B1237" s="1">
        <v>3281126</v>
      </c>
      <c r="C1237" s="1" t="s">
        <v>26</v>
      </c>
      <c r="D1237" s="2">
        <v>45721.612500000003</v>
      </c>
      <c r="E1237" s="1" t="s">
        <v>1352</v>
      </c>
      <c r="F1237" s="1" t="s">
        <v>1352</v>
      </c>
      <c r="G1237" s="1" t="s">
        <v>707</v>
      </c>
      <c r="H1237" s="2">
        <v>45721.741666666669</v>
      </c>
      <c r="J1237" s="1" t="s">
        <v>18</v>
      </c>
    </row>
    <row r="1238" spans="1:10" hidden="1" x14ac:dyDescent="0.25">
      <c r="A1238" s="1" t="str">
        <f>_xlfn.XLOOKUP(E1238,Base!G:G,Base!C:C,"NOVO")</f>
        <v>PENDENTE</v>
      </c>
      <c r="B1238" s="1">
        <v>3373569</v>
      </c>
      <c r="C1238" s="1" t="s">
        <v>26</v>
      </c>
      <c r="D1238" s="2">
        <v>45764.768750000003</v>
      </c>
      <c r="E1238" s="1" t="s">
        <v>2120</v>
      </c>
      <c r="F1238" s="1" t="s">
        <v>2120</v>
      </c>
      <c r="G1238" s="1" t="s">
        <v>707</v>
      </c>
      <c r="H1238" s="2">
        <v>45764.856249999997</v>
      </c>
      <c r="J1238" s="1" t="s">
        <v>18</v>
      </c>
    </row>
    <row r="1239" spans="1:10" hidden="1" x14ac:dyDescent="0.25">
      <c r="A1239" s="1" t="str">
        <f>_xlfn.XLOOKUP(E1239,Base!G:G,Base!C:C,"NOVO")</f>
        <v>PENDENTE</v>
      </c>
      <c r="B1239" s="1">
        <v>3249479</v>
      </c>
      <c r="C1239" s="1" t="s">
        <v>26</v>
      </c>
      <c r="D1239" s="2">
        <v>45705.272222222222</v>
      </c>
      <c r="E1239" s="1" t="s">
        <v>1214</v>
      </c>
      <c r="F1239" s="1" t="s">
        <v>1214</v>
      </c>
      <c r="G1239" s="1" t="s">
        <v>1215</v>
      </c>
      <c r="H1239" s="2">
        <v>45705.397916666669</v>
      </c>
      <c r="J1239" s="1" t="s">
        <v>18</v>
      </c>
    </row>
    <row r="1240" spans="1:10" hidden="1" x14ac:dyDescent="0.25">
      <c r="A1240" s="1" t="str">
        <f>_xlfn.XLOOKUP(E1240,Base!G:G,Base!C:C,"NOVO")</f>
        <v>PENDENTE</v>
      </c>
      <c r="B1240" s="1">
        <v>3354575</v>
      </c>
      <c r="C1240" s="1" t="s">
        <v>26</v>
      </c>
      <c r="D1240" s="2">
        <v>45756.488194444442</v>
      </c>
      <c r="E1240" s="1" t="s">
        <v>1888</v>
      </c>
      <c r="F1240" s="1" t="s">
        <v>1888</v>
      </c>
      <c r="G1240" s="1" t="s">
        <v>652</v>
      </c>
      <c r="H1240" s="2">
        <v>45755.835416666669</v>
      </c>
      <c r="I1240" s="2">
        <v>45756.574305555558</v>
      </c>
      <c r="J1240" s="1" t="s">
        <v>18</v>
      </c>
    </row>
    <row r="1241" spans="1:10" hidden="1" x14ac:dyDescent="0.25">
      <c r="A1241" s="1" t="str">
        <f>_xlfn.XLOOKUP(E1241,Base!G:G,Base!C:C,"NOVO")</f>
        <v>PENDENTE</v>
      </c>
      <c r="B1241" s="1">
        <v>3361622</v>
      </c>
      <c r="C1241" s="1" t="s">
        <v>26</v>
      </c>
      <c r="D1241" s="2">
        <v>45758.724999999999</v>
      </c>
      <c r="E1241" s="1" t="s">
        <v>2121</v>
      </c>
      <c r="F1241" s="1" t="s">
        <v>2121</v>
      </c>
      <c r="G1241" s="1" t="s">
        <v>396</v>
      </c>
      <c r="H1241" s="2">
        <v>45758.813888888886</v>
      </c>
      <c r="J1241" s="1" t="s">
        <v>18</v>
      </c>
    </row>
    <row r="1242" spans="1:10" hidden="1" x14ac:dyDescent="0.25">
      <c r="A1242" s="1" t="str">
        <f>_xlfn.XLOOKUP(E1242,Base!G:G,Base!C:C,"NOVO")</f>
        <v>PENDENTE</v>
      </c>
      <c r="B1242" s="1">
        <v>3281887</v>
      </c>
      <c r="C1242" s="1" t="s">
        <v>26</v>
      </c>
      <c r="D1242" s="2">
        <v>45721.758333333331</v>
      </c>
      <c r="E1242" s="1" t="s">
        <v>1353</v>
      </c>
      <c r="F1242" s="1" t="s">
        <v>1353</v>
      </c>
      <c r="G1242" s="1" t="s">
        <v>1354</v>
      </c>
      <c r="H1242" s="2">
        <v>45721.888194444444</v>
      </c>
      <c r="J1242" s="1" t="s">
        <v>18</v>
      </c>
    </row>
    <row r="1243" spans="1:10" hidden="1" x14ac:dyDescent="0.25">
      <c r="A1243" s="1" t="str">
        <f>_xlfn.XLOOKUP(E1243,Base!G:G,Base!C:C,"NOVO")</f>
        <v>PENDENTE</v>
      </c>
      <c r="B1243" s="1">
        <v>3415955</v>
      </c>
      <c r="C1243" s="1" t="s">
        <v>26</v>
      </c>
      <c r="D1243" s="2">
        <v>45789.773611111108</v>
      </c>
      <c r="E1243" s="1" t="s">
        <v>2347</v>
      </c>
      <c r="F1243" s="1" t="s">
        <v>2347</v>
      </c>
      <c r="G1243" s="1" t="s">
        <v>83</v>
      </c>
      <c r="H1243" s="2">
        <v>45789.866666666669</v>
      </c>
      <c r="J1243" s="1" t="s">
        <v>18</v>
      </c>
    </row>
    <row r="1244" spans="1:10" hidden="1" x14ac:dyDescent="0.25">
      <c r="A1244" s="1" t="str">
        <f>_xlfn.XLOOKUP(E1244,Base!G:G,Base!C:C,"NOVO")</f>
        <v>PENDENTE</v>
      </c>
      <c r="B1244" s="1">
        <v>3410272</v>
      </c>
      <c r="C1244" s="1" t="s">
        <v>26</v>
      </c>
      <c r="D1244" s="2">
        <v>45785.744444444441</v>
      </c>
      <c r="E1244" s="1" t="s">
        <v>2348</v>
      </c>
      <c r="F1244" s="1" t="s">
        <v>2348</v>
      </c>
      <c r="G1244" s="1" t="s">
        <v>620</v>
      </c>
      <c r="H1244" s="2">
        <v>45785.836805555555</v>
      </c>
      <c r="J1244" s="1" t="s">
        <v>18</v>
      </c>
    </row>
    <row r="1245" spans="1:10" hidden="1" x14ac:dyDescent="0.25">
      <c r="A1245" s="1" t="str">
        <f>_xlfn.XLOOKUP(E1245,Base!G:G,Base!C:C,"NOVO")</f>
        <v>PENDENTE</v>
      </c>
      <c r="B1245" s="1">
        <v>3330246</v>
      </c>
      <c r="C1245" s="1" t="s">
        <v>26</v>
      </c>
      <c r="D1245" s="2">
        <v>45744.242361111108</v>
      </c>
      <c r="E1245" s="1" t="s">
        <v>1889</v>
      </c>
      <c r="F1245" s="1" t="s">
        <v>1889</v>
      </c>
      <c r="G1245" s="1" t="s">
        <v>83</v>
      </c>
      <c r="H1245" s="2">
        <v>45744.336111111108</v>
      </c>
      <c r="J1245" s="1" t="s">
        <v>18</v>
      </c>
    </row>
    <row r="1246" spans="1:10" hidden="1" x14ac:dyDescent="0.25">
      <c r="A1246" s="1" t="str">
        <f>_xlfn.XLOOKUP(E1246,Base!G:G,Base!C:C,"NOVO")</f>
        <v>PENDENTE</v>
      </c>
      <c r="B1246" s="1">
        <v>3282473</v>
      </c>
      <c r="C1246" s="1" t="s">
        <v>26</v>
      </c>
      <c r="D1246" s="2">
        <v>45722.410416666666</v>
      </c>
      <c r="E1246" s="1" t="s">
        <v>1355</v>
      </c>
      <c r="F1246" s="1" t="s">
        <v>1355</v>
      </c>
      <c r="G1246" s="1" t="s">
        <v>83</v>
      </c>
      <c r="H1246" s="2">
        <v>45722.54583333333</v>
      </c>
      <c r="J1246" s="1" t="s">
        <v>18</v>
      </c>
    </row>
    <row r="1247" spans="1:10" hidden="1" x14ac:dyDescent="0.25">
      <c r="A1247" s="1" t="str">
        <f>_xlfn.XLOOKUP(E1247,Base!G:G,Base!C:C,"NOVO")</f>
        <v>PENDENTE</v>
      </c>
      <c r="B1247" s="1">
        <v>3461284</v>
      </c>
      <c r="C1247" s="1" t="s">
        <v>26</v>
      </c>
      <c r="D1247" s="2">
        <v>45811.554861111108</v>
      </c>
      <c r="E1247" s="1" t="s">
        <v>2638</v>
      </c>
      <c r="F1247" s="1" t="s">
        <v>2638</v>
      </c>
      <c r="G1247" s="1" t="s">
        <v>620</v>
      </c>
      <c r="H1247" s="2">
        <v>45811.647222222222</v>
      </c>
      <c r="J1247" s="1" t="s">
        <v>18</v>
      </c>
    </row>
    <row r="1248" spans="1:10" hidden="1" x14ac:dyDescent="0.25">
      <c r="A1248" s="1" t="str">
        <f>_xlfn.XLOOKUP(E1248,Base!G:G,Base!C:C,"NOVO")</f>
        <v>PENDENTE</v>
      </c>
      <c r="B1248" s="1">
        <v>3362764</v>
      </c>
      <c r="C1248" s="1" t="s">
        <v>26</v>
      </c>
      <c r="D1248" s="2">
        <v>45760.638194444444</v>
      </c>
      <c r="E1248" s="1" t="s">
        <v>2122</v>
      </c>
      <c r="F1248" s="1" t="s">
        <v>2122</v>
      </c>
      <c r="G1248" s="1" t="s">
        <v>83</v>
      </c>
      <c r="H1248" s="2">
        <v>45760.734722222223</v>
      </c>
      <c r="J1248" s="1" t="s">
        <v>18</v>
      </c>
    </row>
    <row r="1249" spans="1:10" hidden="1" x14ac:dyDescent="0.25">
      <c r="A1249" s="1" t="str">
        <f>_xlfn.XLOOKUP(E1249,Base!G:G,Base!C:C,"NOVO")</f>
        <v>PENDENTE</v>
      </c>
      <c r="B1249" s="1">
        <v>3375058</v>
      </c>
      <c r="C1249" s="1" t="s">
        <v>26</v>
      </c>
      <c r="D1249" s="2">
        <v>45769.651388888888</v>
      </c>
      <c r="E1249" s="1" t="s">
        <v>2123</v>
      </c>
      <c r="F1249" s="1" t="s">
        <v>2123</v>
      </c>
      <c r="G1249" s="1" t="s">
        <v>1761</v>
      </c>
      <c r="H1249" s="2">
        <v>45769.452777777777</v>
      </c>
      <c r="I1249" s="2">
        <v>45769.744444444441</v>
      </c>
      <c r="J1249" s="1" t="s">
        <v>18</v>
      </c>
    </row>
    <row r="1250" spans="1:10" hidden="1" x14ac:dyDescent="0.25">
      <c r="A1250" s="1" t="str">
        <f>_xlfn.XLOOKUP(E1250,Base!G:G,Base!C:C,"NOVO")</f>
        <v>PENDENTE</v>
      </c>
      <c r="B1250" s="1">
        <v>3294795</v>
      </c>
      <c r="C1250" s="1" t="s">
        <v>26</v>
      </c>
      <c r="D1250" s="2">
        <v>45729.31527777778</v>
      </c>
      <c r="E1250" s="1" t="s">
        <v>1598</v>
      </c>
      <c r="F1250" s="1" t="s">
        <v>1598</v>
      </c>
      <c r="G1250" s="1" t="s">
        <v>1054</v>
      </c>
      <c r="H1250" s="2">
        <v>45728.543749999997</v>
      </c>
      <c r="I1250" s="2">
        <v>45729.408333333333</v>
      </c>
      <c r="J1250" s="1" t="s">
        <v>18</v>
      </c>
    </row>
    <row r="1251" spans="1:10" hidden="1" x14ac:dyDescent="0.25">
      <c r="A1251" s="1" t="str">
        <f>_xlfn.XLOOKUP(E1251,Base!G:G,Base!C:C,"NOVO")</f>
        <v>PENDENTE</v>
      </c>
      <c r="B1251" s="1">
        <v>3362748</v>
      </c>
      <c r="C1251" s="1" t="s">
        <v>26</v>
      </c>
      <c r="D1251" s="2">
        <v>45760.638194444444</v>
      </c>
      <c r="E1251" s="1" t="s">
        <v>2124</v>
      </c>
      <c r="F1251" s="1" t="s">
        <v>2124</v>
      </c>
      <c r="G1251" s="1" t="s">
        <v>1174</v>
      </c>
      <c r="H1251" s="2">
        <v>45760.731944444444</v>
      </c>
      <c r="J1251" s="1" t="s">
        <v>18</v>
      </c>
    </row>
    <row r="1252" spans="1:10" hidden="1" x14ac:dyDescent="0.25">
      <c r="A1252" s="1" t="str">
        <f>_xlfn.XLOOKUP(E1252,Base!G:G,Base!C:C,"NOVO")</f>
        <v>PENDENTE</v>
      </c>
      <c r="B1252" s="1">
        <v>3274241</v>
      </c>
      <c r="C1252" s="1" t="s">
        <v>26</v>
      </c>
      <c r="D1252" s="2">
        <v>45715.689583333333</v>
      </c>
      <c r="E1252" s="1" t="s">
        <v>1356</v>
      </c>
      <c r="F1252" s="1" t="s">
        <v>1357</v>
      </c>
      <c r="G1252" s="1" t="s">
        <v>64</v>
      </c>
      <c r="H1252" s="2">
        <v>45715.824999999997</v>
      </c>
      <c r="J1252" s="1" t="s">
        <v>1244</v>
      </c>
    </row>
    <row r="1253" spans="1:10" hidden="1" x14ac:dyDescent="0.25">
      <c r="A1253" s="1" t="str">
        <f>_xlfn.XLOOKUP(E1253,Base!G:G,Base!C:C,"NOVO")</f>
        <v>PENDENTE</v>
      </c>
      <c r="B1253" s="1">
        <v>3432281</v>
      </c>
      <c r="C1253" s="1" t="s">
        <v>26</v>
      </c>
      <c r="D1253" s="2">
        <v>45797.62777777778</v>
      </c>
      <c r="E1253" s="1" t="s">
        <v>2521</v>
      </c>
      <c r="F1253" s="1" t="s">
        <v>2521</v>
      </c>
      <c r="G1253" s="1" t="s">
        <v>620</v>
      </c>
      <c r="H1253" s="2">
        <v>45797.726388888892</v>
      </c>
      <c r="J1253" s="1" t="s">
        <v>18</v>
      </c>
    </row>
    <row r="1254" spans="1:10" hidden="1" x14ac:dyDescent="0.25">
      <c r="A1254" s="1" t="str">
        <f>_xlfn.XLOOKUP(E1254,Base!G:G,Base!C:C,"NOVO")</f>
        <v>PENDENTE</v>
      </c>
      <c r="B1254" s="1">
        <v>3290298</v>
      </c>
      <c r="C1254" s="1" t="s">
        <v>26</v>
      </c>
      <c r="D1254" s="2">
        <v>45727.734027777777</v>
      </c>
      <c r="E1254" s="1" t="s">
        <v>1599</v>
      </c>
      <c r="F1254" s="1" t="s">
        <v>1599</v>
      </c>
      <c r="G1254" s="1" t="s">
        <v>1189</v>
      </c>
      <c r="H1254" s="2">
        <v>45726.847916666666</v>
      </c>
      <c r="I1254" s="2">
        <v>45727.82708333333</v>
      </c>
      <c r="J1254" s="1" t="s">
        <v>18</v>
      </c>
    </row>
    <row r="1255" spans="1:10" hidden="1" x14ac:dyDescent="0.25">
      <c r="A1255" s="1" t="str">
        <f>_xlfn.XLOOKUP(E1255,Base!G:G,Base!C:C,"NOVO")</f>
        <v>PENDENTE</v>
      </c>
      <c r="B1255" s="1">
        <v>3249550</v>
      </c>
      <c r="C1255" s="1" t="s">
        <v>26</v>
      </c>
      <c r="D1255" s="2">
        <v>45705.503472222219</v>
      </c>
      <c r="E1255" s="1" t="s">
        <v>1217</v>
      </c>
      <c r="F1255" s="1" t="s">
        <v>1217</v>
      </c>
      <c r="G1255" s="1" t="s">
        <v>409</v>
      </c>
      <c r="H1255" s="2">
        <v>45705.439583333333</v>
      </c>
      <c r="I1255" s="2">
        <v>45705.640277777777</v>
      </c>
      <c r="J1255" s="1" t="s">
        <v>18</v>
      </c>
    </row>
    <row r="1256" spans="1:10" hidden="1" x14ac:dyDescent="0.25">
      <c r="A1256" s="1" t="str">
        <f>_xlfn.XLOOKUP(E1256,Base!G:G,Base!C:C,"NOVO")</f>
        <v>PENDENTE</v>
      </c>
      <c r="B1256" s="1">
        <v>3263625</v>
      </c>
      <c r="C1256" s="1" t="s">
        <v>26</v>
      </c>
      <c r="D1256" s="2">
        <v>45712.306944444441</v>
      </c>
      <c r="E1256" s="1" t="s">
        <v>1218</v>
      </c>
      <c r="F1256" s="1" t="s">
        <v>1218</v>
      </c>
      <c r="G1256" s="1" t="s">
        <v>408</v>
      </c>
      <c r="H1256" s="2">
        <v>45712.439583333333</v>
      </c>
      <c r="J1256" s="1" t="s">
        <v>18</v>
      </c>
    </row>
    <row r="1257" spans="1:10" hidden="1" x14ac:dyDescent="0.25">
      <c r="A1257" s="1" t="str">
        <f>_xlfn.XLOOKUP(E1257,Base!G:G,Base!C:C,"NOVO")</f>
        <v>PENDENTE</v>
      </c>
      <c r="B1257" s="1">
        <v>3224623</v>
      </c>
      <c r="C1257" s="1" t="s">
        <v>26</v>
      </c>
      <c r="D1257" s="2">
        <v>45695.274305555555</v>
      </c>
      <c r="E1257" s="1" t="s">
        <v>912</v>
      </c>
      <c r="F1257" s="1" t="s">
        <v>912</v>
      </c>
      <c r="G1257" s="1" t="s">
        <v>692</v>
      </c>
      <c r="H1257" s="2">
        <v>45692.881249999999</v>
      </c>
      <c r="I1257" s="2">
        <v>45695.407638888886</v>
      </c>
      <c r="J1257" s="1" t="s">
        <v>18</v>
      </c>
    </row>
    <row r="1258" spans="1:10" hidden="1" x14ac:dyDescent="0.25">
      <c r="A1258" s="1" t="str">
        <f>_xlfn.XLOOKUP(E1258,Base!G:G,Base!C:C,"NOVO")</f>
        <v>PENDENTE</v>
      </c>
      <c r="B1258" s="1">
        <v>3364374</v>
      </c>
      <c r="C1258" s="1" t="s">
        <v>26</v>
      </c>
      <c r="D1258" s="2">
        <v>45761.615277777775</v>
      </c>
      <c r="E1258" s="1" t="s">
        <v>2125</v>
      </c>
      <c r="F1258" s="1" t="s">
        <v>2125</v>
      </c>
      <c r="G1258" s="1" t="s">
        <v>620</v>
      </c>
      <c r="H1258" s="2">
        <v>45761.699305555558</v>
      </c>
      <c r="J1258" s="1" t="s">
        <v>18</v>
      </c>
    </row>
    <row r="1259" spans="1:10" hidden="1" x14ac:dyDescent="0.25">
      <c r="A1259" s="1" t="str">
        <f>_xlfn.XLOOKUP(E1259,Base!G:G,Base!C:C,"NOVO")</f>
        <v>PENDENTE</v>
      </c>
      <c r="B1259" s="1">
        <v>3402907</v>
      </c>
      <c r="C1259" s="1" t="s">
        <v>26</v>
      </c>
      <c r="D1259" s="2">
        <v>45783.573611111111</v>
      </c>
      <c r="E1259" s="1" t="s">
        <v>2268</v>
      </c>
      <c r="F1259" s="1" t="s">
        <v>2268</v>
      </c>
      <c r="G1259" s="1" t="s">
        <v>1761</v>
      </c>
      <c r="H1259" s="2">
        <v>45783.502083333333</v>
      </c>
      <c r="I1259" s="2">
        <v>45783.661805555559</v>
      </c>
      <c r="J1259" s="1" t="s">
        <v>18</v>
      </c>
    </row>
    <row r="1260" spans="1:10" hidden="1" x14ac:dyDescent="0.25">
      <c r="A1260" s="1" t="str">
        <f>_xlfn.XLOOKUP(E1260,Base!G:G,Base!C:C,"NOVO")</f>
        <v>PENDENTE</v>
      </c>
      <c r="B1260" s="1">
        <v>3402909</v>
      </c>
      <c r="C1260" s="1" t="s">
        <v>26</v>
      </c>
      <c r="D1260" s="2">
        <v>45783.573611111111</v>
      </c>
      <c r="E1260" s="1" t="s">
        <v>2269</v>
      </c>
      <c r="F1260" s="1" t="s">
        <v>2268</v>
      </c>
      <c r="G1260" s="1" t="s">
        <v>2052</v>
      </c>
      <c r="H1260" s="2">
        <v>45783.502083333333</v>
      </c>
      <c r="I1260" s="2">
        <v>45783.661805555559</v>
      </c>
      <c r="J1260" s="1" t="s">
        <v>18</v>
      </c>
    </row>
    <row r="1261" spans="1:10" hidden="1" x14ac:dyDescent="0.25">
      <c r="A1261" s="1" t="str">
        <f>_xlfn.XLOOKUP(E1261,Base!G:G,Base!C:C,"NOVO")</f>
        <v>PENDENTE</v>
      </c>
      <c r="B1261" s="1">
        <v>3224605</v>
      </c>
      <c r="C1261" s="1" t="s">
        <v>26</v>
      </c>
      <c r="D1261" s="2">
        <v>45695.231249999997</v>
      </c>
      <c r="E1261" s="1" t="s">
        <v>913</v>
      </c>
      <c r="F1261" s="1" t="s">
        <v>913</v>
      </c>
      <c r="G1261" s="1" t="s">
        <v>394</v>
      </c>
      <c r="H1261" s="2">
        <v>45692.878472222219</v>
      </c>
      <c r="I1261" s="2">
        <v>45695.365972222222</v>
      </c>
      <c r="J1261" s="1" t="s">
        <v>18</v>
      </c>
    </row>
    <row r="1262" spans="1:10" hidden="1" x14ac:dyDescent="0.25">
      <c r="A1262" s="1" t="str">
        <f>_xlfn.XLOOKUP(E1262,Base!G:G,Base!C:C,"NOVO")</f>
        <v>PENDENTE</v>
      </c>
      <c r="B1262" s="1">
        <v>3300510</v>
      </c>
      <c r="C1262" s="1" t="s">
        <v>26</v>
      </c>
      <c r="D1262" s="2">
        <v>45730.368750000001</v>
      </c>
      <c r="E1262" s="1" t="s">
        <v>1600</v>
      </c>
      <c r="F1262" s="1" t="s">
        <v>1601</v>
      </c>
      <c r="G1262" s="1" t="s">
        <v>64</v>
      </c>
      <c r="H1262" s="2">
        <v>45730.452777777777</v>
      </c>
      <c r="J1262" s="1" t="s">
        <v>1244</v>
      </c>
    </row>
    <row r="1263" spans="1:10" hidden="1" x14ac:dyDescent="0.25">
      <c r="A1263" s="1" t="str">
        <f>_xlfn.XLOOKUP(E1263,Base!G:G,Base!C:C,"NOVO")</f>
        <v>PENDENTE</v>
      </c>
      <c r="B1263" s="1">
        <v>3302638</v>
      </c>
      <c r="C1263" s="1" t="s">
        <v>26</v>
      </c>
      <c r="D1263" s="2">
        <v>45730.745138888888</v>
      </c>
      <c r="E1263" s="1" t="s">
        <v>1602</v>
      </c>
      <c r="F1263" s="1" t="s">
        <v>1602</v>
      </c>
      <c r="G1263" s="1" t="s">
        <v>169</v>
      </c>
      <c r="H1263" s="2">
        <v>45730.836111111108</v>
      </c>
      <c r="J1263" s="1" t="s">
        <v>18</v>
      </c>
    </row>
    <row r="1264" spans="1:10" hidden="1" x14ac:dyDescent="0.25">
      <c r="A1264" s="1" t="str">
        <f>_xlfn.XLOOKUP(E1264,Base!G:G,Base!C:C,"NOVO")</f>
        <v>PENDENTE</v>
      </c>
      <c r="B1264" s="1">
        <v>3262221</v>
      </c>
      <c r="C1264" s="1" t="s">
        <v>26</v>
      </c>
      <c r="D1264" s="2">
        <v>45709.634722222225</v>
      </c>
      <c r="E1264" s="1" t="s">
        <v>1219</v>
      </c>
      <c r="F1264" s="1" t="s">
        <v>1220</v>
      </c>
      <c r="G1264" s="1" t="s">
        <v>1221</v>
      </c>
      <c r="H1264" s="2">
        <v>45709.763888888891</v>
      </c>
      <c r="J1264" s="1" t="s">
        <v>19</v>
      </c>
    </row>
    <row r="1265" spans="1:10" hidden="1" x14ac:dyDescent="0.25">
      <c r="A1265" s="1" t="str">
        <f>_xlfn.XLOOKUP(E1265,Base!G:G,Base!C:C,"NOVO")</f>
        <v>PENDENTE</v>
      </c>
      <c r="B1265" s="1">
        <v>3350678</v>
      </c>
      <c r="C1265" s="1" t="s">
        <v>26</v>
      </c>
      <c r="D1265" s="2">
        <v>45754.542361111111</v>
      </c>
      <c r="E1265" s="1" t="s">
        <v>1890</v>
      </c>
      <c r="F1265" s="1" t="s">
        <v>1890</v>
      </c>
      <c r="G1265" s="1" t="s">
        <v>707</v>
      </c>
      <c r="H1265" s="2">
        <v>45754.626388888886</v>
      </c>
      <c r="J1265" s="1" t="s">
        <v>18</v>
      </c>
    </row>
    <row r="1266" spans="1:10" hidden="1" x14ac:dyDescent="0.25">
      <c r="A1266" s="1" t="str">
        <f>_xlfn.XLOOKUP(E1266,Base!G:G,Base!C:C,"NOVO")</f>
        <v>PENDENTE</v>
      </c>
      <c r="B1266" s="1">
        <v>3312675</v>
      </c>
      <c r="C1266" s="1" t="s">
        <v>26</v>
      </c>
      <c r="D1266" s="2">
        <v>45736.440972222219</v>
      </c>
      <c r="E1266" s="1" t="s">
        <v>1891</v>
      </c>
      <c r="F1266" s="1" t="s">
        <v>1891</v>
      </c>
      <c r="G1266" s="1" t="s">
        <v>1189</v>
      </c>
      <c r="H1266" s="2">
        <v>45735.849305555559</v>
      </c>
      <c r="I1266" s="2">
        <v>45736.53402777778</v>
      </c>
      <c r="J1266" s="1" t="s">
        <v>18</v>
      </c>
    </row>
    <row r="1267" spans="1:10" hidden="1" x14ac:dyDescent="0.25">
      <c r="A1267" s="1" t="str">
        <f>_xlfn.XLOOKUP(E1267,Base!G:G,Base!C:C,"NOVO")</f>
        <v>PENDENTE</v>
      </c>
      <c r="B1267" s="1">
        <v>3298864</v>
      </c>
      <c r="C1267" s="1" t="s">
        <v>26</v>
      </c>
      <c r="D1267" s="2">
        <v>45730.408333333333</v>
      </c>
      <c r="E1267" s="1" t="s">
        <v>1603</v>
      </c>
      <c r="F1267" s="1" t="s">
        <v>1603</v>
      </c>
      <c r="G1267" s="1" t="s">
        <v>1060</v>
      </c>
      <c r="H1267" s="2">
        <v>45729.701388888891</v>
      </c>
      <c r="I1267" s="2">
        <v>45730.491666666669</v>
      </c>
      <c r="J1267" s="1" t="s">
        <v>18</v>
      </c>
    </row>
    <row r="1268" spans="1:10" hidden="1" x14ac:dyDescent="0.25">
      <c r="A1268" s="1" t="str">
        <f>_xlfn.XLOOKUP(E1268,Base!G:G,Base!C:C,"NOVO")</f>
        <v>PENDENTE</v>
      </c>
      <c r="B1268" s="1">
        <v>3403127</v>
      </c>
      <c r="C1268" s="1" t="s">
        <v>26</v>
      </c>
      <c r="D1268" s="2">
        <v>45797.62777777778</v>
      </c>
      <c r="E1268" s="1" t="s">
        <v>2270</v>
      </c>
      <c r="F1268" s="1" t="s">
        <v>2270</v>
      </c>
      <c r="G1268" s="1" t="s">
        <v>620</v>
      </c>
      <c r="H1268" s="2">
        <v>45783.574305555558</v>
      </c>
      <c r="I1268" s="2">
        <v>45797.723611111112</v>
      </c>
      <c r="J1268" s="1" t="s">
        <v>18</v>
      </c>
    </row>
    <row r="1269" spans="1:10" hidden="1" x14ac:dyDescent="0.25">
      <c r="A1269" s="1" t="str">
        <f>_xlfn.XLOOKUP(E1269,Base!G:G,Base!C:C,"NOVO")</f>
        <v>PENDENTE</v>
      </c>
      <c r="B1269" s="1">
        <v>3383192</v>
      </c>
      <c r="C1269" s="1" t="s">
        <v>26</v>
      </c>
      <c r="D1269" s="2">
        <v>45772.39166666667</v>
      </c>
      <c r="E1269" s="1" t="s">
        <v>2126</v>
      </c>
      <c r="F1269" s="1" t="s">
        <v>2126</v>
      </c>
      <c r="G1269" s="1" t="s">
        <v>746</v>
      </c>
      <c r="H1269" s="2">
        <v>45772.482638888891</v>
      </c>
      <c r="J1269" s="1" t="s">
        <v>18</v>
      </c>
    </row>
    <row r="1270" spans="1:10" hidden="1" x14ac:dyDescent="0.25">
      <c r="A1270" s="1" t="str">
        <f>_xlfn.XLOOKUP(E1270,Base!G:G,Base!C:C,"NOVO")</f>
        <v>PENDENTE</v>
      </c>
      <c r="B1270" s="1">
        <v>3406857</v>
      </c>
      <c r="C1270" s="1" t="s">
        <v>26</v>
      </c>
      <c r="D1270" s="2">
        <v>45784.763194444444</v>
      </c>
      <c r="E1270" s="1" t="s">
        <v>2271</v>
      </c>
      <c r="F1270" s="1" t="s">
        <v>2271</v>
      </c>
      <c r="G1270" s="1" t="s">
        <v>396</v>
      </c>
      <c r="H1270" s="2">
        <v>45784.855555555558</v>
      </c>
      <c r="J1270" s="1" t="s">
        <v>18</v>
      </c>
    </row>
    <row r="1271" spans="1:10" hidden="1" x14ac:dyDescent="0.25">
      <c r="A1271" s="1" t="str">
        <f>_xlfn.XLOOKUP(E1271,Base!G:G,Base!C:C,"NOVO")</f>
        <v>PENDENTE</v>
      </c>
      <c r="B1271" s="1">
        <v>3376188</v>
      </c>
      <c r="C1271" s="1" t="s">
        <v>26</v>
      </c>
      <c r="D1271" s="2">
        <v>45770.277083333334</v>
      </c>
      <c r="E1271" s="1" t="s">
        <v>2127</v>
      </c>
      <c r="F1271" s="1" t="s">
        <v>2127</v>
      </c>
      <c r="G1271" s="1" t="s">
        <v>1406</v>
      </c>
      <c r="H1271" s="2">
        <v>45769.731249999997</v>
      </c>
      <c r="I1271" s="2">
        <v>45770.366666666669</v>
      </c>
      <c r="J1271" s="1" t="s">
        <v>18</v>
      </c>
    </row>
    <row r="1272" spans="1:10" hidden="1" x14ac:dyDescent="0.25">
      <c r="A1272" s="1" t="str">
        <f>_xlfn.XLOOKUP(E1272,Base!G:G,Base!C:C,"NOVO")</f>
        <v>PENDENTE</v>
      </c>
      <c r="B1272" s="1">
        <v>3249543</v>
      </c>
      <c r="C1272" s="1" t="s">
        <v>26</v>
      </c>
      <c r="D1272" s="2">
        <v>45705.503472222219</v>
      </c>
      <c r="E1272" s="1" t="s">
        <v>1222</v>
      </c>
      <c r="F1272" s="1" t="s">
        <v>1222</v>
      </c>
      <c r="G1272" s="1" t="s">
        <v>409</v>
      </c>
      <c r="H1272" s="2">
        <v>45705.439583333333</v>
      </c>
      <c r="I1272" s="2">
        <v>45705.640277777777</v>
      </c>
      <c r="J1272" s="1" t="s">
        <v>18</v>
      </c>
    </row>
    <row r="1273" spans="1:10" hidden="1" x14ac:dyDescent="0.25">
      <c r="A1273" s="1" t="str">
        <f>_xlfn.XLOOKUP(E1273,Base!G:G,Base!C:C,"NOVO")</f>
        <v>PENDENTE</v>
      </c>
      <c r="B1273" s="1">
        <v>3362743</v>
      </c>
      <c r="C1273" s="1" t="s">
        <v>26</v>
      </c>
      <c r="D1273" s="2">
        <v>45760.638194444444</v>
      </c>
      <c r="E1273" s="1" t="s">
        <v>2128</v>
      </c>
      <c r="F1273" s="1" t="s">
        <v>2128</v>
      </c>
      <c r="G1273" s="1" t="s">
        <v>83</v>
      </c>
      <c r="H1273" s="2">
        <v>45760.731944444444</v>
      </c>
      <c r="J1273" s="1" t="s">
        <v>18</v>
      </c>
    </row>
    <row r="1274" spans="1:10" hidden="1" x14ac:dyDescent="0.25">
      <c r="A1274" s="1" t="str">
        <f>_xlfn.XLOOKUP(E1274,Base!G:G,Base!C:C,"NOVO")</f>
        <v>PENDENTE</v>
      </c>
      <c r="B1274" s="1">
        <v>3435084</v>
      </c>
      <c r="C1274" s="1" t="s">
        <v>26</v>
      </c>
      <c r="D1274" s="2">
        <v>45798.652083333334</v>
      </c>
      <c r="E1274" s="1" t="s">
        <v>2522</v>
      </c>
      <c r="F1274" s="1" t="s">
        <v>2522</v>
      </c>
      <c r="G1274" s="1" t="s">
        <v>620</v>
      </c>
      <c r="H1274" s="2">
        <v>45798.743750000001</v>
      </c>
      <c r="J1274" s="1" t="s">
        <v>18</v>
      </c>
    </row>
    <row r="1275" spans="1:10" hidden="1" x14ac:dyDescent="0.25">
      <c r="A1275" s="1" t="str">
        <f>_xlfn.XLOOKUP(E1275,Base!G:G,Base!C:C,"NOVO")</f>
        <v>PENDENTE</v>
      </c>
      <c r="B1275" s="1">
        <v>3313257</v>
      </c>
      <c r="C1275" s="1" t="s">
        <v>26</v>
      </c>
      <c r="D1275" s="2">
        <v>45736.390972222223</v>
      </c>
      <c r="E1275" s="1" t="s">
        <v>1892</v>
      </c>
      <c r="F1275" s="1" t="s">
        <v>1893</v>
      </c>
      <c r="G1275" s="1" t="s">
        <v>64</v>
      </c>
      <c r="H1275" s="2">
        <v>45736.484722222223</v>
      </c>
      <c r="J1275" s="1" t="s">
        <v>1244</v>
      </c>
    </row>
    <row r="1276" spans="1:10" hidden="1" x14ac:dyDescent="0.25">
      <c r="A1276" s="1" t="str">
        <f>_xlfn.XLOOKUP(E1276,Base!G:G,Base!C:C,"NOVO")</f>
        <v>PENDENTE</v>
      </c>
      <c r="B1276" s="1">
        <v>3423576</v>
      </c>
      <c r="C1276" s="1" t="s">
        <v>26</v>
      </c>
      <c r="D1276" s="2">
        <v>45792.669444444444</v>
      </c>
      <c r="E1276" s="1" t="s">
        <v>2523</v>
      </c>
      <c r="F1276" s="1" t="s">
        <v>2523</v>
      </c>
      <c r="G1276" s="1" t="s">
        <v>620</v>
      </c>
      <c r="H1276" s="2">
        <v>45792.769444444442</v>
      </c>
      <c r="J1276" s="1" t="s">
        <v>18</v>
      </c>
    </row>
    <row r="1277" spans="1:10" hidden="1" x14ac:dyDescent="0.25">
      <c r="A1277" s="1" t="str">
        <f>_xlfn.XLOOKUP(E1277,Base!G:G,Base!C:C,"NOVO")</f>
        <v>PENDENTE</v>
      </c>
      <c r="B1277" s="1">
        <v>3252792</v>
      </c>
      <c r="C1277" s="1" t="s">
        <v>26</v>
      </c>
      <c r="D1277" s="2">
        <v>45706.35833333333</v>
      </c>
      <c r="E1277" s="1" t="s">
        <v>1223</v>
      </c>
      <c r="F1277" s="1" t="s">
        <v>1224</v>
      </c>
      <c r="G1277" s="1" t="s">
        <v>64</v>
      </c>
      <c r="H1277" s="2">
        <v>45706.493750000001</v>
      </c>
      <c r="J1277" s="1" t="s">
        <v>1244</v>
      </c>
    </row>
    <row r="1278" spans="1:10" hidden="1" x14ac:dyDescent="0.25">
      <c r="A1278" s="1" t="str">
        <f>_xlfn.XLOOKUP(E1278,Base!G:G,Base!C:C,"NOVO")</f>
        <v>PENDENTE</v>
      </c>
      <c r="B1278" s="1">
        <v>3309565</v>
      </c>
      <c r="C1278" s="1" t="s">
        <v>26</v>
      </c>
      <c r="D1278" s="2">
        <v>45735.569444444445</v>
      </c>
      <c r="E1278" s="1" t="s">
        <v>1895</v>
      </c>
      <c r="F1278" s="1" t="s">
        <v>1895</v>
      </c>
      <c r="G1278" s="1" t="s">
        <v>83</v>
      </c>
      <c r="H1278" s="2">
        <v>45734.84652777778</v>
      </c>
      <c r="I1278" s="2">
        <v>45735.65902777778</v>
      </c>
      <c r="J1278" s="1" t="s">
        <v>18</v>
      </c>
    </row>
    <row r="1279" spans="1:10" hidden="1" x14ac:dyDescent="0.25">
      <c r="A1279" s="1" t="str">
        <f>_xlfn.XLOOKUP(E1279,Base!G:G,Base!C:C,"NOVO")</f>
        <v>PENDENTE</v>
      </c>
      <c r="B1279" s="1">
        <v>3249547</v>
      </c>
      <c r="C1279" s="1" t="s">
        <v>26</v>
      </c>
      <c r="D1279" s="2">
        <v>45705.503472222219</v>
      </c>
      <c r="E1279" s="1" t="s">
        <v>1225</v>
      </c>
      <c r="F1279" s="1" t="s">
        <v>1225</v>
      </c>
      <c r="G1279" s="1" t="s">
        <v>409</v>
      </c>
      <c r="H1279" s="2">
        <v>45705.439583333333</v>
      </c>
      <c r="I1279" s="2">
        <v>45705.63958333333</v>
      </c>
      <c r="J1279" s="1" t="s">
        <v>18</v>
      </c>
    </row>
    <row r="1280" spans="1:10" hidden="1" x14ac:dyDescent="0.25">
      <c r="A1280" s="1" t="str">
        <f>_xlfn.XLOOKUP(E1280,Base!G:G,Base!C:C,"NOVO")</f>
        <v>PENDENTE</v>
      </c>
      <c r="B1280" s="1">
        <v>3251436</v>
      </c>
      <c r="C1280" s="1" t="s">
        <v>26</v>
      </c>
      <c r="D1280" s="2">
        <v>45706.319444444445</v>
      </c>
      <c r="E1280" s="1" t="s">
        <v>1226</v>
      </c>
      <c r="F1280" s="1" t="s">
        <v>1226</v>
      </c>
      <c r="G1280" s="1" t="s">
        <v>1059</v>
      </c>
      <c r="H1280" s="2">
        <v>45705.9</v>
      </c>
      <c r="I1280" s="2">
        <v>45706.451388888891</v>
      </c>
      <c r="J1280" s="1" t="s">
        <v>18</v>
      </c>
    </row>
    <row r="1281" spans="1:10" hidden="1" x14ac:dyDescent="0.25">
      <c r="A1281" s="1" t="str">
        <f>_xlfn.XLOOKUP(E1281,Base!G:G,Base!C:C,"NOVO")</f>
        <v>PENDENTE</v>
      </c>
      <c r="B1281" s="1">
        <v>3255177</v>
      </c>
      <c r="C1281" s="1" t="s">
        <v>26</v>
      </c>
      <c r="D1281" s="2">
        <v>45707.217361111114</v>
      </c>
      <c r="E1281" s="1" t="s">
        <v>1227</v>
      </c>
      <c r="F1281" s="1" t="s">
        <v>1227</v>
      </c>
      <c r="G1281" s="1" t="s">
        <v>83</v>
      </c>
      <c r="H1281" s="2">
        <v>45707.34652777778</v>
      </c>
      <c r="J1281" s="1" t="s">
        <v>18</v>
      </c>
    </row>
    <row r="1282" spans="1:10" hidden="1" x14ac:dyDescent="0.25">
      <c r="A1282" s="1" t="str">
        <f>_xlfn.XLOOKUP(E1282,Base!G:G,Base!C:C,"NOVO")</f>
        <v>PENDENTE</v>
      </c>
      <c r="B1282" s="1">
        <v>3467065</v>
      </c>
      <c r="C1282" s="1" t="s">
        <v>26</v>
      </c>
      <c r="D1282" s="2">
        <v>45813.697916666664</v>
      </c>
      <c r="E1282" s="1" t="s">
        <v>2639</v>
      </c>
      <c r="F1282" s="1" t="s">
        <v>2639</v>
      </c>
      <c r="G1282" s="1" t="s">
        <v>83</v>
      </c>
      <c r="H1282" s="2">
        <v>45813.782638888886</v>
      </c>
      <c r="J1282" s="1" t="s">
        <v>18</v>
      </c>
    </row>
    <row r="1283" spans="1:10" hidden="1" x14ac:dyDescent="0.25">
      <c r="A1283" s="1" t="str">
        <f>_xlfn.XLOOKUP(E1283,Base!G:G,Base!C:C,"NOVO")</f>
        <v>PENDENTE</v>
      </c>
      <c r="B1283" s="1">
        <v>3410276</v>
      </c>
      <c r="C1283" s="1" t="s">
        <v>26</v>
      </c>
      <c r="D1283" s="2">
        <v>45785.744444444441</v>
      </c>
      <c r="E1283" s="1" t="s">
        <v>2349</v>
      </c>
      <c r="F1283" s="1" t="s">
        <v>2349</v>
      </c>
      <c r="G1283" s="1" t="s">
        <v>410</v>
      </c>
      <c r="H1283" s="2">
        <v>45785.838194444441</v>
      </c>
      <c r="J1283" s="1" t="s">
        <v>18</v>
      </c>
    </row>
    <row r="1284" spans="1:10" hidden="1" x14ac:dyDescent="0.25">
      <c r="A1284" s="1" t="str">
        <f>_xlfn.XLOOKUP(E1284,Base!G:G,Base!C:C,"NOVO")</f>
        <v>PENDENTE</v>
      </c>
      <c r="B1284" s="1">
        <v>3421009</v>
      </c>
      <c r="C1284" s="1" t="s">
        <v>26</v>
      </c>
      <c r="D1284" s="2">
        <v>45791.7</v>
      </c>
      <c r="E1284" s="1" t="s">
        <v>2524</v>
      </c>
      <c r="F1284" s="1" t="s">
        <v>2524</v>
      </c>
      <c r="G1284" s="1" t="s">
        <v>396</v>
      </c>
      <c r="H1284" s="2">
        <v>45791.79583333333</v>
      </c>
      <c r="J1284" s="1" t="s">
        <v>18</v>
      </c>
    </row>
    <row r="1285" spans="1:10" hidden="1" x14ac:dyDescent="0.25">
      <c r="A1285" s="1" t="str">
        <f>_xlfn.XLOOKUP(E1285,Base!G:G,Base!C:C,"NOVO")</f>
        <v>PENDENTE</v>
      </c>
      <c r="B1285" s="1">
        <v>3421010</v>
      </c>
      <c r="C1285" s="1" t="s">
        <v>26</v>
      </c>
      <c r="D1285" s="2">
        <v>45791.7</v>
      </c>
      <c r="E1285" s="1" t="s">
        <v>2525</v>
      </c>
      <c r="F1285" s="1" t="s">
        <v>2524</v>
      </c>
      <c r="G1285" s="1" t="s">
        <v>2206</v>
      </c>
      <c r="H1285" s="2">
        <v>45791.79583333333</v>
      </c>
      <c r="J1285" s="1" t="s">
        <v>18</v>
      </c>
    </row>
    <row r="1286" spans="1:10" hidden="1" x14ac:dyDescent="0.25">
      <c r="A1286" s="1" t="str">
        <f>_xlfn.XLOOKUP(E1286,Base!G:G,Base!C:C,"NOVO")</f>
        <v>PENDENTE</v>
      </c>
      <c r="B1286" s="1">
        <v>3359399</v>
      </c>
      <c r="C1286" s="1" t="s">
        <v>26</v>
      </c>
      <c r="D1286" s="2">
        <v>45757.752083333333</v>
      </c>
      <c r="E1286" s="1" t="s">
        <v>2129</v>
      </c>
      <c r="F1286" s="1" t="s">
        <v>2129</v>
      </c>
      <c r="G1286" s="1" t="s">
        <v>1974</v>
      </c>
      <c r="H1286" s="2">
        <v>45757.845833333333</v>
      </c>
      <c r="J1286" s="1" t="s">
        <v>18</v>
      </c>
    </row>
    <row r="1287" spans="1:10" hidden="1" x14ac:dyDescent="0.25">
      <c r="A1287" s="1" t="str">
        <f>_xlfn.XLOOKUP(E1287,Base!G:G,Base!C:C,"NOVO")</f>
        <v>PENDENTE</v>
      </c>
      <c r="B1287" s="1">
        <v>3230562</v>
      </c>
      <c r="C1287" s="1" t="s">
        <v>26</v>
      </c>
      <c r="D1287" s="2">
        <v>45695.270833333336</v>
      </c>
      <c r="E1287" s="1" t="s">
        <v>1018</v>
      </c>
      <c r="F1287" s="1" t="s">
        <v>1018</v>
      </c>
      <c r="G1287" s="1" t="s">
        <v>692</v>
      </c>
      <c r="H1287" s="2">
        <v>45694.917361111111</v>
      </c>
      <c r="I1287" s="2">
        <v>45695.399305555555</v>
      </c>
      <c r="J1287" s="1" t="s">
        <v>18</v>
      </c>
    </row>
    <row r="1288" spans="1:10" hidden="1" x14ac:dyDescent="0.25">
      <c r="A1288" s="1" t="str">
        <f>_xlfn.XLOOKUP(E1288,Base!G:G,Base!C:C,"NOVO")</f>
        <v>PENDENTE</v>
      </c>
      <c r="B1288" s="1">
        <v>3276727</v>
      </c>
      <c r="C1288" s="1" t="s">
        <v>26</v>
      </c>
      <c r="D1288" s="2">
        <v>45716.663194444445</v>
      </c>
      <c r="E1288" s="1" t="s">
        <v>1358</v>
      </c>
      <c r="F1288" s="1" t="s">
        <v>1358</v>
      </c>
      <c r="G1288" s="1" t="s">
        <v>1054</v>
      </c>
      <c r="H1288" s="2">
        <v>45716.79583333333</v>
      </c>
      <c r="I1288" s="2">
        <v>45716.800694444442</v>
      </c>
      <c r="J1288" s="1" t="s">
        <v>18</v>
      </c>
    </row>
    <row r="1289" spans="1:10" hidden="1" x14ac:dyDescent="0.25">
      <c r="A1289" s="1" t="str">
        <f>_xlfn.XLOOKUP(E1289,Base!G:G,Base!C:C,"NOVO")</f>
        <v>PENDENTE</v>
      </c>
      <c r="B1289" s="1">
        <v>3271844</v>
      </c>
      <c r="C1289" s="1" t="s">
        <v>26</v>
      </c>
      <c r="D1289" s="2">
        <v>45715.265972222223</v>
      </c>
      <c r="E1289" s="1" t="s">
        <v>1359</v>
      </c>
      <c r="F1289" s="1" t="s">
        <v>1360</v>
      </c>
      <c r="G1289" s="1" t="s">
        <v>64</v>
      </c>
      <c r="H1289" s="2">
        <v>45715.397916666669</v>
      </c>
      <c r="J1289" s="1" t="s">
        <v>1244</v>
      </c>
    </row>
    <row r="1290" spans="1:10" hidden="1" x14ac:dyDescent="0.25">
      <c r="A1290" s="1" t="str">
        <f>_xlfn.XLOOKUP(E1290,Base!G:G,Base!C:C,"NOVO")</f>
        <v>PENDENTE</v>
      </c>
      <c r="B1290" s="1">
        <v>3347680</v>
      </c>
      <c r="C1290" s="1" t="s">
        <v>26</v>
      </c>
      <c r="D1290" s="2">
        <v>45751.612500000003</v>
      </c>
      <c r="E1290" s="1" t="s">
        <v>1896</v>
      </c>
      <c r="F1290" s="1" t="s">
        <v>1897</v>
      </c>
      <c r="G1290" s="1" t="s">
        <v>1898</v>
      </c>
      <c r="H1290" s="2">
        <v>45751.7</v>
      </c>
      <c r="J1290" s="1" t="s">
        <v>19</v>
      </c>
    </row>
    <row r="1291" spans="1:10" hidden="1" x14ac:dyDescent="0.25">
      <c r="A1291" s="1" t="str">
        <f>_xlfn.XLOOKUP(E1291,Base!G:G,Base!C:C,"NOVO")</f>
        <v>PENDENTE</v>
      </c>
      <c r="B1291" s="1">
        <v>3249129</v>
      </c>
      <c r="C1291" s="1" t="s">
        <v>26</v>
      </c>
      <c r="D1291" s="2">
        <v>45705.316666666666</v>
      </c>
      <c r="E1291" s="1" t="s">
        <v>1228</v>
      </c>
      <c r="F1291" s="1" t="s">
        <v>1228</v>
      </c>
      <c r="G1291" s="1" t="s">
        <v>829</v>
      </c>
      <c r="H1291" s="2">
        <v>45702.897916666669</v>
      </c>
      <c r="I1291" s="2">
        <v>45705.45</v>
      </c>
      <c r="J1291" s="1" t="s">
        <v>18</v>
      </c>
    </row>
    <row r="1292" spans="1:10" hidden="1" x14ac:dyDescent="0.25">
      <c r="A1292" s="1" t="str">
        <f>_xlfn.XLOOKUP(E1292,Base!G:G,Base!C:C,"NOVO")</f>
        <v>PENDENTE</v>
      </c>
      <c r="B1292" s="1">
        <v>3302654</v>
      </c>
      <c r="C1292" s="1" t="s">
        <v>26</v>
      </c>
      <c r="D1292" s="2">
        <v>45730.745138888888</v>
      </c>
      <c r="E1292" s="1" t="s">
        <v>1604</v>
      </c>
      <c r="F1292" s="1" t="s">
        <v>1604</v>
      </c>
      <c r="G1292" s="1" t="s">
        <v>83</v>
      </c>
      <c r="H1292" s="2">
        <v>45730.838194444441</v>
      </c>
      <c r="J1292" s="1" t="s">
        <v>18</v>
      </c>
    </row>
    <row r="1293" spans="1:10" hidden="1" x14ac:dyDescent="0.25">
      <c r="A1293" s="1" t="str">
        <f>_xlfn.XLOOKUP(E1293,Base!G:G,Base!C:C,"NOVO")</f>
        <v>PENDENTE</v>
      </c>
      <c r="B1293" s="1">
        <v>3274239</v>
      </c>
      <c r="C1293" s="1" t="s">
        <v>26</v>
      </c>
      <c r="D1293" s="2">
        <v>45715.689583333333</v>
      </c>
      <c r="E1293" s="1" t="s">
        <v>1361</v>
      </c>
      <c r="F1293" s="1" t="s">
        <v>1362</v>
      </c>
      <c r="G1293" s="1" t="s">
        <v>64</v>
      </c>
      <c r="H1293" s="2">
        <v>45715.824999999997</v>
      </c>
      <c r="J1293" s="1" t="s">
        <v>1244</v>
      </c>
    </row>
    <row r="1294" spans="1:10" hidden="1" x14ac:dyDescent="0.25">
      <c r="A1294" s="1" t="str">
        <f>_xlfn.XLOOKUP(E1294,Base!G:G,Base!C:C,"NOVO")</f>
        <v>PENDENTE</v>
      </c>
      <c r="B1294" s="1">
        <v>3447083</v>
      </c>
      <c r="C1294" s="1" t="s">
        <v>26</v>
      </c>
      <c r="D1294" s="2">
        <v>45804.768750000003</v>
      </c>
      <c r="E1294" s="1" t="s">
        <v>2526</v>
      </c>
      <c r="F1294" s="1" t="s">
        <v>2526</v>
      </c>
      <c r="G1294" s="1" t="s">
        <v>707</v>
      </c>
      <c r="H1294" s="2">
        <v>45804.856249999997</v>
      </c>
      <c r="J1294" s="1" t="s">
        <v>18</v>
      </c>
    </row>
    <row r="1295" spans="1:10" hidden="1" x14ac:dyDescent="0.25">
      <c r="A1295" s="1" t="str">
        <f>_xlfn.XLOOKUP(E1295,Base!G:G,Base!C:C,"NOVO")</f>
        <v>PENDENTE</v>
      </c>
      <c r="B1295" s="1">
        <v>3319419</v>
      </c>
      <c r="C1295" s="1" t="s">
        <v>26</v>
      </c>
      <c r="D1295" s="2">
        <v>45740.455555555556</v>
      </c>
      <c r="E1295" s="1" t="s">
        <v>1899</v>
      </c>
      <c r="F1295" s="1" t="s">
        <v>1900</v>
      </c>
      <c r="G1295" s="1" t="s">
        <v>64</v>
      </c>
      <c r="H1295" s="2">
        <v>45740.54791666667</v>
      </c>
      <c r="J1295" s="1" t="s">
        <v>1244</v>
      </c>
    </row>
    <row r="1296" spans="1:10" hidden="1" x14ac:dyDescent="0.25">
      <c r="A1296" s="1" t="str">
        <f>_xlfn.XLOOKUP(E1296,Base!G:G,Base!C:C,"NOVO")</f>
        <v>PENDENTE</v>
      </c>
      <c r="B1296" s="1">
        <v>3303589</v>
      </c>
      <c r="C1296" s="1" t="s">
        <v>26</v>
      </c>
      <c r="D1296" s="2">
        <v>45733.27847222222</v>
      </c>
      <c r="E1296" s="1" t="s">
        <v>1605</v>
      </c>
      <c r="F1296" s="1" t="s">
        <v>1606</v>
      </c>
      <c r="G1296" s="1" t="s">
        <v>64</v>
      </c>
      <c r="H1296" s="2">
        <v>45733.367361111108</v>
      </c>
      <c r="J1296" s="1" t="s">
        <v>1244</v>
      </c>
    </row>
    <row r="1297" spans="1:10" hidden="1" x14ac:dyDescent="0.25">
      <c r="A1297" s="1" t="str">
        <f>_xlfn.XLOOKUP(E1297,Base!G:G,Base!C:C,"NOVO")</f>
        <v>PENDENTE</v>
      </c>
      <c r="B1297" s="1">
        <v>3222946</v>
      </c>
      <c r="C1297" s="1" t="s">
        <v>26</v>
      </c>
      <c r="D1297" s="2">
        <v>45695.303472222222</v>
      </c>
      <c r="E1297" s="1" t="s">
        <v>918</v>
      </c>
      <c r="F1297" s="1" t="s">
        <v>918</v>
      </c>
      <c r="G1297" s="1" t="s">
        <v>394</v>
      </c>
      <c r="H1297" s="2">
        <v>45692.524305555555</v>
      </c>
      <c r="I1297" s="2">
        <v>45695.438888888886</v>
      </c>
      <c r="J1297" s="1" t="s">
        <v>18</v>
      </c>
    </row>
    <row r="1298" spans="1:10" hidden="1" x14ac:dyDescent="0.25">
      <c r="A1298" s="1" t="str">
        <f>_xlfn.XLOOKUP(E1298,Base!G:G,Base!C:C,"NOVO")</f>
        <v>PENDENTE</v>
      </c>
      <c r="B1298" s="1">
        <v>3230564</v>
      </c>
      <c r="C1298" s="1" t="s">
        <v>26</v>
      </c>
      <c r="D1298" s="2">
        <v>45695.271527777775</v>
      </c>
      <c r="E1298" s="1" t="s">
        <v>1019</v>
      </c>
      <c r="F1298" s="1" t="s">
        <v>1019</v>
      </c>
      <c r="G1298" s="1" t="s">
        <v>692</v>
      </c>
      <c r="H1298" s="2">
        <v>45694.917361111111</v>
      </c>
      <c r="I1298" s="2">
        <v>45695.399305555555</v>
      </c>
      <c r="J1298" s="1" t="s">
        <v>18</v>
      </c>
    </row>
    <row r="1299" spans="1:10" hidden="1" x14ac:dyDescent="0.25">
      <c r="A1299" s="1" t="str">
        <f>_xlfn.XLOOKUP(E1299,Base!G:G,Base!C:C,"NOVO")</f>
        <v>PENDENTE</v>
      </c>
      <c r="B1299" s="1">
        <v>3314478</v>
      </c>
      <c r="C1299" s="1" t="s">
        <v>26</v>
      </c>
      <c r="D1299" s="2">
        <v>45736.651388888888</v>
      </c>
      <c r="E1299" s="1" t="s">
        <v>1901</v>
      </c>
      <c r="F1299" s="1" t="s">
        <v>1902</v>
      </c>
      <c r="G1299" s="1" t="s">
        <v>64</v>
      </c>
      <c r="H1299" s="2">
        <v>45736.742361111108</v>
      </c>
      <c r="J1299" s="1" t="s">
        <v>1244</v>
      </c>
    </row>
    <row r="1300" spans="1:10" hidden="1" x14ac:dyDescent="0.25">
      <c r="A1300" s="1" t="str">
        <f>_xlfn.XLOOKUP(E1300,Base!G:G,Base!C:C,"NOVO")</f>
        <v>PENDENTE</v>
      </c>
      <c r="B1300" s="1">
        <v>3314226</v>
      </c>
      <c r="C1300" s="1" t="s">
        <v>26</v>
      </c>
      <c r="D1300" s="2">
        <v>45736.57708333333</v>
      </c>
      <c r="E1300" s="1" t="s">
        <v>1903</v>
      </c>
      <c r="F1300" s="1" t="s">
        <v>1904</v>
      </c>
      <c r="G1300" s="1" t="s">
        <v>64</v>
      </c>
      <c r="H1300" s="2">
        <v>45736.670138888891</v>
      </c>
      <c r="J1300" s="1" t="s">
        <v>1244</v>
      </c>
    </row>
    <row r="1301" spans="1:10" hidden="1" x14ac:dyDescent="0.25">
      <c r="A1301" s="1" t="str">
        <f>_xlfn.XLOOKUP(E1301,Base!G:G,Base!C:C,"NOVO")</f>
        <v>PENDENTE</v>
      </c>
      <c r="B1301" s="1">
        <v>3440949</v>
      </c>
      <c r="C1301" s="1" t="s">
        <v>26</v>
      </c>
      <c r="D1301" s="2">
        <v>45800.763888888891</v>
      </c>
      <c r="E1301" s="1" t="s">
        <v>2527</v>
      </c>
      <c r="F1301" s="1" t="s">
        <v>2527</v>
      </c>
      <c r="G1301" s="1" t="s">
        <v>83</v>
      </c>
      <c r="H1301" s="2">
        <v>45800.856944444444</v>
      </c>
      <c r="J1301" s="1" t="s">
        <v>18</v>
      </c>
    </row>
    <row r="1302" spans="1:10" hidden="1" x14ac:dyDescent="0.25">
      <c r="A1302" s="1" t="str">
        <f>_xlfn.XLOOKUP(E1302,Base!G:G,Base!C:C,"NOVO")</f>
        <v>PENDENTE</v>
      </c>
      <c r="B1302" s="1">
        <v>3413086</v>
      </c>
      <c r="C1302" s="1" t="s">
        <v>26</v>
      </c>
      <c r="D1302" s="2">
        <v>45786.754166666666</v>
      </c>
      <c r="E1302" s="1" t="s">
        <v>2350</v>
      </c>
      <c r="F1302" s="1" t="s">
        <v>2350</v>
      </c>
      <c r="G1302" s="1" t="s">
        <v>83</v>
      </c>
      <c r="H1302" s="2">
        <v>45786.847916666666</v>
      </c>
      <c r="J1302" s="1" t="s">
        <v>18</v>
      </c>
    </row>
    <row r="1303" spans="1:10" hidden="1" x14ac:dyDescent="0.25">
      <c r="A1303" s="1" t="str">
        <f>_xlfn.XLOOKUP(E1303,Base!G:G,Base!C:C,"NOVO")</f>
        <v>PENDENTE</v>
      </c>
      <c r="B1303" s="1">
        <v>3434009</v>
      </c>
      <c r="C1303" s="1" t="s">
        <v>26</v>
      </c>
      <c r="D1303" s="2">
        <v>45798.479166666664</v>
      </c>
      <c r="E1303" s="1" t="s">
        <v>2528</v>
      </c>
      <c r="F1303" s="1" t="s">
        <v>2528</v>
      </c>
      <c r="G1303" s="1" t="s">
        <v>622</v>
      </c>
      <c r="H1303" s="2">
        <v>45798.567361111112</v>
      </c>
      <c r="J1303" s="1" t="s">
        <v>14</v>
      </c>
    </row>
    <row r="1304" spans="1:10" hidden="1" x14ac:dyDescent="0.25">
      <c r="A1304" s="1" t="str">
        <f>_xlfn.XLOOKUP(E1304,Base!G:G,Base!C:C,"NOVO")</f>
        <v>PENDENTE</v>
      </c>
      <c r="B1304" s="1">
        <v>3370396</v>
      </c>
      <c r="C1304" s="1" t="s">
        <v>26</v>
      </c>
      <c r="D1304" s="2">
        <v>45763.762499999997</v>
      </c>
      <c r="E1304" s="1" t="s">
        <v>2130</v>
      </c>
      <c r="F1304" s="1" t="s">
        <v>2130</v>
      </c>
      <c r="G1304" s="1" t="s">
        <v>410</v>
      </c>
      <c r="H1304" s="2">
        <v>45763.856944444444</v>
      </c>
      <c r="J1304" s="1" t="s">
        <v>18</v>
      </c>
    </row>
    <row r="1305" spans="1:10" hidden="1" x14ac:dyDescent="0.25">
      <c r="A1305" s="1" t="str">
        <f>_xlfn.XLOOKUP(E1305,Base!G:G,Base!C:C,"NOVO")</f>
        <v>PENDENTE</v>
      </c>
      <c r="B1305" s="1">
        <v>3240651</v>
      </c>
      <c r="C1305" s="1" t="s">
        <v>26</v>
      </c>
      <c r="D1305" s="2">
        <v>45708.71597222222</v>
      </c>
      <c r="E1305" s="1" t="s">
        <v>1229</v>
      </c>
      <c r="F1305" s="1" t="s">
        <v>1229</v>
      </c>
      <c r="G1305" s="1" t="s">
        <v>83</v>
      </c>
      <c r="H1305" s="2">
        <v>45699.866666666669</v>
      </c>
      <c r="I1305" s="2">
        <v>45708.84652777778</v>
      </c>
      <c r="J1305" s="1" t="s">
        <v>18</v>
      </c>
    </row>
    <row r="1306" spans="1:10" hidden="1" x14ac:dyDescent="0.25">
      <c r="A1306" s="1" t="str">
        <f>_xlfn.XLOOKUP(E1306,Base!G:G,Base!C:C,"NOVO")</f>
        <v>PENDENTE</v>
      </c>
      <c r="B1306" s="1">
        <v>3224624</v>
      </c>
      <c r="C1306" s="1" t="s">
        <v>26</v>
      </c>
      <c r="D1306" s="2">
        <v>45695.274305555555</v>
      </c>
      <c r="E1306" s="1" t="s">
        <v>921</v>
      </c>
      <c r="F1306" s="1" t="s">
        <v>921</v>
      </c>
      <c r="G1306" s="1" t="s">
        <v>692</v>
      </c>
      <c r="H1306" s="2">
        <v>45692.881249999999</v>
      </c>
      <c r="I1306" s="2">
        <v>45695.407638888886</v>
      </c>
      <c r="J1306" s="1" t="s">
        <v>18</v>
      </c>
    </row>
    <row r="1307" spans="1:10" x14ac:dyDescent="0.25">
      <c r="A1307" s="1" t="str">
        <f>_xlfn.XLOOKUP(E1307,Base!G:G,Base!C:C,"NOVO")</f>
        <v>PENDENTE</v>
      </c>
      <c r="B1307" s="1">
        <v>3474177</v>
      </c>
      <c r="C1307" s="1" t="s">
        <v>26</v>
      </c>
      <c r="D1307" s="2">
        <v>45818.590277777781</v>
      </c>
      <c r="E1307" s="1" t="s">
        <v>2759</v>
      </c>
      <c r="F1307" s="1" t="s">
        <v>2759</v>
      </c>
      <c r="G1307" s="1" t="s">
        <v>746</v>
      </c>
      <c r="H1307" s="2">
        <v>45818.678472222222</v>
      </c>
      <c r="J1307" s="1" t="s">
        <v>18</v>
      </c>
    </row>
    <row r="1308" spans="1:10" hidden="1" x14ac:dyDescent="0.25">
      <c r="A1308" s="1" t="str">
        <f>_xlfn.XLOOKUP(E1308,Base!G:G,Base!C:C,"NOVO")</f>
        <v>PENDENTE</v>
      </c>
      <c r="B1308" s="1">
        <v>3296178</v>
      </c>
      <c r="C1308" s="1" t="s">
        <v>26</v>
      </c>
      <c r="D1308" s="2">
        <v>45729.60833333333</v>
      </c>
      <c r="E1308" s="1" t="s">
        <v>1607</v>
      </c>
      <c r="F1308" s="1" t="s">
        <v>1607</v>
      </c>
      <c r="G1308" s="1" t="s">
        <v>1054</v>
      </c>
      <c r="H1308" s="2">
        <v>45728.841666666667</v>
      </c>
      <c r="I1308" s="2">
        <v>45729.70208333333</v>
      </c>
      <c r="J1308" s="1" t="s">
        <v>18</v>
      </c>
    </row>
    <row r="1309" spans="1:10" hidden="1" x14ac:dyDescent="0.25">
      <c r="A1309" s="1" t="str">
        <f>_xlfn.XLOOKUP(E1309,Base!G:G,Base!C:C,"NOVO")</f>
        <v>PENDENTE</v>
      </c>
      <c r="B1309" s="1">
        <v>3226451</v>
      </c>
      <c r="C1309" s="1" t="s">
        <v>26</v>
      </c>
      <c r="D1309" s="2">
        <v>45693.396527777775</v>
      </c>
      <c r="E1309" s="1" t="s">
        <v>1020</v>
      </c>
      <c r="F1309" s="1" t="s">
        <v>1020</v>
      </c>
      <c r="G1309" s="1" t="s">
        <v>620</v>
      </c>
      <c r="H1309" s="2">
        <v>45693.589583333334</v>
      </c>
      <c r="I1309" s="2">
        <v>45694.900694444441</v>
      </c>
      <c r="J1309" s="1" t="s">
        <v>18</v>
      </c>
    </row>
    <row r="1310" spans="1:10" hidden="1" x14ac:dyDescent="0.25">
      <c r="A1310" s="1" t="str">
        <f>_xlfn.XLOOKUP(E1310,Base!G:G,Base!C:C,"NOVO")</f>
        <v>PENDENTE</v>
      </c>
      <c r="B1310" s="1">
        <v>3226445</v>
      </c>
      <c r="C1310" s="1" t="s">
        <v>26</v>
      </c>
      <c r="D1310" s="2">
        <v>45693.396527777775</v>
      </c>
      <c r="E1310" s="1" t="s">
        <v>1021</v>
      </c>
      <c r="F1310" s="1" t="s">
        <v>1021</v>
      </c>
      <c r="G1310" s="1" t="s">
        <v>620</v>
      </c>
      <c r="H1310" s="2">
        <v>45693.588194444441</v>
      </c>
      <c r="I1310" s="2">
        <v>45694.899305555555</v>
      </c>
      <c r="J1310" s="1" t="s">
        <v>18</v>
      </c>
    </row>
    <row r="1311" spans="1:10" hidden="1" x14ac:dyDescent="0.25">
      <c r="A1311" s="1" t="str">
        <f>_xlfn.XLOOKUP(E1311,Base!G:G,Base!C:C,"NOVO")</f>
        <v>PENDENTE</v>
      </c>
      <c r="B1311" s="1">
        <v>3411120</v>
      </c>
      <c r="C1311" s="1" t="s">
        <v>26</v>
      </c>
      <c r="D1311" s="2">
        <v>45786.386111111111</v>
      </c>
      <c r="E1311" s="1" t="s">
        <v>2351</v>
      </c>
      <c r="F1311" s="1" t="s">
        <v>2352</v>
      </c>
      <c r="G1311" s="1" t="s">
        <v>393</v>
      </c>
      <c r="H1311" s="2">
        <v>45786.479166666664</v>
      </c>
      <c r="J1311" s="1" t="s">
        <v>19</v>
      </c>
    </row>
    <row r="1312" spans="1:10" hidden="1" x14ac:dyDescent="0.25">
      <c r="A1312" s="1" t="str">
        <f>_xlfn.XLOOKUP(E1312,Base!G:G,Base!C:C,"NOVO")</f>
        <v>PENDENTE</v>
      </c>
      <c r="B1312" s="1">
        <v>3240674</v>
      </c>
      <c r="C1312" s="1" t="s">
        <v>26</v>
      </c>
      <c r="D1312" s="2">
        <v>45699.737500000003</v>
      </c>
      <c r="E1312" s="1" t="s">
        <v>1230</v>
      </c>
      <c r="F1312" s="1" t="s">
        <v>1230</v>
      </c>
      <c r="G1312" s="1" t="s">
        <v>410</v>
      </c>
      <c r="H1312" s="2">
        <v>45699.869444444441</v>
      </c>
      <c r="J1312" s="1" t="s">
        <v>18</v>
      </c>
    </row>
    <row r="1313" spans="1:10" hidden="1" x14ac:dyDescent="0.25">
      <c r="A1313" s="1" t="str">
        <f>_xlfn.XLOOKUP(E1313,Base!G:G,Base!C:C,"NOVO")</f>
        <v>PENDENTE</v>
      </c>
      <c r="B1313" s="1">
        <v>3357934</v>
      </c>
      <c r="C1313" s="1" t="s">
        <v>26</v>
      </c>
      <c r="D1313" s="2">
        <v>45757.465277777781</v>
      </c>
      <c r="E1313" s="1" t="s">
        <v>2131</v>
      </c>
      <c r="F1313" s="1" t="s">
        <v>2131</v>
      </c>
      <c r="G1313" s="1" t="s">
        <v>754</v>
      </c>
      <c r="H1313" s="2">
        <v>45757.557638888888</v>
      </c>
      <c r="J1313" s="1" t="s">
        <v>18</v>
      </c>
    </row>
    <row r="1314" spans="1:10" hidden="1" x14ac:dyDescent="0.25">
      <c r="A1314" s="1" t="str">
        <f>_xlfn.XLOOKUP(E1314,Base!G:G,Base!C:C,"NOVO")</f>
        <v>PENDENTE</v>
      </c>
      <c r="B1314" s="1">
        <v>3268867</v>
      </c>
      <c r="C1314" s="1" t="s">
        <v>26</v>
      </c>
      <c r="D1314" s="2">
        <v>45713.710416666669</v>
      </c>
      <c r="E1314" s="1" t="s">
        <v>1363</v>
      </c>
      <c r="F1314" s="1" t="s">
        <v>1363</v>
      </c>
      <c r="G1314" s="1" t="s">
        <v>83</v>
      </c>
      <c r="H1314" s="2">
        <v>45713.84652777778</v>
      </c>
      <c r="J1314" s="1" t="s">
        <v>18</v>
      </c>
    </row>
    <row r="1315" spans="1:10" hidden="1" x14ac:dyDescent="0.25">
      <c r="A1315" s="1" t="str">
        <f>_xlfn.XLOOKUP(E1315,Base!G:G,Base!C:C,"NOVO")</f>
        <v>PENDENTE</v>
      </c>
      <c r="B1315" s="1">
        <v>3413070</v>
      </c>
      <c r="C1315" s="1" t="s">
        <v>26</v>
      </c>
      <c r="D1315" s="2">
        <v>45786.754166666666</v>
      </c>
      <c r="E1315" s="1" t="s">
        <v>2353</v>
      </c>
      <c r="F1315" s="1" t="s">
        <v>2353</v>
      </c>
      <c r="G1315" s="1" t="s">
        <v>83</v>
      </c>
      <c r="H1315" s="2">
        <v>45786.845138888886</v>
      </c>
      <c r="J1315" s="1" t="s">
        <v>18</v>
      </c>
    </row>
    <row r="1316" spans="1:10" hidden="1" x14ac:dyDescent="0.25">
      <c r="A1316" s="1" t="str">
        <f>_xlfn.XLOOKUP(E1316,Base!G:G,Base!C:C,"NOVO")</f>
        <v>PENDENTE</v>
      </c>
      <c r="B1316" s="1">
        <v>3274242</v>
      </c>
      <c r="C1316" s="1" t="s">
        <v>26</v>
      </c>
      <c r="D1316" s="2">
        <v>45715.69027777778</v>
      </c>
      <c r="E1316" s="1" t="s">
        <v>1364</v>
      </c>
      <c r="F1316" s="1" t="s">
        <v>1365</v>
      </c>
      <c r="G1316" s="1" t="s">
        <v>64</v>
      </c>
      <c r="H1316" s="2">
        <v>45715.824999999997</v>
      </c>
      <c r="J1316" s="1" t="s">
        <v>1244</v>
      </c>
    </row>
    <row r="1317" spans="1:10" hidden="1" x14ac:dyDescent="0.25">
      <c r="A1317" s="1" t="str">
        <f>_xlfn.XLOOKUP(E1317,Base!G:G,Base!C:C,"NOVO")</f>
        <v>PENDENTE</v>
      </c>
      <c r="B1317" s="1">
        <v>3354509</v>
      </c>
      <c r="C1317" s="1" t="s">
        <v>12</v>
      </c>
      <c r="D1317" s="2">
        <v>45755.646527777775</v>
      </c>
      <c r="E1317" s="1">
        <v>101</v>
      </c>
      <c r="F1317" s="1">
        <v>101</v>
      </c>
      <c r="G1317" s="1" t="s">
        <v>16</v>
      </c>
      <c r="H1317" s="2">
        <v>45755.831250000003</v>
      </c>
      <c r="I1317" s="2">
        <v>45804.647222222222</v>
      </c>
      <c r="J1317" s="1" t="s">
        <v>14</v>
      </c>
    </row>
    <row r="1318" spans="1:10" hidden="1" x14ac:dyDescent="0.25">
      <c r="A1318" s="1" t="str">
        <f>_xlfn.XLOOKUP(E1318,Base!G:G,Base!C:C,"NOVO")</f>
        <v>PENDENTE</v>
      </c>
      <c r="B1318" s="1">
        <v>3369873</v>
      </c>
      <c r="C1318" s="1" t="s">
        <v>12</v>
      </c>
      <c r="D1318" s="2">
        <v>45763.461111111108</v>
      </c>
      <c r="E1318" s="1">
        <v>105</v>
      </c>
      <c r="F1318" s="1">
        <v>105</v>
      </c>
      <c r="G1318" s="1" t="s">
        <v>16</v>
      </c>
      <c r="H1318" s="2">
        <v>45763.705555555556</v>
      </c>
      <c r="I1318" s="2">
        <v>45804.647222222222</v>
      </c>
      <c r="J1318" s="1" t="s">
        <v>14</v>
      </c>
    </row>
    <row r="1319" spans="1:10" hidden="1" x14ac:dyDescent="0.25">
      <c r="A1319" s="1" t="str">
        <f>_xlfn.XLOOKUP(E1319,Base!G:G,Base!C:C,"NOVO")</f>
        <v>PENDENTE</v>
      </c>
      <c r="B1319" s="1">
        <v>3373004</v>
      </c>
      <c r="C1319" s="1" t="s">
        <v>12</v>
      </c>
      <c r="D1319" s="2">
        <v>45764.65625</v>
      </c>
      <c r="E1319" s="1">
        <v>109</v>
      </c>
      <c r="F1319" s="1">
        <v>109</v>
      </c>
      <c r="G1319" s="1" t="s">
        <v>16</v>
      </c>
      <c r="H1319" s="2">
        <v>45764.736111111109</v>
      </c>
      <c r="I1319" s="2">
        <v>45804.647222222222</v>
      </c>
      <c r="J1319" s="1" t="s">
        <v>14</v>
      </c>
    </row>
    <row r="1320" spans="1:10" hidden="1" x14ac:dyDescent="0.25">
      <c r="A1320" s="1" t="str">
        <f>_xlfn.XLOOKUP(E1320,Base!G:G,Base!C:C,"NOVO")</f>
        <v>PENDENTE</v>
      </c>
      <c r="B1320" s="1">
        <v>3327361</v>
      </c>
      <c r="C1320" s="1" t="s">
        <v>12</v>
      </c>
      <c r="D1320" s="2">
        <v>45742.63958333333</v>
      </c>
      <c r="E1320" s="1">
        <v>11473</v>
      </c>
      <c r="F1320" s="1">
        <v>11473</v>
      </c>
      <c r="G1320" s="1" t="s">
        <v>16</v>
      </c>
      <c r="H1320" s="2">
        <v>45742.905555555553</v>
      </c>
      <c r="I1320" s="2">
        <v>45745.912499999999</v>
      </c>
      <c r="J1320" s="1" t="s">
        <v>14</v>
      </c>
    </row>
    <row r="1321" spans="1:10" hidden="1" x14ac:dyDescent="0.25">
      <c r="A1321" s="1" t="str">
        <f>_xlfn.XLOOKUP(E1321,Base!G:G,Base!C:C,"NOVO")</f>
        <v>PENDENTE</v>
      </c>
      <c r="B1321" s="1">
        <v>3389071</v>
      </c>
      <c r="C1321" s="1" t="s">
        <v>12</v>
      </c>
      <c r="D1321" s="2">
        <v>45775.75</v>
      </c>
      <c r="E1321" s="1">
        <v>117</v>
      </c>
      <c r="F1321" s="1">
        <v>117</v>
      </c>
      <c r="G1321" s="1" t="s">
        <v>16</v>
      </c>
      <c r="H1321" s="2">
        <v>45776.115277777775</v>
      </c>
      <c r="I1321" s="2">
        <v>45804.647222222222</v>
      </c>
      <c r="J1321" s="1" t="s">
        <v>14</v>
      </c>
    </row>
    <row r="1322" spans="1:10" hidden="1" x14ac:dyDescent="0.25">
      <c r="A1322" s="1" t="str">
        <f>_xlfn.XLOOKUP(E1322,Base!G:G,Base!C:C,"NOVO")</f>
        <v>PENDENTE</v>
      </c>
      <c r="B1322" s="1">
        <v>3362271</v>
      </c>
      <c r="C1322" s="1" t="s">
        <v>12</v>
      </c>
      <c r="D1322" s="2">
        <v>45758.74722222222</v>
      </c>
      <c r="E1322" s="1">
        <v>11715</v>
      </c>
      <c r="F1322" s="1">
        <v>11715</v>
      </c>
      <c r="G1322" s="1" t="s">
        <v>16</v>
      </c>
      <c r="H1322" s="2">
        <v>45758.878472222219</v>
      </c>
      <c r="I1322" s="2">
        <v>45804.647222222222</v>
      </c>
      <c r="J1322" s="1" t="s">
        <v>14</v>
      </c>
    </row>
    <row r="1323" spans="1:10" hidden="1" x14ac:dyDescent="0.25">
      <c r="A1323" s="1" t="str">
        <f>_xlfn.XLOOKUP(E1323,Base!G:G,Base!C:C,"NOVO")</f>
        <v>PENDENTE</v>
      </c>
      <c r="B1323" s="1">
        <v>3372971</v>
      </c>
      <c r="C1323" s="1" t="s">
        <v>12</v>
      </c>
      <c r="D1323" s="2">
        <v>45764.540277777778</v>
      </c>
      <c r="E1323" s="1">
        <v>11796</v>
      </c>
      <c r="F1323" s="1">
        <v>11796</v>
      </c>
      <c r="G1323" s="1" t="s">
        <v>2132</v>
      </c>
      <c r="H1323" s="2">
        <v>45764.732638888891</v>
      </c>
      <c r="I1323" s="2">
        <v>45804.647222222222</v>
      </c>
      <c r="J1323" s="1" t="s">
        <v>19</v>
      </c>
    </row>
    <row r="1324" spans="1:10" hidden="1" x14ac:dyDescent="0.25">
      <c r="A1324" s="1" t="str">
        <f>_xlfn.XLOOKUP(E1324,Base!G:G,Base!C:C,"NOVO")</f>
        <v>PENDENTE</v>
      </c>
      <c r="B1324" s="1">
        <v>3391908</v>
      </c>
      <c r="C1324" s="1" t="s">
        <v>12</v>
      </c>
      <c r="D1324" s="2">
        <v>45776.679166666669</v>
      </c>
      <c r="E1324" s="1">
        <v>120</v>
      </c>
      <c r="F1324" s="1">
        <v>120</v>
      </c>
      <c r="G1324" s="1" t="s">
        <v>16</v>
      </c>
      <c r="H1324" s="2">
        <v>45776.882638888892</v>
      </c>
      <c r="I1324" s="2">
        <v>45804.647222222222</v>
      </c>
      <c r="J1324" s="1" t="s">
        <v>14</v>
      </c>
    </row>
    <row r="1325" spans="1:10" hidden="1" x14ac:dyDescent="0.25">
      <c r="A1325" s="1" t="str">
        <f>_xlfn.XLOOKUP(E1325,Base!G:G,Base!C:C,"NOVO")</f>
        <v>PENDENTE</v>
      </c>
      <c r="B1325" s="1">
        <v>3448035</v>
      </c>
      <c r="C1325" s="1" t="s">
        <v>12</v>
      </c>
      <c r="D1325" s="2">
        <v>45805.374305555553</v>
      </c>
      <c r="E1325" s="1">
        <v>12445</v>
      </c>
      <c r="F1325" s="1">
        <v>12445</v>
      </c>
      <c r="G1325" s="1" t="s">
        <v>16</v>
      </c>
      <c r="H1325" s="2">
        <v>45805.49722222222</v>
      </c>
      <c r="I1325" s="2">
        <v>45811.443055555559</v>
      </c>
      <c r="J1325" s="1" t="s">
        <v>14</v>
      </c>
    </row>
    <row r="1326" spans="1:10" hidden="1" x14ac:dyDescent="0.25">
      <c r="A1326" s="1" t="str">
        <f>_xlfn.XLOOKUP(E1326,Base!G:G,Base!C:C,"NOVO")</f>
        <v>PENDENTE</v>
      </c>
      <c r="B1326" s="1">
        <v>3412721</v>
      </c>
      <c r="C1326" s="1" t="s">
        <v>12</v>
      </c>
      <c r="D1326" s="2">
        <v>45786.615277777775</v>
      </c>
      <c r="E1326" s="1">
        <v>125</v>
      </c>
      <c r="F1326" s="1">
        <v>125</v>
      </c>
      <c r="G1326" s="1" t="s">
        <v>16</v>
      </c>
      <c r="H1326" s="2">
        <v>45786.772222222222</v>
      </c>
      <c r="I1326" s="2">
        <v>45811.443749999999</v>
      </c>
      <c r="J1326" s="1" t="s">
        <v>14</v>
      </c>
    </row>
    <row r="1327" spans="1:10" hidden="1" x14ac:dyDescent="0.25">
      <c r="A1327" s="1" t="str">
        <f>_xlfn.XLOOKUP(E1327,Base!G:G,Base!C:C,"NOVO")</f>
        <v>PENDENTE</v>
      </c>
      <c r="B1327" s="1">
        <v>3305948</v>
      </c>
      <c r="C1327" s="1" t="s">
        <v>12</v>
      </c>
      <c r="D1327" s="2">
        <v>45733.582638888889</v>
      </c>
      <c r="E1327" s="1">
        <v>1375</v>
      </c>
      <c r="F1327" s="1">
        <v>1375</v>
      </c>
      <c r="G1327" s="1" t="s">
        <v>16</v>
      </c>
      <c r="H1327" s="2">
        <v>45733.818055555559</v>
      </c>
      <c r="I1327" s="2">
        <v>45736.842361111114</v>
      </c>
      <c r="J1327" s="1" t="s">
        <v>14</v>
      </c>
    </row>
    <row r="1328" spans="1:10" hidden="1" x14ac:dyDescent="0.25">
      <c r="A1328" s="1" t="str">
        <f>_xlfn.XLOOKUP(E1328,Base!G:G,Base!C:C,"NOVO")</f>
        <v>PENDENTE</v>
      </c>
      <c r="B1328" s="1">
        <v>3290907</v>
      </c>
      <c r="C1328" s="1" t="s">
        <v>12</v>
      </c>
      <c r="D1328" s="2">
        <v>45726.661111111112</v>
      </c>
      <c r="E1328" s="1">
        <v>13906</v>
      </c>
      <c r="F1328" s="1">
        <v>13906</v>
      </c>
      <c r="G1328" s="1" t="s">
        <v>1608</v>
      </c>
      <c r="H1328" s="2">
        <v>45726.968055555553</v>
      </c>
      <c r="I1328" s="2">
        <v>45729.978472222225</v>
      </c>
      <c r="J1328" s="1" t="s">
        <v>14</v>
      </c>
    </row>
    <row r="1329" spans="1:10" hidden="1" x14ac:dyDescent="0.25">
      <c r="A1329" s="1" t="str">
        <f>_xlfn.XLOOKUP(E1329,Base!G:G,Base!C:C,"NOVO")</f>
        <v>PENDENTE</v>
      </c>
      <c r="B1329" s="1">
        <v>3311051</v>
      </c>
      <c r="C1329" s="1" t="s">
        <v>12</v>
      </c>
      <c r="D1329" s="2">
        <v>45735.493750000001</v>
      </c>
      <c r="E1329" s="1">
        <v>14636</v>
      </c>
      <c r="F1329" s="1">
        <v>14636</v>
      </c>
      <c r="G1329" s="1" t="s">
        <v>16</v>
      </c>
      <c r="H1329" s="2">
        <v>45735.57708333333</v>
      </c>
      <c r="I1329" s="2">
        <v>45738.811111111114</v>
      </c>
      <c r="J1329" s="1" t="s">
        <v>14</v>
      </c>
    </row>
    <row r="1330" spans="1:10" hidden="1" x14ac:dyDescent="0.25">
      <c r="A1330" s="1" t="str">
        <f>_xlfn.XLOOKUP(E1330,Base!G:G,Base!C:C,"NOVO")</f>
        <v>PENDENTE</v>
      </c>
      <c r="B1330" s="1">
        <v>3311050</v>
      </c>
      <c r="C1330" s="1" t="s">
        <v>12</v>
      </c>
      <c r="D1330" s="2">
        <v>45735.493055555555</v>
      </c>
      <c r="E1330" s="1">
        <v>14637</v>
      </c>
      <c r="F1330" s="1">
        <v>14637</v>
      </c>
      <c r="G1330" s="1" t="s">
        <v>16</v>
      </c>
      <c r="H1330" s="2">
        <v>45735.57708333333</v>
      </c>
      <c r="I1330" s="2">
        <v>45738.811111111114</v>
      </c>
      <c r="J1330" s="1" t="s">
        <v>14</v>
      </c>
    </row>
    <row r="1331" spans="1:10" hidden="1" x14ac:dyDescent="0.25">
      <c r="A1331" s="1" t="str">
        <f>_xlfn.XLOOKUP(E1331,Base!G:G,Base!C:C,"NOVO")</f>
        <v>PENDENTE</v>
      </c>
      <c r="B1331" s="1">
        <v>3316707</v>
      </c>
      <c r="C1331" s="1" t="s">
        <v>12</v>
      </c>
      <c r="D1331" s="2">
        <v>45737.444444444445</v>
      </c>
      <c r="E1331" s="1">
        <v>14762</v>
      </c>
      <c r="F1331" s="1">
        <v>14762</v>
      </c>
      <c r="G1331" s="1" t="s">
        <v>1905</v>
      </c>
      <c r="H1331" s="2">
        <v>45737.604861111111</v>
      </c>
      <c r="I1331" s="2">
        <v>45740.887499999997</v>
      </c>
      <c r="J1331" s="1" t="s">
        <v>19</v>
      </c>
    </row>
    <row r="1332" spans="1:10" hidden="1" x14ac:dyDescent="0.25">
      <c r="A1332" s="1" t="str">
        <f>_xlfn.XLOOKUP(E1332,Base!G:G,Base!C:C,"NOVO")</f>
        <v>PENDENTE</v>
      </c>
      <c r="B1332" s="1">
        <v>3421582</v>
      </c>
      <c r="C1332" s="1" t="s">
        <v>12</v>
      </c>
      <c r="D1332" s="2">
        <v>45791.742361111108</v>
      </c>
      <c r="E1332" s="1">
        <v>15175</v>
      </c>
      <c r="F1332" s="1">
        <v>15175</v>
      </c>
      <c r="G1332" s="1" t="s">
        <v>2529</v>
      </c>
      <c r="H1332" s="2">
        <v>45791.834722222222</v>
      </c>
      <c r="I1332" s="2">
        <v>45811.443749999999</v>
      </c>
      <c r="J1332" s="1" t="s">
        <v>14</v>
      </c>
    </row>
    <row r="1333" spans="1:10" hidden="1" x14ac:dyDescent="0.25">
      <c r="A1333" s="1" t="str">
        <f>_xlfn.XLOOKUP(E1333,Base!G:G,Base!C:C,"NOVO")</f>
        <v>PENDENTE</v>
      </c>
      <c r="B1333" s="1">
        <v>3312626</v>
      </c>
      <c r="C1333" s="1" t="s">
        <v>12</v>
      </c>
      <c r="D1333" s="2">
        <v>45735.644444444442</v>
      </c>
      <c r="E1333" s="1">
        <v>15525</v>
      </c>
      <c r="F1333" s="1">
        <v>15525</v>
      </c>
      <c r="G1333" s="1" t="s">
        <v>16</v>
      </c>
      <c r="H1333" s="2">
        <v>45735.836805555555</v>
      </c>
      <c r="I1333" s="2">
        <v>45738.811111111114</v>
      </c>
      <c r="J1333" s="1" t="s">
        <v>14</v>
      </c>
    </row>
    <row r="1334" spans="1:10" hidden="1" x14ac:dyDescent="0.25">
      <c r="A1334" s="1" t="str">
        <f>_xlfn.XLOOKUP(E1334,Base!G:G,Base!C:C,"NOVO")</f>
        <v>PENDENTE</v>
      </c>
      <c r="B1334" s="1">
        <v>3459378</v>
      </c>
      <c r="C1334" s="1" t="s">
        <v>12</v>
      </c>
      <c r="D1334" s="2">
        <v>45810.765972222223</v>
      </c>
      <c r="E1334" s="1">
        <v>156</v>
      </c>
      <c r="F1334" s="1">
        <v>156</v>
      </c>
      <c r="G1334" s="1" t="s">
        <v>16</v>
      </c>
      <c r="H1334" s="2">
        <v>45810.853472222225</v>
      </c>
      <c r="I1334" s="2">
        <v>45820.675694444442</v>
      </c>
      <c r="J1334" s="1" t="s">
        <v>14</v>
      </c>
    </row>
    <row r="1335" spans="1:10" hidden="1" x14ac:dyDescent="0.25">
      <c r="A1335" s="1" t="str">
        <f>_xlfn.XLOOKUP(E1335,Base!G:G,Base!C:C,"NOVO")</f>
        <v>PENDENTE</v>
      </c>
      <c r="B1335" s="1">
        <v>3364210</v>
      </c>
      <c r="C1335" s="1" t="s">
        <v>12</v>
      </c>
      <c r="D1335" s="2">
        <v>45761.4375</v>
      </c>
      <c r="E1335" s="1">
        <v>15630</v>
      </c>
      <c r="F1335" s="1">
        <v>15630</v>
      </c>
      <c r="G1335" s="1" t="s">
        <v>16</v>
      </c>
      <c r="H1335" s="2">
        <v>45761.671527777777</v>
      </c>
      <c r="I1335" s="2">
        <v>45764.972222222219</v>
      </c>
      <c r="J1335" s="1" t="s">
        <v>14</v>
      </c>
    </row>
    <row r="1336" spans="1:10" hidden="1" x14ac:dyDescent="0.25">
      <c r="A1336" s="1" t="str">
        <f>_xlfn.XLOOKUP(E1336,Base!G:G,Base!C:C,"NOVO")</f>
        <v>PENDENTE</v>
      </c>
      <c r="B1336" s="1">
        <v>3459376</v>
      </c>
      <c r="C1336" s="1" t="s">
        <v>12</v>
      </c>
      <c r="D1336" s="2">
        <v>45810.741666666669</v>
      </c>
      <c r="E1336" s="1">
        <v>158</v>
      </c>
      <c r="F1336" s="1">
        <v>158</v>
      </c>
      <c r="G1336" s="1" t="s">
        <v>16</v>
      </c>
      <c r="H1336" s="2">
        <v>45810.853472222225</v>
      </c>
      <c r="I1336" s="2">
        <v>45820.675694444442</v>
      </c>
      <c r="J1336" s="1" t="s">
        <v>14</v>
      </c>
    </row>
    <row r="1337" spans="1:10" hidden="1" x14ac:dyDescent="0.25">
      <c r="A1337" s="1" t="str">
        <f>_xlfn.XLOOKUP(E1337,Base!G:G,Base!C:C,"NOVO")</f>
        <v>PENDENTE</v>
      </c>
      <c r="B1337" s="1">
        <v>3332957</v>
      </c>
      <c r="C1337" s="1" t="s">
        <v>12</v>
      </c>
      <c r="D1337" s="2">
        <v>45744.776388888888</v>
      </c>
      <c r="E1337" s="1">
        <v>15980</v>
      </c>
      <c r="F1337" s="1">
        <v>15980</v>
      </c>
      <c r="G1337" s="1" t="s">
        <v>16</v>
      </c>
      <c r="H1337" s="2">
        <v>45744.947916666664</v>
      </c>
      <c r="I1337" s="2">
        <v>45747.979166666664</v>
      </c>
      <c r="J1337" s="1" t="s">
        <v>14</v>
      </c>
    </row>
    <row r="1338" spans="1:10" x14ac:dyDescent="0.25">
      <c r="A1338" s="1" t="str">
        <f>_xlfn.XLOOKUP(E1338,Base!G:G,Base!C:C,"NOVO")</f>
        <v>PENDENTE</v>
      </c>
      <c r="B1338" s="1">
        <v>3470361</v>
      </c>
      <c r="C1338" s="1" t="s">
        <v>12</v>
      </c>
      <c r="D1338" s="2">
        <v>45814.676388888889</v>
      </c>
      <c r="E1338" s="1">
        <v>163</v>
      </c>
      <c r="F1338" s="1">
        <v>163</v>
      </c>
      <c r="G1338" s="1" t="s">
        <v>16</v>
      </c>
      <c r="H1338" s="2">
        <v>45814.920138888891</v>
      </c>
      <c r="I1338" s="2">
        <v>45820.675694444442</v>
      </c>
      <c r="J1338" s="1" t="s">
        <v>14</v>
      </c>
    </row>
    <row r="1339" spans="1:10" hidden="1" x14ac:dyDescent="0.25">
      <c r="A1339" s="1" t="str">
        <f>_xlfn.XLOOKUP(E1339,Base!G:G,Base!C:C,"NOVO")</f>
        <v>PENDENTE</v>
      </c>
      <c r="B1339" s="1">
        <v>3345696</v>
      </c>
      <c r="C1339" s="1" t="s">
        <v>12</v>
      </c>
      <c r="D1339" s="2">
        <v>45750.638194444444</v>
      </c>
      <c r="E1339" s="1">
        <v>1637</v>
      </c>
      <c r="F1339" s="1">
        <v>1637</v>
      </c>
      <c r="G1339" s="1" t="s">
        <v>16</v>
      </c>
      <c r="H1339" s="2">
        <v>45750.782638888886</v>
      </c>
      <c r="I1339" s="2">
        <v>45804.645138888889</v>
      </c>
      <c r="J1339" s="1" t="s">
        <v>14</v>
      </c>
    </row>
    <row r="1340" spans="1:10" hidden="1" x14ac:dyDescent="0.25">
      <c r="A1340" s="1" t="str">
        <f>_xlfn.XLOOKUP(E1340,Base!G:G,Base!C:C,"NOVO")</f>
        <v>PENDENTE</v>
      </c>
      <c r="B1340" s="1">
        <v>3379527</v>
      </c>
      <c r="C1340" s="1" t="s">
        <v>12</v>
      </c>
      <c r="D1340" s="2">
        <v>45770.780555555553</v>
      </c>
      <c r="E1340" s="1">
        <v>17</v>
      </c>
      <c r="F1340" s="1">
        <v>17</v>
      </c>
      <c r="G1340" s="1" t="s">
        <v>2133</v>
      </c>
      <c r="H1340" s="2">
        <v>45770.781944444447</v>
      </c>
      <c r="I1340" s="2">
        <v>45804.645138888889</v>
      </c>
      <c r="J1340" s="1" t="s">
        <v>14</v>
      </c>
    </row>
    <row r="1341" spans="1:10" hidden="1" x14ac:dyDescent="0.25">
      <c r="A1341" s="1" t="str">
        <f>_xlfn.XLOOKUP(E1341,Base!G:G,Base!C:C,"NOVO")</f>
        <v>PENDENTE</v>
      </c>
      <c r="B1341" s="1">
        <v>3257383</v>
      </c>
      <c r="C1341" s="1" t="s">
        <v>12</v>
      </c>
      <c r="D1341" s="2">
        <v>45666.795138888891</v>
      </c>
      <c r="E1341" s="1">
        <v>17008</v>
      </c>
      <c r="F1341" s="1">
        <v>17008</v>
      </c>
      <c r="G1341" s="1" t="s">
        <v>2582</v>
      </c>
      <c r="H1341" s="2">
        <v>45708.497916666667</v>
      </c>
      <c r="J1341" s="1" t="s">
        <v>14</v>
      </c>
    </row>
    <row r="1342" spans="1:10" hidden="1" x14ac:dyDescent="0.25">
      <c r="A1342" s="1" t="str">
        <f>_xlfn.XLOOKUP(E1342,Base!G:G,Base!C:C,"NOVO")</f>
        <v>PENDENTE</v>
      </c>
      <c r="B1342" s="1">
        <v>3269820</v>
      </c>
      <c r="C1342" s="1" t="s">
        <v>12</v>
      </c>
      <c r="D1342" s="2">
        <v>45470.826388888891</v>
      </c>
      <c r="E1342" s="1">
        <v>171</v>
      </c>
      <c r="F1342" s="1">
        <v>171</v>
      </c>
      <c r="G1342" s="1" t="s">
        <v>374</v>
      </c>
      <c r="H1342" s="2">
        <v>45714.49722222222</v>
      </c>
      <c r="J1342" s="1" t="s">
        <v>14</v>
      </c>
    </row>
    <row r="1343" spans="1:10" hidden="1" x14ac:dyDescent="0.25">
      <c r="A1343" s="1" t="str">
        <f>_xlfn.XLOOKUP(E1343,Base!G:G,Base!C:C,"NOVO")</f>
        <v>PENDENTE</v>
      </c>
      <c r="B1343" s="1">
        <v>3406640</v>
      </c>
      <c r="C1343" s="1" t="s">
        <v>12</v>
      </c>
      <c r="D1343" s="2">
        <v>45784.588888888888</v>
      </c>
      <c r="E1343" s="1">
        <v>17124</v>
      </c>
      <c r="F1343" s="1">
        <v>17124</v>
      </c>
      <c r="G1343" s="1" t="s">
        <v>158</v>
      </c>
      <c r="H1343" s="2">
        <v>45784.787499999999</v>
      </c>
      <c r="I1343" s="2">
        <v>45787.990972222222</v>
      </c>
      <c r="J1343" s="1" t="s">
        <v>14</v>
      </c>
    </row>
    <row r="1344" spans="1:10" hidden="1" x14ac:dyDescent="0.25">
      <c r="A1344" s="1" t="str">
        <f>_xlfn.XLOOKUP(E1344,Base!G:G,Base!C:C,"NOVO")</f>
        <v>PENDENTE</v>
      </c>
      <c r="B1344" s="1">
        <v>3357336</v>
      </c>
      <c r="C1344" s="1" t="s">
        <v>12</v>
      </c>
      <c r="D1344" s="2">
        <v>45756.729166666664</v>
      </c>
      <c r="E1344" s="1">
        <v>17202</v>
      </c>
      <c r="F1344" s="1">
        <v>17202</v>
      </c>
      <c r="G1344" s="1" t="s">
        <v>16</v>
      </c>
      <c r="H1344" s="2">
        <v>45756.870138888888</v>
      </c>
      <c r="I1344" s="2">
        <v>45804.647916666669</v>
      </c>
      <c r="J1344" s="1" t="s">
        <v>14</v>
      </c>
    </row>
    <row r="1345" spans="1:10" hidden="1" x14ac:dyDescent="0.25">
      <c r="A1345" s="1" t="str">
        <f>_xlfn.XLOOKUP(E1345,Base!G:G,Base!C:C,"NOVO")</f>
        <v>PENDENTE</v>
      </c>
      <c r="B1345" s="1">
        <v>3269817</v>
      </c>
      <c r="C1345" s="1" t="s">
        <v>12</v>
      </c>
      <c r="D1345" s="2">
        <v>45474.535416666666</v>
      </c>
      <c r="E1345" s="1">
        <v>173</v>
      </c>
      <c r="F1345" s="1">
        <v>173</v>
      </c>
      <c r="G1345" s="1" t="s">
        <v>374</v>
      </c>
      <c r="H1345" s="2">
        <v>45714.49722222222</v>
      </c>
      <c r="J1345" s="1" t="s">
        <v>14</v>
      </c>
    </row>
    <row r="1346" spans="1:10" hidden="1" x14ac:dyDescent="0.25">
      <c r="A1346" s="1" t="str">
        <f>_xlfn.XLOOKUP(E1346,Base!G:G,Base!C:C,"NOVO")</f>
        <v>PENDENTE</v>
      </c>
      <c r="B1346" s="1">
        <v>3269814</v>
      </c>
      <c r="C1346" s="1" t="s">
        <v>12</v>
      </c>
      <c r="D1346" s="2">
        <v>45474.531944444447</v>
      </c>
      <c r="E1346" s="1">
        <v>174</v>
      </c>
      <c r="F1346" s="1">
        <v>174</v>
      </c>
      <c r="G1346" s="1" t="s">
        <v>374</v>
      </c>
      <c r="H1346" s="2">
        <v>45714.49722222222</v>
      </c>
      <c r="J1346" s="1" t="s">
        <v>14</v>
      </c>
    </row>
    <row r="1347" spans="1:10" hidden="1" x14ac:dyDescent="0.25">
      <c r="A1347" s="1" t="str">
        <f>_xlfn.XLOOKUP(E1347,Base!G:G,Base!C:C,"NOVO")</f>
        <v>PENDENTE</v>
      </c>
      <c r="B1347" s="1">
        <v>3228553</v>
      </c>
      <c r="C1347" s="1" t="s">
        <v>12</v>
      </c>
      <c r="D1347" s="2">
        <v>45694.400000000001</v>
      </c>
      <c r="E1347" s="1">
        <v>177065</v>
      </c>
      <c r="F1347" s="1">
        <v>177065</v>
      </c>
      <c r="G1347" s="1" t="s">
        <v>16</v>
      </c>
      <c r="H1347" s="2">
        <v>45694.454861111109</v>
      </c>
      <c r="I1347" s="2">
        <v>45706.365972222222</v>
      </c>
      <c r="J1347" s="1" t="s">
        <v>14</v>
      </c>
    </row>
    <row r="1348" spans="1:10" hidden="1" x14ac:dyDescent="0.25">
      <c r="A1348" s="1" t="str">
        <f>_xlfn.XLOOKUP(E1348,Base!G:G,Base!C:C,"NOVO")</f>
        <v>PENDENTE</v>
      </c>
      <c r="B1348" s="1">
        <v>3234166</v>
      </c>
      <c r="C1348" s="1" t="s">
        <v>12</v>
      </c>
      <c r="D1348" s="2">
        <v>45695.730555555558</v>
      </c>
      <c r="E1348" s="1">
        <v>18013</v>
      </c>
      <c r="F1348" s="1">
        <v>18013</v>
      </c>
      <c r="G1348" s="1" t="s">
        <v>1022</v>
      </c>
      <c r="H1348" s="2">
        <v>45695.987500000003</v>
      </c>
      <c r="I1348" s="2">
        <v>45726.678472222222</v>
      </c>
      <c r="J1348" s="1" t="s">
        <v>14</v>
      </c>
    </row>
    <row r="1349" spans="1:10" hidden="1" x14ac:dyDescent="0.25">
      <c r="A1349" s="1" t="str">
        <f>_xlfn.XLOOKUP(E1349,Base!G:G,Base!C:C,"NOVO")</f>
        <v>PENDENTE</v>
      </c>
      <c r="B1349" s="1">
        <v>3314071</v>
      </c>
      <c r="C1349" s="1" t="s">
        <v>12</v>
      </c>
      <c r="D1349" s="2">
        <v>45706.443055555559</v>
      </c>
      <c r="E1349" s="1">
        <v>18372</v>
      </c>
      <c r="F1349" s="1">
        <v>18372</v>
      </c>
      <c r="G1349" s="1" t="s">
        <v>1231</v>
      </c>
      <c r="H1349" s="2">
        <v>45736.661805555559</v>
      </c>
      <c r="J1349" s="1" t="s">
        <v>14</v>
      </c>
    </row>
    <row r="1350" spans="1:10" hidden="1" x14ac:dyDescent="0.25">
      <c r="A1350" s="1" t="str">
        <f>_xlfn.XLOOKUP(E1350,Base!G:G,Base!C:C,"NOVO")</f>
        <v>PENDENTE</v>
      </c>
      <c r="B1350" s="1">
        <v>3413465</v>
      </c>
      <c r="C1350" s="1" t="s">
        <v>12</v>
      </c>
      <c r="D1350" s="2">
        <v>45786.8</v>
      </c>
      <c r="E1350" s="1">
        <v>19086</v>
      </c>
      <c r="F1350" s="1">
        <v>19086</v>
      </c>
      <c r="G1350" s="1" t="s">
        <v>16</v>
      </c>
      <c r="H1350" s="2">
        <v>45787.004861111112</v>
      </c>
      <c r="I1350" s="2">
        <v>45789.815972222219</v>
      </c>
      <c r="J1350" s="1" t="s">
        <v>14</v>
      </c>
    </row>
    <row r="1351" spans="1:10" hidden="1" x14ac:dyDescent="0.25">
      <c r="A1351" s="1" t="str">
        <f>_xlfn.XLOOKUP(E1351,Base!G:G,Base!C:C,"NOVO")</f>
        <v>PENDENTE</v>
      </c>
      <c r="B1351" s="1">
        <v>3310899</v>
      </c>
      <c r="C1351" s="1" t="s">
        <v>12</v>
      </c>
      <c r="D1351" s="2">
        <v>45735.390972222223</v>
      </c>
      <c r="E1351" s="1">
        <v>19456</v>
      </c>
      <c r="F1351" s="1">
        <v>19456</v>
      </c>
      <c r="G1351" s="1" t="s">
        <v>1906</v>
      </c>
      <c r="H1351" s="2">
        <v>45735.556944444441</v>
      </c>
      <c r="I1351" s="2">
        <v>45738.810416666667</v>
      </c>
      <c r="J1351" s="1" t="s">
        <v>14</v>
      </c>
    </row>
    <row r="1352" spans="1:10" hidden="1" x14ac:dyDescent="0.25">
      <c r="A1352" s="1" t="str">
        <f>_xlfn.XLOOKUP(E1352,Base!G:G,Base!C:C,"NOVO")</f>
        <v>PENDENTE</v>
      </c>
      <c r="B1352" s="1">
        <v>3330461</v>
      </c>
      <c r="C1352" s="1" t="s">
        <v>12</v>
      </c>
      <c r="D1352" s="2">
        <v>45744.4</v>
      </c>
      <c r="E1352" s="1">
        <v>195771</v>
      </c>
      <c r="F1352" s="1">
        <v>195771</v>
      </c>
      <c r="G1352" s="1" t="s">
        <v>16</v>
      </c>
      <c r="H1352" s="2">
        <v>45744.40902777778</v>
      </c>
      <c r="I1352" s="2">
        <v>45757.314583333333</v>
      </c>
      <c r="J1352" s="1" t="s">
        <v>14</v>
      </c>
    </row>
    <row r="1353" spans="1:10" hidden="1" x14ac:dyDescent="0.25">
      <c r="A1353" s="1" t="str">
        <f>_xlfn.XLOOKUP(E1353,Base!G:G,Base!C:C,"NOVO")</f>
        <v>PENDENTE</v>
      </c>
      <c r="B1353" s="1">
        <v>3331011</v>
      </c>
      <c r="C1353" s="1" t="s">
        <v>12</v>
      </c>
      <c r="D1353" s="2">
        <v>45744.554166666669</v>
      </c>
      <c r="E1353" s="1">
        <v>196122</v>
      </c>
      <c r="F1353" s="1">
        <v>196122</v>
      </c>
      <c r="G1353" s="1" t="s">
        <v>158</v>
      </c>
      <c r="H1353" s="2">
        <v>45744.640972222223</v>
      </c>
      <c r="I1353" s="2">
        <v>45758.327777777777</v>
      </c>
      <c r="J1353" s="1" t="s">
        <v>14</v>
      </c>
    </row>
    <row r="1354" spans="1:10" hidden="1" x14ac:dyDescent="0.25">
      <c r="A1354" s="1" t="str">
        <f>_xlfn.XLOOKUP(E1354,Base!G:G,Base!C:C,"NOVO")</f>
        <v>PENDENTE</v>
      </c>
      <c r="B1354" s="1">
        <v>3399656</v>
      </c>
      <c r="C1354" s="1" t="s">
        <v>12</v>
      </c>
      <c r="D1354" s="2">
        <v>45782.404166666667</v>
      </c>
      <c r="E1354" s="1">
        <v>1971</v>
      </c>
      <c r="F1354" s="1">
        <v>1971</v>
      </c>
      <c r="G1354" s="1" t="s">
        <v>2272</v>
      </c>
      <c r="H1354" s="2">
        <v>45782.418055555558</v>
      </c>
      <c r="I1354" s="2">
        <v>45811.441666666666</v>
      </c>
      <c r="J1354" s="1" t="s">
        <v>19</v>
      </c>
    </row>
    <row r="1355" spans="1:10" hidden="1" x14ac:dyDescent="0.25">
      <c r="A1355" s="1" t="str">
        <f>_xlfn.XLOOKUP(E1355,Base!G:G,Base!C:C,"NOVO")</f>
        <v>PENDENTE</v>
      </c>
      <c r="B1355" s="1">
        <v>3463922</v>
      </c>
      <c r="C1355" s="1" t="s">
        <v>12</v>
      </c>
      <c r="D1355" s="2">
        <v>45812.492361111108</v>
      </c>
      <c r="E1355" s="1">
        <v>20558</v>
      </c>
      <c r="F1355" s="1">
        <v>20558</v>
      </c>
      <c r="G1355" s="1" t="s">
        <v>2640</v>
      </c>
      <c r="H1355" s="2">
        <v>45812.643750000003</v>
      </c>
      <c r="I1355" s="2">
        <v>45820.727083333331</v>
      </c>
      <c r="J1355" s="1" t="s">
        <v>14</v>
      </c>
    </row>
    <row r="1356" spans="1:10" hidden="1" x14ac:dyDescent="0.25">
      <c r="A1356" s="1" t="str">
        <f>_xlfn.XLOOKUP(E1356,Base!G:G,Base!C:C,"NOVO")</f>
        <v>PENDENTE</v>
      </c>
      <c r="B1356" s="1">
        <v>3415236</v>
      </c>
      <c r="C1356" s="1" t="s">
        <v>12</v>
      </c>
      <c r="D1356" s="2">
        <v>45789.72152777778</v>
      </c>
      <c r="E1356" s="1">
        <v>207874</v>
      </c>
      <c r="F1356" s="1">
        <v>207874</v>
      </c>
      <c r="G1356" s="1" t="s">
        <v>82</v>
      </c>
      <c r="H1356" s="2">
        <v>45789.759722222225</v>
      </c>
      <c r="I1356" s="2">
        <v>45810.548611111109</v>
      </c>
      <c r="J1356" s="1" t="s">
        <v>14</v>
      </c>
    </row>
    <row r="1357" spans="1:10" hidden="1" x14ac:dyDescent="0.25">
      <c r="A1357" s="1" t="str">
        <f>_xlfn.XLOOKUP(E1357,Base!G:G,Base!C:C,"NOVO")</f>
        <v>PENDENTE</v>
      </c>
      <c r="B1357" s="1">
        <v>3385309</v>
      </c>
      <c r="C1357" s="1" t="s">
        <v>12</v>
      </c>
      <c r="D1357" s="2">
        <v>45772.556250000001</v>
      </c>
      <c r="E1357" s="1">
        <v>20920</v>
      </c>
      <c r="F1357" s="1">
        <v>20920</v>
      </c>
      <c r="G1357" s="1" t="s">
        <v>16</v>
      </c>
      <c r="H1357" s="2">
        <v>45772.813194444447</v>
      </c>
      <c r="I1357" s="2">
        <v>45804.645138888889</v>
      </c>
      <c r="J1357" s="1" t="s">
        <v>14</v>
      </c>
    </row>
    <row r="1358" spans="1:10" hidden="1" x14ac:dyDescent="0.25">
      <c r="A1358" s="1" t="str">
        <f>_xlfn.XLOOKUP(E1358,Base!G:G,Base!C:C,"NOVO")</f>
        <v>PENDENTE</v>
      </c>
      <c r="B1358" s="1">
        <v>3386784</v>
      </c>
      <c r="C1358" s="1" t="s">
        <v>12</v>
      </c>
      <c r="D1358" s="2">
        <v>45742.732638888891</v>
      </c>
      <c r="E1358" s="1">
        <v>210</v>
      </c>
      <c r="F1358" s="1">
        <v>210</v>
      </c>
      <c r="G1358" s="1" t="s">
        <v>2135</v>
      </c>
      <c r="H1358" s="2">
        <v>45775.518055555556</v>
      </c>
      <c r="J1358" s="1" t="s">
        <v>19</v>
      </c>
    </row>
    <row r="1359" spans="1:10" hidden="1" x14ac:dyDescent="0.25">
      <c r="A1359" s="1" t="str">
        <f>_xlfn.XLOOKUP(E1359,Base!G:G,Base!C:C,"NOVO")</f>
        <v>PENDENTE</v>
      </c>
      <c r="B1359" s="1">
        <v>3434894</v>
      </c>
      <c r="C1359" s="1" t="s">
        <v>12</v>
      </c>
      <c r="D1359" s="2">
        <v>45798.695833333331</v>
      </c>
      <c r="E1359" s="1">
        <v>210284</v>
      </c>
      <c r="F1359" s="1">
        <v>210284</v>
      </c>
      <c r="G1359" s="1" t="s">
        <v>2760</v>
      </c>
      <c r="H1359" s="2">
        <v>45798.701388888891</v>
      </c>
      <c r="I1359" s="2">
        <v>45824.742361111108</v>
      </c>
      <c r="J1359" s="1" t="s">
        <v>1232</v>
      </c>
    </row>
    <row r="1360" spans="1:10" hidden="1" x14ac:dyDescent="0.25">
      <c r="A1360" s="1" t="str">
        <f>_xlfn.XLOOKUP(E1360,Base!G:G,Base!C:C,"NOVO")</f>
        <v>PENDENTE</v>
      </c>
      <c r="B1360" s="1">
        <v>3445067</v>
      </c>
      <c r="C1360" s="1" t="s">
        <v>12</v>
      </c>
      <c r="D1360" s="2">
        <v>45804.404861111114</v>
      </c>
      <c r="E1360" s="1">
        <v>22223</v>
      </c>
      <c r="F1360" s="1">
        <v>22223</v>
      </c>
      <c r="G1360" s="1" t="s">
        <v>2530</v>
      </c>
      <c r="H1360" s="2">
        <v>45804.473611111112</v>
      </c>
      <c r="I1360" s="2">
        <v>45811.44027777778</v>
      </c>
      <c r="J1360" s="1" t="s">
        <v>14</v>
      </c>
    </row>
    <row r="1361" spans="1:10" hidden="1" x14ac:dyDescent="0.25">
      <c r="A1361" s="1" t="str">
        <f>_xlfn.XLOOKUP(E1361,Base!G:G,Base!C:C,"NOVO")</f>
        <v>PENDENTE</v>
      </c>
      <c r="B1361" s="1">
        <v>3426735</v>
      </c>
      <c r="C1361" s="1" t="s">
        <v>12</v>
      </c>
      <c r="D1361" s="2">
        <v>45793.724305555559</v>
      </c>
      <c r="E1361" s="1">
        <v>2228</v>
      </c>
      <c r="F1361" s="1">
        <v>2228</v>
      </c>
      <c r="G1361" s="1" t="s">
        <v>16</v>
      </c>
      <c r="H1361" s="2">
        <v>45793.847222222219</v>
      </c>
      <c r="I1361" s="2">
        <v>45811.440972222219</v>
      </c>
      <c r="J1361" s="1" t="s">
        <v>14</v>
      </c>
    </row>
    <row r="1362" spans="1:10" hidden="1" x14ac:dyDescent="0.25">
      <c r="A1362" s="1" t="str">
        <f>_xlfn.XLOOKUP(E1362,Base!G:G,Base!C:C,"NOVO")</f>
        <v>PENDENTE</v>
      </c>
      <c r="B1362" s="1">
        <v>3446591</v>
      </c>
      <c r="C1362" s="1" t="s">
        <v>12</v>
      </c>
      <c r="D1362" s="2">
        <v>45804.588888888888</v>
      </c>
      <c r="E1362" s="1">
        <v>2435</v>
      </c>
      <c r="F1362" s="1">
        <v>2435</v>
      </c>
      <c r="G1362" s="1" t="s">
        <v>16</v>
      </c>
      <c r="H1362" s="2">
        <v>45804.772222222222</v>
      </c>
      <c r="I1362" s="2">
        <v>45811.440972222219</v>
      </c>
      <c r="J1362" s="1" t="s">
        <v>14</v>
      </c>
    </row>
    <row r="1363" spans="1:10" hidden="1" x14ac:dyDescent="0.25">
      <c r="A1363" s="1" t="str">
        <f>_xlfn.XLOOKUP(E1363,Base!G:G,Base!C:C,"NOVO")</f>
        <v>PENDENTE</v>
      </c>
      <c r="B1363" s="1">
        <v>3266085</v>
      </c>
      <c r="C1363" s="1" t="s">
        <v>12</v>
      </c>
      <c r="D1363" s="2">
        <v>45712.769444444442</v>
      </c>
      <c r="E1363" s="1">
        <v>25319</v>
      </c>
      <c r="F1363" s="1">
        <v>25319</v>
      </c>
      <c r="G1363" s="1" t="s">
        <v>374</v>
      </c>
      <c r="H1363" s="2">
        <v>45712.958333333336</v>
      </c>
      <c r="I1363" s="2">
        <v>45723.353472222225</v>
      </c>
      <c r="J1363" s="1" t="s">
        <v>14</v>
      </c>
    </row>
    <row r="1364" spans="1:10" hidden="1" x14ac:dyDescent="0.25">
      <c r="A1364" s="1" t="str">
        <f>_xlfn.XLOOKUP(E1364,Base!G:G,Base!C:C,"NOVO")</f>
        <v>PENDENTE</v>
      </c>
      <c r="B1364" s="1">
        <v>3388774</v>
      </c>
      <c r="C1364" s="1" t="s">
        <v>12</v>
      </c>
      <c r="D1364" s="2">
        <v>45775.700694444444</v>
      </c>
      <c r="E1364" s="1">
        <v>2633</v>
      </c>
      <c r="F1364" s="1">
        <v>2633</v>
      </c>
      <c r="G1364" s="1" t="s">
        <v>2134</v>
      </c>
      <c r="H1364" s="2">
        <v>45776.086805555555</v>
      </c>
      <c r="I1364" s="2">
        <v>45804.645138888889</v>
      </c>
      <c r="J1364" s="1" t="s">
        <v>14</v>
      </c>
    </row>
    <row r="1365" spans="1:10" x14ac:dyDescent="0.25">
      <c r="A1365" s="1" t="str">
        <f>_xlfn.XLOOKUP(E1365,Base!G:G,Base!C:C,"NOVO")</f>
        <v>PENDENTE</v>
      </c>
      <c r="B1365" s="1">
        <v>3478153</v>
      </c>
      <c r="C1365" s="1" t="s">
        <v>12</v>
      </c>
      <c r="D1365" s="2">
        <v>45819.470833333333</v>
      </c>
      <c r="E1365" s="1">
        <v>2667</v>
      </c>
      <c r="F1365" s="1">
        <v>2667</v>
      </c>
      <c r="G1365" s="1" t="s">
        <v>2761</v>
      </c>
      <c r="H1365" s="2">
        <v>45820.456944444442</v>
      </c>
      <c r="I1365" s="2">
        <v>45824.519444444442</v>
      </c>
      <c r="J1365" s="1" t="s">
        <v>14</v>
      </c>
    </row>
    <row r="1366" spans="1:10" hidden="1" x14ac:dyDescent="0.25">
      <c r="A1366" s="1" t="str">
        <f>_xlfn.XLOOKUP(E1366,Base!G:G,Base!C:C,"NOVO")</f>
        <v>PENDENTE</v>
      </c>
      <c r="B1366" s="1">
        <v>3297297</v>
      </c>
      <c r="C1366" s="1" t="s">
        <v>12</v>
      </c>
      <c r="E1366" s="1">
        <v>2946</v>
      </c>
      <c r="F1366" s="1">
        <v>2946</v>
      </c>
      <c r="G1366" s="1" t="s">
        <v>1609</v>
      </c>
      <c r="H1366" s="2">
        <v>45729.509027777778</v>
      </c>
      <c r="J1366" s="1" t="s">
        <v>14</v>
      </c>
    </row>
    <row r="1367" spans="1:10" hidden="1" x14ac:dyDescent="0.25">
      <c r="A1367" s="1" t="str">
        <f>_xlfn.XLOOKUP(E1367,Base!G:G,Base!C:C,"NOVO")</f>
        <v>PENDENTE</v>
      </c>
      <c r="B1367" s="1">
        <v>3261825</v>
      </c>
      <c r="C1367" s="1" t="s">
        <v>12</v>
      </c>
      <c r="D1367" s="2">
        <v>45709.438888888886</v>
      </c>
      <c r="E1367" s="1">
        <v>3002</v>
      </c>
      <c r="F1367" s="1">
        <v>3002</v>
      </c>
      <c r="G1367" s="1" t="s">
        <v>16</v>
      </c>
      <c r="H1367" s="2">
        <v>45709.728472222225</v>
      </c>
      <c r="I1367" s="2">
        <v>45726.680555555555</v>
      </c>
      <c r="J1367" s="1" t="s">
        <v>14</v>
      </c>
    </row>
    <row r="1368" spans="1:10" hidden="1" x14ac:dyDescent="0.25">
      <c r="A1368" s="1" t="str">
        <f>_xlfn.XLOOKUP(E1368,Base!G:G,Base!C:C,"NOVO")</f>
        <v>PENDENTE</v>
      </c>
      <c r="B1368" s="1">
        <v>3272507</v>
      </c>
      <c r="C1368" s="1" t="s">
        <v>12</v>
      </c>
      <c r="D1368" s="2">
        <v>45715.461805555555</v>
      </c>
      <c r="E1368" s="1">
        <v>3017</v>
      </c>
      <c r="F1368" s="1">
        <v>3017</v>
      </c>
      <c r="G1368" s="1" t="s">
        <v>1366</v>
      </c>
      <c r="H1368" s="2">
        <v>45715.525694444441</v>
      </c>
      <c r="I1368" s="2">
        <v>45726.504166666666</v>
      </c>
      <c r="J1368" s="1" t="s">
        <v>14</v>
      </c>
    </row>
    <row r="1369" spans="1:10" hidden="1" x14ac:dyDescent="0.25">
      <c r="A1369" s="1" t="str">
        <f>_xlfn.XLOOKUP(E1369,Base!G:G,Base!C:C,"NOVO")</f>
        <v>PENDENTE</v>
      </c>
      <c r="B1369" s="1">
        <v>3398674</v>
      </c>
      <c r="C1369" s="1" t="s">
        <v>12</v>
      </c>
      <c r="D1369" s="2">
        <v>45779.708333333336</v>
      </c>
      <c r="E1369" s="1">
        <v>30731</v>
      </c>
      <c r="F1369" s="1">
        <v>30731</v>
      </c>
      <c r="G1369" s="1" t="s">
        <v>2273</v>
      </c>
      <c r="H1369" s="2">
        <v>45779.874305555553</v>
      </c>
      <c r="I1369" s="2">
        <v>45782.930555555555</v>
      </c>
      <c r="J1369" s="1" t="s">
        <v>14</v>
      </c>
    </row>
    <row r="1370" spans="1:10" hidden="1" x14ac:dyDescent="0.25">
      <c r="A1370" s="1" t="str">
        <f>_xlfn.XLOOKUP(E1370,Base!G:G,Base!C:C,"NOVO")</f>
        <v>PENDENTE</v>
      </c>
      <c r="B1370" s="1">
        <v>3290732</v>
      </c>
      <c r="C1370" s="1" t="s">
        <v>12</v>
      </c>
      <c r="D1370" s="2">
        <v>45726.79791666667</v>
      </c>
      <c r="E1370" s="1">
        <v>3129</v>
      </c>
      <c r="F1370" s="1">
        <v>3129</v>
      </c>
      <c r="G1370" s="1" t="s">
        <v>1233</v>
      </c>
      <c r="H1370" s="2">
        <v>45726.945138888892</v>
      </c>
      <c r="I1370" s="2">
        <v>45729.967361111114</v>
      </c>
      <c r="J1370" s="1" t="s">
        <v>14</v>
      </c>
    </row>
    <row r="1371" spans="1:10" hidden="1" x14ac:dyDescent="0.25">
      <c r="A1371" s="1" t="str">
        <f>_xlfn.XLOOKUP(E1371,Base!G:G,Base!C:C,"NOVO")</f>
        <v>PENDENTE</v>
      </c>
      <c r="B1371" s="1">
        <v>3290731</v>
      </c>
      <c r="C1371" s="1" t="s">
        <v>12</v>
      </c>
      <c r="D1371" s="2">
        <v>45726.796527777777</v>
      </c>
      <c r="E1371" s="1">
        <v>3130</v>
      </c>
      <c r="F1371" s="1">
        <v>3130</v>
      </c>
      <c r="G1371" s="1" t="s">
        <v>1233</v>
      </c>
      <c r="H1371" s="2">
        <v>45726.945138888892</v>
      </c>
      <c r="I1371" s="2">
        <v>45729.966666666667</v>
      </c>
      <c r="J1371" s="1" t="s">
        <v>14</v>
      </c>
    </row>
    <row r="1372" spans="1:10" hidden="1" x14ac:dyDescent="0.25">
      <c r="A1372" s="1" t="str">
        <f>_xlfn.XLOOKUP(E1372,Base!G:G,Base!C:C,"NOVO")</f>
        <v>PENDENTE</v>
      </c>
      <c r="B1372" s="1">
        <v>3312325</v>
      </c>
      <c r="C1372" s="1" t="s">
        <v>12</v>
      </c>
      <c r="D1372" s="2">
        <v>45735.75</v>
      </c>
      <c r="E1372" s="1">
        <v>3183</v>
      </c>
      <c r="F1372" s="1">
        <v>3183</v>
      </c>
      <c r="G1372" s="1" t="s">
        <v>158</v>
      </c>
      <c r="H1372" s="2">
        <v>45735.808333333334</v>
      </c>
      <c r="I1372" s="2">
        <v>45738.810416666667</v>
      </c>
      <c r="J1372" s="1" t="s">
        <v>14</v>
      </c>
    </row>
    <row r="1373" spans="1:10" hidden="1" x14ac:dyDescent="0.25">
      <c r="A1373" s="1" t="str">
        <f>_xlfn.XLOOKUP(E1373,Base!G:G,Base!C:C,"NOVO")</f>
        <v>PENDENTE</v>
      </c>
      <c r="B1373" s="1">
        <v>3300680</v>
      </c>
      <c r="C1373" s="1" t="s">
        <v>12</v>
      </c>
      <c r="D1373" s="2">
        <v>45723.786111111112</v>
      </c>
      <c r="E1373" s="1">
        <v>3287</v>
      </c>
      <c r="F1373" s="1">
        <v>3287</v>
      </c>
      <c r="G1373" s="1" t="s">
        <v>353</v>
      </c>
      <c r="H1373" s="2">
        <v>45730.470833333333</v>
      </c>
      <c r="I1373" s="2">
        <v>45748.521527777775</v>
      </c>
      <c r="J1373" s="1" t="s">
        <v>14</v>
      </c>
    </row>
    <row r="1374" spans="1:10" hidden="1" x14ac:dyDescent="0.25">
      <c r="A1374" s="1" t="str">
        <f>_xlfn.XLOOKUP(E1374,Base!G:G,Base!C:C,"NOVO")</f>
        <v>PENDENTE</v>
      </c>
      <c r="B1374" s="1">
        <v>3318556</v>
      </c>
      <c r="C1374" s="1" t="s">
        <v>12</v>
      </c>
      <c r="D1374" s="2">
        <v>45737.814583333333</v>
      </c>
      <c r="E1374" s="1">
        <v>3295</v>
      </c>
      <c r="F1374" s="1">
        <v>3295</v>
      </c>
      <c r="G1374" s="1" t="s">
        <v>1907</v>
      </c>
      <c r="H1374" s="2">
        <v>45738.060416666667</v>
      </c>
      <c r="I1374" s="2">
        <v>45740.870833333334</v>
      </c>
      <c r="J1374" s="1" t="s">
        <v>14</v>
      </c>
    </row>
    <row r="1375" spans="1:10" hidden="1" x14ac:dyDescent="0.25">
      <c r="A1375" s="1" t="str">
        <f>_xlfn.XLOOKUP(E1375,Base!G:G,Base!C:C,"NOVO")</f>
        <v>PENDENTE</v>
      </c>
      <c r="B1375" s="1">
        <v>3455196</v>
      </c>
      <c r="C1375" s="1" t="s">
        <v>12</v>
      </c>
      <c r="D1375" s="2">
        <v>45807.824999999997</v>
      </c>
      <c r="E1375" s="1">
        <v>33982</v>
      </c>
      <c r="F1375" s="1">
        <v>33982</v>
      </c>
      <c r="G1375" s="1" t="s">
        <v>2579</v>
      </c>
      <c r="H1375" s="2">
        <v>45808.018750000003</v>
      </c>
      <c r="I1375" s="2">
        <v>45811.443055555559</v>
      </c>
      <c r="J1375" s="1" t="s">
        <v>14</v>
      </c>
    </row>
    <row r="1376" spans="1:10" hidden="1" x14ac:dyDescent="0.25">
      <c r="A1376" s="1" t="str">
        <f>_xlfn.XLOOKUP(E1376,Base!G:G,Base!C:C,"NOVO")</f>
        <v>PENDENTE</v>
      </c>
      <c r="B1376" s="1">
        <v>3342577</v>
      </c>
      <c r="C1376" s="1" t="s">
        <v>12</v>
      </c>
      <c r="D1376" s="2">
        <v>45749.68472222222</v>
      </c>
      <c r="E1376" s="1">
        <v>3425</v>
      </c>
      <c r="F1376" s="1">
        <v>3425</v>
      </c>
      <c r="G1376" s="1" t="s">
        <v>1908</v>
      </c>
      <c r="H1376" s="2">
        <v>45749.759722222225</v>
      </c>
      <c r="I1376" s="2">
        <v>45804.645833333336</v>
      </c>
      <c r="J1376" s="1" t="s">
        <v>14</v>
      </c>
    </row>
    <row r="1377" spans="1:10" hidden="1" x14ac:dyDescent="0.25">
      <c r="A1377" s="1" t="str">
        <f>_xlfn.XLOOKUP(E1377,Base!G:G,Base!C:C,"NOVO")</f>
        <v>PENDENTE</v>
      </c>
      <c r="B1377" s="1">
        <v>3291253</v>
      </c>
      <c r="C1377" s="1" t="s">
        <v>12</v>
      </c>
      <c r="D1377" s="2">
        <v>45726.479861111111</v>
      </c>
      <c r="E1377" s="1">
        <v>3438</v>
      </c>
      <c r="F1377" s="1">
        <v>3438</v>
      </c>
      <c r="G1377" s="1" t="s">
        <v>16</v>
      </c>
      <c r="H1377" s="2">
        <v>45727.400694444441</v>
      </c>
      <c r="I1377" s="2">
        <v>45749.525694444441</v>
      </c>
      <c r="J1377" s="1" t="s">
        <v>14</v>
      </c>
    </row>
    <row r="1378" spans="1:10" hidden="1" x14ac:dyDescent="0.25">
      <c r="A1378" s="1" t="str">
        <f>_xlfn.XLOOKUP(E1378,Base!G:G,Base!C:C,"NOVO")</f>
        <v>PENDENTE</v>
      </c>
      <c r="B1378" s="1">
        <v>3294582</v>
      </c>
      <c r="C1378" s="1" t="s">
        <v>12</v>
      </c>
      <c r="D1378" s="2">
        <v>45727.5</v>
      </c>
      <c r="E1378" s="1">
        <v>3511</v>
      </c>
      <c r="F1378" s="1">
        <v>3511</v>
      </c>
      <c r="G1378" s="1" t="s">
        <v>16</v>
      </c>
      <c r="H1378" s="2">
        <v>45728.447222222225</v>
      </c>
      <c r="I1378" s="2">
        <v>45750.734722222223</v>
      </c>
      <c r="J1378" s="1" t="s">
        <v>14</v>
      </c>
    </row>
    <row r="1379" spans="1:10" hidden="1" x14ac:dyDescent="0.25">
      <c r="A1379" s="1" t="str">
        <f>_xlfn.XLOOKUP(E1379,Base!G:G,Base!C:C,"NOVO")</f>
        <v>PENDENTE</v>
      </c>
      <c r="B1379" s="1">
        <v>3285727</v>
      </c>
      <c r="C1379" s="1" t="s">
        <v>12</v>
      </c>
      <c r="D1379" s="2">
        <v>45723.554861111108</v>
      </c>
      <c r="E1379" s="1">
        <v>35197</v>
      </c>
      <c r="F1379" s="1">
        <v>35197</v>
      </c>
      <c r="G1379" s="1" t="s">
        <v>1610</v>
      </c>
      <c r="H1379" s="2">
        <v>45723.640972222223</v>
      </c>
      <c r="I1379" s="2">
        <v>45726.926388888889</v>
      </c>
      <c r="J1379" s="1" t="s">
        <v>19</v>
      </c>
    </row>
    <row r="1380" spans="1:10" hidden="1" x14ac:dyDescent="0.25">
      <c r="A1380" s="1" t="str">
        <f>_xlfn.XLOOKUP(E1380,Base!G:G,Base!C:C,"NOVO")</f>
        <v>PENDENTE</v>
      </c>
      <c r="B1380" s="1">
        <v>3380274</v>
      </c>
      <c r="C1380" s="1" t="s">
        <v>12</v>
      </c>
      <c r="D1380" s="2">
        <v>45771.015277777777</v>
      </c>
      <c r="E1380" s="1">
        <v>3604</v>
      </c>
      <c r="F1380" s="1">
        <v>3604</v>
      </c>
      <c r="G1380" s="1" t="s">
        <v>16</v>
      </c>
      <c r="H1380" s="2">
        <v>45771.261111111111</v>
      </c>
      <c r="I1380" s="2">
        <v>45804.645833333336</v>
      </c>
      <c r="J1380" s="1" t="s">
        <v>14</v>
      </c>
    </row>
    <row r="1381" spans="1:10" hidden="1" x14ac:dyDescent="0.25">
      <c r="A1381" s="1" t="str">
        <f>_xlfn.XLOOKUP(E1381,Base!G:G,Base!C:C,"NOVO")</f>
        <v>PENDENTE</v>
      </c>
      <c r="B1381" s="1">
        <v>3202016</v>
      </c>
      <c r="C1381" s="1" t="s">
        <v>12</v>
      </c>
      <c r="D1381" s="2">
        <v>45681.459027777775</v>
      </c>
      <c r="E1381" s="1">
        <v>40</v>
      </c>
      <c r="F1381" s="1">
        <v>40</v>
      </c>
      <c r="G1381" s="1" t="s">
        <v>16</v>
      </c>
      <c r="H1381" s="2">
        <v>45681.566666666666</v>
      </c>
      <c r="I1381" s="2">
        <v>45706.711111111108</v>
      </c>
      <c r="J1381" s="1" t="s">
        <v>14</v>
      </c>
    </row>
    <row r="1382" spans="1:10" hidden="1" x14ac:dyDescent="0.25">
      <c r="A1382" s="1" t="str">
        <f>_xlfn.XLOOKUP(E1382,Base!G:G,Base!C:C,"NOVO")</f>
        <v>PENDENTE</v>
      </c>
      <c r="B1382" s="1">
        <v>3270995</v>
      </c>
      <c r="C1382" s="1" t="s">
        <v>12</v>
      </c>
      <c r="D1382" s="2">
        <v>45714.664583333331</v>
      </c>
      <c r="E1382" s="1">
        <v>42856</v>
      </c>
      <c r="F1382" s="1">
        <v>42856</v>
      </c>
      <c r="G1382" s="1" t="s">
        <v>16</v>
      </c>
      <c r="H1382" s="2">
        <v>45714.761805555558</v>
      </c>
      <c r="I1382" s="2">
        <v>45726.502083333333</v>
      </c>
      <c r="J1382" s="1" t="s">
        <v>14</v>
      </c>
    </row>
    <row r="1383" spans="1:10" hidden="1" x14ac:dyDescent="0.25">
      <c r="A1383" s="1" t="str">
        <f>_xlfn.XLOOKUP(E1383,Base!G:G,Base!C:C,"NOVO")</f>
        <v>PENDENTE</v>
      </c>
      <c r="B1383" s="1">
        <v>3295584</v>
      </c>
      <c r="C1383" s="1" t="s">
        <v>12</v>
      </c>
      <c r="D1383" s="2">
        <v>45728.57916666667</v>
      </c>
      <c r="E1383" s="1">
        <v>43103</v>
      </c>
      <c r="F1383" s="1">
        <v>43103</v>
      </c>
      <c r="G1383" s="1" t="s">
        <v>16</v>
      </c>
      <c r="H1383" s="2">
        <v>45728.724999999999</v>
      </c>
      <c r="I1383" s="2">
        <v>45731.968055555553</v>
      </c>
      <c r="J1383" s="1" t="s">
        <v>14</v>
      </c>
    </row>
    <row r="1384" spans="1:10" hidden="1" x14ac:dyDescent="0.25">
      <c r="A1384" s="1" t="str">
        <f>_xlfn.XLOOKUP(E1384,Base!G:G,Base!C:C,"NOVO")</f>
        <v>PENDENTE</v>
      </c>
      <c r="B1384" s="1">
        <v>3404088</v>
      </c>
      <c r="C1384" s="1" t="s">
        <v>12</v>
      </c>
      <c r="D1384" s="2">
        <v>45783.530555555553</v>
      </c>
      <c r="E1384" s="1">
        <v>44224</v>
      </c>
      <c r="F1384" s="1">
        <v>44224</v>
      </c>
      <c r="G1384" s="1" t="s">
        <v>16</v>
      </c>
      <c r="H1384" s="2">
        <v>45783.740972222222</v>
      </c>
      <c r="I1384" s="2">
        <v>45811.442361111112</v>
      </c>
      <c r="J1384" s="1" t="s">
        <v>14</v>
      </c>
    </row>
    <row r="1385" spans="1:10" hidden="1" x14ac:dyDescent="0.25">
      <c r="A1385" s="1" t="str">
        <f>_xlfn.XLOOKUP(E1385,Base!G:G,Base!C:C,"NOVO")</f>
        <v>PENDENTE</v>
      </c>
      <c r="B1385" s="1">
        <v>3412492</v>
      </c>
      <c r="C1385" s="1" t="s">
        <v>12</v>
      </c>
      <c r="D1385" s="2">
        <v>45786.53402777778</v>
      </c>
      <c r="E1385" s="1">
        <v>44405</v>
      </c>
      <c r="F1385" s="1">
        <v>44405</v>
      </c>
      <c r="G1385" s="1" t="s">
        <v>16</v>
      </c>
      <c r="H1385" s="2">
        <v>45786.751388888886</v>
      </c>
      <c r="I1385" s="2">
        <v>45811.442361111112</v>
      </c>
      <c r="J1385" s="1" t="s">
        <v>14</v>
      </c>
    </row>
    <row r="1386" spans="1:10" hidden="1" x14ac:dyDescent="0.25">
      <c r="A1386" s="1" t="str">
        <f>_xlfn.XLOOKUP(E1386,Base!G:G,Base!C:C,"NOVO")</f>
        <v>PENDENTE</v>
      </c>
      <c r="B1386" s="1">
        <v>3376468</v>
      </c>
      <c r="C1386" s="1" t="s">
        <v>12</v>
      </c>
      <c r="D1386" s="2">
        <v>45769.633333333331</v>
      </c>
      <c r="E1386" s="1">
        <v>44795</v>
      </c>
      <c r="F1386" s="1">
        <v>44795</v>
      </c>
      <c r="G1386" s="1" t="s">
        <v>158</v>
      </c>
      <c r="H1386" s="2">
        <v>45769.752083333333</v>
      </c>
      <c r="I1386" s="2">
        <v>45772.802777777775</v>
      </c>
      <c r="J1386" s="1" t="s">
        <v>14</v>
      </c>
    </row>
    <row r="1387" spans="1:10" hidden="1" x14ac:dyDescent="0.25">
      <c r="A1387" s="1" t="str">
        <f>_xlfn.XLOOKUP(E1387,Base!G:G,Base!C:C,"NOVO")</f>
        <v>PENDENTE</v>
      </c>
      <c r="B1387" s="1">
        <v>3446599</v>
      </c>
      <c r="C1387" s="1" t="s">
        <v>12</v>
      </c>
      <c r="D1387" s="2">
        <v>45804.652777777781</v>
      </c>
      <c r="E1387" s="1">
        <v>44802</v>
      </c>
      <c r="F1387" s="1">
        <v>44802</v>
      </c>
      <c r="G1387" s="1" t="s">
        <v>1367</v>
      </c>
      <c r="H1387" s="2">
        <v>45804.773611111108</v>
      </c>
      <c r="I1387" s="2">
        <v>45811.442361111112</v>
      </c>
      <c r="J1387" s="1" t="s">
        <v>14</v>
      </c>
    </row>
    <row r="1388" spans="1:10" hidden="1" x14ac:dyDescent="0.25">
      <c r="A1388" s="1" t="str">
        <f>_xlfn.XLOOKUP(E1388,Base!G:G,Base!C:C,"NOVO")</f>
        <v>PENDENTE</v>
      </c>
      <c r="B1388" s="1">
        <v>3457661</v>
      </c>
      <c r="C1388" s="1" t="s">
        <v>12</v>
      </c>
      <c r="D1388" s="2">
        <v>45810.415277777778</v>
      </c>
      <c r="E1388" s="1">
        <v>44852</v>
      </c>
      <c r="F1388" s="1">
        <v>44852</v>
      </c>
      <c r="G1388" s="1" t="s">
        <v>16</v>
      </c>
      <c r="H1388" s="2">
        <v>45810.566666666666</v>
      </c>
      <c r="I1388" s="2">
        <v>45820.645138888889</v>
      </c>
      <c r="J1388" s="1" t="s">
        <v>14</v>
      </c>
    </row>
    <row r="1389" spans="1:10" hidden="1" x14ac:dyDescent="0.25">
      <c r="A1389" s="1" t="str">
        <f>_xlfn.XLOOKUP(E1389,Base!G:G,Base!C:C,"NOVO")</f>
        <v>PENDENTE</v>
      </c>
      <c r="B1389" s="1">
        <v>3459048</v>
      </c>
      <c r="C1389" s="1" t="s">
        <v>12</v>
      </c>
      <c r="D1389" s="2">
        <v>45810.579861111109</v>
      </c>
      <c r="E1389" s="1">
        <v>44869</v>
      </c>
      <c r="F1389" s="1">
        <v>44869</v>
      </c>
      <c r="G1389" s="1" t="s">
        <v>16</v>
      </c>
      <c r="H1389" s="2">
        <v>45810.82708333333</v>
      </c>
      <c r="I1389" s="2">
        <v>45820.645138888889</v>
      </c>
      <c r="J1389" s="1" t="s">
        <v>14</v>
      </c>
    </row>
    <row r="1390" spans="1:10" hidden="1" x14ac:dyDescent="0.25">
      <c r="A1390" s="1" t="str">
        <f>_xlfn.XLOOKUP(E1390,Base!G:G,Base!C:C,"NOVO")</f>
        <v>PENDENTE</v>
      </c>
      <c r="B1390" s="1">
        <v>3178777</v>
      </c>
      <c r="C1390" s="1" t="s">
        <v>12</v>
      </c>
      <c r="D1390" s="2">
        <v>45671.381944444445</v>
      </c>
      <c r="E1390" s="1">
        <v>452</v>
      </c>
      <c r="F1390" s="1">
        <v>452</v>
      </c>
      <c r="G1390" s="1" t="s">
        <v>928</v>
      </c>
      <c r="H1390" s="2">
        <v>45671.38958333333</v>
      </c>
      <c r="I1390" s="2">
        <v>45706.698611111111</v>
      </c>
      <c r="J1390" s="1" t="s">
        <v>14</v>
      </c>
    </row>
    <row r="1391" spans="1:10" x14ac:dyDescent="0.25">
      <c r="A1391" s="1" t="str">
        <f>_xlfn.XLOOKUP(E1391,Base!G:G,Base!C:C,"NOVO")</f>
        <v>PENDENTE</v>
      </c>
      <c r="B1391" s="1">
        <v>3485888</v>
      </c>
      <c r="C1391" s="1" t="s">
        <v>12</v>
      </c>
      <c r="D1391" s="2">
        <v>45824.73333333333</v>
      </c>
      <c r="E1391" s="1">
        <v>45234</v>
      </c>
      <c r="F1391" s="1">
        <v>45234</v>
      </c>
      <c r="G1391" s="1" t="s">
        <v>2762</v>
      </c>
      <c r="H1391" s="2">
        <v>45825.34375</v>
      </c>
      <c r="J1391" s="1" t="s">
        <v>19</v>
      </c>
    </row>
    <row r="1392" spans="1:10" hidden="1" x14ac:dyDescent="0.25">
      <c r="A1392" s="1" t="str">
        <f>_xlfn.XLOOKUP(E1392,Base!G:G,Base!C:C,"NOVO")</f>
        <v>PENDENTE</v>
      </c>
      <c r="B1392" s="1">
        <v>3178776</v>
      </c>
      <c r="C1392" s="1" t="s">
        <v>12</v>
      </c>
      <c r="D1392" s="2">
        <v>45671.382638888892</v>
      </c>
      <c r="E1392" s="1">
        <v>454</v>
      </c>
      <c r="F1392" s="1">
        <v>454</v>
      </c>
      <c r="G1392" s="1" t="s">
        <v>928</v>
      </c>
      <c r="H1392" s="2">
        <v>45671.38958333333</v>
      </c>
      <c r="I1392" s="2">
        <v>45706.698611111111</v>
      </c>
      <c r="J1392" s="1" t="s">
        <v>14</v>
      </c>
    </row>
    <row r="1393" spans="1:10" hidden="1" x14ac:dyDescent="0.25">
      <c r="A1393" s="1" t="str">
        <f>_xlfn.XLOOKUP(E1393,Base!G:G,Base!C:C,"NOVO")</f>
        <v>PENDENTE</v>
      </c>
      <c r="B1393" s="1">
        <v>3174835</v>
      </c>
      <c r="C1393" s="1" t="s">
        <v>12</v>
      </c>
      <c r="D1393" s="2">
        <v>45667.744444444441</v>
      </c>
      <c r="E1393" s="1">
        <v>456</v>
      </c>
      <c r="F1393" s="1">
        <v>456</v>
      </c>
      <c r="G1393" s="1" t="s">
        <v>16</v>
      </c>
      <c r="H1393" s="2">
        <v>45667.857638888891</v>
      </c>
      <c r="I1393" s="2">
        <v>45706.698611111111</v>
      </c>
      <c r="J1393" s="1" t="s">
        <v>14</v>
      </c>
    </row>
    <row r="1394" spans="1:10" hidden="1" x14ac:dyDescent="0.25">
      <c r="A1394" s="1" t="str">
        <f>_xlfn.XLOOKUP(E1394,Base!G:G,Base!C:C,"NOVO")</f>
        <v>PENDENTE</v>
      </c>
      <c r="B1394" s="1">
        <v>3178775</v>
      </c>
      <c r="C1394" s="1" t="s">
        <v>12</v>
      </c>
      <c r="D1394" s="2">
        <v>45671.383333333331</v>
      </c>
      <c r="E1394" s="1">
        <v>459</v>
      </c>
      <c r="F1394" s="1">
        <v>459</v>
      </c>
      <c r="G1394" s="1" t="s">
        <v>928</v>
      </c>
      <c r="H1394" s="2">
        <v>45671.38958333333</v>
      </c>
      <c r="I1394" s="2">
        <v>45706.698611111111</v>
      </c>
      <c r="J1394" s="1" t="s">
        <v>14</v>
      </c>
    </row>
    <row r="1395" spans="1:10" hidden="1" x14ac:dyDescent="0.25">
      <c r="A1395" s="1" t="str">
        <f>_xlfn.XLOOKUP(E1395,Base!G:G,Base!C:C,"NOVO")</f>
        <v>RESOLVIDO</v>
      </c>
      <c r="B1395" s="1">
        <v>3427884</v>
      </c>
      <c r="C1395" s="1" t="s">
        <v>12</v>
      </c>
      <c r="D1395" s="2">
        <v>45763.761805555558</v>
      </c>
      <c r="E1395" s="1">
        <v>46206</v>
      </c>
      <c r="F1395" s="1">
        <v>46206</v>
      </c>
      <c r="G1395" s="1" t="s">
        <v>2134</v>
      </c>
      <c r="H1395" s="2">
        <v>45796.462500000001</v>
      </c>
      <c r="I1395" s="2">
        <v>45804.643750000003</v>
      </c>
      <c r="J1395" s="1" t="s">
        <v>14</v>
      </c>
    </row>
    <row r="1396" spans="1:10" hidden="1" x14ac:dyDescent="0.25">
      <c r="A1396" s="1" t="str">
        <f>_xlfn.XLOOKUP(E1396,Base!G:G,Base!C:C,"NOVO")</f>
        <v>PENDENTE</v>
      </c>
      <c r="B1396" s="1">
        <v>3190954</v>
      </c>
      <c r="C1396" s="1" t="s">
        <v>12</v>
      </c>
      <c r="D1396" s="2">
        <v>45677.50277777778</v>
      </c>
      <c r="E1396" s="1">
        <v>46840</v>
      </c>
      <c r="F1396" s="1">
        <v>46840</v>
      </c>
      <c r="G1396" s="1" t="s">
        <v>929</v>
      </c>
      <c r="H1396" s="2">
        <v>45677.76458333333</v>
      </c>
      <c r="I1396" s="2">
        <v>45691.713888888888</v>
      </c>
      <c r="J1396" s="1" t="s">
        <v>14</v>
      </c>
    </row>
    <row r="1397" spans="1:10" hidden="1" x14ac:dyDescent="0.25">
      <c r="A1397" s="1" t="str">
        <f>_xlfn.XLOOKUP(E1397,Base!G:G,Base!C:C,"NOVO")</f>
        <v>PENDENTE</v>
      </c>
      <c r="B1397" s="1">
        <v>3295021</v>
      </c>
      <c r="C1397" s="1" t="s">
        <v>12</v>
      </c>
      <c r="D1397" s="2">
        <v>45670.678472222222</v>
      </c>
      <c r="E1397" s="1">
        <v>46977</v>
      </c>
      <c r="F1397" s="1">
        <v>46977</v>
      </c>
      <c r="G1397" s="1" t="s">
        <v>930</v>
      </c>
      <c r="H1397" s="2">
        <v>45728.661111111112</v>
      </c>
      <c r="J1397" s="1" t="s">
        <v>14</v>
      </c>
    </row>
    <row r="1398" spans="1:10" hidden="1" x14ac:dyDescent="0.25">
      <c r="A1398" s="1" t="str">
        <f>_xlfn.XLOOKUP(E1398,Base!G:G,Base!C:C,"NOVO")</f>
        <v>PENDENTE</v>
      </c>
      <c r="B1398" s="1">
        <v>3234017</v>
      </c>
      <c r="C1398" s="1" t="s">
        <v>12</v>
      </c>
      <c r="D1398" s="2">
        <v>45695.803472222222</v>
      </c>
      <c r="E1398" s="1">
        <v>4808</v>
      </c>
      <c r="F1398" s="1">
        <v>4808</v>
      </c>
      <c r="G1398" s="1" t="s">
        <v>16</v>
      </c>
      <c r="H1398" s="2">
        <v>45695.972916666666</v>
      </c>
      <c r="I1398" s="2">
        <v>45726.668055555558</v>
      </c>
      <c r="J1398" s="1" t="s">
        <v>14</v>
      </c>
    </row>
    <row r="1399" spans="1:10" hidden="1" x14ac:dyDescent="0.25">
      <c r="A1399" s="1" t="str">
        <f>_xlfn.XLOOKUP(E1399,Base!G:G,Base!C:C,"NOVO")</f>
        <v>PENDENTE</v>
      </c>
      <c r="B1399" s="1">
        <v>3258574</v>
      </c>
      <c r="C1399" s="1" t="s">
        <v>12</v>
      </c>
      <c r="D1399" s="2">
        <v>45708.517361111109</v>
      </c>
      <c r="E1399" s="1">
        <v>5051</v>
      </c>
      <c r="F1399" s="1">
        <v>5051</v>
      </c>
      <c r="G1399" s="1" t="s">
        <v>1234</v>
      </c>
      <c r="H1399" s="2">
        <v>45708.648611111108</v>
      </c>
      <c r="I1399" s="2">
        <v>45726.667361111111</v>
      </c>
      <c r="J1399" s="1" t="s">
        <v>14</v>
      </c>
    </row>
    <row r="1400" spans="1:10" hidden="1" x14ac:dyDescent="0.25">
      <c r="A1400" s="1" t="str">
        <f>_xlfn.XLOOKUP(E1400,Base!G:G,Base!C:C,"NOVO")</f>
        <v>PENDENTE</v>
      </c>
      <c r="B1400" s="1">
        <v>3368365</v>
      </c>
      <c r="C1400" s="1" t="s">
        <v>12</v>
      </c>
      <c r="D1400" s="2">
        <v>45763.379861111112</v>
      </c>
      <c r="E1400" s="1">
        <v>5171</v>
      </c>
      <c r="F1400" s="1">
        <v>5171</v>
      </c>
      <c r="G1400" s="1" t="s">
        <v>2134</v>
      </c>
      <c r="H1400" s="2">
        <v>45763.382638888892</v>
      </c>
      <c r="I1400" s="2">
        <v>45768.584722222222</v>
      </c>
      <c r="J1400" s="1" t="s">
        <v>14</v>
      </c>
    </row>
    <row r="1401" spans="1:10" hidden="1" x14ac:dyDescent="0.25">
      <c r="A1401" s="1" t="str">
        <f>_xlfn.XLOOKUP(E1401,Base!G:G,Base!C:C,"NOVO")</f>
        <v>PENDENTE</v>
      </c>
      <c r="B1401" s="1">
        <v>3184309</v>
      </c>
      <c r="C1401" s="1" t="s">
        <v>12</v>
      </c>
      <c r="D1401" s="2">
        <v>45673.39166666667</v>
      </c>
      <c r="E1401" s="1">
        <v>518</v>
      </c>
      <c r="F1401" s="1">
        <v>518</v>
      </c>
      <c r="G1401" s="1" t="s">
        <v>16</v>
      </c>
      <c r="H1401" s="2">
        <v>45673.423611111109</v>
      </c>
      <c r="I1401" s="2">
        <v>45706.697916666664</v>
      </c>
      <c r="J1401" s="1" t="s">
        <v>14</v>
      </c>
    </row>
    <row r="1402" spans="1:10" hidden="1" x14ac:dyDescent="0.25">
      <c r="A1402" s="1" t="str">
        <f>_xlfn.XLOOKUP(E1402,Base!G:G,Base!C:C,"NOVO")</f>
        <v>PENDENTE</v>
      </c>
      <c r="B1402" s="1">
        <v>3371154</v>
      </c>
      <c r="C1402" s="1" t="s">
        <v>12</v>
      </c>
      <c r="D1402" s="2">
        <v>45763.702777777777</v>
      </c>
      <c r="E1402" s="1">
        <v>5228</v>
      </c>
      <c r="F1402" s="1">
        <v>5228</v>
      </c>
      <c r="G1402" s="1" t="s">
        <v>2134</v>
      </c>
      <c r="H1402" s="2">
        <v>45764.37777777778</v>
      </c>
      <c r="I1402" s="2">
        <v>45768.584722222222</v>
      </c>
      <c r="J1402" s="1" t="s">
        <v>14</v>
      </c>
    </row>
    <row r="1403" spans="1:10" hidden="1" x14ac:dyDescent="0.25">
      <c r="A1403" s="1" t="str">
        <f>_xlfn.XLOOKUP(E1403,Base!G:G,Base!C:C,"NOVO")</f>
        <v>PENDENTE</v>
      </c>
      <c r="B1403" s="1">
        <v>3244153</v>
      </c>
      <c r="C1403" s="1" t="s">
        <v>12</v>
      </c>
      <c r="D1403" s="2">
        <v>45701.388888888891</v>
      </c>
      <c r="E1403" s="1">
        <v>52639</v>
      </c>
      <c r="F1403" s="1">
        <v>52639</v>
      </c>
      <c r="G1403" s="1" t="s">
        <v>1235</v>
      </c>
      <c r="H1403" s="2">
        <v>45701.554166666669</v>
      </c>
      <c r="I1403" s="2">
        <v>45704.845138888886</v>
      </c>
      <c r="J1403" s="1" t="s">
        <v>14</v>
      </c>
    </row>
    <row r="1404" spans="1:10" hidden="1" x14ac:dyDescent="0.25">
      <c r="A1404" s="1" t="str">
        <f>_xlfn.XLOOKUP(E1404,Base!G:G,Base!C:C,"NOVO")</f>
        <v>PENDENTE</v>
      </c>
      <c r="B1404" s="1">
        <v>3256658</v>
      </c>
      <c r="C1404" s="1" t="s">
        <v>12</v>
      </c>
      <c r="D1404" s="2">
        <v>45707.517361111109</v>
      </c>
      <c r="E1404" s="1">
        <v>52704</v>
      </c>
      <c r="F1404" s="1">
        <v>52704</v>
      </c>
      <c r="G1404" s="1" t="s">
        <v>113</v>
      </c>
      <c r="H1404" s="2">
        <v>45708.416666666664</v>
      </c>
      <c r="I1404" s="2">
        <v>45710.928472222222</v>
      </c>
      <c r="J1404" s="1" t="s">
        <v>14</v>
      </c>
    </row>
    <row r="1405" spans="1:10" hidden="1" x14ac:dyDescent="0.25">
      <c r="A1405" s="1" t="str">
        <f>_xlfn.XLOOKUP(E1405,Base!G:G,Base!C:C,"NOVO")</f>
        <v>PENDENTE</v>
      </c>
      <c r="B1405" s="1">
        <v>3274394</v>
      </c>
      <c r="C1405" s="1" t="s">
        <v>12</v>
      </c>
      <c r="D1405" s="2">
        <v>45715.744444444441</v>
      </c>
      <c r="E1405" s="1">
        <v>53270</v>
      </c>
      <c r="F1405" s="1">
        <v>53270</v>
      </c>
      <c r="G1405" s="1" t="s">
        <v>16</v>
      </c>
      <c r="H1405" s="2">
        <v>45716.019444444442</v>
      </c>
      <c r="I1405" s="2">
        <v>45726.504166666666</v>
      </c>
      <c r="J1405" s="1" t="s">
        <v>14</v>
      </c>
    </row>
    <row r="1406" spans="1:10" hidden="1" x14ac:dyDescent="0.25">
      <c r="A1406" s="1" t="str">
        <f>_xlfn.XLOOKUP(E1406,Base!G:G,Base!C:C,"NOVO")</f>
        <v>PENDENTE</v>
      </c>
      <c r="B1406" s="1">
        <v>3377121</v>
      </c>
      <c r="C1406" s="1" t="s">
        <v>12</v>
      </c>
      <c r="D1406" s="2">
        <v>45769.623611111114</v>
      </c>
      <c r="E1406" s="1">
        <v>5350</v>
      </c>
      <c r="F1406" s="1">
        <v>5350</v>
      </c>
      <c r="G1406" s="1" t="s">
        <v>2134</v>
      </c>
      <c r="H1406" s="2">
        <v>45769.806944444441</v>
      </c>
      <c r="I1406" s="2">
        <v>45772.856944444444</v>
      </c>
      <c r="J1406" s="1" t="s">
        <v>14</v>
      </c>
    </row>
    <row r="1407" spans="1:10" hidden="1" x14ac:dyDescent="0.25">
      <c r="A1407" s="1" t="str">
        <f>_xlfn.XLOOKUP(E1407,Base!G:G,Base!C:C,"NOVO")</f>
        <v>PENDENTE</v>
      </c>
      <c r="B1407" s="1">
        <v>3173404</v>
      </c>
      <c r="C1407" s="1" t="s">
        <v>12</v>
      </c>
      <c r="D1407" s="2">
        <v>45667.479861111111</v>
      </c>
      <c r="E1407" s="1">
        <v>537</v>
      </c>
      <c r="F1407" s="1">
        <v>537</v>
      </c>
      <c r="G1407" s="1" t="s">
        <v>16</v>
      </c>
      <c r="H1407" s="2">
        <v>45667.588194444441</v>
      </c>
      <c r="I1407" s="2">
        <v>45706.68472222222</v>
      </c>
      <c r="J1407" s="1" t="s">
        <v>14</v>
      </c>
    </row>
    <row r="1408" spans="1:10" hidden="1" x14ac:dyDescent="0.25">
      <c r="A1408" s="1" t="str">
        <f>_xlfn.XLOOKUP(E1408,Base!G:G,Base!C:C,"NOVO")</f>
        <v>PENDENTE</v>
      </c>
      <c r="B1408" s="1">
        <v>3263757</v>
      </c>
      <c r="C1408" s="1" t="s">
        <v>12</v>
      </c>
      <c r="D1408" s="2">
        <v>45712.426388888889</v>
      </c>
      <c r="E1408" s="1">
        <v>54142</v>
      </c>
      <c r="F1408" s="1">
        <v>54142</v>
      </c>
      <c r="G1408" s="1" t="s">
        <v>1236</v>
      </c>
      <c r="H1408" s="2">
        <v>45712.458333333336</v>
      </c>
      <c r="I1408" s="2">
        <v>45715.998611111114</v>
      </c>
      <c r="J1408" s="1" t="s">
        <v>14</v>
      </c>
    </row>
    <row r="1409" spans="1:10" hidden="1" x14ac:dyDescent="0.25">
      <c r="A1409" s="1" t="str">
        <f>_xlfn.XLOOKUP(E1409,Base!G:G,Base!C:C,"NOVO")</f>
        <v>PENDENTE</v>
      </c>
      <c r="B1409" s="1">
        <v>3321638</v>
      </c>
      <c r="C1409" s="1" t="s">
        <v>12</v>
      </c>
      <c r="D1409" s="2">
        <v>45740.67083333333</v>
      </c>
      <c r="E1409" s="1">
        <v>55010</v>
      </c>
      <c r="F1409" s="1">
        <v>55010</v>
      </c>
      <c r="G1409" s="1" t="s">
        <v>16</v>
      </c>
      <c r="H1409" s="2">
        <v>45740.881944444445</v>
      </c>
      <c r="I1409" s="2">
        <v>45743.706250000003</v>
      </c>
      <c r="J1409" s="1" t="s">
        <v>14</v>
      </c>
    </row>
    <row r="1410" spans="1:10" hidden="1" x14ac:dyDescent="0.25">
      <c r="A1410" s="1" t="str">
        <f>_xlfn.XLOOKUP(E1410,Base!G:G,Base!C:C,"NOVO")</f>
        <v>PENDENTE</v>
      </c>
      <c r="B1410" s="1">
        <v>3335200</v>
      </c>
      <c r="C1410" s="1" t="s">
        <v>12</v>
      </c>
      <c r="D1410" s="2">
        <v>45747.677083333336</v>
      </c>
      <c r="E1410" s="1">
        <v>55414</v>
      </c>
      <c r="F1410" s="1">
        <v>55414</v>
      </c>
      <c r="G1410" s="1" t="s">
        <v>455</v>
      </c>
      <c r="H1410" s="2">
        <v>45747.757638888892</v>
      </c>
      <c r="I1410" s="2">
        <v>45750.999305555553</v>
      </c>
      <c r="J1410" s="1" t="s">
        <v>14</v>
      </c>
    </row>
    <row r="1411" spans="1:10" hidden="1" x14ac:dyDescent="0.25">
      <c r="A1411" s="1" t="str">
        <f>_xlfn.XLOOKUP(E1411,Base!G:G,Base!C:C,"NOVO")</f>
        <v>PENDENTE</v>
      </c>
      <c r="B1411" s="1">
        <v>3335199</v>
      </c>
      <c r="C1411" s="1" t="s">
        <v>12</v>
      </c>
      <c r="D1411" s="2">
        <v>45747.59652777778</v>
      </c>
      <c r="E1411" s="1">
        <v>55415</v>
      </c>
      <c r="F1411" s="1">
        <v>55415</v>
      </c>
      <c r="G1411" s="1" t="s">
        <v>16</v>
      </c>
      <c r="H1411" s="2">
        <v>45747.756944444445</v>
      </c>
      <c r="I1411" s="2">
        <v>45750.999305555553</v>
      </c>
      <c r="J1411" s="1" t="s">
        <v>14</v>
      </c>
    </row>
    <row r="1412" spans="1:10" hidden="1" x14ac:dyDescent="0.25">
      <c r="A1412" s="1" t="str">
        <f>_xlfn.XLOOKUP(E1412,Base!G:G,Base!C:C,"NOVO")</f>
        <v>PENDENTE</v>
      </c>
      <c r="B1412" s="1">
        <v>3307849</v>
      </c>
      <c r="C1412" s="1" t="s">
        <v>12</v>
      </c>
      <c r="D1412" s="2">
        <v>45734.460416666669</v>
      </c>
      <c r="E1412" s="1">
        <v>55510</v>
      </c>
      <c r="F1412" s="1">
        <v>55510</v>
      </c>
      <c r="G1412" s="1" t="s">
        <v>16</v>
      </c>
      <c r="H1412" s="2">
        <v>45734.553472222222</v>
      </c>
      <c r="I1412" s="2">
        <v>45737.847222222219</v>
      </c>
      <c r="J1412" s="1" t="s">
        <v>14</v>
      </c>
    </row>
    <row r="1413" spans="1:10" hidden="1" x14ac:dyDescent="0.25">
      <c r="A1413" s="1" t="str">
        <f>_xlfn.XLOOKUP(E1413,Base!G:G,Base!C:C,"NOVO")</f>
        <v>PENDENTE</v>
      </c>
      <c r="B1413" s="1">
        <v>3322806</v>
      </c>
      <c r="C1413" s="1" t="s">
        <v>12</v>
      </c>
      <c r="D1413" s="2">
        <v>45741.401388888888</v>
      </c>
      <c r="E1413" s="1">
        <v>55921</v>
      </c>
      <c r="F1413" s="1">
        <v>55921</v>
      </c>
      <c r="G1413" s="1" t="s">
        <v>16</v>
      </c>
      <c r="H1413" s="2">
        <v>45741.63958333333</v>
      </c>
      <c r="I1413" s="2">
        <v>45744.926388888889</v>
      </c>
      <c r="J1413" s="1" t="s">
        <v>14</v>
      </c>
    </row>
    <row r="1414" spans="1:10" hidden="1" x14ac:dyDescent="0.25">
      <c r="A1414" s="1" t="str">
        <f>_xlfn.XLOOKUP(E1414,Base!G:G,Base!C:C,"NOVO")</f>
        <v>PENDENTE</v>
      </c>
      <c r="B1414" s="1">
        <v>3289013</v>
      </c>
      <c r="C1414" s="1" t="s">
        <v>12</v>
      </c>
      <c r="D1414" s="2">
        <v>45726.593055555553</v>
      </c>
      <c r="E1414" s="1">
        <v>56419</v>
      </c>
      <c r="F1414" s="1">
        <v>56419</v>
      </c>
      <c r="G1414" s="1" t="s">
        <v>16</v>
      </c>
      <c r="H1414" s="2">
        <v>45726.654861111114</v>
      </c>
      <c r="I1414" s="2">
        <v>45729.946527777778</v>
      </c>
      <c r="J1414" s="1" t="s">
        <v>14</v>
      </c>
    </row>
    <row r="1415" spans="1:10" hidden="1" x14ac:dyDescent="0.25">
      <c r="A1415" s="1" t="str">
        <f>_xlfn.XLOOKUP(E1415,Base!G:G,Base!C:C,"NOVO")</f>
        <v>PENDENTE</v>
      </c>
      <c r="B1415" s="1">
        <v>3292118</v>
      </c>
      <c r="C1415" s="1" t="s">
        <v>12</v>
      </c>
      <c r="D1415" s="2">
        <v>45727.468055555553</v>
      </c>
      <c r="E1415" s="1">
        <v>56708</v>
      </c>
      <c r="F1415" s="1">
        <v>56708</v>
      </c>
      <c r="G1415" s="1" t="s">
        <v>1611</v>
      </c>
      <c r="H1415" s="2">
        <v>45727.661111111112</v>
      </c>
      <c r="I1415" s="2">
        <v>45730.955555555556</v>
      </c>
      <c r="J1415" s="1" t="s">
        <v>14</v>
      </c>
    </row>
    <row r="1416" spans="1:10" hidden="1" x14ac:dyDescent="0.25">
      <c r="A1416" s="1" t="str">
        <f>_xlfn.XLOOKUP(E1416,Base!G:G,Base!C:C,"NOVO")</f>
        <v>PENDENTE</v>
      </c>
      <c r="B1416" s="1">
        <v>3328829</v>
      </c>
      <c r="C1416" s="1" t="s">
        <v>12</v>
      </c>
      <c r="D1416" s="2">
        <v>45743.593055555553</v>
      </c>
      <c r="E1416" s="1">
        <v>56799</v>
      </c>
      <c r="F1416" s="1">
        <v>56799</v>
      </c>
      <c r="G1416" s="1" t="s">
        <v>16</v>
      </c>
      <c r="H1416" s="2">
        <v>45743.700694444444</v>
      </c>
      <c r="I1416" s="2">
        <v>45746.92291666667</v>
      </c>
      <c r="J1416" s="1" t="s">
        <v>14</v>
      </c>
    </row>
    <row r="1417" spans="1:10" hidden="1" x14ac:dyDescent="0.25">
      <c r="A1417" s="1" t="str">
        <f>_xlfn.XLOOKUP(E1417,Base!G:G,Base!C:C,"NOVO")</f>
        <v>PENDENTE</v>
      </c>
      <c r="B1417" s="1">
        <v>3328823</v>
      </c>
      <c r="C1417" s="1" t="s">
        <v>12</v>
      </c>
      <c r="D1417" s="2">
        <v>45743.594444444447</v>
      </c>
      <c r="E1417" s="1">
        <v>56820</v>
      </c>
      <c r="F1417" s="1">
        <v>56820</v>
      </c>
      <c r="G1417" s="1" t="s">
        <v>16</v>
      </c>
      <c r="H1417" s="2">
        <v>45743.700694444444</v>
      </c>
      <c r="I1417" s="2">
        <v>45746.92291666667</v>
      </c>
      <c r="J1417" s="1" t="s">
        <v>14</v>
      </c>
    </row>
    <row r="1418" spans="1:10" hidden="1" x14ac:dyDescent="0.25">
      <c r="A1418" s="1" t="str">
        <f>_xlfn.XLOOKUP(E1418,Base!G:G,Base!C:C,"NOVO")</f>
        <v>PENDENTE</v>
      </c>
      <c r="B1418" s="1">
        <v>3390622</v>
      </c>
      <c r="C1418" s="1" t="s">
        <v>12</v>
      </c>
      <c r="D1418" s="2">
        <v>45776.397916666669</v>
      </c>
      <c r="E1418" s="1">
        <v>5720</v>
      </c>
      <c r="F1418" s="1">
        <v>5720</v>
      </c>
      <c r="G1418" s="1" t="s">
        <v>2134</v>
      </c>
      <c r="H1418" s="2">
        <v>45776.63958333333</v>
      </c>
      <c r="I1418" s="2">
        <v>45779.920138888891</v>
      </c>
      <c r="J1418" s="1" t="s">
        <v>14</v>
      </c>
    </row>
    <row r="1419" spans="1:10" hidden="1" x14ac:dyDescent="0.25">
      <c r="A1419" s="1" t="str">
        <f>_xlfn.XLOOKUP(E1419,Base!G:G,Base!C:C,"NOVO")</f>
        <v>PENDENTE</v>
      </c>
      <c r="B1419" s="1">
        <v>3335167</v>
      </c>
      <c r="C1419" s="1" t="s">
        <v>12</v>
      </c>
      <c r="D1419" s="2">
        <v>45747.571527777778</v>
      </c>
      <c r="E1419" s="1">
        <v>57257</v>
      </c>
      <c r="F1419" s="1">
        <v>57257</v>
      </c>
      <c r="G1419" s="1" t="s">
        <v>1910</v>
      </c>
      <c r="H1419" s="2">
        <v>45747.754166666666</v>
      </c>
      <c r="I1419" s="2">
        <v>45750.999305555553</v>
      </c>
      <c r="J1419" s="1" t="s">
        <v>14</v>
      </c>
    </row>
    <row r="1420" spans="1:10" hidden="1" x14ac:dyDescent="0.25">
      <c r="A1420" s="1" t="str">
        <f>_xlfn.XLOOKUP(E1420,Base!G:G,Base!C:C,"NOVO")</f>
        <v>PENDENTE</v>
      </c>
      <c r="B1420" s="1">
        <v>3323909</v>
      </c>
      <c r="C1420" s="1" t="s">
        <v>12</v>
      </c>
      <c r="D1420" s="2">
        <v>45741.739583333336</v>
      </c>
      <c r="E1420" s="1">
        <v>5773</v>
      </c>
      <c r="F1420" s="1">
        <v>5773</v>
      </c>
      <c r="G1420" s="1" t="s">
        <v>16</v>
      </c>
      <c r="H1420" s="2">
        <v>45741.852083333331</v>
      </c>
      <c r="I1420" s="2">
        <v>45744.893750000003</v>
      </c>
      <c r="J1420" s="1" t="s">
        <v>14</v>
      </c>
    </row>
    <row r="1421" spans="1:10" hidden="1" x14ac:dyDescent="0.25">
      <c r="A1421" s="1" t="str">
        <f>_xlfn.XLOOKUP(E1421,Base!G:G,Base!C:C,"NOVO")</f>
        <v>PENDENTE</v>
      </c>
      <c r="B1421" s="1">
        <v>3333594</v>
      </c>
      <c r="C1421" s="1" t="s">
        <v>12</v>
      </c>
      <c r="D1421" s="2">
        <v>45747.305555555555</v>
      </c>
      <c r="E1421" s="1">
        <v>5781</v>
      </c>
      <c r="F1421" s="1">
        <v>5781</v>
      </c>
      <c r="G1421" s="1" t="s">
        <v>16</v>
      </c>
      <c r="H1421" s="2">
        <v>45747.441666666666</v>
      </c>
      <c r="I1421" s="2">
        <v>45786.640972222223</v>
      </c>
      <c r="J1421" s="1" t="s">
        <v>14</v>
      </c>
    </row>
    <row r="1422" spans="1:10" hidden="1" x14ac:dyDescent="0.25">
      <c r="A1422" s="1" t="str">
        <f>_xlfn.XLOOKUP(E1422,Base!G:G,Base!C:C,"NOVO")</f>
        <v>PENDENTE</v>
      </c>
      <c r="B1422" s="1">
        <v>3346490</v>
      </c>
      <c r="C1422" s="1" t="s">
        <v>12</v>
      </c>
      <c r="D1422" s="2">
        <v>45750.723611111112</v>
      </c>
      <c r="E1422" s="1">
        <v>57997</v>
      </c>
      <c r="F1422" s="1">
        <v>57997</v>
      </c>
      <c r="G1422" s="1" t="s">
        <v>16</v>
      </c>
      <c r="H1422" s="2">
        <v>45750.998611111114</v>
      </c>
      <c r="I1422" s="2">
        <v>45786.64166666667</v>
      </c>
      <c r="J1422" s="1" t="s">
        <v>14</v>
      </c>
    </row>
    <row r="1423" spans="1:10" hidden="1" x14ac:dyDescent="0.25">
      <c r="A1423" s="1" t="str">
        <f>_xlfn.XLOOKUP(E1423,Base!G:G,Base!C:C,"NOVO")</f>
        <v>PENDENTE</v>
      </c>
      <c r="B1423" s="1">
        <v>3345817</v>
      </c>
      <c r="C1423" s="1" t="s">
        <v>12</v>
      </c>
      <c r="D1423" s="2">
        <v>45750.711111111108</v>
      </c>
      <c r="E1423" s="1">
        <v>58004</v>
      </c>
      <c r="F1423" s="1">
        <v>58004</v>
      </c>
      <c r="G1423" s="1" t="s">
        <v>16</v>
      </c>
      <c r="H1423" s="2">
        <v>45750.793055555558</v>
      </c>
      <c r="I1423" s="2">
        <v>45786.64166666667</v>
      </c>
      <c r="J1423" s="1" t="s">
        <v>14</v>
      </c>
    </row>
    <row r="1424" spans="1:10" hidden="1" x14ac:dyDescent="0.25">
      <c r="A1424" s="1" t="str">
        <f>_xlfn.XLOOKUP(E1424,Base!G:G,Base!C:C,"NOVO")</f>
        <v>PENDENTE</v>
      </c>
      <c r="B1424" s="1">
        <v>3351833</v>
      </c>
      <c r="C1424" s="1" t="s">
        <v>12</v>
      </c>
      <c r="D1424" s="2">
        <v>45754.587500000001</v>
      </c>
      <c r="E1424" s="1">
        <v>58217</v>
      </c>
      <c r="F1424" s="1">
        <v>58217</v>
      </c>
      <c r="G1424" s="1" t="s">
        <v>16</v>
      </c>
      <c r="H1424" s="2">
        <v>45754.816666666666</v>
      </c>
      <c r="I1424" s="2">
        <v>45786.64166666667</v>
      </c>
      <c r="J1424" s="1" t="s">
        <v>14</v>
      </c>
    </row>
    <row r="1425" spans="1:10" hidden="1" x14ac:dyDescent="0.25">
      <c r="A1425" s="1" t="str">
        <f>_xlfn.XLOOKUP(E1425,Base!G:G,Base!C:C,"NOVO")</f>
        <v>PENDENTE</v>
      </c>
      <c r="B1425" s="1">
        <v>3351832</v>
      </c>
      <c r="C1425" s="1" t="s">
        <v>12</v>
      </c>
      <c r="D1425" s="2">
        <v>45754.588888888888</v>
      </c>
      <c r="E1425" s="1">
        <v>58222</v>
      </c>
      <c r="F1425" s="1">
        <v>58222</v>
      </c>
      <c r="G1425" s="1" t="s">
        <v>16</v>
      </c>
      <c r="H1425" s="2">
        <v>45754.816666666666</v>
      </c>
      <c r="I1425" s="2">
        <v>45786.64166666667</v>
      </c>
      <c r="J1425" s="1" t="s">
        <v>14</v>
      </c>
    </row>
    <row r="1426" spans="1:10" hidden="1" x14ac:dyDescent="0.25">
      <c r="A1426" s="1" t="str">
        <f>_xlfn.XLOOKUP(E1426,Base!G:G,Base!C:C,"NOVO")</f>
        <v>PENDENTE</v>
      </c>
      <c r="B1426" s="1">
        <v>3351355</v>
      </c>
      <c r="C1426" s="1" t="s">
        <v>12</v>
      </c>
      <c r="D1426" s="2">
        <v>45754.574999999997</v>
      </c>
      <c r="E1426" s="1">
        <v>59653</v>
      </c>
      <c r="F1426" s="1">
        <v>59653</v>
      </c>
      <c r="G1426" s="1" t="s">
        <v>158</v>
      </c>
      <c r="H1426" s="2">
        <v>45754.784722222219</v>
      </c>
      <c r="I1426" s="2">
        <v>45757.828472222223</v>
      </c>
      <c r="J1426" s="1" t="s">
        <v>14</v>
      </c>
    </row>
    <row r="1427" spans="1:10" hidden="1" x14ac:dyDescent="0.25">
      <c r="A1427" s="1" t="str">
        <f>_xlfn.XLOOKUP(E1427,Base!G:G,Base!C:C,"NOVO")</f>
        <v>PENDENTE</v>
      </c>
      <c r="B1427" s="1">
        <v>3393309</v>
      </c>
      <c r="C1427" s="1" t="s">
        <v>12</v>
      </c>
      <c r="D1427" s="2">
        <v>45777.489583333336</v>
      </c>
      <c r="E1427" s="1">
        <v>59706</v>
      </c>
      <c r="F1427" s="1">
        <v>59706</v>
      </c>
      <c r="G1427" s="1" t="s">
        <v>455</v>
      </c>
      <c r="H1427" s="2">
        <v>45777.663194444445</v>
      </c>
      <c r="I1427" s="2">
        <v>45804.695138888892</v>
      </c>
      <c r="J1427" s="1" t="s">
        <v>14</v>
      </c>
    </row>
    <row r="1428" spans="1:10" hidden="1" x14ac:dyDescent="0.25">
      <c r="A1428" s="1" t="str">
        <f>_xlfn.XLOOKUP(E1428,Base!G:G,Base!C:C,"NOVO")</f>
        <v>PENDENTE</v>
      </c>
      <c r="B1428" s="1">
        <v>3390273</v>
      </c>
      <c r="C1428" s="1" t="s">
        <v>12</v>
      </c>
      <c r="D1428" s="2">
        <v>45776.548611111109</v>
      </c>
      <c r="E1428" s="1">
        <v>61021</v>
      </c>
      <c r="F1428" s="1">
        <v>61021</v>
      </c>
      <c r="G1428" s="1" t="s">
        <v>2531</v>
      </c>
      <c r="H1428" s="2">
        <v>45776.603472222225</v>
      </c>
      <c r="I1428" s="2">
        <v>45804.646527777775</v>
      </c>
      <c r="J1428" s="1" t="s">
        <v>1232</v>
      </c>
    </row>
    <row r="1429" spans="1:10" hidden="1" x14ac:dyDescent="0.25">
      <c r="A1429" s="1" t="str">
        <f>_xlfn.XLOOKUP(E1429,Base!G:G,Base!C:C,"NOVO")</f>
        <v>PENDENTE</v>
      </c>
      <c r="B1429" s="1">
        <v>3393300</v>
      </c>
      <c r="C1429" s="1" t="s">
        <v>12</v>
      </c>
      <c r="D1429" s="2">
        <v>45777.436805555553</v>
      </c>
      <c r="E1429" s="1">
        <v>61137</v>
      </c>
      <c r="F1429" s="1">
        <v>61137</v>
      </c>
      <c r="G1429" s="1" t="s">
        <v>2531</v>
      </c>
      <c r="H1429" s="2">
        <v>45777.661111111112</v>
      </c>
      <c r="I1429" s="2">
        <v>45804.646527777775</v>
      </c>
      <c r="J1429" s="1" t="s">
        <v>1232</v>
      </c>
    </row>
    <row r="1430" spans="1:10" hidden="1" x14ac:dyDescent="0.25">
      <c r="A1430" s="1" t="str">
        <f>_xlfn.XLOOKUP(E1430,Base!G:G,Base!C:C,"NOVO")</f>
        <v>PENDENTE</v>
      </c>
      <c r="B1430" s="1">
        <v>3351230</v>
      </c>
      <c r="C1430" s="1" t="s">
        <v>12</v>
      </c>
      <c r="D1430" s="2">
        <v>45754.640972222223</v>
      </c>
      <c r="E1430" s="1">
        <v>61151</v>
      </c>
      <c r="F1430" s="1">
        <v>61151</v>
      </c>
      <c r="G1430" s="1" t="s">
        <v>16</v>
      </c>
      <c r="H1430" s="2">
        <v>45754.780555555553</v>
      </c>
      <c r="I1430" s="2">
        <v>45786.640277777777</v>
      </c>
      <c r="J1430" s="1" t="s">
        <v>14</v>
      </c>
    </row>
    <row r="1431" spans="1:10" hidden="1" x14ac:dyDescent="0.25">
      <c r="A1431" s="1" t="str">
        <f>_xlfn.XLOOKUP(E1431,Base!G:G,Base!C:C,"NOVO")</f>
        <v>PENDENTE</v>
      </c>
      <c r="B1431" s="1">
        <v>3394793</v>
      </c>
      <c r="C1431" s="1" t="s">
        <v>12</v>
      </c>
      <c r="D1431" s="2">
        <v>45777.613888888889</v>
      </c>
      <c r="E1431" s="1">
        <v>61191</v>
      </c>
      <c r="F1431" s="1">
        <v>61191</v>
      </c>
      <c r="G1431" s="1" t="s">
        <v>16</v>
      </c>
      <c r="H1431" s="2">
        <v>45777.888888888891</v>
      </c>
      <c r="I1431" s="2">
        <v>45804.646527777775</v>
      </c>
      <c r="J1431" s="1" t="s">
        <v>14</v>
      </c>
    </row>
    <row r="1432" spans="1:10" hidden="1" x14ac:dyDescent="0.25">
      <c r="A1432" s="1" t="str">
        <f>_xlfn.XLOOKUP(E1432,Base!G:G,Base!C:C,"NOVO")</f>
        <v>PENDENTE</v>
      </c>
      <c r="B1432" s="1">
        <v>3360381</v>
      </c>
      <c r="C1432" s="1" t="s">
        <v>12</v>
      </c>
      <c r="D1432" s="2">
        <v>45758.535416666666</v>
      </c>
      <c r="E1432" s="1">
        <v>61989</v>
      </c>
      <c r="F1432" s="1">
        <v>61989</v>
      </c>
      <c r="G1432" s="1" t="s">
        <v>82</v>
      </c>
      <c r="H1432" s="2">
        <v>45758.581944444442</v>
      </c>
      <c r="I1432" s="2">
        <v>45761.880555555559</v>
      </c>
      <c r="J1432" s="1" t="s">
        <v>14</v>
      </c>
    </row>
    <row r="1433" spans="1:10" hidden="1" x14ac:dyDescent="0.25">
      <c r="A1433" s="1" t="str">
        <f>_xlfn.XLOOKUP(E1433,Base!G:G,Base!C:C,"NOVO")</f>
        <v>PENDENTE</v>
      </c>
      <c r="B1433" s="1">
        <v>3348758</v>
      </c>
      <c r="C1433" s="1" t="s">
        <v>12</v>
      </c>
      <c r="D1433" s="2">
        <v>45751.578472222223</v>
      </c>
      <c r="E1433" s="1">
        <v>62285</v>
      </c>
      <c r="F1433" s="1">
        <v>62285</v>
      </c>
      <c r="G1433" s="1" t="s">
        <v>1913</v>
      </c>
      <c r="H1433" s="2">
        <v>45751.805555555555</v>
      </c>
      <c r="I1433" s="2">
        <v>45786.643055555556</v>
      </c>
      <c r="J1433" s="1" t="s">
        <v>19</v>
      </c>
    </row>
    <row r="1434" spans="1:10" hidden="1" x14ac:dyDescent="0.25">
      <c r="A1434" s="1" t="str">
        <f>_xlfn.XLOOKUP(E1434,Base!G:G,Base!C:C,"NOVO")</f>
        <v>PENDENTE</v>
      </c>
      <c r="B1434" s="1">
        <v>3415913</v>
      </c>
      <c r="C1434" s="1" t="s">
        <v>12</v>
      </c>
      <c r="D1434" s="2">
        <v>45789.574305555558</v>
      </c>
      <c r="E1434" s="1">
        <v>6256</v>
      </c>
      <c r="F1434" s="1">
        <v>6256</v>
      </c>
      <c r="G1434" s="1" t="s">
        <v>2134</v>
      </c>
      <c r="H1434" s="2">
        <v>45789.824999999997</v>
      </c>
      <c r="I1434" s="2">
        <v>45792.873611111114</v>
      </c>
      <c r="J1434" s="1" t="s">
        <v>14</v>
      </c>
    </row>
    <row r="1435" spans="1:10" hidden="1" x14ac:dyDescent="0.25">
      <c r="A1435" s="1" t="str">
        <f>_xlfn.XLOOKUP(E1435,Base!G:G,Base!C:C,"NOVO")</f>
        <v>PENDENTE</v>
      </c>
      <c r="B1435" s="1">
        <v>3416371</v>
      </c>
      <c r="C1435" s="1" t="s">
        <v>12</v>
      </c>
      <c r="D1435" s="2">
        <v>45789.786111111112</v>
      </c>
      <c r="E1435" s="1">
        <v>62735</v>
      </c>
      <c r="F1435" s="1">
        <v>62735</v>
      </c>
      <c r="G1435" s="1" t="s">
        <v>16</v>
      </c>
      <c r="H1435" s="2">
        <v>45790.041666666664</v>
      </c>
      <c r="I1435" s="2">
        <v>45792.847916666666</v>
      </c>
      <c r="J1435" s="1" t="s">
        <v>14</v>
      </c>
    </row>
    <row r="1436" spans="1:10" hidden="1" x14ac:dyDescent="0.25">
      <c r="A1436" s="1" t="str">
        <f>_xlfn.XLOOKUP(E1436,Base!G:G,Base!C:C,"NOVO")</f>
        <v>PENDENTE</v>
      </c>
      <c r="B1436" s="1">
        <v>3391449</v>
      </c>
      <c r="C1436" s="1" t="s">
        <v>12</v>
      </c>
      <c r="D1436" s="2">
        <v>45776.738194444442</v>
      </c>
      <c r="E1436" s="1">
        <v>64317</v>
      </c>
      <c r="F1436" s="1">
        <v>64317</v>
      </c>
      <c r="G1436" s="1" t="s">
        <v>16</v>
      </c>
      <c r="H1436" s="2">
        <v>45776.836805555555</v>
      </c>
      <c r="I1436" s="2">
        <v>45804.643750000003</v>
      </c>
      <c r="J1436" s="1" t="s">
        <v>14</v>
      </c>
    </row>
    <row r="1437" spans="1:10" hidden="1" x14ac:dyDescent="0.25">
      <c r="A1437" s="1" t="str">
        <f>_xlfn.XLOOKUP(E1437,Base!G:G,Base!C:C,"NOVO")</f>
        <v>PENDENTE</v>
      </c>
      <c r="B1437" s="1">
        <v>3391443</v>
      </c>
      <c r="C1437" s="1" t="s">
        <v>12</v>
      </c>
      <c r="D1437" s="2">
        <v>45776.743055555555</v>
      </c>
      <c r="E1437" s="1">
        <v>64357</v>
      </c>
      <c r="F1437" s="1">
        <v>64357</v>
      </c>
      <c r="G1437" s="1" t="s">
        <v>16</v>
      </c>
      <c r="H1437" s="2">
        <v>45776.836111111108</v>
      </c>
      <c r="I1437" s="2">
        <v>45804.643750000003</v>
      </c>
      <c r="J1437" s="1" t="s">
        <v>14</v>
      </c>
    </row>
    <row r="1438" spans="1:10" hidden="1" x14ac:dyDescent="0.25">
      <c r="A1438" s="1" t="str">
        <f>_xlfn.XLOOKUP(E1438,Base!G:G,Base!C:C,"NOVO")</f>
        <v>PENDENTE</v>
      </c>
      <c r="B1438" s="1">
        <v>3436899</v>
      </c>
      <c r="C1438" s="1" t="s">
        <v>12</v>
      </c>
      <c r="D1438" s="2">
        <v>45799.406944444447</v>
      </c>
      <c r="E1438" s="1">
        <v>66577</v>
      </c>
      <c r="F1438" s="1">
        <v>66577</v>
      </c>
      <c r="G1438" s="1" t="s">
        <v>16</v>
      </c>
      <c r="H1438" s="2">
        <v>45799.656944444447</v>
      </c>
      <c r="I1438" s="2">
        <v>45802.938888888886</v>
      </c>
      <c r="J1438" s="1" t="s">
        <v>14</v>
      </c>
    </row>
    <row r="1439" spans="1:10" hidden="1" x14ac:dyDescent="0.25">
      <c r="A1439" s="1" t="str">
        <f>_xlfn.XLOOKUP(E1439,Base!G:G,Base!C:C,"NOVO")</f>
        <v>PENDENTE</v>
      </c>
      <c r="B1439" s="1">
        <v>3436896</v>
      </c>
      <c r="C1439" s="1" t="s">
        <v>12</v>
      </c>
      <c r="D1439" s="2">
        <v>45799.412499999999</v>
      </c>
      <c r="E1439" s="1">
        <v>66578</v>
      </c>
      <c r="F1439" s="1">
        <v>66578</v>
      </c>
      <c r="G1439" s="1" t="s">
        <v>16</v>
      </c>
      <c r="H1439" s="2">
        <v>45799.656944444447</v>
      </c>
      <c r="I1439" s="2">
        <v>45802.938888888886</v>
      </c>
      <c r="J1439" s="1" t="s">
        <v>14</v>
      </c>
    </row>
    <row r="1440" spans="1:10" hidden="1" x14ac:dyDescent="0.25">
      <c r="A1440" s="1" t="str">
        <f>_xlfn.XLOOKUP(E1440,Base!G:G,Base!C:C,"NOVO")</f>
        <v>PENDENTE</v>
      </c>
      <c r="B1440" s="1">
        <v>3436894</v>
      </c>
      <c r="C1440" s="1" t="s">
        <v>12</v>
      </c>
      <c r="D1440" s="2">
        <v>45799.408333333333</v>
      </c>
      <c r="E1440" s="1">
        <v>66579</v>
      </c>
      <c r="F1440" s="1">
        <v>66579</v>
      </c>
      <c r="G1440" s="1" t="s">
        <v>16</v>
      </c>
      <c r="H1440" s="2">
        <v>45799.65625</v>
      </c>
      <c r="I1440" s="2">
        <v>45802.938888888886</v>
      </c>
      <c r="J1440" s="1" t="s">
        <v>14</v>
      </c>
    </row>
    <row r="1441" spans="1:10" hidden="1" x14ac:dyDescent="0.25">
      <c r="A1441" s="1" t="str">
        <f>_xlfn.XLOOKUP(E1441,Base!G:G,Base!C:C,"NOVO")</f>
        <v>PENDENTE</v>
      </c>
      <c r="B1441" s="1">
        <v>3436893</v>
      </c>
      <c r="C1441" s="1" t="s">
        <v>12</v>
      </c>
      <c r="D1441" s="2">
        <v>45799.413888888892</v>
      </c>
      <c r="E1441" s="1">
        <v>66582</v>
      </c>
      <c r="F1441" s="1">
        <v>66582</v>
      </c>
      <c r="G1441" s="1" t="s">
        <v>16</v>
      </c>
      <c r="H1441" s="2">
        <v>45799.65625</v>
      </c>
      <c r="I1441" s="2">
        <v>45802.938888888886</v>
      </c>
      <c r="J1441" s="1" t="s">
        <v>14</v>
      </c>
    </row>
    <row r="1442" spans="1:10" hidden="1" x14ac:dyDescent="0.25">
      <c r="A1442" s="1" t="str">
        <f>_xlfn.XLOOKUP(E1442,Base!G:G,Base!C:C,"NOVO")</f>
        <v>PENDENTE</v>
      </c>
      <c r="B1442" s="1">
        <v>3436892</v>
      </c>
      <c r="C1442" s="1" t="s">
        <v>12</v>
      </c>
      <c r="D1442" s="2">
        <v>45799.411111111112</v>
      </c>
      <c r="E1442" s="1">
        <v>66583</v>
      </c>
      <c r="F1442" s="1">
        <v>66583</v>
      </c>
      <c r="G1442" s="1" t="s">
        <v>16</v>
      </c>
      <c r="H1442" s="2">
        <v>45799.65625</v>
      </c>
      <c r="I1442" s="2">
        <v>45802.938888888886</v>
      </c>
      <c r="J1442" s="1" t="s">
        <v>14</v>
      </c>
    </row>
    <row r="1443" spans="1:10" hidden="1" x14ac:dyDescent="0.25">
      <c r="A1443" s="1" t="str">
        <f>_xlfn.XLOOKUP(E1443,Base!G:G,Base!C:C,"NOVO")</f>
        <v>PENDENTE</v>
      </c>
      <c r="B1443" s="1">
        <v>3436891</v>
      </c>
      <c r="C1443" s="1" t="s">
        <v>12</v>
      </c>
      <c r="D1443" s="2">
        <v>45799.416666666664</v>
      </c>
      <c r="E1443" s="1">
        <v>66584</v>
      </c>
      <c r="F1443" s="1">
        <v>66584</v>
      </c>
      <c r="G1443" s="1" t="s">
        <v>16</v>
      </c>
      <c r="H1443" s="2">
        <v>45799.65625</v>
      </c>
      <c r="I1443" s="2">
        <v>45802.938888888886</v>
      </c>
      <c r="J1443" s="1" t="s">
        <v>14</v>
      </c>
    </row>
    <row r="1444" spans="1:10" x14ac:dyDescent="0.25">
      <c r="A1444" s="1" t="str">
        <f>_xlfn.XLOOKUP(E1444,Base!G:G,Base!C:C,"NOVO")</f>
        <v>PENDENTE</v>
      </c>
      <c r="B1444" s="1">
        <v>3472356</v>
      </c>
      <c r="C1444" s="1" t="s">
        <v>12</v>
      </c>
      <c r="D1444" s="2">
        <v>45817.525000000001</v>
      </c>
      <c r="E1444" s="1">
        <v>66686</v>
      </c>
      <c r="F1444" s="1">
        <v>66686</v>
      </c>
      <c r="G1444" s="1" t="s">
        <v>1905</v>
      </c>
      <c r="H1444" s="2">
        <v>45817.751388888886</v>
      </c>
      <c r="I1444" s="2">
        <v>45824.527083333334</v>
      </c>
      <c r="J1444" s="1" t="s">
        <v>19</v>
      </c>
    </row>
    <row r="1445" spans="1:10" hidden="1" x14ac:dyDescent="0.25">
      <c r="A1445" s="1" t="str">
        <f>_xlfn.XLOOKUP(E1445,Base!G:G,Base!C:C,"NOVO")</f>
        <v>PENDENTE</v>
      </c>
      <c r="B1445" s="1">
        <v>3433417</v>
      </c>
      <c r="C1445" s="1" t="s">
        <v>12</v>
      </c>
      <c r="D1445" s="2">
        <v>45797.707638888889</v>
      </c>
      <c r="E1445" s="1">
        <v>6671</v>
      </c>
      <c r="F1445" s="1">
        <v>6671</v>
      </c>
      <c r="G1445" s="1" t="s">
        <v>16</v>
      </c>
      <c r="H1445" s="2">
        <v>45797.943055555559</v>
      </c>
      <c r="I1445" s="2">
        <v>45800.969444444447</v>
      </c>
      <c r="J1445" s="1" t="s">
        <v>14</v>
      </c>
    </row>
    <row r="1446" spans="1:10" hidden="1" x14ac:dyDescent="0.25">
      <c r="A1446" s="1" t="str">
        <f>_xlfn.XLOOKUP(E1446,Base!G:G,Base!C:C,"NOVO")</f>
        <v>PENDENTE</v>
      </c>
      <c r="B1446" s="1">
        <v>3275329</v>
      </c>
      <c r="C1446" s="1" t="s">
        <v>12</v>
      </c>
      <c r="D1446" s="2">
        <v>45716.387499999997</v>
      </c>
      <c r="E1446" s="1">
        <v>67</v>
      </c>
      <c r="F1446" s="1">
        <v>67</v>
      </c>
      <c r="G1446" s="1" t="s">
        <v>16</v>
      </c>
      <c r="H1446" s="2">
        <v>45716.546527777777</v>
      </c>
      <c r="I1446" s="2">
        <v>45723.706250000003</v>
      </c>
      <c r="J1446" s="1" t="s">
        <v>14</v>
      </c>
    </row>
    <row r="1447" spans="1:10" x14ac:dyDescent="0.25">
      <c r="A1447" s="1" t="str">
        <f>_xlfn.XLOOKUP(E1447,Base!G:G,Base!C:C,"NOVO")</f>
        <v>PENDENTE</v>
      </c>
      <c r="B1447" s="1">
        <v>3482845</v>
      </c>
      <c r="C1447" s="1" t="s">
        <v>12</v>
      </c>
      <c r="D1447" s="2">
        <v>45821.722916666666</v>
      </c>
      <c r="E1447" s="1">
        <v>67364</v>
      </c>
      <c r="F1447" s="1">
        <v>67364</v>
      </c>
      <c r="G1447" s="1" t="s">
        <v>2763</v>
      </c>
      <c r="H1447" s="2">
        <v>45823.102083333331</v>
      </c>
      <c r="I1447" s="2">
        <v>45824.75277777778</v>
      </c>
      <c r="J1447" s="1" t="s">
        <v>14</v>
      </c>
    </row>
    <row r="1448" spans="1:10" x14ac:dyDescent="0.25">
      <c r="A1448" s="1" t="str">
        <f>_xlfn.XLOOKUP(E1448,Base!G:G,Base!C:C,"NOVO")</f>
        <v>PENDENTE</v>
      </c>
      <c r="B1448" s="1">
        <v>3486189</v>
      </c>
      <c r="C1448" s="1" t="s">
        <v>12</v>
      </c>
      <c r="D1448" s="2">
        <v>45824.627083333333</v>
      </c>
      <c r="E1448" s="1">
        <v>67868</v>
      </c>
      <c r="F1448" s="1">
        <v>67868</v>
      </c>
      <c r="G1448" s="1" t="s">
        <v>2762</v>
      </c>
      <c r="H1448" s="2">
        <v>45825.442361111112</v>
      </c>
      <c r="J1448" s="1" t="s">
        <v>19</v>
      </c>
    </row>
    <row r="1449" spans="1:10" x14ac:dyDescent="0.25">
      <c r="A1449" s="1" t="str">
        <f>_xlfn.XLOOKUP(E1449,Base!G:G,Base!C:C,"NOVO")</f>
        <v>PENDENTE</v>
      </c>
      <c r="B1449" s="1">
        <v>3486166</v>
      </c>
      <c r="C1449" s="1" t="s">
        <v>12</v>
      </c>
      <c r="D1449" s="2">
        <v>45824.627083333333</v>
      </c>
      <c r="E1449" s="1">
        <v>67872</v>
      </c>
      <c r="F1449" s="1">
        <v>67872</v>
      </c>
      <c r="G1449" s="1" t="s">
        <v>2762</v>
      </c>
      <c r="H1449" s="2">
        <v>45825.436111111114</v>
      </c>
      <c r="J1449" s="1" t="s">
        <v>19</v>
      </c>
    </row>
    <row r="1450" spans="1:10" x14ac:dyDescent="0.25">
      <c r="A1450" s="1" t="str">
        <f>_xlfn.XLOOKUP(E1450,Base!G:G,Base!C:C,"NOVO")</f>
        <v>PENDENTE</v>
      </c>
      <c r="B1450" s="1">
        <v>3486099</v>
      </c>
      <c r="C1450" s="1" t="s">
        <v>12</v>
      </c>
      <c r="D1450" s="2">
        <v>45824.525000000001</v>
      </c>
      <c r="E1450" s="1">
        <v>67884</v>
      </c>
      <c r="F1450" s="1">
        <v>67884</v>
      </c>
      <c r="G1450" s="1" t="s">
        <v>2762</v>
      </c>
      <c r="H1450" s="2">
        <v>45825.420138888891</v>
      </c>
      <c r="J1450" s="1" t="s">
        <v>19</v>
      </c>
    </row>
    <row r="1451" spans="1:10" x14ac:dyDescent="0.25">
      <c r="A1451" s="1" t="str">
        <f>_xlfn.XLOOKUP(E1451,Base!G:G,Base!C:C,"NOVO")</f>
        <v>PENDENTE</v>
      </c>
      <c r="B1451" s="1">
        <v>3486059</v>
      </c>
      <c r="C1451" s="1" t="s">
        <v>12</v>
      </c>
      <c r="D1451" s="2">
        <v>45824.5625</v>
      </c>
      <c r="E1451" s="1">
        <v>67888</v>
      </c>
      <c r="F1451" s="1">
        <v>67888</v>
      </c>
      <c r="G1451" s="1" t="s">
        <v>2762</v>
      </c>
      <c r="H1451" s="2">
        <v>45825.415972222225</v>
      </c>
      <c r="J1451" s="1" t="s">
        <v>19</v>
      </c>
    </row>
    <row r="1452" spans="1:10" x14ac:dyDescent="0.25">
      <c r="A1452" s="1" t="str">
        <f>_xlfn.XLOOKUP(E1452,Base!G:G,Base!C:C,"NOVO")</f>
        <v>PENDENTE</v>
      </c>
      <c r="B1452" s="1">
        <v>3486057</v>
      </c>
      <c r="C1452" s="1" t="s">
        <v>12</v>
      </c>
      <c r="D1452" s="2">
        <v>45824.5625</v>
      </c>
      <c r="E1452" s="1">
        <v>67891</v>
      </c>
      <c r="F1452" s="1">
        <v>67891</v>
      </c>
      <c r="G1452" s="1" t="s">
        <v>2762</v>
      </c>
      <c r="H1452" s="2">
        <v>45825.414583333331</v>
      </c>
      <c r="J1452" s="1" t="s">
        <v>19</v>
      </c>
    </row>
    <row r="1453" spans="1:10" x14ac:dyDescent="0.25">
      <c r="A1453" s="1" t="str">
        <f>_xlfn.XLOOKUP(E1453,Base!G:G,Base!C:C,"NOVO")</f>
        <v>PENDENTE</v>
      </c>
      <c r="B1453" s="1">
        <v>3486053</v>
      </c>
      <c r="C1453" s="1" t="s">
        <v>12</v>
      </c>
      <c r="D1453" s="2">
        <v>45824.577777777777</v>
      </c>
      <c r="E1453" s="1">
        <v>67894</v>
      </c>
      <c r="F1453" s="1">
        <v>67894</v>
      </c>
      <c r="G1453" s="1" t="s">
        <v>2762</v>
      </c>
      <c r="H1453" s="2">
        <v>45825.411805555559</v>
      </c>
      <c r="J1453" s="1" t="s">
        <v>19</v>
      </c>
    </row>
    <row r="1454" spans="1:10" x14ac:dyDescent="0.25">
      <c r="A1454" s="1" t="str">
        <f>_xlfn.XLOOKUP(E1454,Base!G:G,Base!C:C,"NOVO")</f>
        <v>PENDENTE</v>
      </c>
      <c r="B1454" s="1">
        <v>3486036</v>
      </c>
      <c r="C1454" s="1" t="s">
        <v>12</v>
      </c>
      <c r="D1454" s="2">
        <v>45824.585416666669</v>
      </c>
      <c r="E1454" s="1">
        <v>67901</v>
      </c>
      <c r="F1454" s="1">
        <v>67901</v>
      </c>
      <c r="G1454" s="1" t="s">
        <v>2762</v>
      </c>
      <c r="H1454" s="2">
        <v>45825.400694444441</v>
      </c>
      <c r="J1454" s="1" t="s">
        <v>19</v>
      </c>
    </row>
    <row r="1455" spans="1:10" x14ac:dyDescent="0.25">
      <c r="A1455" s="1" t="str">
        <f>_xlfn.XLOOKUP(E1455,Base!G:G,Base!C:C,"NOVO")</f>
        <v>PENDENTE</v>
      </c>
      <c r="B1455" s="1">
        <v>3486017</v>
      </c>
      <c r="C1455" s="1" t="s">
        <v>12</v>
      </c>
      <c r="D1455" s="2">
        <v>45824.585416666669</v>
      </c>
      <c r="E1455" s="1">
        <v>67904</v>
      </c>
      <c r="F1455" s="1">
        <v>67904</v>
      </c>
      <c r="G1455" s="1" t="s">
        <v>2762</v>
      </c>
      <c r="H1455" s="2">
        <v>45825.397916666669</v>
      </c>
      <c r="J1455" s="1" t="s">
        <v>19</v>
      </c>
    </row>
    <row r="1456" spans="1:10" x14ac:dyDescent="0.25">
      <c r="A1456" s="1" t="str">
        <f>_xlfn.XLOOKUP(E1456,Base!G:G,Base!C:C,"NOVO")</f>
        <v>PENDENTE</v>
      </c>
      <c r="B1456" s="1">
        <v>3486013</v>
      </c>
      <c r="C1456" s="1" t="s">
        <v>12</v>
      </c>
      <c r="D1456" s="2">
        <v>45824.59375</v>
      </c>
      <c r="E1456" s="1">
        <v>67907</v>
      </c>
      <c r="F1456" s="1">
        <v>67907</v>
      </c>
      <c r="G1456" s="1" t="s">
        <v>2762</v>
      </c>
      <c r="H1456" s="2">
        <v>45825.395138888889</v>
      </c>
      <c r="J1456" s="1" t="s">
        <v>19</v>
      </c>
    </row>
    <row r="1457" spans="1:10" x14ac:dyDescent="0.25">
      <c r="A1457" s="1" t="str">
        <f>_xlfn.XLOOKUP(E1457,Base!G:G,Base!C:C,"NOVO")</f>
        <v>PENDENTE</v>
      </c>
      <c r="B1457" s="1">
        <v>3486002</v>
      </c>
      <c r="C1457" s="1" t="s">
        <v>12</v>
      </c>
      <c r="D1457" s="2">
        <v>45824.62777777778</v>
      </c>
      <c r="E1457" s="1">
        <v>67911</v>
      </c>
      <c r="F1457" s="1">
        <v>67911</v>
      </c>
      <c r="G1457" s="1" t="s">
        <v>2762</v>
      </c>
      <c r="H1457" s="2">
        <v>45825.39166666667</v>
      </c>
      <c r="J1457" s="1" t="s">
        <v>19</v>
      </c>
    </row>
    <row r="1458" spans="1:10" x14ac:dyDescent="0.25">
      <c r="A1458" s="1" t="str">
        <f>_xlfn.XLOOKUP(E1458,Base!G:G,Base!C:C,"NOVO")</f>
        <v>PENDENTE</v>
      </c>
      <c r="B1458" s="1">
        <v>3485909</v>
      </c>
      <c r="C1458" s="1" t="s">
        <v>12</v>
      </c>
      <c r="D1458" s="2">
        <v>45824.630555555559</v>
      </c>
      <c r="E1458" s="1">
        <v>67936</v>
      </c>
      <c r="F1458" s="1">
        <v>67936</v>
      </c>
      <c r="G1458" s="1" t="s">
        <v>416</v>
      </c>
      <c r="H1458" s="2">
        <v>45825.354861111111</v>
      </c>
      <c r="J1458" s="1" t="s">
        <v>19</v>
      </c>
    </row>
    <row r="1459" spans="1:10" hidden="1" x14ac:dyDescent="0.25">
      <c r="A1459" s="1" t="str">
        <f>_xlfn.XLOOKUP(E1459,Base!G:G,Base!C:C,"NOVO")</f>
        <v>PENDENTE</v>
      </c>
      <c r="B1459" s="1">
        <v>3274057</v>
      </c>
      <c r="C1459" s="1" t="s">
        <v>12</v>
      </c>
      <c r="D1459" s="2">
        <v>45715.638888888891</v>
      </c>
      <c r="E1459" s="1">
        <v>68</v>
      </c>
      <c r="F1459" s="1">
        <v>68</v>
      </c>
      <c r="G1459" s="1" t="s">
        <v>16</v>
      </c>
      <c r="H1459" s="2">
        <v>45715.79791666667</v>
      </c>
      <c r="I1459" s="2">
        <v>45726.504861111112</v>
      </c>
      <c r="J1459" s="1" t="s">
        <v>14</v>
      </c>
    </row>
    <row r="1460" spans="1:10" hidden="1" x14ac:dyDescent="0.25">
      <c r="A1460" s="1" t="str">
        <f>_xlfn.XLOOKUP(E1460,Base!G:G,Base!C:C,"NOVO")</f>
        <v>PENDENTE</v>
      </c>
      <c r="B1460" s="1">
        <v>3432649</v>
      </c>
      <c r="C1460" s="1" t="s">
        <v>12</v>
      </c>
      <c r="D1460" s="2">
        <v>45797.618055555555</v>
      </c>
      <c r="E1460" s="1">
        <v>6859</v>
      </c>
      <c r="F1460" s="1">
        <v>6859</v>
      </c>
      <c r="G1460" s="1" t="s">
        <v>2533</v>
      </c>
      <c r="H1460" s="2">
        <v>45797.869444444441</v>
      </c>
      <c r="I1460" s="2">
        <v>45811.436805555553</v>
      </c>
      <c r="J1460" s="1" t="s">
        <v>19</v>
      </c>
    </row>
    <row r="1461" spans="1:10" hidden="1" x14ac:dyDescent="0.25">
      <c r="A1461" s="1" t="str">
        <f>_xlfn.XLOOKUP(E1461,Base!G:G,Base!C:C,"NOVO")</f>
        <v>PENDENTE</v>
      </c>
      <c r="B1461" s="1">
        <v>3436739</v>
      </c>
      <c r="C1461" s="1" t="s">
        <v>12</v>
      </c>
      <c r="D1461" s="2">
        <v>45799.407638888886</v>
      </c>
      <c r="E1461" s="1">
        <v>6890</v>
      </c>
      <c r="F1461" s="1">
        <v>6890</v>
      </c>
      <c r="G1461" s="1" t="s">
        <v>16</v>
      </c>
      <c r="H1461" s="2">
        <v>45799.643750000003</v>
      </c>
      <c r="I1461" s="2">
        <v>45811.436805555553</v>
      </c>
      <c r="J1461" s="1" t="s">
        <v>14</v>
      </c>
    </row>
    <row r="1462" spans="1:10" hidden="1" x14ac:dyDescent="0.25">
      <c r="A1462" s="1" t="str">
        <f>_xlfn.XLOOKUP(E1462,Base!G:G,Base!C:C,"NOVO")</f>
        <v>PENDENTE</v>
      </c>
      <c r="B1462" s="1">
        <v>3436737</v>
      </c>
      <c r="C1462" s="1" t="s">
        <v>12</v>
      </c>
      <c r="D1462" s="2">
        <v>45799.404166666667</v>
      </c>
      <c r="E1462" s="1">
        <v>6896</v>
      </c>
      <c r="F1462" s="1">
        <v>6896</v>
      </c>
      <c r="G1462" s="1" t="s">
        <v>16</v>
      </c>
      <c r="H1462" s="2">
        <v>45799.643055555556</v>
      </c>
      <c r="I1462" s="2">
        <v>45811.436805555553</v>
      </c>
      <c r="J1462" s="1" t="s">
        <v>14</v>
      </c>
    </row>
    <row r="1463" spans="1:10" hidden="1" x14ac:dyDescent="0.25">
      <c r="A1463" s="1" t="str">
        <f>_xlfn.XLOOKUP(E1463,Base!G:G,Base!C:C,"NOVO")</f>
        <v>PENDENTE</v>
      </c>
      <c r="B1463" s="1">
        <v>3440747</v>
      </c>
      <c r="C1463" s="1" t="s">
        <v>12</v>
      </c>
      <c r="D1463" s="2">
        <v>45800.595138888886</v>
      </c>
      <c r="E1463" s="1">
        <v>6922</v>
      </c>
      <c r="F1463" s="1">
        <v>6922</v>
      </c>
      <c r="G1463" s="1" t="s">
        <v>2134</v>
      </c>
      <c r="H1463" s="2">
        <v>45800.759722222225</v>
      </c>
      <c r="I1463" s="2">
        <v>45803.995833333334</v>
      </c>
      <c r="J1463" s="1" t="s">
        <v>14</v>
      </c>
    </row>
    <row r="1464" spans="1:10" x14ac:dyDescent="0.25">
      <c r="A1464" s="1" t="str">
        <f>_xlfn.XLOOKUP(E1464,Base!G:G,Base!C:C,"NOVO")</f>
        <v>PENDENTE</v>
      </c>
      <c r="B1464" s="1">
        <v>3485634</v>
      </c>
      <c r="C1464" s="1" t="s">
        <v>12</v>
      </c>
      <c r="D1464" s="2">
        <v>45824.696527777778</v>
      </c>
      <c r="E1464" s="1">
        <v>7069</v>
      </c>
      <c r="F1464" s="1">
        <v>7069</v>
      </c>
      <c r="G1464" s="1" t="s">
        <v>2762</v>
      </c>
      <c r="H1464" s="2">
        <v>45825.167361111111</v>
      </c>
      <c r="J1464" s="1" t="s">
        <v>19</v>
      </c>
    </row>
    <row r="1465" spans="1:10" x14ac:dyDescent="0.25">
      <c r="A1465" s="1" t="str">
        <f>_xlfn.XLOOKUP(E1465,Base!G:G,Base!C:C,"NOVO")</f>
        <v>PENDENTE</v>
      </c>
      <c r="B1465" s="1">
        <v>3485632</v>
      </c>
      <c r="C1465" s="1" t="s">
        <v>12</v>
      </c>
      <c r="D1465" s="2">
        <v>45824.698611111111</v>
      </c>
      <c r="E1465" s="1">
        <v>7070</v>
      </c>
      <c r="F1465" s="1">
        <v>7070</v>
      </c>
      <c r="G1465" s="1" t="s">
        <v>2762</v>
      </c>
      <c r="H1465" s="2">
        <v>45825.165972222225</v>
      </c>
      <c r="J1465" s="1" t="s">
        <v>19</v>
      </c>
    </row>
    <row r="1466" spans="1:10" x14ac:dyDescent="0.25">
      <c r="A1466" s="1" t="str">
        <f>_xlfn.XLOOKUP(E1466,Base!G:G,Base!C:C,"NOVO")</f>
        <v>PENDENTE</v>
      </c>
      <c r="B1466" s="1">
        <v>3485630</v>
      </c>
      <c r="C1466" s="1" t="s">
        <v>12</v>
      </c>
      <c r="D1466" s="2">
        <v>45824.702777777777</v>
      </c>
      <c r="E1466" s="1">
        <v>7071</v>
      </c>
      <c r="F1466" s="1">
        <v>7071</v>
      </c>
      <c r="G1466" s="1" t="s">
        <v>2762</v>
      </c>
      <c r="H1466" s="2">
        <v>45825.164583333331</v>
      </c>
      <c r="J1466" s="1" t="s">
        <v>19</v>
      </c>
    </row>
    <row r="1467" spans="1:10" hidden="1" x14ac:dyDescent="0.25">
      <c r="A1467" s="1" t="str">
        <f>_xlfn.XLOOKUP(E1467,Base!G:G,Base!C:C,"NOVO")</f>
        <v>PENDENTE</v>
      </c>
      <c r="B1467" s="1">
        <v>3449821</v>
      </c>
      <c r="C1467" s="1" t="s">
        <v>12</v>
      </c>
      <c r="D1467" s="2">
        <v>45805.620833333334</v>
      </c>
      <c r="E1467" s="1">
        <v>7165</v>
      </c>
      <c r="F1467" s="1">
        <v>7165</v>
      </c>
      <c r="G1467" s="1" t="s">
        <v>2134</v>
      </c>
      <c r="H1467" s="2">
        <v>45805.809027777781</v>
      </c>
      <c r="I1467" s="2">
        <v>45808.770833333336</v>
      </c>
      <c r="J1467" s="1" t="s">
        <v>14</v>
      </c>
    </row>
    <row r="1468" spans="1:10" hidden="1" x14ac:dyDescent="0.25">
      <c r="A1468" s="1" t="str">
        <f>_xlfn.XLOOKUP(E1468,Base!G:G,Base!C:C,"NOVO")</f>
        <v>PENDENTE</v>
      </c>
      <c r="B1468" s="1">
        <v>3274055</v>
      </c>
      <c r="C1468" s="1" t="s">
        <v>12</v>
      </c>
      <c r="D1468" s="2">
        <v>45715.633333333331</v>
      </c>
      <c r="E1468" s="1">
        <v>72</v>
      </c>
      <c r="F1468" s="1">
        <v>72</v>
      </c>
      <c r="G1468" s="1" t="s">
        <v>16</v>
      </c>
      <c r="H1468" s="2">
        <v>45715.79791666667</v>
      </c>
      <c r="I1468" s="2">
        <v>45726.504861111112</v>
      </c>
      <c r="J1468" s="1" t="s">
        <v>14</v>
      </c>
    </row>
    <row r="1469" spans="1:10" x14ac:dyDescent="0.25">
      <c r="A1469" s="1" t="str">
        <f>_xlfn.XLOOKUP(E1469,Base!G:G,Base!C:C,"NOVO")</f>
        <v>PENDENTE</v>
      </c>
      <c r="B1469" s="1">
        <v>3485109</v>
      </c>
      <c r="C1469" s="1" t="s">
        <v>12</v>
      </c>
      <c r="D1469" s="2">
        <v>45824.663194444445</v>
      </c>
      <c r="E1469" s="1">
        <v>72037</v>
      </c>
      <c r="F1469" s="1">
        <v>72037</v>
      </c>
      <c r="G1469" s="1" t="s">
        <v>16</v>
      </c>
      <c r="H1469" s="2">
        <v>45824.79791666667</v>
      </c>
      <c r="I1469" s="2">
        <v>45825.103472222225</v>
      </c>
      <c r="J1469" s="1" t="s">
        <v>14</v>
      </c>
    </row>
    <row r="1470" spans="1:10" x14ac:dyDescent="0.25">
      <c r="A1470" s="1" t="str">
        <f>_xlfn.XLOOKUP(E1470,Base!G:G,Base!C:C,"NOVO")</f>
        <v>PENDENTE</v>
      </c>
      <c r="B1470" s="1">
        <v>3485045</v>
      </c>
      <c r="C1470" s="1" t="s">
        <v>12</v>
      </c>
      <c r="D1470" s="2">
        <v>45824.537499999999</v>
      </c>
      <c r="E1470" s="1">
        <v>72176</v>
      </c>
      <c r="F1470" s="1">
        <v>72176</v>
      </c>
      <c r="G1470" s="1" t="s">
        <v>16</v>
      </c>
      <c r="H1470" s="2">
        <v>45824.772222222222</v>
      </c>
      <c r="I1470" s="2">
        <v>45825.088194444441</v>
      </c>
      <c r="J1470" s="1" t="s">
        <v>14</v>
      </c>
    </row>
    <row r="1471" spans="1:10" hidden="1" x14ac:dyDescent="0.25">
      <c r="A1471" s="1" t="str">
        <f>_xlfn.XLOOKUP(E1471,Base!G:G,Base!C:C,"NOVO")</f>
        <v>PENDENTE</v>
      </c>
      <c r="B1471" s="1">
        <v>3390133</v>
      </c>
      <c r="C1471" s="1" t="s">
        <v>12</v>
      </c>
      <c r="D1471" s="2">
        <v>45776.488194444442</v>
      </c>
      <c r="E1471" s="1">
        <v>7302</v>
      </c>
      <c r="F1471" s="1">
        <v>7302</v>
      </c>
      <c r="G1471" s="1" t="s">
        <v>16</v>
      </c>
      <c r="H1471" s="2">
        <v>45776.594444444447</v>
      </c>
      <c r="I1471" s="2">
        <v>45804.644444444442</v>
      </c>
      <c r="J1471" s="1" t="s">
        <v>14</v>
      </c>
    </row>
    <row r="1472" spans="1:10" hidden="1" x14ac:dyDescent="0.25">
      <c r="A1472" s="1" t="str">
        <f>_xlfn.XLOOKUP(E1472,Base!G:G,Base!C:C,"NOVO")</f>
        <v>PENDENTE</v>
      </c>
      <c r="B1472" s="1">
        <v>3390132</v>
      </c>
      <c r="C1472" s="1" t="s">
        <v>12</v>
      </c>
      <c r="D1472" s="2">
        <v>45776.487500000003</v>
      </c>
      <c r="E1472" s="1">
        <v>7303</v>
      </c>
      <c r="F1472" s="1">
        <v>7303</v>
      </c>
      <c r="G1472" s="1" t="s">
        <v>16</v>
      </c>
      <c r="H1472" s="2">
        <v>45776.594444444447</v>
      </c>
      <c r="I1472" s="2">
        <v>45804.644444444442</v>
      </c>
      <c r="J1472" s="1" t="s">
        <v>14</v>
      </c>
    </row>
    <row r="1473" spans="1:10" hidden="1" x14ac:dyDescent="0.25">
      <c r="A1473" s="1" t="str">
        <f>_xlfn.XLOOKUP(E1473,Base!G:G,Base!C:C,"NOVO")</f>
        <v>PENDENTE</v>
      </c>
      <c r="B1473" s="1">
        <v>3390131</v>
      </c>
      <c r="C1473" s="1" t="s">
        <v>12</v>
      </c>
      <c r="D1473" s="2">
        <v>45776.486805555556</v>
      </c>
      <c r="E1473" s="1">
        <v>7304</v>
      </c>
      <c r="F1473" s="1">
        <v>7304</v>
      </c>
      <c r="G1473" s="1" t="s">
        <v>16</v>
      </c>
      <c r="H1473" s="2">
        <v>45776.594444444447</v>
      </c>
      <c r="I1473" s="2">
        <v>45804.644444444442</v>
      </c>
      <c r="J1473" s="1" t="s">
        <v>14</v>
      </c>
    </row>
    <row r="1474" spans="1:10" hidden="1" x14ac:dyDescent="0.25">
      <c r="A1474" s="1" t="str">
        <f>_xlfn.XLOOKUP(E1474,Base!G:G,Base!C:C,"NOVO")</f>
        <v>PENDENTE</v>
      </c>
      <c r="B1474" s="1">
        <v>3390130</v>
      </c>
      <c r="C1474" s="1" t="s">
        <v>12</v>
      </c>
      <c r="D1474" s="2">
        <v>45776.486111111109</v>
      </c>
      <c r="E1474" s="1">
        <v>7305</v>
      </c>
      <c r="F1474" s="1">
        <v>7305</v>
      </c>
      <c r="G1474" s="1" t="s">
        <v>16</v>
      </c>
      <c r="H1474" s="2">
        <v>45776.59375</v>
      </c>
      <c r="I1474" s="2">
        <v>45804.644444444442</v>
      </c>
      <c r="J1474" s="1" t="s">
        <v>14</v>
      </c>
    </row>
    <row r="1475" spans="1:10" x14ac:dyDescent="0.25">
      <c r="A1475" s="1" t="str">
        <f>_xlfn.XLOOKUP(E1475,Base!G:G,Base!C:C,"NOVO")</f>
        <v>PENDENTE</v>
      </c>
      <c r="B1475" s="1">
        <v>3484677</v>
      </c>
      <c r="C1475" s="1" t="s">
        <v>12</v>
      </c>
      <c r="D1475" s="2">
        <v>45824.443749999999</v>
      </c>
      <c r="E1475" s="1">
        <v>7353</v>
      </c>
      <c r="F1475" s="1">
        <v>7353</v>
      </c>
      <c r="G1475" s="1" t="s">
        <v>16</v>
      </c>
      <c r="H1475" s="2">
        <v>45824.680555555555</v>
      </c>
      <c r="I1475" s="2">
        <v>45824.996527777781</v>
      </c>
      <c r="J1475" s="1" t="s">
        <v>14</v>
      </c>
    </row>
    <row r="1476" spans="1:10" hidden="1" x14ac:dyDescent="0.25">
      <c r="A1476" s="1" t="str">
        <f>_xlfn.XLOOKUP(E1476,Base!G:G,Base!C:C,"NOVO")</f>
        <v>PENDENTE</v>
      </c>
      <c r="B1476" s="1">
        <v>3392945</v>
      </c>
      <c r="C1476" s="1" t="s">
        <v>12</v>
      </c>
      <c r="D1476" s="2">
        <v>45777.361805555556</v>
      </c>
      <c r="E1476" s="1">
        <v>7365</v>
      </c>
      <c r="F1476" s="1">
        <v>7365</v>
      </c>
      <c r="G1476" s="1" t="s">
        <v>16</v>
      </c>
      <c r="H1476" s="2">
        <v>45777.623611111114</v>
      </c>
      <c r="I1476" s="2">
        <v>45804.644444444442</v>
      </c>
      <c r="J1476" s="1" t="s">
        <v>14</v>
      </c>
    </row>
    <row r="1477" spans="1:10" hidden="1" x14ac:dyDescent="0.25">
      <c r="A1477" s="1" t="str">
        <f>_xlfn.XLOOKUP(E1477,Base!G:G,Base!C:C,"NOVO")</f>
        <v>PENDENTE</v>
      </c>
      <c r="B1477" s="1">
        <v>3281708</v>
      </c>
      <c r="C1477" s="1" t="s">
        <v>12</v>
      </c>
      <c r="D1477" s="2">
        <v>45721.574305555558</v>
      </c>
      <c r="E1477" s="1">
        <v>77</v>
      </c>
      <c r="F1477" s="1">
        <v>77</v>
      </c>
      <c r="G1477" s="1" t="s">
        <v>16</v>
      </c>
      <c r="H1477" s="2">
        <v>45721.856944444444</v>
      </c>
      <c r="I1477" s="2">
        <v>45724.617361111108</v>
      </c>
      <c r="J1477" s="1" t="s">
        <v>14</v>
      </c>
    </row>
    <row r="1478" spans="1:10" hidden="1" x14ac:dyDescent="0.25">
      <c r="A1478" s="1" t="str">
        <f>_xlfn.XLOOKUP(E1478,Base!G:G,Base!C:C,"NOVO")</f>
        <v>PENDENTE</v>
      </c>
      <c r="B1478" s="1">
        <v>3269919</v>
      </c>
      <c r="C1478" s="1" t="s">
        <v>12</v>
      </c>
      <c r="D1478" s="2">
        <v>45621.411111111112</v>
      </c>
      <c r="E1478" s="1">
        <v>7940</v>
      </c>
      <c r="F1478" s="1">
        <v>7940</v>
      </c>
      <c r="G1478" s="1" t="s">
        <v>1367</v>
      </c>
      <c r="H1478" s="2">
        <v>45714.504861111112</v>
      </c>
      <c r="J1478" s="1" t="s">
        <v>14</v>
      </c>
    </row>
    <row r="1479" spans="1:10" hidden="1" x14ac:dyDescent="0.25">
      <c r="A1479" s="1" t="str">
        <f>_xlfn.XLOOKUP(E1479,Base!G:G,Base!C:C,"NOVO")</f>
        <v>PENDENTE</v>
      </c>
      <c r="B1479" s="1">
        <v>3315399</v>
      </c>
      <c r="C1479" s="1" t="s">
        <v>12</v>
      </c>
      <c r="D1479" s="2">
        <v>45736.638194444444</v>
      </c>
      <c r="E1479" s="1">
        <v>87</v>
      </c>
      <c r="F1479" s="1">
        <v>87</v>
      </c>
      <c r="G1479" s="1" t="s">
        <v>16</v>
      </c>
      <c r="H1479" s="2">
        <v>45736.857638888891</v>
      </c>
      <c r="I1479" s="2">
        <v>45739.824305555558</v>
      </c>
      <c r="J1479" s="1" t="s">
        <v>14</v>
      </c>
    </row>
    <row r="1480" spans="1:10" hidden="1" x14ac:dyDescent="0.25">
      <c r="A1480" s="1" t="str">
        <f>_xlfn.XLOOKUP(E1480,Base!G:G,Base!C:C,"NOVO")</f>
        <v>PENDENTE</v>
      </c>
      <c r="B1480" s="1">
        <v>3320202</v>
      </c>
      <c r="C1480" s="1" t="s">
        <v>12</v>
      </c>
      <c r="D1480" s="2">
        <v>45740.465277777781</v>
      </c>
      <c r="E1480" s="1">
        <v>89</v>
      </c>
      <c r="F1480" s="1">
        <v>89</v>
      </c>
      <c r="G1480" s="1" t="s">
        <v>16</v>
      </c>
      <c r="H1480" s="2">
        <v>45740.636111111111</v>
      </c>
      <c r="I1480" s="2">
        <v>45743.709722222222</v>
      </c>
      <c r="J1480" s="1" t="s">
        <v>14</v>
      </c>
    </row>
    <row r="1481" spans="1:10" hidden="1" x14ac:dyDescent="0.25">
      <c r="A1481" s="1" t="str">
        <f>_xlfn.XLOOKUP(E1481,Base!G:G,Base!C:C,"NOVO")</f>
        <v>PENDENTE</v>
      </c>
      <c r="B1481" s="1">
        <v>3266687</v>
      </c>
      <c r="C1481" s="1" t="s">
        <v>25</v>
      </c>
      <c r="D1481" s="2">
        <v>45713.415972222225</v>
      </c>
      <c r="E1481" s="1" t="s">
        <v>1368</v>
      </c>
      <c r="F1481" s="1" t="s">
        <v>1063</v>
      </c>
      <c r="G1481" s="1" t="s">
        <v>537</v>
      </c>
      <c r="H1481" s="2">
        <v>45713.459027777775</v>
      </c>
      <c r="I1481" s="2">
        <v>45716.417361111111</v>
      </c>
      <c r="J1481" s="1" t="s">
        <v>19</v>
      </c>
    </row>
    <row r="1482" spans="1:10" hidden="1" x14ac:dyDescent="0.25">
      <c r="A1482" s="1" t="str">
        <f>_xlfn.XLOOKUP(E1482,Base!G:G,Base!C:C,"NOVO")</f>
        <v>PENDENTE</v>
      </c>
      <c r="B1482" s="1">
        <v>3314355</v>
      </c>
      <c r="C1482" s="1" t="s">
        <v>25</v>
      </c>
      <c r="D1482" s="2">
        <v>45733.900694444441</v>
      </c>
      <c r="E1482" s="1" t="s">
        <v>1914</v>
      </c>
      <c r="F1482" s="1">
        <v>16188715</v>
      </c>
      <c r="G1482" s="1" t="s">
        <v>386</v>
      </c>
      <c r="H1482" s="2">
        <v>45736.709722222222</v>
      </c>
      <c r="I1482" s="2">
        <v>45739.667361111111</v>
      </c>
      <c r="J1482" s="1" t="s">
        <v>1232</v>
      </c>
    </row>
    <row r="1483" spans="1:10" hidden="1" x14ac:dyDescent="0.25">
      <c r="A1483" s="1" t="str">
        <f>_xlfn.XLOOKUP(E1483,Base!G:G,Base!C:C,"NOVO")</f>
        <v>PENDENTE</v>
      </c>
      <c r="B1483" s="1">
        <v>3315751</v>
      </c>
      <c r="C1483" s="1" t="s">
        <v>25</v>
      </c>
      <c r="D1483" s="2">
        <v>45735.675000000003</v>
      </c>
      <c r="E1483" s="1" t="s">
        <v>1915</v>
      </c>
      <c r="F1483" s="1">
        <v>16205902</v>
      </c>
      <c r="G1483" s="1" t="s">
        <v>386</v>
      </c>
      <c r="H1483" s="2">
        <v>45737.376388888886</v>
      </c>
      <c r="I1483" s="2">
        <v>45740.333333333336</v>
      </c>
      <c r="J1483" s="1" t="s">
        <v>1232</v>
      </c>
    </row>
    <row r="1484" spans="1:10" hidden="1" x14ac:dyDescent="0.25">
      <c r="A1484" s="1" t="str">
        <f>_xlfn.XLOOKUP(E1484,Base!G:G,Base!C:C,"NOVO")</f>
        <v>PENDENTE</v>
      </c>
      <c r="B1484" s="1">
        <v>3315753</v>
      </c>
      <c r="C1484" s="1" t="s">
        <v>25</v>
      </c>
      <c r="D1484" s="2">
        <v>45736.727777777778</v>
      </c>
      <c r="E1484" s="1" t="s">
        <v>1916</v>
      </c>
      <c r="F1484" s="1">
        <v>16216889</v>
      </c>
      <c r="G1484" s="1" t="s">
        <v>386</v>
      </c>
      <c r="H1484" s="2">
        <v>45737.377083333333</v>
      </c>
      <c r="I1484" s="2">
        <v>45740.334027777775</v>
      </c>
      <c r="J1484" s="1" t="s">
        <v>1232</v>
      </c>
    </row>
    <row r="1485" spans="1:10" hidden="1" x14ac:dyDescent="0.25">
      <c r="A1485" s="1" t="str">
        <f>_xlfn.XLOOKUP(E1485,Base!G:G,Base!C:C,"NOVO")</f>
        <v>PENDENTE</v>
      </c>
      <c r="B1485" s="1">
        <v>3438744</v>
      </c>
      <c r="C1485" s="1" t="s">
        <v>25</v>
      </c>
      <c r="D1485" s="2">
        <v>45799.681250000001</v>
      </c>
      <c r="E1485" s="1" t="s">
        <v>2536</v>
      </c>
      <c r="F1485" s="1" t="s">
        <v>2063</v>
      </c>
      <c r="G1485" s="1" t="s">
        <v>2537</v>
      </c>
      <c r="H1485" s="2">
        <v>45800.377083333333</v>
      </c>
      <c r="I1485" s="2">
        <v>45803.334027777775</v>
      </c>
      <c r="J1485" s="1" t="s">
        <v>19</v>
      </c>
    </row>
    <row r="1486" spans="1:10" hidden="1" x14ac:dyDescent="0.25">
      <c r="A1486" s="1" t="str">
        <f>_xlfn.XLOOKUP(E1486,Base!G:G,Base!C:C,"NOVO")</f>
        <v>PENDENTE</v>
      </c>
      <c r="B1486" s="1">
        <v>3466756</v>
      </c>
      <c r="C1486" s="1" t="s">
        <v>25</v>
      </c>
      <c r="D1486" s="2">
        <v>45811.763888888891</v>
      </c>
      <c r="E1486" s="1" t="s">
        <v>2641</v>
      </c>
      <c r="F1486" s="1" t="s">
        <v>2642</v>
      </c>
      <c r="G1486" s="1" t="s">
        <v>2643</v>
      </c>
      <c r="H1486" s="2">
        <v>45813.669444444444</v>
      </c>
      <c r="I1486" s="2">
        <v>45816.625</v>
      </c>
      <c r="J1486" s="1" t="s">
        <v>19</v>
      </c>
    </row>
    <row r="1487" spans="1:10" hidden="1" x14ac:dyDescent="0.25">
      <c r="A1487" s="1" t="str">
        <f>_xlfn.XLOOKUP(E1487,Base!G:G,Base!C:C,"NOVO")</f>
        <v>PENDENTE</v>
      </c>
      <c r="B1487" s="1">
        <v>2854556</v>
      </c>
      <c r="C1487" s="1" t="s">
        <v>24</v>
      </c>
      <c r="D1487" s="2">
        <v>45210.688888888886</v>
      </c>
      <c r="E1487" s="1">
        <v>367886</v>
      </c>
      <c r="F1487" s="1" t="s">
        <v>223</v>
      </c>
      <c r="G1487" s="1" t="s">
        <v>224</v>
      </c>
      <c r="H1487" s="2">
        <v>45512.688194444447</v>
      </c>
      <c r="I1487" s="2">
        <v>45825.438888888886</v>
      </c>
      <c r="J1487" s="1" t="s">
        <v>14</v>
      </c>
    </row>
    <row r="1488" spans="1:10" hidden="1" x14ac:dyDescent="0.25">
      <c r="A1488" s="1" t="str">
        <f>_xlfn.XLOOKUP(E1488,Base!G:G,Base!C:C,"NOVO")</f>
        <v>PENDENTE</v>
      </c>
      <c r="B1488" s="1">
        <v>2854557</v>
      </c>
      <c r="C1488" s="1" t="s">
        <v>24</v>
      </c>
      <c r="D1488" s="2">
        <v>45217.611111111109</v>
      </c>
      <c r="E1488" s="1">
        <v>368105</v>
      </c>
      <c r="F1488" s="1" t="s">
        <v>225</v>
      </c>
      <c r="G1488" s="1" t="s">
        <v>226</v>
      </c>
      <c r="H1488" s="2">
        <v>45512.688194444447</v>
      </c>
      <c r="I1488" s="2">
        <v>45825.438888888886</v>
      </c>
      <c r="J1488" s="1" t="s">
        <v>14</v>
      </c>
    </row>
    <row r="1489" spans="1:10" hidden="1" x14ac:dyDescent="0.25">
      <c r="A1489" s="1" t="str">
        <f>_xlfn.XLOOKUP(E1489,Base!G:G,Base!C:C,"NOVO")</f>
        <v>PENDENTE</v>
      </c>
      <c r="B1489" s="1">
        <v>2854558</v>
      </c>
      <c r="C1489" s="1" t="s">
        <v>24</v>
      </c>
      <c r="D1489" s="2">
        <v>45217.612500000003</v>
      </c>
      <c r="E1489" s="1">
        <v>368106</v>
      </c>
      <c r="F1489" s="1" t="s">
        <v>227</v>
      </c>
      <c r="G1489" s="1" t="s">
        <v>228</v>
      </c>
      <c r="H1489" s="2">
        <v>45512.688194444447</v>
      </c>
      <c r="I1489" s="2">
        <v>45825.438888888886</v>
      </c>
      <c r="J1489" s="1" t="s">
        <v>14</v>
      </c>
    </row>
    <row r="1490" spans="1:10" hidden="1" x14ac:dyDescent="0.25">
      <c r="A1490" s="1" t="str">
        <f>_xlfn.XLOOKUP(E1490,Base!G:G,Base!C:C,"NOVO")</f>
        <v>PENDENTE</v>
      </c>
      <c r="B1490" s="1">
        <v>2854559</v>
      </c>
      <c r="C1490" s="1" t="s">
        <v>24</v>
      </c>
      <c r="D1490" s="2">
        <v>45217.613888888889</v>
      </c>
      <c r="E1490" s="1">
        <v>368107</v>
      </c>
      <c r="F1490" s="1" t="s">
        <v>229</v>
      </c>
      <c r="G1490" s="1" t="s">
        <v>230</v>
      </c>
      <c r="H1490" s="2">
        <v>45512.688194444447</v>
      </c>
      <c r="I1490" s="2">
        <v>45825.438888888886</v>
      </c>
      <c r="J1490" s="1" t="s">
        <v>14</v>
      </c>
    </row>
    <row r="1491" spans="1:10" hidden="1" x14ac:dyDescent="0.25">
      <c r="A1491" s="1" t="str">
        <f>_xlfn.XLOOKUP(E1491,Base!G:G,Base!C:C,"NOVO")</f>
        <v>PENDENTE</v>
      </c>
      <c r="B1491" s="1">
        <v>2854560</v>
      </c>
      <c r="C1491" s="1" t="s">
        <v>24</v>
      </c>
      <c r="D1491" s="2">
        <v>45217.618750000001</v>
      </c>
      <c r="E1491" s="1">
        <v>368108</v>
      </c>
      <c r="F1491" s="1" t="s">
        <v>231</v>
      </c>
      <c r="G1491" s="1" t="s">
        <v>232</v>
      </c>
      <c r="H1491" s="2">
        <v>45512.688194444447</v>
      </c>
      <c r="I1491" s="2">
        <v>45825.438888888886</v>
      </c>
      <c r="J1491" s="1" t="s">
        <v>14</v>
      </c>
    </row>
    <row r="1492" spans="1:10" hidden="1" x14ac:dyDescent="0.25">
      <c r="A1492" s="1" t="str">
        <f>_xlfn.XLOOKUP(E1492,Base!G:G,Base!C:C,"NOVO")</f>
        <v>PENDENTE</v>
      </c>
      <c r="B1492" s="1">
        <v>2854561</v>
      </c>
      <c r="C1492" s="1" t="s">
        <v>24</v>
      </c>
      <c r="D1492" s="2">
        <v>45235.438888888886</v>
      </c>
      <c r="E1492" s="1">
        <v>368816</v>
      </c>
      <c r="F1492" s="1" t="s">
        <v>233</v>
      </c>
      <c r="G1492" s="1" t="s">
        <v>234</v>
      </c>
      <c r="H1492" s="2">
        <v>45512.688194444447</v>
      </c>
      <c r="I1492" s="2">
        <v>45825.438888888886</v>
      </c>
      <c r="J1492" s="1" t="s">
        <v>14</v>
      </c>
    </row>
    <row r="1493" spans="1:10" hidden="1" x14ac:dyDescent="0.25">
      <c r="A1493" s="1" t="str">
        <f>_xlfn.XLOOKUP(E1493,Base!G:G,Base!C:C,"NOVO")</f>
        <v>PENDENTE</v>
      </c>
      <c r="B1493" s="1">
        <v>2854562</v>
      </c>
      <c r="C1493" s="1" t="s">
        <v>24</v>
      </c>
      <c r="D1493" s="2">
        <v>45268.523611111108</v>
      </c>
      <c r="E1493" s="1">
        <v>370566</v>
      </c>
      <c r="F1493" s="1" t="s">
        <v>235</v>
      </c>
      <c r="G1493" s="1" t="s">
        <v>236</v>
      </c>
      <c r="H1493" s="2">
        <v>45512.688194444447</v>
      </c>
      <c r="I1493" s="2">
        <v>45825.438888888886</v>
      </c>
      <c r="J1493" s="1" t="s">
        <v>14</v>
      </c>
    </row>
    <row r="1494" spans="1:10" hidden="1" x14ac:dyDescent="0.25">
      <c r="A1494" s="1" t="str">
        <f>_xlfn.XLOOKUP(E1494,Base!G:G,Base!C:C,"NOVO")</f>
        <v>CONTABILIZAR NO PORTAL</v>
      </c>
      <c r="B1494" s="1">
        <v>2441324</v>
      </c>
      <c r="C1494" s="1" t="s">
        <v>24</v>
      </c>
      <c r="D1494" s="2">
        <v>45296.779861111114</v>
      </c>
      <c r="E1494" s="1">
        <v>371069</v>
      </c>
      <c r="F1494" s="1" t="s">
        <v>68</v>
      </c>
      <c r="G1494" s="1" t="s">
        <v>69</v>
      </c>
      <c r="H1494" s="2">
        <v>45296.781944444447</v>
      </c>
      <c r="I1494" s="2">
        <v>45825.438888888886</v>
      </c>
      <c r="J1494" s="1" t="s">
        <v>14</v>
      </c>
    </row>
    <row r="1495" spans="1:10" hidden="1" x14ac:dyDescent="0.25">
      <c r="A1495" s="1" t="str">
        <f>_xlfn.XLOOKUP(E1495,Base!G:G,Base!C:C,"NOVO")</f>
        <v>CONTABILIZAR NO PORTAL</v>
      </c>
      <c r="B1495" s="1">
        <v>2462882</v>
      </c>
      <c r="C1495" s="1" t="s">
        <v>24</v>
      </c>
      <c r="D1495" s="2">
        <v>45310.647222222222</v>
      </c>
      <c r="E1495" s="1">
        <v>371848</v>
      </c>
      <c r="F1495" s="1" t="s">
        <v>74</v>
      </c>
      <c r="G1495" s="1" t="s">
        <v>75</v>
      </c>
      <c r="H1495" s="2">
        <v>45310.650694444441</v>
      </c>
      <c r="I1495" s="2">
        <v>45825.438888888886</v>
      </c>
      <c r="J1495" s="1" t="s">
        <v>14</v>
      </c>
    </row>
    <row r="1496" spans="1:10" hidden="1" x14ac:dyDescent="0.25">
      <c r="A1496" s="1" t="str">
        <f>_xlfn.XLOOKUP(E1496,Base!G:G,Base!C:C,"NOVO")</f>
        <v>CONTABILIZAR NO PORTAL</v>
      </c>
      <c r="B1496" s="1">
        <v>2481704</v>
      </c>
      <c r="C1496" s="1" t="s">
        <v>24</v>
      </c>
      <c r="D1496" s="2">
        <v>45322.452777777777</v>
      </c>
      <c r="E1496" s="1">
        <v>372367</v>
      </c>
      <c r="F1496" s="1" t="s">
        <v>78</v>
      </c>
      <c r="G1496" s="1" t="s">
        <v>79</v>
      </c>
      <c r="H1496" s="2">
        <v>45322.456944444442</v>
      </c>
      <c r="I1496" s="2">
        <v>45825.438888888886</v>
      </c>
      <c r="J1496" s="1" t="s">
        <v>14</v>
      </c>
    </row>
    <row r="1497" spans="1:10" hidden="1" x14ac:dyDescent="0.25">
      <c r="A1497" s="1" t="str">
        <f>_xlfn.XLOOKUP(E1497,Base!G:G,Base!C:C,"NOVO")</f>
        <v>CONTABILIZAR NO PORTAL</v>
      </c>
      <c r="B1497" s="1">
        <v>2506539</v>
      </c>
      <c r="C1497" s="1" t="s">
        <v>24</v>
      </c>
      <c r="D1497" s="2">
        <v>45338.347916666666</v>
      </c>
      <c r="E1497" s="1">
        <v>373092</v>
      </c>
      <c r="F1497" s="1" t="s">
        <v>87</v>
      </c>
      <c r="G1497" s="1" t="s">
        <v>88</v>
      </c>
      <c r="H1497" s="2">
        <v>45338.350694444445</v>
      </c>
      <c r="I1497" s="2">
        <v>45825.438888888886</v>
      </c>
      <c r="J1497" s="1" t="s">
        <v>14</v>
      </c>
    </row>
    <row r="1498" spans="1:10" hidden="1" x14ac:dyDescent="0.25">
      <c r="A1498" s="1" t="str">
        <f>_xlfn.XLOOKUP(E1498,Base!G:G,Base!C:C,"NOVO")</f>
        <v>CONTABILIZAR NO PORTAL</v>
      </c>
      <c r="B1498" s="1">
        <v>2506824</v>
      </c>
      <c r="C1498" s="1" t="s">
        <v>24</v>
      </c>
      <c r="D1498" s="2">
        <v>45338.459027777775</v>
      </c>
      <c r="E1498" s="1">
        <v>373117</v>
      </c>
      <c r="F1498" s="1" t="s">
        <v>89</v>
      </c>
      <c r="G1498" s="1" t="s">
        <v>90</v>
      </c>
      <c r="H1498" s="2">
        <v>45338.463194444441</v>
      </c>
      <c r="I1498" s="2">
        <v>45447.513888888891</v>
      </c>
      <c r="J1498" s="1" t="s">
        <v>14</v>
      </c>
    </row>
    <row r="1499" spans="1:10" hidden="1" x14ac:dyDescent="0.25">
      <c r="A1499" s="1" t="str">
        <f>_xlfn.XLOOKUP(E1499,Base!G:G,Base!C:C,"NOVO")</f>
        <v>CONTABILIZAR NO PORTAL</v>
      </c>
      <c r="B1499" s="1">
        <v>2510509</v>
      </c>
      <c r="C1499" s="1" t="s">
        <v>24</v>
      </c>
      <c r="D1499" s="2">
        <v>45341.584027777775</v>
      </c>
      <c r="E1499" s="1">
        <v>373227</v>
      </c>
      <c r="F1499" s="1" t="s">
        <v>91</v>
      </c>
      <c r="G1499" s="1" t="s">
        <v>92</v>
      </c>
      <c r="H1499" s="2">
        <v>45341.588194444441</v>
      </c>
      <c r="I1499" s="2">
        <v>45825.438888888886</v>
      </c>
      <c r="J1499" s="1" t="s">
        <v>14</v>
      </c>
    </row>
    <row r="1500" spans="1:10" hidden="1" x14ac:dyDescent="0.25">
      <c r="A1500" s="1" t="str">
        <f>_xlfn.XLOOKUP(E1500,Base!G:G,Base!C:C,"NOVO")</f>
        <v>CONTABILIZAR NO PORTAL</v>
      </c>
      <c r="B1500" s="1">
        <v>2511871</v>
      </c>
      <c r="C1500" s="1" t="s">
        <v>24</v>
      </c>
      <c r="D1500" s="2">
        <v>45341.75</v>
      </c>
      <c r="E1500" s="1">
        <v>373256</v>
      </c>
      <c r="F1500" s="1" t="s">
        <v>93</v>
      </c>
      <c r="G1500" s="1" t="s">
        <v>94</v>
      </c>
      <c r="H1500" s="2">
        <v>45341.750694444447</v>
      </c>
      <c r="I1500" s="2">
        <v>45825.438888888886</v>
      </c>
      <c r="J1500" s="1" t="s">
        <v>14</v>
      </c>
    </row>
    <row r="1501" spans="1:10" hidden="1" x14ac:dyDescent="0.25">
      <c r="A1501" s="1" t="str">
        <f>_xlfn.XLOOKUP(E1501,Base!G:G,Base!C:C,"NOVO")</f>
        <v>PENDENTE</v>
      </c>
      <c r="B1501" s="1">
        <v>3308205</v>
      </c>
      <c r="C1501" s="1" t="s">
        <v>24</v>
      </c>
      <c r="D1501" s="2">
        <v>45342.459722222222</v>
      </c>
      <c r="E1501" s="1">
        <v>373277</v>
      </c>
      <c r="F1501" s="1" t="s">
        <v>1917</v>
      </c>
      <c r="G1501" s="1" t="s">
        <v>96</v>
      </c>
      <c r="H1501" s="2">
        <v>45734.640277777777</v>
      </c>
      <c r="I1501" s="2">
        <v>45825.438888888886</v>
      </c>
      <c r="J1501" s="1" t="s">
        <v>19</v>
      </c>
    </row>
    <row r="1502" spans="1:10" hidden="1" x14ac:dyDescent="0.25">
      <c r="A1502" s="1" t="str">
        <f>_xlfn.XLOOKUP(E1502,Base!G:G,Base!C:C,"NOVO")</f>
        <v>CONTABILIZAR NO PORTAL</v>
      </c>
      <c r="B1502" s="1">
        <v>2515586</v>
      </c>
      <c r="C1502" s="1" t="s">
        <v>24</v>
      </c>
      <c r="D1502" s="2">
        <v>45343.414583333331</v>
      </c>
      <c r="E1502" s="1">
        <v>373343</v>
      </c>
      <c r="F1502" s="1" t="s">
        <v>97</v>
      </c>
      <c r="G1502" s="1" t="s">
        <v>98</v>
      </c>
      <c r="H1502" s="2">
        <v>45343.419444444444</v>
      </c>
      <c r="I1502" s="2">
        <v>45447.513888888891</v>
      </c>
      <c r="J1502" s="1" t="s">
        <v>14</v>
      </c>
    </row>
    <row r="1503" spans="1:10" hidden="1" x14ac:dyDescent="0.25">
      <c r="A1503" s="1" t="str">
        <f>_xlfn.XLOOKUP(E1503,Base!G:G,Base!C:C,"NOVO")</f>
        <v>CONTABILIZAR NO PORTAL</v>
      </c>
      <c r="B1503" s="1">
        <v>2520444</v>
      </c>
      <c r="C1503" s="1" t="s">
        <v>24</v>
      </c>
      <c r="D1503" s="2">
        <v>45345.408333333333</v>
      </c>
      <c r="E1503" s="1">
        <v>373484</v>
      </c>
      <c r="F1503" s="1" t="s">
        <v>99</v>
      </c>
      <c r="G1503" s="1" t="s">
        <v>100</v>
      </c>
      <c r="H1503" s="2">
        <v>45345.413194444445</v>
      </c>
      <c r="I1503" s="2">
        <v>45825.438888888886</v>
      </c>
      <c r="J1503" s="1" t="s">
        <v>14</v>
      </c>
    </row>
    <row r="1504" spans="1:10" hidden="1" x14ac:dyDescent="0.25">
      <c r="A1504" s="1" t="str">
        <f>_xlfn.XLOOKUP(E1504,Base!G:G,Base!C:C,"NOVO")</f>
        <v>CONTABILIZAR NO PORTAL</v>
      </c>
      <c r="B1504" s="1">
        <v>2544555</v>
      </c>
      <c r="C1504" s="1" t="s">
        <v>24</v>
      </c>
      <c r="D1504" s="2">
        <v>45355.592361111114</v>
      </c>
      <c r="E1504" s="1">
        <v>373967</v>
      </c>
      <c r="F1504" s="1" t="s">
        <v>105</v>
      </c>
      <c r="G1504" s="1" t="s">
        <v>106</v>
      </c>
      <c r="H1504" s="2">
        <v>45358.713194444441</v>
      </c>
      <c r="I1504" s="2">
        <v>45825.438888888886</v>
      </c>
      <c r="J1504" s="1" t="s">
        <v>14</v>
      </c>
    </row>
    <row r="1505" spans="1:10" hidden="1" x14ac:dyDescent="0.25">
      <c r="A1505" s="1" t="str">
        <f>_xlfn.XLOOKUP(E1505,Base!G:G,Base!C:C,"NOVO")</f>
        <v>CONTABILIZAR NO PORTAL</v>
      </c>
      <c r="B1505" s="1">
        <v>2544556</v>
      </c>
      <c r="C1505" s="1" t="s">
        <v>24</v>
      </c>
      <c r="D1505" s="2">
        <v>45355.592361111114</v>
      </c>
      <c r="E1505" s="1">
        <v>373967</v>
      </c>
      <c r="F1505" s="1" t="s">
        <v>107</v>
      </c>
      <c r="G1505" s="1" t="s">
        <v>108</v>
      </c>
      <c r="H1505" s="2">
        <v>45358.713194444441</v>
      </c>
      <c r="I1505" s="2">
        <v>45825.438888888886</v>
      </c>
      <c r="J1505" s="1" t="s">
        <v>14</v>
      </c>
    </row>
    <row r="1506" spans="1:10" hidden="1" x14ac:dyDescent="0.25">
      <c r="A1506" s="1" t="str">
        <f>_xlfn.XLOOKUP(E1506,Base!G:G,Base!C:C,"NOVO")</f>
        <v>PENDENTE</v>
      </c>
      <c r="B1506" s="1">
        <v>2879032</v>
      </c>
      <c r="C1506" s="1" t="s">
        <v>24</v>
      </c>
      <c r="D1506" s="2">
        <v>45358.689583333333</v>
      </c>
      <c r="E1506" s="1">
        <v>374316</v>
      </c>
      <c r="F1506" s="1" t="s">
        <v>288</v>
      </c>
      <c r="G1506" s="1" t="s">
        <v>289</v>
      </c>
      <c r="H1506" s="2">
        <v>45524.663194444445</v>
      </c>
      <c r="I1506" s="2">
        <v>45825.438888888886</v>
      </c>
      <c r="J1506" s="1" t="s">
        <v>14</v>
      </c>
    </row>
    <row r="1507" spans="1:10" hidden="1" x14ac:dyDescent="0.25">
      <c r="A1507" s="1" t="str">
        <f>_xlfn.XLOOKUP(E1507,Base!G:G,Base!C:C,"NOVO")</f>
        <v>CONTABILIZAR NO PORTAL</v>
      </c>
      <c r="B1507" s="1">
        <v>2545970</v>
      </c>
      <c r="C1507" s="1" t="s">
        <v>24</v>
      </c>
      <c r="D1507" s="2">
        <v>45359.588888888888</v>
      </c>
      <c r="E1507" s="1">
        <v>374371</v>
      </c>
      <c r="F1507" s="1" t="s">
        <v>109</v>
      </c>
      <c r="G1507" s="1" t="s">
        <v>110</v>
      </c>
      <c r="H1507" s="2">
        <v>45359.594444444447</v>
      </c>
      <c r="I1507" s="2">
        <v>45825.438888888886</v>
      </c>
      <c r="J1507" s="1" t="s">
        <v>14</v>
      </c>
    </row>
    <row r="1508" spans="1:10" hidden="1" x14ac:dyDescent="0.25">
      <c r="A1508" s="1" t="str">
        <f>_xlfn.XLOOKUP(E1508,Base!G:G,Base!C:C,"NOVO")</f>
        <v>CONTABILIZAR NO PORTAL</v>
      </c>
      <c r="B1508" s="1">
        <v>2546428</v>
      </c>
      <c r="C1508" s="1" t="s">
        <v>24</v>
      </c>
      <c r="D1508" s="2">
        <v>45359.637499999997</v>
      </c>
      <c r="E1508" s="1">
        <v>374393</v>
      </c>
      <c r="F1508" s="1" t="s">
        <v>111</v>
      </c>
      <c r="G1508" s="1" t="s">
        <v>112</v>
      </c>
      <c r="H1508" s="2">
        <v>45359.644444444442</v>
      </c>
      <c r="I1508" s="2">
        <v>45825.438888888886</v>
      </c>
      <c r="J1508" s="1" t="s">
        <v>14</v>
      </c>
    </row>
    <row r="1509" spans="1:10" hidden="1" x14ac:dyDescent="0.25">
      <c r="A1509" s="1" t="str">
        <f>_xlfn.XLOOKUP(E1509,Base!G:G,Base!C:C,"NOVO")</f>
        <v>CONTABILIZAR NO PORTAL</v>
      </c>
      <c r="B1509" s="1">
        <v>2557760</v>
      </c>
      <c r="C1509" s="1" t="s">
        <v>24</v>
      </c>
      <c r="D1509" s="2">
        <v>45365.38958333333</v>
      </c>
      <c r="E1509" s="1">
        <v>374703</v>
      </c>
      <c r="F1509" s="1" t="s">
        <v>115</v>
      </c>
      <c r="G1509" s="1" t="s">
        <v>116</v>
      </c>
      <c r="H1509" s="2">
        <v>45365.394444444442</v>
      </c>
      <c r="I1509" s="2">
        <v>45825.438888888886</v>
      </c>
      <c r="J1509" s="1" t="s">
        <v>14</v>
      </c>
    </row>
    <row r="1510" spans="1:10" hidden="1" x14ac:dyDescent="0.25">
      <c r="A1510" s="1" t="str">
        <f>_xlfn.XLOOKUP(E1510,Base!G:G,Base!C:C,"NOVO")</f>
        <v>CONTABILIZAR NO PORTAL</v>
      </c>
      <c r="B1510" s="1">
        <v>2560283</v>
      </c>
      <c r="C1510" s="1" t="s">
        <v>24</v>
      </c>
      <c r="D1510" s="2">
        <v>45366.370138888888</v>
      </c>
      <c r="E1510" s="1">
        <v>374798</v>
      </c>
      <c r="F1510" s="1" t="s">
        <v>117</v>
      </c>
      <c r="G1510" s="1" t="s">
        <v>118</v>
      </c>
      <c r="H1510" s="2">
        <v>45366.400694444441</v>
      </c>
      <c r="I1510" s="2">
        <v>45825.438888888886</v>
      </c>
      <c r="J1510" s="1" t="s">
        <v>14</v>
      </c>
    </row>
    <row r="1511" spans="1:10" hidden="1" x14ac:dyDescent="0.25">
      <c r="A1511" s="1" t="str">
        <f>_xlfn.XLOOKUP(E1511,Base!G:G,Base!C:C,"NOVO")</f>
        <v>CONTABILIZAR NO PORTAL</v>
      </c>
      <c r="B1511" s="1">
        <v>2562909</v>
      </c>
      <c r="C1511" s="1" t="s">
        <v>24</v>
      </c>
      <c r="D1511" s="2">
        <v>45367.369444444441</v>
      </c>
      <c r="E1511" s="1">
        <v>374866</v>
      </c>
      <c r="F1511" s="1" t="s">
        <v>119</v>
      </c>
      <c r="G1511" s="1" t="s">
        <v>120</v>
      </c>
      <c r="H1511" s="2">
        <v>45367.381944444445</v>
      </c>
      <c r="I1511" s="2">
        <v>45455.619444444441</v>
      </c>
      <c r="J1511" s="1" t="s">
        <v>14</v>
      </c>
    </row>
    <row r="1512" spans="1:10" hidden="1" x14ac:dyDescent="0.25">
      <c r="A1512" s="1" t="str">
        <f>_xlfn.XLOOKUP(E1512,Base!G:G,Base!C:C,"NOVO")</f>
        <v>CONTABILIZAR NO PORTAL</v>
      </c>
      <c r="B1512" s="1">
        <v>2565804</v>
      </c>
      <c r="C1512" s="1" t="s">
        <v>24</v>
      </c>
      <c r="D1512" s="2">
        <v>45370.355555555558</v>
      </c>
      <c r="E1512" s="1">
        <v>374987</v>
      </c>
      <c r="F1512" s="1" t="s">
        <v>121</v>
      </c>
      <c r="G1512" s="1" t="s">
        <v>122</v>
      </c>
      <c r="H1512" s="2">
        <v>45370.363194444442</v>
      </c>
      <c r="I1512" s="2">
        <v>45825.438888888886</v>
      </c>
      <c r="J1512" s="1" t="s">
        <v>14</v>
      </c>
    </row>
    <row r="1513" spans="1:10" hidden="1" x14ac:dyDescent="0.25">
      <c r="A1513" s="1" t="str">
        <f>_xlfn.XLOOKUP(E1513,Base!G:G,Base!C:C,"NOVO")</f>
        <v>CONTABILIZAR NO PORTAL</v>
      </c>
      <c r="B1513" s="1">
        <v>2566625</v>
      </c>
      <c r="C1513" s="1" t="s">
        <v>24</v>
      </c>
      <c r="D1513" s="2">
        <v>45370.552083333336</v>
      </c>
      <c r="E1513" s="1">
        <v>375016</v>
      </c>
      <c r="F1513" s="1" t="s">
        <v>123</v>
      </c>
      <c r="G1513" s="1" t="s">
        <v>124</v>
      </c>
      <c r="H1513" s="2">
        <v>45370.556944444441</v>
      </c>
      <c r="I1513" s="2">
        <v>45825.438888888886</v>
      </c>
      <c r="J1513" s="1" t="s">
        <v>14</v>
      </c>
    </row>
    <row r="1514" spans="1:10" hidden="1" x14ac:dyDescent="0.25">
      <c r="A1514" s="1" t="str">
        <f>_xlfn.XLOOKUP(E1514,Base!G:G,Base!C:C,"NOVO")</f>
        <v>CONTABILIZAR NO PORTAL</v>
      </c>
      <c r="B1514" s="1">
        <v>2574438</v>
      </c>
      <c r="C1514" s="1" t="s">
        <v>24</v>
      </c>
      <c r="D1514" s="2">
        <v>45373.622916666667</v>
      </c>
      <c r="E1514" s="1">
        <v>375324</v>
      </c>
      <c r="F1514" s="1" t="s">
        <v>125</v>
      </c>
      <c r="G1514" s="1" t="s">
        <v>126</v>
      </c>
      <c r="H1514" s="2">
        <v>45373.625694444447</v>
      </c>
      <c r="I1514" s="2">
        <v>45825.438888888886</v>
      </c>
      <c r="J1514" s="1" t="s">
        <v>14</v>
      </c>
    </row>
    <row r="1515" spans="1:10" hidden="1" x14ac:dyDescent="0.25">
      <c r="A1515" s="1" t="str">
        <f>_xlfn.XLOOKUP(E1515,Base!G:G,Base!C:C,"NOVO")</f>
        <v>CONTABILIZAR NO PORTAL</v>
      </c>
      <c r="B1515" s="1">
        <v>2595026</v>
      </c>
      <c r="C1515" s="1" t="s">
        <v>24</v>
      </c>
      <c r="D1515" s="2">
        <v>45385.418749999997</v>
      </c>
      <c r="E1515" s="1">
        <v>375870</v>
      </c>
      <c r="F1515" s="1" t="s">
        <v>127</v>
      </c>
      <c r="G1515" s="1" t="s">
        <v>128</v>
      </c>
      <c r="H1515" s="2">
        <v>45385.425694444442</v>
      </c>
      <c r="I1515" s="2">
        <v>45825.438888888886</v>
      </c>
      <c r="J1515" s="1" t="s">
        <v>14</v>
      </c>
    </row>
    <row r="1516" spans="1:10" hidden="1" x14ac:dyDescent="0.25">
      <c r="A1516" s="1" t="str">
        <f>_xlfn.XLOOKUP(E1516,Base!G:G,Base!C:C,"NOVO")</f>
        <v>CONTABILIZAR NO PORTAL</v>
      </c>
      <c r="B1516" s="1">
        <v>2610706</v>
      </c>
      <c r="C1516" s="1" t="s">
        <v>24</v>
      </c>
      <c r="D1516" s="2">
        <v>45387.397916666669</v>
      </c>
      <c r="E1516" s="1">
        <v>376013</v>
      </c>
      <c r="F1516" s="1" t="s">
        <v>135</v>
      </c>
      <c r="G1516" s="1" t="s">
        <v>136</v>
      </c>
      <c r="H1516" s="2">
        <v>45392.581944444442</v>
      </c>
      <c r="I1516" s="2">
        <v>45825.438888888886</v>
      </c>
      <c r="J1516" s="1" t="s">
        <v>14</v>
      </c>
    </row>
    <row r="1517" spans="1:10" hidden="1" x14ac:dyDescent="0.25">
      <c r="A1517" s="1" t="str">
        <f>_xlfn.XLOOKUP(E1517,Base!G:G,Base!C:C,"NOVO")</f>
        <v>CONTABILIZAR NO PORTAL</v>
      </c>
      <c r="B1517" s="1">
        <v>2601930</v>
      </c>
      <c r="C1517" s="1" t="s">
        <v>24</v>
      </c>
      <c r="D1517" s="2">
        <v>45387.668055555558</v>
      </c>
      <c r="E1517" s="1">
        <v>376059</v>
      </c>
      <c r="F1517" s="1" t="s">
        <v>131</v>
      </c>
      <c r="G1517" s="1" t="s">
        <v>132</v>
      </c>
      <c r="H1517" s="2">
        <v>45387.676388888889</v>
      </c>
      <c r="I1517" s="2">
        <v>45825.438888888886</v>
      </c>
      <c r="J1517" s="1" t="s">
        <v>14</v>
      </c>
    </row>
    <row r="1518" spans="1:10" hidden="1" x14ac:dyDescent="0.25">
      <c r="A1518" s="1" t="str">
        <f>_xlfn.XLOOKUP(E1518,Base!G:G,Base!C:C,"NOVO")</f>
        <v>CONTABILIZAR NO PORTAL</v>
      </c>
      <c r="B1518" s="1">
        <v>2610707</v>
      </c>
      <c r="C1518" s="1" t="s">
        <v>24</v>
      </c>
      <c r="D1518" s="2">
        <v>45390.334722222222</v>
      </c>
      <c r="E1518" s="1">
        <v>376099</v>
      </c>
      <c r="F1518" s="1" t="s">
        <v>137</v>
      </c>
      <c r="G1518" s="1" t="s">
        <v>138</v>
      </c>
      <c r="H1518" s="2">
        <v>45392.581944444442</v>
      </c>
      <c r="I1518" s="2">
        <v>45825.438888888886</v>
      </c>
      <c r="J1518" s="1" t="s">
        <v>14</v>
      </c>
    </row>
    <row r="1519" spans="1:10" hidden="1" x14ac:dyDescent="0.25">
      <c r="A1519" s="1" t="str">
        <f>_xlfn.XLOOKUP(E1519,Base!G:G,Base!C:C,"NOVO")</f>
        <v>CONTABILIZAR NO PORTAL</v>
      </c>
      <c r="B1519" s="1">
        <v>2607212</v>
      </c>
      <c r="C1519" s="1" t="s">
        <v>24</v>
      </c>
      <c r="D1519" s="2">
        <v>45391.42083333333</v>
      </c>
      <c r="E1519" s="1">
        <v>376185</v>
      </c>
      <c r="F1519" s="1" t="s">
        <v>133</v>
      </c>
      <c r="G1519" s="1" t="s">
        <v>134</v>
      </c>
      <c r="H1519" s="2">
        <v>45391.425694444442</v>
      </c>
      <c r="I1519" s="2">
        <v>45825.438888888886</v>
      </c>
      <c r="J1519" s="1" t="s">
        <v>14</v>
      </c>
    </row>
    <row r="1520" spans="1:10" hidden="1" x14ac:dyDescent="0.25">
      <c r="A1520" s="1" t="str">
        <f>_xlfn.XLOOKUP(E1520,Base!G:G,Base!C:C,"NOVO")</f>
        <v>CONTABILIZAR NO PORTAL</v>
      </c>
      <c r="B1520" s="1">
        <v>2613000</v>
      </c>
      <c r="C1520" s="1" t="s">
        <v>24</v>
      </c>
      <c r="D1520" s="2">
        <v>45393.459027777775</v>
      </c>
      <c r="E1520" s="1">
        <v>376375</v>
      </c>
      <c r="F1520" s="1" t="s">
        <v>139</v>
      </c>
      <c r="G1520" s="1" t="s">
        <v>140</v>
      </c>
      <c r="H1520" s="2">
        <v>45393.463194444441</v>
      </c>
      <c r="I1520" s="2">
        <v>45825.438888888886</v>
      </c>
      <c r="J1520" s="1" t="s">
        <v>14</v>
      </c>
    </row>
    <row r="1521" spans="1:10" hidden="1" x14ac:dyDescent="0.25">
      <c r="A1521" s="1" t="str">
        <f>_xlfn.XLOOKUP(E1521,Base!G:G,Base!C:C,"NOVO")</f>
        <v>CONTABILIZAR NO PORTAL</v>
      </c>
      <c r="B1521" s="1">
        <v>2628057</v>
      </c>
      <c r="C1521" s="1" t="s">
        <v>24</v>
      </c>
      <c r="D1521" s="2">
        <v>45400.684027777781</v>
      </c>
      <c r="E1521" s="1">
        <v>376763</v>
      </c>
      <c r="F1521" s="1" t="s">
        <v>142</v>
      </c>
      <c r="G1521" s="1" t="s">
        <v>143</v>
      </c>
      <c r="H1521" s="2">
        <v>45400.688194444447</v>
      </c>
      <c r="I1521" s="2">
        <v>45825.438888888886</v>
      </c>
      <c r="J1521" s="1" t="s">
        <v>14</v>
      </c>
    </row>
    <row r="1522" spans="1:10" hidden="1" x14ac:dyDescent="0.25">
      <c r="A1522" s="1" t="str">
        <f>_xlfn.XLOOKUP(E1522,Base!G:G,Base!C:C,"NOVO")</f>
        <v>CONTABILIZAR NO PORTAL</v>
      </c>
      <c r="B1522" s="1">
        <v>2629397</v>
      </c>
      <c r="C1522" s="1" t="s">
        <v>24</v>
      </c>
      <c r="D1522" s="2">
        <v>45401.379861111112</v>
      </c>
      <c r="E1522" s="1">
        <v>376798</v>
      </c>
      <c r="F1522" s="1" t="s">
        <v>144</v>
      </c>
      <c r="G1522" s="1" t="s">
        <v>145</v>
      </c>
      <c r="H1522" s="2">
        <v>45401.394444444442</v>
      </c>
      <c r="I1522" s="2">
        <v>45447.513888888891</v>
      </c>
      <c r="J1522" s="1" t="s">
        <v>14</v>
      </c>
    </row>
    <row r="1523" spans="1:10" hidden="1" x14ac:dyDescent="0.25">
      <c r="A1523" s="1" t="str">
        <f>_xlfn.XLOOKUP(E1523,Base!G:G,Base!C:C,"NOVO")</f>
        <v>PENDENTE</v>
      </c>
      <c r="B1523" s="1">
        <v>3308207</v>
      </c>
      <c r="C1523" s="1" t="s">
        <v>24</v>
      </c>
      <c r="D1523" s="2">
        <v>45406.436805555553</v>
      </c>
      <c r="E1523" s="1">
        <v>377032</v>
      </c>
      <c r="F1523" s="1" t="s">
        <v>1918</v>
      </c>
      <c r="G1523" s="1" t="s">
        <v>212</v>
      </c>
      <c r="H1523" s="2">
        <v>45734.640277777777</v>
      </c>
      <c r="I1523" s="2">
        <v>45825.438888888886</v>
      </c>
      <c r="J1523" s="1" t="s">
        <v>19</v>
      </c>
    </row>
    <row r="1524" spans="1:10" hidden="1" x14ac:dyDescent="0.25">
      <c r="A1524" s="1" t="str">
        <f>_xlfn.XLOOKUP(E1524,Base!G:G,Base!C:C,"NOVO")</f>
        <v>CONTABILIZAR NO PORTAL</v>
      </c>
      <c r="B1524" s="1">
        <v>2652138</v>
      </c>
      <c r="C1524" s="1" t="s">
        <v>24</v>
      </c>
      <c r="D1524" s="2">
        <v>45406.588888888888</v>
      </c>
      <c r="E1524" s="1">
        <v>377055</v>
      </c>
      <c r="F1524" s="1" t="s">
        <v>146</v>
      </c>
      <c r="G1524" s="1" t="s">
        <v>147</v>
      </c>
      <c r="H1524" s="2">
        <v>45414.369444444441</v>
      </c>
      <c r="I1524" s="2">
        <v>45825.438888888886</v>
      </c>
      <c r="J1524" s="1" t="s">
        <v>14</v>
      </c>
    </row>
    <row r="1525" spans="1:10" hidden="1" x14ac:dyDescent="0.25">
      <c r="A1525" s="1" t="str">
        <f>_xlfn.XLOOKUP(E1525,Base!G:G,Base!C:C,"NOVO")</f>
        <v>CONTABILIZAR NO PORTAL</v>
      </c>
      <c r="B1525" s="1">
        <v>2659361</v>
      </c>
      <c r="C1525" s="1" t="s">
        <v>24</v>
      </c>
      <c r="D1525" s="2">
        <v>45418.491666666669</v>
      </c>
      <c r="E1525" s="1">
        <v>377651</v>
      </c>
      <c r="F1525" s="1" t="s">
        <v>148</v>
      </c>
      <c r="G1525" s="1" t="s">
        <v>149</v>
      </c>
      <c r="H1525" s="2">
        <v>45418.506944444445</v>
      </c>
      <c r="I1525" s="2">
        <v>45455.619444444441</v>
      </c>
      <c r="J1525" s="1" t="s">
        <v>14</v>
      </c>
    </row>
    <row r="1526" spans="1:10" hidden="1" x14ac:dyDescent="0.25">
      <c r="A1526" s="1" t="str">
        <f>_xlfn.XLOOKUP(E1526,Base!G:G,Base!C:C,"NOVO")</f>
        <v>CONTABILIZAR NO PORTAL</v>
      </c>
      <c r="B1526" s="1">
        <v>2687779</v>
      </c>
      <c r="C1526" s="1" t="s">
        <v>24</v>
      </c>
      <c r="D1526" s="2">
        <v>45432.590277777781</v>
      </c>
      <c r="E1526" s="1">
        <v>378468</v>
      </c>
      <c r="F1526" s="1" t="s">
        <v>150</v>
      </c>
      <c r="G1526" s="1" t="s">
        <v>151</v>
      </c>
      <c r="H1526" s="2">
        <v>45432.613888888889</v>
      </c>
      <c r="I1526" s="2">
        <v>45455.620138888888</v>
      </c>
      <c r="J1526" s="1" t="s">
        <v>14</v>
      </c>
    </row>
    <row r="1527" spans="1:10" hidden="1" x14ac:dyDescent="0.25">
      <c r="A1527" s="1" t="str">
        <f>_xlfn.XLOOKUP(E1527,Base!G:G,Base!C:C,"NOVO")</f>
        <v>CONTABILIZAR NO PORTAL</v>
      </c>
      <c r="B1527" s="1">
        <v>2690939</v>
      </c>
      <c r="C1527" s="1" t="s">
        <v>24</v>
      </c>
      <c r="D1527" s="2">
        <v>45433.631944444445</v>
      </c>
      <c r="E1527" s="1">
        <v>378581</v>
      </c>
      <c r="F1527" s="1" t="s">
        <v>152</v>
      </c>
      <c r="G1527" s="1" t="s">
        <v>153</v>
      </c>
      <c r="H1527" s="2">
        <v>45433.638888888891</v>
      </c>
      <c r="I1527" s="2">
        <v>45825.438888888886</v>
      </c>
      <c r="J1527" s="1" t="s">
        <v>14</v>
      </c>
    </row>
    <row r="1528" spans="1:10" hidden="1" x14ac:dyDescent="0.25">
      <c r="A1528" s="1" t="str">
        <f>_xlfn.XLOOKUP(E1528,Base!G:G,Base!C:C,"NOVO")</f>
        <v>CONTABILIZAR NO PORTAL</v>
      </c>
      <c r="B1528" s="1">
        <v>2690940</v>
      </c>
      <c r="C1528" s="1" t="s">
        <v>24</v>
      </c>
      <c r="D1528" s="2">
        <v>45433.634027777778</v>
      </c>
      <c r="E1528" s="1">
        <v>378584</v>
      </c>
      <c r="F1528" s="1" t="s">
        <v>154</v>
      </c>
      <c r="G1528" s="1" t="s">
        <v>155</v>
      </c>
      <c r="H1528" s="2">
        <v>45433.638888888891</v>
      </c>
      <c r="I1528" s="2">
        <v>45825.438888888886</v>
      </c>
      <c r="J1528" s="1" t="s">
        <v>14</v>
      </c>
    </row>
    <row r="1529" spans="1:10" hidden="1" x14ac:dyDescent="0.25">
      <c r="A1529" s="1" t="str">
        <f>_xlfn.XLOOKUP(E1529,Base!G:G,Base!C:C,"NOVO")</f>
        <v>CONTABILIZAR NO PORTAL</v>
      </c>
      <c r="B1529" s="1">
        <v>2691022</v>
      </c>
      <c r="C1529" s="1" t="s">
        <v>24</v>
      </c>
      <c r="D1529" s="2">
        <v>45433.64166666667</v>
      </c>
      <c r="E1529" s="1">
        <v>378585</v>
      </c>
      <c r="F1529" s="1" t="s">
        <v>156</v>
      </c>
      <c r="G1529" s="1" t="s">
        <v>157</v>
      </c>
      <c r="H1529" s="2">
        <v>45433.644444444442</v>
      </c>
      <c r="I1529" s="2">
        <v>45825.438888888886</v>
      </c>
      <c r="J1529" s="1" t="s">
        <v>14</v>
      </c>
    </row>
    <row r="1530" spans="1:10" hidden="1" x14ac:dyDescent="0.25">
      <c r="A1530" s="1" t="str">
        <f>_xlfn.XLOOKUP(E1530,Base!G:G,Base!C:C,"NOVO")</f>
        <v>PENDENTE</v>
      </c>
      <c r="B1530" s="1">
        <v>3308208</v>
      </c>
      <c r="C1530" s="1" t="s">
        <v>24</v>
      </c>
      <c r="D1530" s="2">
        <v>45441.552777777775</v>
      </c>
      <c r="E1530" s="1">
        <v>379099</v>
      </c>
      <c r="F1530" s="1" t="s">
        <v>1919</v>
      </c>
      <c r="G1530" s="1" t="s">
        <v>213</v>
      </c>
      <c r="H1530" s="2">
        <v>45734.640277777777</v>
      </c>
      <c r="I1530" s="2">
        <v>45825.438888888886</v>
      </c>
      <c r="J1530" s="1" t="s">
        <v>19</v>
      </c>
    </row>
    <row r="1531" spans="1:10" hidden="1" x14ac:dyDescent="0.25">
      <c r="A1531" s="1" t="str">
        <f>_xlfn.XLOOKUP(E1531,Base!G:G,Base!C:C,"NOVO")</f>
        <v>CONTABILIZAR NO PORTAL</v>
      </c>
      <c r="B1531" s="1">
        <v>2708785</v>
      </c>
      <c r="C1531" s="1" t="s">
        <v>24</v>
      </c>
      <c r="D1531" s="2">
        <v>45441.599305555559</v>
      </c>
      <c r="E1531" s="1">
        <v>379112</v>
      </c>
      <c r="F1531" s="1" t="s">
        <v>159</v>
      </c>
      <c r="G1531" s="1" t="s">
        <v>160</v>
      </c>
      <c r="H1531" s="2">
        <v>45441.720138888886</v>
      </c>
      <c r="I1531" s="2">
        <v>45825.438888888886</v>
      </c>
      <c r="J1531" s="1" t="s">
        <v>14</v>
      </c>
    </row>
    <row r="1532" spans="1:10" hidden="1" x14ac:dyDescent="0.25">
      <c r="A1532" s="1" t="str">
        <f>_xlfn.XLOOKUP(E1532,Base!G:G,Base!C:C,"NOVO")</f>
        <v>PENDENTE</v>
      </c>
      <c r="B1532" s="1">
        <v>3307554</v>
      </c>
      <c r="C1532" s="1" t="s">
        <v>24</v>
      </c>
      <c r="D1532" s="2">
        <v>45441.617361111108</v>
      </c>
      <c r="E1532" s="1">
        <v>379121</v>
      </c>
      <c r="F1532" s="1" t="s">
        <v>170</v>
      </c>
      <c r="G1532" s="1" t="s">
        <v>171</v>
      </c>
      <c r="H1532" s="2">
        <v>45734.515277777777</v>
      </c>
      <c r="I1532" s="2">
        <v>45825.438888888886</v>
      </c>
      <c r="J1532" s="1" t="s">
        <v>14</v>
      </c>
    </row>
    <row r="1533" spans="1:10" hidden="1" x14ac:dyDescent="0.25">
      <c r="A1533" s="1" t="str">
        <f>_xlfn.XLOOKUP(E1533,Base!G:G,Base!C:C,"NOVO")</f>
        <v>CONTABILIZAR NO PORTAL</v>
      </c>
      <c r="B1533" s="1">
        <v>2724955</v>
      </c>
      <c r="C1533" s="1" t="s">
        <v>24</v>
      </c>
      <c r="D1533" s="2">
        <v>45449.663888888892</v>
      </c>
      <c r="E1533" s="1">
        <v>379459</v>
      </c>
      <c r="F1533" s="1" t="s">
        <v>167</v>
      </c>
      <c r="G1533" s="1" t="s">
        <v>168</v>
      </c>
      <c r="H1533" s="2">
        <v>45450.525694444441</v>
      </c>
      <c r="I1533" s="2">
        <v>45455.620138888888</v>
      </c>
      <c r="J1533" s="1" t="s">
        <v>14</v>
      </c>
    </row>
    <row r="1534" spans="1:10" hidden="1" x14ac:dyDescent="0.25">
      <c r="A1534" s="1" t="str">
        <f>_xlfn.XLOOKUP(E1534,Base!G:G,Base!C:C,"NOVO")</f>
        <v>CONTABILIZAR NO PORTAL</v>
      </c>
      <c r="B1534" s="1">
        <v>2752710</v>
      </c>
      <c r="C1534" s="1" t="s">
        <v>24</v>
      </c>
      <c r="D1534" s="2">
        <v>45463.594444444447</v>
      </c>
      <c r="E1534" s="1">
        <v>380257</v>
      </c>
      <c r="F1534" s="1" t="s">
        <v>172</v>
      </c>
      <c r="G1534" s="1" t="s">
        <v>173</v>
      </c>
      <c r="H1534" s="2">
        <v>45463.601388888892</v>
      </c>
      <c r="I1534" s="2">
        <v>45825.438888888886</v>
      </c>
      <c r="J1534" s="1" t="s">
        <v>14</v>
      </c>
    </row>
    <row r="1535" spans="1:10" hidden="1" x14ac:dyDescent="0.25">
      <c r="A1535" s="1" t="str">
        <f>_xlfn.XLOOKUP(E1535,Base!G:G,Base!C:C,"NOVO")</f>
        <v>CONTABILIZAR NO PORTAL</v>
      </c>
      <c r="B1535" s="1">
        <v>2800423</v>
      </c>
      <c r="C1535" s="1" t="s">
        <v>24</v>
      </c>
      <c r="D1535" s="2">
        <v>45488.413194444445</v>
      </c>
      <c r="E1535" s="1">
        <v>381325</v>
      </c>
      <c r="F1535" s="1" t="s">
        <v>183</v>
      </c>
      <c r="G1535" s="1" t="s">
        <v>184</v>
      </c>
      <c r="H1535" s="2">
        <v>45488.419444444444</v>
      </c>
      <c r="I1535" s="2">
        <v>45825.438888888886</v>
      </c>
      <c r="J1535" s="1" t="s">
        <v>14</v>
      </c>
    </row>
    <row r="1536" spans="1:10" hidden="1" x14ac:dyDescent="0.25">
      <c r="A1536" s="1" t="str">
        <f>_xlfn.XLOOKUP(E1536,Base!G:G,Base!C:C,"NOVO")</f>
        <v>CONTABILIZAR NO PORTAL</v>
      </c>
      <c r="B1536" s="1">
        <v>2800841</v>
      </c>
      <c r="C1536" s="1" t="s">
        <v>24</v>
      </c>
      <c r="D1536" s="2">
        <v>45488.588888888888</v>
      </c>
      <c r="E1536" s="1">
        <v>381348</v>
      </c>
      <c r="F1536" s="1" t="s">
        <v>185</v>
      </c>
      <c r="G1536" s="1" t="s">
        <v>186</v>
      </c>
      <c r="H1536" s="2">
        <v>45488.594444444447</v>
      </c>
      <c r="I1536" s="2">
        <v>45825.438888888886</v>
      </c>
      <c r="J1536" s="1" t="s">
        <v>14</v>
      </c>
    </row>
    <row r="1537" spans="1:10" hidden="1" x14ac:dyDescent="0.25">
      <c r="A1537" s="1" t="str">
        <f>_xlfn.XLOOKUP(E1537,Base!G:G,Base!C:C,"NOVO")</f>
        <v>PENDENTE</v>
      </c>
      <c r="B1537" s="1">
        <v>3307282</v>
      </c>
      <c r="C1537" s="1" t="s">
        <v>24</v>
      </c>
      <c r="D1537" s="2">
        <v>45490.397916666669</v>
      </c>
      <c r="E1537" s="1">
        <v>381463</v>
      </c>
      <c r="F1537" s="1" t="s">
        <v>189</v>
      </c>
      <c r="G1537" s="1" t="s">
        <v>1023</v>
      </c>
      <c r="H1537" s="2">
        <v>45734.466666666667</v>
      </c>
      <c r="I1537" s="2">
        <v>45825.438888888886</v>
      </c>
      <c r="J1537" s="1" t="s">
        <v>1244</v>
      </c>
    </row>
    <row r="1538" spans="1:10" hidden="1" x14ac:dyDescent="0.25">
      <c r="A1538" s="1" t="str">
        <f>_xlfn.XLOOKUP(E1538,Base!G:G,Base!C:C,"NOVO")</f>
        <v>PENDENTE</v>
      </c>
      <c r="B1538" s="1">
        <v>3307283</v>
      </c>
      <c r="C1538" s="1" t="s">
        <v>24</v>
      </c>
      <c r="D1538" s="2">
        <v>45490.613888888889</v>
      </c>
      <c r="E1538" s="1">
        <v>381492</v>
      </c>
      <c r="F1538" s="1" t="s">
        <v>191</v>
      </c>
      <c r="G1538" s="1" t="s">
        <v>1024</v>
      </c>
      <c r="H1538" s="2">
        <v>45734.466666666667</v>
      </c>
      <c r="I1538" s="2">
        <v>45825.438888888886</v>
      </c>
      <c r="J1538" s="1" t="s">
        <v>1244</v>
      </c>
    </row>
    <row r="1539" spans="1:10" hidden="1" x14ac:dyDescent="0.25">
      <c r="A1539" s="1" t="str">
        <f>_xlfn.XLOOKUP(E1539,Base!G:G,Base!C:C,"NOVO")</f>
        <v>PENDENTE</v>
      </c>
      <c r="B1539" s="1">
        <v>3307284</v>
      </c>
      <c r="C1539" s="1" t="s">
        <v>24</v>
      </c>
      <c r="D1539" s="2">
        <v>45490.626388888886</v>
      </c>
      <c r="E1539" s="1">
        <v>381493</v>
      </c>
      <c r="F1539" s="1" t="s">
        <v>192</v>
      </c>
      <c r="G1539" s="1" t="s">
        <v>1025</v>
      </c>
      <c r="H1539" s="2">
        <v>45734.466666666667</v>
      </c>
      <c r="I1539" s="2">
        <v>45825.438888888886</v>
      </c>
      <c r="J1539" s="1" t="s">
        <v>1244</v>
      </c>
    </row>
    <row r="1540" spans="1:10" hidden="1" x14ac:dyDescent="0.25">
      <c r="A1540" s="1" t="str">
        <f>_xlfn.XLOOKUP(E1540,Base!G:G,Base!C:C,"NOVO")</f>
        <v>PENDENTE</v>
      </c>
      <c r="B1540" s="1">
        <v>3307285</v>
      </c>
      <c r="C1540" s="1" t="s">
        <v>24</v>
      </c>
      <c r="D1540" s="2">
        <v>45490.62777777778</v>
      </c>
      <c r="E1540" s="1">
        <v>381495</v>
      </c>
      <c r="F1540" s="1" t="s">
        <v>193</v>
      </c>
      <c r="G1540" s="1" t="s">
        <v>1026</v>
      </c>
      <c r="H1540" s="2">
        <v>45734.466666666667</v>
      </c>
      <c r="I1540" s="2">
        <v>45825.438888888886</v>
      </c>
      <c r="J1540" s="1" t="s">
        <v>1244</v>
      </c>
    </row>
    <row r="1541" spans="1:10" hidden="1" x14ac:dyDescent="0.25">
      <c r="A1541" s="1" t="str">
        <f>_xlfn.XLOOKUP(E1541,Base!G:G,Base!C:C,"NOVO")</f>
        <v>PENDENTE</v>
      </c>
      <c r="B1541" s="1">
        <v>3307286</v>
      </c>
      <c r="C1541" s="1" t="s">
        <v>24</v>
      </c>
      <c r="D1541" s="2">
        <v>45490.682638888888</v>
      </c>
      <c r="E1541" s="1">
        <v>381516</v>
      </c>
      <c r="F1541" s="1" t="s">
        <v>194</v>
      </c>
      <c r="G1541" s="1" t="s">
        <v>1027</v>
      </c>
      <c r="H1541" s="2">
        <v>45734.466666666667</v>
      </c>
      <c r="I1541" s="2">
        <v>45825.438888888886</v>
      </c>
      <c r="J1541" s="1" t="s">
        <v>1244</v>
      </c>
    </row>
    <row r="1542" spans="1:10" hidden="1" x14ac:dyDescent="0.25">
      <c r="A1542" s="1" t="str">
        <f>_xlfn.XLOOKUP(E1542,Base!G:G,Base!C:C,"NOVO")</f>
        <v>PENDENTE</v>
      </c>
      <c r="B1542" s="1">
        <v>2834252</v>
      </c>
      <c r="C1542" s="1" t="s">
        <v>24</v>
      </c>
      <c r="D1542" s="2">
        <v>45499.373611111114</v>
      </c>
      <c r="E1542" s="1">
        <v>382020</v>
      </c>
      <c r="F1542" s="1" t="s">
        <v>214</v>
      </c>
      <c r="G1542" s="1" t="s">
        <v>190</v>
      </c>
      <c r="H1542" s="2">
        <v>45503.770138888889</v>
      </c>
      <c r="J1542" s="1" t="s">
        <v>14</v>
      </c>
    </row>
    <row r="1543" spans="1:10" hidden="1" x14ac:dyDescent="0.25">
      <c r="A1543" s="1" t="str">
        <f>_xlfn.XLOOKUP(E1543,Base!G:G,Base!C:C,"NOVO")</f>
        <v>PENDENTE</v>
      </c>
      <c r="B1543" s="1">
        <v>2868697</v>
      </c>
      <c r="C1543" s="1" t="s">
        <v>24</v>
      </c>
      <c r="D1543" s="2">
        <v>45519.482638888891</v>
      </c>
      <c r="E1543" s="1">
        <v>383129</v>
      </c>
      <c r="F1543" s="1" t="s">
        <v>269</v>
      </c>
      <c r="G1543" s="1" t="s">
        <v>270</v>
      </c>
      <c r="H1543" s="2">
        <v>45519.488194444442</v>
      </c>
      <c r="I1543" s="2">
        <v>45825.438888888886</v>
      </c>
      <c r="J1543" s="1" t="s">
        <v>14</v>
      </c>
    </row>
    <row r="1544" spans="1:10" hidden="1" x14ac:dyDescent="0.25">
      <c r="A1544" s="1" t="str">
        <f>_xlfn.XLOOKUP(E1544,Base!G:G,Base!C:C,"NOVO")</f>
        <v>PENDENTE</v>
      </c>
      <c r="B1544" s="1">
        <v>2869610</v>
      </c>
      <c r="C1544" s="1" t="s">
        <v>24</v>
      </c>
      <c r="D1544" s="2">
        <v>45519.669444444444</v>
      </c>
      <c r="E1544" s="1">
        <v>383159</v>
      </c>
      <c r="F1544" s="1" t="s">
        <v>271</v>
      </c>
      <c r="G1544" s="1" t="s">
        <v>1028</v>
      </c>
      <c r="H1544" s="2">
        <v>45519.676388888889</v>
      </c>
      <c r="I1544" s="2">
        <v>45825.438888888886</v>
      </c>
      <c r="J1544" s="1" t="s">
        <v>1244</v>
      </c>
    </row>
    <row r="1545" spans="1:10" hidden="1" x14ac:dyDescent="0.25">
      <c r="A1545" s="1" t="str">
        <f>_xlfn.XLOOKUP(E1545,Base!G:G,Base!C:C,"NOVO")</f>
        <v>PENDENTE</v>
      </c>
      <c r="B1545" s="1">
        <v>2909265</v>
      </c>
      <c r="C1545" s="1" t="s">
        <v>24</v>
      </c>
      <c r="D1545" s="2">
        <v>45526.356249999997</v>
      </c>
      <c r="E1545" s="1">
        <v>383530</v>
      </c>
      <c r="F1545" s="1" t="s">
        <v>330</v>
      </c>
      <c r="G1545" s="1" t="s">
        <v>1029</v>
      </c>
      <c r="H1545" s="2">
        <v>45538.563888888886</v>
      </c>
      <c r="I1545" s="2">
        <v>45825.438888888886</v>
      </c>
      <c r="J1545" s="1" t="s">
        <v>1244</v>
      </c>
    </row>
    <row r="1546" spans="1:10" hidden="1" x14ac:dyDescent="0.25">
      <c r="A1546" s="1" t="str">
        <f>_xlfn.XLOOKUP(E1546,Base!G:G,Base!C:C,"NOVO")</f>
        <v>PENDENTE</v>
      </c>
      <c r="B1546" s="1">
        <v>2926708</v>
      </c>
      <c r="C1546" s="1" t="s">
        <v>24</v>
      </c>
      <c r="D1546" s="2">
        <v>45544.680555555555</v>
      </c>
      <c r="E1546" s="1">
        <v>384375</v>
      </c>
      <c r="F1546" s="1" t="s">
        <v>340</v>
      </c>
      <c r="G1546" s="1" t="s">
        <v>1030</v>
      </c>
      <c r="H1546" s="2">
        <v>45545.401388888888</v>
      </c>
      <c r="I1546" s="2">
        <v>45825.438888888886</v>
      </c>
      <c r="J1546" s="1" t="s">
        <v>1244</v>
      </c>
    </row>
    <row r="1547" spans="1:10" hidden="1" x14ac:dyDescent="0.25">
      <c r="A1547" s="1" t="str">
        <f>_xlfn.XLOOKUP(E1547,Base!G:G,Base!C:C,"NOVO")</f>
        <v>PENDENTE</v>
      </c>
      <c r="B1547" s="1">
        <v>2937689</v>
      </c>
      <c r="C1547" s="1" t="s">
        <v>24</v>
      </c>
      <c r="D1547" s="2">
        <v>45548.654861111114</v>
      </c>
      <c r="E1547" s="1">
        <v>384683</v>
      </c>
      <c r="F1547" s="1" t="s">
        <v>346</v>
      </c>
      <c r="G1547" s="1" t="s">
        <v>190</v>
      </c>
      <c r="H1547" s="2">
        <v>45548.76666666667</v>
      </c>
      <c r="I1547" s="2">
        <v>45552.659722222219</v>
      </c>
      <c r="J1547" s="1" t="s">
        <v>14</v>
      </c>
    </row>
    <row r="1548" spans="1:10" hidden="1" x14ac:dyDescent="0.25">
      <c r="A1548" s="1" t="str">
        <f>_xlfn.XLOOKUP(E1548,Base!G:G,Base!C:C,"NOVO")</f>
        <v>PENDENTE</v>
      </c>
      <c r="B1548" s="1">
        <v>2970651</v>
      </c>
      <c r="C1548" s="1" t="s">
        <v>24</v>
      </c>
      <c r="D1548" s="2">
        <v>45560.47152777778</v>
      </c>
      <c r="E1548" s="1">
        <v>385252</v>
      </c>
      <c r="F1548" s="1" t="s">
        <v>370</v>
      </c>
      <c r="G1548" s="1" t="s">
        <v>1031</v>
      </c>
      <c r="H1548" s="2">
        <v>45565.480555555558</v>
      </c>
      <c r="I1548" s="2">
        <v>45825.438888888886</v>
      </c>
      <c r="J1548" s="1" t="s">
        <v>1244</v>
      </c>
    </row>
    <row r="1549" spans="1:10" hidden="1" x14ac:dyDescent="0.25">
      <c r="A1549" s="1" t="str">
        <f>_xlfn.XLOOKUP(E1549,Base!G:G,Base!C:C,"NOVO")</f>
        <v>PENDENTE</v>
      </c>
      <c r="B1549" s="1">
        <v>2980421</v>
      </c>
      <c r="C1549" s="1" t="s">
        <v>24</v>
      </c>
      <c r="D1549" s="2">
        <v>45561.006944444445</v>
      </c>
      <c r="E1549" s="1">
        <v>385296</v>
      </c>
      <c r="F1549" s="1" t="s">
        <v>376</v>
      </c>
      <c r="G1549" s="1" t="s">
        <v>1032</v>
      </c>
      <c r="H1549" s="2">
        <v>45568.418055555558</v>
      </c>
      <c r="I1549" s="2">
        <v>45825.438888888886</v>
      </c>
      <c r="J1549" s="1" t="s">
        <v>1244</v>
      </c>
    </row>
    <row r="1550" spans="1:10" hidden="1" x14ac:dyDescent="0.25">
      <c r="A1550" s="1" t="str">
        <f>_xlfn.XLOOKUP(E1550,Base!G:G,Base!C:C,"NOVO")</f>
        <v>PENDENTE</v>
      </c>
      <c r="B1550" s="1">
        <v>2854564</v>
      </c>
      <c r="C1550" s="1" t="s">
        <v>24</v>
      </c>
      <c r="D1550" s="2">
        <v>45026.800694444442</v>
      </c>
      <c r="E1550" s="1">
        <v>4063560</v>
      </c>
      <c r="F1550" s="1" t="s">
        <v>237</v>
      </c>
      <c r="G1550" s="1" t="s">
        <v>238</v>
      </c>
      <c r="H1550" s="2">
        <v>45512.689583333333</v>
      </c>
      <c r="I1550" s="2">
        <v>45825.44027777778</v>
      </c>
      <c r="J1550" s="1" t="s">
        <v>14</v>
      </c>
    </row>
    <row r="1551" spans="1:10" hidden="1" x14ac:dyDescent="0.25">
      <c r="A1551" s="1" t="str">
        <f>_xlfn.XLOOKUP(E1551,Base!G:G,Base!C:C,"NOVO")</f>
        <v>PENDENTE</v>
      </c>
      <c r="B1551" s="1">
        <v>3307564</v>
      </c>
      <c r="C1551" s="1" t="s">
        <v>24</v>
      </c>
      <c r="D1551" s="2">
        <v>45044.533333333333</v>
      </c>
      <c r="E1551" s="1">
        <v>4077196</v>
      </c>
      <c r="F1551" s="1" t="s">
        <v>280</v>
      </c>
      <c r="G1551" s="1" t="s">
        <v>281</v>
      </c>
      <c r="H1551" s="2">
        <v>45734.517361111109</v>
      </c>
      <c r="I1551" s="2">
        <v>45825.44027777778</v>
      </c>
      <c r="J1551" s="1" t="s">
        <v>14</v>
      </c>
    </row>
    <row r="1552" spans="1:10" hidden="1" x14ac:dyDescent="0.25">
      <c r="A1552" s="1" t="str">
        <f>_xlfn.XLOOKUP(E1552,Base!G:G,Base!C:C,"NOVO")</f>
        <v>PENDENTE</v>
      </c>
      <c r="B1552" s="1">
        <v>3307565</v>
      </c>
      <c r="C1552" s="1" t="s">
        <v>24</v>
      </c>
      <c r="D1552" s="2">
        <v>45049.477777777778</v>
      </c>
      <c r="E1552" s="1">
        <v>4080080</v>
      </c>
      <c r="F1552" s="1" t="s">
        <v>282</v>
      </c>
      <c r="G1552" s="1" t="s">
        <v>283</v>
      </c>
      <c r="H1552" s="2">
        <v>45734.517361111109</v>
      </c>
      <c r="I1552" s="2">
        <v>45825.44027777778</v>
      </c>
      <c r="J1552" s="1" t="s">
        <v>14</v>
      </c>
    </row>
    <row r="1553" spans="1:10" hidden="1" x14ac:dyDescent="0.25">
      <c r="A1553" s="1" t="str">
        <f>_xlfn.XLOOKUP(E1553,Base!G:G,Base!C:C,"NOVO")</f>
        <v>PENDENTE</v>
      </c>
      <c r="B1553" s="1">
        <v>3307287</v>
      </c>
      <c r="C1553" s="1" t="s">
        <v>24</v>
      </c>
      <c r="D1553" s="2">
        <v>45090.704861111109</v>
      </c>
      <c r="E1553" s="1">
        <v>4110674</v>
      </c>
      <c r="F1553" s="1" t="s">
        <v>239</v>
      </c>
      <c r="G1553" s="1" t="s">
        <v>240</v>
      </c>
      <c r="H1553" s="2">
        <v>45734.468055555553</v>
      </c>
      <c r="I1553" s="2">
        <v>45825.44027777778</v>
      </c>
      <c r="J1553" s="1" t="s">
        <v>14</v>
      </c>
    </row>
    <row r="1554" spans="1:10" hidden="1" x14ac:dyDescent="0.25">
      <c r="A1554" s="1" t="str">
        <f>_xlfn.XLOOKUP(E1554,Base!G:G,Base!C:C,"NOVO")</f>
        <v>PENDENTE</v>
      </c>
      <c r="B1554" s="1">
        <v>3307288</v>
      </c>
      <c r="C1554" s="1" t="s">
        <v>24</v>
      </c>
      <c r="D1554" s="2">
        <v>45096.785416666666</v>
      </c>
      <c r="E1554" s="1">
        <v>4115143</v>
      </c>
      <c r="F1554" s="1" t="s">
        <v>241</v>
      </c>
      <c r="G1554" s="1" t="s">
        <v>240</v>
      </c>
      <c r="H1554" s="2">
        <v>45734.468055555553</v>
      </c>
      <c r="I1554" s="2">
        <v>45825.44027777778</v>
      </c>
      <c r="J1554" s="1" t="s">
        <v>14</v>
      </c>
    </row>
    <row r="1555" spans="1:10" hidden="1" x14ac:dyDescent="0.25">
      <c r="A1555" s="1" t="str">
        <f>_xlfn.XLOOKUP(E1555,Base!G:G,Base!C:C,"NOVO")</f>
        <v>PENDENTE</v>
      </c>
      <c r="B1555" s="1">
        <v>3307289</v>
      </c>
      <c r="C1555" s="1" t="s">
        <v>24</v>
      </c>
      <c r="D1555" s="2">
        <v>45097.762499999997</v>
      </c>
      <c r="E1555" s="1">
        <v>4116134</v>
      </c>
      <c r="F1555" s="1" t="s">
        <v>241</v>
      </c>
      <c r="G1555" s="1" t="s">
        <v>240</v>
      </c>
      <c r="H1555" s="2">
        <v>45734.468055555553</v>
      </c>
      <c r="I1555" s="2">
        <v>45825.44027777778</v>
      </c>
      <c r="J1555" s="1" t="s">
        <v>14</v>
      </c>
    </row>
    <row r="1556" spans="1:10" hidden="1" x14ac:dyDescent="0.25">
      <c r="A1556" s="1" t="str">
        <f>_xlfn.XLOOKUP(E1556,Base!G:G,Base!C:C,"NOVO")</f>
        <v>PENDENTE</v>
      </c>
      <c r="B1556" s="1">
        <v>3308209</v>
      </c>
      <c r="C1556" s="1" t="s">
        <v>24</v>
      </c>
      <c r="D1556" s="2">
        <v>45103.459722222222</v>
      </c>
      <c r="E1556" s="1">
        <v>4119701</v>
      </c>
      <c r="F1556" s="1" t="s">
        <v>1920</v>
      </c>
      <c r="G1556" s="1" t="s">
        <v>242</v>
      </c>
      <c r="H1556" s="2">
        <v>45734.64166666667</v>
      </c>
      <c r="I1556" s="2">
        <v>45825.44027777778</v>
      </c>
      <c r="J1556" s="1" t="s">
        <v>19</v>
      </c>
    </row>
    <row r="1557" spans="1:10" hidden="1" x14ac:dyDescent="0.25">
      <c r="A1557" s="1" t="str">
        <f>_xlfn.XLOOKUP(E1557,Base!G:G,Base!C:C,"NOVO")</f>
        <v>PENDENTE</v>
      </c>
      <c r="B1557" s="1">
        <v>3307431</v>
      </c>
      <c r="C1557" s="1" t="s">
        <v>24</v>
      </c>
      <c r="D1557" s="2">
        <v>45203.685416666667</v>
      </c>
      <c r="E1557" s="1">
        <v>4198763</v>
      </c>
      <c r="F1557" s="1">
        <v>4198763</v>
      </c>
      <c r="G1557" s="1" t="s">
        <v>77</v>
      </c>
      <c r="H1557" s="2">
        <v>45734.504861111112</v>
      </c>
      <c r="I1557" s="2">
        <v>45825.44027777778</v>
      </c>
      <c r="J1557" s="1" t="s">
        <v>14</v>
      </c>
    </row>
    <row r="1558" spans="1:10" hidden="1" x14ac:dyDescent="0.25">
      <c r="A1558" s="1" t="str">
        <f>_xlfn.XLOOKUP(E1558,Base!G:G,Base!C:C,"NOVO")</f>
        <v>PENDENTE</v>
      </c>
      <c r="B1558" s="1">
        <v>3307567</v>
      </c>
      <c r="C1558" s="1" t="s">
        <v>24</v>
      </c>
      <c r="D1558" s="2">
        <v>45204.43472222222</v>
      </c>
      <c r="E1558" s="1">
        <v>4199219</v>
      </c>
      <c r="F1558" s="1" t="s">
        <v>243</v>
      </c>
      <c r="G1558" s="1" t="s">
        <v>244</v>
      </c>
      <c r="H1558" s="2">
        <v>45734.517361111109</v>
      </c>
      <c r="I1558" s="2">
        <v>45825.44027777778</v>
      </c>
      <c r="J1558" s="1" t="s">
        <v>14</v>
      </c>
    </row>
    <row r="1559" spans="1:10" hidden="1" x14ac:dyDescent="0.25">
      <c r="A1559" s="1" t="str">
        <f>_xlfn.XLOOKUP(E1559,Base!G:G,Base!C:C,"NOVO")</f>
        <v>PENDENTE</v>
      </c>
      <c r="B1559" s="1">
        <v>2854573</v>
      </c>
      <c r="C1559" s="1" t="s">
        <v>24</v>
      </c>
      <c r="D1559" s="2">
        <v>45205.72152777778</v>
      </c>
      <c r="E1559" s="1">
        <v>4200769</v>
      </c>
      <c r="F1559" s="1" t="s">
        <v>245</v>
      </c>
      <c r="G1559" s="1" t="s">
        <v>246</v>
      </c>
      <c r="H1559" s="2">
        <v>45512.689583333333</v>
      </c>
      <c r="I1559" s="2">
        <v>45825.44027777778</v>
      </c>
      <c r="J1559" s="1" t="s">
        <v>14</v>
      </c>
    </row>
    <row r="1560" spans="1:10" hidden="1" x14ac:dyDescent="0.25">
      <c r="A1560" s="1" t="str">
        <f>_xlfn.XLOOKUP(E1560,Base!G:G,Base!C:C,"NOVO")</f>
        <v>PENDENTE</v>
      </c>
      <c r="B1560" s="1">
        <v>3307432</v>
      </c>
      <c r="C1560" s="1" t="s">
        <v>24</v>
      </c>
      <c r="D1560" s="2">
        <v>45209.629861111112</v>
      </c>
      <c r="E1560" s="1">
        <v>4202742</v>
      </c>
      <c r="F1560" s="1">
        <v>4202742</v>
      </c>
      <c r="G1560" s="1" t="s">
        <v>77</v>
      </c>
      <c r="H1560" s="2">
        <v>45734.504861111112</v>
      </c>
      <c r="I1560" s="2">
        <v>45825.44027777778</v>
      </c>
      <c r="J1560" s="1" t="s">
        <v>14</v>
      </c>
    </row>
    <row r="1561" spans="1:10" hidden="1" x14ac:dyDescent="0.25">
      <c r="A1561" s="1" t="str">
        <f>_xlfn.XLOOKUP(E1561,Base!G:G,Base!C:C,"NOVO")</f>
        <v>PENDENTE</v>
      </c>
      <c r="B1561" s="1">
        <v>3307433</v>
      </c>
      <c r="C1561" s="1" t="s">
        <v>24</v>
      </c>
      <c r="D1561" s="2">
        <v>45209.79583333333</v>
      </c>
      <c r="E1561" s="1">
        <v>4203062</v>
      </c>
      <c r="F1561" s="1">
        <v>4203062</v>
      </c>
      <c r="G1561" s="1" t="s">
        <v>77</v>
      </c>
      <c r="H1561" s="2">
        <v>45734.504861111112</v>
      </c>
      <c r="I1561" s="2">
        <v>45825.44027777778</v>
      </c>
      <c r="J1561" s="1" t="s">
        <v>14</v>
      </c>
    </row>
    <row r="1562" spans="1:10" hidden="1" x14ac:dyDescent="0.25">
      <c r="A1562" s="1" t="str">
        <f>_xlfn.XLOOKUP(E1562,Base!G:G,Base!C:C,"NOVO")</f>
        <v>PENDENTE</v>
      </c>
      <c r="B1562" s="1">
        <v>3307434</v>
      </c>
      <c r="C1562" s="1" t="s">
        <v>24</v>
      </c>
      <c r="D1562" s="2">
        <v>45210.647222222222</v>
      </c>
      <c r="E1562" s="1">
        <v>4203809</v>
      </c>
      <c r="F1562" s="1">
        <v>4203809</v>
      </c>
      <c r="G1562" s="1" t="s">
        <v>77</v>
      </c>
      <c r="H1562" s="2">
        <v>45734.504861111112</v>
      </c>
      <c r="I1562" s="2">
        <v>45825.44027777778</v>
      </c>
      <c r="J1562" s="1" t="s">
        <v>14</v>
      </c>
    </row>
    <row r="1563" spans="1:10" hidden="1" x14ac:dyDescent="0.25">
      <c r="A1563" s="1" t="str">
        <f>_xlfn.XLOOKUP(E1563,Base!G:G,Base!C:C,"NOVO")</f>
        <v>PENDENTE</v>
      </c>
      <c r="B1563" s="1">
        <v>3308210</v>
      </c>
      <c r="C1563" s="1" t="s">
        <v>24</v>
      </c>
      <c r="D1563" s="2">
        <v>45215.436111111114</v>
      </c>
      <c r="E1563" s="1">
        <v>4205297</v>
      </c>
      <c r="F1563" s="1" t="s">
        <v>1921</v>
      </c>
      <c r="G1563" s="1" t="s">
        <v>247</v>
      </c>
      <c r="H1563" s="2">
        <v>45734.64166666667</v>
      </c>
      <c r="I1563" s="2">
        <v>45825.440972222219</v>
      </c>
      <c r="J1563" s="1" t="s">
        <v>19</v>
      </c>
    </row>
    <row r="1564" spans="1:10" hidden="1" x14ac:dyDescent="0.25">
      <c r="A1564" s="1" t="str">
        <f>_xlfn.XLOOKUP(E1564,Base!G:G,Base!C:C,"NOVO")</f>
        <v>PENDENTE</v>
      </c>
      <c r="B1564" s="1">
        <v>3307435</v>
      </c>
      <c r="C1564" s="1" t="s">
        <v>24</v>
      </c>
      <c r="D1564" s="2">
        <v>45216.380555555559</v>
      </c>
      <c r="E1564" s="1">
        <v>4206418</v>
      </c>
      <c r="F1564" s="1">
        <v>4206418</v>
      </c>
      <c r="G1564" s="1" t="s">
        <v>77</v>
      </c>
      <c r="H1564" s="2">
        <v>45734.504861111112</v>
      </c>
      <c r="I1564" s="2">
        <v>45825.440972222219</v>
      </c>
      <c r="J1564" s="1" t="s">
        <v>14</v>
      </c>
    </row>
    <row r="1565" spans="1:10" hidden="1" x14ac:dyDescent="0.25">
      <c r="A1565" s="1" t="str">
        <f>_xlfn.XLOOKUP(E1565,Base!G:G,Base!C:C,"NOVO")</f>
        <v>PENDENTE</v>
      </c>
      <c r="B1565" s="1">
        <v>3307436</v>
      </c>
      <c r="C1565" s="1" t="s">
        <v>24</v>
      </c>
      <c r="D1565" s="2">
        <v>45217.677777777775</v>
      </c>
      <c r="E1565" s="1">
        <v>4208156</v>
      </c>
      <c r="F1565" s="1">
        <v>4208156</v>
      </c>
      <c r="G1565" s="1" t="s">
        <v>77</v>
      </c>
      <c r="H1565" s="2">
        <v>45734.504861111112</v>
      </c>
      <c r="I1565" s="2">
        <v>45825.440972222219</v>
      </c>
      <c r="J1565" s="1" t="s">
        <v>14</v>
      </c>
    </row>
    <row r="1566" spans="1:10" hidden="1" x14ac:dyDescent="0.25">
      <c r="A1566" s="1" t="str">
        <f>_xlfn.XLOOKUP(E1566,Base!G:G,Base!C:C,"NOVO")</f>
        <v>PENDENTE</v>
      </c>
      <c r="B1566" s="1">
        <v>3307437</v>
      </c>
      <c r="C1566" s="1" t="s">
        <v>24</v>
      </c>
      <c r="D1566" s="2">
        <v>45224.712500000001</v>
      </c>
      <c r="E1566" s="1">
        <v>4213269</v>
      </c>
      <c r="F1566" s="1">
        <v>4213269</v>
      </c>
      <c r="G1566" s="1" t="s">
        <v>77</v>
      </c>
      <c r="H1566" s="2">
        <v>45734.504861111112</v>
      </c>
      <c r="I1566" s="2">
        <v>45825.440972222219</v>
      </c>
      <c r="J1566" s="1" t="s">
        <v>14</v>
      </c>
    </row>
    <row r="1567" spans="1:10" hidden="1" x14ac:dyDescent="0.25">
      <c r="A1567" s="1" t="str">
        <f>_xlfn.XLOOKUP(E1567,Base!G:G,Base!C:C,"NOVO")</f>
        <v>PENDENTE</v>
      </c>
      <c r="B1567" s="1">
        <v>2854581</v>
      </c>
      <c r="C1567" s="1" t="s">
        <v>24</v>
      </c>
      <c r="D1567" s="2">
        <v>45225.357638888891</v>
      </c>
      <c r="E1567" s="1">
        <v>4213500</v>
      </c>
      <c r="F1567" s="1" t="s">
        <v>248</v>
      </c>
      <c r="G1567" s="1" t="s">
        <v>249</v>
      </c>
      <c r="H1567" s="2">
        <v>45512.689583333333</v>
      </c>
      <c r="I1567" s="2">
        <v>45825.440972222219</v>
      </c>
      <c r="J1567" s="1" t="s">
        <v>14</v>
      </c>
    </row>
    <row r="1568" spans="1:10" hidden="1" x14ac:dyDescent="0.25">
      <c r="A1568" s="1" t="str">
        <f>_xlfn.XLOOKUP(E1568,Base!G:G,Base!C:C,"NOVO")</f>
        <v>PENDENTE</v>
      </c>
      <c r="B1568" s="1">
        <v>3307438</v>
      </c>
      <c r="C1568" s="1" t="s">
        <v>24</v>
      </c>
      <c r="D1568" s="2">
        <v>45225.818055555559</v>
      </c>
      <c r="E1568" s="1">
        <v>4214260</v>
      </c>
      <c r="F1568" s="1">
        <v>4214260</v>
      </c>
      <c r="G1568" s="1" t="s">
        <v>77</v>
      </c>
      <c r="H1568" s="2">
        <v>45734.504861111112</v>
      </c>
      <c r="I1568" s="2">
        <v>45825.440972222219</v>
      </c>
      <c r="J1568" s="1" t="s">
        <v>14</v>
      </c>
    </row>
    <row r="1569" spans="1:10" hidden="1" x14ac:dyDescent="0.25">
      <c r="A1569" s="1" t="str">
        <f>_xlfn.XLOOKUP(E1569,Base!G:G,Base!C:C,"NOVO")</f>
        <v>PENDENTE</v>
      </c>
      <c r="B1569" s="1">
        <v>3307439</v>
      </c>
      <c r="C1569" s="1" t="s">
        <v>24</v>
      </c>
      <c r="D1569" s="2">
        <v>45225.822916666664</v>
      </c>
      <c r="E1569" s="1">
        <v>4214263</v>
      </c>
      <c r="F1569" s="1">
        <v>4214263</v>
      </c>
      <c r="G1569" s="1" t="s">
        <v>77</v>
      </c>
      <c r="H1569" s="2">
        <v>45734.504861111112</v>
      </c>
      <c r="I1569" s="2">
        <v>45825.440972222219</v>
      </c>
      <c r="J1569" s="1" t="s">
        <v>14</v>
      </c>
    </row>
    <row r="1570" spans="1:10" hidden="1" x14ac:dyDescent="0.25">
      <c r="A1570" s="1" t="str">
        <f>_xlfn.XLOOKUP(E1570,Base!G:G,Base!C:C,"NOVO")</f>
        <v>PENDENTE</v>
      </c>
      <c r="B1570" s="1">
        <v>3307440</v>
      </c>
      <c r="C1570" s="1" t="s">
        <v>24</v>
      </c>
      <c r="D1570" s="2">
        <v>45236.393750000003</v>
      </c>
      <c r="E1570" s="1">
        <v>4219627</v>
      </c>
      <c r="F1570" s="1">
        <v>4219627</v>
      </c>
      <c r="G1570" s="1" t="s">
        <v>77</v>
      </c>
      <c r="H1570" s="2">
        <v>45734.504861111112</v>
      </c>
      <c r="I1570" s="2">
        <v>45825.440972222219</v>
      </c>
      <c r="J1570" s="1" t="s">
        <v>14</v>
      </c>
    </row>
    <row r="1571" spans="1:10" hidden="1" x14ac:dyDescent="0.25">
      <c r="A1571" s="1" t="str">
        <f>_xlfn.XLOOKUP(E1571,Base!G:G,Base!C:C,"NOVO")</f>
        <v>PENDENTE</v>
      </c>
      <c r="B1571" s="1">
        <v>3307442</v>
      </c>
      <c r="C1571" s="1" t="s">
        <v>24</v>
      </c>
      <c r="D1571" s="2">
        <v>45244.434027777781</v>
      </c>
      <c r="E1571" s="1">
        <v>4226249</v>
      </c>
      <c r="F1571" s="1">
        <v>4226249</v>
      </c>
      <c r="G1571" s="1" t="s">
        <v>77</v>
      </c>
      <c r="H1571" s="2">
        <v>45734.504861111112</v>
      </c>
      <c r="I1571" s="2">
        <v>45825.440972222219</v>
      </c>
      <c r="J1571" s="1" t="s">
        <v>14</v>
      </c>
    </row>
    <row r="1572" spans="1:10" hidden="1" x14ac:dyDescent="0.25">
      <c r="A1572" s="1" t="str">
        <f>_xlfn.XLOOKUP(E1572,Base!G:G,Base!C:C,"NOVO")</f>
        <v>PENDENTE</v>
      </c>
      <c r="B1572" s="1">
        <v>3307443</v>
      </c>
      <c r="C1572" s="1" t="s">
        <v>24</v>
      </c>
      <c r="D1572" s="2">
        <v>45244.556250000001</v>
      </c>
      <c r="E1572" s="1">
        <v>4226516</v>
      </c>
      <c r="F1572" s="1">
        <v>4226516</v>
      </c>
      <c r="G1572" s="1" t="s">
        <v>77</v>
      </c>
      <c r="H1572" s="2">
        <v>45734.504861111112</v>
      </c>
      <c r="I1572" s="2">
        <v>45825.440972222219</v>
      </c>
      <c r="J1572" s="1" t="s">
        <v>14</v>
      </c>
    </row>
    <row r="1573" spans="1:10" hidden="1" x14ac:dyDescent="0.25">
      <c r="A1573" s="1" t="str">
        <f>_xlfn.XLOOKUP(E1573,Base!G:G,Base!C:C,"NOVO")</f>
        <v>PENDENTE</v>
      </c>
      <c r="B1573" s="1">
        <v>3308180</v>
      </c>
      <c r="C1573" s="1" t="s">
        <v>24</v>
      </c>
      <c r="D1573" s="2">
        <v>45244.556944444441</v>
      </c>
      <c r="E1573" s="1">
        <v>4226517</v>
      </c>
      <c r="F1573" s="1" t="s">
        <v>250</v>
      </c>
      <c r="G1573" s="1" t="s">
        <v>251</v>
      </c>
      <c r="H1573" s="2">
        <v>45734.635416666664</v>
      </c>
      <c r="I1573" s="2">
        <v>45825.440972222219</v>
      </c>
      <c r="J1573" s="1" t="s">
        <v>19</v>
      </c>
    </row>
    <row r="1574" spans="1:10" hidden="1" x14ac:dyDescent="0.25">
      <c r="A1574" s="1" t="str">
        <f>_xlfn.XLOOKUP(E1574,Base!G:G,Base!C:C,"NOVO")</f>
        <v>PENDENTE</v>
      </c>
      <c r="B1574" s="1">
        <v>3307444</v>
      </c>
      <c r="C1574" s="1" t="s">
        <v>24</v>
      </c>
      <c r="D1574" s="2">
        <v>45246.699305555558</v>
      </c>
      <c r="E1574" s="1">
        <v>4228343</v>
      </c>
      <c r="F1574" s="1">
        <v>4228343</v>
      </c>
      <c r="G1574" s="1" t="s">
        <v>77</v>
      </c>
      <c r="H1574" s="2">
        <v>45734.504861111112</v>
      </c>
      <c r="I1574" s="2">
        <v>45825.440972222219</v>
      </c>
      <c r="J1574" s="1" t="s">
        <v>14</v>
      </c>
    </row>
    <row r="1575" spans="1:10" hidden="1" x14ac:dyDescent="0.25">
      <c r="A1575" s="1" t="str">
        <f>_xlfn.XLOOKUP(E1575,Base!G:G,Base!C:C,"NOVO")</f>
        <v>PENDENTE</v>
      </c>
      <c r="B1575" s="1">
        <v>3307445</v>
      </c>
      <c r="C1575" s="1" t="s">
        <v>24</v>
      </c>
      <c r="D1575" s="2">
        <v>45246.813194444447</v>
      </c>
      <c r="E1575" s="1">
        <v>4228594</v>
      </c>
      <c r="F1575" s="1">
        <v>4228594</v>
      </c>
      <c r="G1575" s="1" t="s">
        <v>77</v>
      </c>
      <c r="H1575" s="2">
        <v>45734.504861111112</v>
      </c>
      <c r="I1575" s="2">
        <v>45825.440972222219</v>
      </c>
      <c r="J1575" s="1" t="s">
        <v>14</v>
      </c>
    </row>
    <row r="1576" spans="1:10" hidden="1" x14ac:dyDescent="0.25">
      <c r="A1576" s="1" t="str">
        <f>_xlfn.XLOOKUP(E1576,Base!G:G,Base!C:C,"NOVO")</f>
        <v>PENDENTE</v>
      </c>
      <c r="B1576" s="1">
        <v>3307446</v>
      </c>
      <c r="C1576" s="1" t="s">
        <v>24</v>
      </c>
      <c r="D1576" s="2">
        <v>45247.630555555559</v>
      </c>
      <c r="E1576" s="1">
        <v>4229281</v>
      </c>
      <c r="F1576" s="1">
        <v>4229281</v>
      </c>
      <c r="G1576" s="1" t="s">
        <v>77</v>
      </c>
      <c r="H1576" s="2">
        <v>45734.504861111112</v>
      </c>
      <c r="I1576" s="2">
        <v>45825.440972222219</v>
      </c>
      <c r="J1576" s="1" t="s">
        <v>14</v>
      </c>
    </row>
    <row r="1577" spans="1:10" hidden="1" x14ac:dyDescent="0.25">
      <c r="A1577" s="1" t="str">
        <f>_xlfn.XLOOKUP(E1577,Base!G:G,Base!C:C,"NOVO")</f>
        <v>PENDENTE</v>
      </c>
      <c r="B1577" s="1">
        <v>2854591</v>
      </c>
      <c r="C1577" s="1" t="s">
        <v>24</v>
      </c>
      <c r="D1577" s="2">
        <v>45248.55972222222</v>
      </c>
      <c r="E1577" s="1">
        <v>4229746</v>
      </c>
      <c r="F1577" s="1" t="s">
        <v>252</v>
      </c>
      <c r="G1577" s="1" t="s">
        <v>253</v>
      </c>
      <c r="H1577" s="2">
        <v>45512.689583333333</v>
      </c>
      <c r="I1577" s="2">
        <v>45825.440972222219</v>
      </c>
      <c r="J1577" s="1" t="s">
        <v>14</v>
      </c>
    </row>
    <row r="1578" spans="1:10" hidden="1" x14ac:dyDescent="0.25">
      <c r="A1578" s="1" t="str">
        <f>_xlfn.XLOOKUP(E1578,Base!G:G,Base!C:C,"NOVO")</f>
        <v>PENDENTE</v>
      </c>
      <c r="B1578" s="1">
        <v>2854592</v>
      </c>
      <c r="C1578" s="1" t="s">
        <v>24</v>
      </c>
      <c r="D1578" s="2">
        <v>45249.870833333334</v>
      </c>
      <c r="E1578" s="1">
        <v>4229798</v>
      </c>
      <c r="F1578" s="1" t="s">
        <v>254</v>
      </c>
      <c r="G1578" s="1" t="s">
        <v>255</v>
      </c>
      <c r="H1578" s="2">
        <v>45512.689583333333</v>
      </c>
      <c r="I1578" s="2">
        <v>45825.440972222219</v>
      </c>
      <c r="J1578" s="1" t="s">
        <v>14</v>
      </c>
    </row>
    <row r="1579" spans="1:10" hidden="1" x14ac:dyDescent="0.25">
      <c r="A1579" s="1" t="str">
        <f>_xlfn.XLOOKUP(E1579,Base!G:G,Base!C:C,"NOVO")</f>
        <v>PENDENTE</v>
      </c>
      <c r="B1579" s="1">
        <v>3307447</v>
      </c>
      <c r="C1579" s="1" t="s">
        <v>24</v>
      </c>
      <c r="D1579" s="2">
        <v>45257.40902777778</v>
      </c>
      <c r="E1579" s="1">
        <v>4234613</v>
      </c>
      <c r="F1579" s="1">
        <v>4234613</v>
      </c>
      <c r="G1579" s="1" t="s">
        <v>77</v>
      </c>
      <c r="H1579" s="2">
        <v>45734.504861111112</v>
      </c>
      <c r="I1579" s="2">
        <v>45825.440972222219</v>
      </c>
      <c r="J1579" s="1" t="s">
        <v>14</v>
      </c>
    </row>
    <row r="1580" spans="1:10" hidden="1" x14ac:dyDescent="0.25">
      <c r="A1580" s="1" t="str">
        <f>_xlfn.XLOOKUP(E1580,Base!G:G,Base!C:C,"NOVO")</f>
        <v>PENDENTE</v>
      </c>
      <c r="B1580" s="1">
        <v>2854594</v>
      </c>
      <c r="C1580" s="1" t="s">
        <v>24</v>
      </c>
      <c r="D1580" s="2">
        <v>45259.911111111112</v>
      </c>
      <c r="E1580" s="1">
        <v>4237398</v>
      </c>
      <c r="F1580" s="1" t="s">
        <v>256</v>
      </c>
      <c r="G1580" s="1" t="s">
        <v>257</v>
      </c>
      <c r="H1580" s="2">
        <v>45512.689583333333</v>
      </c>
      <c r="I1580" s="2">
        <v>45825.440972222219</v>
      </c>
      <c r="J1580" s="1" t="s">
        <v>14</v>
      </c>
    </row>
    <row r="1581" spans="1:10" hidden="1" x14ac:dyDescent="0.25">
      <c r="A1581" s="1" t="str">
        <f>_xlfn.XLOOKUP(E1581,Base!G:G,Base!C:C,"NOVO")</f>
        <v>PENDENTE</v>
      </c>
      <c r="B1581" s="1">
        <v>3307448</v>
      </c>
      <c r="C1581" s="1" t="s">
        <v>24</v>
      </c>
      <c r="D1581" s="2">
        <v>45261.47152777778</v>
      </c>
      <c r="E1581" s="1">
        <v>4238444</v>
      </c>
      <c r="F1581" s="1">
        <v>4238444</v>
      </c>
      <c r="G1581" s="1" t="s">
        <v>77</v>
      </c>
      <c r="H1581" s="2">
        <v>45734.504861111112</v>
      </c>
      <c r="I1581" s="2">
        <v>45825.440972222219</v>
      </c>
      <c r="J1581" s="1" t="s">
        <v>14</v>
      </c>
    </row>
    <row r="1582" spans="1:10" hidden="1" x14ac:dyDescent="0.25">
      <c r="A1582" s="1" t="str">
        <f>_xlfn.XLOOKUP(E1582,Base!G:G,Base!C:C,"NOVO")</f>
        <v>PENDENTE</v>
      </c>
      <c r="B1582" s="1">
        <v>2854596</v>
      </c>
      <c r="C1582" s="1" t="s">
        <v>24</v>
      </c>
      <c r="D1582" s="2">
        <v>45272.429166666669</v>
      </c>
      <c r="E1582" s="1">
        <v>4243779</v>
      </c>
      <c r="F1582" s="1" t="s">
        <v>258</v>
      </c>
      <c r="G1582" s="1" t="s">
        <v>259</v>
      </c>
      <c r="H1582" s="2">
        <v>45512.689583333333</v>
      </c>
      <c r="I1582" s="2">
        <v>45825.440972222219</v>
      </c>
      <c r="J1582" s="1" t="s">
        <v>14</v>
      </c>
    </row>
    <row r="1583" spans="1:10" hidden="1" x14ac:dyDescent="0.25">
      <c r="A1583" s="1" t="str">
        <f>_xlfn.XLOOKUP(E1583,Base!G:G,Base!C:C,"NOVO")</f>
        <v>PENDENTE</v>
      </c>
      <c r="B1583" s="1">
        <v>2854597</v>
      </c>
      <c r="C1583" s="1" t="s">
        <v>24</v>
      </c>
      <c r="D1583" s="2">
        <v>45280.474999999999</v>
      </c>
      <c r="E1583" s="1">
        <v>4247783</v>
      </c>
      <c r="F1583" s="1" t="s">
        <v>260</v>
      </c>
      <c r="G1583" s="1" t="s">
        <v>261</v>
      </c>
      <c r="H1583" s="2">
        <v>45512.689583333333</v>
      </c>
      <c r="I1583" s="2">
        <v>45825.440972222219</v>
      </c>
      <c r="J1583" s="1" t="s">
        <v>14</v>
      </c>
    </row>
    <row r="1584" spans="1:10" hidden="1" x14ac:dyDescent="0.25">
      <c r="A1584" s="1" t="str">
        <f>_xlfn.XLOOKUP(E1584,Base!G:G,Base!C:C,"NOVO")</f>
        <v>PENDENTE</v>
      </c>
      <c r="B1584" s="1">
        <v>2854598</v>
      </c>
      <c r="C1584" s="1" t="s">
        <v>24</v>
      </c>
      <c r="D1584" s="2">
        <v>45280.474999999999</v>
      </c>
      <c r="E1584" s="1">
        <v>4247783</v>
      </c>
      <c r="F1584" s="1" t="s">
        <v>262</v>
      </c>
      <c r="G1584" s="1" t="s">
        <v>263</v>
      </c>
      <c r="H1584" s="2">
        <v>45512.689583333333</v>
      </c>
      <c r="I1584" s="2">
        <v>45825.440972222219</v>
      </c>
      <c r="J1584" s="1" t="s">
        <v>14</v>
      </c>
    </row>
    <row r="1585" spans="1:10" hidden="1" x14ac:dyDescent="0.25">
      <c r="A1585" s="1" t="str">
        <f>_xlfn.XLOOKUP(E1585,Base!G:G,Base!C:C,"NOVO")</f>
        <v>PENDENTE</v>
      </c>
      <c r="B1585" s="1">
        <v>3307450</v>
      </c>
      <c r="C1585" s="1" t="s">
        <v>24</v>
      </c>
      <c r="D1585" s="2">
        <v>45280.479861111111</v>
      </c>
      <c r="E1585" s="1">
        <v>4247796</v>
      </c>
      <c r="F1585" s="1">
        <v>4247796</v>
      </c>
      <c r="G1585" s="1" t="s">
        <v>77</v>
      </c>
      <c r="H1585" s="2">
        <v>45734.504861111112</v>
      </c>
      <c r="I1585" s="2">
        <v>45825.440972222219</v>
      </c>
      <c r="J1585" s="1" t="s">
        <v>14</v>
      </c>
    </row>
    <row r="1586" spans="1:10" hidden="1" x14ac:dyDescent="0.25">
      <c r="A1586" s="1" t="str">
        <f>_xlfn.XLOOKUP(E1586,Base!G:G,Base!C:C,"NOVO")</f>
        <v>PENDENTE</v>
      </c>
      <c r="B1586" s="1">
        <v>3307451</v>
      </c>
      <c r="C1586" s="1" t="s">
        <v>24</v>
      </c>
      <c r="D1586" s="2">
        <v>45286.572916666664</v>
      </c>
      <c r="E1586" s="1">
        <v>4249483</v>
      </c>
      <c r="F1586" s="1">
        <v>4249483</v>
      </c>
      <c r="G1586" s="1" t="s">
        <v>77</v>
      </c>
      <c r="H1586" s="2">
        <v>45734.504861111112</v>
      </c>
      <c r="I1586" s="2">
        <v>45825.440972222219</v>
      </c>
      <c r="J1586" s="1" t="s">
        <v>14</v>
      </c>
    </row>
    <row r="1587" spans="1:10" hidden="1" x14ac:dyDescent="0.25">
      <c r="A1587" s="1" t="str">
        <f>_xlfn.XLOOKUP(E1587,Base!G:G,Base!C:C,"NOVO")</f>
        <v>PENDENTE</v>
      </c>
      <c r="B1587" s="1">
        <v>3307452</v>
      </c>
      <c r="C1587" s="1" t="s">
        <v>24</v>
      </c>
      <c r="D1587" s="2">
        <v>45287.631249999999</v>
      </c>
      <c r="E1587" s="1">
        <v>4249982</v>
      </c>
      <c r="F1587" s="1">
        <v>4249982</v>
      </c>
      <c r="G1587" s="1" t="s">
        <v>77</v>
      </c>
      <c r="H1587" s="2">
        <v>45734.504861111112</v>
      </c>
      <c r="I1587" s="2">
        <v>45825.440972222219</v>
      </c>
      <c r="J1587" s="1" t="s">
        <v>14</v>
      </c>
    </row>
    <row r="1588" spans="1:10" hidden="1" x14ac:dyDescent="0.25">
      <c r="A1588" s="1" t="str">
        <f>_xlfn.XLOOKUP(E1588,Base!G:G,Base!C:C,"NOVO")</f>
        <v>CONTABILIZAR NO PORTAL</v>
      </c>
      <c r="B1588" s="1">
        <v>2438691</v>
      </c>
      <c r="C1588" s="1" t="s">
        <v>24</v>
      </c>
      <c r="D1588" s="2">
        <v>45294.633333333331</v>
      </c>
      <c r="E1588" s="1">
        <v>4251938</v>
      </c>
      <c r="F1588" s="1" t="s">
        <v>66</v>
      </c>
      <c r="G1588" s="1" t="s">
        <v>67</v>
      </c>
      <c r="H1588" s="2">
        <v>45295.671527777777</v>
      </c>
      <c r="I1588" s="2">
        <v>45447.614583333336</v>
      </c>
      <c r="J1588" s="1" t="s">
        <v>14</v>
      </c>
    </row>
    <row r="1589" spans="1:10" hidden="1" x14ac:dyDescent="0.25">
      <c r="A1589" s="1" t="str">
        <f>_xlfn.XLOOKUP(E1589,Base!G:G,Base!C:C,"NOVO")</f>
        <v>PENDENTE</v>
      </c>
      <c r="B1589" s="1">
        <v>3308181</v>
      </c>
      <c r="C1589" s="1" t="s">
        <v>24</v>
      </c>
      <c r="D1589" s="2">
        <v>45299.667361111111</v>
      </c>
      <c r="E1589" s="1">
        <v>4254472</v>
      </c>
      <c r="F1589" s="1" t="s">
        <v>204</v>
      </c>
      <c r="G1589" s="1" t="s">
        <v>205</v>
      </c>
      <c r="H1589" s="2">
        <v>45734.635416666664</v>
      </c>
      <c r="I1589" s="2">
        <v>45825.440972222219</v>
      </c>
      <c r="J1589" s="1" t="s">
        <v>19</v>
      </c>
    </row>
    <row r="1590" spans="1:10" hidden="1" x14ac:dyDescent="0.25">
      <c r="A1590" s="1" t="str">
        <f>_xlfn.XLOOKUP(E1590,Base!G:G,Base!C:C,"NOVO")</f>
        <v>CONTABILIZAR NO PORTAL</v>
      </c>
      <c r="B1590" s="1">
        <v>2462054</v>
      </c>
      <c r="C1590" s="1" t="s">
        <v>24</v>
      </c>
      <c r="D1590" s="2">
        <v>45308.669444444444</v>
      </c>
      <c r="E1590" s="1">
        <v>4260384</v>
      </c>
      <c r="F1590" s="1" t="s">
        <v>70</v>
      </c>
      <c r="G1590" s="1" t="s">
        <v>71</v>
      </c>
      <c r="H1590" s="2">
        <v>45310.40625</v>
      </c>
      <c r="I1590" s="2">
        <v>45825.440972222219</v>
      </c>
      <c r="J1590" s="1" t="s">
        <v>14</v>
      </c>
    </row>
    <row r="1591" spans="1:10" hidden="1" x14ac:dyDescent="0.25">
      <c r="A1591" s="1" t="str">
        <f>_xlfn.XLOOKUP(E1591,Base!G:G,Base!C:C,"NOVO")</f>
        <v>CONTABILIZAR NO PORTAL</v>
      </c>
      <c r="B1591" s="1">
        <v>2462055</v>
      </c>
      <c r="C1591" s="1" t="s">
        <v>24</v>
      </c>
      <c r="D1591" s="2">
        <v>45308.669444444444</v>
      </c>
      <c r="E1591" s="1">
        <v>4260384</v>
      </c>
      <c r="F1591" s="1" t="s">
        <v>72</v>
      </c>
      <c r="G1591" s="1" t="s">
        <v>73</v>
      </c>
      <c r="H1591" s="2">
        <v>45310.40625</v>
      </c>
      <c r="I1591" s="2">
        <v>45825.440972222219</v>
      </c>
      <c r="J1591" s="1" t="s">
        <v>14</v>
      </c>
    </row>
    <row r="1592" spans="1:10" hidden="1" x14ac:dyDescent="0.25">
      <c r="A1592" s="1" t="str">
        <f>_xlfn.XLOOKUP(E1592,Base!G:G,Base!C:C,"NOVO")</f>
        <v>CONTABILIZAR NO PORTAL</v>
      </c>
      <c r="B1592" s="1">
        <v>2471974</v>
      </c>
      <c r="C1592" s="1" t="s">
        <v>24</v>
      </c>
      <c r="D1592" s="2">
        <v>45315.670138888891</v>
      </c>
      <c r="E1592" s="1">
        <v>4265017</v>
      </c>
      <c r="F1592" s="1">
        <v>4265017</v>
      </c>
      <c r="G1592" s="1" t="s">
        <v>77</v>
      </c>
      <c r="H1592" s="2">
        <v>45315.953472222223</v>
      </c>
      <c r="J1592" s="1" t="s">
        <v>14</v>
      </c>
    </row>
    <row r="1593" spans="1:10" hidden="1" x14ac:dyDescent="0.25">
      <c r="A1593" s="1" t="str">
        <f>_xlfn.XLOOKUP(E1593,Base!G:G,Base!C:C,"NOVO")</f>
        <v>PENDENTE</v>
      </c>
      <c r="B1593" s="1">
        <v>3308182</v>
      </c>
      <c r="C1593" s="1" t="s">
        <v>24</v>
      </c>
      <c r="D1593" s="2">
        <v>45320.618055555555</v>
      </c>
      <c r="E1593" s="1">
        <v>4267291</v>
      </c>
      <c r="F1593" s="1" t="s">
        <v>206</v>
      </c>
      <c r="G1593" s="1" t="s">
        <v>207</v>
      </c>
      <c r="H1593" s="2">
        <v>45734.635416666664</v>
      </c>
      <c r="I1593" s="2">
        <v>45825.440972222219</v>
      </c>
      <c r="J1593" s="1" t="s">
        <v>19</v>
      </c>
    </row>
    <row r="1594" spans="1:10" hidden="1" x14ac:dyDescent="0.25">
      <c r="A1594" s="1" t="str">
        <f>_xlfn.XLOOKUP(E1594,Base!G:G,Base!C:C,"NOVO")</f>
        <v>CONTABILIZAR NO PORTAL</v>
      </c>
      <c r="B1594" s="1">
        <v>2482912</v>
      </c>
      <c r="C1594" s="1" t="s">
        <v>24</v>
      </c>
      <c r="D1594" s="2">
        <v>45321.384722222225</v>
      </c>
      <c r="E1594" s="1">
        <v>4267690</v>
      </c>
      <c r="F1594" s="1" t="s">
        <v>80</v>
      </c>
      <c r="G1594" s="1" t="s">
        <v>81</v>
      </c>
      <c r="H1594" s="2">
        <v>45322.739583333336</v>
      </c>
      <c r="I1594" s="2">
        <v>45825.440972222219</v>
      </c>
      <c r="J1594" s="1" t="s">
        <v>14</v>
      </c>
    </row>
    <row r="1595" spans="1:10" hidden="1" x14ac:dyDescent="0.25">
      <c r="A1595" s="1" t="str">
        <f>_xlfn.XLOOKUP(E1595,Base!G:G,Base!C:C,"NOVO")</f>
        <v>CONTABILIZAR NO PORTAL</v>
      </c>
      <c r="B1595" s="1">
        <v>2484199</v>
      </c>
      <c r="C1595" s="1" t="s">
        <v>24</v>
      </c>
      <c r="D1595" s="2">
        <v>45323.532638888886</v>
      </c>
      <c r="E1595" s="1">
        <v>4269492</v>
      </c>
      <c r="F1595" s="1">
        <v>4269492</v>
      </c>
      <c r="G1595" s="1" t="s">
        <v>77</v>
      </c>
      <c r="H1595" s="2">
        <v>45323.540277777778</v>
      </c>
      <c r="I1595" s="2">
        <v>45825.440972222219</v>
      </c>
      <c r="J1595" s="1" t="s">
        <v>14</v>
      </c>
    </row>
    <row r="1596" spans="1:10" hidden="1" x14ac:dyDescent="0.25">
      <c r="A1596" s="1" t="str">
        <f>_xlfn.XLOOKUP(E1596,Base!G:G,Base!C:C,"NOVO")</f>
        <v>CONTABILIZAR NO PORTAL</v>
      </c>
      <c r="B1596" s="1">
        <v>2502681</v>
      </c>
      <c r="C1596" s="1" t="s">
        <v>24</v>
      </c>
      <c r="D1596" s="2">
        <v>45336.648611111108</v>
      </c>
      <c r="E1596" s="1">
        <v>4275898</v>
      </c>
      <c r="F1596" s="1">
        <v>4275898</v>
      </c>
      <c r="G1596" s="1" t="s">
        <v>77</v>
      </c>
      <c r="H1596" s="2">
        <v>45336.658333333333</v>
      </c>
      <c r="I1596" s="2">
        <v>45825.440972222219</v>
      </c>
      <c r="J1596" s="1" t="s">
        <v>14</v>
      </c>
    </row>
    <row r="1597" spans="1:10" hidden="1" x14ac:dyDescent="0.25">
      <c r="A1597" s="1" t="str">
        <f>_xlfn.XLOOKUP(E1597,Base!G:G,Base!C:C,"NOVO")</f>
        <v>CONTABILIZAR NO PORTAL</v>
      </c>
      <c r="B1597" s="1">
        <v>2530619</v>
      </c>
      <c r="C1597" s="1" t="s">
        <v>24</v>
      </c>
      <c r="D1597" s="2">
        <v>45349.414583333331</v>
      </c>
      <c r="E1597" s="1">
        <v>4285326</v>
      </c>
      <c r="F1597" s="1">
        <v>4285326</v>
      </c>
      <c r="G1597" s="1" t="s">
        <v>77</v>
      </c>
      <c r="H1597" s="2">
        <v>45350.771527777775</v>
      </c>
      <c r="I1597" s="2">
        <v>45825.440972222219</v>
      </c>
      <c r="J1597" s="1" t="s">
        <v>14</v>
      </c>
    </row>
    <row r="1598" spans="1:10" hidden="1" x14ac:dyDescent="0.25">
      <c r="A1598" s="1" t="str">
        <f>_xlfn.XLOOKUP(E1598,Base!G:G,Base!C:C,"NOVO")</f>
        <v>PENDENTE</v>
      </c>
      <c r="B1598" s="1">
        <v>2879046</v>
      </c>
      <c r="C1598" s="1" t="s">
        <v>24</v>
      </c>
      <c r="D1598" s="2">
        <v>45360.411805555559</v>
      </c>
      <c r="E1598" s="1">
        <v>4292939</v>
      </c>
      <c r="F1598" s="1" t="s">
        <v>290</v>
      </c>
      <c r="G1598" s="1" t="s">
        <v>291</v>
      </c>
      <c r="H1598" s="2">
        <v>45524.665277777778</v>
      </c>
      <c r="I1598" s="2">
        <v>45825.440972222219</v>
      </c>
      <c r="J1598" s="1" t="s">
        <v>14</v>
      </c>
    </row>
    <row r="1599" spans="1:10" hidden="1" x14ac:dyDescent="0.25">
      <c r="A1599" s="1" t="str">
        <f>_xlfn.XLOOKUP(E1599,Base!G:G,Base!C:C,"NOVO")</f>
        <v>PENDENTE</v>
      </c>
      <c r="B1599" s="1">
        <v>3307570</v>
      </c>
      <c r="C1599" s="1" t="s">
        <v>24</v>
      </c>
      <c r="D1599" s="2">
        <v>45371.925694444442</v>
      </c>
      <c r="E1599" s="1">
        <v>4299956</v>
      </c>
      <c r="F1599" s="1" t="s">
        <v>284</v>
      </c>
      <c r="G1599" s="1" t="s">
        <v>285</v>
      </c>
      <c r="H1599" s="2">
        <v>45734.517361111109</v>
      </c>
      <c r="I1599" s="2">
        <v>45825.440972222219</v>
      </c>
      <c r="J1599" s="1" t="s">
        <v>14</v>
      </c>
    </row>
    <row r="1600" spans="1:10" hidden="1" x14ac:dyDescent="0.25">
      <c r="A1600" s="1" t="str">
        <f>_xlfn.XLOOKUP(E1600,Base!G:G,Base!C:C,"NOVO")</f>
        <v>CONTABILIZAR NO PORTAL</v>
      </c>
      <c r="B1600" s="1">
        <v>2573357</v>
      </c>
      <c r="C1600" s="1" t="s">
        <v>24</v>
      </c>
      <c r="D1600" s="2">
        <v>45372.628472222219</v>
      </c>
      <c r="E1600" s="1">
        <v>4300431</v>
      </c>
      <c r="F1600" s="1">
        <v>4300431</v>
      </c>
      <c r="G1600" s="1" t="s">
        <v>77</v>
      </c>
      <c r="H1600" s="2">
        <v>45373.421527777777</v>
      </c>
      <c r="I1600" s="2">
        <v>45825.440972222219</v>
      </c>
      <c r="J1600" s="1" t="s">
        <v>14</v>
      </c>
    </row>
    <row r="1601" spans="1:10" hidden="1" x14ac:dyDescent="0.25">
      <c r="A1601" s="1" t="str">
        <f>_xlfn.XLOOKUP(E1601,Base!G:G,Base!C:C,"NOVO")</f>
        <v>CONTABILIZAR NO PORTAL</v>
      </c>
      <c r="B1601" s="1">
        <v>2573461</v>
      </c>
      <c r="C1601" s="1" t="s">
        <v>24</v>
      </c>
      <c r="D1601" s="2">
        <v>45373.436111111114</v>
      </c>
      <c r="E1601" s="1">
        <v>4301065</v>
      </c>
      <c r="F1601" s="1">
        <v>4301065</v>
      </c>
      <c r="G1601" s="1" t="s">
        <v>77</v>
      </c>
      <c r="H1601" s="2">
        <v>45373.446527777778</v>
      </c>
      <c r="I1601" s="2">
        <v>45825.440972222219</v>
      </c>
      <c r="J1601" s="1" t="s">
        <v>14</v>
      </c>
    </row>
    <row r="1602" spans="1:10" hidden="1" x14ac:dyDescent="0.25">
      <c r="A1602" s="1" t="str">
        <f>_xlfn.XLOOKUP(E1602,Base!G:G,Base!C:C,"NOVO")</f>
        <v>CONTABILIZAR NO PORTAL</v>
      </c>
      <c r="B1602" s="1">
        <v>2580328</v>
      </c>
      <c r="C1602" s="1" t="s">
        <v>24</v>
      </c>
      <c r="D1602" s="2">
        <v>45376.62777777778</v>
      </c>
      <c r="E1602" s="1">
        <v>4302688</v>
      </c>
      <c r="F1602" s="1" t="s">
        <v>70</v>
      </c>
      <c r="G1602" s="1" t="s">
        <v>71</v>
      </c>
      <c r="H1602" s="2">
        <v>45377.521527777775</v>
      </c>
      <c r="I1602" s="2">
        <v>45455.623611111114</v>
      </c>
      <c r="J1602" s="1" t="s">
        <v>14</v>
      </c>
    </row>
    <row r="1603" spans="1:10" hidden="1" x14ac:dyDescent="0.25">
      <c r="A1603" s="1" t="str">
        <f>_xlfn.XLOOKUP(E1603,Base!G:G,Base!C:C,"NOVO")</f>
        <v>CONTABILIZAR NO PORTAL</v>
      </c>
      <c r="B1603" s="1">
        <v>2586891</v>
      </c>
      <c r="C1603" s="1" t="s">
        <v>24</v>
      </c>
      <c r="D1603" s="2">
        <v>45378.75</v>
      </c>
      <c r="E1603" s="1">
        <v>4304906</v>
      </c>
      <c r="F1603" s="1" t="s">
        <v>70</v>
      </c>
      <c r="G1603" s="1" t="s">
        <v>71</v>
      </c>
      <c r="H1603" s="2">
        <v>45379.665277777778</v>
      </c>
      <c r="I1603" s="2">
        <v>45825.440972222219</v>
      </c>
      <c r="J1603" s="1" t="s">
        <v>14</v>
      </c>
    </row>
    <row r="1604" spans="1:10" hidden="1" x14ac:dyDescent="0.25">
      <c r="A1604" s="1" t="str">
        <f>_xlfn.XLOOKUP(E1604,Base!G:G,Base!C:C,"NOVO")</f>
        <v>PENDENTE</v>
      </c>
      <c r="B1604" s="1">
        <v>2879047</v>
      </c>
      <c r="C1604" s="1" t="s">
        <v>24</v>
      </c>
      <c r="D1604" s="2">
        <v>45379.522916666669</v>
      </c>
      <c r="E1604" s="1">
        <v>4305314</v>
      </c>
      <c r="F1604" s="1" t="s">
        <v>292</v>
      </c>
      <c r="G1604" s="1" t="s">
        <v>293</v>
      </c>
      <c r="H1604" s="2">
        <v>45524.665277777778</v>
      </c>
      <c r="I1604" s="2">
        <v>45825.440972222219</v>
      </c>
      <c r="J1604" s="1" t="s">
        <v>14</v>
      </c>
    </row>
    <row r="1605" spans="1:10" hidden="1" x14ac:dyDescent="0.25">
      <c r="A1605" s="1" t="str">
        <f>_xlfn.XLOOKUP(E1605,Base!G:G,Base!C:C,"NOVO")</f>
        <v>CONTABILIZAR NO PORTAL</v>
      </c>
      <c r="B1605" s="1">
        <v>2596454</v>
      </c>
      <c r="C1605" s="1" t="s">
        <v>24</v>
      </c>
      <c r="D1605" s="2">
        <v>45385.714583333334</v>
      </c>
      <c r="E1605" s="1">
        <v>4309106</v>
      </c>
      <c r="F1605" s="1" t="s">
        <v>129</v>
      </c>
      <c r="G1605" s="1" t="s">
        <v>130</v>
      </c>
      <c r="H1605" s="2">
        <v>45385.734027777777</v>
      </c>
      <c r="I1605" s="2">
        <v>45825.440972222219</v>
      </c>
      <c r="J1605" s="1" t="s">
        <v>14</v>
      </c>
    </row>
    <row r="1606" spans="1:10" hidden="1" x14ac:dyDescent="0.25">
      <c r="A1606" s="1" t="str">
        <f>_xlfn.XLOOKUP(E1606,Base!G:G,Base!C:C,"NOVO")</f>
        <v>CONTABILIZAR NO PORTAL</v>
      </c>
      <c r="B1606" s="1">
        <v>2598802</v>
      </c>
      <c r="C1606" s="1" t="s">
        <v>24</v>
      </c>
      <c r="D1606" s="2">
        <v>45386.647222222222</v>
      </c>
      <c r="E1606" s="1">
        <v>4309881</v>
      </c>
      <c r="F1606" s="1">
        <v>4309881</v>
      </c>
      <c r="G1606" s="1" t="s">
        <v>77</v>
      </c>
      <c r="H1606" s="2">
        <v>45386.652777777781</v>
      </c>
      <c r="I1606" s="2">
        <v>45825.440972222219</v>
      </c>
      <c r="J1606" s="1" t="s">
        <v>14</v>
      </c>
    </row>
    <row r="1607" spans="1:10" hidden="1" x14ac:dyDescent="0.25">
      <c r="A1607" s="1" t="str">
        <f>_xlfn.XLOOKUP(E1607,Base!G:G,Base!C:C,"NOVO")</f>
        <v>CONTABILIZAR NO PORTAL</v>
      </c>
      <c r="B1607" s="1">
        <v>2599009</v>
      </c>
      <c r="C1607" s="1" t="s">
        <v>24</v>
      </c>
      <c r="D1607" s="2">
        <v>45386.70416666667</v>
      </c>
      <c r="E1607" s="1">
        <v>4309990</v>
      </c>
      <c r="F1607" s="1">
        <v>4309990</v>
      </c>
      <c r="G1607" s="1" t="s">
        <v>77</v>
      </c>
      <c r="H1607" s="2">
        <v>45386.709722222222</v>
      </c>
      <c r="I1607" s="2">
        <v>45825.440972222219</v>
      </c>
      <c r="J1607" s="1" t="s">
        <v>14</v>
      </c>
    </row>
    <row r="1608" spans="1:10" hidden="1" x14ac:dyDescent="0.25">
      <c r="A1608" s="1" t="str">
        <f>_xlfn.XLOOKUP(E1608,Base!G:G,Base!C:C,"NOVO")</f>
        <v>CONTABILIZAR NO PORTAL</v>
      </c>
      <c r="B1608" s="1">
        <v>2617395</v>
      </c>
      <c r="C1608" s="1" t="s">
        <v>24</v>
      </c>
      <c r="D1608" s="2">
        <v>45394.73541666667</v>
      </c>
      <c r="E1608" s="1">
        <v>4315539</v>
      </c>
      <c r="F1608" s="1">
        <v>4315539</v>
      </c>
      <c r="G1608" s="1" t="s">
        <v>77</v>
      </c>
      <c r="H1608" s="2">
        <v>45394.740277777775</v>
      </c>
      <c r="I1608" s="2">
        <v>45825.440972222219</v>
      </c>
      <c r="J1608" s="1" t="s">
        <v>14</v>
      </c>
    </row>
    <row r="1609" spans="1:10" hidden="1" x14ac:dyDescent="0.25">
      <c r="A1609" s="1" t="str">
        <f>_xlfn.XLOOKUP(E1609,Base!G:G,Base!C:C,"NOVO")</f>
        <v>CONTABILIZAR NO PORTAL</v>
      </c>
      <c r="B1609" s="1">
        <v>2626880</v>
      </c>
      <c r="C1609" s="1" t="s">
        <v>24</v>
      </c>
      <c r="D1609" s="2">
        <v>45397.650694444441</v>
      </c>
      <c r="E1609" s="1">
        <v>4316329</v>
      </c>
      <c r="F1609" s="1">
        <v>4316329</v>
      </c>
      <c r="G1609" s="1" t="s">
        <v>77</v>
      </c>
      <c r="H1609" s="2">
        <v>45400.364583333336</v>
      </c>
      <c r="I1609" s="2">
        <v>45825.440972222219</v>
      </c>
      <c r="J1609" s="1" t="s">
        <v>14</v>
      </c>
    </row>
    <row r="1610" spans="1:10" hidden="1" x14ac:dyDescent="0.25">
      <c r="A1610" s="1" t="str">
        <f>_xlfn.XLOOKUP(E1610,Base!G:G,Base!C:C,"NOVO")</f>
        <v>CONTABILIZAR NO PORTAL</v>
      </c>
      <c r="B1610" s="1">
        <v>2635595</v>
      </c>
      <c r="C1610" s="1" t="s">
        <v>24</v>
      </c>
      <c r="D1610" s="2">
        <v>45404.720138888886</v>
      </c>
      <c r="E1610" s="1">
        <v>4320780</v>
      </c>
      <c r="F1610" s="1">
        <v>4320780</v>
      </c>
      <c r="G1610" s="1" t="s">
        <v>77</v>
      </c>
      <c r="H1610" s="2">
        <v>45405.477777777778</v>
      </c>
      <c r="I1610" s="2">
        <v>45825.440972222219</v>
      </c>
      <c r="J1610" s="1" t="s">
        <v>14</v>
      </c>
    </row>
    <row r="1611" spans="1:10" hidden="1" x14ac:dyDescent="0.25">
      <c r="A1611" s="1" t="str">
        <f>_xlfn.XLOOKUP(E1611,Base!G:G,Base!C:C,"NOVO")</f>
        <v>CONTABILIZAR NO PORTAL</v>
      </c>
      <c r="B1611" s="1">
        <v>2665604</v>
      </c>
      <c r="C1611" s="1" t="s">
        <v>24</v>
      </c>
      <c r="D1611" s="2">
        <v>45420.602777777778</v>
      </c>
      <c r="E1611" s="1">
        <v>4330632</v>
      </c>
      <c r="F1611" s="1">
        <v>4330632</v>
      </c>
      <c r="G1611" s="1" t="s">
        <v>77</v>
      </c>
      <c r="H1611" s="2">
        <v>45420.609722222223</v>
      </c>
      <c r="I1611" s="2">
        <v>45825.440972222219</v>
      </c>
      <c r="J1611" s="1" t="s">
        <v>14</v>
      </c>
    </row>
    <row r="1612" spans="1:10" hidden="1" x14ac:dyDescent="0.25">
      <c r="A1612" s="1" t="str">
        <f>_xlfn.XLOOKUP(E1612,Base!G:G,Base!C:C,"NOVO")</f>
        <v>CONTABILIZAR NO PORTAL</v>
      </c>
      <c r="B1612" s="1">
        <v>2668656</v>
      </c>
      <c r="C1612" s="1" t="s">
        <v>24</v>
      </c>
      <c r="D1612" s="2">
        <v>45421.698611111111</v>
      </c>
      <c r="E1612" s="1">
        <v>4331646</v>
      </c>
      <c r="F1612" s="1">
        <v>4331646</v>
      </c>
      <c r="G1612" s="1" t="s">
        <v>77</v>
      </c>
      <c r="H1612" s="2">
        <v>45421.71597222222</v>
      </c>
      <c r="J1612" s="1" t="s">
        <v>14</v>
      </c>
    </row>
    <row r="1613" spans="1:10" hidden="1" x14ac:dyDescent="0.25">
      <c r="A1613" s="1" t="str">
        <f>_xlfn.XLOOKUP(E1613,Base!G:G,Base!C:C,"NOVO")</f>
        <v>PENDENTE</v>
      </c>
      <c r="B1613" s="1">
        <v>2879049</v>
      </c>
      <c r="C1613" s="1" t="s">
        <v>24</v>
      </c>
      <c r="D1613" s="2">
        <v>45433.901388888888</v>
      </c>
      <c r="E1613" s="1">
        <v>4338505</v>
      </c>
      <c r="F1613" s="1" t="s">
        <v>294</v>
      </c>
      <c r="G1613" s="1" t="s">
        <v>295</v>
      </c>
      <c r="H1613" s="2">
        <v>45524.665277777778</v>
      </c>
      <c r="I1613" s="2">
        <v>45825.440972222219</v>
      </c>
      <c r="J1613" s="1" t="s">
        <v>14</v>
      </c>
    </row>
    <row r="1614" spans="1:10" hidden="1" x14ac:dyDescent="0.25">
      <c r="A1614" s="1" t="str">
        <f>_xlfn.XLOOKUP(E1614,Base!G:G,Base!C:C,"NOVO")</f>
        <v>PENDENTE</v>
      </c>
      <c r="B1614" s="1">
        <v>3307457</v>
      </c>
      <c r="C1614" s="1" t="s">
        <v>24</v>
      </c>
      <c r="D1614" s="2">
        <v>45440.477777777778</v>
      </c>
      <c r="E1614" s="1">
        <v>4341981</v>
      </c>
      <c r="F1614" s="1" t="s">
        <v>286</v>
      </c>
      <c r="G1614" s="1" t="s">
        <v>287</v>
      </c>
      <c r="H1614" s="2">
        <v>45734.505555555559</v>
      </c>
      <c r="I1614" s="2">
        <v>45825.440972222219</v>
      </c>
      <c r="J1614" s="1" t="s">
        <v>14</v>
      </c>
    </row>
    <row r="1615" spans="1:10" hidden="1" x14ac:dyDescent="0.25">
      <c r="A1615" s="1" t="str">
        <f>_xlfn.XLOOKUP(E1615,Base!G:G,Base!C:C,"NOVO")</f>
        <v>CONTABILIZAR NO PORTAL</v>
      </c>
      <c r="B1615" s="1">
        <v>2714614</v>
      </c>
      <c r="C1615" s="1" t="s">
        <v>24</v>
      </c>
      <c r="D1615" s="2">
        <v>45446.732638888891</v>
      </c>
      <c r="E1615" s="1">
        <v>4344911</v>
      </c>
      <c r="F1615" s="1">
        <v>4344911</v>
      </c>
      <c r="G1615" s="1" t="s">
        <v>77</v>
      </c>
      <c r="H1615" s="2">
        <v>45446.740277777775</v>
      </c>
      <c r="I1615" s="2">
        <v>45825.440972222219</v>
      </c>
      <c r="J1615" s="1" t="s">
        <v>14</v>
      </c>
    </row>
    <row r="1616" spans="1:10" hidden="1" x14ac:dyDescent="0.25">
      <c r="A1616" s="1" t="str">
        <f>_xlfn.XLOOKUP(E1616,Base!G:G,Base!C:C,"NOVO")</f>
        <v>CONTABILIZAR NO PORTAL</v>
      </c>
      <c r="B1616" s="1">
        <v>2716446</v>
      </c>
      <c r="C1616" s="1" t="s">
        <v>24</v>
      </c>
      <c r="D1616" s="2">
        <v>45447.429166666669</v>
      </c>
      <c r="E1616" s="1">
        <v>4345248</v>
      </c>
      <c r="F1616" s="1" t="s">
        <v>161</v>
      </c>
      <c r="G1616" s="1" t="s">
        <v>162</v>
      </c>
      <c r="H1616" s="2">
        <v>45447.533333333333</v>
      </c>
      <c r="I1616" s="2">
        <v>45825.440972222219</v>
      </c>
      <c r="J1616" s="1" t="s">
        <v>14</v>
      </c>
    </row>
    <row r="1617" spans="1:10" hidden="1" x14ac:dyDescent="0.25">
      <c r="A1617" s="1" t="str">
        <f>_xlfn.XLOOKUP(E1617,Base!G:G,Base!C:C,"NOVO")</f>
        <v>CONTABILIZAR NO PORTAL</v>
      </c>
      <c r="B1617" s="1">
        <v>2716447</v>
      </c>
      <c r="C1617" s="1" t="s">
        <v>24</v>
      </c>
      <c r="D1617" s="2">
        <v>45447.429166666669</v>
      </c>
      <c r="E1617" s="1">
        <v>4345248</v>
      </c>
      <c r="F1617" s="1" t="s">
        <v>163</v>
      </c>
      <c r="G1617" s="1" t="s">
        <v>164</v>
      </c>
      <c r="H1617" s="2">
        <v>45447.533333333333</v>
      </c>
      <c r="I1617" s="2">
        <v>45825.440972222219</v>
      </c>
      <c r="J1617" s="1" t="s">
        <v>14</v>
      </c>
    </row>
    <row r="1618" spans="1:10" hidden="1" x14ac:dyDescent="0.25">
      <c r="A1618" s="1" t="str">
        <f>_xlfn.XLOOKUP(E1618,Base!G:G,Base!C:C,"NOVO")</f>
        <v>CONTABILIZAR NO PORTAL</v>
      </c>
      <c r="B1618" s="1">
        <v>2718856</v>
      </c>
      <c r="C1618" s="1" t="s">
        <v>24</v>
      </c>
      <c r="D1618" s="2">
        <v>45447.44027777778</v>
      </c>
      <c r="E1618" s="1">
        <v>4345267</v>
      </c>
      <c r="F1618" s="1">
        <v>4345267</v>
      </c>
      <c r="G1618" s="1" t="s">
        <v>77</v>
      </c>
      <c r="H1618" s="2">
        <v>45448.118055555555</v>
      </c>
      <c r="J1618" s="1" t="s">
        <v>14</v>
      </c>
    </row>
    <row r="1619" spans="1:10" hidden="1" x14ac:dyDescent="0.25">
      <c r="A1619" s="1" t="str">
        <f>_xlfn.XLOOKUP(E1619,Base!G:G,Base!C:C,"NOVO")</f>
        <v>PENDENTE</v>
      </c>
      <c r="B1619" s="1">
        <v>3308183</v>
      </c>
      <c r="C1619" s="1" t="s">
        <v>24</v>
      </c>
      <c r="D1619" s="2">
        <v>45450.418749999997</v>
      </c>
      <c r="E1619" s="1">
        <v>4347873</v>
      </c>
      <c r="F1619" s="1" t="s">
        <v>208</v>
      </c>
      <c r="G1619" s="1" t="s">
        <v>209</v>
      </c>
      <c r="H1619" s="2">
        <v>45734.635416666664</v>
      </c>
      <c r="I1619" s="2">
        <v>45825.440972222219</v>
      </c>
      <c r="J1619" s="1" t="s">
        <v>19</v>
      </c>
    </row>
    <row r="1620" spans="1:10" hidden="1" x14ac:dyDescent="0.25">
      <c r="A1620" s="1" t="str">
        <f>_xlfn.XLOOKUP(E1620,Base!G:G,Base!C:C,"NOVO")</f>
        <v>CONTABILIZAR NO PORTAL</v>
      </c>
      <c r="B1620" s="1">
        <v>2731229</v>
      </c>
      <c r="C1620" s="1" t="s">
        <v>24</v>
      </c>
      <c r="D1620" s="2">
        <v>45453.720833333333</v>
      </c>
      <c r="E1620" s="1">
        <v>4349507</v>
      </c>
      <c r="F1620" s="1">
        <v>4349507</v>
      </c>
      <c r="G1620" s="1" t="s">
        <v>77</v>
      </c>
      <c r="H1620" s="2">
        <v>45454.523611111108</v>
      </c>
      <c r="I1620" s="2">
        <v>45825.440972222219</v>
      </c>
      <c r="J1620" s="1" t="s">
        <v>14</v>
      </c>
    </row>
    <row r="1621" spans="1:10" hidden="1" x14ac:dyDescent="0.25">
      <c r="A1621" s="1" t="str">
        <f>_xlfn.XLOOKUP(E1621,Base!G:G,Base!C:C,"NOVO")</f>
        <v>PENDENTE</v>
      </c>
      <c r="B1621" s="1">
        <v>3238399</v>
      </c>
      <c r="C1621" s="1" t="s">
        <v>24</v>
      </c>
      <c r="D1621" s="2">
        <v>45464.780555555553</v>
      </c>
      <c r="E1621" s="1">
        <v>4357832</v>
      </c>
      <c r="F1621" s="1" t="s">
        <v>275</v>
      </c>
      <c r="G1621" s="1" t="s">
        <v>268</v>
      </c>
      <c r="H1621" s="2">
        <v>45699.44027777778</v>
      </c>
      <c r="I1621" s="2">
        <v>45825.440972222219</v>
      </c>
      <c r="J1621" s="1" t="s">
        <v>14</v>
      </c>
    </row>
    <row r="1622" spans="1:10" hidden="1" x14ac:dyDescent="0.25">
      <c r="A1622" s="1" t="str">
        <f>_xlfn.XLOOKUP(E1622,Base!G:G,Base!C:C,"NOVO")</f>
        <v>CONTABILIZAR NO PORTAL</v>
      </c>
      <c r="B1622" s="1">
        <v>2759573</v>
      </c>
      <c r="C1622" s="1" t="s">
        <v>24</v>
      </c>
      <c r="D1622" s="2">
        <v>45467.78402777778</v>
      </c>
      <c r="E1622" s="1">
        <v>4358782</v>
      </c>
      <c r="F1622" s="1">
        <v>4358782</v>
      </c>
      <c r="G1622" s="1" t="s">
        <v>77</v>
      </c>
      <c r="H1622" s="2">
        <v>45467.802083333336</v>
      </c>
      <c r="J1622" s="1" t="s">
        <v>14</v>
      </c>
    </row>
    <row r="1623" spans="1:10" hidden="1" x14ac:dyDescent="0.25">
      <c r="A1623" s="1" t="str">
        <f>_xlfn.XLOOKUP(E1623,Base!G:G,Base!C:C,"NOVO")</f>
        <v>PENDENTE</v>
      </c>
      <c r="B1623" s="1">
        <v>3238400</v>
      </c>
      <c r="C1623" s="1" t="s">
        <v>24</v>
      </c>
      <c r="D1623" s="2">
        <v>45468.6</v>
      </c>
      <c r="E1623" s="1">
        <v>4359256</v>
      </c>
      <c r="F1623" s="1" t="s">
        <v>276</v>
      </c>
      <c r="G1623" s="1" t="s">
        <v>268</v>
      </c>
      <c r="H1623" s="2">
        <v>45699.44027777778</v>
      </c>
      <c r="I1623" s="2">
        <v>45825.440972222219</v>
      </c>
      <c r="J1623" s="1" t="s">
        <v>14</v>
      </c>
    </row>
    <row r="1624" spans="1:10" hidden="1" x14ac:dyDescent="0.25">
      <c r="A1624" s="1" t="str">
        <f>_xlfn.XLOOKUP(E1624,Base!G:G,Base!C:C,"NOVO")</f>
        <v>CONTABILIZAR NO PORTAL</v>
      </c>
      <c r="B1624" s="1">
        <v>2763711</v>
      </c>
      <c r="C1624" s="1" t="s">
        <v>24</v>
      </c>
      <c r="D1624" s="2">
        <v>45469.425000000003</v>
      </c>
      <c r="E1624" s="1">
        <v>4359811</v>
      </c>
      <c r="F1624" s="1">
        <v>4359811</v>
      </c>
      <c r="G1624" s="1" t="s">
        <v>77</v>
      </c>
      <c r="H1624" s="2">
        <v>45469.433333333334</v>
      </c>
      <c r="I1624" s="2">
        <v>45825.440972222219</v>
      </c>
      <c r="J1624" s="1" t="s">
        <v>14</v>
      </c>
    </row>
    <row r="1625" spans="1:10" hidden="1" x14ac:dyDescent="0.25">
      <c r="A1625" s="1" t="str">
        <f>_xlfn.XLOOKUP(E1625,Base!G:G,Base!C:C,"NOVO")</f>
        <v>CONTABILIZAR NO PORTAL</v>
      </c>
      <c r="B1625" s="1">
        <v>2766772</v>
      </c>
      <c r="C1625" s="1" t="s">
        <v>24</v>
      </c>
      <c r="D1625" s="2">
        <v>45470.461805555555</v>
      </c>
      <c r="E1625" s="1">
        <v>4360599</v>
      </c>
      <c r="F1625" s="1">
        <v>4360599</v>
      </c>
      <c r="G1625" s="1" t="s">
        <v>77</v>
      </c>
      <c r="H1625" s="2">
        <v>45470.472916666666</v>
      </c>
      <c r="I1625" s="2">
        <v>45825.440972222219</v>
      </c>
      <c r="J1625" s="1" t="s">
        <v>14</v>
      </c>
    </row>
    <row r="1626" spans="1:10" hidden="1" x14ac:dyDescent="0.25">
      <c r="A1626" s="1" t="str">
        <f>_xlfn.XLOOKUP(E1626,Base!G:G,Base!C:C,"NOVO")</f>
        <v>PENDENTE</v>
      </c>
      <c r="B1626" s="1">
        <v>3308184</v>
      </c>
      <c r="C1626" s="1" t="s">
        <v>24</v>
      </c>
      <c r="D1626" s="2">
        <v>45471.393750000003</v>
      </c>
      <c r="E1626" s="1">
        <v>4361254</v>
      </c>
      <c r="F1626" s="1" t="s">
        <v>210</v>
      </c>
      <c r="G1626" s="1" t="s">
        <v>211</v>
      </c>
      <c r="H1626" s="2">
        <v>45734.635416666664</v>
      </c>
      <c r="I1626" s="2">
        <v>45825.440972222219</v>
      </c>
      <c r="J1626" s="1" t="s">
        <v>19</v>
      </c>
    </row>
    <row r="1627" spans="1:10" hidden="1" x14ac:dyDescent="0.25">
      <c r="A1627" s="1" t="str">
        <f>_xlfn.XLOOKUP(E1627,Base!G:G,Base!C:C,"NOVO")</f>
        <v>PENDENTE</v>
      </c>
      <c r="B1627" s="1">
        <v>3238401</v>
      </c>
      <c r="C1627" s="1" t="s">
        <v>24</v>
      </c>
      <c r="D1627" s="2">
        <v>45471.440972222219</v>
      </c>
      <c r="E1627" s="1">
        <v>4361360</v>
      </c>
      <c r="F1627" s="1" t="s">
        <v>277</v>
      </c>
      <c r="G1627" s="1" t="s">
        <v>196</v>
      </c>
      <c r="H1627" s="2">
        <v>45699.44027777778</v>
      </c>
      <c r="I1627" s="2">
        <v>45825.440972222219</v>
      </c>
      <c r="J1627" s="1" t="s">
        <v>18</v>
      </c>
    </row>
    <row r="1628" spans="1:10" hidden="1" x14ac:dyDescent="0.25">
      <c r="A1628" s="1" t="str">
        <f>_xlfn.XLOOKUP(E1628,Base!G:G,Base!C:C,"NOVO")</f>
        <v>CONTABILIZAR NO PORTAL</v>
      </c>
      <c r="B1628" s="1">
        <v>2823422</v>
      </c>
      <c r="C1628" s="1" t="s">
        <v>24</v>
      </c>
      <c r="D1628" s="2">
        <v>45477.385416666664</v>
      </c>
      <c r="E1628" s="1">
        <v>4365069</v>
      </c>
      <c r="F1628" s="1">
        <v>4365069</v>
      </c>
      <c r="G1628" s="1" t="s">
        <v>77</v>
      </c>
      <c r="H1628" s="2">
        <v>45498.477777777778</v>
      </c>
      <c r="I1628" s="2">
        <v>45825.440972222219</v>
      </c>
      <c r="J1628" s="1" t="s">
        <v>14</v>
      </c>
    </row>
    <row r="1629" spans="1:10" hidden="1" x14ac:dyDescent="0.25">
      <c r="A1629" s="1" t="str">
        <f>_xlfn.XLOOKUP(E1629,Base!G:G,Base!C:C,"NOVO")</f>
        <v>PENDENTE</v>
      </c>
      <c r="B1629" s="1">
        <v>3238402</v>
      </c>
      <c r="C1629" s="1" t="s">
        <v>24</v>
      </c>
      <c r="D1629" s="2">
        <v>45477.425694444442</v>
      </c>
      <c r="E1629" s="1">
        <v>4365165</v>
      </c>
      <c r="F1629" s="1" t="s">
        <v>278</v>
      </c>
      <c r="G1629" s="1" t="s">
        <v>268</v>
      </c>
      <c r="H1629" s="2">
        <v>45699.44027777778</v>
      </c>
      <c r="I1629" s="2">
        <v>45825.440972222219</v>
      </c>
      <c r="J1629" s="1" t="s">
        <v>14</v>
      </c>
    </row>
    <row r="1630" spans="1:10" hidden="1" x14ac:dyDescent="0.25">
      <c r="A1630" s="1" t="str">
        <f>_xlfn.XLOOKUP(E1630,Base!G:G,Base!C:C,"NOVO")</f>
        <v>PENDENTE</v>
      </c>
      <c r="B1630" s="1">
        <v>3238403</v>
      </c>
      <c r="C1630" s="1" t="s">
        <v>24</v>
      </c>
      <c r="D1630" s="2">
        <v>45477.679166666669</v>
      </c>
      <c r="E1630" s="1">
        <v>4365713</v>
      </c>
      <c r="F1630" s="1" t="s">
        <v>279</v>
      </c>
      <c r="G1630" s="1" t="s">
        <v>268</v>
      </c>
      <c r="H1630" s="2">
        <v>45699.44027777778</v>
      </c>
      <c r="I1630" s="2">
        <v>45825.440972222219</v>
      </c>
      <c r="J1630" s="1" t="s">
        <v>14</v>
      </c>
    </row>
    <row r="1631" spans="1:10" hidden="1" x14ac:dyDescent="0.25">
      <c r="A1631" s="1" t="str">
        <f>_xlfn.XLOOKUP(E1631,Base!G:G,Base!C:C,"NOVO")</f>
        <v>PENDENTE</v>
      </c>
      <c r="B1631" s="1">
        <v>2789838</v>
      </c>
      <c r="C1631" s="1" t="s">
        <v>24</v>
      </c>
      <c r="D1631" s="2">
        <v>45481.4</v>
      </c>
      <c r="E1631" s="1">
        <v>4366908</v>
      </c>
      <c r="F1631" s="1" t="s">
        <v>176</v>
      </c>
      <c r="G1631" s="1" t="s">
        <v>177</v>
      </c>
      <c r="H1631" s="2">
        <v>45482.00277777778</v>
      </c>
      <c r="J1631" s="1" t="s">
        <v>14</v>
      </c>
    </row>
    <row r="1632" spans="1:10" hidden="1" x14ac:dyDescent="0.25">
      <c r="A1632" s="1" t="str">
        <f>_xlfn.XLOOKUP(E1632,Base!G:G,Base!C:C,"NOVO")</f>
        <v>PENDENTE</v>
      </c>
      <c r="B1632" s="1">
        <v>2789841</v>
      </c>
      <c r="C1632" s="1" t="s">
        <v>24</v>
      </c>
      <c r="D1632" s="2">
        <v>45481.40347222222</v>
      </c>
      <c r="E1632" s="1">
        <v>4366919</v>
      </c>
      <c r="F1632" s="1" t="s">
        <v>178</v>
      </c>
      <c r="G1632" s="1" t="s">
        <v>179</v>
      </c>
      <c r="H1632" s="2">
        <v>45482.00277777778</v>
      </c>
      <c r="I1632" s="2">
        <v>45486.996527777781</v>
      </c>
      <c r="J1632" s="1" t="s">
        <v>14</v>
      </c>
    </row>
    <row r="1633" spans="1:10" hidden="1" x14ac:dyDescent="0.25">
      <c r="A1633" s="1" t="str">
        <f>_xlfn.XLOOKUP(E1633,Base!G:G,Base!C:C,"NOVO")</f>
        <v>PENDENTE</v>
      </c>
      <c r="B1633" s="1">
        <v>2879051</v>
      </c>
      <c r="C1633" s="1" t="s">
        <v>24</v>
      </c>
      <c r="D1633" s="2">
        <v>45481.743055555555</v>
      </c>
      <c r="E1633" s="1">
        <v>4367558</v>
      </c>
      <c r="F1633" s="1" t="s">
        <v>296</v>
      </c>
      <c r="G1633" s="1" t="s">
        <v>297</v>
      </c>
      <c r="H1633" s="2">
        <v>45524.665277777778</v>
      </c>
      <c r="I1633" s="2">
        <v>45825.440972222219</v>
      </c>
      <c r="J1633" s="1" t="s">
        <v>14</v>
      </c>
    </row>
    <row r="1634" spans="1:10" hidden="1" x14ac:dyDescent="0.25">
      <c r="A1634" s="1" t="str">
        <f>_xlfn.XLOOKUP(E1634,Base!G:G,Base!C:C,"NOVO")</f>
        <v>PENDENTE</v>
      </c>
      <c r="B1634" s="1">
        <v>3307290</v>
      </c>
      <c r="C1634" s="1" t="s">
        <v>24</v>
      </c>
      <c r="D1634" s="2">
        <v>45483.729861111111</v>
      </c>
      <c r="E1634" s="1">
        <v>4368840</v>
      </c>
      <c r="F1634" s="1" t="s">
        <v>180</v>
      </c>
      <c r="G1634" s="1" t="s">
        <v>181</v>
      </c>
      <c r="H1634" s="2">
        <v>45734.46875</v>
      </c>
      <c r="I1634" s="2">
        <v>45825.440972222219</v>
      </c>
      <c r="J1634" s="1" t="s">
        <v>14</v>
      </c>
    </row>
    <row r="1635" spans="1:10" hidden="1" x14ac:dyDescent="0.25">
      <c r="A1635" s="1" t="str">
        <f>_xlfn.XLOOKUP(E1635,Base!G:G,Base!C:C,"NOVO")</f>
        <v>PENDENTE</v>
      </c>
      <c r="B1635" s="1">
        <v>2879052</v>
      </c>
      <c r="C1635" s="1" t="s">
        <v>24</v>
      </c>
      <c r="D1635" s="2">
        <v>45484.44027777778</v>
      </c>
      <c r="E1635" s="1">
        <v>4369135</v>
      </c>
      <c r="F1635" s="1" t="s">
        <v>298</v>
      </c>
      <c r="G1635" s="1" t="s">
        <v>299</v>
      </c>
      <c r="H1635" s="2">
        <v>45524.665277777778</v>
      </c>
      <c r="I1635" s="2">
        <v>45825.440972222219</v>
      </c>
      <c r="J1635" s="1" t="s">
        <v>14</v>
      </c>
    </row>
    <row r="1636" spans="1:10" hidden="1" x14ac:dyDescent="0.25">
      <c r="A1636" s="1" t="str">
        <f>_xlfn.XLOOKUP(E1636,Base!G:G,Base!C:C,"NOVO")</f>
        <v>PENDENTE</v>
      </c>
      <c r="B1636" s="1">
        <v>3307291</v>
      </c>
      <c r="C1636" s="1" t="s">
        <v>24</v>
      </c>
      <c r="D1636" s="2">
        <v>45484.804166666669</v>
      </c>
      <c r="E1636" s="1">
        <v>4369880</v>
      </c>
      <c r="F1636" s="1">
        <v>14784627</v>
      </c>
      <c r="G1636" s="1" t="s">
        <v>181</v>
      </c>
      <c r="H1636" s="2">
        <v>45734.46875</v>
      </c>
      <c r="I1636" s="2">
        <v>45825.440972222219</v>
      </c>
      <c r="J1636" s="1" t="s">
        <v>14</v>
      </c>
    </row>
    <row r="1637" spans="1:10" hidden="1" x14ac:dyDescent="0.25">
      <c r="A1637" s="1" t="str">
        <f>_xlfn.XLOOKUP(E1637,Base!G:G,Base!C:C,"NOVO")</f>
        <v>PENDENTE</v>
      </c>
      <c r="B1637" s="1">
        <v>3307292</v>
      </c>
      <c r="C1637" s="1" t="s">
        <v>24</v>
      </c>
      <c r="D1637" s="2">
        <v>45485.470833333333</v>
      </c>
      <c r="E1637" s="1">
        <v>4370166</v>
      </c>
      <c r="F1637" s="1" t="s">
        <v>418</v>
      </c>
      <c r="G1637" s="1" t="s">
        <v>181</v>
      </c>
      <c r="H1637" s="2">
        <v>45734.46875</v>
      </c>
      <c r="I1637" s="2">
        <v>45825.440972222219</v>
      </c>
      <c r="J1637" s="1" t="s">
        <v>14</v>
      </c>
    </row>
    <row r="1638" spans="1:10" hidden="1" x14ac:dyDescent="0.25">
      <c r="A1638" s="1" t="str">
        <f>_xlfn.XLOOKUP(E1638,Base!G:G,Base!C:C,"NOVO")</f>
        <v>PENDENTE</v>
      </c>
      <c r="B1638" s="1">
        <v>3307293</v>
      </c>
      <c r="C1638" s="1" t="s">
        <v>24</v>
      </c>
      <c r="D1638" s="2">
        <v>45485.470833333333</v>
      </c>
      <c r="E1638" s="1">
        <v>4370166</v>
      </c>
      <c r="F1638" s="1" t="s">
        <v>182</v>
      </c>
      <c r="G1638" s="1" t="s">
        <v>181</v>
      </c>
      <c r="H1638" s="2">
        <v>45734.46875</v>
      </c>
      <c r="I1638" s="2">
        <v>45825.440972222219</v>
      </c>
      <c r="J1638" s="1" t="s">
        <v>14</v>
      </c>
    </row>
    <row r="1639" spans="1:10" hidden="1" x14ac:dyDescent="0.25">
      <c r="A1639" s="1" t="str">
        <f>_xlfn.XLOOKUP(E1639,Base!G:G,Base!C:C,"NOVO")</f>
        <v>PENDENTE</v>
      </c>
      <c r="B1639" s="1">
        <v>3307294</v>
      </c>
      <c r="C1639" s="1" t="s">
        <v>24</v>
      </c>
      <c r="D1639" s="2">
        <v>45485.474999999999</v>
      </c>
      <c r="E1639" s="1">
        <v>4370183</v>
      </c>
      <c r="F1639" s="1">
        <v>14789776</v>
      </c>
      <c r="G1639" s="1" t="s">
        <v>181</v>
      </c>
      <c r="H1639" s="2">
        <v>45734.46875</v>
      </c>
      <c r="I1639" s="2">
        <v>45825.440972222219</v>
      </c>
      <c r="J1639" s="1" t="s">
        <v>14</v>
      </c>
    </row>
    <row r="1640" spans="1:10" hidden="1" x14ac:dyDescent="0.25">
      <c r="A1640" s="1" t="str">
        <f>_xlfn.XLOOKUP(E1640,Base!G:G,Base!C:C,"NOVO")</f>
        <v>PENDENTE</v>
      </c>
      <c r="B1640" s="1">
        <v>3058571</v>
      </c>
      <c r="C1640" s="1" t="s">
        <v>24</v>
      </c>
      <c r="D1640" s="2">
        <v>45488.718055555553</v>
      </c>
      <c r="E1640" s="1">
        <v>4371594</v>
      </c>
      <c r="F1640" s="1" t="s">
        <v>187</v>
      </c>
      <c r="G1640" s="1" t="s">
        <v>188</v>
      </c>
      <c r="H1640" s="2">
        <v>45601.698611111111</v>
      </c>
      <c r="I1640" s="2">
        <v>45825.440972222219</v>
      </c>
      <c r="J1640" s="1" t="s">
        <v>14</v>
      </c>
    </row>
    <row r="1641" spans="1:10" hidden="1" x14ac:dyDescent="0.25">
      <c r="A1641" s="1" t="str">
        <f>_xlfn.XLOOKUP(E1641,Base!G:G,Base!C:C,"NOVO")</f>
        <v>PENDENTE</v>
      </c>
      <c r="B1641" s="1">
        <v>2879053</v>
      </c>
      <c r="C1641" s="1" t="s">
        <v>24</v>
      </c>
      <c r="D1641" s="2">
        <v>45492.380555555559</v>
      </c>
      <c r="E1641" s="1">
        <v>4374325</v>
      </c>
      <c r="F1641" s="1" t="s">
        <v>300</v>
      </c>
      <c r="G1641" s="1" t="s">
        <v>301</v>
      </c>
      <c r="H1641" s="2">
        <v>45524.665277777778</v>
      </c>
      <c r="I1641" s="2">
        <v>45825.440972222219</v>
      </c>
      <c r="J1641" s="1" t="s">
        <v>14</v>
      </c>
    </row>
    <row r="1642" spans="1:10" hidden="1" x14ac:dyDescent="0.25">
      <c r="A1642" s="1" t="str">
        <f>_xlfn.XLOOKUP(E1642,Base!G:G,Base!C:C,"NOVO")</f>
        <v>CONTABILIZAR NO PORTAL</v>
      </c>
      <c r="B1642" s="1">
        <v>2812539</v>
      </c>
      <c r="C1642" s="1" t="s">
        <v>24</v>
      </c>
      <c r="D1642" s="2">
        <v>45492.472916666666</v>
      </c>
      <c r="E1642" s="1">
        <v>4374480</v>
      </c>
      <c r="F1642" s="1">
        <v>4374480</v>
      </c>
      <c r="G1642" s="1" t="s">
        <v>77</v>
      </c>
      <c r="H1642" s="2">
        <v>45492.683333333334</v>
      </c>
      <c r="I1642" s="2">
        <v>45825.440972222219</v>
      </c>
      <c r="J1642" s="1" t="s">
        <v>14</v>
      </c>
    </row>
    <row r="1643" spans="1:10" hidden="1" x14ac:dyDescent="0.25">
      <c r="A1643" s="1" t="str">
        <f>_xlfn.XLOOKUP(E1643,Base!G:G,Base!C:C,"NOVO")</f>
        <v>PENDENTE</v>
      </c>
      <c r="B1643" s="1">
        <v>3307295</v>
      </c>
      <c r="C1643" s="1" t="s">
        <v>24</v>
      </c>
      <c r="D1643" s="2">
        <v>45492.633333333331</v>
      </c>
      <c r="E1643" s="1">
        <v>4374675</v>
      </c>
      <c r="F1643" s="1" t="s">
        <v>195</v>
      </c>
      <c r="G1643" s="1" t="s">
        <v>419</v>
      </c>
      <c r="H1643" s="2">
        <v>45734.46875</v>
      </c>
      <c r="I1643" s="2">
        <v>45825.440972222219</v>
      </c>
      <c r="J1643" s="1" t="s">
        <v>14</v>
      </c>
    </row>
    <row r="1644" spans="1:10" hidden="1" x14ac:dyDescent="0.25">
      <c r="A1644" s="1" t="str">
        <f>_xlfn.XLOOKUP(E1644,Base!G:G,Base!C:C,"NOVO")</f>
        <v>CONTABILIZAR NO PORTAL</v>
      </c>
      <c r="B1644" s="1">
        <v>2814798</v>
      </c>
      <c r="C1644" s="1" t="s">
        <v>24</v>
      </c>
      <c r="D1644" s="2">
        <v>45492.689583333333</v>
      </c>
      <c r="E1644" s="1">
        <v>4374784</v>
      </c>
      <c r="F1644" s="1" t="s">
        <v>198</v>
      </c>
      <c r="G1644" s="1" t="s">
        <v>199</v>
      </c>
      <c r="H1644" s="2">
        <v>45495.477083333331</v>
      </c>
      <c r="I1644" s="2">
        <v>45825.440972222219</v>
      </c>
      <c r="J1644" s="1" t="s">
        <v>14</v>
      </c>
    </row>
    <row r="1645" spans="1:10" hidden="1" x14ac:dyDescent="0.25">
      <c r="A1645" s="1" t="str">
        <f>_xlfn.XLOOKUP(E1645,Base!G:G,Base!C:C,"NOVO")</f>
        <v>CONTABILIZAR NO PORTAL</v>
      </c>
      <c r="B1645" s="1">
        <v>2818447</v>
      </c>
      <c r="C1645" s="1" t="s">
        <v>24</v>
      </c>
      <c r="D1645" s="2">
        <v>45496.628472222219</v>
      </c>
      <c r="E1645" s="1">
        <v>4376485</v>
      </c>
      <c r="F1645" s="1">
        <v>4376485</v>
      </c>
      <c r="G1645" s="1" t="s">
        <v>77</v>
      </c>
      <c r="H1645" s="2">
        <v>45496.634027777778</v>
      </c>
      <c r="I1645" s="2">
        <v>45825.440972222219</v>
      </c>
      <c r="J1645" s="1" t="s">
        <v>14</v>
      </c>
    </row>
    <row r="1646" spans="1:10" hidden="1" x14ac:dyDescent="0.25">
      <c r="A1646" s="1" t="str">
        <f>_xlfn.XLOOKUP(E1646,Base!G:G,Base!C:C,"NOVO")</f>
        <v>CONTABILIZAR NO PORTAL</v>
      </c>
      <c r="B1646" s="1">
        <v>2821392</v>
      </c>
      <c r="C1646" s="1" t="s">
        <v>24</v>
      </c>
      <c r="D1646" s="2">
        <v>45496.749305555553</v>
      </c>
      <c r="E1646" s="1">
        <v>4376739</v>
      </c>
      <c r="F1646" s="1" t="s">
        <v>200</v>
      </c>
      <c r="G1646" s="1" t="s">
        <v>201</v>
      </c>
      <c r="H1646" s="2">
        <v>45497.634027777778</v>
      </c>
      <c r="I1646" s="2">
        <v>45825.440972222219</v>
      </c>
      <c r="J1646" s="1" t="s">
        <v>14</v>
      </c>
    </row>
    <row r="1647" spans="1:10" hidden="1" x14ac:dyDescent="0.25">
      <c r="A1647" s="1" t="str">
        <f>_xlfn.XLOOKUP(E1647,Base!G:G,Base!C:C,"NOVO")</f>
        <v>PENDENTE</v>
      </c>
      <c r="B1647" s="1">
        <v>3308185</v>
      </c>
      <c r="C1647" s="1" t="s">
        <v>24</v>
      </c>
      <c r="D1647" s="2">
        <v>45499.677083333336</v>
      </c>
      <c r="E1647" s="1">
        <v>4378785</v>
      </c>
      <c r="F1647" s="1" t="s">
        <v>202</v>
      </c>
      <c r="G1647" s="1" t="s">
        <v>203</v>
      </c>
      <c r="H1647" s="2">
        <v>45734.635416666664</v>
      </c>
      <c r="I1647" s="2">
        <v>45825.440972222219</v>
      </c>
      <c r="J1647" s="1" t="s">
        <v>19</v>
      </c>
    </row>
    <row r="1648" spans="1:10" hidden="1" x14ac:dyDescent="0.25">
      <c r="A1648" s="1" t="str">
        <f>_xlfn.XLOOKUP(E1648,Base!G:G,Base!C:C,"NOVO")</f>
        <v>PENDENTE</v>
      </c>
      <c r="B1648" s="1">
        <v>2846019</v>
      </c>
      <c r="C1648" s="1" t="s">
        <v>24</v>
      </c>
      <c r="D1648" s="2">
        <v>45502.619444444441</v>
      </c>
      <c r="E1648" s="1">
        <v>4379492</v>
      </c>
      <c r="F1648" s="1">
        <v>4379492</v>
      </c>
      <c r="G1648" s="1" t="s">
        <v>1612</v>
      </c>
      <c r="H1648" s="2">
        <v>45509.72152777778</v>
      </c>
      <c r="I1648" s="2">
        <v>45825.440972222219</v>
      </c>
      <c r="J1648" s="1" t="s">
        <v>1244</v>
      </c>
    </row>
    <row r="1649" spans="1:10" hidden="1" x14ac:dyDescent="0.25">
      <c r="A1649" s="1" t="str">
        <f>_xlfn.XLOOKUP(E1649,Base!G:G,Base!C:C,"NOVO")</f>
        <v>PENDENTE</v>
      </c>
      <c r="B1649" s="1">
        <v>2838186</v>
      </c>
      <c r="C1649" s="1" t="s">
        <v>24</v>
      </c>
      <c r="D1649" s="2">
        <v>45505.44027777778</v>
      </c>
      <c r="E1649" s="1">
        <v>4381568</v>
      </c>
      <c r="F1649" s="1" t="s">
        <v>215</v>
      </c>
      <c r="G1649" s="1" t="s">
        <v>216</v>
      </c>
      <c r="H1649" s="2">
        <v>45505.447222222225</v>
      </c>
      <c r="I1649" s="2">
        <v>45825.440972222219</v>
      </c>
      <c r="J1649" s="1" t="s">
        <v>14</v>
      </c>
    </row>
    <row r="1650" spans="1:10" hidden="1" x14ac:dyDescent="0.25">
      <c r="A1650" s="1" t="str">
        <f>_xlfn.XLOOKUP(E1650,Base!G:G,Base!C:C,"NOVO")</f>
        <v>PENDENTE</v>
      </c>
      <c r="B1650" s="1">
        <v>2839290</v>
      </c>
      <c r="C1650" s="1" t="s">
        <v>24</v>
      </c>
      <c r="D1650" s="2">
        <v>45505.673611111109</v>
      </c>
      <c r="E1650" s="1">
        <v>4382026</v>
      </c>
      <c r="F1650" s="1" t="s">
        <v>217</v>
      </c>
      <c r="G1650" s="1" t="s">
        <v>218</v>
      </c>
      <c r="H1650" s="2">
        <v>45505.678472222222</v>
      </c>
      <c r="I1650" s="2">
        <v>45825.440972222219</v>
      </c>
      <c r="J1650" s="1" t="s">
        <v>14</v>
      </c>
    </row>
    <row r="1651" spans="1:10" hidden="1" x14ac:dyDescent="0.25">
      <c r="A1651" s="1" t="str">
        <f>_xlfn.XLOOKUP(E1651,Base!G:G,Base!C:C,"NOVO")</f>
        <v>PENDENTE</v>
      </c>
      <c r="B1651" s="1">
        <v>2847568</v>
      </c>
      <c r="C1651" s="1" t="s">
        <v>24</v>
      </c>
      <c r="D1651" s="2">
        <v>45509.553472222222</v>
      </c>
      <c r="E1651" s="1">
        <v>4383635</v>
      </c>
      <c r="F1651" s="1" t="s">
        <v>221</v>
      </c>
      <c r="G1651" s="1" t="s">
        <v>222</v>
      </c>
      <c r="H1651" s="2">
        <v>45510.40902777778</v>
      </c>
      <c r="I1651" s="2">
        <v>45825.440972222219</v>
      </c>
      <c r="J1651" s="1" t="s">
        <v>14</v>
      </c>
    </row>
    <row r="1652" spans="1:10" hidden="1" x14ac:dyDescent="0.25">
      <c r="A1652" s="1" t="str">
        <f>_xlfn.XLOOKUP(E1652,Base!G:G,Base!C:C,"NOVO")</f>
        <v>PENDENTE</v>
      </c>
      <c r="B1652" s="1">
        <v>2846211</v>
      </c>
      <c r="C1652" s="1" t="s">
        <v>24</v>
      </c>
      <c r="D1652" s="2">
        <v>45509.731944444444</v>
      </c>
      <c r="E1652" s="1">
        <v>4383947</v>
      </c>
      <c r="F1652" s="1" t="s">
        <v>219</v>
      </c>
      <c r="G1652" s="1" t="s">
        <v>220</v>
      </c>
      <c r="H1652" s="2">
        <v>45509.734722222223</v>
      </c>
      <c r="I1652" s="2">
        <v>45825.440972222219</v>
      </c>
      <c r="J1652" s="1" t="s">
        <v>14</v>
      </c>
    </row>
    <row r="1653" spans="1:10" hidden="1" x14ac:dyDescent="0.25">
      <c r="A1653" s="1" t="str">
        <f>_xlfn.XLOOKUP(E1653,Base!G:G,Base!C:C,"NOVO")</f>
        <v>PENDENTE</v>
      </c>
      <c r="B1653" s="1">
        <v>2859609</v>
      </c>
      <c r="C1653" s="1" t="s">
        <v>24</v>
      </c>
      <c r="D1653" s="2">
        <v>45516.366666666669</v>
      </c>
      <c r="E1653" s="1">
        <v>4387358</v>
      </c>
      <c r="F1653" s="1" t="s">
        <v>264</v>
      </c>
      <c r="G1653" s="1" t="s">
        <v>265</v>
      </c>
      <c r="H1653" s="2">
        <v>45516.370833333334</v>
      </c>
      <c r="I1653" s="2">
        <v>45825.440972222219</v>
      </c>
      <c r="J1653" s="1" t="s">
        <v>14</v>
      </c>
    </row>
    <row r="1654" spans="1:10" hidden="1" x14ac:dyDescent="0.25">
      <c r="A1654" s="1" t="str">
        <f>_xlfn.XLOOKUP(E1654,Base!G:G,Base!C:C,"NOVO")</f>
        <v>PENDENTE</v>
      </c>
      <c r="B1654" s="1">
        <v>2863283</v>
      </c>
      <c r="C1654" s="1" t="s">
        <v>24</v>
      </c>
      <c r="D1654" s="2">
        <v>45517.557638888888</v>
      </c>
      <c r="E1654" s="1">
        <v>4388663</v>
      </c>
      <c r="F1654" s="1" t="s">
        <v>266</v>
      </c>
      <c r="G1654" s="1" t="s">
        <v>267</v>
      </c>
      <c r="H1654" s="2">
        <v>45517.56527777778</v>
      </c>
      <c r="I1654" s="2">
        <v>45825.440972222219</v>
      </c>
      <c r="J1654" s="1" t="s">
        <v>14</v>
      </c>
    </row>
    <row r="1655" spans="1:10" hidden="1" x14ac:dyDescent="0.25">
      <c r="A1655" s="1" t="str">
        <f>_xlfn.XLOOKUP(E1655,Base!G:G,Base!C:C,"NOVO")</f>
        <v>PENDENTE</v>
      </c>
      <c r="B1655" s="1">
        <v>3307461</v>
      </c>
      <c r="C1655" s="1" t="s">
        <v>24</v>
      </c>
      <c r="D1655" s="2">
        <v>45524.702777777777</v>
      </c>
      <c r="E1655" s="1">
        <v>4393087</v>
      </c>
      <c r="F1655" s="1">
        <v>4393087</v>
      </c>
      <c r="G1655" s="1" t="s">
        <v>77</v>
      </c>
      <c r="H1655" s="2">
        <v>45734.505555555559</v>
      </c>
      <c r="I1655" s="2">
        <v>45825.440972222219</v>
      </c>
      <c r="J1655" s="1" t="s">
        <v>14</v>
      </c>
    </row>
    <row r="1656" spans="1:10" hidden="1" x14ac:dyDescent="0.25">
      <c r="A1656" s="1" t="str">
        <f>_xlfn.XLOOKUP(E1656,Base!G:G,Base!C:C,"NOVO")</f>
        <v>PENDENTE</v>
      </c>
      <c r="B1656" s="1">
        <v>3307462</v>
      </c>
      <c r="C1656" s="1" t="s">
        <v>24</v>
      </c>
      <c r="D1656" s="2">
        <v>45526.943749999999</v>
      </c>
      <c r="E1656" s="1">
        <v>4394675</v>
      </c>
      <c r="F1656" s="1">
        <v>4394675</v>
      </c>
      <c r="G1656" s="1" t="s">
        <v>77</v>
      </c>
      <c r="H1656" s="2">
        <v>45734.505555555559</v>
      </c>
      <c r="I1656" s="2">
        <v>45825.440972222219</v>
      </c>
      <c r="J1656" s="1" t="s">
        <v>14</v>
      </c>
    </row>
    <row r="1657" spans="1:10" hidden="1" x14ac:dyDescent="0.25">
      <c r="A1657" s="1" t="str">
        <f>_xlfn.XLOOKUP(E1657,Base!G:G,Base!C:C,"NOVO")</f>
        <v>PENDENTE</v>
      </c>
      <c r="B1657" s="1">
        <v>2888649</v>
      </c>
      <c r="C1657" s="1" t="s">
        <v>24</v>
      </c>
      <c r="D1657" s="2">
        <v>45527.424305555556</v>
      </c>
      <c r="E1657" s="1">
        <v>4394823</v>
      </c>
      <c r="F1657" s="1">
        <v>4394823</v>
      </c>
      <c r="G1657" s="1" t="s">
        <v>1613</v>
      </c>
      <c r="H1657" s="2">
        <v>45527.79583333333</v>
      </c>
      <c r="I1657" s="2">
        <v>45825.440972222219</v>
      </c>
      <c r="J1657" s="1" t="s">
        <v>1244</v>
      </c>
    </row>
    <row r="1658" spans="1:10" hidden="1" x14ac:dyDescent="0.25">
      <c r="A1658" s="1" t="str">
        <f>_xlfn.XLOOKUP(E1658,Base!G:G,Base!C:C,"NOVO")</f>
        <v>PENDENTE</v>
      </c>
      <c r="B1658" s="1">
        <v>2887445</v>
      </c>
      <c r="C1658" s="1" t="s">
        <v>24</v>
      </c>
      <c r="D1658" s="2">
        <v>45527.652777777781</v>
      </c>
      <c r="E1658" s="1">
        <v>4395174</v>
      </c>
      <c r="F1658" s="1" t="s">
        <v>302</v>
      </c>
      <c r="G1658" s="1" t="s">
        <v>303</v>
      </c>
      <c r="H1658" s="2">
        <v>45527.658333333333</v>
      </c>
      <c r="I1658" s="2">
        <v>45825.440972222219</v>
      </c>
      <c r="J1658" s="1" t="s">
        <v>14</v>
      </c>
    </row>
    <row r="1659" spans="1:10" hidden="1" x14ac:dyDescent="0.25">
      <c r="A1659" s="1" t="str">
        <f>_xlfn.XLOOKUP(E1659,Base!G:G,Base!C:C,"NOVO")</f>
        <v>PENDENTE</v>
      </c>
      <c r="B1659" s="1">
        <v>2919931</v>
      </c>
      <c r="C1659" s="1" t="s">
        <v>24</v>
      </c>
      <c r="D1659" s="2">
        <v>45530.372916666667</v>
      </c>
      <c r="E1659" s="1">
        <v>4395564</v>
      </c>
      <c r="F1659" s="1" t="s">
        <v>334</v>
      </c>
      <c r="G1659" s="1" t="s">
        <v>1614</v>
      </c>
      <c r="H1659" s="2">
        <v>45541.640972222223</v>
      </c>
      <c r="I1659" s="2">
        <v>45825.440972222219</v>
      </c>
      <c r="J1659" s="1" t="s">
        <v>1244</v>
      </c>
    </row>
    <row r="1660" spans="1:10" hidden="1" x14ac:dyDescent="0.25">
      <c r="A1660" s="1" t="str">
        <f>_xlfn.XLOOKUP(E1660,Base!G:G,Base!C:C,"NOVO")</f>
        <v>PENDENTE</v>
      </c>
      <c r="B1660" s="1">
        <v>2890862</v>
      </c>
      <c r="C1660" s="1" t="s">
        <v>24</v>
      </c>
      <c r="D1660" s="2">
        <v>45530.488194444442</v>
      </c>
      <c r="E1660" s="1">
        <v>4395796</v>
      </c>
      <c r="F1660" s="1" t="s">
        <v>305</v>
      </c>
      <c r="G1660" s="1" t="s">
        <v>306</v>
      </c>
      <c r="H1660" s="2">
        <v>45530.495833333334</v>
      </c>
      <c r="I1660" s="2">
        <v>45825.440972222219</v>
      </c>
      <c r="J1660" s="1" t="s">
        <v>14</v>
      </c>
    </row>
    <row r="1661" spans="1:10" hidden="1" x14ac:dyDescent="0.25">
      <c r="A1661" s="1" t="str">
        <f>_xlfn.XLOOKUP(E1661,Base!G:G,Base!C:C,"NOVO")</f>
        <v>PENDENTE</v>
      </c>
      <c r="B1661" s="1">
        <v>2891890</v>
      </c>
      <c r="C1661" s="1" t="s">
        <v>24</v>
      </c>
      <c r="D1661" s="2">
        <v>45530.604861111111</v>
      </c>
      <c r="E1661" s="1">
        <v>4396009</v>
      </c>
      <c r="F1661" s="1" t="s">
        <v>308</v>
      </c>
      <c r="G1661" s="1" t="s">
        <v>1615</v>
      </c>
      <c r="H1661" s="2">
        <v>45530.74722222222</v>
      </c>
      <c r="I1661" s="2">
        <v>45825.440972222219</v>
      </c>
      <c r="J1661" s="1" t="s">
        <v>1244</v>
      </c>
    </row>
    <row r="1662" spans="1:10" hidden="1" x14ac:dyDescent="0.25">
      <c r="A1662" s="1" t="str">
        <f>_xlfn.XLOOKUP(E1662,Base!G:G,Base!C:C,"NOVO")</f>
        <v>PENDENTE</v>
      </c>
      <c r="B1662" s="1">
        <v>2891632</v>
      </c>
      <c r="C1662" s="1" t="s">
        <v>24</v>
      </c>
      <c r="D1662" s="2">
        <v>45530.63958333333</v>
      </c>
      <c r="E1662" s="1">
        <v>4396084</v>
      </c>
      <c r="F1662" s="1" t="s">
        <v>307</v>
      </c>
      <c r="G1662" s="1" t="s">
        <v>1616</v>
      </c>
      <c r="H1662" s="2">
        <v>45530.727777777778</v>
      </c>
      <c r="I1662" s="2">
        <v>45825.440972222219</v>
      </c>
      <c r="J1662" s="1" t="s">
        <v>1244</v>
      </c>
    </row>
    <row r="1663" spans="1:10" hidden="1" x14ac:dyDescent="0.25">
      <c r="A1663" s="1" t="str">
        <f>_xlfn.XLOOKUP(E1663,Base!G:G,Base!C:C,"NOVO")</f>
        <v>PENDENTE</v>
      </c>
      <c r="B1663" s="1">
        <v>3307465</v>
      </c>
      <c r="C1663" s="1" t="s">
        <v>24</v>
      </c>
      <c r="D1663" s="2">
        <v>45530.650694444441</v>
      </c>
      <c r="E1663" s="1">
        <v>4396109</v>
      </c>
      <c r="F1663" s="1">
        <v>4396109</v>
      </c>
      <c r="G1663" s="1" t="s">
        <v>77</v>
      </c>
      <c r="H1663" s="2">
        <v>45734.505555555559</v>
      </c>
      <c r="I1663" s="2">
        <v>45825.440972222219</v>
      </c>
      <c r="J1663" s="1" t="s">
        <v>14</v>
      </c>
    </row>
    <row r="1664" spans="1:10" hidden="1" x14ac:dyDescent="0.25">
      <c r="A1664" s="1" t="str">
        <f>_xlfn.XLOOKUP(E1664,Base!G:G,Base!C:C,"NOVO")</f>
        <v>PENDENTE</v>
      </c>
      <c r="B1664" s="1">
        <v>2893114</v>
      </c>
      <c r="C1664" s="1" t="s">
        <v>24</v>
      </c>
      <c r="D1664" s="2">
        <v>45531.318749999999</v>
      </c>
      <c r="E1664" s="1">
        <v>4396381</v>
      </c>
      <c r="F1664" s="1" t="s">
        <v>309</v>
      </c>
      <c r="G1664" s="1" t="s">
        <v>310</v>
      </c>
      <c r="H1664" s="2">
        <v>45531.320833333331</v>
      </c>
      <c r="I1664" s="2">
        <v>45825.440972222219</v>
      </c>
      <c r="J1664" s="1" t="s">
        <v>14</v>
      </c>
    </row>
    <row r="1665" spans="1:10" hidden="1" x14ac:dyDescent="0.25">
      <c r="A1665" s="1" t="str">
        <f>_xlfn.XLOOKUP(E1665,Base!G:G,Base!C:C,"NOVO")</f>
        <v>PENDENTE</v>
      </c>
      <c r="B1665" s="1">
        <v>3308027</v>
      </c>
      <c r="C1665" s="1" t="s">
        <v>24</v>
      </c>
      <c r="D1665" s="2">
        <v>45531.396527777775</v>
      </c>
      <c r="E1665" s="1">
        <v>4396472</v>
      </c>
      <c r="F1665" s="1">
        <v>15350093</v>
      </c>
      <c r="G1665" s="1" t="s">
        <v>196</v>
      </c>
      <c r="H1665" s="2">
        <v>45734.586805555555</v>
      </c>
      <c r="I1665" s="2">
        <v>45825.440972222219</v>
      </c>
      <c r="J1665" s="1" t="s">
        <v>18</v>
      </c>
    </row>
    <row r="1666" spans="1:10" hidden="1" x14ac:dyDescent="0.25">
      <c r="A1666" s="1" t="str">
        <f>_xlfn.XLOOKUP(E1666,Base!G:G,Base!C:C,"NOVO")</f>
        <v>PENDENTE</v>
      </c>
      <c r="B1666" s="1">
        <v>3308028</v>
      </c>
      <c r="C1666" s="1" t="s">
        <v>24</v>
      </c>
      <c r="D1666" s="2">
        <v>45532.384027777778</v>
      </c>
      <c r="E1666" s="1">
        <v>4397177</v>
      </c>
      <c r="F1666" s="1" t="s">
        <v>312</v>
      </c>
      <c r="G1666" s="1" t="s">
        <v>196</v>
      </c>
      <c r="H1666" s="2">
        <v>45734.586805555555</v>
      </c>
      <c r="I1666" s="2">
        <v>45825.440972222219</v>
      </c>
      <c r="J1666" s="1" t="s">
        <v>18</v>
      </c>
    </row>
    <row r="1667" spans="1:10" hidden="1" x14ac:dyDescent="0.25">
      <c r="A1667" s="1" t="str">
        <f>_xlfn.XLOOKUP(E1667,Base!G:G,Base!C:C,"NOVO")</f>
        <v>PENDENTE</v>
      </c>
      <c r="B1667" s="1">
        <v>2900068</v>
      </c>
      <c r="C1667" s="1" t="s">
        <v>24</v>
      </c>
      <c r="D1667" s="2">
        <v>45532.39166666667</v>
      </c>
      <c r="E1667" s="1">
        <v>4397188</v>
      </c>
      <c r="F1667" s="1" t="s">
        <v>318</v>
      </c>
      <c r="G1667" s="1" t="s">
        <v>1617</v>
      </c>
      <c r="H1667" s="2">
        <v>45533.496527777781</v>
      </c>
      <c r="I1667" s="2">
        <v>45825.440972222219</v>
      </c>
      <c r="J1667" s="1" t="s">
        <v>1244</v>
      </c>
    </row>
    <row r="1668" spans="1:10" hidden="1" x14ac:dyDescent="0.25">
      <c r="A1668" s="1" t="str">
        <f>_xlfn.XLOOKUP(E1668,Base!G:G,Base!C:C,"NOVO")</f>
        <v>PENDENTE</v>
      </c>
      <c r="B1668" s="1">
        <v>3308029</v>
      </c>
      <c r="C1668" s="1" t="s">
        <v>24</v>
      </c>
      <c r="D1668" s="2">
        <v>45532.440972222219</v>
      </c>
      <c r="E1668" s="1">
        <v>4397290</v>
      </c>
      <c r="F1668" s="1" t="s">
        <v>313</v>
      </c>
      <c r="G1668" s="1" t="s">
        <v>196</v>
      </c>
      <c r="H1668" s="2">
        <v>45734.586805555555</v>
      </c>
      <c r="I1668" s="2">
        <v>45825.440972222219</v>
      </c>
      <c r="J1668" s="1" t="s">
        <v>18</v>
      </c>
    </row>
    <row r="1669" spans="1:10" hidden="1" x14ac:dyDescent="0.25">
      <c r="A1669" s="1" t="str">
        <f>_xlfn.XLOOKUP(E1669,Base!G:G,Base!C:C,"NOVO")</f>
        <v>PENDENTE</v>
      </c>
      <c r="B1669" s="1">
        <v>3308211</v>
      </c>
      <c r="C1669" s="1" t="s">
        <v>24</v>
      </c>
      <c r="D1669" s="2">
        <v>45533.37777777778</v>
      </c>
      <c r="E1669" s="1">
        <v>4397871</v>
      </c>
      <c r="F1669" s="1">
        <v>15377664</v>
      </c>
      <c r="G1669" s="1" t="s">
        <v>317</v>
      </c>
      <c r="H1669" s="2">
        <v>45734.642361111109</v>
      </c>
      <c r="I1669" s="2">
        <v>45825.440972222219</v>
      </c>
      <c r="J1669" s="1" t="s">
        <v>14</v>
      </c>
    </row>
    <row r="1670" spans="1:10" hidden="1" x14ac:dyDescent="0.25">
      <c r="A1670" s="1" t="str">
        <f>_xlfn.XLOOKUP(E1670,Base!G:G,Base!C:C,"NOVO")</f>
        <v>PENDENTE</v>
      </c>
      <c r="B1670" s="1">
        <v>3308030</v>
      </c>
      <c r="C1670" s="1" t="s">
        <v>24</v>
      </c>
      <c r="D1670" s="2">
        <v>45533.384722222225</v>
      </c>
      <c r="E1670" s="1">
        <v>4397878</v>
      </c>
      <c r="F1670" s="1">
        <v>15380977</v>
      </c>
      <c r="G1670" s="1" t="s">
        <v>196</v>
      </c>
      <c r="H1670" s="2">
        <v>45734.586805555555</v>
      </c>
      <c r="I1670" s="2">
        <v>45825.440972222219</v>
      </c>
      <c r="J1670" s="1" t="s">
        <v>18</v>
      </c>
    </row>
    <row r="1671" spans="1:10" hidden="1" x14ac:dyDescent="0.25">
      <c r="A1671" s="1" t="str">
        <f>_xlfn.XLOOKUP(E1671,Base!G:G,Base!C:C,"NOVO")</f>
        <v>PENDENTE</v>
      </c>
      <c r="B1671" s="1">
        <v>3014351</v>
      </c>
      <c r="C1671" s="1" t="s">
        <v>24</v>
      </c>
      <c r="D1671" s="2">
        <v>45533.652083333334</v>
      </c>
      <c r="E1671" s="1">
        <v>4398274</v>
      </c>
      <c r="F1671" s="1" t="s">
        <v>391</v>
      </c>
      <c r="G1671" s="1" t="s">
        <v>1033</v>
      </c>
      <c r="H1671" s="2">
        <v>45582.740972222222</v>
      </c>
      <c r="I1671" s="2">
        <v>45825.440972222219</v>
      </c>
      <c r="J1671" s="1" t="s">
        <v>1244</v>
      </c>
    </row>
    <row r="1672" spans="1:10" hidden="1" x14ac:dyDescent="0.25">
      <c r="A1672" s="1" t="str">
        <f>_xlfn.XLOOKUP(E1672,Base!G:G,Base!C:C,"NOVO")</f>
        <v>PENDENTE</v>
      </c>
      <c r="B1672" s="1">
        <v>2909083</v>
      </c>
      <c r="C1672" s="1" t="s">
        <v>24</v>
      </c>
      <c r="D1672" s="2">
        <v>45534.474999999999</v>
      </c>
      <c r="E1672" s="1">
        <v>4398712</v>
      </c>
      <c r="F1672" s="1" t="s">
        <v>329</v>
      </c>
      <c r="G1672" s="1" t="s">
        <v>1618</v>
      </c>
      <c r="H1672" s="2">
        <v>45538.478472222225</v>
      </c>
      <c r="I1672" s="2">
        <v>45825.440972222219</v>
      </c>
      <c r="J1672" s="1" t="s">
        <v>1244</v>
      </c>
    </row>
    <row r="1673" spans="1:10" hidden="1" x14ac:dyDescent="0.25">
      <c r="A1673" s="1" t="str">
        <f>_xlfn.XLOOKUP(E1673,Base!G:G,Base!C:C,"NOVO")</f>
        <v>PENDENTE</v>
      </c>
      <c r="B1673" s="1">
        <v>3308031</v>
      </c>
      <c r="C1673" s="1" t="s">
        <v>24</v>
      </c>
      <c r="D1673" s="2">
        <v>45534.505555555559</v>
      </c>
      <c r="E1673" s="1">
        <v>4398776</v>
      </c>
      <c r="F1673" s="1" t="s">
        <v>320</v>
      </c>
      <c r="G1673" s="1" t="s">
        <v>196</v>
      </c>
      <c r="H1673" s="2">
        <v>45734.586805555555</v>
      </c>
      <c r="I1673" s="2">
        <v>45825.440972222219</v>
      </c>
      <c r="J1673" s="1" t="s">
        <v>18</v>
      </c>
    </row>
    <row r="1674" spans="1:10" hidden="1" x14ac:dyDescent="0.25">
      <c r="A1674" s="1" t="str">
        <f>_xlfn.XLOOKUP(E1674,Base!G:G,Base!C:C,"NOVO")</f>
        <v>PENDENTE</v>
      </c>
      <c r="B1674" s="1">
        <v>3308032</v>
      </c>
      <c r="C1674" s="1" t="s">
        <v>24</v>
      </c>
      <c r="D1674" s="2">
        <v>45534.64166666667</v>
      </c>
      <c r="E1674" s="1">
        <v>4398952</v>
      </c>
      <c r="F1674" s="1" t="s">
        <v>358</v>
      </c>
      <c r="G1674" s="1" t="s">
        <v>196</v>
      </c>
      <c r="H1674" s="2">
        <v>45734.586805555555</v>
      </c>
      <c r="I1674" s="2">
        <v>45825.440972222219</v>
      </c>
      <c r="J1674" s="1" t="s">
        <v>18</v>
      </c>
    </row>
    <row r="1675" spans="1:10" hidden="1" x14ac:dyDescent="0.25">
      <c r="A1675" s="1" t="str">
        <f>_xlfn.XLOOKUP(E1675,Base!G:G,Base!C:C,"NOVO")</f>
        <v>PENDENTE</v>
      </c>
      <c r="B1675" s="1">
        <v>3308033</v>
      </c>
      <c r="C1675" s="1" t="s">
        <v>24</v>
      </c>
      <c r="D1675" s="2">
        <v>45534.64166666667</v>
      </c>
      <c r="E1675" s="1">
        <v>4398952</v>
      </c>
      <c r="F1675" s="1" t="s">
        <v>359</v>
      </c>
      <c r="G1675" s="1" t="s">
        <v>196</v>
      </c>
      <c r="H1675" s="2">
        <v>45734.586805555555</v>
      </c>
      <c r="I1675" s="2">
        <v>45825.440972222219</v>
      </c>
      <c r="J1675" s="1" t="s">
        <v>18</v>
      </c>
    </row>
    <row r="1676" spans="1:10" hidden="1" x14ac:dyDescent="0.25">
      <c r="A1676" s="1" t="str">
        <f>_xlfn.XLOOKUP(E1676,Base!G:G,Base!C:C,"NOVO")</f>
        <v>PENDENTE</v>
      </c>
      <c r="B1676" s="1">
        <v>3308212</v>
      </c>
      <c r="C1676" s="1" t="s">
        <v>24</v>
      </c>
      <c r="D1676" s="2">
        <v>45534.643750000003</v>
      </c>
      <c r="E1676" s="1">
        <v>4398960</v>
      </c>
      <c r="F1676" s="1">
        <v>15403154</v>
      </c>
      <c r="G1676" s="1" t="s">
        <v>317</v>
      </c>
      <c r="H1676" s="2">
        <v>45734.642361111109</v>
      </c>
      <c r="I1676" s="2">
        <v>45825.440972222219</v>
      </c>
      <c r="J1676" s="1" t="s">
        <v>14</v>
      </c>
    </row>
    <row r="1677" spans="1:10" hidden="1" x14ac:dyDescent="0.25">
      <c r="A1677" s="1" t="str">
        <f>_xlfn.XLOOKUP(E1677,Base!G:G,Base!C:C,"NOVO")</f>
        <v>PENDENTE</v>
      </c>
      <c r="B1677" s="1">
        <v>3308034</v>
      </c>
      <c r="C1677" s="1" t="s">
        <v>24</v>
      </c>
      <c r="D1677" s="2">
        <v>45534.644444444442</v>
      </c>
      <c r="E1677" s="1">
        <v>4398961</v>
      </c>
      <c r="F1677" s="1" t="s">
        <v>321</v>
      </c>
      <c r="G1677" s="1" t="s">
        <v>196</v>
      </c>
      <c r="H1677" s="2">
        <v>45734.586805555555</v>
      </c>
      <c r="I1677" s="2">
        <v>45825.440972222219</v>
      </c>
      <c r="J1677" s="1" t="s">
        <v>18</v>
      </c>
    </row>
    <row r="1678" spans="1:10" hidden="1" x14ac:dyDescent="0.25">
      <c r="A1678" s="1" t="str">
        <f>_xlfn.XLOOKUP(E1678,Base!G:G,Base!C:C,"NOVO")</f>
        <v>PENDENTE</v>
      </c>
      <c r="B1678" s="1">
        <v>3308035</v>
      </c>
      <c r="C1678" s="1" t="s">
        <v>24</v>
      </c>
      <c r="D1678" s="2">
        <v>45534.644444444442</v>
      </c>
      <c r="E1678" s="1">
        <v>4398961</v>
      </c>
      <c r="F1678" s="1" t="s">
        <v>322</v>
      </c>
      <c r="G1678" s="1" t="s">
        <v>196</v>
      </c>
      <c r="H1678" s="2">
        <v>45734.586805555555</v>
      </c>
      <c r="I1678" s="2">
        <v>45825.440972222219</v>
      </c>
      <c r="J1678" s="1" t="s">
        <v>18</v>
      </c>
    </row>
    <row r="1679" spans="1:10" hidden="1" x14ac:dyDescent="0.25">
      <c r="A1679" s="1" t="str">
        <f>_xlfn.XLOOKUP(E1679,Base!G:G,Base!C:C,"NOVO")</f>
        <v>PENDENTE</v>
      </c>
      <c r="B1679" s="1">
        <v>3308213</v>
      </c>
      <c r="C1679" s="1" t="s">
        <v>24</v>
      </c>
      <c r="D1679" s="2">
        <v>45534.70416666667</v>
      </c>
      <c r="E1679" s="1">
        <v>4399068</v>
      </c>
      <c r="F1679" s="1">
        <v>15405832</v>
      </c>
      <c r="G1679" s="1" t="s">
        <v>317</v>
      </c>
      <c r="H1679" s="2">
        <v>45734.642361111109</v>
      </c>
      <c r="I1679" s="2">
        <v>45825.440972222219</v>
      </c>
      <c r="J1679" s="1" t="s">
        <v>14</v>
      </c>
    </row>
    <row r="1680" spans="1:10" hidden="1" x14ac:dyDescent="0.25">
      <c r="A1680" s="1" t="str">
        <f>_xlfn.XLOOKUP(E1680,Base!G:G,Base!C:C,"NOVO")</f>
        <v>PENDENTE</v>
      </c>
      <c r="B1680" s="1">
        <v>2905678</v>
      </c>
      <c r="C1680" s="1" t="s">
        <v>24</v>
      </c>
      <c r="D1680" s="2">
        <v>45537.397222222222</v>
      </c>
      <c r="E1680" s="1">
        <v>4399420</v>
      </c>
      <c r="F1680" s="1" t="s">
        <v>323</v>
      </c>
      <c r="G1680" s="1" t="s">
        <v>324</v>
      </c>
      <c r="H1680" s="2">
        <v>45537.40902777778</v>
      </c>
      <c r="I1680" s="2">
        <v>45825.440972222219</v>
      </c>
      <c r="J1680" s="1" t="s">
        <v>14</v>
      </c>
    </row>
    <row r="1681" spans="1:10" hidden="1" x14ac:dyDescent="0.25">
      <c r="A1681" s="1" t="str">
        <f>_xlfn.XLOOKUP(E1681,Base!G:G,Base!C:C,"NOVO")</f>
        <v>PENDENTE</v>
      </c>
      <c r="B1681" s="1">
        <v>2905763</v>
      </c>
      <c r="C1681" s="1" t="s">
        <v>24</v>
      </c>
      <c r="D1681" s="2">
        <v>45537.429166666669</v>
      </c>
      <c r="E1681" s="1">
        <v>4399491</v>
      </c>
      <c r="F1681" s="1" t="s">
        <v>325</v>
      </c>
      <c r="G1681" s="1" t="s">
        <v>326</v>
      </c>
      <c r="H1681" s="2">
        <v>45537.435416666667</v>
      </c>
      <c r="I1681" s="2">
        <v>45825.440972222219</v>
      </c>
      <c r="J1681" s="1" t="s">
        <v>14</v>
      </c>
    </row>
    <row r="1682" spans="1:10" hidden="1" x14ac:dyDescent="0.25">
      <c r="A1682" s="1" t="str">
        <f>_xlfn.XLOOKUP(E1682,Base!G:G,Base!C:C,"NOVO")</f>
        <v>PENDENTE</v>
      </c>
      <c r="B1682" s="1">
        <v>2914362</v>
      </c>
      <c r="C1682" s="1" t="s">
        <v>24</v>
      </c>
      <c r="D1682" s="2">
        <v>45537.434027777781</v>
      </c>
      <c r="E1682" s="1">
        <v>4399504</v>
      </c>
      <c r="F1682" s="1" t="s">
        <v>333</v>
      </c>
      <c r="G1682" s="1" t="s">
        <v>1619</v>
      </c>
      <c r="H1682" s="2">
        <v>45539.746527777781</v>
      </c>
      <c r="I1682" s="2">
        <v>45825.440972222219</v>
      </c>
      <c r="J1682" s="1" t="s">
        <v>1244</v>
      </c>
    </row>
    <row r="1683" spans="1:10" hidden="1" x14ac:dyDescent="0.25">
      <c r="A1683" s="1" t="str">
        <f>_xlfn.XLOOKUP(E1683,Base!G:G,Base!C:C,"NOVO")</f>
        <v>PENDENTE</v>
      </c>
      <c r="B1683" s="1">
        <v>2906243</v>
      </c>
      <c r="C1683" s="1" t="s">
        <v>24</v>
      </c>
      <c r="D1683" s="2">
        <v>45537.561111111114</v>
      </c>
      <c r="E1683" s="1">
        <v>4399730</v>
      </c>
      <c r="F1683" s="1" t="s">
        <v>327</v>
      </c>
      <c r="G1683" s="1" t="s">
        <v>328</v>
      </c>
      <c r="H1683" s="2">
        <v>45537.571527777778</v>
      </c>
      <c r="I1683" s="2">
        <v>45825.440972222219</v>
      </c>
      <c r="J1683" s="1" t="s">
        <v>14</v>
      </c>
    </row>
    <row r="1684" spans="1:10" hidden="1" x14ac:dyDescent="0.25">
      <c r="A1684" s="1" t="str">
        <f>_xlfn.XLOOKUP(E1684,Base!G:G,Base!C:C,"NOVO")</f>
        <v>PENDENTE</v>
      </c>
      <c r="B1684" s="1">
        <v>2927653</v>
      </c>
      <c r="C1684" s="1" t="s">
        <v>24</v>
      </c>
      <c r="D1684" s="2">
        <v>45537.635416666664</v>
      </c>
      <c r="E1684" s="1">
        <v>4399891</v>
      </c>
      <c r="F1684" s="1" t="s">
        <v>341</v>
      </c>
      <c r="G1684" s="1" t="s">
        <v>1620</v>
      </c>
      <c r="H1684" s="2">
        <v>45545.65902777778</v>
      </c>
      <c r="I1684" s="2">
        <v>45825.440972222219</v>
      </c>
      <c r="J1684" s="1" t="s">
        <v>1244</v>
      </c>
    </row>
    <row r="1685" spans="1:10" hidden="1" x14ac:dyDescent="0.25">
      <c r="A1685" s="1" t="str">
        <f>_xlfn.XLOOKUP(E1685,Base!G:G,Base!C:C,"NOVO")</f>
        <v>PENDENTE</v>
      </c>
      <c r="B1685" s="1">
        <v>2920396</v>
      </c>
      <c r="C1685" s="1" t="s">
        <v>24</v>
      </c>
      <c r="D1685" s="2">
        <v>45539.436805555553</v>
      </c>
      <c r="E1685" s="1">
        <v>4401280</v>
      </c>
      <c r="F1685" s="1" t="s">
        <v>335</v>
      </c>
      <c r="G1685" s="1" t="s">
        <v>1621</v>
      </c>
      <c r="H1685" s="2">
        <v>45541.678472222222</v>
      </c>
      <c r="I1685" s="2">
        <v>45825.440972222219</v>
      </c>
      <c r="J1685" s="1" t="s">
        <v>1244</v>
      </c>
    </row>
    <row r="1686" spans="1:10" hidden="1" x14ac:dyDescent="0.25">
      <c r="A1686" s="1" t="str">
        <f>_xlfn.XLOOKUP(E1686,Base!G:G,Base!C:C,"NOVO")</f>
        <v>PENDENTE</v>
      </c>
      <c r="B1686" s="1">
        <v>2913737</v>
      </c>
      <c r="C1686" s="1" t="s">
        <v>24</v>
      </c>
      <c r="D1686" s="2">
        <v>45539.625694444447</v>
      </c>
      <c r="E1686" s="1">
        <v>4401586</v>
      </c>
      <c r="F1686" s="1" t="s">
        <v>331</v>
      </c>
      <c r="G1686" s="1" t="s">
        <v>332</v>
      </c>
      <c r="H1686" s="2">
        <v>45539.629166666666</v>
      </c>
      <c r="I1686" s="2">
        <v>45825.440972222219</v>
      </c>
      <c r="J1686" s="1" t="s">
        <v>14</v>
      </c>
    </row>
    <row r="1687" spans="1:10" hidden="1" x14ac:dyDescent="0.25">
      <c r="A1687" s="1" t="str">
        <f>_xlfn.XLOOKUP(E1687,Base!G:G,Base!C:C,"NOVO")</f>
        <v>PENDENTE</v>
      </c>
      <c r="B1687" s="1">
        <v>2926702</v>
      </c>
      <c r="C1687" s="1" t="s">
        <v>24</v>
      </c>
      <c r="D1687" s="2">
        <v>45540.454861111109</v>
      </c>
      <c r="E1687" s="1">
        <v>4402198</v>
      </c>
      <c r="F1687" s="1" t="s">
        <v>339</v>
      </c>
      <c r="G1687" s="1" t="s">
        <v>1622</v>
      </c>
      <c r="H1687" s="2">
        <v>45545.398611111108</v>
      </c>
      <c r="I1687" s="2">
        <v>45825.440972222219</v>
      </c>
      <c r="J1687" s="1" t="s">
        <v>1244</v>
      </c>
    </row>
    <row r="1688" spans="1:10" hidden="1" x14ac:dyDescent="0.25">
      <c r="A1688" s="1" t="str">
        <f>_xlfn.XLOOKUP(E1688,Base!G:G,Base!C:C,"NOVO")</f>
        <v>PENDENTE</v>
      </c>
      <c r="B1688" s="1">
        <v>3307467</v>
      </c>
      <c r="C1688" s="1" t="s">
        <v>24</v>
      </c>
      <c r="D1688" s="2">
        <v>45540.697222222225</v>
      </c>
      <c r="E1688" s="1">
        <v>4402692</v>
      </c>
      <c r="F1688" s="1">
        <v>4402692</v>
      </c>
      <c r="G1688" s="1" t="s">
        <v>77</v>
      </c>
      <c r="H1688" s="2">
        <v>45734.506249999999</v>
      </c>
      <c r="I1688" s="2">
        <v>45825.440972222219</v>
      </c>
      <c r="J1688" s="1" t="s">
        <v>14</v>
      </c>
    </row>
    <row r="1689" spans="1:10" hidden="1" x14ac:dyDescent="0.25">
      <c r="A1689" s="1" t="str">
        <f>_xlfn.XLOOKUP(E1689,Base!G:G,Base!C:C,"NOVO")</f>
        <v>PENDENTE</v>
      </c>
      <c r="B1689" s="1">
        <v>3308214</v>
      </c>
      <c r="C1689" s="1" t="s">
        <v>24</v>
      </c>
      <c r="D1689" s="2">
        <v>45541.534722222219</v>
      </c>
      <c r="E1689" s="1">
        <v>4403232</v>
      </c>
      <c r="F1689" s="1">
        <v>15495281</v>
      </c>
      <c r="G1689" s="1" t="s">
        <v>317</v>
      </c>
      <c r="H1689" s="2">
        <v>45734.642361111109</v>
      </c>
      <c r="I1689" s="2">
        <v>45825.440972222219</v>
      </c>
      <c r="J1689" s="1" t="s">
        <v>14</v>
      </c>
    </row>
    <row r="1690" spans="1:10" hidden="1" x14ac:dyDescent="0.25">
      <c r="A1690" s="1" t="str">
        <f>_xlfn.XLOOKUP(E1690,Base!G:G,Base!C:C,"NOVO")</f>
        <v>PENDENTE</v>
      </c>
      <c r="B1690" s="1">
        <v>2924112</v>
      </c>
      <c r="C1690" s="1" t="s">
        <v>24</v>
      </c>
      <c r="D1690" s="2">
        <v>45544.632638888892</v>
      </c>
      <c r="E1690" s="1">
        <v>4404323</v>
      </c>
      <c r="F1690" s="1" t="s">
        <v>337</v>
      </c>
      <c r="G1690" s="1" t="s">
        <v>338</v>
      </c>
      <c r="H1690" s="2">
        <v>45544.640277777777</v>
      </c>
      <c r="I1690" s="2">
        <v>45825.440972222219</v>
      </c>
      <c r="J1690" s="1" t="s">
        <v>14</v>
      </c>
    </row>
    <row r="1691" spans="1:10" hidden="1" x14ac:dyDescent="0.25">
      <c r="A1691" s="1" t="str">
        <f>_xlfn.XLOOKUP(E1691,Base!G:G,Base!C:C,"NOVO")</f>
        <v>PENDENTE</v>
      </c>
      <c r="B1691" s="1">
        <v>2929717</v>
      </c>
      <c r="C1691" s="1" t="s">
        <v>24</v>
      </c>
      <c r="D1691" s="2">
        <v>45546.352777777778</v>
      </c>
      <c r="E1691" s="1">
        <v>4405567</v>
      </c>
      <c r="F1691" s="1" t="s">
        <v>343</v>
      </c>
      <c r="G1691" s="1" t="s">
        <v>344</v>
      </c>
      <c r="H1691" s="2">
        <v>45546.365277777775</v>
      </c>
      <c r="I1691" s="2">
        <v>45825.440972222219</v>
      </c>
      <c r="J1691" s="1" t="s">
        <v>14</v>
      </c>
    </row>
    <row r="1692" spans="1:10" hidden="1" x14ac:dyDescent="0.25">
      <c r="A1692" s="1" t="str">
        <f>_xlfn.XLOOKUP(E1692,Base!G:G,Base!C:C,"NOVO")</f>
        <v>PENDENTE</v>
      </c>
      <c r="B1692" s="1">
        <v>2939653</v>
      </c>
      <c r="C1692" s="1" t="s">
        <v>24</v>
      </c>
      <c r="D1692" s="2">
        <v>45551.371527777781</v>
      </c>
      <c r="E1692" s="1">
        <v>4407869</v>
      </c>
      <c r="F1692" s="1" t="s">
        <v>349</v>
      </c>
      <c r="G1692" s="1" t="s">
        <v>1623</v>
      </c>
      <c r="H1692" s="2">
        <v>45551.509722222225</v>
      </c>
      <c r="I1692" s="2">
        <v>45825.440972222219</v>
      </c>
      <c r="J1692" s="1" t="s">
        <v>1244</v>
      </c>
    </row>
    <row r="1693" spans="1:10" hidden="1" x14ac:dyDescent="0.25">
      <c r="A1693" s="1" t="str">
        <f>_xlfn.XLOOKUP(E1693,Base!G:G,Base!C:C,"NOVO")</f>
        <v>PENDENTE</v>
      </c>
      <c r="B1693" s="1">
        <v>2939407</v>
      </c>
      <c r="C1693" s="1" t="s">
        <v>24</v>
      </c>
      <c r="D1693" s="2">
        <v>45551.481249999997</v>
      </c>
      <c r="E1693" s="1">
        <v>4408103</v>
      </c>
      <c r="F1693" s="1" t="s">
        <v>347</v>
      </c>
      <c r="G1693" s="1" t="s">
        <v>348</v>
      </c>
      <c r="H1693" s="2">
        <v>45551.488888888889</v>
      </c>
      <c r="I1693" s="2">
        <v>45825.440972222219</v>
      </c>
      <c r="J1693" s="1" t="s">
        <v>14</v>
      </c>
    </row>
    <row r="1694" spans="1:10" hidden="1" x14ac:dyDescent="0.25">
      <c r="A1694" s="1" t="str">
        <f>_xlfn.XLOOKUP(E1694,Base!G:G,Base!C:C,"NOVO")</f>
        <v>PENDENTE</v>
      </c>
      <c r="B1694" s="1">
        <v>2942981</v>
      </c>
      <c r="C1694" s="1" t="s">
        <v>24</v>
      </c>
      <c r="D1694" s="2">
        <v>45552.510416666664</v>
      </c>
      <c r="E1694" s="1">
        <v>4408983</v>
      </c>
      <c r="F1694" s="1" t="s">
        <v>350</v>
      </c>
      <c r="G1694" s="1" t="s">
        <v>351</v>
      </c>
      <c r="H1694" s="2">
        <v>45552.517361111109</v>
      </c>
      <c r="I1694" s="2">
        <v>45825.440972222219</v>
      </c>
      <c r="J1694" s="1" t="s">
        <v>14</v>
      </c>
    </row>
    <row r="1695" spans="1:10" hidden="1" x14ac:dyDescent="0.25">
      <c r="A1695" s="1" t="str">
        <f>_xlfn.XLOOKUP(E1695,Base!G:G,Base!C:C,"NOVO")</f>
        <v>PENDENTE</v>
      </c>
      <c r="B1695" s="1">
        <v>2954718</v>
      </c>
      <c r="C1695" s="1" t="s">
        <v>24</v>
      </c>
      <c r="D1695" s="2">
        <v>45558.455555555556</v>
      </c>
      <c r="E1695" s="1">
        <v>4411773</v>
      </c>
      <c r="F1695" s="1" t="s">
        <v>354</v>
      </c>
      <c r="G1695" s="1" t="s">
        <v>355</v>
      </c>
      <c r="H1695" s="2">
        <v>45558.461111111108</v>
      </c>
      <c r="I1695" s="2">
        <v>45825.440972222219</v>
      </c>
      <c r="J1695" s="1" t="s">
        <v>14</v>
      </c>
    </row>
    <row r="1696" spans="1:10" hidden="1" x14ac:dyDescent="0.25">
      <c r="A1696" s="1" t="str">
        <f>_xlfn.XLOOKUP(E1696,Base!G:G,Base!C:C,"NOVO")</f>
        <v>PENDENTE</v>
      </c>
      <c r="B1696" s="1">
        <v>2967547</v>
      </c>
      <c r="C1696" s="1" t="s">
        <v>24</v>
      </c>
      <c r="D1696" s="2">
        <v>45558.48333333333</v>
      </c>
      <c r="E1696" s="1">
        <v>4411855</v>
      </c>
      <c r="F1696" s="1" t="s">
        <v>360</v>
      </c>
      <c r="G1696" s="1" t="s">
        <v>361</v>
      </c>
      <c r="H1696" s="2">
        <v>45562.613888888889</v>
      </c>
      <c r="J1696" s="1" t="s">
        <v>14</v>
      </c>
    </row>
    <row r="1697" spans="1:10" hidden="1" x14ac:dyDescent="0.25">
      <c r="A1697" s="1" t="str">
        <f>_xlfn.XLOOKUP(E1697,Base!G:G,Base!C:C,"NOVO")</f>
        <v>PENDENTE</v>
      </c>
      <c r="B1697" s="1">
        <v>3307470</v>
      </c>
      <c r="C1697" s="1" t="s">
        <v>24</v>
      </c>
      <c r="D1697" s="2">
        <v>45559.5</v>
      </c>
      <c r="E1697" s="1">
        <v>4412818</v>
      </c>
      <c r="F1697" s="1">
        <v>4412818</v>
      </c>
      <c r="G1697" s="1" t="s">
        <v>77</v>
      </c>
      <c r="H1697" s="2">
        <v>45734.506249999999</v>
      </c>
      <c r="I1697" s="2">
        <v>45825.440972222219</v>
      </c>
      <c r="J1697" s="1" t="s">
        <v>14</v>
      </c>
    </row>
    <row r="1698" spans="1:10" hidden="1" x14ac:dyDescent="0.25">
      <c r="A1698" s="1" t="str">
        <f>_xlfn.XLOOKUP(E1698,Base!G:G,Base!C:C,"NOVO")</f>
        <v>PENDENTE</v>
      </c>
      <c r="B1698" s="1">
        <v>2958286</v>
      </c>
      <c r="C1698" s="1" t="s">
        <v>24</v>
      </c>
      <c r="D1698" s="2">
        <v>45559.568749999999</v>
      </c>
      <c r="E1698" s="1">
        <v>4412872</v>
      </c>
      <c r="F1698" s="1" t="s">
        <v>356</v>
      </c>
      <c r="G1698" s="1" t="s">
        <v>357</v>
      </c>
      <c r="H1698" s="2">
        <v>45559.572222222225</v>
      </c>
      <c r="I1698" s="2">
        <v>45825.440972222219</v>
      </c>
      <c r="J1698" s="1" t="s">
        <v>14</v>
      </c>
    </row>
    <row r="1699" spans="1:10" hidden="1" x14ac:dyDescent="0.25">
      <c r="A1699" s="1" t="str">
        <f>_xlfn.XLOOKUP(E1699,Base!G:G,Base!C:C,"NOVO")</f>
        <v>PENDENTE</v>
      </c>
      <c r="B1699" s="1">
        <v>3308186</v>
      </c>
      <c r="C1699" s="1" t="s">
        <v>24</v>
      </c>
      <c r="D1699" s="2">
        <v>45562.526388888888</v>
      </c>
      <c r="E1699" s="1">
        <v>4415010</v>
      </c>
      <c r="F1699" s="1" t="s">
        <v>366</v>
      </c>
      <c r="G1699" s="1" t="s">
        <v>367</v>
      </c>
      <c r="H1699" s="2">
        <v>45734.635416666664</v>
      </c>
      <c r="I1699" s="2">
        <v>45825.440972222219</v>
      </c>
      <c r="J1699" s="1" t="s">
        <v>19</v>
      </c>
    </row>
    <row r="1700" spans="1:10" hidden="1" x14ac:dyDescent="0.25">
      <c r="A1700" s="1" t="str">
        <f>_xlfn.XLOOKUP(E1700,Base!G:G,Base!C:C,"NOVO")</f>
        <v>PENDENTE</v>
      </c>
      <c r="B1700" s="1">
        <v>2969137</v>
      </c>
      <c r="C1700" s="1" t="s">
        <v>24</v>
      </c>
      <c r="D1700" s="2">
        <v>45562.852777777778</v>
      </c>
      <c r="E1700" s="1">
        <v>4415452</v>
      </c>
      <c r="F1700" s="1" t="s">
        <v>362</v>
      </c>
      <c r="G1700" s="1" t="s">
        <v>363</v>
      </c>
      <c r="H1700" s="2">
        <v>45562.856944444444</v>
      </c>
      <c r="I1700" s="2">
        <v>45825.440972222219</v>
      </c>
      <c r="J1700" s="1" t="s">
        <v>14</v>
      </c>
    </row>
    <row r="1701" spans="1:10" hidden="1" x14ac:dyDescent="0.25">
      <c r="A1701" s="1" t="str">
        <f>_xlfn.XLOOKUP(E1701,Base!G:G,Base!C:C,"NOVO")</f>
        <v>PENDENTE</v>
      </c>
      <c r="B1701" s="1">
        <v>2970042</v>
      </c>
      <c r="C1701" s="1" t="s">
        <v>24</v>
      </c>
      <c r="D1701" s="2">
        <v>45565.354166666664</v>
      </c>
      <c r="E1701" s="1">
        <v>4415559</v>
      </c>
      <c r="F1701" s="1" t="s">
        <v>364</v>
      </c>
      <c r="G1701" s="1" t="s">
        <v>365</v>
      </c>
      <c r="H1701" s="2">
        <v>45565.356944444444</v>
      </c>
      <c r="I1701" s="2">
        <v>45825.440972222219</v>
      </c>
      <c r="J1701" s="1" t="s">
        <v>14</v>
      </c>
    </row>
    <row r="1702" spans="1:10" hidden="1" x14ac:dyDescent="0.25">
      <c r="A1702" s="1" t="str">
        <f>_xlfn.XLOOKUP(E1702,Base!G:G,Base!C:C,"NOVO")</f>
        <v>PENDENTE</v>
      </c>
      <c r="B1702" s="1">
        <v>2970341</v>
      </c>
      <c r="C1702" s="1" t="s">
        <v>24</v>
      </c>
      <c r="D1702" s="2">
        <v>45565.433333333334</v>
      </c>
      <c r="E1702" s="1">
        <v>4415740</v>
      </c>
      <c r="F1702" s="1" t="s">
        <v>368</v>
      </c>
      <c r="G1702" s="1" t="s">
        <v>369</v>
      </c>
      <c r="H1702" s="2">
        <v>45565.44027777778</v>
      </c>
      <c r="I1702" s="2">
        <v>45825.440972222219</v>
      </c>
      <c r="J1702" s="1" t="s">
        <v>14</v>
      </c>
    </row>
    <row r="1703" spans="1:10" hidden="1" x14ac:dyDescent="0.25">
      <c r="A1703" s="1" t="str">
        <f>_xlfn.XLOOKUP(E1703,Base!G:G,Base!C:C,"NOVO")</f>
        <v>PENDENTE</v>
      </c>
      <c r="B1703" s="1">
        <v>2971256</v>
      </c>
      <c r="C1703" s="1" t="s">
        <v>24</v>
      </c>
      <c r="D1703" s="2">
        <v>45565.656944444447</v>
      </c>
      <c r="E1703" s="1">
        <v>4416311</v>
      </c>
      <c r="F1703" s="1" t="s">
        <v>371</v>
      </c>
      <c r="G1703" s="1" t="s">
        <v>240</v>
      </c>
      <c r="H1703" s="2">
        <v>45565.663194444445</v>
      </c>
      <c r="I1703" s="2">
        <v>45825.440972222219</v>
      </c>
      <c r="J1703" s="1" t="s">
        <v>14</v>
      </c>
    </row>
    <row r="1704" spans="1:10" hidden="1" x14ac:dyDescent="0.25">
      <c r="A1704" s="1" t="str">
        <f>_xlfn.XLOOKUP(E1704,Base!G:G,Base!C:C,"NOVO")</f>
        <v>PENDENTE</v>
      </c>
      <c r="B1704" s="1">
        <v>2971359</v>
      </c>
      <c r="C1704" s="1" t="s">
        <v>24</v>
      </c>
      <c r="D1704" s="2">
        <v>45565.664583333331</v>
      </c>
      <c r="E1704" s="1">
        <v>4416347</v>
      </c>
      <c r="F1704" s="1" t="s">
        <v>371</v>
      </c>
      <c r="G1704" s="1" t="s">
        <v>240</v>
      </c>
      <c r="H1704" s="2">
        <v>45565.67083333333</v>
      </c>
      <c r="I1704" s="2">
        <v>45825.440972222219</v>
      </c>
      <c r="J1704" s="1" t="s">
        <v>14</v>
      </c>
    </row>
    <row r="1705" spans="1:10" hidden="1" x14ac:dyDescent="0.25">
      <c r="A1705" s="1" t="str">
        <f>_xlfn.XLOOKUP(E1705,Base!G:G,Base!C:C,"NOVO")</f>
        <v>PENDENTE</v>
      </c>
      <c r="B1705" s="1">
        <v>2971394</v>
      </c>
      <c r="C1705" s="1" t="s">
        <v>24</v>
      </c>
      <c r="D1705" s="2">
        <v>45565.67291666667</v>
      </c>
      <c r="E1705" s="1">
        <v>4416374</v>
      </c>
      <c r="F1705" s="1" t="s">
        <v>372</v>
      </c>
      <c r="G1705" s="1" t="s">
        <v>373</v>
      </c>
      <c r="H1705" s="2">
        <v>45565.677083333336</v>
      </c>
      <c r="I1705" s="2">
        <v>45825.440972222219</v>
      </c>
      <c r="J1705" s="1" t="s">
        <v>14</v>
      </c>
    </row>
    <row r="1706" spans="1:10" hidden="1" x14ac:dyDescent="0.25">
      <c r="A1706" s="1" t="str">
        <f>_xlfn.XLOOKUP(E1706,Base!G:G,Base!C:C,"NOVO")</f>
        <v>PENDENTE</v>
      </c>
      <c r="B1706" s="1">
        <v>3047145</v>
      </c>
      <c r="C1706" s="1" t="s">
        <v>24</v>
      </c>
      <c r="D1706" s="2">
        <v>45568.493750000001</v>
      </c>
      <c r="E1706" s="1">
        <v>4418817</v>
      </c>
      <c r="F1706" s="1" t="s">
        <v>420</v>
      </c>
      <c r="G1706" s="1" t="s">
        <v>421</v>
      </c>
      <c r="H1706" s="2">
        <v>45596.628472222219</v>
      </c>
      <c r="I1706" s="2">
        <v>45825.440972222219</v>
      </c>
      <c r="J1706" s="1" t="s">
        <v>14</v>
      </c>
    </row>
    <row r="1707" spans="1:10" hidden="1" x14ac:dyDescent="0.25">
      <c r="A1707" s="1" t="str">
        <f>_xlfn.XLOOKUP(E1707,Base!G:G,Base!C:C,"NOVO")</f>
        <v>PENDENTE</v>
      </c>
      <c r="B1707" s="1">
        <v>3307472</v>
      </c>
      <c r="C1707" s="1" t="s">
        <v>24</v>
      </c>
      <c r="D1707" s="2">
        <v>45568.555555555555</v>
      </c>
      <c r="E1707" s="1">
        <v>4418900</v>
      </c>
      <c r="F1707" s="1">
        <v>4418900</v>
      </c>
      <c r="G1707" s="1" t="s">
        <v>77</v>
      </c>
      <c r="H1707" s="2">
        <v>45734.506249999999</v>
      </c>
      <c r="I1707" s="2">
        <v>45825.440972222219</v>
      </c>
      <c r="J1707" s="1" t="s">
        <v>14</v>
      </c>
    </row>
    <row r="1708" spans="1:10" hidden="1" x14ac:dyDescent="0.25">
      <c r="A1708" s="1" t="str">
        <f>_xlfn.XLOOKUP(E1708,Base!G:G,Base!C:C,"NOVO")</f>
        <v>PENDENTE</v>
      </c>
      <c r="B1708" s="1">
        <v>2984284</v>
      </c>
      <c r="C1708" s="1" t="s">
        <v>24</v>
      </c>
      <c r="D1708" s="2">
        <v>45569.59652777778</v>
      </c>
      <c r="E1708" s="1">
        <v>4419875</v>
      </c>
      <c r="F1708" s="1" t="s">
        <v>377</v>
      </c>
      <c r="G1708" s="1" t="s">
        <v>378</v>
      </c>
      <c r="H1708" s="2">
        <v>45569.600694444445</v>
      </c>
      <c r="I1708" s="2">
        <v>45825.440972222219</v>
      </c>
      <c r="J1708" s="1" t="s">
        <v>14</v>
      </c>
    </row>
    <row r="1709" spans="1:10" hidden="1" x14ac:dyDescent="0.25">
      <c r="A1709" s="1" t="str">
        <f>_xlfn.XLOOKUP(E1709,Base!G:G,Base!C:C,"NOVO")</f>
        <v>PENDENTE</v>
      </c>
      <c r="B1709" s="1">
        <v>2984465</v>
      </c>
      <c r="C1709" s="1" t="s">
        <v>24</v>
      </c>
      <c r="D1709" s="2">
        <v>45569.643055555556</v>
      </c>
      <c r="E1709" s="1">
        <v>4419968</v>
      </c>
      <c r="F1709" s="1" t="s">
        <v>379</v>
      </c>
      <c r="G1709" s="1" t="s">
        <v>380</v>
      </c>
      <c r="H1709" s="2">
        <v>45569.649305555555</v>
      </c>
      <c r="I1709" s="2">
        <v>45825.440972222219</v>
      </c>
      <c r="J1709" s="1" t="s">
        <v>14</v>
      </c>
    </row>
    <row r="1710" spans="1:10" hidden="1" x14ac:dyDescent="0.25">
      <c r="A1710" s="1" t="str">
        <f>_xlfn.XLOOKUP(E1710,Base!G:G,Base!C:C,"NOVO")</f>
        <v>PENDENTE</v>
      </c>
      <c r="B1710" s="1">
        <v>3104986</v>
      </c>
      <c r="C1710" s="1" t="s">
        <v>24</v>
      </c>
      <c r="D1710" s="2">
        <v>45572.51458333333</v>
      </c>
      <c r="E1710" s="1">
        <v>4420759</v>
      </c>
      <c r="F1710" s="1" t="s">
        <v>422</v>
      </c>
      <c r="G1710" s="1" t="s">
        <v>423</v>
      </c>
      <c r="H1710" s="2">
        <v>45623.493055555555</v>
      </c>
      <c r="I1710" s="2">
        <v>45825.440972222219</v>
      </c>
      <c r="J1710" s="1" t="s">
        <v>1244</v>
      </c>
    </row>
    <row r="1711" spans="1:10" hidden="1" x14ac:dyDescent="0.25">
      <c r="A1711" s="1" t="str">
        <f>_xlfn.XLOOKUP(E1711,Base!G:G,Base!C:C,"NOVO")</f>
        <v>PENDENTE</v>
      </c>
      <c r="B1711" s="1">
        <v>2992269</v>
      </c>
      <c r="C1711" s="1" t="s">
        <v>24</v>
      </c>
      <c r="D1711" s="2">
        <v>45573.597222222219</v>
      </c>
      <c r="E1711" s="1">
        <v>4421909</v>
      </c>
      <c r="F1711" s="1" t="s">
        <v>382</v>
      </c>
      <c r="G1711" s="1" t="s">
        <v>383</v>
      </c>
      <c r="H1711" s="2">
        <v>45573.767361111109</v>
      </c>
      <c r="I1711" s="2">
        <v>45825.440972222219</v>
      </c>
      <c r="J1711" s="1" t="s">
        <v>14</v>
      </c>
    </row>
    <row r="1712" spans="1:10" hidden="1" x14ac:dyDescent="0.25">
      <c r="A1712" s="1" t="str">
        <f>_xlfn.XLOOKUP(E1712,Base!G:G,Base!C:C,"NOVO")</f>
        <v>PENDENTE</v>
      </c>
      <c r="B1712" s="1">
        <v>3307473</v>
      </c>
      <c r="C1712" s="1" t="s">
        <v>24</v>
      </c>
      <c r="D1712" s="2">
        <v>45573.681250000001</v>
      </c>
      <c r="E1712" s="1">
        <v>4422136</v>
      </c>
      <c r="F1712" s="1">
        <v>4422136</v>
      </c>
      <c r="G1712" s="1" t="s">
        <v>77</v>
      </c>
      <c r="H1712" s="2">
        <v>45734.506249999999</v>
      </c>
      <c r="I1712" s="2">
        <v>45825.440972222219</v>
      </c>
      <c r="J1712" s="1" t="s">
        <v>14</v>
      </c>
    </row>
    <row r="1713" spans="1:10" hidden="1" x14ac:dyDescent="0.25">
      <c r="A1713" s="1" t="str">
        <f>_xlfn.XLOOKUP(E1713,Base!G:G,Base!C:C,"NOVO")</f>
        <v>PENDENTE</v>
      </c>
      <c r="B1713" s="1">
        <v>2999597</v>
      </c>
      <c r="C1713" s="1" t="s">
        <v>24</v>
      </c>
      <c r="D1713" s="2">
        <v>45576.350694444445</v>
      </c>
      <c r="E1713" s="1">
        <v>4424089</v>
      </c>
      <c r="F1713" s="1" t="s">
        <v>384</v>
      </c>
      <c r="G1713" s="1" t="s">
        <v>385</v>
      </c>
      <c r="H1713" s="2">
        <v>45576.356944444444</v>
      </c>
      <c r="I1713" s="2">
        <v>45825.440972222219</v>
      </c>
      <c r="J1713" s="1" t="s">
        <v>14</v>
      </c>
    </row>
    <row r="1714" spans="1:10" hidden="1" x14ac:dyDescent="0.25">
      <c r="A1714" s="1" t="str">
        <f>_xlfn.XLOOKUP(E1714,Base!G:G,Base!C:C,"NOVO")</f>
        <v>PENDENTE</v>
      </c>
      <c r="B1714" s="1">
        <v>3013542</v>
      </c>
      <c r="C1714" s="1" t="s">
        <v>24</v>
      </c>
      <c r="D1714" s="2">
        <v>45582.604166666664</v>
      </c>
      <c r="E1714" s="1">
        <v>4428062</v>
      </c>
      <c r="F1714" s="1" t="s">
        <v>387</v>
      </c>
      <c r="G1714" s="1" t="s">
        <v>388</v>
      </c>
      <c r="H1714" s="2">
        <v>45582.62222222222</v>
      </c>
      <c r="I1714" s="2">
        <v>45825.440972222219</v>
      </c>
      <c r="J1714" s="1" t="s">
        <v>14</v>
      </c>
    </row>
    <row r="1715" spans="1:10" hidden="1" x14ac:dyDescent="0.25">
      <c r="A1715" s="1" t="str">
        <f>_xlfn.XLOOKUP(E1715,Base!G:G,Base!C:C,"NOVO")</f>
        <v>PENDENTE</v>
      </c>
      <c r="B1715" s="1">
        <v>3013584</v>
      </c>
      <c r="C1715" s="1" t="s">
        <v>24</v>
      </c>
      <c r="D1715" s="2">
        <v>45582.642361111109</v>
      </c>
      <c r="E1715" s="1">
        <v>4428129</v>
      </c>
      <c r="F1715" s="1" t="s">
        <v>389</v>
      </c>
      <c r="G1715" s="1" t="s">
        <v>390</v>
      </c>
      <c r="H1715" s="2">
        <v>45582.652777777781</v>
      </c>
      <c r="I1715" s="2">
        <v>45825.440972222219</v>
      </c>
      <c r="J1715" s="1" t="s">
        <v>14</v>
      </c>
    </row>
    <row r="1716" spans="1:10" hidden="1" x14ac:dyDescent="0.25">
      <c r="A1716" s="1" t="str">
        <f>_xlfn.XLOOKUP(E1716,Base!G:G,Base!C:C,"NOVO")</f>
        <v>PENDENTE</v>
      </c>
      <c r="B1716" s="1">
        <v>3021581</v>
      </c>
      <c r="C1716" s="1" t="s">
        <v>24</v>
      </c>
      <c r="D1716" s="2">
        <v>45586.760416666664</v>
      </c>
      <c r="E1716" s="1">
        <v>4430470</v>
      </c>
      <c r="F1716" s="1">
        <v>16070738</v>
      </c>
      <c r="G1716" s="1" t="s">
        <v>190</v>
      </c>
      <c r="H1716" s="2">
        <v>45586.767361111109</v>
      </c>
      <c r="J1716" s="1" t="s">
        <v>14</v>
      </c>
    </row>
    <row r="1717" spans="1:10" hidden="1" x14ac:dyDescent="0.25">
      <c r="A1717" s="1" t="str">
        <f>_xlfn.XLOOKUP(E1717,Base!G:G,Base!C:C,"NOVO")</f>
        <v>PENDENTE</v>
      </c>
      <c r="B1717" s="1">
        <v>3307474</v>
      </c>
      <c r="C1717" s="1" t="s">
        <v>24</v>
      </c>
      <c r="D1717" s="2">
        <v>45587.383333333331</v>
      </c>
      <c r="E1717" s="1">
        <v>4430661</v>
      </c>
      <c r="F1717" s="1">
        <v>4430661</v>
      </c>
      <c r="G1717" s="1" t="s">
        <v>77</v>
      </c>
      <c r="H1717" s="2">
        <v>45734.506249999999</v>
      </c>
      <c r="I1717" s="2">
        <v>45825.440972222219</v>
      </c>
      <c r="J1717" s="1" t="s">
        <v>14</v>
      </c>
    </row>
    <row r="1718" spans="1:10" hidden="1" x14ac:dyDescent="0.25">
      <c r="A1718" s="1" t="str">
        <f>_xlfn.XLOOKUP(E1718,Base!G:G,Base!C:C,"NOVO")</f>
        <v>PENDENTE</v>
      </c>
      <c r="B1718" s="1">
        <v>3025132</v>
      </c>
      <c r="C1718" s="1" t="s">
        <v>24</v>
      </c>
      <c r="D1718" s="2">
        <v>45587.885416666664</v>
      </c>
      <c r="E1718" s="1">
        <v>4432142</v>
      </c>
      <c r="F1718" s="1" t="s">
        <v>399</v>
      </c>
      <c r="G1718" s="1" t="s">
        <v>400</v>
      </c>
      <c r="H1718" s="2">
        <v>45587.929166666669</v>
      </c>
      <c r="I1718" s="2">
        <v>45825.440972222219</v>
      </c>
      <c r="J1718" s="1" t="s">
        <v>14</v>
      </c>
    </row>
    <row r="1719" spans="1:10" hidden="1" x14ac:dyDescent="0.25">
      <c r="A1719" s="1" t="str">
        <f>_xlfn.XLOOKUP(E1719,Base!G:G,Base!C:C,"NOVO")</f>
        <v>PENDENTE</v>
      </c>
      <c r="B1719" s="1">
        <v>3025915</v>
      </c>
      <c r="C1719" s="1" t="s">
        <v>24</v>
      </c>
      <c r="D1719" s="2">
        <v>45588.481944444444</v>
      </c>
      <c r="E1719" s="1">
        <v>4432585</v>
      </c>
      <c r="F1719" s="1" t="s">
        <v>401</v>
      </c>
      <c r="G1719" s="1" t="s">
        <v>402</v>
      </c>
      <c r="H1719" s="2">
        <v>45588.488888888889</v>
      </c>
      <c r="I1719" s="2">
        <v>45825.440972222219</v>
      </c>
      <c r="J1719" s="1" t="s">
        <v>14</v>
      </c>
    </row>
    <row r="1720" spans="1:10" hidden="1" x14ac:dyDescent="0.25">
      <c r="A1720" s="1" t="str">
        <f>_xlfn.XLOOKUP(E1720,Base!G:G,Base!C:C,"NOVO")</f>
        <v>PENDENTE</v>
      </c>
      <c r="B1720" s="1">
        <v>3307475</v>
      </c>
      <c r="C1720" s="1" t="s">
        <v>24</v>
      </c>
      <c r="D1720" s="2">
        <v>45588.809027777781</v>
      </c>
      <c r="E1720" s="1">
        <v>4433239</v>
      </c>
      <c r="F1720" s="1">
        <v>4433239</v>
      </c>
      <c r="G1720" s="1" t="s">
        <v>77</v>
      </c>
      <c r="H1720" s="2">
        <v>45734.506249999999</v>
      </c>
      <c r="I1720" s="2">
        <v>45825.440972222219</v>
      </c>
      <c r="J1720" s="1" t="s">
        <v>14</v>
      </c>
    </row>
    <row r="1721" spans="1:10" hidden="1" x14ac:dyDescent="0.25">
      <c r="A1721" s="1" t="str">
        <f>_xlfn.XLOOKUP(E1721,Base!G:G,Base!C:C,"NOVO")</f>
        <v>PENDENTE</v>
      </c>
      <c r="B1721" s="1">
        <v>3313135</v>
      </c>
      <c r="C1721" s="1" t="s">
        <v>24</v>
      </c>
      <c r="D1721" s="2">
        <v>45589.436805555553</v>
      </c>
      <c r="E1721" s="1">
        <v>4433467</v>
      </c>
      <c r="F1721" s="1">
        <v>4433467</v>
      </c>
      <c r="G1721" s="1" t="s">
        <v>77</v>
      </c>
      <c r="H1721" s="2">
        <v>45736.445138888892</v>
      </c>
      <c r="I1721" s="2">
        <v>45825.440972222219</v>
      </c>
      <c r="J1721" s="1" t="s">
        <v>14</v>
      </c>
    </row>
    <row r="1722" spans="1:10" hidden="1" x14ac:dyDescent="0.25">
      <c r="A1722" s="1" t="str">
        <f>_xlfn.XLOOKUP(E1722,Base!G:G,Base!C:C,"NOVO")</f>
        <v>PENDENTE</v>
      </c>
      <c r="B1722" s="1">
        <v>3313136</v>
      </c>
      <c r="C1722" s="1" t="s">
        <v>24</v>
      </c>
      <c r="D1722" s="2">
        <v>45589.439583333333</v>
      </c>
      <c r="E1722" s="1">
        <v>4433472</v>
      </c>
      <c r="F1722" s="1">
        <v>4433472</v>
      </c>
      <c r="G1722" s="1" t="s">
        <v>77</v>
      </c>
      <c r="H1722" s="2">
        <v>45736.445138888892</v>
      </c>
      <c r="I1722" s="2">
        <v>45825.440972222219</v>
      </c>
      <c r="J1722" s="1" t="s">
        <v>14</v>
      </c>
    </row>
    <row r="1723" spans="1:10" hidden="1" x14ac:dyDescent="0.25">
      <c r="A1723" s="1" t="str">
        <f>_xlfn.XLOOKUP(E1723,Base!G:G,Base!C:C,"NOVO")</f>
        <v>PENDENTE</v>
      </c>
      <c r="B1723" s="1">
        <v>3313137</v>
      </c>
      <c r="C1723" s="1" t="s">
        <v>24</v>
      </c>
      <c r="D1723" s="2">
        <v>45589.441666666666</v>
      </c>
      <c r="E1723" s="1">
        <v>4433481</v>
      </c>
      <c r="F1723" s="1">
        <v>4433481</v>
      </c>
      <c r="G1723" s="1" t="s">
        <v>77</v>
      </c>
      <c r="H1723" s="2">
        <v>45736.445138888892</v>
      </c>
      <c r="I1723" s="2">
        <v>45825.440972222219</v>
      </c>
      <c r="J1723" s="1" t="s">
        <v>14</v>
      </c>
    </row>
    <row r="1724" spans="1:10" hidden="1" x14ac:dyDescent="0.25">
      <c r="A1724" s="1" t="str">
        <f>_xlfn.XLOOKUP(E1724,Base!G:G,Base!C:C,"NOVO")</f>
        <v>PENDENTE</v>
      </c>
      <c r="B1724" s="1">
        <v>3307476</v>
      </c>
      <c r="C1724" s="1" t="s">
        <v>24</v>
      </c>
      <c r="D1724" s="2">
        <v>45589.447222222225</v>
      </c>
      <c r="E1724" s="1">
        <v>4433489</v>
      </c>
      <c r="F1724" s="1">
        <v>4433489</v>
      </c>
      <c r="G1724" s="1" t="s">
        <v>77</v>
      </c>
      <c r="H1724" s="2">
        <v>45734.506249999999</v>
      </c>
      <c r="I1724" s="2">
        <v>45825.440972222219</v>
      </c>
      <c r="J1724" s="1" t="s">
        <v>14</v>
      </c>
    </row>
    <row r="1725" spans="1:10" hidden="1" x14ac:dyDescent="0.25">
      <c r="A1725" s="1" t="str">
        <f>_xlfn.XLOOKUP(E1725,Base!G:G,Base!C:C,"NOVO")</f>
        <v>PENDENTE</v>
      </c>
      <c r="B1725" s="1">
        <v>3032027</v>
      </c>
      <c r="C1725" s="1" t="s">
        <v>24</v>
      </c>
      <c r="D1725" s="2">
        <v>45590.37222222222</v>
      </c>
      <c r="E1725" s="1">
        <v>4434209</v>
      </c>
      <c r="F1725" s="1" t="s">
        <v>424</v>
      </c>
      <c r="G1725" s="1" t="s">
        <v>425</v>
      </c>
      <c r="H1725" s="2">
        <v>45590.37777777778</v>
      </c>
      <c r="I1725" s="2">
        <v>45825.440972222219</v>
      </c>
      <c r="J1725" s="1" t="s">
        <v>14</v>
      </c>
    </row>
    <row r="1726" spans="1:10" hidden="1" x14ac:dyDescent="0.25">
      <c r="A1726" s="1" t="str">
        <f>_xlfn.XLOOKUP(E1726,Base!G:G,Base!C:C,"NOVO")</f>
        <v>PENDENTE</v>
      </c>
      <c r="B1726" s="1">
        <v>3033602</v>
      </c>
      <c r="C1726" s="1" t="s">
        <v>24</v>
      </c>
      <c r="D1726" s="2">
        <v>45590.693749999999</v>
      </c>
      <c r="E1726" s="1">
        <v>4434814</v>
      </c>
      <c r="F1726" s="1" t="s">
        <v>426</v>
      </c>
      <c r="G1726" s="1" t="s">
        <v>427</v>
      </c>
      <c r="H1726" s="2">
        <v>45590.699305555558</v>
      </c>
      <c r="I1726" s="2">
        <v>45825.440972222219</v>
      </c>
      <c r="J1726" s="1" t="s">
        <v>14</v>
      </c>
    </row>
    <row r="1727" spans="1:10" hidden="1" x14ac:dyDescent="0.25">
      <c r="A1727" s="1" t="str">
        <f>_xlfn.XLOOKUP(E1727,Base!G:G,Base!C:C,"NOVO")</f>
        <v>PENDENTE</v>
      </c>
      <c r="B1727" s="1">
        <v>3033628</v>
      </c>
      <c r="C1727" s="1" t="s">
        <v>24</v>
      </c>
      <c r="D1727" s="2">
        <v>45590.697222222225</v>
      </c>
      <c r="E1727" s="1">
        <v>4434825</v>
      </c>
      <c r="F1727" s="1" t="s">
        <v>428</v>
      </c>
      <c r="G1727" s="1" t="s">
        <v>429</v>
      </c>
      <c r="H1727" s="2">
        <v>45590.704861111109</v>
      </c>
      <c r="I1727" s="2">
        <v>45825.440972222219</v>
      </c>
      <c r="J1727" s="1" t="s">
        <v>14</v>
      </c>
    </row>
    <row r="1728" spans="1:10" hidden="1" x14ac:dyDescent="0.25">
      <c r="A1728" s="1" t="str">
        <f>_xlfn.XLOOKUP(E1728,Base!G:G,Base!C:C,"NOVO")</f>
        <v>PENDENTE</v>
      </c>
      <c r="B1728" s="1">
        <v>3036168</v>
      </c>
      <c r="C1728" s="1" t="s">
        <v>24</v>
      </c>
      <c r="D1728" s="2">
        <v>45593.451388888891</v>
      </c>
      <c r="E1728" s="1">
        <v>4435416</v>
      </c>
      <c r="F1728" s="1" t="s">
        <v>430</v>
      </c>
      <c r="G1728" s="1" t="s">
        <v>431</v>
      </c>
      <c r="H1728" s="2">
        <v>45593.461805555555</v>
      </c>
      <c r="I1728" s="2">
        <v>45825.440972222219</v>
      </c>
      <c r="J1728" s="1" t="s">
        <v>14</v>
      </c>
    </row>
    <row r="1729" spans="1:10" hidden="1" x14ac:dyDescent="0.25">
      <c r="A1729" s="1" t="str">
        <f>_xlfn.XLOOKUP(E1729,Base!G:G,Base!C:C,"NOVO")</f>
        <v>PENDENTE</v>
      </c>
      <c r="B1729" s="1">
        <v>3307478</v>
      </c>
      <c r="C1729" s="1" t="s">
        <v>24</v>
      </c>
      <c r="D1729" s="2">
        <v>45594.701388888891</v>
      </c>
      <c r="E1729" s="1">
        <v>4437048</v>
      </c>
      <c r="F1729" s="1">
        <v>4437048</v>
      </c>
      <c r="G1729" s="1" t="s">
        <v>77</v>
      </c>
      <c r="H1729" s="2">
        <v>45734.506249999999</v>
      </c>
      <c r="I1729" s="2">
        <v>45825.440972222219</v>
      </c>
      <c r="J1729" s="1" t="s">
        <v>14</v>
      </c>
    </row>
    <row r="1730" spans="1:10" hidden="1" x14ac:dyDescent="0.25">
      <c r="A1730" s="1" t="str">
        <f>_xlfn.XLOOKUP(E1730,Base!G:G,Base!C:C,"NOVO")</f>
        <v>PENDENTE</v>
      </c>
      <c r="B1730" s="1">
        <v>3050973</v>
      </c>
      <c r="C1730" s="1" t="s">
        <v>24</v>
      </c>
      <c r="D1730" s="2">
        <v>45597.462500000001</v>
      </c>
      <c r="E1730" s="1">
        <v>4439252</v>
      </c>
      <c r="F1730" s="1" t="s">
        <v>432</v>
      </c>
      <c r="G1730" s="1" t="s">
        <v>433</v>
      </c>
      <c r="H1730" s="2">
        <v>45597.472916666666</v>
      </c>
      <c r="I1730" s="2">
        <v>45825.440972222219</v>
      </c>
      <c r="J1730" s="1" t="s">
        <v>14</v>
      </c>
    </row>
    <row r="1731" spans="1:10" hidden="1" x14ac:dyDescent="0.25">
      <c r="A1731" s="1" t="str">
        <f>_xlfn.XLOOKUP(E1731,Base!G:G,Base!C:C,"NOVO")</f>
        <v>PENDENTE</v>
      </c>
      <c r="B1731" s="1">
        <v>3053925</v>
      </c>
      <c r="C1731" s="1" t="s">
        <v>24</v>
      </c>
      <c r="D1731" s="2">
        <v>45597.738194444442</v>
      </c>
      <c r="E1731" s="1">
        <v>4439791</v>
      </c>
      <c r="F1731" s="1">
        <v>4439791</v>
      </c>
      <c r="G1731" s="1" t="s">
        <v>77</v>
      </c>
      <c r="H1731" s="2">
        <v>45599.599305555559</v>
      </c>
      <c r="I1731" s="2">
        <v>45825.440972222219</v>
      </c>
      <c r="J1731" s="1" t="s">
        <v>14</v>
      </c>
    </row>
    <row r="1732" spans="1:10" hidden="1" x14ac:dyDescent="0.25">
      <c r="A1732" s="1" t="str">
        <f>_xlfn.XLOOKUP(E1732,Base!G:G,Base!C:C,"NOVO")</f>
        <v>PENDENTE</v>
      </c>
      <c r="B1732" s="1">
        <v>3059339</v>
      </c>
      <c r="C1732" s="1" t="s">
        <v>24</v>
      </c>
      <c r="D1732" s="2">
        <v>45600.807638888888</v>
      </c>
      <c r="E1732" s="1">
        <v>4440985</v>
      </c>
      <c r="F1732" s="1">
        <v>4440985</v>
      </c>
      <c r="G1732" s="1" t="s">
        <v>77</v>
      </c>
      <c r="H1732" s="2">
        <v>45601.759722222225</v>
      </c>
      <c r="I1732" s="2">
        <v>45825.440972222219</v>
      </c>
      <c r="J1732" s="1" t="s">
        <v>14</v>
      </c>
    </row>
    <row r="1733" spans="1:10" hidden="1" x14ac:dyDescent="0.25">
      <c r="A1733" s="1" t="str">
        <f>_xlfn.XLOOKUP(E1733,Base!G:G,Base!C:C,"NOVO")</f>
        <v>PENDENTE</v>
      </c>
      <c r="B1733" s="1">
        <v>3064447</v>
      </c>
      <c r="C1733" s="1" t="s">
        <v>24</v>
      </c>
      <c r="D1733" s="2">
        <v>45603.518055555556</v>
      </c>
      <c r="E1733" s="1">
        <v>4443382</v>
      </c>
      <c r="F1733" s="1" t="s">
        <v>582</v>
      </c>
      <c r="G1733" s="1" t="s">
        <v>583</v>
      </c>
      <c r="H1733" s="2">
        <v>45603.642361111109</v>
      </c>
      <c r="I1733" s="2">
        <v>45825.440972222219</v>
      </c>
      <c r="J1733" s="1" t="s">
        <v>14</v>
      </c>
    </row>
    <row r="1734" spans="1:10" hidden="1" x14ac:dyDescent="0.25">
      <c r="A1734" s="1" t="str">
        <f>_xlfn.XLOOKUP(E1734,Base!G:G,Base!C:C,"NOVO")</f>
        <v>PENDENTE</v>
      </c>
      <c r="B1734" s="1">
        <v>3067728</v>
      </c>
      <c r="C1734" s="1" t="s">
        <v>24</v>
      </c>
      <c r="D1734" s="2">
        <v>45604.629861111112</v>
      </c>
      <c r="E1734" s="1">
        <v>4444441</v>
      </c>
      <c r="F1734" s="1" t="s">
        <v>584</v>
      </c>
      <c r="G1734" s="1" t="s">
        <v>585</v>
      </c>
      <c r="H1734" s="2">
        <v>45604.634722222225</v>
      </c>
      <c r="I1734" s="2">
        <v>45825.440972222219</v>
      </c>
      <c r="J1734" s="1" t="s">
        <v>14</v>
      </c>
    </row>
    <row r="1735" spans="1:10" hidden="1" x14ac:dyDescent="0.25">
      <c r="A1735" s="1" t="str">
        <f>_xlfn.XLOOKUP(E1735,Base!G:G,Base!C:C,"NOVO")</f>
        <v>PENDENTE</v>
      </c>
      <c r="B1735" s="1">
        <v>3070837</v>
      </c>
      <c r="C1735" s="1" t="s">
        <v>24</v>
      </c>
      <c r="D1735" s="2">
        <v>45607.415972222225</v>
      </c>
      <c r="E1735" s="1">
        <v>4445127</v>
      </c>
      <c r="F1735" s="1" t="s">
        <v>586</v>
      </c>
      <c r="G1735" s="1" t="s">
        <v>587</v>
      </c>
      <c r="H1735" s="2">
        <v>45607.425000000003</v>
      </c>
      <c r="I1735" s="2">
        <v>45825.440972222219</v>
      </c>
      <c r="J1735" s="1" t="s">
        <v>14</v>
      </c>
    </row>
    <row r="1736" spans="1:10" hidden="1" x14ac:dyDescent="0.25">
      <c r="A1736" s="1" t="str">
        <f>_xlfn.XLOOKUP(E1736,Base!G:G,Base!C:C,"NOVO")</f>
        <v>PENDENTE</v>
      </c>
      <c r="B1736" s="1">
        <v>3308036</v>
      </c>
      <c r="C1736" s="1" t="s">
        <v>24</v>
      </c>
      <c r="D1736" s="2">
        <v>45610.731249999997</v>
      </c>
      <c r="E1736" s="1">
        <v>4448746</v>
      </c>
      <c r="F1736" s="1" t="s">
        <v>598</v>
      </c>
      <c r="G1736" s="1" t="s">
        <v>196</v>
      </c>
      <c r="H1736" s="2">
        <v>45734.586805555555</v>
      </c>
      <c r="I1736" s="2">
        <v>45825.440972222219</v>
      </c>
      <c r="J1736" s="1" t="s">
        <v>18</v>
      </c>
    </row>
    <row r="1737" spans="1:10" hidden="1" x14ac:dyDescent="0.25">
      <c r="A1737" s="1" t="str">
        <f>_xlfn.XLOOKUP(E1737,Base!G:G,Base!C:C,"NOVO")</f>
        <v>PENDENTE</v>
      </c>
      <c r="B1737" s="1">
        <v>3308037</v>
      </c>
      <c r="C1737" s="1" t="s">
        <v>24</v>
      </c>
      <c r="D1737" s="2">
        <v>45610.731249999997</v>
      </c>
      <c r="E1737" s="1">
        <v>4448746</v>
      </c>
      <c r="F1737" s="1" t="s">
        <v>599</v>
      </c>
      <c r="G1737" s="1" t="s">
        <v>196</v>
      </c>
      <c r="H1737" s="2">
        <v>45734.586805555555</v>
      </c>
      <c r="I1737" s="2">
        <v>45825.440972222219</v>
      </c>
      <c r="J1737" s="1" t="s">
        <v>18</v>
      </c>
    </row>
    <row r="1738" spans="1:10" hidden="1" x14ac:dyDescent="0.25">
      <c r="A1738" s="1" t="str">
        <f>_xlfn.XLOOKUP(E1738,Base!G:G,Base!C:C,"NOVO")</f>
        <v>PENDENTE</v>
      </c>
      <c r="B1738" s="1">
        <v>3308038</v>
      </c>
      <c r="C1738" s="1" t="s">
        <v>24</v>
      </c>
      <c r="D1738" s="2">
        <v>45610.742361111108</v>
      </c>
      <c r="E1738" s="1">
        <v>4448762</v>
      </c>
      <c r="F1738" s="1">
        <v>16402111</v>
      </c>
      <c r="G1738" s="1" t="s">
        <v>196</v>
      </c>
      <c r="H1738" s="2">
        <v>45734.586805555555</v>
      </c>
      <c r="I1738" s="2">
        <v>45825.440972222219</v>
      </c>
      <c r="J1738" s="1" t="s">
        <v>18</v>
      </c>
    </row>
    <row r="1739" spans="1:10" hidden="1" x14ac:dyDescent="0.25">
      <c r="A1739" s="1" t="str">
        <f>_xlfn.XLOOKUP(E1739,Base!G:G,Base!C:C,"NOVO")</f>
        <v>PENDENTE</v>
      </c>
      <c r="B1739" s="1">
        <v>3084856</v>
      </c>
      <c r="C1739" s="1" t="s">
        <v>24</v>
      </c>
      <c r="D1739" s="2">
        <v>45614.452777777777</v>
      </c>
      <c r="E1739" s="1">
        <v>4449231</v>
      </c>
      <c r="F1739" s="1">
        <v>4449231</v>
      </c>
      <c r="G1739" s="1" t="s">
        <v>77</v>
      </c>
      <c r="H1739" s="2">
        <v>45614.460416666669</v>
      </c>
      <c r="I1739" s="2">
        <v>45825.440972222219</v>
      </c>
      <c r="J1739" s="1" t="s">
        <v>14</v>
      </c>
    </row>
    <row r="1740" spans="1:10" hidden="1" x14ac:dyDescent="0.25">
      <c r="A1740" s="1" t="str">
        <f>_xlfn.XLOOKUP(E1740,Base!G:G,Base!C:C,"NOVO")</f>
        <v>PENDENTE</v>
      </c>
      <c r="B1740" s="1">
        <v>3088679</v>
      </c>
      <c r="C1740" s="1" t="s">
        <v>24</v>
      </c>
      <c r="D1740" s="2">
        <v>45615.629166666666</v>
      </c>
      <c r="E1740" s="1">
        <v>4450530</v>
      </c>
      <c r="F1740" s="1">
        <v>16440115</v>
      </c>
      <c r="G1740" s="1" t="s">
        <v>190</v>
      </c>
      <c r="H1740" s="2">
        <v>45615.634722222225</v>
      </c>
      <c r="J1740" s="1" t="s">
        <v>14</v>
      </c>
    </row>
    <row r="1741" spans="1:10" hidden="1" x14ac:dyDescent="0.25">
      <c r="A1741" s="1" t="str">
        <f>_xlfn.XLOOKUP(E1741,Base!G:G,Base!C:C,"NOVO")</f>
        <v>PENDENTE</v>
      </c>
      <c r="B1741" s="1">
        <v>3099707</v>
      </c>
      <c r="C1741" s="1" t="s">
        <v>24</v>
      </c>
      <c r="D1741" s="2">
        <v>45618.622916666667</v>
      </c>
      <c r="E1741" s="1">
        <v>4452497</v>
      </c>
      <c r="F1741" s="1" t="s">
        <v>600</v>
      </c>
      <c r="G1741" s="1" t="s">
        <v>601</v>
      </c>
      <c r="H1741" s="2">
        <v>45621.669444444444</v>
      </c>
      <c r="I1741" s="2">
        <v>45825.440972222219</v>
      </c>
      <c r="J1741" s="1" t="s">
        <v>14</v>
      </c>
    </row>
    <row r="1742" spans="1:10" hidden="1" x14ac:dyDescent="0.25">
      <c r="A1742" s="1" t="str">
        <f>_xlfn.XLOOKUP(E1742,Base!G:G,Base!C:C,"NOVO")</f>
        <v>PENDENTE</v>
      </c>
      <c r="B1742" s="1">
        <v>3105135</v>
      </c>
      <c r="C1742" s="1" t="s">
        <v>24</v>
      </c>
      <c r="D1742" s="2">
        <v>45623.402083333334</v>
      </c>
      <c r="E1742" s="1">
        <v>4454970</v>
      </c>
      <c r="F1742" s="1" t="s">
        <v>602</v>
      </c>
      <c r="G1742" s="1" t="s">
        <v>603</v>
      </c>
      <c r="H1742" s="2">
        <v>45623.495833333334</v>
      </c>
      <c r="I1742" s="2">
        <v>45825.440972222219</v>
      </c>
      <c r="J1742" s="1" t="s">
        <v>14</v>
      </c>
    </row>
    <row r="1743" spans="1:10" hidden="1" x14ac:dyDescent="0.25">
      <c r="A1743" s="1" t="str">
        <f>_xlfn.XLOOKUP(E1743,Base!G:G,Base!C:C,"NOVO")</f>
        <v>PENDENTE</v>
      </c>
      <c r="B1743" s="1">
        <v>3110579</v>
      </c>
      <c r="C1743" s="1" t="s">
        <v>24</v>
      </c>
      <c r="D1743" s="2">
        <v>45624.426388888889</v>
      </c>
      <c r="E1743" s="1">
        <v>4455640</v>
      </c>
      <c r="F1743" s="1" t="s">
        <v>604</v>
      </c>
      <c r="G1743" s="1" t="s">
        <v>605</v>
      </c>
      <c r="H1743" s="2">
        <v>45625.461805555555</v>
      </c>
      <c r="I1743" s="2">
        <v>45825.440972222219</v>
      </c>
      <c r="J1743" s="1" t="s">
        <v>14</v>
      </c>
    </row>
    <row r="1744" spans="1:10" hidden="1" x14ac:dyDescent="0.25">
      <c r="A1744" s="1" t="str">
        <f>_xlfn.XLOOKUP(E1744,Base!G:G,Base!C:C,"NOVO")</f>
        <v>PENDENTE</v>
      </c>
      <c r="B1744" s="1">
        <v>3308039</v>
      </c>
      <c r="C1744" s="1" t="s">
        <v>24</v>
      </c>
      <c r="D1744" s="2">
        <v>45624.621527777781</v>
      </c>
      <c r="E1744" s="1">
        <v>4455913</v>
      </c>
      <c r="F1744" s="1" t="s">
        <v>606</v>
      </c>
      <c r="G1744" s="1" t="s">
        <v>196</v>
      </c>
      <c r="H1744" s="2">
        <v>45734.586805555555</v>
      </c>
      <c r="I1744" s="2">
        <v>45825.440972222219</v>
      </c>
      <c r="J1744" s="1" t="s">
        <v>18</v>
      </c>
    </row>
    <row r="1745" spans="1:10" hidden="1" x14ac:dyDescent="0.25">
      <c r="A1745" s="1" t="str">
        <f>_xlfn.XLOOKUP(E1745,Base!G:G,Base!C:C,"NOVO")</f>
        <v>PENDENTE</v>
      </c>
      <c r="B1745" s="1">
        <v>3308187</v>
      </c>
      <c r="C1745" s="1" t="s">
        <v>24</v>
      </c>
      <c r="D1745" s="2">
        <v>45625.376388888886</v>
      </c>
      <c r="E1745" s="1">
        <v>4456180</v>
      </c>
      <c r="F1745" s="1" t="s">
        <v>607</v>
      </c>
      <c r="G1745" s="1" t="s">
        <v>1922</v>
      </c>
      <c r="H1745" s="2">
        <v>45734.635416666664</v>
      </c>
      <c r="I1745" s="2">
        <v>45825.440972222219</v>
      </c>
      <c r="J1745" s="1" t="s">
        <v>19</v>
      </c>
    </row>
    <row r="1746" spans="1:10" hidden="1" x14ac:dyDescent="0.25">
      <c r="A1746" s="1" t="str">
        <f>_xlfn.XLOOKUP(E1746,Base!G:G,Base!C:C,"NOVO")</f>
        <v>PENDENTE</v>
      </c>
      <c r="B1746" s="1">
        <v>3118425</v>
      </c>
      <c r="C1746" s="1" t="s">
        <v>24</v>
      </c>
      <c r="D1746" s="2">
        <v>45628.818749999999</v>
      </c>
      <c r="E1746" s="1">
        <v>4457740</v>
      </c>
      <c r="F1746" s="1" t="s">
        <v>608</v>
      </c>
      <c r="G1746" s="1" t="s">
        <v>609</v>
      </c>
      <c r="H1746" s="2">
        <v>45629.537499999999</v>
      </c>
      <c r="I1746" s="2">
        <v>45825.440972222219</v>
      </c>
      <c r="J1746" s="1" t="s">
        <v>14</v>
      </c>
    </row>
    <row r="1747" spans="1:10" hidden="1" x14ac:dyDescent="0.25">
      <c r="A1747" s="1" t="str">
        <f>_xlfn.XLOOKUP(E1747,Base!G:G,Base!C:C,"NOVO")</f>
        <v>PENDENTE</v>
      </c>
      <c r="B1747" s="1">
        <v>3307481</v>
      </c>
      <c r="C1747" s="1" t="s">
        <v>24</v>
      </c>
      <c r="D1747" s="2">
        <v>45629.644444444442</v>
      </c>
      <c r="E1747" s="1">
        <v>4458190</v>
      </c>
      <c r="F1747" s="1" t="s">
        <v>610</v>
      </c>
      <c r="G1747" s="1" t="s">
        <v>611</v>
      </c>
      <c r="H1747" s="2">
        <v>45734.506249999999</v>
      </c>
      <c r="I1747" s="2">
        <v>45825.440972222219</v>
      </c>
      <c r="J1747" s="1" t="s">
        <v>14</v>
      </c>
    </row>
    <row r="1748" spans="1:10" hidden="1" x14ac:dyDescent="0.25">
      <c r="A1748" s="1" t="str">
        <f>_xlfn.XLOOKUP(E1748,Base!G:G,Base!C:C,"NOVO")</f>
        <v>PENDENTE</v>
      </c>
      <c r="B1748" s="1">
        <v>3121924</v>
      </c>
      <c r="C1748" s="1" t="s">
        <v>24</v>
      </c>
      <c r="D1748" s="2">
        <v>45630.588194444441</v>
      </c>
      <c r="E1748" s="1">
        <v>4458747</v>
      </c>
      <c r="F1748" s="1" t="s">
        <v>612</v>
      </c>
      <c r="G1748" s="1" t="s">
        <v>613</v>
      </c>
      <c r="H1748" s="2">
        <v>45630.78125</v>
      </c>
      <c r="I1748" s="2">
        <v>45825.440972222219</v>
      </c>
      <c r="J1748" s="1" t="s">
        <v>14</v>
      </c>
    </row>
    <row r="1749" spans="1:10" hidden="1" x14ac:dyDescent="0.25">
      <c r="A1749" s="1" t="str">
        <f>_xlfn.XLOOKUP(E1749,Base!G:G,Base!C:C,"NOVO")</f>
        <v>PENDENTE</v>
      </c>
      <c r="B1749" s="1">
        <v>3124783</v>
      </c>
      <c r="C1749" s="1" t="s">
        <v>24</v>
      </c>
      <c r="D1749" s="2">
        <v>45630.790277777778</v>
      </c>
      <c r="E1749" s="1">
        <v>4458982</v>
      </c>
      <c r="F1749" s="1" t="s">
        <v>614</v>
      </c>
      <c r="G1749" s="1" t="s">
        <v>1034</v>
      </c>
      <c r="H1749" s="2">
        <v>45631.935416666667</v>
      </c>
      <c r="I1749" s="2">
        <v>45825.440972222219</v>
      </c>
      <c r="J1749" s="1" t="s">
        <v>1244</v>
      </c>
    </row>
    <row r="1750" spans="1:10" hidden="1" x14ac:dyDescent="0.25">
      <c r="A1750" s="1" t="str">
        <f>_xlfn.XLOOKUP(E1750,Base!G:G,Base!C:C,"NOVO")</f>
        <v>PENDENTE</v>
      </c>
      <c r="B1750" s="1">
        <v>3126772</v>
      </c>
      <c r="C1750" s="1" t="s">
        <v>24</v>
      </c>
      <c r="D1750" s="2">
        <v>45632.647222222222</v>
      </c>
      <c r="E1750" s="1">
        <v>4459951</v>
      </c>
      <c r="F1750" s="1" t="s">
        <v>615</v>
      </c>
      <c r="G1750" s="1" t="s">
        <v>616</v>
      </c>
      <c r="H1750" s="2">
        <v>45632.769444444442</v>
      </c>
      <c r="I1750" s="2">
        <v>45825.440972222219</v>
      </c>
      <c r="J1750" s="1" t="s">
        <v>14</v>
      </c>
    </row>
    <row r="1751" spans="1:10" hidden="1" x14ac:dyDescent="0.25">
      <c r="A1751" s="1" t="str">
        <f>_xlfn.XLOOKUP(E1751,Base!G:G,Base!C:C,"NOVO")</f>
        <v>PENDENTE</v>
      </c>
      <c r="B1751" s="1">
        <v>3129168</v>
      </c>
      <c r="C1751" s="1" t="s">
        <v>24</v>
      </c>
      <c r="D1751" s="2">
        <v>45635.618750000001</v>
      </c>
      <c r="E1751" s="1">
        <v>4460559</v>
      </c>
      <c r="F1751" s="1" t="s">
        <v>617</v>
      </c>
      <c r="G1751" s="1" t="s">
        <v>618</v>
      </c>
      <c r="H1751" s="2">
        <v>45635.724999999999</v>
      </c>
      <c r="I1751" s="2">
        <v>45825.440972222219</v>
      </c>
      <c r="J1751" s="1" t="s">
        <v>14</v>
      </c>
    </row>
    <row r="1752" spans="1:10" hidden="1" x14ac:dyDescent="0.25">
      <c r="A1752" s="1" t="str">
        <f>_xlfn.XLOOKUP(E1752,Base!G:G,Base!C:C,"NOVO")</f>
        <v>PENDENTE</v>
      </c>
      <c r="B1752" s="1">
        <v>3130928</v>
      </c>
      <c r="C1752" s="1" t="s">
        <v>24</v>
      </c>
      <c r="D1752" s="2">
        <v>45636.395833333336</v>
      </c>
      <c r="E1752" s="1">
        <v>4460863</v>
      </c>
      <c r="F1752" s="1" t="s">
        <v>624</v>
      </c>
      <c r="G1752" s="1" t="s">
        <v>625</v>
      </c>
      <c r="H1752" s="2">
        <v>45636.642361111109</v>
      </c>
      <c r="I1752" s="2">
        <v>45825.440972222219</v>
      </c>
      <c r="J1752" s="1" t="s">
        <v>14</v>
      </c>
    </row>
    <row r="1753" spans="1:10" hidden="1" x14ac:dyDescent="0.25">
      <c r="A1753" s="1" t="str">
        <f>_xlfn.XLOOKUP(E1753,Base!G:G,Base!C:C,"NOVO")</f>
        <v>PENDENTE</v>
      </c>
      <c r="B1753" s="1">
        <v>3308040</v>
      </c>
      <c r="C1753" s="1" t="s">
        <v>24</v>
      </c>
      <c r="D1753" s="2">
        <v>45637.565972222219</v>
      </c>
      <c r="E1753" s="1">
        <v>4461541</v>
      </c>
      <c r="F1753" s="1" t="s">
        <v>626</v>
      </c>
      <c r="G1753" s="1" t="s">
        <v>196</v>
      </c>
      <c r="H1753" s="2">
        <v>45734.586805555555</v>
      </c>
      <c r="I1753" s="2">
        <v>45825.440972222219</v>
      </c>
      <c r="J1753" s="1" t="s">
        <v>18</v>
      </c>
    </row>
    <row r="1754" spans="1:10" hidden="1" x14ac:dyDescent="0.25">
      <c r="A1754" s="1" t="str">
        <f>_xlfn.XLOOKUP(E1754,Base!G:G,Base!C:C,"NOVO")</f>
        <v>PENDENTE</v>
      </c>
      <c r="B1754" s="1">
        <v>3308041</v>
      </c>
      <c r="C1754" s="1" t="s">
        <v>24</v>
      </c>
      <c r="D1754" s="2">
        <v>45639.361111111109</v>
      </c>
      <c r="E1754" s="1">
        <v>4462388</v>
      </c>
      <c r="F1754" s="1">
        <v>16701695</v>
      </c>
      <c r="G1754" s="1" t="s">
        <v>196</v>
      </c>
      <c r="H1754" s="2">
        <v>45734.586805555555</v>
      </c>
      <c r="I1754" s="2">
        <v>45825.440972222219</v>
      </c>
      <c r="J1754" s="1" t="s">
        <v>18</v>
      </c>
    </row>
    <row r="1755" spans="1:10" hidden="1" x14ac:dyDescent="0.25">
      <c r="A1755" s="1" t="str">
        <f>_xlfn.XLOOKUP(E1755,Base!G:G,Base!C:C,"NOVO")</f>
        <v>PENDENTE</v>
      </c>
      <c r="B1755" s="1">
        <v>3308042</v>
      </c>
      <c r="C1755" s="1" t="s">
        <v>24</v>
      </c>
      <c r="D1755" s="2">
        <v>45639.362500000003</v>
      </c>
      <c r="E1755" s="1">
        <v>4462390</v>
      </c>
      <c r="F1755" s="1">
        <v>16701678</v>
      </c>
      <c r="G1755" s="1" t="s">
        <v>196</v>
      </c>
      <c r="H1755" s="2">
        <v>45734.586805555555</v>
      </c>
      <c r="I1755" s="2">
        <v>45825.440972222219</v>
      </c>
      <c r="J1755" s="1" t="s">
        <v>18</v>
      </c>
    </row>
    <row r="1756" spans="1:10" hidden="1" x14ac:dyDescent="0.25">
      <c r="A1756" s="1" t="str">
        <f>_xlfn.XLOOKUP(E1756,Base!G:G,Base!C:C,"NOVO")</f>
        <v>PENDENTE</v>
      </c>
      <c r="B1756" s="1">
        <v>3141483</v>
      </c>
      <c r="C1756" s="1" t="s">
        <v>24</v>
      </c>
      <c r="D1756" s="2">
        <v>45643.021527777775</v>
      </c>
      <c r="E1756" s="1">
        <v>4463691</v>
      </c>
      <c r="F1756" s="1" t="s">
        <v>627</v>
      </c>
      <c r="G1756" s="1" t="s">
        <v>628</v>
      </c>
      <c r="H1756" s="2">
        <v>45643.496527777781</v>
      </c>
      <c r="I1756" s="2">
        <v>45825.440972222219</v>
      </c>
      <c r="J1756" s="1" t="s">
        <v>14</v>
      </c>
    </row>
    <row r="1757" spans="1:10" hidden="1" x14ac:dyDescent="0.25">
      <c r="A1757" s="1" t="str">
        <f>_xlfn.XLOOKUP(E1757,Base!G:G,Base!C:C,"NOVO")</f>
        <v>PENDENTE</v>
      </c>
      <c r="B1757" s="1">
        <v>3308043</v>
      </c>
      <c r="C1757" s="1" t="s">
        <v>24</v>
      </c>
      <c r="D1757" s="2">
        <v>45643.646527777775</v>
      </c>
      <c r="E1757" s="1">
        <v>4464021</v>
      </c>
      <c r="F1757" s="1" t="s">
        <v>633</v>
      </c>
      <c r="G1757" s="1" t="s">
        <v>196</v>
      </c>
      <c r="H1757" s="2">
        <v>45734.586805555555</v>
      </c>
      <c r="I1757" s="2">
        <v>45825.440972222219</v>
      </c>
      <c r="J1757" s="1" t="s">
        <v>18</v>
      </c>
    </row>
    <row r="1758" spans="1:10" hidden="1" x14ac:dyDescent="0.25">
      <c r="A1758" s="1" t="str">
        <f>_xlfn.XLOOKUP(E1758,Base!G:G,Base!C:C,"NOVO")</f>
        <v>PENDENTE</v>
      </c>
      <c r="B1758" s="1">
        <v>3161782</v>
      </c>
      <c r="C1758" s="1" t="s">
        <v>24</v>
      </c>
      <c r="D1758" s="2">
        <v>45659.368055555555</v>
      </c>
      <c r="E1758" s="1">
        <v>4467638</v>
      </c>
      <c r="F1758" s="1" t="s">
        <v>245</v>
      </c>
      <c r="G1758" s="1" t="s">
        <v>246</v>
      </c>
      <c r="H1758" s="2">
        <v>45660.710416666669</v>
      </c>
      <c r="I1758" s="2">
        <v>45825.440972222219</v>
      </c>
      <c r="J1758" s="1" t="s">
        <v>14</v>
      </c>
    </row>
    <row r="1759" spans="1:10" hidden="1" x14ac:dyDescent="0.25">
      <c r="A1759" s="1" t="str">
        <f>_xlfn.XLOOKUP(E1759,Base!G:G,Base!C:C,"NOVO")</f>
        <v>PENDENTE</v>
      </c>
      <c r="B1759" s="1">
        <v>3167749</v>
      </c>
      <c r="C1759" s="1" t="s">
        <v>24</v>
      </c>
      <c r="D1759" s="2">
        <v>45665.370833333334</v>
      </c>
      <c r="E1759" s="1">
        <v>4470625</v>
      </c>
      <c r="F1759" s="1">
        <v>16864154</v>
      </c>
      <c r="G1759" s="1" t="s">
        <v>190</v>
      </c>
      <c r="H1759" s="2">
        <v>45665.37777777778</v>
      </c>
      <c r="J1759" s="1" t="s">
        <v>14</v>
      </c>
    </row>
    <row r="1760" spans="1:10" hidden="1" x14ac:dyDescent="0.25">
      <c r="A1760" s="1" t="str">
        <f>_xlfn.XLOOKUP(E1760,Base!G:G,Base!C:C,"NOVO")</f>
        <v>PENDENTE</v>
      </c>
      <c r="B1760" s="1">
        <v>3180572</v>
      </c>
      <c r="C1760" s="1" t="s">
        <v>24</v>
      </c>
      <c r="D1760" s="2">
        <v>45667.45416666667</v>
      </c>
      <c r="E1760" s="1">
        <v>4471995</v>
      </c>
      <c r="F1760" s="1" t="s">
        <v>931</v>
      </c>
      <c r="G1760" s="1" t="s">
        <v>932</v>
      </c>
      <c r="H1760" s="2">
        <v>45671.78125</v>
      </c>
      <c r="I1760" s="2">
        <v>45825.440972222219</v>
      </c>
      <c r="J1760" s="1" t="s">
        <v>19</v>
      </c>
    </row>
    <row r="1761" spans="1:10" hidden="1" x14ac:dyDescent="0.25">
      <c r="A1761" s="1" t="str">
        <f>_xlfn.XLOOKUP(E1761,Base!G:G,Base!C:C,"NOVO")</f>
        <v>PENDENTE</v>
      </c>
      <c r="B1761" s="1">
        <v>3315948</v>
      </c>
      <c r="C1761" s="1" t="s">
        <v>24</v>
      </c>
      <c r="D1761" s="2">
        <v>45670.700694444444</v>
      </c>
      <c r="E1761" s="1">
        <v>4473445</v>
      </c>
      <c r="F1761" s="1">
        <v>16919861</v>
      </c>
      <c r="G1761" s="1" t="s">
        <v>1035</v>
      </c>
      <c r="H1761" s="2">
        <v>45737.473611111112</v>
      </c>
      <c r="I1761" s="2">
        <v>45825.440972222219</v>
      </c>
      <c r="J1761" s="1" t="s">
        <v>1244</v>
      </c>
    </row>
    <row r="1762" spans="1:10" hidden="1" x14ac:dyDescent="0.25">
      <c r="A1762" s="1" t="str">
        <f>_xlfn.XLOOKUP(E1762,Base!G:G,Base!C:C,"NOVO")</f>
        <v>PENDENTE</v>
      </c>
      <c r="B1762" s="1">
        <v>3193983</v>
      </c>
      <c r="C1762" s="1" t="s">
        <v>24</v>
      </c>
      <c r="D1762" s="2">
        <v>45678.527083333334</v>
      </c>
      <c r="E1762" s="1">
        <v>4478280</v>
      </c>
      <c r="F1762" s="1" t="s">
        <v>933</v>
      </c>
      <c r="G1762" s="1" t="s">
        <v>240</v>
      </c>
      <c r="H1762" s="2">
        <v>45678.53125</v>
      </c>
      <c r="I1762" s="2">
        <v>45825.440972222219</v>
      </c>
      <c r="J1762" s="1" t="s">
        <v>14</v>
      </c>
    </row>
    <row r="1763" spans="1:10" hidden="1" x14ac:dyDescent="0.25">
      <c r="A1763" s="1" t="str">
        <f>_xlfn.XLOOKUP(E1763,Base!G:G,Base!C:C,"NOVO")</f>
        <v>PENDENTE</v>
      </c>
      <c r="B1763" s="1">
        <v>3194810</v>
      </c>
      <c r="C1763" s="1" t="s">
        <v>24</v>
      </c>
      <c r="D1763" s="2">
        <v>45678.627083333333</v>
      </c>
      <c r="E1763" s="1">
        <v>4478539</v>
      </c>
      <c r="F1763" s="1" t="s">
        <v>934</v>
      </c>
      <c r="G1763" s="1" t="s">
        <v>935</v>
      </c>
      <c r="H1763" s="2">
        <v>45678.754166666666</v>
      </c>
      <c r="I1763" s="2">
        <v>45825.440972222219</v>
      </c>
      <c r="J1763" s="1" t="s">
        <v>14</v>
      </c>
    </row>
    <row r="1764" spans="1:10" hidden="1" x14ac:dyDescent="0.25">
      <c r="A1764" s="1" t="str">
        <f>_xlfn.XLOOKUP(E1764,Base!G:G,Base!C:C,"NOVO")</f>
        <v>PENDENTE</v>
      </c>
      <c r="B1764" s="1">
        <v>3196948</v>
      </c>
      <c r="C1764" s="1" t="s">
        <v>24</v>
      </c>
      <c r="D1764" s="2">
        <v>45679.668749999997</v>
      </c>
      <c r="E1764" s="1">
        <v>4479428</v>
      </c>
      <c r="F1764" s="1">
        <v>4479428</v>
      </c>
      <c r="G1764" s="1" t="s">
        <v>77</v>
      </c>
      <c r="H1764" s="2">
        <v>45679.676388888889</v>
      </c>
      <c r="I1764" s="2">
        <v>45825.440972222219</v>
      </c>
      <c r="J1764" s="1" t="s">
        <v>14</v>
      </c>
    </row>
    <row r="1765" spans="1:10" hidden="1" x14ac:dyDescent="0.25">
      <c r="A1765" s="1" t="str">
        <f>_xlfn.XLOOKUP(E1765,Base!G:G,Base!C:C,"NOVO")</f>
        <v>PENDENTE</v>
      </c>
      <c r="B1765" s="1">
        <v>3197014</v>
      </c>
      <c r="C1765" s="1" t="s">
        <v>24</v>
      </c>
      <c r="D1765" s="2">
        <v>45679.6875</v>
      </c>
      <c r="E1765" s="1">
        <v>4479464</v>
      </c>
      <c r="F1765" s="1">
        <v>4479464</v>
      </c>
      <c r="G1765" s="1" t="s">
        <v>77</v>
      </c>
      <c r="H1765" s="2">
        <v>45679.697222222225</v>
      </c>
      <c r="I1765" s="2">
        <v>45825.440972222219</v>
      </c>
      <c r="J1765" s="1" t="s">
        <v>14</v>
      </c>
    </row>
    <row r="1766" spans="1:10" hidden="1" x14ac:dyDescent="0.25">
      <c r="A1766" s="1" t="str">
        <f>_xlfn.XLOOKUP(E1766,Base!G:G,Base!C:C,"NOVO")</f>
        <v>PENDENTE</v>
      </c>
      <c r="B1766" s="1">
        <v>3197026</v>
      </c>
      <c r="C1766" s="1" t="s">
        <v>24</v>
      </c>
      <c r="D1766" s="2">
        <v>45679.691666666666</v>
      </c>
      <c r="E1766" s="1">
        <v>4479468</v>
      </c>
      <c r="F1766" s="1">
        <v>4479468</v>
      </c>
      <c r="G1766" s="1" t="s">
        <v>77</v>
      </c>
      <c r="H1766" s="2">
        <v>45679.70416666667</v>
      </c>
      <c r="I1766" s="2">
        <v>45825.440972222219</v>
      </c>
      <c r="J1766" s="1" t="s">
        <v>14</v>
      </c>
    </row>
    <row r="1767" spans="1:10" hidden="1" x14ac:dyDescent="0.25">
      <c r="A1767" s="1" t="str">
        <f>_xlfn.XLOOKUP(E1767,Base!G:G,Base!C:C,"NOVO")</f>
        <v>PENDENTE</v>
      </c>
      <c r="B1767" s="1">
        <v>3199628</v>
      </c>
      <c r="C1767" s="1" t="s">
        <v>24</v>
      </c>
      <c r="D1767" s="2">
        <v>45680.461805555555</v>
      </c>
      <c r="E1767" s="1">
        <v>4479909</v>
      </c>
      <c r="F1767" s="1" t="s">
        <v>936</v>
      </c>
      <c r="G1767" s="1" t="s">
        <v>937</v>
      </c>
      <c r="H1767" s="2">
        <v>45680.686111111114</v>
      </c>
      <c r="I1767" s="2">
        <v>45825.440972222219</v>
      </c>
      <c r="J1767" s="1" t="s">
        <v>14</v>
      </c>
    </row>
    <row r="1768" spans="1:10" hidden="1" x14ac:dyDescent="0.25">
      <c r="A1768" s="1" t="str">
        <f>_xlfn.XLOOKUP(E1768,Base!G:G,Base!C:C,"NOVO")</f>
        <v>PENDENTE</v>
      </c>
      <c r="B1768" s="1">
        <v>3199619</v>
      </c>
      <c r="C1768" s="1" t="s">
        <v>24</v>
      </c>
      <c r="D1768" s="2">
        <v>45680.672222222223</v>
      </c>
      <c r="E1768" s="1">
        <v>4480245</v>
      </c>
      <c r="F1768" s="1" t="s">
        <v>938</v>
      </c>
      <c r="G1768" s="1" t="s">
        <v>240</v>
      </c>
      <c r="H1768" s="2">
        <v>45680.676388888889</v>
      </c>
      <c r="I1768" s="2">
        <v>45825.440972222219</v>
      </c>
      <c r="J1768" s="1" t="s">
        <v>14</v>
      </c>
    </row>
    <row r="1769" spans="1:10" hidden="1" x14ac:dyDescent="0.25">
      <c r="A1769" s="1" t="str">
        <f>_xlfn.XLOOKUP(E1769,Base!G:G,Base!C:C,"NOVO")</f>
        <v>PENDENTE</v>
      </c>
      <c r="B1769" s="1">
        <v>3210564</v>
      </c>
      <c r="C1769" s="1" t="s">
        <v>24</v>
      </c>
      <c r="D1769" s="2">
        <v>45686.427083333336</v>
      </c>
      <c r="E1769" s="1">
        <v>4482820</v>
      </c>
      <c r="F1769" s="1">
        <v>4482820</v>
      </c>
      <c r="G1769" s="1" t="s">
        <v>77</v>
      </c>
      <c r="H1769" s="2">
        <v>45686.62777777778</v>
      </c>
      <c r="I1769" s="2">
        <v>45825.440972222219</v>
      </c>
      <c r="J1769" s="1" t="s">
        <v>14</v>
      </c>
    </row>
    <row r="1770" spans="1:10" hidden="1" x14ac:dyDescent="0.25">
      <c r="A1770" s="1" t="str">
        <f>_xlfn.XLOOKUP(E1770,Base!G:G,Base!C:C,"NOVO")</f>
        <v>PENDENTE</v>
      </c>
      <c r="B1770" s="1">
        <v>3210813</v>
      </c>
      <c r="C1770" s="1" t="s">
        <v>24</v>
      </c>
      <c r="D1770" s="2">
        <v>45686.588194444441</v>
      </c>
      <c r="E1770" s="1">
        <v>4483061</v>
      </c>
      <c r="F1770" s="1" t="s">
        <v>939</v>
      </c>
      <c r="G1770" s="1" t="s">
        <v>940</v>
      </c>
      <c r="H1770" s="2">
        <v>45686.69027777778</v>
      </c>
      <c r="I1770" s="2">
        <v>45825.440972222219</v>
      </c>
      <c r="J1770" s="1" t="s">
        <v>14</v>
      </c>
    </row>
    <row r="1771" spans="1:10" hidden="1" x14ac:dyDescent="0.25">
      <c r="A1771" s="1" t="str">
        <f>_xlfn.XLOOKUP(E1771,Base!G:G,Base!C:C,"NOVO")</f>
        <v>PENDENTE</v>
      </c>
      <c r="B1771" s="1">
        <v>3214628</v>
      </c>
      <c r="C1771" s="1" t="s">
        <v>24</v>
      </c>
      <c r="D1771" s="2">
        <v>45687.756944444445</v>
      </c>
      <c r="E1771" s="1">
        <v>4484129</v>
      </c>
      <c r="F1771" s="1" t="s">
        <v>946</v>
      </c>
      <c r="G1771" s="1" t="s">
        <v>947</v>
      </c>
      <c r="H1771" s="2">
        <v>45688.37777777778</v>
      </c>
      <c r="J1771" s="1" t="s">
        <v>14</v>
      </c>
    </row>
    <row r="1772" spans="1:10" hidden="1" x14ac:dyDescent="0.25">
      <c r="A1772" s="1" t="str">
        <f>_xlfn.XLOOKUP(E1772,Base!G:G,Base!C:C,"NOVO")</f>
        <v>PENDENTE</v>
      </c>
      <c r="B1772" s="1">
        <v>3214637</v>
      </c>
      <c r="C1772" s="1" t="s">
        <v>24</v>
      </c>
      <c r="D1772" s="2">
        <v>45687.761111111111</v>
      </c>
      <c r="E1772" s="1">
        <v>4484134</v>
      </c>
      <c r="F1772" s="1" t="s">
        <v>941</v>
      </c>
      <c r="G1772" s="1" t="s">
        <v>942</v>
      </c>
      <c r="H1772" s="2">
        <v>45688.384722222225</v>
      </c>
      <c r="J1772" s="1" t="s">
        <v>14</v>
      </c>
    </row>
    <row r="1773" spans="1:10" hidden="1" x14ac:dyDescent="0.25">
      <c r="A1773" s="1" t="str">
        <f>_xlfn.XLOOKUP(E1773,Base!G:G,Base!C:C,"NOVO")</f>
        <v>PENDENTE</v>
      </c>
      <c r="B1773" s="1">
        <v>3220697</v>
      </c>
      <c r="C1773" s="1" t="s">
        <v>24</v>
      </c>
      <c r="D1773" s="2">
        <v>45691.467361111114</v>
      </c>
      <c r="E1773" s="1">
        <v>4485088</v>
      </c>
      <c r="F1773" s="1" t="s">
        <v>943</v>
      </c>
      <c r="G1773" s="1" t="s">
        <v>944</v>
      </c>
      <c r="H1773" s="2">
        <v>45691.683333333334</v>
      </c>
      <c r="I1773" s="2">
        <v>45825.440972222219</v>
      </c>
      <c r="J1773" s="1" t="s">
        <v>14</v>
      </c>
    </row>
    <row r="1774" spans="1:10" hidden="1" x14ac:dyDescent="0.25">
      <c r="A1774" s="1" t="str">
        <f>_xlfn.XLOOKUP(E1774,Base!G:G,Base!C:C,"NOVO")</f>
        <v>PENDENTE</v>
      </c>
      <c r="B1774" s="1">
        <v>3222452</v>
      </c>
      <c r="C1774" s="1" t="s">
        <v>24</v>
      </c>
      <c r="D1774" s="2">
        <v>45691.73541666667</v>
      </c>
      <c r="E1774" s="1">
        <v>4485474</v>
      </c>
      <c r="F1774" s="1" t="s">
        <v>948</v>
      </c>
      <c r="G1774" s="1" t="s">
        <v>949</v>
      </c>
      <c r="H1774" s="2">
        <v>45692.384722222225</v>
      </c>
      <c r="J1774" s="1" t="s">
        <v>14</v>
      </c>
    </row>
    <row r="1775" spans="1:10" hidden="1" x14ac:dyDescent="0.25">
      <c r="A1775" s="1" t="str">
        <f>_xlfn.XLOOKUP(E1775,Base!G:G,Base!C:C,"NOVO")</f>
        <v>PENDENTE</v>
      </c>
      <c r="B1775" s="1">
        <v>3313196</v>
      </c>
      <c r="C1775" s="1" t="s">
        <v>24</v>
      </c>
      <c r="D1775" s="2">
        <v>45692.787499999999</v>
      </c>
      <c r="E1775" s="1">
        <v>4486393</v>
      </c>
      <c r="F1775" s="1" t="s">
        <v>945</v>
      </c>
      <c r="G1775" s="1" t="s">
        <v>423</v>
      </c>
      <c r="H1775" s="2">
        <v>45736.462500000001</v>
      </c>
      <c r="I1775" s="2">
        <v>45825.440972222219</v>
      </c>
      <c r="J1775" s="1" t="s">
        <v>1244</v>
      </c>
    </row>
    <row r="1776" spans="1:10" hidden="1" x14ac:dyDescent="0.25">
      <c r="A1776" s="1" t="str">
        <f>_xlfn.XLOOKUP(E1776,Base!G:G,Base!C:C,"NOVO")</f>
        <v>PENDENTE</v>
      </c>
      <c r="B1776" s="1">
        <v>3225191</v>
      </c>
      <c r="C1776" s="1" t="s">
        <v>24</v>
      </c>
      <c r="D1776" s="2">
        <v>45692.797222222223</v>
      </c>
      <c r="E1776" s="1">
        <v>4486399</v>
      </c>
      <c r="F1776" s="1" t="s">
        <v>1036</v>
      </c>
      <c r="G1776" s="1" t="s">
        <v>1037</v>
      </c>
      <c r="H1776" s="2">
        <v>45693.399305555555</v>
      </c>
      <c r="J1776" s="1" t="s">
        <v>14</v>
      </c>
    </row>
    <row r="1777" spans="1:10" hidden="1" x14ac:dyDescent="0.25">
      <c r="A1777" s="1" t="str">
        <f>_xlfn.XLOOKUP(E1777,Base!G:G,Base!C:C,"NOVO")</f>
        <v>PENDENTE</v>
      </c>
      <c r="B1777" s="1">
        <v>3225181</v>
      </c>
      <c r="C1777" s="1" t="s">
        <v>24</v>
      </c>
      <c r="D1777" s="2">
        <v>45692.859027777777</v>
      </c>
      <c r="E1777" s="1">
        <v>4486419</v>
      </c>
      <c r="F1777" s="1" t="s">
        <v>1038</v>
      </c>
      <c r="G1777" s="1" t="s">
        <v>1039</v>
      </c>
      <c r="H1777" s="2">
        <v>45693.39166666667</v>
      </c>
      <c r="J1777" s="1" t="s">
        <v>14</v>
      </c>
    </row>
    <row r="1778" spans="1:10" hidden="1" x14ac:dyDescent="0.25">
      <c r="A1778" s="1" t="str">
        <f>_xlfn.XLOOKUP(E1778,Base!G:G,Base!C:C,"NOVO")</f>
        <v>PENDENTE</v>
      </c>
      <c r="B1778" s="1">
        <v>3225511</v>
      </c>
      <c r="C1778" s="1" t="s">
        <v>24</v>
      </c>
      <c r="D1778" s="2">
        <v>45693.427777777775</v>
      </c>
      <c r="E1778" s="1">
        <v>4486586</v>
      </c>
      <c r="F1778" s="1">
        <v>4486586</v>
      </c>
      <c r="G1778" s="1" t="s">
        <v>77</v>
      </c>
      <c r="H1778" s="2">
        <v>45693.441666666666</v>
      </c>
      <c r="I1778" s="2">
        <v>45825.440972222219</v>
      </c>
      <c r="J1778" s="1" t="s">
        <v>14</v>
      </c>
    </row>
    <row r="1779" spans="1:10" hidden="1" x14ac:dyDescent="0.25">
      <c r="A1779" s="1" t="str">
        <f>_xlfn.XLOOKUP(E1779,Base!G:G,Base!C:C,"NOVO")</f>
        <v>PENDENTE</v>
      </c>
      <c r="B1779" s="1">
        <v>3238510</v>
      </c>
      <c r="C1779" s="1" t="s">
        <v>24</v>
      </c>
      <c r="D1779" s="2">
        <v>45699.458333333336</v>
      </c>
      <c r="E1779" s="1">
        <v>4489769</v>
      </c>
      <c r="F1779" s="1">
        <v>4489769</v>
      </c>
      <c r="G1779" s="1" t="s">
        <v>77</v>
      </c>
      <c r="H1779" s="2">
        <v>45699.482638888891</v>
      </c>
      <c r="I1779" s="2">
        <v>45825.440972222219</v>
      </c>
      <c r="J1779" s="1" t="s">
        <v>14</v>
      </c>
    </row>
    <row r="1780" spans="1:10" hidden="1" x14ac:dyDescent="0.25">
      <c r="A1780" s="1" t="str">
        <f>_xlfn.XLOOKUP(E1780,Base!G:G,Base!C:C,"NOVO")</f>
        <v>PENDENTE</v>
      </c>
      <c r="B1780" s="1">
        <v>3241458</v>
      </c>
      <c r="C1780" s="1" t="s">
        <v>24</v>
      </c>
      <c r="D1780" s="2">
        <v>45700.409722222219</v>
      </c>
      <c r="E1780" s="1">
        <v>4490304</v>
      </c>
      <c r="F1780" s="1" t="s">
        <v>1237</v>
      </c>
      <c r="G1780" s="1" t="s">
        <v>1238</v>
      </c>
      <c r="H1780" s="2">
        <v>45700.559027777781</v>
      </c>
      <c r="I1780" s="2">
        <v>45825.440972222219</v>
      </c>
      <c r="J1780" s="1" t="s">
        <v>19</v>
      </c>
    </row>
    <row r="1781" spans="1:10" hidden="1" x14ac:dyDescent="0.25">
      <c r="A1781" s="1" t="str">
        <f>_xlfn.XLOOKUP(E1781,Base!G:G,Base!C:C,"NOVO")</f>
        <v>PENDENTE</v>
      </c>
      <c r="B1781" s="1">
        <v>3246079</v>
      </c>
      <c r="C1781" s="1" t="s">
        <v>24</v>
      </c>
      <c r="D1781" s="2">
        <v>45701.795138888891</v>
      </c>
      <c r="E1781" s="1">
        <v>4491554</v>
      </c>
      <c r="F1781" s="1" t="s">
        <v>1239</v>
      </c>
      <c r="G1781" s="1" t="s">
        <v>1240</v>
      </c>
      <c r="H1781" s="2">
        <v>45702.265972222223</v>
      </c>
      <c r="I1781" s="2">
        <v>45825.440972222219</v>
      </c>
      <c r="J1781" s="1" t="s">
        <v>14</v>
      </c>
    </row>
    <row r="1782" spans="1:10" hidden="1" x14ac:dyDescent="0.25">
      <c r="A1782" s="1" t="str">
        <f>_xlfn.XLOOKUP(E1782,Base!G:G,Base!C:C,"NOVO")</f>
        <v>PENDENTE</v>
      </c>
      <c r="B1782" s="1">
        <v>3279961</v>
      </c>
      <c r="C1782" s="1" t="s">
        <v>24</v>
      </c>
      <c r="D1782" s="2">
        <v>45721.386805555558</v>
      </c>
      <c r="E1782" s="1">
        <v>4500166</v>
      </c>
      <c r="F1782" s="1">
        <v>4500166</v>
      </c>
      <c r="G1782" s="1" t="s">
        <v>77</v>
      </c>
      <c r="H1782" s="2">
        <v>45721.393055555556</v>
      </c>
      <c r="I1782" s="2">
        <v>45825.440972222219</v>
      </c>
      <c r="J1782" s="1" t="s">
        <v>14</v>
      </c>
    </row>
    <row r="1783" spans="1:10" hidden="1" x14ac:dyDescent="0.25">
      <c r="A1783" s="1" t="str">
        <f>_xlfn.XLOOKUP(E1783,Base!G:G,Base!C:C,"NOVO")</f>
        <v>PENDENTE</v>
      </c>
      <c r="B1783" s="1">
        <v>3280983</v>
      </c>
      <c r="C1783" s="1" t="s">
        <v>24</v>
      </c>
      <c r="D1783" s="2">
        <v>45721.679166666669</v>
      </c>
      <c r="E1783" s="1">
        <v>4500599</v>
      </c>
      <c r="F1783" s="1" t="s">
        <v>1369</v>
      </c>
      <c r="G1783" s="1" t="s">
        <v>1370</v>
      </c>
      <c r="H1783" s="2">
        <v>45721.686805555553</v>
      </c>
      <c r="I1783" s="2">
        <v>45825.440972222219</v>
      </c>
      <c r="J1783" s="1" t="s">
        <v>14</v>
      </c>
    </row>
    <row r="1784" spans="1:10" hidden="1" x14ac:dyDescent="0.25">
      <c r="A1784" s="1" t="str">
        <f>_xlfn.XLOOKUP(E1784,Base!G:G,Base!C:C,"NOVO")</f>
        <v>PENDENTE</v>
      </c>
      <c r="B1784" s="1">
        <v>3315899</v>
      </c>
      <c r="C1784" s="1" t="s">
        <v>24</v>
      </c>
      <c r="D1784" s="2">
        <v>45728.657638888886</v>
      </c>
      <c r="E1784" s="1">
        <v>4504794</v>
      </c>
      <c r="F1784" s="1" t="s">
        <v>1923</v>
      </c>
      <c r="G1784" s="1" t="s">
        <v>1924</v>
      </c>
      <c r="H1784" s="2">
        <v>45737.441666666666</v>
      </c>
      <c r="I1784" s="2">
        <v>45825.440972222219</v>
      </c>
      <c r="J1784" s="1" t="s">
        <v>14</v>
      </c>
    </row>
    <row r="1785" spans="1:10" hidden="1" x14ac:dyDescent="0.25">
      <c r="A1785" s="1" t="str">
        <f>_xlfn.XLOOKUP(E1785,Base!G:G,Base!C:C,"NOVO")</f>
        <v>PENDENTE</v>
      </c>
      <c r="B1785" s="1">
        <v>3301259</v>
      </c>
      <c r="C1785" s="1" t="s">
        <v>24</v>
      </c>
      <c r="D1785" s="2">
        <v>45729.35</v>
      </c>
      <c r="E1785" s="1">
        <v>4505036</v>
      </c>
      <c r="F1785" s="1" t="s">
        <v>1624</v>
      </c>
      <c r="G1785" s="1" t="s">
        <v>1625</v>
      </c>
      <c r="H1785" s="2">
        <v>45730.655555555553</v>
      </c>
      <c r="I1785" s="2">
        <v>45825.440972222219</v>
      </c>
      <c r="J1785" s="1" t="s">
        <v>14</v>
      </c>
    </row>
    <row r="1786" spans="1:10" hidden="1" x14ac:dyDescent="0.25">
      <c r="A1786" s="1" t="str">
        <f>_xlfn.XLOOKUP(E1786,Base!G:G,Base!C:C,"NOVO")</f>
        <v>PENDENTE</v>
      </c>
      <c r="B1786" s="1">
        <v>3301260</v>
      </c>
      <c r="C1786" s="1" t="s">
        <v>24</v>
      </c>
      <c r="D1786" s="2">
        <v>45729.35</v>
      </c>
      <c r="E1786" s="1">
        <v>4505036</v>
      </c>
      <c r="F1786" s="1" t="s">
        <v>70</v>
      </c>
      <c r="G1786" s="1" t="s">
        <v>71</v>
      </c>
      <c r="H1786" s="2">
        <v>45730.655555555553</v>
      </c>
      <c r="I1786" s="2">
        <v>45825.440972222219</v>
      </c>
      <c r="J1786" s="1" t="s">
        <v>14</v>
      </c>
    </row>
    <row r="1787" spans="1:10" hidden="1" x14ac:dyDescent="0.25">
      <c r="A1787" s="1" t="str">
        <f>_xlfn.XLOOKUP(E1787,Base!G:G,Base!C:C,"NOVO")</f>
        <v>PENDENTE</v>
      </c>
      <c r="B1787" s="1">
        <v>3368368</v>
      </c>
      <c r="C1787" s="1" t="s">
        <v>24</v>
      </c>
      <c r="D1787" s="2">
        <v>45740.472916666666</v>
      </c>
      <c r="E1787" s="1">
        <v>4510978</v>
      </c>
      <c r="F1787" s="1">
        <v>4510978</v>
      </c>
      <c r="G1787" s="1" t="s">
        <v>77</v>
      </c>
      <c r="H1787" s="2">
        <v>45763.384722222225</v>
      </c>
      <c r="I1787" s="2">
        <v>45825.440972222219</v>
      </c>
      <c r="J1787" s="1" t="s">
        <v>14</v>
      </c>
    </row>
    <row r="1788" spans="1:10" hidden="1" x14ac:dyDescent="0.25">
      <c r="A1788" s="1" t="str">
        <f>_xlfn.XLOOKUP(E1788,Base!G:G,Base!C:C,"NOVO")</f>
        <v>PENDENTE</v>
      </c>
      <c r="B1788" s="1">
        <v>3337785</v>
      </c>
      <c r="C1788" s="1" t="s">
        <v>24</v>
      </c>
      <c r="D1788" s="2">
        <v>45747.438194444447</v>
      </c>
      <c r="E1788" s="1">
        <v>4514729</v>
      </c>
      <c r="F1788" s="1">
        <v>4514729</v>
      </c>
      <c r="G1788" s="1" t="s">
        <v>77</v>
      </c>
      <c r="H1788" s="2">
        <v>45748.756249999999</v>
      </c>
      <c r="I1788" s="2">
        <v>45825.440972222219</v>
      </c>
      <c r="J1788" s="1" t="s">
        <v>14</v>
      </c>
    </row>
    <row r="1789" spans="1:10" hidden="1" x14ac:dyDescent="0.25">
      <c r="A1789" s="1" t="str">
        <f>_xlfn.XLOOKUP(E1789,Base!G:G,Base!C:C,"NOVO")</f>
        <v>PENDENTE</v>
      </c>
      <c r="B1789" s="1">
        <v>3347752</v>
      </c>
      <c r="C1789" s="1" t="s">
        <v>24</v>
      </c>
      <c r="D1789" s="2">
        <v>45747.450694444444</v>
      </c>
      <c r="E1789" s="1">
        <v>4514760</v>
      </c>
      <c r="F1789" s="1" t="s">
        <v>1925</v>
      </c>
      <c r="G1789" s="1" t="s">
        <v>1926</v>
      </c>
      <c r="H1789" s="2">
        <v>45751.711805555555</v>
      </c>
      <c r="I1789" s="2">
        <v>45825.440972222219</v>
      </c>
      <c r="J1789" s="1" t="s">
        <v>14</v>
      </c>
    </row>
    <row r="1790" spans="1:10" hidden="1" x14ac:dyDescent="0.25">
      <c r="A1790" s="1" t="str">
        <f>_xlfn.XLOOKUP(E1790,Base!G:G,Base!C:C,"NOVO")</f>
        <v>PENDENTE</v>
      </c>
      <c r="B1790" s="1">
        <v>3343655</v>
      </c>
      <c r="C1790" s="1" t="s">
        <v>24</v>
      </c>
      <c r="D1790" s="2">
        <v>45748.55</v>
      </c>
      <c r="E1790" s="1">
        <v>4515692</v>
      </c>
      <c r="F1790" s="1">
        <v>4515692</v>
      </c>
      <c r="G1790" s="1" t="s">
        <v>77</v>
      </c>
      <c r="H1790" s="2">
        <v>45750.412499999999</v>
      </c>
      <c r="I1790" s="2">
        <v>45825.440972222219</v>
      </c>
      <c r="J1790" s="1" t="s">
        <v>14</v>
      </c>
    </row>
    <row r="1791" spans="1:10" hidden="1" x14ac:dyDescent="0.25">
      <c r="A1791" s="1" t="str">
        <f>_xlfn.XLOOKUP(E1791,Base!G:G,Base!C:C,"NOVO")</f>
        <v>PENDENTE</v>
      </c>
      <c r="B1791" s="1">
        <v>3343656</v>
      </c>
      <c r="C1791" s="1" t="s">
        <v>24</v>
      </c>
      <c r="D1791" s="2">
        <v>45748.654861111114</v>
      </c>
      <c r="E1791" s="1">
        <v>4515952</v>
      </c>
      <c r="F1791" s="1">
        <v>4515952</v>
      </c>
      <c r="G1791" s="1" t="s">
        <v>77</v>
      </c>
      <c r="H1791" s="2">
        <v>45750.412499999999</v>
      </c>
      <c r="I1791" s="2">
        <v>45825.440972222219</v>
      </c>
      <c r="J1791" s="1" t="s">
        <v>14</v>
      </c>
    </row>
    <row r="1792" spans="1:10" hidden="1" x14ac:dyDescent="0.25">
      <c r="A1792" s="1" t="str">
        <f>_xlfn.XLOOKUP(E1792,Base!G:G,Base!C:C,"NOVO")</f>
        <v>PENDENTE</v>
      </c>
      <c r="B1792" s="1">
        <v>3343799</v>
      </c>
      <c r="C1792" s="1" t="s">
        <v>24</v>
      </c>
      <c r="D1792" s="2">
        <v>45750.438194444447</v>
      </c>
      <c r="E1792" s="1">
        <v>4517446</v>
      </c>
      <c r="F1792" s="1">
        <v>4517446</v>
      </c>
      <c r="G1792" s="1" t="s">
        <v>77</v>
      </c>
      <c r="H1792" s="2">
        <v>45750.470138888886</v>
      </c>
      <c r="I1792" s="2">
        <v>45825.440972222219</v>
      </c>
      <c r="J1792" s="1" t="s">
        <v>14</v>
      </c>
    </row>
    <row r="1793" spans="1:10" hidden="1" x14ac:dyDescent="0.25">
      <c r="A1793" s="1" t="str">
        <f>_xlfn.XLOOKUP(E1793,Base!G:G,Base!C:C,"NOVO")</f>
        <v>PENDENTE</v>
      </c>
      <c r="B1793" s="1">
        <v>3345755</v>
      </c>
      <c r="C1793" s="1" t="s">
        <v>24</v>
      </c>
      <c r="D1793" s="2">
        <v>45750.456250000003</v>
      </c>
      <c r="E1793" s="1">
        <v>4517490</v>
      </c>
      <c r="F1793" s="1" t="s">
        <v>1927</v>
      </c>
      <c r="G1793" s="1" t="s">
        <v>196</v>
      </c>
      <c r="H1793" s="2">
        <v>45750.787499999999</v>
      </c>
      <c r="I1793" s="2">
        <v>45825.440972222219</v>
      </c>
      <c r="J1793" s="1" t="s">
        <v>18</v>
      </c>
    </row>
    <row r="1794" spans="1:10" hidden="1" x14ac:dyDescent="0.25">
      <c r="A1794" s="1" t="str">
        <f>_xlfn.XLOOKUP(E1794,Base!G:G,Base!C:C,"NOVO")</f>
        <v>PENDENTE</v>
      </c>
      <c r="B1794" s="1">
        <v>3345756</v>
      </c>
      <c r="C1794" s="1" t="s">
        <v>24</v>
      </c>
      <c r="D1794" s="2">
        <v>45750.456250000003</v>
      </c>
      <c r="E1794" s="1">
        <v>4517490</v>
      </c>
      <c r="F1794" s="1" t="s">
        <v>1928</v>
      </c>
      <c r="G1794" s="1" t="s">
        <v>196</v>
      </c>
      <c r="H1794" s="2">
        <v>45750.787499999999</v>
      </c>
      <c r="I1794" s="2">
        <v>45825.440972222219</v>
      </c>
      <c r="J1794" s="1" t="s">
        <v>18</v>
      </c>
    </row>
    <row r="1795" spans="1:10" hidden="1" x14ac:dyDescent="0.25">
      <c r="A1795" s="1" t="str">
        <f>_xlfn.XLOOKUP(E1795,Base!G:G,Base!C:C,"NOVO")</f>
        <v>PENDENTE</v>
      </c>
      <c r="B1795" s="1">
        <v>3361603</v>
      </c>
      <c r="C1795" s="1" t="s">
        <v>24</v>
      </c>
      <c r="D1795" s="2">
        <v>45754.369444444441</v>
      </c>
      <c r="E1795" s="1">
        <v>4518928</v>
      </c>
      <c r="F1795" s="1">
        <v>4518928</v>
      </c>
      <c r="G1795" s="1" t="s">
        <v>77</v>
      </c>
      <c r="H1795" s="2">
        <v>45758.795138888891</v>
      </c>
      <c r="I1795" s="2">
        <v>45825.440972222219</v>
      </c>
      <c r="J1795" s="1" t="s">
        <v>14</v>
      </c>
    </row>
    <row r="1796" spans="1:10" hidden="1" x14ac:dyDescent="0.25">
      <c r="A1796" s="1" t="str">
        <f>_xlfn.XLOOKUP(E1796,Base!G:G,Base!C:C,"NOVO")</f>
        <v>PENDENTE</v>
      </c>
      <c r="B1796" s="1">
        <v>3368857</v>
      </c>
      <c r="C1796" s="1" t="s">
        <v>24</v>
      </c>
      <c r="D1796" s="2">
        <v>45762.478472222225</v>
      </c>
      <c r="E1796" s="1">
        <v>4523332</v>
      </c>
      <c r="F1796" s="1">
        <v>4523332</v>
      </c>
      <c r="G1796" s="1" t="s">
        <v>77</v>
      </c>
      <c r="H1796" s="2">
        <v>45763.544444444444</v>
      </c>
      <c r="I1796" s="2">
        <v>45825.440972222219</v>
      </c>
      <c r="J1796" s="1" t="s">
        <v>14</v>
      </c>
    </row>
    <row r="1797" spans="1:10" hidden="1" x14ac:dyDescent="0.25">
      <c r="A1797" s="1" t="str">
        <f>_xlfn.XLOOKUP(E1797,Base!G:G,Base!C:C,"NOVO")</f>
        <v>PENDENTE</v>
      </c>
      <c r="B1797" s="1">
        <v>3374621</v>
      </c>
      <c r="C1797" s="1" t="s">
        <v>24</v>
      </c>
      <c r="D1797" s="2">
        <v>45767.620833333334</v>
      </c>
      <c r="E1797" s="1">
        <v>4525379</v>
      </c>
      <c r="F1797" s="1">
        <v>4525379</v>
      </c>
      <c r="G1797" s="1" t="s">
        <v>77</v>
      </c>
      <c r="H1797" s="2">
        <v>45767.634027777778</v>
      </c>
      <c r="I1797" s="2">
        <v>45825.440972222219</v>
      </c>
      <c r="J1797" s="1" t="s">
        <v>14</v>
      </c>
    </row>
    <row r="1798" spans="1:10" hidden="1" x14ac:dyDescent="0.25">
      <c r="A1798" s="1" t="str">
        <f>_xlfn.XLOOKUP(E1798,Base!G:G,Base!C:C,"NOVO")</f>
        <v>PENDENTE</v>
      </c>
      <c r="B1798" s="1">
        <v>3378774</v>
      </c>
      <c r="C1798" s="1" t="s">
        <v>24</v>
      </c>
      <c r="D1798" s="2">
        <v>45769.366666666669</v>
      </c>
      <c r="E1798" s="1">
        <v>4525508</v>
      </c>
      <c r="F1798" s="1">
        <v>18094072</v>
      </c>
      <c r="G1798" s="1" t="s">
        <v>2140</v>
      </c>
      <c r="H1798" s="2">
        <v>45770.677083333336</v>
      </c>
      <c r="J1798" s="1" t="s">
        <v>1244</v>
      </c>
    </row>
    <row r="1799" spans="1:10" hidden="1" x14ac:dyDescent="0.25">
      <c r="A1799" s="1" t="str">
        <f>_xlfn.XLOOKUP(E1799,Base!G:G,Base!C:C,"NOVO")</f>
        <v>PENDENTE</v>
      </c>
      <c r="B1799" s="1">
        <v>3377643</v>
      </c>
      <c r="C1799" s="1" t="s">
        <v>24</v>
      </c>
      <c r="D1799" s="2">
        <v>45770.003472222219</v>
      </c>
      <c r="E1799" s="1">
        <v>4526239</v>
      </c>
      <c r="F1799" s="1">
        <v>4526239</v>
      </c>
      <c r="G1799" s="1" t="s">
        <v>77</v>
      </c>
      <c r="H1799" s="2">
        <v>45770.023611111108</v>
      </c>
      <c r="I1799" s="2">
        <v>45825.441666666666</v>
      </c>
      <c r="J1799" s="1" t="s">
        <v>14</v>
      </c>
    </row>
    <row r="1800" spans="1:10" hidden="1" x14ac:dyDescent="0.25">
      <c r="A1800" s="1" t="str">
        <f>_xlfn.XLOOKUP(E1800,Base!G:G,Base!C:C,"NOVO")</f>
        <v>PENDENTE</v>
      </c>
      <c r="B1800" s="1">
        <v>3393853</v>
      </c>
      <c r="C1800" s="1" t="s">
        <v>24</v>
      </c>
      <c r="D1800" s="2">
        <v>45777.731944444444</v>
      </c>
      <c r="E1800" s="1">
        <v>4530810</v>
      </c>
      <c r="F1800" s="1" t="s">
        <v>2275</v>
      </c>
      <c r="G1800" s="1" t="s">
        <v>196</v>
      </c>
      <c r="H1800" s="2">
        <v>45777.75</v>
      </c>
      <c r="I1800" s="2">
        <v>45825.441666666666</v>
      </c>
      <c r="J1800" s="1" t="s">
        <v>18</v>
      </c>
    </row>
    <row r="1801" spans="1:10" x14ac:dyDescent="0.25">
      <c r="A1801" s="1" t="str">
        <f>_xlfn.XLOOKUP(E1801,Base!G:G,Base!C:C,"NOVO")</f>
        <v>PENDENTE</v>
      </c>
      <c r="B1801" s="1">
        <v>3479925</v>
      </c>
      <c r="C1801" s="1" t="s">
        <v>24</v>
      </c>
      <c r="D1801" s="2">
        <v>45779.717361111114</v>
      </c>
      <c r="E1801" s="1">
        <v>4531374</v>
      </c>
      <c r="F1801" s="1">
        <v>4531374</v>
      </c>
      <c r="G1801" s="1" t="s">
        <v>77</v>
      </c>
      <c r="H1801" s="2">
        <v>45820.71875</v>
      </c>
      <c r="I1801" s="2">
        <v>45825.441666666666</v>
      </c>
      <c r="J1801" s="1" t="s">
        <v>14</v>
      </c>
    </row>
    <row r="1802" spans="1:10" hidden="1" x14ac:dyDescent="0.25">
      <c r="A1802" s="1" t="str">
        <f>_xlfn.XLOOKUP(E1802,Base!G:G,Base!C:C,"NOVO")</f>
        <v>PENDENTE</v>
      </c>
      <c r="B1802" s="1">
        <v>3405245</v>
      </c>
      <c r="C1802" s="1" t="s">
        <v>24</v>
      </c>
      <c r="D1802" s="2">
        <v>45783.378472222219</v>
      </c>
      <c r="E1802" s="1">
        <v>4532541</v>
      </c>
      <c r="F1802" s="1" t="s">
        <v>2276</v>
      </c>
      <c r="G1802" s="1" t="s">
        <v>196</v>
      </c>
      <c r="H1802" s="2">
        <v>45784.406944444447</v>
      </c>
      <c r="I1802" s="2">
        <v>45825.441666666666</v>
      </c>
      <c r="J1802" s="1" t="s">
        <v>18</v>
      </c>
    </row>
    <row r="1803" spans="1:10" hidden="1" x14ac:dyDescent="0.25">
      <c r="A1803" s="1" t="str">
        <f>_xlfn.XLOOKUP(E1803,Base!G:G,Base!C:C,"NOVO")</f>
        <v>PENDENTE</v>
      </c>
      <c r="B1803" s="1">
        <v>3413610</v>
      </c>
      <c r="C1803" s="1" t="s">
        <v>24</v>
      </c>
      <c r="D1803" s="2">
        <v>45788.510416666664</v>
      </c>
      <c r="E1803" s="1">
        <v>4535285</v>
      </c>
      <c r="F1803" s="1">
        <v>4535285</v>
      </c>
      <c r="G1803" s="1" t="s">
        <v>77</v>
      </c>
      <c r="H1803" s="2">
        <v>45788.731249999997</v>
      </c>
      <c r="I1803" s="2">
        <v>45825.441666666666</v>
      </c>
      <c r="J1803" s="1" t="s">
        <v>14</v>
      </c>
    </row>
    <row r="1804" spans="1:10" hidden="1" x14ac:dyDescent="0.25">
      <c r="A1804" s="1" t="str">
        <f>_xlfn.XLOOKUP(E1804,Base!G:G,Base!C:C,"NOVO")</f>
        <v>PENDENTE</v>
      </c>
      <c r="B1804" s="1">
        <v>3417643</v>
      </c>
      <c r="C1804" s="1" t="s">
        <v>24</v>
      </c>
      <c r="D1804" s="2">
        <v>45789.521527777775</v>
      </c>
      <c r="E1804" s="1">
        <v>4535649</v>
      </c>
      <c r="F1804" s="1">
        <v>4535649</v>
      </c>
      <c r="G1804" s="1" t="s">
        <v>77</v>
      </c>
      <c r="H1804" s="2">
        <v>45790.70416666667</v>
      </c>
      <c r="I1804" s="2">
        <v>45825.441666666666</v>
      </c>
      <c r="J1804" s="1" t="s">
        <v>14</v>
      </c>
    </row>
    <row r="1805" spans="1:10" hidden="1" x14ac:dyDescent="0.25">
      <c r="A1805" s="1" t="str">
        <f>_xlfn.XLOOKUP(E1805,Base!G:G,Base!C:C,"NOVO")</f>
        <v>PENDENTE</v>
      </c>
      <c r="B1805" s="1">
        <v>3421851</v>
      </c>
      <c r="C1805" s="1" t="s">
        <v>24</v>
      </c>
      <c r="D1805" s="2">
        <v>45791.953472222223</v>
      </c>
      <c r="E1805" s="1">
        <v>4537303</v>
      </c>
      <c r="F1805" s="1">
        <v>4537303</v>
      </c>
      <c r="G1805" s="1" t="s">
        <v>77</v>
      </c>
      <c r="H1805" s="2">
        <v>45791.968055555553</v>
      </c>
      <c r="I1805" s="2">
        <v>45825.441666666666</v>
      </c>
      <c r="J1805" s="1" t="s">
        <v>14</v>
      </c>
    </row>
    <row r="1806" spans="1:10" hidden="1" x14ac:dyDescent="0.25">
      <c r="A1806" s="1" t="str">
        <f>_xlfn.XLOOKUP(E1806,Base!G:G,Base!C:C,"NOVO")</f>
        <v>PENDENTE</v>
      </c>
      <c r="B1806" s="1">
        <v>3424667</v>
      </c>
      <c r="C1806" s="1" t="s">
        <v>24</v>
      </c>
      <c r="D1806" s="2">
        <v>45792.438194444447</v>
      </c>
      <c r="E1806" s="1">
        <v>4537444</v>
      </c>
      <c r="F1806" s="1" t="s">
        <v>2538</v>
      </c>
      <c r="G1806" s="1" t="s">
        <v>2539</v>
      </c>
      <c r="H1806" s="2">
        <v>45793.39166666667</v>
      </c>
      <c r="I1806" s="2">
        <v>45825.441666666666</v>
      </c>
      <c r="J1806" s="1" t="s">
        <v>1244</v>
      </c>
    </row>
    <row r="1807" spans="1:10" hidden="1" x14ac:dyDescent="0.25">
      <c r="A1807" s="1" t="str">
        <f>_xlfn.XLOOKUP(E1807,Base!G:G,Base!C:C,"NOVO")</f>
        <v>PENDENTE</v>
      </c>
      <c r="B1807" s="1">
        <v>3427937</v>
      </c>
      <c r="C1807" s="1" t="s">
        <v>24</v>
      </c>
      <c r="D1807" s="2">
        <v>45792.503472222219</v>
      </c>
      <c r="E1807" s="1">
        <v>4537550</v>
      </c>
      <c r="F1807" s="1">
        <v>4537550</v>
      </c>
      <c r="G1807" s="1" t="s">
        <v>77</v>
      </c>
      <c r="H1807" s="2">
        <v>45796.481944444444</v>
      </c>
      <c r="I1807" s="2">
        <v>45825.441666666666</v>
      </c>
      <c r="J1807" s="1" t="s">
        <v>14</v>
      </c>
    </row>
    <row r="1808" spans="1:10" hidden="1" x14ac:dyDescent="0.25">
      <c r="A1808" s="1" t="str">
        <f>_xlfn.XLOOKUP(E1808,Base!G:G,Base!C:C,"NOVO")</f>
        <v>PENDENTE</v>
      </c>
      <c r="B1808" s="1">
        <v>3427781</v>
      </c>
      <c r="C1808" s="1" t="s">
        <v>24</v>
      </c>
      <c r="D1808" s="2">
        <v>45793.386805555558</v>
      </c>
      <c r="E1808" s="1">
        <v>4538006</v>
      </c>
      <c r="F1808" s="1">
        <v>4538006</v>
      </c>
      <c r="G1808" s="1" t="s">
        <v>77</v>
      </c>
      <c r="H1808" s="2">
        <v>45796.426388888889</v>
      </c>
      <c r="I1808" s="2">
        <v>45825.441666666666</v>
      </c>
      <c r="J1808" s="1" t="s">
        <v>14</v>
      </c>
    </row>
    <row r="1809" spans="1:10" hidden="1" x14ac:dyDescent="0.25">
      <c r="A1809" s="1" t="str">
        <f>_xlfn.XLOOKUP(E1809,Base!G:G,Base!C:C,"NOVO")</f>
        <v>PENDENTE</v>
      </c>
      <c r="B1809" s="1">
        <v>3430949</v>
      </c>
      <c r="C1809" s="1" t="s">
        <v>24</v>
      </c>
      <c r="D1809" s="2">
        <v>45796.822916666664</v>
      </c>
      <c r="E1809" s="1">
        <v>4539589</v>
      </c>
      <c r="F1809" s="1" t="s">
        <v>2365</v>
      </c>
      <c r="G1809" s="1" t="s">
        <v>2540</v>
      </c>
      <c r="H1809" s="2">
        <v>45797.475694444445</v>
      </c>
      <c r="I1809" s="2">
        <v>45825.441666666666</v>
      </c>
      <c r="J1809" s="1" t="s">
        <v>19</v>
      </c>
    </row>
    <row r="1810" spans="1:10" hidden="1" x14ac:dyDescent="0.25">
      <c r="A1810" s="1" t="str">
        <f>_xlfn.XLOOKUP(E1810,Base!G:G,Base!C:C,"NOVO")</f>
        <v>PENDENTE</v>
      </c>
      <c r="B1810" s="1">
        <v>3432081</v>
      </c>
      <c r="C1810" s="1" t="s">
        <v>24</v>
      </c>
      <c r="D1810" s="2">
        <v>45797.495833333334</v>
      </c>
      <c r="E1810" s="1">
        <v>4539871</v>
      </c>
      <c r="F1810" s="1" t="s">
        <v>2541</v>
      </c>
      <c r="G1810" s="1" t="s">
        <v>2542</v>
      </c>
      <c r="H1810" s="2">
        <v>45797.690972222219</v>
      </c>
      <c r="I1810" s="2">
        <v>45825.441666666666</v>
      </c>
      <c r="J1810" s="1" t="s">
        <v>19</v>
      </c>
    </row>
    <row r="1811" spans="1:10" hidden="1" x14ac:dyDescent="0.25">
      <c r="A1811" s="1" t="str">
        <f>_xlfn.XLOOKUP(E1811,Base!G:G,Base!C:C,"NOVO")</f>
        <v>PENDENTE</v>
      </c>
      <c r="B1811" s="1">
        <v>3433158</v>
      </c>
      <c r="C1811" s="1" t="s">
        <v>24</v>
      </c>
      <c r="D1811" s="2">
        <v>45797.901388888888</v>
      </c>
      <c r="E1811" s="1">
        <v>4540356</v>
      </c>
      <c r="F1811" s="1">
        <v>4540356</v>
      </c>
      <c r="G1811" s="1" t="s">
        <v>77</v>
      </c>
      <c r="H1811" s="2">
        <v>45797.912499999999</v>
      </c>
      <c r="I1811" s="2">
        <v>45825.441666666666</v>
      </c>
      <c r="J1811" s="1" t="s">
        <v>14</v>
      </c>
    </row>
    <row r="1812" spans="1:10" hidden="1" x14ac:dyDescent="0.25">
      <c r="A1812" s="1" t="str">
        <f>_xlfn.XLOOKUP(E1812,Base!G:G,Base!C:C,"NOVO")</f>
        <v>PENDENTE</v>
      </c>
      <c r="B1812" s="1">
        <v>3435100</v>
      </c>
      <c r="C1812" s="1" t="s">
        <v>24</v>
      </c>
      <c r="D1812" s="2">
        <v>45798.73541666667</v>
      </c>
      <c r="E1812" s="1">
        <v>4540943</v>
      </c>
      <c r="F1812" s="1" t="s">
        <v>2543</v>
      </c>
      <c r="G1812" s="1" t="s">
        <v>196</v>
      </c>
      <c r="H1812" s="2">
        <v>45798.745833333334</v>
      </c>
      <c r="I1812" s="2">
        <v>45825.441666666666</v>
      </c>
      <c r="J1812" s="1" t="s">
        <v>18</v>
      </c>
    </row>
    <row r="1813" spans="1:10" hidden="1" x14ac:dyDescent="0.25">
      <c r="A1813" s="1" t="str">
        <f>_xlfn.XLOOKUP(E1813,Base!G:G,Base!C:C,"NOVO")</f>
        <v>PENDENTE</v>
      </c>
      <c r="B1813" s="1">
        <v>3440939</v>
      </c>
      <c r="C1813" s="1" t="s">
        <v>24</v>
      </c>
      <c r="D1813" s="2">
        <v>45800.581944444442</v>
      </c>
      <c r="E1813" s="1">
        <v>4542078</v>
      </c>
      <c r="F1813" s="1" t="s">
        <v>1923</v>
      </c>
      <c r="G1813" s="1" t="s">
        <v>1924</v>
      </c>
      <c r="H1813" s="2">
        <v>45800.845138888886</v>
      </c>
      <c r="I1813" s="2">
        <v>45825.441666666666</v>
      </c>
      <c r="J1813" s="1" t="s">
        <v>14</v>
      </c>
    </row>
    <row r="1814" spans="1:10" hidden="1" x14ac:dyDescent="0.25">
      <c r="A1814" s="1" t="str">
        <f>_xlfn.XLOOKUP(E1814,Base!G:G,Base!C:C,"NOVO")</f>
        <v>PENDENTE</v>
      </c>
      <c r="B1814" s="1">
        <v>3440965</v>
      </c>
      <c r="C1814" s="1" t="s">
        <v>24</v>
      </c>
      <c r="D1814" s="2">
        <v>45800.698611111111</v>
      </c>
      <c r="E1814" s="1">
        <v>4542319</v>
      </c>
      <c r="F1814" s="1">
        <v>4542319</v>
      </c>
      <c r="G1814" s="1" t="s">
        <v>77</v>
      </c>
      <c r="H1814" s="2">
        <v>45800.879861111112</v>
      </c>
      <c r="I1814" s="2">
        <v>45825.441666666666</v>
      </c>
      <c r="J1814" s="1" t="s">
        <v>14</v>
      </c>
    </row>
    <row r="1815" spans="1:10" hidden="1" x14ac:dyDescent="0.25">
      <c r="A1815" s="1" t="str">
        <f>_xlfn.XLOOKUP(E1815,Base!G:G,Base!C:C,"NOVO")</f>
        <v>PENDENTE</v>
      </c>
      <c r="B1815" s="1">
        <v>3444151</v>
      </c>
      <c r="C1815" s="1" t="s">
        <v>24</v>
      </c>
      <c r="D1815" s="2">
        <v>45803.917361111111</v>
      </c>
      <c r="E1815" s="1">
        <v>4543354</v>
      </c>
      <c r="F1815" s="1">
        <v>4543354</v>
      </c>
      <c r="G1815" s="1" t="s">
        <v>77</v>
      </c>
      <c r="H1815" s="2">
        <v>45803.926388888889</v>
      </c>
      <c r="I1815" s="2">
        <v>45825.441666666666</v>
      </c>
      <c r="J1815" s="1" t="s">
        <v>14</v>
      </c>
    </row>
    <row r="1816" spans="1:10" hidden="1" x14ac:dyDescent="0.25">
      <c r="A1816" s="1" t="str">
        <f>_xlfn.XLOOKUP(E1816,Base!G:G,Base!C:C,"NOVO")</f>
        <v>PENDENTE</v>
      </c>
      <c r="B1816" s="1">
        <v>3454339</v>
      </c>
      <c r="C1816" s="1" t="s">
        <v>24</v>
      </c>
      <c r="D1816" s="2">
        <v>45806.642361111109</v>
      </c>
      <c r="E1816" s="1">
        <v>4545181</v>
      </c>
      <c r="F1816" s="1" t="s">
        <v>2580</v>
      </c>
      <c r="G1816" s="1" t="s">
        <v>2581</v>
      </c>
      <c r="H1816" s="2">
        <v>45807.780555555553</v>
      </c>
      <c r="I1816" s="2">
        <v>45825.441666666666</v>
      </c>
      <c r="J1816" s="1" t="s">
        <v>19</v>
      </c>
    </row>
    <row r="1817" spans="1:10" hidden="1" x14ac:dyDescent="0.25">
      <c r="A1817" s="1" t="str">
        <f>_xlfn.XLOOKUP(E1817,Base!G:G,Base!C:C,"NOVO")</f>
        <v>PENDENTE</v>
      </c>
      <c r="B1817" s="1">
        <v>3455389</v>
      </c>
      <c r="C1817" s="1" t="s">
        <v>24</v>
      </c>
      <c r="D1817" s="2">
        <v>45807.843055555553</v>
      </c>
      <c r="E1817" s="1">
        <v>4545928</v>
      </c>
      <c r="F1817" s="1">
        <v>4545928</v>
      </c>
      <c r="G1817" s="1" t="s">
        <v>77</v>
      </c>
      <c r="H1817" s="2">
        <v>45809.62777777778</v>
      </c>
      <c r="I1817" s="2">
        <v>45825.441666666666</v>
      </c>
      <c r="J1817" s="1" t="s">
        <v>14</v>
      </c>
    </row>
    <row r="1818" spans="1:10" hidden="1" x14ac:dyDescent="0.25">
      <c r="A1818" s="1" t="str">
        <f>_xlfn.XLOOKUP(E1818,Base!G:G,Base!C:C,"NOVO")</f>
        <v>PENDENTE</v>
      </c>
      <c r="B1818" s="1">
        <v>3459258</v>
      </c>
      <c r="C1818" s="1" t="s">
        <v>24</v>
      </c>
      <c r="D1818" s="2">
        <v>45810.835416666669</v>
      </c>
      <c r="E1818" s="1">
        <v>4546746</v>
      </c>
      <c r="F1818" s="1">
        <v>4546746</v>
      </c>
      <c r="G1818" s="1" t="s">
        <v>77</v>
      </c>
      <c r="H1818" s="2">
        <v>45810.843055555553</v>
      </c>
      <c r="I1818" s="2">
        <v>45825.441666666666</v>
      </c>
      <c r="J1818" s="1" t="s">
        <v>14</v>
      </c>
    </row>
    <row r="1819" spans="1:10" hidden="1" x14ac:dyDescent="0.25">
      <c r="A1819" s="1" t="str">
        <f>_xlfn.XLOOKUP(E1819,Base!G:G,Base!C:C,"NOVO")</f>
        <v>PENDENTE</v>
      </c>
      <c r="B1819" s="1">
        <v>3460212</v>
      </c>
      <c r="C1819" s="1" t="s">
        <v>24</v>
      </c>
      <c r="D1819" s="2">
        <v>45811.364583333336</v>
      </c>
      <c r="E1819" s="1">
        <v>4546789</v>
      </c>
      <c r="F1819" s="1" t="s">
        <v>2592</v>
      </c>
      <c r="G1819" s="1" t="s">
        <v>2593</v>
      </c>
      <c r="H1819" s="2">
        <v>45811.380555555559</v>
      </c>
      <c r="I1819" s="2">
        <v>45825.441666666666</v>
      </c>
      <c r="J1819" s="1" t="s">
        <v>14</v>
      </c>
    </row>
    <row r="1820" spans="1:10" hidden="1" x14ac:dyDescent="0.25">
      <c r="A1820" s="1" t="str">
        <f>_xlfn.XLOOKUP(E1820,Base!G:G,Base!C:C,"NOVO")</f>
        <v>PENDENTE</v>
      </c>
      <c r="B1820" s="1">
        <v>3462669</v>
      </c>
      <c r="C1820" s="1" t="s">
        <v>24</v>
      </c>
      <c r="D1820" s="2">
        <v>45811.792361111111</v>
      </c>
      <c r="E1820" s="1">
        <v>4547415</v>
      </c>
      <c r="F1820" s="1">
        <v>4547415</v>
      </c>
      <c r="G1820" s="1" t="s">
        <v>77</v>
      </c>
      <c r="H1820" s="2">
        <v>45811.947222222225</v>
      </c>
      <c r="I1820" s="2">
        <v>45825.441666666666</v>
      </c>
      <c r="J1820" s="1" t="s">
        <v>14</v>
      </c>
    </row>
    <row r="1821" spans="1:10" x14ac:dyDescent="0.25">
      <c r="A1821" s="1" t="str">
        <f>_xlfn.XLOOKUP(E1821,Base!G:G,Base!C:C,"NOVO")</f>
        <v>PENDENTE</v>
      </c>
      <c r="B1821" s="1">
        <v>3473736</v>
      </c>
      <c r="C1821" s="1" t="s">
        <v>24</v>
      </c>
      <c r="D1821" s="2">
        <v>45813.682638888888</v>
      </c>
      <c r="E1821" s="1">
        <v>4548607</v>
      </c>
      <c r="F1821" s="1" t="s">
        <v>2764</v>
      </c>
      <c r="G1821" s="1" t="s">
        <v>2645</v>
      </c>
      <c r="H1821" s="2">
        <v>45818.490972222222</v>
      </c>
      <c r="I1821" s="2">
        <v>45825.441666666666</v>
      </c>
      <c r="J1821" s="1" t="s">
        <v>19</v>
      </c>
    </row>
    <row r="1822" spans="1:10" x14ac:dyDescent="0.25">
      <c r="A1822" s="1" t="str">
        <f>_xlfn.XLOOKUP(E1822,Base!G:G,Base!C:C,"NOVO")</f>
        <v>PENDENTE</v>
      </c>
      <c r="B1822" s="1">
        <v>3470547</v>
      </c>
      <c r="C1822" s="1" t="s">
        <v>24</v>
      </c>
      <c r="D1822" s="2">
        <v>45814.938194444447</v>
      </c>
      <c r="E1822" s="1">
        <v>4549295</v>
      </c>
      <c r="F1822" s="1">
        <v>4549295</v>
      </c>
      <c r="G1822" s="1" t="s">
        <v>77</v>
      </c>
      <c r="H1822" s="2">
        <v>45814.948611111111</v>
      </c>
      <c r="I1822" s="2">
        <v>45825.441666666666</v>
      </c>
      <c r="J1822" s="1" t="s">
        <v>14</v>
      </c>
    </row>
    <row r="1823" spans="1:10" x14ac:dyDescent="0.25">
      <c r="A1823" s="1" t="str">
        <f>_xlfn.XLOOKUP(E1823,Base!G:G,Base!C:C,"NOVO")</f>
        <v>PENDENTE</v>
      </c>
      <c r="B1823" s="1">
        <v>3470701</v>
      </c>
      <c r="C1823" s="1" t="s">
        <v>24</v>
      </c>
      <c r="D1823" s="2">
        <v>45815.756249999999</v>
      </c>
      <c r="E1823" s="1">
        <v>4549319</v>
      </c>
      <c r="F1823" s="1">
        <v>4549319</v>
      </c>
      <c r="G1823" s="1" t="s">
        <v>77</v>
      </c>
      <c r="H1823" s="2">
        <v>45815.76666666667</v>
      </c>
      <c r="I1823" s="2">
        <v>45825.441666666666</v>
      </c>
      <c r="J1823" s="1" t="s">
        <v>14</v>
      </c>
    </row>
    <row r="1824" spans="1:10" x14ac:dyDescent="0.25">
      <c r="A1824" s="1" t="str">
        <f>_xlfn.XLOOKUP(E1824,Base!G:G,Base!C:C,"NOVO")</f>
        <v>PENDENTE</v>
      </c>
      <c r="B1824" s="1">
        <v>3470724</v>
      </c>
      <c r="C1824" s="1" t="s">
        <v>24</v>
      </c>
      <c r="D1824" s="2">
        <v>45815.822916666664</v>
      </c>
      <c r="E1824" s="1">
        <v>4549321</v>
      </c>
      <c r="F1824" s="1">
        <v>4549321</v>
      </c>
      <c r="G1824" s="1" t="s">
        <v>77</v>
      </c>
      <c r="H1824" s="2">
        <v>45815.85</v>
      </c>
      <c r="I1824" s="2">
        <v>45825.441666666666</v>
      </c>
      <c r="J1824" s="1" t="s">
        <v>14</v>
      </c>
    </row>
    <row r="1825" spans="1:10" x14ac:dyDescent="0.25">
      <c r="A1825" s="1" t="str">
        <f>_xlfn.XLOOKUP(E1825,Base!G:G,Base!C:C,"NOVO")</f>
        <v>PENDENTE</v>
      </c>
      <c r="B1825" s="1">
        <v>3472734</v>
      </c>
      <c r="C1825" s="1" t="s">
        <v>24</v>
      </c>
      <c r="D1825" s="2">
        <v>45817.820138888892</v>
      </c>
      <c r="E1825" s="1">
        <v>4550080</v>
      </c>
      <c r="F1825" s="1">
        <v>4550080</v>
      </c>
      <c r="G1825" s="1" t="s">
        <v>77</v>
      </c>
      <c r="H1825" s="2">
        <v>45817.82916666667</v>
      </c>
      <c r="I1825" s="2">
        <v>45825.441666666666</v>
      </c>
      <c r="J1825" s="1" t="s">
        <v>14</v>
      </c>
    </row>
    <row r="1826" spans="1:10" x14ac:dyDescent="0.25">
      <c r="A1826" s="1" t="str">
        <f>_xlfn.XLOOKUP(E1826,Base!G:G,Base!C:C,"NOVO")</f>
        <v>PENDENTE</v>
      </c>
      <c r="B1826" s="1">
        <v>3480276</v>
      </c>
      <c r="C1826" s="1" t="s">
        <v>24</v>
      </c>
      <c r="D1826" s="2">
        <v>45818.431250000001</v>
      </c>
      <c r="E1826" s="1">
        <v>4550215</v>
      </c>
      <c r="F1826" s="1">
        <v>4550215</v>
      </c>
      <c r="G1826" s="1" t="s">
        <v>77</v>
      </c>
      <c r="H1826" s="2">
        <v>45820.870833333334</v>
      </c>
      <c r="I1826" s="2">
        <v>45825.441666666666</v>
      </c>
      <c r="J1826" s="1" t="s">
        <v>14</v>
      </c>
    </row>
    <row r="1827" spans="1:10" x14ac:dyDescent="0.25">
      <c r="A1827" s="1" t="str">
        <f>_xlfn.XLOOKUP(E1827,Base!G:G,Base!C:C,"NOVO")</f>
        <v>PENDENTE</v>
      </c>
      <c r="B1827" s="1">
        <v>3474170</v>
      </c>
      <c r="C1827" s="1" t="s">
        <v>24</v>
      </c>
      <c r="D1827" s="2">
        <v>45818.606249999997</v>
      </c>
      <c r="E1827" s="1">
        <v>4550483</v>
      </c>
      <c r="F1827" s="1">
        <v>4550483</v>
      </c>
      <c r="G1827" s="1" t="s">
        <v>77</v>
      </c>
      <c r="H1827" s="2">
        <v>45818.678472222222</v>
      </c>
      <c r="I1827" s="2">
        <v>45825.441666666666</v>
      </c>
      <c r="J1827" s="1" t="s">
        <v>14</v>
      </c>
    </row>
    <row r="1828" spans="1:10" x14ac:dyDescent="0.25">
      <c r="A1828" s="1" t="str">
        <f>_xlfn.XLOOKUP(E1828,Base!G:G,Base!C:C,"NOVO")</f>
        <v>PENDENTE</v>
      </c>
      <c r="B1828" s="1">
        <v>3482124</v>
      </c>
      <c r="C1828" s="1" t="s">
        <v>24</v>
      </c>
      <c r="D1828" s="2">
        <v>45821.813194444447</v>
      </c>
      <c r="E1828" s="1">
        <v>4552535</v>
      </c>
      <c r="F1828" s="1">
        <v>4552535</v>
      </c>
      <c r="G1828" s="1" t="s">
        <v>77</v>
      </c>
      <c r="H1828" s="2">
        <v>45821.822222222225</v>
      </c>
      <c r="I1828" s="2">
        <v>45825.441666666666</v>
      </c>
      <c r="J1828" s="1" t="s">
        <v>14</v>
      </c>
    </row>
  </sheetData>
  <autoFilter ref="A1:J1828" xr:uid="{427784EC-4CF2-4AF1-B19D-34DD762A8513}">
    <filterColumn colId="0">
      <filters>
        <filter val="NOVO"/>
      </filters>
    </filterColumn>
  </autoFilter>
  <conditionalFormatting sqref="A1:B1048576">
    <cfRule type="cellIs" dxfId="6" priority="1" operator="equal">
      <formula>"NOVO"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CAB9-1E64-41B4-AEFD-5822F6E62351}">
  <sheetPr codeName="Planilha7">
    <tabColor rgb="FF29C9A3"/>
  </sheetPr>
  <dimension ref="A1:L269"/>
  <sheetViews>
    <sheetView zoomScale="80" zoomScaleNormal="80" workbookViewId="0">
      <pane ySplit="1" topLeftCell="A3" activePane="bottomLeft" state="frozen"/>
      <selection pane="bottomLeft" activeCell="A8" sqref="A8"/>
    </sheetView>
  </sheetViews>
  <sheetFormatPr defaultRowHeight="15" x14ac:dyDescent="0.25"/>
  <cols>
    <col min="1" max="1" width="141.7109375" style="7" customWidth="1"/>
    <col min="2" max="2" width="34.28515625" style="8" bestFit="1" customWidth="1"/>
    <col min="3" max="3" width="31.140625" style="8" customWidth="1"/>
    <col min="4" max="4" width="26.42578125" style="8" customWidth="1"/>
    <col min="5" max="5" width="4.85546875" customWidth="1"/>
    <col min="6" max="6" width="11.85546875" style="17" bestFit="1" customWidth="1"/>
    <col min="7" max="7" width="30.85546875" style="9" bestFit="1" customWidth="1"/>
    <col min="8" max="8" width="24.28515625" style="9" bestFit="1" customWidth="1"/>
    <col min="9" max="9" width="26.5703125" style="9" bestFit="1" customWidth="1"/>
    <col min="10" max="10" width="9.140625" style="9"/>
    <col min="11" max="11" width="31" style="9" bestFit="1" customWidth="1"/>
    <col min="12" max="12" width="84.28515625" style="9" bestFit="1" customWidth="1"/>
  </cols>
  <sheetData>
    <row r="1" spans="1:12" x14ac:dyDescent="0.25">
      <c r="A1" s="14" t="s">
        <v>7</v>
      </c>
      <c r="B1" s="15" t="s">
        <v>11</v>
      </c>
      <c r="C1" s="15" t="s">
        <v>434</v>
      </c>
      <c r="D1" s="15" t="s">
        <v>435</v>
      </c>
      <c r="F1" s="18" t="s">
        <v>7</v>
      </c>
      <c r="G1" s="16" t="s">
        <v>11</v>
      </c>
      <c r="H1" s="16" t="s">
        <v>434</v>
      </c>
      <c r="I1" s="16" t="s">
        <v>436</v>
      </c>
      <c r="K1" s="19" t="s">
        <v>437</v>
      </c>
      <c r="L1" s="19" t="s">
        <v>59</v>
      </c>
    </row>
    <row r="2" spans="1:12" ht="30" x14ac:dyDescent="0.25">
      <c r="A2" s="7" t="s">
        <v>570</v>
      </c>
      <c r="B2" s="9" t="s">
        <v>30</v>
      </c>
      <c r="C2" s="9" t="s">
        <v>30</v>
      </c>
      <c r="D2" s="9" t="s">
        <v>54</v>
      </c>
      <c r="F2" s="17">
        <v>64</v>
      </c>
      <c r="G2" s="9" t="s">
        <v>439</v>
      </c>
      <c r="H2" s="8" t="s">
        <v>35</v>
      </c>
      <c r="I2" s="9" t="s">
        <v>54</v>
      </c>
      <c r="K2" s="9" t="s">
        <v>439</v>
      </c>
      <c r="L2" s="9" t="s">
        <v>440</v>
      </c>
    </row>
    <row r="3" spans="1:12" ht="30" x14ac:dyDescent="0.25">
      <c r="A3" s="7" t="s">
        <v>336</v>
      </c>
      <c r="B3" s="9" t="s">
        <v>56</v>
      </c>
      <c r="C3" s="9" t="s">
        <v>35</v>
      </c>
      <c r="D3" s="9" t="s">
        <v>54</v>
      </c>
      <c r="F3" s="17">
        <v>91</v>
      </c>
      <c r="G3" s="9" t="s">
        <v>439</v>
      </c>
      <c r="H3" s="8" t="s">
        <v>35</v>
      </c>
      <c r="I3" s="9" t="s">
        <v>54</v>
      </c>
      <c r="K3" s="9" t="s">
        <v>15</v>
      </c>
      <c r="L3" s="9" t="s">
        <v>442</v>
      </c>
    </row>
    <row r="4" spans="1:12" x14ac:dyDescent="0.25">
      <c r="A4" s="7" t="s">
        <v>500</v>
      </c>
      <c r="B4" s="8" t="s">
        <v>686</v>
      </c>
      <c r="C4" s="8" t="s">
        <v>35</v>
      </c>
      <c r="D4" s="9" t="s">
        <v>34</v>
      </c>
      <c r="F4" s="17">
        <v>125</v>
      </c>
      <c r="G4" s="8" t="s">
        <v>15</v>
      </c>
      <c r="H4" s="8" t="s">
        <v>32</v>
      </c>
      <c r="I4" s="9" t="s">
        <v>34</v>
      </c>
      <c r="K4" s="9" t="s">
        <v>53</v>
      </c>
      <c r="L4" s="9" t="s">
        <v>444</v>
      </c>
    </row>
    <row r="5" spans="1:12" x14ac:dyDescent="0.25">
      <c r="A5" s="7" t="s">
        <v>319</v>
      </c>
      <c r="B5" s="9" t="s">
        <v>36</v>
      </c>
      <c r="C5" s="9" t="s">
        <v>30</v>
      </c>
      <c r="D5" s="9" t="s">
        <v>44</v>
      </c>
      <c r="F5" s="17">
        <v>116</v>
      </c>
      <c r="G5" s="8" t="s">
        <v>15</v>
      </c>
      <c r="H5" s="8" t="s">
        <v>32</v>
      </c>
      <c r="I5" s="9" t="s">
        <v>34</v>
      </c>
      <c r="K5" s="9" t="s">
        <v>51</v>
      </c>
      <c r="L5" s="9" t="s">
        <v>446</v>
      </c>
    </row>
    <row r="6" spans="1:12" x14ac:dyDescent="0.25">
      <c r="A6" s="1" t="s">
        <v>577</v>
      </c>
      <c r="B6" s="9" t="s">
        <v>462</v>
      </c>
      <c r="C6" s="9" t="s">
        <v>32</v>
      </c>
      <c r="D6" s="9" t="s">
        <v>34</v>
      </c>
      <c r="F6" s="17">
        <v>118</v>
      </c>
      <c r="G6" s="8" t="s">
        <v>15</v>
      </c>
      <c r="H6" s="8" t="s">
        <v>32</v>
      </c>
      <c r="I6" s="9" t="s">
        <v>34</v>
      </c>
      <c r="K6" s="9" t="s">
        <v>36</v>
      </c>
      <c r="L6" s="9" t="s">
        <v>448</v>
      </c>
    </row>
    <row r="7" spans="1:12" ht="30" x14ac:dyDescent="0.25">
      <c r="A7" s="7" t="s">
        <v>466</v>
      </c>
      <c r="B7" s="9" t="s">
        <v>467</v>
      </c>
      <c r="C7" s="9" t="s">
        <v>35</v>
      </c>
      <c r="D7" s="8" t="s">
        <v>44</v>
      </c>
      <c r="F7" s="17">
        <v>127</v>
      </c>
      <c r="G7" s="8" t="s">
        <v>15</v>
      </c>
      <c r="H7" s="8" t="s">
        <v>32</v>
      </c>
      <c r="I7" s="9" t="s">
        <v>34</v>
      </c>
      <c r="K7" s="9" t="s">
        <v>450</v>
      </c>
      <c r="L7" s="9" t="s">
        <v>451</v>
      </c>
    </row>
    <row r="8" spans="1:12" ht="30" x14ac:dyDescent="0.25">
      <c r="A8" s="7" t="s">
        <v>470</v>
      </c>
      <c r="B8" s="9" t="s">
        <v>467</v>
      </c>
      <c r="C8" s="9" t="s">
        <v>35</v>
      </c>
      <c r="D8" s="8" t="s">
        <v>44</v>
      </c>
      <c r="F8" s="17">
        <v>70</v>
      </c>
      <c r="G8" s="9" t="s">
        <v>453</v>
      </c>
      <c r="H8" s="8" t="s">
        <v>35</v>
      </c>
      <c r="I8" s="9" t="s">
        <v>44</v>
      </c>
      <c r="K8" s="9" t="s">
        <v>40</v>
      </c>
      <c r="L8" s="9" t="s">
        <v>454</v>
      </c>
    </row>
    <row r="9" spans="1:12" x14ac:dyDescent="0.25">
      <c r="A9" s="7" t="s">
        <v>141</v>
      </c>
      <c r="B9" s="8" t="s">
        <v>36</v>
      </c>
      <c r="C9" s="8" t="s">
        <v>32</v>
      </c>
      <c r="D9" s="8" t="s">
        <v>34</v>
      </c>
      <c r="F9" s="17">
        <v>1</v>
      </c>
      <c r="G9" s="8" t="s">
        <v>40</v>
      </c>
      <c r="H9" s="8" t="s">
        <v>32</v>
      </c>
      <c r="I9" s="9" t="s">
        <v>44</v>
      </c>
      <c r="K9" s="9" t="s">
        <v>686</v>
      </c>
      <c r="L9" s="9" t="s">
        <v>2679</v>
      </c>
    </row>
    <row r="10" spans="1:12" x14ac:dyDescent="0.25">
      <c r="A10" s="7" t="s">
        <v>85</v>
      </c>
      <c r="B10" s="8" t="s">
        <v>36</v>
      </c>
      <c r="C10" s="8" t="s">
        <v>32</v>
      </c>
      <c r="D10" s="9" t="s">
        <v>34</v>
      </c>
      <c r="F10" s="17">
        <v>141</v>
      </c>
      <c r="G10" s="9" t="s">
        <v>56</v>
      </c>
      <c r="H10" s="8" t="s">
        <v>35</v>
      </c>
      <c r="I10" s="9" t="s">
        <v>54</v>
      </c>
      <c r="K10" s="9" t="s">
        <v>48</v>
      </c>
      <c r="L10" s="9" t="s">
        <v>30</v>
      </c>
    </row>
    <row r="11" spans="1:12" x14ac:dyDescent="0.25">
      <c r="A11" s="7" t="s">
        <v>83</v>
      </c>
      <c r="B11" s="8" t="s">
        <v>36</v>
      </c>
      <c r="C11" s="8" t="s">
        <v>32</v>
      </c>
      <c r="D11" s="9" t="s">
        <v>34</v>
      </c>
      <c r="F11" s="17">
        <v>163</v>
      </c>
      <c r="G11" s="9" t="s">
        <v>56</v>
      </c>
      <c r="H11" s="8" t="s">
        <v>35</v>
      </c>
      <c r="I11" s="9" t="s">
        <v>54</v>
      </c>
      <c r="K11" s="9" t="s">
        <v>56</v>
      </c>
      <c r="L11" s="9" t="s">
        <v>458</v>
      </c>
    </row>
    <row r="12" spans="1:12" x14ac:dyDescent="0.25">
      <c r="A12" s="7" t="s">
        <v>175</v>
      </c>
      <c r="B12" s="9" t="s">
        <v>43</v>
      </c>
      <c r="C12" s="9" t="s">
        <v>35</v>
      </c>
      <c r="D12" s="9" t="s">
        <v>34</v>
      </c>
      <c r="F12" s="17">
        <v>173</v>
      </c>
      <c r="G12" s="9" t="s">
        <v>56</v>
      </c>
      <c r="H12" s="8" t="s">
        <v>35</v>
      </c>
      <c r="I12" s="9" t="s">
        <v>54</v>
      </c>
      <c r="K12" s="9" t="s">
        <v>45</v>
      </c>
      <c r="L12" s="9" t="s">
        <v>460</v>
      </c>
    </row>
    <row r="13" spans="1:12" x14ac:dyDescent="0.25">
      <c r="A13" s="7" t="s">
        <v>64</v>
      </c>
      <c r="B13" s="8" t="s">
        <v>45</v>
      </c>
      <c r="C13" s="8" t="s">
        <v>30</v>
      </c>
      <c r="D13" s="8" t="s">
        <v>44</v>
      </c>
      <c r="F13" s="17">
        <v>151</v>
      </c>
      <c r="G13" s="8" t="s">
        <v>462</v>
      </c>
      <c r="H13" s="8" t="s">
        <v>32</v>
      </c>
      <c r="I13" s="9" t="s">
        <v>34</v>
      </c>
      <c r="K13" s="9" t="s">
        <v>43</v>
      </c>
      <c r="L13" s="9" t="s">
        <v>463</v>
      </c>
    </row>
    <row r="14" spans="1:12" x14ac:dyDescent="0.25">
      <c r="A14" s="6" t="s">
        <v>84</v>
      </c>
      <c r="B14" s="8" t="s">
        <v>39</v>
      </c>
      <c r="C14" s="8" t="s">
        <v>32</v>
      </c>
      <c r="D14" s="8" t="s">
        <v>34</v>
      </c>
      <c r="F14" s="17">
        <v>85</v>
      </c>
      <c r="G14" s="9" t="s">
        <v>465</v>
      </c>
      <c r="H14" s="8" t="s">
        <v>30</v>
      </c>
      <c r="I14" s="8" t="s">
        <v>44</v>
      </c>
      <c r="K14" s="9" t="s">
        <v>30</v>
      </c>
      <c r="L14" s="9" t="s">
        <v>30</v>
      </c>
    </row>
    <row r="15" spans="1:12" ht="30" x14ac:dyDescent="0.25">
      <c r="A15" s="7" t="s">
        <v>101</v>
      </c>
      <c r="B15" s="8" t="s">
        <v>39</v>
      </c>
      <c r="C15" s="8" t="s">
        <v>32</v>
      </c>
      <c r="D15" s="8" t="s">
        <v>34</v>
      </c>
      <c r="F15" s="17">
        <v>46</v>
      </c>
      <c r="G15" s="9" t="s">
        <v>41</v>
      </c>
      <c r="H15" s="9" t="s">
        <v>35</v>
      </c>
      <c r="I15" s="9" t="s">
        <v>44</v>
      </c>
      <c r="K15" s="9" t="s">
        <v>468</v>
      </c>
      <c r="L15" s="9" t="s">
        <v>469</v>
      </c>
    </row>
    <row r="16" spans="1:12" x14ac:dyDescent="0.25">
      <c r="A16" s="7" t="s">
        <v>386</v>
      </c>
      <c r="B16" s="8" t="s">
        <v>57</v>
      </c>
      <c r="C16" s="8" t="s">
        <v>30</v>
      </c>
      <c r="D16" s="8" t="s">
        <v>54</v>
      </c>
      <c r="F16" s="17">
        <v>24</v>
      </c>
      <c r="G16" s="9" t="s">
        <v>37</v>
      </c>
      <c r="H16" s="8" t="s">
        <v>32</v>
      </c>
      <c r="I16" s="9" t="s">
        <v>34</v>
      </c>
      <c r="K16" s="9" t="s">
        <v>49</v>
      </c>
      <c r="L16" s="9" t="s">
        <v>471</v>
      </c>
    </row>
    <row r="17" spans="1:12" x14ac:dyDescent="0.25">
      <c r="A17" t="s">
        <v>592</v>
      </c>
      <c r="B17" s="9" t="s">
        <v>30</v>
      </c>
      <c r="C17" s="9" t="s">
        <v>30</v>
      </c>
      <c r="D17" s="9" t="s">
        <v>44</v>
      </c>
      <c r="F17" s="17">
        <v>69</v>
      </c>
      <c r="G17" s="9" t="s">
        <v>686</v>
      </c>
      <c r="H17" s="8" t="s">
        <v>35</v>
      </c>
      <c r="I17" s="9" t="s">
        <v>34</v>
      </c>
      <c r="K17" s="9" t="s">
        <v>474</v>
      </c>
      <c r="L17" s="9" t="s">
        <v>475</v>
      </c>
    </row>
    <row r="18" spans="1:12" x14ac:dyDescent="0.25">
      <c r="A18" s="7" t="s">
        <v>568</v>
      </c>
      <c r="B18" s="8" t="s">
        <v>47</v>
      </c>
      <c r="C18" s="8" t="s">
        <v>35</v>
      </c>
      <c r="D18" s="8" t="s">
        <v>44</v>
      </c>
      <c r="F18" s="17">
        <v>66</v>
      </c>
      <c r="G18" s="9" t="s">
        <v>439</v>
      </c>
      <c r="H18" s="8" t="s">
        <v>35</v>
      </c>
      <c r="I18" s="9" t="s">
        <v>54</v>
      </c>
      <c r="K18" s="9" t="s">
        <v>39</v>
      </c>
      <c r="L18" s="9" t="s">
        <v>476</v>
      </c>
    </row>
    <row r="19" spans="1:12" x14ac:dyDescent="0.25">
      <c r="A19" s="7" t="s">
        <v>273</v>
      </c>
      <c r="B19" s="8" t="s">
        <v>47</v>
      </c>
      <c r="C19" s="8" t="s">
        <v>35</v>
      </c>
      <c r="D19" s="8" t="s">
        <v>44</v>
      </c>
      <c r="F19" s="17">
        <v>62</v>
      </c>
      <c r="G19" s="9" t="s">
        <v>686</v>
      </c>
      <c r="H19" s="8" t="s">
        <v>35</v>
      </c>
      <c r="I19" s="9" t="s">
        <v>34</v>
      </c>
      <c r="K19" s="9" t="s">
        <v>46</v>
      </c>
      <c r="L19" s="9" t="s">
        <v>478</v>
      </c>
    </row>
    <row r="20" spans="1:12" x14ac:dyDescent="0.25">
      <c r="A20" t="s">
        <v>591</v>
      </c>
      <c r="B20" s="9" t="s">
        <v>30</v>
      </c>
      <c r="C20" s="9" t="s">
        <v>30</v>
      </c>
      <c r="D20" s="9" t="s">
        <v>44</v>
      </c>
      <c r="F20" s="17">
        <v>55</v>
      </c>
      <c r="G20" s="9" t="s">
        <v>686</v>
      </c>
      <c r="H20" s="8" t="s">
        <v>35</v>
      </c>
      <c r="I20" s="9" t="s">
        <v>34</v>
      </c>
      <c r="K20" s="9" t="s">
        <v>50</v>
      </c>
      <c r="L20" s="9" t="s">
        <v>687</v>
      </c>
    </row>
    <row r="21" spans="1:12" x14ac:dyDescent="0.25">
      <c r="A21" s="7" t="s">
        <v>556</v>
      </c>
      <c r="B21" s="8" t="s">
        <v>38</v>
      </c>
      <c r="C21" s="8" t="s">
        <v>35</v>
      </c>
      <c r="D21" s="8" t="s">
        <v>54</v>
      </c>
      <c r="F21" s="17">
        <v>43</v>
      </c>
      <c r="G21" s="9" t="s">
        <v>686</v>
      </c>
      <c r="H21" s="8" t="s">
        <v>35</v>
      </c>
      <c r="I21" s="9" t="s">
        <v>34</v>
      </c>
      <c r="K21" s="9" t="s">
        <v>41</v>
      </c>
      <c r="L21" s="9" t="s">
        <v>687</v>
      </c>
    </row>
    <row r="22" spans="1:12" x14ac:dyDescent="0.25">
      <c r="A22" s="7" t="s">
        <v>557</v>
      </c>
      <c r="B22" s="8" t="s">
        <v>38</v>
      </c>
      <c r="C22" s="8" t="s">
        <v>35</v>
      </c>
      <c r="D22" s="8" t="s">
        <v>54</v>
      </c>
      <c r="F22" s="17">
        <v>54</v>
      </c>
      <c r="G22" s="9" t="s">
        <v>686</v>
      </c>
      <c r="H22" s="8" t="s">
        <v>35</v>
      </c>
      <c r="I22" s="9" t="s">
        <v>34</v>
      </c>
      <c r="K22" s="9" t="s">
        <v>47</v>
      </c>
      <c r="L22" s="9" t="s">
        <v>483</v>
      </c>
    </row>
    <row r="23" spans="1:12" x14ac:dyDescent="0.25">
      <c r="A23" s="7" t="s">
        <v>501</v>
      </c>
      <c r="B23" s="8" t="s">
        <v>686</v>
      </c>
      <c r="C23" s="8" t="s">
        <v>35</v>
      </c>
      <c r="D23" s="9" t="s">
        <v>34</v>
      </c>
      <c r="F23" s="27">
        <v>40</v>
      </c>
      <c r="G23" s="9" t="s">
        <v>1634</v>
      </c>
      <c r="H23" s="9" t="s">
        <v>35</v>
      </c>
      <c r="I23" s="9" t="s">
        <v>44</v>
      </c>
      <c r="K23" s="8" t="s">
        <v>38</v>
      </c>
      <c r="L23" s="9" t="s">
        <v>484</v>
      </c>
    </row>
    <row r="24" spans="1:12" x14ac:dyDescent="0.25">
      <c r="A24" s="7" t="s">
        <v>548</v>
      </c>
      <c r="B24" s="8" t="s">
        <v>45</v>
      </c>
      <c r="C24" s="8" t="s">
        <v>30</v>
      </c>
      <c r="D24" s="8" t="s">
        <v>44</v>
      </c>
      <c r="F24" s="17">
        <v>107</v>
      </c>
      <c r="G24" s="9" t="s">
        <v>1634</v>
      </c>
      <c r="H24" s="9" t="s">
        <v>35</v>
      </c>
      <c r="I24" s="9" t="s">
        <v>44</v>
      </c>
      <c r="K24" s="9" t="s">
        <v>1634</v>
      </c>
      <c r="L24" s="9" t="s">
        <v>1243</v>
      </c>
    </row>
    <row r="25" spans="1:12" x14ac:dyDescent="0.25">
      <c r="A25" s="7" t="s">
        <v>549</v>
      </c>
      <c r="B25" s="8" t="s">
        <v>45</v>
      </c>
      <c r="C25" s="8" t="s">
        <v>32</v>
      </c>
      <c r="D25" s="8" t="s">
        <v>44</v>
      </c>
    </row>
    <row r="26" spans="1:12" x14ac:dyDescent="0.25">
      <c r="A26" t="s">
        <v>588</v>
      </c>
      <c r="B26" s="9" t="s">
        <v>465</v>
      </c>
      <c r="C26" s="9" t="s">
        <v>35</v>
      </c>
      <c r="D26" s="9" t="s">
        <v>44</v>
      </c>
    </row>
    <row r="27" spans="1:12" x14ac:dyDescent="0.25">
      <c r="A27" t="s">
        <v>622</v>
      </c>
      <c r="B27" s="9" t="s">
        <v>56</v>
      </c>
      <c r="C27" s="9" t="s">
        <v>35</v>
      </c>
      <c r="D27" s="9" t="s">
        <v>54</v>
      </c>
    </row>
    <row r="28" spans="1:12" x14ac:dyDescent="0.25">
      <c r="A28" s="7" t="s">
        <v>561</v>
      </c>
      <c r="B28" s="8" t="s">
        <v>39</v>
      </c>
      <c r="C28" s="8" t="s">
        <v>32</v>
      </c>
      <c r="D28" s="8" t="s">
        <v>34</v>
      </c>
    </row>
    <row r="29" spans="1:12" x14ac:dyDescent="0.25">
      <c r="A29" s="7" t="s">
        <v>564</v>
      </c>
      <c r="B29" s="8" t="s">
        <v>565</v>
      </c>
      <c r="C29" s="8" t="s">
        <v>35</v>
      </c>
      <c r="D29" s="8" t="s">
        <v>54</v>
      </c>
    </row>
    <row r="30" spans="1:12" x14ac:dyDescent="0.25">
      <c r="A30" s="7" t="s">
        <v>114</v>
      </c>
      <c r="B30" s="8" t="s">
        <v>39</v>
      </c>
      <c r="C30" s="8" t="s">
        <v>32</v>
      </c>
      <c r="D30" s="8" t="s">
        <v>34</v>
      </c>
    </row>
    <row r="31" spans="1:12" ht="30" x14ac:dyDescent="0.25">
      <c r="A31" s="7" t="s">
        <v>104</v>
      </c>
      <c r="B31" s="8" t="s">
        <v>39</v>
      </c>
      <c r="C31" s="8" t="s">
        <v>32</v>
      </c>
      <c r="D31" s="8" t="s">
        <v>34</v>
      </c>
    </row>
    <row r="32" spans="1:12" x14ac:dyDescent="0.25">
      <c r="A32" s="7" t="s">
        <v>103</v>
      </c>
      <c r="B32" s="8" t="s">
        <v>39</v>
      </c>
      <c r="C32" s="8" t="s">
        <v>32</v>
      </c>
      <c r="D32" s="8" t="s">
        <v>34</v>
      </c>
    </row>
    <row r="33" spans="1:4" x14ac:dyDescent="0.25">
      <c r="A33" s="7" t="s">
        <v>502</v>
      </c>
      <c r="B33" s="8" t="s">
        <v>686</v>
      </c>
      <c r="C33" s="8" t="s">
        <v>35</v>
      </c>
      <c r="D33" s="9" t="s">
        <v>34</v>
      </c>
    </row>
    <row r="34" spans="1:4" x14ac:dyDescent="0.25">
      <c r="A34" s="7" t="s">
        <v>416</v>
      </c>
      <c r="B34" s="8" t="s">
        <v>686</v>
      </c>
      <c r="C34" s="8" t="s">
        <v>35</v>
      </c>
      <c r="D34" s="9" t="s">
        <v>34</v>
      </c>
    </row>
    <row r="35" spans="1:4" x14ac:dyDescent="0.25">
      <c r="A35" s="7" t="s">
        <v>503</v>
      </c>
      <c r="B35" s="8" t="s">
        <v>686</v>
      </c>
      <c r="C35" s="8" t="s">
        <v>35</v>
      </c>
      <c r="D35" s="9" t="s">
        <v>34</v>
      </c>
    </row>
    <row r="36" spans="1:4" x14ac:dyDescent="0.25">
      <c r="A36" s="7" t="s">
        <v>504</v>
      </c>
      <c r="B36" s="8" t="s">
        <v>686</v>
      </c>
      <c r="C36" s="8" t="s">
        <v>35</v>
      </c>
      <c r="D36" s="9" t="s">
        <v>34</v>
      </c>
    </row>
    <row r="37" spans="1:4" x14ac:dyDescent="0.25">
      <c r="A37" s="7" t="s">
        <v>505</v>
      </c>
      <c r="B37" s="8" t="s">
        <v>686</v>
      </c>
      <c r="C37" s="8" t="s">
        <v>35</v>
      </c>
      <c r="D37" s="9" t="s">
        <v>34</v>
      </c>
    </row>
    <row r="38" spans="1:4" x14ac:dyDescent="0.25">
      <c r="A38" s="7" t="s">
        <v>506</v>
      </c>
      <c r="B38" s="8" t="s">
        <v>686</v>
      </c>
      <c r="C38" s="8" t="s">
        <v>35</v>
      </c>
      <c r="D38" s="9" t="s">
        <v>34</v>
      </c>
    </row>
    <row r="39" spans="1:4" x14ac:dyDescent="0.25">
      <c r="A39" s="7" t="s">
        <v>543</v>
      </c>
      <c r="B39" s="8" t="s">
        <v>686</v>
      </c>
      <c r="C39" s="8" t="s">
        <v>35</v>
      </c>
      <c r="D39" s="9" t="s">
        <v>34</v>
      </c>
    </row>
    <row r="40" spans="1:4" x14ac:dyDescent="0.25">
      <c r="A40" s="7" t="s">
        <v>507</v>
      </c>
      <c r="B40" s="8" t="s">
        <v>686</v>
      </c>
      <c r="C40" s="8" t="s">
        <v>35</v>
      </c>
      <c r="D40" s="9" t="s">
        <v>34</v>
      </c>
    </row>
    <row r="41" spans="1:4" x14ac:dyDescent="0.25">
      <c r="A41" s="7" t="s">
        <v>165</v>
      </c>
      <c r="B41" s="8" t="s">
        <v>686</v>
      </c>
      <c r="C41" s="8" t="s">
        <v>35</v>
      </c>
      <c r="D41" s="9" t="s">
        <v>34</v>
      </c>
    </row>
    <row r="42" spans="1:4" x14ac:dyDescent="0.25">
      <c r="A42" s="7" t="s">
        <v>102</v>
      </c>
      <c r="B42" s="8" t="s">
        <v>686</v>
      </c>
      <c r="C42" s="8" t="s">
        <v>35</v>
      </c>
      <c r="D42" s="9" t="s">
        <v>34</v>
      </c>
    </row>
    <row r="43" spans="1:4" x14ac:dyDescent="0.25">
      <c r="A43" s="7" t="s">
        <v>508</v>
      </c>
      <c r="B43" s="8" t="s">
        <v>686</v>
      </c>
      <c r="C43" s="8" t="s">
        <v>35</v>
      </c>
      <c r="D43" s="9" t="s">
        <v>34</v>
      </c>
    </row>
    <row r="44" spans="1:4" x14ac:dyDescent="0.25">
      <c r="A44" s="7" t="s">
        <v>509</v>
      </c>
      <c r="B44" s="8" t="s">
        <v>686</v>
      </c>
      <c r="C44" s="8" t="s">
        <v>35</v>
      </c>
      <c r="D44" s="9" t="s">
        <v>34</v>
      </c>
    </row>
    <row r="45" spans="1:4" x14ac:dyDescent="0.25">
      <c r="A45" s="7" t="s">
        <v>407</v>
      </c>
      <c r="B45" s="8" t="s">
        <v>686</v>
      </c>
      <c r="C45" s="8" t="s">
        <v>35</v>
      </c>
      <c r="D45" s="9" t="s">
        <v>34</v>
      </c>
    </row>
    <row r="46" spans="1:4" x14ac:dyDescent="0.25">
      <c r="A46" s="7" t="s">
        <v>510</v>
      </c>
      <c r="B46" s="8" t="s">
        <v>686</v>
      </c>
      <c r="C46" s="8" t="s">
        <v>35</v>
      </c>
      <c r="D46" s="9" t="s">
        <v>34</v>
      </c>
    </row>
    <row r="47" spans="1:4" x14ac:dyDescent="0.25">
      <c r="A47" s="7" t="s">
        <v>392</v>
      </c>
      <c r="B47" s="8" t="s">
        <v>686</v>
      </c>
      <c r="C47" s="8" t="s">
        <v>35</v>
      </c>
      <c r="D47" s="9" t="s">
        <v>34</v>
      </c>
    </row>
    <row r="48" spans="1:4" x14ac:dyDescent="0.25">
      <c r="A48" s="7" t="s">
        <v>197</v>
      </c>
      <c r="B48" s="8" t="s">
        <v>686</v>
      </c>
      <c r="C48" s="8" t="s">
        <v>35</v>
      </c>
      <c r="D48" s="9" t="s">
        <v>34</v>
      </c>
    </row>
    <row r="49" spans="1:4" x14ac:dyDescent="0.25">
      <c r="A49" s="7" t="s">
        <v>511</v>
      </c>
      <c r="B49" s="8" t="s">
        <v>686</v>
      </c>
      <c r="C49" s="8" t="s">
        <v>35</v>
      </c>
      <c r="D49" s="9" t="s">
        <v>34</v>
      </c>
    </row>
    <row r="50" spans="1:4" x14ac:dyDescent="0.25">
      <c r="A50" s="7" t="s">
        <v>512</v>
      </c>
      <c r="B50" s="8" t="s">
        <v>686</v>
      </c>
      <c r="C50" s="8" t="s">
        <v>35</v>
      </c>
      <c r="D50" s="9" t="s">
        <v>34</v>
      </c>
    </row>
    <row r="51" spans="1:4" x14ac:dyDescent="0.25">
      <c r="A51" s="7" t="s">
        <v>513</v>
      </c>
      <c r="B51" s="8" t="s">
        <v>686</v>
      </c>
      <c r="C51" s="8" t="s">
        <v>35</v>
      </c>
      <c r="D51" s="9" t="s">
        <v>34</v>
      </c>
    </row>
    <row r="52" spans="1:4" x14ac:dyDescent="0.25">
      <c r="A52" s="1" t="s">
        <v>574</v>
      </c>
      <c r="B52" s="8" t="s">
        <v>686</v>
      </c>
      <c r="C52" s="9" t="s">
        <v>35</v>
      </c>
      <c r="D52" s="9" t="s">
        <v>34</v>
      </c>
    </row>
    <row r="53" spans="1:4" x14ac:dyDescent="0.25">
      <c r="A53" s="7" t="s">
        <v>86</v>
      </c>
      <c r="B53" s="8" t="s">
        <v>686</v>
      </c>
      <c r="C53" s="8" t="s">
        <v>35</v>
      </c>
      <c r="D53" s="9" t="s">
        <v>34</v>
      </c>
    </row>
    <row r="54" spans="1:4" x14ac:dyDescent="0.25">
      <c r="A54" s="7" t="s">
        <v>166</v>
      </c>
      <c r="B54" s="8" t="s">
        <v>686</v>
      </c>
      <c r="C54" s="8" t="s">
        <v>35</v>
      </c>
      <c r="D54" s="9" t="s">
        <v>34</v>
      </c>
    </row>
    <row r="55" spans="1:4" x14ac:dyDescent="0.25">
      <c r="A55" s="7" t="s">
        <v>514</v>
      </c>
      <c r="B55" s="8" t="s">
        <v>686</v>
      </c>
      <c r="C55" s="8" t="s">
        <v>35</v>
      </c>
      <c r="D55" s="9" t="s">
        <v>34</v>
      </c>
    </row>
    <row r="56" spans="1:4" x14ac:dyDescent="0.25">
      <c r="A56" s="7" t="s">
        <v>311</v>
      </c>
      <c r="B56" s="8" t="s">
        <v>686</v>
      </c>
      <c r="C56" s="9" t="s">
        <v>35</v>
      </c>
      <c r="D56" s="9" t="s">
        <v>34</v>
      </c>
    </row>
    <row r="57" spans="1:4" x14ac:dyDescent="0.25">
      <c r="A57" s="7" t="s">
        <v>515</v>
      </c>
      <c r="B57" s="8" t="s">
        <v>686</v>
      </c>
      <c r="C57" s="8" t="s">
        <v>35</v>
      </c>
      <c r="D57" s="9" t="s">
        <v>34</v>
      </c>
    </row>
    <row r="58" spans="1:4" x14ac:dyDescent="0.25">
      <c r="A58" s="7" t="s">
        <v>345</v>
      </c>
      <c r="B58" s="8" t="s">
        <v>686</v>
      </c>
      <c r="C58" s="8" t="s">
        <v>35</v>
      </c>
      <c r="D58" s="9" t="s">
        <v>34</v>
      </c>
    </row>
    <row r="59" spans="1:4" x14ac:dyDescent="0.25">
      <c r="A59" s="7" t="s">
        <v>516</v>
      </c>
      <c r="B59" s="8" t="s">
        <v>686</v>
      </c>
      <c r="C59" s="8" t="s">
        <v>35</v>
      </c>
      <c r="D59" s="9" t="s">
        <v>34</v>
      </c>
    </row>
    <row r="60" spans="1:4" x14ac:dyDescent="0.25">
      <c r="A60" s="7" t="s">
        <v>375</v>
      </c>
      <c r="B60" s="8" t="s">
        <v>686</v>
      </c>
      <c r="C60" s="8" t="s">
        <v>35</v>
      </c>
      <c r="D60" s="9" t="s">
        <v>34</v>
      </c>
    </row>
    <row r="61" spans="1:4" x14ac:dyDescent="0.25">
      <c r="A61" s="7" t="s">
        <v>517</v>
      </c>
      <c r="B61" s="8" t="s">
        <v>686</v>
      </c>
      <c r="C61" s="8" t="s">
        <v>35</v>
      </c>
      <c r="D61" s="9" t="s">
        <v>34</v>
      </c>
    </row>
    <row r="62" spans="1:4" x14ac:dyDescent="0.25">
      <c r="A62" s="7" t="s">
        <v>304</v>
      </c>
      <c r="B62" s="8" t="s">
        <v>686</v>
      </c>
      <c r="C62" s="8" t="s">
        <v>35</v>
      </c>
      <c r="D62" s="9" t="s">
        <v>34</v>
      </c>
    </row>
    <row r="63" spans="1:4" x14ac:dyDescent="0.25">
      <c r="A63" s="7" t="s">
        <v>518</v>
      </c>
      <c r="B63" s="8" t="s">
        <v>686</v>
      </c>
      <c r="C63" s="8" t="s">
        <v>35</v>
      </c>
      <c r="D63" s="9" t="s">
        <v>34</v>
      </c>
    </row>
    <row r="64" spans="1:4" x14ac:dyDescent="0.25">
      <c r="A64" s="7" t="s">
        <v>76</v>
      </c>
      <c r="B64" s="8" t="s">
        <v>686</v>
      </c>
      <c r="C64" s="8" t="s">
        <v>35</v>
      </c>
      <c r="D64" s="9" t="s">
        <v>34</v>
      </c>
    </row>
    <row r="65" spans="1:4" x14ac:dyDescent="0.25">
      <c r="A65" s="7" t="s">
        <v>519</v>
      </c>
      <c r="B65" s="8" t="s">
        <v>686</v>
      </c>
      <c r="C65" s="8" t="s">
        <v>35</v>
      </c>
      <c r="D65" s="9" t="s">
        <v>34</v>
      </c>
    </row>
    <row r="66" spans="1:4" x14ac:dyDescent="0.25">
      <c r="A66" s="7" t="s">
        <v>520</v>
      </c>
      <c r="B66" s="8" t="s">
        <v>686</v>
      </c>
      <c r="C66" s="8" t="s">
        <v>35</v>
      </c>
      <c r="D66" s="9" t="s">
        <v>34</v>
      </c>
    </row>
    <row r="67" spans="1:4" x14ac:dyDescent="0.25">
      <c r="A67" s="6" t="s">
        <v>342</v>
      </c>
      <c r="B67" s="8" t="s">
        <v>686</v>
      </c>
      <c r="C67" s="9" t="s">
        <v>35</v>
      </c>
      <c r="D67" s="9" t="s">
        <v>34</v>
      </c>
    </row>
    <row r="68" spans="1:4" x14ac:dyDescent="0.25">
      <c r="A68" s="7" t="s">
        <v>521</v>
      </c>
      <c r="B68" s="8" t="s">
        <v>686</v>
      </c>
      <c r="C68" s="8" t="s">
        <v>35</v>
      </c>
      <c r="D68" s="9" t="s">
        <v>34</v>
      </c>
    </row>
    <row r="69" spans="1:4" x14ac:dyDescent="0.25">
      <c r="A69" s="7" t="s">
        <v>209</v>
      </c>
      <c r="B69" s="8" t="s">
        <v>686</v>
      </c>
      <c r="C69" s="8" t="s">
        <v>35</v>
      </c>
      <c r="D69" s="9" t="s">
        <v>34</v>
      </c>
    </row>
    <row r="70" spans="1:4" x14ac:dyDescent="0.25">
      <c r="A70" s="7" t="s">
        <v>205</v>
      </c>
      <c r="B70" s="8" t="s">
        <v>686</v>
      </c>
      <c r="C70" s="8" t="s">
        <v>35</v>
      </c>
      <c r="D70" s="9" t="s">
        <v>34</v>
      </c>
    </row>
    <row r="71" spans="1:4" x14ac:dyDescent="0.25">
      <c r="A71" s="6" t="s">
        <v>522</v>
      </c>
      <c r="B71" s="8" t="s">
        <v>686</v>
      </c>
      <c r="C71" s="8" t="s">
        <v>35</v>
      </c>
      <c r="D71" s="9" t="s">
        <v>34</v>
      </c>
    </row>
    <row r="72" spans="1:4" x14ac:dyDescent="0.25">
      <c r="A72" s="7" t="s">
        <v>523</v>
      </c>
      <c r="B72" s="8" t="s">
        <v>686</v>
      </c>
      <c r="C72" s="8" t="s">
        <v>35</v>
      </c>
      <c r="D72" s="9" t="s">
        <v>34</v>
      </c>
    </row>
    <row r="73" spans="1:4" x14ac:dyDescent="0.25">
      <c r="A73" s="7" t="s">
        <v>569</v>
      </c>
      <c r="B73" s="8" t="s">
        <v>686</v>
      </c>
      <c r="C73" s="9" t="s">
        <v>35</v>
      </c>
      <c r="D73" s="9" t="s">
        <v>34</v>
      </c>
    </row>
    <row r="74" spans="1:4" x14ac:dyDescent="0.25">
      <c r="A74" s="7" t="s">
        <v>211</v>
      </c>
      <c r="B74" s="8" t="s">
        <v>686</v>
      </c>
      <c r="C74" s="8" t="s">
        <v>35</v>
      </c>
      <c r="D74" s="9" t="s">
        <v>34</v>
      </c>
    </row>
    <row r="75" spans="1:4" x14ac:dyDescent="0.25">
      <c r="A75" s="7" t="s">
        <v>203</v>
      </c>
      <c r="B75" s="8" t="s">
        <v>686</v>
      </c>
      <c r="C75" s="9" t="s">
        <v>35</v>
      </c>
      <c r="D75" s="9" t="s">
        <v>34</v>
      </c>
    </row>
    <row r="76" spans="1:4" x14ac:dyDescent="0.25">
      <c r="A76" s="7" t="s">
        <v>20</v>
      </c>
      <c r="B76" s="8" t="s">
        <v>686</v>
      </c>
      <c r="C76" s="9" t="s">
        <v>35</v>
      </c>
      <c r="D76" s="9" t="s">
        <v>34</v>
      </c>
    </row>
    <row r="77" spans="1:4" x14ac:dyDescent="0.25">
      <c r="A77" s="7" t="s">
        <v>393</v>
      </c>
      <c r="B77" s="8" t="s">
        <v>686</v>
      </c>
      <c r="C77" s="8" t="s">
        <v>35</v>
      </c>
      <c r="D77" s="9" t="s">
        <v>34</v>
      </c>
    </row>
    <row r="78" spans="1:4" x14ac:dyDescent="0.25">
      <c r="A78" s="7" t="s">
        <v>95</v>
      </c>
      <c r="B78" s="8" t="s">
        <v>686</v>
      </c>
      <c r="C78" s="8" t="s">
        <v>35</v>
      </c>
      <c r="D78" s="9" t="s">
        <v>34</v>
      </c>
    </row>
    <row r="79" spans="1:4" x14ac:dyDescent="0.25">
      <c r="A79" s="7" t="s">
        <v>95</v>
      </c>
      <c r="B79" s="8" t="s">
        <v>686</v>
      </c>
      <c r="C79" s="8" t="s">
        <v>35</v>
      </c>
      <c r="D79" s="9" t="s">
        <v>34</v>
      </c>
    </row>
    <row r="80" spans="1:4" x14ac:dyDescent="0.25">
      <c r="A80" s="7" t="s">
        <v>96</v>
      </c>
      <c r="B80" s="8" t="s">
        <v>686</v>
      </c>
      <c r="C80" s="8" t="s">
        <v>35</v>
      </c>
      <c r="D80" s="9" t="s">
        <v>34</v>
      </c>
    </row>
    <row r="81" spans="1:4" x14ac:dyDescent="0.25">
      <c r="A81" s="7" t="s">
        <v>242</v>
      </c>
      <c r="B81" s="8" t="s">
        <v>686</v>
      </c>
      <c r="C81" s="8" t="s">
        <v>35</v>
      </c>
      <c r="D81" s="9" t="s">
        <v>34</v>
      </c>
    </row>
    <row r="82" spans="1:4" x14ac:dyDescent="0.25">
      <c r="A82" s="7" t="s">
        <v>524</v>
      </c>
      <c r="B82" s="8" t="s">
        <v>686</v>
      </c>
      <c r="C82" s="8" t="s">
        <v>35</v>
      </c>
      <c r="D82" s="9" t="s">
        <v>34</v>
      </c>
    </row>
    <row r="83" spans="1:4" x14ac:dyDescent="0.25">
      <c r="A83" s="7" t="s">
        <v>525</v>
      </c>
      <c r="B83" s="8" t="s">
        <v>686</v>
      </c>
      <c r="C83" s="8" t="s">
        <v>35</v>
      </c>
      <c r="D83" s="9" t="s">
        <v>34</v>
      </c>
    </row>
    <row r="84" spans="1:4" x14ac:dyDescent="0.25">
      <c r="A84" s="7" t="s">
        <v>212</v>
      </c>
      <c r="B84" s="8" t="s">
        <v>686</v>
      </c>
      <c r="C84" s="8" t="s">
        <v>35</v>
      </c>
      <c r="D84" s="9" t="s">
        <v>34</v>
      </c>
    </row>
    <row r="85" spans="1:4" x14ac:dyDescent="0.25">
      <c r="A85" s="7" t="s">
        <v>526</v>
      </c>
      <c r="B85" s="8" t="s">
        <v>686</v>
      </c>
      <c r="C85" s="8" t="s">
        <v>35</v>
      </c>
      <c r="D85" s="9" t="s">
        <v>34</v>
      </c>
    </row>
    <row r="86" spans="1:4" x14ac:dyDescent="0.25">
      <c r="A86" s="7" t="s">
        <v>527</v>
      </c>
      <c r="B86" s="8" t="s">
        <v>686</v>
      </c>
      <c r="C86" s="8" t="s">
        <v>35</v>
      </c>
      <c r="D86" s="9" t="s">
        <v>34</v>
      </c>
    </row>
    <row r="87" spans="1:4" x14ac:dyDescent="0.25">
      <c r="A87" s="7" t="s">
        <v>528</v>
      </c>
      <c r="B87" s="8" t="s">
        <v>686</v>
      </c>
      <c r="C87" s="8" t="s">
        <v>35</v>
      </c>
      <c r="D87" s="9" t="s">
        <v>34</v>
      </c>
    </row>
    <row r="88" spans="1:4" x14ac:dyDescent="0.25">
      <c r="A88" s="7" t="s">
        <v>528</v>
      </c>
      <c r="B88" s="8" t="s">
        <v>686</v>
      </c>
      <c r="C88" s="8" t="s">
        <v>35</v>
      </c>
      <c r="D88" s="9" t="s">
        <v>34</v>
      </c>
    </row>
    <row r="89" spans="1:4" x14ac:dyDescent="0.25">
      <c r="A89" s="7" t="s">
        <v>529</v>
      </c>
      <c r="B89" s="8" t="s">
        <v>686</v>
      </c>
      <c r="C89" s="8" t="s">
        <v>35</v>
      </c>
      <c r="D89" s="9" t="s">
        <v>34</v>
      </c>
    </row>
    <row r="90" spans="1:4" x14ac:dyDescent="0.25">
      <c r="A90" s="7" t="s">
        <v>530</v>
      </c>
      <c r="B90" s="8" t="s">
        <v>686</v>
      </c>
      <c r="C90" s="8" t="s">
        <v>35</v>
      </c>
      <c r="D90" s="9" t="s">
        <v>34</v>
      </c>
    </row>
    <row r="91" spans="1:4" x14ac:dyDescent="0.25">
      <c r="A91" s="7" t="s">
        <v>531</v>
      </c>
      <c r="B91" s="8" t="s">
        <v>686</v>
      </c>
      <c r="C91" s="8" t="s">
        <v>35</v>
      </c>
      <c r="D91" s="9" t="s">
        <v>34</v>
      </c>
    </row>
    <row r="92" spans="1:4" x14ac:dyDescent="0.25">
      <c r="A92" s="7" t="s">
        <v>532</v>
      </c>
      <c r="B92" s="8" t="s">
        <v>686</v>
      </c>
      <c r="C92" s="8" t="s">
        <v>35</v>
      </c>
      <c r="D92" s="9" t="s">
        <v>34</v>
      </c>
    </row>
    <row r="93" spans="1:4" x14ac:dyDescent="0.25">
      <c r="A93" s="7" t="s">
        <v>533</v>
      </c>
      <c r="B93" s="8" t="s">
        <v>686</v>
      </c>
      <c r="C93" s="8" t="s">
        <v>35</v>
      </c>
      <c r="D93" s="9" t="s">
        <v>34</v>
      </c>
    </row>
    <row r="94" spans="1:4" x14ac:dyDescent="0.25">
      <c r="A94" s="7" t="s">
        <v>534</v>
      </c>
      <c r="B94" s="8" t="s">
        <v>686</v>
      </c>
      <c r="C94" s="8" t="s">
        <v>35</v>
      </c>
      <c r="D94" s="9" t="s">
        <v>34</v>
      </c>
    </row>
    <row r="95" spans="1:4" x14ac:dyDescent="0.25">
      <c r="A95" s="7" t="s">
        <v>207</v>
      </c>
      <c r="B95" s="8" t="s">
        <v>686</v>
      </c>
      <c r="C95" s="8" t="s">
        <v>35</v>
      </c>
      <c r="D95" s="9" t="s">
        <v>34</v>
      </c>
    </row>
    <row r="96" spans="1:4" x14ac:dyDescent="0.25">
      <c r="A96" s="7" t="s">
        <v>251</v>
      </c>
      <c r="B96" s="8" t="s">
        <v>686</v>
      </c>
      <c r="C96" s="8" t="s">
        <v>35</v>
      </c>
      <c r="D96" s="9" t="s">
        <v>34</v>
      </c>
    </row>
    <row r="97" spans="1:4" x14ac:dyDescent="0.25">
      <c r="A97" s="7" t="s">
        <v>247</v>
      </c>
      <c r="B97" s="8" t="s">
        <v>686</v>
      </c>
      <c r="C97" s="8" t="s">
        <v>35</v>
      </c>
      <c r="D97" s="9" t="s">
        <v>34</v>
      </c>
    </row>
    <row r="98" spans="1:4" x14ac:dyDescent="0.25">
      <c r="A98" s="7" t="s">
        <v>535</v>
      </c>
      <c r="B98" s="8" t="s">
        <v>686</v>
      </c>
      <c r="C98" s="8" t="s">
        <v>35</v>
      </c>
      <c r="D98" s="9" t="s">
        <v>34</v>
      </c>
    </row>
    <row r="99" spans="1:4" x14ac:dyDescent="0.25">
      <c r="A99" s="7" t="s">
        <v>536</v>
      </c>
      <c r="B99" s="8" t="s">
        <v>686</v>
      </c>
      <c r="C99" s="8" t="s">
        <v>35</v>
      </c>
      <c r="D99" s="9" t="s">
        <v>34</v>
      </c>
    </row>
    <row r="100" spans="1:4" x14ac:dyDescent="0.25">
      <c r="A100" s="7" t="s">
        <v>537</v>
      </c>
      <c r="B100" s="8" t="s">
        <v>686</v>
      </c>
      <c r="C100" s="8" t="s">
        <v>35</v>
      </c>
      <c r="D100" s="9" t="s">
        <v>34</v>
      </c>
    </row>
    <row r="101" spans="1:4" x14ac:dyDescent="0.25">
      <c r="A101" s="7" t="s">
        <v>538</v>
      </c>
      <c r="B101" s="8" t="s">
        <v>686</v>
      </c>
      <c r="C101" s="8" t="s">
        <v>35</v>
      </c>
      <c r="D101" s="9" t="s">
        <v>34</v>
      </c>
    </row>
    <row r="102" spans="1:4" x14ac:dyDescent="0.25">
      <c r="A102" s="7" t="s">
        <v>213</v>
      </c>
      <c r="B102" s="8" t="s">
        <v>686</v>
      </c>
      <c r="C102" s="8" t="s">
        <v>35</v>
      </c>
      <c r="D102" s="9" t="s">
        <v>34</v>
      </c>
    </row>
    <row r="103" spans="1:4" x14ac:dyDescent="0.25">
      <c r="A103" s="7" t="s">
        <v>539</v>
      </c>
      <c r="B103" s="8" t="s">
        <v>686</v>
      </c>
      <c r="C103" s="8" t="s">
        <v>35</v>
      </c>
      <c r="D103" s="9" t="s">
        <v>34</v>
      </c>
    </row>
    <row r="104" spans="1:4" x14ac:dyDescent="0.25">
      <c r="A104" s="7" t="s">
        <v>559</v>
      </c>
      <c r="B104" s="8" t="s">
        <v>560</v>
      </c>
      <c r="C104" s="8" t="s">
        <v>32</v>
      </c>
      <c r="D104" s="8" t="s">
        <v>44</v>
      </c>
    </row>
    <row r="105" spans="1:4" x14ac:dyDescent="0.25">
      <c r="A105" s="7" t="s">
        <v>479</v>
      </c>
      <c r="B105" s="8" t="s">
        <v>480</v>
      </c>
      <c r="C105" s="8" t="s">
        <v>32</v>
      </c>
      <c r="D105" s="8" t="s">
        <v>44</v>
      </c>
    </row>
    <row r="106" spans="1:4" x14ac:dyDescent="0.25">
      <c r="A106" s="7" t="s">
        <v>558</v>
      </c>
      <c r="B106" s="8" t="s">
        <v>474</v>
      </c>
      <c r="C106" s="8" t="s">
        <v>32</v>
      </c>
      <c r="D106" s="8" t="s">
        <v>44</v>
      </c>
    </row>
    <row r="107" spans="1:4" ht="30" x14ac:dyDescent="0.25">
      <c r="A107" s="7" t="s">
        <v>492</v>
      </c>
      <c r="B107" s="8" t="s">
        <v>55</v>
      </c>
      <c r="C107" s="8" t="s">
        <v>35</v>
      </c>
      <c r="D107" s="8" t="s">
        <v>54</v>
      </c>
    </row>
    <row r="108" spans="1:4" x14ac:dyDescent="0.25">
      <c r="A108" s="7" t="s">
        <v>493</v>
      </c>
      <c r="B108" s="8" t="s">
        <v>55</v>
      </c>
      <c r="C108" s="8" t="s">
        <v>35</v>
      </c>
      <c r="D108" s="8" t="s">
        <v>54</v>
      </c>
    </row>
    <row r="109" spans="1:4" x14ac:dyDescent="0.25">
      <c r="A109" s="7" t="s">
        <v>494</v>
      </c>
      <c r="B109" s="8" t="s">
        <v>55</v>
      </c>
      <c r="C109" s="8" t="s">
        <v>35</v>
      </c>
      <c r="D109" s="8" t="s">
        <v>54</v>
      </c>
    </row>
    <row r="110" spans="1:4" x14ac:dyDescent="0.25">
      <c r="A110" s="7" t="s">
        <v>485</v>
      </c>
      <c r="B110" s="8" t="s">
        <v>40</v>
      </c>
      <c r="C110" s="8" t="s">
        <v>32</v>
      </c>
      <c r="D110" s="9" t="s">
        <v>34</v>
      </c>
    </row>
    <row r="111" spans="1:4" x14ac:dyDescent="0.25">
      <c r="A111" s="7" t="s">
        <v>486</v>
      </c>
      <c r="B111" s="8" t="s">
        <v>40</v>
      </c>
      <c r="C111" s="8" t="s">
        <v>32</v>
      </c>
      <c r="D111" s="9" t="s">
        <v>34</v>
      </c>
    </row>
    <row r="112" spans="1:4" x14ac:dyDescent="0.25">
      <c r="A112" s="7" t="s">
        <v>487</v>
      </c>
      <c r="B112" s="8" t="s">
        <v>40</v>
      </c>
      <c r="C112" s="8" t="s">
        <v>32</v>
      </c>
      <c r="D112" s="9" t="s">
        <v>34</v>
      </c>
    </row>
    <row r="113" spans="1:4" x14ac:dyDescent="0.25">
      <c r="A113" s="7" t="s">
        <v>488</v>
      </c>
      <c r="B113" s="8" t="s">
        <v>40</v>
      </c>
      <c r="C113" s="8" t="s">
        <v>32</v>
      </c>
      <c r="D113" s="9" t="s">
        <v>34</v>
      </c>
    </row>
    <row r="114" spans="1:4" x14ac:dyDescent="0.25">
      <c r="A114" s="7" t="s">
        <v>489</v>
      </c>
      <c r="B114" s="8" t="s">
        <v>40</v>
      </c>
      <c r="C114" s="8" t="s">
        <v>32</v>
      </c>
      <c r="D114" s="9" t="s">
        <v>34</v>
      </c>
    </row>
    <row r="115" spans="1:4" x14ac:dyDescent="0.25">
      <c r="A115" s="7" t="s">
        <v>490</v>
      </c>
      <c r="B115" s="8" t="s">
        <v>40</v>
      </c>
      <c r="C115" s="8" t="s">
        <v>32</v>
      </c>
      <c r="D115" s="9" t="s">
        <v>34</v>
      </c>
    </row>
    <row r="116" spans="1:4" x14ac:dyDescent="0.25">
      <c r="A116" s="7" t="s">
        <v>491</v>
      </c>
      <c r="B116" s="8" t="s">
        <v>40</v>
      </c>
      <c r="C116" s="8" t="s">
        <v>32</v>
      </c>
      <c r="D116" s="9" t="s">
        <v>34</v>
      </c>
    </row>
    <row r="117" spans="1:4" x14ac:dyDescent="0.25">
      <c r="A117" s="7" t="s">
        <v>174</v>
      </c>
      <c r="B117" s="8" t="s">
        <v>40</v>
      </c>
      <c r="C117" s="8" t="s">
        <v>32</v>
      </c>
      <c r="D117" s="9" t="s">
        <v>34</v>
      </c>
    </row>
    <row r="118" spans="1:4" x14ac:dyDescent="0.25">
      <c r="A118" s="1" t="s">
        <v>580</v>
      </c>
      <c r="B118" s="9" t="s">
        <v>30</v>
      </c>
      <c r="C118" s="9" t="s">
        <v>30</v>
      </c>
      <c r="D118" s="9" t="s">
        <v>54</v>
      </c>
    </row>
    <row r="119" spans="1:4" ht="30" x14ac:dyDescent="0.25">
      <c r="A119" s="6" t="s">
        <v>381</v>
      </c>
      <c r="B119" s="9" t="s">
        <v>30</v>
      </c>
      <c r="C119" s="9" t="s">
        <v>30</v>
      </c>
      <c r="D119" s="9" t="s">
        <v>54</v>
      </c>
    </row>
    <row r="120" spans="1:4" x14ac:dyDescent="0.25">
      <c r="A120" s="7" t="s">
        <v>315</v>
      </c>
      <c r="B120" s="8" t="s">
        <v>38</v>
      </c>
      <c r="C120" s="8" t="s">
        <v>35</v>
      </c>
      <c r="D120" s="8" t="s">
        <v>54</v>
      </c>
    </row>
    <row r="121" spans="1:4" x14ac:dyDescent="0.25">
      <c r="A121" s="7" t="s">
        <v>316</v>
      </c>
      <c r="B121" s="9" t="s">
        <v>38</v>
      </c>
      <c r="C121" s="9" t="s">
        <v>35</v>
      </c>
      <c r="D121" s="9" t="s">
        <v>54</v>
      </c>
    </row>
    <row r="122" spans="1:4" x14ac:dyDescent="0.25">
      <c r="A122" s="7" t="s">
        <v>314</v>
      </c>
      <c r="B122" s="8" t="s">
        <v>38</v>
      </c>
      <c r="C122" s="8" t="s">
        <v>35</v>
      </c>
      <c r="D122" s="8" t="s">
        <v>54</v>
      </c>
    </row>
    <row r="123" spans="1:4" x14ac:dyDescent="0.25">
      <c r="A123" s="7" t="s">
        <v>495</v>
      </c>
      <c r="B123" s="8" t="s">
        <v>55</v>
      </c>
      <c r="C123" s="8" t="s">
        <v>35</v>
      </c>
      <c r="D123" s="8" t="s">
        <v>54</v>
      </c>
    </row>
    <row r="124" spans="1:4" x14ac:dyDescent="0.25">
      <c r="A124" s="7" t="s">
        <v>496</v>
      </c>
      <c r="B124" s="8" t="s">
        <v>55</v>
      </c>
      <c r="C124" s="8" t="s">
        <v>35</v>
      </c>
      <c r="D124" s="8" t="s">
        <v>54</v>
      </c>
    </row>
    <row r="125" spans="1:4" ht="30" x14ac:dyDescent="0.25">
      <c r="A125" s="7" t="s">
        <v>562</v>
      </c>
      <c r="B125" s="8" t="s">
        <v>563</v>
      </c>
      <c r="C125" s="8" t="s">
        <v>35</v>
      </c>
      <c r="D125" s="8" t="s">
        <v>54</v>
      </c>
    </row>
    <row r="126" spans="1:4" x14ac:dyDescent="0.25">
      <c r="A126" s="7" t="s">
        <v>353</v>
      </c>
      <c r="B126" s="8" t="s">
        <v>45</v>
      </c>
      <c r="C126" s="8" t="s">
        <v>30</v>
      </c>
      <c r="D126" s="8" t="s">
        <v>44</v>
      </c>
    </row>
    <row r="127" spans="1:4" x14ac:dyDescent="0.25">
      <c r="A127" s="7" t="s">
        <v>497</v>
      </c>
      <c r="B127" s="8" t="s">
        <v>55</v>
      </c>
      <c r="C127" s="8" t="s">
        <v>35</v>
      </c>
      <c r="D127" s="8" t="s">
        <v>54</v>
      </c>
    </row>
    <row r="128" spans="1:4" x14ac:dyDescent="0.25">
      <c r="A128" s="7" t="s">
        <v>498</v>
      </c>
      <c r="B128" s="8" t="s">
        <v>55</v>
      </c>
      <c r="C128" s="8" t="s">
        <v>35</v>
      </c>
      <c r="D128" s="8" t="s">
        <v>54</v>
      </c>
    </row>
    <row r="129" spans="1:4" x14ac:dyDescent="0.25">
      <c r="A129" t="s">
        <v>619</v>
      </c>
      <c r="B129" s="9" t="s">
        <v>55</v>
      </c>
      <c r="C129" s="9" t="s">
        <v>35</v>
      </c>
      <c r="D129" s="9" t="s">
        <v>44</v>
      </c>
    </row>
    <row r="130" spans="1:4" x14ac:dyDescent="0.25">
      <c r="A130" t="s">
        <v>623</v>
      </c>
      <c r="B130" s="9" t="s">
        <v>30</v>
      </c>
      <c r="C130" s="9" t="s">
        <v>30</v>
      </c>
      <c r="D130" s="9" t="s">
        <v>44</v>
      </c>
    </row>
    <row r="131" spans="1:4" ht="30" x14ac:dyDescent="0.25">
      <c r="A131" s="6" t="s">
        <v>397</v>
      </c>
      <c r="B131" s="9" t="s">
        <v>30</v>
      </c>
      <c r="C131" s="9" t="s">
        <v>30</v>
      </c>
      <c r="D131" s="9" t="s">
        <v>54</v>
      </c>
    </row>
    <row r="132" spans="1:4" ht="30" x14ac:dyDescent="0.25">
      <c r="A132" s="7" t="s">
        <v>158</v>
      </c>
      <c r="B132" s="8" t="s">
        <v>48</v>
      </c>
      <c r="C132" s="8" t="s">
        <v>30</v>
      </c>
      <c r="D132" s="8" t="s">
        <v>44</v>
      </c>
    </row>
    <row r="133" spans="1:4" ht="30" x14ac:dyDescent="0.25">
      <c r="A133" s="7" t="s">
        <v>82</v>
      </c>
      <c r="B133" s="8" t="s">
        <v>48</v>
      </c>
      <c r="C133" s="8" t="s">
        <v>30</v>
      </c>
      <c r="D133" s="8" t="s">
        <v>44</v>
      </c>
    </row>
    <row r="134" spans="1:4" x14ac:dyDescent="0.25">
      <c r="A134" s="1" t="s">
        <v>412</v>
      </c>
      <c r="B134" s="9" t="s">
        <v>48</v>
      </c>
      <c r="C134" s="9" t="s">
        <v>30</v>
      </c>
      <c r="D134" s="9" t="s">
        <v>44</v>
      </c>
    </row>
    <row r="135" spans="1:4" x14ac:dyDescent="0.25">
      <c r="A135" s="7" t="s">
        <v>438</v>
      </c>
      <c r="B135" s="9" t="s">
        <v>439</v>
      </c>
      <c r="C135" s="9" t="s">
        <v>35</v>
      </c>
      <c r="D135" s="9" t="s">
        <v>54</v>
      </c>
    </row>
    <row r="136" spans="1:4" x14ac:dyDescent="0.25">
      <c r="A136" s="7" t="s">
        <v>443</v>
      </c>
      <c r="B136" s="9" t="s">
        <v>439</v>
      </c>
      <c r="C136" s="9" t="s">
        <v>35</v>
      </c>
      <c r="D136" s="9" t="s">
        <v>54</v>
      </c>
    </row>
    <row r="137" spans="1:4" ht="30" x14ac:dyDescent="0.25">
      <c r="A137" s="7" t="s">
        <v>441</v>
      </c>
      <c r="B137" s="9" t="s">
        <v>439</v>
      </c>
      <c r="C137" s="9" t="s">
        <v>35</v>
      </c>
      <c r="D137" s="9" t="s">
        <v>54</v>
      </c>
    </row>
    <row r="138" spans="1:4" ht="30" x14ac:dyDescent="0.25">
      <c r="A138" s="7" t="s">
        <v>445</v>
      </c>
      <c r="B138" s="9" t="s">
        <v>439</v>
      </c>
      <c r="C138" s="9" t="s">
        <v>35</v>
      </c>
      <c r="D138" s="9" t="s">
        <v>54</v>
      </c>
    </row>
    <row r="139" spans="1:4" x14ac:dyDescent="0.25">
      <c r="A139" s="7" t="s">
        <v>113</v>
      </c>
      <c r="B139" s="8" t="s">
        <v>45</v>
      </c>
      <c r="C139" s="8" t="s">
        <v>30</v>
      </c>
      <c r="D139" s="8" t="s">
        <v>44</v>
      </c>
    </row>
    <row r="140" spans="1:4" x14ac:dyDescent="0.25">
      <c r="A140" s="6" t="s">
        <v>447</v>
      </c>
      <c r="B140" s="8" t="s">
        <v>15</v>
      </c>
      <c r="C140" s="8" t="s">
        <v>32</v>
      </c>
      <c r="D140" s="9" t="s">
        <v>34</v>
      </c>
    </row>
    <row r="141" spans="1:4" x14ac:dyDescent="0.25">
      <c r="A141" s="7" t="s">
        <v>449</v>
      </c>
      <c r="B141" s="8" t="s">
        <v>15</v>
      </c>
      <c r="C141" s="8" t="s">
        <v>32</v>
      </c>
      <c r="D141" s="9" t="s">
        <v>34</v>
      </c>
    </row>
    <row r="142" spans="1:4" x14ac:dyDescent="0.25">
      <c r="A142" s="7" t="s">
        <v>452</v>
      </c>
      <c r="B142" s="8" t="s">
        <v>15</v>
      </c>
      <c r="C142" s="8" t="s">
        <v>32</v>
      </c>
      <c r="D142" s="9" t="s">
        <v>34</v>
      </c>
    </row>
    <row r="143" spans="1:4" x14ac:dyDescent="0.25">
      <c r="A143" s="7" t="s">
        <v>464</v>
      </c>
      <c r="B143" s="9" t="s">
        <v>15</v>
      </c>
      <c r="C143" s="9" t="s">
        <v>32</v>
      </c>
      <c r="D143" s="9" t="s">
        <v>34</v>
      </c>
    </row>
    <row r="144" spans="1:4" x14ac:dyDescent="0.25">
      <c r="A144" s="7" t="s">
        <v>554</v>
      </c>
      <c r="B144" s="8" t="s">
        <v>43</v>
      </c>
      <c r="C144" s="8" t="s">
        <v>35</v>
      </c>
      <c r="D144" s="9" t="s">
        <v>34</v>
      </c>
    </row>
    <row r="145" spans="1:4" x14ac:dyDescent="0.25">
      <c r="A145" s="6" t="s">
        <v>455</v>
      </c>
      <c r="B145" s="8" t="s">
        <v>15</v>
      </c>
      <c r="C145" s="8" t="s">
        <v>32</v>
      </c>
      <c r="D145" s="9" t="s">
        <v>34</v>
      </c>
    </row>
    <row r="146" spans="1:4" x14ac:dyDescent="0.25">
      <c r="A146" s="7" t="s">
        <v>456</v>
      </c>
      <c r="B146" s="8" t="s">
        <v>15</v>
      </c>
      <c r="C146" s="8" t="s">
        <v>32</v>
      </c>
      <c r="D146" s="8" t="s">
        <v>34</v>
      </c>
    </row>
    <row r="147" spans="1:4" x14ac:dyDescent="0.25">
      <c r="A147" s="7" t="s">
        <v>457</v>
      </c>
      <c r="B147" s="8" t="s">
        <v>15</v>
      </c>
      <c r="C147" s="8" t="s">
        <v>32</v>
      </c>
      <c r="D147" s="9" t="s">
        <v>34</v>
      </c>
    </row>
    <row r="148" spans="1:4" x14ac:dyDescent="0.25">
      <c r="A148" s="7" t="s">
        <v>573</v>
      </c>
      <c r="B148" s="9" t="s">
        <v>15</v>
      </c>
      <c r="C148" s="9" t="s">
        <v>32</v>
      </c>
      <c r="D148" s="9" t="s">
        <v>34</v>
      </c>
    </row>
    <row r="149" spans="1:4" x14ac:dyDescent="0.25">
      <c r="A149" s="6" t="s">
        <v>459</v>
      </c>
      <c r="B149" s="8" t="s">
        <v>15</v>
      </c>
      <c r="C149" s="8" t="s">
        <v>32</v>
      </c>
      <c r="D149" s="9" t="s">
        <v>34</v>
      </c>
    </row>
    <row r="150" spans="1:4" x14ac:dyDescent="0.25">
      <c r="A150" s="6" t="s">
        <v>461</v>
      </c>
      <c r="B150" s="8" t="s">
        <v>15</v>
      </c>
      <c r="C150" s="8" t="s">
        <v>32</v>
      </c>
      <c r="D150" s="9" t="s">
        <v>34</v>
      </c>
    </row>
    <row r="151" spans="1:4" x14ac:dyDescent="0.25">
      <c r="A151" s="7" t="s">
        <v>550</v>
      </c>
      <c r="B151" s="8" t="s">
        <v>45</v>
      </c>
      <c r="C151" s="8" t="s">
        <v>30</v>
      </c>
      <c r="D151" s="8" t="s">
        <v>44</v>
      </c>
    </row>
    <row r="152" spans="1:4" x14ac:dyDescent="0.25">
      <c r="A152" s="7" t="s">
        <v>244</v>
      </c>
      <c r="B152" s="8" t="s">
        <v>53</v>
      </c>
      <c r="C152" s="8" t="s">
        <v>35</v>
      </c>
      <c r="D152" s="8" t="s">
        <v>44</v>
      </c>
    </row>
    <row r="153" spans="1:4" x14ac:dyDescent="0.25">
      <c r="A153" s="7" t="s">
        <v>477</v>
      </c>
      <c r="B153" s="8" t="s">
        <v>53</v>
      </c>
      <c r="C153" s="8" t="s">
        <v>35</v>
      </c>
      <c r="D153" s="8" t="s">
        <v>44</v>
      </c>
    </row>
    <row r="154" spans="1:4" x14ac:dyDescent="0.25">
      <c r="A154" s="7" t="s">
        <v>317</v>
      </c>
      <c r="B154" s="9" t="s">
        <v>42</v>
      </c>
      <c r="C154" s="9" t="s">
        <v>30</v>
      </c>
      <c r="D154" s="9" t="s">
        <v>34</v>
      </c>
    </row>
    <row r="155" spans="1:4" ht="30" x14ac:dyDescent="0.25">
      <c r="A155" s="6" t="s">
        <v>352</v>
      </c>
      <c r="B155" s="9" t="s">
        <v>42</v>
      </c>
      <c r="C155" s="9" t="s">
        <v>35</v>
      </c>
      <c r="D155" s="9" t="s">
        <v>34</v>
      </c>
    </row>
    <row r="156" spans="1:4" ht="30" x14ac:dyDescent="0.25">
      <c r="A156" s="7" t="s">
        <v>481</v>
      </c>
      <c r="B156" s="8" t="s">
        <v>482</v>
      </c>
      <c r="C156" s="8" t="s">
        <v>35</v>
      </c>
      <c r="D156" s="8" t="s">
        <v>54</v>
      </c>
    </row>
    <row r="157" spans="1:4" ht="30" x14ac:dyDescent="0.25">
      <c r="A157" s="7" t="s">
        <v>181</v>
      </c>
      <c r="B157" s="9" t="s">
        <v>468</v>
      </c>
      <c r="C157" s="9" t="s">
        <v>32</v>
      </c>
      <c r="D157" s="9" t="s">
        <v>44</v>
      </c>
    </row>
    <row r="158" spans="1:4" x14ac:dyDescent="0.25">
      <c r="A158" s="7" t="s">
        <v>566</v>
      </c>
      <c r="B158" s="8" t="s">
        <v>567</v>
      </c>
      <c r="C158" s="8" t="s">
        <v>32</v>
      </c>
      <c r="D158" s="8" t="s">
        <v>44</v>
      </c>
    </row>
    <row r="159" spans="1:4" x14ac:dyDescent="0.25">
      <c r="A159" s="7" t="s">
        <v>472</v>
      </c>
      <c r="B159" s="9" t="s">
        <v>473</v>
      </c>
      <c r="C159" s="9" t="s">
        <v>35</v>
      </c>
      <c r="D159" s="9" t="s">
        <v>54</v>
      </c>
    </row>
    <row r="160" spans="1:4" x14ac:dyDescent="0.25">
      <c r="A160" s="7" t="s">
        <v>196</v>
      </c>
      <c r="B160" s="8" t="s">
        <v>36</v>
      </c>
      <c r="C160" s="8" t="s">
        <v>32</v>
      </c>
      <c r="D160" s="8" t="s">
        <v>34</v>
      </c>
    </row>
    <row r="161" spans="1:4" x14ac:dyDescent="0.25">
      <c r="A161" s="7" t="s">
        <v>77</v>
      </c>
      <c r="B161" s="8" t="s">
        <v>46</v>
      </c>
      <c r="C161" s="8" t="s">
        <v>32</v>
      </c>
      <c r="D161" s="8" t="s">
        <v>44</v>
      </c>
    </row>
    <row r="162" spans="1:4" x14ac:dyDescent="0.25">
      <c r="A162" s="7" t="s">
        <v>551</v>
      </c>
      <c r="B162" s="8" t="s">
        <v>45</v>
      </c>
      <c r="C162" s="8" t="s">
        <v>30</v>
      </c>
      <c r="D162" s="8" t="s">
        <v>44</v>
      </c>
    </row>
    <row r="163" spans="1:4" x14ac:dyDescent="0.25">
      <c r="A163" s="7" t="s">
        <v>190</v>
      </c>
      <c r="B163" s="9" t="s">
        <v>1634</v>
      </c>
      <c r="C163" s="9" t="s">
        <v>35</v>
      </c>
      <c r="D163" s="9" t="s">
        <v>44</v>
      </c>
    </row>
    <row r="164" spans="1:4" x14ac:dyDescent="0.25">
      <c r="A164" s="7" t="s">
        <v>177</v>
      </c>
      <c r="B164" s="9" t="s">
        <v>50</v>
      </c>
      <c r="C164" s="9" t="s">
        <v>35</v>
      </c>
      <c r="D164" s="9" t="s">
        <v>44</v>
      </c>
    </row>
    <row r="165" spans="1:4" x14ac:dyDescent="0.25">
      <c r="A165" s="7" t="s">
        <v>179</v>
      </c>
      <c r="B165" s="9" t="s">
        <v>50</v>
      </c>
      <c r="C165" s="9" t="s">
        <v>35</v>
      </c>
      <c r="D165" s="9" t="s">
        <v>44</v>
      </c>
    </row>
    <row r="166" spans="1:4" x14ac:dyDescent="0.25">
      <c r="A166" s="1" t="s">
        <v>433</v>
      </c>
      <c r="B166" s="9" t="s">
        <v>52</v>
      </c>
      <c r="C166" s="9" t="s">
        <v>35</v>
      </c>
      <c r="D166" s="9" t="s">
        <v>44</v>
      </c>
    </row>
    <row r="167" spans="1:4" x14ac:dyDescent="0.25">
      <c r="A167" s="1" t="s">
        <v>944</v>
      </c>
      <c r="B167" s="9" t="s">
        <v>52</v>
      </c>
      <c r="C167" s="9" t="s">
        <v>35</v>
      </c>
      <c r="D167" s="9" t="s">
        <v>44</v>
      </c>
    </row>
    <row r="168" spans="1:4" x14ac:dyDescent="0.25">
      <c r="A168" s="1" t="s">
        <v>1037</v>
      </c>
      <c r="B168" s="9" t="s">
        <v>52</v>
      </c>
      <c r="C168" s="9" t="s">
        <v>35</v>
      </c>
      <c r="D168" s="9" t="s">
        <v>44</v>
      </c>
    </row>
    <row r="169" spans="1:4" x14ac:dyDescent="0.25">
      <c r="A169" s="1" t="s">
        <v>942</v>
      </c>
      <c r="B169" s="9" t="s">
        <v>52</v>
      </c>
      <c r="C169" s="9" t="s">
        <v>35</v>
      </c>
      <c r="D169" s="9" t="s">
        <v>44</v>
      </c>
    </row>
    <row r="170" spans="1:4" x14ac:dyDescent="0.25">
      <c r="A170" s="1" t="s">
        <v>940</v>
      </c>
      <c r="B170" s="9" t="s">
        <v>52</v>
      </c>
      <c r="C170" s="9" t="s">
        <v>35</v>
      </c>
      <c r="D170" s="9" t="s">
        <v>44</v>
      </c>
    </row>
    <row r="171" spans="1:4" x14ac:dyDescent="0.25">
      <c r="A171" s="1" t="s">
        <v>1039</v>
      </c>
      <c r="B171" s="9" t="s">
        <v>52</v>
      </c>
      <c r="C171" s="9" t="s">
        <v>35</v>
      </c>
      <c r="D171" s="9" t="s">
        <v>44</v>
      </c>
    </row>
    <row r="172" spans="1:4" x14ac:dyDescent="0.25">
      <c r="A172" s="1" t="s">
        <v>583</v>
      </c>
      <c r="B172" s="9" t="s">
        <v>52</v>
      </c>
      <c r="C172" s="9" t="s">
        <v>35</v>
      </c>
      <c r="D172" s="9" t="s">
        <v>44</v>
      </c>
    </row>
    <row r="173" spans="1:4" x14ac:dyDescent="0.25">
      <c r="A173" s="6" t="s">
        <v>388</v>
      </c>
      <c r="B173" s="9" t="s">
        <v>52</v>
      </c>
      <c r="C173" s="9" t="s">
        <v>30</v>
      </c>
      <c r="D173" s="9" t="s">
        <v>44</v>
      </c>
    </row>
    <row r="174" spans="1:4" x14ac:dyDescent="0.25">
      <c r="A174" s="1" t="s">
        <v>949</v>
      </c>
      <c r="B174" s="9" t="s">
        <v>52</v>
      </c>
      <c r="C174" s="9" t="s">
        <v>35</v>
      </c>
      <c r="D174" s="9" t="s">
        <v>44</v>
      </c>
    </row>
    <row r="175" spans="1:4" x14ac:dyDescent="0.25">
      <c r="A175" s="1" t="s">
        <v>947</v>
      </c>
      <c r="B175" s="9" t="s">
        <v>52</v>
      </c>
      <c r="C175" s="9" t="s">
        <v>35</v>
      </c>
      <c r="D175" s="9" t="s">
        <v>44</v>
      </c>
    </row>
    <row r="176" spans="1:4" x14ac:dyDescent="0.25">
      <c r="A176" s="7" t="s">
        <v>287</v>
      </c>
      <c r="B176" s="8" t="s">
        <v>49</v>
      </c>
      <c r="C176" s="8" t="s">
        <v>32</v>
      </c>
      <c r="D176" s="8" t="s">
        <v>44</v>
      </c>
    </row>
    <row r="177" spans="1:4" x14ac:dyDescent="0.25">
      <c r="A177" s="7" t="s">
        <v>285</v>
      </c>
      <c r="B177" s="8" t="s">
        <v>49</v>
      </c>
      <c r="C177" s="8" t="s">
        <v>32</v>
      </c>
      <c r="D177" s="8" t="s">
        <v>44</v>
      </c>
    </row>
    <row r="178" spans="1:4" x14ac:dyDescent="0.25">
      <c r="A178" s="7" t="s">
        <v>281</v>
      </c>
      <c r="B178" s="8" t="s">
        <v>49</v>
      </c>
      <c r="C178" s="8" t="s">
        <v>32</v>
      </c>
      <c r="D178" s="8" t="s">
        <v>44</v>
      </c>
    </row>
    <row r="179" spans="1:4" x14ac:dyDescent="0.25">
      <c r="A179" t="s">
        <v>611</v>
      </c>
      <c r="B179" s="9" t="s">
        <v>49</v>
      </c>
      <c r="C179" s="9" t="s">
        <v>32</v>
      </c>
      <c r="D179" s="9" t="s">
        <v>44</v>
      </c>
    </row>
    <row r="180" spans="1:4" x14ac:dyDescent="0.25">
      <c r="A180" s="7" t="s">
        <v>283</v>
      </c>
      <c r="B180" s="8" t="s">
        <v>49</v>
      </c>
      <c r="C180" s="8" t="s">
        <v>32</v>
      </c>
      <c r="D180" s="8" t="s">
        <v>44</v>
      </c>
    </row>
    <row r="181" spans="1:4" x14ac:dyDescent="0.25">
      <c r="A181" s="7" t="s">
        <v>555</v>
      </c>
      <c r="B181" s="8" t="s">
        <v>49</v>
      </c>
      <c r="C181" s="8" t="s">
        <v>32</v>
      </c>
      <c r="D181" s="8" t="s">
        <v>44</v>
      </c>
    </row>
    <row r="182" spans="1:4" x14ac:dyDescent="0.25">
      <c r="A182" s="7" t="s">
        <v>171</v>
      </c>
      <c r="B182" s="8" t="s">
        <v>49</v>
      </c>
      <c r="C182" s="8" t="s">
        <v>32</v>
      </c>
      <c r="D182" s="8" t="s">
        <v>44</v>
      </c>
    </row>
    <row r="183" spans="1:4" x14ac:dyDescent="0.25">
      <c r="A183" s="7" t="s">
        <v>499</v>
      </c>
      <c r="B183" s="8" t="s">
        <v>55</v>
      </c>
      <c r="C183" s="8" t="s">
        <v>35</v>
      </c>
      <c r="D183" s="8" t="s">
        <v>54</v>
      </c>
    </row>
    <row r="184" spans="1:4" x14ac:dyDescent="0.25">
      <c r="A184" s="7" t="s">
        <v>240</v>
      </c>
      <c r="B184" s="8" t="s">
        <v>51</v>
      </c>
      <c r="C184" s="8" t="s">
        <v>32</v>
      </c>
      <c r="D184" s="8" t="s">
        <v>44</v>
      </c>
    </row>
    <row r="185" spans="1:4" x14ac:dyDescent="0.25">
      <c r="A185" s="7" t="s">
        <v>268</v>
      </c>
      <c r="B185" s="9" t="s">
        <v>55</v>
      </c>
      <c r="C185" s="8" t="s">
        <v>35</v>
      </c>
      <c r="D185" s="9" t="s">
        <v>54</v>
      </c>
    </row>
    <row r="186" spans="1:4" x14ac:dyDescent="0.25">
      <c r="A186" s="7" t="s">
        <v>374</v>
      </c>
      <c r="B186" s="8" t="s">
        <v>45</v>
      </c>
      <c r="C186" s="8" t="s">
        <v>30</v>
      </c>
      <c r="D186" s="8" t="s">
        <v>44</v>
      </c>
    </row>
    <row r="187" spans="1:4" x14ac:dyDescent="0.25">
      <c r="A187" s="7" t="s">
        <v>552</v>
      </c>
      <c r="B187" s="8" t="s">
        <v>45</v>
      </c>
      <c r="C187" s="8" t="s">
        <v>30</v>
      </c>
      <c r="D187" s="8" t="s">
        <v>44</v>
      </c>
    </row>
    <row r="188" spans="1:4" ht="45" x14ac:dyDescent="0.25">
      <c r="A188" s="6" t="s">
        <v>546</v>
      </c>
      <c r="B188" s="8" t="s">
        <v>462</v>
      </c>
      <c r="C188" s="8" t="s">
        <v>32</v>
      </c>
      <c r="D188" s="8" t="s">
        <v>34</v>
      </c>
    </row>
    <row r="189" spans="1:4" ht="30" x14ac:dyDescent="0.25">
      <c r="A189" s="7" t="s">
        <v>544</v>
      </c>
      <c r="B189" t="s">
        <v>56</v>
      </c>
      <c r="C189" s="8" t="s">
        <v>35</v>
      </c>
      <c r="D189" t="s">
        <v>54</v>
      </c>
    </row>
    <row r="190" spans="1:4" x14ac:dyDescent="0.25">
      <c r="A190" s="7" t="s">
        <v>540</v>
      </c>
      <c r="B190" s="8" t="s">
        <v>686</v>
      </c>
      <c r="C190" s="8" t="s">
        <v>35</v>
      </c>
      <c r="D190" s="9" t="s">
        <v>34</v>
      </c>
    </row>
    <row r="191" spans="1:4" x14ac:dyDescent="0.25">
      <c r="A191" s="7" t="s">
        <v>541</v>
      </c>
      <c r="B191" s="8" t="s">
        <v>686</v>
      </c>
      <c r="C191" s="8" t="s">
        <v>35</v>
      </c>
      <c r="D191" s="9" t="s">
        <v>34</v>
      </c>
    </row>
    <row r="192" spans="1:4" x14ac:dyDescent="0.25">
      <c r="A192" s="7" t="s">
        <v>571</v>
      </c>
      <c r="B192" s="8" t="s">
        <v>686</v>
      </c>
      <c r="C192" s="8" t="s">
        <v>35</v>
      </c>
      <c r="D192" s="9" t="s">
        <v>34</v>
      </c>
    </row>
    <row r="193" spans="1:4" x14ac:dyDescent="0.25">
      <c r="A193" s="7" t="s">
        <v>542</v>
      </c>
      <c r="B193" s="8" t="s">
        <v>686</v>
      </c>
      <c r="C193" s="8" t="s">
        <v>35</v>
      </c>
      <c r="D193" s="9" t="s">
        <v>34</v>
      </c>
    </row>
    <row r="194" spans="1:4" x14ac:dyDescent="0.25">
      <c r="A194" s="7" t="s">
        <v>553</v>
      </c>
      <c r="B194" s="8" t="s">
        <v>45</v>
      </c>
      <c r="C194" s="8" t="s">
        <v>30</v>
      </c>
      <c r="D194" s="8" t="s">
        <v>44</v>
      </c>
    </row>
    <row r="195" spans="1:4" ht="30" x14ac:dyDescent="0.25">
      <c r="A195" s="7" t="s">
        <v>545</v>
      </c>
      <c r="B195" s="9" t="s">
        <v>56</v>
      </c>
      <c r="C195" s="8" t="s">
        <v>35</v>
      </c>
      <c r="D195" s="9" t="s">
        <v>54</v>
      </c>
    </row>
    <row r="196" spans="1:4" x14ac:dyDescent="0.25">
      <c r="A196" s="6" t="s">
        <v>576</v>
      </c>
      <c r="B196" s="8" t="s">
        <v>686</v>
      </c>
      <c r="C196" s="9" t="s">
        <v>35</v>
      </c>
      <c r="D196" s="9" t="s">
        <v>34</v>
      </c>
    </row>
    <row r="197" spans="1:4" x14ac:dyDescent="0.25">
      <c r="A197" s="1" t="s">
        <v>575</v>
      </c>
      <c r="B197" s="8" t="s">
        <v>686</v>
      </c>
      <c r="C197" s="9" t="s">
        <v>35</v>
      </c>
      <c r="D197" s="9" t="s">
        <v>34</v>
      </c>
    </row>
    <row r="198" spans="1:4" x14ac:dyDescent="0.25">
      <c r="A198" t="s">
        <v>632</v>
      </c>
      <c r="B198" s="9" t="s">
        <v>465</v>
      </c>
      <c r="C198" s="9" t="s">
        <v>35</v>
      </c>
      <c r="D198" s="9" t="s">
        <v>44</v>
      </c>
    </row>
    <row r="199" spans="1:4" x14ac:dyDescent="0.25">
      <c r="A199" s="7" t="s">
        <v>547</v>
      </c>
      <c r="B199" s="8" t="s">
        <v>465</v>
      </c>
      <c r="C199" s="8" t="s">
        <v>30</v>
      </c>
      <c r="D199" s="8" t="s">
        <v>44</v>
      </c>
    </row>
    <row r="200" spans="1:4" x14ac:dyDescent="0.25">
      <c r="A200" s="7" t="s">
        <v>572</v>
      </c>
      <c r="B200" s="9" t="s">
        <v>30</v>
      </c>
      <c r="C200" s="9" t="s">
        <v>30</v>
      </c>
      <c r="D200" s="9" t="s">
        <v>54</v>
      </c>
    </row>
    <row r="201" spans="1:4" x14ac:dyDescent="0.25">
      <c r="A201" s="6"/>
      <c r="B201" s="9"/>
      <c r="C201" s="9"/>
      <c r="D201" s="9"/>
    </row>
    <row r="202" spans="1:4" x14ac:dyDescent="0.25">
      <c r="A202" s="6"/>
      <c r="B202" s="9"/>
      <c r="C202" s="9"/>
      <c r="D202" s="9"/>
    </row>
    <row r="203" spans="1:4" x14ac:dyDescent="0.25">
      <c r="A203" s="6"/>
      <c r="B203" s="9"/>
      <c r="C203" s="9"/>
      <c r="D203" s="9"/>
    </row>
    <row r="204" spans="1:4" x14ac:dyDescent="0.25">
      <c r="A204" s="6"/>
      <c r="B204" s="9"/>
      <c r="C204" s="9"/>
      <c r="D204" s="9"/>
    </row>
    <row r="205" spans="1:4" x14ac:dyDescent="0.25">
      <c r="A205" s="6"/>
      <c r="B205" s="9"/>
      <c r="C205" s="9"/>
      <c r="D205" s="9"/>
    </row>
    <row r="206" spans="1:4" x14ac:dyDescent="0.25">
      <c r="A206" s="6"/>
      <c r="B206" s="9"/>
      <c r="C206" s="9"/>
      <c r="D206" s="9"/>
    </row>
    <row r="207" spans="1:4" x14ac:dyDescent="0.25">
      <c r="A207" s="6"/>
      <c r="B207" s="9"/>
      <c r="C207" s="9"/>
      <c r="D207" s="9"/>
    </row>
    <row r="208" spans="1:4" x14ac:dyDescent="0.25">
      <c r="A208" s="6"/>
      <c r="B208" s="9"/>
      <c r="C208" s="9"/>
      <c r="D208" s="9"/>
    </row>
    <row r="209" spans="1:4" x14ac:dyDescent="0.25">
      <c r="A209" s="6"/>
      <c r="B209" s="9"/>
      <c r="C209" s="9"/>
      <c r="D209" s="9"/>
    </row>
    <row r="210" spans="1:4" x14ac:dyDescent="0.25">
      <c r="A210" s="6"/>
      <c r="B210" s="9"/>
      <c r="C210" s="9"/>
      <c r="D210" s="9"/>
    </row>
    <row r="211" spans="1:4" x14ac:dyDescent="0.25">
      <c r="A211" s="6"/>
      <c r="B211" s="9"/>
      <c r="C211" s="9"/>
      <c r="D211" s="9"/>
    </row>
    <row r="212" spans="1:4" x14ac:dyDescent="0.25">
      <c r="A212" s="6"/>
      <c r="B212" s="9"/>
      <c r="C212" s="9"/>
      <c r="D212" s="9"/>
    </row>
    <row r="213" spans="1:4" x14ac:dyDescent="0.25">
      <c r="A213" s="6"/>
      <c r="B213" s="9"/>
      <c r="C213" s="9"/>
      <c r="D213" s="9"/>
    </row>
    <row r="214" spans="1:4" x14ac:dyDescent="0.25">
      <c r="A214" s="6"/>
      <c r="B214" s="9"/>
      <c r="C214" s="9"/>
      <c r="D214" s="9"/>
    </row>
    <row r="215" spans="1:4" x14ac:dyDescent="0.25">
      <c r="A215" s="6"/>
      <c r="B215" s="9"/>
      <c r="C215" s="9"/>
      <c r="D215" s="9"/>
    </row>
    <row r="216" spans="1:4" x14ac:dyDescent="0.25">
      <c r="A216" s="6"/>
      <c r="B216" s="9"/>
      <c r="C216" s="9"/>
      <c r="D216" s="9"/>
    </row>
    <row r="217" spans="1:4" x14ac:dyDescent="0.25">
      <c r="A217" s="6"/>
      <c r="B217" s="9"/>
      <c r="C217" s="9"/>
      <c r="D217" s="9"/>
    </row>
    <row r="218" spans="1:4" x14ac:dyDescent="0.25">
      <c r="A218" s="6"/>
      <c r="B218" s="9"/>
      <c r="C218" s="9"/>
      <c r="D218" s="9"/>
    </row>
    <row r="219" spans="1:4" x14ac:dyDescent="0.25">
      <c r="A219" s="6"/>
      <c r="B219" s="9"/>
      <c r="C219" s="9"/>
      <c r="D219" s="9"/>
    </row>
    <row r="220" spans="1:4" x14ac:dyDescent="0.25">
      <c r="A220" s="6"/>
      <c r="B220" s="9"/>
      <c r="C220" s="9"/>
      <c r="D220" s="9"/>
    </row>
    <row r="221" spans="1:4" x14ac:dyDescent="0.25">
      <c r="A221" s="6"/>
      <c r="B221" s="9"/>
      <c r="C221" s="9"/>
      <c r="D221" s="9"/>
    </row>
    <row r="222" spans="1:4" x14ac:dyDescent="0.25">
      <c r="A222" s="6"/>
      <c r="B222" s="9"/>
      <c r="C222" s="9"/>
      <c r="D222" s="9"/>
    </row>
    <row r="223" spans="1:4" x14ac:dyDescent="0.25">
      <c r="A223" s="6"/>
      <c r="B223" s="9"/>
      <c r="C223" s="9"/>
      <c r="D223" s="9"/>
    </row>
    <row r="224" spans="1:4" x14ac:dyDescent="0.25">
      <c r="A224" s="6"/>
      <c r="B224" s="9"/>
      <c r="C224" s="9"/>
      <c r="D224" s="9"/>
    </row>
    <row r="225" spans="1:4" x14ac:dyDescent="0.25">
      <c r="A225" s="6"/>
      <c r="B225" s="9"/>
      <c r="C225" s="9"/>
      <c r="D225" s="9"/>
    </row>
    <row r="226" spans="1:4" x14ac:dyDescent="0.25">
      <c r="A226" s="6"/>
      <c r="B226" s="9"/>
      <c r="C226" s="9"/>
      <c r="D226" s="9"/>
    </row>
    <row r="227" spans="1:4" x14ac:dyDescent="0.25">
      <c r="A227" s="6"/>
      <c r="B227" s="9"/>
      <c r="C227" s="9"/>
      <c r="D227" s="9"/>
    </row>
    <row r="228" spans="1:4" x14ac:dyDescent="0.25">
      <c r="A228" s="6"/>
      <c r="B228" s="9"/>
      <c r="C228" s="9"/>
      <c r="D228" s="9"/>
    </row>
    <row r="229" spans="1:4" x14ac:dyDescent="0.25">
      <c r="A229" s="6"/>
      <c r="B229" s="9"/>
      <c r="C229" s="9"/>
      <c r="D229" s="9"/>
    </row>
    <row r="230" spans="1:4" x14ac:dyDescent="0.25">
      <c r="A230" s="6"/>
      <c r="B230" s="9"/>
      <c r="C230" s="9"/>
      <c r="D230" s="9"/>
    </row>
    <row r="231" spans="1:4" x14ac:dyDescent="0.25">
      <c r="A231" s="6"/>
      <c r="B231" s="9"/>
      <c r="C231" s="9"/>
      <c r="D231" s="9"/>
    </row>
    <row r="232" spans="1:4" x14ac:dyDescent="0.25">
      <c r="A232" s="6"/>
      <c r="B232" s="9"/>
      <c r="C232" s="9"/>
      <c r="D232" s="9"/>
    </row>
    <row r="233" spans="1:4" x14ac:dyDescent="0.25">
      <c r="A233" s="6"/>
      <c r="B233" s="9"/>
      <c r="C233" s="9"/>
      <c r="D233" s="9"/>
    </row>
    <row r="234" spans="1:4" x14ac:dyDescent="0.25">
      <c r="A234" s="6"/>
      <c r="B234" s="9"/>
      <c r="C234" s="9"/>
      <c r="D234" s="9"/>
    </row>
    <row r="235" spans="1:4" x14ac:dyDescent="0.25">
      <c r="A235" s="6"/>
      <c r="B235" s="9"/>
      <c r="C235" s="9"/>
      <c r="D235" s="9"/>
    </row>
    <row r="236" spans="1:4" x14ac:dyDescent="0.25">
      <c r="A236" s="6"/>
      <c r="B236" s="9"/>
      <c r="C236" s="9"/>
      <c r="D236" s="9"/>
    </row>
    <row r="237" spans="1:4" x14ac:dyDescent="0.25">
      <c r="A237" s="6"/>
      <c r="B237" s="9"/>
      <c r="C237" s="9"/>
      <c r="D237" s="9"/>
    </row>
    <row r="238" spans="1:4" x14ac:dyDescent="0.25">
      <c r="A238" s="6"/>
      <c r="B238" s="9"/>
      <c r="C238" s="9"/>
      <c r="D238" s="9"/>
    </row>
    <row r="239" spans="1:4" x14ac:dyDescent="0.25">
      <c r="A239" s="6"/>
      <c r="B239" s="9"/>
      <c r="C239" s="9"/>
      <c r="D239" s="9"/>
    </row>
    <row r="240" spans="1:4" x14ac:dyDescent="0.25">
      <c r="A240" s="6"/>
      <c r="B240" s="9"/>
      <c r="C240" s="9"/>
      <c r="D240" s="9"/>
    </row>
    <row r="241" spans="1:4" x14ac:dyDescent="0.25">
      <c r="A241" s="6"/>
      <c r="B241" s="9"/>
      <c r="C241" s="9"/>
      <c r="D241" s="9"/>
    </row>
    <row r="242" spans="1:4" x14ac:dyDescent="0.25">
      <c r="A242" s="6"/>
      <c r="B242" s="9"/>
      <c r="C242" s="9"/>
      <c r="D242" s="9"/>
    </row>
    <row r="243" spans="1:4" x14ac:dyDescent="0.25">
      <c r="A243" s="6"/>
      <c r="B243" s="9"/>
      <c r="C243" s="9"/>
      <c r="D243" s="9"/>
    </row>
    <row r="244" spans="1:4" x14ac:dyDescent="0.25">
      <c r="A244" s="6"/>
      <c r="B244" s="9"/>
      <c r="C244" s="9"/>
      <c r="D244" s="9"/>
    </row>
    <row r="245" spans="1:4" x14ac:dyDescent="0.25">
      <c r="A245" s="6"/>
      <c r="B245" s="9"/>
      <c r="C245" s="9"/>
      <c r="D245" s="9"/>
    </row>
    <row r="246" spans="1:4" x14ac:dyDescent="0.25">
      <c r="A246" s="6"/>
      <c r="B246" s="9"/>
      <c r="C246" s="9"/>
      <c r="D246" s="9"/>
    </row>
    <row r="247" spans="1:4" x14ac:dyDescent="0.25">
      <c r="A247" s="6"/>
      <c r="B247" s="9"/>
      <c r="C247" s="9"/>
      <c r="D247" s="9"/>
    </row>
    <row r="248" spans="1:4" x14ac:dyDescent="0.25">
      <c r="A248" s="6"/>
      <c r="B248" s="9"/>
      <c r="C248" s="9"/>
      <c r="D248" s="9"/>
    </row>
    <row r="249" spans="1:4" x14ac:dyDescent="0.25">
      <c r="A249" s="6"/>
      <c r="B249" s="9"/>
      <c r="C249" s="9"/>
      <c r="D249" s="9"/>
    </row>
    <row r="250" spans="1:4" x14ac:dyDescent="0.25">
      <c r="A250" s="6"/>
      <c r="B250" s="9"/>
      <c r="C250" s="9"/>
      <c r="D250" s="9"/>
    </row>
    <row r="251" spans="1:4" x14ac:dyDescent="0.25">
      <c r="A251" s="6"/>
      <c r="B251" s="9"/>
      <c r="C251" s="9"/>
      <c r="D251" s="9"/>
    </row>
    <row r="252" spans="1:4" x14ac:dyDescent="0.25">
      <c r="A252" s="6"/>
      <c r="B252" s="9"/>
      <c r="C252" s="9"/>
      <c r="D252" s="9"/>
    </row>
    <row r="253" spans="1:4" x14ac:dyDescent="0.25">
      <c r="A253" s="6"/>
      <c r="B253" s="9"/>
      <c r="C253" s="9"/>
      <c r="D253" s="9"/>
    </row>
    <row r="254" spans="1:4" x14ac:dyDescent="0.25">
      <c r="A254" s="6"/>
      <c r="B254" s="9"/>
      <c r="C254" s="9"/>
      <c r="D254" s="9"/>
    </row>
    <row r="255" spans="1:4" x14ac:dyDescent="0.25">
      <c r="A255" s="6"/>
      <c r="B255" s="9"/>
      <c r="C255" s="9"/>
      <c r="D255" s="9"/>
    </row>
    <row r="256" spans="1:4" x14ac:dyDescent="0.25">
      <c r="A256" s="6"/>
      <c r="B256" s="9"/>
      <c r="C256" s="9"/>
      <c r="D256" s="9"/>
    </row>
    <row r="257" spans="1:4" x14ac:dyDescent="0.25">
      <c r="A257" s="6"/>
      <c r="B257" s="9"/>
      <c r="C257" s="9"/>
      <c r="D257" s="9"/>
    </row>
    <row r="258" spans="1:4" x14ac:dyDescent="0.25">
      <c r="A258" s="6"/>
      <c r="B258" s="9"/>
      <c r="C258" s="9"/>
      <c r="D258" s="9"/>
    </row>
    <row r="259" spans="1:4" x14ac:dyDescent="0.25">
      <c r="A259" s="6"/>
      <c r="B259" s="9"/>
      <c r="C259" s="9"/>
      <c r="D259" s="9"/>
    </row>
    <row r="260" spans="1:4" x14ac:dyDescent="0.25">
      <c r="A260" s="6"/>
      <c r="B260" s="9"/>
      <c r="C260" s="9"/>
      <c r="D260" s="9"/>
    </row>
    <row r="261" spans="1:4" x14ac:dyDescent="0.25">
      <c r="A261" s="6"/>
      <c r="B261" s="9"/>
      <c r="C261" s="9"/>
      <c r="D261" s="9"/>
    </row>
    <row r="262" spans="1:4" x14ac:dyDescent="0.25">
      <c r="A262" s="6"/>
      <c r="B262" s="9"/>
      <c r="C262" s="9"/>
      <c r="D262" s="9"/>
    </row>
    <row r="263" spans="1:4" x14ac:dyDescent="0.25">
      <c r="A263" s="6"/>
      <c r="B263" s="9"/>
      <c r="C263" s="9"/>
      <c r="D263" s="9"/>
    </row>
    <row r="264" spans="1:4" x14ac:dyDescent="0.25">
      <c r="A264" s="6"/>
      <c r="B264" s="9"/>
      <c r="C264" s="9"/>
      <c r="D264" s="9"/>
    </row>
    <row r="265" spans="1:4" x14ac:dyDescent="0.25">
      <c r="A265" s="6"/>
      <c r="B265" s="9"/>
      <c r="C265" s="9"/>
      <c r="D265" s="9"/>
    </row>
    <row r="266" spans="1:4" x14ac:dyDescent="0.25">
      <c r="A266" s="6"/>
      <c r="B266" s="9"/>
      <c r="C266" s="9"/>
      <c r="D266" s="9"/>
    </row>
    <row r="267" spans="1:4" x14ac:dyDescent="0.25">
      <c r="A267" s="6"/>
      <c r="B267" s="9"/>
      <c r="C267" s="9"/>
      <c r="D267" s="9"/>
    </row>
    <row r="268" spans="1:4" x14ac:dyDescent="0.25">
      <c r="A268" s="6"/>
      <c r="B268" s="9"/>
      <c r="C268" s="9"/>
      <c r="D268" s="9"/>
    </row>
    <row r="269" spans="1:4" x14ac:dyDescent="0.25">
      <c r="B269" s="9"/>
      <c r="C269" s="9"/>
      <c r="D269" s="9"/>
    </row>
  </sheetData>
  <autoFilter ref="A1:D200" xr:uid="{7015CAB9-1E64-41B4-AEFD-5822F6E62351}">
    <sortState xmlns:xlrd2="http://schemas.microsoft.com/office/spreadsheetml/2017/richdata2" ref="A2:D200">
      <sortCondition ref="A1:A200"/>
    </sortState>
  </autoFilter>
  <sortState xmlns:xlrd2="http://schemas.microsoft.com/office/spreadsheetml/2017/richdata2" ref="K2:L22">
    <sortCondition ref="K2:K22"/>
  </sortState>
  <conditionalFormatting sqref="B32">
    <cfRule type="cellIs" dxfId="5" priority="7" operator="equal">
      <formula>"NOVA MENSAGEM"</formula>
    </cfRule>
    <cfRule type="cellIs" dxfId="4" priority="8" operator="equal">
      <formula>"OUTROS"</formula>
    </cfRule>
  </conditionalFormatting>
  <conditionalFormatting sqref="B1:C1048576">
    <cfRule type="cellIs" dxfId="3" priority="2" operator="equal">
      <formula>"INDEFINIDO"</formula>
    </cfRule>
  </conditionalFormatting>
  <conditionalFormatting sqref="H1">
    <cfRule type="cellIs" dxfId="2" priority="5" operator="equal">
      <formula>"INDEFINIDO"</formula>
    </cfRule>
  </conditionalFormatting>
  <conditionalFormatting sqref="K23">
    <cfRule type="cellIs" dxfId="1" priority="1" operator="equal">
      <formula>"NOVA MENSAGEM"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0C64AEBC6938045854C56BA4D8C77CF" ma:contentTypeVersion="6" ma:contentTypeDescription="Crie um novo documento." ma:contentTypeScope="" ma:versionID="5f31b7a4337894972ec12da0ef30e818">
  <xsd:schema xmlns:xsd="http://www.w3.org/2001/XMLSchema" xmlns:xs="http://www.w3.org/2001/XMLSchema" xmlns:p="http://schemas.microsoft.com/office/2006/metadata/properties" xmlns:ns2="35be389f-dada-4a68-ae92-ea7661de5b6e" xmlns:ns3="d5d2fd33-ccbd-4040-be47-5df533512541" targetNamespace="http://schemas.microsoft.com/office/2006/metadata/properties" ma:root="true" ma:fieldsID="e61b3e9a2651bfce898509c0f7f73a6c" ns2:_="" ns3:_="">
    <xsd:import namespace="35be389f-dada-4a68-ae92-ea7661de5b6e"/>
    <xsd:import namespace="d5d2fd33-ccbd-4040-be47-5df5335125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be389f-dada-4a68-ae92-ea7661de5b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2fd33-ccbd-4040-be47-5df53351254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XOZHR46BGN6WV66S7RFJVYC7OBCCI3LH:ms-officescript%3A%2F%2Fonedrive_business_sharinglink%2Fu!aHR0cHM6Ly9rb250aWt0dXJpc21vLW15LnNoYXJlcG9pbnQuY29tLzp1Oi9nL3BlcnNvbmFsL2RpZWdvbW9yZWlyYV9rb250aWtfY29tX2JyL0VjRXpmV3I3MHZ4S211QmZjRVFrYldjQnQ1Wk5tcVVQcDlxZ2RNNG54VWdCYXc"/>
</scriptId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807CE3-6672-4CE0-BB12-15CD85AEC4F6}">
  <ds:schemaRefs>
    <ds:schemaRef ds:uri="http://schemas.microsoft.com/office/2006/metadata/properties"/>
    <ds:schemaRef ds:uri="http://purl.org/dc/dcmitype/"/>
    <ds:schemaRef ds:uri="http://purl.org/dc/terms/"/>
    <ds:schemaRef ds:uri="http://purl.org/dc/elements/1.1/"/>
    <ds:schemaRef ds:uri="http://www.w3.org/XML/1998/namespace"/>
    <ds:schemaRef ds:uri="d5d2fd33-ccbd-4040-be47-5df5335125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35be389f-dada-4a68-ae92-ea7661de5b6e"/>
  </ds:schemaRefs>
</ds:datastoreItem>
</file>

<file path=customXml/itemProps2.xml><?xml version="1.0" encoding="utf-8"?>
<ds:datastoreItem xmlns:ds="http://schemas.openxmlformats.org/officeDocument/2006/customXml" ds:itemID="{FD97F6A7-0D1A-4429-BC2F-2175A10455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be389f-dada-4a68-ae92-ea7661de5b6e"/>
    <ds:schemaRef ds:uri="d5d2fd33-ccbd-4040-be47-5df5335125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172A19-D66E-4B58-8920-26EE5CABD0C3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626EDB8D-50E7-45B8-BB1E-BB82839EF5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Base</vt:lpstr>
      <vt:lpstr>Novo relatório</vt:lpstr>
      <vt:lpstr>Parâmetros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Vitor Moreira</dc:creator>
  <cp:keywords/>
  <dc:description/>
  <cp:lastModifiedBy>Diego Vitor Moreira</cp:lastModifiedBy>
  <cp:revision/>
  <dcterms:created xsi:type="dcterms:W3CDTF">2023-11-27T15:27:42Z</dcterms:created>
  <dcterms:modified xsi:type="dcterms:W3CDTF">2025-06-17T20:11:47Z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0x010100A0C64AEBC6938045854C56BA4D8C77CF</vt:lpwstr>
  </property>
</Properties>
</file>